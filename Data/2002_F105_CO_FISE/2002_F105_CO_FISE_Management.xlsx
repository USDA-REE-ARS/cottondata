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E:\mnt\Data1\USDA-ALARC\GIS\PDI project\cottondata\Data\2002_F105_CO_FISE\"/>
    </mc:Choice>
  </mc:AlternateContent>
  <xr:revisionPtr revIDLastSave="0" documentId="13_ncr:9_{4A65513C-B6BF-4E77-8190-6BE15AB0C647}" xr6:coauthVersionLast="47" xr6:coauthVersionMax="47" xr10:uidLastSave="{00000000-0000-0000-0000-000000000000}"/>
  <bookViews>
    <workbookView xWindow="16905" yWindow="-26115" windowWidth="17850" windowHeight="20010" activeTab="2" xr2:uid="{13866AC3-1731-43DF-8B05-09EFA100F22B}"/>
  </bookViews>
  <sheets>
    <sheet name="Irrigation" sheetId="2" r:id="rId1"/>
    <sheet name="Timeline" sheetId="4" r:id="rId2"/>
    <sheet name="IrrigationDF" sheetId="3" r:id="rId3"/>
  </sheets>
  <definedNames>
    <definedName name="_xlnm._FilterDatabase" localSheetId="1" hidden="1">Timeline!$A$4:$G$100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7" i="2" l="1"/>
  <c r="AC28" i="2"/>
  <c r="AC29" i="2"/>
  <c r="AC30" i="2"/>
  <c r="AC31" i="2"/>
  <c r="AC32" i="2"/>
  <c r="AC33" i="2"/>
  <c r="AC34" i="2"/>
  <c r="AC35" i="2"/>
  <c r="AC36" i="2"/>
  <c r="AC37" i="2"/>
  <c r="AC38" i="2"/>
  <c r="AC26" i="2"/>
  <c r="AC40" i="2" s="1"/>
  <c r="AC10" i="2"/>
  <c r="AD10" i="2"/>
  <c r="AC11" i="2"/>
  <c r="AD11" i="2"/>
  <c r="AC12" i="2"/>
  <c r="AD12" i="2"/>
  <c r="AC13" i="2"/>
  <c r="AD13" i="2"/>
  <c r="AC14" i="2"/>
  <c r="AD14" i="2"/>
  <c r="AC15" i="2"/>
  <c r="AD15" i="2"/>
  <c r="AC16" i="2"/>
  <c r="AD16" i="2"/>
  <c r="AC17" i="2"/>
  <c r="AD17" i="2"/>
  <c r="AC18" i="2"/>
  <c r="AD18" i="2"/>
  <c r="AC19" i="2"/>
  <c r="AD19" i="2"/>
  <c r="AC20" i="2"/>
  <c r="AD20" i="2"/>
  <c r="AC21" i="2"/>
  <c r="AD21" i="2"/>
  <c r="AD9" i="2"/>
  <c r="AC9" i="2"/>
</calcChain>
</file>

<file path=xl/sharedStrings.xml><?xml version="1.0" encoding="utf-8"?>
<sst xmlns="http://schemas.openxmlformats.org/spreadsheetml/2006/main" count="674" uniqueCount="274">
  <si>
    <t>Year: 2002</t>
  </si>
  <si>
    <t>Number</t>
  </si>
  <si>
    <t>FSH</t>
  </si>
  <si>
    <t>FSL</t>
  </si>
  <si>
    <t>FTH</t>
  </si>
  <si>
    <t>FTL</t>
  </si>
  <si>
    <t>FDH</t>
  </si>
  <si>
    <t>FDL</t>
  </si>
  <si>
    <t>Irrigation</t>
  </si>
  <si>
    <t>DOY</t>
  </si>
  <si>
    <t>Date</t>
  </si>
  <si>
    <t>(mm)</t>
  </si>
  <si>
    <t>NSH</t>
  </si>
  <si>
    <t>NSL</t>
  </si>
  <si>
    <t>NTH</t>
  </si>
  <si>
    <t>NTL</t>
  </si>
  <si>
    <t>of</t>
  </si>
  <si>
    <t>Total</t>
  </si>
  <si>
    <t>Depth Applied</t>
  </si>
  <si>
    <t>NDH</t>
  </si>
  <si>
    <t>NDL</t>
  </si>
  <si>
    <t>Crop: Cotton DP458 B/RR</t>
  </si>
  <si>
    <t>ID</t>
  </si>
  <si>
    <t>Plot</t>
  </si>
  <si>
    <t>Block</t>
  </si>
  <si>
    <t>I</t>
  </si>
  <si>
    <t>Trt.</t>
  </si>
  <si>
    <t>II</t>
  </si>
  <si>
    <t>III</t>
  </si>
  <si>
    <t>IV</t>
  </si>
  <si>
    <t>Nitrogen</t>
  </si>
  <si>
    <t>fertilizer</t>
  </si>
  <si>
    <t>application</t>
  </si>
  <si>
    <t>(kg/ha)</t>
  </si>
  <si>
    <t>Irrigation and Fertilizer Schedules for plots</t>
  </si>
  <si>
    <t>Year</t>
  </si>
  <si>
    <t>p101</t>
  </si>
  <si>
    <t>p102</t>
  </si>
  <si>
    <t>p103</t>
  </si>
  <si>
    <t>p104</t>
  </si>
  <si>
    <t>p105</t>
  </si>
  <si>
    <t>p106</t>
  </si>
  <si>
    <t>p107</t>
  </si>
  <si>
    <t>p108</t>
  </si>
  <si>
    <t>p201</t>
  </si>
  <si>
    <t>p202</t>
  </si>
  <si>
    <t>p203</t>
  </si>
  <si>
    <t>p204</t>
  </si>
  <si>
    <t>p205</t>
  </si>
  <si>
    <t>p206</t>
  </si>
  <si>
    <t>p207</t>
  </si>
  <si>
    <t>p208</t>
  </si>
  <si>
    <t>p301</t>
  </si>
  <si>
    <t>p302</t>
  </si>
  <si>
    <t>p303</t>
  </si>
  <si>
    <t>p304</t>
  </si>
  <si>
    <t>p305</t>
  </si>
  <si>
    <t>p306</t>
  </si>
  <si>
    <t>p307</t>
  </si>
  <si>
    <t>p308</t>
  </si>
  <si>
    <t>p401</t>
  </si>
  <si>
    <t>p402</t>
  </si>
  <si>
    <t>p403</t>
  </si>
  <si>
    <t>p404</t>
  </si>
  <si>
    <t>p405</t>
  </si>
  <si>
    <t>p406</t>
  </si>
  <si>
    <t>p407</t>
  </si>
  <si>
    <t>p408</t>
  </si>
  <si>
    <t>p901</t>
  </si>
  <si>
    <t>p902</t>
  </si>
  <si>
    <t>p903</t>
  </si>
  <si>
    <t>p904</t>
  </si>
  <si>
    <t>p905</t>
  </si>
  <si>
    <t>p906</t>
  </si>
  <si>
    <t>p907</t>
  </si>
  <si>
    <t>p908</t>
  </si>
  <si>
    <t>end</t>
  </si>
  <si>
    <t>Ed and Clint -10:25 to 10:50 First use of the linear spray system.Applied Applaud @ 0.5lb/acre active ingredient</t>
  </si>
  <si>
    <t>instrument</t>
  </si>
  <si>
    <t>RR -SPAD readings.What time?</t>
  </si>
  <si>
    <t>measurements</t>
  </si>
  <si>
    <t>Made test run east to west.From 1st row of cotton on east border to the last row in the 001 plots used 110 gallons and took 23.5 minutes.To the last row of the west border , it took an additional 10 gals and 1 1/2 minutes.I missed the west end stop time.In short, the gallons used was exactly as ED calculated.Note** Saw evidence of a leak at the center flex joint, but noone saw it leaking during the run.Suspect rate is very lowe,but should be checked.</t>
  </si>
  <si>
    <t>TRC</t>
  </si>
  <si>
    <t>Finished sprayer construction.Pressure test showed 2 cracks at the fittings on red pipe (from the crash)and a couple slow leaks at the tank cart and coupling.All leaks stopped or reduced to less than 1 drop /30 second.All pressure regulators set to 10 psi.Flushed out pipes in 3 stages.Replaced about 5 clogged sprayer nozzels.</t>
  </si>
  <si>
    <t>EMB</t>
  </si>
  <si>
    <t>7:00-9:00 am removed all MET/IRT instruements on masts. Dumped dataloggers.Stacy-canopy measurements and helped with irrigation.</t>
  </si>
  <si>
    <t>Stacy and Amy - collected leaf and petiole samples of all plots.</t>
  </si>
  <si>
    <t>SR</t>
  </si>
  <si>
    <t>Ric -, exotech,SPAD,IRTs.</t>
  </si>
  <si>
    <t>RR</t>
  </si>
  <si>
    <t>Ed, Clint,Bill, Jose -Start installation of spray boom</t>
  </si>
  <si>
    <t>EB</t>
  </si>
  <si>
    <t>Ric ,exotech @45°z, midday IRTs.Tom put IRTs back into stress plot 906 .Pod2B loaded in 406.Turns fan off @ ns 32.</t>
  </si>
  <si>
    <t>At11am deployed and measured tarps.!2:00 to 13:30 Paul did Midday Light Interception.!12;30 -14:30 Paul and Carrie did midday porometery.13:20-13:45 Overflight- clear conditions.13:00-14:30 Ed -IRTs over tarps and other targets for flight calibrations.</t>
  </si>
  <si>
    <t>Overflight</t>
  </si>
  <si>
    <t>RR, PJP</t>
  </si>
  <si>
    <t>Suzette canopy spectra,SPAD,Midday IRTs.</t>
  </si>
  <si>
    <t>SMM</t>
  </si>
  <si>
    <t>Ric exotech, pic and IRTS.Stacy petiole samples of the FTH and NTH plots for Mike Sheedy .Suzette collected single leaf spectra.</t>
  </si>
  <si>
    <t>Suzette collected canopy spectra-Quality 5 weather.Tom moved dry can IRTs10:15 to 10:45 from plot 908 to plot 906 which is just beginning to dry down.Serviced MET , dumper dataloggers 10:45 to 11:15 am.Suzette midday IRTs, Stacy canopy measurements. Weeded under net radiometer and IRT in plot 907 (dry soil)</t>
  </si>
  <si>
    <t>Stacy and Clint took leaf samples.Paul did exotech and midday IRTs.</t>
  </si>
  <si>
    <t>Don, Clint, Doug and Paul irrigated all FAO and ND plots (8am to 12 pm)11:45 PP irrigated wet soil plots.Made adjustments to poorly aimed IRTs in 908.</t>
  </si>
  <si>
    <t>Cultural Operations</t>
  </si>
  <si>
    <t>PP</t>
  </si>
  <si>
    <t>Don and Clint neutron and TDRs.Paul, midday IRTs and turned on Quickmet.</t>
  </si>
  <si>
    <t>Exotech,SPAD and IRTs by Ric.collected stem data in plot 108.Component IRTs by Ed.Battery low in polycorders.</t>
  </si>
  <si>
    <t>TRC cleaned pyro domes, dumped ebal2, Pod2,Dry Can datalogger,refilled psychrometers,cleaned anemoms.12:45 t0 13:15 visual observations recorded.13:47 -dumped FISEMET data.Weeded plots 106 and 107</t>
  </si>
  <si>
    <t>SMM- collected for single leaf spectra.Stacy took canopy measurements.Bruce moved stem flow gauges to plot 108.Ric did midday IRTs.</t>
  </si>
  <si>
    <t>SM</t>
  </si>
  <si>
    <t>Exotech @ 45° z.Sm- Midday IRTs. Noticed that the farm is cutting the alfalfa east of here.</t>
  </si>
  <si>
    <t>SM Spad and Midday IRTs.</t>
  </si>
  <si>
    <t>Exotech and Midday IRTs.Tom dumped data from dry can, FISEMET,POD2,.Put in new CPU in EBal2, which was removed last Thursday.Cleaned net radiometer domes.Anchored dry can IRT post.Plot 307 and 406 IRTs now seeing 100 % cover.Refilled psych reservoirs.</t>
  </si>
  <si>
    <t>Midday IRTs.Repositioned West IRT in plot 908 .The support arm for these IRTs is not stable.Quickmet off at 14:20. Thin variable cirrus clouds.moderate haze, light to mod wind.</t>
  </si>
  <si>
    <t>Also tried to level boards in 906 and 902.Dug up some wires between 406 and 407 along the board walk but pretty sure no damage was done.Also, be careful on NS plots as boards are uneven where the berms were reenforced.</t>
  </si>
  <si>
    <r>
      <t>Irrigation of NSx on north side @ 5:55am . All done by 9:15.Hit Nitrogen applicatio targets on all.3L (10 mm injection)50 16N/acre.902 and 906:0.75L hand applied.</t>
    </r>
    <r>
      <rPr>
        <sz val="10"/>
        <color indexed="10"/>
        <rFont val="Arial"/>
        <family val="2"/>
      </rPr>
      <t>See log book for irrigation table.Note- no more irrigations to 900 plots with the exception of wet soils.</t>
    </r>
  </si>
  <si>
    <t>Exotech @45° z at 9:00 to 9:45am.Light bar measurements 12:00 to 13:00,midday IRTs 13:10 to 14:05.Looks as if 902 and 906 were not irrigated at the same time as the NTH group.( note -irrigated Sunday dOY 195).Great weather! Hot and humid.No clouds.</t>
  </si>
  <si>
    <t>Suzette collected for single leaf spectra.ric did exotech,took photos and midday IRTs.</t>
  </si>
  <si>
    <t>Overflights.DOE -Las Vegas, Nasa-Stennis, USWCl flight 4.IRTs , ASD FR during flight.Tarps on wet side side of field.Great weather.Paul made numerous passes over the tarp with the ASD Fr .</t>
  </si>
  <si>
    <t>Linear partially removed from field.</t>
  </si>
  <si>
    <t>AgIIS</t>
  </si>
  <si>
    <t>SM did SPAD and Midday IRTs.TRC -FISEMET datalogger crashed.Replaced CPM with one from Ebal2.Stored Qmet before overflights.Took visual observations 12:45 to 13:15.</t>
  </si>
  <si>
    <t>Carrie on rounds of selected plots with porometer and palm top datalogger.water damgae to porometer at finish.Did get a good data set with plants very well watered by rain.</t>
  </si>
  <si>
    <t>Center of the linear flipped over towards west.Substantial damage to linear,rail and east edge of ' 08 plots.Cart found on the ground upside down.Drycan IRT knocked down.Psychrometers upside down so no good wet bulbs until 9am.</t>
  </si>
  <si>
    <t>Microburst hits field!!!!!!-high winds last night about 50mph.no rain recorded because gauge inoperable.</t>
  </si>
  <si>
    <t>weather</t>
  </si>
  <si>
    <t>Overflight cancelled.Cloudy skys that cleared up about 13:00.</t>
  </si>
  <si>
    <t>Ric -exotech, Suzette took canopy spectra.Midday IRTs</t>
  </si>
  <si>
    <t>Stacy took canopy measurements ;started @8 and finished at 9:34am.Suzette -midday IRTs.</t>
  </si>
  <si>
    <t>Cart run 12:33 to 15:05.Component temps and visual observations taken concurrent to cart run.dumper AgIIs,Pod2,Ebal2,Pond1 and Fisemet dataloggers.Sky minor faint cirrus interference at start , increasing toward end of run.</t>
  </si>
  <si>
    <t>Irrigation of all FAO plots at 9:30 am .Plot 308 (low N) got 1 min of 5 16N/acre of N accidentally.Irrigation progressed from east to west.First applied 5000 gal and injected N for 10 minutes in high N plots only( 50 16n/gal0 apply 1000 gal , inject N , flush before next irrigation.After half of the plots irrigated , went back and applied an additional 1400 gal to get the target of 6400 gal.Ended @ 13:15 on west side.</t>
  </si>
  <si>
    <t>irrigation</t>
  </si>
  <si>
    <t>Stacy from 7 am to 8 am took leaf samples in FAO plots.Ric did exotech and SPAD and midday IRTs.</t>
  </si>
  <si>
    <t>Tom and Clint irrigated NDL plots (105 and 201) with 6800 gals.NDh plots, applied 3,072 ml UrN(50lbs/acre) by running injector  @ 280ml/min for 11 minutes each plot.Pot 305 received desired 6800 gallons but plot 204 received 7700 instead of the desired 6900gals.start @6:00 , finished about 10:00 am.Weed wet soil plots 901and 905.</t>
  </si>
  <si>
    <t>Paul turned on Quickmet @ 12:40- will leave on for full 3 hours because Glenn has arrived with LCTF camera.@ 13:10-14:10 midday IRT routine.All FISE plots seem slightly wilted as do NDH and NDL plots.NT and NS plots look turgid and have cooler temps.Gave the data set Quality 1 note that soil plots were not freshly irrigated .901 is stage 2 drying but 905 looks mostly dry. Another clear nice day,with mod haze however.</t>
  </si>
  <si>
    <t>cart run east to west.Started at 12:30</t>
  </si>
  <si>
    <t>moved stem flow to plot 203,moved power batts and panel with them.Tom repair cart .Collected component twmps, visual observation, servced pyschrometers at 12:30 (when the cart was overhead)</t>
  </si>
  <si>
    <t>Suzette-midday IRTS and canopy spectra.</t>
  </si>
  <si>
    <t>Cart run 15:00 -stopped hopefully near the end of run.Caused by axle falling out of bottom runner wheel.entire cart except drive wheels off the track.Towed back to platformand dumped data.Removed wheel assembly to find new nut.Dumped FISEMET,POP2,EBAl 2, dry can datalogger.Saw that there was a bit of mud on some older leaves where a dust coating ran off during yesterday's rain.POD2 bed soil hea t flux plate not working.Connection at logger appears ok but needs more troubleshooting.</t>
  </si>
  <si>
    <t>AT 12:00-13:05 light bar data in select plots.Only needed to use overlapping 80 cm segments in plot 105 .single segment all the rest.Plots 303 NSL damp to the eye.Stage 2 drying.Wet soil plots have some std water.13:10-14:20 porometery data in select plots.TRC taking midday IRTs simultaneously with cart run.</t>
  </si>
  <si>
    <t>TRC moved IRT from 307 #2 to 405 #1.Moved pop 2 power cable from sapflow to FISEMET batteries in prep for sapflow move tomorrow.Hooked up 5 w solar panel to new ebal system in dry soil plot 907.</t>
  </si>
  <si>
    <t>starting tosee more insects in plots.Seeing light whitefly adults in plots with sparser populations.</t>
  </si>
  <si>
    <t>Insects</t>
  </si>
  <si>
    <t>Irrigated wet soil plots. @10:15</t>
  </si>
  <si>
    <t xml:space="preserve">Day after brief rainshower.Clear mod haze, calm .Exact amount of rain unknown, has left a light dust tracks onleaves and 70% gray panel.meausred gray panel with exotech without cleaning. </t>
  </si>
  <si>
    <t>Adjusted both IRTs in plot 908.They were looking at the shadow and too deep canopy.Perhaps these dry plots have recovered overnight?! @8:53-9:30 exotech routine-expanded measurements sequence to now include all 900 series plots immediately following soil tray.Doesn't include additional std measurements.</t>
  </si>
  <si>
    <t>Clint weeding in 400 plots.also did some neutron readings.</t>
  </si>
  <si>
    <t>ED installed net radiometers , flux plates and soil thermocouples in row 6 of dry soil plot in 907.May have disturbed target area exotech.Tripod close to target area as well but plot toosmall to move rnet any farther south.dumped all dataloggers except stem flows.Topped off psychrometers.Moved data logger box for veg plot (405) to just north of irrigation pipe in borders.Pull grounding rod and didn't replace.Everything is differential voltage so probably dont need too. Plan to collect GPS data around farm.</t>
  </si>
  <si>
    <t>Ric exotech.Suzette collected for single leaf spectra.</t>
  </si>
  <si>
    <t>Stacy and Amy took canopy measurements.SPAD readings in all plots.Midday IRTs and TC's instant met turned on for backup.weather conditions report.</t>
  </si>
  <si>
    <t>Cart run 12:35-14:55.Cloud interference during almost all of the run;shadows occasionaly disappear.Collected component IRTs and visual observations.Dumped cart , met ,Ebal and Dry can data to palm.</t>
  </si>
  <si>
    <t>exotech @ 45 degree z.Handhoed weeds.midday IRTs in conjuction with Tom's cart run.</t>
  </si>
  <si>
    <t>Paul -midday IRTs from 13:00-14:00.New mercury in glass thermometer now in pyschrometer (Industrial instruments and supplies"Psychro-Dyne:).This psych has beenin use a couple? of weeks the old Bendix having taken a tumble.The color anomaly we thought we saw in 407 seems to have disappeared.Was it a flush of younger leaves in 407 and now the other plots are doing the same thing or is it the N treatments or lack thereof?</t>
  </si>
  <si>
    <t>PJP</t>
  </si>
  <si>
    <t>Exotech @ const 45 °z -wanted to run SPAD but it is gone from the shed.</t>
  </si>
  <si>
    <t>Dense and FAO plots irriagted @ 8;30 am to ? By Don, Clint,Doug and Suzette</t>
  </si>
  <si>
    <t>Hyperspectral overflight courtesy of Jerry anderson.Scheduled for 13:00 to 14:00.So far no appearance due to electrical problems.Just as well, the clouds have rolled in just as I started FR measurements over panels and tarps at 13:00.Plane is in the air @ 14:30.Got one set of FR (rel mode) with unobstructed sun- over 100% sn 60 , 20% sn62, soil 4%, 8%,48%, 64% tarp the system locked up!Started up and seemed to have the last visible detector , made a run with just NIR, SWIR detectors over 100%,20% ,soil , 45 , 8%, 48%,64%Fianl pass on the hyperspectral flight at 16:19.</t>
  </si>
  <si>
    <t>Bill cleaned MDO panels @ 7 am.Pics and midday IRTs.Switched thermometer from old broken psychrometer to newer modelNew psychrometer Hq bulbs installed .both IRTs in plot 908 were askance-repositioned and tightened bracket.Quickmet started.</t>
  </si>
  <si>
    <t>Cart run west to east.</t>
  </si>
  <si>
    <t>Cloudy in the morning, clear by noon. Dew point feels much higher today, but isn't.DB 43.4, WB 19.6@13:00. Little cummulocirrus popping up around sun shortly after noon, intermittenly blocking sun.</t>
  </si>
  <si>
    <t>SM collected for single leaf spectra.Bruce collected stem flow datafrom plot 404.Tom changed out one bad gauge.tom took visual observations, dumped cart, pod and FISEMET data.Amy and Glen took ASD measurements until clouds showed up.</t>
  </si>
  <si>
    <t>All hands weed crew.Got'em prior to overflight.Good job!</t>
  </si>
  <si>
    <t>All morning and afternoon mostly sunny - a few episodes of cirrus and scattered stratus during times- mostly able to work around.</t>
  </si>
  <si>
    <t>Plot 201 , south side (end) of row 6 , 2 meter length heavy with green and black aphids, heavy honeydew. Predators also.</t>
  </si>
  <si>
    <t>11:00 Paul tightened mil spec connector on exotech cable.Checked cable and it seemed to transmit correct channel w/0 any breaks or cross talk.Bruce moved his stem flow gauges from plot 406 to plot 404 treatment FTH , row 7 (7:15 am to 12:15 pm)</t>
  </si>
  <si>
    <t>OVERFLIGHT -@ 9 am moved  IRTs in 908  to pond for overflight.From 8:30 to 10:15 Paul did sevral runs using exotech for tarp calibrations.Managed to get ok data w/o and direct beam interferenc.SMM obtained single set of data over tarps using PSII @ about 9:30.No cropscan today.Could not get data @ 20 degree solar zenith because clouds increasing.@ 9:30 to ~11:00 first set of SPAD measurements.SM did canopy spectra, and midday IRTs.Light interception measurements 13 plots plus wet and dry soil.Sally Jacobs and John, leaf influorescence measurements.</t>
  </si>
  <si>
    <t>Cart run.from 12:30 to 14:55.Simultaneous visual plot assesments, component IRTs and Quicktime data.Dumped FISEMET, Pond #2 (E bal), Cart, Dry can data.FISEMET solar panel found vertical - not sure for how long.Hooked up pyranometers ~12:15, moved Bruce's power back.All new plot berms!</t>
  </si>
  <si>
    <t>8:32 All TDRs and IRTs hooked back up again.Pyranometer disconnected.Bruce's power moved.@12:30, 2nd set of porometry measurements.Plots 102,105,202,204,205,208,908,906,904,902,301,303,404,405,407,308.This set suggested by Scott Lesh so that we have all the treatments plus good spatial distribution.Good run.Light cirrus drifts in front of sun but no major decrease in solar intensity.</t>
  </si>
  <si>
    <t>Stacy look leaf samples for SPAD and chlorophyll.Exotech by Ric, IRTs at midday in conjuctions with TC's cart run.</t>
  </si>
  <si>
    <t>With Clint, pulled planks from rest of fields.100's berms already built (Don?)@ 6:20 disconnected Apogee IRTs in plot 905 and 907. @ 6:35, disconnected TDRs in plots 305,307,405,407.Also soil temp in 305 and 405.Moved sap flow and E balance cables out of the way.Disconnected 32 w solar panels.@6:45 Clint started building berms in the 900 and 200 plots.</t>
  </si>
  <si>
    <t>Cart run , west to east.Very windy, sun unobstructed.Turned on Quicktime @ 12:15 , took concurrent component temps (HB 172.025).Serviced MET instruments ,refilled psychrometers.Dumped Ed's net radiometer datalogger (plot 406).Dumped FISEMET data.Took visual observations concurrent to cart run.At 15:00 , pulled boards from alleys in 100 plots, so Clint could start building berms.</t>
  </si>
  <si>
    <t>Suzette-midday IRTS</t>
  </si>
  <si>
    <t>Rigged former "Pond#1"  2-IRT/datalogger with a 5 w solar panel taken from FISEMET and place in 908(last irr early June) with IRTs ~ 30 cm from canopy.Moved plot 307 IRT cable up next to irrigation pipe to ease Monday's labor.</t>
  </si>
  <si>
    <t>White blooms still relatively rare in field .Clint made trial runs with the 40" disk to see how it might play out on /Monday.Only tractor available now has 52" center wheels-we think they are too wide especially in double row plots.Will try to encourage farm to get 40" tractor up and running.Bill has emptied and folded layflat tubing in preparation for the monday tractor work.</t>
  </si>
  <si>
    <t>Exotech @ 45 degree z.Bruce downloaded data from stem flow with own CF-47 panasonic.Did not change old program in logger.6 sensors doing well,2 iffy , 2 bad.</t>
  </si>
  <si>
    <t xml:space="preserve">SM collected leaves for single leaf spectra.Midday IRTs </t>
  </si>
  <si>
    <t>light bar measurements on select plots at 11:30-12:45.First porometer data-2 leaves/plot select plots 13:15-15:00</t>
  </si>
  <si>
    <t xml:space="preserve">Stacy and Amy took plant heights and widths, TRC @ 11:05 pyschrometer #2 fan stopped - jammed bu bug.Freed.replaced wicks and refilled reservoirs.Ric took exotech.10:30 to 12:00 Bruce came down to check stem flow but unable to connect to datalogger with </t>
  </si>
  <si>
    <t>bill cleaned panels, Suzette took canopy measurements, Ric did Midday IRTs.</t>
  </si>
  <si>
    <t>Cart run , start at 13;30 . Run west to east.TRC took component temp and recorded plot visual observations. Dumped E balance station and FISEMET~15:15-15:30.Sky is clear , winds light , gusting moderate throughout run.</t>
  </si>
  <si>
    <t>Irrigate all FAO plots and all WOVI double density.Start at 9:45 on east. End ~13:00 on west (Ed,Doug,Don, Suzette).</t>
  </si>
  <si>
    <t>Exotech @const 45°z by Ric. TRC installed Quantum sensor for FISEMET ~ 12:00. Wet Soil plot= not irrigated in the am.Midday IRTs by suzette.</t>
  </si>
  <si>
    <t>Station name for energy balance in plot 406 is: POD2_02. Print ot of datalogger program (P002-02.CSI) is in the last folder (back) in gray file box.</t>
  </si>
  <si>
    <t>Neutron by Dough and Don, Stem flow check (8 out of 10 working), Stacy took leaf samples. Ed installed flux plates in plot 406 prior to irrigation .flux plates are 5cm deep. Soil Tc is 2.5cm.Row 5 has Net radiometer. Row 6 - to the east of Rnet has a bed soil heat flux and temperature .forrow ~50 cm south of level stand=furrow soil flux plate.***If servicing Rnet  DO NOT STAND IN FURROW between rows 5 and 6</t>
  </si>
  <si>
    <t>~8:50 to 9:30 Exotech at constant 45° solar zenith. 13:00 to 1415 midday IRTs . Clear, calm to light breeze. Finish with mod west wind. Wilting most evident in NDH followed by FDH and a few typical treatments.</t>
  </si>
  <si>
    <t>Irrigated wet soil plots.</t>
  </si>
  <si>
    <t xml:space="preserve">Weather= clear, mod to hazy sky , calm to slight breeze. Alfalfa in large field s to east just now being mowed (8:15).At 10:15 I walked into the field to search for Lygus and was surprised by not finding hardly any insects. Looks like the Lygus attack on suspectible squaring cotton will not take place this cycle. Good , because the linear spray system is not very far along. </t>
  </si>
  <si>
    <t>Installed ground on stem flow gauges system in plot 406 , updated Ksh for gauges 1-7. Getting error message for gauges 8-10. @ 9:30 we downloaded updated Fo00615 to dataloggers.</t>
  </si>
  <si>
    <t>BAK</t>
  </si>
  <si>
    <t>Starting yesterday morning Matt, Carrie, and Jon installed 10 stem flow gauges in row 7 of Rep 4, plot 406.We installed 1 gauge approx every 4th plant going north from boardwalk.On 6/13 we failed to get the system working that had come fro Susan Moran. We sucessfully install system that had previously been in the face sorghum.</t>
  </si>
  <si>
    <t>ric exotech, pics, and IRTs.Bruce's crew installing stem flow gauges today and yesterday.I believe this is the first set of pictures with the Nikon digital camera with the Adamsen pole stand.</t>
  </si>
  <si>
    <t>Midday IRTs by Suzette. Cart run east to west@ 17% started about 12:33 and ended approx 15:03. Collected 42 GPS points.</t>
  </si>
  <si>
    <t>installed solar panel and battery south of plot 406 for Bruce's stem flow gauges.7:55-8:10 refilled psychrometer reservoirs, cleaned anemometer #2 cups (dusty) , checked pyran level (ok) and IRT aim points (ok).Dumped data.</t>
  </si>
  <si>
    <t>.Exotech and IRTby suzette. Flight support IRT, pond IRT's pointed towards center of the large pond during overflight.</t>
  </si>
  <si>
    <t>OVERFLIGHT  13:15 to 14:00.field 105 imaged from 2500', field 22 was missed</t>
  </si>
  <si>
    <t>~8:15to 11:00 Paul took 6 sets of meas with exotech over panel , tarps , soil for calibration of aerial reflective data. Spanned ca 55to 20° solar zenith.~11:30to 12:15 light bar in selected plots.</t>
  </si>
  <si>
    <t>10:40 am- canopy IRTs #3 and 4 in plot 307 , south half.Canopy Irts looking NE , can IRT #4 looking NW from corners.#3= SN 3500-1, #4 = SN 3500-2 .12:05 pm- canopy IRTs ?# 1 and #2 in SE corner looking NW (SN 3073.3). Note that IRTs are aimed towards the center of the south half of the plots and are "seeing" roughly 50 % canopy , 50 % soil in plots 307 , 75% canopy in plot 406.</t>
  </si>
  <si>
    <t>USWCL crew weeded rep 3 , 4 and 900. Inmate crew weeded reps 1 and 2. Done by 10 am.</t>
  </si>
  <si>
    <t>Ric and Suzette took exotech and PSII . James Hagler and crew doing sweep counts ,midday IRTs (first run of new gun ser# 5481. Download MET data to Fisemet 1 @11:50.Load new MET program (Fisemet 2)@ 11:55, top off pyschrometers.Cart run east to westand component IRTs.Suzette did midday IRTs.Great weather.</t>
  </si>
  <si>
    <t>Bill gave the harvester ants poison along south road.</t>
  </si>
  <si>
    <t>started cart ~13:00 Tair ~38 degrees.Sky clear, winds calm. High N plots fertilized on Tuesday.Finished cart run at 15:00. Dumped cart data , MET data turned off quicktime (?)</t>
  </si>
  <si>
    <t>13:00 -Apogee IRTs installed in soil plots; wet #1 SN1225,wet# 2 SN 1229, dry#1 SN 1231, dry #2 1234. Installed 32 W solar panel and replaced deep cycle batt.refiller psychrometers , cleaned pyranometer dome.</t>
  </si>
  <si>
    <t>Paul- light weeding</t>
  </si>
  <si>
    <t>E</t>
  </si>
  <si>
    <t>Cart run , component IRTS in 400 plots and soils in 900's. Run east to west at 17 %on linear. At 13:17 refilled pyschrometers and dumped FISE net data</t>
  </si>
  <si>
    <t>Paul- light interception, exotech. Suzette -standard IRT @13:00</t>
  </si>
  <si>
    <t>Replaced bad anomometer at wind #1 . Ser  No 12 out, Ser No 14 in.Recharged psychrometers (half empty).Dumped MET data. Placed poles for bare soil IRTs, in plots 905 (wet) and 907 (dry).</t>
  </si>
  <si>
    <t>cart run started about 13:00 . Apogee pyranometer installed on cart. Run was west to east. No wet plots as irrigation valve not in place . Dumped MET data (including quicktime) and loaded new program to correct rain gauge problem. Took 100 meter tape back to lab to measure IRT cable.</t>
  </si>
  <si>
    <t>Sparse plots thinned to 5 planst/meter. Some typical plots thinned also. Refilled pychrometers with DI water. #2 was dry.</t>
  </si>
  <si>
    <t>cart run started at 12:58 after adjusting end of row triggers and siliconing contact wheels. Irriagetd wet soil plots @ 12:25-12:35.Installed uswcl type pychrometers in plot 306 , N center . Pysch #1 has white cover and old style aspirating fan. Psych #2 has old relective skin and new small aspirating fan.Installed pyranometer 1362 for global Rs. Tightened loose connector for TDR 305.3 which had no signal. Removed slurry cap from around TDR 405.1 to see if that fixes too high of readings.</t>
  </si>
  <si>
    <t xml:space="preserve">OVER FLIGHT </t>
  </si>
  <si>
    <t>stacy-emergence counts, bill and stacy neutrons, clint - TDRs, Ric -Exotech,Bill cleaned panels.</t>
  </si>
  <si>
    <t>Don took soil samples</t>
  </si>
  <si>
    <t>SR,BL,DP</t>
  </si>
  <si>
    <t>bill cleaned and leveled panels</t>
  </si>
  <si>
    <t>Stacy-emergence counts</t>
  </si>
  <si>
    <t>Clint and Doug irrigated 100's, 200's and 900 plots. Suzette and Bill watered 300's and 400 plots.</t>
  </si>
  <si>
    <t>Stacy and Don neutrons,TDRs, Ric Exotech</t>
  </si>
  <si>
    <t>windy</t>
  </si>
  <si>
    <t>E , PP</t>
  </si>
  <si>
    <t>cart run 17 % west to east. Component IRT measuremts during run. Water to wet soil plots @ 10 am.still standing water at start of run. Pretty well infiltrated by ~14:30 . Dumped MET/TDR data . Put in "quick" mode~14:00. To exit "quick" mode-set 7 low</t>
  </si>
  <si>
    <t>stacy did emergence counts</t>
  </si>
  <si>
    <t>stacy did emergence counts, Suzette PSII</t>
  </si>
  <si>
    <t>SR,SM</t>
  </si>
  <si>
    <t>Exotech,Bill installed linear cable, Don and Stacy took neutron readings, Don TDR readings.</t>
  </si>
  <si>
    <t>Stacy did emergence counts</t>
  </si>
  <si>
    <t>Don took TDR and Neutron data for plots X08, X07, X06, X05</t>
  </si>
  <si>
    <t>Bill seed and replant 900 plots.Bill and Don irrigated 900 plots. Amy, Doug and Don irrigated 100, 200 plots. Suzette , Don and Bill irrigated 300 and 400's. Radicals 1/2" long in east plots. Radicals just emerging in west plots.</t>
  </si>
  <si>
    <t>Replant and irrigate continued. Last irrigation complete by 15:00. Added Doug to crew.</t>
  </si>
  <si>
    <t>"Replant and irrigate. The X08 and X05 plots ( the east half of the field). Move east to west. Started at ~6:30 finished last plot (405) at 15:45.Persons present: Paul, Ed, Tom, Ric, Stacy,Stephanie,Carrie, Bill, Don, Suzette.</t>
  </si>
  <si>
    <t>Irrigate wet soil plots. Inspection of seedsplanted by poking into the ground with flat end of spike showed seeds had imbibed. Several were sending out a hypocotyl.</t>
  </si>
  <si>
    <t>Paul did emergence counts.</t>
  </si>
  <si>
    <t>clear seasonal weather</t>
  </si>
  <si>
    <t>Ed and Paul scope out stand problems. Work out replant strategy.</t>
  </si>
  <si>
    <t>PP,E</t>
  </si>
  <si>
    <t>Bill, don, farm crew completed East  linear post repair. Don took TDR readings. Don and Bill took neutron readings. Note: Linear cable height and line up look great . Post appears about 1 foot futher east. Bill made some reapirs to 1/4 plot boardwalk.</t>
  </si>
  <si>
    <t>Bill and Don worked with farm crew to remove damage East LIMIE guide post. Hole augered then filled with water to set the soil. Will return during AM to continue repair.Don augered Neutron pipes to proper depth.</t>
  </si>
  <si>
    <t>Yesterday's irrigation a success! Of 11 inspected seeds , 7 had hypoctoyls starting. 2 had imbibed , I had shriveled hypocotly.</t>
  </si>
  <si>
    <t>plant response</t>
  </si>
  <si>
    <t xml:space="preserve">3rd Exotech Data set. 1st PSII canopy data ( abbreviated to 100,200,905,907). </t>
  </si>
  <si>
    <t>06:30 am begin irrigation of all plots again to enhance emergence as per Stefan's suggestion.Full day , finished up at ~15:00. About 5000 gal/plot. Also irrigated all midfield plots except DS.</t>
  </si>
  <si>
    <t xml:space="preserve">Paul took emergence counts 8:50-9:30 am. </t>
  </si>
  <si>
    <t>Two plots (305,307) had no automated TDR data because of loose power wires. Reconnected. Reseated TDR in plot 405 #1 (vert, row) using mud slurry. Placed power terminal strips in ammo boxes to weather proof. Punched hole in data logger box for future (IRT,Psychrometer) cables. Bill did neutron probes in 300,400 plots . Don did them in 100's, 200 plots. Dumped MET data.</t>
  </si>
  <si>
    <t>TC</t>
  </si>
  <si>
    <t>Polypipe laid out and gates installed.All 900 plots irrigated. 900 series stakes labeled and put in field. Linear moved back into field. Berm disked on south end of 900 quarter plots. Gaps shoveled in. Bill and Don</t>
  </si>
  <si>
    <t>Reconnected cart pyranometer as a differential (Diff chan 5)instead of SE 10. Didn't know if this is possible with the burst mode but will try. Reconnected solar panels to charger -running cable through PVC pipe under linear center wheel track. Dumped MET data @ 10:07.</t>
  </si>
  <si>
    <t>Put boardwalks into N side of quarter plots. RR, SM,Bill assist Don in putting down layflat into N furrow of 1/4 plots.</t>
  </si>
  <si>
    <t>Irrigate all plots~ 6000 gallons/plot, East to West progression. Start at 7am done by 15:00. Irrigate 4 border rowson east to west as well.East 4 borders the last thing of the day.All done at 15:45.</t>
  </si>
  <si>
    <t>clear skys and light breeze</t>
  </si>
  <si>
    <t>TDR readings 9 am to 2 pm</t>
  </si>
  <si>
    <t>DH</t>
  </si>
  <si>
    <t>Linear running at 100% heading east 13:33 midfield turn on cart, 13:38 took cardboard off panel.13:45 run 34 % run to west , end 15:00. Note pipe being installed during cart run.</t>
  </si>
  <si>
    <t>Install E and W berms , all except berm immediately north of Linear tire.Black plastic placed over two center berms, cable for Linear installed , boardwalks installed.</t>
  </si>
  <si>
    <t>Sky clear and 80 degrees</t>
  </si>
  <si>
    <t>Neutron access tubes finished,TDR cables, installed solar panel.OPS check ok. Disconnected again for now. Reinstalled TDR #1 in plot 406, it was 2 cm too high.Installed remaining plot markers</t>
  </si>
  <si>
    <t>Finished planting.</t>
  </si>
  <si>
    <t>Begin planting cotton variety ?</t>
  </si>
  <si>
    <t>Dry on surface, damp at seed depth. Many seeds in apparent skips are dry.</t>
  </si>
  <si>
    <t>soil</t>
  </si>
  <si>
    <t>Scattered cirrus , bright warmer</t>
  </si>
  <si>
    <t>Pink flags replaced by white flags.</t>
  </si>
  <si>
    <t>Plot layout by Suzette, Stacy and Bill.Ran out of white flags finished with pink.. Cable installed for use as baseline.</t>
  </si>
  <si>
    <t>Bed shaped approved by Dr. Pinter, Bill cleaned irrigation barn for 3 hrs.</t>
  </si>
  <si>
    <t>Bill cleaned Limie shed, Scotts's salinity lab boys taking soil samples 4ft at 6 random sites with UTM cooridinates.</t>
  </si>
  <si>
    <t>EM38 readings were taken in the afternoon?</t>
  </si>
  <si>
    <t>Install new clibration panel over the center wheel of the linear, Ric used forklift to raise it to proper height, Bill and Don connected to wheel tower</t>
  </si>
  <si>
    <t>yyy</t>
  </si>
  <si>
    <t>List of Categories</t>
  </si>
  <si>
    <t>Observation or activity</t>
  </si>
  <si>
    <t>Category</t>
  </si>
  <si>
    <t>Initials</t>
  </si>
  <si>
    <t>LogbookPage</t>
  </si>
  <si>
    <t xml:space="preserve">Date </t>
  </si>
  <si>
    <t>Entry #</t>
  </si>
  <si>
    <t>FISE 2002 Cotton Log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</si>
</sst>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8" x14ac:knownFonts="1">
    <font>
      <sz val="10"/>
      <name val="Arial"/>
    </font>
    <font>
      <b/>
      <sz val="12"/>
      <name val="Times New Roman"/>
      <family val="1"/>
    </font>
    <font>
      <sz val="14"/>
      <name val="Times New Roman"/>
      <family val="1"/>
    </font>
    <font>
      <sz val="12"/>
      <name val="Times New Roman"/>
      <family val="1"/>
    </font>
    <font>
      <sz val="12"/>
      <name val="Arial"/>
      <family val="2"/>
    </font>
    <font>
      <sz val="10"/>
      <name val="Arial"/>
      <family val="2"/>
    </font>
    <font>
      <sz val="10"/>
      <color indexed="10"/>
      <name val="Arial"/>
      <family val="2"/>
    </font>
    <font>
      <b/>
      <sz val="10"/>
      <name val="Arial"/>
      <family val="2"/>
    </font>
  </fonts>
  <fills count="6">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52"/>
        <bgColor indexed="64"/>
      </patternFill>
    </fill>
    <fill>
      <patternFill patternType="solid">
        <fgColor indexed="13"/>
        <bgColor indexed="64"/>
      </patternFill>
    </fill>
  </fills>
  <borders count="14">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70">
    <xf numFmtId="0" fontId="0" fillId="0" borderId="0" xfId="0"/>
    <xf numFmtId="0" fontId="3" fillId="0" borderId="0" xfId="0" applyFont="1"/>
    <xf numFmtId="0" fontId="3" fillId="2" borderId="0" xfId="0" applyFont="1" applyFill="1"/>
    <xf numFmtId="0" fontId="0" fillId="0" borderId="0" xfId="0" applyFill="1"/>
    <xf numFmtId="0" fontId="1" fillId="2" borderId="0" xfId="0" applyFont="1" applyFill="1" applyAlignment="1">
      <alignment horizontal="center"/>
    </xf>
    <xf numFmtId="0" fontId="1" fillId="0" borderId="0" xfId="0" applyFont="1" applyFill="1" applyAlignment="1">
      <alignment horizontal="center"/>
    </xf>
    <xf numFmtId="0" fontId="0" fillId="0" borderId="0" xfId="0" applyAlignment="1">
      <alignment horizontal="center"/>
    </xf>
    <xf numFmtId="0" fontId="1" fillId="2" borderId="1" xfId="0" applyFont="1" applyFill="1" applyBorder="1" applyAlignment="1">
      <alignment horizontal="center"/>
    </xf>
    <xf numFmtId="0" fontId="3" fillId="0" borderId="0" xfId="0" applyFont="1" applyFill="1"/>
    <xf numFmtId="0" fontId="1" fillId="0" borderId="0" xfId="0" applyFont="1" applyAlignment="1">
      <alignment horizontal="center"/>
    </xf>
    <xf numFmtId="0" fontId="1" fillId="0" borderId="2" xfId="0" applyFont="1" applyBorder="1" applyAlignment="1">
      <alignment horizontal="center"/>
    </xf>
    <xf numFmtId="15" fontId="3" fillId="0" borderId="0" xfId="0" applyNumberFormat="1" applyFont="1" applyAlignment="1">
      <alignment horizontal="center"/>
    </xf>
    <xf numFmtId="0" fontId="2" fillId="2" borderId="2" xfId="0" applyFont="1" applyFill="1" applyBorder="1"/>
    <xf numFmtId="0" fontId="1" fillId="2" borderId="3" xfId="0" applyFont="1" applyFill="1" applyBorder="1"/>
    <xf numFmtId="0" fontId="2" fillId="2" borderId="4" xfId="0" applyFont="1" applyFill="1" applyBorder="1"/>
    <xf numFmtId="0" fontId="1" fillId="2" borderId="0" xfId="0" applyFont="1" applyFill="1" applyBorder="1"/>
    <xf numFmtId="0" fontId="2" fillId="2" borderId="5" xfId="0" applyFont="1" applyFill="1" applyBorder="1"/>
    <xf numFmtId="0" fontId="1" fillId="2" borderId="1" xfId="0" applyFont="1" applyFill="1" applyBorder="1"/>
    <xf numFmtId="0" fontId="3" fillId="2" borderId="3" xfId="0" applyFont="1" applyFill="1" applyBorder="1"/>
    <xf numFmtId="0" fontId="1" fillId="2" borderId="3" xfId="0" applyFont="1" applyFill="1" applyBorder="1" applyAlignment="1">
      <alignment horizontal="center"/>
    </xf>
    <xf numFmtId="0" fontId="1" fillId="2" borderId="2" xfId="0" applyFont="1" applyFill="1" applyBorder="1" applyAlignment="1">
      <alignment horizontal="center"/>
    </xf>
    <xf numFmtId="1" fontId="3" fillId="0" borderId="0" xfId="0" applyNumberFormat="1" applyFont="1" applyAlignment="1">
      <alignment horizontal="center"/>
    </xf>
    <xf numFmtId="0" fontId="1" fillId="0" borderId="0" xfId="0" applyFont="1" applyFill="1" applyBorder="1"/>
    <xf numFmtId="0" fontId="1" fillId="3" borderId="6" xfId="0" applyFont="1" applyFill="1" applyBorder="1" applyAlignment="1">
      <alignment horizontal="center"/>
    </xf>
    <xf numFmtId="0" fontId="1" fillId="3" borderId="7" xfId="0" applyFont="1" applyFill="1" applyBorder="1" applyAlignment="1">
      <alignment horizontal="center"/>
    </xf>
    <xf numFmtId="1" fontId="3" fillId="0" borderId="3" xfId="0" applyNumberFormat="1" applyFont="1" applyBorder="1" applyAlignment="1">
      <alignment horizontal="center"/>
    </xf>
    <xf numFmtId="15" fontId="3" fillId="0" borderId="3" xfId="0" applyNumberFormat="1" applyFont="1" applyBorder="1" applyAlignment="1">
      <alignment horizontal="center"/>
    </xf>
    <xf numFmtId="0" fontId="1" fillId="0" borderId="3" xfId="0" applyFont="1" applyBorder="1" applyAlignment="1">
      <alignment horizontal="center"/>
    </xf>
    <xf numFmtId="0" fontId="1" fillId="3" borderId="8" xfId="0" applyFont="1" applyFill="1" applyBorder="1" applyAlignment="1">
      <alignment horizontal="center"/>
    </xf>
    <xf numFmtId="0" fontId="1" fillId="4" borderId="6" xfId="0" applyFont="1" applyFill="1" applyBorder="1" applyAlignment="1">
      <alignment horizontal="center"/>
    </xf>
    <xf numFmtId="0" fontId="0" fillId="4" borderId="8" xfId="0" applyFill="1" applyBorder="1" applyAlignment="1">
      <alignment horizontal="center"/>
    </xf>
    <xf numFmtId="165" fontId="1" fillId="4" borderId="8" xfId="0" applyNumberFormat="1" applyFont="1" applyFill="1" applyBorder="1" applyAlignment="1">
      <alignment horizontal="center"/>
    </xf>
    <xf numFmtId="1" fontId="3" fillId="0" borderId="0" xfId="0" applyNumberFormat="1" applyFont="1" applyBorder="1" applyAlignment="1">
      <alignment horizontal="center"/>
    </xf>
    <xf numFmtId="165" fontId="3" fillId="0" borderId="0" xfId="0" applyNumberFormat="1" applyFont="1" applyFill="1" applyBorder="1" applyAlignment="1">
      <alignment horizontal="center"/>
    </xf>
    <xf numFmtId="0" fontId="2" fillId="2" borderId="3" xfId="0" applyFont="1" applyFill="1" applyBorder="1"/>
    <xf numFmtId="0" fontId="2" fillId="2" borderId="0" xfId="0" applyFont="1" applyFill="1" applyBorder="1"/>
    <xf numFmtId="0" fontId="2" fillId="2" borderId="1" xfId="0" applyFont="1" applyFill="1" applyBorder="1"/>
    <xf numFmtId="0" fontId="1" fillId="2" borderId="9" xfId="0" applyFont="1" applyFill="1" applyBorder="1"/>
    <xf numFmtId="0" fontId="1" fillId="2" borderId="10" xfId="0" applyFont="1" applyFill="1" applyBorder="1"/>
    <xf numFmtId="0" fontId="3" fillId="2" borderId="0" xfId="0" applyFont="1" applyFill="1" applyAlignment="1">
      <alignment horizontal="center"/>
    </xf>
    <xf numFmtId="0" fontId="0" fillId="0" borderId="3" xfId="0" applyFill="1" applyBorder="1"/>
    <xf numFmtId="0" fontId="0" fillId="0" borderId="0" xfId="0" applyFill="1" applyBorder="1"/>
    <xf numFmtId="0" fontId="1" fillId="2" borderId="11" xfId="0" applyFont="1" applyFill="1" applyBorder="1"/>
    <xf numFmtId="0" fontId="1" fillId="2" borderId="0" xfId="0" applyFont="1" applyFill="1" applyBorder="1" applyAlignment="1">
      <alignment horizontal="center"/>
    </xf>
    <xf numFmtId="165" fontId="4" fillId="0" borderId="0" xfId="0" applyNumberFormat="1" applyFont="1"/>
    <xf numFmtId="0" fontId="3" fillId="0" borderId="0" xfId="0" applyFont="1" applyFill="1" applyAlignment="1">
      <alignment horizontal="center"/>
    </xf>
    <xf numFmtId="1" fontId="1" fillId="0" borderId="0" xfId="0" applyNumberFormat="1" applyFont="1"/>
    <xf numFmtId="1" fontId="0" fillId="0" borderId="0" xfId="0" applyNumberFormat="1"/>
    <xf numFmtId="0" fontId="0" fillId="0" borderId="8" xfId="0" applyBorder="1"/>
    <xf numFmtId="165" fontId="3" fillId="0" borderId="0" xfId="0" applyNumberFormat="1" applyFont="1" applyBorder="1" applyAlignment="1">
      <alignment horizontal="center"/>
    </xf>
    <xf numFmtId="0" fontId="0" fillId="0" borderId="0" xfId="0" applyBorder="1"/>
    <xf numFmtId="0" fontId="1" fillId="0" borderId="0" xfId="0" applyFont="1" applyFill="1" applyBorder="1" applyAlignment="1">
      <alignment horizontal="center"/>
    </xf>
    <xf numFmtId="165" fontId="1" fillId="0" borderId="0" xfId="0" applyNumberFormat="1" applyFont="1" applyFill="1" applyBorder="1" applyAlignment="1">
      <alignment horizontal="center"/>
    </xf>
    <xf numFmtId="1" fontId="3" fillId="0" borderId="0" xfId="0" applyNumberFormat="1" applyFont="1" applyFill="1" applyBorder="1" applyAlignment="1">
      <alignment horizontal="center"/>
    </xf>
    <xf numFmtId="15" fontId="1" fillId="0" borderId="12" xfId="0" applyNumberFormat="1" applyFont="1" applyFill="1" applyBorder="1"/>
    <xf numFmtId="0" fontId="5" fillId="0" borderId="0" xfId="0" applyFont="1"/>
    <xf numFmtId="0" fontId="0" fillId="0" borderId="0" xfId="0" applyAlignment="1">
      <alignment wrapText="1"/>
    </xf>
    <xf numFmtId="0" fontId="0" fillId="0" borderId="10" xfId="0" applyBorder="1"/>
    <xf numFmtId="0" fontId="0" fillId="0" borderId="1" xfId="0" applyBorder="1"/>
    <xf numFmtId="0" fontId="0" fillId="0" borderId="9" xfId="0" applyBorder="1"/>
    <xf numFmtId="14" fontId="0" fillId="0" borderId="0" xfId="0" applyNumberFormat="1"/>
    <xf numFmtId="0" fontId="0" fillId="5" borderId="0" xfId="0" applyFill="1" applyAlignment="1">
      <alignment wrapText="1"/>
    </xf>
    <xf numFmtId="20" fontId="0" fillId="0" borderId="0" xfId="0" applyNumberFormat="1" applyAlignment="1">
      <alignment wrapText="1"/>
    </xf>
    <xf numFmtId="0" fontId="0" fillId="0" borderId="0" xfId="0" applyProtection="1">
      <protection locked="0"/>
    </xf>
    <xf numFmtId="16" fontId="0" fillId="0" borderId="0" xfId="0" applyNumberFormat="1"/>
    <xf numFmtId="0" fontId="7" fillId="0" borderId="0" xfId="0" applyFont="1"/>
    <xf numFmtId="0" fontId="7" fillId="0" borderId="7" xfId="0" applyFont="1" applyBorder="1"/>
    <xf numFmtId="0" fontId="7" fillId="0" borderId="8" xfId="0" applyFont="1" applyBorder="1"/>
    <xf numFmtId="0" fontId="7" fillId="0" borderId="0" xfId="0" applyFont="1" applyAlignment="1">
      <alignment horizontal="center" vertical="center" wrapText="1"/>
    </xf>
    <xf numFmtId="0" fontId="7" fillId="0" borderId="13" xfId="0" applyFont="1" applyBorder="1" applyAlignment="1">
      <alignment horizontal="center" vertical="center" wrapText="1"/>
    </xf>
  </cellXfs>
  <cellStyles count="1">
    <cellStyle name="Normal" xfId="0" builtinId="0"/>
  </cellStyles>
  <dxfs count="34">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ont>
        <b/>
        <i val="0"/>
        <condense val="0"/>
        <extend val="0"/>
      </font>
      <fill>
        <patternFill>
          <bgColor indexed="43"/>
        </patternFill>
      </fill>
    </dxf>
    <dxf>
      <fill>
        <patternFill>
          <bgColor indexed="43"/>
        </patternFill>
      </fill>
    </dxf>
    <dxf>
      <font>
        <b/>
        <i val="0"/>
        <condense val="0"/>
        <extend val="0"/>
      </font>
      <fill>
        <patternFill>
          <bgColor indexed="4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BED68-8F70-4D9D-A8E5-F7486896B386}">
  <dimension ref="A1:AD641"/>
  <sheetViews>
    <sheetView zoomScale="75" workbookViewId="0"/>
  </sheetViews>
  <sheetFormatPr defaultRowHeight="12.75" x14ac:dyDescent="0.2"/>
  <cols>
    <col min="1" max="5" width="8.7109375" customWidth="1"/>
    <col min="6" max="7" width="12.7109375" customWidth="1"/>
    <col min="8" max="11" width="16.7109375" customWidth="1"/>
    <col min="12" max="16" width="14.7109375" customWidth="1"/>
  </cols>
  <sheetData>
    <row r="1" spans="1:30" ht="19.5" thickBot="1" x14ac:dyDescent="0.35">
      <c r="A1" s="12" t="s">
        <v>34</v>
      </c>
      <c r="B1" s="34"/>
      <c r="C1" s="13"/>
      <c r="D1" s="13"/>
      <c r="E1" s="13"/>
      <c r="F1" s="42"/>
      <c r="G1" s="40"/>
      <c r="I1" s="5"/>
    </row>
    <row r="2" spans="1:30" ht="19.5" thickBot="1" x14ac:dyDescent="0.35">
      <c r="A2" s="14" t="s">
        <v>0</v>
      </c>
      <c r="B2" s="35"/>
      <c r="C2" s="15"/>
      <c r="D2" s="15"/>
      <c r="E2" s="15"/>
      <c r="F2" s="37"/>
      <c r="G2" s="41"/>
      <c r="I2" s="54"/>
    </row>
    <row r="3" spans="1:30" ht="19.5" thickBot="1" x14ac:dyDescent="0.35">
      <c r="A3" s="16" t="s">
        <v>21</v>
      </c>
      <c r="B3" s="36"/>
      <c r="C3" s="17"/>
      <c r="D3" s="17"/>
      <c r="E3" s="17"/>
      <c r="F3" s="38"/>
      <c r="G3" s="41"/>
      <c r="H3" s="3"/>
    </row>
    <row r="4" spans="1:30" ht="16.5" thickBot="1" x14ac:dyDescent="0.3">
      <c r="C4" s="22"/>
      <c r="D4" s="22"/>
    </row>
    <row r="5" spans="1:30" ht="16.5" thickBot="1" x14ac:dyDescent="0.3">
      <c r="J5" s="20" t="s">
        <v>30</v>
      </c>
      <c r="K5" s="51"/>
    </row>
    <row r="6" spans="1:30" ht="15.75" x14ac:dyDescent="0.25">
      <c r="A6" s="18"/>
      <c r="B6" s="18"/>
      <c r="C6" s="18"/>
      <c r="D6" s="18"/>
      <c r="E6" s="18"/>
      <c r="F6" s="18"/>
      <c r="G6" s="19" t="s">
        <v>9</v>
      </c>
      <c r="H6" s="19" t="s">
        <v>10</v>
      </c>
      <c r="I6" s="19" t="s">
        <v>8</v>
      </c>
      <c r="J6" s="43" t="s">
        <v>31</v>
      </c>
      <c r="K6" s="51"/>
      <c r="L6" s="3"/>
      <c r="M6" s="3"/>
      <c r="N6" s="3"/>
      <c r="O6" s="3"/>
    </row>
    <row r="7" spans="1:30" ht="15.75" x14ac:dyDescent="0.25">
      <c r="A7" s="4" t="s">
        <v>22</v>
      </c>
      <c r="B7" s="4" t="s">
        <v>26</v>
      </c>
      <c r="C7" s="39"/>
      <c r="D7" s="2"/>
      <c r="E7" s="2"/>
      <c r="F7" s="4" t="s">
        <v>8</v>
      </c>
      <c r="G7" s="4" t="s">
        <v>16</v>
      </c>
      <c r="H7" s="4" t="s">
        <v>16</v>
      </c>
      <c r="I7" s="4" t="s">
        <v>18</v>
      </c>
      <c r="J7" s="43" t="s">
        <v>32</v>
      </c>
      <c r="K7" s="51"/>
      <c r="L7" s="3"/>
      <c r="M7" s="3"/>
      <c r="N7" s="3"/>
      <c r="O7" s="3"/>
    </row>
    <row r="8" spans="1:30" ht="16.5" thickBot="1" x14ac:dyDescent="0.3">
      <c r="A8" s="7" t="s">
        <v>1</v>
      </c>
      <c r="B8" s="7" t="s">
        <v>1</v>
      </c>
      <c r="C8" s="7" t="s">
        <v>26</v>
      </c>
      <c r="D8" s="7" t="s">
        <v>23</v>
      </c>
      <c r="E8" s="7" t="s">
        <v>24</v>
      </c>
      <c r="F8" s="7" t="s">
        <v>1</v>
      </c>
      <c r="G8" s="7" t="s">
        <v>8</v>
      </c>
      <c r="H8" s="7" t="s">
        <v>8</v>
      </c>
      <c r="I8" s="7" t="s">
        <v>11</v>
      </c>
      <c r="J8" s="7" t="s">
        <v>33</v>
      </c>
      <c r="K8" s="51"/>
      <c r="L8" s="8"/>
      <c r="M8" s="51"/>
      <c r="N8" s="45"/>
      <c r="O8" s="45"/>
      <c r="P8" s="45"/>
    </row>
    <row r="9" spans="1:30" ht="16.5" thickBot="1" x14ac:dyDescent="0.3">
      <c r="A9" s="1"/>
      <c r="B9" s="1"/>
      <c r="J9" s="48"/>
      <c r="K9" s="50"/>
      <c r="L9" s="25">
        <v>112</v>
      </c>
      <c r="M9" s="25">
        <v>112</v>
      </c>
      <c r="N9" s="25">
        <v>112</v>
      </c>
      <c r="O9" s="25">
        <v>112</v>
      </c>
      <c r="P9" s="25">
        <v>112</v>
      </c>
      <c r="Q9" s="25">
        <v>112</v>
      </c>
      <c r="R9" s="25">
        <v>112</v>
      </c>
      <c r="S9" s="25">
        <v>112</v>
      </c>
      <c r="T9" s="25">
        <v>112</v>
      </c>
      <c r="U9" s="25">
        <v>112</v>
      </c>
      <c r="V9" s="25">
        <v>112</v>
      </c>
      <c r="W9" s="25">
        <v>112</v>
      </c>
      <c r="X9" s="25">
        <v>112</v>
      </c>
      <c r="Y9" s="25">
        <v>112</v>
      </c>
      <c r="Z9" s="25">
        <v>112</v>
      </c>
      <c r="AA9" s="25">
        <v>112</v>
      </c>
      <c r="AC9" s="47">
        <f>MIN(L9:AA9)</f>
        <v>112</v>
      </c>
      <c r="AD9" s="47">
        <f>MAX(L9:AA9)</f>
        <v>112</v>
      </c>
    </row>
    <row r="10" spans="1:30" ht="16.5" thickBot="1" x14ac:dyDescent="0.3">
      <c r="A10" s="23">
        <v>1</v>
      </c>
      <c r="B10" s="28">
        <v>1</v>
      </c>
      <c r="C10" s="28" t="s">
        <v>2</v>
      </c>
      <c r="D10" s="28">
        <v>101</v>
      </c>
      <c r="E10" s="24" t="s">
        <v>25</v>
      </c>
      <c r="F10" s="27">
        <v>1</v>
      </c>
      <c r="G10" s="25">
        <v>112</v>
      </c>
      <c r="H10" s="26">
        <v>37368</v>
      </c>
      <c r="I10" s="25">
        <v>90</v>
      </c>
      <c r="J10" s="32"/>
      <c r="K10" s="32"/>
      <c r="L10" s="32">
        <v>119</v>
      </c>
      <c r="M10" s="32">
        <v>119</v>
      </c>
      <c r="N10" s="32">
        <v>119</v>
      </c>
      <c r="O10" s="32">
        <v>119</v>
      </c>
      <c r="P10" s="32">
        <v>119</v>
      </c>
      <c r="Q10" s="32">
        <v>119</v>
      </c>
      <c r="R10" s="32">
        <v>119</v>
      </c>
      <c r="S10" s="32">
        <v>119</v>
      </c>
      <c r="T10" s="32">
        <v>119</v>
      </c>
      <c r="U10" s="32">
        <v>119</v>
      </c>
      <c r="V10" s="32">
        <v>119</v>
      </c>
      <c r="W10" s="32">
        <v>119</v>
      </c>
      <c r="X10" s="32">
        <v>119</v>
      </c>
      <c r="Y10" s="32">
        <v>119</v>
      </c>
      <c r="Z10" s="32">
        <v>119</v>
      </c>
      <c r="AA10" s="32">
        <v>119</v>
      </c>
      <c r="AC10" s="47">
        <f t="shared" ref="AC10:AC21" si="0">MIN(L10:AA10)</f>
        <v>119</v>
      </c>
      <c r="AD10" s="47">
        <f t="shared" ref="AD10:AD21" si="1">MAX(L10:AA10)</f>
        <v>119</v>
      </c>
    </row>
    <row r="11" spans="1:30" ht="15.75" x14ac:dyDescent="0.25">
      <c r="A11" s="1"/>
      <c r="B11" s="1"/>
      <c r="F11" s="9">
        <v>2</v>
      </c>
      <c r="G11" s="32">
        <v>119</v>
      </c>
      <c r="H11" s="11">
        <v>37375</v>
      </c>
      <c r="I11" s="32">
        <v>78</v>
      </c>
      <c r="J11" s="49"/>
      <c r="K11" s="49"/>
      <c r="L11" s="32">
        <v>128</v>
      </c>
      <c r="M11" s="32">
        <v>128</v>
      </c>
      <c r="N11" s="32">
        <v>128</v>
      </c>
      <c r="O11" s="32">
        <v>128</v>
      </c>
      <c r="P11" s="32">
        <v>128</v>
      </c>
      <c r="Q11" s="32">
        <v>127</v>
      </c>
      <c r="R11" s="32">
        <v>128</v>
      </c>
      <c r="S11" s="32">
        <v>128</v>
      </c>
      <c r="T11" s="32">
        <v>128</v>
      </c>
      <c r="U11" s="32">
        <v>128</v>
      </c>
      <c r="V11" s="32">
        <v>128</v>
      </c>
      <c r="W11" s="32">
        <v>128</v>
      </c>
      <c r="X11" s="32">
        <v>128</v>
      </c>
      <c r="Y11" s="32">
        <v>128</v>
      </c>
      <c r="Z11" s="32">
        <v>128</v>
      </c>
      <c r="AA11" s="32">
        <v>128</v>
      </c>
      <c r="AC11" s="47">
        <f t="shared" si="0"/>
        <v>127</v>
      </c>
      <c r="AD11" s="47">
        <f t="shared" si="1"/>
        <v>128</v>
      </c>
    </row>
    <row r="12" spans="1:30" ht="15.75" x14ac:dyDescent="0.25">
      <c r="A12" s="1"/>
      <c r="B12" s="1"/>
      <c r="F12" s="9">
        <v>3</v>
      </c>
      <c r="G12" s="32">
        <v>128</v>
      </c>
      <c r="H12" s="11">
        <v>37384</v>
      </c>
      <c r="I12" s="32">
        <v>83</v>
      </c>
      <c r="J12" s="33"/>
      <c r="K12" s="33"/>
      <c r="L12" s="32">
        <v>130</v>
      </c>
      <c r="M12" s="32">
        <v>130</v>
      </c>
      <c r="N12" s="32">
        <v>130</v>
      </c>
      <c r="O12" s="32">
        <v>130</v>
      </c>
      <c r="P12" s="32">
        <v>130</v>
      </c>
      <c r="Q12" s="32">
        <v>130</v>
      </c>
      <c r="R12" s="32">
        <v>130</v>
      </c>
      <c r="S12" s="32">
        <v>130</v>
      </c>
      <c r="T12" s="32">
        <v>130</v>
      </c>
      <c r="U12" s="32">
        <v>130</v>
      </c>
      <c r="V12" s="32">
        <v>130</v>
      </c>
      <c r="W12" s="32">
        <v>130</v>
      </c>
      <c r="X12" s="32">
        <v>130</v>
      </c>
      <c r="Y12" s="32">
        <v>130</v>
      </c>
      <c r="Z12" s="32">
        <v>130</v>
      </c>
      <c r="AA12" s="32">
        <v>130</v>
      </c>
      <c r="AC12" s="47">
        <f t="shared" si="0"/>
        <v>130</v>
      </c>
      <c r="AD12" s="47">
        <f t="shared" si="1"/>
        <v>130</v>
      </c>
    </row>
    <row r="13" spans="1:30" ht="15.75" x14ac:dyDescent="0.25">
      <c r="A13" s="1"/>
      <c r="B13" s="1"/>
      <c r="F13" s="9">
        <v>4</v>
      </c>
      <c r="G13" s="32">
        <v>130</v>
      </c>
      <c r="H13" s="11">
        <v>37386</v>
      </c>
      <c r="I13" s="32">
        <v>58</v>
      </c>
      <c r="J13" s="33"/>
      <c r="K13" s="33"/>
      <c r="L13" s="32">
        <v>136</v>
      </c>
      <c r="M13" s="32">
        <v>136</v>
      </c>
      <c r="N13" s="32">
        <v>136</v>
      </c>
      <c r="O13" s="32">
        <v>136</v>
      </c>
      <c r="P13" s="32">
        <v>136</v>
      </c>
      <c r="Q13" s="32">
        <v>136</v>
      </c>
      <c r="R13" s="32">
        <v>136</v>
      </c>
      <c r="S13" s="32">
        <v>136</v>
      </c>
      <c r="T13" s="32">
        <v>136</v>
      </c>
      <c r="U13" s="32">
        <v>136</v>
      </c>
      <c r="V13" s="32">
        <v>136</v>
      </c>
      <c r="W13" s="32">
        <v>136</v>
      </c>
      <c r="X13" s="32">
        <v>136</v>
      </c>
      <c r="Y13" s="32">
        <v>136</v>
      </c>
      <c r="Z13" s="32">
        <v>136</v>
      </c>
      <c r="AA13" s="32">
        <v>136</v>
      </c>
      <c r="AC13" s="47">
        <f t="shared" si="0"/>
        <v>136</v>
      </c>
      <c r="AD13" s="47">
        <f t="shared" si="1"/>
        <v>136</v>
      </c>
    </row>
    <row r="14" spans="1:30" ht="15.75" x14ac:dyDescent="0.25">
      <c r="A14" s="1"/>
      <c r="B14" s="1"/>
      <c r="F14" s="9">
        <v>5</v>
      </c>
      <c r="G14" s="32">
        <v>136</v>
      </c>
      <c r="H14" s="11">
        <v>37392</v>
      </c>
      <c r="I14" s="32">
        <v>60</v>
      </c>
      <c r="J14" s="33"/>
      <c r="K14" s="33"/>
      <c r="L14" s="32">
        <v>155</v>
      </c>
      <c r="M14" s="32">
        <v>155</v>
      </c>
      <c r="N14" s="32">
        <v>155</v>
      </c>
      <c r="O14" s="32">
        <v>155</v>
      </c>
      <c r="P14" s="32">
        <v>155</v>
      </c>
      <c r="Q14" s="32">
        <v>155</v>
      </c>
      <c r="R14" s="32">
        <v>155</v>
      </c>
      <c r="S14" s="32">
        <v>155</v>
      </c>
      <c r="T14" s="32">
        <v>155</v>
      </c>
      <c r="U14" s="32">
        <v>155</v>
      </c>
      <c r="V14" s="32">
        <v>155</v>
      </c>
      <c r="W14" s="32">
        <v>155</v>
      </c>
      <c r="X14" s="32">
        <v>155</v>
      </c>
      <c r="Y14" s="32">
        <v>155</v>
      </c>
      <c r="Z14" s="32">
        <v>155</v>
      </c>
      <c r="AA14" s="32">
        <v>155</v>
      </c>
      <c r="AC14" s="47">
        <f t="shared" si="0"/>
        <v>155</v>
      </c>
      <c r="AD14" s="47">
        <f t="shared" si="1"/>
        <v>155</v>
      </c>
    </row>
    <row r="15" spans="1:30" ht="15.75" x14ac:dyDescent="0.25">
      <c r="A15" s="1"/>
      <c r="B15" s="1"/>
      <c r="F15" s="9">
        <v>6</v>
      </c>
      <c r="G15" s="32">
        <v>155</v>
      </c>
      <c r="H15" s="11">
        <v>37411</v>
      </c>
      <c r="I15" s="32">
        <v>51</v>
      </c>
      <c r="J15" s="33">
        <v>84</v>
      </c>
      <c r="K15" s="33"/>
      <c r="L15" s="32">
        <v>168</v>
      </c>
      <c r="M15" s="32">
        <v>168</v>
      </c>
      <c r="N15" s="32">
        <v>168</v>
      </c>
      <c r="O15" s="32">
        <v>168</v>
      </c>
      <c r="P15" s="32">
        <v>168</v>
      </c>
      <c r="Q15" s="32">
        <v>168</v>
      </c>
      <c r="R15" s="32">
        <v>168</v>
      </c>
      <c r="S15" s="32">
        <v>168</v>
      </c>
      <c r="T15" s="32">
        <v>168</v>
      </c>
      <c r="U15" s="32">
        <v>168</v>
      </c>
      <c r="V15" s="32">
        <v>168</v>
      </c>
      <c r="W15" s="32">
        <v>168</v>
      </c>
      <c r="X15" s="32">
        <v>168</v>
      </c>
      <c r="Y15" s="32">
        <v>168</v>
      </c>
      <c r="Z15" s="32">
        <v>168</v>
      </c>
      <c r="AA15" s="32">
        <v>168</v>
      </c>
      <c r="AC15" s="47">
        <f t="shared" si="0"/>
        <v>168</v>
      </c>
      <c r="AD15" s="47">
        <f t="shared" si="1"/>
        <v>168</v>
      </c>
    </row>
    <row r="16" spans="1:30" ht="15.75" x14ac:dyDescent="0.25">
      <c r="A16" s="1"/>
      <c r="B16" s="1"/>
      <c r="F16" s="9">
        <v>7</v>
      </c>
      <c r="G16" s="32">
        <v>168</v>
      </c>
      <c r="H16" s="11">
        <v>37424</v>
      </c>
      <c r="I16" s="32">
        <v>79</v>
      </c>
      <c r="J16" s="33"/>
      <c r="K16" s="33"/>
      <c r="L16" s="32">
        <v>178</v>
      </c>
      <c r="M16" s="32">
        <v>178</v>
      </c>
      <c r="N16" s="32">
        <v>178</v>
      </c>
      <c r="O16" s="32">
        <v>178</v>
      </c>
      <c r="P16" s="32">
        <v>178</v>
      </c>
      <c r="Q16" s="32">
        <v>178</v>
      </c>
      <c r="R16" s="32">
        <v>178</v>
      </c>
      <c r="S16" s="32">
        <v>178</v>
      </c>
      <c r="T16" s="32">
        <v>178</v>
      </c>
      <c r="U16" s="32">
        <v>178</v>
      </c>
      <c r="V16" s="32">
        <v>178</v>
      </c>
      <c r="W16" s="32">
        <v>178</v>
      </c>
      <c r="X16" s="32">
        <v>178</v>
      </c>
      <c r="Y16" s="32">
        <v>178</v>
      </c>
      <c r="Z16" s="32">
        <v>178</v>
      </c>
      <c r="AA16" s="32">
        <v>178</v>
      </c>
      <c r="AC16" s="47">
        <f t="shared" si="0"/>
        <v>178</v>
      </c>
      <c r="AD16" s="47">
        <f t="shared" si="1"/>
        <v>178</v>
      </c>
    </row>
    <row r="17" spans="1:30" ht="15.75" x14ac:dyDescent="0.25">
      <c r="A17" s="1"/>
      <c r="B17" s="1"/>
      <c r="F17" s="9">
        <v>8</v>
      </c>
      <c r="G17" s="32">
        <v>178</v>
      </c>
      <c r="H17" s="11">
        <v>37434</v>
      </c>
      <c r="I17" s="32">
        <v>87</v>
      </c>
      <c r="J17" s="33"/>
      <c r="K17" s="33"/>
      <c r="L17" s="32">
        <v>189</v>
      </c>
      <c r="M17" s="32">
        <v>189</v>
      </c>
      <c r="N17" s="32">
        <v>189</v>
      </c>
      <c r="O17" s="32">
        <v>189</v>
      </c>
      <c r="P17" s="32">
        <v>189</v>
      </c>
      <c r="Q17" s="32">
        <v>189</v>
      </c>
      <c r="R17" s="32">
        <v>189</v>
      </c>
      <c r="S17" s="32">
        <v>189</v>
      </c>
      <c r="T17" s="32">
        <v>189</v>
      </c>
      <c r="U17" s="32">
        <v>189</v>
      </c>
      <c r="V17" s="32">
        <v>189</v>
      </c>
      <c r="W17" s="32">
        <v>189</v>
      </c>
      <c r="X17" s="32">
        <v>189</v>
      </c>
      <c r="Y17" s="32">
        <v>189</v>
      </c>
      <c r="Z17" s="32">
        <v>189</v>
      </c>
      <c r="AA17" s="32">
        <v>189</v>
      </c>
      <c r="AC17" s="47">
        <f t="shared" si="0"/>
        <v>189</v>
      </c>
      <c r="AD17" s="47">
        <f t="shared" si="1"/>
        <v>189</v>
      </c>
    </row>
    <row r="18" spans="1:30" ht="15.75" x14ac:dyDescent="0.25">
      <c r="A18" s="1"/>
      <c r="B18" s="1"/>
      <c r="F18" s="9">
        <v>9</v>
      </c>
      <c r="G18" s="32">
        <v>189</v>
      </c>
      <c r="H18" s="11">
        <v>37445</v>
      </c>
      <c r="I18" s="32">
        <v>106</v>
      </c>
      <c r="J18" s="33">
        <v>56</v>
      </c>
      <c r="K18" s="33"/>
      <c r="L18" s="32">
        <v>201</v>
      </c>
      <c r="M18" s="32">
        <v>201</v>
      </c>
      <c r="N18" s="32">
        <v>201</v>
      </c>
      <c r="O18" s="32">
        <v>201</v>
      </c>
      <c r="P18" s="32">
        <v>201</v>
      </c>
      <c r="Q18" s="32">
        <v>201</v>
      </c>
      <c r="R18" s="32">
        <v>201</v>
      </c>
      <c r="S18" s="32">
        <v>201</v>
      </c>
      <c r="T18" s="32">
        <v>201</v>
      </c>
      <c r="U18" s="32">
        <v>201</v>
      </c>
      <c r="V18" s="32">
        <v>201</v>
      </c>
      <c r="W18" s="32">
        <v>201</v>
      </c>
      <c r="X18" s="32">
        <v>201</v>
      </c>
      <c r="Y18" s="32">
        <v>201</v>
      </c>
      <c r="Z18" s="32">
        <v>201</v>
      </c>
      <c r="AA18" s="32">
        <v>201</v>
      </c>
      <c r="AC18" s="47">
        <f t="shared" si="0"/>
        <v>201</v>
      </c>
      <c r="AD18" s="47">
        <f t="shared" si="1"/>
        <v>201</v>
      </c>
    </row>
    <row r="19" spans="1:30" ht="15.75" x14ac:dyDescent="0.25">
      <c r="A19" s="1"/>
      <c r="B19" s="1"/>
      <c r="F19" s="9">
        <v>10</v>
      </c>
      <c r="G19" s="32">
        <v>201</v>
      </c>
      <c r="H19" s="11">
        <v>37457</v>
      </c>
      <c r="I19" s="32">
        <v>112</v>
      </c>
      <c r="J19" s="33"/>
      <c r="K19" s="33"/>
      <c r="L19" s="32">
        <v>212</v>
      </c>
      <c r="M19" s="32">
        <v>212</v>
      </c>
      <c r="N19" s="32">
        <v>212</v>
      </c>
      <c r="O19" s="32">
        <v>212</v>
      </c>
      <c r="P19" s="32">
        <v>212</v>
      </c>
      <c r="Q19" s="32">
        <v>212</v>
      </c>
      <c r="R19" s="32">
        <v>212</v>
      </c>
      <c r="S19" s="32">
        <v>212</v>
      </c>
      <c r="T19" s="32">
        <v>212</v>
      </c>
      <c r="U19" s="32">
        <v>212</v>
      </c>
      <c r="V19" s="32">
        <v>212</v>
      </c>
      <c r="W19" s="32">
        <v>212</v>
      </c>
      <c r="X19" s="32">
        <v>212</v>
      </c>
      <c r="Y19" s="32">
        <v>212</v>
      </c>
      <c r="Z19" s="32">
        <v>212</v>
      </c>
      <c r="AA19" s="32">
        <v>212</v>
      </c>
      <c r="AC19" s="47">
        <f t="shared" si="0"/>
        <v>212</v>
      </c>
      <c r="AD19" s="47">
        <f t="shared" si="1"/>
        <v>212</v>
      </c>
    </row>
    <row r="20" spans="1:30" ht="15.75" x14ac:dyDescent="0.25">
      <c r="A20" s="1"/>
      <c r="B20" s="1"/>
      <c r="F20" s="9">
        <v>11</v>
      </c>
      <c r="G20" s="32">
        <v>212</v>
      </c>
      <c r="H20" s="11">
        <v>37468</v>
      </c>
      <c r="I20" s="32">
        <v>112</v>
      </c>
      <c r="J20" s="33"/>
      <c r="K20" s="33"/>
      <c r="L20" s="32">
        <v>224</v>
      </c>
      <c r="M20" s="32">
        <v>224</v>
      </c>
      <c r="N20" s="32">
        <v>224</v>
      </c>
      <c r="O20" s="32">
        <v>224</v>
      </c>
      <c r="P20" s="32">
        <v>224</v>
      </c>
      <c r="Q20" s="32">
        <v>224</v>
      </c>
      <c r="R20" s="32">
        <v>224</v>
      </c>
      <c r="S20" s="32">
        <v>224</v>
      </c>
      <c r="T20" s="32">
        <v>224</v>
      </c>
      <c r="U20" s="32">
        <v>224</v>
      </c>
      <c r="V20" s="32">
        <v>224</v>
      </c>
      <c r="W20" s="32">
        <v>224</v>
      </c>
      <c r="X20" s="32">
        <v>224</v>
      </c>
      <c r="Y20" s="32">
        <v>224</v>
      </c>
      <c r="Z20" s="32">
        <v>224</v>
      </c>
      <c r="AA20" s="32">
        <v>224</v>
      </c>
      <c r="AC20" s="47">
        <f t="shared" si="0"/>
        <v>224</v>
      </c>
      <c r="AD20" s="47">
        <f t="shared" si="1"/>
        <v>224</v>
      </c>
    </row>
    <row r="21" spans="1:30" ht="15.75" x14ac:dyDescent="0.25">
      <c r="A21" s="1"/>
      <c r="B21" s="1"/>
      <c r="F21" s="9">
        <v>12</v>
      </c>
      <c r="G21" s="32">
        <v>224</v>
      </c>
      <c r="H21" s="11">
        <v>37480</v>
      </c>
      <c r="I21" s="32">
        <v>113</v>
      </c>
      <c r="J21" s="33"/>
      <c r="K21" s="33"/>
      <c r="L21" s="32">
        <v>235</v>
      </c>
      <c r="M21" s="32">
        <v>235</v>
      </c>
      <c r="N21" s="32">
        <v>235</v>
      </c>
      <c r="O21" s="32">
        <v>235</v>
      </c>
      <c r="P21" s="32">
        <v>235</v>
      </c>
      <c r="Q21" s="32">
        <v>235</v>
      </c>
      <c r="R21" s="32">
        <v>235</v>
      </c>
      <c r="S21" s="32">
        <v>235</v>
      </c>
      <c r="T21" s="32">
        <v>235</v>
      </c>
      <c r="U21" s="32">
        <v>235</v>
      </c>
      <c r="V21" s="32">
        <v>235</v>
      </c>
      <c r="W21" s="32">
        <v>235</v>
      </c>
      <c r="X21" s="32">
        <v>235</v>
      </c>
      <c r="Y21" s="32">
        <v>235</v>
      </c>
      <c r="Z21" s="32">
        <v>235</v>
      </c>
      <c r="AA21" s="32">
        <v>235</v>
      </c>
      <c r="AC21" s="47">
        <f t="shared" si="0"/>
        <v>235</v>
      </c>
      <c r="AD21" s="47">
        <f t="shared" si="1"/>
        <v>235</v>
      </c>
    </row>
    <row r="22" spans="1:30" ht="15.75" x14ac:dyDescent="0.25">
      <c r="F22" s="9">
        <v>13</v>
      </c>
      <c r="G22" s="32">
        <v>235</v>
      </c>
      <c r="H22" s="11">
        <v>37491</v>
      </c>
      <c r="I22" s="32">
        <v>65</v>
      </c>
      <c r="J22" s="33"/>
      <c r="K22" s="33"/>
      <c r="M22" s="46"/>
      <c r="N22" s="44"/>
      <c r="O22" s="44"/>
      <c r="P22" s="44"/>
    </row>
    <row r="23" spans="1:30" ht="15.75" x14ac:dyDescent="0.25">
      <c r="A23" s="1"/>
      <c r="B23" s="1"/>
      <c r="F23" s="9">
        <v>14</v>
      </c>
      <c r="G23" s="32" t="e">
        <v>#N/A</v>
      </c>
      <c r="H23" s="11" t="e">
        <v>#N/A</v>
      </c>
      <c r="I23" s="32" t="e">
        <v>#N/A</v>
      </c>
      <c r="J23" s="33"/>
      <c r="K23" s="33"/>
      <c r="M23" s="46"/>
      <c r="N23" s="44"/>
      <c r="O23" s="44"/>
      <c r="P23" s="44"/>
    </row>
    <row r="24" spans="1:30" ht="15.75" x14ac:dyDescent="0.25">
      <c r="A24" s="1"/>
      <c r="B24" s="1"/>
      <c r="F24" s="9">
        <v>15</v>
      </c>
      <c r="G24" s="32" t="e">
        <v>#N/A</v>
      </c>
      <c r="H24" s="11" t="e">
        <v>#N/A</v>
      </c>
      <c r="I24" s="32" t="e">
        <v>#N/A</v>
      </c>
      <c r="J24" s="33"/>
      <c r="K24" s="33"/>
      <c r="M24" s="46"/>
      <c r="N24" s="44"/>
      <c r="O24" s="44"/>
      <c r="P24" s="44"/>
    </row>
    <row r="25" spans="1:30" ht="16.5" thickBot="1" x14ac:dyDescent="0.3">
      <c r="A25" s="1"/>
      <c r="B25" s="1"/>
      <c r="F25" s="9">
        <v>16</v>
      </c>
      <c r="G25" s="32" t="e">
        <v>#N/A</v>
      </c>
      <c r="H25" s="11" t="e">
        <v>#N/A</v>
      </c>
      <c r="I25" s="32" t="e">
        <v>#N/A</v>
      </c>
      <c r="J25" s="33"/>
      <c r="K25" s="33"/>
      <c r="M25" s="46"/>
      <c r="N25" s="44"/>
      <c r="O25" s="44"/>
      <c r="P25" s="44"/>
    </row>
    <row r="26" spans="1:30" ht="16.5" thickBot="1" x14ac:dyDescent="0.3">
      <c r="A26" s="1"/>
      <c r="B26" s="1"/>
      <c r="F26" s="9">
        <v>17</v>
      </c>
      <c r="G26" s="32" t="e">
        <v>#N/A</v>
      </c>
      <c r="H26" s="11" t="e">
        <v>#N/A</v>
      </c>
      <c r="I26" s="32" t="e">
        <v>#N/A</v>
      </c>
      <c r="J26" s="33"/>
      <c r="K26" s="33"/>
      <c r="L26" s="25">
        <v>90</v>
      </c>
      <c r="M26" s="25">
        <v>90</v>
      </c>
      <c r="N26" s="25">
        <v>91</v>
      </c>
      <c r="O26" s="25">
        <v>91</v>
      </c>
      <c r="P26" s="25">
        <v>99</v>
      </c>
      <c r="Q26" s="25">
        <v>106</v>
      </c>
      <c r="R26" s="25">
        <v>106</v>
      </c>
      <c r="S26" s="25">
        <v>106</v>
      </c>
      <c r="T26" s="25">
        <v>96</v>
      </c>
      <c r="U26" s="25">
        <v>107</v>
      </c>
      <c r="V26" s="25">
        <v>93</v>
      </c>
      <c r="W26" s="25">
        <v>94</v>
      </c>
      <c r="X26" s="25">
        <v>93</v>
      </c>
      <c r="Y26" s="25">
        <v>98</v>
      </c>
      <c r="Z26" s="25">
        <v>93</v>
      </c>
      <c r="AA26" s="25">
        <v>91</v>
      </c>
      <c r="AC26" s="47">
        <f>AVERAGE(L26:AA26)</f>
        <v>96.5</v>
      </c>
    </row>
    <row r="27" spans="1:30" ht="16.5" thickBot="1" x14ac:dyDescent="0.3">
      <c r="A27" s="23">
        <v>1</v>
      </c>
      <c r="B27" s="28">
        <v>1</v>
      </c>
      <c r="C27" s="28" t="s">
        <v>2</v>
      </c>
      <c r="D27" s="28">
        <v>101</v>
      </c>
      <c r="E27" s="24" t="s">
        <v>25</v>
      </c>
      <c r="F27" s="29" t="s">
        <v>17</v>
      </c>
      <c r="G27" s="30"/>
      <c r="H27" s="30"/>
      <c r="I27" s="31">
        <v>1094</v>
      </c>
      <c r="J27" s="31">
        <v>140</v>
      </c>
      <c r="K27" s="52"/>
      <c r="L27" s="32">
        <v>78</v>
      </c>
      <c r="M27" s="32">
        <v>78</v>
      </c>
      <c r="N27" s="32">
        <v>78</v>
      </c>
      <c r="O27" s="32">
        <v>78</v>
      </c>
      <c r="P27" s="32">
        <v>78</v>
      </c>
      <c r="Q27" s="32">
        <v>79</v>
      </c>
      <c r="R27" s="32">
        <v>78</v>
      </c>
      <c r="S27" s="32">
        <v>78</v>
      </c>
      <c r="T27" s="32">
        <v>85</v>
      </c>
      <c r="U27" s="32">
        <v>78</v>
      </c>
      <c r="V27" s="32">
        <v>78</v>
      </c>
      <c r="W27" s="32">
        <v>78</v>
      </c>
      <c r="X27" s="32">
        <v>77</v>
      </c>
      <c r="Y27" s="32">
        <v>78</v>
      </c>
      <c r="Z27" s="32">
        <v>78</v>
      </c>
      <c r="AA27" s="32">
        <v>78</v>
      </c>
      <c r="AC27" s="47">
        <f t="shared" ref="AC27:AC38" si="2">AVERAGE(L27:AA27)</f>
        <v>78.4375</v>
      </c>
    </row>
    <row r="28" spans="1:30" ht="16.5" thickBot="1" x14ac:dyDescent="0.3">
      <c r="A28" s="1"/>
      <c r="B28" s="1"/>
      <c r="J28" s="48"/>
      <c r="K28" s="41"/>
      <c r="L28" s="32">
        <v>83</v>
      </c>
      <c r="M28" s="32">
        <v>99</v>
      </c>
      <c r="N28" s="32">
        <v>99</v>
      </c>
      <c r="O28" s="32">
        <v>99</v>
      </c>
      <c r="P28" s="32">
        <v>99</v>
      </c>
      <c r="Q28" s="32">
        <v>83</v>
      </c>
      <c r="R28" s="32">
        <v>99</v>
      </c>
      <c r="S28" s="32">
        <v>99</v>
      </c>
      <c r="T28" s="32">
        <v>83</v>
      </c>
      <c r="U28" s="32">
        <v>99</v>
      </c>
      <c r="V28" s="32">
        <v>99</v>
      </c>
      <c r="W28" s="32">
        <v>99</v>
      </c>
      <c r="X28" s="32">
        <v>83</v>
      </c>
      <c r="Y28" s="32">
        <v>99</v>
      </c>
      <c r="Z28" s="32">
        <v>99</v>
      </c>
      <c r="AA28" s="32">
        <v>99</v>
      </c>
      <c r="AC28" s="47">
        <f t="shared" si="2"/>
        <v>95</v>
      </c>
    </row>
    <row r="29" spans="1:30" ht="16.5" thickBot="1" x14ac:dyDescent="0.3">
      <c r="A29" s="23">
        <v>13</v>
      </c>
      <c r="B29" s="28">
        <v>1</v>
      </c>
      <c r="C29" s="28" t="s">
        <v>2</v>
      </c>
      <c r="D29" s="28">
        <v>205</v>
      </c>
      <c r="E29" s="24" t="s">
        <v>27</v>
      </c>
      <c r="F29" s="10">
        <v>1</v>
      </c>
      <c r="G29" s="25">
        <v>112</v>
      </c>
      <c r="H29" s="26">
        <v>37368</v>
      </c>
      <c r="I29" s="25">
        <v>90</v>
      </c>
      <c r="J29" s="32"/>
      <c r="K29" s="53"/>
      <c r="L29" s="32">
        <v>58</v>
      </c>
      <c r="M29" s="32">
        <v>61</v>
      </c>
      <c r="N29" s="32">
        <v>61</v>
      </c>
      <c r="O29" s="32">
        <v>61</v>
      </c>
      <c r="P29" s="32">
        <v>61</v>
      </c>
      <c r="Q29" s="32">
        <v>66</v>
      </c>
      <c r="R29" s="32">
        <v>61</v>
      </c>
      <c r="S29" s="32">
        <v>61</v>
      </c>
      <c r="T29" s="32">
        <v>61</v>
      </c>
      <c r="U29" s="32">
        <v>61</v>
      </c>
      <c r="V29" s="32">
        <v>61</v>
      </c>
      <c r="W29" s="32">
        <v>61</v>
      </c>
      <c r="X29" s="32">
        <v>51</v>
      </c>
      <c r="Y29" s="32">
        <v>61</v>
      </c>
      <c r="Z29" s="32">
        <v>61</v>
      </c>
      <c r="AA29" s="32">
        <v>61</v>
      </c>
      <c r="AC29" s="47">
        <f t="shared" si="2"/>
        <v>60.5</v>
      </c>
    </row>
    <row r="30" spans="1:30" ht="15.75" x14ac:dyDescent="0.25">
      <c r="A30" s="1"/>
      <c r="B30" s="1"/>
      <c r="F30" s="9">
        <v>2</v>
      </c>
      <c r="G30" s="32">
        <v>119</v>
      </c>
      <c r="H30" s="11">
        <v>37375</v>
      </c>
      <c r="I30" s="32">
        <v>78</v>
      </c>
      <c r="J30" s="49"/>
      <c r="K30" s="33"/>
      <c r="L30" s="32">
        <v>60</v>
      </c>
      <c r="M30" s="32">
        <v>59</v>
      </c>
      <c r="N30" s="32">
        <v>59</v>
      </c>
      <c r="O30" s="32">
        <v>59</v>
      </c>
      <c r="P30" s="32">
        <v>59</v>
      </c>
      <c r="Q30" s="32">
        <v>58</v>
      </c>
      <c r="R30" s="32">
        <v>59</v>
      </c>
      <c r="S30" s="32">
        <v>59</v>
      </c>
      <c r="T30" s="32">
        <v>60</v>
      </c>
      <c r="U30" s="32">
        <v>59</v>
      </c>
      <c r="V30" s="32">
        <v>59</v>
      </c>
      <c r="W30" s="32">
        <v>59</v>
      </c>
      <c r="X30" s="32">
        <v>61</v>
      </c>
      <c r="Y30" s="32">
        <v>59</v>
      </c>
      <c r="Z30" s="32">
        <v>59</v>
      </c>
      <c r="AA30" s="32">
        <v>59</v>
      </c>
      <c r="AC30" s="47">
        <f t="shared" si="2"/>
        <v>59.1875</v>
      </c>
    </row>
    <row r="31" spans="1:30" ht="15.75" x14ac:dyDescent="0.25">
      <c r="A31" s="1"/>
      <c r="B31" s="1"/>
      <c r="F31" s="9">
        <v>3</v>
      </c>
      <c r="G31" s="32">
        <v>128</v>
      </c>
      <c r="H31" s="11">
        <v>37384</v>
      </c>
      <c r="I31" s="32">
        <v>99</v>
      </c>
      <c r="J31" s="33"/>
      <c r="K31" s="33"/>
      <c r="L31" s="32">
        <v>51</v>
      </c>
      <c r="M31" s="32">
        <v>51</v>
      </c>
      <c r="N31" s="32">
        <v>51</v>
      </c>
      <c r="O31" s="32">
        <v>51</v>
      </c>
      <c r="P31" s="32">
        <v>51</v>
      </c>
      <c r="Q31" s="32">
        <v>51</v>
      </c>
      <c r="R31" s="32">
        <v>51</v>
      </c>
      <c r="S31" s="32">
        <v>51</v>
      </c>
      <c r="T31" s="32">
        <v>51</v>
      </c>
      <c r="U31" s="32">
        <v>51</v>
      </c>
      <c r="V31" s="32">
        <v>51</v>
      </c>
      <c r="W31" s="32">
        <v>51</v>
      </c>
      <c r="X31" s="32">
        <v>51</v>
      </c>
      <c r="Y31" s="32">
        <v>51</v>
      </c>
      <c r="Z31" s="32">
        <v>51</v>
      </c>
      <c r="AA31" s="32">
        <v>51</v>
      </c>
      <c r="AC31" s="47">
        <f t="shared" si="2"/>
        <v>51</v>
      </c>
    </row>
    <row r="32" spans="1:30" ht="15.75" x14ac:dyDescent="0.25">
      <c r="A32" s="1"/>
      <c r="B32" s="1"/>
      <c r="F32" s="9">
        <v>4</v>
      </c>
      <c r="G32" s="32">
        <v>130</v>
      </c>
      <c r="H32" s="11">
        <v>37386</v>
      </c>
      <c r="I32" s="32">
        <v>61</v>
      </c>
      <c r="J32" s="33"/>
      <c r="K32" s="33"/>
      <c r="L32" s="32">
        <v>79</v>
      </c>
      <c r="M32" s="32">
        <v>76</v>
      </c>
      <c r="N32" s="32">
        <v>76</v>
      </c>
      <c r="O32" s="32">
        <v>76</v>
      </c>
      <c r="P32" s="32">
        <v>76</v>
      </c>
      <c r="Q32" s="32">
        <v>76</v>
      </c>
      <c r="R32" s="32">
        <v>76</v>
      </c>
      <c r="S32" s="32">
        <v>76</v>
      </c>
      <c r="T32" s="32">
        <v>76</v>
      </c>
      <c r="U32" s="32">
        <v>76</v>
      </c>
      <c r="V32" s="32">
        <v>76</v>
      </c>
      <c r="W32" s="32">
        <v>76</v>
      </c>
      <c r="X32" s="32">
        <v>76</v>
      </c>
      <c r="Y32" s="32">
        <v>76</v>
      </c>
      <c r="Z32" s="32">
        <v>76</v>
      </c>
      <c r="AA32" s="32">
        <v>76</v>
      </c>
      <c r="AC32" s="47">
        <f t="shared" si="2"/>
        <v>76.1875</v>
      </c>
    </row>
    <row r="33" spans="1:29" ht="15.75" x14ac:dyDescent="0.25">
      <c r="A33" s="1"/>
      <c r="B33" s="1"/>
      <c r="F33" s="9">
        <v>5</v>
      </c>
      <c r="G33" s="32">
        <v>136</v>
      </c>
      <c r="H33" s="11">
        <v>37392</v>
      </c>
      <c r="I33" s="32">
        <v>59</v>
      </c>
      <c r="J33" s="33"/>
      <c r="K33" s="33"/>
      <c r="L33" s="32">
        <v>87</v>
      </c>
      <c r="M33" s="32">
        <v>87</v>
      </c>
      <c r="N33" s="32">
        <v>83</v>
      </c>
      <c r="O33" s="32">
        <v>87</v>
      </c>
      <c r="P33" s="32">
        <v>87</v>
      </c>
      <c r="Q33" s="32">
        <v>87</v>
      </c>
      <c r="R33" s="32">
        <v>87</v>
      </c>
      <c r="S33" s="32">
        <v>87</v>
      </c>
      <c r="T33" s="32">
        <v>86</v>
      </c>
      <c r="U33" s="32">
        <v>87</v>
      </c>
      <c r="V33" s="32">
        <v>87</v>
      </c>
      <c r="W33" s="32">
        <v>87</v>
      </c>
      <c r="X33" s="32">
        <v>87</v>
      </c>
      <c r="Y33" s="32">
        <v>87</v>
      </c>
      <c r="Z33" s="32">
        <v>87</v>
      </c>
      <c r="AA33" s="32">
        <v>87</v>
      </c>
      <c r="AC33" s="47">
        <f t="shared" si="2"/>
        <v>86.6875</v>
      </c>
    </row>
    <row r="34" spans="1:29" ht="15.75" x14ac:dyDescent="0.25">
      <c r="A34" s="1"/>
      <c r="B34" s="1"/>
      <c r="F34" s="9">
        <v>6</v>
      </c>
      <c r="G34" s="32">
        <v>155</v>
      </c>
      <c r="H34" s="11">
        <v>37411</v>
      </c>
      <c r="I34" s="32">
        <v>51</v>
      </c>
      <c r="J34" s="33">
        <v>84</v>
      </c>
      <c r="K34" s="33"/>
      <c r="L34" s="32">
        <v>106</v>
      </c>
      <c r="M34" s="32">
        <v>106</v>
      </c>
      <c r="N34" s="32">
        <v>106</v>
      </c>
      <c r="O34" s="32">
        <v>111</v>
      </c>
      <c r="P34" s="32">
        <v>106</v>
      </c>
      <c r="Q34" s="32">
        <v>106</v>
      </c>
      <c r="R34" s="32">
        <v>106</v>
      </c>
      <c r="S34" s="32">
        <v>106</v>
      </c>
      <c r="T34" s="32">
        <v>106</v>
      </c>
      <c r="U34" s="32">
        <v>106</v>
      </c>
      <c r="V34" s="32">
        <v>114</v>
      </c>
      <c r="W34" s="32">
        <v>106</v>
      </c>
      <c r="X34" s="32">
        <v>106</v>
      </c>
      <c r="Y34" s="32">
        <v>106</v>
      </c>
      <c r="Z34" s="32">
        <v>106</v>
      </c>
      <c r="AA34" s="32">
        <v>106</v>
      </c>
      <c r="AC34" s="47">
        <f t="shared" si="2"/>
        <v>106.8125</v>
      </c>
    </row>
    <row r="35" spans="1:29" ht="15.75" x14ac:dyDescent="0.25">
      <c r="A35" s="1"/>
      <c r="B35" s="1"/>
      <c r="F35" s="9">
        <v>7</v>
      </c>
      <c r="G35" s="32">
        <v>168</v>
      </c>
      <c r="H35" s="11">
        <v>37424</v>
      </c>
      <c r="I35" s="32">
        <v>76</v>
      </c>
      <c r="J35" s="33"/>
      <c r="K35" s="33"/>
      <c r="L35" s="32">
        <v>112</v>
      </c>
      <c r="M35" s="32">
        <v>112</v>
      </c>
      <c r="N35" s="32">
        <v>112</v>
      </c>
      <c r="O35" s="32">
        <v>112</v>
      </c>
      <c r="P35" s="32">
        <v>112</v>
      </c>
      <c r="Q35" s="32">
        <v>112</v>
      </c>
      <c r="R35" s="32">
        <v>112</v>
      </c>
      <c r="S35" s="32">
        <v>112</v>
      </c>
      <c r="T35" s="32">
        <v>112</v>
      </c>
      <c r="U35" s="32">
        <v>112</v>
      </c>
      <c r="V35" s="32">
        <v>112</v>
      </c>
      <c r="W35" s="32">
        <v>112</v>
      </c>
      <c r="X35" s="32">
        <v>112</v>
      </c>
      <c r="Y35" s="32">
        <v>112</v>
      </c>
      <c r="Z35" s="32">
        <v>112</v>
      </c>
      <c r="AA35" s="32">
        <v>112</v>
      </c>
      <c r="AC35" s="47">
        <f t="shared" si="2"/>
        <v>112</v>
      </c>
    </row>
    <row r="36" spans="1:29" ht="15.75" x14ac:dyDescent="0.25">
      <c r="A36" s="1"/>
      <c r="B36" s="1"/>
      <c r="F36" s="9">
        <v>8</v>
      </c>
      <c r="G36" s="32">
        <v>178</v>
      </c>
      <c r="H36" s="11">
        <v>37434</v>
      </c>
      <c r="I36" s="32">
        <v>87</v>
      </c>
      <c r="J36" s="33"/>
      <c r="K36" s="33"/>
      <c r="L36" s="32">
        <v>112</v>
      </c>
      <c r="M36" s="32">
        <v>112</v>
      </c>
      <c r="N36" s="32">
        <v>112</v>
      </c>
      <c r="O36" s="32">
        <v>112</v>
      </c>
      <c r="P36" s="32">
        <v>115</v>
      </c>
      <c r="Q36" s="32">
        <v>115</v>
      </c>
      <c r="R36" s="32">
        <v>115</v>
      </c>
      <c r="S36" s="32">
        <v>115</v>
      </c>
      <c r="T36" s="32">
        <v>115</v>
      </c>
      <c r="U36" s="32">
        <v>115</v>
      </c>
      <c r="V36" s="32">
        <v>115</v>
      </c>
      <c r="W36" s="32">
        <v>115</v>
      </c>
      <c r="X36" s="32">
        <v>115</v>
      </c>
      <c r="Y36" s="32">
        <v>115</v>
      </c>
      <c r="Z36" s="32">
        <v>115</v>
      </c>
      <c r="AA36" s="32">
        <v>115</v>
      </c>
      <c r="AC36" s="47">
        <f t="shared" si="2"/>
        <v>114.25</v>
      </c>
    </row>
    <row r="37" spans="1:29" ht="15.75" x14ac:dyDescent="0.25">
      <c r="A37" s="1"/>
      <c r="B37" s="1"/>
      <c r="F37" s="9">
        <v>9</v>
      </c>
      <c r="G37" s="32">
        <v>189</v>
      </c>
      <c r="H37" s="11">
        <v>37445</v>
      </c>
      <c r="I37" s="32">
        <v>106</v>
      </c>
      <c r="J37" s="33">
        <v>56</v>
      </c>
      <c r="K37" s="33"/>
      <c r="L37" s="32">
        <v>113</v>
      </c>
      <c r="M37" s="32">
        <v>113</v>
      </c>
      <c r="N37" s="32">
        <v>113</v>
      </c>
      <c r="O37" s="32">
        <v>113</v>
      </c>
      <c r="P37" s="32">
        <v>113</v>
      </c>
      <c r="Q37" s="32">
        <v>113</v>
      </c>
      <c r="R37" s="32">
        <v>113</v>
      </c>
      <c r="S37" s="32">
        <v>113</v>
      </c>
      <c r="T37" s="32">
        <v>113</v>
      </c>
      <c r="U37" s="32">
        <v>113</v>
      </c>
      <c r="V37" s="32">
        <v>113</v>
      </c>
      <c r="W37" s="32">
        <v>113</v>
      </c>
      <c r="X37" s="32">
        <v>113</v>
      </c>
      <c r="Y37" s="32">
        <v>113</v>
      </c>
      <c r="Z37" s="32">
        <v>113</v>
      </c>
      <c r="AA37" s="32">
        <v>113</v>
      </c>
      <c r="AC37" s="47">
        <f t="shared" si="2"/>
        <v>113</v>
      </c>
    </row>
    <row r="38" spans="1:29" ht="15.75" x14ac:dyDescent="0.25">
      <c r="A38" s="1"/>
      <c r="B38" s="1"/>
      <c r="F38" s="9">
        <v>10</v>
      </c>
      <c r="G38" s="32">
        <v>201</v>
      </c>
      <c r="H38" s="11">
        <v>37457</v>
      </c>
      <c r="I38" s="32">
        <v>112</v>
      </c>
      <c r="J38" s="33"/>
      <c r="K38" s="33"/>
      <c r="L38" s="32">
        <v>65</v>
      </c>
      <c r="M38" s="32">
        <v>65</v>
      </c>
      <c r="N38" s="32">
        <v>65</v>
      </c>
      <c r="O38" s="32">
        <v>65</v>
      </c>
      <c r="P38" s="32">
        <v>65</v>
      </c>
      <c r="Q38" s="32">
        <v>65</v>
      </c>
      <c r="R38" s="32">
        <v>65</v>
      </c>
      <c r="S38" s="32">
        <v>65</v>
      </c>
      <c r="T38" s="32">
        <v>65</v>
      </c>
      <c r="U38" s="32">
        <v>65</v>
      </c>
      <c r="V38" s="32">
        <v>65</v>
      </c>
      <c r="W38" s="32">
        <v>65</v>
      </c>
      <c r="X38" s="32">
        <v>65</v>
      </c>
      <c r="Y38" s="32">
        <v>65</v>
      </c>
      <c r="Z38" s="32">
        <v>65</v>
      </c>
      <c r="AA38" s="32">
        <v>65</v>
      </c>
      <c r="AC38" s="47">
        <f t="shared" si="2"/>
        <v>65</v>
      </c>
    </row>
    <row r="39" spans="1:29" ht="15.75" x14ac:dyDescent="0.25">
      <c r="A39" s="1"/>
      <c r="B39" s="1"/>
      <c r="F39" s="9">
        <v>11</v>
      </c>
      <c r="G39" s="32">
        <v>212</v>
      </c>
      <c r="H39" s="11">
        <v>37468</v>
      </c>
      <c r="I39" s="32">
        <v>112</v>
      </c>
      <c r="J39" s="33"/>
      <c r="K39" s="33"/>
      <c r="M39" s="47"/>
    </row>
    <row r="40" spans="1:29" ht="15.75" x14ac:dyDescent="0.25">
      <c r="A40" s="1"/>
      <c r="B40" s="1"/>
      <c r="F40" s="9">
        <v>12</v>
      </c>
      <c r="G40" s="32">
        <v>224</v>
      </c>
      <c r="H40" s="11">
        <v>37480</v>
      </c>
      <c r="I40" s="32">
        <v>113</v>
      </c>
      <c r="J40" s="33"/>
      <c r="K40" s="33"/>
      <c r="M40" s="47"/>
      <c r="AC40" s="47">
        <f>SUM(AC26:AC38)</f>
        <v>1114.5625</v>
      </c>
    </row>
    <row r="41" spans="1:29" ht="15.75" x14ac:dyDescent="0.25">
      <c r="F41" s="9">
        <v>13</v>
      </c>
      <c r="G41" s="32">
        <v>235</v>
      </c>
      <c r="H41" s="11">
        <v>37491</v>
      </c>
      <c r="I41" s="32">
        <v>65</v>
      </c>
      <c r="J41" s="33"/>
      <c r="K41" s="33"/>
      <c r="M41" s="47"/>
    </row>
    <row r="42" spans="1:29" ht="15.75" x14ac:dyDescent="0.25">
      <c r="A42" s="1"/>
      <c r="B42" s="1"/>
      <c r="F42" s="9">
        <v>14</v>
      </c>
      <c r="G42" s="32" t="e">
        <v>#N/A</v>
      </c>
      <c r="H42" s="11" t="e">
        <v>#N/A</v>
      </c>
      <c r="I42" s="32" t="e">
        <v>#N/A</v>
      </c>
      <c r="J42" s="33"/>
      <c r="K42" s="33"/>
      <c r="M42" s="47"/>
    </row>
    <row r="43" spans="1:29" ht="15.75" x14ac:dyDescent="0.25">
      <c r="A43" s="1"/>
      <c r="B43" s="1"/>
      <c r="F43" s="9">
        <v>15</v>
      </c>
      <c r="G43" s="32" t="e">
        <v>#N/A</v>
      </c>
      <c r="H43" s="11" t="e">
        <v>#N/A</v>
      </c>
      <c r="I43" s="32" t="e">
        <v>#N/A</v>
      </c>
      <c r="J43" s="33"/>
      <c r="K43" s="33"/>
      <c r="M43" s="47"/>
    </row>
    <row r="44" spans="1:29" ht="15.75" x14ac:dyDescent="0.25">
      <c r="A44" s="1"/>
      <c r="B44" s="1"/>
      <c r="F44" s="9">
        <v>16</v>
      </c>
      <c r="G44" s="32" t="e">
        <v>#N/A</v>
      </c>
      <c r="H44" s="11" t="e">
        <v>#N/A</v>
      </c>
      <c r="I44" s="32" t="e">
        <v>#N/A</v>
      </c>
      <c r="J44" s="33"/>
      <c r="K44" s="33"/>
      <c r="M44" s="47"/>
    </row>
    <row r="45" spans="1:29" ht="16.5" thickBot="1" x14ac:dyDescent="0.3">
      <c r="A45" s="1"/>
      <c r="B45" s="1"/>
      <c r="F45" s="9">
        <v>17</v>
      </c>
      <c r="G45" s="32" t="e">
        <v>#N/A</v>
      </c>
      <c r="H45" s="11" t="e">
        <v>#N/A</v>
      </c>
      <c r="I45" s="32" t="e">
        <v>#N/A</v>
      </c>
      <c r="J45" s="33"/>
      <c r="K45" s="33"/>
      <c r="M45" s="47"/>
    </row>
    <row r="46" spans="1:29" ht="16.5" thickBot="1" x14ac:dyDescent="0.3">
      <c r="A46" s="23">
        <v>13</v>
      </c>
      <c r="B46" s="28">
        <v>1</v>
      </c>
      <c r="C46" s="28" t="s">
        <v>2</v>
      </c>
      <c r="D46" s="28">
        <v>205</v>
      </c>
      <c r="E46" s="24" t="s">
        <v>27</v>
      </c>
      <c r="F46" s="29" t="s">
        <v>17</v>
      </c>
      <c r="G46" s="30"/>
      <c r="H46" s="30"/>
      <c r="I46" s="31">
        <v>1109</v>
      </c>
      <c r="J46" s="31">
        <v>140</v>
      </c>
      <c r="K46" s="52"/>
      <c r="M46" s="47"/>
    </row>
    <row r="47" spans="1:29" ht="16.5" thickBot="1" x14ac:dyDescent="0.3">
      <c r="A47" s="1"/>
      <c r="B47" s="1"/>
      <c r="G47" s="6"/>
      <c r="H47" s="6"/>
      <c r="I47" s="6"/>
      <c r="J47" s="48"/>
      <c r="K47" s="41"/>
      <c r="M47" s="47"/>
    </row>
    <row r="48" spans="1:29" ht="16.5" thickBot="1" x14ac:dyDescent="0.3">
      <c r="A48" s="23">
        <v>16</v>
      </c>
      <c r="B48" s="28">
        <v>2</v>
      </c>
      <c r="C48" s="28" t="s">
        <v>3</v>
      </c>
      <c r="D48" s="28">
        <v>208</v>
      </c>
      <c r="E48" s="24" t="s">
        <v>27</v>
      </c>
      <c r="F48" s="10">
        <v>1</v>
      </c>
      <c r="G48" s="25">
        <v>112</v>
      </c>
      <c r="H48" s="26">
        <v>37368</v>
      </c>
      <c r="I48" s="25">
        <v>91</v>
      </c>
      <c r="J48" s="32"/>
      <c r="K48" s="53"/>
      <c r="M48" s="47"/>
    </row>
    <row r="49" spans="1:13" ht="15.75" x14ac:dyDescent="0.25">
      <c r="A49" s="1"/>
      <c r="B49" s="1"/>
      <c r="F49" s="9">
        <v>2</v>
      </c>
      <c r="G49" s="32">
        <v>119</v>
      </c>
      <c r="H49" s="11">
        <v>37375</v>
      </c>
      <c r="I49" s="32">
        <v>78</v>
      </c>
      <c r="J49" s="49"/>
      <c r="K49" s="33"/>
      <c r="M49" s="47"/>
    </row>
    <row r="50" spans="1:13" ht="15.75" x14ac:dyDescent="0.25">
      <c r="A50" s="1"/>
      <c r="B50" s="1"/>
      <c r="F50" s="9">
        <v>3</v>
      </c>
      <c r="G50" s="32">
        <v>128</v>
      </c>
      <c r="H50" s="11">
        <v>37384</v>
      </c>
      <c r="I50" s="32">
        <v>99</v>
      </c>
      <c r="J50" s="33"/>
      <c r="K50" s="33"/>
      <c r="M50" s="47"/>
    </row>
    <row r="51" spans="1:13" ht="15.75" x14ac:dyDescent="0.25">
      <c r="A51" s="1"/>
      <c r="B51" s="1"/>
      <c r="F51" s="9">
        <v>4</v>
      </c>
      <c r="G51" s="32">
        <v>130</v>
      </c>
      <c r="H51" s="11">
        <v>37386</v>
      </c>
      <c r="I51" s="32">
        <v>61</v>
      </c>
      <c r="J51" s="33"/>
      <c r="K51" s="33"/>
      <c r="M51" s="47"/>
    </row>
    <row r="52" spans="1:13" ht="15.75" x14ac:dyDescent="0.25">
      <c r="A52" s="1"/>
      <c r="B52" s="1"/>
      <c r="F52" s="9">
        <v>5</v>
      </c>
      <c r="G52" s="32">
        <v>136</v>
      </c>
      <c r="H52" s="11">
        <v>37392</v>
      </c>
      <c r="I52" s="32">
        <v>59</v>
      </c>
      <c r="J52" s="33"/>
      <c r="K52" s="33"/>
      <c r="M52" s="47"/>
    </row>
    <row r="53" spans="1:13" ht="15.75" x14ac:dyDescent="0.25">
      <c r="A53" s="1"/>
      <c r="B53" s="1"/>
      <c r="F53" s="9">
        <v>6</v>
      </c>
      <c r="G53" s="32">
        <v>155</v>
      </c>
      <c r="H53" s="11">
        <v>37411</v>
      </c>
      <c r="I53" s="32">
        <v>51</v>
      </c>
      <c r="J53" s="33"/>
      <c r="K53" s="33"/>
      <c r="M53" s="47"/>
    </row>
    <row r="54" spans="1:13" ht="15.75" x14ac:dyDescent="0.25">
      <c r="A54" s="1"/>
      <c r="B54" s="1"/>
      <c r="F54" s="9">
        <v>7</v>
      </c>
      <c r="G54" s="32">
        <v>168</v>
      </c>
      <c r="H54" s="11">
        <v>37424</v>
      </c>
      <c r="I54" s="32">
        <v>76</v>
      </c>
      <c r="J54" s="33"/>
      <c r="K54" s="33"/>
      <c r="M54" s="47"/>
    </row>
    <row r="55" spans="1:13" ht="15.75" x14ac:dyDescent="0.25">
      <c r="A55" s="1"/>
      <c r="B55" s="1"/>
      <c r="F55" s="9">
        <v>8</v>
      </c>
      <c r="G55" s="32">
        <v>178</v>
      </c>
      <c r="H55" s="11">
        <v>37434</v>
      </c>
      <c r="I55" s="32">
        <v>83</v>
      </c>
      <c r="J55" s="33"/>
      <c r="K55" s="33"/>
      <c r="M55" s="47"/>
    </row>
    <row r="56" spans="1:13" ht="15.75" x14ac:dyDescent="0.25">
      <c r="A56" s="1"/>
      <c r="B56" s="1"/>
      <c r="F56" s="9">
        <v>9</v>
      </c>
      <c r="G56" s="32">
        <v>189</v>
      </c>
      <c r="H56" s="11">
        <v>37445</v>
      </c>
      <c r="I56" s="32">
        <v>106</v>
      </c>
      <c r="J56" s="33"/>
      <c r="K56" s="33"/>
      <c r="M56" s="47"/>
    </row>
    <row r="57" spans="1:13" ht="15.75" x14ac:dyDescent="0.25">
      <c r="A57" s="1"/>
      <c r="B57" s="1"/>
      <c r="F57" s="9">
        <v>10</v>
      </c>
      <c r="G57" s="32">
        <v>201</v>
      </c>
      <c r="H57" s="11">
        <v>37457</v>
      </c>
      <c r="I57" s="32">
        <v>112</v>
      </c>
      <c r="J57" s="33"/>
      <c r="K57" s="33"/>
      <c r="M57" s="47"/>
    </row>
    <row r="58" spans="1:13" ht="15.75" x14ac:dyDescent="0.25">
      <c r="A58" s="1"/>
      <c r="B58" s="1"/>
      <c r="F58" s="9">
        <v>11</v>
      </c>
      <c r="G58" s="32">
        <v>212</v>
      </c>
      <c r="H58" s="11">
        <v>37468</v>
      </c>
      <c r="I58" s="32">
        <v>112</v>
      </c>
      <c r="J58" s="33"/>
      <c r="K58" s="33"/>
      <c r="M58" s="47"/>
    </row>
    <row r="59" spans="1:13" ht="15.75" x14ac:dyDescent="0.25">
      <c r="A59" s="1"/>
      <c r="B59" s="1"/>
      <c r="F59" s="9">
        <v>12</v>
      </c>
      <c r="G59" s="32">
        <v>224</v>
      </c>
      <c r="H59" s="11">
        <v>37480</v>
      </c>
      <c r="I59" s="32">
        <v>113</v>
      </c>
      <c r="J59" s="33"/>
      <c r="K59" s="33"/>
      <c r="M59" s="47"/>
    </row>
    <row r="60" spans="1:13" ht="15.75" x14ac:dyDescent="0.25">
      <c r="F60" s="9">
        <v>13</v>
      </c>
      <c r="G60" s="32">
        <v>235</v>
      </c>
      <c r="H60" s="11">
        <v>37491</v>
      </c>
      <c r="I60" s="32">
        <v>65</v>
      </c>
      <c r="J60" s="33"/>
      <c r="K60" s="33"/>
      <c r="M60" s="47"/>
    </row>
    <row r="61" spans="1:13" ht="15.75" x14ac:dyDescent="0.25">
      <c r="A61" s="1"/>
      <c r="B61" s="1"/>
      <c r="F61" s="9">
        <v>14</v>
      </c>
      <c r="G61" s="32" t="e">
        <v>#N/A</v>
      </c>
      <c r="H61" s="11" t="e">
        <v>#N/A</v>
      </c>
      <c r="I61" s="32" t="e">
        <v>#N/A</v>
      </c>
      <c r="J61" s="33"/>
      <c r="K61" s="33"/>
      <c r="M61" s="47"/>
    </row>
    <row r="62" spans="1:13" ht="15.75" x14ac:dyDescent="0.25">
      <c r="A62" s="1"/>
      <c r="B62" s="1"/>
      <c r="F62" s="9">
        <v>15</v>
      </c>
      <c r="G62" s="32" t="e">
        <v>#N/A</v>
      </c>
      <c r="H62" s="11" t="e">
        <v>#N/A</v>
      </c>
      <c r="I62" s="32" t="e">
        <v>#N/A</v>
      </c>
      <c r="J62" s="33"/>
      <c r="K62" s="33"/>
      <c r="M62" s="47"/>
    </row>
    <row r="63" spans="1:13" ht="15.75" x14ac:dyDescent="0.25">
      <c r="A63" s="1"/>
      <c r="B63" s="1"/>
      <c r="F63" s="9">
        <v>16</v>
      </c>
      <c r="G63" s="32" t="e">
        <v>#N/A</v>
      </c>
      <c r="H63" s="11" t="e">
        <v>#N/A</v>
      </c>
      <c r="I63" s="32" t="e">
        <v>#N/A</v>
      </c>
      <c r="J63" s="33"/>
      <c r="K63" s="33"/>
      <c r="M63" s="47"/>
    </row>
    <row r="64" spans="1:13" ht="16.5" thickBot="1" x14ac:dyDescent="0.3">
      <c r="A64" s="1"/>
      <c r="B64" s="1"/>
      <c r="F64" s="9">
        <v>17</v>
      </c>
      <c r="G64" s="32" t="e">
        <v>#N/A</v>
      </c>
      <c r="H64" s="11" t="e">
        <v>#N/A</v>
      </c>
      <c r="I64" s="32" t="e">
        <v>#N/A</v>
      </c>
      <c r="J64" s="33"/>
      <c r="K64" s="33"/>
      <c r="M64" s="47"/>
    </row>
    <row r="65" spans="1:13" ht="16.5" thickBot="1" x14ac:dyDescent="0.3">
      <c r="A65" s="23">
        <v>16</v>
      </c>
      <c r="B65" s="28">
        <v>2</v>
      </c>
      <c r="C65" s="28" t="s">
        <v>3</v>
      </c>
      <c r="D65" s="28">
        <v>208</v>
      </c>
      <c r="E65" s="24" t="s">
        <v>27</v>
      </c>
      <c r="F65" s="29" t="s">
        <v>17</v>
      </c>
      <c r="G65" s="30"/>
      <c r="H65" s="30"/>
      <c r="I65" s="31">
        <v>1106</v>
      </c>
      <c r="J65" s="31">
        <v>0</v>
      </c>
      <c r="K65" s="52"/>
      <c r="M65" s="47"/>
    </row>
    <row r="66" spans="1:13" ht="16.5" thickBot="1" x14ac:dyDescent="0.3">
      <c r="A66" s="1"/>
      <c r="B66" s="1"/>
      <c r="G66" s="6"/>
      <c r="H66" s="6"/>
      <c r="I66" s="6"/>
      <c r="J66" s="48"/>
      <c r="K66" s="41"/>
      <c r="M66" s="47"/>
    </row>
    <row r="67" spans="1:13" ht="16.5" thickBot="1" x14ac:dyDescent="0.3">
      <c r="A67" s="23">
        <v>20</v>
      </c>
      <c r="B67" s="28">
        <v>2</v>
      </c>
      <c r="C67" s="28" t="s">
        <v>3</v>
      </c>
      <c r="D67" s="28">
        <v>304</v>
      </c>
      <c r="E67" s="24" t="s">
        <v>28</v>
      </c>
      <c r="F67" s="10">
        <v>1</v>
      </c>
      <c r="G67" s="25">
        <v>112</v>
      </c>
      <c r="H67" s="26">
        <v>37368</v>
      </c>
      <c r="I67" s="25">
        <v>91</v>
      </c>
      <c r="J67" s="32"/>
      <c r="K67" s="53"/>
      <c r="M67" s="47"/>
    </row>
    <row r="68" spans="1:13" ht="15.75" x14ac:dyDescent="0.25">
      <c r="A68" s="1"/>
      <c r="B68" s="1"/>
      <c r="F68" s="9">
        <v>2</v>
      </c>
      <c r="G68" s="32">
        <v>119</v>
      </c>
      <c r="H68" s="11">
        <v>37375</v>
      </c>
      <c r="I68" s="32">
        <v>78</v>
      </c>
      <c r="J68" s="49"/>
      <c r="K68" s="33"/>
      <c r="M68" s="47"/>
    </row>
    <row r="69" spans="1:13" ht="15.75" x14ac:dyDescent="0.25">
      <c r="A69" s="1"/>
      <c r="B69" s="1"/>
      <c r="F69" s="9">
        <v>3</v>
      </c>
      <c r="G69" s="32">
        <v>128</v>
      </c>
      <c r="H69" s="11">
        <v>37384</v>
      </c>
      <c r="I69" s="32">
        <v>99</v>
      </c>
      <c r="J69" s="33"/>
      <c r="K69" s="33"/>
      <c r="M69" s="47"/>
    </row>
    <row r="70" spans="1:13" ht="15.75" x14ac:dyDescent="0.25">
      <c r="A70" s="1"/>
      <c r="B70" s="1"/>
      <c r="F70" s="9">
        <v>4</v>
      </c>
      <c r="G70" s="32">
        <v>130</v>
      </c>
      <c r="H70" s="11">
        <v>37386</v>
      </c>
      <c r="I70" s="32">
        <v>61</v>
      </c>
      <c r="J70" s="33"/>
      <c r="K70" s="33"/>
      <c r="M70" s="47"/>
    </row>
    <row r="71" spans="1:13" ht="15.75" x14ac:dyDescent="0.25">
      <c r="A71" s="1"/>
      <c r="B71" s="1"/>
      <c r="F71" s="9">
        <v>5</v>
      </c>
      <c r="G71" s="32">
        <v>136</v>
      </c>
      <c r="H71" s="11">
        <v>37392</v>
      </c>
      <c r="I71" s="32">
        <v>59</v>
      </c>
      <c r="J71" s="33"/>
      <c r="K71" s="33"/>
      <c r="M71" s="47"/>
    </row>
    <row r="72" spans="1:13" ht="15.75" x14ac:dyDescent="0.25">
      <c r="A72" s="1"/>
      <c r="B72" s="1"/>
      <c r="F72" s="9">
        <v>6</v>
      </c>
      <c r="G72" s="32">
        <v>155</v>
      </c>
      <c r="H72" s="11">
        <v>37411</v>
      </c>
      <c r="I72" s="32">
        <v>51</v>
      </c>
      <c r="J72" s="33"/>
      <c r="K72" s="33"/>
      <c r="M72" s="47"/>
    </row>
    <row r="73" spans="1:13" ht="15.75" x14ac:dyDescent="0.25">
      <c r="A73" s="1"/>
      <c r="B73" s="1"/>
      <c r="F73" s="9">
        <v>7</v>
      </c>
      <c r="G73" s="32">
        <v>168</v>
      </c>
      <c r="H73" s="11">
        <v>37424</v>
      </c>
      <c r="I73" s="32">
        <v>76</v>
      </c>
      <c r="J73" s="33"/>
      <c r="K73" s="33"/>
      <c r="M73" s="47"/>
    </row>
    <row r="74" spans="1:13" ht="15.75" x14ac:dyDescent="0.25">
      <c r="A74" s="1"/>
      <c r="B74" s="1"/>
      <c r="F74" s="9">
        <v>8</v>
      </c>
      <c r="G74" s="32">
        <v>178</v>
      </c>
      <c r="H74" s="11">
        <v>37434</v>
      </c>
      <c r="I74" s="32">
        <v>87</v>
      </c>
      <c r="J74" s="33"/>
      <c r="K74" s="33"/>
      <c r="M74" s="47"/>
    </row>
    <row r="75" spans="1:13" ht="15.75" x14ac:dyDescent="0.25">
      <c r="A75" s="1"/>
      <c r="B75" s="1"/>
      <c r="F75" s="9">
        <v>9</v>
      </c>
      <c r="G75" s="32">
        <v>189</v>
      </c>
      <c r="H75" s="11">
        <v>37445</v>
      </c>
      <c r="I75" s="32">
        <v>111</v>
      </c>
      <c r="J75" s="33"/>
      <c r="K75" s="33"/>
      <c r="M75" s="47"/>
    </row>
    <row r="76" spans="1:13" ht="15.75" x14ac:dyDescent="0.25">
      <c r="A76" s="1"/>
      <c r="B76" s="1"/>
      <c r="F76" s="9">
        <v>10</v>
      </c>
      <c r="G76" s="32">
        <v>201</v>
      </c>
      <c r="H76" s="11">
        <v>37457</v>
      </c>
      <c r="I76" s="32">
        <v>112</v>
      </c>
      <c r="J76" s="33"/>
      <c r="K76" s="33"/>
      <c r="M76" s="47"/>
    </row>
    <row r="77" spans="1:13" ht="15.75" x14ac:dyDescent="0.25">
      <c r="A77" s="1"/>
      <c r="B77" s="1"/>
      <c r="F77" s="9">
        <v>11</v>
      </c>
      <c r="G77" s="32">
        <v>212</v>
      </c>
      <c r="H77" s="11">
        <v>37468</v>
      </c>
      <c r="I77" s="32">
        <v>112</v>
      </c>
      <c r="J77" s="33"/>
      <c r="K77" s="33"/>
      <c r="M77" s="47"/>
    </row>
    <row r="78" spans="1:13" ht="15.75" x14ac:dyDescent="0.25">
      <c r="A78" s="1"/>
      <c r="B78" s="1"/>
      <c r="F78" s="9">
        <v>12</v>
      </c>
      <c r="G78" s="32">
        <v>224</v>
      </c>
      <c r="H78" s="11">
        <v>37480</v>
      </c>
      <c r="I78" s="32">
        <v>113</v>
      </c>
      <c r="J78" s="33"/>
      <c r="K78" s="33"/>
      <c r="M78" s="47"/>
    </row>
    <row r="79" spans="1:13" ht="15.75" x14ac:dyDescent="0.25">
      <c r="F79" s="9">
        <v>13</v>
      </c>
      <c r="G79" s="32">
        <v>235</v>
      </c>
      <c r="H79" s="11">
        <v>37491</v>
      </c>
      <c r="I79" s="32">
        <v>65</v>
      </c>
      <c r="J79" s="33"/>
      <c r="K79" s="33"/>
      <c r="M79" s="47"/>
    </row>
    <row r="80" spans="1:13" ht="15.75" x14ac:dyDescent="0.25">
      <c r="A80" s="1"/>
      <c r="B80" s="1"/>
      <c r="F80" s="9">
        <v>14</v>
      </c>
      <c r="G80" s="32" t="e">
        <v>#N/A</v>
      </c>
      <c r="H80" s="11" t="e">
        <v>#N/A</v>
      </c>
      <c r="I80" s="32" t="e">
        <v>#N/A</v>
      </c>
      <c r="J80" s="33"/>
      <c r="K80" s="33"/>
      <c r="M80" s="47"/>
    </row>
    <row r="81" spans="1:13" ht="15.75" x14ac:dyDescent="0.25">
      <c r="A81" s="1"/>
      <c r="B81" s="1"/>
      <c r="F81" s="9">
        <v>15</v>
      </c>
      <c r="G81" s="32" t="e">
        <v>#N/A</v>
      </c>
      <c r="H81" s="11" t="e">
        <v>#N/A</v>
      </c>
      <c r="I81" s="32" t="e">
        <v>#N/A</v>
      </c>
      <c r="J81" s="33"/>
      <c r="K81" s="33"/>
      <c r="M81" s="47"/>
    </row>
    <row r="82" spans="1:13" ht="15.75" x14ac:dyDescent="0.25">
      <c r="A82" s="1"/>
      <c r="B82" s="1"/>
      <c r="F82" s="9">
        <v>16</v>
      </c>
      <c r="G82" s="32" t="e">
        <v>#N/A</v>
      </c>
      <c r="H82" s="11" t="e">
        <v>#N/A</v>
      </c>
      <c r="I82" s="32" t="e">
        <v>#N/A</v>
      </c>
      <c r="J82" s="33"/>
      <c r="K82" s="33"/>
      <c r="M82" s="47"/>
    </row>
    <row r="83" spans="1:13" ht="16.5" thickBot="1" x14ac:dyDescent="0.3">
      <c r="A83" s="1"/>
      <c r="B83" s="1"/>
      <c r="F83" s="9">
        <v>17</v>
      </c>
      <c r="G83" s="32" t="e">
        <v>#N/A</v>
      </c>
      <c r="H83" s="11" t="e">
        <v>#N/A</v>
      </c>
      <c r="I83" s="32" t="e">
        <v>#N/A</v>
      </c>
      <c r="J83" s="33"/>
      <c r="K83" s="33"/>
      <c r="M83" s="47"/>
    </row>
    <row r="84" spans="1:13" ht="16.5" thickBot="1" x14ac:dyDescent="0.3">
      <c r="A84" s="23">
        <v>20</v>
      </c>
      <c r="B84" s="28">
        <v>2</v>
      </c>
      <c r="C84" s="28" t="s">
        <v>3</v>
      </c>
      <c r="D84" s="28">
        <v>304</v>
      </c>
      <c r="E84" s="24" t="s">
        <v>28</v>
      </c>
      <c r="F84" s="29" t="s">
        <v>17</v>
      </c>
      <c r="G84" s="30"/>
      <c r="H84" s="30"/>
      <c r="I84" s="31">
        <v>1115</v>
      </c>
      <c r="J84" s="31">
        <v>0</v>
      </c>
      <c r="K84" s="52"/>
      <c r="M84" s="47"/>
    </row>
    <row r="85" spans="1:13" ht="16.5" thickBot="1" x14ac:dyDescent="0.3">
      <c r="A85" s="1"/>
      <c r="B85" s="1"/>
      <c r="G85" s="6"/>
      <c r="H85" s="6"/>
      <c r="I85" s="6"/>
      <c r="J85" s="48"/>
      <c r="K85" s="41"/>
      <c r="M85" s="47"/>
    </row>
    <row r="86" spans="1:13" ht="16.5" thickBot="1" x14ac:dyDescent="0.3">
      <c r="A86" s="23">
        <v>11</v>
      </c>
      <c r="B86" s="28">
        <v>3</v>
      </c>
      <c r="C86" s="28" t="s">
        <v>4</v>
      </c>
      <c r="D86" s="28">
        <v>203</v>
      </c>
      <c r="E86" s="24" t="s">
        <v>25</v>
      </c>
      <c r="F86" s="10">
        <v>1</v>
      </c>
      <c r="G86" s="25">
        <v>112</v>
      </c>
      <c r="H86" s="26">
        <v>37368</v>
      </c>
      <c r="I86" s="25">
        <v>99</v>
      </c>
      <c r="J86" s="32"/>
      <c r="K86" s="53"/>
      <c r="M86" s="47"/>
    </row>
    <row r="87" spans="1:13" ht="15.75" x14ac:dyDescent="0.25">
      <c r="A87" s="1"/>
      <c r="B87" s="1"/>
      <c r="F87" s="9">
        <v>2</v>
      </c>
      <c r="G87" s="32">
        <v>119</v>
      </c>
      <c r="H87" s="11">
        <v>37375</v>
      </c>
      <c r="I87" s="32">
        <v>78</v>
      </c>
      <c r="J87" s="49"/>
      <c r="K87" s="33"/>
      <c r="M87" s="47"/>
    </row>
    <row r="88" spans="1:13" ht="15.75" x14ac:dyDescent="0.25">
      <c r="A88" s="1"/>
      <c r="B88" s="1"/>
      <c r="F88" s="9">
        <v>3</v>
      </c>
      <c r="G88" s="32">
        <v>128</v>
      </c>
      <c r="H88" s="11">
        <v>37384</v>
      </c>
      <c r="I88" s="32">
        <v>99</v>
      </c>
      <c r="J88" s="33"/>
      <c r="K88" s="33"/>
      <c r="M88" s="47"/>
    </row>
    <row r="89" spans="1:13" ht="15.75" x14ac:dyDescent="0.25">
      <c r="A89" s="1"/>
      <c r="B89" s="1"/>
      <c r="F89" s="9">
        <v>4</v>
      </c>
      <c r="G89" s="32">
        <v>130</v>
      </c>
      <c r="H89" s="11">
        <v>37386</v>
      </c>
      <c r="I89" s="32">
        <v>61</v>
      </c>
      <c r="J89" s="33"/>
      <c r="K89" s="33"/>
      <c r="M89" s="47"/>
    </row>
    <row r="90" spans="1:13" ht="15.75" x14ac:dyDescent="0.25">
      <c r="A90" s="1"/>
      <c r="B90" s="1"/>
      <c r="F90" s="9">
        <v>5</v>
      </c>
      <c r="G90" s="32">
        <v>136</v>
      </c>
      <c r="H90" s="11">
        <v>37392</v>
      </c>
      <c r="I90" s="32">
        <v>59</v>
      </c>
      <c r="J90" s="33"/>
      <c r="K90" s="33"/>
      <c r="M90" s="47"/>
    </row>
    <row r="91" spans="1:13" ht="15.75" x14ac:dyDescent="0.25">
      <c r="A91" s="1"/>
      <c r="B91" s="1"/>
      <c r="F91" s="9">
        <v>6</v>
      </c>
      <c r="G91" s="32">
        <v>155</v>
      </c>
      <c r="H91" s="11">
        <v>37411</v>
      </c>
      <c r="I91" s="32">
        <v>51</v>
      </c>
      <c r="J91" s="33">
        <v>84</v>
      </c>
      <c r="K91" s="33"/>
      <c r="M91" s="47"/>
    </row>
    <row r="92" spans="1:13" ht="15.75" x14ac:dyDescent="0.25">
      <c r="A92" s="1"/>
      <c r="B92" s="1"/>
      <c r="F92" s="9">
        <v>7</v>
      </c>
      <c r="G92" s="32">
        <v>168</v>
      </c>
      <c r="H92" s="11">
        <v>37424</v>
      </c>
      <c r="I92" s="32">
        <v>76</v>
      </c>
      <c r="J92" s="33"/>
      <c r="K92" s="33"/>
      <c r="M92" s="47"/>
    </row>
    <row r="93" spans="1:13" ht="15.75" x14ac:dyDescent="0.25">
      <c r="A93" s="1"/>
      <c r="B93" s="1"/>
      <c r="F93" s="9">
        <v>8</v>
      </c>
      <c r="G93" s="32">
        <v>178</v>
      </c>
      <c r="H93" s="11">
        <v>37434</v>
      </c>
      <c r="I93" s="32">
        <v>87</v>
      </c>
      <c r="J93" s="33"/>
      <c r="K93" s="33"/>
      <c r="M93" s="47"/>
    </row>
    <row r="94" spans="1:13" ht="15.75" x14ac:dyDescent="0.25">
      <c r="A94" s="1"/>
      <c r="B94" s="1"/>
      <c r="F94" s="9">
        <v>9</v>
      </c>
      <c r="G94" s="32">
        <v>189</v>
      </c>
      <c r="H94" s="11">
        <v>37445</v>
      </c>
      <c r="I94" s="32">
        <v>106</v>
      </c>
      <c r="J94" s="33">
        <v>56</v>
      </c>
      <c r="K94" s="33"/>
      <c r="M94" s="47"/>
    </row>
    <row r="95" spans="1:13" ht="15.75" x14ac:dyDescent="0.25">
      <c r="A95" s="1"/>
      <c r="B95" s="1"/>
      <c r="F95" s="9">
        <v>10</v>
      </c>
      <c r="G95" s="32">
        <v>201</v>
      </c>
      <c r="H95" s="11">
        <v>37457</v>
      </c>
      <c r="I95" s="32">
        <v>112</v>
      </c>
      <c r="J95" s="33"/>
      <c r="K95" s="33"/>
      <c r="M95" s="47"/>
    </row>
    <row r="96" spans="1:13" ht="15.75" x14ac:dyDescent="0.25">
      <c r="A96" s="1"/>
      <c r="B96" s="1"/>
      <c r="F96" s="9">
        <v>11</v>
      </c>
      <c r="G96" s="32">
        <v>212</v>
      </c>
      <c r="H96" s="11">
        <v>37468</v>
      </c>
      <c r="I96" s="32">
        <v>115</v>
      </c>
      <c r="J96" s="33"/>
      <c r="K96" s="33"/>
      <c r="M96" s="47"/>
    </row>
    <row r="97" spans="1:16" ht="15.75" x14ac:dyDescent="0.25">
      <c r="A97" s="1"/>
      <c r="B97" s="1"/>
      <c r="F97" s="9">
        <v>12</v>
      </c>
      <c r="G97" s="32">
        <v>224</v>
      </c>
      <c r="H97" s="11">
        <v>37480</v>
      </c>
      <c r="I97" s="32">
        <v>113</v>
      </c>
      <c r="J97" s="33"/>
      <c r="K97" s="33"/>
      <c r="M97" s="47"/>
    </row>
    <row r="98" spans="1:16" ht="15.75" x14ac:dyDescent="0.25">
      <c r="F98" s="9">
        <v>13</v>
      </c>
      <c r="G98" s="32">
        <v>235</v>
      </c>
      <c r="H98" s="11">
        <v>37491</v>
      </c>
      <c r="I98" s="32">
        <v>65</v>
      </c>
      <c r="J98" s="33"/>
      <c r="K98" s="33"/>
      <c r="M98" s="47"/>
    </row>
    <row r="99" spans="1:16" ht="15.75" x14ac:dyDescent="0.25">
      <c r="A99" s="1"/>
      <c r="B99" s="1"/>
      <c r="F99" s="9">
        <v>14</v>
      </c>
      <c r="G99" s="32" t="e">
        <v>#N/A</v>
      </c>
      <c r="H99" s="11" t="e">
        <v>#N/A</v>
      </c>
      <c r="I99" s="32" t="e">
        <v>#N/A</v>
      </c>
      <c r="J99" s="33"/>
      <c r="K99" s="33"/>
      <c r="M99" s="47"/>
    </row>
    <row r="100" spans="1:16" ht="15.75" x14ac:dyDescent="0.25">
      <c r="A100" s="1"/>
      <c r="B100" s="1"/>
      <c r="F100" s="9">
        <v>15</v>
      </c>
      <c r="G100" s="32" t="e">
        <v>#N/A</v>
      </c>
      <c r="H100" s="11" t="e">
        <v>#N/A</v>
      </c>
      <c r="I100" s="32" t="e">
        <v>#N/A</v>
      </c>
      <c r="J100" s="33"/>
      <c r="K100" s="33"/>
      <c r="M100" s="47"/>
    </row>
    <row r="101" spans="1:16" ht="15.75" x14ac:dyDescent="0.25">
      <c r="A101" s="1"/>
      <c r="B101" s="1"/>
      <c r="F101" s="9">
        <v>16</v>
      </c>
      <c r="G101" s="32" t="e">
        <v>#N/A</v>
      </c>
      <c r="H101" s="11" t="e">
        <v>#N/A</v>
      </c>
      <c r="I101" s="32" t="e">
        <v>#N/A</v>
      </c>
      <c r="J101" s="33"/>
      <c r="K101" s="33"/>
      <c r="M101" s="47"/>
    </row>
    <row r="102" spans="1:16" ht="16.5" thickBot="1" x14ac:dyDescent="0.3">
      <c r="A102" s="1"/>
      <c r="B102" s="1"/>
      <c r="F102" s="9">
        <v>17</v>
      </c>
      <c r="G102" s="32" t="e">
        <v>#N/A</v>
      </c>
      <c r="H102" s="11" t="e">
        <v>#N/A</v>
      </c>
      <c r="I102" s="32" t="e">
        <v>#N/A</v>
      </c>
      <c r="J102" s="33"/>
      <c r="K102" s="33"/>
      <c r="M102" s="47"/>
    </row>
    <row r="103" spans="1:16" ht="16.5" thickBot="1" x14ac:dyDescent="0.3">
      <c r="A103" s="23">
        <v>11</v>
      </c>
      <c r="B103" s="28">
        <v>3</v>
      </c>
      <c r="C103" s="28" t="s">
        <v>4</v>
      </c>
      <c r="D103" s="28">
        <v>203</v>
      </c>
      <c r="E103" s="24" t="s">
        <v>25</v>
      </c>
      <c r="F103" s="29" t="s">
        <v>17</v>
      </c>
      <c r="G103" s="30"/>
      <c r="H103" s="30"/>
      <c r="I103" s="31">
        <v>1121</v>
      </c>
      <c r="J103" s="31">
        <v>140</v>
      </c>
      <c r="K103" s="52"/>
      <c r="M103" s="47"/>
    </row>
    <row r="104" spans="1:16" ht="13.5" thickBot="1" x14ac:dyDescent="0.25">
      <c r="G104" s="6"/>
      <c r="H104" s="6"/>
      <c r="I104" s="6"/>
      <c r="J104" s="48"/>
      <c r="K104" s="41"/>
      <c r="M104" s="47"/>
    </row>
    <row r="105" spans="1:16" ht="16.5" thickBot="1" x14ac:dyDescent="0.3">
      <c r="A105" s="23">
        <v>8</v>
      </c>
      <c r="B105" s="28">
        <v>3</v>
      </c>
      <c r="C105" s="28" t="s">
        <v>4</v>
      </c>
      <c r="D105" s="28">
        <v>108</v>
      </c>
      <c r="E105" s="24" t="s">
        <v>27</v>
      </c>
      <c r="F105" s="10">
        <v>1</v>
      </c>
      <c r="G105" s="25">
        <v>112</v>
      </c>
      <c r="H105" s="26">
        <v>37368</v>
      </c>
      <c r="I105" s="25">
        <v>106</v>
      </c>
      <c r="J105" s="32"/>
      <c r="K105" s="53"/>
      <c r="M105" s="46"/>
      <c r="N105" s="44"/>
      <c r="O105" s="44"/>
      <c r="P105" s="44"/>
    </row>
    <row r="106" spans="1:16" ht="15.75" x14ac:dyDescent="0.25">
      <c r="A106" s="1"/>
      <c r="B106" s="1"/>
      <c r="F106" s="9">
        <v>2</v>
      </c>
      <c r="G106" s="32">
        <v>119</v>
      </c>
      <c r="H106" s="11">
        <v>37375</v>
      </c>
      <c r="I106" s="32">
        <v>79</v>
      </c>
      <c r="J106" s="49"/>
      <c r="K106" s="33"/>
      <c r="M106" s="46"/>
      <c r="N106" s="44"/>
      <c r="O106" s="44"/>
      <c r="P106" s="44"/>
    </row>
    <row r="107" spans="1:16" ht="15.75" x14ac:dyDescent="0.25">
      <c r="A107" s="1"/>
      <c r="B107" s="1"/>
      <c r="F107" s="9">
        <v>3</v>
      </c>
      <c r="G107" s="32">
        <v>127</v>
      </c>
      <c r="H107" s="11">
        <v>37383</v>
      </c>
      <c r="I107" s="32">
        <v>83</v>
      </c>
      <c r="J107" s="33"/>
      <c r="K107" s="33"/>
      <c r="M107" s="46"/>
      <c r="N107" s="44"/>
      <c r="O107" s="44"/>
      <c r="P107" s="44"/>
    </row>
    <row r="108" spans="1:16" ht="15.75" x14ac:dyDescent="0.25">
      <c r="A108" s="1"/>
      <c r="B108" s="1"/>
      <c r="F108" s="9">
        <v>4</v>
      </c>
      <c r="G108" s="32">
        <v>130</v>
      </c>
      <c r="H108" s="11">
        <v>37386</v>
      </c>
      <c r="I108" s="32">
        <v>66</v>
      </c>
      <c r="J108" s="33"/>
      <c r="K108" s="33"/>
      <c r="M108" s="46"/>
      <c r="N108" s="44"/>
      <c r="O108" s="44"/>
      <c r="P108" s="44"/>
    </row>
    <row r="109" spans="1:16" ht="15.75" x14ac:dyDescent="0.25">
      <c r="A109" s="1"/>
      <c r="B109" s="1"/>
      <c r="F109" s="9">
        <v>5</v>
      </c>
      <c r="G109" s="32">
        <v>136</v>
      </c>
      <c r="H109" s="11">
        <v>37392</v>
      </c>
      <c r="I109" s="32">
        <v>58</v>
      </c>
      <c r="J109" s="33"/>
      <c r="K109" s="33"/>
      <c r="M109" s="46"/>
      <c r="N109" s="44"/>
      <c r="O109" s="44"/>
      <c r="P109" s="44"/>
    </row>
    <row r="110" spans="1:16" ht="15.75" x14ac:dyDescent="0.25">
      <c r="A110" s="1"/>
      <c r="B110" s="1"/>
      <c r="F110" s="9">
        <v>6</v>
      </c>
      <c r="G110" s="32">
        <v>155</v>
      </c>
      <c r="H110" s="11">
        <v>37411</v>
      </c>
      <c r="I110" s="32">
        <v>51</v>
      </c>
      <c r="J110" s="33">
        <v>84</v>
      </c>
      <c r="K110" s="33"/>
      <c r="M110" s="47"/>
    </row>
    <row r="111" spans="1:16" ht="15.75" x14ac:dyDescent="0.25">
      <c r="A111" s="1"/>
      <c r="B111" s="1"/>
      <c r="F111" s="9">
        <v>7</v>
      </c>
      <c r="G111" s="32">
        <v>168</v>
      </c>
      <c r="H111" s="11">
        <v>37424</v>
      </c>
      <c r="I111" s="32">
        <v>76</v>
      </c>
      <c r="J111" s="33"/>
      <c r="K111" s="33"/>
      <c r="M111" s="47"/>
    </row>
    <row r="112" spans="1:16" ht="15.75" x14ac:dyDescent="0.25">
      <c r="A112" s="1"/>
      <c r="B112" s="1"/>
      <c r="F112" s="9">
        <v>8</v>
      </c>
      <c r="G112" s="32">
        <v>178</v>
      </c>
      <c r="H112" s="11">
        <v>37434</v>
      </c>
      <c r="I112" s="32">
        <v>87</v>
      </c>
      <c r="J112" s="33"/>
      <c r="K112" s="33"/>
      <c r="M112" s="47"/>
    </row>
    <row r="113" spans="1:13" ht="15.75" x14ac:dyDescent="0.25">
      <c r="A113" s="1"/>
      <c r="B113" s="1"/>
      <c r="F113" s="9">
        <v>9</v>
      </c>
      <c r="G113" s="32">
        <v>189</v>
      </c>
      <c r="H113" s="11">
        <v>37445</v>
      </c>
      <c r="I113" s="32">
        <v>106</v>
      </c>
      <c r="J113" s="33">
        <v>56</v>
      </c>
      <c r="K113" s="33"/>
      <c r="M113" s="47"/>
    </row>
    <row r="114" spans="1:13" ht="15.75" x14ac:dyDescent="0.25">
      <c r="A114" s="1"/>
      <c r="B114" s="1"/>
      <c r="F114" s="9">
        <v>10</v>
      </c>
      <c r="G114" s="32">
        <v>201</v>
      </c>
      <c r="H114" s="11">
        <v>37457</v>
      </c>
      <c r="I114" s="32">
        <v>112</v>
      </c>
      <c r="J114" s="33"/>
      <c r="K114" s="33"/>
      <c r="M114" s="47"/>
    </row>
    <row r="115" spans="1:13" ht="15.75" x14ac:dyDescent="0.25">
      <c r="A115" s="1"/>
      <c r="B115" s="1"/>
      <c r="F115" s="9">
        <v>11</v>
      </c>
      <c r="G115" s="32">
        <v>212</v>
      </c>
      <c r="H115" s="11">
        <v>37468</v>
      </c>
      <c r="I115" s="32">
        <v>115</v>
      </c>
      <c r="J115" s="33"/>
      <c r="K115" s="33"/>
      <c r="M115" s="47"/>
    </row>
    <row r="116" spans="1:13" ht="15.75" x14ac:dyDescent="0.25">
      <c r="A116" s="1"/>
      <c r="B116" s="1"/>
      <c r="F116" s="9">
        <v>12</v>
      </c>
      <c r="G116" s="32">
        <v>224</v>
      </c>
      <c r="H116" s="11">
        <v>37480</v>
      </c>
      <c r="I116" s="32">
        <v>113</v>
      </c>
      <c r="J116" s="33"/>
      <c r="K116" s="33"/>
      <c r="M116" s="47"/>
    </row>
    <row r="117" spans="1:13" ht="15.75" x14ac:dyDescent="0.25">
      <c r="F117" s="9">
        <v>13</v>
      </c>
      <c r="G117" s="32">
        <v>235</v>
      </c>
      <c r="H117" s="11">
        <v>37491</v>
      </c>
      <c r="I117" s="32">
        <v>65</v>
      </c>
      <c r="J117" s="33"/>
      <c r="K117" s="33"/>
      <c r="M117" s="47"/>
    </row>
    <row r="118" spans="1:13" ht="15.75" x14ac:dyDescent="0.25">
      <c r="A118" s="1"/>
      <c r="B118" s="1"/>
      <c r="F118" s="9">
        <v>14</v>
      </c>
      <c r="G118" s="32" t="e">
        <v>#N/A</v>
      </c>
      <c r="H118" s="11" t="e">
        <v>#N/A</v>
      </c>
      <c r="I118" s="32" t="e">
        <v>#N/A</v>
      </c>
      <c r="J118" s="33"/>
      <c r="K118" s="33"/>
      <c r="M118" s="47"/>
    </row>
    <row r="119" spans="1:13" ht="15.75" x14ac:dyDescent="0.25">
      <c r="A119" s="1"/>
      <c r="B119" s="1"/>
      <c r="F119" s="9">
        <v>15</v>
      </c>
      <c r="G119" s="32" t="e">
        <v>#N/A</v>
      </c>
      <c r="H119" s="11" t="e">
        <v>#N/A</v>
      </c>
      <c r="I119" s="32" t="e">
        <v>#N/A</v>
      </c>
      <c r="J119" s="33"/>
      <c r="K119" s="33"/>
      <c r="M119" s="47"/>
    </row>
    <row r="120" spans="1:13" ht="15.75" x14ac:dyDescent="0.25">
      <c r="A120" s="1"/>
      <c r="B120" s="1"/>
      <c r="F120" s="9">
        <v>16</v>
      </c>
      <c r="G120" s="32" t="e">
        <v>#N/A</v>
      </c>
      <c r="H120" s="11" t="e">
        <v>#N/A</v>
      </c>
      <c r="I120" s="32" t="e">
        <v>#N/A</v>
      </c>
      <c r="J120" s="33"/>
      <c r="K120" s="33"/>
      <c r="M120" s="47"/>
    </row>
    <row r="121" spans="1:13" ht="16.5" thickBot="1" x14ac:dyDescent="0.3">
      <c r="A121" s="1"/>
      <c r="B121" s="1"/>
      <c r="F121" s="9">
        <v>17</v>
      </c>
      <c r="G121" s="32" t="e">
        <v>#N/A</v>
      </c>
      <c r="H121" s="11" t="e">
        <v>#N/A</v>
      </c>
      <c r="I121" s="32" t="e">
        <v>#N/A</v>
      </c>
      <c r="J121" s="33"/>
      <c r="K121" s="33"/>
      <c r="M121" s="47"/>
    </row>
    <row r="122" spans="1:13" ht="16.5" thickBot="1" x14ac:dyDescent="0.3">
      <c r="A122" s="23">
        <v>8</v>
      </c>
      <c r="B122" s="28">
        <v>3</v>
      </c>
      <c r="C122" s="28" t="s">
        <v>4</v>
      </c>
      <c r="D122" s="28">
        <v>108</v>
      </c>
      <c r="E122" s="24" t="s">
        <v>27</v>
      </c>
      <c r="F122" s="29" t="s">
        <v>17</v>
      </c>
      <c r="G122" s="30"/>
      <c r="H122" s="30"/>
      <c r="I122" s="31">
        <v>1117</v>
      </c>
      <c r="J122" s="31">
        <v>140</v>
      </c>
      <c r="K122" s="52"/>
      <c r="M122" s="47"/>
    </row>
    <row r="123" spans="1:13" ht="13.5" thickBot="1" x14ac:dyDescent="0.25">
      <c r="J123" s="48"/>
      <c r="K123" s="41"/>
      <c r="M123" s="47"/>
    </row>
    <row r="124" spans="1:13" ht="16.5" thickBot="1" x14ac:dyDescent="0.3">
      <c r="A124" s="23">
        <v>28</v>
      </c>
      <c r="B124" s="28">
        <v>3</v>
      </c>
      <c r="C124" s="28" t="s">
        <v>4</v>
      </c>
      <c r="D124" s="28">
        <v>404</v>
      </c>
      <c r="E124" s="24" t="s">
        <v>28</v>
      </c>
      <c r="F124" s="10">
        <v>1</v>
      </c>
      <c r="G124" s="25">
        <v>112</v>
      </c>
      <c r="H124" s="26">
        <v>37368</v>
      </c>
      <c r="I124" s="25">
        <v>106</v>
      </c>
      <c r="J124" s="32"/>
      <c r="K124" s="53"/>
      <c r="M124" s="47"/>
    </row>
    <row r="125" spans="1:13" ht="15.75" x14ac:dyDescent="0.25">
      <c r="A125" s="1"/>
      <c r="B125" s="1"/>
      <c r="F125" s="9">
        <v>2</v>
      </c>
      <c r="G125" s="32">
        <v>119</v>
      </c>
      <c r="H125" s="11">
        <v>37375</v>
      </c>
      <c r="I125" s="32">
        <v>78</v>
      </c>
      <c r="J125" s="49"/>
      <c r="K125" s="33"/>
      <c r="M125" s="47"/>
    </row>
    <row r="126" spans="1:13" ht="15.75" x14ac:dyDescent="0.25">
      <c r="A126" s="1"/>
      <c r="B126" s="1"/>
      <c r="F126" s="9">
        <v>3</v>
      </c>
      <c r="G126" s="32">
        <v>128</v>
      </c>
      <c r="H126" s="11">
        <v>37384</v>
      </c>
      <c r="I126" s="32">
        <v>99</v>
      </c>
      <c r="J126" s="33"/>
      <c r="K126" s="33"/>
      <c r="M126" s="47"/>
    </row>
    <row r="127" spans="1:13" ht="15.75" x14ac:dyDescent="0.25">
      <c r="A127" s="1"/>
      <c r="B127" s="1"/>
      <c r="F127" s="9">
        <v>4</v>
      </c>
      <c r="G127" s="32">
        <v>130</v>
      </c>
      <c r="H127" s="11">
        <v>37386</v>
      </c>
      <c r="I127" s="32">
        <v>61</v>
      </c>
      <c r="J127" s="33"/>
      <c r="K127" s="33"/>
      <c r="M127" s="47"/>
    </row>
    <row r="128" spans="1:13" ht="15.75" x14ac:dyDescent="0.25">
      <c r="A128" s="1"/>
      <c r="B128" s="1"/>
      <c r="F128" s="9">
        <v>5</v>
      </c>
      <c r="G128" s="32">
        <v>136</v>
      </c>
      <c r="H128" s="11">
        <v>37392</v>
      </c>
      <c r="I128" s="32">
        <v>59</v>
      </c>
      <c r="J128" s="33"/>
      <c r="K128" s="33"/>
      <c r="M128" s="47"/>
    </row>
    <row r="129" spans="1:13" ht="15.75" x14ac:dyDescent="0.25">
      <c r="A129" s="1"/>
      <c r="B129" s="1"/>
      <c r="F129" s="9">
        <v>6</v>
      </c>
      <c r="G129" s="32">
        <v>155</v>
      </c>
      <c r="H129" s="11">
        <v>37411</v>
      </c>
      <c r="I129" s="32">
        <v>51</v>
      </c>
      <c r="J129" s="33">
        <v>84</v>
      </c>
      <c r="K129" s="33"/>
      <c r="M129" s="47"/>
    </row>
    <row r="130" spans="1:13" ht="15.75" x14ac:dyDescent="0.25">
      <c r="A130" s="1"/>
      <c r="B130" s="1"/>
      <c r="F130" s="9">
        <v>7</v>
      </c>
      <c r="G130" s="32">
        <v>168</v>
      </c>
      <c r="H130" s="11">
        <v>37424</v>
      </c>
      <c r="I130" s="32">
        <v>76</v>
      </c>
      <c r="J130" s="33"/>
      <c r="K130" s="33"/>
      <c r="M130" s="47"/>
    </row>
    <row r="131" spans="1:13" ht="15.75" x14ac:dyDescent="0.25">
      <c r="A131" s="1"/>
      <c r="B131" s="1"/>
      <c r="F131" s="9">
        <v>8</v>
      </c>
      <c r="G131" s="32">
        <v>178</v>
      </c>
      <c r="H131" s="11">
        <v>37434</v>
      </c>
      <c r="I131" s="32">
        <v>87</v>
      </c>
      <c r="J131" s="33"/>
      <c r="K131" s="33"/>
      <c r="M131" s="47"/>
    </row>
    <row r="132" spans="1:13" ht="15.75" x14ac:dyDescent="0.25">
      <c r="A132" s="1"/>
      <c r="B132" s="1"/>
      <c r="F132" s="9">
        <v>9</v>
      </c>
      <c r="G132" s="32">
        <v>189</v>
      </c>
      <c r="H132" s="11">
        <v>37445</v>
      </c>
      <c r="I132" s="32">
        <v>106</v>
      </c>
      <c r="J132" s="33">
        <v>56</v>
      </c>
      <c r="K132" s="33"/>
      <c r="M132" s="47"/>
    </row>
    <row r="133" spans="1:13" ht="15.75" x14ac:dyDescent="0.25">
      <c r="A133" s="1"/>
      <c r="B133" s="1"/>
      <c r="F133" s="9">
        <v>10</v>
      </c>
      <c r="G133" s="32">
        <v>201</v>
      </c>
      <c r="H133" s="11">
        <v>37457</v>
      </c>
      <c r="I133" s="32">
        <v>112</v>
      </c>
      <c r="J133" s="33"/>
      <c r="K133" s="33"/>
      <c r="M133" s="47"/>
    </row>
    <row r="134" spans="1:13" ht="15.75" x14ac:dyDescent="0.25">
      <c r="A134" s="1"/>
      <c r="B134" s="1"/>
      <c r="F134" s="9">
        <v>11</v>
      </c>
      <c r="G134" s="32">
        <v>212</v>
      </c>
      <c r="H134" s="11">
        <v>37468</v>
      </c>
      <c r="I134" s="32">
        <v>115</v>
      </c>
      <c r="J134" s="33"/>
      <c r="K134" s="33"/>
      <c r="M134" s="47"/>
    </row>
    <row r="135" spans="1:13" ht="15.75" x14ac:dyDescent="0.25">
      <c r="A135" s="1"/>
      <c r="B135" s="1"/>
      <c r="F135" s="9">
        <v>12</v>
      </c>
      <c r="G135" s="32">
        <v>224</v>
      </c>
      <c r="H135" s="11">
        <v>37480</v>
      </c>
      <c r="I135" s="32">
        <v>113</v>
      </c>
      <c r="J135" s="33"/>
      <c r="K135" s="33"/>
      <c r="M135" s="47"/>
    </row>
    <row r="136" spans="1:13" ht="15.75" x14ac:dyDescent="0.25">
      <c r="F136" s="9">
        <v>13</v>
      </c>
      <c r="G136" s="32">
        <v>235</v>
      </c>
      <c r="H136" s="11">
        <v>37491</v>
      </c>
      <c r="I136" s="32">
        <v>65</v>
      </c>
      <c r="J136" s="33"/>
      <c r="K136" s="33"/>
      <c r="M136" s="47"/>
    </row>
    <row r="137" spans="1:13" ht="15.75" x14ac:dyDescent="0.25">
      <c r="A137" s="1"/>
      <c r="B137" s="1"/>
      <c r="F137" s="9">
        <v>14</v>
      </c>
      <c r="G137" s="32" t="e">
        <v>#N/A</v>
      </c>
      <c r="H137" s="11" t="e">
        <v>#N/A</v>
      </c>
      <c r="I137" s="32" t="e">
        <v>#N/A</v>
      </c>
      <c r="J137" s="33"/>
      <c r="K137" s="33"/>
      <c r="M137" s="47"/>
    </row>
    <row r="138" spans="1:13" ht="15.75" x14ac:dyDescent="0.25">
      <c r="A138" s="1"/>
      <c r="B138" s="1"/>
      <c r="F138" s="9">
        <v>15</v>
      </c>
      <c r="G138" s="32" t="e">
        <v>#N/A</v>
      </c>
      <c r="H138" s="11" t="e">
        <v>#N/A</v>
      </c>
      <c r="I138" s="32" t="e">
        <v>#N/A</v>
      </c>
      <c r="J138" s="33"/>
      <c r="K138" s="33"/>
      <c r="M138" s="47"/>
    </row>
    <row r="139" spans="1:13" ht="15.75" x14ac:dyDescent="0.25">
      <c r="A139" s="1"/>
      <c r="B139" s="1"/>
      <c r="F139" s="9">
        <v>16</v>
      </c>
      <c r="G139" s="32" t="e">
        <v>#N/A</v>
      </c>
      <c r="H139" s="11" t="e">
        <v>#N/A</v>
      </c>
      <c r="I139" s="32" t="e">
        <v>#N/A</v>
      </c>
      <c r="J139" s="33"/>
      <c r="K139" s="33"/>
      <c r="M139" s="47"/>
    </row>
    <row r="140" spans="1:13" ht="16.5" thickBot="1" x14ac:dyDescent="0.3">
      <c r="A140" s="1"/>
      <c r="B140" s="1"/>
      <c r="F140" s="9">
        <v>17</v>
      </c>
      <c r="G140" s="32" t="e">
        <v>#N/A</v>
      </c>
      <c r="H140" s="11" t="e">
        <v>#N/A</v>
      </c>
      <c r="I140" s="32" t="e">
        <v>#N/A</v>
      </c>
      <c r="J140" s="33"/>
      <c r="K140" s="33"/>
      <c r="M140" s="47"/>
    </row>
    <row r="141" spans="1:13" ht="16.5" thickBot="1" x14ac:dyDescent="0.3">
      <c r="A141" s="23">
        <v>28</v>
      </c>
      <c r="B141" s="28">
        <v>3</v>
      </c>
      <c r="C141" s="28" t="s">
        <v>4</v>
      </c>
      <c r="D141" s="28">
        <v>404</v>
      </c>
      <c r="E141" s="24" t="s">
        <v>28</v>
      </c>
      <c r="F141" s="29" t="s">
        <v>17</v>
      </c>
      <c r="G141" s="30"/>
      <c r="H141" s="30"/>
      <c r="I141" s="31">
        <v>1128</v>
      </c>
      <c r="J141" s="31">
        <v>140</v>
      </c>
      <c r="K141" s="52"/>
      <c r="M141" s="47"/>
    </row>
    <row r="142" spans="1:13" ht="13.5" thickBot="1" x14ac:dyDescent="0.25">
      <c r="J142" s="48"/>
      <c r="K142" s="41"/>
      <c r="M142" s="47"/>
    </row>
    <row r="143" spans="1:13" ht="16.5" thickBot="1" x14ac:dyDescent="0.3">
      <c r="A143" s="23">
        <v>30</v>
      </c>
      <c r="B143" s="28">
        <v>3</v>
      </c>
      <c r="C143" s="28" t="s">
        <v>4</v>
      </c>
      <c r="D143" s="28">
        <v>406</v>
      </c>
      <c r="E143" s="24" t="s">
        <v>29</v>
      </c>
      <c r="F143" s="10">
        <v>1</v>
      </c>
      <c r="G143" s="25">
        <v>112</v>
      </c>
      <c r="H143" s="26">
        <v>37368</v>
      </c>
      <c r="I143" s="25">
        <v>106</v>
      </c>
      <c r="J143" s="32"/>
      <c r="K143" s="53"/>
      <c r="M143" s="47"/>
    </row>
    <row r="144" spans="1:13" ht="15.75" x14ac:dyDescent="0.25">
      <c r="A144" s="1"/>
      <c r="B144" s="1"/>
      <c r="F144" s="9">
        <v>2</v>
      </c>
      <c r="G144" s="32">
        <v>119</v>
      </c>
      <c r="H144" s="11">
        <v>37375</v>
      </c>
      <c r="I144" s="32">
        <v>78</v>
      </c>
      <c r="J144" s="49"/>
      <c r="K144" s="33"/>
      <c r="M144" s="47"/>
    </row>
    <row r="145" spans="1:13" ht="15.75" x14ac:dyDescent="0.25">
      <c r="A145" s="1"/>
      <c r="B145" s="1"/>
      <c r="F145" s="9">
        <v>3</v>
      </c>
      <c r="G145" s="32">
        <v>128</v>
      </c>
      <c r="H145" s="11">
        <v>37384</v>
      </c>
      <c r="I145" s="32">
        <v>99</v>
      </c>
      <c r="J145" s="33"/>
      <c r="K145" s="33"/>
      <c r="M145" s="47"/>
    </row>
    <row r="146" spans="1:13" ht="15.75" x14ac:dyDescent="0.25">
      <c r="A146" s="1"/>
      <c r="B146" s="1"/>
      <c r="F146" s="9">
        <v>4</v>
      </c>
      <c r="G146" s="32">
        <v>130</v>
      </c>
      <c r="H146" s="11">
        <v>37386</v>
      </c>
      <c r="I146" s="32">
        <v>61</v>
      </c>
      <c r="J146" s="33"/>
      <c r="K146" s="33"/>
      <c r="M146" s="47"/>
    </row>
    <row r="147" spans="1:13" ht="15.75" x14ac:dyDescent="0.25">
      <c r="A147" s="1"/>
      <c r="B147" s="1"/>
      <c r="F147" s="9">
        <v>5</v>
      </c>
      <c r="G147" s="32">
        <v>136</v>
      </c>
      <c r="H147" s="11">
        <v>37392</v>
      </c>
      <c r="I147" s="32">
        <v>59</v>
      </c>
      <c r="J147" s="33"/>
      <c r="K147" s="33"/>
      <c r="M147" s="47"/>
    </row>
    <row r="148" spans="1:13" ht="15.75" x14ac:dyDescent="0.25">
      <c r="A148" s="1"/>
      <c r="B148" s="1"/>
      <c r="F148" s="9">
        <v>6</v>
      </c>
      <c r="G148" s="32">
        <v>155</v>
      </c>
      <c r="H148" s="11">
        <v>37411</v>
      </c>
      <c r="I148" s="32">
        <v>51</v>
      </c>
      <c r="J148" s="33">
        <v>84</v>
      </c>
      <c r="K148" s="33"/>
      <c r="M148" s="47"/>
    </row>
    <row r="149" spans="1:13" ht="15.75" x14ac:dyDescent="0.25">
      <c r="A149" s="1"/>
      <c r="B149" s="1"/>
      <c r="F149" s="9">
        <v>7</v>
      </c>
      <c r="G149" s="32">
        <v>168</v>
      </c>
      <c r="H149" s="11">
        <v>37424</v>
      </c>
      <c r="I149" s="32">
        <v>76</v>
      </c>
      <c r="J149" s="33"/>
      <c r="K149" s="33"/>
      <c r="M149" s="47"/>
    </row>
    <row r="150" spans="1:13" ht="15.75" x14ac:dyDescent="0.25">
      <c r="A150" s="1"/>
      <c r="B150" s="1"/>
      <c r="F150" s="9">
        <v>8</v>
      </c>
      <c r="G150" s="32">
        <v>178</v>
      </c>
      <c r="H150" s="11">
        <v>37434</v>
      </c>
      <c r="I150" s="32">
        <v>87</v>
      </c>
      <c r="J150" s="33"/>
      <c r="K150" s="33"/>
      <c r="M150" s="47"/>
    </row>
    <row r="151" spans="1:13" ht="15.75" x14ac:dyDescent="0.25">
      <c r="A151" s="1"/>
      <c r="B151" s="1"/>
      <c r="F151" s="9">
        <v>9</v>
      </c>
      <c r="G151" s="32">
        <v>189</v>
      </c>
      <c r="H151" s="11">
        <v>37445</v>
      </c>
      <c r="I151" s="32">
        <v>106</v>
      </c>
      <c r="J151" s="33">
        <v>56</v>
      </c>
      <c r="K151" s="33"/>
      <c r="M151" s="47"/>
    </row>
    <row r="152" spans="1:13" ht="15.75" x14ac:dyDescent="0.25">
      <c r="A152" s="1"/>
      <c r="B152" s="1"/>
      <c r="F152" s="9">
        <v>10</v>
      </c>
      <c r="G152" s="32">
        <v>201</v>
      </c>
      <c r="H152" s="11">
        <v>37457</v>
      </c>
      <c r="I152" s="32">
        <v>112</v>
      </c>
      <c r="J152" s="33"/>
      <c r="K152" s="33"/>
      <c r="M152" s="47"/>
    </row>
    <row r="153" spans="1:13" ht="15.75" x14ac:dyDescent="0.25">
      <c r="A153" s="1"/>
      <c r="B153" s="1"/>
      <c r="F153" s="9">
        <v>11</v>
      </c>
      <c r="G153" s="32">
        <v>212</v>
      </c>
      <c r="H153" s="11">
        <v>37468</v>
      </c>
      <c r="I153" s="32">
        <v>115</v>
      </c>
      <c r="J153" s="33"/>
      <c r="K153" s="33"/>
      <c r="M153" s="47"/>
    </row>
    <row r="154" spans="1:13" ht="15.75" x14ac:dyDescent="0.25">
      <c r="A154" s="1"/>
      <c r="B154" s="1"/>
      <c r="F154" s="9">
        <v>12</v>
      </c>
      <c r="G154" s="32">
        <v>224</v>
      </c>
      <c r="H154" s="11">
        <v>37480</v>
      </c>
      <c r="I154" s="32">
        <v>113</v>
      </c>
      <c r="J154" s="33"/>
      <c r="K154" s="33"/>
      <c r="M154" s="47"/>
    </row>
    <row r="155" spans="1:13" ht="15.75" x14ac:dyDescent="0.25">
      <c r="F155" s="9">
        <v>13</v>
      </c>
      <c r="G155" s="32">
        <v>235</v>
      </c>
      <c r="H155" s="11">
        <v>37491</v>
      </c>
      <c r="I155" s="32">
        <v>65</v>
      </c>
      <c r="J155" s="33"/>
      <c r="K155" s="33"/>
      <c r="M155" s="47"/>
    </row>
    <row r="156" spans="1:13" ht="15.75" x14ac:dyDescent="0.25">
      <c r="A156" s="1"/>
      <c r="B156" s="1"/>
      <c r="F156" s="9">
        <v>14</v>
      </c>
      <c r="G156" s="32" t="e">
        <v>#N/A</v>
      </c>
      <c r="H156" s="11" t="e">
        <v>#N/A</v>
      </c>
      <c r="I156" s="32" t="e">
        <v>#N/A</v>
      </c>
      <c r="J156" s="33"/>
      <c r="K156" s="33"/>
      <c r="M156" s="47"/>
    </row>
    <row r="157" spans="1:13" ht="15.75" x14ac:dyDescent="0.25">
      <c r="A157" s="1"/>
      <c r="B157" s="1"/>
      <c r="F157" s="9">
        <v>15</v>
      </c>
      <c r="G157" s="32" t="e">
        <v>#N/A</v>
      </c>
      <c r="H157" s="11" t="e">
        <v>#N/A</v>
      </c>
      <c r="I157" s="32" t="e">
        <v>#N/A</v>
      </c>
      <c r="J157" s="33"/>
      <c r="K157" s="33"/>
      <c r="M157" s="47"/>
    </row>
    <row r="158" spans="1:13" ht="15.75" x14ac:dyDescent="0.25">
      <c r="A158" s="1"/>
      <c r="B158" s="1"/>
      <c r="F158" s="9">
        <v>16</v>
      </c>
      <c r="G158" s="32" t="e">
        <v>#N/A</v>
      </c>
      <c r="H158" s="11" t="e">
        <v>#N/A</v>
      </c>
      <c r="I158" s="32" t="e">
        <v>#N/A</v>
      </c>
      <c r="J158" s="33"/>
      <c r="K158" s="33"/>
      <c r="M158" s="47"/>
    </row>
    <row r="159" spans="1:13" ht="16.5" thickBot="1" x14ac:dyDescent="0.3">
      <c r="A159" s="1"/>
      <c r="B159" s="1"/>
      <c r="F159" s="9">
        <v>17</v>
      </c>
      <c r="G159" s="32" t="e">
        <v>#N/A</v>
      </c>
      <c r="H159" s="11" t="e">
        <v>#N/A</v>
      </c>
      <c r="I159" s="32" t="e">
        <v>#N/A</v>
      </c>
      <c r="J159" s="33"/>
      <c r="K159" s="33"/>
      <c r="M159" s="47"/>
    </row>
    <row r="160" spans="1:13" ht="16.5" thickBot="1" x14ac:dyDescent="0.3">
      <c r="A160" s="23">
        <v>30</v>
      </c>
      <c r="B160" s="28">
        <v>3</v>
      </c>
      <c r="C160" s="28" t="s">
        <v>4</v>
      </c>
      <c r="D160" s="28">
        <v>406</v>
      </c>
      <c r="E160" s="24" t="s">
        <v>29</v>
      </c>
      <c r="F160" s="29" t="s">
        <v>17</v>
      </c>
      <c r="G160" s="30"/>
      <c r="H160" s="30"/>
      <c r="I160" s="31">
        <v>1128</v>
      </c>
      <c r="J160" s="31">
        <v>140</v>
      </c>
      <c r="K160" s="52"/>
      <c r="M160" s="47"/>
    </row>
    <row r="161" spans="1:16" ht="13.5" thickBot="1" x14ac:dyDescent="0.25">
      <c r="J161" s="48"/>
      <c r="K161" s="41"/>
      <c r="M161" s="47"/>
    </row>
    <row r="162" spans="1:16" ht="16.5" thickBot="1" x14ac:dyDescent="0.3">
      <c r="A162" s="23">
        <v>2</v>
      </c>
      <c r="B162" s="28">
        <v>4</v>
      </c>
      <c r="C162" s="28" t="s">
        <v>5</v>
      </c>
      <c r="D162" s="28">
        <v>102</v>
      </c>
      <c r="E162" s="24" t="s">
        <v>25</v>
      </c>
      <c r="F162" s="10">
        <v>1</v>
      </c>
      <c r="G162" s="25">
        <v>112</v>
      </c>
      <c r="H162" s="26">
        <v>37368</v>
      </c>
      <c r="I162" s="25">
        <v>96</v>
      </c>
      <c r="J162" s="32"/>
      <c r="K162" s="53"/>
      <c r="M162" s="46"/>
      <c r="N162" s="44"/>
      <c r="O162" s="44"/>
      <c r="P162" s="44"/>
    </row>
    <row r="163" spans="1:16" ht="15.75" x14ac:dyDescent="0.25">
      <c r="A163" s="1"/>
      <c r="B163" s="1"/>
      <c r="F163" s="9">
        <v>2</v>
      </c>
      <c r="G163" s="32">
        <v>119</v>
      </c>
      <c r="H163" s="11">
        <v>37375</v>
      </c>
      <c r="I163" s="32">
        <v>85</v>
      </c>
      <c r="J163" s="49"/>
      <c r="K163" s="33"/>
      <c r="M163" s="46"/>
      <c r="N163" s="44"/>
      <c r="O163" s="44"/>
      <c r="P163" s="44"/>
    </row>
    <row r="164" spans="1:16" ht="15.75" x14ac:dyDescent="0.25">
      <c r="A164" s="1"/>
      <c r="B164" s="1"/>
      <c r="F164" s="9">
        <v>3</v>
      </c>
      <c r="G164" s="32">
        <v>128</v>
      </c>
      <c r="H164" s="11">
        <v>37384</v>
      </c>
      <c r="I164" s="32">
        <v>83</v>
      </c>
      <c r="J164" s="33"/>
      <c r="K164" s="33"/>
      <c r="M164" s="46"/>
      <c r="N164" s="44"/>
      <c r="O164" s="44"/>
      <c r="P164" s="44"/>
    </row>
    <row r="165" spans="1:16" ht="15.75" x14ac:dyDescent="0.25">
      <c r="A165" s="1"/>
      <c r="B165" s="1"/>
      <c r="F165" s="9">
        <v>4</v>
      </c>
      <c r="G165" s="32">
        <v>130</v>
      </c>
      <c r="H165" s="11">
        <v>37386</v>
      </c>
      <c r="I165" s="32">
        <v>61</v>
      </c>
      <c r="J165" s="33"/>
      <c r="K165" s="33"/>
      <c r="M165" s="46"/>
      <c r="N165" s="44"/>
      <c r="O165" s="44"/>
      <c r="P165" s="44"/>
    </row>
    <row r="166" spans="1:16" ht="15.75" x14ac:dyDescent="0.25">
      <c r="A166" s="1"/>
      <c r="B166" s="1"/>
      <c r="F166" s="9">
        <v>5</v>
      </c>
      <c r="G166" s="32">
        <v>136</v>
      </c>
      <c r="H166" s="11">
        <v>37392</v>
      </c>
      <c r="I166" s="32">
        <v>60</v>
      </c>
      <c r="J166" s="33"/>
      <c r="K166" s="33"/>
      <c r="M166" s="46"/>
      <c r="N166" s="44"/>
      <c r="O166" s="44"/>
      <c r="P166" s="44"/>
    </row>
    <row r="167" spans="1:16" ht="15.75" x14ac:dyDescent="0.25">
      <c r="A167" s="1"/>
      <c r="B167" s="1"/>
      <c r="F167" s="9">
        <v>6</v>
      </c>
      <c r="G167" s="32">
        <v>155</v>
      </c>
      <c r="H167" s="11">
        <v>37411</v>
      </c>
      <c r="I167" s="32">
        <v>51</v>
      </c>
      <c r="J167" s="33"/>
      <c r="K167" s="33"/>
      <c r="M167" s="47"/>
    </row>
    <row r="168" spans="1:16" ht="15.75" x14ac:dyDescent="0.25">
      <c r="A168" s="1"/>
      <c r="B168" s="1"/>
      <c r="F168" s="9">
        <v>7</v>
      </c>
      <c r="G168" s="32">
        <v>168</v>
      </c>
      <c r="H168" s="11">
        <v>37424</v>
      </c>
      <c r="I168" s="32">
        <v>76</v>
      </c>
      <c r="J168" s="33"/>
      <c r="K168" s="33"/>
      <c r="M168" s="47"/>
    </row>
    <row r="169" spans="1:16" ht="15.75" x14ac:dyDescent="0.25">
      <c r="A169" s="1"/>
      <c r="B169" s="1"/>
      <c r="F169" s="9">
        <v>8</v>
      </c>
      <c r="G169" s="32">
        <v>178</v>
      </c>
      <c r="H169" s="11">
        <v>37434</v>
      </c>
      <c r="I169" s="32">
        <v>86</v>
      </c>
      <c r="J169" s="33"/>
      <c r="K169" s="33"/>
      <c r="M169" s="47"/>
    </row>
    <row r="170" spans="1:16" ht="15.75" x14ac:dyDescent="0.25">
      <c r="A170" s="1"/>
      <c r="B170" s="1"/>
      <c r="F170" s="9">
        <v>9</v>
      </c>
      <c r="G170" s="32">
        <v>189</v>
      </c>
      <c r="H170" s="11">
        <v>37445</v>
      </c>
      <c r="I170" s="32">
        <v>106</v>
      </c>
      <c r="J170" s="33"/>
      <c r="K170" s="33"/>
      <c r="M170" s="47"/>
    </row>
    <row r="171" spans="1:16" ht="15.75" x14ac:dyDescent="0.25">
      <c r="A171" s="1"/>
      <c r="B171" s="1"/>
      <c r="F171" s="9">
        <v>10</v>
      </c>
      <c r="G171" s="32">
        <v>201</v>
      </c>
      <c r="H171" s="11">
        <v>37457</v>
      </c>
      <c r="I171" s="32">
        <v>112</v>
      </c>
      <c r="J171" s="33"/>
      <c r="K171" s="33"/>
      <c r="M171" s="47"/>
    </row>
    <row r="172" spans="1:16" ht="15.75" x14ac:dyDescent="0.25">
      <c r="A172" s="1"/>
      <c r="B172" s="1"/>
      <c r="F172" s="9">
        <v>11</v>
      </c>
      <c r="G172" s="32">
        <v>212</v>
      </c>
      <c r="H172" s="11">
        <v>37468</v>
      </c>
      <c r="I172" s="32">
        <v>115</v>
      </c>
      <c r="J172" s="33"/>
      <c r="K172" s="33"/>
      <c r="M172" s="47"/>
    </row>
    <row r="173" spans="1:16" ht="15.75" x14ac:dyDescent="0.25">
      <c r="A173" s="1"/>
      <c r="B173" s="1"/>
      <c r="F173" s="9">
        <v>12</v>
      </c>
      <c r="G173" s="32">
        <v>224</v>
      </c>
      <c r="H173" s="11">
        <v>37480</v>
      </c>
      <c r="I173" s="32">
        <v>113</v>
      </c>
      <c r="J173" s="33"/>
      <c r="K173" s="33"/>
      <c r="M173" s="47"/>
    </row>
    <row r="174" spans="1:16" ht="15.75" x14ac:dyDescent="0.25">
      <c r="F174" s="9">
        <v>13</v>
      </c>
      <c r="G174" s="32">
        <v>235</v>
      </c>
      <c r="H174" s="11">
        <v>37491</v>
      </c>
      <c r="I174" s="32">
        <v>65</v>
      </c>
      <c r="J174" s="33"/>
      <c r="K174" s="33"/>
      <c r="M174" s="47"/>
    </row>
    <row r="175" spans="1:16" ht="15.75" x14ac:dyDescent="0.25">
      <c r="A175" s="1"/>
      <c r="B175" s="1"/>
      <c r="F175" s="9">
        <v>14</v>
      </c>
      <c r="G175" s="32" t="e">
        <v>#N/A</v>
      </c>
      <c r="H175" s="11" t="e">
        <v>#N/A</v>
      </c>
      <c r="I175" s="32" t="e">
        <v>#N/A</v>
      </c>
      <c r="J175" s="33"/>
      <c r="K175" s="33"/>
      <c r="M175" s="47"/>
    </row>
    <row r="176" spans="1:16" ht="15.75" x14ac:dyDescent="0.25">
      <c r="A176" s="1"/>
      <c r="B176" s="1"/>
      <c r="F176" s="9">
        <v>15</v>
      </c>
      <c r="G176" s="32" t="e">
        <v>#N/A</v>
      </c>
      <c r="H176" s="11" t="e">
        <v>#N/A</v>
      </c>
      <c r="I176" s="32" t="e">
        <v>#N/A</v>
      </c>
      <c r="J176" s="33"/>
      <c r="K176" s="33"/>
      <c r="M176" s="47"/>
    </row>
    <row r="177" spans="1:13" ht="15.75" x14ac:dyDescent="0.25">
      <c r="A177" s="1"/>
      <c r="B177" s="1"/>
      <c r="F177" s="9">
        <v>16</v>
      </c>
      <c r="G177" s="32" t="e">
        <v>#N/A</v>
      </c>
      <c r="H177" s="11" t="e">
        <v>#N/A</v>
      </c>
      <c r="I177" s="32" t="e">
        <v>#N/A</v>
      </c>
      <c r="J177" s="33"/>
      <c r="K177" s="33"/>
      <c r="M177" s="47"/>
    </row>
    <row r="178" spans="1:13" ht="16.5" thickBot="1" x14ac:dyDescent="0.3">
      <c r="A178" s="1"/>
      <c r="B178" s="1"/>
      <c r="F178" s="9">
        <v>17</v>
      </c>
      <c r="G178" s="32" t="e">
        <v>#N/A</v>
      </c>
      <c r="H178" s="11" t="e">
        <v>#N/A</v>
      </c>
      <c r="I178" s="32" t="e">
        <v>#N/A</v>
      </c>
      <c r="J178" s="33"/>
      <c r="K178" s="33"/>
      <c r="M178" s="47"/>
    </row>
    <row r="179" spans="1:13" ht="16.5" thickBot="1" x14ac:dyDescent="0.3">
      <c r="A179" s="23">
        <v>2</v>
      </c>
      <c r="B179" s="28">
        <v>4</v>
      </c>
      <c r="C179" s="28" t="s">
        <v>5</v>
      </c>
      <c r="D179" s="28">
        <v>102</v>
      </c>
      <c r="E179" s="24" t="s">
        <v>25</v>
      </c>
      <c r="F179" s="29" t="s">
        <v>17</v>
      </c>
      <c r="G179" s="30"/>
      <c r="H179" s="30"/>
      <c r="I179" s="31">
        <v>1109</v>
      </c>
      <c r="J179" s="31">
        <v>0</v>
      </c>
      <c r="K179" s="52"/>
      <c r="M179" s="47"/>
    </row>
    <row r="180" spans="1:13" ht="13.5" thickBot="1" x14ac:dyDescent="0.25">
      <c r="J180" s="48"/>
      <c r="K180" s="41"/>
      <c r="M180" s="47"/>
    </row>
    <row r="181" spans="1:13" ht="16.5" thickBot="1" x14ac:dyDescent="0.3">
      <c r="A181" s="23">
        <v>15</v>
      </c>
      <c r="B181" s="28">
        <v>4</v>
      </c>
      <c r="C181" s="28" t="s">
        <v>5</v>
      </c>
      <c r="D181" s="28">
        <v>207</v>
      </c>
      <c r="E181" s="24" t="s">
        <v>27</v>
      </c>
      <c r="F181" s="10">
        <v>1</v>
      </c>
      <c r="G181" s="25">
        <v>112</v>
      </c>
      <c r="H181" s="26">
        <v>37368</v>
      </c>
      <c r="I181" s="25">
        <v>107</v>
      </c>
      <c r="J181" s="32"/>
      <c r="K181" s="53"/>
      <c r="M181" s="47"/>
    </row>
    <row r="182" spans="1:13" ht="15.75" x14ac:dyDescent="0.25">
      <c r="A182" s="1"/>
      <c r="B182" s="1"/>
      <c r="F182" s="9">
        <v>2</v>
      </c>
      <c r="G182" s="32">
        <v>119</v>
      </c>
      <c r="H182" s="11">
        <v>37375</v>
      </c>
      <c r="I182" s="32">
        <v>78</v>
      </c>
      <c r="J182" s="49"/>
      <c r="K182" s="33"/>
      <c r="M182" s="47"/>
    </row>
    <row r="183" spans="1:13" ht="15.75" x14ac:dyDescent="0.25">
      <c r="A183" s="1"/>
      <c r="B183" s="1"/>
      <c r="F183" s="9">
        <v>3</v>
      </c>
      <c r="G183" s="32">
        <v>128</v>
      </c>
      <c r="H183" s="11">
        <v>37384</v>
      </c>
      <c r="I183" s="32">
        <v>99</v>
      </c>
      <c r="J183" s="33"/>
      <c r="K183" s="33"/>
      <c r="M183" s="47"/>
    </row>
    <row r="184" spans="1:13" ht="15.75" x14ac:dyDescent="0.25">
      <c r="A184" s="1"/>
      <c r="B184" s="1"/>
      <c r="F184" s="9">
        <v>4</v>
      </c>
      <c r="G184" s="32">
        <v>130</v>
      </c>
      <c r="H184" s="11">
        <v>37386</v>
      </c>
      <c r="I184" s="32">
        <v>61</v>
      </c>
      <c r="J184" s="33"/>
      <c r="K184" s="33"/>
      <c r="M184" s="47"/>
    </row>
    <row r="185" spans="1:13" ht="15.75" x14ac:dyDescent="0.25">
      <c r="A185" s="1"/>
      <c r="B185" s="1"/>
      <c r="F185" s="9">
        <v>5</v>
      </c>
      <c r="G185" s="32">
        <v>136</v>
      </c>
      <c r="H185" s="11">
        <v>37392</v>
      </c>
      <c r="I185" s="32">
        <v>59</v>
      </c>
      <c r="J185" s="33"/>
      <c r="K185" s="33"/>
      <c r="M185" s="47"/>
    </row>
    <row r="186" spans="1:13" ht="15.75" x14ac:dyDescent="0.25">
      <c r="A186" s="1"/>
      <c r="B186" s="1"/>
      <c r="F186" s="9">
        <v>6</v>
      </c>
      <c r="G186" s="32">
        <v>155</v>
      </c>
      <c r="H186" s="11">
        <v>37411</v>
      </c>
      <c r="I186" s="32">
        <v>51</v>
      </c>
      <c r="J186" s="33"/>
      <c r="K186" s="33"/>
      <c r="M186" s="47"/>
    </row>
    <row r="187" spans="1:13" ht="15.75" x14ac:dyDescent="0.25">
      <c r="A187" s="1"/>
      <c r="B187" s="1"/>
      <c r="F187" s="9">
        <v>7</v>
      </c>
      <c r="G187" s="32">
        <v>168</v>
      </c>
      <c r="H187" s="11">
        <v>37424</v>
      </c>
      <c r="I187" s="32">
        <v>76</v>
      </c>
      <c r="J187" s="33"/>
      <c r="K187" s="33"/>
      <c r="M187" s="47"/>
    </row>
    <row r="188" spans="1:13" ht="15.75" x14ac:dyDescent="0.25">
      <c r="A188" s="1"/>
      <c r="B188" s="1"/>
      <c r="F188" s="9">
        <v>8</v>
      </c>
      <c r="G188" s="32">
        <v>178</v>
      </c>
      <c r="H188" s="11">
        <v>37434</v>
      </c>
      <c r="I188" s="32">
        <v>87</v>
      </c>
      <c r="J188" s="33"/>
      <c r="K188" s="33"/>
      <c r="M188" s="47"/>
    </row>
    <row r="189" spans="1:13" ht="15.75" x14ac:dyDescent="0.25">
      <c r="A189" s="1"/>
      <c r="B189" s="1"/>
      <c r="F189" s="9">
        <v>9</v>
      </c>
      <c r="G189" s="32">
        <v>189</v>
      </c>
      <c r="H189" s="11">
        <v>37445</v>
      </c>
      <c r="I189" s="32">
        <v>106</v>
      </c>
      <c r="J189" s="33"/>
      <c r="K189" s="33"/>
      <c r="M189" s="47"/>
    </row>
    <row r="190" spans="1:13" ht="15.75" x14ac:dyDescent="0.25">
      <c r="A190" s="1"/>
      <c r="B190" s="1"/>
      <c r="F190" s="9">
        <v>10</v>
      </c>
      <c r="G190" s="32">
        <v>201</v>
      </c>
      <c r="H190" s="11">
        <v>37457</v>
      </c>
      <c r="I190" s="32">
        <v>112</v>
      </c>
      <c r="J190" s="33"/>
      <c r="K190" s="33"/>
      <c r="M190" s="47"/>
    </row>
    <row r="191" spans="1:13" ht="15.75" x14ac:dyDescent="0.25">
      <c r="A191" s="1"/>
      <c r="B191" s="1"/>
      <c r="F191" s="9">
        <v>11</v>
      </c>
      <c r="G191" s="32">
        <v>212</v>
      </c>
      <c r="H191" s="11">
        <v>37468</v>
      </c>
      <c r="I191" s="32">
        <v>115</v>
      </c>
      <c r="J191" s="33"/>
      <c r="K191" s="33"/>
      <c r="M191" s="47"/>
    </row>
    <row r="192" spans="1:13" ht="15.75" x14ac:dyDescent="0.25">
      <c r="A192" s="1"/>
      <c r="B192" s="1"/>
      <c r="F192" s="9">
        <v>12</v>
      </c>
      <c r="G192" s="32">
        <v>224</v>
      </c>
      <c r="H192" s="11">
        <v>37480</v>
      </c>
      <c r="I192" s="32">
        <v>113</v>
      </c>
      <c r="J192" s="33"/>
      <c r="K192" s="33"/>
      <c r="M192" s="47"/>
    </row>
    <row r="193" spans="1:13" ht="15.75" x14ac:dyDescent="0.25">
      <c r="F193" s="9">
        <v>13</v>
      </c>
      <c r="G193" s="32">
        <v>235</v>
      </c>
      <c r="H193" s="11">
        <v>37491</v>
      </c>
      <c r="I193" s="32">
        <v>65</v>
      </c>
      <c r="J193" s="33"/>
      <c r="K193" s="33"/>
      <c r="M193" s="47"/>
    </row>
    <row r="194" spans="1:13" ht="15.75" x14ac:dyDescent="0.25">
      <c r="A194" s="1"/>
      <c r="B194" s="1"/>
      <c r="F194" s="9">
        <v>14</v>
      </c>
      <c r="G194" s="32" t="e">
        <v>#N/A</v>
      </c>
      <c r="H194" s="11" t="e">
        <v>#N/A</v>
      </c>
      <c r="I194" s="32" t="e">
        <v>#N/A</v>
      </c>
      <c r="J194" s="33"/>
      <c r="K194" s="33"/>
      <c r="M194" s="47"/>
    </row>
    <row r="195" spans="1:13" ht="15.75" x14ac:dyDescent="0.25">
      <c r="A195" s="1"/>
      <c r="B195" s="1"/>
      <c r="F195" s="9">
        <v>15</v>
      </c>
      <c r="G195" s="32" t="e">
        <v>#N/A</v>
      </c>
      <c r="H195" s="11" t="e">
        <v>#N/A</v>
      </c>
      <c r="I195" s="32" t="e">
        <v>#N/A</v>
      </c>
      <c r="J195" s="33"/>
      <c r="K195" s="33"/>
      <c r="M195" s="47"/>
    </row>
    <row r="196" spans="1:13" ht="15.75" x14ac:dyDescent="0.25">
      <c r="A196" s="1"/>
      <c r="B196" s="1"/>
      <c r="F196" s="9">
        <v>16</v>
      </c>
      <c r="G196" s="32" t="e">
        <v>#N/A</v>
      </c>
      <c r="H196" s="11" t="e">
        <v>#N/A</v>
      </c>
      <c r="I196" s="32" t="e">
        <v>#N/A</v>
      </c>
      <c r="J196" s="33"/>
      <c r="K196" s="33"/>
      <c r="M196" s="47"/>
    </row>
    <row r="197" spans="1:13" ht="16.5" thickBot="1" x14ac:dyDescent="0.3">
      <c r="A197" s="1"/>
      <c r="B197" s="1"/>
      <c r="F197" s="9">
        <v>17</v>
      </c>
      <c r="G197" s="32" t="e">
        <v>#N/A</v>
      </c>
      <c r="H197" s="11" t="e">
        <v>#N/A</v>
      </c>
      <c r="I197" s="32" t="e">
        <v>#N/A</v>
      </c>
      <c r="J197" s="33"/>
      <c r="K197" s="33"/>
      <c r="M197" s="47"/>
    </row>
    <row r="198" spans="1:13" ht="16.5" thickBot="1" x14ac:dyDescent="0.3">
      <c r="A198" s="23">
        <v>15</v>
      </c>
      <c r="B198" s="28">
        <v>4</v>
      </c>
      <c r="C198" s="28" t="s">
        <v>5</v>
      </c>
      <c r="D198" s="28">
        <v>207</v>
      </c>
      <c r="E198" s="24" t="s">
        <v>27</v>
      </c>
      <c r="F198" s="29" t="s">
        <v>17</v>
      </c>
      <c r="G198" s="30"/>
      <c r="H198" s="30"/>
      <c r="I198" s="31">
        <v>1129</v>
      </c>
      <c r="J198" s="31">
        <v>0</v>
      </c>
      <c r="K198" s="52"/>
      <c r="M198" s="47"/>
    </row>
    <row r="199" spans="1:13" ht="13.5" thickBot="1" x14ac:dyDescent="0.25">
      <c r="J199" s="48"/>
      <c r="K199" s="41"/>
      <c r="M199" s="47"/>
    </row>
    <row r="200" spans="1:13" ht="16.5" thickBot="1" x14ac:dyDescent="0.3">
      <c r="A200" s="23">
        <v>18</v>
      </c>
      <c r="B200" s="28">
        <v>4</v>
      </c>
      <c r="C200" s="28" t="s">
        <v>5</v>
      </c>
      <c r="D200" s="28">
        <v>302</v>
      </c>
      <c r="E200" s="24" t="s">
        <v>28</v>
      </c>
      <c r="F200" s="10">
        <v>1</v>
      </c>
      <c r="G200" s="25">
        <v>112</v>
      </c>
      <c r="H200" s="26">
        <v>37368</v>
      </c>
      <c r="I200" s="25">
        <v>93</v>
      </c>
      <c r="J200" s="32"/>
      <c r="K200" s="53"/>
      <c r="M200" s="47"/>
    </row>
    <row r="201" spans="1:13" ht="15.75" x14ac:dyDescent="0.25">
      <c r="A201" s="1"/>
      <c r="B201" s="1"/>
      <c r="F201" s="9">
        <v>2</v>
      </c>
      <c r="G201" s="32">
        <v>119</v>
      </c>
      <c r="H201" s="11">
        <v>37375</v>
      </c>
      <c r="I201" s="32">
        <v>78</v>
      </c>
      <c r="J201" s="49"/>
      <c r="K201" s="33"/>
      <c r="M201" s="47"/>
    </row>
    <row r="202" spans="1:13" ht="15.75" x14ac:dyDescent="0.25">
      <c r="A202" s="1"/>
      <c r="B202" s="1"/>
      <c r="F202" s="9">
        <v>3</v>
      </c>
      <c r="G202" s="32">
        <v>128</v>
      </c>
      <c r="H202" s="11">
        <v>37384</v>
      </c>
      <c r="I202" s="32">
        <v>99</v>
      </c>
      <c r="J202" s="33"/>
      <c r="K202" s="33"/>
      <c r="M202" s="47"/>
    </row>
    <row r="203" spans="1:13" ht="15.75" x14ac:dyDescent="0.25">
      <c r="A203" s="1"/>
      <c r="B203" s="1"/>
      <c r="F203" s="9">
        <v>4</v>
      </c>
      <c r="G203" s="32">
        <v>130</v>
      </c>
      <c r="H203" s="11">
        <v>37386</v>
      </c>
      <c r="I203" s="32">
        <v>61</v>
      </c>
      <c r="J203" s="33"/>
      <c r="K203" s="33"/>
      <c r="M203" s="47"/>
    </row>
    <row r="204" spans="1:13" ht="15.75" x14ac:dyDescent="0.25">
      <c r="A204" s="1"/>
      <c r="B204" s="1"/>
      <c r="F204" s="9">
        <v>5</v>
      </c>
      <c r="G204" s="32">
        <v>136</v>
      </c>
      <c r="H204" s="11">
        <v>37392</v>
      </c>
      <c r="I204" s="32">
        <v>59</v>
      </c>
      <c r="J204" s="33"/>
      <c r="K204" s="33"/>
      <c r="M204" s="47"/>
    </row>
    <row r="205" spans="1:13" ht="15.75" x14ac:dyDescent="0.25">
      <c r="A205" s="1"/>
      <c r="B205" s="1"/>
      <c r="F205" s="9">
        <v>6</v>
      </c>
      <c r="G205" s="32">
        <v>155</v>
      </c>
      <c r="H205" s="11">
        <v>37411</v>
      </c>
      <c r="I205" s="32">
        <v>51</v>
      </c>
      <c r="J205" s="33"/>
      <c r="K205" s="33"/>
      <c r="M205" s="47"/>
    </row>
    <row r="206" spans="1:13" ht="15.75" x14ac:dyDescent="0.25">
      <c r="A206" s="1"/>
      <c r="B206" s="1"/>
      <c r="F206" s="9">
        <v>7</v>
      </c>
      <c r="G206" s="32">
        <v>168</v>
      </c>
      <c r="H206" s="11">
        <v>37424</v>
      </c>
      <c r="I206" s="32">
        <v>76</v>
      </c>
      <c r="J206" s="33"/>
      <c r="K206" s="33"/>
      <c r="M206" s="47"/>
    </row>
    <row r="207" spans="1:13" ht="15.75" x14ac:dyDescent="0.25">
      <c r="A207" s="1"/>
      <c r="B207" s="1"/>
      <c r="F207" s="9">
        <v>8</v>
      </c>
      <c r="G207" s="32">
        <v>178</v>
      </c>
      <c r="H207" s="11">
        <v>37434</v>
      </c>
      <c r="I207" s="32">
        <v>87</v>
      </c>
      <c r="J207" s="33"/>
      <c r="K207" s="33"/>
      <c r="M207" s="47"/>
    </row>
    <row r="208" spans="1:13" ht="15.75" x14ac:dyDescent="0.25">
      <c r="A208" s="1"/>
      <c r="B208" s="1"/>
      <c r="F208" s="9">
        <v>9</v>
      </c>
      <c r="G208" s="32">
        <v>189</v>
      </c>
      <c r="H208" s="11">
        <v>37445</v>
      </c>
      <c r="I208" s="32">
        <v>114</v>
      </c>
      <c r="J208" s="33"/>
      <c r="K208" s="33"/>
      <c r="M208" s="47"/>
    </row>
    <row r="209" spans="1:13" ht="15.75" x14ac:dyDescent="0.25">
      <c r="A209" s="1"/>
      <c r="B209" s="1"/>
      <c r="F209" s="9">
        <v>10</v>
      </c>
      <c r="G209" s="32">
        <v>201</v>
      </c>
      <c r="H209" s="11">
        <v>37457</v>
      </c>
      <c r="I209" s="32">
        <v>112</v>
      </c>
      <c r="J209" s="33"/>
      <c r="K209" s="33"/>
      <c r="M209" s="47"/>
    </row>
    <row r="210" spans="1:13" ht="15.75" x14ac:dyDescent="0.25">
      <c r="A210" s="1"/>
      <c r="B210" s="1"/>
      <c r="F210" s="9">
        <v>11</v>
      </c>
      <c r="G210" s="32">
        <v>212</v>
      </c>
      <c r="H210" s="11">
        <v>37468</v>
      </c>
      <c r="I210" s="32">
        <v>115</v>
      </c>
      <c r="J210" s="33"/>
      <c r="K210" s="33"/>
      <c r="M210" s="47"/>
    </row>
    <row r="211" spans="1:13" ht="15.75" x14ac:dyDescent="0.25">
      <c r="A211" s="1"/>
      <c r="B211" s="1"/>
      <c r="F211" s="9">
        <v>12</v>
      </c>
      <c r="G211" s="32">
        <v>224</v>
      </c>
      <c r="H211" s="11">
        <v>37480</v>
      </c>
      <c r="I211" s="32">
        <v>113</v>
      </c>
      <c r="J211" s="33"/>
      <c r="K211" s="33"/>
      <c r="M211" s="47"/>
    </row>
    <row r="212" spans="1:13" ht="15.75" x14ac:dyDescent="0.25">
      <c r="F212" s="9">
        <v>13</v>
      </c>
      <c r="G212" s="32">
        <v>235</v>
      </c>
      <c r="H212" s="11">
        <v>37491</v>
      </c>
      <c r="I212" s="32">
        <v>65</v>
      </c>
      <c r="J212" s="33"/>
      <c r="K212" s="33"/>
      <c r="M212" s="47"/>
    </row>
    <row r="213" spans="1:13" ht="15.75" x14ac:dyDescent="0.25">
      <c r="A213" s="1"/>
      <c r="B213" s="1"/>
      <c r="F213" s="9">
        <v>14</v>
      </c>
      <c r="G213" s="32" t="e">
        <v>#N/A</v>
      </c>
      <c r="H213" s="11" t="e">
        <v>#N/A</v>
      </c>
      <c r="I213" s="32" t="e">
        <v>#N/A</v>
      </c>
      <c r="J213" s="33"/>
      <c r="K213" s="33"/>
      <c r="M213" s="47"/>
    </row>
    <row r="214" spans="1:13" ht="15.75" x14ac:dyDescent="0.25">
      <c r="A214" s="1"/>
      <c r="B214" s="1"/>
      <c r="F214" s="9">
        <v>15</v>
      </c>
      <c r="G214" s="32" t="e">
        <v>#N/A</v>
      </c>
      <c r="H214" s="11" t="e">
        <v>#N/A</v>
      </c>
      <c r="I214" s="32" t="e">
        <v>#N/A</v>
      </c>
      <c r="J214" s="33"/>
      <c r="K214" s="33"/>
      <c r="M214" s="47"/>
    </row>
    <row r="215" spans="1:13" ht="15.75" x14ac:dyDescent="0.25">
      <c r="A215" s="1"/>
      <c r="B215" s="1"/>
      <c r="F215" s="9">
        <v>16</v>
      </c>
      <c r="G215" s="32" t="e">
        <v>#N/A</v>
      </c>
      <c r="H215" s="11" t="e">
        <v>#N/A</v>
      </c>
      <c r="I215" s="32" t="e">
        <v>#N/A</v>
      </c>
      <c r="J215" s="33"/>
      <c r="K215" s="33"/>
      <c r="M215" s="47"/>
    </row>
    <row r="216" spans="1:13" ht="16.5" thickBot="1" x14ac:dyDescent="0.3">
      <c r="A216" s="1"/>
      <c r="B216" s="1"/>
      <c r="F216" s="9">
        <v>17</v>
      </c>
      <c r="G216" s="32" t="e">
        <v>#N/A</v>
      </c>
      <c r="H216" s="11" t="e">
        <v>#N/A</v>
      </c>
      <c r="I216" s="32" t="e">
        <v>#N/A</v>
      </c>
      <c r="J216" s="33"/>
      <c r="K216" s="33"/>
      <c r="M216" s="47"/>
    </row>
    <row r="217" spans="1:13" ht="16.5" thickBot="1" x14ac:dyDescent="0.3">
      <c r="A217" s="23">
        <v>18</v>
      </c>
      <c r="B217" s="28">
        <v>4</v>
      </c>
      <c r="C217" s="28" t="s">
        <v>5</v>
      </c>
      <c r="D217" s="28">
        <v>302</v>
      </c>
      <c r="E217" s="24" t="s">
        <v>28</v>
      </c>
      <c r="F217" s="29" t="s">
        <v>17</v>
      </c>
      <c r="G217" s="30"/>
      <c r="H217" s="30"/>
      <c r="I217" s="31">
        <v>1123</v>
      </c>
      <c r="J217" s="31">
        <v>0</v>
      </c>
      <c r="K217" s="52"/>
      <c r="M217" s="47"/>
    </row>
    <row r="218" spans="1:13" ht="13.5" thickBot="1" x14ac:dyDescent="0.25">
      <c r="J218" s="48"/>
      <c r="K218" s="41"/>
      <c r="M218" s="47"/>
    </row>
    <row r="219" spans="1:13" ht="16.5" thickBot="1" x14ac:dyDescent="0.3">
      <c r="A219" s="23">
        <v>22</v>
      </c>
      <c r="B219" s="28">
        <v>4</v>
      </c>
      <c r="C219" s="28" t="s">
        <v>5</v>
      </c>
      <c r="D219" s="28">
        <v>306</v>
      </c>
      <c r="E219" s="24" t="s">
        <v>29</v>
      </c>
      <c r="F219" s="10">
        <v>1</v>
      </c>
      <c r="G219" s="25">
        <v>112</v>
      </c>
      <c r="H219" s="26">
        <v>37368</v>
      </c>
      <c r="I219" s="25">
        <v>94</v>
      </c>
      <c r="J219" s="32"/>
      <c r="K219" s="53"/>
      <c r="M219" s="47"/>
    </row>
    <row r="220" spans="1:13" ht="15.75" x14ac:dyDescent="0.25">
      <c r="A220" s="1"/>
      <c r="B220" s="1"/>
      <c r="F220" s="9">
        <v>2</v>
      </c>
      <c r="G220" s="32">
        <v>119</v>
      </c>
      <c r="H220" s="11">
        <v>37375</v>
      </c>
      <c r="I220" s="32">
        <v>78</v>
      </c>
      <c r="J220" s="49"/>
      <c r="K220" s="33"/>
      <c r="M220" s="47"/>
    </row>
    <row r="221" spans="1:13" ht="15.75" x14ac:dyDescent="0.25">
      <c r="A221" s="1"/>
      <c r="B221" s="1"/>
      <c r="F221" s="9">
        <v>3</v>
      </c>
      <c r="G221" s="32">
        <v>128</v>
      </c>
      <c r="H221" s="11">
        <v>37384</v>
      </c>
      <c r="I221" s="32">
        <v>99</v>
      </c>
      <c r="J221" s="33"/>
      <c r="K221" s="33"/>
      <c r="M221" s="47"/>
    </row>
    <row r="222" spans="1:13" ht="15.75" x14ac:dyDescent="0.25">
      <c r="A222" s="1"/>
      <c r="B222" s="1"/>
      <c r="F222" s="9">
        <v>4</v>
      </c>
      <c r="G222" s="32">
        <v>130</v>
      </c>
      <c r="H222" s="11">
        <v>37386</v>
      </c>
      <c r="I222" s="32">
        <v>61</v>
      </c>
      <c r="J222" s="33"/>
      <c r="K222" s="33"/>
      <c r="M222" s="47"/>
    </row>
    <row r="223" spans="1:13" ht="15.75" x14ac:dyDescent="0.25">
      <c r="A223" s="1"/>
      <c r="B223" s="1"/>
      <c r="F223" s="9">
        <v>5</v>
      </c>
      <c r="G223" s="32">
        <v>136</v>
      </c>
      <c r="H223" s="11">
        <v>37392</v>
      </c>
      <c r="I223" s="32">
        <v>59</v>
      </c>
      <c r="J223" s="33"/>
      <c r="K223" s="33"/>
      <c r="M223" s="47"/>
    </row>
    <row r="224" spans="1:13" ht="15.75" x14ac:dyDescent="0.25">
      <c r="A224" s="1"/>
      <c r="B224" s="1"/>
      <c r="F224" s="9">
        <v>6</v>
      </c>
      <c r="G224" s="32">
        <v>155</v>
      </c>
      <c r="H224" s="11">
        <v>37411</v>
      </c>
      <c r="I224" s="32">
        <v>51</v>
      </c>
      <c r="J224" s="33"/>
      <c r="K224" s="33"/>
      <c r="M224" s="47"/>
    </row>
    <row r="225" spans="1:16" ht="15.75" x14ac:dyDescent="0.25">
      <c r="A225" s="1"/>
      <c r="B225" s="1"/>
      <c r="F225" s="9">
        <v>7</v>
      </c>
      <c r="G225" s="32">
        <v>168</v>
      </c>
      <c r="H225" s="11">
        <v>37424</v>
      </c>
      <c r="I225" s="32">
        <v>76</v>
      </c>
      <c r="J225" s="33"/>
      <c r="K225" s="33"/>
      <c r="M225" s="47"/>
    </row>
    <row r="226" spans="1:16" ht="15.75" x14ac:dyDescent="0.25">
      <c r="A226" s="1"/>
      <c r="B226" s="1"/>
      <c r="F226" s="9">
        <v>8</v>
      </c>
      <c r="G226" s="32">
        <v>178</v>
      </c>
      <c r="H226" s="11">
        <v>37434</v>
      </c>
      <c r="I226" s="32">
        <v>87</v>
      </c>
      <c r="J226" s="33"/>
      <c r="K226" s="33"/>
      <c r="M226" s="47"/>
    </row>
    <row r="227" spans="1:16" ht="15.75" x14ac:dyDescent="0.25">
      <c r="A227" s="1"/>
      <c r="B227" s="1"/>
      <c r="F227" s="9">
        <v>9</v>
      </c>
      <c r="G227" s="32">
        <v>189</v>
      </c>
      <c r="H227" s="11">
        <v>37445</v>
      </c>
      <c r="I227" s="32">
        <v>106</v>
      </c>
      <c r="J227" s="33"/>
      <c r="K227" s="33"/>
      <c r="M227" s="47"/>
    </row>
    <row r="228" spans="1:16" ht="15.75" x14ac:dyDescent="0.25">
      <c r="A228" s="1"/>
      <c r="B228" s="1"/>
      <c r="F228" s="9">
        <v>10</v>
      </c>
      <c r="G228" s="32">
        <v>201</v>
      </c>
      <c r="H228" s="11">
        <v>37457</v>
      </c>
      <c r="I228" s="32">
        <v>112</v>
      </c>
      <c r="J228" s="33"/>
      <c r="K228" s="33"/>
      <c r="M228" s="47"/>
    </row>
    <row r="229" spans="1:16" ht="15.75" x14ac:dyDescent="0.25">
      <c r="A229" s="1"/>
      <c r="B229" s="1"/>
      <c r="F229" s="9">
        <v>11</v>
      </c>
      <c r="G229" s="32">
        <v>212</v>
      </c>
      <c r="H229" s="11">
        <v>37468</v>
      </c>
      <c r="I229" s="32">
        <v>115</v>
      </c>
      <c r="J229" s="33"/>
      <c r="K229" s="33"/>
      <c r="M229" s="47"/>
    </row>
    <row r="230" spans="1:16" ht="15.75" x14ac:dyDescent="0.25">
      <c r="A230" s="1"/>
      <c r="B230" s="1"/>
      <c r="F230" s="9">
        <v>12</v>
      </c>
      <c r="G230" s="32">
        <v>224</v>
      </c>
      <c r="H230" s="11">
        <v>37480</v>
      </c>
      <c r="I230" s="32">
        <v>113</v>
      </c>
      <c r="J230" s="33"/>
      <c r="K230" s="33"/>
      <c r="M230" s="47"/>
    </row>
    <row r="231" spans="1:16" ht="15.75" x14ac:dyDescent="0.25">
      <c r="F231" s="9">
        <v>13</v>
      </c>
      <c r="G231" s="32">
        <v>235</v>
      </c>
      <c r="H231" s="11">
        <v>37491</v>
      </c>
      <c r="I231" s="32">
        <v>65</v>
      </c>
      <c r="J231" s="33"/>
      <c r="K231" s="33"/>
      <c r="M231" s="47"/>
    </row>
    <row r="232" spans="1:16" ht="15.75" x14ac:dyDescent="0.25">
      <c r="A232" s="1"/>
      <c r="B232" s="1"/>
      <c r="F232" s="9">
        <v>14</v>
      </c>
      <c r="G232" s="32" t="e">
        <v>#N/A</v>
      </c>
      <c r="H232" s="11" t="e">
        <v>#N/A</v>
      </c>
      <c r="I232" s="32" t="e">
        <v>#N/A</v>
      </c>
      <c r="J232" s="33"/>
      <c r="K232" s="33"/>
      <c r="M232" s="47"/>
    </row>
    <row r="233" spans="1:16" ht="15.75" x14ac:dyDescent="0.25">
      <c r="A233" s="1"/>
      <c r="B233" s="1"/>
      <c r="F233" s="9">
        <v>15</v>
      </c>
      <c r="G233" s="32" t="e">
        <v>#N/A</v>
      </c>
      <c r="H233" s="11" t="e">
        <v>#N/A</v>
      </c>
      <c r="I233" s="32" t="e">
        <v>#N/A</v>
      </c>
      <c r="J233" s="33"/>
      <c r="K233" s="33"/>
      <c r="M233" s="47"/>
    </row>
    <row r="234" spans="1:16" ht="15.75" x14ac:dyDescent="0.25">
      <c r="A234" s="1"/>
      <c r="B234" s="1"/>
      <c r="F234" s="9">
        <v>16</v>
      </c>
      <c r="G234" s="32" t="e">
        <v>#N/A</v>
      </c>
      <c r="H234" s="11" t="e">
        <v>#N/A</v>
      </c>
      <c r="I234" s="32" t="e">
        <v>#N/A</v>
      </c>
      <c r="J234" s="33"/>
      <c r="K234" s="33"/>
      <c r="M234" s="47"/>
    </row>
    <row r="235" spans="1:16" ht="16.5" thickBot="1" x14ac:dyDescent="0.3">
      <c r="A235" s="1"/>
      <c r="B235" s="1"/>
      <c r="F235" s="9">
        <v>17</v>
      </c>
      <c r="G235" s="32" t="e">
        <v>#N/A</v>
      </c>
      <c r="H235" s="11" t="e">
        <v>#N/A</v>
      </c>
      <c r="I235" s="32" t="e">
        <v>#N/A</v>
      </c>
      <c r="J235" s="33"/>
      <c r="K235" s="33"/>
      <c r="M235" s="47"/>
    </row>
    <row r="236" spans="1:16" ht="16.5" thickBot="1" x14ac:dyDescent="0.3">
      <c r="A236" s="23">
        <v>18</v>
      </c>
      <c r="B236" s="28">
        <v>4</v>
      </c>
      <c r="C236" s="28" t="s">
        <v>5</v>
      </c>
      <c r="D236" s="28">
        <v>302</v>
      </c>
      <c r="E236" s="24" t="s">
        <v>28</v>
      </c>
      <c r="F236" s="29" t="s">
        <v>17</v>
      </c>
      <c r="G236" s="30"/>
      <c r="H236" s="30"/>
      <c r="I236" s="31">
        <v>1116</v>
      </c>
      <c r="J236" s="31">
        <v>0</v>
      </c>
      <c r="K236" s="52"/>
      <c r="M236" s="47"/>
    </row>
    <row r="237" spans="1:16" ht="13.5" thickBot="1" x14ac:dyDescent="0.25">
      <c r="J237" s="48"/>
      <c r="K237" s="41"/>
      <c r="M237" s="47"/>
    </row>
    <row r="238" spans="1:16" ht="16.5" thickBot="1" x14ac:dyDescent="0.3">
      <c r="A238" s="23">
        <v>3</v>
      </c>
      <c r="B238" s="28">
        <v>5</v>
      </c>
      <c r="C238" s="28" t="s">
        <v>6</v>
      </c>
      <c r="D238" s="28">
        <v>103</v>
      </c>
      <c r="E238" s="24" t="s">
        <v>25</v>
      </c>
      <c r="F238" s="10">
        <v>1</v>
      </c>
      <c r="G238" s="25">
        <v>112</v>
      </c>
      <c r="H238" s="26">
        <v>37368</v>
      </c>
      <c r="I238" s="25">
        <v>93</v>
      </c>
      <c r="J238" s="32"/>
      <c r="K238" s="53"/>
      <c r="M238" s="46"/>
      <c r="N238" s="44"/>
      <c r="O238" s="44"/>
      <c r="P238" s="44"/>
    </row>
    <row r="239" spans="1:16" ht="15.75" x14ac:dyDescent="0.25">
      <c r="A239" s="1"/>
      <c r="B239" s="1"/>
      <c r="F239" s="9">
        <v>2</v>
      </c>
      <c r="G239" s="32">
        <v>119</v>
      </c>
      <c r="H239" s="11">
        <v>37375</v>
      </c>
      <c r="I239" s="32">
        <v>77</v>
      </c>
      <c r="J239" s="49"/>
      <c r="K239" s="33"/>
      <c r="M239" s="46"/>
      <c r="N239" s="44"/>
      <c r="O239" s="44"/>
      <c r="P239" s="44"/>
    </row>
    <row r="240" spans="1:16" ht="15.75" x14ac:dyDescent="0.25">
      <c r="A240" s="1"/>
      <c r="B240" s="1"/>
      <c r="F240" s="9">
        <v>3</v>
      </c>
      <c r="G240" s="32">
        <v>128</v>
      </c>
      <c r="H240" s="11">
        <v>37384</v>
      </c>
      <c r="I240" s="32">
        <v>83</v>
      </c>
      <c r="J240" s="33"/>
      <c r="K240" s="33"/>
      <c r="M240" s="46"/>
      <c r="N240" s="44"/>
      <c r="O240" s="44"/>
      <c r="P240" s="44"/>
    </row>
    <row r="241" spans="1:16" ht="15.75" x14ac:dyDescent="0.25">
      <c r="A241" s="1"/>
      <c r="B241" s="1"/>
      <c r="F241" s="9">
        <v>4</v>
      </c>
      <c r="G241" s="32">
        <v>130</v>
      </c>
      <c r="H241" s="11">
        <v>37386</v>
      </c>
      <c r="I241" s="32">
        <v>51</v>
      </c>
      <c r="J241" s="33"/>
      <c r="K241" s="33"/>
      <c r="M241" s="46"/>
      <c r="N241" s="44"/>
      <c r="O241" s="44"/>
      <c r="P241" s="44"/>
    </row>
    <row r="242" spans="1:16" ht="15.75" x14ac:dyDescent="0.25">
      <c r="A242" s="1"/>
      <c r="B242" s="1"/>
      <c r="F242" s="9">
        <v>5</v>
      </c>
      <c r="G242" s="32">
        <v>136</v>
      </c>
      <c r="H242" s="11">
        <v>37392</v>
      </c>
      <c r="I242" s="32">
        <v>61</v>
      </c>
      <c r="J242" s="33"/>
      <c r="K242" s="33"/>
      <c r="M242" s="46"/>
      <c r="N242" s="44"/>
      <c r="O242" s="44"/>
      <c r="P242" s="44"/>
    </row>
    <row r="243" spans="1:16" ht="15.75" x14ac:dyDescent="0.25">
      <c r="A243" s="1"/>
      <c r="B243" s="1"/>
      <c r="F243" s="9">
        <v>6</v>
      </c>
      <c r="G243" s="32">
        <v>155</v>
      </c>
      <c r="H243" s="11">
        <v>37411</v>
      </c>
      <c r="I243" s="32">
        <v>51</v>
      </c>
      <c r="J243" s="33">
        <v>84</v>
      </c>
      <c r="K243" s="33"/>
      <c r="M243" s="47"/>
    </row>
    <row r="244" spans="1:16" ht="15.75" x14ac:dyDescent="0.25">
      <c r="A244" s="1"/>
      <c r="B244" s="1"/>
      <c r="F244" s="9">
        <v>7</v>
      </c>
      <c r="G244" s="32">
        <v>168</v>
      </c>
      <c r="H244" s="11">
        <v>37424</v>
      </c>
      <c r="I244" s="32">
        <v>76</v>
      </c>
      <c r="J244" s="33"/>
      <c r="K244" s="33"/>
      <c r="M244" s="47"/>
    </row>
    <row r="245" spans="1:16" ht="15.75" x14ac:dyDescent="0.25">
      <c r="A245" s="1"/>
      <c r="B245" s="1"/>
      <c r="F245" s="9">
        <v>8</v>
      </c>
      <c r="G245" s="32">
        <v>178</v>
      </c>
      <c r="H245" s="11">
        <v>37434</v>
      </c>
      <c r="I245" s="32">
        <v>87</v>
      </c>
      <c r="J245" s="33"/>
      <c r="K245" s="33"/>
      <c r="M245" s="47"/>
    </row>
    <row r="246" spans="1:16" ht="15.75" x14ac:dyDescent="0.25">
      <c r="A246" s="1"/>
      <c r="B246" s="1"/>
      <c r="F246" s="9">
        <v>9</v>
      </c>
      <c r="G246" s="32">
        <v>189</v>
      </c>
      <c r="H246" s="11">
        <v>37445</v>
      </c>
      <c r="I246" s="32">
        <v>106</v>
      </c>
      <c r="J246" s="33">
        <v>56</v>
      </c>
      <c r="K246" s="33"/>
      <c r="M246" s="47"/>
    </row>
    <row r="247" spans="1:16" ht="15.75" x14ac:dyDescent="0.25">
      <c r="A247" s="1"/>
      <c r="B247" s="1"/>
      <c r="F247" s="9">
        <v>10</v>
      </c>
      <c r="G247" s="32">
        <v>201</v>
      </c>
      <c r="H247" s="11">
        <v>37457</v>
      </c>
      <c r="I247" s="32">
        <v>112</v>
      </c>
      <c r="J247" s="33"/>
      <c r="K247" s="33"/>
      <c r="M247" s="47"/>
    </row>
    <row r="248" spans="1:16" ht="15.75" x14ac:dyDescent="0.25">
      <c r="A248" s="1"/>
      <c r="B248" s="1"/>
      <c r="F248" s="9">
        <v>11</v>
      </c>
      <c r="G248" s="32">
        <v>212</v>
      </c>
      <c r="H248" s="11">
        <v>37468</v>
      </c>
      <c r="I248" s="32">
        <v>115</v>
      </c>
      <c r="J248" s="33"/>
      <c r="K248" s="33"/>
      <c r="M248" s="47"/>
    </row>
    <row r="249" spans="1:16" ht="15.75" x14ac:dyDescent="0.25">
      <c r="A249" s="1"/>
      <c r="B249" s="1"/>
      <c r="F249" s="9">
        <v>12</v>
      </c>
      <c r="G249" s="32">
        <v>224</v>
      </c>
      <c r="H249" s="11">
        <v>37480</v>
      </c>
      <c r="I249" s="32">
        <v>113</v>
      </c>
      <c r="J249" s="33"/>
      <c r="K249" s="33"/>
      <c r="M249" s="47"/>
    </row>
    <row r="250" spans="1:16" ht="15.75" x14ac:dyDescent="0.25">
      <c r="F250" s="9">
        <v>13</v>
      </c>
      <c r="G250" s="32">
        <v>235</v>
      </c>
      <c r="H250" s="11">
        <v>37491</v>
      </c>
      <c r="I250" s="32">
        <v>65</v>
      </c>
      <c r="J250" s="33"/>
      <c r="K250" s="33"/>
      <c r="M250" s="47"/>
    </row>
    <row r="251" spans="1:16" ht="15.75" x14ac:dyDescent="0.25">
      <c r="A251" s="1"/>
      <c r="B251" s="1"/>
      <c r="F251" s="9">
        <v>14</v>
      </c>
      <c r="G251" s="32" t="e">
        <v>#N/A</v>
      </c>
      <c r="H251" s="11" t="e">
        <v>#N/A</v>
      </c>
      <c r="I251" s="32" t="e">
        <v>#N/A</v>
      </c>
      <c r="J251" s="33"/>
      <c r="K251" s="33"/>
      <c r="M251" s="47"/>
    </row>
    <row r="252" spans="1:16" ht="15.75" x14ac:dyDescent="0.25">
      <c r="A252" s="1"/>
      <c r="B252" s="1"/>
      <c r="F252" s="9">
        <v>15</v>
      </c>
      <c r="G252" s="32" t="e">
        <v>#N/A</v>
      </c>
      <c r="H252" s="11" t="e">
        <v>#N/A</v>
      </c>
      <c r="I252" s="32" t="e">
        <v>#N/A</v>
      </c>
      <c r="J252" s="33"/>
      <c r="K252" s="33"/>
      <c r="M252" s="47"/>
    </row>
    <row r="253" spans="1:16" ht="15.75" x14ac:dyDescent="0.25">
      <c r="A253" s="1"/>
      <c r="B253" s="1"/>
      <c r="F253" s="9">
        <v>16</v>
      </c>
      <c r="G253" s="32" t="e">
        <v>#N/A</v>
      </c>
      <c r="H253" s="11" t="e">
        <v>#N/A</v>
      </c>
      <c r="I253" s="32" t="e">
        <v>#N/A</v>
      </c>
      <c r="J253" s="33"/>
      <c r="K253" s="33"/>
      <c r="M253" s="47"/>
    </row>
    <row r="254" spans="1:16" ht="16.5" thickBot="1" x14ac:dyDescent="0.3">
      <c r="A254" s="1"/>
      <c r="B254" s="1"/>
      <c r="F254" s="9">
        <v>17</v>
      </c>
      <c r="G254" s="32" t="e">
        <v>#N/A</v>
      </c>
      <c r="H254" s="11" t="e">
        <v>#N/A</v>
      </c>
      <c r="I254" s="32" t="e">
        <v>#N/A</v>
      </c>
      <c r="J254" s="33"/>
      <c r="K254" s="33"/>
      <c r="M254" s="47"/>
    </row>
    <row r="255" spans="1:16" ht="16.5" thickBot="1" x14ac:dyDescent="0.3">
      <c r="A255" s="23">
        <v>3</v>
      </c>
      <c r="B255" s="28">
        <v>5</v>
      </c>
      <c r="C255" s="28" t="s">
        <v>6</v>
      </c>
      <c r="D255" s="28">
        <v>103</v>
      </c>
      <c r="E255" s="24" t="s">
        <v>25</v>
      </c>
      <c r="F255" s="29" t="s">
        <v>17</v>
      </c>
      <c r="G255" s="30"/>
      <c r="H255" s="30"/>
      <c r="I255" s="31">
        <v>1090</v>
      </c>
      <c r="J255" s="31">
        <v>140</v>
      </c>
      <c r="K255" s="52"/>
      <c r="M255" s="47"/>
    </row>
    <row r="256" spans="1:16" ht="13.5" thickBot="1" x14ac:dyDescent="0.25">
      <c r="J256" s="48"/>
      <c r="K256" s="41"/>
      <c r="M256" s="47"/>
    </row>
    <row r="257" spans="1:13" ht="16.5" thickBot="1" x14ac:dyDescent="0.3">
      <c r="A257" s="23">
        <v>24</v>
      </c>
      <c r="B257" s="28">
        <v>5</v>
      </c>
      <c r="C257" s="28" t="s">
        <v>6</v>
      </c>
      <c r="D257" s="28">
        <v>308</v>
      </c>
      <c r="E257" s="24" t="s">
        <v>29</v>
      </c>
      <c r="F257" s="10">
        <v>1</v>
      </c>
      <c r="G257" s="25">
        <v>112</v>
      </c>
      <c r="H257" s="26">
        <v>37368</v>
      </c>
      <c r="I257" s="25">
        <v>98</v>
      </c>
      <c r="J257" s="32"/>
      <c r="K257" s="53"/>
      <c r="M257" s="47"/>
    </row>
    <row r="258" spans="1:13" ht="15.75" x14ac:dyDescent="0.25">
      <c r="A258" s="1"/>
      <c r="B258" s="1"/>
      <c r="F258" s="9">
        <v>2</v>
      </c>
      <c r="G258" s="32">
        <v>119</v>
      </c>
      <c r="H258" s="11">
        <v>37375</v>
      </c>
      <c r="I258" s="32">
        <v>78</v>
      </c>
      <c r="J258" s="49"/>
      <c r="K258" s="33"/>
      <c r="M258" s="47"/>
    </row>
    <row r="259" spans="1:13" ht="15.75" x14ac:dyDescent="0.25">
      <c r="A259" s="1"/>
      <c r="B259" s="1"/>
      <c r="F259" s="9">
        <v>3</v>
      </c>
      <c r="G259" s="32">
        <v>128</v>
      </c>
      <c r="H259" s="11">
        <v>37384</v>
      </c>
      <c r="I259" s="32">
        <v>99</v>
      </c>
      <c r="J259" s="33"/>
      <c r="K259" s="33"/>
      <c r="M259" s="47"/>
    </row>
    <row r="260" spans="1:13" ht="15.75" x14ac:dyDescent="0.25">
      <c r="A260" s="1"/>
      <c r="B260" s="1"/>
      <c r="F260" s="9">
        <v>4</v>
      </c>
      <c r="G260" s="32">
        <v>130</v>
      </c>
      <c r="H260" s="11">
        <v>37386</v>
      </c>
      <c r="I260" s="32">
        <v>61</v>
      </c>
      <c r="J260" s="33"/>
      <c r="K260" s="33"/>
      <c r="M260" s="47"/>
    </row>
    <row r="261" spans="1:13" ht="15.75" x14ac:dyDescent="0.25">
      <c r="A261" s="1"/>
      <c r="B261" s="1"/>
      <c r="F261" s="9">
        <v>5</v>
      </c>
      <c r="G261" s="32">
        <v>136</v>
      </c>
      <c r="H261" s="11">
        <v>37392</v>
      </c>
      <c r="I261" s="32">
        <v>59</v>
      </c>
      <c r="J261" s="33"/>
      <c r="K261" s="33"/>
      <c r="M261" s="47"/>
    </row>
    <row r="262" spans="1:13" ht="15.75" x14ac:dyDescent="0.25">
      <c r="A262" s="1"/>
      <c r="B262" s="1"/>
      <c r="F262" s="9">
        <v>6</v>
      </c>
      <c r="G262" s="32">
        <v>155</v>
      </c>
      <c r="H262" s="11">
        <v>37411</v>
      </c>
      <c r="I262" s="32">
        <v>51</v>
      </c>
      <c r="J262" s="33">
        <v>84</v>
      </c>
      <c r="K262" s="33"/>
      <c r="M262" s="47"/>
    </row>
    <row r="263" spans="1:13" ht="15.75" x14ac:dyDescent="0.25">
      <c r="A263" s="1"/>
      <c r="B263" s="1"/>
      <c r="F263" s="9">
        <v>7</v>
      </c>
      <c r="G263" s="32">
        <v>168</v>
      </c>
      <c r="H263" s="11">
        <v>37424</v>
      </c>
      <c r="I263" s="32">
        <v>76</v>
      </c>
      <c r="J263" s="33"/>
      <c r="K263" s="33"/>
      <c r="M263" s="47"/>
    </row>
    <row r="264" spans="1:13" ht="15.75" x14ac:dyDescent="0.25">
      <c r="A264" s="1"/>
      <c r="B264" s="1"/>
      <c r="F264" s="9">
        <v>8</v>
      </c>
      <c r="G264" s="32">
        <v>178</v>
      </c>
      <c r="H264" s="11">
        <v>37434</v>
      </c>
      <c r="I264" s="32">
        <v>87</v>
      </c>
      <c r="J264" s="33"/>
      <c r="K264" s="33"/>
      <c r="M264" s="47"/>
    </row>
    <row r="265" spans="1:13" ht="15.75" x14ac:dyDescent="0.25">
      <c r="A265" s="1"/>
      <c r="B265" s="1"/>
      <c r="F265" s="9">
        <v>9</v>
      </c>
      <c r="G265" s="32">
        <v>189</v>
      </c>
      <c r="H265" s="11">
        <v>37445</v>
      </c>
      <c r="I265" s="32">
        <v>106</v>
      </c>
      <c r="J265" s="33">
        <v>56</v>
      </c>
      <c r="K265" s="33"/>
      <c r="M265" s="47"/>
    </row>
    <row r="266" spans="1:13" ht="15.75" x14ac:dyDescent="0.25">
      <c r="A266" s="1"/>
      <c r="B266" s="1"/>
      <c r="F266" s="9">
        <v>10</v>
      </c>
      <c r="G266" s="32">
        <v>201</v>
      </c>
      <c r="H266" s="11">
        <v>37457</v>
      </c>
      <c r="I266" s="32">
        <v>112</v>
      </c>
      <c r="J266" s="33"/>
      <c r="K266" s="33"/>
      <c r="M266" s="47"/>
    </row>
    <row r="267" spans="1:13" ht="15.75" x14ac:dyDescent="0.25">
      <c r="A267" s="1"/>
      <c r="B267" s="1"/>
      <c r="F267" s="9">
        <v>11</v>
      </c>
      <c r="G267" s="32">
        <v>212</v>
      </c>
      <c r="H267" s="11">
        <v>37468</v>
      </c>
      <c r="I267" s="32">
        <v>115</v>
      </c>
      <c r="J267" s="33"/>
      <c r="K267" s="33"/>
      <c r="M267" s="47"/>
    </row>
    <row r="268" spans="1:13" ht="15.75" x14ac:dyDescent="0.25">
      <c r="A268" s="1"/>
      <c r="B268" s="1"/>
      <c r="F268" s="9">
        <v>12</v>
      </c>
      <c r="G268" s="32">
        <v>224</v>
      </c>
      <c r="H268" s="11">
        <v>37480</v>
      </c>
      <c r="I268" s="32">
        <v>113</v>
      </c>
      <c r="J268" s="33"/>
      <c r="K268" s="33"/>
      <c r="M268" s="47"/>
    </row>
    <row r="269" spans="1:13" ht="15.75" x14ac:dyDescent="0.25">
      <c r="F269" s="9">
        <v>13</v>
      </c>
      <c r="G269" s="32">
        <v>235</v>
      </c>
      <c r="H269" s="11">
        <v>37491</v>
      </c>
      <c r="I269" s="32">
        <v>65</v>
      </c>
      <c r="J269" s="33"/>
      <c r="K269" s="33"/>
      <c r="M269" s="47"/>
    </row>
    <row r="270" spans="1:13" ht="15.75" x14ac:dyDescent="0.25">
      <c r="A270" s="1"/>
      <c r="B270" s="1"/>
      <c r="F270" s="9">
        <v>14</v>
      </c>
      <c r="G270" s="32" t="e">
        <v>#N/A</v>
      </c>
      <c r="H270" s="11" t="e">
        <v>#N/A</v>
      </c>
      <c r="I270" s="32" t="e">
        <v>#N/A</v>
      </c>
      <c r="J270" s="33"/>
      <c r="K270" s="33"/>
      <c r="M270" s="47"/>
    </row>
    <row r="271" spans="1:13" ht="15.75" x14ac:dyDescent="0.25">
      <c r="A271" s="1"/>
      <c r="B271" s="1"/>
      <c r="F271" s="9">
        <v>15</v>
      </c>
      <c r="G271" s="32" t="e">
        <v>#N/A</v>
      </c>
      <c r="H271" s="11" t="e">
        <v>#N/A</v>
      </c>
      <c r="I271" s="32" t="e">
        <v>#N/A</v>
      </c>
      <c r="J271" s="33"/>
      <c r="K271" s="33"/>
      <c r="M271" s="47"/>
    </row>
    <row r="272" spans="1:13" ht="15.75" x14ac:dyDescent="0.25">
      <c r="A272" s="1"/>
      <c r="B272" s="1"/>
      <c r="F272" s="9">
        <v>16</v>
      </c>
      <c r="G272" s="32" t="e">
        <v>#N/A</v>
      </c>
      <c r="H272" s="11" t="e">
        <v>#N/A</v>
      </c>
      <c r="I272" s="32" t="e">
        <v>#N/A</v>
      </c>
      <c r="J272" s="33"/>
      <c r="K272" s="33"/>
      <c r="M272" s="47"/>
    </row>
    <row r="273" spans="1:13" ht="16.5" thickBot="1" x14ac:dyDescent="0.3">
      <c r="A273" s="1"/>
      <c r="B273" s="1"/>
      <c r="F273" s="9">
        <v>17</v>
      </c>
      <c r="G273" s="32" t="e">
        <v>#N/A</v>
      </c>
      <c r="H273" s="11" t="e">
        <v>#N/A</v>
      </c>
      <c r="I273" s="32" t="e">
        <v>#N/A</v>
      </c>
      <c r="J273" s="33"/>
      <c r="K273" s="33"/>
      <c r="M273" s="47"/>
    </row>
    <row r="274" spans="1:13" ht="16.5" thickBot="1" x14ac:dyDescent="0.3">
      <c r="A274" s="23">
        <v>24</v>
      </c>
      <c r="B274" s="28">
        <v>5</v>
      </c>
      <c r="C274" s="28" t="s">
        <v>6</v>
      </c>
      <c r="D274" s="28">
        <v>308</v>
      </c>
      <c r="E274" s="24" t="s">
        <v>29</v>
      </c>
      <c r="F274" s="29" t="s">
        <v>17</v>
      </c>
      <c r="G274" s="30"/>
      <c r="H274" s="30"/>
      <c r="I274" s="31">
        <v>1120</v>
      </c>
      <c r="J274" s="31">
        <v>140</v>
      </c>
      <c r="K274" s="52"/>
      <c r="M274" s="47"/>
    </row>
    <row r="275" spans="1:13" ht="13.5" thickBot="1" x14ac:dyDescent="0.25">
      <c r="J275" s="48"/>
      <c r="K275" s="41"/>
      <c r="M275" s="47"/>
    </row>
    <row r="276" spans="1:13" ht="16.5" thickBot="1" x14ac:dyDescent="0.3">
      <c r="A276" s="23">
        <v>27</v>
      </c>
      <c r="B276" s="28">
        <v>6</v>
      </c>
      <c r="C276" s="28" t="s">
        <v>7</v>
      </c>
      <c r="D276" s="28">
        <v>403</v>
      </c>
      <c r="E276" s="24" t="s">
        <v>28</v>
      </c>
      <c r="F276" s="10">
        <v>1</v>
      </c>
      <c r="G276" s="25">
        <v>112</v>
      </c>
      <c r="H276" s="26">
        <v>37368</v>
      </c>
      <c r="I276" s="25">
        <v>93</v>
      </c>
      <c r="J276" s="32"/>
      <c r="K276" s="53"/>
      <c r="M276" s="47"/>
    </row>
    <row r="277" spans="1:13" ht="15.75" x14ac:dyDescent="0.25">
      <c r="A277" s="1"/>
      <c r="B277" s="1"/>
      <c r="F277" s="9">
        <v>2</v>
      </c>
      <c r="G277" s="32">
        <v>119</v>
      </c>
      <c r="H277" s="11">
        <v>37375</v>
      </c>
      <c r="I277" s="32">
        <v>78</v>
      </c>
      <c r="J277" s="49"/>
      <c r="K277" s="33"/>
      <c r="M277" s="47"/>
    </row>
    <row r="278" spans="1:13" ht="15.75" x14ac:dyDescent="0.25">
      <c r="A278" s="1"/>
      <c r="B278" s="1"/>
      <c r="F278" s="9">
        <v>3</v>
      </c>
      <c r="G278" s="32">
        <v>128</v>
      </c>
      <c r="H278" s="11">
        <v>37384</v>
      </c>
      <c r="I278" s="32">
        <v>99</v>
      </c>
      <c r="J278" s="33"/>
      <c r="K278" s="33"/>
      <c r="M278" s="47"/>
    </row>
    <row r="279" spans="1:13" ht="15.75" x14ac:dyDescent="0.25">
      <c r="A279" s="1"/>
      <c r="B279" s="1"/>
      <c r="F279" s="9">
        <v>4</v>
      </c>
      <c r="G279" s="32">
        <v>130</v>
      </c>
      <c r="H279" s="11">
        <v>37386</v>
      </c>
      <c r="I279" s="32">
        <v>61</v>
      </c>
      <c r="J279" s="33"/>
      <c r="K279" s="33"/>
      <c r="M279" s="47"/>
    </row>
    <row r="280" spans="1:13" ht="15.75" x14ac:dyDescent="0.25">
      <c r="A280" s="1"/>
      <c r="B280" s="1"/>
      <c r="F280" s="9">
        <v>5</v>
      </c>
      <c r="G280" s="32">
        <v>136</v>
      </c>
      <c r="H280" s="11">
        <v>37392</v>
      </c>
      <c r="I280" s="32">
        <v>59</v>
      </c>
      <c r="J280" s="33"/>
      <c r="K280" s="33"/>
      <c r="M280" s="47"/>
    </row>
    <row r="281" spans="1:13" ht="15.75" x14ac:dyDescent="0.25">
      <c r="A281" s="1"/>
      <c r="B281" s="1"/>
      <c r="F281" s="9">
        <v>6</v>
      </c>
      <c r="G281" s="32">
        <v>155</v>
      </c>
      <c r="H281" s="11">
        <v>37411</v>
      </c>
      <c r="I281" s="32">
        <v>51</v>
      </c>
      <c r="J281" s="33"/>
      <c r="K281" s="33"/>
      <c r="M281" s="47"/>
    </row>
    <row r="282" spans="1:13" ht="15.75" x14ac:dyDescent="0.25">
      <c r="A282" s="1"/>
      <c r="B282" s="1"/>
      <c r="F282" s="9">
        <v>7</v>
      </c>
      <c r="G282" s="32">
        <v>168</v>
      </c>
      <c r="H282" s="11">
        <v>37424</v>
      </c>
      <c r="I282" s="32">
        <v>76</v>
      </c>
      <c r="J282" s="33"/>
      <c r="K282" s="33"/>
      <c r="M282" s="47"/>
    </row>
    <row r="283" spans="1:13" ht="15.75" x14ac:dyDescent="0.25">
      <c r="A283" s="1"/>
      <c r="B283" s="1"/>
      <c r="F283" s="9">
        <v>8</v>
      </c>
      <c r="G283" s="32">
        <v>178</v>
      </c>
      <c r="H283" s="11">
        <v>37434</v>
      </c>
      <c r="I283" s="32">
        <v>87</v>
      </c>
      <c r="J283" s="33"/>
      <c r="K283" s="33"/>
      <c r="M283" s="47"/>
    </row>
    <row r="284" spans="1:13" ht="15.75" x14ac:dyDescent="0.25">
      <c r="A284" s="1"/>
      <c r="B284" s="1"/>
      <c r="F284" s="9">
        <v>9</v>
      </c>
      <c r="G284" s="32">
        <v>189</v>
      </c>
      <c r="H284" s="11">
        <v>37445</v>
      </c>
      <c r="I284" s="32">
        <v>106</v>
      </c>
      <c r="J284" s="33"/>
      <c r="K284" s="33"/>
      <c r="M284" s="47"/>
    </row>
    <row r="285" spans="1:13" ht="15.75" x14ac:dyDescent="0.25">
      <c r="A285" s="1"/>
      <c r="B285" s="1"/>
      <c r="F285" s="9">
        <v>10</v>
      </c>
      <c r="G285" s="32">
        <v>201</v>
      </c>
      <c r="H285" s="11">
        <v>37457</v>
      </c>
      <c r="I285" s="32">
        <v>112</v>
      </c>
      <c r="J285" s="33"/>
      <c r="K285" s="33"/>
      <c r="M285" s="47"/>
    </row>
    <row r="286" spans="1:13" ht="15.75" x14ac:dyDescent="0.25">
      <c r="A286" s="1"/>
      <c r="B286" s="1"/>
      <c r="F286" s="9">
        <v>11</v>
      </c>
      <c r="G286" s="32">
        <v>212</v>
      </c>
      <c r="H286" s="11">
        <v>37468</v>
      </c>
      <c r="I286" s="32">
        <v>115</v>
      </c>
      <c r="J286" s="33"/>
      <c r="K286" s="33"/>
      <c r="M286" s="47"/>
    </row>
    <row r="287" spans="1:13" ht="15.75" x14ac:dyDescent="0.25">
      <c r="A287" s="1"/>
      <c r="B287" s="1"/>
      <c r="F287" s="9">
        <v>12</v>
      </c>
      <c r="G287" s="32">
        <v>224</v>
      </c>
      <c r="H287" s="11">
        <v>37480</v>
      </c>
      <c r="I287" s="32">
        <v>113</v>
      </c>
      <c r="J287" s="33"/>
      <c r="K287" s="33"/>
      <c r="M287" s="47"/>
    </row>
    <row r="288" spans="1:13" ht="15.75" x14ac:dyDescent="0.25">
      <c r="F288" s="9">
        <v>13</v>
      </c>
      <c r="G288" s="32">
        <v>235</v>
      </c>
      <c r="H288" s="11">
        <v>37491</v>
      </c>
      <c r="I288" s="32">
        <v>65</v>
      </c>
      <c r="J288" s="33"/>
      <c r="K288" s="33"/>
      <c r="M288" s="47"/>
    </row>
    <row r="289" spans="1:13" ht="15.75" x14ac:dyDescent="0.25">
      <c r="A289" s="1"/>
      <c r="B289" s="1"/>
      <c r="F289" s="9">
        <v>14</v>
      </c>
      <c r="G289" s="32" t="e">
        <v>#N/A</v>
      </c>
      <c r="H289" s="11" t="e">
        <v>#N/A</v>
      </c>
      <c r="I289" s="32" t="e">
        <v>#N/A</v>
      </c>
      <c r="J289" s="33"/>
      <c r="K289" s="33"/>
      <c r="M289" s="47"/>
    </row>
    <row r="290" spans="1:13" ht="15.75" x14ac:dyDescent="0.25">
      <c r="A290" s="1"/>
      <c r="B290" s="1"/>
      <c r="F290" s="9">
        <v>15</v>
      </c>
      <c r="G290" s="32" t="e">
        <v>#N/A</v>
      </c>
      <c r="H290" s="11" t="e">
        <v>#N/A</v>
      </c>
      <c r="I290" s="32" t="e">
        <v>#N/A</v>
      </c>
      <c r="J290" s="33"/>
      <c r="K290" s="33"/>
      <c r="M290" s="47"/>
    </row>
    <row r="291" spans="1:13" ht="15.75" x14ac:dyDescent="0.25">
      <c r="A291" s="1"/>
      <c r="B291" s="1"/>
      <c r="F291" s="9">
        <v>16</v>
      </c>
      <c r="G291" s="32" t="e">
        <v>#N/A</v>
      </c>
      <c r="H291" s="11" t="e">
        <v>#N/A</v>
      </c>
      <c r="I291" s="32" t="e">
        <v>#N/A</v>
      </c>
      <c r="J291" s="33"/>
      <c r="K291" s="33"/>
      <c r="M291" s="47"/>
    </row>
    <row r="292" spans="1:13" ht="16.5" thickBot="1" x14ac:dyDescent="0.3">
      <c r="A292" s="1"/>
      <c r="B292" s="1"/>
      <c r="F292" s="9">
        <v>17</v>
      </c>
      <c r="G292" s="32" t="e">
        <v>#N/A</v>
      </c>
      <c r="H292" s="11" t="e">
        <v>#N/A</v>
      </c>
      <c r="I292" s="32" t="e">
        <v>#N/A</v>
      </c>
      <c r="J292" s="33"/>
      <c r="K292" s="33"/>
      <c r="M292" s="47"/>
    </row>
    <row r="293" spans="1:13" ht="16.5" thickBot="1" x14ac:dyDescent="0.3">
      <c r="A293" s="23">
        <v>27</v>
      </c>
      <c r="B293" s="28">
        <v>6</v>
      </c>
      <c r="C293" s="28" t="s">
        <v>7</v>
      </c>
      <c r="D293" s="28">
        <v>403</v>
      </c>
      <c r="E293" s="24" t="s">
        <v>28</v>
      </c>
      <c r="F293" s="29" t="s">
        <v>17</v>
      </c>
      <c r="G293" s="30"/>
      <c r="H293" s="30"/>
      <c r="I293" s="31">
        <v>1115</v>
      </c>
      <c r="J293" s="31">
        <v>0</v>
      </c>
      <c r="K293" s="52"/>
      <c r="M293" s="47"/>
    </row>
    <row r="294" spans="1:13" ht="13.5" thickBot="1" x14ac:dyDescent="0.25">
      <c r="J294" s="48"/>
      <c r="K294" s="41"/>
      <c r="M294" s="47"/>
    </row>
    <row r="295" spans="1:13" ht="16.5" thickBot="1" x14ac:dyDescent="0.3">
      <c r="A295" s="23">
        <v>29</v>
      </c>
      <c r="B295" s="28">
        <v>6</v>
      </c>
      <c r="C295" s="28" t="s">
        <v>7</v>
      </c>
      <c r="D295" s="28">
        <v>405</v>
      </c>
      <c r="E295" s="24" t="s">
        <v>29</v>
      </c>
      <c r="F295" s="10">
        <v>1</v>
      </c>
      <c r="G295" s="25">
        <v>112</v>
      </c>
      <c r="H295" s="26">
        <v>37368</v>
      </c>
      <c r="I295" s="25">
        <v>91</v>
      </c>
      <c r="J295" s="32"/>
      <c r="K295" s="53"/>
      <c r="M295" s="47"/>
    </row>
    <row r="296" spans="1:13" ht="15.75" x14ac:dyDescent="0.25">
      <c r="A296" s="1"/>
      <c r="B296" s="1"/>
      <c r="F296" s="9">
        <v>2</v>
      </c>
      <c r="G296" s="32">
        <v>119</v>
      </c>
      <c r="H296" s="11">
        <v>37375</v>
      </c>
      <c r="I296" s="32">
        <v>78</v>
      </c>
      <c r="J296" s="49"/>
      <c r="K296" s="33"/>
      <c r="M296" s="47"/>
    </row>
    <row r="297" spans="1:13" ht="15.75" x14ac:dyDescent="0.25">
      <c r="A297" s="1"/>
      <c r="B297" s="1"/>
      <c r="F297" s="9">
        <v>3</v>
      </c>
      <c r="G297" s="32">
        <v>128</v>
      </c>
      <c r="H297" s="11">
        <v>37384</v>
      </c>
      <c r="I297" s="32">
        <v>99</v>
      </c>
      <c r="J297" s="33"/>
      <c r="K297" s="33"/>
      <c r="M297" s="47"/>
    </row>
    <row r="298" spans="1:13" ht="15.75" x14ac:dyDescent="0.25">
      <c r="A298" s="1"/>
      <c r="B298" s="1"/>
      <c r="F298" s="9">
        <v>4</v>
      </c>
      <c r="G298" s="32">
        <v>130</v>
      </c>
      <c r="H298" s="11">
        <v>37386</v>
      </c>
      <c r="I298" s="32">
        <v>61</v>
      </c>
      <c r="J298" s="33"/>
      <c r="K298" s="33"/>
      <c r="M298" s="47"/>
    </row>
    <row r="299" spans="1:13" ht="15.75" x14ac:dyDescent="0.25">
      <c r="A299" s="1"/>
      <c r="B299" s="1"/>
      <c r="F299" s="9">
        <v>5</v>
      </c>
      <c r="G299" s="32">
        <v>136</v>
      </c>
      <c r="H299" s="11">
        <v>37392</v>
      </c>
      <c r="I299" s="32">
        <v>59</v>
      </c>
      <c r="J299" s="33"/>
      <c r="K299" s="33"/>
      <c r="M299" s="47"/>
    </row>
    <row r="300" spans="1:13" ht="15.75" x14ac:dyDescent="0.25">
      <c r="A300" s="1"/>
      <c r="B300" s="1"/>
      <c r="F300" s="9">
        <v>6</v>
      </c>
      <c r="G300" s="32">
        <v>155</v>
      </c>
      <c r="H300" s="11">
        <v>37411</v>
      </c>
      <c r="I300" s="32">
        <v>51</v>
      </c>
      <c r="J300" s="33"/>
      <c r="K300" s="33"/>
      <c r="M300" s="47"/>
    </row>
    <row r="301" spans="1:13" ht="15.75" x14ac:dyDescent="0.25">
      <c r="A301" s="1"/>
      <c r="B301" s="1"/>
      <c r="F301" s="9">
        <v>7</v>
      </c>
      <c r="G301" s="32">
        <v>168</v>
      </c>
      <c r="H301" s="11">
        <v>37424</v>
      </c>
      <c r="I301" s="32">
        <v>76</v>
      </c>
      <c r="J301" s="33"/>
      <c r="K301" s="33"/>
      <c r="M301" s="47"/>
    </row>
    <row r="302" spans="1:13" ht="15.75" x14ac:dyDescent="0.25">
      <c r="A302" s="1"/>
      <c r="B302" s="1"/>
      <c r="F302" s="9">
        <v>8</v>
      </c>
      <c r="G302" s="32">
        <v>178</v>
      </c>
      <c r="H302" s="11">
        <v>37434</v>
      </c>
      <c r="I302" s="32">
        <v>87</v>
      </c>
      <c r="J302" s="33"/>
      <c r="K302" s="33"/>
      <c r="M302" s="47"/>
    </row>
    <row r="303" spans="1:13" ht="15.75" x14ac:dyDescent="0.25">
      <c r="A303" s="1"/>
      <c r="B303" s="1"/>
      <c r="F303" s="9">
        <v>9</v>
      </c>
      <c r="G303" s="32">
        <v>189</v>
      </c>
      <c r="H303" s="11">
        <v>37445</v>
      </c>
      <c r="I303" s="32">
        <v>106</v>
      </c>
      <c r="J303" s="33"/>
      <c r="K303" s="33"/>
      <c r="M303" s="47"/>
    </row>
    <row r="304" spans="1:13" ht="15.75" x14ac:dyDescent="0.25">
      <c r="A304" s="1"/>
      <c r="B304" s="1"/>
      <c r="F304" s="9">
        <v>10</v>
      </c>
      <c r="G304" s="32">
        <v>201</v>
      </c>
      <c r="H304" s="11">
        <v>37457</v>
      </c>
      <c r="I304" s="32">
        <v>112</v>
      </c>
      <c r="J304" s="33"/>
      <c r="K304" s="33"/>
      <c r="M304" s="47"/>
    </row>
    <row r="305" spans="1:13" ht="15.75" x14ac:dyDescent="0.25">
      <c r="A305" s="1"/>
      <c r="B305" s="1"/>
      <c r="F305" s="9">
        <v>11</v>
      </c>
      <c r="G305" s="32">
        <v>212</v>
      </c>
      <c r="H305" s="11">
        <v>37468</v>
      </c>
      <c r="I305" s="32">
        <v>115</v>
      </c>
      <c r="J305" s="33"/>
      <c r="K305" s="33"/>
      <c r="M305" s="47"/>
    </row>
    <row r="306" spans="1:13" ht="15.75" x14ac:dyDescent="0.25">
      <c r="A306" s="1"/>
      <c r="B306" s="1"/>
      <c r="F306" s="9">
        <v>12</v>
      </c>
      <c r="G306" s="32">
        <v>224</v>
      </c>
      <c r="H306" s="11">
        <v>37480</v>
      </c>
      <c r="I306" s="32">
        <v>113</v>
      </c>
      <c r="J306" s="33"/>
      <c r="K306" s="33"/>
      <c r="M306" s="47"/>
    </row>
    <row r="307" spans="1:13" ht="15.75" x14ac:dyDescent="0.25">
      <c r="F307" s="9">
        <v>13</v>
      </c>
      <c r="G307" s="32">
        <v>235</v>
      </c>
      <c r="H307" s="11">
        <v>37491</v>
      </c>
      <c r="I307" s="32">
        <v>65</v>
      </c>
      <c r="J307" s="33"/>
      <c r="K307" s="33"/>
      <c r="M307" s="47"/>
    </row>
    <row r="308" spans="1:13" ht="15.75" x14ac:dyDescent="0.25">
      <c r="A308" s="1"/>
      <c r="B308" s="1"/>
      <c r="F308" s="9">
        <v>14</v>
      </c>
      <c r="G308" s="32" t="e">
        <v>#N/A</v>
      </c>
      <c r="H308" s="11" t="e">
        <v>#N/A</v>
      </c>
      <c r="I308" s="32" t="e">
        <v>#N/A</v>
      </c>
      <c r="J308" s="33"/>
      <c r="K308" s="33"/>
      <c r="M308" s="47"/>
    </row>
    <row r="309" spans="1:13" ht="15.75" x14ac:dyDescent="0.25">
      <c r="A309" s="1"/>
      <c r="B309" s="1"/>
      <c r="F309" s="9">
        <v>15</v>
      </c>
      <c r="G309" s="32" t="e">
        <v>#N/A</v>
      </c>
      <c r="H309" s="11" t="e">
        <v>#N/A</v>
      </c>
      <c r="I309" s="32" t="e">
        <v>#N/A</v>
      </c>
      <c r="J309" s="33"/>
      <c r="K309" s="33"/>
      <c r="M309" s="47"/>
    </row>
    <row r="310" spans="1:13" ht="15.75" x14ac:dyDescent="0.25">
      <c r="A310" s="1"/>
      <c r="B310" s="1"/>
      <c r="F310" s="9">
        <v>16</v>
      </c>
      <c r="G310" s="32" t="e">
        <v>#N/A</v>
      </c>
      <c r="H310" s="11" t="e">
        <v>#N/A</v>
      </c>
      <c r="I310" s="32" t="e">
        <v>#N/A</v>
      </c>
      <c r="J310" s="33"/>
      <c r="K310" s="33"/>
      <c r="M310" s="47"/>
    </row>
    <row r="311" spans="1:13" ht="16.5" thickBot="1" x14ac:dyDescent="0.3">
      <c r="A311" s="1"/>
      <c r="B311" s="1"/>
      <c r="F311" s="9">
        <v>17</v>
      </c>
      <c r="G311" s="32" t="e">
        <v>#N/A</v>
      </c>
      <c r="H311" s="11" t="e">
        <v>#N/A</v>
      </c>
      <c r="I311" s="32" t="e">
        <v>#N/A</v>
      </c>
      <c r="J311" s="33"/>
      <c r="K311" s="33"/>
      <c r="M311" s="47"/>
    </row>
    <row r="312" spans="1:13" ht="16.5" thickBot="1" x14ac:dyDescent="0.3">
      <c r="A312" s="23">
        <v>29</v>
      </c>
      <c r="B312" s="28">
        <v>6</v>
      </c>
      <c r="C312" s="28" t="s">
        <v>7</v>
      </c>
      <c r="D312" s="28">
        <v>405</v>
      </c>
      <c r="E312" s="24" t="s">
        <v>29</v>
      </c>
      <c r="F312" s="29" t="s">
        <v>17</v>
      </c>
      <c r="G312" s="30"/>
      <c r="H312" s="30"/>
      <c r="I312" s="31">
        <v>1113</v>
      </c>
      <c r="J312" s="31">
        <v>0</v>
      </c>
      <c r="K312" s="52"/>
      <c r="M312" s="47"/>
    </row>
    <row r="313" spans="1:13" ht="13.5" thickBot="1" x14ac:dyDescent="0.25">
      <c r="J313" s="48"/>
      <c r="K313" s="41"/>
      <c r="M313" s="47"/>
    </row>
    <row r="314" spans="1:13" ht="16.5" thickBot="1" x14ac:dyDescent="0.3">
      <c r="A314" s="28">
        <v>25</v>
      </c>
      <c r="B314" s="28">
        <v>7</v>
      </c>
      <c r="C314" s="28" t="s">
        <v>12</v>
      </c>
      <c r="D314" s="28">
        <v>401</v>
      </c>
      <c r="E314" s="24" t="s">
        <v>28</v>
      </c>
      <c r="F314" s="10">
        <v>1</v>
      </c>
      <c r="G314" s="25">
        <v>112</v>
      </c>
      <c r="H314" s="26">
        <v>37368</v>
      </c>
      <c r="I314" s="25">
        <v>99</v>
      </c>
      <c r="J314" s="32"/>
      <c r="K314" s="53"/>
      <c r="M314" s="47"/>
    </row>
    <row r="315" spans="1:13" ht="15.75" x14ac:dyDescent="0.25">
      <c r="A315" s="1"/>
      <c r="B315" s="1"/>
      <c r="C315" s="6"/>
      <c r="D315" s="6"/>
      <c r="F315" s="9">
        <v>2</v>
      </c>
      <c r="G315" s="32">
        <v>119</v>
      </c>
      <c r="H315" s="11">
        <v>37375</v>
      </c>
      <c r="I315" s="21">
        <v>78</v>
      </c>
      <c r="J315" s="49"/>
      <c r="K315" s="33"/>
      <c r="M315" s="47"/>
    </row>
    <row r="316" spans="1:13" ht="15.75" x14ac:dyDescent="0.25">
      <c r="A316" s="1"/>
      <c r="B316" s="1"/>
      <c r="C316" s="6"/>
      <c r="D316" s="6"/>
      <c r="F316" s="9">
        <v>3</v>
      </c>
      <c r="G316" s="32">
        <v>128</v>
      </c>
      <c r="H316" s="11">
        <v>37384</v>
      </c>
      <c r="I316" s="21">
        <v>99</v>
      </c>
      <c r="J316" s="33"/>
      <c r="K316" s="33"/>
      <c r="M316" s="47"/>
    </row>
    <row r="317" spans="1:13" ht="15.75" x14ac:dyDescent="0.25">
      <c r="A317" s="1"/>
      <c r="B317" s="1"/>
      <c r="C317" s="6"/>
      <c r="D317" s="6"/>
      <c r="F317" s="9">
        <v>4</v>
      </c>
      <c r="G317" s="32">
        <v>130</v>
      </c>
      <c r="H317" s="11">
        <v>37386</v>
      </c>
      <c r="I317" s="21">
        <v>61</v>
      </c>
      <c r="J317" s="33"/>
      <c r="K317" s="33"/>
      <c r="M317" s="47"/>
    </row>
    <row r="318" spans="1:13" ht="15.75" x14ac:dyDescent="0.25">
      <c r="A318" s="1"/>
      <c r="B318" s="1"/>
      <c r="C318" s="6"/>
      <c r="D318" s="6"/>
      <c r="F318" s="9">
        <v>5</v>
      </c>
      <c r="G318" s="32">
        <v>136</v>
      </c>
      <c r="H318" s="11">
        <v>37392</v>
      </c>
      <c r="I318" s="21">
        <v>59</v>
      </c>
      <c r="J318" s="33"/>
      <c r="K318" s="33"/>
      <c r="M318" s="47"/>
    </row>
    <row r="319" spans="1:13" ht="15.75" x14ac:dyDescent="0.25">
      <c r="A319" s="1"/>
      <c r="B319" s="1"/>
      <c r="C319" s="6"/>
      <c r="D319" s="6"/>
      <c r="F319" s="9">
        <v>6</v>
      </c>
      <c r="G319" s="32">
        <v>155</v>
      </c>
      <c r="H319" s="11">
        <v>37411</v>
      </c>
      <c r="I319" s="21">
        <v>51</v>
      </c>
      <c r="J319" s="33">
        <v>84</v>
      </c>
      <c r="K319" s="33"/>
      <c r="M319" s="47"/>
    </row>
    <row r="320" spans="1:13" ht="15.75" x14ac:dyDescent="0.25">
      <c r="A320" s="1"/>
      <c r="B320" s="1"/>
      <c r="C320" s="6"/>
      <c r="D320" s="6"/>
      <c r="F320" s="9">
        <v>7</v>
      </c>
      <c r="G320" s="32">
        <v>171</v>
      </c>
      <c r="H320" s="11">
        <v>37427</v>
      </c>
      <c r="I320" s="21">
        <v>54</v>
      </c>
      <c r="J320" s="33"/>
      <c r="K320" s="33"/>
      <c r="M320" s="47"/>
    </row>
    <row r="321" spans="1:13" ht="15.75" x14ac:dyDescent="0.25">
      <c r="A321" s="1"/>
      <c r="B321" s="1"/>
      <c r="C321" s="6"/>
      <c r="D321" s="6"/>
      <c r="F321" s="9">
        <v>8</v>
      </c>
      <c r="G321" s="32">
        <v>182</v>
      </c>
      <c r="H321" s="11">
        <v>37438</v>
      </c>
      <c r="I321" s="21">
        <v>64</v>
      </c>
      <c r="J321" s="33"/>
      <c r="K321" s="33"/>
      <c r="M321" s="47"/>
    </row>
    <row r="322" spans="1:13" ht="15.75" x14ac:dyDescent="0.25">
      <c r="A322" s="1"/>
      <c r="B322" s="1"/>
      <c r="C322" s="6"/>
      <c r="D322" s="6"/>
      <c r="F322" s="9">
        <v>9</v>
      </c>
      <c r="G322" s="32">
        <v>195</v>
      </c>
      <c r="H322" s="11">
        <v>37451</v>
      </c>
      <c r="I322" s="21">
        <v>112</v>
      </c>
      <c r="J322" s="33">
        <v>56</v>
      </c>
      <c r="K322" s="33"/>
      <c r="M322" s="47"/>
    </row>
    <row r="323" spans="1:13" ht="15.75" x14ac:dyDescent="0.25">
      <c r="A323" s="1"/>
      <c r="B323" s="1"/>
      <c r="C323" s="6"/>
      <c r="D323" s="6"/>
      <c r="F323" s="9">
        <v>10</v>
      </c>
      <c r="G323" s="32">
        <v>205</v>
      </c>
      <c r="H323" s="11">
        <v>37461</v>
      </c>
      <c r="I323" s="21">
        <v>96</v>
      </c>
      <c r="J323" s="33"/>
      <c r="K323" s="33"/>
      <c r="M323" s="47"/>
    </row>
    <row r="324" spans="1:13" ht="15.75" x14ac:dyDescent="0.25">
      <c r="A324" s="1"/>
      <c r="B324" s="1"/>
      <c r="C324" s="6"/>
      <c r="D324" s="6"/>
      <c r="F324" s="9">
        <v>11</v>
      </c>
      <c r="G324" s="32">
        <v>217</v>
      </c>
      <c r="H324" s="11">
        <v>37473</v>
      </c>
      <c r="I324" s="21">
        <v>129</v>
      </c>
      <c r="J324" s="33"/>
      <c r="K324" s="33"/>
      <c r="M324" s="47"/>
    </row>
    <row r="325" spans="1:13" ht="15.75" x14ac:dyDescent="0.25">
      <c r="A325" s="1"/>
      <c r="B325" s="1"/>
      <c r="C325" s="6"/>
      <c r="D325" s="6"/>
      <c r="F325" s="9">
        <v>12</v>
      </c>
      <c r="G325" s="32">
        <v>229</v>
      </c>
      <c r="H325" s="11">
        <v>37485</v>
      </c>
      <c r="I325" s="21">
        <v>99</v>
      </c>
      <c r="J325" s="33"/>
      <c r="K325" s="33"/>
      <c r="M325" s="47"/>
    </row>
    <row r="326" spans="1:13" ht="15.75" x14ac:dyDescent="0.25">
      <c r="C326" s="6"/>
      <c r="D326" s="6"/>
      <c r="F326" s="9">
        <v>13</v>
      </c>
      <c r="G326" s="32" t="e">
        <v>#N/A</v>
      </c>
      <c r="H326" s="11" t="e">
        <v>#N/A</v>
      </c>
      <c r="I326" s="21" t="e">
        <v>#N/A</v>
      </c>
      <c r="J326" s="33"/>
      <c r="K326" s="33"/>
      <c r="M326" s="47"/>
    </row>
    <row r="327" spans="1:13" ht="15.75" x14ac:dyDescent="0.25">
      <c r="A327" s="1"/>
      <c r="B327" s="1"/>
      <c r="C327" s="6"/>
      <c r="D327" s="6"/>
      <c r="F327" s="9">
        <v>14</v>
      </c>
      <c r="G327" s="32" t="e">
        <v>#N/A</v>
      </c>
      <c r="H327" s="11" t="e">
        <v>#N/A</v>
      </c>
      <c r="I327" s="21" t="e">
        <v>#N/A</v>
      </c>
      <c r="J327" s="33"/>
      <c r="K327" s="33"/>
      <c r="M327" s="47"/>
    </row>
    <row r="328" spans="1:13" ht="15.75" x14ac:dyDescent="0.25">
      <c r="A328" s="1"/>
      <c r="B328" s="1"/>
      <c r="C328" s="6"/>
      <c r="D328" s="6"/>
      <c r="F328" s="9">
        <v>15</v>
      </c>
      <c r="G328" s="32" t="e">
        <v>#N/A</v>
      </c>
      <c r="H328" s="11" t="e">
        <v>#N/A</v>
      </c>
      <c r="I328" s="21" t="e">
        <v>#N/A</v>
      </c>
      <c r="J328" s="33"/>
      <c r="K328" s="33"/>
      <c r="M328" s="47"/>
    </row>
    <row r="329" spans="1:13" ht="15.75" x14ac:dyDescent="0.25">
      <c r="A329" s="1"/>
      <c r="B329" s="1"/>
      <c r="C329" s="6"/>
      <c r="D329" s="6"/>
      <c r="F329" s="9">
        <v>16</v>
      </c>
      <c r="G329" s="32" t="e">
        <v>#N/A</v>
      </c>
      <c r="H329" s="11" t="e">
        <v>#N/A</v>
      </c>
      <c r="I329" s="21" t="e">
        <v>#N/A</v>
      </c>
      <c r="J329" s="33"/>
      <c r="K329" s="33"/>
      <c r="M329" s="47"/>
    </row>
    <row r="330" spans="1:13" ht="16.5" thickBot="1" x14ac:dyDescent="0.3">
      <c r="A330" s="1"/>
      <c r="B330" s="1"/>
      <c r="C330" s="6"/>
      <c r="D330" s="6"/>
      <c r="F330" s="9">
        <v>17</v>
      </c>
      <c r="G330" s="32" t="e">
        <v>#N/A</v>
      </c>
      <c r="H330" s="11" t="e">
        <v>#N/A</v>
      </c>
      <c r="I330" s="21" t="e">
        <v>#N/A</v>
      </c>
      <c r="J330" s="33"/>
      <c r="K330" s="33"/>
      <c r="M330" s="47"/>
    </row>
    <row r="331" spans="1:13" ht="16.5" thickBot="1" x14ac:dyDescent="0.3">
      <c r="A331" s="28">
        <v>25</v>
      </c>
      <c r="B331" s="28">
        <v>7</v>
      </c>
      <c r="C331" s="28" t="s">
        <v>12</v>
      </c>
      <c r="D331" s="28">
        <v>401</v>
      </c>
      <c r="E331" s="24" t="s">
        <v>28</v>
      </c>
      <c r="F331" s="29" t="s">
        <v>17</v>
      </c>
      <c r="G331" s="30"/>
      <c r="H331" s="30"/>
      <c r="I331" s="31">
        <v>1001</v>
      </c>
      <c r="J331" s="31">
        <v>140</v>
      </c>
      <c r="K331" s="52"/>
      <c r="M331" s="47"/>
    </row>
    <row r="332" spans="1:13" ht="13.5" thickBot="1" x14ac:dyDescent="0.25">
      <c r="C332" s="6"/>
      <c r="D332" s="6"/>
      <c r="J332" s="48"/>
      <c r="K332" s="41"/>
      <c r="M332" s="47"/>
    </row>
    <row r="333" spans="1:13" ht="16.5" thickBot="1" x14ac:dyDescent="0.3">
      <c r="A333" s="28">
        <v>31</v>
      </c>
      <c r="B333" s="28">
        <v>7</v>
      </c>
      <c r="C333" s="28" t="s">
        <v>12</v>
      </c>
      <c r="D333" s="28">
        <v>407</v>
      </c>
      <c r="E333" s="24" t="s">
        <v>29</v>
      </c>
      <c r="F333" s="10">
        <v>1</v>
      </c>
      <c r="G333" s="25">
        <v>112</v>
      </c>
      <c r="H333" s="26">
        <v>37368</v>
      </c>
      <c r="I333" s="25">
        <v>99</v>
      </c>
      <c r="J333" s="32"/>
      <c r="K333" s="53"/>
      <c r="M333" s="47"/>
    </row>
    <row r="334" spans="1:13" ht="15.75" x14ac:dyDescent="0.25">
      <c r="A334" s="1"/>
      <c r="B334" s="1"/>
      <c r="C334" s="6"/>
      <c r="D334" s="6"/>
      <c r="F334" s="9">
        <v>2</v>
      </c>
      <c r="G334" s="32">
        <v>119</v>
      </c>
      <c r="H334" s="11">
        <v>37375</v>
      </c>
      <c r="I334" s="21">
        <v>78</v>
      </c>
      <c r="J334" s="49"/>
      <c r="K334" s="33"/>
      <c r="M334" s="47"/>
    </row>
    <row r="335" spans="1:13" ht="15.75" x14ac:dyDescent="0.25">
      <c r="A335" s="1"/>
      <c r="B335" s="1"/>
      <c r="C335" s="6"/>
      <c r="D335" s="6"/>
      <c r="F335" s="9">
        <v>3</v>
      </c>
      <c r="G335" s="32">
        <v>128</v>
      </c>
      <c r="H335" s="11">
        <v>37384</v>
      </c>
      <c r="I335" s="21">
        <v>99</v>
      </c>
      <c r="J335" s="33"/>
      <c r="K335" s="33"/>
      <c r="M335" s="47"/>
    </row>
    <row r="336" spans="1:13" ht="15.75" x14ac:dyDescent="0.25">
      <c r="A336" s="1"/>
      <c r="B336" s="1"/>
      <c r="C336" s="6"/>
      <c r="D336" s="6"/>
      <c r="F336" s="9">
        <v>4</v>
      </c>
      <c r="G336" s="32">
        <v>130</v>
      </c>
      <c r="H336" s="11">
        <v>37386</v>
      </c>
      <c r="I336" s="21">
        <v>61</v>
      </c>
      <c r="J336" s="33"/>
      <c r="K336" s="33"/>
      <c r="M336" s="47"/>
    </row>
    <row r="337" spans="1:13" ht="15.75" x14ac:dyDescent="0.25">
      <c r="A337" s="1"/>
      <c r="B337" s="1"/>
      <c r="C337" s="6"/>
      <c r="D337" s="6"/>
      <c r="F337" s="9">
        <v>5</v>
      </c>
      <c r="G337" s="32">
        <v>136</v>
      </c>
      <c r="H337" s="11">
        <v>37392</v>
      </c>
      <c r="I337" s="21">
        <v>59</v>
      </c>
      <c r="J337" s="33"/>
      <c r="K337" s="33"/>
      <c r="M337" s="47"/>
    </row>
    <row r="338" spans="1:13" ht="15.75" x14ac:dyDescent="0.25">
      <c r="A338" s="1"/>
      <c r="B338" s="1"/>
      <c r="C338" s="6"/>
      <c r="D338" s="6"/>
      <c r="F338" s="9">
        <v>6</v>
      </c>
      <c r="G338" s="32">
        <v>155</v>
      </c>
      <c r="H338" s="11">
        <v>37411</v>
      </c>
      <c r="I338" s="21">
        <v>51</v>
      </c>
      <c r="J338" s="33">
        <v>84</v>
      </c>
      <c r="K338" s="33"/>
      <c r="M338" s="47"/>
    </row>
    <row r="339" spans="1:13" ht="15.75" x14ac:dyDescent="0.25">
      <c r="A339" s="1"/>
      <c r="B339" s="1"/>
      <c r="C339" s="6"/>
      <c r="D339" s="6"/>
      <c r="F339" s="9">
        <v>7</v>
      </c>
      <c r="G339" s="32">
        <v>171</v>
      </c>
      <c r="H339" s="11">
        <v>37427</v>
      </c>
      <c r="I339" s="21">
        <v>59</v>
      </c>
      <c r="J339" s="33"/>
      <c r="K339" s="33"/>
      <c r="M339" s="47"/>
    </row>
    <row r="340" spans="1:13" ht="15.75" x14ac:dyDescent="0.25">
      <c r="A340" s="1"/>
      <c r="B340" s="1"/>
      <c r="C340" s="6"/>
      <c r="D340" s="6"/>
      <c r="F340" s="9">
        <v>8</v>
      </c>
      <c r="G340" s="32">
        <v>182</v>
      </c>
      <c r="H340" s="11">
        <v>37438</v>
      </c>
      <c r="I340" s="21">
        <v>78</v>
      </c>
      <c r="J340" s="33"/>
      <c r="K340" s="33"/>
      <c r="M340" s="47"/>
    </row>
    <row r="341" spans="1:13" ht="15.75" x14ac:dyDescent="0.25">
      <c r="A341" s="1"/>
      <c r="B341" s="1"/>
      <c r="C341" s="6"/>
      <c r="D341" s="6"/>
      <c r="F341" s="9">
        <v>9</v>
      </c>
      <c r="G341" s="32">
        <v>195</v>
      </c>
      <c r="H341" s="11">
        <v>37451</v>
      </c>
      <c r="I341" s="21">
        <v>107</v>
      </c>
      <c r="J341" s="33">
        <v>56</v>
      </c>
      <c r="K341" s="33"/>
      <c r="M341" s="47"/>
    </row>
    <row r="342" spans="1:13" ht="15.75" x14ac:dyDescent="0.25">
      <c r="A342" s="1"/>
      <c r="B342" s="1"/>
      <c r="C342" s="6"/>
      <c r="D342" s="6"/>
      <c r="F342" s="9">
        <v>10</v>
      </c>
      <c r="G342" s="32">
        <v>204</v>
      </c>
      <c r="H342" s="11">
        <v>37460</v>
      </c>
      <c r="I342" s="21">
        <v>119</v>
      </c>
      <c r="J342" s="33"/>
      <c r="K342" s="33"/>
      <c r="M342" s="47"/>
    </row>
    <row r="343" spans="1:13" ht="15.75" x14ac:dyDescent="0.25">
      <c r="A343" s="1"/>
      <c r="B343" s="1"/>
      <c r="C343" s="6"/>
      <c r="D343" s="6"/>
      <c r="F343" s="9">
        <v>11</v>
      </c>
      <c r="G343" s="32">
        <v>217</v>
      </c>
      <c r="H343" s="11">
        <v>37473</v>
      </c>
      <c r="I343" s="21">
        <v>126</v>
      </c>
      <c r="J343" s="33"/>
      <c r="K343" s="33"/>
      <c r="M343" s="47"/>
    </row>
    <row r="344" spans="1:13" ht="15.75" x14ac:dyDescent="0.25">
      <c r="A344" s="1"/>
      <c r="B344" s="1"/>
      <c r="C344" s="6"/>
      <c r="D344" s="6"/>
      <c r="F344" s="9">
        <v>12</v>
      </c>
      <c r="G344" s="32">
        <v>229</v>
      </c>
      <c r="H344" s="11">
        <v>37485</v>
      </c>
      <c r="I344" s="21">
        <v>89</v>
      </c>
      <c r="J344" s="33"/>
      <c r="K344" s="33"/>
      <c r="M344" s="47"/>
    </row>
    <row r="345" spans="1:13" ht="15.75" x14ac:dyDescent="0.25">
      <c r="C345" s="6"/>
      <c r="D345" s="6"/>
      <c r="F345" s="9">
        <v>13</v>
      </c>
      <c r="G345" s="32" t="e">
        <v>#N/A</v>
      </c>
      <c r="H345" s="11" t="e">
        <v>#N/A</v>
      </c>
      <c r="I345" s="21" t="e">
        <v>#N/A</v>
      </c>
      <c r="J345" s="33"/>
      <c r="K345" s="33"/>
      <c r="M345" s="47"/>
    </row>
    <row r="346" spans="1:13" ht="15.75" x14ac:dyDescent="0.25">
      <c r="A346" s="1"/>
      <c r="B346" s="1"/>
      <c r="C346" s="6"/>
      <c r="D346" s="6"/>
      <c r="F346" s="9">
        <v>14</v>
      </c>
      <c r="G346" s="32" t="e">
        <v>#N/A</v>
      </c>
      <c r="H346" s="11" t="e">
        <v>#N/A</v>
      </c>
      <c r="I346" s="21" t="e">
        <v>#N/A</v>
      </c>
      <c r="J346" s="33"/>
      <c r="K346" s="33"/>
      <c r="M346" s="47"/>
    </row>
    <row r="347" spans="1:13" ht="15.75" x14ac:dyDescent="0.25">
      <c r="A347" s="1"/>
      <c r="B347" s="1"/>
      <c r="C347" s="6"/>
      <c r="D347" s="6"/>
      <c r="F347" s="9">
        <v>15</v>
      </c>
      <c r="G347" s="32" t="e">
        <v>#N/A</v>
      </c>
      <c r="H347" s="11" t="e">
        <v>#N/A</v>
      </c>
      <c r="I347" s="21" t="e">
        <v>#N/A</v>
      </c>
      <c r="J347" s="33"/>
      <c r="K347" s="33"/>
      <c r="M347" s="47"/>
    </row>
    <row r="348" spans="1:13" ht="15.75" x14ac:dyDescent="0.25">
      <c r="A348" s="1"/>
      <c r="B348" s="1"/>
      <c r="C348" s="6"/>
      <c r="D348" s="6"/>
      <c r="F348" s="9">
        <v>16</v>
      </c>
      <c r="G348" s="32" t="e">
        <v>#N/A</v>
      </c>
      <c r="H348" s="11" t="e">
        <v>#N/A</v>
      </c>
      <c r="I348" s="21" t="e">
        <v>#N/A</v>
      </c>
      <c r="J348" s="33"/>
      <c r="K348" s="33"/>
      <c r="M348" s="47"/>
    </row>
    <row r="349" spans="1:13" ht="16.5" thickBot="1" x14ac:dyDescent="0.3">
      <c r="A349" s="1"/>
      <c r="B349" s="1"/>
      <c r="C349" s="6"/>
      <c r="D349" s="6"/>
      <c r="F349" s="9">
        <v>17</v>
      </c>
      <c r="G349" s="32" t="e">
        <v>#N/A</v>
      </c>
      <c r="H349" s="11" t="e">
        <v>#N/A</v>
      </c>
      <c r="I349" s="21" t="e">
        <v>#N/A</v>
      </c>
      <c r="J349" s="33"/>
      <c r="K349" s="33"/>
      <c r="M349" s="47"/>
    </row>
    <row r="350" spans="1:13" ht="16.5" thickBot="1" x14ac:dyDescent="0.3">
      <c r="A350" s="28">
        <v>31</v>
      </c>
      <c r="B350" s="28">
        <v>7</v>
      </c>
      <c r="C350" s="28" t="s">
        <v>12</v>
      </c>
      <c r="D350" s="28">
        <v>407</v>
      </c>
      <c r="E350" s="24" t="s">
        <v>29</v>
      </c>
      <c r="F350" s="29" t="s">
        <v>17</v>
      </c>
      <c r="G350" s="30"/>
      <c r="H350" s="30"/>
      <c r="I350" s="31">
        <v>1025</v>
      </c>
      <c r="J350" s="31">
        <v>140</v>
      </c>
      <c r="K350" s="52"/>
      <c r="M350" s="47"/>
    </row>
    <row r="351" spans="1:13" ht="13.5" thickBot="1" x14ac:dyDescent="0.25">
      <c r="C351" s="6"/>
      <c r="D351" s="6"/>
      <c r="J351" s="48"/>
      <c r="K351" s="41"/>
      <c r="M351" s="47"/>
    </row>
    <row r="352" spans="1:13" ht="16.5" thickBot="1" x14ac:dyDescent="0.3">
      <c r="A352" s="28">
        <v>14</v>
      </c>
      <c r="B352" s="28">
        <v>8</v>
      </c>
      <c r="C352" s="28" t="s">
        <v>13</v>
      </c>
      <c r="D352" s="28">
        <v>206</v>
      </c>
      <c r="E352" s="24" t="s">
        <v>27</v>
      </c>
      <c r="F352" s="10">
        <v>1</v>
      </c>
      <c r="G352" s="25">
        <v>112</v>
      </c>
      <c r="H352" s="26">
        <v>37368</v>
      </c>
      <c r="I352" s="25">
        <v>99</v>
      </c>
      <c r="J352" s="32"/>
      <c r="K352" s="53"/>
      <c r="M352" s="47"/>
    </row>
    <row r="353" spans="1:13" ht="15.75" x14ac:dyDescent="0.25">
      <c r="A353" s="1"/>
      <c r="B353" s="1"/>
      <c r="C353" s="6"/>
      <c r="D353" s="6"/>
      <c r="F353" s="9">
        <v>2</v>
      </c>
      <c r="G353" s="32">
        <v>119</v>
      </c>
      <c r="H353" s="11">
        <v>37375</v>
      </c>
      <c r="I353" s="21">
        <v>78</v>
      </c>
      <c r="J353" s="49"/>
      <c r="K353" s="33"/>
      <c r="M353" s="47"/>
    </row>
    <row r="354" spans="1:13" ht="15.75" x14ac:dyDescent="0.25">
      <c r="A354" s="1"/>
      <c r="B354" s="1"/>
      <c r="C354" s="6"/>
      <c r="D354" s="6"/>
      <c r="F354" s="9">
        <v>3</v>
      </c>
      <c r="G354" s="32">
        <v>128</v>
      </c>
      <c r="H354" s="11">
        <v>37384</v>
      </c>
      <c r="I354" s="21">
        <v>99</v>
      </c>
      <c r="J354" s="33"/>
      <c r="K354" s="33"/>
      <c r="M354" s="47"/>
    </row>
    <row r="355" spans="1:13" ht="15.75" x14ac:dyDescent="0.25">
      <c r="A355" s="1"/>
      <c r="B355" s="1"/>
      <c r="C355" s="6"/>
      <c r="D355" s="6"/>
      <c r="F355" s="9">
        <v>4</v>
      </c>
      <c r="G355" s="32">
        <v>130</v>
      </c>
      <c r="H355" s="11">
        <v>37386</v>
      </c>
      <c r="I355" s="21">
        <v>61</v>
      </c>
      <c r="J355" s="33"/>
      <c r="K355" s="33"/>
      <c r="M355" s="47"/>
    </row>
    <row r="356" spans="1:13" ht="15.75" x14ac:dyDescent="0.25">
      <c r="A356" s="1"/>
      <c r="B356" s="1"/>
      <c r="C356" s="6"/>
      <c r="D356" s="6"/>
      <c r="F356" s="9">
        <v>5</v>
      </c>
      <c r="G356" s="32">
        <v>136</v>
      </c>
      <c r="H356" s="11">
        <v>37392</v>
      </c>
      <c r="I356" s="21">
        <v>59</v>
      </c>
      <c r="J356" s="33"/>
      <c r="K356" s="33"/>
      <c r="M356" s="47"/>
    </row>
    <row r="357" spans="1:13" ht="15.75" x14ac:dyDescent="0.25">
      <c r="A357" s="1"/>
      <c r="B357" s="1"/>
      <c r="C357" s="6"/>
      <c r="D357" s="6"/>
      <c r="F357" s="9">
        <v>6</v>
      </c>
      <c r="G357" s="32">
        <v>155</v>
      </c>
      <c r="H357" s="11">
        <v>37411</v>
      </c>
      <c r="I357" s="21">
        <v>51</v>
      </c>
      <c r="J357" s="33"/>
      <c r="K357" s="33"/>
      <c r="M357" s="47"/>
    </row>
    <row r="358" spans="1:13" ht="15.75" x14ac:dyDescent="0.25">
      <c r="A358" s="1"/>
      <c r="B358" s="1"/>
      <c r="C358" s="6"/>
      <c r="D358" s="6"/>
      <c r="F358" s="9">
        <v>7</v>
      </c>
      <c r="G358" s="32">
        <v>172</v>
      </c>
      <c r="H358" s="11">
        <v>37428</v>
      </c>
      <c r="I358" s="21">
        <v>52</v>
      </c>
      <c r="J358" s="33"/>
      <c r="K358" s="33"/>
      <c r="M358" s="47"/>
    </row>
    <row r="359" spans="1:13" ht="15.75" x14ac:dyDescent="0.25">
      <c r="A359" s="1"/>
      <c r="B359" s="1"/>
      <c r="C359" s="6"/>
      <c r="D359" s="6"/>
      <c r="F359" s="9">
        <v>8</v>
      </c>
      <c r="G359" s="32">
        <v>183</v>
      </c>
      <c r="H359" s="11">
        <v>37439</v>
      </c>
      <c r="I359" s="21">
        <v>68</v>
      </c>
      <c r="J359" s="33"/>
      <c r="K359" s="33"/>
      <c r="M359" s="47"/>
    </row>
    <row r="360" spans="1:13" ht="15.75" x14ac:dyDescent="0.25">
      <c r="A360" s="1"/>
      <c r="B360" s="1"/>
      <c r="C360" s="6"/>
      <c r="D360" s="6"/>
      <c r="F360" s="9">
        <v>9</v>
      </c>
      <c r="G360" s="32">
        <v>195</v>
      </c>
      <c r="H360" s="11">
        <v>37451</v>
      </c>
      <c r="I360" s="21">
        <v>94</v>
      </c>
      <c r="J360" s="33"/>
      <c r="K360" s="33"/>
      <c r="M360" s="47"/>
    </row>
    <row r="361" spans="1:13" ht="15.75" x14ac:dyDescent="0.25">
      <c r="A361" s="1"/>
      <c r="B361" s="1"/>
      <c r="C361" s="6"/>
      <c r="D361" s="6"/>
      <c r="F361" s="9">
        <v>10</v>
      </c>
      <c r="G361" s="32">
        <v>205</v>
      </c>
      <c r="H361" s="11">
        <v>37461</v>
      </c>
      <c r="I361" s="21">
        <v>100</v>
      </c>
      <c r="J361" s="33"/>
      <c r="K361" s="33"/>
      <c r="M361" s="47"/>
    </row>
    <row r="362" spans="1:13" ht="15.75" x14ac:dyDescent="0.25">
      <c r="A362" s="1"/>
      <c r="B362" s="1"/>
      <c r="C362" s="6"/>
      <c r="D362" s="6"/>
      <c r="F362" s="9">
        <v>11</v>
      </c>
      <c r="G362" s="32">
        <v>217</v>
      </c>
      <c r="H362" s="11">
        <v>37473</v>
      </c>
      <c r="I362" s="21">
        <v>125</v>
      </c>
      <c r="J362" s="33"/>
      <c r="K362" s="33"/>
      <c r="M362" s="47"/>
    </row>
    <row r="363" spans="1:13" ht="15.75" x14ac:dyDescent="0.25">
      <c r="A363" s="1"/>
      <c r="B363" s="1"/>
      <c r="C363" s="6"/>
      <c r="D363" s="6"/>
      <c r="F363" s="9">
        <v>12</v>
      </c>
      <c r="G363" s="32">
        <v>229</v>
      </c>
      <c r="H363" s="11">
        <v>37485</v>
      </c>
      <c r="I363" s="21">
        <v>94</v>
      </c>
      <c r="J363" s="33"/>
      <c r="K363" s="33"/>
      <c r="M363" s="47"/>
    </row>
    <row r="364" spans="1:13" ht="15.75" x14ac:dyDescent="0.25">
      <c r="C364" s="6"/>
      <c r="D364" s="6"/>
      <c r="F364" s="9">
        <v>13</v>
      </c>
      <c r="G364" s="32" t="e">
        <v>#N/A</v>
      </c>
      <c r="H364" s="11" t="e">
        <v>#N/A</v>
      </c>
      <c r="I364" s="21" t="e">
        <v>#N/A</v>
      </c>
      <c r="J364" s="33"/>
      <c r="K364" s="33"/>
      <c r="M364" s="47"/>
    </row>
    <row r="365" spans="1:13" ht="15.75" x14ac:dyDescent="0.25">
      <c r="A365" s="1"/>
      <c r="B365" s="1"/>
      <c r="C365" s="6"/>
      <c r="D365" s="6"/>
      <c r="F365" s="9">
        <v>14</v>
      </c>
      <c r="G365" s="32" t="e">
        <v>#N/A</v>
      </c>
      <c r="H365" s="11" t="e">
        <v>#N/A</v>
      </c>
      <c r="I365" s="21" t="e">
        <v>#N/A</v>
      </c>
      <c r="J365" s="33"/>
      <c r="K365" s="33"/>
      <c r="M365" s="47"/>
    </row>
    <row r="366" spans="1:13" ht="15.75" x14ac:dyDescent="0.25">
      <c r="A366" s="1"/>
      <c r="B366" s="1"/>
      <c r="C366" s="6"/>
      <c r="D366" s="6"/>
      <c r="F366" s="9">
        <v>15</v>
      </c>
      <c r="G366" s="32" t="e">
        <v>#N/A</v>
      </c>
      <c r="H366" s="11" t="e">
        <v>#N/A</v>
      </c>
      <c r="I366" s="21" t="e">
        <v>#N/A</v>
      </c>
      <c r="J366" s="33"/>
      <c r="K366" s="33"/>
      <c r="M366" s="47"/>
    </row>
    <row r="367" spans="1:13" ht="15.75" x14ac:dyDescent="0.25">
      <c r="A367" s="1"/>
      <c r="B367" s="1"/>
      <c r="C367" s="6"/>
      <c r="D367" s="6"/>
      <c r="F367" s="9">
        <v>16</v>
      </c>
      <c r="G367" s="32" t="e">
        <v>#N/A</v>
      </c>
      <c r="H367" s="11" t="e">
        <v>#N/A</v>
      </c>
      <c r="I367" s="21" t="e">
        <v>#N/A</v>
      </c>
      <c r="J367" s="33"/>
      <c r="K367" s="33"/>
      <c r="M367" s="47"/>
    </row>
    <row r="368" spans="1:13" ht="16.5" thickBot="1" x14ac:dyDescent="0.3">
      <c r="A368" s="1"/>
      <c r="B368" s="1"/>
      <c r="C368" s="6"/>
      <c r="D368" s="6"/>
      <c r="F368" s="9">
        <v>17</v>
      </c>
      <c r="G368" s="32" t="e">
        <v>#N/A</v>
      </c>
      <c r="H368" s="11" t="e">
        <v>#N/A</v>
      </c>
      <c r="I368" s="21" t="e">
        <v>#N/A</v>
      </c>
      <c r="J368" s="33"/>
      <c r="K368" s="33"/>
      <c r="M368" s="47"/>
    </row>
    <row r="369" spans="1:13" ht="16.5" thickBot="1" x14ac:dyDescent="0.3">
      <c r="A369" s="28">
        <v>14</v>
      </c>
      <c r="B369" s="28">
        <v>8</v>
      </c>
      <c r="C369" s="28" t="s">
        <v>13</v>
      </c>
      <c r="D369" s="28">
        <v>206</v>
      </c>
      <c r="E369" s="24" t="s">
        <v>27</v>
      </c>
      <c r="F369" s="29" t="s">
        <v>17</v>
      </c>
      <c r="G369" s="30"/>
      <c r="H369" s="30"/>
      <c r="I369" s="31">
        <v>980</v>
      </c>
      <c r="J369" s="31">
        <v>0</v>
      </c>
      <c r="K369" s="52"/>
      <c r="M369" s="47"/>
    </row>
    <row r="370" spans="1:13" ht="13.5" thickBot="1" x14ac:dyDescent="0.25">
      <c r="C370" s="6"/>
      <c r="D370" s="6"/>
      <c r="J370" s="48"/>
      <c r="K370" s="41"/>
      <c r="M370" s="47"/>
    </row>
    <row r="371" spans="1:13" ht="16.5" thickBot="1" x14ac:dyDescent="0.3">
      <c r="A371" s="28">
        <v>19</v>
      </c>
      <c r="B371" s="28">
        <v>8</v>
      </c>
      <c r="C371" s="28" t="s">
        <v>13</v>
      </c>
      <c r="D371" s="28">
        <v>303</v>
      </c>
      <c r="E371" s="24" t="s">
        <v>28</v>
      </c>
      <c r="F371" s="10">
        <v>1</v>
      </c>
      <c r="G371" s="25">
        <v>112</v>
      </c>
      <c r="H371" s="26">
        <v>37368</v>
      </c>
      <c r="I371" s="25">
        <v>99</v>
      </c>
      <c r="J371" s="32"/>
      <c r="K371" s="53"/>
      <c r="M371" s="47"/>
    </row>
    <row r="372" spans="1:13" ht="15.75" x14ac:dyDescent="0.25">
      <c r="A372" s="1"/>
      <c r="B372" s="1"/>
      <c r="C372" s="6"/>
      <c r="D372" s="6"/>
      <c r="F372" s="9">
        <v>2</v>
      </c>
      <c r="G372" s="32">
        <v>119</v>
      </c>
      <c r="H372" s="11">
        <v>37375</v>
      </c>
      <c r="I372" s="21">
        <v>78</v>
      </c>
      <c r="J372" s="49"/>
      <c r="K372" s="33"/>
      <c r="M372" s="47"/>
    </row>
    <row r="373" spans="1:13" ht="15.75" x14ac:dyDescent="0.25">
      <c r="A373" s="1"/>
      <c r="B373" s="1"/>
      <c r="C373" s="6"/>
      <c r="D373" s="6"/>
      <c r="F373" s="9">
        <v>3</v>
      </c>
      <c r="G373" s="32">
        <v>128</v>
      </c>
      <c r="H373" s="11">
        <v>37384</v>
      </c>
      <c r="I373" s="21">
        <v>99</v>
      </c>
      <c r="J373" s="33"/>
      <c r="K373" s="33"/>
      <c r="M373" s="47"/>
    </row>
    <row r="374" spans="1:13" ht="15.75" x14ac:dyDescent="0.25">
      <c r="A374" s="1"/>
      <c r="B374" s="1"/>
      <c r="C374" s="6"/>
      <c r="D374" s="6"/>
      <c r="F374" s="9">
        <v>4</v>
      </c>
      <c r="G374" s="32">
        <v>130</v>
      </c>
      <c r="H374" s="11">
        <v>37386</v>
      </c>
      <c r="I374" s="21">
        <v>61</v>
      </c>
      <c r="J374" s="33"/>
      <c r="K374" s="33"/>
      <c r="M374" s="47"/>
    </row>
    <row r="375" spans="1:13" ht="15.75" x14ac:dyDescent="0.25">
      <c r="A375" s="1"/>
      <c r="B375" s="1"/>
      <c r="C375" s="6"/>
      <c r="D375" s="6"/>
      <c r="F375" s="9">
        <v>5</v>
      </c>
      <c r="G375" s="32">
        <v>136</v>
      </c>
      <c r="H375" s="11">
        <v>37392</v>
      </c>
      <c r="I375" s="21">
        <v>59</v>
      </c>
      <c r="J375" s="33"/>
      <c r="K375" s="33"/>
      <c r="M375" s="47"/>
    </row>
    <row r="376" spans="1:13" ht="15.75" x14ac:dyDescent="0.25">
      <c r="A376" s="1"/>
      <c r="B376" s="1"/>
      <c r="C376" s="6"/>
      <c r="D376" s="6"/>
      <c r="F376" s="9">
        <v>6</v>
      </c>
      <c r="G376" s="32">
        <v>155</v>
      </c>
      <c r="H376" s="11">
        <v>37411</v>
      </c>
      <c r="I376" s="21">
        <v>51</v>
      </c>
      <c r="J376" s="33"/>
      <c r="K376" s="33"/>
      <c r="M376" s="47"/>
    </row>
    <row r="377" spans="1:13" ht="15.75" x14ac:dyDescent="0.25">
      <c r="A377" s="1"/>
      <c r="B377" s="1"/>
      <c r="C377" s="6"/>
      <c r="D377" s="6"/>
      <c r="F377" s="9">
        <v>7</v>
      </c>
      <c r="G377" s="32">
        <v>172</v>
      </c>
      <c r="H377" s="11">
        <v>37428</v>
      </c>
      <c r="I377" s="21">
        <v>61</v>
      </c>
      <c r="J377" s="33"/>
      <c r="K377" s="33"/>
      <c r="M377" s="47"/>
    </row>
    <row r="378" spans="1:13" ht="15.75" x14ac:dyDescent="0.25">
      <c r="A378" s="1"/>
      <c r="B378" s="1"/>
      <c r="C378" s="6"/>
      <c r="D378" s="6"/>
      <c r="F378" s="9">
        <v>8</v>
      </c>
      <c r="G378" s="32">
        <v>183</v>
      </c>
      <c r="H378" s="11">
        <v>37439</v>
      </c>
      <c r="I378" s="21">
        <v>73</v>
      </c>
      <c r="J378" s="33"/>
      <c r="K378" s="33"/>
      <c r="M378" s="47"/>
    </row>
    <row r="379" spans="1:13" ht="15.75" x14ac:dyDescent="0.25">
      <c r="A379" s="1"/>
      <c r="B379" s="1"/>
      <c r="C379" s="6"/>
      <c r="D379" s="6"/>
      <c r="F379" s="9">
        <v>9</v>
      </c>
      <c r="G379" s="32">
        <v>195</v>
      </c>
      <c r="H379" s="11">
        <v>37451</v>
      </c>
      <c r="I379" s="21">
        <v>112</v>
      </c>
      <c r="J379" s="33"/>
      <c r="K379" s="33"/>
      <c r="M379" s="47"/>
    </row>
    <row r="380" spans="1:13" ht="15.75" x14ac:dyDescent="0.25">
      <c r="A380" s="1"/>
      <c r="B380" s="1"/>
      <c r="C380" s="6"/>
      <c r="D380" s="6"/>
      <c r="F380" s="9">
        <v>10</v>
      </c>
      <c r="G380" s="32">
        <v>205</v>
      </c>
      <c r="H380" s="11">
        <v>37461</v>
      </c>
      <c r="I380" s="21">
        <v>103</v>
      </c>
      <c r="J380" s="33"/>
      <c r="K380" s="33"/>
      <c r="M380" s="47"/>
    </row>
    <row r="381" spans="1:13" ht="15.75" x14ac:dyDescent="0.25">
      <c r="A381" s="1"/>
      <c r="B381" s="1"/>
      <c r="C381" s="6"/>
      <c r="D381" s="6"/>
      <c r="F381" s="9">
        <v>11</v>
      </c>
      <c r="G381" s="32">
        <v>217</v>
      </c>
      <c r="H381" s="11">
        <v>37473</v>
      </c>
      <c r="I381" s="21">
        <v>118</v>
      </c>
      <c r="J381" s="33"/>
      <c r="K381" s="33"/>
      <c r="M381" s="47"/>
    </row>
    <row r="382" spans="1:13" ht="15.75" x14ac:dyDescent="0.25">
      <c r="A382" s="1"/>
      <c r="B382" s="1"/>
      <c r="C382" s="6"/>
      <c r="D382" s="6"/>
      <c r="F382" s="9">
        <v>12</v>
      </c>
      <c r="G382" s="32">
        <v>229</v>
      </c>
      <c r="H382" s="11">
        <v>37485</v>
      </c>
      <c r="I382" s="21">
        <v>89</v>
      </c>
      <c r="J382" s="33"/>
      <c r="K382" s="33"/>
      <c r="M382" s="47"/>
    </row>
    <row r="383" spans="1:13" ht="15.75" x14ac:dyDescent="0.25">
      <c r="C383" s="6"/>
      <c r="D383" s="6"/>
      <c r="F383" s="9">
        <v>13</v>
      </c>
      <c r="G383" s="32" t="e">
        <v>#N/A</v>
      </c>
      <c r="H383" s="11" t="e">
        <v>#N/A</v>
      </c>
      <c r="I383" s="21" t="e">
        <v>#N/A</v>
      </c>
      <c r="J383" s="33"/>
      <c r="K383" s="33"/>
      <c r="M383" s="47"/>
    </row>
    <row r="384" spans="1:13" ht="15.75" x14ac:dyDescent="0.25">
      <c r="A384" s="1"/>
      <c r="B384" s="1"/>
      <c r="C384" s="6"/>
      <c r="D384" s="6"/>
      <c r="F384" s="9">
        <v>14</v>
      </c>
      <c r="G384" s="32" t="e">
        <v>#N/A</v>
      </c>
      <c r="H384" s="11" t="e">
        <v>#N/A</v>
      </c>
      <c r="I384" s="21" t="e">
        <v>#N/A</v>
      </c>
      <c r="J384" s="33"/>
      <c r="K384" s="33"/>
      <c r="M384" s="47"/>
    </row>
    <row r="385" spans="1:13" ht="15.75" x14ac:dyDescent="0.25">
      <c r="A385" s="1"/>
      <c r="B385" s="1"/>
      <c r="C385" s="6"/>
      <c r="D385" s="6"/>
      <c r="F385" s="9">
        <v>15</v>
      </c>
      <c r="G385" s="32" t="e">
        <v>#N/A</v>
      </c>
      <c r="H385" s="11" t="e">
        <v>#N/A</v>
      </c>
      <c r="I385" s="21" t="e">
        <v>#N/A</v>
      </c>
      <c r="J385" s="33"/>
      <c r="K385" s="33"/>
      <c r="M385" s="47"/>
    </row>
    <row r="386" spans="1:13" ht="15.75" x14ac:dyDescent="0.25">
      <c r="A386" s="1"/>
      <c r="B386" s="1"/>
      <c r="C386" s="6"/>
      <c r="D386" s="6"/>
      <c r="F386" s="9">
        <v>16</v>
      </c>
      <c r="G386" s="32" t="e">
        <v>#N/A</v>
      </c>
      <c r="H386" s="11" t="e">
        <v>#N/A</v>
      </c>
      <c r="I386" s="21" t="e">
        <v>#N/A</v>
      </c>
      <c r="J386" s="33"/>
      <c r="K386" s="33"/>
      <c r="M386" s="47"/>
    </row>
    <row r="387" spans="1:13" ht="16.5" thickBot="1" x14ac:dyDescent="0.3">
      <c r="A387" s="1"/>
      <c r="B387" s="1"/>
      <c r="C387" s="6"/>
      <c r="D387" s="6"/>
      <c r="F387" s="9">
        <v>17</v>
      </c>
      <c r="G387" s="32" t="e">
        <v>#N/A</v>
      </c>
      <c r="H387" s="11" t="e">
        <v>#N/A</v>
      </c>
      <c r="I387" s="21" t="e">
        <v>#N/A</v>
      </c>
      <c r="J387" s="33"/>
      <c r="K387" s="33"/>
      <c r="M387" s="47"/>
    </row>
    <row r="388" spans="1:13" ht="16.5" thickBot="1" x14ac:dyDescent="0.3">
      <c r="A388" s="28">
        <v>19</v>
      </c>
      <c r="B388" s="28">
        <v>8</v>
      </c>
      <c r="C388" s="28" t="s">
        <v>13</v>
      </c>
      <c r="D388" s="28">
        <v>303</v>
      </c>
      <c r="E388" s="24" t="s">
        <v>28</v>
      </c>
      <c r="F388" s="29" t="s">
        <v>17</v>
      </c>
      <c r="G388" s="30"/>
      <c r="H388" s="30"/>
      <c r="I388" s="31">
        <v>1003</v>
      </c>
      <c r="J388" s="31">
        <v>0</v>
      </c>
      <c r="K388" s="52"/>
      <c r="M388" s="47"/>
    </row>
    <row r="389" spans="1:13" ht="13.5" thickBot="1" x14ac:dyDescent="0.25">
      <c r="C389" s="6"/>
      <c r="D389" s="6"/>
      <c r="J389" s="48"/>
      <c r="K389" s="41"/>
      <c r="M389" s="47"/>
    </row>
    <row r="390" spans="1:13" ht="16.5" thickBot="1" x14ac:dyDescent="0.3">
      <c r="A390" s="28">
        <v>10</v>
      </c>
      <c r="B390" s="28">
        <v>9</v>
      </c>
      <c r="C390" s="28" t="s">
        <v>14</v>
      </c>
      <c r="D390" s="28">
        <v>202</v>
      </c>
      <c r="E390" s="24" t="s">
        <v>25</v>
      </c>
      <c r="F390" s="10">
        <v>1</v>
      </c>
      <c r="G390" s="25">
        <v>112</v>
      </c>
      <c r="H390" s="26">
        <v>37368</v>
      </c>
      <c r="I390" s="25">
        <v>99</v>
      </c>
      <c r="J390" s="32"/>
      <c r="K390" s="53"/>
      <c r="M390" s="47"/>
    </row>
    <row r="391" spans="1:13" ht="15.75" x14ac:dyDescent="0.25">
      <c r="A391" s="1"/>
      <c r="B391" s="1"/>
      <c r="C391" s="6"/>
      <c r="D391" s="6"/>
      <c r="F391" s="9">
        <v>2</v>
      </c>
      <c r="G391" s="32">
        <v>119</v>
      </c>
      <c r="H391" s="11">
        <v>37375</v>
      </c>
      <c r="I391" s="21">
        <v>78</v>
      </c>
      <c r="J391" s="49"/>
      <c r="K391" s="33"/>
      <c r="M391" s="47"/>
    </row>
    <row r="392" spans="1:13" ht="15.75" x14ac:dyDescent="0.25">
      <c r="A392" s="1"/>
      <c r="B392" s="1"/>
      <c r="C392" s="6"/>
      <c r="D392" s="6"/>
      <c r="F392" s="9">
        <v>3</v>
      </c>
      <c r="G392" s="32">
        <v>128</v>
      </c>
      <c r="H392" s="11">
        <v>37384</v>
      </c>
      <c r="I392" s="21">
        <v>99</v>
      </c>
      <c r="J392" s="33"/>
      <c r="K392" s="33"/>
      <c r="M392" s="47"/>
    </row>
    <row r="393" spans="1:13" ht="15.75" x14ac:dyDescent="0.25">
      <c r="A393" s="1"/>
      <c r="B393" s="1"/>
      <c r="C393" s="6"/>
      <c r="D393" s="6"/>
      <c r="F393" s="9">
        <v>4</v>
      </c>
      <c r="G393" s="32">
        <v>130</v>
      </c>
      <c r="H393" s="11">
        <v>37386</v>
      </c>
      <c r="I393" s="21">
        <v>61</v>
      </c>
      <c r="J393" s="33"/>
      <c r="K393" s="33"/>
      <c r="M393" s="47"/>
    </row>
    <row r="394" spans="1:13" ht="15.75" x14ac:dyDescent="0.25">
      <c r="A394" s="1"/>
      <c r="B394" s="1"/>
      <c r="C394" s="6"/>
      <c r="D394" s="6"/>
      <c r="F394" s="9">
        <v>5</v>
      </c>
      <c r="G394" s="32">
        <v>136</v>
      </c>
      <c r="H394" s="11">
        <v>37392</v>
      </c>
      <c r="I394" s="21">
        <v>59</v>
      </c>
      <c r="J394" s="33"/>
      <c r="K394" s="33"/>
      <c r="M394" s="47"/>
    </row>
    <row r="395" spans="1:13" ht="15.75" x14ac:dyDescent="0.25">
      <c r="A395" s="1"/>
      <c r="B395" s="1"/>
      <c r="C395" s="6"/>
      <c r="D395" s="6"/>
      <c r="F395" s="9">
        <v>6</v>
      </c>
      <c r="G395" s="32">
        <v>155</v>
      </c>
      <c r="H395" s="11">
        <v>37411</v>
      </c>
      <c r="I395" s="21">
        <v>51</v>
      </c>
      <c r="J395" s="33">
        <v>84</v>
      </c>
      <c r="K395" s="33"/>
      <c r="M395" s="47"/>
    </row>
    <row r="396" spans="1:13" ht="15.75" x14ac:dyDescent="0.25">
      <c r="A396" s="1"/>
      <c r="B396" s="1"/>
      <c r="C396" s="6"/>
      <c r="D396" s="6"/>
      <c r="F396" s="9">
        <v>7</v>
      </c>
      <c r="G396" s="32">
        <v>170</v>
      </c>
      <c r="H396" s="11">
        <v>37426</v>
      </c>
      <c r="I396" s="21">
        <v>60</v>
      </c>
      <c r="J396" s="33"/>
      <c r="K396" s="33"/>
      <c r="M396" s="47"/>
    </row>
    <row r="397" spans="1:13" ht="15.75" x14ac:dyDescent="0.25">
      <c r="A397" s="1"/>
      <c r="B397" s="1"/>
      <c r="C397" s="6"/>
      <c r="D397" s="6"/>
      <c r="F397" s="9">
        <v>8</v>
      </c>
      <c r="G397" s="32">
        <v>181</v>
      </c>
      <c r="H397" s="11">
        <v>37437</v>
      </c>
      <c r="I397" s="21">
        <v>86</v>
      </c>
      <c r="J397" s="33"/>
      <c r="K397" s="33"/>
      <c r="M397" s="47"/>
    </row>
    <row r="398" spans="1:13" ht="15.75" x14ac:dyDescent="0.25">
      <c r="A398" s="1"/>
      <c r="B398" s="1"/>
      <c r="C398" s="6"/>
      <c r="D398" s="6"/>
      <c r="F398" s="9">
        <v>9</v>
      </c>
      <c r="G398" s="32">
        <v>193</v>
      </c>
      <c r="H398" s="11">
        <v>37449</v>
      </c>
      <c r="I398" s="21">
        <v>102</v>
      </c>
      <c r="J398" s="33">
        <v>56</v>
      </c>
      <c r="K398" s="33"/>
      <c r="M398" s="47"/>
    </row>
    <row r="399" spans="1:13" ht="15.75" x14ac:dyDescent="0.25">
      <c r="A399" s="1"/>
      <c r="B399" s="1"/>
      <c r="C399" s="6"/>
      <c r="D399" s="6"/>
      <c r="F399" s="9">
        <v>10</v>
      </c>
      <c r="G399" s="32">
        <v>204</v>
      </c>
      <c r="H399" s="11">
        <v>37460</v>
      </c>
      <c r="I399" s="21">
        <v>116</v>
      </c>
      <c r="J399" s="33"/>
      <c r="K399" s="33"/>
      <c r="M399" s="47"/>
    </row>
    <row r="400" spans="1:13" ht="15.75" x14ac:dyDescent="0.25">
      <c r="A400" s="1"/>
      <c r="B400" s="1"/>
      <c r="C400" s="6"/>
      <c r="D400" s="6"/>
      <c r="F400" s="9">
        <v>11</v>
      </c>
      <c r="G400" s="32">
        <v>216</v>
      </c>
      <c r="H400" s="11">
        <v>37472</v>
      </c>
      <c r="I400" s="21">
        <v>117</v>
      </c>
      <c r="J400" s="33"/>
      <c r="K400" s="33"/>
      <c r="M400" s="47"/>
    </row>
    <row r="401" spans="1:16" ht="15.75" x14ac:dyDescent="0.25">
      <c r="A401" s="1"/>
      <c r="B401" s="1"/>
      <c r="C401" s="6"/>
      <c r="D401" s="6"/>
      <c r="F401" s="9">
        <v>12</v>
      </c>
      <c r="G401" s="32">
        <v>228</v>
      </c>
      <c r="H401" s="11">
        <v>37484</v>
      </c>
      <c r="I401" s="21">
        <v>106</v>
      </c>
      <c r="J401" s="33"/>
      <c r="K401" s="33"/>
      <c r="M401" s="47"/>
    </row>
    <row r="402" spans="1:16" ht="15.75" x14ac:dyDescent="0.25">
      <c r="C402" s="6"/>
      <c r="D402" s="6"/>
      <c r="F402" s="9">
        <v>13</v>
      </c>
      <c r="G402" s="32" t="e">
        <v>#N/A</v>
      </c>
      <c r="H402" s="11" t="e">
        <v>#N/A</v>
      </c>
      <c r="I402" s="21" t="e">
        <v>#N/A</v>
      </c>
      <c r="J402" s="33"/>
      <c r="K402" s="33"/>
      <c r="M402" s="47"/>
    </row>
    <row r="403" spans="1:16" ht="15.75" x14ac:dyDescent="0.25">
      <c r="A403" s="1"/>
      <c r="B403" s="1"/>
      <c r="C403" s="6"/>
      <c r="D403" s="6"/>
      <c r="F403" s="9">
        <v>14</v>
      </c>
      <c r="G403" s="32" t="e">
        <v>#N/A</v>
      </c>
      <c r="H403" s="11" t="e">
        <v>#N/A</v>
      </c>
      <c r="I403" s="21" t="e">
        <v>#N/A</v>
      </c>
      <c r="J403" s="33"/>
      <c r="K403" s="33"/>
      <c r="M403" s="47"/>
    </row>
    <row r="404" spans="1:16" ht="15.75" x14ac:dyDescent="0.25">
      <c r="A404" s="1"/>
      <c r="B404" s="1"/>
      <c r="C404" s="6"/>
      <c r="D404" s="6"/>
      <c r="F404" s="9">
        <v>15</v>
      </c>
      <c r="G404" s="32" t="e">
        <v>#N/A</v>
      </c>
      <c r="H404" s="11" t="e">
        <v>#N/A</v>
      </c>
      <c r="I404" s="21" t="e">
        <v>#N/A</v>
      </c>
      <c r="J404" s="33"/>
      <c r="K404" s="33"/>
      <c r="M404" s="47"/>
    </row>
    <row r="405" spans="1:16" ht="15.75" x14ac:dyDescent="0.25">
      <c r="A405" s="1"/>
      <c r="B405" s="1"/>
      <c r="C405" s="6"/>
      <c r="D405" s="6"/>
      <c r="F405" s="9">
        <v>16</v>
      </c>
      <c r="G405" s="32" t="e">
        <v>#N/A</v>
      </c>
      <c r="H405" s="11" t="e">
        <v>#N/A</v>
      </c>
      <c r="I405" s="21" t="e">
        <v>#N/A</v>
      </c>
      <c r="J405" s="33"/>
      <c r="K405" s="33"/>
      <c r="M405" s="47"/>
    </row>
    <row r="406" spans="1:16" ht="16.5" thickBot="1" x14ac:dyDescent="0.3">
      <c r="A406" s="1"/>
      <c r="B406" s="1"/>
      <c r="C406" s="6"/>
      <c r="D406" s="6"/>
      <c r="F406" s="9">
        <v>17</v>
      </c>
      <c r="G406" s="32" t="e">
        <v>#N/A</v>
      </c>
      <c r="H406" s="11" t="e">
        <v>#N/A</v>
      </c>
      <c r="I406" s="21" t="e">
        <v>#N/A</v>
      </c>
      <c r="J406" s="33"/>
      <c r="K406" s="33"/>
      <c r="M406" s="47"/>
    </row>
    <row r="407" spans="1:16" ht="16.5" thickBot="1" x14ac:dyDescent="0.3">
      <c r="A407" s="28">
        <v>10</v>
      </c>
      <c r="B407" s="28">
        <v>9</v>
      </c>
      <c r="C407" s="28" t="s">
        <v>14</v>
      </c>
      <c r="D407" s="28">
        <v>202</v>
      </c>
      <c r="E407" s="24" t="s">
        <v>25</v>
      </c>
      <c r="F407" s="29" t="s">
        <v>17</v>
      </c>
      <c r="G407" s="30"/>
      <c r="H407" s="30"/>
      <c r="I407" s="31">
        <v>1034</v>
      </c>
      <c r="J407" s="31">
        <v>140</v>
      </c>
      <c r="K407" s="52"/>
      <c r="M407" s="47"/>
    </row>
    <row r="408" spans="1:16" ht="13.5" thickBot="1" x14ac:dyDescent="0.25">
      <c r="C408" s="6"/>
      <c r="D408" s="6"/>
      <c r="J408" s="48"/>
      <c r="K408" s="41"/>
      <c r="M408" s="47"/>
    </row>
    <row r="409" spans="1:16" ht="16.5" thickBot="1" x14ac:dyDescent="0.3">
      <c r="A409" s="28">
        <v>6</v>
      </c>
      <c r="B409" s="28">
        <v>9</v>
      </c>
      <c r="C409" s="28" t="s">
        <v>14</v>
      </c>
      <c r="D409" s="28">
        <v>106</v>
      </c>
      <c r="E409" s="24" t="s">
        <v>27</v>
      </c>
      <c r="F409" s="10">
        <v>1</v>
      </c>
      <c r="G409" s="25">
        <v>112</v>
      </c>
      <c r="H409" s="26">
        <v>37368</v>
      </c>
      <c r="I409" s="25">
        <v>109</v>
      </c>
      <c r="J409" s="32"/>
      <c r="K409" s="53"/>
      <c r="M409" s="46"/>
      <c r="N409" s="44"/>
      <c r="O409" s="44"/>
      <c r="P409" s="44"/>
    </row>
    <row r="410" spans="1:16" ht="15.75" x14ac:dyDescent="0.25">
      <c r="A410" s="1"/>
      <c r="B410" s="1"/>
      <c r="C410" s="6"/>
      <c r="D410" s="6"/>
      <c r="F410" s="9">
        <v>2</v>
      </c>
      <c r="G410" s="32">
        <v>119</v>
      </c>
      <c r="H410" s="11">
        <v>37375</v>
      </c>
      <c r="I410" s="21">
        <v>86</v>
      </c>
      <c r="J410" s="49"/>
      <c r="K410" s="33"/>
      <c r="M410" s="46"/>
      <c r="N410" s="44"/>
      <c r="O410" s="44"/>
      <c r="P410" s="44"/>
    </row>
    <row r="411" spans="1:16" ht="15.75" x14ac:dyDescent="0.25">
      <c r="A411" s="1"/>
      <c r="B411" s="1"/>
      <c r="C411" s="6"/>
      <c r="D411" s="6"/>
      <c r="F411" s="9">
        <v>3</v>
      </c>
      <c r="G411" s="32">
        <v>127</v>
      </c>
      <c r="H411" s="11">
        <v>37383</v>
      </c>
      <c r="I411" s="21">
        <v>83</v>
      </c>
      <c r="J411" s="33"/>
      <c r="K411" s="33"/>
      <c r="M411" s="46"/>
      <c r="N411" s="44"/>
      <c r="O411" s="44"/>
      <c r="P411" s="44"/>
    </row>
    <row r="412" spans="1:16" ht="15.75" x14ac:dyDescent="0.25">
      <c r="A412" s="1"/>
      <c r="B412" s="1"/>
      <c r="C412" s="6"/>
      <c r="D412" s="6"/>
      <c r="F412" s="9">
        <v>4</v>
      </c>
      <c r="G412" s="32">
        <v>130</v>
      </c>
      <c r="H412" s="11">
        <v>37386</v>
      </c>
      <c r="I412" s="21">
        <v>64</v>
      </c>
      <c r="J412" s="33"/>
      <c r="K412" s="33"/>
      <c r="M412" s="46"/>
      <c r="N412" s="44"/>
      <c r="O412" s="44"/>
      <c r="P412" s="44"/>
    </row>
    <row r="413" spans="1:16" ht="15.75" x14ac:dyDescent="0.25">
      <c r="A413" s="1"/>
      <c r="B413" s="1"/>
      <c r="C413" s="6"/>
      <c r="D413" s="6"/>
      <c r="F413" s="9">
        <v>5</v>
      </c>
      <c r="G413" s="32">
        <v>136</v>
      </c>
      <c r="H413" s="11">
        <v>37392</v>
      </c>
      <c r="I413" s="21">
        <v>64</v>
      </c>
      <c r="J413" s="33"/>
      <c r="K413" s="33"/>
      <c r="M413" s="46"/>
      <c r="N413" s="44"/>
      <c r="O413" s="44"/>
      <c r="P413" s="44"/>
    </row>
    <row r="414" spans="1:16" ht="15.75" x14ac:dyDescent="0.25">
      <c r="A414" s="1"/>
      <c r="B414" s="1"/>
      <c r="C414" s="6"/>
      <c r="D414" s="6"/>
      <c r="F414" s="9">
        <v>6</v>
      </c>
      <c r="G414" s="32">
        <v>155</v>
      </c>
      <c r="H414" s="11">
        <v>37411</v>
      </c>
      <c r="I414" s="21">
        <v>51</v>
      </c>
      <c r="J414" s="33">
        <v>84</v>
      </c>
      <c r="K414" s="33"/>
      <c r="M414" s="47"/>
    </row>
    <row r="415" spans="1:16" ht="15.75" x14ac:dyDescent="0.25">
      <c r="A415" s="1"/>
      <c r="B415" s="1"/>
      <c r="C415" s="6"/>
      <c r="D415" s="6"/>
      <c r="F415" s="9">
        <v>7</v>
      </c>
      <c r="G415" s="32">
        <v>170</v>
      </c>
      <c r="H415" s="11">
        <v>37426</v>
      </c>
      <c r="I415" s="21">
        <v>64</v>
      </c>
      <c r="J415" s="33"/>
      <c r="K415" s="33"/>
      <c r="M415" s="47"/>
    </row>
    <row r="416" spans="1:16" ht="15.75" x14ac:dyDescent="0.25">
      <c r="A416" s="1"/>
      <c r="B416" s="1"/>
      <c r="C416" s="6"/>
      <c r="D416" s="6"/>
      <c r="F416" s="9">
        <v>8</v>
      </c>
      <c r="G416" s="32">
        <v>181</v>
      </c>
      <c r="H416" s="11">
        <v>37437</v>
      </c>
      <c r="I416" s="21">
        <v>97</v>
      </c>
      <c r="J416" s="33"/>
      <c r="K416" s="33"/>
      <c r="M416" s="47"/>
    </row>
    <row r="417" spans="1:13" ht="15.75" x14ac:dyDescent="0.25">
      <c r="A417" s="1"/>
      <c r="B417" s="1"/>
      <c r="C417" s="6"/>
      <c r="D417" s="6"/>
      <c r="F417" s="9">
        <v>9</v>
      </c>
      <c r="G417" s="32">
        <v>193</v>
      </c>
      <c r="H417" s="11">
        <v>37449</v>
      </c>
      <c r="I417" s="21">
        <v>116</v>
      </c>
      <c r="J417" s="33">
        <v>56</v>
      </c>
      <c r="K417" s="33"/>
      <c r="M417" s="47"/>
    </row>
    <row r="418" spans="1:13" ht="15.75" x14ac:dyDescent="0.25">
      <c r="A418" s="1"/>
      <c r="B418" s="1"/>
      <c r="C418" s="6"/>
      <c r="D418" s="6"/>
      <c r="F418" s="9">
        <v>10</v>
      </c>
      <c r="G418" s="32">
        <v>204</v>
      </c>
      <c r="H418" s="11">
        <v>37460</v>
      </c>
      <c r="I418" s="21">
        <v>112</v>
      </c>
      <c r="J418" s="33"/>
      <c r="K418" s="33"/>
      <c r="M418" s="47"/>
    </row>
    <row r="419" spans="1:13" ht="15.75" x14ac:dyDescent="0.25">
      <c r="A419" s="1"/>
      <c r="B419" s="1"/>
      <c r="C419" s="6"/>
      <c r="D419" s="6"/>
      <c r="F419" s="9">
        <v>11</v>
      </c>
      <c r="G419" s="32">
        <v>216</v>
      </c>
      <c r="H419" s="11">
        <v>37472</v>
      </c>
      <c r="I419" s="21">
        <v>116</v>
      </c>
      <c r="J419" s="33"/>
      <c r="K419" s="33"/>
      <c r="M419" s="47"/>
    </row>
    <row r="420" spans="1:13" ht="15.75" x14ac:dyDescent="0.25">
      <c r="A420" s="1"/>
      <c r="B420" s="1"/>
      <c r="C420" s="6"/>
      <c r="D420" s="6"/>
      <c r="F420" s="9">
        <v>12</v>
      </c>
      <c r="G420" s="32">
        <v>228</v>
      </c>
      <c r="H420" s="11">
        <v>37484</v>
      </c>
      <c r="I420" s="21">
        <v>93</v>
      </c>
      <c r="J420" s="33"/>
      <c r="K420" s="33"/>
      <c r="M420" s="47"/>
    </row>
    <row r="421" spans="1:13" ht="15.75" x14ac:dyDescent="0.25">
      <c r="C421" s="6"/>
      <c r="D421" s="6"/>
      <c r="F421" s="9">
        <v>13</v>
      </c>
      <c r="G421" s="32" t="e">
        <v>#N/A</v>
      </c>
      <c r="H421" s="11" t="e">
        <v>#N/A</v>
      </c>
      <c r="I421" s="21" t="e">
        <v>#N/A</v>
      </c>
      <c r="J421" s="33"/>
      <c r="K421" s="33"/>
      <c r="M421" s="47"/>
    </row>
    <row r="422" spans="1:13" ht="15.75" x14ac:dyDescent="0.25">
      <c r="A422" s="1"/>
      <c r="B422" s="1"/>
      <c r="C422" s="6"/>
      <c r="D422" s="6"/>
      <c r="F422" s="9">
        <v>14</v>
      </c>
      <c r="G422" s="32" t="e">
        <v>#N/A</v>
      </c>
      <c r="H422" s="11" t="e">
        <v>#N/A</v>
      </c>
      <c r="I422" s="21" t="e">
        <v>#N/A</v>
      </c>
      <c r="J422" s="33"/>
      <c r="K422" s="33"/>
      <c r="M422" s="47"/>
    </row>
    <row r="423" spans="1:13" ht="15.75" x14ac:dyDescent="0.25">
      <c r="A423" s="1"/>
      <c r="B423" s="1"/>
      <c r="C423" s="6"/>
      <c r="D423" s="6"/>
      <c r="F423" s="9">
        <v>15</v>
      </c>
      <c r="G423" s="32" t="e">
        <v>#N/A</v>
      </c>
      <c r="H423" s="11" t="e">
        <v>#N/A</v>
      </c>
      <c r="I423" s="21" t="e">
        <v>#N/A</v>
      </c>
      <c r="J423" s="33"/>
      <c r="K423" s="33"/>
      <c r="M423" s="47"/>
    </row>
    <row r="424" spans="1:13" ht="15.75" x14ac:dyDescent="0.25">
      <c r="A424" s="1"/>
      <c r="B424" s="1"/>
      <c r="C424" s="6"/>
      <c r="D424" s="6"/>
      <c r="F424" s="9">
        <v>16</v>
      </c>
      <c r="G424" s="32" t="e">
        <v>#N/A</v>
      </c>
      <c r="H424" s="11" t="e">
        <v>#N/A</v>
      </c>
      <c r="I424" s="21" t="e">
        <v>#N/A</v>
      </c>
      <c r="J424" s="33"/>
      <c r="K424" s="33"/>
      <c r="M424" s="47"/>
    </row>
    <row r="425" spans="1:13" ht="16.5" thickBot="1" x14ac:dyDescent="0.3">
      <c r="A425" s="1"/>
      <c r="B425" s="1"/>
      <c r="C425" s="6"/>
      <c r="D425" s="6"/>
      <c r="F425" s="9">
        <v>17</v>
      </c>
      <c r="G425" s="32" t="e">
        <v>#N/A</v>
      </c>
      <c r="H425" s="11" t="e">
        <v>#N/A</v>
      </c>
      <c r="I425" s="21" t="e">
        <v>#N/A</v>
      </c>
      <c r="J425" s="33"/>
      <c r="K425" s="33"/>
      <c r="M425" s="47"/>
    </row>
    <row r="426" spans="1:13" ht="16.5" thickBot="1" x14ac:dyDescent="0.3">
      <c r="A426" s="28">
        <v>6</v>
      </c>
      <c r="B426" s="28">
        <v>9</v>
      </c>
      <c r="C426" s="28" t="s">
        <v>14</v>
      </c>
      <c r="D426" s="28">
        <v>106</v>
      </c>
      <c r="E426" s="24" t="s">
        <v>27</v>
      </c>
      <c r="F426" s="29" t="s">
        <v>17</v>
      </c>
      <c r="G426" s="30"/>
      <c r="H426" s="30"/>
      <c r="I426" s="31">
        <v>1055</v>
      </c>
      <c r="J426" s="31">
        <v>140</v>
      </c>
      <c r="K426" s="52"/>
      <c r="M426" s="47"/>
    </row>
    <row r="427" spans="1:13" ht="13.5" thickBot="1" x14ac:dyDescent="0.25">
      <c r="C427" s="6"/>
      <c r="D427" s="6"/>
      <c r="J427" s="48"/>
      <c r="K427" s="41"/>
      <c r="M427" s="47"/>
    </row>
    <row r="428" spans="1:13" ht="16.5" thickBot="1" x14ac:dyDescent="0.3">
      <c r="A428" s="28">
        <v>26</v>
      </c>
      <c r="B428" s="28">
        <v>9</v>
      </c>
      <c r="C428" s="28" t="s">
        <v>14</v>
      </c>
      <c r="D428" s="28">
        <v>402</v>
      </c>
      <c r="E428" s="24" t="s">
        <v>28</v>
      </c>
      <c r="F428" s="10">
        <v>1</v>
      </c>
      <c r="G428" s="25">
        <v>112</v>
      </c>
      <c r="H428" s="26">
        <v>37368</v>
      </c>
      <c r="I428" s="25">
        <v>95</v>
      </c>
      <c r="J428" s="32"/>
      <c r="K428" s="53"/>
      <c r="M428" s="47"/>
    </row>
    <row r="429" spans="1:13" ht="15.75" x14ac:dyDescent="0.25">
      <c r="A429" s="1"/>
      <c r="B429" s="1"/>
      <c r="C429" s="6"/>
      <c r="D429" s="6"/>
      <c r="F429" s="9">
        <v>2</v>
      </c>
      <c r="G429" s="32">
        <v>119</v>
      </c>
      <c r="H429" s="11">
        <v>37375</v>
      </c>
      <c r="I429" s="21">
        <v>78</v>
      </c>
      <c r="J429" s="49"/>
      <c r="K429" s="33"/>
      <c r="M429" s="47"/>
    </row>
    <row r="430" spans="1:13" ht="15.75" x14ac:dyDescent="0.25">
      <c r="A430" s="1"/>
      <c r="B430" s="1"/>
      <c r="C430" s="6"/>
      <c r="D430" s="6"/>
      <c r="F430" s="9">
        <v>3</v>
      </c>
      <c r="G430" s="32">
        <v>128</v>
      </c>
      <c r="H430" s="11">
        <v>37384</v>
      </c>
      <c r="I430" s="21">
        <v>99</v>
      </c>
      <c r="J430" s="33"/>
      <c r="K430" s="33"/>
      <c r="M430" s="47"/>
    </row>
    <row r="431" spans="1:13" ht="15.75" x14ac:dyDescent="0.25">
      <c r="A431" s="1"/>
      <c r="B431" s="1"/>
      <c r="C431" s="6"/>
      <c r="D431" s="6"/>
      <c r="F431" s="9">
        <v>4</v>
      </c>
      <c r="G431" s="32">
        <v>130</v>
      </c>
      <c r="H431" s="11">
        <v>37386</v>
      </c>
      <c r="I431" s="21">
        <v>61</v>
      </c>
      <c r="J431" s="33"/>
      <c r="K431" s="33"/>
      <c r="M431" s="47"/>
    </row>
    <row r="432" spans="1:13" ht="15.75" x14ac:dyDescent="0.25">
      <c r="A432" s="1"/>
      <c r="B432" s="1"/>
      <c r="C432" s="6"/>
      <c r="D432" s="6"/>
      <c r="F432" s="9">
        <v>5</v>
      </c>
      <c r="G432" s="32">
        <v>136</v>
      </c>
      <c r="H432" s="11">
        <v>37392</v>
      </c>
      <c r="I432" s="21">
        <v>59</v>
      </c>
      <c r="J432" s="33"/>
      <c r="K432" s="33"/>
      <c r="M432" s="47"/>
    </row>
    <row r="433" spans="1:13" ht="15.75" x14ac:dyDescent="0.25">
      <c r="A433" s="1"/>
      <c r="B433" s="1"/>
      <c r="C433" s="6"/>
      <c r="D433" s="6"/>
      <c r="F433" s="9">
        <v>6</v>
      </c>
      <c r="G433" s="32">
        <v>155</v>
      </c>
      <c r="H433" s="11">
        <v>37411</v>
      </c>
      <c r="I433" s="21">
        <v>51</v>
      </c>
      <c r="J433" s="33">
        <v>84</v>
      </c>
      <c r="K433" s="33"/>
      <c r="M433" s="47"/>
    </row>
    <row r="434" spans="1:13" ht="15.75" x14ac:dyDescent="0.25">
      <c r="A434" s="1"/>
      <c r="B434" s="1"/>
      <c r="C434" s="6"/>
      <c r="D434" s="6"/>
      <c r="F434" s="9">
        <v>7</v>
      </c>
      <c r="G434" s="32">
        <v>170</v>
      </c>
      <c r="H434" s="11">
        <v>37426</v>
      </c>
      <c r="I434" s="21">
        <v>62</v>
      </c>
      <c r="J434" s="33"/>
      <c r="K434" s="33"/>
      <c r="M434" s="47"/>
    </row>
    <row r="435" spans="1:13" ht="15.75" x14ac:dyDescent="0.25">
      <c r="A435" s="1"/>
      <c r="B435" s="1"/>
      <c r="C435" s="6"/>
      <c r="D435" s="6"/>
      <c r="F435" s="9">
        <v>8</v>
      </c>
      <c r="G435" s="32">
        <v>181</v>
      </c>
      <c r="H435" s="11">
        <v>37437</v>
      </c>
      <c r="I435" s="21">
        <v>78</v>
      </c>
      <c r="J435" s="33"/>
      <c r="K435" s="33"/>
      <c r="M435" s="47"/>
    </row>
    <row r="436" spans="1:13" ht="15.75" x14ac:dyDescent="0.25">
      <c r="A436" s="1"/>
      <c r="B436" s="1"/>
      <c r="C436" s="6"/>
      <c r="D436" s="6"/>
      <c r="F436" s="9">
        <v>9</v>
      </c>
      <c r="G436" s="32">
        <v>193</v>
      </c>
      <c r="H436" s="11">
        <v>37449</v>
      </c>
      <c r="I436" s="21">
        <v>111</v>
      </c>
      <c r="J436" s="33">
        <v>56</v>
      </c>
      <c r="K436" s="33"/>
      <c r="M436" s="47"/>
    </row>
    <row r="437" spans="1:13" ht="15.75" x14ac:dyDescent="0.25">
      <c r="A437" s="1"/>
      <c r="B437" s="1"/>
      <c r="C437" s="6"/>
      <c r="D437" s="6"/>
      <c r="F437" s="9">
        <v>10</v>
      </c>
      <c r="G437" s="32">
        <v>204</v>
      </c>
      <c r="H437" s="11">
        <v>37460</v>
      </c>
      <c r="I437" s="21">
        <v>119</v>
      </c>
      <c r="J437" s="33"/>
      <c r="K437" s="33"/>
      <c r="M437" s="47"/>
    </row>
    <row r="438" spans="1:13" ht="15.75" x14ac:dyDescent="0.25">
      <c r="A438" s="1"/>
      <c r="B438" s="1"/>
      <c r="C438" s="6"/>
      <c r="D438" s="6"/>
      <c r="F438" s="9">
        <v>11</v>
      </c>
      <c r="G438" s="32">
        <v>216</v>
      </c>
      <c r="H438" s="11">
        <v>37472</v>
      </c>
      <c r="I438" s="21">
        <v>119</v>
      </c>
      <c r="J438" s="33"/>
      <c r="K438" s="33"/>
      <c r="M438" s="47"/>
    </row>
    <row r="439" spans="1:13" ht="15.75" x14ac:dyDescent="0.25">
      <c r="A439" s="1"/>
      <c r="B439" s="1"/>
      <c r="C439" s="6"/>
      <c r="D439" s="6"/>
      <c r="F439" s="9">
        <v>12</v>
      </c>
      <c r="G439" s="32">
        <v>228</v>
      </c>
      <c r="H439" s="11">
        <v>37484</v>
      </c>
      <c r="I439" s="21">
        <v>101</v>
      </c>
      <c r="J439" s="33"/>
      <c r="K439" s="33"/>
      <c r="M439" s="47"/>
    </row>
    <row r="440" spans="1:13" ht="15.75" x14ac:dyDescent="0.25">
      <c r="C440" s="6"/>
      <c r="D440" s="6"/>
      <c r="F440" s="9">
        <v>13</v>
      </c>
      <c r="G440" s="32" t="e">
        <v>#N/A</v>
      </c>
      <c r="H440" s="11" t="e">
        <v>#N/A</v>
      </c>
      <c r="I440" s="21" t="e">
        <v>#N/A</v>
      </c>
      <c r="J440" s="33"/>
      <c r="K440" s="33"/>
      <c r="M440" s="47"/>
    </row>
    <row r="441" spans="1:13" ht="15.75" x14ac:dyDescent="0.25">
      <c r="A441" s="1"/>
      <c r="B441" s="1"/>
      <c r="C441" s="6"/>
      <c r="D441" s="6"/>
      <c r="F441" s="9">
        <v>14</v>
      </c>
      <c r="G441" s="32" t="e">
        <v>#N/A</v>
      </c>
      <c r="H441" s="11" t="e">
        <v>#N/A</v>
      </c>
      <c r="I441" s="21" t="e">
        <v>#N/A</v>
      </c>
      <c r="J441" s="33"/>
      <c r="K441" s="33"/>
      <c r="M441" s="47"/>
    </row>
    <row r="442" spans="1:13" ht="15.75" x14ac:dyDescent="0.25">
      <c r="A442" s="1"/>
      <c r="B442" s="1"/>
      <c r="C442" s="6"/>
      <c r="D442" s="6"/>
      <c r="F442" s="9">
        <v>15</v>
      </c>
      <c r="G442" s="32" t="e">
        <v>#N/A</v>
      </c>
      <c r="H442" s="11" t="e">
        <v>#N/A</v>
      </c>
      <c r="I442" s="21" t="e">
        <v>#N/A</v>
      </c>
      <c r="J442" s="33"/>
      <c r="K442" s="33"/>
      <c r="M442" s="47"/>
    </row>
    <row r="443" spans="1:13" ht="15.75" x14ac:dyDescent="0.25">
      <c r="A443" s="1"/>
      <c r="B443" s="1"/>
      <c r="C443" s="6"/>
      <c r="D443" s="6"/>
      <c r="F443" s="9">
        <v>16</v>
      </c>
      <c r="G443" s="32" t="e">
        <v>#N/A</v>
      </c>
      <c r="H443" s="11" t="e">
        <v>#N/A</v>
      </c>
      <c r="I443" s="21" t="e">
        <v>#N/A</v>
      </c>
      <c r="J443" s="33"/>
      <c r="K443" s="33"/>
      <c r="M443" s="47"/>
    </row>
    <row r="444" spans="1:13" ht="16.5" thickBot="1" x14ac:dyDescent="0.3">
      <c r="A444" s="1"/>
      <c r="B444" s="1"/>
      <c r="C444" s="6"/>
      <c r="D444" s="6"/>
      <c r="F444" s="9">
        <v>17</v>
      </c>
      <c r="G444" s="32" t="e">
        <v>#N/A</v>
      </c>
      <c r="H444" s="11" t="e">
        <v>#N/A</v>
      </c>
      <c r="I444" s="21" t="e">
        <v>#N/A</v>
      </c>
      <c r="J444" s="33"/>
      <c r="K444" s="33"/>
      <c r="M444" s="47"/>
    </row>
    <row r="445" spans="1:13" ht="16.5" thickBot="1" x14ac:dyDescent="0.3">
      <c r="A445" s="28">
        <v>26</v>
      </c>
      <c r="B445" s="28">
        <v>9</v>
      </c>
      <c r="C445" s="28" t="s">
        <v>14</v>
      </c>
      <c r="D445" s="28">
        <v>402</v>
      </c>
      <c r="E445" s="24" t="s">
        <v>28</v>
      </c>
      <c r="F445" s="29" t="s">
        <v>17</v>
      </c>
      <c r="G445" s="30"/>
      <c r="H445" s="30"/>
      <c r="I445" s="31">
        <v>1033</v>
      </c>
      <c r="J445" s="31">
        <v>140</v>
      </c>
      <c r="K445" s="52"/>
      <c r="M445" s="47"/>
    </row>
    <row r="446" spans="1:13" ht="13.5" thickBot="1" x14ac:dyDescent="0.25">
      <c r="C446" s="6"/>
      <c r="D446" s="6"/>
      <c r="J446" s="48"/>
      <c r="K446" s="41"/>
      <c r="M446" s="47"/>
    </row>
    <row r="447" spans="1:13" ht="16.5" thickBot="1" x14ac:dyDescent="0.3">
      <c r="A447" s="28">
        <v>23</v>
      </c>
      <c r="B447" s="28">
        <v>9</v>
      </c>
      <c r="C447" s="28" t="s">
        <v>14</v>
      </c>
      <c r="D447" s="28">
        <v>307</v>
      </c>
      <c r="E447" s="24" t="s">
        <v>29</v>
      </c>
      <c r="F447" s="10">
        <v>1</v>
      </c>
      <c r="G447" s="25">
        <v>112</v>
      </c>
      <c r="H447" s="26">
        <v>37368</v>
      </c>
      <c r="I447" s="25">
        <v>105</v>
      </c>
      <c r="J447" s="32"/>
      <c r="K447" s="53"/>
      <c r="M447" s="47"/>
    </row>
    <row r="448" spans="1:13" ht="15.75" x14ac:dyDescent="0.25">
      <c r="A448" s="1"/>
      <c r="B448" s="1"/>
      <c r="C448" s="6"/>
      <c r="D448" s="6"/>
      <c r="F448" s="9">
        <v>2</v>
      </c>
      <c r="G448" s="32">
        <v>119</v>
      </c>
      <c r="H448" s="11">
        <v>37375</v>
      </c>
      <c r="I448" s="21">
        <v>78</v>
      </c>
      <c r="J448" s="49"/>
      <c r="K448" s="33"/>
      <c r="M448" s="47"/>
    </row>
    <row r="449" spans="1:13" ht="15.75" x14ac:dyDescent="0.25">
      <c r="A449" s="1"/>
      <c r="B449" s="1"/>
      <c r="C449" s="6"/>
      <c r="D449" s="6"/>
      <c r="F449" s="9">
        <v>3</v>
      </c>
      <c r="G449" s="32">
        <v>128</v>
      </c>
      <c r="H449" s="11">
        <v>37384</v>
      </c>
      <c r="I449" s="21">
        <v>99</v>
      </c>
      <c r="J449" s="33"/>
      <c r="K449" s="33"/>
      <c r="M449" s="47"/>
    </row>
    <row r="450" spans="1:13" ht="15.75" x14ac:dyDescent="0.25">
      <c r="A450" s="1"/>
      <c r="B450" s="1"/>
      <c r="C450" s="6"/>
      <c r="D450" s="6"/>
      <c r="F450" s="9">
        <v>4</v>
      </c>
      <c r="G450" s="32">
        <v>130</v>
      </c>
      <c r="H450" s="11">
        <v>37386</v>
      </c>
      <c r="I450" s="21">
        <v>61</v>
      </c>
      <c r="J450" s="33"/>
      <c r="K450" s="33"/>
      <c r="M450" s="47"/>
    </row>
    <row r="451" spans="1:13" ht="15.75" x14ac:dyDescent="0.25">
      <c r="A451" s="1"/>
      <c r="B451" s="1"/>
      <c r="C451" s="6"/>
      <c r="D451" s="6"/>
      <c r="F451" s="9">
        <v>5</v>
      </c>
      <c r="G451" s="32">
        <v>136</v>
      </c>
      <c r="H451" s="11">
        <v>37392</v>
      </c>
      <c r="I451" s="21">
        <v>59</v>
      </c>
      <c r="J451" s="33"/>
      <c r="K451" s="33"/>
      <c r="M451" s="47"/>
    </row>
    <row r="452" spans="1:13" ht="15.75" x14ac:dyDescent="0.25">
      <c r="A452" s="1"/>
      <c r="B452" s="1"/>
      <c r="C452" s="6"/>
      <c r="D452" s="6"/>
      <c r="F452" s="9">
        <v>6</v>
      </c>
      <c r="G452" s="32">
        <v>155</v>
      </c>
      <c r="H452" s="11">
        <v>37411</v>
      </c>
      <c r="I452" s="21">
        <v>51</v>
      </c>
      <c r="J452" s="33">
        <v>84</v>
      </c>
      <c r="K452" s="33"/>
      <c r="M452" s="47"/>
    </row>
    <row r="453" spans="1:13" ht="15.75" x14ac:dyDescent="0.25">
      <c r="A453" s="1"/>
      <c r="B453" s="1"/>
      <c r="C453" s="6"/>
      <c r="D453" s="6"/>
      <c r="F453" s="9">
        <v>7</v>
      </c>
      <c r="G453" s="32">
        <v>170</v>
      </c>
      <c r="H453" s="11">
        <v>37426</v>
      </c>
      <c r="I453" s="21">
        <v>59</v>
      </c>
      <c r="J453" s="33"/>
      <c r="K453" s="33"/>
      <c r="M453" s="47"/>
    </row>
    <row r="454" spans="1:13" ht="15.75" x14ac:dyDescent="0.25">
      <c r="A454" s="1"/>
      <c r="B454" s="1"/>
      <c r="C454" s="6"/>
      <c r="D454" s="6"/>
      <c r="F454" s="9">
        <v>8</v>
      </c>
      <c r="G454" s="32">
        <v>181</v>
      </c>
      <c r="H454" s="11">
        <v>37437</v>
      </c>
      <c r="I454" s="21">
        <v>81</v>
      </c>
      <c r="J454" s="33"/>
      <c r="K454" s="33"/>
      <c r="M454" s="47"/>
    </row>
    <row r="455" spans="1:13" ht="15.75" x14ac:dyDescent="0.25">
      <c r="A455" s="1"/>
      <c r="B455" s="1"/>
      <c r="C455" s="6"/>
      <c r="D455" s="6"/>
      <c r="F455" s="9">
        <v>9</v>
      </c>
      <c r="G455" s="32">
        <v>193</v>
      </c>
      <c r="H455" s="11">
        <v>37449</v>
      </c>
      <c r="I455" s="21">
        <v>99</v>
      </c>
      <c r="J455" s="33">
        <v>56</v>
      </c>
      <c r="K455" s="33"/>
      <c r="M455" s="47"/>
    </row>
    <row r="456" spans="1:13" ht="15.75" x14ac:dyDescent="0.25">
      <c r="A456" s="1"/>
      <c r="B456" s="1"/>
      <c r="C456" s="6"/>
      <c r="D456" s="6"/>
      <c r="F456" s="9">
        <v>10</v>
      </c>
      <c r="G456" s="32">
        <v>204</v>
      </c>
      <c r="H456" s="11">
        <v>37460</v>
      </c>
      <c r="I456" s="21">
        <v>116</v>
      </c>
      <c r="J456" s="33"/>
      <c r="K456" s="33"/>
      <c r="M456" s="47"/>
    </row>
    <row r="457" spans="1:13" ht="15.75" x14ac:dyDescent="0.25">
      <c r="A457" s="1"/>
      <c r="B457" s="1"/>
      <c r="C457" s="6"/>
      <c r="D457" s="6"/>
      <c r="F457" s="9">
        <v>11</v>
      </c>
      <c r="G457" s="32">
        <v>216</v>
      </c>
      <c r="H457" s="11">
        <v>37472</v>
      </c>
      <c r="I457" s="21">
        <v>119</v>
      </c>
      <c r="J457" s="33"/>
      <c r="K457" s="33"/>
      <c r="M457" s="47"/>
    </row>
    <row r="458" spans="1:13" ht="15.75" x14ac:dyDescent="0.25">
      <c r="A458" s="1"/>
      <c r="B458" s="1"/>
      <c r="C458" s="6"/>
      <c r="D458" s="6"/>
      <c r="F458" s="9">
        <v>12</v>
      </c>
      <c r="G458" s="32">
        <v>228</v>
      </c>
      <c r="H458" s="11">
        <v>37484</v>
      </c>
      <c r="I458" s="21">
        <v>102</v>
      </c>
      <c r="J458" s="33"/>
      <c r="K458" s="33"/>
      <c r="M458" s="47"/>
    </row>
    <row r="459" spans="1:13" ht="15.75" x14ac:dyDescent="0.25">
      <c r="C459" s="6"/>
      <c r="D459" s="6"/>
      <c r="F459" s="9">
        <v>13</v>
      </c>
      <c r="G459" s="32" t="e">
        <v>#N/A</v>
      </c>
      <c r="H459" s="11" t="e">
        <v>#N/A</v>
      </c>
      <c r="I459" s="21" t="e">
        <v>#N/A</v>
      </c>
      <c r="J459" s="33"/>
      <c r="K459" s="33"/>
      <c r="M459" s="47"/>
    </row>
    <row r="460" spans="1:13" ht="15.75" x14ac:dyDescent="0.25">
      <c r="A460" s="1"/>
      <c r="B460" s="1"/>
      <c r="C460" s="6"/>
      <c r="D460" s="6"/>
      <c r="F460" s="9">
        <v>14</v>
      </c>
      <c r="G460" s="32" t="e">
        <v>#N/A</v>
      </c>
      <c r="H460" s="11" t="e">
        <v>#N/A</v>
      </c>
      <c r="I460" s="21" t="e">
        <v>#N/A</v>
      </c>
      <c r="J460" s="33"/>
      <c r="K460" s="33"/>
      <c r="M460" s="47"/>
    </row>
    <row r="461" spans="1:13" ht="15.75" x14ac:dyDescent="0.25">
      <c r="A461" s="1"/>
      <c r="B461" s="1"/>
      <c r="C461" s="6"/>
      <c r="D461" s="6"/>
      <c r="F461" s="9">
        <v>15</v>
      </c>
      <c r="G461" s="32" t="e">
        <v>#N/A</v>
      </c>
      <c r="H461" s="11" t="e">
        <v>#N/A</v>
      </c>
      <c r="I461" s="21" t="e">
        <v>#N/A</v>
      </c>
      <c r="J461" s="33"/>
      <c r="K461" s="33"/>
      <c r="M461" s="47"/>
    </row>
    <row r="462" spans="1:13" ht="15.75" x14ac:dyDescent="0.25">
      <c r="A462" s="1"/>
      <c r="B462" s="1"/>
      <c r="C462" s="6"/>
      <c r="D462" s="6"/>
      <c r="F462" s="9">
        <v>16</v>
      </c>
      <c r="G462" s="32" t="e">
        <v>#N/A</v>
      </c>
      <c r="H462" s="11" t="e">
        <v>#N/A</v>
      </c>
      <c r="I462" s="21" t="e">
        <v>#N/A</v>
      </c>
      <c r="J462" s="33"/>
      <c r="K462" s="33"/>
      <c r="M462" s="47"/>
    </row>
    <row r="463" spans="1:13" ht="16.5" thickBot="1" x14ac:dyDescent="0.3">
      <c r="A463" s="1"/>
      <c r="B463" s="1"/>
      <c r="C463" s="6"/>
      <c r="D463" s="6"/>
      <c r="F463" s="9">
        <v>17</v>
      </c>
      <c r="G463" s="32" t="e">
        <v>#N/A</v>
      </c>
      <c r="H463" s="11" t="e">
        <v>#N/A</v>
      </c>
      <c r="I463" s="21" t="e">
        <v>#N/A</v>
      </c>
      <c r="J463" s="33"/>
      <c r="K463" s="33"/>
      <c r="M463" s="47"/>
    </row>
    <row r="464" spans="1:13" ht="16.5" thickBot="1" x14ac:dyDescent="0.3">
      <c r="A464" s="28">
        <v>23</v>
      </c>
      <c r="B464" s="28">
        <v>9</v>
      </c>
      <c r="C464" s="28" t="s">
        <v>14</v>
      </c>
      <c r="D464" s="28">
        <v>307</v>
      </c>
      <c r="E464" s="24" t="s">
        <v>29</v>
      </c>
      <c r="F464" s="29" t="s">
        <v>17</v>
      </c>
      <c r="G464" s="30"/>
      <c r="H464" s="30"/>
      <c r="I464" s="31">
        <v>1029</v>
      </c>
      <c r="J464" s="31">
        <v>140</v>
      </c>
      <c r="K464" s="52"/>
      <c r="M464" s="47"/>
    </row>
    <row r="465" spans="1:16" ht="13.5" thickBot="1" x14ac:dyDescent="0.25">
      <c r="C465" s="6"/>
      <c r="D465" s="6"/>
      <c r="J465" s="48"/>
      <c r="K465" s="41"/>
      <c r="M465" s="47"/>
    </row>
    <row r="466" spans="1:16" ht="16.5" thickBot="1" x14ac:dyDescent="0.3">
      <c r="A466" s="28">
        <v>4</v>
      </c>
      <c r="B466" s="28">
        <v>10</v>
      </c>
      <c r="C466" s="28" t="s">
        <v>15</v>
      </c>
      <c r="D466" s="28">
        <v>104</v>
      </c>
      <c r="E466" s="24" t="s">
        <v>25</v>
      </c>
      <c r="F466" s="10">
        <v>1</v>
      </c>
      <c r="G466" s="25">
        <v>112</v>
      </c>
      <c r="H466" s="26">
        <v>37368</v>
      </c>
      <c r="I466" s="25">
        <v>99</v>
      </c>
      <c r="J466" s="32"/>
      <c r="K466" s="53"/>
      <c r="M466" s="46"/>
      <c r="N466" s="44"/>
      <c r="O466" s="44"/>
      <c r="P466" s="44"/>
    </row>
    <row r="467" spans="1:16" ht="15.75" x14ac:dyDescent="0.25">
      <c r="A467" s="1"/>
      <c r="B467" s="1"/>
      <c r="C467" s="6"/>
      <c r="D467" s="6"/>
      <c r="F467" s="9">
        <v>2</v>
      </c>
      <c r="G467" s="32">
        <v>119</v>
      </c>
      <c r="H467" s="11">
        <v>37375</v>
      </c>
      <c r="I467" s="21">
        <v>81</v>
      </c>
      <c r="J467" s="49"/>
      <c r="K467" s="33"/>
      <c r="M467" s="46"/>
      <c r="N467" s="44"/>
      <c r="O467" s="44"/>
      <c r="P467" s="44"/>
    </row>
    <row r="468" spans="1:16" ht="15.75" x14ac:dyDescent="0.25">
      <c r="A468" s="1"/>
      <c r="B468" s="1"/>
      <c r="C468" s="6"/>
      <c r="D468" s="6"/>
      <c r="F468" s="9">
        <v>3</v>
      </c>
      <c r="G468" s="32">
        <v>128</v>
      </c>
      <c r="H468" s="11">
        <v>37384</v>
      </c>
      <c r="I468" s="21">
        <v>83</v>
      </c>
      <c r="J468" s="33"/>
      <c r="K468" s="33"/>
      <c r="M468" s="46"/>
      <c r="N468" s="44"/>
      <c r="O468" s="44"/>
      <c r="P468" s="44"/>
    </row>
    <row r="469" spans="1:16" ht="15.75" x14ac:dyDescent="0.25">
      <c r="A469" s="1"/>
      <c r="B469" s="1"/>
      <c r="C469" s="6"/>
      <c r="D469" s="6"/>
      <c r="F469" s="9">
        <v>4</v>
      </c>
      <c r="G469" s="32">
        <v>130</v>
      </c>
      <c r="H469" s="11">
        <v>37386</v>
      </c>
      <c r="I469" s="21">
        <v>53</v>
      </c>
      <c r="J469" s="33"/>
      <c r="K469" s="33"/>
      <c r="M469" s="46"/>
      <c r="N469" s="44"/>
      <c r="O469" s="44"/>
      <c r="P469" s="44"/>
    </row>
    <row r="470" spans="1:16" ht="15.75" x14ac:dyDescent="0.25">
      <c r="A470" s="1"/>
      <c r="B470" s="1"/>
      <c r="C470" s="6"/>
      <c r="D470" s="6"/>
      <c r="F470" s="9">
        <v>5</v>
      </c>
      <c r="G470" s="32">
        <v>136</v>
      </c>
      <c r="H470" s="11">
        <v>37392</v>
      </c>
      <c r="I470" s="21">
        <v>60</v>
      </c>
      <c r="J470" s="33"/>
      <c r="K470" s="33"/>
      <c r="M470" s="46"/>
      <c r="N470" s="44"/>
      <c r="O470" s="44"/>
      <c r="P470" s="44"/>
    </row>
    <row r="471" spans="1:16" ht="15.75" x14ac:dyDescent="0.25">
      <c r="A471" s="1"/>
      <c r="B471" s="1"/>
      <c r="C471" s="6"/>
      <c r="D471" s="6"/>
      <c r="F471" s="9">
        <v>6</v>
      </c>
      <c r="G471" s="32">
        <v>155</v>
      </c>
      <c r="H471" s="11">
        <v>37411</v>
      </c>
      <c r="I471" s="21">
        <v>51</v>
      </c>
      <c r="J471" s="33"/>
      <c r="K471" s="33"/>
      <c r="M471" s="47"/>
    </row>
    <row r="472" spans="1:16" ht="15.75" x14ac:dyDescent="0.25">
      <c r="A472" s="1"/>
      <c r="B472" s="1"/>
      <c r="C472" s="6"/>
      <c r="D472" s="6"/>
      <c r="F472" s="9">
        <v>7</v>
      </c>
      <c r="G472" s="32">
        <v>170</v>
      </c>
      <c r="H472" s="11">
        <v>37426</v>
      </c>
      <c r="I472" s="21">
        <v>66</v>
      </c>
      <c r="J472" s="33"/>
      <c r="K472" s="33"/>
      <c r="M472" s="47"/>
    </row>
    <row r="473" spans="1:16" ht="15.75" x14ac:dyDescent="0.25">
      <c r="A473" s="1"/>
      <c r="B473" s="1"/>
      <c r="C473" s="6"/>
      <c r="D473" s="6"/>
      <c r="F473" s="9">
        <v>8</v>
      </c>
      <c r="G473" s="32">
        <v>181</v>
      </c>
      <c r="H473" s="11">
        <v>37437</v>
      </c>
      <c r="I473" s="21">
        <v>94</v>
      </c>
      <c r="J473" s="33"/>
      <c r="K473" s="33"/>
      <c r="M473" s="47"/>
    </row>
    <row r="474" spans="1:16" ht="15.75" x14ac:dyDescent="0.25">
      <c r="A474" s="1"/>
      <c r="B474" s="1"/>
      <c r="C474" s="6"/>
      <c r="D474" s="6"/>
      <c r="F474" s="9">
        <v>9</v>
      </c>
      <c r="G474" s="32">
        <v>193</v>
      </c>
      <c r="H474" s="11">
        <v>37449</v>
      </c>
      <c r="I474" s="21">
        <v>107</v>
      </c>
      <c r="J474" s="33"/>
      <c r="K474" s="33"/>
      <c r="M474" s="47"/>
    </row>
    <row r="475" spans="1:16" ht="15.75" x14ac:dyDescent="0.25">
      <c r="A475" s="1"/>
      <c r="B475" s="1"/>
      <c r="C475" s="6"/>
      <c r="D475" s="6"/>
      <c r="F475" s="9">
        <v>10</v>
      </c>
      <c r="G475" s="32">
        <v>204</v>
      </c>
      <c r="H475" s="11">
        <v>37460</v>
      </c>
      <c r="I475" s="21">
        <v>112</v>
      </c>
      <c r="J475" s="33"/>
      <c r="K475" s="33"/>
      <c r="M475" s="47"/>
    </row>
    <row r="476" spans="1:16" ht="15.75" x14ac:dyDescent="0.25">
      <c r="A476" s="1"/>
      <c r="B476" s="1"/>
      <c r="C476" s="6"/>
      <c r="D476" s="6"/>
      <c r="F476" s="9">
        <v>11</v>
      </c>
      <c r="G476" s="32">
        <v>216</v>
      </c>
      <c r="H476" s="11">
        <v>37472</v>
      </c>
      <c r="I476" s="21">
        <v>116</v>
      </c>
      <c r="J476" s="33"/>
      <c r="K476" s="33"/>
      <c r="M476" s="47"/>
    </row>
    <row r="477" spans="1:16" ht="15.75" x14ac:dyDescent="0.25">
      <c r="A477" s="1"/>
      <c r="B477" s="1"/>
      <c r="C477" s="6"/>
      <c r="D477" s="6"/>
      <c r="F477" s="9">
        <v>12</v>
      </c>
      <c r="G477" s="32">
        <v>228</v>
      </c>
      <c r="H477" s="11">
        <v>37484</v>
      </c>
      <c r="I477" s="21">
        <v>93</v>
      </c>
      <c r="J477" s="33"/>
      <c r="K477" s="33"/>
      <c r="M477" s="47"/>
    </row>
    <row r="478" spans="1:16" ht="15.75" x14ac:dyDescent="0.25">
      <c r="C478" s="6"/>
      <c r="D478" s="6"/>
      <c r="F478" s="9">
        <v>13</v>
      </c>
      <c r="G478" s="32" t="e">
        <v>#N/A</v>
      </c>
      <c r="H478" s="11" t="e">
        <v>#N/A</v>
      </c>
      <c r="I478" s="21" t="e">
        <v>#N/A</v>
      </c>
      <c r="J478" s="33"/>
      <c r="K478" s="33"/>
      <c r="M478" s="47"/>
    </row>
    <row r="479" spans="1:16" ht="15.75" x14ac:dyDescent="0.25">
      <c r="A479" s="1"/>
      <c r="B479" s="1"/>
      <c r="C479" s="6"/>
      <c r="D479" s="6"/>
      <c r="F479" s="9">
        <v>14</v>
      </c>
      <c r="G479" s="32" t="e">
        <v>#N/A</v>
      </c>
      <c r="H479" s="11" t="e">
        <v>#N/A</v>
      </c>
      <c r="I479" s="21" t="e">
        <v>#N/A</v>
      </c>
      <c r="J479" s="33"/>
      <c r="K479" s="33"/>
      <c r="M479" s="47"/>
    </row>
    <row r="480" spans="1:16" ht="15.75" x14ac:dyDescent="0.25">
      <c r="A480" s="1"/>
      <c r="B480" s="1"/>
      <c r="C480" s="6"/>
      <c r="D480" s="6"/>
      <c r="F480" s="9">
        <v>15</v>
      </c>
      <c r="G480" s="32" t="e">
        <v>#N/A</v>
      </c>
      <c r="H480" s="11" t="e">
        <v>#N/A</v>
      </c>
      <c r="I480" s="21" t="e">
        <v>#N/A</v>
      </c>
      <c r="J480" s="33"/>
      <c r="K480" s="33"/>
      <c r="M480" s="47"/>
    </row>
    <row r="481" spans="1:16" ht="15.75" x14ac:dyDescent="0.25">
      <c r="A481" s="1"/>
      <c r="B481" s="1"/>
      <c r="C481" s="6"/>
      <c r="D481" s="6"/>
      <c r="F481" s="9">
        <v>16</v>
      </c>
      <c r="G481" s="32" t="e">
        <v>#N/A</v>
      </c>
      <c r="H481" s="11" t="e">
        <v>#N/A</v>
      </c>
      <c r="I481" s="21" t="e">
        <v>#N/A</v>
      </c>
      <c r="J481" s="33"/>
      <c r="K481" s="33"/>
      <c r="M481" s="47"/>
    </row>
    <row r="482" spans="1:16" ht="16.5" thickBot="1" x14ac:dyDescent="0.3">
      <c r="A482" s="1"/>
      <c r="B482" s="1"/>
      <c r="C482" s="6"/>
      <c r="D482" s="6"/>
      <c r="F482" s="9">
        <v>17</v>
      </c>
      <c r="G482" s="32" t="e">
        <v>#N/A</v>
      </c>
      <c r="H482" s="11" t="e">
        <v>#N/A</v>
      </c>
      <c r="I482" s="21" t="e">
        <v>#N/A</v>
      </c>
      <c r="J482" s="33"/>
      <c r="K482" s="33"/>
      <c r="M482" s="47"/>
    </row>
    <row r="483" spans="1:16" ht="16.5" thickBot="1" x14ac:dyDescent="0.3">
      <c r="A483" s="28">
        <v>4</v>
      </c>
      <c r="B483" s="28">
        <v>10</v>
      </c>
      <c r="C483" s="28" t="s">
        <v>15</v>
      </c>
      <c r="D483" s="28">
        <v>104</v>
      </c>
      <c r="E483" s="24" t="s">
        <v>25</v>
      </c>
      <c r="F483" s="29" t="s">
        <v>17</v>
      </c>
      <c r="G483" s="30"/>
      <c r="H483" s="30"/>
      <c r="I483" s="31">
        <v>1015</v>
      </c>
      <c r="J483" s="31">
        <v>0</v>
      </c>
      <c r="K483" s="52"/>
      <c r="M483" s="47"/>
    </row>
    <row r="484" spans="1:16" ht="13.5" thickBot="1" x14ac:dyDescent="0.25">
      <c r="C484" s="6"/>
      <c r="D484" s="6"/>
      <c r="J484" s="48"/>
      <c r="K484" s="41"/>
      <c r="M484" s="47"/>
    </row>
    <row r="485" spans="1:16" ht="16.5" thickBot="1" x14ac:dyDescent="0.3">
      <c r="A485" s="28">
        <v>7</v>
      </c>
      <c r="B485" s="28">
        <v>10</v>
      </c>
      <c r="C485" s="28" t="s">
        <v>15</v>
      </c>
      <c r="D485" s="28">
        <v>107</v>
      </c>
      <c r="E485" s="24" t="s">
        <v>27</v>
      </c>
      <c r="F485" s="10">
        <v>1</v>
      </c>
      <c r="G485" s="25">
        <v>112</v>
      </c>
      <c r="H485" s="26">
        <v>37368</v>
      </c>
      <c r="I485" s="25">
        <v>99</v>
      </c>
      <c r="J485" s="32"/>
      <c r="K485" s="53"/>
      <c r="M485" s="46"/>
      <c r="N485" s="44"/>
      <c r="O485" s="44"/>
      <c r="P485" s="44"/>
    </row>
    <row r="486" spans="1:16" ht="15.75" x14ac:dyDescent="0.25">
      <c r="A486" s="1"/>
      <c r="B486" s="1"/>
      <c r="C486" s="6"/>
      <c r="D486" s="6"/>
      <c r="F486" s="9">
        <v>2</v>
      </c>
      <c r="G486" s="32">
        <v>119</v>
      </c>
      <c r="H486" s="11">
        <v>37375</v>
      </c>
      <c r="I486" s="21">
        <v>93</v>
      </c>
      <c r="J486" s="49"/>
      <c r="K486" s="33"/>
      <c r="M486" s="46"/>
      <c r="N486" s="44"/>
      <c r="O486" s="44"/>
      <c r="P486" s="44"/>
    </row>
    <row r="487" spans="1:16" ht="15.75" x14ac:dyDescent="0.25">
      <c r="A487" s="1"/>
      <c r="B487" s="1"/>
      <c r="C487" s="6"/>
      <c r="D487" s="6"/>
      <c r="F487" s="9">
        <v>3</v>
      </c>
      <c r="G487" s="32">
        <v>127</v>
      </c>
      <c r="H487" s="11">
        <v>37383</v>
      </c>
      <c r="I487" s="21">
        <v>83</v>
      </c>
      <c r="J487" s="33"/>
      <c r="K487" s="33"/>
      <c r="M487" s="46"/>
      <c r="N487" s="44"/>
      <c r="O487" s="44"/>
      <c r="P487" s="44"/>
    </row>
    <row r="488" spans="1:16" ht="15.75" x14ac:dyDescent="0.25">
      <c r="A488" s="1"/>
      <c r="B488" s="1"/>
      <c r="C488" s="6"/>
      <c r="D488" s="6"/>
      <c r="F488" s="9">
        <v>4</v>
      </c>
      <c r="G488" s="32">
        <v>130</v>
      </c>
      <c r="H488" s="11">
        <v>37386</v>
      </c>
      <c r="I488" s="21">
        <v>66</v>
      </c>
      <c r="J488" s="33"/>
      <c r="K488" s="33"/>
      <c r="M488" s="46"/>
      <c r="N488" s="44"/>
      <c r="O488" s="44"/>
      <c r="P488" s="44"/>
    </row>
    <row r="489" spans="1:16" ht="15.75" x14ac:dyDescent="0.25">
      <c r="A489" s="1"/>
      <c r="B489" s="1"/>
      <c r="C489" s="6"/>
      <c r="D489" s="6"/>
      <c r="F489" s="9">
        <v>5</v>
      </c>
      <c r="G489" s="32">
        <v>136</v>
      </c>
      <c r="H489" s="11">
        <v>37392</v>
      </c>
      <c r="I489" s="21">
        <v>61</v>
      </c>
      <c r="J489" s="33"/>
      <c r="K489" s="33"/>
      <c r="M489" s="46"/>
      <c r="N489" s="44"/>
      <c r="O489" s="44"/>
      <c r="P489" s="44"/>
    </row>
    <row r="490" spans="1:16" ht="15.75" x14ac:dyDescent="0.25">
      <c r="A490" s="1"/>
      <c r="B490" s="1"/>
      <c r="C490" s="6"/>
      <c r="D490" s="6"/>
      <c r="F490" s="9">
        <v>6</v>
      </c>
      <c r="G490" s="32">
        <v>155</v>
      </c>
      <c r="H490" s="11">
        <v>37411</v>
      </c>
      <c r="I490" s="21">
        <v>51</v>
      </c>
      <c r="J490" s="33"/>
      <c r="K490" s="33"/>
      <c r="M490" s="47"/>
    </row>
    <row r="491" spans="1:16" ht="15.75" x14ac:dyDescent="0.25">
      <c r="A491" s="1"/>
      <c r="B491" s="1"/>
      <c r="C491" s="6"/>
      <c r="D491" s="6"/>
      <c r="F491" s="9">
        <v>7</v>
      </c>
      <c r="G491" s="32">
        <v>170</v>
      </c>
      <c r="H491" s="11">
        <v>37426</v>
      </c>
      <c r="I491" s="21">
        <v>64</v>
      </c>
      <c r="J491" s="33"/>
      <c r="K491" s="33"/>
      <c r="M491" s="47"/>
    </row>
    <row r="492" spans="1:16" ht="15.75" x14ac:dyDescent="0.25">
      <c r="A492" s="1"/>
      <c r="B492" s="1"/>
      <c r="C492" s="6"/>
      <c r="D492" s="6"/>
      <c r="F492" s="9">
        <v>8</v>
      </c>
      <c r="G492" s="32">
        <v>181</v>
      </c>
      <c r="H492" s="11">
        <v>37437</v>
      </c>
      <c r="I492" s="21">
        <v>98</v>
      </c>
      <c r="J492" s="33"/>
      <c r="K492" s="33"/>
      <c r="M492" s="47"/>
    </row>
    <row r="493" spans="1:16" ht="15.75" x14ac:dyDescent="0.25">
      <c r="A493" s="1"/>
      <c r="B493" s="1"/>
      <c r="C493" s="6"/>
      <c r="D493" s="6"/>
      <c r="F493" s="9">
        <v>9</v>
      </c>
      <c r="G493" s="32">
        <v>193</v>
      </c>
      <c r="H493" s="11">
        <v>37449</v>
      </c>
      <c r="I493" s="21">
        <v>104</v>
      </c>
      <c r="J493" s="33"/>
      <c r="K493" s="33"/>
      <c r="M493" s="47"/>
    </row>
    <row r="494" spans="1:16" ht="15.75" x14ac:dyDescent="0.25">
      <c r="A494" s="1"/>
      <c r="B494" s="1"/>
      <c r="C494" s="6"/>
      <c r="D494" s="6"/>
      <c r="F494" s="9">
        <v>10</v>
      </c>
      <c r="G494" s="32">
        <v>204</v>
      </c>
      <c r="H494" s="11">
        <v>37460</v>
      </c>
      <c r="I494" s="21">
        <v>112</v>
      </c>
      <c r="J494" s="33"/>
      <c r="K494" s="33"/>
      <c r="M494" s="47"/>
    </row>
    <row r="495" spans="1:16" ht="15.75" x14ac:dyDescent="0.25">
      <c r="A495" s="1"/>
      <c r="B495" s="1"/>
      <c r="C495" s="6"/>
      <c r="D495" s="6"/>
      <c r="F495" s="9">
        <v>11</v>
      </c>
      <c r="G495" s="32">
        <v>216</v>
      </c>
      <c r="H495" s="11">
        <v>37472</v>
      </c>
      <c r="I495" s="21">
        <v>112</v>
      </c>
      <c r="J495" s="33"/>
      <c r="K495" s="33"/>
      <c r="M495" s="47"/>
    </row>
    <row r="496" spans="1:16" ht="15.75" x14ac:dyDescent="0.25">
      <c r="A496" s="1"/>
      <c r="B496" s="1"/>
      <c r="C496" s="6"/>
      <c r="D496" s="6"/>
      <c r="F496" s="9">
        <v>12</v>
      </c>
      <c r="G496" s="32">
        <v>228</v>
      </c>
      <c r="H496" s="11">
        <v>37484</v>
      </c>
      <c r="I496" s="21">
        <v>84</v>
      </c>
      <c r="J496" s="33"/>
      <c r="K496" s="33"/>
      <c r="M496" s="47"/>
    </row>
    <row r="497" spans="1:13" ht="15.75" x14ac:dyDescent="0.25">
      <c r="C497" s="6"/>
      <c r="D497" s="6"/>
      <c r="F497" s="9">
        <v>13</v>
      </c>
      <c r="G497" s="32" t="e">
        <v>#N/A</v>
      </c>
      <c r="H497" s="11" t="e">
        <v>#N/A</v>
      </c>
      <c r="I497" s="21" t="e">
        <v>#N/A</v>
      </c>
      <c r="J497" s="33"/>
      <c r="K497" s="33"/>
      <c r="M497" s="47"/>
    </row>
    <row r="498" spans="1:13" ht="15.75" x14ac:dyDescent="0.25">
      <c r="A498" s="1"/>
      <c r="B498" s="1"/>
      <c r="C498" s="6"/>
      <c r="D498" s="6"/>
      <c r="F498" s="9">
        <v>14</v>
      </c>
      <c r="G498" s="32" t="e">
        <v>#N/A</v>
      </c>
      <c r="H498" s="11" t="e">
        <v>#N/A</v>
      </c>
      <c r="I498" s="21" t="e">
        <v>#N/A</v>
      </c>
      <c r="J498" s="33"/>
      <c r="K498" s="33"/>
      <c r="M498" s="47"/>
    </row>
    <row r="499" spans="1:13" ht="15.75" x14ac:dyDescent="0.25">
      <c r="A499" s="1"/>
      <c r="B499" s="1"/>
      <c r="C499" s="6"/>
      <c r="D499" s="6"/>
      <c r="F499" s="9">
        <v>15</v>
      </c>
      <c r="G499" s="32" t="e">
        <v>#N/A</v>
      </c>
      <c r="H499" s="11" t="e">
        <v>#N/A</v>
      </c>
      <c r="I499" s="21" t="e">
        <v>#N/A</v>
      </c>
      <c r="J499" s="33"/>
      <c r="K499" s="33"/>
      <c r="M499" s="47"/>
    </row>
    <row r="500" spans="1:13" ht="15.75" x14ac:dyDescent="0.25">
      <c r="A500" s="1"/>
      <c r="B500" s="1"/>
      <c r="C500" s="6"/>
      <c r="D500" s="6"/>
      <c r="F500" s="9">
        <v>16</v>
      </c>
      <c r="G500" s="32" t="e">
        <v>#N/A</v>
      </c>
      <c r="H500" s="11" t="e">
        <v>#N/A</v>
      </c>
      <c r="I500" s="21" t="e">
        <v>#N/A</v>
      </c>
      <c r="J500" s="33"/>
      <c r="K500" s="33"/>
      <c r="M500" s="47"/>
    </row>
    <row r="501" spans="1:13" ht="16.5" thickBot="1" x14ac:dyDescent="0.3">
      <c r="A501" s="1"/>
      <c r="B501" s="1"/>
      <c r="C501" s="6"/>
      <c r="D501" s="6"/>
      <c r="F501" s="9">
        <v>17</v>
      </c>
      <c r="G501" s="32" t="e">
        <v>#N/A</v>
      </c>
      <c r="H501" s="11" t="e">
        <v>#N/A</v>
      </c>
      <c r="I501" s="21" t="e">
        <v>#N/A</v>
      </c>
      <c r="J501" s="33"/>
      <c r="K501" s="33"/>
      <c r="M501" s="47"/>
    </row>
    <row r="502" spans="1:13" ht="16.5" thickBot="1" x14ac:dyDescent="0.3">
      <c r="A502" s="28">
        <v>7</v>
      </c>
      <c r="B502" s="28">
        <v>10</v>
      </c>
      <c r="C502" s="28" t="s">
        <v>15</v>
      </c>
      <c r="D502" s="28">
        <v>107</v>
      </c>
      <c r="E502" s="24" t="s">
        <v>27</v>
      </c>
      <c r="F502" s="29" t="s">
        <v>17</v>
      </c>
      <c r="G502" s="30"/>
      <c r="H502" s="30"/>
      <c r="I502" s="31">
        <v>1027</v>
      </c>
      <c r="J502" s="31">
        <v>0</v>
      </c>
      <c r="K502" s="52"/>
      <c r="M502" s="47"/>
    </row>
    <row r="503" spans="1:13" ht="13.5" thickBot="1" x14ac:dyDescent="0.25">
      <c r="C503" s="6"/>
      <c r="D503" s="6"/>
      <c r="J503" s="48"/>
      <c r="K503" s="41"/>
      <c r="M503" s="47"/>
    </row>
    <row r="504" spans="1:13" ht="16.5" thickBot="1" x14ac:dyDescent="0.3">
      <c r="A504" s="28">
        <v>17</v>
      </c>
      <c r="B504" s="28">
        <v>10</v>
      </c>
      <c r="C504" s="28" t="s">
        <v>15</v>
      </c>
      <c r="D504" s="28">
        <v>301</v>
      </c>
      <c r="E504" s="24" t="s">
        <v>28</v>
      </c>
      <c r="F504" s="10">
        <v>1</v>
      </c>
      <c r="G504" s="25">
        <v>112</v>
      </c>
      <c r="H504" s="26">
        <v>37368</v>
      </c>
      <c r="I504" s="25">
        <v>93</v>
      </c>
      <c r="J504" s="32"/>
      <c r="K504" s="53"/>
      <c r="M504" s="47"/>
    </row>
    <row r="505" spans="1:13" ht="15.75" x14ac:dyDescent="0.25">
      <c r="A505" s="1"/>
      <c r="B505" s="1"/>
      <c r="C505" s="6"/>
      <c r="D505" s="6"/>
      <c r="F505" s="9">
        <v>2</v>
      </c>
      <c r="G505" s="32">
        <v>119</v>
      </c>
      <c r="H505" s="11">
        <v>37375</v>
      </c>
      <c r="I505" s="21">
        <v>78</v>
      </c>
      <c r="J505" s="49"/>
      <c r="K505" s="33"/>
      <c r="M505" s="47"/>
    </row>
    <row r="506" spans="1:13" ht="15.75" x14ac:dyDescent="0.25">
      <c r="A506" s="1"/>
      <c r="B506" s="1"/>
      <c r="C506" s="6"/>
      <c r="D506" s="6"/>
      <c r="F506" s="9">
        <v>3</v>
      </c>
      <c r="G506" s="32">
        <v>128</v>
      </c>
      <c r="H506" s="11">
        <v>37384</v>
      </c>
      <c r="I506" s="21">
        <v>99</v>
      </c>
      <c r="J506" s="33"/>
      <c r="K506" s="33"/>
      <c r="M506" s="47"/>
    </row>
    <row r="507" spans="1:13" ht="15.75" x14ac:dyDescent="0.25">
      <c r="A507" s="1"/>
      <c r="B507" s="1"/>
      <c r="C507" s="6"/>
      <c r="D507" s="6"/>
      <c r="F507" s="9">
        <v>4</v>
      </c>
      <c r="G507" s="32">
        <v>130</v>
      </c>
      <c r="H507" s="11">
        <v>37386</v>
      </c>
      <c r="I507" s="21">
        <v>61</v>
      </c>
      <c r="J507" s="33"/>
      <c r="K507" s="33"/>
      <c r="M507" s="47"/>
    </row>
    <row r="508" spans="1:13" ht="15.75" x14ac:dyDescent="0.25">
      <c r="A508" s="1"/>
      <c r="B508" s="1"/>
      <c r="C508" s="6"/>
      <c r="D508" s="6"/>
      <c r="F508" s="9">
        <v>5</v>
      </c>
      <c r="G508" s="32">
        <v>136</v>
      </c>
      <c r="H508" s="11">
        <v>37392</v>
      </c>
      <c r="I508" s="21">
        <v>59</v>
      </c>
      <c r="J508" s="33"/>
      <c r="K508" s="33"/>
      <c r="M508" s="47"/>
    </row>
    <row r="509" spans="1:13" ht="15.75" x14ac:dyDescent="0.25">
      <c r="A509" s="1"/>
      <c r="B509" s="1"/>
      <c r="C509" s="6"/>
      <c r="D509" s="6"/>
      <c r="F509" s="9">
        <v>6</v>
      </c>
      <c r="G509" s="32">
        <v>155</v>
      </c>
      <c r="H509" s="11">
        <v>37411</v>
      </c>
      <c r="I509" s="21">
        <v>51</v>
      </c>
      <c r="J509" s="33"/>
      <c r="K509" s="33"/>
      <c r="M509" s="47"/>
    </row>
    <row r="510" spans="1:13" ht="15.75" x14ac:dyDescent="0.25">
      <c r="A510" s="1"/>
      <c r="B510" s="1"/>
      <c r="C510" s="6"/>
      <c r="D510" s="6"/>
      <c r="F510" s="9">
        <v>7</v>
      </c>
      <c r="G510" s="32">
        <v>170</v>
      </c>
      <c r="H510" s="11">
        <v>37426</v>
      </c>
      <c r="I510" s="21">
        <v>60</v>
      </c>
      <c r="J510" s="33"/>
      <c r="K510" s="33"/>
      <c r="M510" s="47"/>
    </row>
    <row r="511" spans="1:13" ht="15.75" x14ac:dyDescent="0.25">
      <c r="A511" s="1"/>
      <c r="B511" s="1"/>
      <c r="C511" s="6"/>
      <c r="D511" s="6"/>
      <c r="F511" s="9">
        <v>8</v>
      </c>
      <c r="G511" s="32">
        <v>181</v>
      </c>
      <c r="H511" s="11">
        <v>37437</v>
      </c>
      <c r="I511" s="21">
        <v>90</v>
      </c>
      <c r="J511" s="33"/>
      <c r="K511" s="33"/>
      <c r="M511" s="47"/>
    </row>
    <row r="512" spans="1:13" ht="15.75" x14ac:dyDescent="0.25">
      <c r="A512" s="1"/>
      <c r="B512" s="1"/>
      <c r="C512" s="6"/>
      <c r="D512" s="6"/>
      <c r="F512" s="9">
        <v>9</v>
      </c>
      <c r="G512" s="32">
        <v>193</v>
      </c>
      <c r="H512" s="11">
        <v>37449</v>
      </c>
      <c r="I512" s="21">
        <v>98</v>
      </c>
      <c r="J512" s="33"/>
      <c r="K512" s="33"/>
      <c r="M512" s="47"/>
    </row>
    <row r="513" spans="1:13" ht="15.75" x14ac:dyDescent="0.25">
      <c r="A513" s="1"/>
      <c r="B513" s="1"/>
      <c r="C513" s="6"/>
      <c r="D513" s="6"/>
      <c r="F513" s="9">
        <v>10</v>
      </c>
      <c r="G513" s="32">
        <v>204</v>
      </c>
      <c r="H513" s="11">
        <v>37460</v>
      </c>
      <c r="I513" s="21">
        <v>116</v>
      </c>
      <c r="J513" s="33"/>
      <c r="K513" s="33"/>
      <c r="M513" s="47"/>
    </row>
    <row r="514" spans="1:13" ht="15.75" x14ac:dyDescent="0.25">
      <c r="A514" s="1"/>
      <c r="B514" s="1"/>
      <c r="C514" s="6"/>
      <c r="D514" s="6"/>
      <c r="F514" s="9">
        <v>11</v>
      </c>
      <c r="G514" s="32">
        <v>216</v>
      </c>
      <c r="H514" s="11">
        <v>37472</v>
      </c>
      <c r="I514" s="21">
        <v>119</v>
      </c>
      <c r="J514" s="33"/>
      <c r="K514" s="33"/>
      <c r="M514" s="47"/>
    </row>
    <row r="515" spans="1:13" ht="15.75" x14ac:dyDescent="0.25">
      <c r="A515" s="1"/>
      <c r="B515" s="1"/>
      <c r="C515" s="6"/>
      <c r="D515" s="6"/>
      <c r="F515" s="9">
        <v>12</v>
      </c>
      <c r="G515" s="32">
        <v>228</v>
      </c>
      <c r="H515" s="11">
        <v>37484</v>
      </c>
      <c r="I515" s="21">
        <v>98</v>
      </c>
      <c r="J515" s="33"/>
      <c r="K515" s="33"/>
      <c r="M515" s="47"/>
    </row>
    <row r="516" spans="1:13" ht="15.75" x14ac:dyDescent="0.25">
      <c r="C516" s="6"/>
      <c r="D516" s="6"/>
      <c r="F516" s="9">
        <v>13</v>
      </c>
      <c r="G516" s="32" t="e">
        <v>#N/A</v>
      </c>
      <c r="H516" s="11" t="e">
        <v>#N/A</v>
      </c>
      <c r="I516" s="21" t="e">
        <v>#N/A</v>
      </c>
      <c r="J516" s="33"/>
      <c r="K516" s="33"/>
      <c r="M516" s="47"/>
    </row>
    <row r="517" spans="1:13" ht="15.75" x14ac:dyDescent="0.25">
      <c r="A517" s="1"/>
      <c r="B517" s="1"/>
      <c r="C517" s="6"/>
      <c r="D517" s="6"/>
      <c r="F517" s="9">
        <v>14</v>
      </c>
      <c r="G517" s="32" t="e">
        <v>#N/A</v>
      </c>
      <c r="H517" s="11" t="e">
        <v>#N/A</v>
      </c>
      <c r="I517" s="21" t="e">
        <v>#N/A</v>
      </c>
      <c r="J517" s="33"/>
      <c r="K517" s="33"/>
      <c r="M517" s="47"/>
    </row>
    <row r="518" spans="1:13" ht="15.75" x14ac:dyDescent="0.25">
      <c r="A518" s="1"/>
      <c r="B518" s="1"/>
      <c r="C518" s="6"/>
      <c r="D518" s="6"/>
      <c r="F518" s="9">
        <v>15</v>
      </c>
      <c r="G518" s="32" t="e">
        <v>#N/A</v>
      </c>
      <c r="H518" s="11" t="e">
        <v>#N/A</v>
      </c>
      <c r="I518" s="21" t="e">
        <v>#N/A</v>
      </c>
      <c r="J518" s="33"/>
      <c r="K518" s="33"/>
      <c r="M518" s="47"/>
    </row>
    <row r="519" spans="1:13" ht="15.75" x14ac:dyDescent="0.25">
      <c r="A519" s="1"/>
      <c r="B519" s="1"/>
      <c r="C519" s="6"/>
      <c r="D519" s="6"/>
      <c r="F519" s="9">
        <v>16</v>
      </c>
      <c r="G519" s="32" t="e">
        <v>#N/A</v>
      </c>
      <c r="H519" s="11" t="e">
        <v>#N/A</v>
      </c>
      <c r="I519" s="21" t="e">
        <v>#N/A</v>
      </c>
      <c r="J519" s="33"/>
      <c r="K519" s="33"/>
      <c r="M519" s="47"/>
    </row>
    <row r="520" spans="1:13" ht="16.5" thickBot="1" x14ac:dyDescent="0.3">
      <c r="A520" s="1"/>
      <c r="B520" s="1"/>
      <c r="C520" s="6"/>
      <c r="D520" s="6"/>
      <c r="F520" s="9">
        <v>17</v>
      </c>
      <c r="G520" s="32" t="e">
        <v>#N/A</v>
      </c>
      <c r="H520" s="11" t="e">
        <v>#N/A</v>
      </c>
      <c r="I520" s="21" t="e">
        <v>#N/A</v>
      </c>
      <c r="J520" s="33"/>
      <c r="K520" s="33"/>
      <c r="M520" s="47"/>
    </row>
    <row r="521" spans="1:13" ht="16.5" thickBot="1" x14ac:dyDescent="0.3">
      <c r="A521" s="28">
        <v>17</v>
      </c>
      <c r="B521" s="28">
        <v>10</v>
      </c>
      <c r="C521" s="28" t="s">
        <v>15</v>
      </c>
      <c r="D521" s="28">
        <v>301</v>
      </c>
      <c r="E521" s="24" t="s">
        <v>28</v>
      </c>
      <c r="F521" s="29" t="s">
        <v>17</v>
      </c>
      <c r="G521" s="30"/>
      <c r="H521" s="30"/>
      <c r="I521" s="31">
        <v>1022</v>
      </c>
      <c r="J521" s="31">
        <v>0</v>
      </c>
      <c r="K521" s="52"/>
      <c r="M521" s="47"/>
    </row>
    <row r="522" spans="1:13" ht="13.5" thickBot="1" x14ac:dyDescent="0.25">
      <c r="C522" s="6"/>
      <c r="D522" s="6"/>
      <c r="J522" s="48"/>
      <c r="K522" s="41"/>
      <c r="M522" s="47"/>
    </row>
    <row r="523" spans="1:13" ht="16.5" thickBot="1" x14ac:dyDescent="0.3">
      <c r="A523" s="28">
        <v>32</v>
      </c>
      <c r="B523" s="28">
        <v>10</v>
      </c>
      <c r="C523" s="28" t="s">
        <v>15</v>
      </c>
      <c r="D523" s="28">
        <v>408</v>
      </c>
      <c r="E523" s="24" t="s">
        <v>29</v>
      </c>
      <c r="F523" s="10">
        <v>1</v>
      </c>
      <c r="G523" s="25">
        <v>112</v>
      </c>
      <c r="H523" s="26">
        <v>37368</v>
      </c>
      <c r="I523" s="25">
        <v>99</v>
      </c>
      <c r="J523" s="32"/>
      <c r="K523" s="53"/>
      <c r="M523" s="47"/>
    </row>
    <row r="524" spans="1:13" ht="15.75" x14ac:dyDescent="0.25">
      <c r="A524" s="1"/>
      <c r="B524" s="1"/>
      <c r="C524" s="6"/>
      <c r="D524" s="6"/>
      <c r="F524" s="9">
        <v>2</v>
      </c>
      <c r="G524" s="32">
        <v>119</v>
      </c>
      <c r="H524" s="11">
        <v>37375</v>
      </c>
      <c r="I524" s="21">
        <v>78</v>
      </c>
      <c r="J524" s="49"/>
      <c r="K524" s="33"/>
      <c r="M524" s="47"/>
    </row>
    <row r="525" spans="1:13" ht="15.75" x14ac:dyDescent="0.25">
      <c r="A525" s="1"/>
      <c r="B525" s="1"/>
      <c r="C525" s="6"/>
      <c r="D525" s="6"/>
      <c r="F525" s="9">
        <v>3</v>
      </c>
      <c r="G525" s="32">
        <v>128</v>
      </c>
      <c r="H525" s="11">
        <v>37384</v>
      </c>
      <c r="I525" s="21">
        <v>99</v>
      </c>
      <c r="J525" s="33"/>
      <c r="K525" s="33"/>
      <c r="M525" s="47"/>
    </row>
    <row r="526" spans="1:13" ht="15.75" x14ac:dyDescent="0.25">
      <c r="A526" s="1"/>
      <c r="B526" s="1"/>
      <c r="C526" s="6"/>
      <c r="D526" s="6"/>
      <c r="F526" s="9">
        <v>4</v>
      </c>
      <c r="G526" s="32">
        <v>130</v>
      </c>
      <c r="H526" s="11">
        <v>37386</v>
      </c>
      <c r="I526" s="21">
        <v>61</v>
      </c>
      <c r="J526" s="33"/>
      <c r="K526" s="33"/>
      <c r="M526" s="47"/>
    </row>
    <row r="527" spans="1:13" ht="15.75" x14ac:dyDescent="0.25">
      <c r="A527" s="1"/>
      <c r="B527" s="1"/>
      <c r="C527" s="6"/>
      <c r="D527" s="6"/>
      <c r="F527" s="9">
        <v>5</v>
      </c>
      <c r="G527" s="32">
        <v>136</v>
      </c>
      <c r="H527" s="11">
        <v>37392</v>
      </c>
      <c r="I527" s="21">
        <v>59</v>
      </c>
      <c r="J527" s="33"/>
      <c r="K527" s="33"/>
      <c r="M527" s="47"/>
    </row>
    <row r="528" spans="1:13" ht="15.75" x14ac:dyDescent="0.25">
      <c r="A528" s="1"/>
      <c r="B528" s="1"/>
      <c r="C528" s="6"/>
      <c r="D528" s="6"/>
      <c r="F528" s="9">
        <v>6</v>
      </c>
      <c r="G528" s="32">
        <v>155</v>
      </c>
      <c r="H528" s="11">
        <v>37411</v>
      </c>
      <c r="I528" s="21">
        <v>51</v>
      </c>
      <c r="J528" s="33"/>
      <c r="K528" s="33"/>
      <c r="M528" s="47"/>
    </row>
    <row r="529" spans="1:13" ht="15.75" x14ac:dyDescent="0.25">
      <c r="A529" s="1"/>
      <c r="B529" s="1"/>
      <c r="C529" s="6"/>
      <c r="D529" s="6"/>
      <c r="F529" s="9">
        <v>7</v>
      </c>
      <c r="G529" s="32">
        <v>170</v>
      </c>
      <c r="H529" s="11">
        <v>37426</v>
      </c>
      <c r="I529" s="21">
        <v>54</v>
      </c>
      <c r="J529" s="33"/>
      <c r="K529" s="33"/>
      <c r="M529" s="47"/>
    </row>
    <row r="530" spans="1:13" ht="15.75" x14ac:dyDescent="0.25">
      <c r="A530" s="1"/>
      <c r="B530" s="1"/>
      <c r="C530" s="6"/>
      <c r="D530" s="6"/>
      <c r="F530" s="9">
        <v>8</v>
      </c>
      <c r="G530" s="32">
        <v>181</v>
      </c>
      <c r="H530" s="11">
        <v>37437</v>
      </c>
      <c r="I530" s="21">
        <v>78</v>
      </c>
      <c r="J530" s="33"/>
      <c r="K530" s="33"/>
      <c r="M530" s="47"/>
    </row>
    <row r="531" spans="1:13" ht="15.75" x14ac:dyDescent="0.25">
      <c r="A531" s="1"/>
      <c r="B531" s="1"/>
      <c r="C531" s="6"/>
      <c r="D531" s="6"/>
      <c r="F531" s="9">
        <v>9</v>
      </c>
      <c r="G531" s="32">
        <v>193</v>
      </c>
      <c r="H531" s="11">
        <v>37449</v>
      </c>
      <c r="I531" s="21">
        <v>103</v>
      </c>
      <c r="J531" s="33"/>
      <c r="K531" s="33"/>
      <c r="M531" s="47"/>
    </row>
    <row r="532" spans="1:13" ht="15.75" x14ac:dyDescent="0.25">
      <c r="A532" s="1"/>
      <c r="B532" s="1"/>
      <c r="C532" s="6"/>
      <c r="D532" s="6"/>
      <c r="F532" s="9">
        <v>10</v>
      </c>
      <c r="G532" s="32">
        <v>204</v>
      </c>
      <c r="H532" s="11">
        <v>37460</v>
      </c>
      <c r="I532" s="21">
        <v>107</v>
      </c>
      <c r="J532" s="33"/>
      <c r="K532" s="33"/>
      <c r="M532" s="47"/>
    </row>
    <row r="533" spans="1:13" ht="15.75" x14ac:dyDescent="0.25">
      <c r="A533" s="1"/>
      <c r="B533" s="1"/>
      <c r="C533" s="6"/>
      <c r="D533" s="6"/>
      <c r="F533" s="9">
        <v>11</v>
      </c>
      <c r="G533" s="32">
        <v>216</v>
      </c>
      <c r="H533" s="11">
        <v>37472</v>
      </c>
      <c r="I533" s="21">
        <v>119</v>
      </c>
      <c r="J533" s="33"/>
      <c r="K533" s="33"/>
      <c r="M533" s="47"/>
    </row>
    <row r="534" spans="1:13" ht="15.75" x14ac:dyDescent="0.25">
      <c r="A534" s="1"/>
      <c r="B534" s="1"/>
      <c r="C534" s="6"/>
      <c r="D534" s="6"/>
      <c r="F534" s="9">
        <v>12</v>
      </c>
      <c r="G534" s="32">
        <v>228</v>
      </c>
      <c r="H534" s="11">
        <v>37484</v>
      </c>
      <c r="I534" s="21">
        <v>96</v>
      </c>
      <c r="J534" s="33"/>
      <c r="K534" s="33"/>
      <c r="M534" s="47"/>
    </row>
    <row r="535" spans="1:13" ht="15.75" x14ac:dyDescent="0.25">
      <c r="C535" s="6"/>
      <c r="D535" s="6"/>
      <c r="F535" s="9">
        <v>13</v>
      </c>
      <c r="G535" s="32" t="e">
        <v>#N/A</v>
      </c>
      <c r="H535" s="11" t="e">
        <v>#N/A</v>
      </c>
      <c r="I535" s="21" t="e">
        <v>#N/A</v>
      </c>
      <c r="J535" s="33"/>
      <c r="K535" s="33"/>
      <c r="M535" s="47"/>
    </row>
    <row r="536" spans="1:13" ht="15.75" x14ac:dyDescent="0.25">
      <c r="A536" s="1"/>
      <c r="B536" s="1"/>
      <c r="C536" s="6"/>
      <c r="D536" s="6"/>
      <c r="F536" s="9">
        <v>14</v>
      </c>
      <c r="G536" s="32" t="e">
        <v>#N/A</v>
      </c>
      <c r="H536" s="11" t="e">
        <v>#N/A</v>
      </c>
      <c r="I536" s="21" t="e">
        <v>#N/A</v>
      </c>
      <c r="J536" s="33"/>
      <c r="K536" s="33"/>
      <c r="M536" s="47"/>
    </row>
    <row r="537" spans="1:13" ht="15.75" x14ac:dyDescent="0.25">
      <c r="A537" s="1"/>
      <c r="B537" s="1"/>
      <c r="C537" s="6"/>
      <c r="D537" s="6"/>
      <c r="F537" s="9">
        <v>15</v>
      </c>
      <c r="G537" s="32" t="e">
        <v>#N/A</v>
      </c>
      <c r="H537" s="11" t="e">
        <v>#N/A</v>
      </c>
      <c r="I537" s="21" t="e">
        <v>#N/A</v>
      </c>
      <c r="J537" s="33"/>
      <c r="K537" s="33"/>
      <c r="M537" s="47"/>
    </row>
    <row r="538" spans="1:13" ht="15.75" x14ac:dyDescent="0.25">
      <c r="A538" s="1"/>
      <c r="B538" s="1"/>
      <c r="C538" s="6"/>
      <c r="D538" s="6"/>
      <c r="F538" s="9">
        <v>16</v>
      </c>
      <c r="G538" s="32" t="e">
        <v>#N/A</v>
      </c>
      <c r="H538" s="11" t="e">
        <v>#N/A</v>
      </c>
      <c r="I538" s="21" t="e">
        <v>#N/A</v>
      </c>
      <c r="J538" s="33"/>
      <c r="K538" s="33"/>
      <c r="M538" s="47"/>
    </row>
    <row r="539" spans="1:13" ht="16.5" thickBot="1" x14ac:dyDescent="0.3">
      <c r="A539" s="1"/>
      <c r="B539" s="1"/>
      <c r="C539" s="6"/>
      <c r="D539" s="6"/>
      <c r="F539" s="9">
        <v>17</v>
      </c>
      <c r="G539" s="32" t="e">
        <v>#N/A</v>
      </c>
      <c r="H539" s="11" t="e">
        <v>#N/A</v>
      </c>
      <c r="I539" s="21" t="e">
        <v>#N/A</v>
      </c>
      <c r="J539" s="33"/>
      <c r="K539" s="33"/>
      <c r="M539" s="47"/>
    </row>
    <row r="540" spans="1:13" ht="16.5" thickBot="1" x14ac:dyDescent="0.3">
      <c r="A540" s="28">
        <v>32</v>
      </c>
      <c r="B540" s="28">
        <v>10</v>
      </c>
      <c r="C540" s="28" t="s">
        <v>15</v>
      </c>
      <c r="D540" s="28">
        <v>408</v>
      </c>
      <c r="E540" s="24" t="s">
        <v>29</v>
      </c>
      <c r="F540" s="29" t="s">
        <v>17</v>
      </c>
      <c r="G540" s="30"/>
      <c r="H540" s="30"/>
      <c r="I540" s="31">
        <v>1004</v>
      </c>
      <c r="J540" s="31">
        <v>0</v>
      </c>
      <c r="K540" s="52"/>
      <c r="M540" s="47"/>
    </row>
    <row r="541" spans="1:13" ht="13.5" thickBot="1" x14ac:dyDescent="0.25">
      <c r="C541" s="6"/>
      <c r="D541" s="6"/>
      <c r="J541" s="48"/>
      <c r="K541" s="41"/>
      <c r="M541" s="47"/>
    </row>
    <row r="542" spans="1:13" ht="16.5" thickBot="1" x14ac:dyDescent="0.3">
      <c r="A542" s="28">
        <v>12</v>
      </c>
      <c r="B542" s="28">
        <v>11</v>
      </c>
      <c r="C542" s="28" t="s">
        <v>19</v>
      </c>
      <c r="D542" s="28">
        <v>204</v>
      </c>
      <c r="E542" s="24" t="s">
        <v>25</v>
      </c>
      <c r="F542" s="10">
        <v>1</v>
      </c>
      <c r="G542" s="25">
        <v>112</v>
      </c>
      <c r="H542" s="26">
        <v>37368</v>
      </c>
      <c r="I542" s="25">
        <v>91</v>
      </c>
      <c r="J542" s="32"/>
      <c r="K542" s="53"/>
      <c r="M542" s="47"/>
    </row>
    <row r="543" spans="1:13" ht="15.75" x14ac:dyDescent="0.25">
      <c r="A543" s="1"/>
      <c r="B543" s="1"/>
      <c r="C543" s="6"/>
      <c r="D543" s="6"/>
      <c r="F543" s="9">
        <v>2</v>
      </c>
      <c r="G543" s="32">
        <v>119</v>
      </c>
      <c r="H543" s="11">
        <v>37375</v>
      </c>
      <c r="I543" s="21">
        <v>78</v>
      </c>
      <c r="J543" s="49"/>
      <c r="K543" s="33"/>
      <c r="M543" s="47"/>
    </row>
    <row r="544" spans="1:13" ht="15.75" x14ac:dyDescent="0.25">
      <c r="A544" s="1"/>
      <c r="B544" s="1"/>
      <c r="C544" s="6"/>
      <c r="D544" s="6"/>
      <c r="F544" s="9">
        <v>3</v>
      </c>
      <c r="G544" s="32">
        <v>128</v>
      </c>
      <c r="H544" s="11">
        <v>37384</v>
      </c>
      <c r="I544" s="21">
        <v>99</v>
      </c>
      <c r="J544" s="33"/>
      <c r="K544" s="33"/>
      <c r="M544" s="47"/>
    </row>
    <row r="545" spans="1:13" ht="15.75" x14ac:dyDescent="0.25">
      <c r="A545" s="1"/>
      <c r="B545" s="1"/>
      <c r="C545" s="6"/>
      <c r="D545" s="6"/>
      <c r="F545" s="9">
        <v>4</v>
      </c>
      <c r="G545" s="32">
        <v>130</v>
      </c>
      <c r="H545" s="11">
        <v>37386</v>
      </c>
      <c r="I545" s="21">
        <v>61</v>
      </c>
      <c r="J545" s="33"/>
      <c r="K545" s="33"/>
      <c r="M545" s="47"/>
    </row>
    <row r="546" spans="1:13" ht="15.75" x14ac:dyDescent="0.25">
      <c r="A546" s="1"/>
      <c r="B546" s="1"/>
      <c r="C546" s="6"/>
      <c r="D546" s="6"/>
      <c r="F546" s="9">
        <v>5</v>
      </c>
      <c r="G546" s="32">
        <v>136</v>
      </c>
      <c r="H546" s="11">
        <v>37392</v>
      </c>
      <c r="I546" s="21">
        <v>59</v>
      </c>
      <c r="J546" s="33"/>
      <c r="K546" s="33"/>
      <c r="M546" s="47"/>
    </row>
    <row r="547" spans="1:13" ht="15.75" x14ac:dyDescent="0.25">
      <c r="A547" s="1"/>
      <c r="B547" s="1"/>
      <c r="C547" s="6"/>
      <c r="D547" s="6"/>
      <c r="F547" s="9">
        <v>6</v>
      </c>
      <c r="G547" s="32">
        <v>155</v>
      </c>
      <c r="H547" s="11">
        <v>37411</v>
      </c>
      <c r="I547" s="21">
        <v>51</v>
      </c>
      <c r="J547" s="33">
        <v>84</v>
      </c>
      <c r="K547" s="33"/>
      <c r="M547" s="47"/>
    </row>
    <row r="548" spans="1:13" ht="15.75" x14ac:dyDescent="0.25">
      <c r="A548" s="1"/>
      <c r="B548" s="1"/>
      <c r="C548" s="6"/>
      <c r="D548" s="6"/>
      <c r="F548" s="9">
        <v>7</v>
      </c>
      <c r="G548" s="32">
        <v>168</v>
      </c>
      <c r="H548" s="11">
        <v>37424</v>
      </c>
      <c r="I548" s="21">
        <v>78</v>
      </c>
      <c r="J548" s="33"/>
      <c r="K548" s="33"/>
      <c r="M548" s="47"/>
    </row>
    <row r="549" spans="1:13" ht="15.75" x14ac:dyDescent="0.25">
      <c r="A549" s="1"/>
      <c r="B549" s="1"/>
      <c r="C549" s="6"/>
      <c r="D549" s="6"/>
      <c r="F549" s="9">
        <v>8</v>
      </c>
      <c r="G549" s="32">
        <v>178</v>
      </c>
      <c r="H549" s="11">
        <v>37434</v>
      </c>
      <c r="I549" s="21">
        <v>104</v>
      </c>
      <c r="J549" s="33"/>
      <c r="K549" s="33"/>
      <c r="M549" s="47"/>
    </row>
    <row r="550" spans="1:13" ht="15.75" x14ac:dyDescent="0.25">
      <c r="A550" s="1"/>
      <c r="B550" s="1"/>
      <c r="C550" s="6"/>
      <c r="D550" s="6"/>
      <c r="F550" s="9">
        <v>9</v>
      </c>
      <c r="G550" s="32">
        <v>188</v>
      </c>
      <c r="H550" s="11">
        <v>37444</v>
      </c>
      <c r="I550" s="21">
        <v>127</v>
      </c>
      <c r="J550" s="33">
        <v>56</v>
      </c>
      <c r="K550" s="33"/>
      <c r="M550" s="47"/>
    </row>
    <row r="551" spans="1:13" ht="15.75" x14ac:dyDescent="0.25">
      <c r="A551" s="1"/>
      <c r="B551" s="1"/>
      <c r="C551" s="6"/>
      <c r="D551" s="6"/>
      <c r="F551" s="9">
        <v>10</v>
      </c>
      <c r="G551" s="32">
        <v>201</v>
      </c>
      <c r="H551" s="11">
        <v>37457</v>
      </c>
      <c r="I551" s="21">
        <v>112</v>
      </c>
      <c r="J551" s="33"/>
      <c r="K551" s="33"/>
      <c r="M551" s="47"/>
    </row>
    <row r="552" spans="1:13" ht="15.75" x14ac:dyDescent="0.25">
      <c r="A552" s="1"/>
      <c r="B552" s="1"/>
      <c r="C552" s="6"/>
      <c r="D552" s="6"/>
      <c r="F552" s="9">
        <v>11</v>
      </c>
      <c r="G552" s="32">
        <v>213</v>
      </c>
      <c r="H552" s="11">
        <v>37469</v>
      </c>
      <c r="I552" s="21">
        <v>118</v>
      </c>
      <c r="J552" s="33"/>
      <c r="K552" s="33"/>
      <c r="M552" s="47"/>
    </row>
    <row r="553" spans="1:13" ht="15.75" x14ac:dyDescent="0.25">
      <c r="A553" s="1"/>
      <c r="B553" s="1"/>
      <c r="C553" s="6"/>
      <c r="D553" s="6"/>
      <c r="F553" s="9">
        <v>12</v>
      </c>
      <c r="G553" s="32">
        <v>227</v>
      </c>
      <c r="H553" s="11">
        <v>37483</v>
      </c>
      <c r="I553" s="21">
        <v>99</v>
      </c>
      <c r="J553" s="33"/>
      <c r="K553" s="33"/>
      <c r="M553" s="47"/>
    </row>
    <row r="554" spans="1:13" ht="15.75" x14ac:dyDescent="0.25">
      <c r="C554" s="6"/>
      <c r="D554" s="6"/>
      <c r="F554" s="9">
        <v>13</v>
      </c>
      <c r="G554" s="32" t="e">
        <v>#N/A</v>
      </c>
      <c r="H554" s="11" t="e">
        <v>#N/A</v>
      </c>
      <c r="I554" s="21" t="e">
        <v>#N/A</v>
      </c>
      <c r="J554" s="33"/>
      <c r="K554" s="33"/>
      <c r="M554" s="47"/>
    </row>
    <row r="555" spans="1:13" ht="15.75" x14ac:dyDescent="0.25">
      <c r="A555" s="1"/>
      <c r="B555" s="1"/>
      <c r="C555" s="6"/>
      <c r="D555" s="6"/>
      <c r="F555" s="9">
        <v>14</v>
      </c>
      <c r="G555" s="32" t="e">
        <v>#N/A</v>
      </c>
      <c r="H555" s="11" t="e">
        <v>#N/A</v>
      </c>
      <c r="I555" s="21" t="e">
        <v>#N/A</v>
      </c>
      <c r="J555" s="33"/>
      <c r="K555" s="33"/>
      <c r="M555" s="47"/>
    </row>
    <row r="556" spans="1:13" ht="15.75" x14ac:dyDescent="0.25">
      <c r="A556" s="1"/>
      <c r="B556" s="1"/>
      <c r="C556" s="6"/>
      <c r="D556" s="6"/>
      <c r="F556" s="9">
        <v>15</v>
      </c>
      <c r="G556" s="32" t="e">
        <v>#N/A</v>
      </c>
      <c r="H556" s="11" t="e">
        <v>#N/A</v>
      </c>
      <c r="I556" s="21" t="e">
        <v>#N/A</v>
      </c>
      <c r="J556" s="33"/>
      <c r="K556" s="33"/>
      <c r="M556" s="47"/>
    </row>
    <row r="557" spans="1:13" ht="15.75" x14ac:dyDescent="0.25">
      <c r="A557" s="1"/>
      <c r="B557" s="1"/>
      <c r="C557" s="6"/>
      <c r="D557" s="6"/>
      <c r="F557" s="9">
        <v>16</v>
      </c>
      <c r="G557" s="32" t="e">
        <v>#N/A</v>
      </c>
      <c r="H557" s="11" t="e">
        <v>#N/A</v>
      </c>
      <c r="I557" s="21" t="e">
        <v>#N/A</v>
      </c>
      <c r="J557" s="33"/>
      <c r="K557" s="33"/>
      <c r="M557" s="47"/>
    </row>
    <row r="558" spans="1:13" ht="16.5" thickBot="1" x14ac:dyDescent="0.3">
      <c r="A558" s="1"/>
      <c r="B558" s="1"/>
      <c r="C558" s="6"/>
      <c r="D558" s="6"/>
      <c r="F558" s="9">
        <v>17</v>
      </c>
      <c r="G558" s="32" t="e">
        <v>#N/A</v>
      </c>
      <c r="H558" s="11" t="e">
        <v>#N/A</v>
      </c>
      <c r="I558" s="21" t="e">
        <v>#N/A</v>
      </c>
      <c r="J558" s="33"/>
      <c r="K558" s="33"/>
      <c r="M558" s="47"/>
    </row>
    <row r="559" spans="1:13" ht="16.5" thickBot="1" x14ac:dyDescent="0.3">
      <c r="A559" s="28">
        <v>12</v>
      </c>
      <c r="B559" s="28">
        <v>11</v>
      </c>
      <c r="C559" s="28" t="s">
        <v>19</v>
      </c>
      <c r="D559" s="28">
        <v>204</v>
      </c>
      <c r="E559" s="24" t="s">
        <v>25</v>
      </c>
      <c r="F559" s="29" t="s">
        <v>17</v>
      </c>
      <c r="G559" s="30"/>
      <c r="H559" s="30"/>
      <c r="I559" s="31">
        <v>1077</v>
      </c>
      <c r="J559" s="31">
        <v>140</v>
      </c>
      <c r="K559" s="52"/>
      <c r="M559" s="47"/>
    </row>
    <row r="560" spans="1:13" ht="13.5" thickBot="1" x14ac:dyDescent="0.25">
      <c r="C560" s="6"/>
      <c r="D560" s="6"/>
      <c r="J560" s="48"/>
      <c r="K560" s="41"/>
      <c r="M560" s="47"/>
    </row>
    <row r="561" spans="1:13" ht="16.5" thickBot="1" x14ac:dyDescent="0.3">
      <c r="A561" s="28">
        <v>21</v>
      </c>
      <c r="B561" s="28">
        <v>11</v>
      </c>
      <c r="C561" s="28" t="s">
        <v>19</v>
      </c>
      <c r="D561" s="28">
        <v>305</v>
      </c>
      <c r="E561" s="24" t="s">
        <v>29</v>
      </c>
      <c r="F561" s="10">
        <v>1</v>
      </c>
      <c r="G561" s="25">
        <v>112</v>
      </c>
      <c r="H561" s="26">
        <v>37368</v>
      </c>
      <c r="I561" s="25">
        <v>88</v>
      </c>
      <c r="J561" s="32"/>
      <c r="K561" s="53"/>
      <c r="M561" s="47"/>
    </row>
    <row r="562" spans="1:13" ht="15.75" x14ac:dyDescent="0.25">
      <c r="A562" s="1"/>
      <c r="B562" s="1"/>
      <c r="C562" s="6"/>
      <c r="D562" s="6"/>
      <c r="F562" s="9">
        <v>2</v>
      </c>
      <c r="G562" s="32">
        <v>119</v>
      </c>
      <c r="H562" s="11">
        <v>37375</v>
      </c>
      <c r="I562" s="21">
        <v>78</v>
      </c>
      <c r="J562" s="49"/>
      <c r="K562" s="33"/>
      <c r="M562" s="47"/>
    </row>
    <row r="563" spans="1:13" ht="15.75" x14ac:dyDescent="0.25">
      <c r="A563" s="1"/>
      <c r="B563" s="1"/>
      <c r="C563" s="6"/>
      <c r="D563" s="6"/>
      <c r="F563" s="9">
        <v>3</v>
      </c>
      <c r="G563" s="32">
        <v>128</v>
      </c>
      <c r="H563" s="11">
        <v>37384</v>
      </c>
      <c r="I563" s="21">
        <v>99</v>
      </c>
      <c r="J563" s="33"/>
      <c r="K563" s="33"/>
      <c r="M563" s="47"/>
    </row>
    <row r="564" spans="1:13" ht="15.75" x14ac:dyDescent="0.25">
      <c r="A564" s="1"/>
      <c r="B564" s="1"/>
      <c r="C564" s="6"/>
      <c r="D564" s="6"/>
      <c r="F564" s="9">
        <v>4</v>
      </c>
      <c r="G564" s="32">
        <v>130</v>
      </c>
      <c r="H564" s="11">
        <v>37386</v>
      </c>
      <c r="I564" s="21">
        <v>61</v>
      </c>
      <c r="J564" s="33"/>
      <c r="K564" s="33"/>
      <c r="M564" s="47"/>
    </row>
    <row r="565" spans="1:13" ht="15.75" x14ac:dyDescent="0.25">
      <c r="A565" s="1"/>
      <c r="B565" s="1"/>
      <c r="C565" s="6"/>
      <c r="D565" s="6"/>
      <c r="F565" s="9">
        <v>5</v>
      </c>
      <c r="G565" s="32">
        <v>136</v>
      </c>
      <c r="H565" s="11">
        <v>37392</v>
      </c>
      <c r="I565" s="21">
        <v>59</v>
      </c>
      <c r="J565" s="33"/>
      <c r="K565" s="33"/>
      <c r="M565" s="47"/>
    </row>
    <row r="566" spans="1:13" ht="15.75" x14ac:dyDescent="0.25">
      <c r="A566" s="1"/>
      <c r="B566" s="1"/>
      <c r="C566" s="6"/>
      <c r="D566" s="6"/>
      <c r="F566" s="9">
        <v>6</v>
      </c>
      <c r="G566" s="32">
        <v>155</v>
      </c>
      <c r="H566" s="11">
        <v>37411</v>
      </c>
      <c r="I566" s="21">
        <v>51</v>
      </c>
      <c r="J566" s="33">
        <v>84</v>
      </c>
      <c r="K566" s="33"/>
      <c r="M566" s="47"/>
    </row>
    <row r="567" spans="1:13" ht="15.75" x14ac:dyDescent="0.25">
      <c r="A567" s="1"/>
      <c r="B567" s="1"/>
      <c r="C567" s="6"/>
      <c r="D567" s="6"/>
      <c r="F567" s="9">
        <v>7</v>
      </c>
      <c r="G567" s="32">
        <v>168</v>
      </c>
      <c r="H567" s="11">
        <v>37424</v>
      </c>
      <c r="I567" s="21">
        <v>78</v>
      </c>
      <c r="J567" s="33"/>
      <c r="K567" s="33"/>
      <c r="M567" s="47"/>
    </row>
    <row r="568" spans="1:13" ht="15.75" x14ac:dyDescent="0.25">
      <c r="A568" s="1"/>
      <c r="B568" s="1"/>
      <c r="C568" s="6"/>
      <c r="D568" s="6"/>
      <c r="F568" s="9">
        <v>8</v>
      </c>
      <c r="G568" s="32">
        <v>178</v>
      </c>
      <c r="H568" s="11">
        <v>37434</v>
      </c>
      <c r="I568" s="21">
        <v>102</v>
      </c>
      <c r="J568" s="33"/>
      <c r="K568" s="33"/>
      <c r="M568" s="47"/>
    </row>
    <row r="569" spans="1:13" ht="15.75" x14ac:dyDescent="0.25">
      <c r="A569" s="1"/>
      <c r="B569" s="1"/>
      <c r="C569" s="6"/>
      <c r="D569" s="6"/>
      <c r="F569" s="9">
        <v>9</v>
      </c>
      <c r="G569" s="32">
        <v>188</v>
      </c>
      <c r="H569" s="11">
        <v>37444</v>
      </c>
      <c r="I569" s="21">
        <v>113</v>
      </c>
      <c r="J569" s="33">
        <v>56</v>
      </c>
      <c r="K569" s="33"/>
      <c r="M569" s="47"/>
    </row>
    <row r="570" spans="1:13" ht="15.75" x14ac:dyDescent="0.25">
      <c r="A570" s="1"/>
      <c r="B570" s="1"/>
      <c r="C570" s="6"/>
      <c r="D570" s="6"/>
      <c r="F570" s="9">
        <v>10</v>
      </c>
      <c r="G570" s="32">
        <v>201</v>
      </c>
      <c r="H570" s="11">
        <v>37457</v>
      </c>
      <c r="I570" s="21">
        <v>112</v>
      </c>
      <c r="J570" s="33"/>
      <c r="K570" s="33"/>
      <c r="M570" s="47"/>
    </row>
    <row r="571" spans="1:13" ht="15.75" x14ac:dyDescent="0.25">
      <c r="A571" s="1"/>
      <c r="B571" s="1"/>
      <c r="C571" s="6"/>
      <c r="D571" s="6"/>
      <c r="F571" s="9">
        <v>11</v>
      </c>
      <c r="G571" s="32">
        <v>213</v>
      </c>
      <c r="H571" s="11">
        <v>37469</v>
      </c>
      <c r="I571" s="21">
        <v>118</v>
      </c>
      <c r="J571" s="33"/>
      <c r="K571" s="33"/>
      <c r="M571" s="47"/>
    </row>
    <row r="572" spans="1:13" ht="15.75" x14ac:dyDescent="0.25">
      <c r="A572" s="1"/>
      <c r="B572" s="1"/>
      <c r="C572" s="6"/>
      <c r="D572" s="6"/>
      <c r="F572" s="9">
        <v>12</v>
      </c>
      <c r="G572" s="32">
        <v>227</v>
      </c>
      <c r="H572" s="11">
        <v>37483</v>
      </c>
      <c r="I572" s="21">
        <v>98</v>
      </c>
      <c r="J572" s="33"/>
      <c r="K572" s="33"/>
      <c r="M572" s="47"/>
    </row>
    <row r="573" spans="1:13" ht="15.75" x14ac:dyDescent="0.25">
      <c r="C573" s="6"/>
      <c r="D573" s="6"/>
      <c r="F573" s="9">
        <v>13</v>
      </c>
      <c r="G573" s="32" t="e">
        <v>#N/A</v>
      </c>
      <c r="H573" s="11" t="e">
        <v>#N/A</v>
      </c>
      <c r="I573" s="21" t="e">
        <v>#N/A</v>
      </c>
      <c r="J573" s="33"/>
      <c r="K573" s="33"/>
      <c r="M573" s="47"/>
    </row>
    <row r="574" spans="1:13" ht="15.75" x14ac:dyDescent="0.25">
      <c r="A574" s="1"/>
      <c r="B574" s="1"/>
      <c r="C574" s="6"/>
      <c r="D574" s="6"/>
      <c r="F574" s="9">
        <v>14</v>
      </c>
      <c r="G574" s="32" t="e">
        <v>#N/A</v>
      </c>
      <c r="H574" s="11" t="e">
        <v>#N/A</v>
      </c>
      <c r="I574" s="21" t="e">
        <v>#N/A</v>
      </c>
      <c r="J574" s="33"/>
      <c r="K574" s="33"/>
      <c r="M574" s="47"/>
    </row>
    <row r="575" spans="1:13" ht="15.75" x14ac:dyDescent="0.25">
      <c r="A575" s="1"/>
      <c r="B575" s="1"/>
      <c r="C575" s="6"/>
      <c r="D575" s="6"/>
      <c r="F575" s="9">
        <v>15</v>
      </c>
      <c r="G575" s="32" t="e">
        <v>#N/A</v>
      </c>
      <c r="H575" s="11" t="e">
        <v>#N/A</v>
      </c>
      <c r="I575" s="21" t="e">
        <v>#N/A</v>
      </c>
      <c r="J575" s="33"/>
      <c r="K575" s="33"/>
      <c r="M575" s="47"/>
    </row>
    <row r="576" spans="1:13" ht="15.75" x14ac:dyDescent="0.25">
      <c r="A576" s="1"/>
      <c r="B576" s="1"/>
      <c r="C576" s="6"/>
      <c r="D576" s="6"/>
      <c r="F576" s="9">
        <v>16</v>
      </c>
      <c r="G576" s="32" t="e">
        <v>#N/A</v>
      </c>
      <c r="H576" s="11" t="e">
        <v>#N/A</v>
      </c>
      <c r="I576" s="21" t="e">
        <v>#N/A</v>
      </c>
      <c r="J576" s="33"/>
      <c r="K576" s="33"/>
      <c r="M576" s="47"/>
    </row>
    <row r="577" spans="1:16" ht="16.5" thickBot="1" x14ac:dyDescent="0.3">
      <c r="A577" s="1"/>
      <c r="B577" s="1"/>
      <c r="C577" s="6"/>
      <c r="D577" s="6"/>
      <c r="F577" s="9">
        <v>17</v>
      </c>
      <c r="G577" s="32" t="e">
        <v>#N/A</v>
      </c>
      <c r="H577" s="11" t="e">
        <v>#N/A</v>
      </c>
      <c r="I577" s="21" t="e">
        <v>#N/A</v>
      </c>
      <c r="J577" s="33"/>
      <c r="K577" s="33"/>
      <c r="M577" s="47"/>
    </row>
    <row r="578" spans="1:16" ht="16.5" thickBot="1" x14ac:dyDescent="0.3">
      <c r="A578" s="28">
        <v>21</v>
      </c>
      <c r="B578" s="28">
        <v>11</v>
      </c>
      <c r="C578" s="28" t="s">
        <v>19</v>
      </c>
      <c r="D578" s="28">
        <v>305</v>
      </c>
      <c r="E578" s="24" t="s">
        <v>29</v>
      </c>
      <c r="F578" s="29" t="s">
        <v>17</v>
      </c>
      <c r="G578" s="30"/>
      <c r="H578" s="30"/>
      <c r="I578" s="31">
        <v>1057</v>
      </c>
      <c r="J578" s="31">
        <v>140</v>
      </c>
      <c r="K578" s="52"/>
      <c r="M578" s="47"/>
    </row>
    <row r="579" spans="1:16" ht="13.5" thickBot="1" x14ac:dyDescent="0.25">
      <c r="C579" s="6"/>
      <c r="D579" s="6"/>
      <c r="J579" s="48"/>
      <c r="K579" s="41"/>
      <c r="M579" s="47"/>
    </row>
    <row r="580" spans="1:16" ht="16.5" thickBot="1" x14ac:dyDescent="0.3">
      <c r="A580" s="28">
        <v>9</v>
      </c>
      <c r="B580" s="28">
        <v>12</v>
      </c>
      <c r="C580" s="28" t="s">
        <v>20</v>
      </c>
      <c r="D580" s="28">
        <v>201</v>
      </c>
      <c r="E580" s="24" t="s">
        <v>25</v>
      </c>
      <c r="F580" s="10">
        <v>1</v>
      </c>
      <c r="G580" s="25">
        <v>112</v>
      </c>
      <c r="H580" s="26">
        <v>37368</v>
      </c>
      <c r="I580" s="25">
        <v>86</v>
      </c>
      <c r="J580" s="32"/>
      <c r="K580" s="53"/>
      <c r="M580" s="46"/>
      <c r="N580" s="44"/>
      <c r="O580" s="44"/>
      <c r="P580" s="44"/>
    </row>
    <row r="581" spans="1:16" ht="15.75" x14ac:dyDescent="0.25">
      <c r="A581" s="1"/>
      <c r="B581" s="1"/>
      <c r="C581" s="6"/>
      <c r="D581" s="6"/>
      <c r="F581" s="9">
        <v>2</v>
      </c>
      <c r="G581" s="32">
        <v>119</v>
      </c>
      <c r="H581" s="11">
        <v>37375</v>
      </c>
      <c r="I581" s="21">
        <v>79</v>
      </c>
      <c r="J581" s="49"/>
      <c r="K581" s="33"/>
      <c r="M581" s="46"/>
      <c r="N581" s="44"/>
      <c r="O581" s="44"/>
      <c r="P581" s="44"/>
    </row>
    <row r="582" spans="1:16" ht="15.75" x14ac:dyDescent="0.25">
      <c r="A582" s="1"/>
      <c r="B582" s="1"/>
      <c r="C582" s="6"/>
      <c r="D582" s="6"/>
      <c r="F582" s="9">
        <v>3</v>
      </c>
      <c r="G582" s="32">
        <v>128</v>
      </c>
      <c r="H582" s="11">
        <v>37384</v>
      </c>
      <c r="I582" s="21">
        <v>83</v>
      </c>
      <c r="J582" s="33"/>
      <c r="K582" s="33"/>
      <c r="M582" s="46"/>
      <c r="N582" s="44"/>
      <c r="O582" s="44"/>
      <c r="P582" s="44"/>
    </row>
    <row r="583" spans="1:16" ht="15.75" x14ac:dyDescent="0.25">
      <c r="A583" s="1"/>
      <c r="B583" s="1"/>
      <c r="C583" s="6"/>
      <c r="D583" s="6"/>
      <c r="F583" s="9">
        <v>4</v>
      </c>
      <c r="G583" s="32">
        <v>130</v>
      </c>
      <c r="H583" s="11">
        <v>37386</v>
      </c>
      <c r="I583" s="21">
        <v>56</v>
      </c>
      <c r="J583" s="33"/>
      <c r="K583" s="33"/>
      <c r="M583" s="46"/>
      <c r="N583" s="44"/>
      <c r="O583" s="44"/>
      <c r="P583" s="44"/>
    </row>
    <row r="584" spans="1:16" ht="15.75" x14ac:dyDescent="0.25">
      <c r="A584" s="1"/>
      <c r="B584" s="1"/>
      <c r="C584" s="6"/>
      <c r="D584" s="6"/>
      <c r="F584" s="9">
        <v>5</v>
      </c>
      <c r="G584" s="32">
        <v>136</v>
      </c>
      <c r="H584" s="11">
        <v>37392</v>
      </c>
      <c r="I584" s="21">
        <v>66</v>
      </c>
      <c r="J584" s="33"/>
      <c r="K584" s="33"/>
      <c r="M584" s="46"/>
      <c r="N584" s="44"/>
      <c r="O584" s="44"/>
      <c r="P584" s="44"/>
    </row>
    <row r="585" spans="1:16" ht="15.75" x14ac:dyDescent="0.25">
      <c r="A585" s="1"/>
      <c r="B585" s="1"/>
      <c r="C585" s="6"/>
      <c r="D585" s="6"/>
      <c r="F585" s="9">
        <v>6</v>
      </c>
      <c r="G585" s="32">
        <v>155</v>
      </c>
      <c r="H585" s="11">
        <v>37411</v>
      </c>
      <c r="I585" s="21">
        <v>51</v>
      </c>
      <c r="J585" s="33"/>
      <c r="K585" s="33"/>
      <c r="M585" s="47"/>
    </row>
    <row r="586" spans="1:16" ht="15.75" x14ac:dyDescent="0.25">
      <c r="A586" s="1"/>
      <c r="B586" s="1"/>
      <c r="C586" s="6"/>
      <c r="D586" s="6"/>
      <c r="F586" s="9">
        <v>7</v>
      </c>
      <c r="G586" s="32">
        <v>168</v>
      </c>
      <c r="H586" s="11">
        <v>37424</v>
      </c>
      <c r="I586" s="21">
        <v>74</v>
      </c>
      <c r="J586" s="33"/>
      <c r="K586" s="33"/>
      <c r="M586" s="47"/>
    </row>
    <row r="587" spans="1:16" ht="15.75" x14ac:dyDescent="0.25">
      <c r="A587" s="1"/>
      <c r="B587" s="1"/>
      <c r="C587" s="6"/>
      <c r="D587" s="6"/>
      <c r="F587" s="9">
        <v>8</v>
      </c>
      <c r="G587" s="32">
        <v>178</v>
      </c>
      <c r="H587" s="11">
        <v>37434</v>
      </c>
      <c r="I587" s="21">
        <v>104</v>
      </c>
      <c r="J587" s="33"/>
      <c r="K587" s="33"/>
      <c r="M587" s="47"/>
    </row>
    <row r="588" spans="1:16" ht="15.75" x14ac:dyDescent="0.25">
      <c r="A588" s="1"/>
      <c r="B588" s="1"/>
      <c r="C588" s="6"/>
      <c r="D588" s="6"/>
      <c r="F588" s="9">
        <v>9</v>
      </c>
      <c r="G588" s="32">
        <v>188</v>
      </c>
      <c r="H588" s="11">
        <v>37444</v>
      </c>
      <c r="I588" s="21">
        <v>112</v>
      </c>
      <c r="J588" s="33"/>
      <c r="K588" s="33"/>
      <c r="M588" s="47"/>
    </row>
    <row r="589" spans="1:16" ht="15.75" x14ac:dyDescent="0.25">
      <c r="A589" s="1"/>
      <c r="B589" s="1"/>
      <c r="C589" s="6"/>
      <c r="D589" s="6"/>
      <c r="F589" s="9">
        <v>10</v>
      </c>
      <c r="G589" s="32">
        <v>201</v>
      </c>
      <c r="H589" s="11">
        <v>37457</v>
      </c>
      <c r="I589" s="21">
        <v>112</v>
      </c>
      <c r="J589" s="33"/>
      <c r="K589" s="33"/>
      <c r="M589" s="47"/>
    </row>
    <row r="590" spans="1:16" ht="15.75" x14ac:dyDescent="0.25">
      <c r="A590" s="1"/>
      <c r="B590" s="1"/>
      <c r="C590" s="6"/>
      <c r="D590" s="6"/>
      <c r="F590" s="9">
        <v>11</v>
      </c>
      <c r="G590" s="32">
        <v>213</v>
      </c>
      <c r="H590" s="11">
        <v>37469</v>
      </c>
      <c r="I590" s="21">
        <v>116</v>
      </c>
      <c r="J590" s="33"/>
      <c r="K590" s="33"/>
      <c r="M590" s="47"/>
    </row>
    <row r="591" spans="1:16" ht="15.75" x14ac:dyDescent="0.25">
      <c r="A591" s="1"/>
      <c r="B591" s="1"/>
      <c r="C591" s="6"/>
      <c r="D591" s="6"/>
      <c r="F591" s="9">
        <v>12</v>
      </c>
      <c r="G591" s="32">
        <v>227</v>
      </c>
      <c r="H591" s="11">
        <v>37483</v>
      </c>
      <c r="I591" s="21">
        <v>90</v>
      </c>
      <c r="J591" s="33"/>
      <c r="K591" s="33"/>
      <c r="M591" s="47"/>
    </row>
    <row r="592" spans="1:16" ht="15.75" x14ac:dyDescent="0.25">
      <c r="C592" s="6"/>
      <c r="D592" s="6"/>
      <c r="F592" s="9">
        <v>13</v>
      </c>
      <c r="G592" s="32" t="e">
        <v>#N/A</v>
      </c>
      <c r="H592" s="11" t="e">
        <v>#N/A</v>
      </c>
      <c r="I592" s="21" t="e">
        <v>#N/A</v>
      </c>
      <c r="J592" s="33"/>
      <c r="K592" s="33"/>
      <c r="M592" s="47"/>
    </row>
    <row r="593" spans="1:16" ht="15.75" x14ac:dyDescent="0.25">
      <c r="A593" s="1"/>
      <c r="B593" s="1"/>
      <c r="C593" s="6"/>
      <c r="D593" s="6"/>
      <c r="F593" s="9">
        <v>14</v>
      </c>
      <c r="G593" s="32" t="e">
        <v>#N/A</v>
      </c>
      <c r="H593" s="11" t="e">
        <v>#N/A</v>
      </c>
      <c r="I593" s="21" t="e">
        <v>#N/A</v>
      </c>
      <c r="J593" s="33"/>
      <c r="K593" s="33"/>
      <c r="M593" s="47"/>
    </row>
    <row r="594" spans="1:16" ht="15.75" x14ac:dyDescent="0.25">
      <c r="A594" s="1"/>
      <c r="B594" s="1"/>
      <c r="C594" s="6"/>
      <c r="D594" s="6"/>
      <c r="F594" s="9">
        <v>15</v>
      </c>
      <c r="G594" s="32" t="e">
        <v>#N/A</v>
      </c>
      <c r="H594" s="11" t="e">
        <v>#N/A</v>
      </c>
      <c r="I594" s="21" t="e">
        <v>#N/A</v>
      </c>
      <c r="J594" s="33"/>
      <c r="K594" s="33"/>
      <c r="M594" s="47"/>
    </row>
    <row r="595" spans="1:16" ht="15.75" x14ac:dyDescent="0.25">
      <c r="A595" s="1"/>
      <c r="B595" s="1"/>
      <c r="C595" s="6"/>
      <c r="D595" s="6"/>
      <c r="F595" s="9">
        <v>16</v>
      </c>
      <c r="G595" s="32" t="e">
        <v>#N/A</v>
      </c>
      <c r="H595" s="11" t="e">
        <v>#N/A</v>
      </c>
      <c r="I595" s="21" t="e">
        <v>#N/A</v>
      </c>
      <c r="J595" s="33"/>
      <c r="K595" s="33"/>
      <c r="M595" s="47"/>
    </row>
    <row r="596" spans="1:16" ht="16.5" thickBot="1" x14ac:dyDescent="0.3">
      <c r="A596" s="1"/>
      <c r="B596" s="1"/>
      <c r="C596" s="6"/>
      <c r="D596" s="6"/>
      <c r="F596" s="9">
        <v>17</v>
      </c>
      <c r="G596" s="32" t="e">
        <v>#N/A</v>
      </c>
      <c r="H596" s="11" t="e">
        <v>#N/A</v>
      </c>
      <c r="I596" s="21" t="e">
        <v>#N/A</v>
      </c>
      <c r="J596" s="33"/>
      <c r="K596" s="33"/>
      <c r="M596" s="47"/>
    </row>
    <row r="597" spans="1:16" ht="16.5" thickBot="1" x14ac:dyDescent="0.3">
      <c r="A597" s="28">
        <v>9</v>
      </c>
      <c r="B597" s="28">
        <v>12</v>
      </c>
      <c r="C597" s="28" t="s">
        <v>20</v>
      </c>
      <c r="D597" s="28">
        <v>201</v>
      </c>
      <c r="E597" s="24" t="s">
        <v>25</v>
      </c>
      <c r="F597" s="29" t="s">
        <v>17</v>
      </c>
      <c r="G597" s="30"/>
      <c r="H597" s="30"/>
      <c r="I597" s="31">
        <v>1029</v>
      </c>
      <c r="J597" s="31">
        <v>0</v>
      </c>
      <c r="K597" s="52"/>
      <c r="M597" s="47"/>
    </row>
    <row r="598" spans="1:16" ht="13.5" thickBot="1" x14ac:dyDescent="0.25">
      <c r="C598" s="6"/>
      <c r="D598" s="6"/>
      <c r="J598" s="48"/>
      <c r="K598" s="41"/>
      <c r="M598" s="47"/>
    </row>
    <row r="599" spans="1:16" ht="16.5" thickBot="1" x14ac:dyDescent="0.3">
      <c r="A599" s="28">
        <v>5</v>
      </c>
      <c r="B599" s="28">
        <v>12</v>
      </c>
      <c r="C599" s="28" t="s">
        <v>20</v>
      </c>
      <c r="D599" s="28">
        <v>105</v>
      </c>
      <c r="E599" s="24" t="s">
        <v>27</v>
      </c>
      <c r="F599" s="10">
        <v>1</v>
      </c>
      <c r="G599" s="25">
        <v>112</v>
      </c>
      <c r="H599" s="26">
        <v>37368</v>
      </c>
      <c r="I599" s="25">
        <v>99</v>
      </c>
      <c r="J599" s="32"/>
      <c r="K599" s="53"/>
      <c r="M599" s="46"/>
      <c r="N599" s="44"/>
      <c r="O599" s="44"/>
      <c r="P599" s="44"/>
    </row>
    <row r="600" spans="1:16" ht="15.75" x14ac:dyDescent="0.25">
      <c r="A600" s="1"/>
      <c r="B600" s="1"/>
      <c r="C600" s="6"/>
      <c r="D600" s="6"/>
      <c r="F600" s="9">
        <v>2</v>
      </c>
      <c r="G600" s="32">
        <v>119</v>
      </c>
      <c r="H600" s="11">
        <v>37375</v>
      </c>
      <c r="I600" s="21">
        <v>78</v>
      </c>
      <c r="J600" s="49"/>
      <c r="K600" s="33"/>
      <c r="M600" s="46"/>
      <c r="N600" s="44"/>
      <c r="O600" s="44"/>
      <c r="P600" s="44"/>
    </row>
    <row r="601" spans="1:16" ht="15.75" x14ac:dyDescent="0.25">
      <c r="A601" s="1"/>
      <c r="B601" s="1"/>
      <c r="C601" s="6"/>
      <c r="D601" s="6"/>
      <c r="F601" s="9">
        <v>3</v>
      </c>
      <c r="G601" s="32">
        <v>127</v>
      </c>
      <c r="H601" s="11">
        <v>37383</v>
      </c>
      <c r="I601" s="21">
        <v>83</v>
      </c>
      <c r="J601" s="33"/>
      <c r="K601" s="33"/>
      <c r="M601" s="46"/>
      <c r="N601" s="44"/>
      <c r="O601" s="44"/>
      <c r="P601" s="44"/>
    </row>
    <row r="602" spans="1:16" ht="15.75" x14ac:dyDescent="0.25">
      <c r="A602" s="1"/>
      <c r="B602" s="1"/>
      <c r="C602" s="6"/>
      <c r="D602" s="6"/>
      <c r="F602" s="9">
        <v>4</v>
      </c>
      <c r="G602" s="32">
        <v>130</v>
      </c>
      <c r="H602" s="11">
        <v>37386</v>
      </c>
      <c r="I602" s="21">
        <v>60</v>
      </c>
      <c r="J602" s="33"/>
      <c r="K602" s="33"/>
      <c r="M602" s="46"/>
      <c r="N602" s="44"/>
      <c r="O602" s="44"/>
      <c r="P602" s="44"/>
    </row>
    <row r="603" spans="1:16" ht="15.75" x14ac:dyDescent="0.25">
      <c r="A603" s="1"/>
      <c r="B603" s="1"/>
      <c r="C603" s="6"/>
      <c r="D603" s="6"/>
      <c r="F603" s="9">
        <v>5</v>
      </c>
      <c r="G603" s="32">
        <v>136</v>
      </c>
      <c r="H603" s="11">
        <v>37392</v>
      </c>
      <c r="I603" s="21">
        <v>58</v>
      </c>
      <c r="J603" s="33"/>
      <c r="K603" s="33"/>
      <c r="M603" s="46"/>
      <c r="N603" s="44"/>
      <c r="O603" s="44"/>
      <c r="P603" s="44"/>
    </row>
    <row r="604" spans="1:16" ht="15.75" x14ac:dyDescent="0.25">
      <c r="A604" s="1"/>
      <c r="B604" s="1"/>
      <c r="C604" s="6"/>
      <c r="D604" s="6"/>
      <c r="F604" s="9">
        <v>6</v>
      </c>
      <c r="G604" s="32">
        <v>155</v>
      </c>
      <c r="H604" s="11">
        <v>37411</v>
      </c>
      <c r="I604" s="21">
        <v>51</v>
      </c>
      <c r="J604" s="33"/>
      <c r="K604" s="33"/>
      <c r="M604" s="47"/>
    </row>
    <row r="605" spans="1:16" ht="15.75" x14ac:dyDescent="0.25">
      <c r="A605" s="1"/>
      <c r="B605" s="1"/>
      <c r="C605" s="6"/>
      <c r="D605" s="6"/>
      <c r="F605" s="9">
        <v>7</v>
      </c>
      <c r="G605" s="32">
        <v>168</v>
      </c>
      <c r="H605" s="11">
        <v>37424</v>
      </c>
      <c r="I605" s="21">
        <v>71</v>
      </c>
      <c r="J605" s="33"/>
      <c r="K605" s="33"/>
      <c r="M605" s="47"/>
    </row>
    <row r="606" spans="1:16" ht="15.75" x14ac:dyDescent="0.25">
      <c r="A606" s="1"/>
      <c r="B606" s="1"/>
      <c r="C606" s="6"/>
      <c r="D606" s="6"/>
      <c r="F606" s="9">
        <v>8</v>
      </c>
      <c r="G606" s="32">
        <v>178</v>
      </c>
      <c r="H606" s="11">
        <v>37434</v>
      </c>
      <c r="I606" s="21">
        <v>116</v>
      </c>
      <c r="J606" s="33"/>
      <c r="K606" s="33"/>
      <c r="M606" s="47"/>
    </row>
    <row r="607" spans="1:16" ht="15.75" x14ac:dyDescent="0.25">
      <c r="A607" s="1"/>
      <c r="B607" s="1"/>
      <c r="C607" s="6"/>
      <c r="D607" s="6"/>
      <c r="F607" s="9">
        <v>9</v>
      </c>
      <c r="G607" s="32">
        <v>188</v>
      </c>
      <c r="H607" s="11">
        <v>37444</v>
      </c>
      <c r="I607" s="21">
        <v>113</v>
      </c>
      <c r="J607" s="33"/>
      <c r="K607" s="33"/>
      <c r="M607" s="47"/>
    </row>
    <row r="608" spans="1:16" ht="15.75" x14ac:dyDescent="0.25">
      <c r="A608" s="1"/>
      <c r="B608" s="1"/>
      <c r="C608" s="6"/>
      <c r="D608" s="6"/>
      <c r="F608" s="9">
        <v>10</v>
      </c>
      <c r="G608" s="32">
        <v>201</v>
      </c>
      <c r="H608" s="11">
        <v>37457</v>
      </c>
      <c r="I608" s="21">
        <v>111</v>
      </c>
      <c r="J608" s="33"/>
      <c r="K608" s="33"/>
      <c r="M608" s="47"/>
    </row>
    <row r="609" spans="1:13" ht="15.75" x14ac:dyDescent="0.25">
      <c r="A609" s="1"/>
      <c r="B609" s="1"/>
      <c r="C609" s="6"/>
      <c r="D609" s="6"/>
      <c r="F609" s="9">
        <v>11</v>
      </c>
      <c r="G609" s="32">
        <v>213</v>
      </c>
      <c r="H609" s="11">
        <v>37469</v>
      </c>
      <c r="I609" s="21">
        <v>116</v>
      </c>
      <c r="J609" s="33"/>
      <c r="K609" s="33"/>
      <c r="M609" s="47"/>
    </row>
    <row r="610" spans="1:13" ht="15.75" x14ac:dyDescent="0.25">
      <c r="A610" s="1"/>
      <c r="B610" s="1"/>
      <c r="C610" s="6"/>
      <c r="D610" s="6"/>
      <c r="F610" s="9">
        <v>12</v>
      </c>
      <c r="G610" s="32">
        <v>227</v>
      </c>
      <c r="H610" s="11">
        <v>37483</v>
      </c>
      <c r="I610" s="21">
        <v>87</v>
      </c>
      <c r="J610" s="33"/>
      <c r="K610" s="33"/>
      <c r="M610" s="47"/>
    </row>
    <row r="611" spans="1:13" ht="15.75" x14ac:dyDescent="0.25">
      <c r="C611" s="6"/>
      <c r="D611" s="6"/>
      <c r="F611" s="9">
        <v>13</v>
      </c>
      <c r="G611" s="32" t="e">
        <v>#N/A</v>
      </c>
      <c r="H611" s="11" t="e">
        <v>#N/A</v>
      </c>
      <c r="I611" s="21" t="e">
        <v>#N/A</v>
      </c>
      <c r="J611" s="33"/>
      <c r="K611" s="33"/>
      <c r="M611" s="47"/>
    </row>
    <row r="612" spans="1:13" ht="15.75" x14ac:dyDescent="0.25">
      <c r="A612" s="1"/>
      <c r="B612" s="1"/>
      <c r="C612" s="6"/>
      <c r="D612" s="6"/>
      <c r="F612" s="9">
        <v>14</v>
      </c>
      <c r="G612" s="32" t="e">
        <v>#N/A</v>
      </c>
      <c r="H612" s="11" t="e">
        <v>#N/A</v>
      </c>
      <c r="I612" s="21" t="e">
        <v>#N/A</v>
      </c>
      <c r="J612" s="33"/>
      <c r="K612" s="33"/>
      <c r="M612" s="47"/>
    </row>
    <row r="613" spans="1:13" ht="15.75" x14ac:dyDescent="0.25">
      <c r="A613" s="1"/>
      <c r="B613" s="1"/>
      <c r="C613" s="6"/>
      <c r="D613" s="6"/>
      <c r="F613" s="9">
        <v>15</v>
      </c>
      <c r="G613" s="32" t="e">
        <v>#N/A</v>
      </c>
      <c r="H613" s="11" t="e">
        <v>#N/A</v>
      </c>
      <c r="I613" s="21" t="e">
        <v>#N/A</v>
      </c>
      <c r="J613" s="33"/>
      <c r="K613" s="33"/>
      <c r="M613" s="47"/>
    </row>
    <row r="614" spans="1:13" ht="15.75" x14ac:dyDescent="0.25">
      <c r="A614" s="1"/>
      <c r="B614" s="1"/>
      <c r="C614" s="6"/>
      <c r="D614" s="6"/>
      <c r="F614" s="9">
        <v>16</v>
      </c>
      <c r="G614" s="32" t="e">
        <v>#N/A</v>
      </c>
      <c r="H614" s="11" t="e">
        <v>#N/A</v>
      </c>
      <c r="I614" s="21" t="e">
        <v>#N/A</v>
      </c>
      <c r="J614" s="33"/>
      <c r="K614" s="33"/>
      <c r="M614" s="47"/>
    </row>
    <row r="615" spans="1:13" ht="16.5" thickBot="1" x14ac:dyDescent="0.3">
      <c r="A615" s="1"/>
      <c r="B615" s="1"/>
      <c r="C615" s="6"/>
      <c r="D615" s="6"/>
      <c r="F615" s="9">
        <v>17</v>
      </c>
      <c r="G615" s="32" t="e">
        <v>#N/A</v>
      </c>
      <c r="H615" s="11" t="e">
        <v>#N/A</v>
      </c>
      <c r="I615" s="21" t="e">
        <v>#N/A</v>
      </c>
      <c r="J615" s="33"/>
      <c r="K615" s="33"/>
      <c r="M615" s="47"/>
    </row>
    <row r="616" spans="1:13" ht="16.5" thickBot="1" x14ac:dyDescent="0.3">
      <c r="A616" s="28">
        <v>5</v>
      </c>
      <c r="B616" s="28">
        <v>12</v>
      </c>
      <c r="C616" s="28" t="s">
        <v>20</v>
      </c>
      <c r="D616" s="28">
        <v>105</v>
      </c>
      <c r="E616" s="24" t="s">
        <v>27</v>
      </c>
      <c r="F616" s="29" t="s">
        <v>17</v>
      </c>
      <c r="G616" s="30"/>
      <c r="H616" s="30"/>
      <c r="I616" s="31">
        <v>1043</v>
      </c>
      <c r="J616" s="31">
        <v>0</v>
      </c>
      <c r="K616" s="52"/>
    </row>
    <row r="617" spans="1:13" x14ac:dyDescent="0.2">
      <c r="C617" s="6"/>
      <c r="D617" s="6"/>
      <c r="K617" s="3"/>
    </row>
    <row r="618" spans="1:13" x14ac:dyDescent="0.2">
      <c r="C618" s="6"/>
      <c r="D618" s="6"/>
      <c r="K618" s="3"/>
    </row>
    <row r="619" spans="1:13" x14ac:dyDescent="0.2">
      <c r="C619" s="6"/>
      <c r="D619" s="6"/>
      <c r="K619" s="3"/>
    </row>
    <row r="620" spans="1:13" x14ac:dyDescent="0.2">
      <c r="C620" s="6"/>
      <c r="D620" s="6"/>
      <c r="K620" s="3"/>
    </row>
    <row r="621" spans="1:13" x14ac:dyDescent="0.2">
      <c r="C621" s="6"/>
      <c r="D621" s="6"/>
      <c r="K621" s="3"/>
    </row>
    <row r="622" spans="1:13" x14ac:dyDescent="0.2">
      <c r="C622" s="6"/>
      <c r="D622" s="6"/>
    </row>
    <row r="623" spans="1:13" x14ac:dyDescent="0.2">
      <c r="C623" s="6"/>
      <c r="D623" s="6"/>
    </row>
    <row r="624" spans="1:13" x14ac:dyDescent="0.2">
      <c r="C624" s="6"/>
      <c r="D624" s="6"/>
    </row>
    <row r="625" spans="3:4" x14ac:dyDescent="0.2">
      <c r="C625" s="6"/>
      <c r="D625" s="6"/>
    </row>
    <row r="626" spans="3:4" x14ac:dyDescent="0.2">
      <c r="C626" s="6"/>
      <c r="D626" s="6"/>
    </row>
    <row r="627" spans="3:4" x14ac:dyDescent="0.2">
      <c r="C627" s="6"/>
      <c r="D627" s="6"/>
    </row>
    <row r="628" spans="3:4" x14ac:dyDescent="0.2">
      <c r="C628" s="6"/>
      <c r="D628" s="6"/>
    </row>
    <row r="629" spans="3:4" x14ac:dyDescent="0.2">
      <c r="C629" s="6"/>
      <c r="D629" s="6"/>
    </row>
    <row r="630" spans="3:4" x14ac:dyDescent="0.2">
      <c r="C630" s="6"/>
      <c r="D630" s="6"/>
    </row>
    <row r="631" spans="3:4" x14ac:dyDescent="0.2">
      <c r="C631" s="6"/>
      <c r="D631" s="6"/>
    </row>
    <row r="632" spans="3:4" x14ac:dyDescent="0.2">
      <c r="C632" s="6"/>
      <c r="D632" s="6"/>
    </row>
    <row r="633" spans="3:4" x14ac:dyDescent="0.2">
      <c r="C633" s="6"/>
      <c r="D633" s="6"/>
    </row>
    <row r="634" spans="3:4" x14ac:dyDescent="0.2">
      <c r="C634" s="6"/>
      <c r="D634" s="6"/>
    </row>
    <row r="635" spans="3:4" x14ac:dyDescent="0.2">
      <c r="D635" s="6"/>
    </row>
    <row r="636" spans="3:4" x14ac:dyDescent="0.2">
      <c r="D636" s="6"/>
    </row>
    <row r="637" spans="3:4" x14ac:dyDescent="0.2">
      <c r="D637" s="6"/>
    </row>
    <row r="638" spans="3:4" x14ac:dyDescent="0.2">
      <c r="D638" s="6"/>
    </row>
    <row r="639" spans="3:4" x14ac:dyDescent="0.2">
      <c r="D639" s="6"/>
    </row>
    <row r="640" spans="3:4" x14ac:dyDescent="0.2">
      <c r="D640" s="6"/>
    </row>
    <row r="641" spans="4:4" x14ac:dyDescent="0.2">
      <c r="D641" s="6"/>
    </row>
  </sheetData>
  <phoneticPr fontId="0" type="noConversion"/>
  <conditionalFormatting sqref="G523:K539 G219:K235 G580:K596 G10:K26 G561:K577 G48:K64 G276:K292 G257:K273 G314:K330 G295:K311 G352:K368 G333:K349 G390:K406 G409:K425 G428:K444 G371:K387 G466:K482 G485:K501 G504:K520 G447:K463 G542:K558 G29:K45 G86:K102 G105:K121 G124:K140 G67:K83 G162:K178 G181:K197 G200:K216 G143:K159 G238:K254 G599:K615">
    <cfRule type="cellIs" dxfId="33" priority="33" stopIfTrue="1" operator="greaterThan">
      <formula>0</formula>
    </cfRule>
  </conditionalFormatting>
  <conditionalFormatting sqref="F10:F26 F29:F121 F314:F330 F333:F349 F352:F368 F371:F387 F390:F406 F409:F425 F428:F444 F447:F463 F466:F482 F485:F501 F504:F520 F523:F539 F542:F558 F561:F577 F580:F596 F599:F615 F124:F140 F143:F159 F162:F179 F181:F198 F200:F217 F219:F236 F238:F255 F257:F274 F276:F293 F295:F312">
    <cfRule type="expression" dxfId="32" priority="34" stopIfTrue="1">
      <formula>G10&gt;0</formula>
    </cfRule>
  </conditionalFormatting>
  <conditionalFormatting sqref="L9:L21">
    <cfRule type="cellIs" dxfId="31" priority="32" stopIfTrue="1" operator="greaterThan">
      <formula>0</formula>
    </cfRule>
  </conditionalFormatting>
  <conditionalFormatting sqref="L26:L38">
    <cfRule type="cellIs" dxfId="30" priority="31" stopIfTrue="1" operator="greaterThan">
      <formula>0</formula>
    </cfRule>
  </conditionalFormatting>
  <conditionalFormatting sqref="M9:M21">
    <cfRule type="cellIs" dxfId="29" priority="30" stopIfTrue="1" operator="greaterThan">
      <formula>0</formula>
    </cfRule>
  </conditionalFormatting>
  <conditionalFormatting sqref="M26:M38">
    <cfRule type="cellIs" dxfId="28" priority="29" stopIfTrue="1" operator="greaterThan">
      <formula>0</formula>
    </cfRule>
  </conditionalFormatting>
  <conditionalFormatting sqref="N9:N21">
    <cfRule type="cellIs" dxfId="27" priority="28" stopIfTrue="1" operator="greaterThan">
      <formula>0</formula>
    </cfRule>
  </conditionalFormatting>
  <conditionalFormatting sqref="N26:N38">
    <cfRule type="cellIs" dxfId="26" priority="27" stopIfTrue="1" operator="greaterThan">
      <formula>0</formula>
    </cfRule>
  </conditionalFormatting>
  <conditionalFormatting sqref="O9:O21">
    <cfRule type="cellIs" dxfId="25" priority="26" stopIfTrue="1" operator="greaterThan">
      <formula>0</formula>
    </cfRule>
  </conditionalFormatting>
  <conditionalFormatting sqref="O26:O38">
    <cfRule type="cellIs" dxfId="24" priority="25" stopIfTrue="1" operator="greaterThan">
      <formula>0</formula>
    </cfRule>
  </conditionalFormatting>
  <conditionalFormatting sqref="P9:P21">
    <cfRule type="cellIs" dxfId="23" priority="24" stopIfTrue="1" operator="greaterThan">
      <formula>0</formula>
    </cfRule>
  </conditionalFormatting>
  <conditionalFormatting sqref="P26:P38">
    <cfRule type="cellIs" dxfId="22" priority="23" stopIfTrue="1" operator="greaterThan">
      <formula>0</formula>
    </cfRule>
  </conditionalFormatting>
  <conditionalFormatting sqref="Q9:Q21">
    <cfRule type="cellIs" dxfId="21" priority="22" stopIfTrue="1" operator="greaterThan">
      <formula>0</formula>
    </cfRule>
  </conditionalFormatting>
  <conditionalFormatting sqref="Q26:Q38">
    <cfRule type="cellIs" dxfId="20" priority="21" stopIfTrue="1" operator="greaterThan">
      <formula>0</formula>
    </cfRule>
  </conditionalFormatting>
  <conditionalFormatting sqref="R9:R21">
    <cfRule type="cellIs" dxfId="19" priority="20" stopIfTrue="1" operator="greaterThan">
      <formula>0</formula>
    </cfRule>
  </conditionalFormatting>
  <conditionalFormatting sqref="R26:R38">
    <cfRule type="cellIs" dxfId="18" priority="19" stopIfTrue="1" operator="greaterThan">
      <formula>0</formula>
    </cfRule>
  </conditionalFormatting>
  <conditionalFormatting sqref="S9:S21">
    <cfRule type="cellIs" dxfId="17" priority="18" stopIfTrue="1" operator="greaterThan">
      <formula>0</formula>
    </cfRule>
  </conditionalFormatting>
  <conditionalFormatting sqref="S26:S38">
    <cfRule type="cellIs" dxfId="16" priority="17" stopIfTrue="1" operator="greaterThan">
      <formula>0</formula>
    </cfRule>
  </conditionalFormatting>
  <conditionalFormatting sqref="T9:T21">
    <cfRule type="cellIs" dxfId="15" priority="16" stopIfTrue="1" operator="greaterThan">
      <formula>0</formula>
    </cfRule>
  </conditionalFormatting>
  <conditionalFormatting sqref="T26:T38">
    <cfRule type="cellIs" dxfId="14" priority="15" stopIfTrue="1" operator="greaterThan">
      <formula>0</formula>
    </cfRule>
  </conditionalFormatting>
  <conditionalFormatting sqref="U9:U21">
    <cfRule type="cellIs" dxfId="13" priority="14" stopIfTrue="1" operator="greaterThan">
      <formula>0</formula>
    </cfRule>
  </conditionalFormatting>
  <conditionalFormatting sqref="U26:U38">
    <cfRule type="cellIs" dxfId="12" priority="13" stopIfTrue="1" operator="greaterThan">
      <formula>0</formula>
    </cfRule>
  </conditionalFormatting>
  <conditionalFormatting sqref="V9:V21">
    <cfRule type="cellIs" dxfId="11" priority="12" stopIfTrue="1" operator="greaterThan">
      <formula>0</formula>
    </cfRule>
  </conditionalFormatting>
  <conditionalFormatting sqref="V26:V38">
    <cfRule type="cellIs" dxfId="10" priority="11" stopIfTrue="1" operator="greaterThan">
      <formula>0</formula>
    </cfRule>
  </conditionalFormatting>
  <conditionalFormatting sqref="W9:W21">
    <cfRule type="cellIs" dxfId="9" priority="10" stopIfTrue="1" operator="greaterThan">
      <formula>0</formula>
    </cfRule>
  </conditionalFormatting>
  <conditionalFormatting sqref="W26:W38">
    <cfRule type="cellIs" dxfId="8" priority="9" stopIfTrue="1" operator="greaterThan">
      <formula>0</formula>
    </cfRule>
  </conditionalFormatting>
  <conditionalFormatting sqref="X9:X21">
    <cfRule type="cellIs" dxfId="7" priority="8" stopIfTrue="1" operator="greaterThan">
      <formula>0</formula>
    </cfRule>
  </conditionalFormatting>
  <conditionalFormatting sqref="X26:X38">
    <cfRule type="cellIs" dxfId="6" priority="7" stopIfTrue="1" operator="greaterThan">
      <formula>0</formula>
    </cfRule>
  </conditionalFormatting>
  <conditionalFormatting sqref="Y9:Y21">
    <cfRule type="cellIs" dxfId="5" priority="6" stopIfTrue="1" operator="greaterThan">
      <formula>0</formula>
    </cfRule>
  </conditionalFormatting>
  <conditionalFormatting sqref="Y26:Y38">
    <cfRule type="cellIs" dxfId="4" priority="5" stopIfTrue="1" operator="greaterThan">
      <formula>0</formula>
    </cfRule>
  </conditionalFormatting>
  <conditionalFormatting sqref="Z9:Z21">
    <cfRule type="cellIs" dxfId="3" priority="4" stopIfTrue="1" operator="greaterThan">
      <formula>0</formula>
    </cfRule>
  </conditionalFormatting>
  <conditionalFormatting sqref="Z26:Z38">
    <cfRule type="cellIs" dxfId="2" priority="3" stopIfTrue="1" operator="greaterThan">
      <formula>0</formula>
    </cfRule>
  </conditionalFormatting>
  <conditionalFormatting sqref="AA9:AA21">
    <cfRule type="cellIs" dxfId="1" priority="2" stopIfTrue="1" operator="greaterThan">
      <formula>0</formula>
    </cfRule>
  </conditionalFormatting>
  <conditionalFormatting sqref="AA26:AA38">
    <cfRule type="cellIs" dxfId="0" priority="1" stopIfTrue="1" operator="greaterThan">
      <formula>0</formula>
    </cfRule>
  </conditionalFormatting>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E999-8B45-4A0D-97E1-0FF559EAABCF}">
  <dimension ref="A1:S3003"/>
  <sheetViews>
    <sheetView workbookViewId="0">
      <pane xSplit="14280" topLeftCell="H1"/>
      <selection pane="topRight" activeCell="H147" sqref="H147"/>
    </sheetView>
  </sheetViews>
  <sheetFormatPr defaultRowHeight="12.75" x14ac:dyDescent="0.2"/>
  <cols>
    <col min="6" max="6" width="12.140625" customWidth="1"/>
    <col min="7" max="7" width="73.42578125" customWidth="1"/>
    <col min="8" max="8" width="16.5703125" customWidth="1"/>
    <col min="9" max="9" width="14.42578125" customWidth="1"/>
    <col min="10" max="10" width="13.42578125" customWidth="1"/>
    <col min="11" max="11" width="10.7109375" customWidth="1"/>
    <col min="12" max="12" width="16.28515625" customWidth="1"/>
  </cols>
  <sheetData>
    <row r="1" spans="1:19" x14ac:dyDescent="0.2">
      <c r="B1" s="65" t="s">
        <v>273</v>
      </c>
      <c r="C1" s="65"/>
      <c r="E1" s="65"/>
      <c r="F1" s="65"/>
      <c r="G1" s="65"/>
      <c r="H1" s="65"/>
      <c r="I1" s="65"/>
      <c r="J1" s="65"/>
      <c r="K1" s="65"/>
    </row>
    <row r="3" spans="1:19" ht="13.5" thickBot="1" x14ac:dyDescent="0.25"/>
    <row r="4" spans="1:19" s="65" customFormat="1" ht="39.75" customHeight="1" thickBot="1" x14ac:dyDescent="0.25">
      <c r="A4" s="69" t="s">
        <v>272</v>
      </c>
      <c r="B4" s="69" t="s">
        <v>271</v>
      </c>
      <c r="C4" s="69" t="s">
        <v>9</v>
      </c>
      <c r="D4" s="69" t="s">
        <v>270</v>
      </c>
      <c r="E4" s="69" t="s">
        <v>269</v>
      </c>
      <c r="F4" s="69" t="s">
        <v>268</v>
      </c>
      <c r="G4" s="69" t="s">
        <v>267</v>
      </c>
      <c r="H4" s="68"/>
      <c r="I4" s="68"/>
      <c r="J4" s="68"/>
      <c r="K4" s="68"/>
      <c r="L4" s="65" t="s">
        <v>266</v>
      </c>
      <c r="N4" s="67"/>
      <c r="O4" s="67"/>
      <c r="P4" s="67"/>
      <c r="Q4" s="67"/>
      <c r="R4" s="67"/>
      <c r="S4" s="66"/>
    </row>
    <row r="5" spans="1:19" ht="25.5" x14ac:dyDescent="0.2">
      <c r="A5">
        <v>1</v>
      </c>
      <c r="B5" s="60">
        <v>37348</v>
      </c>
      <c r="C5">
        <v>92</v>
      </c>
      <c r="D5">
        <v>1</v>
      </c>
      <c r="E5" t="s">
        <v>265</v>
      </c>
      <c r="F5" s="63" t="s">
        <v>119</v>
      </c>
      <c r="G5" s="56" t="s">
        <v>264</v>
      </c>
      <c r="H5" s="56"/>
      <c r="I5" s="56"/>
      <c r="J5" s="56"/>
      <c r="K5" s="56"/>
      <c r="L5" s="56" t="s">
        <v>124</v>
      </c>
      <c r="S5" s="59"/>
    </row>
    <row r="6" spans="1:19" x14ac:dyDescent="0.2">
      <c r="A6">
        <v>2</v>
      </c>
      <c r="D6">
        <v>1</v>
      </c>
      <c r="F6" s="63" t="s">
        <v>80</v>
      </c>
      <c r="G6" s="56" t="s">
        <v>263</v>
      </c>
      <c r="H6" s="56"/>
      <c r="I6" s="56"/>
      <c r="J6" s="56"/>
      <c r="K6" s="56"/>
      <c r="L6" s="56" t="s">
        <v>130</v>
      </c>
      <c r="S6" s="59"/>
    </row>
    <row r="7" spans="1:19" ht="25.5" x14ac:dyDescent="0.2">
      <c r="A7">
        <v>3</v>
      </c>
      <c r="B7" s="60">
        <v>37349</v>
      </c>
      <c r="C7">
        <v>93</v>
      </c>
      <c r="D7">
        <v>1</v>
      </c>
      <c r="F7" s="63" t="s">
        <v>257</v>
      </c>
      <c r="G7" s="56" t="s">
        <v>262</v>
      </c>
      <c r="H7" s="56"/>
      <c r="I7" s="56"/>
      <c r="J7" s="56"/>
      <c r="K7" s="56"/>
      <c r="L7" s="56" t="s">
        <v>78</v>
      </c>
      <c r="S7" s="59"/>
    </row>
    <row r="8" spans="1:19" x14ac:dyDescent="0.2">
      <c r="A8">
        <v>4</v>
      </c>
      <c r="B8" s="60">
        <v>37350</v>
      </c>
      <c r="C8">
        <v>94</v>
      </c>
      <c r="D8">
        <v>1</v>
      </c>
      <c r="F8" s="63"/>
      <c r="G8" s="56" t="s">
        <v>261</v>
      </c>
      <c r="H8" s="56"/>
      <c r="I8" s="56"/>
      <c r="J8" s="56"/>
      <c r="K8" s="56"/>
      <c r="L8" s="56" t="s">
        <v>80</v>
      </c>
      <c r="S8" s="59"/>
    </row>
    <row r="9" spans="1:19" ht="25.5" x14ac:dyDescent="0.2">
      <c r="A9">
        <v>5</v>
      </c>
      <c r="B9" s="60">
        <v>37355</v>
      </c>
      <c r="C9">
        <v>99</v>
      </c>
      <c r="D9">
        <v>1</v>
      </c>
      <c r="F9" s="63"/>
      <c r="G9" s="56" t="s">
        <v>260</v>
      </c>
      <c r="H9" s="56"/>
      <c r="I9" s="56"/>
      <c r="J9" s="56"/>
      <c r="K9" s="56"/>
      <c r="L9" s="56" t="s">
        <v>237</v>
      </c>
      <c r="S9" s="59"/>
    </row>
    <row r="10" spans="1:19" x14ac:dyDescent="0.2">
      <c r="A10">
        <v>6</v>
      </c>
      <c r="B10" s="64">
        <v>37356</v>
      </c>
      <c r="C10">
        <v>100</v>
      </c>
      <c r="D10">
        <v>1</v>
      </c>
      <c r="F10" s="63"/>
      <c r="G10" s="56" t="s">
        <v>259</v>
      </c>
      <c r="H10" s="56"/>
      <c r="I10" s="56"/>
      <c r="J10" s="56"/>
      <c r="K10" s="56"/>
      <c r="L10" s="56" t="s">
        <v>141</v>
      </c>
      <c r="S10" s="59"/>
    </row>
    <row r="11" spans="1:19" x14ac:dyDescent="0.2">
      <c r="A11">
        <v>7</v>
      </c>
      <c r="H11" s="56"/>
      <c r="I11" s="56"/>
      <c r="J11" s="56"/>
      <c r="K11" s="56"/>
      <c r="L11" s="56" t="s">
        <v>257</v>
      </c>
      <c r="S11" s="59"/>
    </row>
    <row r="12" spans="1:19" x14ac:dyDescent="0.2">
      <c r="B12" s="60"/>
      <c r="F12" s="63" t="s">
        <v>124</v>
      </c>
      <c r="G12" t="s">
        <v>258</v>
      </c>
      <c r="L12" s="56" t="s">
        <v>119</v>
      </c>
      <c r="S12" s="59"/>
    </row>
    <row r="13" spans="1:19" ht="25.5" x14ac:dyDescent="0.2">
      <c r="B13" s="60"/>
      <c r="F13" s="63" t="s">
        <v>257</v>
      </c>
      <c r="G13" t="s">
        <v>256</v>
      </c>
      <c r="L13" s="56" t="s">
        <v>102</v>
      </c>
      <c r="S13" s="59"/>
    </row>
    <row r="14" spans="1:19" x14ac:dyDescent="0.2">
      <c r="A14">
        <v>8</v>
      </c>
      <c r="B14" s="60">
        <v>37361</v>
      </c>
      <c r="C14">
        <v>105</v>
      </c>
      <c r="D14">
        <v>10</v>
      </c>
      <c r="F14" s="63" t="s">
        <v>102</v>
      </c>
      <c r="G14" s="56" t="s">
        <v>255</v>
      </c>
      <c r="H14" s="56"/>
      <c r="I14" s="56"/>
      <c r="J14" s="56"/>
      <c r="K14" s="56"/>
      <c r="L14" s="56" t="s">
        <v>94</v>
      </c>
      <c r="S14" s="59"/>
    </row>
    <row r="15" spans="1:19" x14ac:dyDescent="0.2">
      <c r="A15">
        <v>9</v>
      </c>
      <c r="B15" s="60">
        <v>37362</v>
      </c>
      <c r="C15">
        <v>106</v>
      </c>
      <c r="D15">
        <v>11</v>
      </c>
      <c r="E15" t="s">
        <v>242</v>
      </c>
      <c r="F15" s="63" t="s">
        <v>102</v>
      </c>
      <c r="G15" s="56" t="s">
        <v>254</v>
      </c>
      <c r="H15" s="56"/>
      <c r="I15" s="56"/>
      <c r="J15" s="56"/>
      <c r="K15" s="56"/>
      <c r="S15" s="59"/>
    </row>
    <row r="16" spans="1:19" ht="38.25" x14ac:dyDescent="0.2">
      <c r="A16">
        <v>10</v>
      </c>
      <c r="B16" s="60">
        <v>37363</v>
      </c>
      <c r="C16">
        <v>107</v>
      </c>
      <c r="D16">
        <v>12</v>
      </c>
      <c r="E16" t="s">
        <v>242</v>
      </c>
      <c r="F16" t="s">
        <v>78</v>
      </c>
      <c r="G16" s="56" t="s">
        <v>253</v>
      </c>
      <c r="H16" s="56"/>
      <c r="I16" s="56"/>
      <c r="J16" s="56"/>
      <c r="K16" s="56"/>
      <c r="L16" s="56"/>
      <c r="S16" s="59"/>
    </row>
    <row r="17" spans="1:19" x14ac:dyDescent="0.2">
      <c r="A17">
        <v>11</v>
      </c>
      <c r="B17" s="60">
        <v>37363</v>
      </c>
      <c r="C17">
        <v>107</v>
      </c>
      <c r="D17">
        <v>12</v>
      </c>
      <c r="E17" t="s">
        <v>242</v>
      </c>
      <c r="F17" t="s">
        <v>124</v>
      </c>
      <c r="G17" s="56" t="s">
        <v>252</v>
      </c>
      <c r="H17" s="56"/>
      <c r="I17" s="56"/>
      <c r="J17" s="56"/>
      <c r="K17" s="56"/>
      <c r="S17" s="59"/>
    </row>
    <row r="18" spans="1:19" ht="25.5" x14ac:dyDescent="0.2">
      <c r="A18">
        <v>12</v>
      </c>
      <c r="B18" s="60">
        <v>37364</v>
      </c>
      <c r="C18">
        <v>108</v>
      </c>
      <c r="D18">
        <v>12</v>
      </c>
      <c r="F18" t="s">
        <v>102</v>
      </c>
      <c r="G18" s="56" t="s">
        <v>251</v>
      </c>
      <c r="H18" s="56"/>
      <c r="I18" s="56"/>
      <c r="J18" s="56"/>
      <c r="K18" s="56"/>
      <c r="S18" s="59"/>
    </row>
    <row r="19" spans="1:19" ht="38.25" x14ac:dyDescent="0.2">
      <c r="A19">
        <v>13</v>
      </c>
      <c r="B19" s="60">
        <v>37364</v>
      </c>
      <c r="C19">
        <v>108</v>
      </c>
      <c r="D19">
        <v>12</v>
      </c>
      <c r="F19" t="s">
        <v>119</v>
      </c>
      <c r="G19" s="56" t="s">
        <v>250</v>
      </c>
      <c r="H19" s="56"/>
      <c r="I19" s="56"/>
      <c r="J19" s="56"/>
      <c r="K19" s="56"/>
      <c r="S19" s="59"/>
    </row>
    <row r="20" spans="1:19" x14ac:dyDescent="0.2">
      <c r="A20">
        <v>14</v>
      </c>
      <c r="B20" s="60">
        <v>37364</v>
      </c>
      <c r="C20">
        <v>108</v>
      </c>
      <c r="D20">
        <v>13</v>
      </c>
      <c r="E20" t="s">
        <v>249</v>
      </c>
      <c r="F20" t="s">
        <v>80</v>
      </c>
      <c r="G20" s="56" t="s">
        <v>248</v>
      </c>
      <c r="S20" s="59"/>
    </row>
    <row r="21" spans="1:19" x14ac:dyDescent="0.2">
      <c r="A21">
        <v>15</v>
      </c>
      <c r="B21" s="60">
        <v>37364</v>
      </c>
      <c r="C21">
        <v>108</v>
      </c>
      <c r="D21">
        <v>12</v>
      </c>
      <c r="F21" t="s">
        <v>124</v>
      </c>
      <c r="G21" s="56" t="s">
        <v>247</v>
      </c>
      <c r="S21" s="59"/>
    </row>
    <row r="22" spans="1:19" ht="38.25" x14ac:dyDescent="0.2">
      <c r="A22">
        <v>16</v>
      </c>
      <c r="B22" s="60">
        <v>37368</v>
      </c>
      <c r="C22">
        <v>112</v>
      </c>
      <c r="D22">
        <v>13</v>
      </c>
      <c r="E22" t="s">
        <v>202</v>
      </c>
      <c r="F22" t="s">
        <v>102</v>
      </c>
      <c r="G22" s="56" t="s">
        <v>246</v>
      </c>
      <c r="S22" s="59"/>
    </row>
    <row r="23" spans="1:19" ht="25.5" x14ac:dyDescent="0.2">
      <c r="A23">
        <v>17</v>
      </c>
      <c r="B23" s="60">
        <v>37369</v>
      </c>
      <c r="C23">
        <v>113</v>
      </c>
      <c r="D23">
        <v>14</v>
      </c>
      <c r="E23" t="s">
        <v>89</v>
      </c>
      <c r="F23" t="s">
        <v>102</v>
      </c>
      <c r="G23" s="56" t="s">
        <v>245</v>
      </c>
      <c r="S23" s="59"/>
    </row>
    <row r="24" spans="1:19" ht="51" x14ac:dyDescent="0.2">
      <c r="A24">
        <v>18</v>
      </c>
      <c r="B24" s="60">
        <v>37370</v>
      </c>
      <c r="C24">
        <v>114</v>
      </c>
      <c r="D24">
        <v>16</v>
      </c>
      <c r="E24" t="s">
        <v>242</v>
      </c>
      <c r="F24" t="s">
        <v>119</v>
      </c>
      <c r="G24" s="56" t="s">
        <v>244</v>
      </c>
      <c r="S24" s="59"/>
    </row>
    <row r="25" spans="1:19" ht="38.25" x14ac:dyDescent="0.2">
      <c r="A25">
        <v>19</v>
      </c>
      <c r="B25" s="60">
        <v>37370</v>
      </c>
      <c r="C25">
        <v>114</v>
      </c>
      <c r="D25">
        <v>16</v>
      </c>
      <c r="F25" t="s">
        <v>102</v>
      </c>
      <c r="G25" s="56" t="s">
        <v>243</v>
      </c>
      <c r="H25" s="56"/>
      <c r="I25" s="56"/>
      <c r="J25" s="56"/>
      <c r="K25" s="56"/>
      <c r="S25" s="59"/>
    </row>
    <row r="26" spans="1:19" ht="63.75" x14ac:dyDescent="0.2">
      <c r="A26">
        <v>20</v>
      </c>
      <c r="B26" s="60">
        <v>37371</v>
      </c>
      <c r="C26">
        <v>115</v>
      </c>
      <c r="D26">
        <v>17</v>
      </c>
      <c r="E26" t="s">
        <v>242</v>
      </c>
      <c r="F26" t="s">
        <v>78</v>
      </c>
      <c r="G26" s="56" t="s">
        <v>241</v>
      </c>
      <c r="H26" s="56"/>
      <c r="I26" s="56"/>
      <c r="J26" s="56"/>
      <c r="K26" s="56"/>
      <c r="S26" s="59"/>
    </row>
    <row r="27" spans="1:19" x14ac:dyDescent="0.2">
      <c r="A27">
        <v>21</v>
      </c>
      <c r="B27" s="60">
        <v>37374</v>
      </c>
      <c r="C27">
        <v>118</v>
      </c>
      <c r="D27">
        <v>1</v>
      </c>
      <c r="E27" t="s">
        <v>103</v>
      </c>
      <c r="F27" s="63" t="s">
        <v>80</v>
      </c>
      <c r="G27" s="56" t="s">
        <v>240</v>
      </c>
      <c r="H27" s="56"/>
      <c r="I27" s="56"/>
      <c r="J27" s="56"/>
      <c r="K27" s="56"/>
      <c r="S27" s="59"/>
    </row>
    <row r="28" spans="1:19" ht="38.25" x14ac:dyDescent="0.2">
      <c r="A28">
        <v>22</v>
      </c>
      <c r="B28" s="60">
        <v>37375</v>
      </c>
      <c r="C28">
        <v>119</v>
      </c>
      <c r="D28">
        <v>17</v>
      </c>
      <c r="E28" t="s">
        <v>103</v>
      </c>
      <c r="F28" t="s">
        <v>102</v>
      </c>
      <c r="G28" s="56" t="s">
        <v>239</v>
      </c>
      <c r="H28" s="56"/>
      <c r="I28" s="56"/>
      <c r="J28" s="56"/>
      <c r="K28" s="56"/>
      <c r="S28" s="59"/>
    </row>
    <row r="29" spans="1:19" x14ac:dyDescent="0.2">
      <c r="A29">
        <v>23</v>
      </c>
      <c r="B29" s="60">
        <v>37376</v>
      </c>
      <c r="C29">
        <v>120</v>
      </c>
      <c r="D29">
        <v>17</v>
      </c>
      <c r="E29" t="s">
        <v>103</v>
      </c>
      <c r="F29" t="s">
        <v>80</v>
      </c>
      <c r="G29" s="56" t="s">
        <v>238</v>
      </c>
      <c r="H29" s="56"/>
      <c r="I29" s="56"/>
      <c r="J29" s="56"/>
      <c r="K29" s="56"/>
      <c r="S29" s="59"/>
    </row>
    <row r="30" spans="1:19" ht="25.5" x14ac:dyDescent="0.2">
      <c r="A30">
        <v>24</v>
      </c>
      <c r="B30" s="60">
        <v>37376</v>
      </c>
      <c r="C30">
        <v>120</v>
      </c>
      <c r="D30">
        <v>17</v>
      </c>
      <c r="E30" t="s">
        <v>103</v>
      </c>
      <c r="F30" t="s">
        <v>237</v>
      </c>
      <c r="G30" s="56" t="s">
        <v>236</v>
      </c>
      <c r="H30" s="56"/>
      <c r="I30" s="56"/>
      <c r="J30" s="56"/>
      <c r="K30" s="56"/>
      <c r="S30" s="59"/>
    </row>
    <row r="31" spans="1:19" x14ac:dyDescent="0.2">
      <c r="A31">
        <v>25</v>
      </c>
      <c r="B31" s="60">
        <v>37377</v>
      </c>
      <c r="C31">
        <v>121</v>
      </c>
      <c r="D31">
        <v>18</v>
      </c>
      <c r="F31" t="s">
        <v>80</v>
      </c>
      <c r="G31" s="56" t="s">
        <v>224</v>
      </c>
      <c r="H31" s="56"/>
      <c r="I31" s="56"/>
      <c r="J31" s="56"/>
      <c r="K31" s="56"/>
      <c r="S31" s="59"/>
    </row>
    <row r="32" spans="1:19" ht="38.25" x14ac:dyDescent="0.2">
      <c r="A32">
        <v>26</v>
      </c>
      <c r="B32" s="60">
        <v>37377</v>
      </c>
      <c r="C32">
        <v>121</v>
      </c>
      <c r="D32">
        <v>18</v>
      </c>
      <c r="F32" t="s">
        <v>102</v>
      </c>
      <c r="G32" s="56" t="s">
        <v>235</v>
      </c>
      <c r="H32" s="56"/>
      <c r="I32" s="56"/>
      <c r="J32" s="56"/>
      <c r="K32" s="56"/>
      <c r="S32" s="59"/>
    </row>
    <row r="33" spans="1:19" x14ac:dyDescent="0.2">
      <c r="A33">
        <v>27</v>
      </c>
      <c r="B33" s="60">
        <v>37378</v>
      </c>
      <c r="C33">
        <v>122</v>
      </c>
      <c r="D33">
        <v>18</v>
      </c>
      <c r="E33" t="s">
        <v>202</v>
      </c>
      <c r="F33" t="s">
        <v>80</v>
      </c>
      <c r="G33" s="56" t="s">
        <v>230</v>
      </c>
      <c r="H33" s="56"/>
      <c r="I33" s="56"/>
      <c r="J33" s="56"/>
      <c r="K33" s="56"/>
      <c r="S33" s="59"/>
    </row>
    <row r="34" spans="1:19" ht="38.25" x14ac:dyDescent="0.2">
      <c r="A34">
        <v>28</v>
      </c>
      <c r="B34" s="60">
        <v>37378</v>
      </c>
      <c r="C34">
        <v>122</v>
      </c>
      <c r="D34">
        <v>18</v>
      </c>
      <c r="E34" t="s">
        <v>202</v>
      </c>
      <c r="F34" t="s">
        <v>102</v>
      </c>
      <c r="G34" s="56" t="s">
        <v>234</v>
      </c>
      <c r="H34" s="56"/>
      <c r="I34" s="56"/>
      <c r="J34" s="56"/>
      <c r="K34" s="56"/>
      <c r="S34" s="59"/>
    </row>
    <row r="35" spans="1:19" x14ac:dyDescent="0.2">
      <c r="A35">
        <v>29</v>
      </c>
      <c r="B35" s="60">
        <v>37379</v>
      </c>
      <c r="C35">
        <v>123</v>
      </c>
      <c r="D35">
        <v>18</v>
      </c>
      <c r="E35" t="s">
        <v>87</v>
      </c>
      <c r="F35" t="s">
        <v>80</v>
      </c>
      <c r="G35" s="56" t="s">
        <v>224</v>
      </c>
      <c r="H35" s="56"/>
      <c r="I35" s="56"/>
      <c r="J35" s="56"/>
      <c r="K35" s="56"/>
      <c r="S35" s="59"/>
    </row>
    <row r="36" spans="1:19" x14ac:dyDescent="0.2">
      <c r="A36">
        <v>30</v>
      </c>
      <c r="B36" s="60">
        <v>37379</v>
      </c>
      <c r="C36">
        <v>123</v>
      </c>
      <c r="D36">
        <v>18</v>
      </c>
      <c r="E36" t="s">
        <v>233</v>
      </c>
      <c r="F36" t="s">
        <v>80</v>
      </c>
      <c r="G36" s="56" t="s">
        <v>232</v>
      </c>
      <c r="H36" s="56"/>
      <c r="I36" s="56"/>
      <c r="J36" s="56"/>
      <c r="K36" s="56"/>
      <c r="S36" s="59"/>
    </row>
    <row r="37" spans="1:19" x14ac:dyDescent="0.2">
      <c r="A37">
        <v>31</v>
      </c>
      <c r="B37" s="60">
        <v>37381</v>
      </c>
      <c r="C37">
        <v>125</v>
      </c>
      <c r="D37">
        <v>18</v>
      </c>
      <c r="E37" t="s">
        <v>103</v>
      </c>
      <c r="F37" t="s">
        <v>124</v>
      </c>
      <c r="G37" s="56" t="s">
        <v>231</v>
      </c>
      <c r="H37" s="56"/>
      <c r="I37" s="56"/>
      <c r="J37" s="56"/>
      <c r="K37" s="56"/>
      <c r="S37" s="59"/>
    </row>
    <row r="38" spans="1:19" x14ac:dyDescent="0.2">
      <c r="A38">
        <v>32</v>
      </c>
      <c r="B38" s="60">
        <v>37381</v>
      </c>
      <c r="C38">
        <v>125</v>
      </c>
      <c r="D38">
        <v>18</v>
      </c>
      <c r="E38" t="s">
        <v>103</v>
      </c>
      <c r="F38" t="s">
        <v>80</v>
      </c>
      <c r="G38" s="56" t="s">
        <v>230</v>
      </c>
      <c r="H38" s="56"/>
      <c r="I38" s="56"/>
      <c r="J38" s="56"/>
      <c r="K38" s="56"/>
      <c r="S38" s="59"/>
    </row>
    <row r="39" spans="1:19" ht="25.5" x14ac:dyDescent="0.2">
      <c r="A39">
        <v>33</v>
      </c>
      <c r="B39" s="60">
        <v>37381</v>
      </c>
      <c r="C39">
        <v>125</v>
      </c>
      <c r="D39">
        <v>18</v>
      </c>
      <c r="E39" t="s">
        <v>103</v>
      </c>
      <c r="F39" t="s">
        <v>102</v>
      </c>
      <c r="G39" s="56" t="s">
        <v>229</v>
      </c>
      <c r="H39" s="56"/>
      <c r="I39" s="56"/>
      <c r="J39" s="56"/>
      <c r="K39" s="56"/>
      <c r="S39" s="59"/>
    </row>
    <row r="40" spans="1:19" ht="38.25" x14ac:dyDescent="0.2">
      <c r="A40">
        <v>34</v>
      </c>
      <c r="B40" s="60">
        <v>37383</v>
      </c>
      <c r="C40">
        <v>127</v>
      </c>
      <c r="D40">
        <v>15</v>
      </c>
      <c r="E40" t="s">
        <v>202</v>
      </c>
      <c r="F40" t="s">
        <v>102</v>
      </c>
      <c r="G40" s="56" t="s">
        <v>228</v>
      </c>
      <c r="H40" s="56"/>
      <c r="I40" s="56"/>
      <c r="J40" s="56"/>
      <c r="K40" s="56"/>
      <c r="S40" s="59"/>
    </row>
    <row r="41" spans="1:19" ht="25.5" x14ac:dyDescent="0.2">
      <c r="A41">
        <v>35</v>
      </c>
      <c r="B41" s="60">
        <v>37384</v>
      </c>
      <c r="C41">
        <v>128</v>
      </c>
      <c r="D41">
        <v>15</v>
      </c>
      <c r="E41" t="s">
        <v>202</v>
      </c>
      <c r="F41" t="s">
        <v>102</v>
      </c>
      <c r="G41" s="56" t="s">
        <v>227</v>
      </c>
      <c r="H41" s="56"/>
      <c r="I41" s="56"/>
      <c r="J41" s="56"/>
      <c r="K41" s="56"/>
      <c r="S41" s="59"/>
    </row>
    <row r="42" spans="1:19" ht="38.25" x14ac:dyDescent="0.2">
      <c r="A42">
        <v>36</v>
      </c>
      <c r="B42" s="60">
        <v>37386</v>
      </c>
      <c r="C42">
        <v>130</v>
      </c>
      <c r="D42">
        <v>19</v>
      </c>
      <c r="F42" t="s">
        <v>102</v>
      </c>
      <c r="G42" s="56" t="s">
        <v>226</v>
      </c>
      <c r="H42" s="56"/>
      <c r="I42" s="56"/>
      <c r="J42" s="56"/>
      <c r="K42" s="56"/>
      <c r="S42" s="59"/>
    </row>
    <row r="43" spans="1:19" x14ac:dyDescent="0.2">
      <c r="A43">
        <v>37</v>
      </c>
      <c r="B43" s="60">
        <v>37386</v>
      </c>
      <c r="C43">
        <v>130</v>
      </c>
      <c r="D43">
        <v>19</v>
      </c>
      <c r="F43" t="s">
        <v>80</v>
      </c>
      <c r="G43" s="56" t="s">
        <v>225</v>
      </c>
      <c r="H43" s="56"/>
      <c r="I43" s="56"/>
      <c r="J43" s="56"/>
      <c r="K43" s="56"/>
      <c r="S43" s="59"/>
    </row>
    <row r="44" spans="1:19" x14ac:dyDescent="0.2">
      <c r="A44">
        <v>38</v>
      </c>
      <c r="B44" s="60">
        <v>37389</v>
      </c>
      <c r="C44">
        <v>133</v>
      </c>
      <c r="D44">
        <v>19</v>
      </c>
      <c r="E44" t="s">
        <v>87</v>
      </c>
      <c r="F44" t="s">
        <v>80</v>
      </c>
      <c r="G44" s="56" t="s">
        <v>224</v>
      </c>
      <c r="H44" s="56"/>
      <c r="I44" s="56"/>
      <c r="J44" s="56"/>
      <c r="K44" s="56"/>
      <c r="S44" s="59"/>
    </row>
    <row r="45" spans="1:19" ht="25.5" x14ac:dyDescent="0.2">
      <c r="A45">
        <v>39</v>
      </c>
      <c r="B45" s="60">
        <v>37389</v>
      </c>
      <c r="C45">
        <v>133</v>
      </c>
      <c r="D45">
        <v>19</v>
      </c>
      <c r="E45" t="s">
        <v>89</v>
      </c>
      <c r="F45" t="s">
        <v>80</v>
      </c>
      <c r="G45" s="56" t="s">
        <v>223</v>
      </c>
      <c r="H45" s="56"/>
      <c r="I45" s="56"/>
      <c r="J45" s="56"/>
      <c r="K45" s="56"/>
      <c r="S45" s="59"/>
    </row>
    <row r="46" spans="1:19" x14ac:dyDescent="0.2">
      <c r="A46">
        <v>40</v>
      </c>
      <c r="B46" s="60">
        <v>37390</v>
      </c>
      <c r="C46">
        <v>134</v>
      </c>
      <c r="D46">
        <v>20</v>
      </c>
      <c r="E46" t="s">
        <v>222</v>
      </c>
      <c r="F46" t="s">
        <v>80</v>
      </c>
      <c r="G46" s="56" t="s">
        <v>221</v>
      </c>
      <c r="H46" s="56"/>
      <c r="I46" s="56"/>
      <c r="J46" s="56"/>
      <c r="K46" s="56"/>
      <c r="S46" s="59"/>
    </row>
    <row r="47" spans="1:19" x14ac:dyDescent="0.2">
      <c r="A47">
        <v>41</v>
      </c>
      <c r="B47" s="60">
        <v>37391</v>
      </c>
      <c r="C47">
        <v>135</v>
      </c>
      <c r="D47">
        <v>20</v>
      </c>
      <c r="E47" t="s">
        <v>87</v>
      </c>
      <c r="F47" t="s">
        <v>80</v>
      </c>
      <c r="G47" s="56" t="s">
        <v>220</v>
      </c>
      <c r="H47" s="56"/>
      <c r="I47" s="56"/>
      <c r="J47" s="56"/>
      <c r="K47" s="56"/>
      <c r="S47" s="59"/>
    </row>
    <row r="48" spans="1:19" ht="51" x14ac:dyDescent="0.2">
      <c r="A48">
        <v>41</v>
      </c>
      <c r="B48" s="60">
        <v>37391</v>
      </c>
      <c r="C48">
        <v>135</v>
      </c>
      <c r="D48">
        <v>20</v>
      </c>
      <c r="E48" t="s">
        <v>218</v>
      </c>
      <c r="F48" t="s">
        <v>119</v>
      </c>
      <c r="G48" s="56" t="s">
        <v>219</v>
      </c>
      <c r="H48" s="56"/>
      <c r="I48" s="56"/>
      <c r="J48" s="56"/>
      <c r="K48" s="56"/>
      <c r="S48" s="59"/>
    </row>
    <row r="49" spans="1:19" x14ac:dyDescent="0.2">
      <c r="A49">
        <v>41</v>
      </c>
      <c r="B49" s="60">
        <v>37391</v>
      </c>
      <c r="C49">
        <v>135</v>
      </c>
      <c r="D49">
        <v>20</v>
      </c>
      <c r="E49" t="s">
        <v>218</v>
      </c>
      <c r="F49" t="s">
        <v>124</v>
      </c>
      <c r="G49" s="56" t="s">
        <v>217</v>
      </c>
      <c r="H49" s="56"/>
      <c r="I49" s="56"/>
      <c r="J49" s="56"/>
      <c r="K49" s="56"/>
      <c r="S49" s="59"/>
    </row>
    <row r="50" spans="1:19" x14ac:dyDescent="0.2">
      <c r="A50">
        <v>42</v>
      </c>
      <c r="B50" s="60">
        <v>37392</v>
      </c>
      <c r="C50">
        <v>136</v>
      </c>
      <c r="D50">
        <v>20</v>
      </c>
      <c r="F50" t="s">
        <v>80</v>
      </c>
      <c r="G50" s="56" t="s">
        <v>216</v>
      </c>
      <c r="H50" s="56"/>
      <c r="I50" s="56"/>
      <c r="J50" s="56"/>
      <c r="K50" s="56"/>
      <c r="S50" s="59"/>
    </row>
    <row r="51" spans="1:19" ht="25.5" x14ac:dyDescent="0.2">
      <c r="A51">
        <v>42</v>
      </c>
      <c r="B51" s="60">
        <v>37392</v>
      </c>
      <c r="C51">
        <v>136</v>
      </c>
      <c r="D51">
        <v>20</v>
      </c>
      <c r="F51" t="s">
        <v>102</v>
      </c>
      <c r="G51" s="56" t="s">
        <v>215</v>
      </c>
      <c r="H51" s="56"/>
      <c r="I51" s="56"/>
      <c r="J51" s="56"/>
      <c r="K51" s="56"/>
      <c r="S51" s="59"/>
    </row>
    <row r="52" spans="1:19" x14ac:dyDescent="0.2">
      <c r="A52">
        <v>43</v>
      </c>
      <c r="B52" s="60">
        <v>37393</v>
      </c>
      <c r="C52">
        <v>137</v>
      </c>
      <c r="D52">
        <v>20</v>
      </c>
      <c r="E52" t="s">
        <v>212</v>
      </c>
      <c r="F52" t="s">
        <v>80</v>
      </c>
      <c r="G52" s="56" t="s">
        <v>214</v>
      </c>
      <c r="H52" s="56"/>
      <c r="I52" s="56"/>
      <c r="J52" s="56"/>
      <c r="K52" s="56"/>
      <c r="S52" s="59"/>
    </row>
    <row r="53" spans="1:19" x14ac:dyDescent="0.2">
      <c r="A53">
        <v>43</v>
      </c>
      <c r="B53" s="60">
        <v>37393</v>
      </c>
      <c r="C53">
        <v>137</v>
      </c>
      <c r="D53">
        <v>20</v>
      </c>
      <c r="E53" t="s">
        <v>212</v>
      </c>
      <c r="F53" t="s">
        <v>78</v>
      </c>
      <c r="G53" s="56" t="s">
        <v>213</v>
      </c>
      <c r="H53" s="56"/>
      <c r="I53" s="56"/>
      <c r="J53" s="56"/>
      <c r="K53" s="56"/>
      <c r="S53" s="59"/>
    </row>
    <row r="54" spans="1:19" x14ac:dyDescent="0.2">
      <c r="A54">
        <v>43</v>
      </c>
      <c r="B54" s="60">
        <v>37393</v>
      </c>
      <c r="C54">
        <v>137</v>
      </c>
      <c r="D54">
        <v>20</v>
      </c>
      <c r="E54" t="s">
        <v>212</v>
      </c>
      <c r="F54" t="s">
        <v>80</v>
      </c>
      <c r="G54" s="56" t="s">
        <v>211</v>
      </c>
      <c r="H54" s="56"/>
      <c r="I54" s="56"/>
      <c r="J54" s="56"/>
      <c r="K54" s="56"/>
      <c r="S54" s="59"/>
    </row>
    <row r="55" spans="1:19" ht="25.5" x14ac:dyDescent="0.2">
      <c r="A55">
        <v>44</v>
      </c>
      <c r="B55" s="60">
        <v>37396</v>
      </c>
      <c r="C55">
        <v>140</v>
      </c>
      <c r="D55">
        <v>21</v>
      </c>
      <c r="F55" t="s">
        <v>80</v>
      </c>
      <c r="G55" s="56" t="s">
        <v>210</v>
      </c>
      <c r="H55" s="56"/>
      <c r="I55" s="56"/>
      <c r="J55" s="56"/>
      <c r="K55" s="56"/>
      <c r="S55" s="59"/>
    </row>
    <row r="56" spans="1:19" x14ac:dyDescent="0.2">
      <c r="A56">
        <v>45</v>
      </c>
      <c r="B56" s="60">
        <v>37396</v>
      </c>
      <c r="C56">
        <v>140</v>
      </c>
      <c r="D56">
        <v>21</v>
      </c>
      <c r="F56" t="s">
        <v>94</v>
      </c>
      <c r="G56" s="56" t="s">
        <v>209</v>
      </c>
      <c r="H56" s="56"/>
      <c r="I56" s="56"/>
      <c r="J56" s="56"/>
      <c r="K56" s="56"/>
      <c r="S56" s="59"/>
    </row>
    <row r="57" spans="1:19" ht="76.5" x14ac:dyDescent="0.2">
      <c r="A57">
        <v>46</v>
      </c>
      <c r="B57" s="60">
        <v>37398</v>
      </c>
      <c r="C57">
        <v>142</v>
      </c>
      <c r="D57">
        <v>21</v>
      </c>
      <c r="E57" t="s">
        <v>82</v>
      </c>
      <c r="F57" t="s">
        <v>119</v>
      </c>
      <c r="G57" s="56" t="s">
        <v>208</v>
      </c>
      <c r="H57" s="56"/>
      <c r="I57" s="56"/>
      <c r="J57" s="56"/>
      <c r="K57" s="56"/>
      <c r="S57" s="59"/>
    </row>
    <row r="58" spans="1:19" ht="25.5" x14ac:dyDescent="0.2">
      <c r="A58">
        <v>47</v>
      </c>
      <c r="B58" s="60">
        <v>37404</v>
      </c>
      <c r="C58">
        <v>148</v>
      </c>
      <c r="D58">
        <v>22</v>
      </c>
      <c r="E58" t="s">
        <v>82</v>
      </c>
      <c r="F58" t="s">
        <v>102</v>
      </c>
      <c r="G58" s="56" t="s">
        <v>207</v>
      </c>
      <c r="H58" s="56"/>
      <c r="I58" s="56"/>
      <c r="J58" s="56"/>
      <c r="K58" s="56"/>
      <c r="S58" s="59"/>
    </row>
    <row r="59" spans="1:19" ht="51" x14ac:dyDescent="0.2">
      <c r="A59">
        <v>48</v>
      </c>
      <c r="B59" s="60">
        <v>37405</v>
      </c>
      <c r="C59">
        <v>149</v>
      </c>
      <c r="D59">
        <v>22</v>
      </c>
      <c r="E59" t="s">
        <v>82</v>
      </c>
      <c r="F59" t="s">
        <v>119</v>
      </c>
      <c r="G59" s="56" t="s">
        <v>206</v>
      </c>
      <c r="H59" s="56"/>
      <c r="I59" s="56"/>
      <c r="J59" s="56"/>
      <c r="K59" s="56"/>
      <c r="S59" s="59"/>
    </row>
    <row r="60" spans="1:19" ht="38.25" x14ac:dyDescent="0.2">
      <c r="A60">
        <v>49</v>
      </c>
      <c r="B60" s="60">
        <v>37407</v>
      </c>
      <c r="C60">
        <v>151</v>
      </c>
      <c r="D60">
        <v>22</v>
      </c>
      <c r="E60" t="s">
        <v>82</v>
      </c>
      <c r="F60" t="s">
        <v>78</v>
      </c>
      <c r="G60" s="56" t="s">
        <v>205</v>
      </c>
      <c r="H60" s="56"/>
      <c r="I60" s="56"/>
      <c r="J60" s="56"/>
      <c r="K60" s="56"/>
      <c r="S60" s="59"/>
    </row>
    <row r="61" spans="1:19" x14ac:dyDescent="0.2">
      <c r="A61">
        <v>50</v>
      </c>
      <c r="B61" s="60">
        <v>37410</v>
      </c>
      <c r="C61">
        <v>154</v>
      </c>
      <c r="D61">
        <v>23</v>
      </c>
      <c r="E61" t="s">
        <v>202</v>
      </c>
      <c r="F61" t="s">
        <v>80</v>
      </c>
      <c r="G61" s="56" t="s">
        <v>204</v>
      </c>
      <c r="H61" s="56"/>
      <c r="I61" s="56"/>
      <c r="J61" s="56"/>
      <c r="K61" s="56"/>
      <c r="S61" s="59"/>
    </row>
    <row r="62" spans="1:19" ht="25.5" x14ac:dyDescent="0.2">
      <c r="A62">
        <v>50</v>
      </c>
      <c r="B62" s="60">
        <v>37410</v>
      </c>
      <c r="C62">
        <v>154</v>
      </c>
      <c r="D62">
        <v>23</v>
      </c>
      <c r="E62" t="s">
        <v>202</v>
      </c>
      <c r="F62" t="s">
        <v>119</v>
      </c>
      <c r="G62" s="56" t="s">
        <v>203</v>
      </c>
      <c r="H62" s="56"/>
      <c r="I62" s="56"/>
      <c r="J62" s="56"/>
      <c r="K62" s="56"/>
      <c r="S62" s="59"/>
    </row>
    <row r="63" spans="1:19" x14ac:dyDescent="0.2">
      <c r="A63">
        <v>50</v>
      </c>
      <c r="B63" s="60">
        <v>37410</v>
      </c>
      <c r="C63">
        <v>154</v>
      </c>
      <c r="D63">
        <v>23</v>
      </c>
      <c r="E63" t="s">
        <v>202</v>
      </c>
      <c r="F63" t="s">
        <v>102</v>
      </c>
      <c r="G63" s="56" t="s">
        <v>201</v>
      </c>
      <c r="H63" s="56"/>
      <c r="I63" s="56"/>
      <c r="J63" s="56"/>
      <c r="K63" s="56"/>
      <c r="S63" s="59"/>
    </row>
    <row r="64" spans="1:19" ht="38.25" x14ac:dyDescent="0.2">
      <c r="A64">
        <v>51</v>
      </c>
      <c r="B64" s="60">
        <v>37413</v>
      </c>
      <c r="C64">
        <v>157</v>
      </c>
      <c r="D64">
        <v>23</v>
      </c>
      <c r="E64" t="s">
        <v>82</v>
      </c>
      <c r="F64" t="s">
        <v>78</v>
      </c>
      <c r="G64" s="56" t="s">
        <v>200</v>
      </c>
      <c r="H64" s="56"/>
      <c r="I64" s="56"/>
      <c r="J64" s="56"/>
      <c r="K64" s="56"/>
      <c r="S64" s="59"/>
    </row>
    <row r="65" spans="1:19" ht="38.25" x14ac:dyDescent="0.2">
      <c r="A65">
        <v>51</v>
      </c>
      <c r="B65" s="60">
        <v>37413</v>
      </c>
      <c r="C65">
        <v>157</v>
      </c>
      <c r="D65">
        <v>23</v>
      </c>
      <c r="E65" t="s">
        <v>82</v>
      </c>
      <c r="F65" t="s">
        <v>119</v>
      </c>
      <c r="G65" s="56" t="s">
        <v>199</v>
      </c>
      <c r="H65" s="56"/>
      <c r="I65" s="56"/>
      <c r="J65" s="56"/>
      <c r="K65" s="56"/>
      <c r="S65" s="59"/>
    </row>
    <row r="66" spans="1:19" x14ac:dyDescent="0.2">
      <c r="A66">
        <v>52</v>
      </c>
      <c r="B66" s="60">
        <v>37416</v>
      </c>
      <c r="C66">
        <v>160</v>
      </c>
      <c r="D66">
        <v>24</v>
      </c>
      <c r="E66" t="s">
        <v>108</v>
      </c>
      <c r="F66" t="s">
        <v>80</v>
      </c>
      <c r="G66" s="56" t="s">
        <v>170</v>
      </c>
      <c r="H66" s="56"/>
      <c r="I66" s="56"/>
      <c r="J66" s="56"/>
      <c r="K66" s="56"/>
      <c r="S66" s="59"/>
    </row>
    <row r="67" spans="1:19" x14ac:dyDescent="0.2">
      <c r="A67">
        <v>53</v>
      </c>
      <c r="B67" s="60">
        <v>37417</v>
      </c>
      <c r="C67">
        <v>161</v>
      </c>
      <c r="D67">
        <v>24</v>
      </c>
      <c r="F67" t="s">
        <v>141</v>
      </c>
      <c r="G67" s="56" t="s">
        <v>198</v>
      </c>
      <c r="H67" s="56"/>
      <c r="I67" s="56"/>
      <c r="J67" s="56"/>
      <c r="K67" s="56"/>
      <c r="S67" s="59"/>
    </row>
    <row r="68" spans="1:19" ht="51" x14ac:dyDescent="0.2">
      <c r="A68">
        <v>54</v>
      </c>
      <c r="B68" s="60">
        <v>37418</v>
      </c>
      <c r="C68">
        <v>162</v>
      </c>
      <c r="D68">
        <v>24</v>
      </c>
      <c r="F68" t="s">
        <v>80</v>
      </c>
      <c r="G68" s="56" t="s">
        <v>197</v>
      </c>
      <c r="H68" s="56"/>
      <c r="I68" s="56"/>
      <c r="J68" s="56"/>
      <c r="K68" s="56"/>
      <c r="S68" s="59"/>
    </row>
    <row r="69" spans="1:19" ht="25.5" x14ac:dyDescent="0.2">
      <c r="A69">
        <v>55</v>
      </c>
      <c r="B69" s="60">
        <v>37418</v>
      </c>
      <c r="C69">
        <v>162</v>
      </c>
      <c r="D69">
        <v>25</v>
      </c>
      <c r="F69" t="s">
        <v>102</v>
      </c>
      <c r="G69" s="56" t="s">
        <v>196</v>
      </c>
      <c r="H69" s="56"/>
      <c r="I69" s="56"/>
      <c r="J69" s="56"/>
      <c r="K69" s="56"/>
      <c r="S69" s="59"/>
    </row>
    <row r="70" spans="1:19" ht="63.75" x14ac:dyDescent="0.2">
      <c r="A70">
        <v>56</v>
      </c>
      <c r="B70" s="60">
        <v>37419</v>
      </c>
      <c r="C70">
        <v>163</v>
      </c>
      <c r="D70">
        <v>25</v>
      </c>
      <c r="E70" t="s">
        <v>82</v>
      </c>
      <c r="F70" t="s">
        <v>80</v>
      </c>
      <c r="G70" s="62" t="s">
        <v>195</v>
      </c>
      <c r="H70" s="56"/>
      <c r="I70" s="56"/>
      <c r="J70" s="56"/>
      <c r="K70" s="56"/>
      <c r="S70" s="59"/>
    </row>
    <row r="71" spans="1:19" ht="38.25" x14ac:dyDescent="0.2">
      <c r="A71">
        <v>57</v>
      </c>
      <c r="B71" s="60">
        <v>37419</v>
      </c>
      <c r="C71">
        <v>163</v>
      </c>
      <c r="D71">
        <v>25</v>
      </c>
      <c r="E71" t="s">
        <v>103</v>
      </c>
      <c r="F71" t="s">
        <v>80</v>
      </c>
      <c r="G71" s="56" t="s">
        <v>194</v>
      </c>
      <c r="H71" s="56"/>
      <c r="I71" s="56"/>
      <c r="J71" s="56"/>
      <c r="K71" s="56"/>
      <c r="S71" s="59"/>
    </row>
    <row r="72" spans="1:19" x14ac:dyDescent="0.2">
      <c r="A72">
        <v>58</v>
      </c>
      <c r="B72" s="60">
        <v>37419</v>
      </c>
      <c r="C72">
        <v>163</v>
      </c>
      <c r="D72">
        <v>26</v>
      </c>
      <c r="F72" t="s">
        <v>94</v>
      </c>
      <c r="G72" s="56" t="s">
        <v>193</v>
      </c>
      <c r="H72" s="56"/>
      <c r="I72" s="56"/>
      <c r="J72" s="56"/>
      <c r="K72" s="56"/>
      <c r="S72" s="59"/>
    </row>
    <row r="73" spans="1:19" ht="25.5" x14ac:dyDescent="0.2">
      <c r="A73">
        <v>58</v>
      </c>
      <c r="B73" s="60">
        <v>37419</v>
      </c>
      <c r="C73">
        <v>163</v>
      </c>
      <c r="D73">
        <v>26</v>
      </c>
      <c r="F73" t="s">
        <v>80</v>
      </c>
      <c r="G73" s="56" t="s">
        <v>192</v>
      </c>
      <c r="H73" s="56"/>
      <c r="I73" s="56"/>
      <c r="J73" s="56"/>
      <c r="K73" s="56"/>
      <c r="S73" s="59"/>
    </row>
    <row r="74" spans="1:19" ht="38.25" x14ac:dyDescent="0.2">
      <c r="A74">
        <v>59</v>
      </c>
      <c r="B74" s="60">
        <v>37420</v>
      </c>
      <c r="C74">
        <v>164</v>
      </c>
      <c r="D74">
        <v>26</v>
      </c>
      <c r="E74" t="s">
        <v>82</v>
      </c>
      <c r="F74" t="s">
        <v>78</v>
      </c>
      <c r="G74" s="56" t="s">
        <v>191</v>
      </c>
      <c r="H74" s="56"/>
      <c r="I74" s="56"/>
      <c r="J74" s="56"/>
      <c r="K74" s="56"/>
      <c r="S74" s="59"/>
    </row>
    <row r="75" spans="1:19" ht="25.5" x14ac:dyDescent="0.2">
      <c r="A75">
        <v>59</v>
      </c>
      <c r="B75" s="60">
        <v>37420</v>
      </c>
      <c r="C75">
        <v>164</v>
      </c>
      <c r="D75">
        <v>26</v>
      </c>
      <c r="E75" t="s">
        <v>91</v>
      </c>
      <c r="F75" t="s">
        <v>80</v>
      </c>
      <c r="G75" s="56" t="s">
        <v>190</v>
      </c>
      <c r="H75" s="56"/>
      <c r="I75" s="56"/>
      <c r="J75" s="56"/>
      <c r="K75" s="56"/>
      <c r="S75" s="59"/>
    </row>
    <row r="76" spans="1:19" ht="38.25" x14ac:dyDescent="0.2">
      <c r="A76">
        <v>60</v>
      </c>
      <c r="B76" s="60">
        <v>37421</v>
      </c>
      <c r="C76">
        <v>165</v>
      </c>
      <c r="D76">
        <v>26</v>
      </c>
      <c r="E76" t="s">
        <v>89</v>
      </c>
      <c r="F76" t="s">
        <v>80</v>
      </c>
      <c r="G76" s="56" t="s">
        <v>189</v>
      </c>
      <c r="H76" s="56"/>
      <c r="I76" s="56"/>
      <c r="J76" s="56"/>
      <c r="K76" s="56"/>
      <c r="S76" s="59"/>
    </row>
    <row r="77" spans="1:19" ht="51" x14ac:dyDescent="0.2">
      <c r="A77">
        <v>61</v>
      </c>
      <c r="B77" s="60">
        <v>37421</v>
      </c>
      <c r="C77">
        <v>165</v>
      </c>
      <c r="D77">
        <v>27</v>
      </c>
      <c r="E77" t="s">
        <v>187</v>
      </c>
      <c r="F77" t="s">
        <v>78</v>
      </c>
      <c r="G77" s="56" t="s">
        <v>188</v>
      </c>
      <c r="H77" s="56"/>
      <c r="I77" s="56"/>
      <c r="J77" s="56"/>
      <c r="K77" s="56"/>
      <c r="S77" s="59"/>
    </row>
    <row r="78" spans="1:19" ht="38.25" x14ac:dyDescent="0.2">
      <c r="A78">
        <v>62</v>
      </c>
      <c r="B78" s="60">
        <v>37422</v>
      </c>
      <c r="C78">
        <v>166</v>
      </c>
      <c r="D78">
        <v>27</v>
      </c>
      <c r="E78" t="s">
        <v>187</v>
      </c>
      <c r="F78" t="s">
        <v>78</v>
      </c>
      <c r="G78" s="56" t="s">
        <v>186</v>
      </c>
      <c r="H78" s="56"/>
      <c r="I78" s="56"/>
      <c r="J78" s="56"/>
      <c r="K78" s="56"/>
      <c r="S78" s="59"/>
    </row>
    <row r="79" spans="1:19" ht="63.75" x14ac:dyDescent="0.2">
      <c r="A79">
        <v>63</v>
      </c>
      <c r="B79" s="60">
        <v>37423</v>
      </c>
      <c r="C79">
        <v>167</v>
      </c>
      <c r="D79">
        <v>27</v>
      </c>
      <c r="E79" t="s">
        <v>152</v>
      </c>
      <c r="F79" t="s">
        <v>141</v>
      </c>
      <c r="G79" s="56" t="s">
        <v>185</v>
      </c>
      <c r="H79" s="56"/>
      <c r="I79" s="56"/>
      <c r="J79" s="56"/>
      <c r="K79" s="56"/>
      <c r="S79" s="59"/>
    </row>
    <row r="80" spans="1:19" x14ac:dyDescent="0.2">
      <c r="A80">
        <v>64</v>
      </c>
      <c r="B80" s="60">
        <v>37423</v>
      </c>
      <c r="C80">
        <v>167</v>
      </c>
      <c r="D80">
        <v>27</v>
      </c>
      <c r="E80" t="s">
        <v>152</v>
      </c>
      <c r="F80" t="s">
        <v>102</v>
      </c>
      <c r="G80" s="56" t="s">
        <v>184</v>
      </c>
      <c r="H80" s="56"/>
      <c r="I80" s="56"/>
      <c r="J80" s="56"/>
      <c r="K80" s="56"/>
      <c r="S80" s="59"/>
    </row>
    <row r="81" spans="1:19" ht="38.25" x14ac:dyDescent="0.2">
      <c r="A81">
        <v>65</v>
      </c>
      <c r="B81" s="60">
        <v>37423</v>
      </c>
      <c r="C81">
        <v>167</v>
      </c>
      <c r="D81">
        <v>28</v>
      </c>
      <c r="E81" t="s">
        <v>152</v>
      </c>
      <c r="F81" t="s">
        <v>80</v>
      </c>
      <c r="G81" s="56" t="s">
        <v>183</v>
      </c>
      <c r="H81" s="56"/>
      <c r="I81" s="56"/>
      <c r="J81" s="56"/>
      <c r="K81" s="56"/>
      <c r="S81" s="59"/>
    </row>
    <row r="82" spans="1:19" ht="63.75" x14ac:dyDescent="0.2">
      <c r="A82">
        <v>66</v>
      </c>
      <c r="B82" s="60">
        <v>37424</v>
      </c>
      <c r="C82">
        <v>168</v>
      </c>
      <c r="D82">
        <v>28</v>
      </c>
      <c r="E82" t="s">
        <v>84</v>
      </c>
      <c r="F82" t="s">
        <v>80</v>
      </c>
      <c r="G82" s="56" t="s">
        <v>182</v>
      </c>
      <c r="H82" s="56"/>
      <c r="I82" s="56"/>
      <c r="J82" s="56"/>
      <c r="K82" s="56"/>
      <c r="S82" s="59"/>
    </row>
    <row r="83" spans="1:19" ht="25.5" x14ac:dyDescent="0.2">
      <c r="A83">
        <v>67</v>
      </c>
      <c r="B83" s="60">
        <v>37424</v>
      </c>
      <c r="C83">
        <v>168</v>
      </c>
      <c r="D83">
        <v>28</v>
      </c>
      <c r="E83" t="s">
        <v>84</v>
      </c>
      <c r="F83" t="s">
        <v>78</v>
      </c>
      <c r="G83" s="56" t="s">
        <v>181</v>
      </c>
      <c r="H83" s="56"/>
      <c r="I83" s="56"/>
      <c r="J83" s="56"/>
      <c r="K83" s="56"/>
      <c r="S83" s="59"/>
    </row>
    <row r="84" spans="1:19" ht="25.5" x14ac:dyDescent="0.2">
      <c r="A84">
        <v>68</v>
      </c>
      <c r="B84" s="60">
        <v>37424</v>
      </c>
      <c r="C84">
        <v>168</v>
      </c>
      <c r="D84">
        <v>28</v>
      </c>
      <c r="F84" t="s">
        <v>80</v>
      </c>
      <c r="G84" s="56" t="s">
        <v>180</v>
      </c>
      <c r="H84" s="56"/>
      <c r="I84" s="56"/>
      <c r="J84" s="56"/>
      <c r="K84" s="56"/>
      <c r="S84" s="59"/>
    </row>
    <row r="85" spans="1:19" ht="25.5" x14ac:dyDescent="0.2">
      <c r="A85">
        <v>69</v>
      </c>
      <c r="B85" s="60">
        <v>37424</v>
      </c>
      <c r="C85">
        <v>168</v>
      </c>
      <c r="D85">
        <v>28</v>
      </c>
      <c r="F85" t="s">
        <v>130</v>
      </c>
      <c r="G85" s="56" t="s">
        <v>179</v>
      </c>
      <c r="H85" s="56"/>
      <c r="I85" s="56"/>
      <c r="J85" s="56"/>
      <c r="K85" s="56"/>
      <c r="S85" s="59"/>
    </row>
    <row r="86" spans="1:19" ht="38.25" x14ac:dyDescent="0.2">
      <c r="A86">
        <v>70</v>
      </c>
      <c r="B86" s="60">
        <v>37424</v>
      </c>
      <c r="C86">
        <v>168</v>
      </c>
      <c r="D86">
        <v>29</v>
      </c>
      <c r="F86" t="s">
        <v>119</v>
      </c>
      <c r="G86" s="56" t="s">
        <v>178</v>
      </c>
      <c r="H86" s="56"/>
      <c r="I86" s="56"/>
      <c r="J86" s="56"/>
      <c r="K86" s="56"/>
      <c r="S86" s="59"/>
    </row>
    <row r="87" spans="1:19" x14ac:dyDescent="0.2">
      <c r="A87">
        <v>71</v>
      </c>
      <c r="B87" s="60">
        <v>37425</v>
      </c>
      <c r="C87">
        <v>169</v>
      </c>
      <c r="D87">
        <v>30</v>
      </c>
      <c r="F87" t="s">
        <v>80</v>
      </c>
      <c r="G87" s="56" t="s">
        <v>177</v>
      </c>
      <c r="H87" s="56"/>
      <c r="I87" s="56"/>
      <c r="J87" s="56"/>
      <c r="K87" s="56"/>
      <c r="S87" s="59"/>
    </row>
    <row r="88" spans="1:19" ht="51" x14ac:dyDescent="0.2">
      <c r="A88">
        <v>72</v>
      </c>
      <c r="B88" s="60">
        <v>37426</v>
      </c>
      <c r="C88">
        <v>170</v>
      </c>
      <c r="D88">
        <v>30</v>
      </c>
      <c r="F88" t="s">
        <v>80</v>
      </c>
      <c r="G88" s="56" t="s">
        <v>176</v>
      </c>
      <c r="H88" s="56"/>
      <c r="I88" s="56"/>
      <c r="J88" s="56"/>
      <c r="K88" s="56"/>
      <c r="S88" s="59"/>
    </row>
    <row r="89" spans="1:19" ht="25.5" x14ac:dyDescent="0.2">
      <c r="A89">
        <v>73</v>
      </c>
      <c r="B89" s="60">
        <v>37426</v>
      </c>
      <c r="C89">
        <v>170</v>
      </c>
      <c r="D89">
        <v>30</v>
      </c>
      <c r="E89" t="s">
        <v>152</v>
      </c>
      <c r="F89" t="s">
        <v>80</v>
      </c>
      <c r="G89" s="56" t="s">
        <v>175</v>
      </c>
      <c r="H89" s="56"/>
      <c r="I89" s="56"/>
      <c r="J89" s="56"/>
      <c r="K89" s="56"/>
      <c r="S89" s="59"/>
    </row>
    <row r="90" spans="1:19" x14ac:dyDescent="0.2">
      <c r="A90">
        <v>74</v>
      </c>
      <c r="B90" s="60">
        <v>37427</v>
      </c>
      <c r="C90">
        <v>171</v>
      </c>
      <c r="D90">
        <v>31</v>
      </c>
      <c r="F90" t="s">
        <v>80</v>
      </c>
      <c r="G90" s="56" t="s">
        <v>174</v>
      </c>
      <c r="H90" s="56"/>
      <c r="I90" s="56"/>
      <c r="J90" s="56"/>
      <c r="K90" s="56"/>
      <c r="S90" s="59"/>
    </row>
    <row r="91" spans="1:19" ht="25.5" x14ac:dyDescent="0.2">
      <c r="A91">
        <v>75</v>
      </c>
      <c r="B91" s="60">
        <v>37428</v>
      </c>
      <c r="C91">
        <v>172</v>
      </c>
      <c r="D91">
        <v>31</v>
      </c>
      <c r="E91" t="s">
        <v>152</v>
      </c>
      <c r="F91" t="s">
        <v>80</v>
      </c>
      <c r="G91" s="56" t="s">
        <v>173</v>
      </c>
      <c r="H91" s="56"/>
      <c r="I91" s="56"/>
      <c r="J91" s="56"/>
      <c r="K91" s="56"/>
      <c r="S91" s="59"/>
    </row>
    <row r="92" spans="1:19" ht="63.75" x14ac:dyDescent="0.2">
      <c r="A92">
        <v>76</v>
      </c>
      <c r="B92" s="60">
        <v>37428</v>
      </c>
      <c r="C92">
        <v>172</v>
      </c>
      <c r="D92">
        <v>31</v>
      </c>
      <c r="E92" t="s">
        <v>152</v>
      </c>
      <c r="F92" t="s">
        <v>102</v>
      </c>
      <c r="G92" s="56" t="s">
        <v>172</v>
      </c>
      <c r="H92" s="56"/>
      <c r="I92" s="56"/>
      <c r="J92" s="56"/>
      <c r="K92" s="56"/>
      <c r="S92" s="59"/>
    </row>
    <row r="93" spans="1:19" ht="38.25" x14ac:dyDescent="0.2">
      <c r="A93">
        <v>77</v>
      </c>
      <c r="B93" s="60">
        <v>37428</v>
      </c>
      <c r="C93">
        <v>172</v>
      </c>
      <c r="D93">
        <v>32</v>
      </c>
      <c r="E93" t="s">
        <v>82</v>
      </c>
      <c r="F93" t="s">
        <v>78</v>
      </c>
      <c r="G93" s="56" t="s">
        <v>171</v>
      </c>
      <c r="H93" s="56"/>
      <c r="I93" s="56"/>
      <c r="J93" s="56"/>
      <c r="K93" s="56"/>
      <c r="S93" s="59"/>
    </row>
    <row r="94" spans="1:19" x14ac:dyDescent="0.2">
      <c r="A94">
        <v>78</v>
      </c>
      <c r="B94" s="60">
        <v>37428</v>
      </c>
      <c r="C94">
        <v>172</v>
      </c>
      <c r="D94">
        <v>32</v>
      </c>
      <c r="E94" t="s">
        <v>108</v>
      </c>
      <c r="F94" t="s">
        <v>80</v>
      </c>
      <c r="G94" s="56" t="s">
        <v>170</v>
      </c>
      <c r="H94" s="56"/>
      <c r="I94" s="56"/>
      <c r="J94" s="56"/>
      <c r="K94" s="56"/>
      <c r="S94" s="59"/>
    </row>
    <row r="95" spans="1:19" ht="63.75" x14ac:dyDescent="0.2">
      <c r="A95">
        <v>79</v>
      </c>
      <c r="B95" s="60">
        <v>37428</v>
      </c>
      <c r="C95">
        <v>172</v>
      </c>
      <c r="D95">
        <v>33</v>
      </c>
      <c r="E95" t="s">
        <v>82</v>
      </c>
      <c r="F95" t="s">
        <v>119</v>
      </c>
      <c r="G95" s="56" t="s">
        <v>169</v>
      </c>
      <c r="H95" s="56"/>
      <c r="I95" s="56"/>
      <c r="J95" s="56"/>
      <c r="K95" s="56"/>
      <c r="S95" s="59"/>
    </row>
    <row r="96" spans="1:19" ht="63.75" x14ac:dyDescent="0.2">
      <c r="A96">
        <v>80</v>
      </c>
      <c r="B96" s="60">
        <v>37431</v>
      </c>
      <c r="C96">
        <v>175</v>
      </c>
      <c r="D96">
        <v>33</v>
      </c>
      <c r="E96" t="s">
        <v>82</v>
      </c>
      <c r="F96" t="s">
        <v>102</v>
      </c>
      <c r="G96" s="56" t="s">
        <v>168</v>
      </c>
      <c r="H96" s="56"/>
      <c r="I96" s="56"/>
      <c r="J96" s="56"/>
      <c r="K96" s="56"/>
      <c r="S96" s="59"/>
    </row>
    <row r="97" spans="1:19" ht="25.5" x14ac:dyDescent="0.2">
      <c r="A97">
        <v>81</v>
      </c>
      <c r="B97" s="60">
        <v>37431</v>
      </c>
      <c r="C97">
        <v>175</v>
      </c>
      <c r="D97">
        <v>33</v>
      </c>
      <c r="F97" t="s">
        <v>80</v>
      </c>
      <c r="G97" s="56" t="s">
        <v>167</v>
      </c>
      <c r="H97" s="56"/>
      <c r="I97" s="56"/>
      <c r="J97" s="56"/>
      <c r="K97" s="56"/>
      <c r="S97" s="59"/>
    </row>
    <row r="98" spans="1:19" ht="76.5" x14ac:dyDescent="0.2">
      <c r="A98">
        <v>82</v>
      </c>
      <c r="B98" s="60">
        <v>37431</v>
      </c>
      <c r="C98">
        <v>175</v>
      </c>
      <c r="D98">
        <v>34</v>
      </c>
      <c r="F98" t="s">
        <v>78</v>
      </c>
      <c r="G98" s="56" t="s">
        <v>166</v>
      </c>
      <c r="H98" s="56"/>
      <c r="I98" s="56"/>
      <c r="J98" s="56"/>
      <c r="K98" s="56"/>
      <c r="S98" s="59"/>
    </row>
    <row r="99" spans="1:19" ht="51" x14ac:dyDescent="0.2">
      <c r="A99">
        <v>83</v>
      </c>
      <c r="B99" s="60">
        <v>37431</v>
      </c>
      <c r="C99">
        <v>175</v>
      </c>
      <c r="D99">
        <v>34</v>
      </c>
      <c r="F99" t="s">
        <v>119</v>
      </c>
      <c r="G99" s="56" t="s">
        <v>165</v>
      </c>
      <c r="H99" s="56"/>
      <c r="I99" s="56"/>
      <c r="J99" s="56"/>
      <c r="K99" s="56"/>
      <c r="S99" s="59"/>
    </row>
    <row r="100" spans="1:19" ht="89.25" x14ac:dyDescent="0.2">
      <c r="A100">
        <v>84</v>
      </c>
      <c r="B100" s="60">
        <v>37432</v>
      </c>
      <c r="C100">
        <v>176</v>
      </c>
      <c r="D100">
        <v>35</v>
      </c>
      <c r="E100" t="s">
        <v>84</v>
      </c>
      <c r="F100" t="s">
        <v>94</v>
      </c>
      <c r="G100" s="56" t="s">
        <v>164</v>
      </c>
      <c r="H100" s="56"/>
      <c r="I100" s="56"/>
      <c r="J100" s="56"/>
      <c r="K100" s="56"/>
      <c r="S100" s="59"/>
    </row>
    <row r="101" spans="1:19" ht="51" x14ac:dyDescent="0.2">
      <c r="A101">
        <v>85</v>
      </c>
      <c r="B101" s="60">
        <v>37432</v>
      </c>
      <c r="C101">
        <v>176</v>
      </c>
      <c r="D101">
        <v>35</v>
      </c>
      <c r="E101" t="s">
        <v>152</v>
      </c>
      <c r="F101" t="s">
        <v>78</v>
      </c>
      <c r="G101" s="56" t="s">
        <v>163</v>
      </c>
      <c r="H101" s="56"/>
      <c r="I101" s="56"/>
      <c r="J101" s="56"/>
      <c r="K101" s="56"/>
      <c r="S101" s="59"/>
    </row>
    <row r="102" spans="1:19" ht="25.5" x14ac:dyDescent="0.2">
      <c r="A102">
        <v>86</v>
      </c>
      <c r="B102" s="60">
        <v>37432</v>
      </c>
      <c r="C102">
        <v>176</v>
      </c>
      <c r="D102">
        <v>35</v>
      </c>
      <c r="E102" t="s">
        <v>82</v>
      </c>
      <c r="F102" t="s">
        <v>141</v>
      </c>
      <c r="G102" s="56" t="s">
        <v>162</v>
      </c>
      <c r="H102" s="56"/>
      <c r="I102" s="56"/>
      <c r="J102" s="56"/>
      <c r="K102" s="56"/>
      <c r="S102" s="59"/>
    </row>
    <row r="103" spans="1:19" ht="25.5" x14ac:dyDescent="0.2">
      <c r="A103">
        <v>87</v>
      </c>
      <c r="B103" s="60">
        <v>37432</v>
      </c>
      <c r="C103">
        <v>176</v>
      </c>
      <c r="D103">
        <v>35</v>
      </c>
      <c r="E103" t="s">
        <v>152</v>
      </c>
      <c r="F103" t="s">
        <v>124</v>
      </c>
      <c r="G103" s="56" t="s">
        <v>161</v>
      </c>
      <c r="H103" s="56"/>
      <c r="I103" s="56"/>
      <c r="J103" s="56"/>
      <c r="K103" s="56"/>
      <c r="S103" s="59"/>
    </row>
    <row r="104" spans="1:19" x14ac:dyDescent="0.2">
      <c r="A104">
        <v>87</v>
      </c>
      <c r="B104" s="60">
        <v>37432</v>
      </c>
      <c r="C104">
        <v>176</v>
      </c>
      <c r="D104">
        <v>35</v>
      </c>
      <c r="E104" t="s">
        <v>82</v>
      </c>
      <c r="F104" t="s">
        <v>102</v>
      </c>
      <c r="G104" s="56" t="s">
        <v>160</v>
      </c>
      <c r="H104" s="56"/>
      <c r="I104" s="56"/>
      <c r="J104" s="56"/>
      <c r="K104" s="56"/>
      <c r="S104" s="59"/>
    </row>
    <row r="105" spans="1:19" ht="38.25" x14ac:dyDescent="0.2">
      <c r="A105">
        <v>88</v>
      </c>
      <c r="B105" s="60">
        <v>37433</v>
      </c>
      <c r="C105">
        <v>177</v>
      </c>
      <c r="D105">
        <v>36</v>
      </c>
      <c r="E105" t="s">
        <v>82</v>
      </c>
      <c r="F105" t="s">
        <v>80</v>
      </c>
      <c r="G105" s="56" t="s">
        <v>159</v>
      </c>
      <c r="H105" s="56"/>
      <c r="I105" s="56"/>
      <c r="J105" s="56"/>
      <c r="K105" s="56"/>
      <c r="S105" s="59"/>
    </row>
    <row r="106" spans="1:19" ht="38.25" x14ac:dyDescent="0.2">
      <c r="A106">
        <v>89</v>
      </c>
      <c r="B106" s="60">
        <v>37433</v>
      </c>
      <c r="C106">
        <v>177</v>
      </c>
      <c r="D106">
        <v>36</v>
      </c>
      <c r="E106" t="s">
        <v>82</v>
      </c>
      <c r="F106" t="s">
        <v>124</v>
      </c>
      <c r="G106" s="56" t="s">
        <v>158</v>
      </c>
      <c r="H106" s="56"/>
      <c r="I106" s="56"/>
      <c r="J106" s="56"/>
      <c r="K106" s="56"/>
      <c r="S106" s="59"/>
    </row>
    <row r="107" spans="1:19" x14ac:dyDescent="0.2">
      <c r="A107">
        <v>89</v>
      </c>
      <c r="B107" s="60">
        <v>37433</v>
      </c>
      <c r="C107">
        <v>177</v>
      </c>
      <c r="D107">
        <v>36</v>
      </c>
      <c r="E107" t="s">
        <v>82</v>
      </c>
      <c r="F107" t="s">
        <v>119</v>
      </c>
      <c r="G107" s="56" t="s">
        <v>157</v>
      </c>
      <c r="H107" s="56"/>
      <c r="I107" s="56"/>
      <c r="J107" s="56"/>
      <c r="K107" s="56"/>
      <c r="S107" s="59"/>
    </row>
    <row r="108" spans="1:19" ht="38.25" x14ac:dyDescent="0.2">
      <c r="A108">
        <v>90</v>
      </c>
      <c r="B108" s="60">
        <v>37434</v>
      </c>
      <c r="C108">
        <v>178</v>
      </c>
      <c r="D108">
        <v>37</v>
      </c>
      <c r="F108" t="s">
        <v>78</v>
      </c>
      <c r="G108" s="56" t="s">
        <v>156</v>
      </c>
      <c r="H108" s="56"/>
      <c r="I108" s="56"/>
      <c r="J108" s="56"/>
      <c r="K108" s="56"/>
      <c r="S108" s="59"/>
    </row>
    <row r="109" spans="1:19" ht="89.25" x14ac:dyDescent="0.2">
      <c r="A109">
        <v>91</v>
      </c>
      <c r="B109" s="60">
        <v>37434</v>
      </c>
      <c r="C109">
        <v>178</v>
      </c>
      <c r="D109">
        <v>37</v>
      </c>
      <c r="F109" t="s">
        <v>94</v>
      </c>
      <c r="G109" s="56" t="s">
        <v>155</v>
      </c>
      <c r="H109" s="56"/>
      <c r="I109" s="56"/>
      <c r="J109" s="56"/>
      <c r="K109" s="56"/>
      <c r="S109" s="59"/>
    </row>
    <row r="110" spans="1:19" x14ac:dyDescent="0.2">
      <c r="A110">
        <v>91</v>
      </c>
      <c r="B110" s="60">
        <v>37434</v>
      </c>
      <c r="C110">
        <v>178</v>
      </c>
      <c r="D110">
        <v>37</v>
      </c>
      <c r="E110" t="s">
        <v>91</v>
      </c>
      <c r="F110" t="s">
        <v>102</v>
      </c>
      <c r="G110" s="56" t="s">
        <v>154</v>
      </c>
      <c r="H110" s="56"/>
      <c r="I110" s="56"/>
      <c r="J110" s="56"/>
      <c r="K110" s="56"/>
      <c r="S110" s="59"/>
    </row>
    <row r="111" spans="1:19" x14ac:dyDescent="0.2">
      <c r="A111">
        <v>93</v>
      </c>
      <c r="B111" s="60">
        <v>37435</v>
      </c>
      <c r="C111">
        <v>179</v>
      </c>
      <c r="D111">
        <v>38</v>
      </c>
      <c r="E111" t="s">
        <v>89</v>
      </c>
      <c r="F111" t="s">
        <v>80</v>
      </c>
      <c r="G111" s="56" t="s">
        <v>153</v>
      </c>
      <c r="H111" s="56"/>
      <c r="I111" s="56"/>
      <c r="J111" s="56"/>
      <c r="K111" s="56"/>
      <c r="S111" s="59"/>
    </row>
    <row r="112" spans="1:19" ht="76.5" x14ac:dyDescent="0.2">
      <c r="A112">
        <v>94</v>
      </c>
      <c r="B112" s="60">
        <v>37436</v>
      </c>
      <c r="C112">
        <v>180</v>
      </c>
      <c r="D112">
        <v>39</v>
      </c>
      <c r="E112" t="s">
        <v>152</v>
      </c>
      <c r="F112" t="s">
        <v>80</v>
      </c>
      <c r="G112" s="56" t="s">
        <v>151</v>
      </c>
      <c r="H112" s="56"/>
      <c r="I112" s="56"/>
      <c r="J112" s="56"/>
      <c r="K112" s="56"/>
      <c r="S112" s="59"/>
    </row>
    <row r="113" spans="1:19" ht="25.5" x14ac:dyDescent="0.2">
      <c r="A113">
        <v>95</v>
      </c>
      <c r="B113" s="60">
        <v>37438</v>
      </c>
      <c r="C113">
        <v>182</v>
      </c>
      <c r="D113">
        <v>39</v>
      </c>
      <c r="E113" t="s">
        <v>89</v>
      </c>
      <c r="F113" t="s">
        <v>80</v>
      </c>
      <c r="G113" s="56" t="s">
        <v>150</v>
      </c>
      <c r="H113" s="56"/>
      <c r="I113" s="56"/>
      <c r="J113" s="56"/>
      <c r="K113" s="56"/>
      <c r="S113" s="59"/>
    </row>
    <row r="114" spans="1:19" ht="38.25" x14ac:dyDescent="0.2">
      <c r="A114">
        <v>95</v>
      </c>
      <c r="B114" s="60">
        <v>37438</v>
      </c>
      <c r="C114">
        <v>182</v>
      </c>
      <c r="D114">
        <v>39</v>
      </c>
      <c r="E114" t="s">
        <v>82</v>
      </c>
      <c r="F114" t="s">
        <v>119</v>
      </c>
      <c r="G114" s="56" t="s">
        <v>149</v>
      </c>
      <c r="H114" s="56"/>
      <c r="I114" s="56"/>
      <c r="J114" s="56"/>
      <c r="K114" s="56"/>
      <c r="S114" s="59"/>
    </row>
    <row r="115" spans="1:19" ht="25.5" x14ac:dyDescent="0.2">
      <c r="A115">
        <v>96</v>
      </c>
      <c r="B115" s="60">
        <v>37439</v>
      </c>
      <c r="C115">
        <v>183</v>
      </c>
      <c r="D115">
        <v>39</v>
      </c>
      <c r="E115" t="s">
        <v>89</v>
      </c>
      <c r="F115" t="s">
        <v>80</v>
      </c>
      <c r="G115" s="56" t="s">
        <v>148</v>
      </c>
      <c r="H115" s="56"/>
      <c r="I115" s="56"/>
      <c r="J115" s="56"/>
      <c r="K115" s="56"/>
      <c r="S115" s="59"/>
    </row>
    <row r="116" spans="1:19" x14ac:dyDescent="0.2">
      <c r="A116">
        <v>97</v>
      </c>
      <c r="B116" s="60">
        <v>37440</v>
      </c>
      <c r="C116">
        <v>184</v>
      </c>
      <c r="D116">
        <v>40</v>
      </c>
      <c r="E116" t="s">
        <v>89</v>
      </c>
      <c r="F116" t="s">
        <v>80</v>
      </c>
      <c r="G116" s="56" t="s">
        <v>147</v>
      </c>
      <c r="H116" s="56"/>
      <c r="I116" s="56"/>
      <c r="J116" s="56"/>
      <c r="K116" s="56"/>
      <c r="S116" s="59"/>
    </row>
    <row r="117" spans="1:19" ht="76.5" x14ac:dyDescent="0.2">
      <c r="A117">
        <v>98</v>
      </c>
      <c r="B117" s="60">
        <v>37440</v>
      </c>
      <c r="C117">
        <v>184</v>
      </c>
      <c r="D117">
        <v>40</v>
      </c>
      <c r="E117" t="s">
        <v>91</v>
      </c>
      <c r="F117" t="s">
        <v>78</v>
      </c>
      <c r="G117" s="56" t="s">
        <v>146</v>
      </c>
      <c r="H117" s="56"/>
      <c r="I117" s="56"/>
      <c r="J117" s="56"/>
      <c r="K117" s="56"/>
      <c r="S117" s="59"/>
    </row>
    <row r="118" spans="1:19" x14ac:dyDescent="0.2">
      <c r="A118">
        <v>99</v>
      </c>
      <c r="B118" s="60">
        <v>37440</v>
      </c>
      <c r="C118">
        <v>184</v>
      </c>
      <c r="D118">
        <v>41</v>
      </c>
      <c r="F118" t="s">
        <v>102</v>
      </c>
      <c r="G118" s="56" t="s">
        <v>145</v>
      </c>
      <c r="H118" s="56"/>
      <c r="I118" s="56"/>
      <c r="J118" s="56"/>
      <c r="K118" s="56"/>
      <c r="S118" s="59"/>
    </row>
    <row r="119" spans="1:19" ht="51" x14ac:dyDescent="0.2">
      <c r="A119">
        <v>100</v>
      </c>
      <c r="B119" s="60">
        <v>37441</v>
      </c>
      <c r="C119">
        <v>185</v>
      </c>
      <c r="D119">
        <v>41</v>
      </c>
      <c r="E119" t="s">
        <v>103</v>
      </c>
      <c r="F119" t="s">
        <v>78</v>
      </c>
      <c r="G119" s="56" t="s">
        <v>144</v>
      </c>
      <c r="H119" s="56"/>
      <c r="I119" s="56"/>
      <c r="J119" s="56"/>
      <c r="K119" s="56"/>
      <c r="S119" s="59"/>
    </row>
    <row r="120" spans="1:19" ht="38.25" x14ac:dyDescent="0.2">
      <c r="A120">
        <v>100</v>
      </c>
      <c r="B120" s="60">
        <v>37441</v>
      </c>
      <c r="C120">
        <v>185</v>
      </c>
      <c r="D120">
        <v>41</v>
      </c>
      <c r="E120" t="s">
        <v>103</v>
      </c>
      <c r="F120" t="s">
        <v>124</v>
      </c>
      <c r="G120" s="56" t="s">
        <v>143</v>
      </c>
      <c r="H120" s="56"/>
      <c r="I120" s="56"/>
      <c r="J120" s="56"/>
      <c r="K120" s="56"/>
      <c r="S120" s="59"/>
    </row>
    <row r="121" spans="1:19" x14ac:dyDescent="0.2">
      <c r="A121">
        <v>100</v>
      </c>
      <c r="B121" s="60">
        <v>37441</v>
      </c>
      <c r="C121">
        <v>185</v>
      </c>
      <c r="D121">
        <v>41</v>
      </c>
      <c r="F121" t="s">
        <v>102</v>
      </c>
      <c r="G121" s="56" t="s">
        <v>142</v>
      </c>
      <c r="H121" s="56"/>
      <c r="I121" s="56"/>
      <c r="J121" s="56"/>
      <c r="K121" s="56"/>
      <c r="S121" s="59"/>
    </row>
    <row r="122" spans="1:19" ht="25.5" x14ac:dyDescent="0.2">
      <c r="A122">
        <v>100</v>
      </c>
      <c r="B122" s="60">
        <v>37441</v>
      </c>
      <c r="C122">
        <v>185</v>
      </c>
      <c r="D122">
        <v>41</v>
      </c>
      <c r="F122" t="s">
        <v>141</v>
      </c>
      <c r="G122" s="56" t="s">
        <v>140</v>
      </c>
      <c r="H122" s="56"/>
      <c r="I122" s="56"/>
      <c r="J122" s="56"/>
      <c r="K122" s="56"/>
      <c r="S122" s="59"/>
    </row>
    <row r="123" spans="1:19" ht="38.25" x14ac:dyDescent="0.2">
      <c r="A123">
        <v>100</v>
      </c>
      <c r="B123" s="60">
        <v>37441</v>
      </c>
      <c r="C123">
        <v>185</v>
      </c>
      <c r="D123">
        <v>42</v>
      </c>
      <c r="F123" t="s">
        <v>78</v>
      </c>
      <c r="G123" s="56" t="s">
        <v>139</v>
      </c>
      <c r="H123" s="56"/>
      <c r="I123" s="56"/>
      <c r="J123" s="56"/>
      <c r="K123" s="56"/>
      <c r="S123" s="59"/>
    </row>
    <row r="124" spans="1:19" ht="51" x14ac:dyDescent="0.2">
      <c r="A124">
        <v>100</v>
      </c>
      <c r="B124" s="60">
        <v>37441</v>
      </c>
      <c r="C124">
        <v>185</v>
      </c>
      <c r="D124">
        <v>42</v>
      </c>
      <c r="E124" t="s">
        <v>103</v>
      </c>
      <c r="F124" t="s">
        <v>80</v>
      </c>
      <c r="G124" s="56" t="s">
        <v>138</v>
      </c>
      <c r="H124" s="56"/>
      <c r="I124" s="56"/>
      <c r="J124" s="56"/>
      <c r="K124" s="56"/>
      <c r="S124" s="59"/>
    </row>
    <row r="125" spans="1:19" ht="89.25" x14ac:dyDescent="0.2">
      <c r="A125">
        <v>100</v>
      </c>
      <c r="B125" s="60">
        <v>37441</v>
      </c>
      <c r="C125">
        <v>185</v>
      </c>
      <c r="D125">
        <v>42</v>
      </c>
      <c r="E125" t="s">
        <v>82</v>
      </c>
      <c r="F125" t="s">
        <v>119</v>
      </c>
      <c r="G125" s="56" t="s">
        <v>137</v>
      </c>
      <c r="H125" s="56"/>
      <c r="I125" s="56"/>
      <c r="J125" s="56"/>
      <c r="K125" s="56"/>
      <c r="S125" s="59"/>
    </row>
    <row r="126" spans="1:19" x14ac:dyDescent="0.2">
      <c r="A126">
        <v>101</v>
      </c>
      <c r="B126" s="60">
        <v>37442</v>
      </c>
      <c r="C126">
        <v>186</v>
      </c>
      <c r="D126">
        <v>43</v>
      </c>
      <c r="F126" t="s">
        <v>80</v>
      </c>
      <c r="G126" s="56" t="s">
        <v>136</v>
      </c>
      <c r="H126" s="56"/>
      <c r="I126" s="56"/>
      <c r="J126" s="56"/>
      <c r="K126" s="56"/>
      <c r="S126" s="59"/>
    </row>
    <row r="127" spans="1:19" ht="38.25" x14ac:dyDescent="0.2">
      <c r="A127">
        <v>101</v>
      </c>
      <c r="B127" s="60">
        <v>37442</v>
      </c>
      <c r="C127">
        <v>186</v>
      </c>
      <c r="D127">
        <v>43</v>
      </c>
      <c r="F127" t="s">
        <v>78</v>
      </c>
      <c r="G127" s="56" t="s">
        <v>135</v>
      </c>
      <c r="H127" s="56"/>
      <c r="I127" s="56"/>
      <c r="J127" s="56"/>
      <c r="K127" s="56"/>
      <c r="S127" s="59"/>
    </row>
    <row r="128" spans="1:19" x14ac:dyDescent="0.2">
      <c r="A128">
        <v>101</v>
      </c>
      <c r="B128" s="60">
        <v>37442</v>
      </c>
      <c r="C128">
        <v>186</v>
      </c>
      <c r="D128">
        <v>43</v>
      </c>
      <c r="F128" t="s">
        <v>119</v>
      </c>
      <c r="G128" s="56" t="s">
        <v>134</v>
      </c>
      <c r="H128" s="56"/>
      <c r="I128" s="56"/>
      <c r="J128" s="56"/>
      <c r="K128" s="56"/>
      <c r="S128" s="59"/>
    </row>
    <row r="129" spans="1:19" ht="76.5" x14ac:dyDescent="0.2">
      <c r="A129">
        <v>102</v>
      </c>
      <c r="B129" s="60">
        <v>37443</v>
      </c>
      <c r="C129">
        <v>187</v>
      </c>
      <c r="D129">
        <v>43</v>
      </c>
      <c r="F129" t="s">
        <v>80</v>
      </c>
      <c r="G129" s="56" t="s">
        <v>133</v>
      </c>
      <c r="H129" s="56"/>
      <c r="I129" s="56"/>
      <c r="J129" s="56"/>
      <c r="K129" s="56"/>
      <c r="S129" s="59"/>
    </row>
    <row r="130" spans="1:19" ht="63.75" x14ac:dyDescent="0.2">
      <c r="A130">
        <v>103</v>
      </c>
      <c r="B130" s="60">
        <v>37444</v>
      </c>
      <c r="C130">
        <v>188</v>
      </c>
      <c r="D130">
        <v>44</v>
      </c>
      <c r="F130" t="s">
        <v>102</v>
      </c>
      <c r="G130" s="56" t="s">
        <v>132</v>
      </c>
      <c r="H130" s="56"/>
      <c r="I130" s="56"/>
      <c r="J130" s="56"/>
      <c r="K130" s="56"/>
      <c r="S130" s="59"/>
    </row>
    <row r="131" spans="1:19" ht="25.5" x14ac:dyDescent="0.2">
      <c r="A131">
        <v>104</v>
      </c>
      <c r="B131" s="60">
        <v>37445</v>
      </c>
      <c r="C131">
        <v>189</v>
      </c>
      <c r="D131">
        <v>44</v>
      </c>
      <c r="F131" t="s">
        <v>80</v>
      </c>
      <c r="G131" s="56" t="s">
        <v>131</v>
      </c>
      <c r="H131" s="56"/>
      <c r="I131" s="56"/>
      <c r="J131" s="56"/>
      <c r="K131" s="56"/>
      <c r="S131" s="59"/>
    </row>
    <row r="132" spans="1:19" ht="63.75" x14ac:dyDescent="0.2">
      <c r="A132">
        <v>105</v>
      </c>
      <c r="B132" s="60">
        <v>37445</v>
      </c>
      <c r="C132">
        <v>189</v>
      </c>
      <c r="D132">
        <v>45</v>
      </c>
      <c r="F132" t="s">
        <v>130</v>
      </c>
      <c r="G132" s="56" t="s">
        <v>129</v>
      </c>
      <c r="H132" s="56"/>
      <c r="I132" s="56"/>
      <c r="J132" s="56"/>
      <c r="K132" s="56"/>
      <c r="S132" s="59"/>
    </row>
    <row r="133" spans="1:19" ht="38.25" x14ac:dyDescent="0.2">
      <c r="A133">
        <v>105</v>
      </c>
      <c r="B133" s="60">
        <v>37445</v>
      </c>
      <c r="C133">
        <v>189</v>
      </c>
      <c r="D133">
        <v>45</v>
      </c>
      <c r="F133" t="s">
        <v>119</v>
      </c>
      <c r="G133" s="56" t="s">
        <v>128</v>
      </c>
      <c r="H133" s="56"/>
      <c r="I133" s="56"/>
      <c r="J133" s="56"/>
      <c r="K133" s="56"/>
      <c r="S133" s="59"/>
    </row>
    <row r="134" spans="1:19" ht="25.5" x14ac:dyDescent="0.2">
      <c r="A134">
        <v>106</v>
      </c>
      <c r="B134" s="60">
        <v>37446</v>
      </c>
      <c r="C134">
        <v>190</v>
      </c>
      <c r="D134">
        <v>45</v>
      </c>
      <c r="F134" t="s">
        <v>80</v>
      </c>
      <c r="G134" s="56" t="s">
        <v>127</v>
      </c>
      <c r="H134" s="56"/>
      <c r="I134" s="56"/>
      <c r="J134" s="56"/>
      <c r="K134" s="56"/>
      <c r="S134" s="59"/>
    </row>
    <row r="135" spans="1:19" x14ac:dyDescent="0.2">
      <c r="A135">
        <v>107</v>
      </c>
      <c r="B135" s="60">
        <v>37447</v>
      </c>
      <c r="C135">
        <v>191</v>
      </c>
      <c r="D135">
        <v>46</v>
      </c>
      <c r="E135" t="s">
        <v>89</v>
      </c>
      <c r="F135" t="s">
        <v>80</v>
      </c>
      <c r="G135" s="56" t="s">
        <v>126</v>
      </c>
      <c r="H135" s="56"/>
      <c r="I135" s="56"/>
      <c r="J135" s="56"/>
      <c r="K135" s="56"/>
      <c r="S135" s="59"/>
    </row>
    <row r="136" spans="1:19" x14ac:dyDescent="0.2">
      <c r="A136">
        <v>107</v>
      </c>
      <c r="B136" s="60">
        <v>37447</v>
      </c>
      <c r="C136">
        <v>191</v>
      </c>
      <c r="D136">
        <v>46</v>
      </c>
      <c r="F136" t="s">
        <v>94</v>
      </c>
      <c r="G136" s="56" t="s">
        <v>125</v>
      </c>
      <c r="H136" s="56"/>
      <c r="I136" s="56"/>
      <c r="J136" s="56"/>
      <c r="K136" s="56"/>
      <c r="S136" s="59"/>
    </row>
    <row r="137" spans="1:19" ht="25.5" x14ac:dyDescent="0.2">
      <c r="A137">
        <v>107</v>
      </c>
      <c r="B137" s="60">
        <v>37447</v>
      </c>
      <c r="C137">
        <v>191</v>
      </c>
      <c r="D137">
        <v>46</v>
      </c>
      <c r="F137" t="s">
        <v>124</v>
      </c>
      <c r="G137" s="61" t="s">
        <v>123</v>
      </c>
      <c r="H137" s="56"/>
      <c r="I137" s="56"/>
      <c r="J137" s="56"/>
      <c r="K137" s="56"/>
      <c r="S137" s="59"/>
    </row>
    <row r="138" spans="1:19" ht="38.25" x14ac:dyDescent="0.2">
      <c r="A138">
        <v>107</v>
      </c>
      <c r="B138" s="60">
        <v>37447</v>
      </c>
      <c r="C138">
        <v>191</v>
      </c>
      <c r="D138">
        <v>46</v>
      </c>
      <c r="F138" t="s">
        <v>119</v>
      </c>
      <c r="G138" s="61" t="s">
        <v>122</v>
      </c>
      <c r="H138" s="56"/>
      <c r="I138" s="56"/>
      <c r="J138" s="56"/>
      <c r="K138" s="56"/>
      <c r="S138" s="59"/>
    </row>
    <row r="139" spans="1:19" ht="38.25" x14ac:dyDescent="0.2">
      <c r="A139">
        <v>107</v>
      </c>
      <c r="B139" s="60">
        <v>37447</v>
      </c>
      <c r="C139">
        <v>191</v>
      </c>
      <c r="D139">
        <v>46</v>
      </c>
      <c r="F139" t="s">
        <v>80</v>
      </c>
      <c r="G139" s="56" t="s">
        <v>121</v>
      </c>
      <c r="H139" s="56"/>
      <c r="I139" s="56"/>
      <c r="J139" s="56"/>
      <c r="K139" s="56"/>
      <c r="S139" s="59"/>
    </row>
    <row r="140" spans="1:19" ht="38.25" x14ac:dyDescent="0.2">
      <c r="A140">
        <v>108</v>
      </c>
      <c r="B140" s="60">
        <v>37448</v>
      </c>
      <c r="C140">
        <v>192</v>
      </c>
      <c r="D140">
        <v>46</v>
      </c>
      <c r="F140" t="s">
        <v>80</v>
      </c>
      <c r="G140" s="56" t="s">
        <v>120</v>
      </c>
      <c r="H140" s="56"/>
      <c r="I140" s="56"/>
      <c r="J140" s="56"/>
      <c r="K140" s="56"/>
      <c r="S140" s="59"/>
    </row>
    <row r="141" spans="1:19" x14ac:dyDescent="0.2">
      <c r="A141">
        <v>108</v>
      </c>
      <c r="B141" s="60">
        <v>37448</v>
      </c>
      <c r="C141">
        <v>192</v>
      </c>
      <c r="D141">
        <v>46</v>
      </c>
      <c r="E141" t="s">
        <v>91</v>
      </c>
      <c r="F141" t="s">
        <v>119</v>
      </c>
      <c r="G141" s="56" t="s">
        <v>118</v>
      </c>
      <c r="H141" s="56"/>
      <c r="I141" s="56"/>
      <c r="J141" s="56"/>
      <c r="K141" s="56"/>
      <c r="S141" s="59"/>
    </row>
    <row r="142" spans="1:19" ht="38.25" x14ac:dyDescent="0.2">
      <c r="A142">
        <v>108</v>
      </c>
      <c r="B142" s="60">
        <v>37448</v>
      </c>
      <c r="C142">
        <v>192</v>
      </c>
      <c r="D142">
        <v>47</v>
      </c>
      <c r="E142" t="s">
        <v>91</v>
      </c>
      <c r="F142" t="s">
        <v>94</v>
      </c>
      <c r="G142" s="56" t="s">
        <v>117</v>
      </c>
      <c r="H142" s="56"/>
      <c r="I142" s="56"/>
      <c r="J142" s="56"/>
      <c r="K142" s="56"/>
      <c r="S142" s="59"/>
    </row>
    <row r="143" spans="1:19" ht="25.5" x14ac:dyDescent="0.2">
      <c r="A143">
        <v>109</v>
      </c>
      <c r="B143" s="60">
        <v>37449</v>
      </c>
      <c r="C143">
        <v>193</v>
      </c>
      <c r="D143">
        <v>47</v>
      </c>
      <c r="E143" t="s">
        <v>108</v>
      </c>
      <c r="F143" t="s">
        <v>80</v>
      </c>
      <c r="G143" s="56" t="s">
        <v>116</v>
      </c>
      <c r="H143" s="56"/>
      <c r="I143" s="56"/>
      <c r="J143" s="56"/>
      <c r="K143" s="56"/>
      <c r="S143" s="59"/>
    </row>
    <row r="144" spans="1:19" ht="51" x14ac:dyDescent="0.2">
      <c r="A144">
        <v>110</v>
      </c>
      <c r="B144" s="60">
        <v>37450</v>
      </c>
      <c r="C144">
        <v>194</v>
      </c>
      <c r="D144">
        <v>47</v>
      </c>
      <c r="E144" t="s">
        <v>103</v>
      </c>
      <c r="F144" t="s">
        <v>80</v>
      </c>
      <c r="G144" s="56" t="s">
        <v>115</v>
      </c>
      <c r="H144" s="56"/>
      <c r="I144" s="56"/>
      <c r="J144" s="56"/>
      <c r="K144" s="56"/>
      <c r="S144" s="59"/>
    </row>
    <row r="145" spans="1:19" ht="51" x14ac:dyDescent="0.2">
      <c r="A145">
        <v>111</v>
      </c>
      <c r="B145" s="60">
        <v>37451</v>
      </c>
      <c r="C145">
        <v>195</v>
      </c>
      <c r="D145">
        <v>48</v>
      </c>
      <c r="E145" t="s">
        <v>91</v>
      </c>
      <c r="F145" t="s">
        <v>102</v>
      </c>
      <c r="G145" s="56" t="s">
        <v>114</v>
      </c>
      <c r="H145" s="56"/>
      <c r="I145" s="56"/>
      <c r="J145" s="56"/>
      <c r="K145" s="56"/>
      <c r="S145" s="59"/>
    </row>
    <row r="146" spans="1:19" ht="38.25" x14ac:dyDescent="0.2">
      <c r="A146">
        <v>111</v>
      </c>
      <c r="B146" s="60">
        <v>37451</v>
      </c>
      <c r="C146">
        <v>195</v>
      </c>
      <c r="D146">
        <v>48</v>
      </c>
      <c r="E146" t="s">
        <v>91</v>
      </c>
      <c r="F146" t="s">
        <v>102</v>
      </c>
      <c r="G146" s="56" t="s">
        <v>113</v>
      </c>
      <c r="H146" s="56"/>
      <c r="I146" s="56"/>
      <c r="J146" s="56"/>
      <c r="K146" s="56"/>
      <c r="S146" s="59"/>
    </row>
    <row r="147" spans="1:19" ht="38.25" x14ac:dyDescent="0.2">
      <c r="A147">
        <v>112</v>
      </c>
      <c r="B147" s="60">
        <v>37451</v>
      </c>
      <c r="C147">
        <v>195</v>
      </c>
      <c r="D147">
        <v>49</v>
      </c>
      <c r="E147" t="s">
        <v>103</v>
      </c>
      <c r="F147" t="s">
        <v>80</v>
      </c>
      <c r="G147" s="56" t="s">
        <v>112</v>
      </c>
      <c r="H147" s="56"/>
      <c r="I147" s="56"/>
      <c r="J147" s="56"/>
      <c r="K147" s="56"/>
      <c r="S147" s="59"/>
    </row>
    <row r="148" spans="1:19" ht="51" x14ac:dyDescent="0.2">
      <c r="A148">
        <v>113</v>
      </c>
      <c r="B148" s="60">
        <v>37452</v>
      </c>
      <c r="C148">
        <v>196</v>
      </c>
      <c r="D148">
        <v>50</v>
      </c>
      <c r="E148" t="s">
        <v>89</v>
      </c>
      <c r="F148" t="s">
        <v>80</v>
      </c>
      <c r="G148" s="56" t="s">
        <v>111</v>
      </c>
      <c r="H148" s="56"/>
      <c r="I148" s="56"/>
      <c r="J148" s="56"/>
      <c r="K148" s="56"/>
      <c r="S148" s="59"/>
    </row>
    <row r="149" spans="1:19" x14ac:dyDescent="0.2">
      <c r="A149">
        <v>114</v>
      </c>
      <c r="B149" s="60">
        <v>37453</v>
      </c>
      <c r="C149">
        <v>197</v>
      </c>
      <c r="D149">
        <v>51</v>
      </c>
      <c r="E149" t="s">
        <v>108</v>
      </c>
      <c r="F149" t="s">
        <v>80</v>
      </c>
      <c r="G149" s="56" t="s">
        <v>110</v>
      </c>
      <c r="H149" s="56"/>
      <c r="I149" s="56"/>
      <c r="J149" s="56"/>
      <c r="K149" s="56"/>
      <c r="S149" s="59"/>
    </row>
    <row r="150" spans="1:19" ht="25.5" x14ac:dyDescent="0.2">
      <c r="A150">
        <v>115</v>
      </c>
      <c r="B150" s="60">
        <v>37454</v>
      </c>
      <c r="C150">
        <v>198</v>
      </c>
      <c r="D150">
        <v>51</v>
      </c>
      <c r="E150" t="s">
        <v>89</v>
      </c>
      <c r="F150" t="s">
        <v>80</v>
      </c>
      <c r="G150" s="56" t="s">
        <v>109</v>
      </c>
      <c r="H150" s="56"/>
      <c r="I150" s="56"/>
      <c r="J150" s="56"/>
      <c r="K150" s="56"/>
      <c r="S150" s="59"/>
    </row>
    <row r="151" spans="1:19" ht="25.5" x14ac:dyDescent="0.2">
      <c r="A151">
        <v>116</v>
      </c>
      <c r="B151" s="60">
        <v>37455</v>
      </c>
      <c r="C151">
        <v>199</v>
      </c>
      <c r="D151">
        <v>51</v>
      </c>
      <c r="E151" t="s">
        <v>108</v>
      </c>
      <c r="F151" t="s">
        <v>80</v>
      </c>
      <c r="G151" s="56" t="s">
        <v>107</v>
      </c>
      <c r="H151" s="56"/>
      <c r="I151" s="56"/>
      <c r="J151" s="56"/>
      <c r="K151" s="56"/>
      <c r="S151" s="59"/>
    </row>
    <row r="152" spans="1:19" ht="38.25" x14ac:dyDescent="0.2">
      <c r="A152">
        <v>116</v>
      </c>
      <c r="B152" s="60">
        <v>37455</v>
      </c>
      <c r="C152">
        <v>199</v>
      </c>
      <c r="D152">
        <v>51</v>
      </c>
      <c r="F152" t="s">
        <v>78</v>
      </c>
      <c r="G152" s="56" t="s">
        <v>106</v>
      </c>
      <c r="H152" s="56"/>
      <c r="I152" s="56"/>
      <c r="J152" s="56"/>
      <c r="K152" s="56"/>
      <c r="S152" s="59"/>
    </row>
    <row r="153" spans="1:19" ht="25.5" x14ac:dyDescent="0.2">
      <c r="A153">
        <v>117</v>
      </c>
      <c r="B153" s="60">
        <v>37456</v>
      </c>
      <c r="C153">
        <v>200</v>
      </c>
      <c r="D153">
        <v>51</v>
      </c>
      <c r="F153" t="s">
        <v>80</v>
      </c>
      <c r="G153" s="56" t="s">
        <v>105</v>
      </c>
      <c r="H153" s="56"/>
      <c r="I153" s="56"/>
      <c r="J153" s="56"/>
      <c r="K153" s="56"/>
      <c r="S153" s="59"/>
    </row>
    <row r="154" spans="1:19" x14ac:dyDescent="0.2">
      <c r="A154">
        <v>118</v>
      </c>
      <c r="B154" s="60">
        <v>37457</v>
      </c>
      <c r="C154">
        <v>201</v>
      </c>
      <c r="D154">
        <v>52</v>
      </c>
      <c r="E154" t="s">
        <v>103</v>
      </c>
      <c r="F154" t="s">
        <v>80</v>
      </c>
      <c r="G154" s="56" t="s">
        <v>104</v>
      </c>
      <c r="H154" s="56"/>
      <c r="I154" s="56"/>
      <c r="J154" s="56"/>
      <c r="K154" s="56"/>
      <c r="S154" s="59"/>
    </row>
    <row r="155" spans="1:19" ht="25.5" x14ac:dyDescent="0.2">
      <c r="A155">
        <v>118</v>
      </c>
      <c r="B155" s="60">
        <v>37457</v>
      </c>
      <c r="C155">
        <v>201</v>
      </c>
      <c r="D155">
        <v>52</v>
      </c>
      <c r="E155" t="s">
        <v>103</v>
      </c>
      <c r="F155" t="s">
        <v>102</v>
      </c>
      <c r="G155" s="56" t="s">
        <v>101</v>
      </c>
      <c r="H155" s="56"/>
      <c r="I155" s="56"/>
      <c r="J155" s="56"/>
      <c r="K155" s="56"/>
      <c r="S155" s="59"/>
    </row>
    <row r="156" spans="1:19" x14ac:dyDescent="0.2">
      <c r="A156">
        <v>119</v>
      </c>
      <c r="B156" s="60">
        <v>37459</v>
      </c>
      <c r="C156">
        <v>203</v>
      </c>
      <c r="D156">
        <v>52</v>
      </c>
      <c r="F156" t="s">
        <v>80</v>
      </c>
      <c r="G156" s="56" t="s">
        <v>100</v>
      </c>
      <c r="H156" s="56"/>
      <c r="I156" s="56"/>
      <c r="J156" s="56"/>
      <c r="K156" s="56"/>
      <c r="S156" s="59"/>
    </row>
    <row r="157" spans="1:19" ht="51" x14ac:dyDescent="0.2">
      <c r="A157">
        <v>120</v>
      </c>
      <c r="B157" s="60">
        <v>37460</v>
      </c>
      <c r="C157">
        <v>204</v>
      </c>
      <c r="D157">
        <v>52</v>
      </c>
      <c r="F157" t="s">
        <v>80</v>
      </c>
      <c r="G157" s="56" t="s">
        <v>99</v>
      </c>
      <c r="H157" s="56"/>
      <c r="I157" s="56"/>
      <c r="J157" s="56"/>
      <c r="K157" s="56"/>
      <c r="S157" s="59"/>
    </row>
    <row r="158" spans="1:19" ht="25.5" x14ac:dyDescent="0.2">
      <c r="A158">
        <v>121</v>
      </c>
      <c r="B158" s="60">
        <v>37461</v>
      </c>
      <c r="C158">
        <v>205</v>
      </c>
      <c r="D158">
        <v>53</v>
      </c>
      <c r="F158" t="s">
        <v>80</v>
      </c>
      <c r="G158" s="56" t="s">
        <v>98</v>
      </c>
      <c r="H158" s="56"/>
      <c r="I158" s="56"/>
      <c r="J158" s="56"/>
      <c r="K158" s="56"/>
      <c r="S158" s="59"/>
    </row>
    <row r="159" spans="1:19" x14ac:dyDescent="0.2">
      <c r="A159">
        <v>122</v>
      </c>
      <c r="B159" s="60">
        <v>37462</v>
      </c>
      <c r="C159">
        <v>206</v>
      </c>
      <c r="D159">
        <v>53</v>
      </c>
      <c r="E159" t="s">
        <v>97</v>
      </c>
      <c r="F159" t="s">
        <v>80</v>
      </c>
      <c r="G159" s="56" t="s">
        <v>96</v>
      </c>
      <c r="H159" s="56"/>
      <c r="I159" s="56"/>
      <c r="J159" s="56"/>
      <c r="K159" s="56"/>
      <c r="S159" s="59"/>
    </row>
    <row r="160" spans="1:19" ht="51" x14ac:dyDescent="0.2">
      <c r="A160">
        <v>123</v>
      </c>
      <c r="B160" s="60">
        <v>37463</v>
      </c>
      <c r="C160">
        <v>207</v>
      </c>
      <c r="D160">
        <v>53</v>
      </c>
      <c r="E160" t="s">
        <v>95</v>
      </c>
      <c r="F160" t="s">
        <v>94</v>
      </c>
      <c r="G160" s="56" t="s">
        <v>93</v>
      </c>
      <c r="H160" s="56"/>
      <c r="I160" s="56"/>
      <c r="J160" s="56"/>
      <c r="K160" s="56"/>
      <c r="S160" s="59"/>
    </row>
    <row r="161" spans="1:19" ht="25.5" x14ac:dyDescent="0.2">
      <c r="A161">
        <v>123</v>
      </c>
      <c r="B161" s="60">
        <v>37463</v>
      </c>
      <c r="C161">
        <v>207</v>
      </c>
      <c r="D161">
        <v>53</v>
      </c>
      <c r="F161" t="s">
        <v>80</v>
      </c>
      <c r="G161" s="56" t="s">
        <v>92</v>
      </c>
      <c r="H161" s="56"/>
      <c r="I161" s="56"/>
      <c r="J161" s="56"/>
      <c r="K161" s="56"/>
      <c r="S161" s="59"/>
    </row>
    <row r="162" spans="1:19" x14ac:dyDescent="0.2">
      <c r="A162">
        <v>124</v>
      </c>
      <c r="B162" s="60">
        <v>37464</v>
      </c>
      <c r="C162">
        <v>208</v>
      </c>
      <c r="D162">
        <v>54</v>
      </c>
      <c r="E162" t="s">
        <v>91</v>
      </c>
      <c r="F162" t="s">
        <v>78</v>
      </c>
      <c r="G162" s="56" t="s">
        <v>90</v>
      </c>
      <c r="H162" s="56"/>
      <c r="I162" s="56"/>
      <c r="J162" s="56"/>
      <c r="K162" s="56"/>
      <c r="S162" s="59"/>
    </row>
    <row r="163" spans="1:19" x14ac:dyDescent="0.2">
      <c r="A163">
        <v>125</v>
      </c>
      <c r="B163" s="60">
        <v>37466</v>
      </c>
      <c r="C163">
        <v>210</v>
      </c>
      <c r="D163">
        <v>54</v>
      </c>
      <c r="E163" t="s">
        <v>89</v>
      </c>
      <c r="F163" t="s">
        <v>80</v>
      </c>
      <c r="G163" s="56" t="s">
        <v>88</v>
      </c>
      <c r="H163" s="56"/>
      <c r="I163" s="56"/>
      <c r="J163" s="56"/>
      <c r="K163" s="56"/>
      <c r="S163" s="59"/>
    </row>
    <row r="164" spans="1:19" x14ac:dyDescent="0.2">
      <c r="A164">
        <v>126</v>
      </c>
      <c r="B164" s="60">
        <v>37467</v>
      </c>
      <c r="C164">
        <v>211</v>
      </c>
      <c r="D164">
        <v>54</v>
      </c>
      <c r="E164" t="s">
        <v>87</v>
      </c>
      <c r="F164" t="s">
        <v>80</v>
      </c>
      <c r="G164" s="56" t="s">
        <v>86</v>
      </c>
      <c r="H164" s="56"/>
      <c r="I164" s="56"/>
      <c r="J164" s="56"/>
      <c r="K164" s="56"/>
      <c r="S164" s="59"/>
    </row>
    <row r="165" spans="1:19" ht="25.5" x14ac:dyDescent="0.2">
      <c r="A165">
        <v>127</v>
      </c>
      <c r="B165" s="60">
        <v>37468</v>
      </c>
      <c r="C165">
        <v>212</v>
      </c>
      <c r="D165">
        <v>54</v>
      </c>
      <c r="E165" t="s">
        <v>82</v>
      </c>
      <c r="F165" t="s">
        <v>80</v>
      </c>
      <c r="G165" s="56" t="s">
        <v>85</v>
      </c>
      <c r="H165" s="56"/>
      <c r="I165" s="56"/>
      <c r="J165" s="56"/>
      <c r="K165" s="56"/>
      <c r="S165" s="59"/>
    </row>
    <row r="166" spans="1:19" ht="51" x14ac:dyDescent="0.2">
      <c r="A166">
        <v>127</v>
      </c>
      <c r="B166" s="60">
        <v>37468</v>
      </c>
      <c r="C166">
        <v>212</v>
      </c>
      <c r="D166">
        <v>54</v>
      </c>
      <c r="E166" t="s">
        <v>84</v>
      </c>
      <c r="F166" t="s">
        <v>78</v>
      </c>
      <c r="G166" s="56" t="s">
        <v>83</v>
      </c>
      <c r="H166" s="56"/>
      <c r="I166" s="56"/>
      <c r="J166" s="56"/>
      <c r="K166" s="56"/>
      <c r="S166" s="59"/>
    </row>
    <row r="167" spans="1:19" ht="76.5" x14ac:dyDescent="0.2">
      <c r="A167">
        <v>128</v>
      </c>
      <c r="B167" s="60">
        <v>37468</v>
      </c>
      <c r="C167">
        <v>212</v>
      </c>
      <c r="D167">
        <v>54</v>
      </c>
      <c r="E167" t="s">
        <v>82</v>
      </c>
      <c r="F167" t="s">
        <v>78</v>
      </c>
      <c r="G167" s="56" t="s">
        <v>81</v>
      </c>
      <c r="H167" s="56"/>
      <c r="I167" s="56"/>
      <c r="J167" s="56"/>
      <c r="K167" s="56"/>
      <c r="S167" s="59"/>
    </row>
    <row r="168" spans="1:19" x14ac:dyDescent="0.2">
      <c r="A168">
        <v>129</v>
      </c>
      <c r="B168" s="60">
        <v>37469</v>
      </c>
      <c r="C168">
        <v>213</v>
      </c>
      <c r="D168">
        <v>55</v>
      </c>
      <c r="F168" t="s">
        <v>80</v>
      </c>
      <c r="G168" s="56" t="s">
        <v>79</v>
      </c>
      <c r="H168" s="56"/>
      <c r="I168" s="56"/>
      <c r="J168" s="56"/>
      <c r="K168" s="56"/>
      <c r="S168" s="59"/>
    </row>
    <row r="169" spans="1:19" ht="25.5" x14ac:dyDescent="0.2">
      <c r="A169">
        <v>130</v>
      </c>
      <c r="B169" s="60">
        <v>37469</v>
      </c>
      <c r="C169">
        <v>213</v>
      </c>
      <c r="D169">
        <v>55</v>
      </c>
      <c r="F169" t="s">
        <v>78</v>
      </c>
      <c r="G169" s="56" t="s">
        <v>77</v>
      </c>
      <c r="H169" s="56"/>
      <c r="I169" s="56"/>
      <c r="J169" s="56"/>
      <c r="K169" s="56"/>
      <c r="S169" s="59"/>
    </row>
    <row r="170" spans="1:19" x14ac:dyDescent="0.2">
      <c r="G170" s="56"/>
      <c r="H170" s="56"/>
      <c r="I170" s="56"/>
      <c r="J170" s="56"/>
      <c r="K170" s="56"/>
      <c r="S170" s="59"/>
    </row>
    <row r="171" spans="1:19" x14ac:dyDescent="0.2">
      <c r="G171" s="56"/>
      <c r="H171" s="56"/>
      <c r="I171" s="56"/>
      <c r="J171" s="56"/>
      <c r="K171" s="56"/>
      <c r="S171" s="59"/>
    </row>
    <row r="172" spans="1:19" x14ac:dyDescent="0.2">
      <c r="G172" s="56"/>
      <c r="H172" s="56"/>
      <c r="I172" s="56"/>
      <c r="J172" s="56"/>
      <c r="K172" s="56"/>
      <c r="S172" s="59"/>
    </row>
    <row r="173" spans="1:19" x14ac:dyDescent="0.2">
      <c r="G173" s="56"/>
      <c r="H173" s="56"/>
      <c r="I173" s="56"/>
      <c r="J173" s="56"/>
      <c r="K173" s="56"/>
      <c r="S173" s="59"/>
    </row>
    <row r="174" spans="1:19" x14ac:dyDescent="0.2">
      <c r="G174" s="56"/>
      <c r="H174" s="56"/>
      <c r="I174" s="56"/>
      <c r="J174" s="56"/>
      <c r="K174" s="56"/>
      <c r="S174" s="59"/>
    </row>
    <row r="175" spans="1:19" x14ac:dyDescent="0.2">
      <c r="G175" s="56"/>
      <c r="H175" s="56"/>
      <c r="I175" s="56"/>
      <c r="J175" s="56"/>
      <c r="K175" s="56"/>
      <c r="S175" s="59"/>
    </row>
    <row r="176" spans="1:19" x14ac:dyDescent="0.2">
      <c r="G176" s="56"/>
      <c r="H176" s="56"/>
      <c r="I176" s="56"/>
      <c r="J176" s="56"/>
      <c r="K176" s="56"/>
      <c r="S176" s="59"/>
    </row>
    <row r="177" spans="7:19" x14ac:dyDescent="0.2">
      <c r="G177" s="56"/>
      <c r="H177" s="56"/>
      <c r="I177" s="56"/>
      <c r="J177" s="56"/>
      <c r="K177" s="56"/>
      <c r="S177" s="59"/>
    </row>
    <row r="178" spans="7:19" x14ac:dyDescent="0.2">
      <c r="G178" s="56"/>
      <c r="H178" s="56"/>
      <c r="I178" s="56"/>
      <c r="J178" s="56"/>
      <c r="K178" s="56"/>
      <c r="S178" s="59"/>
    </row>
    <row r="179" spans="7:19" x14ac:dyDescent="0.2">
      <c r="G179" s="56"/>
      <c r="H179" s="56"/>
      <c r="I179" s="56"/>
      <c r="J179" s="56"/>
      <c r="K179" s="56"/>
      <c r="S179" s="59"/>
    </row>
    <row r="180" spans="7:19" x14ac:dyDescent="0.2">
      <c r="G180" s="56"/>
      <c r="H180" s="56"/>
      <c r="I180" s="56"/>
      <c r="J180" s="56"/>
      <c r="K180" s="56"/>
      <c r="S180" s="59"/>
    </row>
    <row r="181" spans="7:19" x14ac:dyDescent="0.2">
      <c r="G181" s="56"/>
      <c r="H181" s="56"/>
      <c r="I181" s="56"/>
      <c r="J181" s="56"/>
      <c r="K181" s="56"/>
      <c r="S181" s="59"/>
    </row>
    <row r="182" spans="7:19" x14ac:dyDescent="0.2">
      <c r="G182" s="56"/>
      <c r="H182" s="56"/>
      <c r="I182" s="56"/>
      <c r="J182" s="56"/>
      <c r="K182" s="56"/>
      <c r="S182" s="59"/>
    </row>
    <row r="183" spans="7:19" x14ac:dyDescent="0.2">
      <c r="G183" s="56"/>
      <c r="H183" s="56"/>
      <c r="I183" s="56"/>
      <c r="J183" s="56"/>
      <c r="K183" s="56"/>
      <c r="S183" s="59"/>
    </row>
    <row r="184" spans="7:19" x14ac:dyDescent="0.2">
      <c r="G184" s="56"/>
      <c r="H184" s="56"/>
      <c r="I184" s="56"/>
      <c r="J184" s="56"/>
      <c r="K184" s="56"/>
      <c r="S184" s="59"/>
    </row>
    <row r="185" spans="7:19" x14ac:dyDescent="0.2">
      <c r="G185" s="56"/>
      <c r="H185" s="56"/>
      <c r="I185" s="56"/>
      <c r="J185" s="56"/>
      <c r="K185" s="56"/>
      <c r="S185" s="59"/>
    </row>
    <row r="186" spans="7:19" x14ac:dyDescent="0.2">
      <c r="G186" s="56"/>
      <c r="H186" s="56"/>
      <c r="I186" s="56"/>
      <c r="J186" s="56"/>
      <c r="K186" s="56"/>
      <c r="S186" s="59"/>
    </row>
    <row r="187" spans="7:19" x14ac:dyDescent="0.2">
      <c r="G187" s="56"/>
      <c r="H187" s="56"/>
      <c r="I187" s="56"/>
      <c r="J187" s="56"/>
      <c r="K187" s="56"/>
      <c r="S187" s="59"/>
    </row>
    <row r="188" spans="7:19" x14ac:dyDescent="0.2">
      <c r="G188" s="56"/>
      <c r="H188" s="56"/>
      <c r="I188" s="56"/>
      <c r="J188" s="56"/>
      <c r="K188" s="56"/>
      <c r="S188" s="59"/>
    </row>
    <row r="189" spans="7:19" x14ac:dyDescent="0.2">
      <c r="G189" s="56"/>
      <c r="H189" s="56"/>
      <c r="I189" s="56"/>
      <c r="J189" s="56"/>
      <c r="K189" s="56"/>
      <c r="S189" s="59"/>
    </row>
    <row r="190" spans="7:19" x14ac:dyDescent="0.2">
      <c r="G190" s="56"/>
      <c r="H190" s="56"/>
      <c r="I190" s="56"/>
      <c r="J190" s="56"/>
      <c r="K190" s="56"/>
      <c r="S190" s="59"/>
    </row>
    <row r="191" spans="7:19" x14ac:dyDescent="0.2">
      <c r="G191" s="56"/>
      <c r="H191" s="56"/>
      <c r="I191" s="56"/>
      <c r="J191" s="56"/>
      <c r="K191" s="56"/>
      <c r="S191" s="59"/>
    </row>
    <row r="192" spans="7:19" x14ac:dyDescent="0.2">
      <c r="G192" s="56"/>
      <c r="H192" s="56"/>
      <c r="I192" s="56"/>
      <c r="J192" s="56"/>
      <c r="K192" s="56"/>
      <c r="S192" s="59"/>
    </row>
    <row r="193" spans="7:19" x14ac:dyDescent="0.2">
      <c r="G193" s="56"/>
      <c r="H193" s="56"/>
      <c r="I193" s="56"/>
      <c r="J193" s="56"/>
      <c r="K193" s="56"/>
      <c r="S193" s="59"/>
    </row>
    <row r="194" spans="7:19" x14ac:dyDescent="0.2">
      <c r="G194" s="56"/>
      <c r="H194" s="56"/>
      <c r="I194" s="56"/>
      <c r="J194" s="56"/>
      <c r="K194" s="56"/>
      <c r="S194" s="59"/>
    </row>
    <row r="195" spans="7:19" x14ac:dyDescent="0.2">
      <c r="G195" s="56"/>
      <c r="H195" s="56"/>
      <c r="I195" s="56"/>
      <c r="J195" s="56"/>
      <c r="K195" s="56"/>
      <c r="S195" s="59"/>
    </row>
    <row r="196" spans="7:19" x14ac:dyDescent="0.2">
      <c r="G196" s="56"/>
      <c r="H196" s="56"/>
      <c r="I196" s="56"/>
      <c r="J196" s="56"/>
      <c r="K196" s="56"/>
      <c r="S196" s="59"/>
    </row>
    <row r="197" spans="7:19" x14ac:dyDescent="0.2">
      <c r="G197" s="56"/>
      <c r="H197" s="56"/>
      <c r="I197" s="56"/>
      <c r="J197" s="56"/>
      <c r="K197" s="56"/>
      <c r="S197" s="59"/>
    </row>
    <row r="198" spans="7:19" x14ac:dyDescent="0.2">
      <c r="G198" s="56"/>
      <c r="H198" s="56"/>
      <c r="I198" s="56"/>
      <c r="J198" s="56"/>
      <c r="K198" s="56"/>
      <c r="S198" s="59"/>
    </row>
    <row r="199" spans="7:19" x14ac:dyDescent="0.2">
      <c r="G199" s="56"/>
      <c r="H199" s="56"/>
      <c r="I199" s="56"/>
      <c r="J199" s="56"/>
      <c r="K199" s="56"/>
      <c r="S199" s="59"/>
    </row>
    <row r="200" spans="7:19" x14ac:dyDescent="0.2">
      <c r="G200" s="56"/>
      <c r="H200" s="56"/>
      <c r="I200" s="56"/>
      <c r="J200" s="56"/>
      <c r="K200" s="56"/>
      <c r="S200" s="59"/>
    </row>
    <row r="201" spans="7:19" x14ac:dyDescent="0.2">
      <c r="G201" s="56"/>
      <c r="H201" s="56"/>
      <c r="I201" s="56"/>
      <c r="J201" s="56"/>
      <c r="K201" s="56"/>
      <c r="S201" s="59"/>
    </row>
    <row r="202" spans="7:19" x14ac:dyDescent="0.2">
      <c r="G202" s="56"/>
      <c r="H202" s="56"/>
      <c r="I202" s="56"/>
      <c r="J202" s="56"/>
      <c r="K202" s="56"/>
      <c r="S202" s="59"/>
    </row>
    <row r="203" spans="7:19" x14ac:dyDescent="0.2">
      <c r="G203" s="56"/>
      <c r="H203" s="56"/>
      <c r="I203" s="56"/>
      <c r="J203" s="56"/>
      <c r="K203" s="56"/>
      <c r="S203" s="59"/>
    </row>
    <row r="204" spans="7:19" x14ac:dyDescent="0.2">
      <c r="G204" s="56"/>
      <c r="H204" s="56"/>
      <c r="I204" s="56"/>
      <c r="J204" s="56"/>
      <c r="K204" s="56"/>
      <c r="S204" s="59"/>
    </row>
    <row r="205" spans="7:19" x14ac:dyDescent="0.2">
      <c r="G205" s="56"/>
      <c r="H205" s="56"/>
      <c r="I205" s="56"/>
      <c r="J205" s="56"/>
      <c r="K205" s="56"/>
      <c r="S205" s="59"/>
    </row>
    <row r="206" spans="7:19" x14ac:dyDescent="0.2">
      <c r="G206" s="56"/>
      <c r="H206" s="56"/>
      <c r="I206" s="56"/>
      <c r="J206" s="56"/>
      <c r="K206" s="56"/>
      <c r="S206" s="59"/>
    </row>
    <row r="207" spans="7:19" x14ac:dyDescent="0.2">
      <c r="G207" s="56"/>
      <c r="H207" s="56"/>
      <c r="I207" s="56"/>
      <c r="J207" s="56"/>
      <c r="K207" s="56"/>
      <c r="S207" s="59"/>
    </row>
    <row r="208" spans="7:19" x14ac:dyDescent="0.2">
      <c r="G208" s="56"/>
      <c r="H208" s="56"/>
      <c r="I208" s="56"/>
      <c r="J208" s="56"/>
      <c r="K208" s="56"/>
      <c r="S208" s="59"/>
    </row>
    <row r="209" spans="7:19" x14ac:dyDescent="0.2">
      <c r="G209" s="56"/>
      <c r="H209" s="56"/>
      <c r="I209" s="56"/>
      <c r="J209" s="56"/>
      <c r="K209" s="56"/>
      <c r="S209" s="59"/>
    </row>
    <row r="210" spans="7:19" x14ac:dyDescent="0.2">
      <c r="G210" s="56"/>
      <c r="H210" s="56"/>
      <c r="I210" s="56"/>
      <c r="J210" s="56"/>
      <c r="K210" s="56"/>
      <c r="S210" s="59"/>
    </row>
    <row r="211" spans="7:19" x14ac:dyDescent="0.2">
      <c r="G211" s="56"/>
      <c r="H211" s="56"/>
      <c r="I211" s="56"/>
      <c r="J211" s="56"/>
      <c r="K211" s="56"/>
      <c r="S211" s="59"/>
    </row>
    <row r="212" spans="7:19" x14ac:dyDescent="0.2">
      <c r="G212" s="56"/>
      <c r="H212" s="56"/>
      <c r="I212" s="56"/>
      <c r="J212" s="56"/>
      <c r="K212" s="56"/>
      <c r="S212" s="59"/>
    </row>
    <row r="213" spans="7:19" x14ac:dyDescent="0.2">
      <c r="G213" s="56"/>
      <c r="H213" s="56"/>
      <c r="I213" s="56"/>
      <c r="J213" s="56"/>
      <c r="K213" s="56"/>
      <c r="S213" s="59"/>
    </row>
    <row r="214" spans="7:19" x14ac:dyDescent="0.2">
      <c r="G214" s="56"/>
      <c r="H214" s="56"/>
      <c r="I214" s="56"/>
      <c r="J214" s="56"/>
      <c r="K214" s="56"/>
      <c r="S214" s="59"/>
    </row>
    <row r="215" spans="7:19" x14ac:dyDescent="0.2">
      <c r="G215" s="56"/>
      <c r="H215" s="56"/>
      <c r="I215" s="56"/>
      <c r="J215" s="56"/>
      <c r="K215" s="56"/>
      <c r="S215" s="59"/>
    </row>
    <row r="216" spans="7:19" x14ac:dyDescent="0.2">
      <c r="G216" s="56"/>
      <c r="H216" s="56"/>
      <c r="I216" s="56"/>
      <c r="J216" s="56"/>
      <c r="K216" s="56"/>
      <c r="S216" s="59"/>
    </row>
    <row r="217" spans="7:19" x14ac:dyDescent="0.2">
      <c r="G217" s="56"/>
      <c r="H217" s="56"/>
      <c r="I217" s="56"/>
      <c r="J217" s="56"/>
      <c r="K217" s="56"/>
      <c r="S217" s="59"/>
    </row>
    <row r="218" spans="7:19" x14ac:dyDescent="0.2">
      <c r="G218" s="56"/>
      <c r="H218" s="56"/>
      <c r="I218" s="56"/>
      <c r="J218" s="56"/>
      <c r="K218" s="56"/>
      <c r="S218" s="59"/>
    </row>
    <row r="219" spans="7:19" x14ac:dyDescent="0.2">
      <c r="G219" s="56"/>
      <c r="H219" s="56"/>
      <c r="I219" s="56"/>
      <c r="J219" s="56"/>
      <c r="K219" s="56"/>
      <c r="S219" s="59"/>
    </row>
    <row r="220" spans="7:19" x14ac:dyDescent="0.2">
      <c r="G220" s="56"/>
      <c r="H220" s="56"/>
      <c r="I220" s="56"/>
      <c r="J220" s="56"/>
      <c r="K220" s="56"/>
      <c r="S220" s="59"/>
    </row>
    <row r="221" spans="7:19" x14ac:dyDescent="0.2">
      <c r="G221" s="56"/>
      <c r="H221" s="56"/>
      <c r="I221" s="56"/>
      <c r="J221" s="56"/>
      <c r="K221" s="56"/>
      <c r="S221" s="59"/>
    </row>
    <row r="222" spans="7:19" x14ac:dyDescent="0.2">
      <c r="G222" s="56"/>
      <c r="H222" s="56"/>
      <c r="I222" s="56"/>
      <c r="J222" s="56"/>
      <c r="K222" s="56"/>
      <c r="S222" s="59"/>
    </row>
    <row r="223" spans="7:19" x14ac:dyDescent="0.2">
      <c r="G223" s="56"/>
      <c r="H223" s="56"/>
      <c r="I223" s="56"/>
      <c r="J223" s="56"/>
      <c r="K223" s="56"/>
      <c r="S223" s="59"/>
    </row>
    <row r="224" spans="7:19" x14ac:dyDescent="0.2">
      <c r="G224" s="56"/>
      <c r="H224" s="56"/>
      <c r="I224" s="56"/>
      <c r="J224" s="56"/>
      <c r="K224" s="56"/>
      <c r="S224" s="59"/>
    </row>
    <row r="225" spans="7:19" x14ac:dyDescent="0.2">
      <c r="G225" s="56"/>
      <c r="H225" s="56"/>
      <c r="I225" s="56"/>
      <c r="J225" s="56"/>
      <c r="K225" s="56"/>
      <c r="S225" s="59"/>
    </row>
    <row r="226" spans="7:19" x14ac:dyDescent="0.2">
      <c r="G226" s="56"/>
      <c r="H226" s="56"/>
      <c r="I226" s="56"/>
      <c r="J226" s="56"/>
      <c r="K226" s="56"/>
      <c r="S226" s="59"/>
    </row>
    <row r="227" spans="7:19" x14ac:dyDescent="0.2">
      <c r="G227" s="56"/>
      <c r="H227" s="56"/>
      <c r="I227" s="56"/>
      <c r="J227" s="56"/>
      <c r="K227" s="56"/>
      <c r="S227" s="59"/>
    </row>
    <row r="228" spans="7:19" x14ac:dyDescent="0.2">
      <c r="G228" s="56"/>
      <c r="H228" s="56"/>
      <c r="I228" s="56"/>
      <c r="J228" s="56"/>
      <c r="K228" s="56"/>
      <c r="S228" s="59"/>
    </row>
    <row r="229" spans="7:19" x14ac:dyDescent="0.2">
      <c r="G229" s="56"/>
      <c r="H229" s="56"/>
      <c r="I229" s="56"/>
      <c r="J229" s="56"/>
      <c r="K229" s="56"/>
      <c r="S229" s="59"/>
    </row>
    <row r="230" spans="7:19" x14ac:dyDescent="0.2">
      <c r="G230" s="56"/>
      <c r="H230" s="56"/>
      <c r="I230" s="56"/>
      <c r="J230" s="56"/>
      <c r="K230" s="56"/>
      <c r="S230" s="59"/>
    </row>
    <row r="231" spans="7:19" x14ac:dyDescent="0.2">
      <c r="G231" s="56"/>
      <c r="H231" s="56"/>
      <c r="I231" s="56"/>
      <c r="J231" s="56"/>
      <c r="K231" s="56"/>
      <c r="S231" s="59"/>
    </row>
    <row r="232" spans="7:19" x14ac:dyDescent="0.2">
      <c r="G232" s="56"/>
      <c r="H232" s="56"/>
      <c r="I232" s="56"/>
      <c r="J232" s="56"/>
      <c r="K232" s="56"/>
      <c r="S232" s="59"/>
    </row>
    <row r="233" spans="7:19" x14ac:dyDescent="0.2">
      <c r="G233" s="56"/>
      <c r="H233" s="56"/>
      <c r="I233" s="56"/>
      <c r="J233" s="56"/>
      <c r="K233" s="56"/>
      <c r="S233" s="59"/>
    </row>
    <row r="234" spans="7:19" x14ac:dyDescent="0.2">
      <c r="G234" s="56"/>
      <c r="H234" s="56"/>
      <c r="I234" s="56"/>
      <c r="J234" s="56"/>
      <c r="K234" s="56"/>
      <c r="S234" s="59"/>
    </row>
    <row r="235" spans="7:19" x14ac:dyDescent="0.2">
      <c r="G235" s="56"/>
      <c r="H235" s="56"/>
      <c r="I235" s="56"/>
      <c r="J235" s="56"/>
      <c r="K235" s="56"/>
      <c r="S235" s="59"/>
    </row>
    <row r="236" spans="7:19" x14ac:dyDescent="0.2">
      <c r="G236" s="56"/>
      <c r="H236" s="56"/>
      <c r="I236" s="56"/>
      <c r="J236" s="56"/>
      <c r="K236" s="56"/>
      <c r="S236" s="59"/>
    </row>
    <row r="237" spans="7:19" x14ac:dyDescent="0.2">
      <c r="G237" s="56"/>
      <c r="H237" s="56"/>
      <c r="I237" s="56"/>
      <c r="J237" s="56"/>
      <c r="K237" s="56"/>
      <c r="S237" s="59"/>
    </row>
    <row r="238" spans="7:19" x14ac:dyDescent="0.2">
      <c r="G238" s="56"/>
      <c r="H238" s="56"/>
      <c r="I238" s="56"/>
      <c r="J238" s="56"/>
      <c r="K238" s="56"/>
      <c r="S238" s="59"/>
    </row>
    <row r="239" spans="7:19" x14ac:dyDescent="0.2">
      <c r="G239" s="56"/>
      <c r="H239" s="56"/>
      <c r="I239" s="56"/>
      <c r="J239" s="56"/>
      <c r="K239" s="56"/>
      <c r="S239" s="59"/>
    </row>
    <row r="240" spans="7:19" x14ac:dyDescent="0.2">
      <c r="G240" s="56"/>
      <c r="H240" s="56"/>
      <c r="I240" s="56"/>
      <c r="J240" s="56"/>
      <c r="K240" s="56"/>
      <c r="S240" s="59"/>
    </row>
    <row r="241" spans="7:19" x14ac:dyDescent="0.2">
      <c r="G241" s="56"/>
      <c r="H241" s="56"/>
      <c r="I241" s="56"/>
      <c r="J241" s="56"/>
      <c r="K241" s="56"/>
      <c r="S241" s="59"/>
    </row>
    <row r="242" spans="7:19" x14ac:dyDescent="0.2">
      <c r="G242" s="56"/>
      <c r="H242" s="56"/>
      <c r="I242" s="56"/>
      <c r="J242" s="56"/>
      <c r="K242" s="56"/>
      <c r="S242" s="59"/>
    </row>
    <row r="243" spans="7:19" x14ac:dyDescent="0.2">
      <c r="G243" s="56"/>
      <c r="H243" s="56"/>
      <c r="I243" s="56"/>
      <c r="J243" s="56"/>
      <c r="K243" s="56"/>
      <c r="S243" s="59"/>
    </row>
    <row r="244" spans="7:19" x14ac:dyDescent="0.2">
      <c r="G244" s="56"/>
      <c r="H244" s="56"/>
      <c r="I244" s="56"/>
      <c r="J244" s="56"/>
      <c r="K244" s="56"/>
      <c r="S244" s="59"/>
    </row>
    <row r="245" spans="7:19" x14ac:dyDescent="0.2">
      <c r="G245" s="56"/>
      <c r="H245" s="56"/>
      <c r="I245" s="56"/>
      <c r="J245" s="56"/>
      <c r="K245" s="56"/>
      <c r="S245" s="59"/>
    </row>
    <row r="246" spans="7:19" x14ac:dyDescent="0.2">
      <c r="G246" s="56"/>
      <c r="H246" s="56"/>
      <c r="I246" s="56"/>
      <c r="J246" s="56"/>
      <c r="K246" s="56"/>
      <c r="S246" s="59"/>
    </row>
    <row r="247" spans="7:19" x14ac:dyDescent="0.2">
      <c r="G247" s="56"/>
      <c r="H247" s="56"/>
      <c r="I247" s="56"/>
      <c r="J247" s="56"/>
      <c r="K247" s="56"/>
      <c r="S247" s="59"/>
    </row>
    <row r="248" spans="7:19" x14ac:dyDescent="0.2">
      <c r="G248" s="56"/>
      <c r="H248" s="56"/>
      <c r="I248" s="56"/>
      <c r="J248" s="56"/>
      <c r="K248" s="56"/>
      <c r="S248" s="59"/>
    </row>
    <row r="249" spans="7:19" x14ac:dyDescent="0.2">
      <c r="G249" s="56"/>
      <c r="H249" s="56"/>
      <c r="I249" s="56"/>
      <c r="J249" s="56"/>
      <c r="K249" s="56"/>
      <c r="S249" s="59"/>
    </row>
    <row r="250" spans="7:19" x14ac:dyDescent="0.2">
      <c r="G250" s="56"/>
      <c r="H250" s="56"/>
      <c r="I250" s="56"/>
      <c r="J250" s="56"/>
      <c r="K250" s="56"/>
      <c r="S250" s="59"/>
    </row>
    <row r="251" spans="7:19" x14ac:dyDescent="0.2">
      <c r="G251" s="56"/>
      <c r="H251" s="56"/>
      <c r="I251" s="56"/>
      <c r="J251" s="56"/>
      <c r="K251" s="56"/>
      <c r="S251" s="59"/>
    </row>
    <row r="252" spans="7:19" x14ac:dyDescent="0.2">
      <c r="G252" s="56"/>
      <c r="H252" s="56"/>
      <c r="I252" s="56"/>
      <c r="J252" s="56"/>
      <c r="K252" s="56"/>
      <c r="S252" s="59"/>
    </row>
    <row r="253" spans="7:19" x14ac:dyDescent="0.2">
      <c r="G253" s="56"/>
      <c r="H253" s="56"/>
      <c r="I253" s="56"/>
      <c r="J253" s="56"/>
      <c r="K253" s="56"/>
      <c r="S253" s="59"/>
    </row>
    <row r="254" spans="7:19" x14ac:dyDescent="0.2">
      <c r="G254" s="56"/>
      <c r="H254" s="56"/>
      <c r="I254" s="56"/>
      <c r="J254" s="56"/>
      <c r="K254" s="56"/>
      <c r="S254" s="59"/>
    </row>
    <row r="255" spans="7:19" x14ac:dyDescent="0.2">
      <c r="G255" s="56"/>
      <c r="H255" s="56"/>
      <c r="I255" s="56"/>
      <c r="J255" s="56"/>
      <c r="K255" s="56"/>
      <c r="S255" s="59"/>
    </row>
    <row r="256" spans="7:19" x14ac:dyDescent="0.2">
      <c r="G256" s="56"/>
      <c r="H256" s="56"/>
      <c r="I256" s="56"/>
      <c r="J256" s="56"/>
      <c r="K256" s="56"/>
      <c r="S256" s="59"/>
    </row>
    <row r="257" spans="7:19" x14ac:dyDescent="0.2">
      <c r="G257" s="56"/>
      <c r="H257" s="56"/>
      <c r="I257" s="56"/>
      <c r="J257" s="56"/>
      <c r="K257" s="56"/>
      <c r="S257" s="59"/>
    </row>
    <row r="258" spans="7:19" x14ac:dyDescent="0.2">
      <c r="G258" s="56"/>
      <c r="H258" s="56"/>
      <c r="I258" s="56"/>
      <c r="J258" s="56"/>
      <c r="K258" s="56"/>
      <c r="S258" s="59"/>
    </row>
    <row r="259" spans="7:19" x14ac:dyDescent="0.2">
      <c r="G259" s="56"/>
      <c r="H259" s="56"/>
      <c r="I259" s="56"/>
      <c r="J259" s="56"/>
      <c r="K259" s="56"/>
      <c r="S259" s="59"/>
    </row>
    <row r="260" spans="7:19" x14ac:dyDescent="0.2">
      <c r="G260" s="56"/>
      <c r="H260" s="56"/>
      <c r="I260" s="56"/>
      <c r="J260" s="56"/>
      <c r="K260" s="56"/>
      <c r="S260" s="59"/>
    </row>
    <row r="261" spans="7:19" x14ac:dyDescent="0.2">
      <c r="G261" s="56"/>
      <c r="H261" s="56"/>
      <c r="I261" s="56"/>
      <c r="J261" s="56"/>
      <c r="K261" s="56"/>
      <c r="S261" s="59"/>
    </row>
    <row r="262" spans="7:19" x14ac:dyDescent="0.2">
      <c r="G262" s="56"/>
      <c r="H262" s="56"/>
      <c r="I262" s="56"/>
      <c r="J262" s="56"/>
      <c r="K262" s="56"/>
      <c r="S262" s="59"/>
    </row>
    <row r="263" spans="7:19" x14ac:dyDescent="0.2">
      <c r="G263" s="56"/>
      <c r="H263" s="56"/>
      <c r="I263" s="56"/>
      <c r="J263" s="56"/>
      <c r="K263" s="56"/>
      <c r="S263" s="59"/>
    </row>
    <row r="264" spans="7:19" x14ac:dyDescent="0.2">
      <c r="G264" s="56"/>
      <c r="H264" s="56"/>
      <c r="I264" s="56"/>
      <c r="J264" s="56"/>
      <c r="K264" s="56"/>
      <c r="S264" s="59"/>
    </row>
    <row r="265" spans="7:19" x14ac:dyDescent="0.2">
      <c r="G265" s="56"/>
      <c r="H265" s="56"/>
      <c r="I265" s="56"/>
      <c r="J265" s="56"/>
      <c r="K265" s="56"/>
      <c r="S265" s="59"/>
    </row>
    <row r="266" spans="7:19" x14ac:dyDescent="0.2">
      <c r="G266" s="56"/>
      <c r="H266" s="56"/>
      <c r="I266" s="56"/>
      <c r="J266" s="56"/>
      <c r="K266" s="56"/>
      <c r="S266" s="59"/>
    </row>
    <row r="267" spans="7:19" x14ac:dyDescent="0.2">
      <c r="G267" s="56"/>
      <c r="H267" s="56"/>
      <c r="I267" s="56"/>
      <c r="J267" s="56"/>
      <c r="K267" s="56"/>
      <c r="S267" s="59"/>
    </row>
    <row r="268" spans="7:19" x14ac:dyDescent="0.2">
      <c r="G268" s="56"/>
      <c r="H268" s="56"/>
      <c r="I268" s="56"/>
      <c r="J268" s="56"/>
      <c r="K268" s="56"/>
      <c r="S268" s="59"/>
    </row>
    <row r="269" spans="7:19" x14ac:dyDescent="0.2">
      <c r="G269" s="56"/>
      <c r="H269" s="56"/>
      <c r="I269" s="56"/>
      <c r="J269" s="56"/>
      <c r="K269" s="56"/>
      <c r="S269" s="59"/>
    </row>
    <row r="270" spans="7:19" x14ac:dyDescent="0.2">
      <c r="G270" s="56"/>
      <c r="H270" s="56"/>
      <c r="I270" s="56"/>
      <c r="J270" s="56"/>
      <c r="K270" s="56"/>
      <c r="S270" s="59"/>
    </row>
    <row r="271" spans="7:19" x14ac:dyDescent="0.2">
      <c r="G271" s="56"/>
      <c r="H271" s="56"/>
      <c r="I271" s="56"/>
      <c r="J271" s="56"/>
      <c r="K271" s="56"/>
      <c r="S271" s="59"/>
    </row>
    <row r="272" spans="7:19" x14ac:dyDescent="0.2">
      <c r="G272" s="56"/>
      <c r="H272" s="56"/>
      <c r="I272" s="56"/>
      <c r="J272" s="56"/>
      <c r="K272" s="56"/>
      <c r="S272" s="59"/>
    </row>
    <row r="273" spans="7:19" x14ac:dyDescent="0.2">
      <c r="G273" s="56"/>
      <c r="H273" s="56"/>
      <c r="I273" s="56"/>
      <c r="J273" s="56"/>
      <c r="K273" s="56"/>
      <c r="S273" s="59"/>
    </row>
    <row r="274" spans="7:19" x14ac:dyDescent="0.2">
      <c r="G274" s="56"/>
      <c r="H274" s="56"/>
      <c r="I274" s="56"/>
      <c r="J274" s="56"/>
      <c r="K274" s="56"/>
      <c r="S274" s="59"/>
    </row>
    <row r="275" spans="7:19" x14ac:dyDescent="0.2">
      <c r="G275" s="56"/>
      <c r="H275" s="56"/>
      <c r="I275" s="56"/>
      <c r="J275" s="56"/>
      <c r="K275" s="56"/>
      <c r="S275" s="59"/>
    </row>
    <row r="276" spans="7:19" x14ac:dyDescent="0.2">
      <c r="G276" s="56"/>
      <c r="H276" s="56"/>
      <c r="I276" s="56"/>
      <c r="J276" s="56"/>
      <c r="K276" s="56"/>
      <c r="S276" s="59"/>
    </row>
    <row r="277" spans="7:19" x14ac:dyDescent="0.2">
      <c r="G277" s="56"/>
      <c r="H277" s="56"/>
      <c r="I277" s="56"/>
      <c r="J277" s="56"/>
      <c r="K277" s="56"/>
      <c r="S277" s="59"/>
    </row>
    <row r="278" spans="7:19" x14ac:dyDescent="0.2">
      <c r="G278" s="56"/>
      <c r="H278" s="56"/>
      <c r="I278" s="56"/>
      <c r="J278" s="56"/>
      <c r="K278" s="56"/>
      <c r="S278" s="59"/>
    </row>
    <row r="279" spans="7:19" x14ac:dyDescent="0.2">
      <c r="G279" s="56"/>
      <c r="H279" s="56"/>
      <c r="I279" s="56"/>
      <c r="J279" s="56"/>
      <c r="K279" s="56"/>
      <c r="S279" s="59"/>
    </row>
    <row r="280" spans="7:19" x14ac:dyDescent="0.2">
      <c r="G280" s="56"/>
      <c r="H280" s="56"/>
      <c r="I280" s="56"/>
      <c r="J280" s="56"/>
      <c r="K280" s="56"/>
      <c r="S280" s="59"/>
    </row>
    <row r="281" spans="7:19" x14ac:dyDescent="0.2">
      <c r="G281" s="56"/>
      <c r="H281" s="56"/>
      <c r="I281" s="56"/>
      <c r="J281" s="56"/>
      <c r="K281" s="56"/>
      <c r="S281" s="59"/>
    </row>
    <row r="282" spans="7:19" x14ac:dyDescent="0.2">
      <c r="G282" s="56"/>
      <c r="H282" s="56"/>
      <c r="I282" s="56"/>
      <c r="J282" s="56"/>
      <c r="K282" s="56"/>
      <c r="S282" s="59"/>
    </row>
    <row r="283" spans="7:19" x14ac:dyDescent="0.2">
      <c r="G283" s="56"/>
      <c r="H283" s="56"/>
      <c r="I283" s="56"/>
      <c r="J283" s="56"/>
      <c r="K283" s="56"/>
      <c r="S283" s="59"/>
    </row>
    <row r="284" spans="7:19" x14ac:dyDescent="0.2">
      <c r="G284" s="56"/>
      <c r="H284" s="56"/>
      <c r="I284" s="56"/>
      <c r="J284" s="56"/>
      <c r="K284" s="56"/>
      <c r="S284" s="59"/>
    </row>
    <row r="285" spans="7:19" x14ac:dyDescent="0.2">
      <c r="G285" s="56"/>
      <c r="H285" s="56"/>
      <c r="I285" s="56"/>
      <c r="J285" s="56"/>
      <c r="K285" s="56"/>
      <c r="S285" s="59"/>
    </row>
    <row r="286" spans="7:19" x14ac:dyDescent="0.2">
      <c r="G286" s="56"/>
      <c r="H286" s="56"/>
      <c r="I286" s="56"/>
      <c r="J286" s="56"/>
      <c r="K286" s="56"/>
      <c r="S286" s="59"/>
    </row>
    <row r="287" spans="7:19" x14ac:dyDescent="0.2">
      <c r="G287" s="56"/>
      <c r="H287" s="56"/>
      <c r="I287" s="56"/>
      <c r="J287" s="56"/>
      <c r="K287" s="56"/>
      <c r="S287" s="59"/>
    </row>
    <row r="288" spans="7:19" x14ac:dyDescent="0.2">
      <c r="G288" s="56"/>
      <c r="H288" s="56"/>
      <c r="I288" s="56"/>
      <c r="J288" s="56"/>
      <c r="K288" s="56"/>
      <c r="S288" s="59"/>
    </row>
    <row r="289" spans="7:19" x14ac:dyDescent="0.2">
      <c r="G289" s="56"/>
      <c r="H289" s="56"/>
      <c r="I289" s="56"/>
      <c r="J289" s="56"/>
      <c r="K289" s="56"/>
      <c r="S289" s="59"/>
    </row>
    <row r="290" spans="7:19" x14ac:dyDescent="0.2">
      <c r="G290" s="56"/>
      <c r="H290" s="56"/>
      <c r="I290" s="56"/>
      <c r="J290" s="56"/>
      <c r="K290" s="56"/>
      <c r="S290" s="59"/>
    </row>
    <row r="291" spans="7:19" x14ac:dyDescent="0.2">
      <c r="G291" s="56"/>
      <c r="H291" s="56"/>
      <c r="I291" s="56"/>
      <c r="J291" s="56"/>
      <c r="K291" s="56"/>
      <c r="S291" s="59"/>
    </row>
    <row r="292" spans="7:19" x14ac:dyDescent="0.2">
      <c r="G292" s="56"/>
      <c r="H292" s="56"/>
      <c r="I292" s="56"/>
      <c r="J292" s="56"/>
      <c r="K292" s="56"/>
      <c r="S292" s="59"/>
    </row>
    <row r="293" spans="7:19" x14ac:dyDescent="0.2">
      <c r="G293" s="56"/>
      <c r="H293" s="56"/>
      <c r="I293" s="56"/>
      <c r="J293" s="56"/>
      <c r="K293" s="56"/>
      <c r="S293" s="59"/>
    </row>
    <row r="294" spans="7:19" x14ac:dyDescent="0.2">
      <c r="G294" s="56"/>
      <c r="H294" s="56"/>
      <c r="I294" s="56"/>
      <c r="J294" s="56"/>
      <c r="K294" s="56"/>
      <c r="S294" s="59"/>
    </row>
    <row r="295" spans="7:19" x14ac:dyDescent="0.2">
      <c r="G295" s="56"/>
      <c r="H295" s="56"/>
      <c r="I295" s="56"/>
      <c r="J295" s="56"/>
      <c r="K295" s="56"/>
      <c r="S295" s="59"/>
    </row>
    <row r="296" spans="7:19" x14ac:dyDescent="0.2">
      <c r="G296" s="56"/>
      <c r="H296" s="56"/>
      <c r="I296" s="56"/>
      <c r="J296" s="56"/>
      <c r="K296" s="56"/>
      <c r="S296" s="59"/>
    </row>
    <row r="297" spans="7:19" x14ac:dyDescent="0.2">
      <c r="G297" s="56"/>
      <c r="H297" s="56"/>
      <c r="I297" s="56"/>
      <c r="J297" s="56"/>
      <c r="K297" s="56"/>
      <c r="S297" s="59"/>
    </row>
    <row r="298" spans="7:19" x14ac:dyDescent="0.2">
      <c r="G298" s="56"/>
      <c r="H298" s="56"/>
      <c r="I298" s="56"/>
      <c r="J298" s="56"/>
      <c r="K298" s="56"/>
      <c r="S298" s="59"/>
    </row>
    <row r="299" spans="7:19" x14ac:dyDescent="0.2">
      <c r="G299" s="56"/>
      <c r="H299" s="56"/>
      <c r="I299" s="56"/>
      <c r="J299" s="56"/>
      <c r="K299" s="56"/>
      <c r="S299" s="59"/>
    </row>
    <row r="300" spans="7:19" x14ac:dyDescent="0.2">
      <c r="G300" s="56"/>
      <c r="H300" s="56"/>
      <c r="I300" s="56"/>
      <c r="J300" s="56"/>
      <c r="K300" s="56"/>
      <c r="S300" s="59"/>
    </row>
    <row r="301" spans="7:19" x14ac:dyDescent="0.2">
      <c r="G301" s="56"/>
      <c r="H301" s="56"/>
      <c r="I301" s="56"/>
      <c r="J301" s="56"/>
      <c r="K301" s="56"/>
      <c r="S301" s="59"/>
    </row>
    <row r="302" spans="7:19" x14ac:dyDescent="0.2">
      <c r="G302" s="56"/>
      <c r="H302" s="56"/>
      <c r="I302" s="56"/>
      <c r="J302" s="56"/>
      <c r="K302" s="56"/>
      <c r="S302" s="59"/>
    </row>
    <row r="303" spans="7:19" x14ac:dyDescent="0.2">
      <c r="G303" s="56"/>
      <c r="H303" s="56"/>
      <c r="I303" s="56"/>
      <c r="J303" s="56"/>
      <c r="K303" s="56"/>
      <c r="S303" s="59"/>
    </row>
    <row r="304" spans="7:19" x14ac:dyDescent="0.2">
      <c r="G304" s="56"/>
      <c r="H304" s="56"/>
      <c r="I304" s="56"/>
      <c r="J304" s="56"/>
      <c r="K304" s="56"/>
      <c r="S304" s="59"/>
    </row>
    <row r="305" spans="7:19" x14ac:dyDescent="0.2">
      <c r="G305" s="56"/>
      <c r="H305" s="56"/>
      <c r="I305" s="56"/>
      <c r="J305" s="56"/>
      <c r="K305" s="56"/>
      <c r="S305" s="59"/>
    </row>
    <row r="306" spans="7:19" x14ac:dyDescent="0.2">
      <c r="G306" s="56"/>
      <c r="H306" s="56"/>
      <c r="I306" s="56"/>
      <c r="J306" s="56"/>
      <c r="K306" s="56"/>
      <c r="S306" s="59"/>
    </row>
    <row r="307" spans="7:19" x14ac:dyDescent="0.2">
      <c r="G307" s="56"/>
      <c r="H307" s="56"/>
      <c r="I307" s="56"/>
      <c r="J307" s="56"/>
      <c r="K307" s="56"/>
      <c r="S307" s="59"/>
    </row>
    <row r="308" spans="7:19" x14ac:dyDescent="0.2">
      <c r="G308" s="56"/>
      <c r="H308" s="56"/>
      <c r="I308" s="56"/>
      <c r="J308" s="56"/>
      <c r="K308" s="56"/>
      <c r="S308" s="59"/>
    </row>
    <row r="309" spans="7:19" x14ac:dyDescent="0.2">
      <c r="G309" s="56"/>
      <c r="H309" s="56"/>
      <c r="I309" s="56"/>
      <c r="J309" s="56"/>
      <c r="K309" s="56"/>
      <c r="S309" s="59"/>
    </row>
    <row r="310" spans="7:19" x14ac:dyDescent="0.2">
      <c r="G310" s="56"/>
      <c r="H310" s="56"/>
      <c r="I310" s="56"/>
      <c r="J310" s="56"/>
      <c r="K310" s="56"/>
      <c r="S310" s="59"/>
    </row>
    <row r="311" spans="7:19" x14ac:dyDescent="0.2">
      <c r="G311" s="56"/>
      <c r="H311" s="56"/>
      <c r="I311" s="56"/>
      <c r="J311" s="56"/>
      <c r="K311" s="56"/>
      <c r="S311" s="59"/>
    </row>
    <row r="312" spans="7:19" x14ac:dyDescent="0.2">
      <c r="G312" s="56"/>
      <c r="H312" s="56"/>
      <c r="I312" s="56"/>
      <c r="J312" s="56"/>
      <c r="K312" s="56"/>
      <c r="S312" s="59"/>
    </row>
    <row r="313" spans="7:19" x14ac:dyDescent="0.2">
      <c r="G313" s="56"/>
      <c r="H313" s="56"/>
      <c r="I313" s="56"/>
      <c r="J313" s="56"/>
      <c r="K313" s="56"/>
      <c r="S313" s="59"/>
    </row>
    <row r="314" spans="7:19" x14ac:dyDescent="0.2">
      <c r="G314" s="56"/>
      <c r="H314" s="56"/>
      <c r="I314" s="56"/>
      <c r="J314" s="56"/>
      <c r="K314" s="56"/>
      <c r="S314" s="59"/>
    </row>
    <row r="315" spans="7:19" x14ac:dyDescent="0.2">
      <c r="G315" s="56"/>
      <c r="H315" s="56"/>
      <c r="I315" s="56"/>
      <c r="J315" s="56"/>
      <c r="K315" s="56"/>
      <c r="S315" s="59"/>
    </row>
    <row r="316" spans="7:19" x14ac:dyDescent="0.2">
      <c r="G316" s="56"/>
      <c r="H316" s="56"/>
      <c r="I316" s="56"/>
      <c r="J316" s="56"/>
      <c r="K316" s="56"/>
      <c r="S316" s="59"/>
    </row>
    <row r="317" spans="7:19" x14ac:dyDescent="0.2">
      <c r="G317" s="56"/>
      <c r="H317" s="56"/>
      <c r="I317" s="56"/>
      <c r="J317" s="56"/>
      <c r="K317" s="56"/>
      <c r="S317" s="59"/>
    </row>
    <row r="318" spans="7:19" x14ac:dyDescent="0.2">
      <c r="G318" s="56"/>
      <c r="H318" s="56"/>
      <c r="I318" s="56"/>
      <c r="J318" s="56"/>
      <c r="K318" s="56"/>
      <c r="S318" s="59"/>
    </row>
    <row r="319" spans="7:19" x14ac:dyDescent="0.2">
      <c r="G319" s="56"/>
      <c r="H319" s="56"/>
      <c r="I319" s="56"/>
      <c r="J319" s="56"/>
      <c r="K319" s="56"/>
      <c r="S319" s="59"/>
    </row>
    <row r="320" spans="7:19" x14ac:dyDescent="0.2">
      <c r="G320" s="56"/>
      <c r="H320" s="56"/>
      <c r="I320" s="56"/>
      <c r="J320" s="56"/>
      <c r="K320" s="56"/>
      <c r="S320" s="59"/>
    </row>
    <row r="321" spans="7:19" x14ac:dyDescent="0.2">
      <c r="G321" s="56"/>
      <c r="H321" s="56"/>
      <c r="I321" s="56"/>
      <c r="J321" s="56"/>
      <c r="K321" s="56"/>
      <c r="S321" s="59"/>
    </row>
    <row r="322" spans="7:19" x14ac:dyDescent="0.2">
      <c r="G322" s="56"/>
      <c r="H322" s="56"/>
      <c r="I322" s="56"/>
      <c r="J322" s="56"/>
      <c r="K322" s="56"/>
      <c r="S322" s="59"/>
    </row>
    <row r="323" spans="7:19" x14ac:dyDescent="0.2">
      <c r="G323" s="56"/>
      <c r="H323" s="56"/>
      <c r="I323" s="56"/>
      <c r="J323" s="56"/>
      <c r="K323" s="56"/>
      <c r="S323" s="59"/>
    </row>
    <row r="324" spans="7:19" x14ac:dyDescent="0.2">
      <c r="G324" s="56"/>
      <c r="H324" s="56"/>
      <c r="I324" s="56"/>
      <c r="J324" s="56"/>
      <c r="K324" s="56"/>
      <c r="S324" s="59"/>
    </row>
    <row r="325" spans="7:19" x14ac:dyDescent="0.2">
      <c r="G325" s="56"/>
      <c r="H325" s="56"/>
      <c r="I325" s="56"/>
      <c r="J325" s="56"/>
      <c r="K325" s="56"/>
      <c r="S325" s="59"/>
    </row>
    <row r="326" spans="7:19" x14ac:dyDescent="0.2">
      <c r="G326" s="56"/>
      <c r="H326" s="56"/>
      <c r="I326" s="56"/>
      <c r="J326" s="56"/>
      <c r="K326" s="56"/>
      <c r="S326" s="59"/>
    </row>
    <row r="327" spans="7:19" x14ac:dyDescent="0.2">
      <c r="G327" s="56"/>
      <c r="H327" s="56"/>
      <c r="I327" s="56"/>
      <c r="J327" s="56"/>
      <c r="K327" s="56"/>
      <c r="S327" s="59"/>
    </row>
    <row r="328" spans="7:19" x14ac:dyDescent="0.2">
      <c r="G328" s="56"/>
      <c r="H328" s="56"/>
      <c r="I328" s="56"/>
      <c r="J328" s="56"/>
      <c r="K328" s="56"/>
      <c r="S328" s="59"/>
    </row>
    <row r="329" spans="7:19" x14ac:dyDescent="0.2">
      <c r="G329" s="56"/>
      <c r="H329" s="56"/>
      <c r="I329" s="56"/>
      <c r="J329" s="56"/>
      <c r="K329" s="56"/>
      <c r="S329" s="59"/>
    </row>
    <row r="330" spans="7:19" x14ac:dyDescent="0.2">
      <c r="G330" s="56"/>
      <c r="H330" s="56"/>
      <c r="I330" s="56"/>
      <c r="J330" s="56"/>
      <c r="K330" s="56"/>
      <c r="S330" s="59"/>
    </row>
    <row r="331" spans="7:19" x14ac:dyDescent="0.2">
      <c r="G331" s="56"/>
      <c r="H331" s="56"/>
      <c r="I331" s="56"/>
      <c r="J331" s="56"/>
      <c r="K331" s="56"/>
      <c r="S331" s="59"/>
    </row>
    <row r="332" spans="7:19" x14ac:dyDescent="0.2">
      <c r="G332" s="56"/>
      <c r="H332" s="56"/>
      <c r="I332" s="56"/>
      <c r="J332" s="56"/>
      <c r="K332" s="56"/>
      <c r="S332" s="59"/>
    </row>
    <row r="333" spans="7:19" x14ac:dyDescent="0.2">
      <c r="G333" s="56"/>
      <c r="H333" s="56"/>
      <c r="I333" s="56"/>
      <c r="J333" s="56"/>
      <c r="K333" s="56"/>
      <c r="S333" s="59"/>
    </row>
    <row r="334" spans="7:19" x14ac:dyDescent="0.2">
      <c r="G334" s="56"/>
      <c r="H334" s="56"/>
      <c r="I334" s="56"/>
      <c r="J334" s="56"/>
      <c r="K334" s="56"/>
      <c r="S334" s="59"/>
    </row>
    <row r="335" spans="7:19" x14ac:dyDescent="0.2">
      <c r="G335" s="56"/>
      <c r="H335" s="56"/>
      <c r="I335" s="56"/>
      <c r="J335" s="56"/>
      <c r="K335" s="56"/>
      <c r="S335" s="59"/>
    </row>
    <row r="336" spans="7:19" x14ac:dyDescent="0.2">
      <c r="G336" s="56"/>
      <c r="H336" s="56"/>
      <c r="I336" s="56"/>
      <c r="J336" s="56"/>
      <c r="K336" s="56"/>
      <c r="S336" s="59"/>
    </row>
    <row r="337" spans="7:19" x14ac:dyDescent="0.2">
      <c r="G337" s="56"/>
      <c r="H337" s="56"/>
      <c r="I337" s="56"/>
      <c r="J337" s="56"/>
      <c r="K337" s="56"/>
      <c r="S337" s="59"/>
    </row>
    <row r="338" spans="7:19" x14ac:dyDescent="0.2">
      <c r="G338" s="56"/>
      <c r="H338" s="56"/>
      <c r="I338" s="56"/>
      <c r="J338" s="56"/>
      <c r="K338" s="56"/>
      <c r="S338" s="59"/>
    </row>
    <row r="339" spans="7:19" x14ac:dyDescent="0.2">
      <c r="G339" s="56"/>
      <c r="H339" s="56"/>
      <c r="I339" s="56"/>
      <c r="J339" s="56"/>
      <c r="K339" s="56"/>
      <c r="S339" s="59"/>
    </row>
    <row r="340" spans="7:19" x14ac:dyDescent="0.2">
      <c r="G340" s="56"/>
      <c r="H340" s="56"/>
      <c r="I340" s="56"/>
      <c r="J340" s="56"/>
      <c r="K340" s="56"/>
      <c r="S340" s="59"/>
    </row>
    <row r="341" spans="7:19" x14ac:dyDescent="0.2">
      <c r="G341" s="56"/>
      <c r="H341" s="56"/>
      <c r="I341" s="56"/>
      <c r="J341" s="56"/>
      <c r="K341" s="56"/>
      <c r="S341" s="59"/>
    </row>
    <row r="342" spans="7:19" x14ac:dyDescent="0.2">
      <c r="G342" s="56"/>
      <c r="H342" s="56"/>
      <c r="I342" s="56"/>
      <c r="J342" s="56"/>
      <c r="K342" s="56"/>
      <c r="S342" s="59"/>
    </row>
    <row r="343" spans="7:19" x14ac:dyDescent="0.2">
      <c r="G343" s="56"/>
      <c r="H343" s="56"/>
      <c r="I343" s="56"/>
      <c r="J343" s="56"/>
      <c r="K343" s="56"/>
      <c r="S343" s="59"/>
    </row>
    <row r="344" spans="7:19" x14ac:dyDescent="0.2">
      <c r="G344" s="56"/>
      <c r="H344" s="56"/>
      <c r="I344" s="56"/>
      <c r="J344" s="56"/>
      <c r="K344" s="56"/>
      <c r="S344" s="59"/>
    </row>
    <row r="345" spans="7:19" x14ac:dyDescent="0.2">
      <c r="G345" s="56"/>
      <c r="H345" s="56"/>
      <c r="I345" s="56"/>
      <c r="J345" s="56"/>
      <c r="K345" s="56"/>
      <c r="S345" s="59"/>
    </row>
    <row r="346" spans="7:19" x14ac:dyDescent="0.2">
      <c r="G346" s="56"/>
      <c r="H346" s="56"/>
      <c r="I346" s="56"/>
      <c r="J346" s="56"/>
      <c r="K346" s="56"/>
      <c r="S346" s="59"/>
    </row>
    <row r="347" spans="7:19" x14ac:dyDescent="0.2">
      <c r="G347" s="56"/>
      <c r="H347" s="56"/>
      <c r="I347" s="56"/>
      <c r="J347" s="56"/>
      <c r="K347" s="56"/>
      <c r="S347" s="59"/>
    </row>
    <row r="348" spans="7:19" x14ac:dyDescent="0.2">
      <c r="G348" s="56"/>
      <c r="H348" s="56"/>
      <c r="I348" s="56"/>
      <c r="J348" s="56"/>
      <c r="K348" s="56"/>
      <c r="S348" s="59"/>
    </row>
    <row r="349" spans="7:19" x14ac:dyDescent="0.2">
      <c r="G349" s="56"/>
      <c r="H349" s="56"/>
      <c r="I349" s="56"/>
      <c r="J349" s="56"/>
      <c r="K349" s="56"/>
      <c r="S349" s="59"/>
    </row>
    <row r="350" spans="7:19" x14ac:dyDescent="0.2">
      <c r="G350" s="56"/>
      <c r="H350" s="56"/>
      <c r="I350" s="56"/>
      <c r="J350" s="56"/>
      <c r="K350" s="56"/>
      <c r="S350" s="59"/>
    </row>
    <row r="351" spans="7:19" x14ac:dyDescent="0.2">
      <c r="G351" s="56"/>
      <c r="H351" s="56"/>
      <c r="I351" s="56"/>
      <c r="J351" s="56"/>
      <c r="K351" s="56"/>
      <c r="S351" s="59"/>
    </row>
    <row r="352" spans="7:19" x14ac:dyDescent="0.2">
      <c r="G352" s="56"/>
      <c r="H352" s="56"/>
      <c r="I352" s="56"/>
      <c r="J352" s="56"/>
      <c r="K352" s="56"/>
      <c r="S352" s="59"/>
    </row>
    <row r="353" spans="7:19" x14ac:dyDescent="0.2">
      <c r="G353" s="56"/>
      <c r="H353" s="56"/>
      <c r="I353" s="56"/>
      <c r="J353" s="56"/>
      <c r="K353" s="56"/>
      <c r="S353" s="59"/>
    </row>
    <row r="354" spans="7:19" x14ac:dyDescent="0.2">
      <c r="G354" s="56"/>
      <c r="H354" s="56"/>
      <c r="I354" s="56"/>
      <c r="J354" s="56"/>
      <c r="K354" s="56"/>
      <c r="S354" s="59"/>
    </row>
    <row r="355" spans="7:19" x14ac:dyDescent="0.2">
      <c r="G355" s="56"/>
      <c r="H355" s="56"/>
      <c r="I355" s="56"/>
      <c r="J355" s="56"/>
      <c r="K355" s="56"/>
      <c r="S355" s="59"/>
    </row>
    <row r="356" spans="7:19" x14ac:dyDescent="0.2">
      <c r="G356" s="56"/>
      <c r="H356" s="56"/>
      <c r="I356" s="56"/>
      <c r="J356" s="56"/>
      <c r="K356" s="56"/>
      <c r="S356" s="59"/>
    </row>
    <row r="357" spans="7:19" x14ac:dyDescent="0.2">
      <c r="G357" s="56"/>
      <c r="H357" s="56"/>
      <c r="I357" s="56"/>
      <c r="J357" s="56"/>
      <c r="K357" s="56"/>
      <c r="S357" s="59"/>
    </row>
    <row r="358" spans="7:19" x14ac:dyDescent="0.2">
      <c r="G358" s="56"/>
      <c r="H358" s="56"/>
      <c r="I358" s="56"/>
      <c r="J358" s="56"/>
      <c r="K358" s="56"/>
      <c r="S358" s="59"/>
    </row>
    <row r="359" spans="7:19" x14ac:dyDescent="0.2">
      <c r="G359" s="56"/>
      <c r="H359" s="56"/>
      <c r="I359" s="56"/>
      <c r="J359" s="56"/>
      <c r="K359" s="56"/>
      <c r="S359" s="59"/>
    </row>
    <row r="360" spans="7:19" x14ac:dyDescent="0.2">
      <c r="G360" s="56"/>
      <c r="H360" s="56"/>
      <c r="I360" s="56"/>
      <c r="J360" s="56"/>
      <c r="K360" s="56"/>
      <c r="S360" s="59"/>
    </row>
    <row r="361" spans="7:19" x14ac:dyDescent="0.2">
      <c r="G361" s="56"/>
      <c r="H361" s="56"/>
      <c r="I361" s="56"/>
      <c r="J361" s="56"/>
      <c r="K361" s="56"/>
      <c r="S361" s="59"/>
    </row>
    <row r="362" spans="7:19" x14ac:dyDescent="0.2">
      <c r="G362" s="56"/>
      <c r="H362" s="56"/>
      <c r="I362" s="56"/>
      <c r="J362" s="56"/>
      <c r="K362" s="56"/>
      <c r="S362" s="59"/>
    </row>
    <row r="363" spans="7:19" x14ac:dyDescent="0.2">
      <c r="G363" s="56"/>
      <c r="H363" s="56"/>
      <c r="I363" s="56"/>
      <c r="J363" s="56"/>
      <c r="K363" s="56"/>
      <c r="S363" s="59"/>
    </row>
    <row r="364" spans="7:19" x14ac:dyDescent="0.2">
      <c r="G364" s="56"/>
      <c r="H364" s="56"/>
      <c r="I364" s="56"/>
      <c r="J364" s="56"/>
      <c r="K364" s="56"/>
      <c r="S364" s="59"/>
    </row>
    <row r="365" spans="7:19" x14ac:dyDescent="0.2">
      <c r="G365" s="56"/>
      <c r="H365" s="56"/>
      <c r="I365" s="56"/>
      <c r="J365" s="56"/>
      <c r="K365" s="56"/>
      <c r="S365" s="59"/>
    </row>
    <row r="366" spans="7:19" x14ac:dyDescent="0.2">
      <c r="G366" s="56"/>
      <c r="H366" s="56"/>
      <c r="I366" s="56"/>
      <c r="J366" s="56"/>
      <c r="K366" s="56"/>
      <c r="S366" s="59"/>
    </row>
    <row r="367" spans="7:19" x14ac:dyDescent="0.2">
      <c r="G367" s="56"/>
      <c r="H367" s="56"/>
      <c r="I367" s="56"/>
      <c r="J367" s="56"/>
      <c r="K367" s="56"/>
      <c r="S367" s="59"/>
    </row>
    <row r="368" spans="7:19" x14ac:dyDescent="0.2">
      <c r="G368" s="56"/>
      <c r="H368" s="56"/>
      <c r="I368" s="56"/>
      <c r="J368" s="56"/>
      <c r="K368" s="56"/>
      <c r="S368" s="59"/>
    </row>
    <row r="369" spans="7:19" x14ac:dyDescent="0.2">
      <c r="G369" s="56"/>
      <c r="H369" s="56"/>
      <c r="I369" s="56"/>
      <c r="J369" s="56"/>
      <c r="K369" s="56"/>
      <c r="S369" s="59"/>
    </row>
    <row r="370" spans="7:19" x14ac:dyDescent="0.2">
      <c r="G370" s="56"/>
      <c r="H370" s="56"/>
      <c r="I370" s="56"/>
      <c r="J370" s="56"/>
      <c r="K370" s="56"/>
      <c r="S370" s="59"/>
    </row>
    <row r="371" spans="7:19" x14ac:dyDescent="0.2">
      <c r="G371" s="56"/>
      <c r="H371" s="56"/>
      <c r="I371" s="56"/>
      <c r="J371" s="56"/>
      <c r="K371" s="56"/>
      <c r="S371" s="59"/>
    </row>
    <row r="372" spans="7:19" x14ac:dyDescent="0.2">
      <c r="G372" s="56"/>
      <c r="H372" s="56"/>
      <c r="I372" s="56"/>
      <c r="J372" s="56"/>
      <c r="K372" s="56"/>
      <c r="S372" s="59"/>
    </row>
    <row r="373" spans="7:19" x14ac:dyDescent="0.2">
      <c r="G373" s="56"/>
      <c r="H373" s="56"/>
      <c r="I373" s="56"/>
      <c r="J373" s="56"/>
      <c r="K373" s="56"/>
      <c r="S373" s="59"/>
    </row>
    <row r="374" spans="7:19" x14ac:dyDescent="0.2">
      <c r="G374" s="56"/>
      <c r="H374" s="56"/>
      <c r="I374" s="56"/>
      <c r="J374" s="56"/>
      <c r="K374" s="56"/>
      <c r="S374" s="59"/>
    </row>
    <row r="375" spans="7:19" x14ac:dyDescent="0.2">
      <c r="G375" s="56"/>
      <c r="H375" s="56"/>
      <c r="I375" s="56"/>
      <c r="J375" s="56"/>
      <c r="K375" s="56"/>
      <c r="S375" s="59"/>
    </row>
    <row r="376" spans="7:19" x14ac:dyDescent="0.2">
      <c r="G376" s="56"/>
      <c r="H376" s="56"/>
      <c r="I376" s="56"/>
      <c r="J376" s="56"/>
      <c r="K376" s="56"/>
      <c r="S376" s="59"/>
    </row>
    <row r="377" spans="7:19" x14ac:dyDescent="0.2">
      <c r="G377" s="56"/>
      <c r="H377" s="56"/>
      <c r="I377" s="56"/>
      <c r="J377" s="56"/>
      <c r="K377" s="56"/>
      <c r="S377" s="59"/>
    </row>
    <row r="378" spans="7:19" x14ac:dyDescent="0.2">
      <c r="G378" s="56"/>
      <c r="H378" s="56"/>
      <c r="I378" s="56"/>
      <c r="J378" s="56"/>
      <c r="K378" s="56"/>
      <c r="S378" s="59"/>
    </row>
    <row r="379" spans="7:19" x14ac:dyDescent="0.2">
      <c r="G379" s="56"/>
      <c r="H379" s="56"/>
      <c r="I379" s="56"/>
      <c r="J379" s="56"/>
      <c r="K379" s="56"/>
      <c r="S379" s="59"/>
    </row>
    <row r="380" spans="7:19" x14ac:dyDescent="0.2">
      <c r="G380" s="56"/>
      <c r="H380" s="56"/>
      <c r="I380" s="56"/>
      <c r="J380" s="56"/>
      <c r="K380" s="56"/>
      <c r="S380" s="59"/>
    </row>
    <row r="381" spans="7:19" x14ac:dyDescent="0.2">
      <c r="G381" s="56"/>
      <c r="H381" s="56"/>
      <c r="I381" s="56"/>
      <c r="J381" s="56"/>
      <c r="K381" s="56"/>
      <c r="S381" s="59"/>
    </row>
    <row r="382" spans="7:19" x14ac:dyDescent="0.2">
      <c r="G382" s="56"/>
      <c r="H382" s="56"/>
      <c r="I382" s="56"/>
      <c r="J382" s="56"/>
      <c r="K382" s="56"/>
      <c r="S382" s="59"/>
    </row>
    <row r="383" spans="7:19" x14ac:dyDescent="0.2">
      <c r="G383" s="56"/>
      <c r="H383" s="56"/>
      <c r="I383" s="56"/>
      <c r="J383" s="56"/>
      <c r="K383" s="56"/>
      <c r="S383" s="59"/>
    </row>
    <row r="384" spans="7:19" x14ac:dyDescent="0.2">
      <c r="G384" s="56"/>
      <c r="H384" s="56"/>
      <c r="I384" s="56"/>
      <c r="J384" s="56"/>
      <c r="K384" s="56"/>
      <c r="S384" s="59"/>
    </row>
    <row r="385" spans="7:19" x14ac:dyDescent="0.2">
      <c r="G385" s="56"/>
      <c r="H385" s="56"/>
      <c r="I385" s="56"/>
      <c r="J385" s="56"/>
      <c r="K385" s="56"/>
      <c r="S385" s="59"/>
    </row>
    <row r="386" spans="7:19" x14ac:dyDescent="0.2">
      <c r="G386" s="56"/>
      <c r="H386" s="56"/>
      <c r="I386" s="56"/>
      <c r="J386" s="56"/>
      <c r="K386" s="56"/>
      <c r="S386" s="59"/>
    </row>
    <row r="387" spans="7:19" x14ac:dyDescent="0.2">
      <c r="G387" s="56"/>
      <c r="H387" s="56"/>
      <c r="I387" s="56"/>
      <c r="J387" s="56"/>
      <c r="K387" s="56"/>
      <c r="S387" s="59"/>
    </row>
    <row r="388" spans="7:19" x14ac:dyDescent="0.2">
      <c r="G388" s="56"/>
      <c r="H388" s="56"/>
      <c r="I388" s="56"/>
      <c r="J388" s="56"/>
      <c r="K388" s="56"/>
      <c r="S388" s="59"/>
    </row>
    <row r="389" spans="7:19" x14ac:dyDescent="0.2">
      <c r="G389" s="56"/>
      <c r="H389" s="56"/>
      <c r="I389" s="56"/>
      <c r="J389" s="56"/>
      <c r="K389" s="56"/>
      <c r="S389" s="59"/>
    </row>
    <row r="390" spans="7:19" x14ac:dyDescent="0.2">
      <c r="G390" s="56"/>
      <c r="H390" s="56"/>
      <c r="I390" s="56"/>
      <c r="J390" s="56"/>
      <c r="K390" s="56"/>
      <c r="S390" s="59"/>
    </row>
    <row r="391" spans="7:19" x14ac:dyDescent="0.2">
      <c r="G391" s="56"/>
      <c r="H391" s="56"/>
      <c r="I391" s="56"/>
      <c r="J391" s="56"/>
      <c r="K391" s="56"/>
      <c r="S391" s="59"/>
    </row>
    <row r="392" spans="7:19" x14ac:dyDescent="0.2">
      <c r="G392" s="56"/>
      <c r="H392" s="56"/>
      <c r="I392" s="56"/>
      <c r="J392" s="56"/>
      <c r="K392" s="56"/>
      <c r="S392" s="59"/>
    </row>
    <row r="393" spans="7:19" x14ac:dyDescent="0.2">
      <c r="G393" s="56"/>
      <c r="H393" s="56"/>
      <c r="I393" s="56"/>
      <c r="J393" s="56"/>
      <c r="K393" s="56"/>
      <c r="S393" s="59"/>
    </row>
    <row r="394" spans="7:19" x14ac:dyDescent="0.2">
      <c r="G394" s="56"/>
      <c r="H394" s="56"/>
      <c r="I394" s="56"/>
      <c r="J394" s="56"/>
      <c r="K394" s="56"/>
      <c r="S394" s="59"/>
    </row>
    <row r="395" spans="7:19" x14ac:dyDescent="0.2">
      <c r="G395" s="56"/>
      <c r="H395" s="56"/>
      <c r="I395" s="56"/>
      <c r="J395" s="56"/>
      <c r="K395" s="56"/>
      <c r="S395" s="59"/>
    </row>
    <row r="396" spans="7:19" x14ac:dyDescent="0.2">
      <c r="G396" s="56"/>
      <c r="H396" s="56"/>
      <c r="I396" s="56"/>
      <c r="J396" s="56"/>
      <c r="K396" s="56"/>
      <c r="S396" s="59"/>
    </row>
    <row r="397" spans="7:19" x14ac:dyDescent="0.2">
      <c r="G397" s="56"/>
      <c r="H397" s="56"/>
      <c r="I397" s="56"/>
      <c r="J397" s="56"/>
      <c r="K397" s="56"/>
      <c r="S397" s="59"/>
    </row>
    <row r="398" spans="7:19" x14ac:dyDescent="0.2">
      <c r="G398" s="56"/>
      <c r="H398" s="56"/>
      <c r="I398" s="56"/>
      <c r="J398" s="56"/>
      <c r="K398" s="56"/>
      <c r="S398" s="59"/>
    </row>
    <row r="399" spans="7:19" x14ac:dyDescent="0.2">
      <c r="G399" s="56"/>
      <c r="H399" s="56"/>
      <c r="I399" s="56"/>
      <c r="J399" s="56"/>
      <c r="K399" s="56"/>
      <c r="S399" s="59"/>
    </row>
    <row r="400" spans="7:19" x14ac:dyDescent="0.2">
      <c r="G400" s="56"/>
      <c r="H400" s="56"/>
      <c r="I400" s="56"/>
      <c r="J400" s="56"/>
      <c r="K400" s="56"/>
      <c r="S400" s="59"/>
    </row>
    <row r="401" spans="7:19" x14ac:dyDescent="0.2">
      <c r="G401" s="56"/>
      <c r="H401" s="56"/>
      <c r="I401" s="56"/>
      <c r="J401" s="56"/>
      <c r="K401" s="56"/>
      <c r="S401" s="59"/>
    </row>
    <row r="402" spans="7:19" x14ac:dyDescent="0.2">
      <c r="G402" s="56"/>
      <c r="H402" s="56"/>
      <c r="I402" s="56"/>
      <c r="J402" s="56"/>
      <c r="K402" s="56"/>
      <c r="S402" s="59"/>
    </row>
    <row r="403" spans="7:19" x14ac:dyDescent="0.2">
      <c r="G403" s="56"/>
      <c r="H403" s="56"/>
      <c r="I403" s="56"/>
      <c r="J403" s="56"/>
      <c r="K403" s="56"/>
      <c r="S403" s="59"/>
    </row>
    <row r="404" spans="7:19" x14ac:dyDescent="0.2">
      <c r="G404" s="56"/>
      <c r="H404" s="56"/>
      <c r="I404" s="56"/>
      <c r="J404" s="56"/>
      <c r="K404" s="56"/>
      <c r="S404" s="59"/>
    </row>
    <row r="405" spans="7:19" x14ac:dyDescent="0.2">
      <c r="G405" s="56"/>
      <c r="H405" s="56"/>
      <c r="I405" s="56"/>
      <c r="J405" s="56"/>
      <c r="K405" s="56"/>
      <c r="S405" s="59"/>
    </row>
    <row r="406" spans="7:19" x14ac:dyDescent="0.2">
      <c r="G406" s="56"/>
      <c r="H406" s="56"/>
      <c r="I406" s="56"/>
      <c r="J406" s="56"/>
      <c r="K406" s="56"/>
      <c r="S406" s="59"/>
    </row>
    <row r="407" spans="7:19" x14ac:dyDescent="0.2">
      <c r="G407" s="56"/>
      <c r="H407" s="56"/>
      <c r="I407" s="56"/>
      <c r="J407" s="56"/>
      <c r="K407" s="56"/>
      <c r="S407" s="59"/>
    </row>
    <row r="408" spans="7:19" x14ac:dyDescent="0.2">
      <c r="G408" s="56"/>
      <c r="H408" s="56"/>
      <c r="I408" s="56"/>
      <c r="J408" s="56"/>
      <c r="K408" s="56"/>
      <c r="S408" s="59"/>
    </row>
    <row r="409" spans="7:19" x14ac:dyDescent="0.2">
      <c r="G409" s="56"/>
      <c r="H409" s="56"/>
      <c r="I409" s="56"/>
      <c r="J409" s="56"/>
      <c r="K409" s="56"/>
      <c r="S409" s="59"/>
    </row>
    <row r="410" spans="7:19" x14ac:dyDescent="0.2">
      <c r="G410" s="56"/>
      <c r="H410" s="56"/>
      <c r="I410" s="56"/>
      <c r="J410" s="56"/>
      <c r="K410" s="56"/>
      <c r="S410" s="59"/>
    </row>
    <row r="411" spans="7:19" x14ac:dyDescent="0.2">
      <c r="G411" s="56"/>
      <c r="H411" s="56"/>
      <c r="I411" s="56"/>
      <c r="J411" s="56"/>
      <c r="K411" s="56"/>
      <c r="S411" s="59"/>
    </row>
    <row r="412" spans="7:19" x14ac:dyDescent="0.2">
      <c r="G412" s="56"/>
      <c r="H412" s="56"/>
      <c r="I412" s="56"/>
      <c r="J412" s="56"/>
      <c r="K412" s="56"/>
      <c r="S412" s="59"/>
    </row>
    <row r="413" spans="7:19" x14ac:dyDescent="0.2">
      <c r="G413" s="56"/>
      <c r="H413" s="56"/>
      <c r="I413" s="56"/>
      <c r="J413" s="56"/>
      <c r="K413" s="56"/>
      <c r="S413" s="59"/>
    </row>
    <row r="414" spans="7:19" x14ac:dyDescent="0.2">
      <c r="G414" s="56"/>
      <c r="H414" s="56"/>
      <c r="I414" s="56"/>
      <c r="J414" s="56"/>
      <c r="K414" s="56"/>
      <c r="S414" s="59"/>
    </row>
    <row r="415" spans="7:19" x14ac:dyDescent="0.2">
      <c r="G415" s="56"/>
      <c r="H415" s="56"/>
      <c r="I415" s="56"/>
      <c r="J415" s="56"/>
      <c r="K415" s="56"/>
      <c r="S415" s="59"/>
    </row>
    <row r="416" spans="7:19" x14ac:dyDescent="0.2">
      <c r="G416" s="56"/>
      <c r="H416" s="56"/>
      <c r="I416" s="56"/>
      <c r="J416" s="56"/>
      <c r="K416" s="56"/>
      <c r="S416" s="59"/>
    </row>
    <row r="417" spans="7:19" x14ac:dyDescent="0.2">
      <c r="G417" s="56"/>
      <c r="H417" s="56"/>
      <c r="I417" s="56"/>
      <c r="J417" s="56"/>
      <c r="K417" s="56"/>
      <c r="S417" s="59"/>
    </row>
    <row r="418" spans="7:19" x14ac:dyDescent="0.2">
      <c r="G418" s="56"/>
      <c r="H418" s="56"/>
      <c r="I418" s="56"/>
      <c r="J418" s="56"/>
      <c r="K418" s="56"/>
      <c r="S418" s="59"/>
    </row>
    <row r="419" spans="7:19" x14ac:dyDescent="0.2">
      <c r="G419" s="56"/>
      <c r="H419" s="56"/>
      <c r="I419" s="56"/>
      <c r="J419" s="56"/>
      <c r="K419" s="56"/>
      <c r="S419" s="59"/>
    </row>
    <row r="420" spans="7:19" x14ac:dyDescent="0.2">
      <c r="G420" s="56"/>
      <c r="H420" s="56"/>
      <c r="I420" s="56"/>
      <c r="J420" s="56"/>
      <c r="K420" s="56"/>
      <c r="S420" s="59"/>
    </row>
    <row r="421" spans="7:19" x14ac:dyDescent="0.2">
      <c r="G421" s="56"/>
      <c r="H421" s="56"/>
      <c r="I421" s="56"/>
      <c r="J421" s="56"/>
      <c r="K421" s="56"/>
      <c r="S421" s="59"/>
    </row>
    <row r="422" spans="7:19" x14ac:dyDescent="0.2">
      <c r="G422" s="56"/>
      <c r="H422" s="56"/>
      <c r="I422" s="56"/>
      <c r="J422" s="56"/>
      <c r="K422" s="56"/>
      <c r="S422" s="59"/>
    </row>
    <row r="423" spans="7:19" x14ac:dyDescent="0.2">
      <c r="G423" s="56"/>
      <c r="H423" s="56"/>
      <c r="I423" s="56"/>
      <c r="J423" s="56"/>
      <c r="K423" s="56"/>
      <c r="S423" s="59"/>
    </row>
    <row r="424" spans="7:19" x14ac:dyDescent="0.2">
      <c r="G424" s="56"/>
      <c r="H424" s="56"/>
      <c r="I424" s="56"/>
      <c r="J424" s="56"/>
      <c r="K424" s="56"/>
      <c r="S424" s="59"/>
    </row>
    <row r="425" spans="7:19" x14ac:dyDescent="0.2">
      <c r="G425" s="56"/>
      <c r="H425" s="56"/>
      <c r="I425" s="56"/>
      <c r="J425" s="56"/>
      <c r="K425" s="56"/>
      <c r="S425" s="59"/>
    </row>
    <row r="426" spans="7:19" x14ac:dyDescent="0.2">
      <c r="G426" s="56"/>
      <c r="H426" s="56"/>
      <c r="I426" s="56"/>
      <c r="J426" s="56"/>
      <c r="K426" s="56"/>
      <c r="S426" s="59"/>
    </row>
    <row r="427" spans="7:19" x14ac:dyDescent="0.2">
      <c r="G427" s="56"/>
      <c r="H427" s="56"/>
      <c r="I427" s="56"/>
      <c r="J427" s="56"/>
      <c r="K427" s="56"/>
      <c r="S427" s="59"/>
    </row>
    <row r="428" spans="7:19" x14ac:dyDescent="0.2">
      <c r="G428" s="56"/>
      <c r="H428" s="56"/>
      <c r="I428" s="56"/>
      <c r="J428" s="56"/>
      <c r="K428" s="56"/>
      <c r="S428" s="59"/>
    </row>
    <row r="429" spans="7:19" x14ac:dyDescent="0.2">
      <c r="G429" s="56"/>
      <c r="H429" s="56"/>
      <c r="I429" s="56"/>
      <c r="J429" s="56"/>
      <c r="K429" s="56"/>
      <c r="S429" s="59"/>
    </row>
    <row r="430" spans="7:19" x14ac:dyDescent="0.2">
      <c r="G430" s="56"/>
      <c r="H430" s="56"/>
      <c r="I430" s="56"/>
      <c r="J430" s="56"/>
      <c r="K430" s="56"/>
      <c r="S430" s="59"/>
    </row>
    <row r="431" spans="7:19" x14ac:dyDescent="0.2">
      <c r="G431" s="56"/>
      <c r="H431" s="56"/>
      <c r="I431" s="56"/>
      <c r="J431" s="56"/>
      <c r="K431" s="56"/>
      <c r="S431" s="59"/>
    </row>
    <row r="432" spans="7:19" x14ac:dyDescent="0.2">
      <c r="G432" s="56"/>
      <c r="H432" s="56"/>
      <c r="I432" s="56"/>
      <c r="J432" s="56"/>
      <c r="K432" s="56"/>
      <c r="S432" s="59"/>
    </row>
    <row r="433" spans="7:19" x14ac:dyDescent="0.2">
      <c r="G433" s="56"/>
      <c r="H433" s="56"/>
      <c r="I433" s="56"/>
      <c r="J433" s="56"/>
      <c r="K433" s="56"/>
      <c r="S433" s="59"/>
    </row>
    <row r="434" spans="7:19" x14ac:dyDescent="0.2">
      <c r="G434" s="56"/>
      <c r="H434" s="56"/>
      <c r="I434" s="56"/>
      <c r="J434" s="56"/>
      <c r="K434" s="56"/>
      <c r="S434" s="59"/>
    </row>
    <row r="435" spans="7:19" x14ac:dyDescent="0.2">
      <c r="G435" s="56"/>
      <c r="H435" s="56"/>
      <c r="I435" s="56"/>
      <c r="J435" s="56"/>
      <c r="K435" s="56"/>
      <c r="S435" s="59"/>
    </row>
    <row r="436" spans="7:19" x14ac:dyDescent="0.2">
      <c r="G436" s="56"/>
      <c r="H436" s="56"/>
      <c r="I436" s="56"/>
      <c r="J436" s="56"/>
      <c r="K436" s="56"/>
      <c r="S436" s="59"/>
    </row>
    <row r="437" spans="7:19" x14ac:dyDescent="0.2">
      <c r="G437" s="56"/>
      <c r="H437" s="56"/>
      <c r="I437" s="56"/>
      <c r="J437" s="56"/>
      <c r="K437" s="56"/>
      <c r="S437" s="59"/>
    </row>
    <row r="438" spans="7:19" x14ac:dyDescent="0.2">
      <c r="G438" s="56"/>
      <c r="H438" s="56"/>
      <c r="I438" s="56"/>
      <c r="J438" s="56"/>
      <c r="K438" s="56"/>
      <c r="S438" s="59"/>
    </row>
    <row r="439" spans="7:19" x14ac:dyDescent="0.2">
      <c r="G439" s="56"/>
      <c r="H439" s="56"/>
      <c r="I439" s="56"/>
      <c r="J439" s="56"/>
      <c r="K439" s="56"/>
      <c r="S439" s="59"/>
    </row>
    <row r="440" spans="7:19" x14ac:dyDescent="0.2">
      <c r="G440" s="56"/>
      <c r="H440" s="56"/>
      <c r="I440" s="56"/>
      <c r="J440" s="56"/>
      <c r="K440" s="56"/>
      <c r="S440" s="59"/>
    </row>
    <row r="441" spans="7:19" x14ac:dyDescent="0.2">
      <c r="G441" s="56"/>
      <c r="H441" s="56"/>
      <c r="I441" s="56"/>
      <c r="J441" s="56"/>
      <c r="K441" s="56"/>
      <c r="S441" s="59"/>
    </row>
    <row r="442" spans="7:19" x14ac:dyDescent="0.2">
      <c r="G442" s="56"/>
      <c r="H442" s="56"/>
      <c r="I442" s="56"/>
      <c r="J442" s="56"/>
      <c r="K442" s="56"/>
      <c r="S442" s="59"/>
    </row>
    <row r="443" spans="7:19" x14ac:dyDescent="0.2">
      <c r="G443" s="56"/>
      <c r="H443" s="56"/>
      <c r="I443" s="56"/>
      <c r="J443" s="56"/>
      <c r="K443" s="56"/>
      <c r="S443" s="59"/>
    </row>
    <row r="444" spans="7:19" x14ac:dyDescent="0.2">
      <c r="G444" s="56"/>
      <c r="H444" s="56"/>
      <c r="I444" s="56"/>
      <c r="J444" s="56"/>
      <c r="K444" s="56"/>
      <c r="S444" s="59"/>
    </row>
    <row r="445" spans="7:19" x14ac:dyDescent="0.2">
      <c r="G445" s="56"/>
      <c r="H445" s="56"/>
      <c r="I445" s="56"/>
      <c r="J445" s="56"/>
      <c r="K445" s="56"/>
      <c r="S445" s="59"/>
    </row>
    <row r="446" spans="7:19" x14ac:dyDescent="0.2">
      <c r="G446" s="56"/>
      <c r="H446" s="56"/>
      <c r="I446" s="56"/>
      <c r="J446" s="56"/>
      <c r="K446" s="56"/>
      <c r="S446" s="59"/>
    </row>
    <row r="447" spans="7:19" x14ac:dyDescent="0.2">
      <c r="G447" s="56"/>
      <c r="H447" s="56"/>
      <c r="I447" s="56"/>
      <c r="J447" s="56"/>
      <c r="K447" s="56"/>
      <c r="S447" s="59"/>
    </row>
    <row r="448" spans="7:19" x14ac:dyDescent="0.2">
      <c r="G448" s="56"/>
      <c r="H448" s="56"/>
      <c r="I448" s="56"/>
      <c r="J448" s="56"/>
      <c r="K448" s="56"/>
      <c r="S448" s="59"/>
    </row>
    <row r="449" spans="7:19" x14ac:dyDescent="0.2">
      <c r="G449" s="56"/>
      <c r="H449" s="56"/>
      <c r="I449" s="56"/>
      <c r="J449" s="56"/>
      <c r="K449" s="56"/>
      <c r="S449" s="59"/>
    </row>
    <row r="450" spans="7:19" x14ac:dyDescent="0.2">
      <c r="G450" s="56"/>
      <c r="H450" s="56"/>
      <c r="I450" s="56"/>
      <c r="J450" s="56"/>
      <c r="K450" s="56"/>
      <c r="S450" s="59"/>
    </row>
    <row r="451" spans="7:19" x14ac:dyDescent="0.2">
      <c r="G451" s="56"/>
      <c r="H451" s="56"/>
      <c r="I451" s="56"/>
      <c r="J451" s="56"/>
      <c r="K451" s="56"/>
      <c r="S451" s="59"/>
    </row>
    <row r="452" spans="7:19" x14ac:dyDescent="0.2">
      <c r="G452" s="56"/>
      <c r="H452" s="56"/>
      <c r="I452" s="56"/>
      <c r="J452" s="56"/>
      <c r="K452" s="56"/>
      <c r="S452" s="59"/>
    </row>
    <row r="453" spans="7:19" x14ac:dyDescent="0.2">
      <c r="G453" s="56"/>
      <c r="H453" s="56"/>
      <c r="I453" s="56"/>
      <c r="J453" s="56"/>
      <c r="K453" s="56"/>
      <c r="S453" s="59"/>
    </row>
    <row r="454" spans="7:19" x14ac:dyDescent="0.2">
      <c r="G454" s="56"/>
      <c r="H454" s="56"/>
      <c r="I454" s="56"/>
      <c r="J454" s="56"/>
      <c r="K454" s="56"/>
      <c r="S454" s="59"/>
    </row>
    <row r="455" spans="7:19" x14ac:dyDescent="0.2">
      <c r="G455" s="56"/>
      <c r="H455" s="56"/>
      <c r="I455" s="56"/>
      <c r="J455" s="56"/>
      <c r="K455" s="56"/>
      <c r="S455" s="59"/>
    </row>
    <row r="456" spans="7:19" x14ac:dyDescent="0.2">
      <c r="G456" s="56"/>
      <c r="H456" s="56"/>
      <c r="I456" s="56"/>
      <c r="J456" s="56"/>
      <c r="K456" s="56"/>
      <c r="S456" s="59"/>
    </row>
    <row r="457" spans="7:19" x14ac:dyDescent="0.2">
      <c r="G457" s="56"/>
      <c r="H457" s="56"/>
      <c r="I457" s="56"/>
      <c r="J457" s="56"/>
      <c r="K457" s="56"/>
      <c r="S457" s="59"/>
    </row>
    <row r="458" spans="7:19" x14ac:dyDescent="0.2">
      <c r="G458" s="56"/>
      <c r="H458" s="56"/>
      <c r="I458" s="56"/>
      <c r="J458" s="56"/>
      <c r="K458" s="56"/>
      <c r="S458" s="59"/>
    </row>
    <row r="459" spans="7:19" x14ac:dyDescent="0.2">
      <c r="G459" s="56"/>
      <c r="H459" s="56"/>
      <c r="I459" s="56"/>
      <c r="J459" s="56"/>
      <c r="K459" s="56"/>
      <c r="S459" s="59"/>
    </row>
    <row r="460" spans="7:19" x14ac:dyDescent="0.2">
      <c r="G460" s="56"/>
      <c r="H460" s="56"/>
      <c r="I460" s="56"/>
      <c r="J460" s="56"/>
      <c r="K460" s="56"/>
      <c r="S460" s="59"/>
    </row>
    <row r="461" spans="7:19" x14ac:dyDescent="0.2">
      <c r="G461" s="56"/>
      <c r="H461" s="56"/>
      <c r="I461" s="56"/>
      <c r="J461" s="56"/>
      <c r="K461" s="56"/>
      <c r="S461" s="59"/>
    </row>
    <row r="462" spans="7:19" x14ac:dyDescent="0.2">
      <c r="G462" s="56"/>
      <c r="H462" s="56"/>
      <c r="I462" s="56"/>
      <c r="J462" s="56"/>
      <c r="K462" s="56"/>
      <c r="S462" s="59"/>
    </row>
    <row r="463" spans="7:19" x14ac:dyDescent="0.2">
      <c r="G463" s="56"/>
      <c r="H463" s="56"/>
      <c r="I463" s="56"/>
      <c r="J463" s="56"/>
      <c r="K463" s="56"/>
      <c r="S463" s="59"/>
    </row>
    <row r="464" spans="7:19" x14ac:dyDescent="0.2">
      <c r="G464" s="56"/>
      <c r="H464" s="56"/>
      <c r="I464" s="56"/>
      <c r="J464" s="56"/>
      <c r="K464" s="56"/>
      <c r="S464" s="59"/>
    </row>
    <row r="465" spans="7:19" x14ac:dyDescent="0.2">
      <c r="G465" s="56"/>
      <c r="H465" s="56"/>
      <c r="I465" s="56"/>
      <c r="J465" s="56"/>
      <c r="K465" s="56"/>
      <c r="S465" s="59"/>
    </row>
    <row r="466" spans="7:19" x14ac:dyDescent="0.2">
      <c r="G466" s="56"/>
      <c r="H466" s="56"/>
      <c r="I466" s="56"/>
      <c r="J466" s="56"/>
      <c r="K466" s="56"/>
      <c r="S466" s="59"/>
    </row>
    <row r="467" spans="7:19" x14ac:dyDescent="0.2">
      <c r="G467" s="56"/>
      <c r="H467" s="56"/>
      <c r="I467" s="56"/>
      <c r="J467" s="56"/>
      <c r="K467" s="56"/>
      <c r="S467" s="59"/>
    </row>
    <row r="468" spans="7:19" x14ac:dyDescent="0.2">
      <c r="G468" s="56"/>
      <c r="H468" s="56"/>
      <c r="I468" s="56"/>
      <c r="J468" s="56"/>
      <c r="K468" s="56"/>
      <c r="S468" s="59"/>
    </row>
    <row r="469" spans="7:19" x14ac:dyDescent="0.2">
      <c r="G469" s="56"/>
      <c r="H469" s="56"/>
      <c r="I469" s="56"/>
      <c r="J469" s="56"/>
      <c r="K469" s="56"/>
      <c r="S469" s="59"/>
    </row>
    <row r="470" spans="7:19" x14ac:dyDescent="0.2">
      <c r="G470" s="56"/>
      <c r="H470" s="56"/>
      <c r="I470" s="56"/>
      <c r="J470" s="56"/>
      <c r="K470" s="56"/>
      <c r="S470" s="59"/>
    </row>
    <row r="471" spans="7:19" x14ac:dyDescent="0.2">
      <c r="G471" s="56"/>
      <c r="H471" s="56"/>
      <c r="I471" s="56"/>
      <c r="J471" s="56"/>
      <c r="K471" s="56"/>
      <c r="S471" s="59"/>
    </row>
    <row r="472" spans="7:19" x14ac:dyDescent="0.2">
      <c r="G472" s="56"/>
      <c r="H472" s="56"/>
      <c r="I472" s="56"/>
      <c r="J472" s="56"/>
      <c r="K472" s="56"/>
      <c r="S472" s="59"/>
    </row>
    <row r="473" spans="7:19" x14ac:dyDescent="0.2">
      <c r="G473" s="56"/>
      <c r="H473" s="56"/>
      <c r="I473" s="56"/>
      <c r="J473" s="56"/>
      <c r="K473" s="56"/>
      <c r="S473" s="59"/>
    </row>
    <row r="474" spans="7:19" x14ac:dyDescent="0.2">
      <c r="G474" s="56"/>
      <c r="H474" s="56"/>
      <c r="I474" s="56"/>
      <c r="J474" s="56"/>
      <c r="K474" s="56"/>
      <c r="S474" s="59"/>
    </row>
    <row r="475" spans="7:19" x14ac:dyDescent="0.2">
      <c r="G475" s="56"/>
      <c r="H475" s="56"/>
      <c r="I475" s="56"/>
      <c r="J475" s="56"/>
      <c r="K475" s="56"/>
      <c r="S475" s="59"/>
    </row>
    <row r="476" spans="7:19" x14ac:dyDescent="0.2">
      <c r="G476" s="56"/>
      <c r="H476" s="56"/>
      <c r="I476" s="56"/>
      <c r="J476" s="56"/>
      <c r="K476" s="56"/>
      <c r="S476" s="59"/>
    </row>
    <row r="477" spans="7:19" x14ac:dyDescent="0.2">
      <c r="G477" s="56"/>
      <c r="H477" s="56"/>
      <c r="I477" s="56"/>
      <c r="J477" s="56"/>
      <c r="K477" s="56"/>
      <c r="S477" s="59"/>
    </row>
    <row r="478" spans="7:19" x14ac:dyDescent="0.2">
      <c r="G478" s="56"/>
      <c r="H478" s="56"/>
      <c r="I478" s="56"/>
      <c r="J478" s="56"/>
      <c r="K478" s="56"/>
      <c r="S478" s="59"/>
    </row>
    <row r="479" spans="7:19" x14ac:dyDescent="0.2">
      <c r="G479" s="56"/>
      <c r="H479" s="56"/>
      <c r="I479" s="56"/>
      <c r="J479" s="56"/>
      <c r="K479" s="56"/>
      <c r="S479" s="59"/>
    </row>
    <row r="480" spans="7:19" x14ac:dyDescent="0.2">
      <c r="G480" s="56"/>
      <c r="H480" s="56"/>
      <c r="I480" s="56"/>
      <c r="J480" s="56"/>
      <c r="K480" s="56"/>
      <c r="S480" s="59"/>
    </row>
    <row r="481" spans="7:19" x14ac:dyDescent="0.2">
      <c r="G481" s="56"/>
      <c r="H481" s="56"/>
      <c r="I481" s="56"/>
      <c r="J481" s="56"/>
      <c r="K481" s="56"/>
      <c r="S481" s="59"/>
    </row>
    <row r="482" spans="7:19" x14ac:dyDescent="0.2">
      <c r="G482" s="56"/>
      <c r="H482" s="56"/>
      <c r="I482" s="56"/>
      <c r="J482" s="56"/>
      <c r="K482" s="56"/>
      <c r="S482" s="59"/>
    </row>
    <row r="483" spans="7:19" x14ac:dyDescent="0.2">
      <c r="G483" s="56"/>
      <c r="H483" s="56"/>
      <c r="I483" s="56"/>
      <c r="J483" s="56"/>
      <c r="K483" s="56"/>
      <c r="S483" s="59"/>
    </row>
    <row r="484" spans="7:19" x14ac:dyDescent="0.2">
      <c r="G484" s="56"/>
      <c r="H484" s="56"/>
      <c r="I484" s="56"/>
      <c r="J484" s="56"/>
      <c r="K484" s="56"/>
      <c r="S484" s="59"/>
    </row>
    <row r="485" spans="7:19" x14ac:dyDescent="0.2">
      <c r="G485" s="56"/>
      <c r="H485" s="56"/>
      <c r="I485" s="56"/>
      <c r="J485" s="56"/>
      <c r="K485" s="56"/>
      <c r="S485" s="59"/>
    </row>
    <row r="486" spans="7:19" x14ac:dyDescent="0.2">
      <c r="G486" s="56"/>
      <c r="H486" s="56"/>
      <c r="I486" s="56"/>
      <c r="J486" s="56"/>
      <c r="K486" s="56"/>
      <c r="S486" s="59"/>
    </row>
    <row r="487" spans="7:19" x14ac:dyDescent="0.2">
      <c r="G487" s="56"/>
      <c r="H487" s="56"/>
      <c r="I487" s="56"/>
      <c r="J487" s="56"/>
      <c r="K487" s="56"/>
      <c r="S487" s="59"/>
    </row>
    <row r="488" spans="7:19" x14ac:dyDescent="0.2">
      <c r="G488" s="56"/>
      <c r="H488" s="56"/>
      <c r="I488" s="56"/>
      <c r="J488" s="56"/>
      <c r="K488" s="56"/>
      <c r="S488" s="59"/>
    </row>
    <row r="489" spans="7:19" x14ac:dyDescent="0.2">
      <c r="G489" s="56"/>
      <c r="H489" s="56"/>
      <c r="I489" s="56"/>
      <c r="J489" s="56"/>
      <c r="K489" s="56"/>
      <c r="S489" s="59"/>
    </row>
    <row r="490" spans="7:19" x14ac:dyDescent="0.2">
      <c r="G490" s="56"/>
      <c r="H490" s="56"/>
      <c r="I490" s="56"/>
      <c r="J490" s="56"/>
      <c r="K490" s="56"/>
      <c r="S490" s="59"/>
    </row>
    <row r="491" spans="7:19" x14ac:dyDescent="0.2">
      <c r="G491" s="56"/>
      <c r="H491" s="56"/>
      <c r="I491" s="56"/>
      <c r="J491" s="56"/>
      <c r="K491" s="56"/>
      <c r="S491" s="59"/>
    </row>
    <row r="492" spans="7:19" x14ac:dyDescent="0.2">
      <c r="G492" s="56"/>
      <c r="H492" s="56"/>
      <c r="I492" s="56"/>
      <c r="J492" s="56"/>
      <c r="K492" s="56"/>
      <c r="S492" s="59"/>
    </row>
    <row r="493" spans="7:19" x14ac:dyDescent="0.2">
      <c r="G493" s="56"/>
      <c r="H493" s="56"/>
      <c r="I493" s="56"/>
      <c r="J493" s="56"/>
      <c r="K493" s="56"/>
      <c r="S493" s="59"/>
    </row>
    <row r="494" spans="7:19" x14ac:dyDescent="0.2">
      <c r="G494" s="56"/>
      <c r="H494" s="56"/>
      <c r="I494" s="56"/>
      <c r="J494" s="56"/>
      <c r="K494" s="56"/>
      <c r="S494" s="59"/>
    </row>
    <row r="495" spans="7:19" x14ac:dyDescent="0.2">
      <c r="G495" s="56"/>
      <c r="H495" s="56"/>
      <c r="I495" s="56"/>
      <c r="J495" s="56"/>
      <c r="K495" s="56"/>
      <c r="S495" s="59"/>
    </row>
    <row r="496" spans="7:19" x14ac:dyDescent="0.2">
      <c r="G496" s="56"/>
      <c r="H496" s="56"/>
      <c r="I496" s="56"/>
      <c r="J496" s="56"/>
      <c r="K496" s="56"/>
      <c r="S496" s="59"/>
    </row>
    <row r="497" spans="7:19" x14ac:dyDescent="0.2">
      <c r="G497" s="56"/>
      <c r="H497" s="56"/>
      <c r="I497" s="56"/>
      <c r="J497" s="56"/>
      <c r="K497" s="56"/>
      <c r="S497" s="59"/>
    </row>
    <row r="498" spans="7:19" x14ac:dyDescent="0.2">
      <c r="G498" s="56"/>
      <c r="H498" s="56"/>
      <c r="I498" s="56"/>
      <c r="J498" s="56"/>
      <c r="K498" s="56"/>
      <c r="S498" s="59"/>
    </row>
    <row r="499" spans="7:19" x14ac:dyDescent="0.2">
      <c r="G499" s="56"/>
      <c r="H499" s="56"/>
      <c r="I499" s="56"/>
      <c r="J499" s="56"/>
      <c r="K499" s="56"/>
      <c r="S499" s="59"/>
    </row>
    <row r="500" spans="7:19" x14ac:dyDescent="0.2">
      <c r="G500" s="56"/>
      <c r="H500" s="56"/>
      <c r="I500" s="56"/>
      <c r="J500" s="56"/>
      <c r="K500" s="56"/>
      <c r="S500" s="59"/>
    </row>
    <row r="501" spans="7:19" x14ac:dyDescent="0.2">
      <c r="G501" s="56"/>
      <c r="H501" s="56"/>
      <c r="I501" s="56"/>
      <c r="J501" s="56"/>
      <c r="K501" s="56"/>
      <c r="S501" s="59"/>
    </row>
    <row r="502" spans="7:19" x14ac:dyDescent="0.2">
      <c r="G502" s="56"/>
      <c r="H502" s="56"/>
      <c r="I502" s="56"/>
      <c r="J502" s="56"/>
      <c r="K502" s="56"/>
      <c r="S502" s="59"/>
    </row>
    <row r="503" spans="7:19" x14ac:dyDescent="0.2">
      <c r="G503" s="56"/>
      <c r="H503" s="56"/>
      <c r="I503" s="56"/>
      <c r="J503" s="56"/>
      <c r="K503" s="56"/>
      <c r="S503" s="59"/>
    </row>
    <row r="504" spans="7:19" x14ac:dyDescent="0.2">
      <c r="G504" s="56"/>
      <c r="H504" s="56"/>
      <c r="I504" s="56"/>
      <c r="J504" s="56"/>
      <c r="K504" s="56"/>
      <c r="S504" s="59"/>
    </row>
    <row r="505" spans="7:19" x14ac:dyDescent="0.2">
      <c r="G505" s="56"/>
      <c r="H505" s="56"/>
      <c r="I505" s="56"/>
      <c r="J505" s="56"/>
      <c r="K505" s="56"/>
      <c r="S505" s="59"/>
    </row>
    <row r="506" spans="7:19" x14ac:dyDescent="0.2">
      <c r="G506" s="56"/>
      <c r="H506" s="56"/>
      <c r="I506" s="56"/>
      <c r="J506" s="56"/>
      <c r="K506" s="56"/>
      <c r="S506" s="59"/>
    </row>
    <row r="507" spans="7:19" x14ac:dyDescent="0.2">
      <c r="G507" s="56"/>
      <c r="H507" s="56"/>
      <c r="I507" s="56"/>
      <c r="J507" s="56"/>
      <c r="K507" s="56"/>
      <c r="S507" s="59"/>
    </row>
    <row r="508" spans="7:19" x14ac:dyDescent="0.2">
      <c r="G508" s="56"/>
      <c r="H508" s="56"/>
      <c r="I508" s="56"/>
      <c r="J508" s="56"/>
      <c r="K508" s="56"/>
      <c r="S508" s="59"/>
    </row>
    <row r="509" spans="7:19" x14ac:dyDescent="0.2">
      <c r="G509" s="56"/>
      <c r="H509" s="56"/>
      <c r="I509" s="56"/>
      <c r="J509" s="56"/>
      <c r="K509" s="56"/>
      <c r="S509" s="59"/>
    </row>
    <row r="510" spans="7:19" x14ac:dyDescent="0.2">
      <c r="G510" s="56"/>
      <c r="H510" s="56"/>
      <c r="I510" s="56"/>
      <c r="J510" s="56"/>
      <c r="K510" s="56"/>
      <c r="S510" s="59"/>
    </row>
    <row r="511" spans="7:19" x14ac:dyDescent="0.2">
      <c r="G511" s="56"/>
      <c r="H511" s="56"/>
      <c r="I511" s="56"/>
      <c r="J511" s="56"/>
      <c r="K511" s="56"/>
      <c r="S511" s="59"/>
    </row>
    <row r="512" spans="7:19" x14ac:dyDescent="0.2">
      <c r="G512" s="56"/>
      <c r="H512" s="56"/>
      <c r="I512" s="56"/>
      <c r="J512" s="56"/>
      <c r="K512" s="56"/>
      <c r="S512" s="59"/>
    </row>
    <row r="513" spans="7:19" x14ac:dyDescent="0.2">
      <c r="G513" s="56"/>
      <c r="H513" s="56"/>
      <c r="I513" s="56"/>
      <c r="J513" s="56"/>
      <c r="K513" s="56"/>
      <c r="S513" s="59"/>
    </row>
    <row r="514" spans="7:19" x14ac:dyDescent="0.2">
      <c r="G514" s="56"/>
      <c r="H514" s="56"/>
      <c r="I514" s="56"/>
      <c r="J514" s="56"/>
      <c r="K514" s="56"/>
      <c r="S514" s="59"/>
    </row>
    <row r="515" spans="7:19" x14ac:dyDescent="0.2">
      <c r="G515" s="56"/>
      <c r="H515" s="56"/>
      <c r="I515" s="56"/>
      <c r="J515" s="56"/>
      <c r="K515" s="56"/>
      <c r="S515" s="59"/>
    </row>
    <row r="516" spans="7:19" x14ac:dyDescent="0.2">
      <c r="G516" s="56"/>
      <c r="H516" s="56"/>
      <c r="I516" s="56"/>
      <c r="J516" s="56"/>
      <c r="K516" s="56"/>
      <c r="S516" s="59"/>
    </row>
    <row r="517" spans="7:19" x14ac:dyDescent="0.2">
      <c r="G517" s="56"/>
      <c r="H517" s="56"/>
      <c r="I517" s="56"/>
      <c r="J517" s="56"/>
      <c r="K517" s="56"/>
      <c r="S517" s="59"/>
    </row>
    <row r="518" spans="7:19" x14ac:dyDescent="0.2">
      <c r="G518" s="56"/>
      <c r="H518" s="56"/>
      <c r="I518" s="56"/>
      <c r="J518" s="56"/>
      <c r="K518" s="56"/>
      <c r="S518" s="59"/>
    </row>
    <row r="519" spans="7:19" x14ac:dyDescent="0.2">
      <c r="G519" s="56"/>
      <c r="H519" s="56"/>
      <c r="I519" s="56"/>
      <c r="J519" s="56"/>
      <c r="K519" s="56"/>
      <c r="S519" s="59"/>
    </row>
    <row r="520" spans="7:19" x14ac:dyDescent="0.2">
      <c r="G520" s="56"/>
      <c r="H520" s="56"/>
      <c r="I520" s="56"/>
      <c r="J520" s="56"/>
      <c r="K520" s="56"/>
      <c r="S520" s="59"/>
    </row>
    <row r="521" spans="7:19" x14ac:dyDescent="0.2">
      <c r="G521" s="56"/>
      <c r="H521" s="56"/>
      <c r="I521" s="56"/>
      <c r="J521" s="56"/>
      <c r="K521" s="56"/>
      <c r="S521" s="59"/>
    </row>
    <row r="522" spans="7:19" x14ac:dyDescent="0.2">
      <c r="G522" s="56"/>
      <c r="H522" s="56"/>
      <c r="I522" s="56"/>
      <c r="J522" s="56"/>
      <c r="K522" s="56"/>
      <c r="S522" s="59"/>
    </row>
    <row r="523" spans="7:19" x14ac:dyDescent="0.2">
      <c r="G523" s="56"/>
      <c r="H523" s="56"/>
      <c r="I523" s="56"/>
      <c r="J523" s="56"/>
      <c r="K523" s="56"/>
      <c r="S523" s="59"/>
    </row>
    <row r="524" spans="7:19" x14ac:dyDescent="0.2">
      <c r="G524" s="56"/>
      <c r="H524" s="56"/>
      <c r="I524" s="56"/>
      <c r="J524" s="56"/>
      <c r="K524" s="56"/>
      <c r="S524" s="59"/>
    </row>
    <row r="525" spans="7:19" x14ac:dyDescent="0.2">
      <c r="G525" s="56"/>
      <c r="H525" s="56"/>
      <c r="I525" s="56"/>
      <c r="J525" s="56"/>
      <c r="K525" s="56"/>
      <c r="S525" s="59"/>
    </row>
    <row r="526" spans="7:19" x14ac:dyDescent="0.2">
      <c r="G526" s="56"/>
      <c r="H526" s="56"/>
      <c r="I526" s="56"/>
      <c r="J526" s="56"/>
      <c r="K526" s="56"/>
      <c r="S526" s="59"/>
    </row>
    <row r="527" spans="7:19" x14ac:dyDescent="0.2">
      <c r="G527" s="56"/>
      <c r="H527" s="56"/>
      <c r="I527" s="56"/>
      <c r="J527" s="56"/>
      <c r="K527" s="56"/>
      <c r="S527" s="59"/>
    </row>
    <row r="528" spans="7:19" x14ac:dyDescent="0.2">
      <c r="G528" s="56"/>
      <c r="H528" s="56"/>
      <c r="I528" s="56"/>
      <c r="J528" s="56"/>
      <c r="K528" s="56"/>
      <c r="S528" s="59"/>
    </row>
    <row r="529" spans="7:19" x14ac:dyDescent="0.2">
      <c r="G529" s="56"/>
      <c r="H529" s="56"/>
      <c r="I529" s="56"/>
      <c r="J529" s="56"/>
      <c r="K529" s="56"/>
      <c r="S529" s="59"/>
    </row>
    <row r="530" spans="7:19" x14ac:dyDescent="0.2">
      <c r="G530" s="56"/>
      <c r="H530" s="56"/>
      <c r="I530" s="56"/>
      <c r="J530" s="56"/>
      <c r="K530" s="56"/>
      <c r="S530" s="59"/>
    </row>
    <row r="531" spans="7:19" x14ac:dyDescent="0.2">
      <c r="G531" s="56"/>
      <c r="H531" s="56"/>
      <c r="I531" s="56"/>
      <c r="J531" s="56"/>
      <c r="K531" s="56"/>
      <c r="S531" s="59"/>
    </row>
    <row r="532" spans="7:19" x14ac:dyDescent="0.2">
      <c r="G532" s="56"/>
      <c r="H532" s="56"/>
      <c r="I532" s="56"/>
      <c r="J532" s="56"/>
      <c r="K532" s="56"/>
      <c r="S532" s="59"/>
    </row>
    <row r="533" spans="7:19" x14ac:dyDescent="0.2">
      <c r="G533" s="56"/>
      <c r="H533" s="56"/>
      <c r="I533" s="56"/>
      <c r="J533" s="56"/>
      <c r="K533" s="56"/>
      <c r="S533" s="59"/>
    </row>
    <row r="534" spans="7:19" x14ac:dyDescent="0.2">
      <c r="G534" s="56"/>
      <c r="H534" s="56"/>
      <c r="I534" s="56"/>
      <c r="J534" s="56"/>
      <c r="K534" s="56"/>
      <c r="S534" s="59"/>
    </row>
    <row r="535" spans="7:19" x14ac:dyDescent="0.2">
      <c r="G535" s="56"/>
      <c r="H535" s="56"/>
      <c r="I535" s="56"/>
      <c r="J535" s="56"/>
      <c r="K535" s="56"/>
      <c r="S535" s="59"/>
    </row>
    <row r="536" spans="7:19" x14ac:dyDescent="0.2">
      <c r="G536" s="56"/>
      <c r="H536" s="56"/>
      <c r="I536" s="56"/>
      <c r="J536" s="56"/>
      <c r="K536" s="56"/>
      <c r="S536" s="59"/>
    </row>
    <row r="537" spans="7:19" x14ac:dyDescent="0.2">
      <c r="G537" s="56"/>
      <c r="H537" s="56"/>
      <c r="I537" s="56"/>
      <c r="J537" s="56"/>
      <c r="K537" s="56"/>
      <c r="S537" s="59"/>
    </row>
    <row r="538" spans="7:19" x14ac:dyDescent="0.2">
      <c r="G538" s="56"/>
      <c r="H538" s="56"/>
      <c r="I538" s="56"/>
      <c r="J538" s="56"/>
      <c r="K538" s="56"/>
      <c r="S538" s="59"/>
    </row>
    <row r="539" spans="7:19" x14ac:dyDescent="0.2">
      <c r="G539" s="56"/>
      <c r="H539" s="56"/>
      <c r="I539" s="56"/>
      <c r="J539" s="56"/>
      <c r="K539" s="56"/>
      <c r="S539" s="59"/>
    </row>
    <row r="540" spans="7:19" x14ac:dyDescent="0.2">
      <c r="G540" s="56"/>
      <c r="H540" s="56"/>
      <c r="I540" s="56"/>
      <c r="J540" s="56"/>
      <c r="K540" s="56"/>
      <c r="S540" s="59"/>
    </row>
    <row r="541" spans="7:19" x14ac:dyDescent="0.2">
      <c r="G541" s="56"/>
      <c r="H541" s="56"/>
      <c r="I541" s="56"/>
      <c r="J541" s="56"/>
      <c r="K541" s="56"/>
      <c r="S541" s="59"/>
    </row>
    <row r="542" spans="7:19" x14ac:dyDescent="0.2">
      <c r="G542" s="56"/>
      <c r="H542" s="56"/>
      <c r="I542" s="56"/>
      <c r="J542" s="56"/>
      <c r="K542" s="56"/>
      <c r="S542" s="59"/>
    </row>
    <row r="543" spans="7:19" x14ac:dyDescent="0.2">
      <c r="G543" s="56"/>
      <c r="H543" s="56"/>
      <c r="I543" s="56"/>
      <c r="J543" s="56"/>
      <c r="K543" s="56"/>
      <c r="S543" s="59"/>
    </row>
    <row r="544" spans="7:19" x14ac:dyDescent="0.2">
      <c r="G544" s="56"/>
      <c r="H544" s="56"/>
      <c r="I544" s="56"/>
      <c r="J544" s="56"/>
      <c r="K544" s="56"/>
      <c r="S544" s="59"/>
    </row>
    <row r="545" spans="7:19" x14ac:dyDescent="0.2">
      <c r="G545" s="56"/>
      <c r="H545" s="56"/>
      <c r="I545" s="56"/>
      <c r="J545" s="56"/>
      <c r="K545" s="56"/>
      <c r="S545" s="59"/>
    </row>
    <row r="546" spans="7:19" x14ac:dyDescent="0.2">
      <c r="G546" s="56"/>
      <c r="H546" s="56"/>
      <c r="I546" s="56"/>
      <c r="J546" s="56"/>
      <c r="K546" s="56"/>
      <c r="S546" s="59"/>
    </row>
    <row r="547" spans="7:19" x14ac:dyDescent="0.2">
      <c r="G547" s="56"/>
      <c r="H547" s="56"/>
      <c r="I547" s="56"/>
      <c r="J547" s="56"/>
      <c r="K547" s="56"/>
      <c r="S547" s="59"/>
    </row>
    <row r="548" spans="7:19" x14ac:dyDescent="0.2">
      <c r="G548" s="56"/>
      <c r="H548" s="56"/>
      <c r="I548" s="56"/>
      <c r="J548" s="56"/>
      <c r="K548" s="56"/>
      <c r="S548" s="59"/>
    </row>
    <row r="549" spans="7:19" x14ac:dyDescent="0.2">
      <c r="G549" s="56"/>
      <c r="H549" s="56"/>
      <c r="I549" s="56"/>
      <c r="J549" s="56"/>
      <c r="K549" s="56"/>
      <c r="S549" s="59"/>
    </row>
    <row r="550" spans="7:19" x14ac:dyDescent="0.2">
      <c r="G550" s="56"/>
      <c r="H550" s="56"/>
      <c r="I550" s="56"/>
      <c r="J550" s="56"/>
      <c r="K550" s="56"/>
      <c r="S550" s="59"/>
    </row>
    <row r="551" spans="7:19" x14ac:dyDescent="0.2">
      <c r="G551" s="56"/>
      <c r="H551" s="56"/>
      <c r="I551" s="56"/>
      <c r="J551" s="56"/>
      <c r="K551" s="56"/>
      <c r="S551" s="59"/>
    </row>
    <row r="552" spans="7:19" x14ac:dyDescent="0.2">
      <c r="G552" s="56"/>
      <c r="H552" s="56"/>
      <c r="I552" s="56"/>
      <c r="J552" s="56"/>
      <c r="K552" s="56"/>
      <c r="S552" s="59"/>
    </row>
    <row r="553" spans="7:19" x14ac:dyDescent="0.2">
      <c r="G553" s="56"/>
      <c r="H553" s="56"/>
      <c r="I553" s="56"/>
      <c r="J553" s="56"/>
      <c r="K553" s="56"/>
      <c r="S553" s="59"/>
    </row>
    <row r="554" spans="7:19" x14ac:dyDescent="0.2">
      <c r="G554" s="56"/>
      <c r="H554" s="56"/>
      <c r="I554" s="56"/>
      <c r="J554" s="56"/>
      <c r="K554" s="56"/>
      <c r="S554" s="59"/>
    </row>
    <row r="555" spans="7:19" x14ac:dyDescent="0.2">
      <c r="G555" s="56"/>
      <c r="H555" s="56"/>
      <c r="I555" s="56"/>
      <c r="J555" s="56"/>
      <c r="K555" s="56"/>
      <c r="S555" s="59"/>
    </row>
    <row r="556" spans="7:19" x14ac:dyDescent="0.2">
      <c r="G556" s="56"/>
      <c r="H556" s="56"/>
      <c r="I556" s="56"/>
      <c r="J556" s="56"/>
      <c r="K556" s="56"/>
      <c r="S556" s="59"/>
    </row>
    <row r="557" spans="7:19" x14ac:dyDescent="0.2">
      <c r="G557" s="56"/>
      <c r="H557" s="56"/>
      <c r="I557" s="56"/>
      <c r="J557" s="56"/>
      <c r="K557" s="56"/>
      <c r="S557" s="59"/>
    </row>
    <row r="558" spans="7:19" x14ac:dyDescent="0.2">
      <c r="G558" s="56"/>
      <c r="H558" s="56"/>
      <c r="I558" s="56"/>
      <c r="J558" s="56"/>
      <c r="K558" s="56"/>
      <c r="S558" s="59"/>
    </row>
    <row r="559" spans="7:19" x14ac:dyDescent="0.2">
      <c r="G559" s="56"/>
      <c r="H559" s="56"/>
      <c r="I559" s="56"/>
      <c r="J559" s="56"/>
      <c r="K559" s="56"/>
      <c r="S559" s="59"/>
    </row>
    <row r="560" spans="7:19" x14ac:dyDescent="0.2">
      <c r="G560" s="56"/>
      <c r="H560" s="56"/>
      <c r="I560" s="56"/>
      <c r="J560" s="56"/>
      <c r="K560" s="56"/>
      <c r="S560" s="59"/>
    </row>
    <row r="561" spans="7:19" x14ac:dyDescent="0.2">
      <c r="G561" s="56"/>
      <c r="H561" s="56"/>
      <c r="I561" s="56"/>
      <c r="J561" s="56"/>
      <c r="K561" s="56"/>
      <c r="S561" s="59"/>
    </row>
    <row r="562" spans="7:19" x14ac:dyDescent="0.2">
      <c r="G562" s="56"/>
      <c r="H562" s="56"/>
      <c r="I562" s="56"/>
      <c r="J562" s="56"/>
      <c r="K562" s="56"/>
      <c r="S562" s="59"/>
    </row>
    <row r="563" spans="7:19" x14ac:dyDescent="0.2">
      <c r="G563" s="56"/>
      <c r="H563" s="56"/>
      <c r="I563" s="56"/>
      <c r="J563" s="56"/>
      <c r="K563" s="56"/>
      <c r="S563" s="59"/>
    </row>
    <row r="564" spans="7:19" x14ac:dyDescent="0.2">
      <c r="G564" s="56"/>
      <c r="H564" s="56"/>
      <c r="I564" s="56"/>
      <c r="J564" s="56"/>
      <c r="K564" s="56"/>
      <c r="S564" s="59"/>
    </row>
    <row r="565" spans="7:19" x14ac:dyDescent="0.2">
      <c r="G565" s="56"/>
      <c r="H565" s="56"/>
      <c r="I565" s="56"/>
      <c r="J565" s="56"/>
      <c r="K565" s="56"/>
      <c r="S565" s="59"/>
    </row>
    <row r="566" spans="7:19" x14ac:dyDescent="0.2">
      <c r="G566" s="56"/>
      <c r="H566" s="56"/>
      <c r="I566" s="56"/>
      <c r="J566" s="56"/>
      <c r="K566" s="56"/>
      <c r="S566" s="59"/>
    </row>
    <row r="567" spans="7:19" x14ac:dyDescent="0.2">
      <c r="G567" s="56"/>
      <c r="H567" s="56"/>
      <c r="I567" s="56"/>
      <c r="J567" s="56"/>
      <c r="K567" s="56"/>
      <c r="S567" s="59"/>
    </row>
    <row r="568" spans="7:19" x14ac:dyDescent="0.2">
      <c r="G568" s="56"/>
      <c r="H568" s="56"/>
      <c r="I568" s="56"/>
      <c r="J568" s="56"/>
      <c r="K568" s="56"/>
      <c r="S568" s="59"/>
    </row>
    <row r="569" spans="7:19" x14ac:dyDescent="0.2">
      <c r="G569" s="56"/>
      <c r="H569" s="56"/>
      <c r="I569" s="56"/>
      <c r="J569" s="56"/>
      <c r="K569" s="56"/>
      <c r="S569" s="59"/>
    </row>
    <row r="570" spans="7:19" x14ac:dyDescent="0.2">
      <c r="G570" s="56"/>
      <c r="H570" s="56"/>
      <c r="I570" s="56"/>
      <c r="J570" s="56"/>
      <c r="K570" s="56"/>
      <c r="S570" s="59"/>
    </row>
    <row r="571" spans="7:19" x14ac:dyDescent="0.2">
      <c r="G571" s="56"/>
      <c r="H571" s="56"/>
      <c r="I571" s="56"/>
      <c r="J571" s="56"/>
      <c r="K571" s="56"/>
      <c r="S571" s="59"/>
    </row>
    <row r="572" spans="7:19" x14ac:dyDescent="0.2">
      <c r="G572" s="56"/>
      <c r="H572" s="56"/>
      <c r="I572" s="56"/>
      <c r="J572" s="56"/>
      <c r="K572" s="56"/>
      <c r="S572" s="59"/>
    </row>
    <row r="573" spans="7:19" x14ac:dyDescent="0.2">
      <c r="G573" s="56"/>
      <c r="H573" s="56"/>
      <c r="I573" s="56"/>
      <c r="J573" s="56"/>
      <c r="K573" s="56"/>
      <c r="S573" s="59"/>
    </row>
    <row r="574" spans="7:19" x14ac:dyDescent="0.2">
      <c r="G574" s="56"/>
      <c r="H574" s="56"/>
      <c r="I574" s="56"/>
      <c r="J574" s="56"/>
      <c r="K574" s="56"/>
      <c r="S574" s="59"/>
    </row>
    <row r="575" spans="7:19" x14ac:dyDescent="0.2">
      <c r="G575" s="56"/>
      <c r="H575" s="56"/>
      <c r="I575" s="56"/>
      <c r="J575" s="56"/>
      <c r="K575" s="56"/>
      <c r="S575" s="59"/>
    </row>
    <row r="576" spans="7:19" x14ac:dyDescent="0.2">
      <c r="G576" s="56"/>
      <c r="H576" s="56"/>
      <c r="I576" s="56"/>
      <c r="J576" s="56"/>
      <c r="K576" s="56"/>
      <c r="S576" s="59"/>
    </row>
    <row r="577" spans="7:19" x14ac:dyDescent="0.2">
      <c r="G577" s="56"/>
      <c r="H577" s="56"/>
      <c r="I577" s="56"/>
      <c r="J577" s="56"/>
      <c r="K577" s="56"/>
      <c r="S577" s="59"/>
    </row>
    <row r="578" spans="7:19" x14ac:dyDescent="0.2">
      <c r="G578" s="56"/>
      <c r="H578" s="56"/>
      <c r="I578" s="56"/>
      <c r="J578" s="56"/>
      <c r="K578" s="56"/>
      <c r="S578" s="59"/>
    </row>
    <row r="579" spans="7:19" x14ac:dyDescent="0.2">
      <c r="G579" s="56"/>
      <c r="H579" s="56"/>
      <c r="I579" s="56"/>
      <c r="J579" s="56"/>
      <c r="K579" s="56"/>
      <c r="S579" s="59"/>
    </row>
    <row r="580" spans="7:19" x14ac:dyDescent="0.2">
      <c r="G580" s="56"/>
      <c r="H580" s="56"/>
      <c r="I580" s="56"/>
      <c r="J580" s="56"/>
      <c r="K580" s="56"/>
      <c r="S580" s="59"/>
    </row>
    <row r="581" spans="7:19" x14ac:dyDescent="0.2">
      <c r="G581" s="56"/>
      <c r="H581" s="56"/>
      <c r="I581" s="56"/>
      <c r="J581" s="56"/>
      <c r="K581" s="56"/>
      <c r="S581" s="59"/>
    </row>
    <row r="582" spans="7:19" x14ac:dyDescent="0.2">
      <c r="G582" s="56"/>
      <c r="H582" s="56"/>
      <c r="I582" s="56"/>
      <c r="J582" s="56"/>
      <c r="K582" s="56"/>
      <c r="S582" s="59"/>
    </row>
    <row r="583" spans="7:19" x14ac:dyDescent="0.2">
      <c r="G583" s="56"/>
      <c r="H583" s="56"/>
      <c r="I583" s="56"/>
      <c r="J583" s="56"/>
      <c r="K583" s="56"/>
      <c r="S583" s="59"/>
    </row>
    <row r="584" spans="7:19" x14ac:dyDescent="0.2">
      <c r="G584" s="56"/>
      <c r="H584" s="56"/>
      <c r="I584" s="56"/>
      <c r="J584" s="56"/>
      <c r="K584" s="56"/>
      <c r="S584" s="59"/>
    </row>
    <row r="585" spans="7:19" x14ac:dyDescent="0.2">
      <c r="G585" s="56"/>
      <c r="H585" s="56"/>
      <c r="I585" s="56"/>
      <c r="J585" s="56"/>
      <c r="K585" s="56"/>
      <c r="S585" s="59"/>
    </row>
    <row r="586" spans="7:19" x14ac:dyDescent="0.2">
      <c r="G586" s="56"/>
      <c r="H586" s="56"/>
      <c r="I586" s="56"/>
      <c r="J586" s="56"/>
      <c r="K586" s="56"/>
      <c r="S586" s="59"/>
    </row>
    <row r="587" spans="7:19" x14ac:dyDescent="0.2">
      <c r="G587" s="56"/>
      <c r="H587" s="56"/>
      <c r="I587" s="56"/>
      <c r="J587" s="56"/>
      <c r="K587" s="56"/>
      <c r="S587" s="59"/>
    </row>
    <row r="588" spans="7:19" x14ac:dyDescent="0.2">
      <c r="G588" s="56"/>
      <c r="H588" s="56"/>
      <c r="I588" s="56"/>
      <c r="J588" s="56"/>
      <c r="K588" s="56"/>
      <c r="S588" s="59"/>
    </row>
    <row r="589" spans="7:19" x14ac:dyDescent="0.2">
      <c r="G589" s="56"/>
      <c r="H589" s="56"/>
      <c r="I589" s="56"/>
      <c r="J589" s="56"/>
      <c r="K589" s="56"/>
      <c r="S589" s="59"/>
    </row>
    <row r="590" spans="7:19" x14ac:dyDescent="0.2">
      <c r="G590" s="56"/>
      <c r="H590" s="56"/>
      <c r="I590" s="56"/>
      <c r="J590" s="56"/>
      <c r="K590" s="56"/>
      <c r="S590" s="59"/>
    </row>
    <row r="591" spans="7:19" x14ac:dyDescent="0.2">
      <c r="G591" s="56"/>
      <c r="H591" s="56"/>
      <c r="I591" s="56"/>
      <c r="J591" s="56"/>
      <c r="K591" s="56"/>
      <c r="S591" s="59"/>
    </row>
    <row r="592" spans="7:19" x14ac:dyDescent="0.2">
      <c r="G592" s="56"/>
      <c r="H592" s="56"/>
      <c r="I592" s="56"/>
      <c r="J592" s="56"/>
      <c r="K592" s="56"/>
      <c r="S592" s="59"/>
    </row>
    <row r="593" spans="7:19" x14ac:dyDescent="0.2">
      <c r="G593" s="56"/>
      <c r="H593" s="56"/>
      <c r="I593" s="56"/>
      <c r="J593" s="56"/>
      <c r="K593" s="56"/>
      <c r="S593" s="59"/>
    </row>
    <row r="594" spans="7:19" x14ac:dyDescent="0.2">
      <c r="G594" s="56"/>
      <c r="H594" s="56"/>
      <c r="I594" s="56"/>
      <c r="J594" s="56"/>
      <c r="K594" s="56"/>
      <c r="S594" s="59"/>
    </row>
    <row r="595" spans="7:19" x14ac:dyDescent="0.2">
      <c r="G595" s="56"/>
      <c r="H595" s="56"/>
      <c r="I595" s="56"/>
      <c r="J595" s="56"/>
      <c r="K595" s="56"/>
      <c r="S595" s="59"/>
    </row>
    <row r="596" spans="7:19" x14ac:dyDescent="0.2">
      <c r="G596" s="56"/>
      <c r="H596" s="56"/>
      <c r="I596" s="56"/>
      <c r="J596" s="56"/>
      <c r="K596" s="56"/>
      <c r="S596" s="59"/>
    </row>
    <row r="597" spans="7:19" x14ac:dyDescent="0.2">
      <c r="G597" s="56"/>
      <c r="H597" s="56"/>
      <c r="I597" s="56"/>
      <c r="J597" s="56"/>
      <c r="K597" s="56"/>
      <c r="S597" s="59"/>
    </row>
    <row r="598" spans="7:19" x14ac:dyDescent="0.2">
      <c r="G598" s="56"/>
      <c r="H598" s="56"/>
      <c r="I598" s="56"/>
      <c r="J598" s="56"/>
      <c r="K598" s="56"/>
      <c r="S598" s="59"/>
    </row>
    <row r="599" spans="7:19" x14ac:dyDescent="0.2">
      <c r="G599" s="56"/>
      <c r="H599" s="56"/>
      <c r="I599" s="56"/>
      <c r="J599" s="56"/>
      <c r="K599" s="56"/>
      <c r="S599" s="59"/>
    </row>
    <row r="600" spans="7:19" x14ac:dyDescent="0.2">
      <c r="G600" s="56"/>
      <c r="H600" s="56"/>
      <c r="I600" s="56"/>
      <c r="J600" s="56"/>
      <c r="K600" s="56"/>
      <c r="S600" s="59"/>
    </row>
    <row r="601" spans="7:19" x14ac:dyDescent="0.2">
      <c r="G601" s="56"/>
      <c r="H601" s="56"/>
      <c r="I601" s="56"/>
      <c r="J601" s="56"/>
      <c r="K601" s="56"/>
      <c r="S601" s="59"/>
    </row>
    <row r="602" spans="7:19" x14ac:dyDescent="0.2">
      <c r="G602" s="56"/>
      <c r="H602" s="56"/>
      <c r="I602" s="56"/>
      <c r="J602" s="56"/>
      <c r="K602" s="56"/>
      <c r="S602" s="59"/>
    </row>
    <row r="603" spans="7:19" x14ac:dyDescent="0.2">
      <c r="G603" s="56"/>
      <c r="H603" s="56"/>
      <c r="I603" s="56"/>
      <c r="J603" s="56"/>
      <c r="K603" s="56"/>
      <c r="S603" s="59"/>
    </row>
    <row r="604" spans="7:19" x14ac:dyDescent="0.2">
      <c r="G604" s="56"/>
      <c r="H604" s="56"/>
      <c r="I604" s="56"/>
      <c r="J604" s="56"/>
      <c r="K604" s="56"/>
      <c r="S604" s="59"/>
    </row>
    <row r="605" spans="7:19" x14ac:dyDescent="0.2">
      <c r="G605" s="56"/>
      <c r="H605" s="56"/>
      <c r="I605" s="56"/>
      <c r="J605" s="56"/>
      <c r="K605" s="56"/>
      <c r="S605" s="59"/>
    </row>
    <row r="606" spans="7:19" x14ac:dyDescent="0.2">
      <c r="G606" s="56"/>
      <c r="H606" s="56"/>
      <c r="I606" s="56"/>
      <c r="J606" s="56"/>
      <c r="K606" s="56"/>
      <c r="S606" s="59"/>
    </row>
    <row r="607" spans="7:19" x14ac:dyDescent="0.2">
      <c r="G607" s="56"/>
      <c r="H607" s="56"/>
      <c r="I607" s="56"/>
      <c r="J607" s="56"/>
      <c r="K607" s="56"/>
      <c r="S607" s="59"/>
    </row>
    <row r="608" spans="7:19" x14ac:dyDescent="0.2">
      <c r="G608" s="56"/>
      <c r="H608" s="56"/>
      <c r="I608" s="56"/>
      <c r="J608" s="56"/>
      <c r="K608" s="56"/>
      <c r="S608" s="59"/>
    </row>
    <row r="609" spans="7:19" x14ac:dyDescent="0.2">
      <c r="G609" s="56"/>
      <c r="H609" s="56"/>
      <c r="I609" s="56"/>
      <c r="J609" s="56"/>
      <c r="K609" s="56"/>
      <c r="S609" s="59"/>
    </row>
    <row r="610" spans="7:19" x14ac:dyDescent="0.2">
      <c r="G610" s="56"/>
      <c r="H610" s="56"/>
      <c r="I610" s="56"/>
      <c r="J610" s="56"/>
      <c r="K610" s="56"/>
      <c r="S610" s="59"/>
    </row>
    <row r="611" spans="7:19" x14ac:dyDescent="0.2">
      <c r="G611" s="56"/>
      <c r="H611" s="56"/>
      <c r="I611" s="56"/>
      <c r="J611" s="56"/>
      <c r="K611" s="56"/>
      <c r="S611" s="59"/>
    </row>
    <row r="612" spans="7:19" x14ac:dyDescent="0.2">
      <c r="G612" s="56"/>
      <c r="H612" s="56"/>
      <c r="I612" s="56"/>
      <c r="J612" s="56"/>
      <c r="K612" s="56"/>
      <c r="S612" s="59"/>
    </row>
    <row r="613" spans="7:19" x14ac:dyDescent="0.2">
      <c r="G613" s="56"/>
      <c r="H613" s="56"/>
      <c r="I613" s="56"/>
      <c r="J613" s="56"/>
      <c r="K613" s="56"/>
      <c r="S613" s="59"/>
    </row>
    <row r="614" spans="7:19" x14ac:dyDescent="0.2">
      <c r="G614" s="56"/>
      <c r="H614" s="56"/>
      <c r="I614" s="56"/>
      <c r="J614" s="56"/>
      <c r="K614" s="56"/>
      <c r="S614" s="59"/>
    </row>
    <row r="615" spans="7:19" x14ac:dyDescent="0.2">
      <c r="G615" s="56"/>
      <c r="H615" s="56"/>
      <c r="I615" s="56"/>
      <c r="J615" s="56"/>
      <c r="K615" s="56"/>
      <c r="S615" s="59"/>
    </row>
    <row r="616" spans="7:19" x14ac:dyDescent="0.2">
      <c r="G616" s="56"/>
      <c r="H616" s="56"/>
      <c r="I616" s="56"/>
      <c r="J616" s="56"/>
      <c r="K616" s="56"/>
      <c r="S616" s="59"/>
    </row>
    <row r="617" spans="7:19" x14ac:dyDescent="0.2">
      <c r="G617" s="56"/>
      <c r="H617" s="56"/>
      <c r="I617" s="56"/>
      <c r="J617" s="56"/>
      <c r="K617" s="56"/>
      <c r="S617" s="59"/>
    </row>
    <row r="618" spans="7:19" x14ac:dyDescent="0.2">
      <c r="G618" s="56"/>
      <c r="H618" s="56"/>
      <c r="I618" s="56"/>
      <c r="J618" s="56"/>
      <c r="K618" s="56"/>
      <c r="S618" s="59"/>
    </row>
    <row r="619" spans="7:19" x14ac:dyDescent="0.2">
      <c r="G619" s="56"/>
      <c r="H619" s="56"/>
      <c r="I619" s="56"/>
      <c r="J619" s="56"/>
      <c r="K619" s="56"/>
      <c r="S619" s="59"/>
    </row>
    <row r="620" spans="7:19" x14ac:dyDescent="0.2">
      <c r="G620" s="56"/>
      <c r="H620" s="56"/>
      <c r="I620" s="56"/>
      <c r="J620" s="56"/>
      <c r="K620" s="56"/>
      <c r="S620" s="59"/>
    </row>
    <row r="621" spans="7:19" x14ac:dyDescent="0.2">
      <c r="G621" s="56"/>
      <c r="H621" s="56"/>
      <c r="I621" s="56"/>
      <c r="J621" s="56"/>
      <c r="K621" s="56"/>
      <c r="S621" s="59"/>
    </row>
    <row r="622" spans="7:19" x14ac:dyDescent="0.2">
      <c r="G622" s="56"/>
      <c r="H622" s="56"/>
      <c r="I622" s="56"/>
      <c r="J622" s="56"/>
      <c r="K622" s="56"/>
      <c r="S622" s="59"/>
    </row>
    <row r="623" spans="7:19" x14ac:dyDescent="0.2">
      <c r="G623" s="56"/>
      <c r="H623" s="56"/>
      <c r="I623" s="56"/>
      <c r="J623" s="56"/>
      <c r="K623" s="56"/>
      <c r="S623" s="59"/>
    </row>
    <row r="624" spans="7:19" x14ac:dyDescent="0.2">
      <c r="G624" s="56"/>
      <c r="H624" s="56"/>
      <c r="I624" s="56"/>
      <c r="J624" s="56"/>
      <c r="K624" s="56"/>
      <c r="S624" s="59"/>
    </row>
    <row r="625" spans="7:19" x14ac:dyDescent="0.2">
      <c r="G625" s="56"/>
      <c r="H625" s="56"/>
      <c r="I625" s="56"/>
      <c r="J625" s="56"/>
      <c r="K625" s="56"/>
      <c r="S625" s="59"/>
    </row>
    <row r="626" spans="7:19" x14ac:dyDescent="0.2">
      <c r="G626" s="56"/>
      <c r="H626" s="56"/>
      <c r="I626" s="56"/>
      <c r="J626" s="56"/>
      <c r="K626" s="56"/>
      <c r="S626" s="59"/>
    </row>
    <row r="627" spans="7:19" x14ac:dyDescent="0.2">
      <c r="G627" s="56"/>
      <c r="H627" s="56"/>
      <c r="I627" s="56"/>
      <c r="J627" s="56"/>
      <c r="K627" s="56"/>
      <c r="S627" s="59"/>
    </row>
    <row r="628" spans="7:19" x14ac:dyDescent="0.2">
      <c r="G628" s="56"/>
      <c r="H628" s="56"/>
      <c r="I628" s="56"/>
      <c r="J628" s="56"/>
      <c r="K628" s="56"/>
      <c r="S628" s="59"/>
    </row>
    <row r="629" spans="7:19" x14ac:dyDescent="0.2">
      <c r="G629" s="56"/>
      <c r="H629" s="56"/>
      <c r="I629" s="56"/>
      <c r="J629" s="56"/>
      <c r="K629" s="56"/>
      <c r="S629" s="59"/>
    </row>
    <row r="630" spans="7:19" x14ac:dyDescent="0.2">
      <c r="G630" s="56"/>
      <c r="H630" s="56"/>
      <c r="I630" s="56"/>
      <c r="J630" s="56"/>
      <c r="K630" s="56"/>
      <c r="S630" s="59"/>
    </row>
    <row r="631" spans="7:19" x14ac:dyDescent="0.2">
      <c r="G631" s="56"/>
      <c r="H631" s="56"/>
      <c r="I631" s="56"/>
      <c r="J631" s="56"/>
      <c r="K631" s="56"/>
      <c r="S631" s="59"/>
    </row>
    <row r="632" spans="7:19" x14ac:dyDescent="0.2">
      <c r="G632" s="56"/>
      <c r="H632" s="56"/>
      <c r="I632" s="56"/>
      <c r="J632" s="56"/>
      <c r="K632" s="56"/>
      <c r="S632" s="59"/>
    </row>
    <row r="633" spans="7:19" x14ac:dyDescent="0.2">
      <c r="G633" s="56"/>
      <c r="H633" s="56"/>
      <c r="I633" s="56"/>
      <c r="J633" s="56"/>
      <c r="K633" s="56"/>
      <c r="S633" s="59"/>
    </row>
    <row r="634" spans="7:19" x14ac:dyDescent="0.2">
      <c r="G634" s="56"/>
      <c r="H634" s="56"/>
      <c r="I634" s="56"/>
      <c r="J634" s="56"/>
      <c r="K634" s="56"/>
      <c r="S634" s="59"/>
    </row>
    <row r="635" spans="7:19" x14ac:dyDescent="0.2">
      <c r="G635" s="56"/>
      <c r="H635" s="56"/>
      <c r="I635" s="56"/>
      <c r="J635" s="56"/>
      <c r="K635" s="56"/>
      <c r="S635" s="59"/>
    </row>
    <row r="636" spans="7:19" x14ac:dyDescent="0.2">
      <c r="G636" s="56"/>
      <c r="H636" s="56"/>
      <c r="I636" s="56"/>
      <c r="J636" s="56"/>
      <c r="K636" s="56"/>
      <c r="S636" s="59"/>
    </row>
    <row r="637" spans="7:19" x14ac:dyDescent="0.2">
      <c r="G637" s="56"/>
      <c r="H637" s="56"/>
      <c r="I637" s="56"/>
      <c r="J637" s="56"/>
      <c r="K637" s="56"/>
      <c r="S637" s="59"/>
    </row>
    <row r="638" spans="7:19" x14ac:dyDescent="0.2">
      <c r="G638" s="56"/>
      <c r="H638" s="56"/>
      <c r="I638" s="56"/>
      <c r="J638" s="56"/>
      <c r="K638" s="56"/>
      <c r="S638" s="59"/>
    </row>
    <row r="639" spans="7:19" x14ac:dyDescent="0.2">
      <c r="G639" s="56"/>
      <c r="H639" s="56"/>
      <c r="I639" s="56"/>
      <c r="J639" s="56"/>
      <c r="K639" s="56"/>
      <c r="S639" s="59"/>
    </row>
    <row r="640" spans="7:19" x14ac:dyDescent="0.2">
      <c r="G640" s="56"/>
      <c r="H640" s="56"/>
      <c r="I640" s="56"/>
      <c r="J640" s="56"/>
      <c r="K640" s="56"/>
      <c r="S640" s="59"/>
    </row>
    <row r="641" spans="7:19" x14ac:dyDescent="0.2">
      <c r="G641" s="56"/>
      <c r="H641" s="56"/>
      <c r="I641" s="56"/>
      <c r="J641" s="56"/>
      <c r="K641" s="56"/>
      <c r="S641" s="59"/>
    </row>
    <row r="642" spans="7:19" x14ac:dyDescent="0.2">
      <c r="G642" s="56"/>
      <c r="H642" s="56"/>
      <c r="I642" s="56"/>
      <c r="J642" s="56"/>
      <c r="K642" s="56"/>
      <c r="S642" s="59"/>
    </row>
    <row r="643" spans="7:19" x14ac:dyDescent="0.2">
      <c r="G643" s="56"/>
      <c r="H643" s="56"/>
      <c r="I643" s="56"/>
      <c r="J643" s="56"/>
      <c r="K643" s="56"/>
      <c r="S643" s="59"/>
    </row>
    <row r="644" spans="7:19" x14ac:dyDescent="0.2">
      <c r="G644" s="56"/>
      <c r="H644" s="56"/>
      <c r="I644" s="56"/>
      <c r="J644" s="56"/>
      <c r="K644" s="56"/>
      <c r="S644" s="59"/>
    </row>
    <row r="645" spans="7:19" x14ac:dyDescent="0.2">
      <c r="G645" s="56"/>
      <c r="H645" s="56"/>
      <c r="I645" s="56"/>
      <c r="J645" s="56"/>
      <c r="K645" s="56"/>
      <c r="S645" s="59"/>
    </row>
    <row r="646" spans="7:19" x14ac:dyDescent="0.2">
      <c r="G646" s="56"/>
      <c r="H646" s="56"/>
      <c r="I646" s="56"/>
      <c r="J646" s="56"/>
      <c r="K646" s="56"/>
      <c r="S646" s="59"/>
    </row>
    <row r="647" spans="7:19" x14ac:dyDescent="0.2">
      <c r="G647" s="56"/>
      <c r="H647" s="56"/>
      <c r="I647" s="56"/>
      <c r="J647" s="56"/>
      <c r="K647" s="56"/>
      <c r="S647" s="59"/>
    </row>
    <row r="648" spans="7:19" x14ac:dyDescent="0.2">
      <c r="G648" s="56"/>
      <c r="H648" s="56"/>
      <c r="I648" s="56"/>
      <c r="J648" s="56"/>
      <c r="K648" s="56"/>
      <c r="S648" s="59"/>
    </row>
    <row r="649" spans="7:19" x14ac:dyDescent="0.2">
      <c r="G649" s="56"/>
      <c r="H649" s="56"/>
      <c r="I649" s="56"/>
      <c r="J649" s="56"/>
      <c r="K649" s="56"/>
      <c r="S649" s="59"/>
    </row>
    <row r="650" spans="7:19" x14ac:dyDescent="0.2">
      <c r="G650" s="56"/>
      <c r="H650" s="56"/>
      <c r="I650" s="56"/>
      <c r="J650" s="56"/>
      <c r="K650" s="56"/>
      <c r="S650" s="59"/>
    </row>
    <row r="651" spans="7:19" x14ac:dyDescent="0.2">
      <c r="G651" s="56"/>
      <c r="H651" s="56"/>
      <c r="I651" s="56"/>
      <c r="J651" s="56"/>
      <c r="K651" s="56"/>
      <c r="S651" s="59"/>
    </row>
    <row r="652" spans="7:19" x14ac:dyDescent="0.2">
      <c r="G652" s="56"/>
      <c r="H652" s="56"/>
      <c r="I652" s="56"/>
      <c r="J652" s="56"/>
      <c r="K652" s="56"/>
      <c r="S652" s="59"/>
    </row>
    <row r="653" spans="7:19" x14ac:dyDescent="0.2">
      <c r="G653" s="56"/>
      <c r="H653" s="56"/>
      <c r="I653" s="56"/>
      <c r="J653" s="56"/>
      <c r="K653" s="56"/>
      <c r="S653" s="59"/>
    </row>
    <row r="654" spans="7:19" x14ac:dyDescent="0.2">
      <c r="G654" s="56"/>
      <c r="H654" s="56"/>
      <c r="I654" s="56"/>
      <c r="J654" s="56"/>
      <c r="K654" s="56"/>
      <c r="S654" s="59"/>
    </row>
    <row r="655" spans="7:19" x14ac:dyDescent="0.2">
      <c r="G655" s="56"/>
      <c r="H655" s="56"/>
      <c r="I655" s="56"/>
      <c r="J655" s="56"/>
      <c r="K655" s="56"/>
      <c r="S655" s="59"/>
    </row>
    <row r="656" spans="7:19" x14ac:dyDescent="0.2">
      <c r="G656" s="56"/>
      <c r="H656" s="56"/>
      <c r="I656" s="56"/>
      <c r="J656" s="56"/>
      <c r="K656" s="56"/>
      <c r="S656" s="59"/>
    </row>
    <row r="657" spans="7:19" x14ac:dyDescent="0.2">
      <c r="G657" s="56"/>
      <c r="H657" s="56"/>
      <c r="I657" s="56"/>
      <c r="J657" s="56"/>
      <c r="K657" s="56"/>
      <c r="S657" s="59"/>
    </row>
    <row r="658" spans="7:19" x14ac:dyDescent="0.2">
      <c r="G658" s="56"/>
      <c r="H658" s="56"/>
      <c r="I658" s="56"/>
      <c r="J658" s="56"/>
      <c r="K658" s="56"/>
      <c r="S658" s="59"/>
    </row>
    <row r="659" spans="7:19" x14ac:dyDescent="0.2">
      <c r="G659" s="56"/>
      <c r="H659" s="56"/>
      <c r="I659" s="56"/>
      <c r="J659" s="56"/>
      <c r="K659" s="56"/>
      <c r="S659" s="59"/>
    </row>
    <row r="660" spans="7:19" x14ac:dyDescent="0.2">
      <c r="G660" s="56"/>
      <c r="H660" s="56"/>
      <c r="I660" s="56"/>
      <c r="J660" s="56"/>
      <c r="K660" s="56"/>
      <c r="S660" s="59"/>
    </row>
    <row r="661" spans="7:19" x14ac:dyDescent="0.2">
      <c r="G661" s="56"/>
      <c r="H661" s="56"/>
      <c r="I661" s="56"/>
      <c r="J661" s="56"/>
      <c r="K661" s="56"/>
      <c r="S661" s="59"/>
    </row>
    <row r="662" spans="7:19" x14ac:dyDescent="0.2">
      <c r="G662" s="56"/>
      <c r="H662" s="56"/>
      <c r="I662" s="56"/>
      <c r="J662" s="56"/>
      <c r="K662" s="56"/>
      <c r="S662" s="59"/>
    </row>
    <row r="663" spans="7:19" x14ac:dyDescent="0.2">
      <c r="G663" s="56"/>
      <c r="H663" s="56"/>
      <c r="I663" s="56"/>
      <c r="J663" s="56"/>
      <c r="K663" s="56"/>
      <c r="S663" s="59"/>
    </row>
    <row r="664" spans="7:19" x14ac:dyDescent="0.2">
      <c r="G664" s="56"/>
      <c r="H664" s="56"/>
      <c r="I664" s="56"/>
      <c r="J664" s="56"/>
      <c r="K664" s="56"/>
      <c r="S664" s="59"/>
    </row>
    <row r="665" spans="7:19" x14ac:dyDescent="0.2">
      <c r="G665" s="56"/>
      <c r="H665" s="56"/>
      <c r="I665" s="56"/>
      <c r="J665" s="56"/>
      <c r="K665" s="56"/>
      <c r="S665" s="59"/>
    </row>
    <row r="666" spans="7:19" x14ac:dyDescent="0.2">
      <c r="G666" s="56"/>
      <c r="H666" s="56"/>
      <c r="I666" s="56"/>
      <c r="J666" s="56"/>
      <c r="K666" s="56"/>
      <c r="S666" s="59"/>
    </row>
    <row r="667" spans="7:19" x14ac:dyDescent="0.2">
      <c r="G667" s="56"/>
      <c r="H667" s="56"/>
      <c r="I667" s="56"/>
      <c r="J667" s="56"/>
      <c r="K667" s="56"/>
      <c r="S667" s="59"/>
    </row>
    <row r="668" spans="7:19" x14ac:dyDescent="0.2">
      <c r="G668" s="56"/>
      <c r="H668" s="56"/>
      <c r="I668" s="56"/>
      <c r="J668" s="56"/>
      <c r="K668" s="56"/>
      <c r="S668" s="59"/>
    </row>
    <row r="669" spans="7:19" x14ac:dyDescent="0.2">
      <c r="G669" s="56"/>
      <c r="H669" s="56"/>
      <c r="I669" s="56"/>
      <c r="J669" s="56"/>
      <c r="K669" s="56"/>
      <c r="S669" s="59"/>
    </row>
    <row r="670" spans="7:19" x14ac:dyDescent="0.2">
      <c r="G670" s="56"/>
      <c r="H670" s="56"/>
      <c r="I670" s="56"/>
      <c r="J670" s="56"/>
      <c r="K670" s="56"/>
      <c r="S670" s="59"/>
    </row>
    <row r="671" spans="7:19" x14ac:dyDescent="0.2">
      <c r="G671" s="56"/>
      <c r="H671" s="56"/>
      <c r="I671" s="56"/>
      <c r="J671" s="56"/>
      <c r="K671" s="56"/>
      <c r="S671" s="59"/>
    </row>
    <row r="672" spans="7:19" x14ac:dyDescent="0.2">
      <c r="G672" s="56"/>
      <c r="H672" s="56"/>
      <c r="I672" s="56"/>
      <c r="J672" s="56"/>
      <c r="K672" s="56"/>
      <c r="S672" s="59"/>
    </row>
    <row r="673" spans="7:19" x14ac:dyDescent="0.2">
      <c r="G673" s="56"/>
      <c r="H673" s="56"/>
      <c r="I673" s="56"/>
      <c r="J673" s="56"/>
      <c r="K673" s="56"/>
      <c r="S673" s="59"/>
    </row>
    <row r="674" spans="7:19" x14ac:dyDescent="0.2">
      <c r="G674" s="56"/>
      <c r="H674" s="56"/>
      <c r="I674" s="56"/>
      <c r="J674" s="56"/>
      <c r="K674" s="56"/>
      <c r="S674" s="59"/>
    </row>
    <row r="675" spans="7:19" x14ac:dyDescent="0.2">
      <c r="G675" s="56"/>
      <c r="H675" s="56"/>
      <c r="I675" s="56"/>
      <c r="J675" s="56"/>
      <c r="K675" s="56"/>
      <c r="S675" s="59"/>
    </row>
    <row r="676" spans="7:19" x14ac:dyDescent="0.2">
      <c r="G676" s="56"/>
      <c r="H676" s="56"/>
      <c r="I676" s="56"/>
      <c r="J676" s="56"/>
      <c r="K676" s="56"/>
      <c r="S676" s="59"/>
    </row>
    <row r="677" spans="7:19" x14ac:dyDescent="0.2">
      <c r="G677" s="56"/>
      <c r="H677" s="56"/>
      <c r="I677" s="56"/>
      <c r="J677" s="56"/>
      <c r="K677" s="56"/>
      <c r="S677" s="59"/>
    </row>
    <row r="678" spans="7:19" x14ac:dyDescent="0.2">
      <c r="G678" s="56"/>
      <c r="H678" s="56"/>
      <c r="I678" s="56"/>
      <c r="J678" s="56"/>
      <c r="K678" s="56"/>
      <c r="S678" s="59"/>
    </row>
    <row r="679" spans="7:19" x14ac:dyDescent="0.2">
      <c r="G679" s="56"/>
      <c r="H679" s="56"/>
      <c r="I679" s="56"/>
      <c r="J679" s="56"/>
      <c r="K679" s="56"/>
      <c r="S679" s="59"/>
    </row>
    <row r="680" spans="7:19" x14ac:dyDescent="0.2">
      <c r="G680" s="56"/>
      <c r="H680" s="56"/>
      <c r="I680" s="56"/>
      <c r="J680" s="56"/>
      <c r="K680" s="56"/>
      <c r="S680" s="59"/>
    </row>
    <row r="681" spans="7:19" x14ac:dyDescent="0.2">
      <c r="G681" s="56"/>
      <c r="H681" s="56"/>
      <c r="I681" s="56"/>
      <c r="J681" s="56"/>
      <c r="K681" s="56"/>
      <c r="S681" s="59"/>
    </row>
    <row r="682" spans="7:19" x14ac:dyDescent="0.2">
      <c r="G682" s="56"/>
      <c r="H682" s="56"/>
      <c r="I682" s="56"/>
      <c r="J682" s="56"/>
      <c r="K682" s="56"/>
      <c r="S682" s="59"/>
    </row>
    <row r="683" spans="7:19" x14ac:dyDescent="0.2">
      <c r="G683" s="56"/>
      <c r="H683" s="56"/>
      <c r="I683" s="56"/>
      <c r="J683" s="56"/>
      <c r="K683" s="56"/>
      <c r="S683" s="59"/>
    </row>
    <row r="684" spans="7:19" x14ac:dyDescent="0.2">
      <c r="G684" s="56"/>
      <c r="H684" s="56"/>
      <c r="I684" s="56"/>
      <c r="J684" s="56"/>
      <c r="K684" s="56"/>
      <c r="S684" s="59"/>
    </row>
    <row r="685" spans="7:19" x14ac:dyDescent="0.2">
      <c r="G685" s="56"/>
      <c r="H685" s="56"/>
      <c r="I685" s="56"/>
      <c r="J685" s="56"/>
      <c r="K685" s="56"/>
      <c r="S685" s="59"/>
    </row>
    <row r="686" spans="7:19" x14ac:dyDescent="0.2">
      <c r="G686" s="56"/>
      <c r="H686" s="56"/>
      <c r="I686" s="56"/>
      <c r="J686" s="56"/>
      <c r="K686" s="56"/>
      <c r="S686" s="59"/>
    </row>
    <row r="687" spans="7:19" x14ac:dyDescent="0.2">
      <c r="G687" s="56"/>
      <c r="H687" s="56"/>
      <c r="I687" s="56"/>
      <c r="J687" s="56"/>
      <c r="K687" s="56"/>
      <c r="S687" s="59"/>
    </row>
    <row r="688" spans="7:19" x14ac:dyDescent="0.2">
      <c r="G688" s="56"/>
      <c r="H688" s="56"/>
      <c r="I688" s="56"/>
      <c r="J688" s="56"/>
      <c r="K688" s="56"/>
      <c r="S688" s="59"/>
    </row>
    <row r="689" spans="7:19" x14ac:dyDescent="0.2">
      <c r="G689" s="56"/>
      <c r="H689" s="56"/>
      <c r="I689" s="56"/>
      <c r="J689" s="56"/>
      <c r="K689" s="56"/>
      <c r="S689" s="59"/>
    </row>
    <row r="690" spans="7:19" x14ac:dyDescent="0.2">
      <c r="G690" s="56"/>
      <c r="H690" s="56"/>
      <c r="I690" s="56"/>
      <c r="J690" s="56"/>
      <c r="K690" s="56"/>
      <c r="S690" s="59"/>
    </row>
    <row r="691" spans="7:19" x14ac:dyDescent="0.2">
      <c r="G691" s="56"/>
      <c r="H691" s="56"/>
      <c r="I691" s="56"/>
      <c r="J691" s="56"/>
      <c r="K691" s="56"/>
      <c r="S691" s="59"/>
    </row>
    <row r="692" spans="7:19" x14ac:dyDescent="0.2">
      <c r="G692" s="56"/>
      <c r="H692" s="56"/>
      <c r="I692" s="56"/>
      <c r="J692" s="56"/>
      <c r="K692" s="56"/>
      <c r="S692" s="59"/>
    </row>
    <row r="693" spans="7:19" x14ac:dyDescent="0.2">
      <c r="G693" s="56"/>
      <c r="H693" s="56"/>
      <c r="I693" s="56"/>
      <c r="J693" s="56"/>
      <c r="K693" s="56"/>
      <c r="S693" s="59"/>
    </row>
    <row r="694" spans="7:19" x14ac:dyDescent="0.2">
      <c r="G694" s="56"/>
      <c r="H694" s="56"/>
      <c r="I694" s="56"/>
      <c r="J694" s="56"/>
      <c r="K694" s="56"/>
      <c r="S694" s="59"/>
    </row>
    <row r="695" spans="7:19" x14ac:dyDescent="0.2">
      <c r="G695" s="56"/>
      <c r="H695" s="56"/>
      <c r="I695" s="56"/>
      <c r="J695" s="56"/>
      <c r="K695" s="56"/>
      <c r="S695" s="59"/>
    </row>
    <row r="696" spans="7:19" x14ac:dyDescent="0.2">
      <c r="G696" s="56"/>
      <c r="H696" s="56"/>
      <c r="I696" s="56"/>
      <c r="J696" s="56"/>
      <c r="K696" s="56"/>
      <c r="S696" s="59"/>
    </row>
    <row r="697" spans="7:19" x14ac:dyDescent="0.2">
      <c r="G697" s="56"/>
      <c r="H697" s="56"/>
      <c r="I697" s="56"/>
      <c r="J697" s="56"/>
      <c r="K697" s="56"/>
      <c r="S697" s="59"/>
    </row>
    <row r="698" spans="7:19" x14ac:dyDescent="0.2">
      <c r="G698" s="56"/>
      <c r="H698" s="56"/>
      <c r="I698" s="56"/>
      <c r="J698" s="56"/>
      <c r="K698" s="56"/>
      <c r="S698" s="59"/>
    </row>
    <row r="699" spans="7:19" x14ac:dyDescent="0.2">
      <c r="G699" s="56"/>
      <c r="H699" s="56"/>
      <c r="I699" s="56"/>
      <c r="J699" s="56"/>
      <c r="K699" s="56"/>
      <c r="S699" s="59"/>
    </row>
    <row r="700" spans="7:19" x14ac:dyDescent="0.2">
      <c r="G700" s="56"/>
      <c r="H700" s="56"/>
      <c r="I700" s="56"/>
      <c r="J700" s="56"/>
      <c r="K700" s="56"/>
      <c r="S700" s="59"/>
    </row>
    <row r="701" spans="7:19" x14ac:dyDescent="0.2">
      <c r="G701" s="56"/>
      <c r="H701" s="56"/>
      <c r="I701" s="56"/>
      <c r="J701" s="56"/>
      <c r="K701" s="56"/>
      <c r="S701" s="59"/>
    </row>
    <row r="702" spans="7:19" x14ac:dyDescent="0.2">
      <c r="G702" s="56"/>
      <c r="H702" s="56"/>
      <c r="I702" s="56"/>
      <c r="J702" s="56"/>
      <c r="K702" s="56"/>
      <c r="S702" s="59"/>
    </row>
    <row r="703" spans="7:19" x14ac:dyDescent="0.2">
      <c r="G703" s="56"/>
      <c r="H703" s="56"/>
      <c r="I703" s="56"/>
      <c r="J703" s="56"/>
      <c r="K703" s="56"/>
      <c r="S703" s="59"/>
    </row>
    <row r="704" spans="7:19" x14ac:dyDescent="0.2">
      <c r="G704" s="56"/>
      <c r="H704" s="56"/>
      <c r="I704" s="56"/>
      <c r="J704" s="56"/>
      <c r="K704" s="56"/>
      <c r="S704" s="59"/>
    </row>
    <row r="705" spans="7:19" x14ac:dyDescent="0.2">
      <c r="G705" s="56"/>
      <c r="H705" s="56"/>
      <c r="I705" s="56"/>
      <c r="J705" s="56"/>
      <c r="K705" s="56"/>
      <c r="S705" s="59"/>
    </row>
    <row r="706" spans="7:19" x14ac:dyDescent="0.2">
      <c r="G706" s="56"/>
      <c r="H706" s="56"/>
      <c r="I706" s="56"/>
      <c r="J706" s="56"/>
      <c r="K706" s="56"/>
      <c r="S706" s="59"/>
    </row>
    <row r="707" spans="7:19" x14ac:dyDescent="0.2">
      <c r="G707" s="56"/>
      <c r="H707" s="56"/>
      <c r="I707" s="56"/>
      <c r="J707" s="56"/>
      <c r="K707" s="56"/>
      <c r="S707" s="59"/>
    </row>
    <row r="708" spans="7:19" x14ac:dyDescent="0.2">
      <c r="G708" s="56"/>
      <c r="H708" s="56"/>
      <c r="I708" s="56"/>
      <c r="J708" s="56"/>
      <c r="K708" s="56"/>
      <c r="S708" s="59"/>
    </row>
    <row r="709" spans="7:19" x14ac:dyDescent="0.2">
      <c r="G709" s="56"/>
      <c r="H709" s="56"/>
      <c r="I709" s="56"/>
      <c r="J709" s="56"/>
      <c r="K709" s="56"/>
      <c r="S709" s="59"/>
    </row>
    <row r="710" spans="7:19" x14ac:dyDescent="0.2">
      <c r="G710" s="56"/>
      <c r="H710" s="56"/>
      <c r="I710" s="56"/>
      <c r="J710" s="56"/>
      <c r="K710" s="56"/>
      <c r="S710" s="59"/>
    </row>
    <row r="711" spans="7:19" x14ac:dyDescent="0.2">
      <c r="G711" s="56"/>
      <c r="H711" s="56"/>
      <c r="I711" s="56"/>
      <c r="J711" s="56"/>
      <c r="K711" s="56"/>
      <c r="S711" s="59"/>
    </row>
    <row r="712" spans="7:19" x14ac:dyDescent="0.2">
      <c r="G712" s="56"/>
      <c r="H712" s="56"/>
      <c r="I712" s="56"/>
      <c r="J712" s="56"/>
      <c r="K712" s="56"/>
      <c r="S712" s="59"/>
    </row>
    <row r="713" spans="7:19" x14ac:dyDescent="0.2">
      <c r="G713" s="56"/>
      <c r="H713" s="56"/>
      <c r="I713" s="56"/>
      <c r="J713" s="56"/>
      <c r="K713" s="56"/>
      <c r="S713" s="59"/>
    </row>
    <row r="714" spans="7:19" x14ac:dyDescent="0.2">
      <c r="G714" s="56"/>
      <c r="H714" s="56"/>
      <c r="I714" s="56"/>
      <c r="J714" s="56"/>
      <c r="K714" s="56"/>
      <c r="S714" s="59"/>
    </row>
    <row r="715" spans="7:19" x14ac:dyDescent="0.2">
      <c r="G715" s="56"/>
      <c r="H715" s="56"/>
      <c r="I715" s="56"/>
      <c r="J715" s="56"/>
      <c r="K715" s="56"/>
      <c r="S715" s="59"/>
    </row>
    <row r="716" spans="7:19" x14ac:dyDescent="0.2">
      <c r="G716" s="56"/>
      <c r="H716" s="56"/>
      <c r="I716" s="56"/>
      <c r="J716" s="56"/>
      <c r="K716" s="56"/>
      <c r="S716" s="59"/>
    </row>
    <row r="717" spans="7:19" x14ac:dyDescent="0.2">
      <c r="G717" s="56"/>
      <c r="H717" s="56"/>
      <c r="I717" s="56"/>
      <c r="J717" s="56"/>
      <c r="K717" s="56"/>
      <c r="S717" s="59"/>
    </row>
    <row r="718" spans="7:19" x14ac:dyDescent="0.2">
      <c r="G718" s="56"/>
      <c r="H718" s="56"/>
      <c r="I718" s="56"/>
      <c r="J718" s="56"/>
      <c r="K718" s="56"/>
      <c r="S718" s="59"/>
    </row>
    <row r="719" spans="7:19" x14ac:dyDescent="0.2">
      <c r="G719" s="56"/>
      <c r="H719" s="56"/>
      <c r="I719" s="56"/>
      <c r="J719" s="56"/>
      <c r="K719" s="56"/>
      <c r="S719" s="59"/>
    </row>
    <row r="720" spans="7:19" x14ac:dyDescent="0.2">
      <c r="G720" s="56"/>
      <c r="H720" s="56"/>
      <c r="I720" s="56"/>
      <c r="J720" s="56"/>
      <c r="K720" s="56"/>
      <c r="S720" s="59"/>
    </row>
    <row r="721" spans="7:19" x14ac:dyDescent="0.2">
      <c r="G721" s="56"/>
      <c r="H721" s="56"/>
      <c r="I721" s="56"/>
      <c r="J721" s="56"/>
      <c r="K721" s="56"/>
      <c r="S721" s="59"/>
    </row>
    <row r="722" spans="7:19" x14ac:dyDescent="0.2">
      <c r="G722" s="56"/>
      <c r="H722" s="56"/>
      <c r="I722" s="56"/>
      <c r="J722" s="56"/>
      <c r="K722" s="56"/>
      <c r="S722" s="59"/>
    </row>
    <row r="723" spans="7:19" x14ac:dyDescent="0.2">
      <c r="G723" s="56"/>
      <c r="H723" s="56"/>
      <c r="I723" s="56"/>
      <c r="J723" s="56"/>
      <c r="K723" s="56"/>
      <c r="S723" s="59"/>
    </row>
    <row r="724" spans="7:19" x14ac:dyDescent="0.2">
      <c r="G724" s="56"/>
      <c r="H724" s="56"/>
      <c r="I724" s="56"/>
      <c r="J724" s="56"/>
      <c r="K724" s="56"/>
      <c r="S724" s="59"/>
    </row>
    <row r="725" spans="7:19" x14ac:dyDescent="0.2">
      <c r="G725" s="56"/>
      <c r="H725" s="56"/>
      <c r="I725" s="56"/>
      <c r="J725" s="56"/>
      <c r="K725" s="56"/>
      <c r="S725" s="59"/>
    </row>
    <row r="726" spans="7:19" x14ac:dyDescent="0.2">
      <c r="G726" s="56"/>
      <c r="H726" s="56"/>
      <c r="I726" s="56"/>
      <c r="J726" s="56"/>
      <c r="K726" s="56"/>
      <c r="S726" s="59"/>
    </row>
    <row r="727" spans="7:19" x14ac:dyDescent="0.2">
      <c r="G727" s="56"/>
      <c r="H727" s="56"/>
      <c r="I727" s="56"/>
      <c r="J727" s="56"/>
      <c r="K727" s="56"/>
      <c r="S727" s="59"/>
    </row>
    <row r="728" spans="7:19" x14ac:dyDescent="0.2">
      <c r="G728" s="56"/>
      <c r="H728" s="56"/>
      <c r="I728" s="56"/>
      <c r="J728" s="56"/>
      <c r="K728" s="56"/>
      <c r="S728" s="59"/>
    </row>
    <row r="729" spans="7:19" x14ac:dyDescent="0.2">
      <c r="G729" s="56"/>
      <c r="H729" s="56"/>
      <c r="I729" s="56"/>
      <c r="J729" s="56"/>
      <c r="K729" s="56"/>
      <c r="S729" s="59"/>
    </row>
    <row r="730" spans="7:19" x14ac:dyDescent="0.2">
      <c r="G730" s="56"/>
      <c r="H730" s="56"/>
      <c r="I730" s="56"/>
      <c r="J730" s="56"/>
      <c r="K730" s="56"/>
      <c r="S730" s="59"/>
    </row>
    <row r="731" spans="7:19" x14ac:dyDescent="0.2">
      <c r="G731" s="56"/>
      <c r="H731" s="56"/>
      <c r="I731" s="56"/>
      <c r="J731" s="56"/>
      <c r="K731" s="56"/>
      <c r="S731" s="59"/>
    </row>
    <row r="732" spans="7:19" x14ac:dyDescent="0.2">
      <c r="G732" s="56"/>
      <c r="H732" s="56"/>
      <c r="I732" s="56"/>
      <c r="J732" s="56"/>
      <c r="K732" s="56"/>
      <c r="S732" s="59"/>
    </row>
    <row r="733" spans="7:19" x14ac:dyDescent="0.2">
      <c r="G733" s="56"/>
      <c r="H733" s="56"/>
      <c r="I733" s="56"/>
      <c r="J733" s="56"/>
      <c r="K733" s="56"/>
      <c r="S733" s="59"/>
    </row>
    <row r="734" spans="7:19" x14ac:dyDescent="0.2">
      <c r="G734" s="56"/>
      <c r="H734" s="56"/>
      <c r="I734" s="56"/>
      <c r="J734" s="56"/>
      <c r="K734" s="56"/>
      <c r="S734" s="59"/>
    </row>
    <row r="735" spans="7:19" x14ac:dyDescent="0.2">
      <c r="G735" s="56"/>
      <c r="H735" s="56"/>
      <c r="I735" s="56"/>
      <c r="J735" s="56"/>
      <c r="K735" s="56"/>
      <c r="S735" s="59"/>
    </row>
    <row r="736" spans="7:19" x14ac:dyDescent="0.2">
      <c r="G736" s="56"/>
      <c r="H736" s="56"/>
      <c r="I736" s="56"/>
      <c r="J736" s="56"/>
      <c r="K736" s="56"/>
      <c r="S736" s="59"/>
    </row>
    <row r="737" spans="7:19" x14ac:dyDescent="0.2">
      <c r="G737" s="56"/>
      <c r="H737" s="56"/>
      <c r="I737" s="56"/>
      <c r="J737" s="56"/>
      <c r="K737" s="56"/>
      <c r="S737" s="59"/>
    </row>
    <row r="738" spans="7:19" x14ac:dyDescent="0.2">
      <c r="G738" s="56"/>
      <c r="H738" s="56"/>
      <c r="I738" s="56"/>
      <c r="J738" s="56"/>
      <c r="K738" s="56"/>
      <c r="S738" s="59"/>
    </row>
    <row r="739" spans="7:19" x14ac:dyDescent="0.2">
      <c r="G739" s="56"/>
      <c r="H739" s="56"/>
      <c r="I739" s="56"/>
      <c r="J739" s="56"/>
      <c r="K739" s="56"/>
      <c r="S739" s="59"/>
    </row>
    <row r="740" spans="7:19" x14ac:dyDescent="0.2">
      <c r="G740" s="56"/>
      <c r="H740" s="56"/>
      <c r="I740" s="56"/>
      <c r="J740" s="56"/>
      <c r="K740" s="56"/>
      <c r="S740" s="59"/>
    </row>
    <row r="741" spans="7:19" x14ac:dyDescent="0.2">
      <c r="G741" s="56"/>
      <c r="H741" s="56"/>
      <c r="I741" s="56"/>
      <c r="J741" s="56"/>
      <c r="K741" s="56"/>
      <c r="S741" s="59"/>
    </row>
    <row r="742" spans="7:19" x14ac:dyDescent="0.2">
      <c r="G742" s="56"/>
      <c r="H742" s="56"/>
      <c r="I742" s="56"/>
      <c r="J742" s="56"/>
      <c r="K742" s="56"/>
      <c r="S742" s="59"/>
    </row>
    <row r="743" spans="7:19" x14ac:dyDescent="0.2">
      <c r="G743" s="56"/>
      <c r="H743" s="56"/>
      <c r="I743" s="56"/>
      <c r="J743" s="56"/>
      <c r="K743" s="56"/>
      <c r="S743" s="59"/>
    </row>
    <row r="744" spans="7:19" x14ac:dyDescent="0.2">
      <c r="G744" s="56"/>
      <c r="H744" s="56"/>
      <c r="I744" s="56"/>
      <c r="J744" s="56"/>
      <c r="K744" s="56"/>
      <c r="S744" s="59"/>
    </row>
    <row r="745" spans="7:19" x14ac:dyDescent="0.2">
      <c r="G745" s="56"/>
      <c r="H745" s="56"/>
      <c r="I745" s="56"/>
      <c r="J745" s="56"/>
      <c r="K745" s="56"/>
      <c r="S745" s="59"/>
    </row>
    <row r="746" spans="7:19" x14ac:dyDescent="0.2">
      <c r="G746" s="56"/>
      <c r="H746" s="56"/>
      <c r="I746" s="56"/>
      <c r="J746" s="56"/>
      <c r="K746" s="56"/>
      <c r="S746" s="59"/>
    </row>
    <row r="747" spans="7:19" x14ac:dyDescent="0.2">
      <c r="G747" s="56"/>
      <c r="H747" s="56"/>
      <c r="I747" s="56"/>
      <c r="J747" s="56"/>
      <c r="K747" s="56"/>
      <c r="S747" s="59"/>
    </row>
    <row r="748" spans="7:19" x14ac:dyDescent="0.2">
      <c r="G748" s="56"/>
      <c r="H748" s="56"/>
      <c r="I748" s="56"/>
      <c r="J748" s="56"/>
      <c r="K748" s="56"/>
      <c r="S748" s="59"/>
    </row>
    <row r="749" spans="7:19" x14ac:dyDescent="0.2">
      <c r="G749" s="56"/>
      <c r="H749" s="56"/>
      <c r="I749" s="56"/>
      <c r="J749" s="56"/>
      <c r="K749" s="56"/>
      <c r="S749" s="59"/>
    </row>
    <row r="750" spans="7:19" x14ac:dyDescent="0.2">
      <c r="G750" s="56"/>
      <c r="H750" s="56"/>
      <c r="I750" s="56"/>
      <c r="J750" s="56"/>
      <c r="K750" s="56"/>
      <c r="S750" s="59"/>
    </row>
    <row r="751" spans="7:19" x14ac:dyDescent="0.2">
      <c r="G751" s="56"/>
      <c r="H751" s="56"/>
      <c r="I751" s="56"/>
      <c r="J751" s="56"/>
      <c r="K751" s="56"/>
      <c r="S751" s="59"/>
    </row>
    <row r="752" spans="7:19" x14ac:dyDescent="0.2">
      <c r="G752" s="56"/>
      <c r="H752" s="56"/>
      <c r="I752" s="56"/>
      <c r="J752" s="56"/>
      <c r="K752" s="56"/>
      <c r="S752" s="59"/>
    </row>
    <row r="753" spans="7:19" x14ac:dyDescent="0.2">
      <c r="G753" s="56"/>
      <c r="H753" s="56"/>
      <c r="I753" s="56"/>
      <c r="J753" s="56"/>
      <c r="K753" s="56"/>
      <c r="S753" s="59"/>
    </row>
    <row r="754" spans="7:19" x14ac:dyDescent="0.2">
      <c r="G754" s="56"/>
      <c r="H754" s="56"/>
      <c r="I754" s="56"/>
      <c r="J754" s="56"/>
      <c r="K754" s="56"/>
      <c r="S754" s="59"/>
    </row>
    <row r="755" spans="7:19" x14ac:dyDescent="0.2">
      <c r="G755" s="56"/>
      <c r="H755" s="56"/>
      <c r="I755" s="56"/>
      <c r="J755" s="56"/>
      <c r="K755" s="56"/>
      <c r="S755" s="59"/>
    </row>
    <row r="756" spans="7:19" x14ac:dyDescent="0.2">
      <c r="G756" s="56"/>
      <c r="H756" s="56"/>
      <c r="I756" s="56"/>
      <c r="J756" s="56"/>
      <c r="K756" s="56"/>
      <c r="S756" s="59"/>
    </row>
    <row r="757" spans="7:19" x14ac:dyDescent="0.2">
      <c r="G757" s="56"/>
      <c r="H757" s="56"/>
      <c r="I757" s="56"/>
      <c r="J757" s="56"/>
      <c r="K757" s="56"/>
      <c r="S757" s="59"/>
    </row>
    <row r="758" spans="7:19" x14ac:dyDescent="0.2">
      <c r="G758" s="56"/>
      <c r="H758" s="56"/>
      <c r="I758" s="56"/>
      <c r="J758" s="56"/>
      <c r="K758" s="56"/>
      <c r="S758" s="59"/>
    </row>
    <row r="759" spans="7:19" x14ac:dyDescent="0.2">
      <c r="G759" s="56"/>
      <c r="H759" s="56"/>
      <c r="I759" s="56"/>
      <c r="J759" s="56"/>
      <c r="K759" s="56"/>
      <c r="S759" s="59"/>
    </row>
    <row r="760" spans="7:19" x14ac:dyDescent="0.2">
      <c r="G760" s="56"/>
      <c r="H760" s="56"/>
      <c r="I760" s="56"/>
      <c r="J760" s="56"/>
      <c r="K760" s="56"/>
      <c r="S760" s="59"/>
    </row>
    <row r="761" spans="7:19" x14ac:dyDescent="0.2">
      <c r="G761" s="56"/>
      <c r="H761" s="56"/>
      <c r="I761" s="56"/>
      <c r="J761" s="56"/>
      <c r="K761" s="56"/>
      <c r="S761" s="59"/>
    </row>
    <row r="762" spans="7:19" x14ac:dyDescent="0.2">
      <c r="G762" s="56"/>
      <c r="H762" s="56"/>
      <c r="I762" s="56"/>
      <c r="J762" s="56"/>
      <c r="K762" s="56"/>
      <c r="S762" s="59"/>
    </row>
    <row r="763" spans="7:19" x14ac:dyDescent="0.2">
      <c r="G763" s="56"/>
      <c r="H763" s="56"/>
      <c r="I763" s="56"/>
      <c r="J763" s="56"/>
      <c r="K763" s="56"/>
      <c r="S763" s="59"/>
    </row>
    <row r="764" spans="7:19" x14ac:dyDescent="0.2">
      <c r="G764" s="56"/>
      <c r="H764" s="56"/>
      <c r="I764" s="56"/>
      <c r="J764" s="56"/>
      <c r="K764" s="56"/>
      <c r="S764" s="59"/>
    </row>
    <row r="765" spans="7:19" x14ac:dyDescent="0.2">
      <c r="G765" s="56"/>
      <c r="H765" s="56"/>
      <c r="I765" s="56"/>
      <c r="J765" s="56"/>
      <c r="K765" s="56"/>
      <c r="S765" s="59"/>
    </row>
    <row r="766" spans="7:19" x14ac:dyDescent="0.2">
      <c r="G766" s="56"/>
      <c r="H766" s="56"/>
      <c r="I766" s="56"/>
      <c r="J766" s="56"/>
      <c r="K766" s="56"/>
      <c r="S766" s="59"/>
    </row>
    <row r="767" spans="7:19" x14ac:dyDescent="0.2">
      <c r="G767" s="56"/>
      <c r="H767" s="56"/>
      <c r="I767" s="56"/>
      <c r="J767" s="56"/>
      <c r="K767" s="56"/>
      <c r="S767" s="59"/>
    </row>
    <row r="768" spans="7:19" x14ac:dyDescent="0.2">
      <c r="G768" s="56"/>
      <c r="H768" s="56"/>
      <c r="I768" s="56"/>
      <c r="J768" s="56"/>
      <c r="K768" s="56"/>
      <c r="S768" s="59"/>
    </row>
    <row r="769" spans="7:19" x14ac:dyDescent="0.2">
      <c r="G769" s="56"/>
      <c r="H769" s="56"/>
      <c r="I769" s="56"/>
      <c r="J769" s="56"/>
      <c r="K769" s="56"/>
      <c r="S769" s="59"/>
    </row>
    <row r="770" spans="7:19" x14ac:dyDescent="0.2">
      <c r="G770" s="56"/>
      <c r="H770" s="56"/>
      <c r="I770" s="56"/>
      <c r="J770" s="56"/>
      <c r="K770" s="56"/>
      <c r="S770" s="59"/>
    </row>
    <row r="771" spans="7:19" x14ac:dyDescent="0.2">
      <c r="G771" s="56"/>
      <c r="H771" s="56"/>
      <c r="I771" s="56"/>
      <c r="J771" s="56"/>
      <c r="K771" s="56"/>
      <c r="S771" s="59"/>
    </row>
    <row r="772" spans="7:19" x14ac:dyDescent="0.2">
      <c r="G772" s="56"/>
      <c r="H772" s="56"/>
      <c r="I772" s="56"/>
      <c r="J772" s="56"/>
      <c r="K772" s="56"/>
      <c r="S772" s="59"/>
    </row>
    <row r="773" spans="7:19" x14ac:dyDescent="0.2">
      <c r="G773" s="56"/>
      <c r="H773" s="56"/>
      <c r="I773" s="56"/>
      <c r="J773" s="56"/>
      <c r="K773" s="56"/>
      <c r="S773" s="59"/>
    </row>
    <row r="774" spans="7:19" x14ac:dyDescent="0.2">
      <c r="G774" s="56"/>
      <c r="H774" s="56"/>
      <c r="I774" s="56"/>
      <c r="J774" s="56"/>
      <c r="K774" s="56"/>
      <c r="S774" s="59"/>
    </row>
    <row r="775" spans="7:19" x14ac:dyDescent="0.2">
      <c r="G775" s="56"/>
      <c r="H775" s="56"/>
      <c r="I775" s="56"/>
      <c r="J775" s="56"/>
      <c r="K775" s="56"/>
      <c r="S775" s="59"/>
    </row>
    <row r="776" spans="7:19" x14ac:dyDescent="0.2">
      <c r="G776" s="56"/>
      <c r="H776" s="56"/>
      <c r="I776" s="56"/>
      <c r="J776" s="56"/>
      <c r="K776" s="56"/>
      <c r="S776" s="59"/>
    </row>
    <row r="777" spans="7:19" x14ac:dyDescent="0.2">
      <c r="G777" s="56"/>
      <c r="H777" s="56"/>
      <c r="I777" s="56"/>
      <c r="J777" s="56"/>
      <c r="K777" s="56"/>
      <c r="S777" s="59"/>
    </row>
    <row r="778" spans="7:19" x14ac:dyDescent="0.2">
      <c r="G778" s="56"/>
      <c r="H778" s="56"/>
      <c r="I778" s="56"/>
      <c r="J778" s="56"/>
      <c r="K778" s="56"/>
      <c r="S778" s="59"/>
    </row>
    <row r="779" spans="7:19" x14ac:dyDescent="0.2">
      <c r="G779" s="56"/>
      <c r="H779" s="56"/>
      <c r="I779" s="56"/>
      <c r="J779" s="56"/>
      <c r="K779" s="56"/>
      <c r="S779" s="59"/>
    </row>
    <row r="780" spans="7:19" x14ac:dyDescent="0.2">
      <c r="G780" s="56"/>
      <c r="H780" s="56"/>
      <c r="I780" s="56"/>
      <c r="J780" s="56"/>
      <c r="K780" s="56"/>
      <c r="S780" s="59"/>
    </row>
    <row r="781" spans="7:19" x14ac:dyDescent="0.2">
      <c r="G781" s="56"/>
      <c r="H781" s="56"/>
      <c r="I781" s="56"/>
      <c r="J781" s="56"/>
      <c r="K781" s="56"/>
      <c r="S781" s="59"/>
    </row>
    <row r="782" spans="7:19" x14ac:dyDescent="0.2">
      <c r="G782" s="56"/>
      <c r="H782" s="56"/>
      <c r="I782" s="56"/>
      <c r="J782" s="56"/>
      <c r="K782" s="56"/>
      <c r="S782" s="59"/>
    </row>
    <row r="783" spans="7:19" x14ac:dyDescent="0.2">
      <c r="G783" s="56"/>
      <c r="H783" s="56"/>
      <c r="I783" s="56"/>
      <c r="J783" s="56"/>
      <c r="K783" s="56"/>
      <c r="S783" s="59"/>
    </row>
    <row r="784" spans="7:19" x14ac:dyDescent="0.2">
      <c r="G784" s="56"/>
      <c r="H784" s="56"/>
      <c r="I784" s="56"/>
      <c r="J784" s="56"/>
      <c r="K784" s="56"/>
      <c r="S784" s="59"/>
    </row>
    <row r="785" spans="7:19" x14ac:dyDescent="0.2">
      <c r="G785" s="56"/>
      <c r="H785" s="56"/>
      <c r="I785" s="56"/>
      <c r="J785" s="56"/>
      <c r="K785" s="56"/>
      <c r="S785" s="59"/>
    </row>
    <row r="786" spans="7:19" x14ac:dyDescent="0.2">
      <c r="G786" s="56"/>
      <c r="H786" s="56"/>
      <c r="I786" s="56"/>
      <c r="J786" s="56"/>
      <c r="K786" s="56"/>
      <c r="S786" s="59"/>
    </row>
    <row r="787" spans="7:19" x14ac:dyDescent="0.2">
      <c r="G787" s="56"/>
      <c r="H787" s="56"/>
      <c r="I787" s="56"/>
      <c r="J787" s="56"/>
      <c r="K787" s="56"/>
      <c r="S787" s="59"/>
    </row>
    <row r="788" spans="7:19" x14ac:dyDescent="0.2">
      <c r="G788" s="56"/>
      <c r="H788" s="56"/>
      <c r="I788" s="56"/>
      <c r="J788" s="56"/>
      <c r="K788" s="56"/>
      <c r="S788" s="59"/>
    </row>
    <row r="789" spans="7:19" x14ac:dyDescent="0.2">
      <c r="G789" s="56"/>
      <c r="H789" s="56"/>
      <c r="I789" s="56"/>
      <c r="J789" s="56"/>
      <c r="K789" s="56"/>
      <c r="S789" s="59"/>
    </row>
    <row r="790" spans="7:19" x14ac:dyDescent="0.2">
      <c r="G790" s="56"/>
      <c r="H790" s="56"/>
      <c r="I790" s="56"/>
      <c r="J790" s="56"/>
      <c r="K790" s="56"/>
      <c r="S790" s="59"/>
    </row>
    <row r="791" spans="7:19" x14ac:dyDescent="0.2">
      <c r="G791" s="56"/>
      <c r="H791" s="56"/>
      <c r="I791" s="56"/>
      <c r="J791" s="56"/>
      <c r="K791" s="56"/>
      <c r="S791" s="59"/>
    </row>
    <row r="792" spans="7:19" x14ac:dyDescent="0.2">
      <c r="G792" s="56"/>
      <c r="H792" s="56"/>
      <c r="I792" s="56"/>
      <c r="J792" s="56"/>
      <c r="K792" s="56"/>
      <c r="S792" s="59"/>
    </row>
    <row r="793" spans="7:19" x14ac:dyDescent="0.2">
      <c r="G793" s="56"/>
      <c r="H793" s="56"/>
      <c r="I793" s="56"/>
      <c r="J793" s="56"/>
      <c r="K793" s="56"/>
      <c r="S793" s="59"/>
    </row>
    <row r="794" spans="7:19" x14ac:dyDescent="0.2">
      <c r="G794" s="56"/>
      <c r="H794" s="56"/>
      <c r="I794" s="56"/>
      <c r="J794" s="56"/>
      <c r="K794" s="56"/>
      <c r="S794" s="59"/>
    </row>
    <row r="795" spans="7:19" x14ac:dyDescent="0.2">
      <c r="G795" s="56"/>
      <c r="H795" s="56"/>
      <c r="I795" s="56"/>
      <c r="J795" s="56"/>
      <c r="K795" s="56"/>
      <c r="S795" s="59"/>
    </row>
    <row r="796" spans="7:19" x14ac:dyDescent="0.2">
      <c r="G796" s="56"/>
      <c r="H796" s="56"/>
      <c r="I796" s="56"/>
      <c r="J796" s="56"/>
      <c r="K796" s="56"/>
      <c r="S796" s="59"/>
    </row>
    <row r="797" spans="7:19" x14ac:dyDescent="0.2">
      <c r="G797" s="56"/>
      <c r="H797" s="56"/>
      <c r="I797" s="56"/>
      <c r="J797" s="56"/>
      <c r="K797" s="56"/>
      <c r="S797" s="59"/>
    </row>
    <row r="798" spans="7:19" x14ac:dyDescent="0.2">
      <c r="G798" s="56"/>
      <c r="H798" s="56"/>
      <c r="I798" s="56"/>
      <c r="J798" s="56"/>
      <c r="K798" s="56"/>
      <c r="S798" s="59"/>
    </row>
    <row r="799" spans="7:19" x14ac:dyDescent="0.2">
      <c r="G799" s="56"/>
      <c r="H799" s="56"/>
      <c r="I799" s="56"/>
      <c r="J799" s="56"/>
      <c r="K799" s="56"/>
      <c r="S799" s="59"/>
    </row>
    <row r="800" spans="7:19" x14ac:dyDescent="0.2">
      <c r="G800" s="56"/>
      <c r="H800" s="56"/>
      <c r="I800" s="56"/>
      <c r="J800" s="56"/>
      <c r="K800" s="56"/>
      <c r="S800" s="59"/>
    </row>
    <row r="801" spans="7:19" x14ac:dyDescent="0.2">
      <c r="G801" s="56"/>
      <c r="H801" s="56"/>
      <c r="I801" s="56"/>
      <c r="J801" s="56"/>
      <c r="K801" s="56"/>
      <c r="S801" s="59"/>
    </row>
    <row r="802" spans="7:19" x14ac:dyDescent="0.2">
      <c r="G802" s="56"/>
      <c r="H802" s="56"/>
      <c r="I802" s="56"/>
      <c r="J802" s="56"/>
      <c r="K802" s="56"/>
      <c r="S802" s="59"/>
    </row>
    <row r="803" spans="7:19" x14ac:dyDescent="0.2">
      <c r="G803" s="56"/>
      <c r="H803" s="56"/>
      <c r="I803" s="56"/>
      <c r="J803" s="56"/>
      <c r="K803" s="56"/>
      <c r="S803" s="59"/>
    </row>
    <row r="804" spans="7:19" x14ac:dyDescent="0.2">
      <c r="G804" s="56"/>
      <c r="H804" s="56"/>
      <c r="I804" s="56"/>
      <c r="J804" s="56"/>
      <c r="K804" s="56"/>
      <c r="S804" s="59"/>
    </row>
    <row r="805" spans="7:19" x14ac:dyDescent="0.2">
      <c r="G805" s="56"/>
      <c r="H805" s="56"/>
      <c r="I805" s="56"/>
      <c r="J805" s="56"/>
      <c r="K805" s="56"/>
      <c r="S805" s="59"/>
    </row>
    <row r="806" spans="7:19" x14ac:dyDescent="0.2">
      <c r="G806" s="56"/>
      <c r="H806" s="56"/>
      <c r="I806" s="56"/>
      <c r="J806" s="56"/>
      <c r="K806" s="56"/>
      <c r="S806" s="59"/>
    </row>
    <row r="807" spans="7:19" x14ac:dyDescent="0.2">
      <c r="G807" s="56"/>
      <c r="H807" s="56"/>
      <c r="I807" s="56"/>
      <c r="J807" s="56"/>
      <c r="K807" s="56"/>
      <c r="S807" s="59"/>
    </row>
    <row r="808" spans="7:19" x14ac:dyDescent="0.2">
      <c r="G808" s="56"/>
      <c r="H808" s="56"/>
      <c r="I808" s="56"/>
      <c r="J808" s="56"/>
      <c r="K808" s="56"/>
      <c r="S808" s="59"/>
    </row>
    <row r="809" spans="7:19" x14ac:dyDescent="0.2">
      <c r="G809" s="56"/>
      <c r="H809" s="56"/>
      <c r="I809" s="56"/>
      <c r="J809" s="56"/>
      <c r="K809" s="56"/>
      <c r="S809" s="59"/>
    </row>
    <row r="810" spans="7:19" x14ac:dyDescent="0.2">
      <c r="G810" s="56"/>
      <c r="H810" s="56"/>
      <c r="I810" s="56"/>
      <c r="J810" s="56"/>
      <c r="K810" s="56"/>
      <c r="S810" s="59"/>
    </row>
    <row r="811" spans="7:19" x14ac:dyDescent="0.2">
      <c r="G811" s="56"/>
      <c r="H811" s="56"/>
      <c r="I811" s="56"/>
      <c r="J811" s="56"/>
      <c r="K811" s="56"/>
      <c r="S811" s="59"/>
    </row>
    <row r="812" spans="7:19" x14ac:dyDescent="0.2">
      <c r="G812" s="56"/>
      <c r="H812" s="56"/>
      <c r="I812" s="56"/>
      <c r="J812" s="56"/>
      <c r="K812" s="56"/>
      <c r="S812" s="59"/>
    </row>
    <row r="813" spans="7:19" x14ac:dyDescent="0.2">
      <c r="G813" s="56"/>
      <c r="H813" s="56"/>
      <c r="I813" s="56"/>
      <c r="J813" s="56"/>
      <c r="K813" s="56"/>
      <c r="S813" s="59"/>
    </row>
    <row r="814" spans="7:19" x14ac:dyDescent="0.2">
      <c r="G814" s="56"/>
      <c r="H814" s="56"/>
      <c r="I814" s="56"/>
      <c r="J814" s="56"/>
      <c r="K814" s="56"/>
      <c r="S814" s="59"/>
    </row>
    <row r="815" spans="7:19" x14ac:dyDescent="0.2">
      <c r="G815" s="56"/>
      <c r="H815" s="56"/>
      <c r="I815" s="56"/>
      <c r="J815" s="56"/>
      <c r="K815" s="56"/>
      <c r="S815" s="59"/>
    </row>
    <row r="816" spans="7:19" x14ac:dyDescent="0.2">
      <c r="G816" s="56"/>
      <c r="H816" s="56"/>
      <c r="I816" s="56"/>
      <c r="J816" s="56"/>
      <c r="K816" s="56"/>
      <c r="S816" s="59"/>
    </row>
    <row r="817" spans="7:19" x14ac:dyDescent="0.2">
      <c r="G817" s="56"/>
      <c r="H817" s="56"/>
      <c r="I817" s="56"/>
      <c r="J817" s="56"/>
      <c r="K817" s="56"/>
      <c r="S817" s="59"/>
    </row>
    <row r="818" spans="7:19" x14ac:dyDescent="0.2">
      <c r="G818" s="56"/>
      <c r="H818" s="56"/>
      <c r="I818" s="56"/>
      <c r="J818" s="56"/>
      <c r="K818" s="56"/>
      <c r="S818" s="59"/>
    </row>
    <row r="819" spans="7:19" x14ac:dyDescent="0.2">
      <c r="G819" s="56"/>
      <c r="H819" s="56"/>
      <c r="I819" s="56"/>
      <c r="J819" s="56"/>
      <c r="K819" s="56"/>
      <c r="S819" s="59"/>
    </row>
    <row r="820" spans="7:19" x14ac:dyDescent="0.2">
      <c r="G820" s="56"/>
      <c r="H820" s="56"/>
      <c r="I820" s="56"/>
      <c r="J820" s="56"/>
      <c r="K820" s="56"/>
      <c r="S820" s="59"/>
    </row>
    <row r="821" spans="7:19" x14ac:dyDescent="0.2">
      <c r="G821" s="56"/>
      <c r="H821" s="56"/>
      <c r="I821" s="56"/>
      <c r="J821" s="56"/>
      <c r="K821" s="56"/>
      <c r="S821" s="59"/>
    </row>
    <row r="822" spans="7:19" x14ac:dyDescent="0.2">
      <c r="G822" s="56"/>
      <c r="H822" s="56"/>
      <c r="I822" s="56"/>
      <c r="J822" s="56"/>
      <c r="K822" s="56"/>
      <c r="S822" s="59"/>
    </row>
    <row r="823" spans="7:19" x14ac:dyDescent="0.2">
      <c r="G823" s="56"/>
      <c r="H823" s="56"/>
      <c r="I823" s="56"/>
      <c r="J823" s="56"/>
      <c r="K823" s="56"/>
      <c r="S823" s="59"/>
    </row>
    <row r="824" spans="7:19" x14ac:dyDescent="0.2">
      <c r="G824" s="56"/>
      <c r="H824" s="56"/>
      <c r="I824" s="56"/>
      <c r="J824" s="56"/>
      <c r="K824" s="56"/>
      <c r="S824" s="59"/>
    </row>
    <row r="825" spans="7:19" x14ac:dyDescent="0.2">
      <c r="G825" s="56"/>
      <c r="H825" s="56"/>
      <c r="I825" s="56"/>
      <c r="J825" s="56"/>
      <c r="K825" s="56"/>
      <c r="S825" s="59"/>
    </row>
    <row r="826" spans="7:19" x14ac:dyDescent="0.2">
      <c r="G826" s="56"/>
      <c r="H826" s="56"/>
      <c r="I826" s="56"/>
      <c r="J826" s="56"/>
      <c r="K826" s="56"/>
      <c r="S826" s="59"/>
    </row>
    <row r="827" spans="7:19" x14ac:dyDescent="0.2">
      <c r="G827" s="56"/>
      <c r="H827" s="56"/>
      <c r="I827" s="56"/>
      <c r="J827" s="56"/>
      <c r="K827" s="56"/>
      <c r="S827" s="59"/>
    </row>
    <row r="828" spans="7:19" x14ac:dyDescent="0.2">
      <c r="G828" s="56"/>
      <c r="H828" s="56"/>
      <c r="I828" s="56"/>
      <c r="J828" s="56"/>
      <c r="K828" s="56"/>
      <c r="S828" s="59"/>
    </row>
    <row r="829" spans="7:19" x14ac:dyDescent="0.2">
      <c r="G829" s="56"/>
      <c r="H829" s="56"/>
      <c r="I829" s="56"/>
      <c r="J829" s="56"/>
      <c r="K829" s="56"/>
      <c r="S829" s="59"/>
    </row>
    <row r="830" spans="7:19" x14ac:dyDescent="0.2">
      <c r="G830" s="56"/>
      <c r="H830" s="56"/>
      <c r="I830" s="56"/>
      <c r="J830" s="56"/>
      <c r="K830" s="56"/>
      <c r="S830" s="59"/>
    </row>
    <row r="831" spans="7:19" x14ac:dyDescent="0.2">
      <c r="G831" s="56"/>
      <c r="H831" s="56"/>
      <c r="I831" s="56"/>
      <c r="J831" s="56"/>
      <c r="K831" s="56"/>
      <c r="S831" s="59"/>
    </row>
    <row r="832" spans="7:19" x14ac:dyDescent="0.2">
      <c r="G832" s="56"/>
      <c r="H832" s="56"/>
      <c r="I832" s="56"/>
      <c r="J832" s="56"/>
      <c r="K832" s="56"/>
      <c r="S832" s="59"/>
    </row>
    <row r="833" spans="7:19" x14ac:dyDescent="0.2">
      <c r="G833" s="56"/>
      <c r="H833" s="56"/>
      <c r="I833" s="56"/>
      <c r="J833" s="56"/>
      <c r="K833" s="56"/>
      <c r="S833" s="59"/>
    </row>
    <row r="834" spans="7:19" x14ac:dyDescent="0.2">
      <c r="G834" s="56"/>
      <c r="H834" s="56"/>
      <c r="I834" s="56"/>
      <c r="J834" s="56"/>
      <c r="K834" s="56"/>
      <c r="S834" s="59"/>
    </row>
    <row r="835" spans="7:19" x14ac:dyDescent="0.2">
      <c r="G835" s="56"/>
      <c r="H835" s="56"/>
      <c r="I835" s="56"/>
      <c r="J835" s="56"/>
      <c r="K835" s="56"/>
      <c r="S835" s="59"/>
    </row>
    <row r="836" spans="7:19" x14ac:dyDescent="0.2">
      <c r="G836" s="56"/>
      <c r="H836" s="56"/>
      <c r="I836" s="56"/>
      <c r="J836" s="56"/>
      <c r="K836" s="56"/>
      <c r="S836" s="59"/>
    </row>
    <row r="837" spans="7:19" x14ac:dyDescent="0.2">
      <c r="G837" s="56"/>
      <c r="H837" s="56"/>
      <c r="I837" s="56"/>
      <c r="J837" s="56"/>
      <c r="K837" s="56"/>
      <c r="S837" s="59"/>
    </row>
    <row r="838" spans="7:19" x14ac:dyDescent="0.2">
      <c r="G838" s="56"/>
      <c r="H838" s="56"/>
      <c r="I838" s="56"/>
      <c r="J838" s="56"/>
      <c r="K838" s="56"/>
      <c r="S838" s="59"/>
    </row>
    <row r="839" spans="7:19" x14ac:dyDescent="0.2">
      <c r="G839" s="56"/>
      <c r="H839" s="56"/>
      <c r="I839" s="56"/>
      <c r="J839" s="56"/>
      <c r="K839" s="56"/>
      <c r="S839" s="59"/>
    </row>
    <row r="840" spans="7:19" x14ac:dyDescent="0.2">
      <c r="G840" s="56"/>
      <c r="H840" s="56"/>
      <c r="I840" s="56"/>
      <c r="J840" s="56"/>
      <c r="K840" s="56"/>
      <c r="S840" s="59"/>
    </row>
    <row r="841" spans="7:19" x14ac:dyDescent="0.2">
      <c r="G841" s="56"/>
      <c r="H841" s="56"/>
      <c r="I841" s="56"/>
      <c r="J841" s="56"/>
      <c r="K841" s="56"/>
      <c r="S841" s="59"/>
    </row>
    <row r="842" spans="7:19" x14ac:dyDescent="0.2">
      <c r="G842" s="56"/>
      <c r="H842" s="56"/>
      <c r="I842" s="56"/>
      <c r="J842" s="56"/>
      <c r="K842" s="56"/>
      <c r="S842" s="59"/>
    </row>
    <row r="843" spans="7:19" x14ac:dyDescent="0.2">
      <c r="G843" s="56"/>
      <c r="H843" s="56"/>
      <c r="I843" s="56"/>
      <c r="J843" s="56"/>
      <c r="K843" s="56"/>
      <c r="S843" s="59"/>
    </row>
    <row r="844" spans="7:19" x14ac:dyDescent="0.2">
      <c r="G844" s="56"/>
      <c r="H844" s="56"/>
      <c r="I844" s="56"/>
      <c r="J844" s="56"/>
      <c r="K844" s="56"/>
      <c r="S844" s="59"/>
    </row>
    <row r="845" spans="7:19" x14ac:dyDescent="0.2">
      <c r="G845" s="56"/>
      <c r="H845" s="56"/>
      <c r="I845" s="56"/>
      <c r="J845" s="56"/>
      <c r="K845" s="56"/>
      <c r="S845" s="59"/>
    </row>
    <row r="846" spans="7:19" x14ac:dyDescent="0.2">
      <c r="G846" s="56"/>
      <c r="H846" s="56"/>
      <c r="I846" s="56"/>
      <c r="J846" s="56"/>
      <c r="K846" s="56"/>
      <c r="S846" s="59"/>
    </row>
    <row r="847" spans="7:19" x14ac:dyDescent="0.2">
      <c r="G847" s="56"/>
      <c r="H847" s="56"/>
      <c r="I847" s="56"/>
      <c r="J847" s="56"/>
      <c r="K847" s="56"/>
      <c r="S847" s="59"/>
    </row>
    <row r="848" spans="7:19" x14ac:dyDescent="0.2">
      <c r="G848" s="56"/>
      <c r="H848" s="56"/>
      <c r="I848" s="56"/>
      <c r="J848" s="56"/>
      <c r="K848" s="56"/>
      <c r="S848" s="59"/>
    </row>
    <row r="849" spans="7:19" x14ac:dyDescent="0.2">
      <c r="G849" s="56"/>
      <c r="H849" s="56"/>
      <c r="I849" s="56"/>
      <c r="J849" s="56"/>
      <c r="K849" s="56"/>
      <c r="S849" s="59"/>
    </row>
    <row r="850" spans="7:19" x14ac:dyDescent="0.2">
      <c r="G850" s="56"/>
      <c r="H850" s="56"/>
      <c r="I850" s="56"/>
      <c r="J850" s="56"/>
      <c r="K850" s="56"/>
      <c r="S850" s="59"/>
    </row>
    <row r="851" spans="7:19" x14ac:dyDescent="0.2">
      <c r="G851" s="56"/>
      <c r="H851" s="56"/>
      <c r="I851" s="56"/>
      <c r="J851" s="56"/>
      <c r="K851" s="56"/>
      <c r="S851" s="59"/>
    </row>
    <row r="852" spans="7:19" x14ac:dyDescent="0.2">
      <c r="G852" s="56"/>
      <c r="H852" s="56"/>
      <c r="I852" s="56"/>
      <c r="J852" s="56"/>
      <c r="K852" s="56"/>
      <c r="S852" s="59"/>
    </row>
    <row r="853" spans="7:19" x14ac:dyDescent="0.2">
      <c r="G853" s="56"/>
      <c r="H853" s="56"/>
      <c r="I853" s="56"/>
      <c r="J853" s="56"/>
      <c r="K853" s="56"/>
      <c r="S853" s="59"/>
    </row>
    <row r="854" spans="7:19" x14ac:dyDescent="0.2">
      <c r="G854" s="56"/>
      <c r="H854" s="56"/>
      <c r="I854" s="56"/>
      <c r="J854" s="56"/>
      <c r="K854" s="56"/>
      <c r="S854" s="59"/>
    </row>
    <row r="855" spans="7:19" x14ac:dyDescent="0.2">
      <c r="G855" s="56"/>
      <c r="H855" s="56"/>
      <c r="I855" s="56"/>
      <c r="J855" s="56"/>
      <c r="K855" s="56"/>
      <c r="S855" s="59"/>
    </row>
    <row r="856" spans="7:19" x14ac:dyDescent="0.2">
      <c r="G856" s="56"/>
      <c r="H856" s="56"/>
      <c r="I856" s="56"/>
      <c r="J856" s="56"/>
      <c r="K856" s="56"/>
      <c r="S856" s="59"/>
    </row>
    <row r="857" spans="7:19" x14ac:dyDescent="0.2">
      <c r="G857" s="56"/>
      <c r="H857" s="56"/>
      <c r="I857" s="56"/>
      <c r="J857" s="56"/>
      <c r="K857" s="56"/>
      <c r="S857" s="59"/>
    </row>
    <row r="858" spans="7:19" x14ac:dyDescent="0.2">
      <c r="G858" s="56"/>
      <c r="H858" s="56"/>
      <c r="I858" s="56"/>
      <c r="J858" s="56"/>
      <c r="K858" s="56"/>
      <c r="S858" s="59"/>
    </row>
    <row r="859" spans="7:19" x14ac:dyDescent="0.2">
      <c r="G859" s="56"/>
      <c r="H859" s="56"/>
      <c r="I859" s="56"/>
      <c r="J859" s="56"/>
      <c r="K859" s="56"/>
      <c r="S859" s="59"/>
    </row>
    <row r="860" spans="7:19" x14ac:dyDescent="0.2">
      <c r="G860" s="56"/>
      <c r="H860" s="56"/>
      <c r="I860" s="56"/>
      <c r="J860" s="56"/>
      <c r="K860" s="56"/>
      <c r="S860" s="59"/>
    </row>
    <row r="861" spans="7:19" x14ac:dyDescent="0.2">
      <c r="G861" s="56"/>
      <c r="H861" s="56"/>
      <c r="I861" s="56"/>
      <c r="J861" s="56"/>
      <c r="K861" s="56"/>
      <c r="S861" s="59"/>
    </row>
    <row r="862" spans="7:19" x14ac:dyDescent="0.2">
      <c r="G862" s="56"/>
      <c r="H862" s="56"/>
      <c r="I862" s="56"/>
      <c r="J862" s="56"/>
      <c r="K862" s="56"/>
      <c r="S862" s="59"/>
    </row>
    <row r="863" spans="7:19" x14ac:dyDescent="0.2">
      <c r="G863" s="56"/>
      <c r="H863" s="56"/>
      <c r="I863" s="56"/>
      <c r="J863" s="56"/>
      <c r="K863" s="56"/>
      <c r="S863" s="59"/>
    </row>
    <row r="864" spans="7:19" x14ac:dyDescent="0.2">
      <c r="G864" s="56"/>
      <c r="H864" s="56"/>
      <c r="I864" s="56"/>
      <c r="J864" s="56"/>
      <c r="K864" s="56"/>
      <c r="S864" s="59"/>
    </row>
    <row r="865" spans="7:19" x14ac:dyDescent="0.2">
      <c r="G865" s="56"/>
      <c r="H865" s="56"/>
      <c r="I865" s="56"/>
      <c r="J865" s="56"/>
      <c r="K865" s="56"/>
      <c r="S865" s="59"/>
    </row>
    <row r="866" spans="7:19" x14ac:dyDescent="0.2">
      <c r="G866" s="56"/>
      <c r="H866" s="56"/>
      <c r="I866" s="56"/>
      <c r="J866" s="56"/>
      <c r="K866" s="56"/>
      <c r="S866" s="59"/>
    </row>
    <row r="867" spans="7:19" x14ac:dyDescent="0.2">
      <c r="G867" s="56"/>
      <c r="H867" s="56"/>
      <c r="I867" s="56"/>
      <c r="J867" s="56"/>
      <c r="K867" s="56"/>
      <c r="S867" s="59"/>
    </row>
    <row r="868" spans="7:19" x14ac:dyDescent="0.2">
      <c r="G868" s="56"/>
      <c r="H868" s="56"/>
      <c r="I868" s="56"/>
      <c r="J868" s="56"/>
      <c r="K868" s="56"/>
      <c r="S868" s="59"/>
    </row>
    <row r="869" spans="7:19" x14ac:dyDescent="0.2">
      <c r="G869" s="56"/>
      <c r="H869" s="56"/>
      <c r="I869" s="56"/>
      <c r="J869" s="56"/>
      <c r="K869" s="56"/>
      <c r="S869" s="59"/>
    </row>
    <row r="870" spans="7:19" x14ac:dyDescent="0.2">
      <c r="G870" s="56"/>
      <c r="H870" s="56"/>
      <c r="I870" s="56"/>
      <c r="J870" s="56"/>
      <c r="K870" s="56"/>
      <c r="S870" s="59"/>
    </row>
    <row r="871" spans="7:19" x14ac:dyDescent="0.2">
      <c r="G871" s="56"/>
      <c r="H871" s="56"/>
      <c r="I871" s="56"/>
      <c r="J871" s="56"/>
      <c r="K871" s="56"/>
      <c r="S871" s="59"/>
    </row>
    <row r="872" spans="7:19" x14ac:dyDescent="0.2">
      <c r="G872" s="56"/>
      <c r="H872" s="56"/>
      <c r="I872" s="56"/>
      <c r="J872" s="56"/>
      <c r="K872" s="56"/>
      <c r="S872" s="59"/>
    </row>
    <row r="873" spans="7:19" x14ac:dyDescent="0.2">
      <c r="G873" s="56"/>
      <c r="H873" s="56"/>
      <c r="I873" s="56"/>
      <c r="J873" s="56"/>
      <c r="K873" s="56"/>
      <c r="S873" s="59"/>
    </row>
    <row r="874" spans="7:19" x14ac:dyDescent="0.2">
      <c r="G874" s="56"/>
      <c r="H874" s="56"/>
      <c r="I874" s="56"/>
      <c r="J874" s="56"/>
      <c r="K874" s="56"/>
      <c r="S874" s="59"/>
    </row>
    <row r="875" spans="7:19" x14ac:dyDescent="0.2">
      <c r="G875" s="56"/>
      <c r="H875" s="56"/>
      <c r="I875" s="56"/>
      <c r="J875" s="56"/>
      <c r="K875" s="56"/>
      <c r="S875" s="59"/>
    </row>
    <row r="876" spans="7:19" x14ac:dyDescent="0.2">
      <c r="G876" s="56"/>
      <c r="H876" s="56"/>
      <c r="I876" s="56"/>
      <c r="J876" s="56"/>
      <c r="K876" s="56"/>
      <c r="S876" s="59"/>
    </row>
    <row r="877" spans="7:19" x14ac:dyDescent="0.2">
      <c r="G877" s="56"/>
      <c r="H877" s="56"/>
      <c r="I877" s="56"/>
      <c r="J877" s="56"/>
      <c r="K877" s="56"/>
      <c r="S877" s="59"/>
    </row>
    <row r="878" spans="7:19" x14ac:dyDescent="0.2">
      <c r="G878" s="56"/>
      <c r="H878" s="56"/>
      <c r="I878" s="56"/>
      <c r="J878" s="56"/>
      <c r="K878" s="56"/>
      <c r="S878" s="59"/>
    </row>
    <row r="879" spans="7:19" x14ac:dyDescent="0.2">
      <c r="G879" s="56"/>
      <c r="H879" s="56"/>
      <c r="I879" s="56"/>
      <c r="J879" s="56"/>
      <c r="K879" s="56"/>
      <c r="S879" s="59"/>
    </row>
    <row r="880" spans="7:19" x14ac:dyDescent="0.2">
      <c r="G880" s="56"/>
      <c r="H880" s="56"/>
      <c r="I880" s="56"/>
      <c r="J880" s="56"/>
      <c r="K880" s="56"/>
      <c r="S880" s="59"/>
    </row>
    <row r="881" spans="7:19" x14ac:dyDescent="0.2">
      <c r="G881" s="56"/>
      <c r="H881" s="56"/>
      <c r="I881" s="56"/>
      <c r="J881" s="56"/>
      <c r="K881" s="56"/>
      <c r="S881" s="59"/>
    </row>
    <row r="882" spans="7:19" x14ac:dyDescent="0.2">
      <c r="G882" s="56"/>
      <c r="H882" s="56"/>
      <c r="I882" s="56"/>
      <c r="J882" s="56"/>
      <c r="K882" s="56"/>
      <c r="S882" s="59"/>
    </row>
    <row r="883" spans="7:19" x14ac:dyDescent="0.2">
      <c r="G883" s="56"/>
      <c r="H883" s="56"/>
      <c r="I883" s="56"/>
      <c r="J883" s="56"/>
      <c r="K883" s="56"/>
      <c r="S883" s="59"/>
    </row>
    <row r="884" spans="7:19" x14ac:dyDescent="0.2">
      <c r="G884" s="56"/>
      <c r="H884" s="56"/>
      <c r="I884" s="56"/>
      <c r="J884" s="56"/>
      <c r="K884" s="56"/>
      <c r="S884" s="59"/>
    </row>
    <row r="885" spans="7:19" x14ac:dyDescent="0.2">
      <c r="G885" s="56"/>
      <c r="H885" s="56"/>
      <c r="I885" s="56"/>
      <c r="J885" s="56"/>
      <c r="K885" s="56"/>
      <c r="S885" s="59"/>
    </row>
    <row r="886" spans="7:19" x14ac:dyDescent="0.2">
      <c r="G886" s="56"/>
      <c r="H886" s="56"/>
      <c r="I886" s="56"/>
      <c r="J886" s="56"/>
      <c r="K886" s="56"/>
      <c r="S886" s="59"/>
    </row>
    <row r="887" spans="7:19" x14ac:dyDescent="0.2">
      <c r="G887" s="56"/>
      <c r="H887" s="56"/>
      <c r="I887" s="56"/>
      <c r="J887" s="56"/>
      <c r="K887" s="56"/>
      <c r="S887" s="59"/>
    </row>
    <row r="888" spans="7:19" x14ac:dyDescent="0.2">
      <c r="G888" s="56"/>
      <c r="H888" s="56"/>
      <c r="I888" s="56"/>
      <c r="J888" s="56"/>
      <c r="K888" s="56"/>
      <c r="S888" s="59"/>
    </row>
    <row r="889" spans="7:19" x14ac:dyDescent="0.2">
      <c r="G889" s="56"/>
      <c r="H889" s="56"/>
      <c r="I889" s="56"/>
      <c r="J889" s="56"/>
      <c r="K889" s="56"/>
      <c r="S889" s="59"/>
    </row>
    <row r="890" spans="7:19" x14ac:dyDescent="0.2">
      <c r="G890" s="56"/>
      <c r="H890" s="56"/>
      <c r="I890" s="56"/>
      <c r="J890" s="56"/>
      <c r="K890" s="56"/>
      <c r="S890" s="59"/>
    </row>
    <row r="891" spans="7:19" x14ac:dyDescent="0.2">
      <c r="G891" s="56"/>
      <c r="H891" s="56"/>
      <c r="I891" s="56"/>
      <c r="J891" s="56"/>
      <c r="K891" s="56"/>
      <c r="S891" s="59"/>
    </row>
    <row r="892" spans="7:19" x14ac:dyDescent="0.2">
      <c r="G892" s="56"/>
      <c r="H892" s="56"/>
      <c r="I892" s="56"/>
      <c r="J892" s="56"/>
      <c r="K892" s="56"/>
      <c r="S892" s="59"/>
    </row>
    <row r="893" spans="7:19" x14ac:dyDescent="0.2">
      <c r="G893" s="56"/>
      <c r="H893" s="56"/>
      <c r="I893" s="56"/>
      <c r="J893" s="56"/>
      <c r="K893" s="56"/>
      <c r="S893" s="59"/>
    </row>
    <row r="894" spans="7:19" x14ac:dyDescent="0.2">
      <c r="G894" s="56"/>
      <c r="H894" s="56"/>
      <c r="I894" s="56"/>
      <c r="J894" s="56"/>
      <c r="K894" s="56"/>
      <c r="S894" s="59"/>
    </row>
    <row r="895" spans="7:19" x14ac:dyDescent="0.2">
      <c r="G895" s="56"/>
      <c r="H895" s="56"/>
      <c r="I895" s="56"/>
      <c r="J895" s="56"/>
      <c r="K895" s="56"/>
      <c r="S895" s="59"/>
    </row>
    <row r="896" spans="7:19" x14ac:dyDescent="0.2">
      <c r="G896" s="56"/>
      <c r="H896" s="56"/>
      <c r="I896" s="56"/>
      <c r="J896" s="56"/>
      <c r="K896" s="56"/>
      <c r="S896" s="59"/>
    </row>
    <row r="897" spans="7:19" x14ac:dyDescent="0.2">
      <c r="G897" s="56"/>
      <c r="H897" s="56"/>
      <c r="I897" s="56"/>
      <c r="J897" s="56"/>
      <c r="K897" s="56"/>
      <c r="S897" s="59"/>
    </row>
    <row r="898" spans="7:19" x14ac:dyDescent="0.2">
      <c r="G898" s="56"/>
      <c r="H898" s="56"/>
      <c r="I898" s="56"/>
      <c r="J898" s="56"/>
      <c r="K898" s="56"/>
      <c r="S898" s="59"/>
    </row>
    <row r="899" spans="7:19" x14ac:dyDescent="0.2">
      <c r="G899" s="56"/>
      <c r="H899" s="56"/>
      <c r="I899" s="56"/>
      <c r="J899" s="56"/>
      <c r="K899" s="56"/>
      <c r="S899" s="59"/>
    </row>
    <row r="900" spans="7:19" x14ac:dyDescent="0.2">
      <c r="G900" s="56"/>
      <c r="H900" s="56"/>
      <c r="I900" s="56"/>
      <c r="J900" s="56"/>
      <c r="K900" s="56"/>
      <c r="S900" s="59"/>
    </row>
    <row r="901" spans="7:19" x14ac:dyDescent="0.2">
      <c r="G901" s="56"/>
      <c r="H901" s="56"/>
      <c r="I901" s="56"/>
      <c r="J901" s="56"/>
      <c r="K901" s="56"/>
      <c r="S901" s="59"/>
    </row>
    <row r="902" spans="7:19" x14ac:dyDescent="0.2">
      <c r="G902" s="56"/>
      <c r="H902" s="56"/>
      <c r="I902" s="56"/>
      <c r="J902" s="56"/>
      <c r="K902" s="56"/>
      <c r="S902" s="59"/>
    </row>
    <row r="903" spans="7:19" x14ac:dyDescent="0.2">
      <c r="G903" s="56"/>
      <c r="H903" s="56"/>
      <c r="I903" s="56"/>
      <c r="J903" s="56"/>
      <c r="K903" s="56"/>
      <c r="S903" s="59"/>
    </row>
    <row r="904" spans="7:19" x14ac:dyDescent="0.2">
      <c r="G904" s="56"/>
      <c r="H904" s="56"/>
      <c r="I904" s="56"/>
      <c r="J904" s="56"/>
      <c r="K904" s="56"/>
      <c r="S904" s="59"/>
    </row>
    <row r="905" spans="7:19" x14ac:dyDescent="0.2">
      <c r="G905" s="56"/>
      <c r="H905" s="56"/>
      <c r="I905" s="56"/>
      <c r="J905" s="56"/>
      <c r="K905" s="56"/>
      <c r="S905" s="59"/>
    </row>
    <row r="906" spans="7:19" x14ac:dyDescent="0.2">
      <c r="G906" s="56"/>
      <c r="H906" s="56"/>
      <c r="I906" s="56"/>
      <c r="J906" s="56"/>
      <c r="K906" s="56"/>
      <c r="S906" s="59"/>
    </row>
    <row r="907" spans="7:19" x14ac:dyDescent="0.2">
      <c r="G907" s="56"/>
      <c r="H907" s="56"/>
      <c r="I907" s="56"/>
      <c r="J907" s="56"/>
      <c r="K907" s="56"/>
      <c r="S907" s="59"/>
    </row>
    <row r="908" spans="7:19" x14ac:dyDescent="0.2">
      <c r="G908" s="56"/>
      <c r="H908" s="56"/>
      <c r="I908" s="56"/>
      <c r="J908" s="56"/>
      <c r="K908" s="56"/>
      <c r="S908" s="59"/>
    </row>
    <row r="909" spans="7:19" x14ac:dyDescent="0.2">
      <c r="G909" s="56"/>
      <c r="H909" s="56"/>
      <c r="I909" s="56"/>
      <c r="J909" s="56"/>
      <c r="K909" s="56"/>
      <c r="S909" s="59"/>
    </row>
    <row r="910" spans="7:19" x14ac:dyDescent="0.2">
      <c r="G910" s="56"/>
      <c r="H910" s="56"/>
      <c r="I910" s="56"/>
      <c r="J910" s="56"/>
      <c r="K910" s="56"/>
      <c r="S910" s="59"/>
    </row>
    <row r="911" spans="7:19" x14ac:dyDescent="0.2">
      <c r="G911" s="56"/>
      <c r="H911" s="56"/>
      <c r="I911" s="56"/>
      <c r="J911" s="56"/>
      <c r="K911" s="56"/>
      <c r="S911" s="59"/>
    </row>
    <row r="912" spans="7:19" x14ac:dyDescent="0.2">
      <c r="G912" s="56"/>
      <c r="H912" s="56"/>
      <c r="I912" s="56"/>
      <c r="J912" s="56"/>
      <c r="K912" s="56"/>
      <c r="S912" s="59"/>
    </row>
    <row r="913" spans="7:19" x14ac:dyDescent="0.2">
      <c r="G913" s="56"/>
      <c r="H913" s="56"/>
      <c r="I913" s="56"/>
      <c r="J913" s="56"/>
      <c r="K913" s="56"/>
      <c r="S913" s="59"/>
    </row>
    <row r="914" spans="7:19" x14ac:dyDescent="0.2">
      <c r="G914" s="56"/>
      <c r="H914" s="56"/>
      <c r="I914" s="56"/>
      <c r="J914" s="56"/>
      <c r="K914" s="56"/>
      <c r="S914" s="59"/>
    </row>
    <row r="915" spans="7:19" x14ac:dyDescent="0.2">
      <c r="G915" s="56"/>
      <c r="H915" s="56"/>
      <c r="I915" s="56"/>
      <c r="J915" s="56"/>
      <c r="K915" s="56"/>
      <c r="S915" s="59"/>
    </row>
    <row r="916" spans="7:19" x14ac:dyDescent="0.2">
      <c r="G916" s="56"/>
      <c r="H916" s="56"/>
      <c r="I916" s="56"/>
      <c r="J916" s="56"/>
      <c r="K916" s="56"/>
      <c r="S916" s="59"/>
    </row>
    <row r="917" spans="7:19" x14ac:dyDescent="0.2">
      <c r="G917" s="56"/>
      <c r="H917" s="56"/>
      <c r="I917" s="56"/>
      <c r="J917" s="56"/>
      <c r="K917" s="56"/>
      <c r="S917" s="59"/>
    </row>
    <row r="918" spans="7:19" x14ac:dyDescent="0.2">
      <c r="G918" s="56"/>
      <c r="H918" s="56"/>
      <c r="I918" s="56"/>
      <c r="J918" s="56"/>
      <c r="K918" s="56"/>
      <c r="S918" s="59"/>
    </row>
    <row r="919" spans="7:19" x14ac:dyDescent="0.2">
      <c r="G919" s="56"/>
      <c r="H919" s="56"/>
      <c r="I919" s="56"/>
      <c r="J919" s="56"/>
      <c r="K919" s="56"/>
      <c r="S919" s="59"/>
    </row>
    <row r="920" spans="7:19" x14ac:dyDescent="0.2">
      <c r="G920" s="56"/>
      <c r="H920" s="56"/>
      <c r="I920" s="56"/>
      <c r="J920" s="56"/>
      <c r="K920" s="56"/>
      <c r="S920" s="59"/>
    </row>
    <row r="921" spans="7:19" x14ac:dyDescent="0.2">
      <c r="G921" s="56"/>
      <c r="H921" s="56"/>
      <c r="I921" s="56"/>
      <c r="J921" s="56"/>
      <c r="K921" s="56"/>
      <c r="S921" s="59"/>
    </row>
    <row r="922" spans="7:19" x14ac:dyDescent="0.2">
      <c r="G922" s="56"/>
      <c r="H922" s="56"/>
      <c r="I922" s="56"/>
      <c r="J922" s="56"/>
      <c r="K922" s="56"/>
      <c r="S922" s="59"/>
    </row>
    <row r="923" spans="7:19" x14ac:dyDescent="0.2">
      <c r="G923" s="56"/>
      <c r="H923" s="56"/>
      <c r="I923" s="56"/>
      <c r="J923" s="56"/>
      <c r="K923" s="56"/>
      <c r="S923" s="59"/>
    </row>
    <row r="924" spans="7:19" x14ac:dyDescent="0.2">
      <c r="G924" s="56"/>
      <c r="H924" s="56"/>
      <c r="I924" s="56"/>
      <c r="J924" s="56"/>
      <c r="K924" s="56"/>
      <c r="S924" s="59"/>
    </row>
    <row r="925" spans="7:19" x14ac:dyDescent="0.2">
      <c r="G925" s="56"/>
      <c r="H925" s="56"/>
      <c r="I925" s="56"/>
      <c r="J925" s="56"/>
      <c r="K925" s="56"/>
      <c r="S925" s="59"/>
    </row>
    <row r="926" spans="7:19" x14ac:dyDescent="0.2">
      <c r="G926" s="56"/>
      <c r="H926" s="56"/>
      <c r="I926" s="56"/>
      <c r="J926" s="56"/>
      <c r="K926" s="56"/>
      <c r="S926" s="59"/>
    </row>
    <row r="927" spans="7:19" x14ac:dyDescent="0.2">
      <c r="G927" s="56"/>
      <c r="H927" s="56"/>
      <c r="I927" s="56"/>
      <c r="J927" s="56"/>
      <c r="K927" s="56"/>
      <c r="S927" s="59"/>
    </row>
    <row r="928" spans="7:19" x14ac:dyDescent="0.2">
      <c r="G928" s="56"/>
      <c r="H928" s="56"/>
      <c r="I928" s="56"/>
      <c r="J928" s="56"/>
      <c r="K928" s="56"/>
      <c r="S928" s="59"/>
    </row>
    <row r="929" spans="7:19" x14ac:dyDescent="0.2">
      <c r="G929" s="56"/>
      <c r="H929" s="56"/>
      <c r="I929" s="56"/>
      <c r="J929" s="56"/>
      <c r="K929" s="56"/>
      <c r="S929" s="59"/>
    </row>
    <row r="930" spans="7:19" x14ac:dyDescent="0.2">
      <c r="G930" s="56"/>
      <c r="H930" s="56"/>
      <c r="I930" s="56"/>
      <c r="J930" s="56"/>
      <c r="K930" s="56"/>
      <c r="S930" s="59"/>
    </row>
    <row r="931" spans="7:19" x14ac:dyDescent="0.2">
      <c r="G931" s="56"/>
      <c r="H931" s="56"/>
      <c r="I931" s="56"/>
      <c r="J931" s="56"/>
      <c r="K931" s="56"/>
      <c r="S931" s="59"/>
    </row>
    <row r="932" spans="7:19" x14ac:dyDescent="0.2">
      <c r="G932" s="56"/>
      <c r="H932" s="56"/>
      <c r="I932" s="56"/>
      <c r="J932" s="56"/>
      <c r="K932" s="56"/>
      <c r="S932" s="59"/>
    </row>
    <row r="933" spans="7:19" x14ac:dyDescent="0.2">
      <c r="G933" s="56"/>
      <c r="H933" s="56"/>
      <c r="I933" s="56"/>
      <c r="J933" s="56"/>
      <c r="K933" s="56"/>
      <c r="S933" s="59"/>
    </row>
    <row r="934" spans="7:19" x14ac:dyDescent="0.2">
      <c r="G934" s="56"/>
      <c r="H934" s="56"/>
      <c r="I934" s="56"/>
      <c r="J934" s="56"/>
      <c r="K934" s="56"/>
      <c r="S934" s="59"/>
    </row>
    <row r="935" spans="7:19" x14ac:dyDescent="0.2">
      <c r="G935" s="56"/>
      <c r="H935" s="56"/>
      <c r="I935" s="56"/>
      <c r="J935" s="56"/>
      <c r="K935" s="56"/>
      <c r="S935" s="59"/>
    </row>
    <row r="936" spans="7:19" x14ac:dyDescent="0.2">
      <c r="G936" s="56"/>
      <c r="H936" s="56"/>
      <c r="I936" s="56"/>
      <c r="J936" s="56"/>
      <c r="K936" s="56"/>
      <c r="S936" s="59"/>
    </row>
    <row r="937" spans="7:19" x14ac:dyDescent="0.2">
      <c r="G937" s="56"/>
      <c r="H937" s="56"/>
      <c r="I937" s="56"/>
      <c r="J937" s="56"/>
      <c r="K937" s="56"/>
      <c r="S937" s="59"/>
    </row>
    <row r="938" spans="7:19" x14ac:dyDescent="0.2">
      <c r="G938" s="56"/>
      <c r="H938" s="56"/>
      <c r="I938" s="56"/>
      <c r="J938" s="56"/>
      <c r="K938" s="56"/>
      <c r="S938" s="59"/>
    </row>
    <row r="939" spans="7:19" x14ac:dyDescent="0.2">
      <c r="G939" s="56"/>
      <c r="H939" s="56"/>
      <c r="I939" s="56"/>
      <c r="J939" s="56"/>
      <c r="K939" s="56"/>
      <c r="S939" s="59"/>
    </row>
    <row r="940" spans="7:19" x14ac:dyDescent="0.2">
      <c r="G940" s="56"/>
      <c r="H940" s="56"/>
      <c r="I940" s="56"/>
      <c r="J940" s="56"/>
      <c r="K940" s="56"/>
      <c r="S940" s="59"/>
    </row>
    <row r="941" spans="7:19" x14ac:dyDescent="0.2">
      <c r="G941" s="56"/>
      <c r="H941" s="56"/>
      <c r="I941" s="56"/>
      <c r="J941" s="56"/>
      <c r="K941" s="56"/>
      <c r="S941" s="59"/>
    </row>
    <row r="942" spans="7:19" x14ac:dyDescent="0.2">
      <c r="G942" s="56"/>
      <c r="H942" s="56"/>
      <c r="I942" s="56"/>
      <c r="J942" s="56"/>
      <c r="K942" s="56"/>
      <c r="S942" s="59"/>
    </row>
    <row r="943" spans="7:19" x14ac:dyDescent="0.2">
      <c r="G943" s="56"/>
      <c r="H943" s="56"/>
      <c r="I943" s="56"/>
      <c r="J943" s="56"/>
      <c r="K943" s="56"/>
      <c r="S943" s="59"/>
    </row>
    <row r="944" spans="7:19" x14ac:dyDescent="0.2">
      <c r="G944" s="56"/>
      <c r="H944" s="56"/>
      <c r="I944" s="56"/>
      <c r="J944" s="56"/>
      <c r="K944" s="56"/>
      <c r="S944" s="59"/>
    </row>
    <row r="945" spans="7:19" x14ac:dyDescent="0.2">
      <c r="G945" s="56"/>
      <c r="H945" s="56"/>
      <c r="I945" s="56"/>
      <c r="J945" s="56"/>
      <c r="K945" s="56"/>
      <c r="S945" s="59"/>
    </row>
    <row r="946" spans="7:19" x14ac:dyDescent="0.2">
      <c r="G946" s="56"/>
      <c r="H946" s="56"/>
      <c r="I946" s="56"/>
      <c r="J946" s="56"/>
      <c r="K946" s="56"/>
      <c r="S946" s="59"/>
    </row>
    <row r="947" spans="7:19" x14ac:dyDescent="0.2">
      <c r="G947" s="56"/>
      <c r="H947" s="56"/>
      <c r="I947" s="56"/>
      <c r="J947" s="56"/>
      <c r="K947" s="56"/>
      <c r="S947" s="59"/>
    </row>
    <row r="948" spans="7:19" x14ac:dyDescent="0.2">
      <c r="G948" s="56"/>
      <c r="H948" s="56"/>
      <c r="I948" s="56"/>
      <c r="J948" s="56"/>
      <c r="K948" s="56"/>
      <c r="S948" s="59"/>
    </row>
    <row r="949" spans="7:19" x14ac:dyDescent="0.2">
      <c r="G949" s="56"/>
      <c r="H949" s="56"/>
      <c r="I949" s="56"/>
      <c r="J949" s="56"/>
      <c r="K949" s="56"/>
      <c r="S949" s="59"/>
    </row>
    <row r="950" spans="7:19" x14ac:dyDescent="0.2">
      <c r="G950" s="56"/>
      <c r="H950" s="56"/>
      <c r="I950" s="56"/>
      <c r="J950" s="56"/>
      <c r="K950" s="56"/>
      <c r="S950" s="59"/>
    </row>
    <row r="951" spans="7:19" x14ac:dyDescent="0.2">
      <c r="G951" s="56"/>
      <c r="H951" s="56"/>
      <c r="I951" s="56"/>
      <c r="J951" s="56"/>
      <c r="K951" s="56"/>
      <c r="S951" s="59"/>
    </row>
    <row r="952" spans="7:19" x14ac:dyDescent="0.2">
      <c r="G952" s="56"/>
      <c r="H952" s="56"/>
      <c r="I952" s="56"/>
      <c r="J952" s="56"/>
      <c r="K952" s="56"/>
      <c r="S952" s="59"/>
    </row>
    <row r="953" spans="7:19" x14ac:dyDescent="0.2">
      <c r="G953" s="56"/>
      <c r="H953" s="56"/>
      <c r="I953" s="56"/>
      <c r="J953" s="56"/>
      <c r="K953" s="56"/>
      <c r="S953" s="59"/>
    </row>
    <row r="954" spans="7:19" x14ac:dyDescent="0.2">
      <c r="G954" s="56"/>
      <c r="H954" s="56"/>
      <c r="I954" s="56"/>
      <c r="J954" s="56"/>
      <c r="K954" s="56"/>
      <c r="S954" s="59"/>
    </row>
    <row r="955" spans="7:19" x14ac:dyDescent="0.2">
      <c r="G955" s="56"/>
      <c r="H955" s="56"/>
      <c r="I955" s="56"/>
      <c r="J955" s="56"/>
      <c r="K955" s="56"/>
      <c r="S955" s="59"/>
    </row>
    <row r="956" spans="7:19" x14ac:dyDescent="0.2">
      <c r="G956" s="56"/>
      <c r="H956" s="56"/>
      <c r="I956" s="56"/>
      <c r="J956" s="56"/>
      <c r="K956" s="56"/>
      <c r="S956" s="59"/>
    </row>
    <row r="957" spans="7:19" x14ac:dyDescent="0.2">
      <c r="G957" s="56"/>
      <c r="H957" s="56"/>
      <c r="I957" s="56"/>
      <c r="J957" s="56"/>
      <c r="K957" s="56"/>
      <c r="S957" s="59"/>
    </row>
    <row r="958" spans="7:19" x14ac:dyDescent="0.2">
      <c r="G958" s="56"/>
      <c r="H958" s="56"/>
      <c r="I958" s="56"/>
      <c r="J958" s="56"/>
      <c r="K958" s="56"/>
      <c r="S958" s="59"/>
    </row>
    <row r="959" spans="7:19" x14ac:dyDescent="0.2">
      <c r="G959" s="56"/>
      <c r="H959" s="56"/>
      <c r="I959" s="56"/>
      <c r="J959" s="56"/>
      <c r="K959" s="56"/>
      <c r="S959" s="59"/>
    </row>
    <row r="960" spans="7:19" x14ac:dyDescent="0.2">
      <c r="G960" s="56"/>
      <c r="H960" s="56"/>
      <c r="I960" s="56"/>
      <c r="J960" s="56"/>
      <c r="K960" s="56"/>
      <c r="S960" s="59"/>
    </row>
    <row r="961" spans="7:19" x14ac:dyDescent="0.2">
      <c r="G961" s="56"/>
      <c r="H961" s="56"/>
      <c r="I961" s="56"/>
      <c r="J961" s="56"/>
      <c r="K961" s="56"/>
      <c r="S961" s="59"/>
    </row>
    <row r="962" spans="7:19" x14ac:dyDescent="0.2">
      <c r="G962" s="56"/>
      <c r="H962" s="56"/>
      <c r="I962" s="56"/>
      <c r="J962" s="56"/>
      <c r="K962" s="56"/>
      <c r="S962" s="59"/>
    </row>
    <row r="963" spans="7:19" x14ac:dyDescent="0.2">
      <c r="G963" s="56"/>
      <c r="H963" s="56"/>
      <c r="I963" s="56"/>
      <c r="J963" s="56"/>
      <c r="K963" s="56"/>
      <c r="S963" s="59"/>
    </row>
    <row r="964" spans="7:19" x14ac:dyDescent="0.2">
      <c r="G964" s="56"/>
      <c r="H964" s="56"/>
      <c r="I964" s="56"/>
      <c r="J964" s="56"/>
      <c r="K964" s="56"/>
      <c r="S964" s="59"/>
    </row>
    <row r="965" spans="7:19" x14ac:dyDescent="0.2">
      <c r="G965" s="56"/>
      <c r="H965" s="56"/>
      <c r="I965" s="56"/>
      <c r="J965" s="56"/>
      <c r="K965" s="56"/>
      <c r="S965" s="59"/>
    </row>
    <row r="966" spans="7:19" x14ac:dyDescent="0.2">
      <c r="G966" s="56"/>
      <c r="H966" s="56"/>
      <c r="I966" s="56"/>
      <c r="J966" s="56"/>
      <c r="K966" s="56"/>
      <c r="S966" s="59"/>
    </row>
    <row r="967" spans="7:19" x14ac:dyDescent="0.2">
      <c r="G967" s="56"/>
      <c r="H967" s="56"/>
      <c r="I967" s="56"/>
      <c r="J967" s="56"/>
      <c r="K967" s="56"/>
      <c r="S967" s="59"/>
    </row>
    <row r="968" spans="7:19" x14ac:dyDescent="0.2">
      <c r="G968" s="56"/>
      <c r="H968" s="56"/>
      <c r="I968" s="56"/>
      <c r="J968" s="56"/>
      <c r="K968" s="56"/>
      <c r="S968" s="59"/>
    </row>
    <row r="969" spans="7:19" x14ac:dyDescent="0.2">
      <c r="G969" s="56"/>
      <c r="H969" s="56"/>
      <c r="I969" s="56"/>
      <c r="J969" s="56"/>
      <c r="K969" s="56"/>
      <c r="S969" s="59"/>
    </row>
    <row r="970" spans="7:19" x14ac:dyDescent="0.2">
      <c r="G970" s="56"/>
      <c r="H970" s="56"/>
      <c r="I970" s="56"/>
      <c r="J970" s="56"/>
      <c r="K970" s="56"/>
      <c r="S970" s="59"/>
    </row>
    <row r="971" spans="7:19" x14ac:dyDescent="0.2">
      <c r="G971" s="56"/>
      <c r="H971" s="56"/>
      <c r="I971" s="56"/>
      <c r="J971" s="56"/>
      <c r="K971" s="56"/>
      <c r="S971" s="59"/>
    </row>
    <row r="972" spans="7:19" x14ac:dyDescent="0.2">
      <c r="G972" s="56"/>
      <c r="H972" s="56"/>
      <c r="I972" s="56"/>
      <c r="J972" s="56"/>
      <c r="K972" s="56"/>
      <c r="S972" s="59"/>
    </row>
    <row r="973" spans="7:19" x14ac:dyDescent="0.2">
      <c r="G973" s="56"/>
      <c r="H973" s="56"/>
      <c r="I973" s="56"/>
      <c r="J973" s="56"/>
      <c r="K973" s="56"/>
      <c r="S973" s="59"/>
    </row>
    <row r="974" spans="7:19" x14ac:dyDescent="0.2">
      <c r="G974" s="56"/>
      <c r="H974" s="56"/>
      <c r="I974" s="56"/>
      <c r="J974" s="56"/>
      <c r="K974" s="56"/>
      <c r="S974" s="59"/>
    </row>
    <row r="975" spans="7:19" x14ac:dyDescent="0.2">
      <c r="G975" s="56"/>
      <c r="H975" s="56"/>
      <c r="I975" s="56"/>
      <c r="J975" s="56"/>
      <c r="K975" s="56"/>
      <c r="S975" s="59"/>
    </row>
    <row r="976" spans="7:19" x14ac:dyDescent="0.2">
      <c r="G976" s="56"/>
      <c r="H976" s="56"/>
      <c r="I976" s="56"/>
      <c r="J976" s="56"/>
      <c r="K976" s="56"/>
      <c r="S976" s="59"/>
    </row>
    <row r="977" spans="7:19" x14ac:dyDescent="0.2">
      <c r="G977" s="56"/>
      <c r="H977" s="56"/>
      <c r="I977" s="56"/>
      <c r="J977" s="56"/>
      <c r="K977" s="56"/>
      <c r="S977" s="59"/>
    </row>
    <row r="978" spans="7:19" x14ac:dyDescent="0.2">
      <c r="G978" s="56"/>
      <c r="H978" s="56"/>
      <c r="I978" s="56"/>
      <c r="J978" s="56"/>
      <c r="K978" s="56"/>
      <c r="S978" s="59"/>
    </row>
    <row r="979" spans="7:19" x14ac:dyDescent="0.2">
      <c r="G979" s="56"/>
      <c r="H979" s="56"/>
      <c r="I979" s="56"/>
      <c r="J979" s="56"/>
      <c r="K979" s="56"/>
      <c r="S979" s="59"/>
    </row>
    <row r="980" spans="7:19" x14ac:dyDescent="0.2">
      <c r="G980" s="56"/>
      <c r="H980" s="56"/>
      <c r="I980" s="56"/>
      <c r="J980" s="56"/>
      <c r="K980" s="56"/>
      <c r="S980" s="59"/>
    </row>
    <row r="981" spans="7:19" x14ac:dyDescent="0.2">
      <c r="G981" s="56"/>
      <c r="H981" s="56"/>
      <c r="I981" s="56"/>
      <c r="J981" s="56"/>
      <c r="K981" s="56"/>
      <c r="S981" s="59"/>
    </row>
    <row r="982" spans="7:19" x14ac:dyDescent="0.2">
      <c r="G982" s="56"/>
      <c r="H982" s="56"/>
      <c r="I982" s="56"/>
      <c r="J982" s="56"/>
      <c r="K982" s="56"/>
      <c r="S982" s="59"/>
    </row>
    <row r="983" spans="7:19" x14ac:dyDescent="0.2">
      <c r="G983" s="56"/>
      <c r="H983" s="56"/>
      <c r="I983" s="56"/>
      <c r="J983" s="56"/>
      <c r="K983" s="56"/>
      <c r="S983" s="59"/>
    </row>
    <row r="984" spans="7:19" x14ac:dyDescent="0.2">
      <c r="G984" s="56"/>
      <c r="H984" s="56"/>
      <c r="I984" s="56"/>
      <c r="J984" s="56"/>
      <c r="K984" s="56"/>
      <c r="S984" s="59"/>
    </row>
    <row r="985" spans="7:19" x14ac:dyDescent="0.2">
      <c r="G985" s="56"/>
      <c r="H985" s="56"/>
      <c r="I985" s="56"/>
      <c r="J985" s="56"/>
      <c r="K985" s="56"/>
      <c r="S985" s="59"/>
    </row>
    <row r="986" spans="7:19" x14ac:dyDescent="0.2">
      <c r="G986" s="56"/>
      <c r="H986" s="56"/>
      <c r="I986" s="56"/>
      <c r="J986" s="56"/>
      <c r="K986" s="56"/>
      <c r="S986" s="59"/>
    </row>
    <row r="987" spans="7:19" x14ac:dyDescent="0.2">
      <c r="G987" s="56"/>
      <c r="H987" s="56"/>
      <c r="I987" s="56"/>
      <c r="J987" s="56"/>
      <c r="K987" s="56"/>
      <c r="S987" s="59"/>
    </row>
    <row r="988" spans="7:19" x14ac:dyDescent="0.2">
      <c r="G988" s="56"/>
      <c r="H988" s="56"/>
      <c r="I988" s="56"/>
      <c r="J988" s="56"/>
      <c r="K988" s="56"/>
      <c r="S988" s="59"/>
    </row>
    <row r="989" spans="7:19" x14ac:dyDescent="0.2">
      <c r="G989" s="56"/>
      <c r="H989" s="56"/>
      <c r="I989" s="56"/>
      <c r="J989" s="56"/>
      <c r="K989" s="56"/>
      <c r="S989" s="59"/>
    </row>
    <row r="990" spans="7:19" x14ac:dyDescent="0.2">
      <c r="G990" s="56"/>
      <c r="H990" s="56"/>
      <c r="I990" s="56"/>
      <c r="J990" s="56"/>
      <c r="K990" s="56"/>
      <c r="S990" s="59"/>
    </row>
    <row r="991" spans="7:19" x14ac:dyDescent="0.2">
      <c r="G991" s="56"/>
      <c r="H991" s="56"/>
      <c r="I991" s="56"/>
      <c r="J991" s="56"/>
      <c r="K991" s="56"/>
      <c r="S991" s="59"/>
    </row>
    <row r="992" spans="7:19" x14ac:dyDescent="0.2">
      <c r="G992" s="56"/>
      <c r="H992" s="56"/>
      <c r="I992" s="56"/>
      <c r="J992" s="56"/>
      <c r="K992" s="56"/>
      <c r="S992" s="59"/>
    </row>
    <row r="993" spans="7:19" x14ac:dyDescent="0.2">
      <c r="G993" s="56"/>
      <c r="H993" s="56"/>
      <c r="I993" s="56"/>
      <c r="J993" s="56"/>
      <c r="K993" s="56"/>
      <c r="S993" s="59"/>
    </row>
    <row r="994" spans="7:19" x14ac:dyDescent="0.2">
      <c r="G994" s="56"/>
      <c r="H994" s="56"/>
      <c r="I994" s="56"/>
      <c r="J994" s="56"/>
      <c r="K994" s="56"/>
      <c r="S994" s="59"/>
    </row>
    <row r="995" spans="7:19" x14ac:dyDescent="0.2">
      <c r="G995" s="56"/>
      <c r="H995" s="56"/>
      <c r="I995" s="56"/>
      <c r="J995" s="56"/>
      <c r="K995" s="56"/>
      <c r="S995" s="59"/>
    </row>
    <row r="996" spans="7:19" x14ac:dyDescent="0.2">
      <c r="G996" s="56"/>
      <c r="H996" s="56"/>
      <c r="I996" s="56"/>
      <c r="J996" s="56"/>
      <c r="K996" s="56"/>
      <c r="S996" s="59"/>
    </row>
    <row r="997" spans="7:19" x14ac:dyDescent="0.2">
      <c r="G997" s="56"/>
      <c r="H997" s="56"/>
      <c r="I997" s="56"/>
      <c r="J997" s="56"/>
      <c r="K997" s="56"/>
      <c r="S997" s="59"/>
    </row>
    <row r="998" spans="7:19" x14ac:dyDescent="0.2">
      <c r="G998" s="56"/>
      <c r="H998" s="56"/>
      <c r="I998" s="56"/>
      <c r="J998" s="56"/>
      <c r="K998" s="56"/>
      <c r="S998" s="59"/>
    </row>
    <row r="999" spans="7:19" x14ac:dyDescent="0.2">
      <c r="G999" s="56"/>
      <c r="H999" s="56"/>
      <c r="I999" s="56"/>
      <c r="J999" s="56"/>
      <c r="K999" s="56"/>
      <c r="S999" s="59"/>
    </row>
    <row r="1000" spans="7:19" x14ac:dyDescent="0.2">
      <c r="G1000" s="56"/>
      <c r="H1000" s="56"/>
      <c r="I1000" s="56"/>
      <c r="J1000" s="56"/>
      <c r="K1000" s="56"/>
      <c r="S1000" s="59"/>
    </row>
    <row r="1001" spans="7:19" x14ac:dyDescent="0.2">
      <c r="G1001" s="56"/>
      <c r="H1001" s="56"/>
      <c r="I1001" s="56"/>
      <c r="J1001" s="56"/>
      <c r="K1001" s="56"/>
      <c r="S1001" s="59"/>
    </row>
    <row r="1002" spans="7:19" x14ac:dyDescent="0.2">
      <c r="G1002" s="56"/>
      <c r="H1002" s="56"/>
      <c r="I1002" s="56"/>
      <c r="J1002" s="56"/>
      <c r="K1002" s="56"/>
      <c r="S1002" s="59"/>
    </row>
    <row r="1003" spans="7:19" x14ac:dyDescent="0.2">
      <c r="G1003" s="56"/>
      <c r="H1003" s="56"/>
      <c r="I1003" s="56"/>
      <c r="J1003" s="56"/>
      <c r="K1003" s="56"/>
      <c r="S1003" s="59"/>
    </row>
    <row r="1004" spans="7:19" x14ac:dyDescent="0.2">
      <c r="G1004" s="56"/>
      <c r="H1004" s="56"/>
      <c r="I1004" s="56"/>
      <c r="J1004" s="56"/>
      <c r="K1004" s="56"/>
      <c r="S1004" s="59"/>
    </row>
    <row r="1005" spans="7:19" x14ac:dyDescent="0.2">
      <c r="G1005" s="56"/>
      <c r="H1005" s="56"/>
      <c r="I1005" s="56"/>
      <c r="J1005" s="56"/>
      <c r="K1005" s="56"/>
      <c r="S1005" s="59"/>
    </row>
    <row r="1006" spans="7:19" x14ac:dyDescent="0.2">
      <c r="G1006" s="56"/>
      <c r="H1006" s="56"/>
      <c r="I1006" s="56"/>
      <c r="J1006" s="56"/>
      <c r="K1006" s="56"/>
      <c r="S1006" s="59"/>
    </row>
    <row r="1007" spans="7:19" x14ac:dyDescent="0.2">
      <c r="G1007" s="56"/>
      <c r="H1007" s="56"/>
      <c r="I1007" s="56"/>
      <c r="J1007" s="56"/>
      <c r="K1007" s="56"/>
      <c r="S1007" s="59"/>
    </row>
    <row r="1008" spans="7:19" x14ac:dyDescent="0.2">
      <c r="G1008" s="56"/>
      <c r="H1008" s="56"/>
      <c r="I1008" s="56"/>
      <c r="J1008" s="56"/>
      <c r="K1008" s="56"/>
      <c r="S1008" s="59"/>
    </row>
    <row r="1009" spans="7:19" x14ac:dyDescent="0.2">
      <c r="G1009" s="56"/>
      <c r="H1009" s="56"/>
      <c r="I1009" s="56"/>
      <c r="J1009" s="56"/>
      <c r="K1009" s="56"/>
      <c r="S1009" s="59"/>
    </row>
    <row r="1010" spans="7:19" x14ac:dyDescent="0.2">
      <c r="G1010" s="56"/>
      <c r="H1010" s="56"/>
      <c r="I1010" s="56"/>
      <c r="J1010" s="56"/>
      <c r="K1010" s="56"/>
      <c r="S1010" s="59"/>
    </row>
    <row r="1011" spans="7:19" x14ac:dyDescent="0.2">
      <c r="G1011" s="56"/>
      <c r="H1011" s="56"/>
      <c r="I1011" s="56"/>
      <c r="J1011" s="56"/>
      <c r="K1011" s="56"/>
      <c r="S1011" s="59"/>
    </row>
    <row r="1012" spans="7:19" x14ac:dyDescent="0.2">
      <c r="G1012" s="56"/>
      <c r="H1012" s="56"/>
      <c r="I1012" s="56"/>
      <c r="J1012" s="56"/>
      <c r="K1012" s="56"/>
      <c r="S1012" s="59"/>
    </row>
    <row r="1013" spans="7:19" x14ac:dyDescent="0.2">
      <c r="G1013" s="56"/>
      <c r="H1013" s="56"/>
      <c r="I1013" s="56"/>
      <c r="J1013" s="56"/>
      <c r="K1013" s="56"/>
      <c r="S1013" s="59"/>
    </row>
    <row r="1014" spans="7:19" x14ac:dyDescent="0.2">
      <c r="G1014" s="56"/>
      <c r="H1014" s="56"/>
      <c r="I1014" s="56"/>
      <c r="J1014" s="56"/>
      <c r="K1014" s="56"/>
      <c r="S1014" s="59"/>
    </row>
    <row r="1015" spans="7:19" x14ac:dyDescent="0.2">
      <c r="G1015" s="56"/>
      <c r="H1015" s="56"/>
      <c r="I1015" s="56"/>
      <c r="J1015" s="56"/>
      <c r="K1015" s="56"/>
      <c r="S1015" s="59"/>
    </row>
    <row r="1016" spans="7:19" x14ac:dyDescent="0.2">
      <c r="G1016" s="56"/>
      <c r="H1016" s="56"/>
      <c r="I1016" s="56"/>
      <c r="J1016" s="56"/>
      <c r="K1016" s="56"/>
      <c r="S1016" s="59"/>
    </row>
    <row r="1017" spans="7:19" x14ac:dyDescent="0.2">
      <c r="G1017" s="56"/>
      <c r="H1017" s="56"/>
      <c r="I1017" s="56"/>
      <c r="J1017" s="56"/>
      <c r="K1017" s="56"/>
      <c r="S1017" s="59"/>
    </row>
    <row r="1018" spans="7:19" x14ac:dyDescent="0.2">
      <c r="G1018" s="56"/>
      <c r="H1018" s="56"/>
      <c r="I1018" s="56"/>
      <c r="J1018" s="56"/>
      <c r="K1018" s="56"/>
      <c r="S1018" s="59"/>
    </row>
    <row r="1019" spans="7:19" x14ac:dyDescent="0.2">
      <c r="G1019" s="56"/>
      <c r="H1019" s="56"/>
      <c r="I1019" s="56"/>
      <c r="J1019" s="56"/>
      <c r="K1019" s="56"/>
      <c r="S1019" s="59"/>
    </row>
    <row r="1020" spans="7:19" x14ac:dyDescent="0.2">
      <c r="G1020" s="56"/>
      <c r="H1020" s="56"/>
      <c r="I1020" s="56"/>
      <c r="J1020" s="56"/>
      <c r="K1020" s="56"/>
      <c r="S1020" s="59"/>
    </row>
    <row r="1021" spans="7:19" x14ac:dyDescent="0.2">
      <c r="G1021" s="56"/>
      <c r="H1021" s="56"/>
      <c r="I1021" s="56"/>
      <c r="J1021" s="56"/>
      <c r="K1021" s="56"/>
      <c r="S1021" s="59"/>
    </row>
    <row r="1022" spans="7:19" x14ac:dyDescent="0.2">
      <c r="G1022" s="56"/>
      <c r="H1022" s="56"/>
      <c r="I1022" s="56"/>
      <c r="J1022" s="56"/>
      <c r="K1022" s="56"/>
      <c r="S1022" s="59"/>
    </row>
    <row r="1023" spans="7:19" x14ac:dyDescent="0.2">
      <c r="G1023" s="56"/>
      <c r="H1023" s="56"/>
      <c r="I1023" s="56"/>
      <c r="J1023" s="56"/>
      <c r="K1023" s="56"/>
      <c r="S1023" s="59"/>
    </row>
    <row r="1024" spans="7:19" x14ac:dyDescent="0.2">
      <c r="G1024" s="56"/>
      <c r="H1024" s="56"/>
      <c r="I1024" s="56"/>
      <c r="J1024" s="56"/>
      <c r="K1024" s="56"/>
      <c r="S1024" s="59"/>
    </row>
    <row r="1025" spans="7:19" x14ac:dyDescent="0.2">
      <c r="G1025" s="56"/>
      <c r="H1025" s="56"/>
      <c r="I1025" s="56"/>
      <c r="J1025" s="56"/>
      <c r="K1025" s="56"/>
      <c r="S1025" s="59"/>
    </row>
    <row r="1026" spans="7:19" x14ac:dyDescent="0.2">
      <c r="G1026" s="56"/>
      <c r="H1026" s="56"/>
      <c r="I1026" s="56"/>
      <c r="J1026" s="56"/>
      <c r="K1026" s="56"/>
      <c r="S1026" s="59"/>
    </row>
    <row r="1027" spans="7:19" x14ac:dyDescent="0.2">
      <c r="G1027" s="56"/>
      <c r="H1027" s="56"/>
      <c r="I1027" s="56"/>
      <c r="J1027" s="56"/>
      <c r="K1027" s="56"/>
      <c r="S1027" s="59"/>
    </row>
    <row r="1028" spans="7:19" x14ac:dyDescent="0.2">
      <c r="G1028" s="56"/>
      <c r="H1028" s="56"/>
      <c r="I1028" s="56"/>
      <c r="J1028" s="56"/>
      <c r="K1028" s="56"/>
      <c r="S1028" s="59"/>
    </row>
    <row r="1029" spans="7:19" x14ac:dyDescent="0.2">
      <c r="G1029" s="56"/>
      <c r="H1029" s="56"/>
      <c r="I1029" s="56"/>
      <c r="J1029" s="56"/>
      <c r="K1029" s="56"/>
      <c r="S1029" s="59"/>
    </row>
    <row r="1030" spans="7:19" x14ac:dyDescent="0.2">
      <c r="G1030" s="56"/>
      <c r="H1030" s="56"/>
      <c r="I1030" s="56"/>
      <c r="J1030" s="56"/>
      <c r="K1030" s="56"/>
      <c r="S1030" s="59"/>
    </row>
    <row r="1031" spans="7:19" x14ac:dyDescent="0.2">
      <c r="G1031" s="56"/>
      <c r="H1031" s="56"/>
      <c r="I1031" s="56"/>
      <c r="J1031" s="56"/>
      <c r="K1031" s="56"/>
      <c r="S1031" s="59"/>
    </row>
    <row r="1032" spans="7:19" x14ac:dyDescent="0.2">
      <c r="G1032" s="56"/>
      <c r="H1032" s="56"/>
      <c r="I1032" s="56"/>
      <c r="J1032" s="56"/>
      <c r="K1032" s="56"/>
      <c r="S1032" s="59"/>
    </row>
    <row r="1033" spans="7:19" x14ac:dyDescent="0.2">
      <c r="G1033" s="56"/>
      <c r="H1033" s="56"/>
      <c r="I1033" s="56"/>
      <c r="J1033" s="56"/>
      <c r="K1033" s="56"/>
      <c r="S1033" s="59"/>
    </row>
    <row r="1034" spans="7:19" x14ac:dyDescent="0.2">
      <c r="G1034" s="56"/>
      <c r="H1034" s="56"/>
      <c r="I1034" s="56"/>
      <c r="J1034" s="56"/>
      <c r="K1034" s="56"/>
      <c r="S1034" s="59"/>
    </row>
    <row r="1035" spans="7:19" x14ac:dyDescent="0.2">
      <c r="G1035" s="56"/>
      <c r="H1035" s="56"/>
      <c r="I1035" s="56"/>
      <c r="J1035" s="56"/>
      <c r="K1035" s="56"/>
      <c r="S1035" s="59"/>
    </row>
    <row r="1036" spans="7:19" x14ac:dyDescent="0.2">
      <c r="G1036" s="56"/>
      <c r="H1036" s="56"/>
      <c r="I1036" s="56"/>
      <c r="J1036" s="56"/>
      <c r="K1036" s="56"/>
      <c r="S1036" s="59"/>
    </row>
    <row r="1037" spans="7:19" x14ac:dyDescent="0.2">
      <c r="G1037" s="56"/>
      <c r="H1037" s="56"/>
      <c r="I1037" s="56"/>
      <c r="J1037" s="56"/>
      <c r="K1037" s="56"/>
      <c r="S1037" s="59"/>
    </row>
    <row r="1038" spans="7:19" x14ac:dyDescent="0.2">
      <c r="G1038" s="56"/>
      <c r="H1038" s="56"/>
      <c r="I1038" s="56"/>
      <c r="J1038" s="56"/>
      <c r="K1038" s="56"/>
      <c r="S1038" s="59"/>
    </row>
    <row r="1039" spans="7:19" x14ac:dyDescent="0.2">
      <c r="G1039" s="56"/>
      <c r="H1039" s="56"/>
      <c r="I1039" s="56"/>
      <c r="J1039" s="56"/>
      <c r="K1039" s="56"/>
      <c r="S1039" s="59"/>
    </row>
    <row r="1040" spans="7:19" x14ac:dyDescent="0.2">
      <c r="G1040" s="56"/>
      <c r="H1040" s="56"/>
      <c r="I1040" s="56"/>
      <c r="J1040" s="56"/>
      <c r="K1040" s="56"/>
      <c r="S1040" s="59"/>
    </row>
    <row r="1041" spans="7:19" x14ac:dyDescent="0.2">
      <c r="G1041" s="56"/>
      <c r="H1041" s="56"/>
      <c r="I1041" s="56"/>
      <c r="J1041" s="56"/>
      <c r="K1041" s="56"/>
      <c r="S1041" s="59"/>
    </row>
    <row r="1042" spans="7:19" x14ac:dyDescent="0.2">
      <c r="G1042" s="56"/>
      <c r="H1042" s="56"/>
      <c r="I1042" s="56"/>
      <c r="J1042" s="56"/>
      <c r="K1042" s="56"/>
      <c r="S1042" s="59"/>
    </row>
    <row r="1043" spans="7:19" x14ac:dyDescent="0.2">
      <c r="G1043" s="56"/>
      <c r="H1043" s="56"/>
      <c r="I1043" s="56"/>
      <c r="J1043" s="56"/>
      <c r="K1043" s="56"/>
      <c r="S1043" s="59"/>
    </row>
    <row r="1044" spans="7:19" x14ac:dyDescent="0.2">
      <c r="G1044" s="56"/>
      <c r="H1044" s="56"/>
      <c r="I1044" s="56"/>
      <c r="J1044" s="56"/>
      <c r="K1044" s="56"/>
      <c r="S1044" s="59"/>
    </row>
    <row r="1045" spans="7:19" x14ac:dyDescent="0.2">
      <c r="G1045" s="56"/>
      <c r="H1045" s="56"/>
      <c r="I1045" s="56"/>
      <c r="J1045" s="56"/>
      <c r="K1045" s="56"/>
      <c r="S1045" s="59"/>
    </row>
    <row r="1046" spans="7:19" x14ac:dyDescent="0.2">
      <c r="G1046" s="56"/>
      <c r="H1046" s="56"/>
      <c r="I1046" s="56"/>
      <c r="J1046" s="56"/>
      <c r="K1046" s="56"/>
      <c r="S1046" s="59"/>
    </row>
    <row r="1047" spans="7:19" x14ac:dyDescent="0.2">
      <c r="G1047" s="56"/>
      <c r="H1047" s="56"/>
      <c r="I1047" s="56"/>
      <c r="J1047" s="56"/>
      <c r="K1047" s="56"/>
      <c r="S1047" s="59"/>
    </row>
    <row r="1048" spans="7:19" x14ac:dyDescent="0.2">
      <c r="G1048" s="56"/>
      <c r="H1048" s="56"/>
      <c r="I1048" s="56"/>
      <c r="J1048" s="56"/>
      <c r="K1048" s="56"/>
      <c r="S1048" s="59"/>
    </row>
    <row r="1049" spans="7:19" x14ac:dyDescent="0.2">
      <c r="G1049" s="56"/>
      <c r="H1049" s="56"/>
      <c r="I1049" s="56"/>
      <c r="J1049" s="56"/>
      <c r="K1049" s="56"/>
      <c r="S1049" s="59"/>
    </row>
    <row r="1050" spans="7:19" x14ac:dyDescent="0.2">
      <c r="G1050" s="56"/>
      <c r="H1050" s="56"/>
      <c r="I1050" s="56"/>
      <c r="J1050" s="56"/>
      <c r="K1050" s="56"/>
      <c r="S1050" s="59"/>
    </row>
    <row r="1051" spans="7:19" x14ac:dyDescent="0.2">
      <c r="G1051" s="56"/>
      <c r="H1051" s="56"/>
      <c r="I1051" s="56"/>
      <c r="J1051" s="56"/>
      <c r="K1051" s="56"/>
      <c r="S1051" s="59"/>
    </row>
    <row r="1052" spans="7:19" x14ac:dyDescent="0.2">
      <c r="G1052" s="56"/>
      <c r="H1052" s="56"/>
      <c r="I1052" s="56"/>
      <c r="J1052" s="56"/>
      <c r="K1052" s="56"/>
      <c r="S1052" s="59"/>
    </row>
    <row r="1053" spans="7:19" x14ac:dyDescent="0.2">
      <c r="G1053" s="56"/>
      <c r="H1053" s="56"/>
      <c r="I1053" s="56"/>
      <c r="J1053" s="56"/>
      <c r="K1053" s="56"/>
      <c r="S1053" s="59"/>
    </row>
    <row r="1054" spans="7:19" x14ac:dyDescent="0.2">
      <c r="G1054" s="56"/>
      <c r="H1054" s="56"/>
      <c r="I1054" s="56"/>
      <c r="J1054" s="56"/>
      <c r="K1054" s="56"/>
      <c r="S1054" s="59"/>
    </row>
    <row r="1055" spans="7:19" x14ac:dyDescent="0.2">
      <c r="G1055" s="56"/>
      <c r="H1055" s="56"/>
      <c r="I1055" s="56"/>
      <c r="J1055" s="56"/>
      <c r="K1055" s="56"/>
      <c r="S1055" s="59"/>
    </row>
    <row r="1056" spans="7:19" x14ac:dyDescent="0.2">
      <c r="G1056" s="56"/>
      <c r="H1056" s="56"/>
      <c r="I1056" s="56"/>
      <c r="J1056" s="56"/>
      <c r="K1056" s="56"/>
      <c r="S1056" s="59"/>
    </row>
    <row r="1057" spans="7:19" x14ac:dyDescent="0.2">
      <c r="G1057" s="56"/>
      <c r="H1057" s="56"/>
      <c r="I1057" s="56"/>
      <c r="J1057" s="56"/>
      <c r="K1057" s="56"/>
      <c r="S1057" s="59"/>
    </row>
    <row r="1058" spans="7:19" x14ac:dyDescent="0.2">
      <c r="G1058" s="56"/>
      <c r="H1058" s="56"/>
      <c r="I1058" s="56"/>
      <c r="J1058" s="56"/>
      <c r="K1058" s="56"/>
      <c r="S1058" s="59"/>
    </row>
    <row r="1059" spans="7:19" x14ac:dyDescent="0.2">
      <c r="G1059" s="56"/>
      <c r="H1059" s="56"/>
      <c r="I1059" s="56"/>
      <c r="J1059" s="56"/>
      <c r="K1059" s="56"/>
      <c r="S1059" s="59"/>
    </row>
    <row r="1060" spans="7:19" x14ac:dyDescent="0.2">
      <c r="G1060" s="56"/>
      <c r="H1060" s="56"/>
      <c r="I1060" s="56"/>
      <c r="J1060" s="56"/>
      <c r="K1060" s="56"/>
      <c r="S1060" s="59"/>
    </row>
    <row r="1061" spans="7:19" x14ac:dyDescent="0.2">
      <c r="G1061" s="56"/>
      <c r="H1061" s="56"/>
      <c r="I1061" s="56"/>
      <c r="J1061" s="56"/>
      <c r="K1061" s="56"/>
      <c r="S1061" s="59"/>
    </row>
    <row r="1062" spans="7:19" x14ac:dyDescent="0.2">
      <c r="G1062" s="56"/>
      <c r="H1062" s="56"/>
      <c r="I1062" s="56"/>
      <c r="J1062" s="56"/>
      <c r="K1062" s="56"/>
      <c r="S1062" s="59"/>
    </row>
    <row r="1063" spans="7:19" x14ac:dyDescent="0.2">
      <c r="G1063" s="56"/>
      <c r="H1063" s="56"/>
      <c r="I1063" s="56"/>
      <c r="J1063" s="56"/>
      <c r="K1063" s="56"/>
      <c r="S1063" s="59"/>
    </row>
    <row r="1064" spans="7:19" x14ac:dyDescent="0.2">
      <c r="G1064" s="56"/>
      <c r="H1064" s="56"/>
      <c r="I1064" s="56"/>
      <c r="J1064" s="56"/>
      <c r="K1064" s="56"/>
      <c r="S1064" s="59"/>
    </row>
    <row r="1065" spans="7:19" x14ac:dyDescent="0.2">
      <c r="G1065" s="56"/>
      <c r="H1065" s="56"/>
      <c r="I1065" s="56"/>
      <c r="J1065" s="56"/>
      <c r="K1065" s="56"/>
      <c r="S1065" s="59"/>
    </row>
    <row r="1066" spans="7:19" x14ac:dyDescent="0.2">
      <c r="G1066" s="56"/>
      <c r="H1066" s="56"/>
      <c r="I1066" s="56"/>
      <c r="J1066" s="56"/>
      <c r="K1066" s="56"/>
      <c r="S1066" s="59"/>
    </row>
    <row r="1067" spans="7:19" x14ac:dyDescent="0.2">
      <c r="G1067" s="56"/>
      <c r="H1067" s="56"/>
      <c r="I1067" s="56"/>
      <c r="J1067" s="56"/>
      <c r="K1067" s="56"/>
      <c r="S1067" s="59"/>
    </row>
    <row r="1068" spans="7:19" x14ac:dyDescent="0.2">
      <c r="G1068" s="56"/>
      <c r="H1068" s="56"/>
      <c r="I1068" s="56"/>
      <c r="J1068" s="56"/>
      <c r="K1068" s="56"/>
      <c r="S1068" s="59"/>
    </row>
    <row r="1069" spans="7:19" x14ac:dyDescent="0.2">
      <c r="G1069" s="56"/>
      <c r="H1069" s="56"/>
      <c r="I1069" s="56"/>
      <c r="J1069" s="56"/>
      <c r="K1069" s="56"/>
      <c r="S1069" s="59"/>
    </row>
    <row r="1070" spans="7:19" x14ac:dyDescent="0.2">
      <c r="G1070" s="56"/>
      <c r="H1070" s="56"/>
      <c r="I1070" s="56"/>
      <c r="J1070" s="56"/>
      <c r="K1070" s="56"/>
      <c r="S1070" s="59"/>
    </row>
    <row r="1071" spans="7:19" x14ac:dyDescent="0.2">
      <c r="G1071" s="56"/>
      <c r="H1071" s="56"/>
      <c r="I1071" s="56"/>
      <c r="J1071" s="56"/>
      <c r="K1071" s="56"/>
      <c r="S1071" s="59"/>
    </row>
    <row r="1072" spans="7:19" x14ac:dyDescent="0.2">
      <c r="G1072" s="56"/>
      <c r="H1072" s="56"/>
      <c r="I1072" s="56"/>
      <c r="J1072" s="56"/>
      <c r="K1072" s="56"/>
      <c r="S1072" s="59"/>
    </row>
    <row r="1073" spans="7:19" x14ac:dyDescent="0.2">
      <c r="G1073" s="56"/>
      <c r="H1073" s="56"/>
      <c r="I1073" s="56"/>
      <c r="J1073" s="56"/>
      <c r="K1073" s="56"/>
      <c r="S1073" s="59"/>
    </row>
    <row r="1074" spans="7:19" x14ac:dyDescent="0.2">
      <c r="G1074" s="56"/>
      <c r="H1074" s="56"/>
      <c r="I1074" s="56"/>
      <c r="J1074" s="56"/>
      <c r="K1074" s="56"/>
      <c r="S1074" s="59"/>
    </row>
    <row r="1075" spans="7:19" x14ac:dyDescent="0.2">
      <c r="G1075" s="56"/>
      <c r="H1075" s="56"/>
      <c r="I1075" s="56"/>
      <c r="J1075" s="56"/>
      <c r="K1075" s="56"/>
      <c r="S1075" s="59"/>
    </row>
    <row r="1076" spans="7:19" x14ac:dyDescent="0.2">
      <c r="G1076" s="56"/>
      <c r="H1076" s="56"/>
      <c r="I1076" s="56"/>
      <c r="J1076" s="56"/>
      <c r="K1076" s="56"/>
      <c r="S1076" s="59"/>
    </row>
    <row r="1077" spans="7:19" x14ac:dyDescent="0.2">
      <c r="G1077" s="56"/>
      <c r="H1077" s="56"/>
      <c r="I1077" s="56"/>
      <c r="J1077" s="56"/>
      <c r="K1077" s="56"/>
      <c r="S1077" s="59"/>
    </row>
    <row r="1078" spans="7:19" x14ac:dyDescent="0.2">
      <c r="G1078" s="56"/>
      <c r="H1078" s="56"/>
      <c r="I1078" s="56"/>
      <c r="J1078" s="56"/>
      <c r="K1078" s="56"/>
      <c r="S1078" s="59"/>
    </row>
    <row r="1079" spans="7:19" x14ac:dyDescent="0.2">
      <c r="G1079" s="56"/>
      <c r="H1079" s="56"/>
      <c r="I1079" s="56"/>
      <c r="J1079" s="56"/>
      <c r="K1079" s="56"/>
      <c r="S1079" s="59"/>
    </row>
    <row r="1080" spans="7:19" x14ac:dyDescent="0.2">
      <c r="G1080" s="56"/>
      <c r="H1080" s="56"/>
      <c r="I1080" s="56"/>
      <c r="J1080" s="56"/>
      <c r="K1080" s="56"/>
      <c r="S1080" s="59"/>
    </row>
    <row r="1081" spans="7:19" x14ac:dyDescent="0.2">
      <c r="G1081" s="56"/>
      <c r="H1081" s="56"/>
      <c r="I1081" s="56"/>
      <c r="J1081" s="56"/>
      <c r="K1081" s="56"/>
      <c r="S1081" s="59"/>
    </row>
    <row r="1082" spans="7:19" x14ac:dyDescent="0.2">
      <c r="G1082" s="56"/>
      <c r="H1082" s="56"/>
      <c r="I1082" s="56"/>
      <c r="J1082" s="56"/>
      <c r="K1082" s="56"/>
      <c r="S1082" s="59"/>
    </row>
    <row r="1083" spans="7:19" x14ac:dyDescent="0.2">
      <c r="G1083" s="56"/>
      <c r="H1083" s="56"/>
      <c r="I1083" s="56"/>
      <c r="J1083" s="56"/>
      <c r="K1083" s="56"/>
      <c r="S1083" s="59"/>
    </row>
    <row r="1084" spans="7:19" x14ac:dyDescent="0.2">
      <c r="G1084" s="56"/>
      <c r="H1084" s="56"/>
      <c r="I1084" s="56"/>
      <c r="J1084" s="56"/>
      <c r="K1084" s="56"/>
      <c r="S1084" s="59"/>
    </row>
    <row r="1085" spans="7:19" x14ac:dyDescent="0.2">
      <c r="G1085" s="56"/>
      <c r="H1085" s="56"/>
      <c r="I1085" s="56"/>
      <c r="J1085" s="56"/>
      <c r="K1085" s="56"/>
      <c r="S1085" s="59"/>
    </row>
    <row r="1086" spans="7:19" x14ac:dyDescent="0.2">
      <c r="G1086" s="56"/>
      <c r="H1086" s="56"/>
      <c r="I1086" s="56"/>
      <c r="J1086" s="56"/>
      <c r="K1086" s="56"/>
      <c r="S1086" s="59"/>
    </row>
    <row r="1087" spans="7:19" x14ac:dyDescent="0.2">
      <c r="G1087" s="56"/>
      <c r="H1087" s="56"/>
      <c r="I1087" s="56"/>
      <c r="J1087" s="56"/>
      <c r="K1087" s="56"/>
      <c r="S1087" s="59"/>
    </row>
    <row r="1088" spans="7:19" x14ac:dyDescent="0.2">
      <c r="G1088" s="56"/>
      <c r="H1088" s="56"/>
      <c r="I1088" s="56"/>
      <c r="J1088" s="56"/>
      <c r="K1088" s="56"/>
      <c r="S1088" s="59"/>
    </row>
    <row r="1089" spans="7:19" x14ac:dyDescent="0.2">
      <c r="G1089" s="56"/>
      <c r="H1089" s="56"/>
      <c r="I1089" s="56"/>
      <c r="J1089" s="56"/>
      <c r="K1089" s="56"/>
      <c r="S1089" s="59"/>
    </row>
    <row r="1090" spans="7:19" x14ac:dyDescent="0.2">
      <c r="G1090" s="56"/>
      <c r="H1090" s="56"/>
      <c r="I1090" s="56"/>
      <c r="J1090" s="56"/>
      <c r="K1090" s="56"/>
      <c r="S1090" s="59"/>
    </row>
    <row r="1091" spans="7:19" x14ac:dyDescent="0.2">
      <c r="G1091" s="56"/>
      <c r="H1091" s="56"/>
      <c r="I1091" s="56"/>
      <c r="J1091" s="56"/>
      <c r="K1091" s="56"/>
      <c r="S1091" s="59"/>
    </row>
    <row r="1092" spans="7:19" x14ac:dyDescent="0.2">
      <c r="G1092" s="56"/>
      <c r="H1092" s="56"/>
      <c r="I1092" s="56"/>
      <c r="J1092" s="56"/>
      <c r="K1092" s="56"/>
      <c r="S1092" s="59"/>
    </row>
    <row r="1093" spans="7:19" x14ac:dyDescent="0.2">
      <c r="G1093" s="56"/>
      <c r="H1093" s="56"/>
      <c r="I1093" s="56"/>
      <c r="J1093" s="56"/>
      <c r="K1093" s="56"/>
      <c r="S1093" s="59"/>
    </row>
    <row r="1094" spans="7:19" x14ac:dyDescent="0.2">
      <c r="G1094" s="56"/>
      <c r="H1094" s="56"/>
      <c r="I1094" s="56"/>
      <c r="J1094" s="56"/>
      <c r="K1094" s="56"/>
      <c r="S1094" s="59"/>
    </row>
    <row r="1095" spans="7:19" x14ac:dyDescent="0.2">
      <c r="G1095" s="56"/>
      <c r="H1095" s="56"/>
      <c r="I1095" s="56"/>
      <c r="J1095" s="56"/>
      <c r="K1095" s="56"/>
      <c r="S1095" s="59"/>
    </row>
    <row r="1096" spans="7:19" x14ac:dyDescent="0.2">
      <c r="G1096" s="56"/>
      <c r="H1096" s="56"/>
      <c r="I1096" s="56"/>
      <c r="J1096" s="56"/>
      <c r="K1096" s="56"/>
      <c r="S1096" s="59"/>
    </row>
    <row r="1097" spans="7:19" x14ac:dyDescent="0.2">
      <c r="G1097" s="56"/>
      <c r="H1097" s="56"/>
      <c r="I1097" s="56"/>
      <c r="J1097" s="56"/>
      <c r="K1097" s="56"/>
      <c r="S1097" s="59"/>
    </row>
    <row r="1098" spans="7:19" x14ac:dyDescent="0.2">
      <c r="G1098" s="56"/>
      <c r="H1098" s="56"/>
      <c r="I1098" s="56"/>
      <c r="J1098" s="56"/>
      <c r="K1098" s="56"/>
      <c r="S1098" s="59"/>
    </row>
    <row r="1099" spans="7:19" x14ac:dyDescent="0.2">
      <c r="G1099" s="56"/>
      <c r="H1099" s="56"/>
      <c r="I1099" s="56"/>
      <c r="J1099" s="56"/>
      <c r="K1099" s="56"/>
      <c r="S1099" s="59"/>
    </row>
    <row r="1100" spans="7:19" x14ac:dyDescent="0.2">
      <c r="G1100" s="56"/>
      <c r="H1100" s="56"/>
      <c r="I1100" s="56"/>
      <c r="J1100" s="56"/>
      <c r="K1100" s="56"/>
      <c r="S1100" s="59"/>
    </row>
    <row r="1101" spans="7:19" x14ac:dyDescent="0.2">
      <c r="G1101" s="56"/>
      <c r="H1101" s="56"/>
      <c r="I1101" s="56"/>
      <c r="J1101" s="56"/>
      <c r="K1101" s="56"/>
      <c r="S1101" s="59"/>
    </row>
    <row r="1102" spans="7:19" x14ac:dyDescent="0.2">
      <c r="G1102" s="56"/>
      <c r="H1102" s="56"/>
      <c r="I1102" s="56"/>
      <c r="J1102" s="56"/>
      <c r="K1102" s="56"/>
      <c r="S1102" s="59"/>
    </row>
    <row r="1103" spans="7:19" x14ac:dyDescent="0.2">
      <c r="G1103" s="56"/>
      <c r="H1103" s="56"/>
      <c r="I1103" s="56"/>
      <c r="J1103" s="56"/>
      <c r="K1103" s="56"/>
      <c r="S1103" s="59"/>
    </row>
    <row r="1104" spans="7:19" x14ac:dyDescent="0.2">
      <c r="G1104" s="56"/>
      <c r="H1104" s="56"/>
      <c r="I1104" s="56"/>
      <c r="J1104" s="56"/>
      <c r="K1104" s="56"/>
      <c r="S1104" s="59"/>
    </row>
    <row r="1105" spans="7:19" x14ac:dyDescent="0.2">
      <c r="G1105" s="56"/>
      <c r="H1105" s="56"/>
      <c r="I1105" s="56"/>
      <c r="J1105" s="56"/>
      <c r="K1105" s="56"/>
      <c r="S1105" s="59"/>
    </row>
    <row r="1106" spans="7:19" x14ac:dyDescent="0.2">
      <c r="G1106" s="56"/>
      <c r="H1106" s="56"/>
      <c r="I1106" s="56"/>
      <c r="J1106" s="56"/>
      <c r="K1106" s="56"/>
      <c r="S1106" s="59"/>
    </row>
    <row r="1107" spans="7:19" x14ac:dyDescent="0.2">
      <c r="G1107" s="56"/>
      <c r="H1107" s="56"/>
      <c r="I1107" s="56"/>
      <c r="J1107" s="56"/>
      <c r="K1107" s="56"/>
      <c r="S1107" s="59"/>
    </row>
    <row r="1108" spans="7:19" x14ac:dyDescent="0.2">
      <c r="G1108" s="56"/>
      <c r="H1108" s="56"/>
      <c r="I1108" s="56"/>
      <c r="J1108" s="56"/>
      <c r="K1108" s="56"/>
      <c r="S1108" s="59"/>
    </row>
    <row r="1109" spans="7:19" x14ac:dyDescent="0.2">
      <c r="G1109" s="56"/>
      <c r="H1109" s="56"/>
      <c r="I1109" s="56"/>
      <c r="J1109" s="56"/>
      <c r="K1109" s="56"/>
      <c r="S1109" s="59"/>
    </row>
    <row r="1110" spans="7:19" x14ac:dyDescent="0.2">
      <c r="G1110" s="56"/>
      <c r="H1110" s="56"/>
      <c r="I1110" s="56"/>
      <c r="J1110" s="56"/>
      <c r="K1110" s="56"/>
      <c r="S1110" s="59"/>
    </row>
    <row r="1111" spans="7:19" x14ac:dyDescent="0.2">
      <c r="G1111" s="56"/>
      <c r="H1111" s="56"/>
      <c r="I1111" s="56"/>
      <c r="J1111" s="56"/>
      <c r="K1111" s="56"/>
      <c r="S1111" s="59"/>
    </row>
    <row r="1112" spans="7:19" x14ac:dyDescent="0.2">
      <c r="G1112" s="56"/>
      <c r="H1112" s="56"/>
      <c r="I1112" s="56"/>
      <c r="J1112" s="56"/>
      <c r="K1112" s="56"/>
      <c r="S1112" s="59"/>
    </row>
    <row r="1113" spans="7:19" x14ac:dyDescent="0.2">
      <c r="G1113" s="56"/>
      <c r="H1113" s="56"/>
      <c r="I1113" s="56"/>
      <c r="J1113" s="56"/>
      <c r="K1113" s="56"/>
      <c r="S1113" s="59"/>
    </row>
    <row r="1114" spans="7:19" x14ac:dyDescent="0.2">
      <c r="G1114" s="56"/>
      <c r="H1114" s="56"/>
      <c r="I1114" s="56"/>
      <c r="J1114" s="56"/>
      <c r="K1114" s="56"/>
      <c r="S1114" s="59"/>
    </row>
    <row r="1115" spans="7:19" x14ac:dyDescent="0.2">
      <c r="G1115" s="56"/>
      <c r="H1115" s="56"/>
      <c r="I1115" s="56"/>
      <c r="J1115" s="56"/>
      <c r="K1115" s="56"/>
      <c r="S1115" s="59"/>
    </row>
    <row r="1116" spans="7:19" x14ac:dyDescent="0.2">
      <c r="G1116" s="56"/>
      <c r="H1116" s="56"/>
      <c r="I1116" s="56"/>
      <c r="J1116" s="56"/>
      <c r="K1116" s="56"/>
      <c r="S1116" s="59"/>
    </row>
    <row r="1117" spans="7:19" x14ac:dyDescent="0.2">
      <c r="G1117" s="56"/>
      <c r="H1117" s="56"/>
      <c r="I1117" s="56"/>
      <c r="J1117" s="56"/>
      <c r="K1117" s="56"/>
      <c r="S1117" s="59"/>
    </row>
    <row r="1118" spans="7:19" x14ac:dyDescent="0.2">
      <c r="G1118" s="56"/>
      <c r="H1118" s="56"/>
      <c r="I1118" s="56"/>
      <c r="J1118" s="56"/>
      <c r="K1118" s="56"/>
      <c r="S1118" s="59"/>
    </row>
    <row r="1119" spans="7:19" x14ac:dyDescent="0.2">
      <c r="G1119" s="56"/>
      <c r="H1119" s="56"/>
      <c r="I1119" s="56"/>
      <c r="J1119" s="56"/>
      <c r="K1119" s="56"/>
      <c r="S1119" s="59"/>
    </row>
    <row r="1120" spans="7:19" x14ac:dyDescent="0.2">
      <c r="G1120" s="56"/>
      <c r="H1120" s="56"/>
      <c r="I1120" s="56"/>
      <c r="J1120" s="56"/>
      <c r="K1120" s="56"/>
      <c r="S1120" s="59"/>
    </row>
    <row r="1121" spans="7:19" x14ac:dyDescent="0.2">
      <c r="G1121" s="56"/>
      <c r="H1121" s="56"/>
      <c r="I1121" s="56"/>
      <c r="J1121" s="56"/>
      <c r="K1121" s="56"/>
      <c r="S1121" s="59"/>
    </row>
    <row r="1122" spans="7:19" x14ac:dyDescent="0.2">
      <c r="G1122" s="56"/>
      <c r="H1122" s="56"/>
      <c r="I1122" s="56"/>
      <c r="J1122" s="56"/>
      <c r="K1122" s="56"/>
      <c r="S1122" s="59"/>
    </row>
    <row r="1123" spans="7:19" x14ac:dyDescent="0.2">
      <c r="G1123" s="56"/>
      <c r="H1123" s="56"/>
      <c r="I1123" s="56"/>
      <c r="J1123" s="56"/>
      <c r="K1123" s="56"/>
      <c r="S1123" s="59"/>
    </row>
    <row r="1124" spans="7:19" x14ac:dyDescent="0.2">
      <c r="G1124" s="56"/>
      <c r="H1124" s="56"/>
      <c r="I1124" s="56"/>
      <c r="J1124" s="56"/>
      <c r="K1124" s="56"/>
      <c r="S1124" s="59"/>
    </row>
    <row r="1125" spans="7:19" x14ac:dyDescent="0.2">
      <c r="G1125" s="56"/>
      <c r="H1125" s="56"/>
      <c r="I1125" s="56"/>
      <c r="J1125" s="56"/>
      <c r="K1125" s="56"/>
      <c r="S1125" s="59"/>
    </row>
    <row r="1126" spans="7:19" x14ac:dyDescent="0.2">
      <c r="G1126" s="56"/>
      <c r="H1126" s="56"/>
      <c r="I1126" s="56"/>
      <c r="J1126" s="56"/>
      <c r="K1126" s="56"/>
      <c r="S1126" s="59"/>
    </row>
    <row r="1127" spans="7:19" x14ac:dyDescent="0.2">
      <c r="G1127" s="56"/>
      <c r="H1127" s="56"/>
      <c r="I1127" s="56"/>
      <c r="J1127" s="56"/>
      <c r="K1127" s="56"/>
      <c r="S1127" s="59"/>
    </row>
    <row r="1128" spans="7:19" x14ac:dyDescent="0.2">
      <c r="G1128" s="56"/>
      <c r="H1128" s="56"/>
      <c r="I1128" s="56"/>
      <c r="J1128" s="56"/>
      <c r="K1128" s="56"/>
      <c r="S1128" s="59"/>
    </row>
    <row r="1129" spans="7:19" x14ac:dyDescent="0.2">
      <c r="G1129" s="56"/>
      <c r="H1129" s="56"/>
      <c r="I1129" s="56"/>
      <c r="J1129" s="56"/>
      <c r="K1129" s="56"/>
      <c r="S1129" s="59"/>
    </row>
    <row r="1130" spans="7:19" x14ac:dyDescent="0.2">
      <c r="G1130" s="56"/>
      <c r="H1130" s="56"/>
      <c r="I1130" s="56"/>
      <c r="J1130" s="56"/>
      <c r="K1130" s="56"/>
      <c r="S1130" s="59"/>
    </row>
    <row r="1131" spans="7:19" x14ac:dyDescent="0.2">
      <c r="G1131" s="56"/>
      <c r="H1131" s="56"/>
      <c r="I1131" s="56"/>
      <c r="J1131" s="56"/>
      <c r="K1131" s="56"/>
      <c r="S1131" s="59"/>
    </row>
    <row r="1132" spans="7:19" x14ac:dyDescent="0.2">
      <c r="G1132" s="56"/>
      <c r="H1132" s="56"/>
      <c r="I1132" s="56"/>
      <c r="J1132" s="56"/>
      <c r="K1132" s="56"/>
      <c r="S1132" s="59"/>
    </row>
    <row r="1133" spans="7:19" x14ac:dyDescent="0.2">
      <c r="G1133" s="56"/>
      <c r="H1133" s="56"/>
      <c r="I1133" s="56"/>
      <c r="J1133" s="56"/>
      <c r="K1133" s="56"/>
      <c r="S1133" s="59"/>
    </row>
    <row r="1134" spans="7:19" x14ac:dyDescent="0.2">
      <c r="G1134" s="56"/>
      <c r="H1134" s="56"/>
      <c r="I1134" s="56"/>
      <c r="J1134" s="56"/>
      <c r="K1134" s="56"/>
      <c r="S1134" s="59"/>
    </row>
    <row r="1135" spans="7:19" x14ac:dyDescent="0.2">
      <c r="G1135" s="56"/>
      <c r="H1135" s="56"/>
      <c r="I1135" s="56"/>
      <c r="J1135" s="56"/>
      <c r="K1135" s="56"/>
      <c r="S1135" s="59"/>
    </row>
    <row r="1136" spans="7:19" x14ac:dyDescent="0.2">
      <c r="G1136" s="56"/>
      <c r="H1136" s="56"/>
      <c r="I1136" s="56"/>
      <c r="J1136" s="56"/>
      <c r="K1136" s="56"/>
      <c r="S1136" s="59"/>
    </row>
    <row r="1137" spans="7:19" x14ac:dyDescent="0.2">
      <c r="G1137" s="56"/>
      <c r="H1137" s="56"/>
      <c r="I1137" s="56"/>
      <c r="J1137" s="56"/>
      <c r="K1137" s="56"/>
      <c r="S1137" s="59"/>
    </row>
    <row r="1138" spans="7:19" x14ac:dyDescent="0.2">
      <c r="G1138" s="56"/>
      <c r="H1138" s="56"/>
      <c r="I1138" s="56"/>
      <c r="J1138" s="56"/>
      <c r="K1138" s="56"/>
      <c r="S1138" s="59"/>
    </row>
    <row r="1139" spans="7:19" x14ac:dyDescent="0.2">
      <c r="G1139" s="56"/>
      <c r="H1139" s="56"/>
      <c r="I1139" s="56"/>
      <c r="J1139" s="56"/>
      <c r="K1139" s="56"/>
      <c r="S1139" s="59"/>
    </row>
    <row r="1140" spans="7:19" x14ac:dyDescent="0.2">
      <c r="G1140" s="56"/>
      <c r="H1140" s="56"/>
      <c r="I1140" s="56"/>
      <c r="J1140" s="56"/>
      <c r="K1140" s="56"/>
      <c r="S1140" s="59"/>
    </row>
    <row r="1141" spans="7:19" x14ac:dyDescent="0.2">
      <c r="G1141" s="56"/>
      <c r="H1141" s="56"/>
      <c r="I1141" s="56"/>
      <c r="J1141" s="56"/>
      <c r="K1141" s="56"/>
      <c r="S1141" s="59"/>
    </row>
    <row r="1142" spans="7:19" x14ac:dyDescent="0.2">
      <c r="G1142" s="56"/>
      <c r="H1142" s="56"/>
      <c r="I1142" s="56"/>
      <c r="J1142" s="56"/>
      <c r="K1142" s="56"/>
      <c r="S1142" s="59"/>
    </row>
    <row r="1143" spans="7:19" x14ac:dyDescent="0.2">
      <c r="G1143" s="56"/>
      <c r="H1143" s="56"/>
      <c r="I1143" s="56"/>
      <c r="J1143" s="56"/>
      <c r="K1143" s="56"/>
      <c r="S1143" s="59"/>
    </row>
    <row r="1144" spans="7:19" x14ac:dyDescent="0.2">
      <c r="G1144" s="56"/>
      <c r="H1144" s="56"/>
      <c r="I1144" s="56"/>
      <c r="J1144" s="56"/>
      <c r="K1144" s="56"/>
      <c r="S1144" s="59"/>
    </row>
    <row r="1145" spans="7:19" x14ac:dyDescent="0.2">
      <c r="G1145" s="56"/>
      <c r="H1145" s="56"/>
      <c r="I1145" s="56"/>
      <c r="J1145" s="56"/>
      <c r="K1145" s="56"/>
      <c r="S1145" s="59"/>
    </row>
    <row r="1146" spans="7:19" x14ac:dyDescent="0.2">
      <c r="G1146" s="56"/>
      <c r="H1146" s="56"/>
      <c r="I1146" s="56"/>
      <c r="J1146" s="56"/>
      <c r="K1146" s="56"/>
      <c r="S1146" s="59"/>
    </row>
    <row r="1147" spans="7:19" x14ac:dyDescent="0.2">
      <c r="G1147" s="56"/>
      <c r="H1147" s="56"/>
      <c r="I1147" s="56"/>
      <c r="J1147" s="56"/>
      <c r="K1147" s="56"/>
      <c r="S1147" s="59"/>
    </row>
    <row r="1148" spans="7:19" x14ac:dyDescent="0.2">
      <c r="G1148" s="56"/>
      <c r="H1148" s="56"/>
      <c r="I1148" s="56"/>
      <c r="J1148" s="56"/>
      <c r="K1148" s="56"/>
      <c r="S1148" s="59"/>
    </row>
    <row r="1149" spans="7:19" x14ac:dyDescent="0.2">
      <c r="G1149" s="56"/>
      <c r="H1149" s="56"/>
      <c r="I1149" s="56"/>
      <c r="J1149" s="56"/>
      <c r="K1149" s="56"/>
      <c r="S1149" s="59"/>
    </row>
    <row r="1150" spans="7:19" x14ac:dyDescent="0.2">
      <c r="G1150" s="56"/>
      <c r="H1150" s="56"/>
      <c r="I1150" s="56"/>
      <c r="J1150" s="56"/>
      <c r="K1150" s="56"/>
      <c r="S1150" s="59"/>
    </row>
    <row r="1151" spans="7:19" x14ac:dyDescent="0.2">
      <c r="G1151" s="56"/>
      <c r="H1151" s="56"/>
      <c r="I1151" s="56"/>
      <c r="J1151" s="56"/>
      <c r="K1151" s="56"/>
      <c r="S1151" s="59"/>
    </row>
    <row r="1152" spans="7:19" x14ac:dyDescent="0.2">
      <c r="G1152" s="56"/>
      <c r="H1152" s="56"/>
      <c r="I1152" s="56"/>
      <c r="J1152" s="56"/>
      <c r="K1152" s="56"/>
      <c r="S1152" s="59"/>
    </row>
    <row r="1153" spans="7:19" x14ac:dyDescent="0.2">
      <c r="G1153" s="56"/>
      <c r="H1153" s="56"/>
      <c r="I1153" s="56"/>
      <c r="J1153" s="56"/>
      <c r="K1153" s="56"/>
      <c r="S1153" s="59"/>
    </row>
    <row r="1154" spans="7:19" x14ac:dyDescent="0.2">
      <c r="G1154" s="56"/>
      <c r="H1154" s="56"/>
      <c r="I1154" s="56"/>
      <c r="J1154" s="56"/>
      <c r="K1154" s="56"/>
      <c r="S1154" s="59"/>
    </row>
    <row r="1155" spans="7:19" x14ac:dyDescent="0.2">
      <c r="G1155" s="56"/>
      <c r="H1155" s="56"/>
      <c r="I1155" s="56"/>
      <c r="J1155" s="56"/>
      <c r="K1155" s="56"/>
      <c r="S1155" s="59"/>
    </row>
    <row r="1156" spans="7:19" x14ac:dyDescent="0.2">
      <c r="G1156" s="56"/>
      <c r="H1156" s="56"/>
      <c r="I1156" s="56"/>
      <c r="J1156" s="56"/>
      <c r="K1156" s="56"/>
      <c r="S1156" s="59"/>
    </row>
    <row r="1157" spans="7:19" x14ac:dyDescent="0.2">
      <c r="G1157" s="56"/>
      <c r="H1157" s="56"/>
      <c r="I1157" s="56"/>
      <c r="J1157" s="56"/>
      <c r="K1157" s="56"/>
      <c r="S1157" s="59"/>
    </row>
    <row r="1158" spans="7:19" x14ac:dyDescent="0.2">
      <c r="G1158" s="56"/>
      <c r="H1158" s="56"/>
      <c r="I1158" s="56"/>
      <c r="J1158" s="56"/>
      <c r="K1158" s="56"/>
      <c r="S1158" s="59"/>
    </row>
    <row r="1159" spans="7:19" x14ac:dyDescent="0.2">
      <c r="G1159" s="56"/>
      <c r="H1159" s="56"/>
      <c r="I1159" s="56"/>
      <c r="J1159" s="56"/>
      <c r="K1159" s="56"/>
      <c r="S1159" s="59"/>
    </row>
    <row r="1160" spans="7:19" x14ac:dyDescent="0.2">
      <c r="G1160" s="56"/>
      <c r="H1160" s="56"/>
      <c r="I1160" s="56"/>
      <c r="J1160" s="56"/>
      <c r="K1160" s="56"/>
      <c r="S1160" s="59"/>
    </row>
    <row r="1161" spans="7:19" x14ac:dyDescent="0.2">
      <c r="G1161" s="56"/>
      <c r="H1161" s="56"/>
      <c r="I1161" s="56"/>
      <c r="J1161" s="56"/>
      <c r="K1161" s="56"/>
      <c r="S1161" s="59"/>
    </row>
    <row r="1162" spans="7:19" x14ac:dyDescent="0.2">
      <c r="G1162" s="56"/>
      <c r="H1162" s="56"/>
      <c r="I1162" s="56"/>
      <c r="J1162" s="56"/>
      <c r="K1162" s="56"/>
      <c r="S1162" s="59"/>
    </row>
    <row r="1163" spans="7:19" x14ac:dyDescent="0.2">
      <c r="G1163" s="56"/>
      <c r="H1163" s="56"/>
      <c r="I1163" s="56"/>
      <c r="J1163" s="56"/>
      <c r="K1163" s="56"/>
      <c r="S1163" s="59"/>
    </row>
    <row r="1164" spans="7:19" x14ac:dyDescent="0.2">
      <c r="G1164" s="56"/>
      <c r="H1164" s="56"/>
      <c r="I1164" s="56"/>
      <c r="J1164" s="56"/>
      <c r="K1164" s="56"/>
      <c r="S1164" s="59"/>
    </row>
    <row r="1165" spans="7:19" x14ac:dyDescent="0.2">
      <c r="G1165" s="56"/>
      <c r="H1165" s="56"/>
      <c r="I1165" s="56"/>
      <c r="J1165" s="56"/>
      <c r="K1165" s="56"/>
      <c r="S1165" s="59"/>
    </row>
    <row r="1166" spans="7:19" x14ac:dyDescent="0.2">
      <c r="G1166" s="56"/>
      <c r="H1166" s="56"/>
      <c r="I1166" s="56"/>
      <c r="J1166" s="56"/>
      <c r="K1166" s="56"/>
      <c r="S1166" s="59"/>
    </row>
    <row r="1167" spans="7:19" x14ac:dyDescent="0.2">
      <c r="G1167" s="56"/>
      <c r="H1167" s="56"/>
      <c r="I1167" s="56"/>
      <c r="J1167" s="56"/>
      <c r="K1167" s="56"/>
      <c r="S1167" s="59"/>
    </row>
    <row r="1168" spans="7:19" x14ac:dyDescent="0.2">
      <c r="G1168" s="56"/>
      <c r="H1168" s="56"/>
      <c r="I1168" s="56"/>
      <c r="J1168" s="56"/>
      <c r="K1168" s="56"/>
      <c r="S1168" s="59"/>
    </row>
    <row r="1169" spans="7:19" x14ac:dyDescent="0.2">
      <c r="G1169" s="56"/>
      <c r="H1169" s="56"/>
      <c r="I1169" s="56"/>
      <c r="J1169" s="56"/>
      <c r="K1169" s="56"/>
      <c r="S1169" s="59"/>
    </row>
    <row r="1170" spans="7:19" x14ac:dyDescent="0.2">
      <c r="G1170" s="56"/>
      <c r="H1170" s="56"/>
      <c r="I1170" s="56"/>
      <c r="J1170" s="56"/>
      <c r="K1170" s="56"/>
      <c r="S1170" s="59"/>
    </row>
    <row r="1171" spans="7:19" x14ac:dyDescent="0.2">
      <c r="G1171" s="56"/>
      <c r="H1171" s="56"/>
      <c r="I1171" s="56"/>
      <c r="J1171" s="56"/>
      <c r="K1171" s="56"/>
      <c r="S1171" s="59"/>
    </row>
    <row r="1172" spans="7:19" x14ac:dyDescent="0.2">
      <c r="G1172" s="56"/>
      <c r="H1172" s="56"/>
      <c r="I1172" s="56"/>
      <c r="J1172" s="56"/>
      <c r="K1172" s="56"/>
      <c r="S1172" s="59"/>
    </row>
    <row r="1173" spans="7:19" x14ac:dyDescent="0.2">
      <c r="G1173" s="56"/>
      <c r="H1173" s="56"/>
      <c r="I1173" s="56"/>
      <c r="J1173" s="56"/>
      <c r="K1173" s="56"/>
      <c r="S1173" s="59"/>
    </row>
    <row r="1174" spans="7:19" x14ac:dyDescent="0.2">
      <c r="G1174" s="56"/>
      <c r="H1174" s="56"/>
      <c r="I1174" s="56"/>
      <c r="J1174" s="56"/>
      <c r="K1174" s="56"/>
      <c r="S1174" s="59"/>
    </row>
    <row r="1175" spans="7:19" x14ac:dyDescent="0.2">
      <c r="G1175" s="56"/>
      <c r="H1175" s="56"/>
      <c r="I1175" s="56"/>
      <c r="J1175" s="56"/>
      <c r="K1175" s="56"/>
      <c r="S1175" s="59"/>
    </row>
    <row r="1176" spans="7:19" x14ac:dyDescent="0.2">
      <c r="G1176" s="56"/>
      <c r="H1176" s="56"/>
      <c r="I1176" s="56"/>
      <c r="J1176" s="56"/>
      <c r="K1176" s="56"/>
      <c r="S1176" s="59"/>
    </row>
    <row r="1177" spans="7:19" x14ac:dyDescent="0.2">
      <c r="G1177" s="56"/>
      <c r="H1177" s="56"/>
      <c r="I1177" s="56"/>
      <c r="J1177" s="56"/>
      <c r="K1177" s="56"/>
      <c r="S1177" s="59"/>
    </row>
    <row r="1178" spans="7:19" x14ac:dyDescent="0.2">
      <c r="G1178" s="56"/>
      <c r="H1178" s="56"/>
      <c r="I1178" s="56"/>
      <c r="J1178" s="56"/>
      <c r="K1178" s="56"/>
      <c r="S1178" s="59"/>
    </row>
    <row r="1179" spans="7:19" x14ac:dyDescent="0.2">
      <c r="G1179" s="56"/>
      <c r="H1179" s="56"/>
      <c r="I1179" s="56"/>
      <c r="J1179" s="56"/>
      <c r="K1179" s="56"/>
      <c r="S1179" s="59"/>
    </row>
    <row r="1180" spans="7:19" x14ac:dyDescent="0.2">
      <c r="G1180" s="56"/>
      <c r="H1180" s="56"/>
      <c r="I1180" s="56"/>
      <c r="J1180" s="56"/>
      <c r="K1180" s="56"/>
      <c r="S1180" s="59"/>
    </row>
    <row r="1181" spans="7:19" x14ac:dyDescent="0.2">
      <c r="G1181" s="56"/>
      <c r="H1181" s="56"/>
      <c r="I1181" s="56"/>
      <c r="J1181" s="56"/>
      <c r="K1181" s="56"/>
      <c r="S1181" s="59"/>
    </row>
    <row r="1182" spans="7:19" x14ac:dyDescent="0.2">
      <c r="G1182" s="56"/>
      <c r="H1182" s="56"/>
      <c r="I1182" s="56"/>
      <c r="J1182" s="56"/>
      <c r="K1182" s="56"/>
      <c r="S1182" s="59"/>
    </row>
    <row r="1183" spans="7:19" x14ac:dyDescent="0.2">
      <c r="G1183" s="56"/>
      <c r="H1183" s="56"/>
      <c r="I1183" s="56"/>
      <c r="J1183" s="56"/>
      <c r="K1183" s="56"/>
      <c r="S1183" s="59"/>
    </row>
    <row r="1184" spans="7:19" x14ac:dyDescent="0.2">
      <c r="G1184" s="56"/>
      <c r="H1184" s="56"/>
      <c r="I1184" s="56"/>
      <c r="J1184" s="56"/>
      <c r="K1184" s="56"/>
      <c r="S1184" s="59"/>
    </row>
    <row r="1185" spans="7:19" x14ac:dyDescent="0.2">
      <c r="G1185" s="56"/>
      <c r="H1185" s="56"/>
      <c r="I1185" s="56"/>
      <c r="J1185" s="56"/>
      <c r="K1185" s="56"/>
      <c r="S1185" s="59"/>
    </row>
    <row r="1186" spans="7:19" x14ac:dyDescent="0.2">
      <c r="G1186" s="56"/>
      <c r="H1186" s="56"/>
      <c r="I1186" s="56"/>
      <c r="J1186" s="56"/>
      <c r="K1186" s="56"/>
      <c r="S1186" s="59"/>
    </row>
    <row r="1187" spans="7:19" x14ac:dyDescent="0.2">
      <c r="G1187" s="56"/>
      <c r="H1187" s="56"/>
      <c r="I1187" s="56"/>
      <c r="J1187" s="56"/>
      <c r="K1187" s="56"/>
      <c r="S1187" s="59"/>
    </row>
    <row r="1188" spans="7:19" x14ac:dyDescent="0.2">
      <c r="G1188" s="56"/>
      <c r="H1188" s="56"/>
      <c r="I1188" s="56"/>
      <c r="J1188" s="56"/>
      <c r="K1188" s="56"/>
      <c r="S1188" s="59"/>
    </row>
    <row r="1189" spans="7:19" x14ac:dyDescent="0.2">
      <c r="G1189" s="56"/>
      <c r="H1189" s="56"/>
      <c r="I1189" s="56"/>
      <c r="J1189" s="56"/>
      <c r="K1189" s="56"/>
      <c r="S1189" s="59"/>
    </row>
    <row r="1190" spans="7:19" x14ac:dyDescent="0.2">
      <c r="G1190" s="56"/>
      <c r="H1190" s="56"/>
      <c r="I1190" s="56"/>
      <c r="J1190" s="56"/>
      <c r="K1190" s="56"/>
      <c r="S1190" s="59"/>
    </row>
    <row r="1191" spans="7:19" x14ac:dyDescent="0.2">
      <c r="G1191" s="56"/>
      <c r="H1191" s="56"/>
      <c r="I1191" s="56"/>
      <c r="J1191" s="56"/>
      <c r="K1191" s="56"/>
      <c r="S1191" s="59"/>
    </row>
    <row r="1192" spans="7:19" x14ac:dyDescent="0.2">
      <c r="G1192" s="56"/>
      <c r="H1192" s="56"/>
      <c r="I1192" s="56"/>
      <c r="J1192" s="56"/>
      <c r="K1192" s="56"/>
      <c r="S1192" s="59"/>
    </row>
    <row r="1193" spans="7:19" x14ac:dyDescent="0.2">
      <c r="G1193" s="56"/>
      <c r="H1193" s="56"/>
      <c r="I1193" s="56"/>
      <c r="J1193" s="56"/>
      <c r="K1193" s="56"/>
      <c r="S1193" s="59"/>
    </row>
    <row r="1194" spans="7:19" x14ac:dyDescent="0.2">
      <c r="G1194" s="56"/>
      <c r="H1194" s="56"/>
      <c r="I1194" s="56"/>
      <c r="J1194" s="56"/>
      <c r="K1194" s="56"/>
      <c r="S1194" s="59"/>
    </row>
    <row r="1195" spans="7:19" x14ac:dyDescent="0.2">
      <c r="G1195" s="56"/>
      <c r="H1195" s="56"/>
      <c r="I1195" s="56"/>
      <c r="J1195" s="56"/>
      <c r="K1195" s="56"/>
      <c r="S1195" s="59"/>
    </row>
    <row r="1196" spans="7:19" x14ac:dyDescent="0.2">
      <c r="G1196" s="56"/>
      <c r="H1196" s="56"/>
      <c r="I1196" s="56"/>
      <c r="J1196" s="56"/>
      <c r="K1196" s="56"/>
      <c r="S1196" s="59"/>
    </row>
    <row r="1197" spans="7:19" x14ac:dyDescent="0.2">
      <c r="G1197" s="56"/>
      <c r="H1197" s="56"/>
      <c r="I1197" s="56"/>
      <c r="J1197" s="56"/>
      <c r="K1197" s="56"/>
      <c r="S1197" s="59"/>
    </row>
    <row r="1198" spans="7:19" x14ac:dyDescent="0.2">
      <c r="G1198" s="56"/>
      <c r="H1198" s="56"/>
      <c r="I1198" s="56"/>
      <c r="J1198" s="56"/>
      <c r="K1198" s="56"/>
      <c r="S1198" s="59"/>
    </row>
    <row r="1199" spans="7:19" x14ac:dyDescent="0.2">
      <c r="G1199" s="56"/>
      <c r="H1199" s="56"/>
      <c r="I1199" s="56"/>
      <c r="J1199" s="56"/>
      <c r="K1199" s="56"/>
      <c r="S1199" s="59"/>
    </row>
    <row r="1200" spans="7:19" x14ac:dyDescent="0.2">
      <c r="G1200" s="56"/>
      <c r="H1200" s="56"/>
      <c r="I1200" s="56"/>
      <c r="J1200" s="56"/>
      <c r="K1200" s="56"/>
      <c r="S1200" s="59"/>
    </row>
    <row r="1201" spans="7:19" x14ac:dyDescent="0.2">
      <c r="G1201" s="56"/>
      <c r="H1201" s="56"/>
      <c r="I1201" s="56"/>
      <c r="J1201" s="56"/>
      <c r="K1201" s="56"/>
      <c r="S1201" s="59"/>
    </row>
    <row r="1202" spans="7:19" x14ac:dyDescent="0.2">
      <c r="G1202" s="56"/>
      <c r="H1202" s="56"/>
      <c r="I1202" s="56"/>
      <c r="J1202" s="56"/>
      <c r="K1202" s="56"/>
      <c r="S1202" s="59"/>
    </row>
    <row r="1203" spans="7:19" x14ac:dyDescent="0.2">
      <c r="G1203" s="56"/>
      <c r="H1203" s="56"/>
      <c r="I1203" s="56"/>
      <c r="J1203" s="56"/>
      <c r="K1203" s="56"/>
      <c r="S1203" s="59"/>
    </row>
    <row r="1204" spans="7:19" x14ac:dyDescent="0.2">
      <c r="G1204" s="56"/>
      <c r="H1204" s="56"/>
      <c r="I1204" s="56"/>
      <c r="J1204" s="56"/>
      <c r="K1204" s="56"/>
      <c r="S1204" s="59"/>
    </row>
    <row r="1205" spans="7:19" x14ac:dyDescent="0.2">
      <c r="G1205" s="56"/>
      <c r="H1205" s="56"/>
      <c r="I1205" s="56"/>
      <c r="J1205" s="56"/>
      <c r="K1205" s="56"/>
      <c r="S1205" s="59"/>
    </row>
    <row r="1206" spans="7:19" x14ac:dyDescent="0.2">
      <c r="G1206" s="56"/>
      <c r="H1206" s="56"/>
      <c r="I1206" s="56"/>
      <c r="J1206" s="56"/>
      <c r="K1206" s="56"/>
      <c r="S1206" s="59"/>
    </row>
    <row r="1207" spans="7:19" x14ac:dyDescent="0.2">
      <c r="G1207" s="56"/>
      <c r="H1207" s="56"/>
      <c r="I1207" s="56"/>
      <c r="J1207" s="56"/>
      <c r="K1207" s="56"/>
      <c r="S1207" s="59"/>
    </row>
    <row r="1208" spans="7:19" x14ac:dyDescent="0.2">
      <c r="G1208" s="56"/>
      <c r="H1208" s="56"/>
      <c r="I1208" s="56"/>
      <c r="J1208" s="56"/>
      <c r="K1208" s="56"/>
      <c r="S1208" s="59"/>
    </row>
    <row r="1209" spans="7:19" x14ac:dyDescent="0.2">
      <c r="G1209" s="56"/>
      <c r="H1209" s="56"/>
      <c r="I1209" s="56"/>
      <c r="J1209" s="56"/>
      <c r="K1209" s="56"/>
      <c r="S1209" s="59"/>
    </row>
    <row r="1210" spans="7:19" x14ac:dyDescent="0.2">
      <c r="G1210" s="56"/>
      <c r="H1210" s="56"/>
      <c r="I1210" s="56"/>
      <c r="J1210" s="56"/>
      <c r="K1210" s="56"/>
      <c r="S1210" s="59"/>
    </row>
    <row r="1211" spans="7:19" x14ac:dyDescent="0.2">
      <c r="G1211" s="56"/>
      <c r="H1211" s="56"/>
      <c r="I1211" s="56"/>
      <c r="J1211" s="56"/>
      <c r="K1211" s="56"/>
      <c r="S1211" s="59"/>
    </row>
    <row r="1212" spans="7:19" x14ac:dyDescent="0.2">
      <c r="G1212" s="56"/>
      <c r="H1212" s="56"/>
      <c r="I1212" s="56"/>
      <c r="J1212" s="56"/>
      <c r="K1212" s="56"/>
      <c r="S1212" s="59"/>
    </row>
    <row r="1213" spans="7:19" x14ac:dyDescent="0.2">
      <c r="G1213" s="56"/>
      <c r="H1213" s="56"/>
      <c r="I1213" s="56"/>
      <c r="J1213" s="56"/>
      <c r="K1213" s="56"/>
      <c r="S1213" s="59"/>
    </row>
    <row r="1214" spans="7:19" x14ac:dyDescent="0.2">
      <c r="G1214" s="56"/>
      <c r="H1214" s="56"/>
      <c r="I1214" s="56"/>
      <c r="J1214" s="56"/>
      <c r="K1214" s="56"/>
      <c r="S1214" s="59"/>
    </row>
    <row r="1215" spans="7:19" x14ac:dyDescent="0.2">
      <c r="G1215" s="56"/>
      <c r="H1215" s="56"/>
      <c r="I1215" s="56"/>
      <c r="J1215" s="56"/>
      <c r="K1215" s="56"/>
      <c r="S1215" s="59"/>
    </row>
    <row r="1216" spans="7:19" x14ac:dyDescent="0.2">
      <c r="G1216" s="56"/>
      <c r="H1216" s="56"/>
      <c r="I1216" s="56"/>
      <c r="J1216" s="56"/>
      <c r="K1216" s="56"/>
      <c r="S1216" s="59"/>
    </row>
    <row r="1217" spans="7:19" x14ac:dyDescent="0.2">
      <c r="G1217" s="56"/>
      <c r="H1217" s="56"/>
      <c r="I1217" s="56"/>
      <c r="J1217" s="56"/>
      <c r="K1217" s="56"/>
      <c r="S1217" s="59"/>
    </row>
    <row r="1218" spans="7:19" x14ac:dyDescent="0.2">
      <c r="G1218" s="56"/>
      <c r="H1218" s="56"/>
      <c r="I1218" s="56"/>
      <c r="J1218" s="56"/>
      <c r="K1218" s="56"/>
      <c r="S1218" s="59"/>
    </row>
    <row r="1219" spans="7:19" x14ac:dyDescent="0.2">
      <c r="G1219" s="56"/>
      <c r="H1219" s="56"/>
      <c r="I1219" s="56"/>
      <c r="J1219" s="56"/>
      <c r="K1219" s="56"/>
      <c r="S1219" s="59"/>
    </row>
    <row r="1220" spans="7:19" x14ac:dyDescent="0.2">
      <c r="G1220" s="56"/>
      <c r="H1220" s="56"/>
      <c r="I1220" s="56"/>
      <c r="J1220" s="56"/>
      <c r="K1220" s="56"/>
      <c r="S1220" s="59"/>
    </row>
    <row r="1221" spans="7:19" x14ac:dyDescent="0.2">
      <c r="G1221" s="56"/>
      <c r="H1221" s="56"/>
      <c r="I1221" s="56"/>
      <c r="J1221" s="56"/>
      <c r="K1221" s="56"/>
      <c r="S1221" s="59"/>
    </row>
    <row r="1222" spans="7:19" x14ac:dyDescent="0.2">
      <c r="G1222" s="56"/>
      <c r="H1222" s="56"/>
      <c r="I1222" s="56"/>
      <c r="J1222" s="56"/>
      <c r="K1222" s="56"/>
      <c r="S1222" s="59"/>
    </row>
    <row r="1223" spans="7:19" x14ac:dyDescent="0.2">
      <c r="G1223" s="56"/>
      <c r="H1223" s="56"/>
      <c r="I1223" s="56"/>
      <c r="J1223" s="56"/>
      <c r="K1223" s="56"/>
      <c r="S1223" s="59"/>
    </row>
    <row r="1224" spans="7:19" x14ac:dyDescent="0.2">
      <c r="G1224" s="56"/>
      <c r="H1224" s="56"/>
      <c r="I1224" s="56"/>
      <c r="J1224" s="56"/>
      <c r="K1224" s="56"/>
      <c r="S1224" s="59"/>
    </row>
    <row r="1225" spans="7:19" x14ac:dyDescent="0.2">
      <c r="G1225" s="56"/>
      <c r="H1225" s="56"/>
      <c r="I1225" s="56"/>
      <c r="J1225" s="56"/>
      <c r="K1225" s="56"/>
      <c r="S1225" s="59"/>
    </row>
    <row r="1226" spans="7:19" x14ac:dyDescent="0.2">
      <c r="G1226" s="56"/>
      <c r="H1226" s="56"/>
      <c r="I1226" s="56"/>
      <c r="J1226" s="56"/>
      <c r="K1226" s="56"/>
      <c r="S1226" s="59"/>
    </row>
    <row r="1227" spans="7:19" x14ac:dyDescent="0.2">
      <c r="G1227" s="56"/>
      <c r="H1227" s="56"/>
      <c r="I1227" s="56"/>
      <c r="J1227" s="56"/>
      <c r="K1227" s="56"/>
      <c r="S1227" s="59"/>
    </row>
    <row r="1228" spans="7:19" x14ac:dyDescent="0.2">
      <c r="G1228" s="56"/>
      <c r="H1228" s="56"/>
      <c r="I1228" s="56"/>
      <c r="J1228" s="56"/>
      <c r="K1228" s="56"/>
      <c r="S1228" s="59"/>
    </row>
    <row r="1229" spans="7:19" x14ac:dyDescent="0.2">
      <c r="G1229" s="56"/>
      <c r="H1229" s="56"/>
      <c r="I1229" s="56"/>
      <c r="J1229" s="56"/>
      <c r="K1229" s="56"/>
      <c r="S1229" s="59"/>
    </row>
    <row r="1230" spans="7:19" x14ac:dyDescent="0.2">
      <c r="G1230" s="56"/>
      <c r="H1230" s="56"/>
      <c r="I1230" s="56"/>
      <c r="J1230" s="56"/>
      <c r="K1230" s="56"/>
      <c r="S1230" s="59"/>
    </row>
    <row r="1231" spans="7:19" x14ac:dyDescent="0.2">
      <c r="G1231" s="56"/>
      <c r="H1231" s="56"/>
      <c r="I1231" s="56"/>
      <c r="J1231" s="56"/>
      <c r="K1231" s="56"/>
      <c r="S1231" s="59"/>
    </row>
    <row r="1232" spans="7:19" x14ac:dyDescent="0.2">
      <c r="G1232" s="56"/>
      <c r="H1232" s="56"/>
      <c r="I1232" s="56"/>
      <c r="J1232" s="56"/>
      <c r="K1232" s="56"/>
      <c r="S1232" s="59"/>
    </row>
    <row r="1233" spans="7:19" x14ac:dyDescent="0.2">
      <c r="G1233" s="56"/>
      <c r="H1233" s="56"/>
      <c r="I1233" s="56"/>
      <c r="J1233" s="56"/>
      <c r="K1233" s="56"/>
      <c r="S1233" s="59"/>
    </row>
    <row r="1234" spans="7:19" x14ac:dyDescent="0.2">
      <c r="G1234" s="56"/>
      <c r="H1234" s="56"/>
      <c r="I1234" s="56"/>
      <c r="J1234" s="56"/>
      <c r="K1234" s="56"/>
      <c r="S1234" s="59"/>
    </row>
    <row r="1235" spans="7:19" x14ac:dyDescent="0.2">
      <c r="G1235" s="56"/>
      <c r="H1235" s="56"/>
      <c r="I1235" s="56"/>
      <c r="J1235" s="56"/>
      <c r="K1235" s="56"/>
      <c r="S1235" s="59"/>
    </row>
    <row r="1236" spans="7:19" x14ac:dyDescent="0.2">
      <c r="G1236" s="56"/>
      <c r="H1236" s="56"/>
      <c r="I1236" s="56"/>
      <c r="J1236" s="56"/>
      <c r="K1236" s="56"/>
      <c r="S1236" s="59"/>
    </row>
    <row r="1237" spans="7:19" x14ac:dyDescent="0.2">
      <c r="G1237" s="56"/>
      <c r="H1237" s="56"/>
      <c r="I1237" s="56"/>
      <c r="J1237" s="56"/>
      <c r="K1237" s="56"/>
      <c r="S1237" s="59"/>
    </row>
    <row r="1238" spans="7:19" x14ac:dyDescent="0.2">
      <c r="G1238" s="56"/>
      <c r="H1238" s="56"/>
      <c r="I1238" s="56"/>
      <c r="J1238" s="56"/>
      <c r="K1238" s="56"/>
      <c r="S1238" s="59"/>
    </row>
    <row r="1239" spans="7:19" x14ac:dyDescent="0.2">
      <c r="G1239" s="56"/>
      <c r="H1239" s="56"/>
      <c r="I1239" s="56"/>
      <c r="J1239" s="56"/>
      <c r="K1239" s="56"/>
      <c r="S1239" s="59"/>
    </row>
    <row r="1240" spans="7:19" x14ac:dyDescent="0.2">
      <c r="G1240" s="56"/>
      <c r="H1240" s="56"/>
      <c r="I1240" s="56"/>
      <c r="J1240" s="56"/>
      <c r="K1240" s="56"/>
      <c r="S1240" s="59"/>
    </row>
    <row r="1241" spans="7:19" x14ac:dyDescent="0.2">
      <c r="G1241" s="56"/>
      <c r="H1241" s="56"/>
      <c r="I1241" s="56"/>
      <c r="J1241" s="56"/>
      <c r="K1241" s="56"/>
      <c r="S1241" s="59"/>
    </row>
    <row r="1242" spans="7:19" x14ac:dyDescent="0.2">
      <c r="G1242" s="56"/>
      <c r="H1242" s="56"/>
      <c r="I1242" s="56"/>
      <c r="J1242" s="56"/>
      <c r="K1242" s="56"/>
      <c r="S1242" s="59"/>
    </row>
    <row r="1243" spans="7:19" x14ac:dyDescent="0.2">
      <c r="G1243" s="56"/>
      <c r="H1243" s="56"/>
      <c r="I1243" s="56"/>
      <c r="J1243" s="56"/>
      <c r="K1243" s="56"/>
      <c r="S1243" s="59"/>
    </row>
    <row r="1244" spans="7:19" x14ac:dyDescent="0.2">
      <c r="G1244" s="56"/>
      <c r="H1244" s="56"/>
      <c r="I1244" s="56"/>
      <c r="J1244" s="56"/>
      <c r="K1244" s="56"/>
      <c r="S1244" s="59"/>
    </row>
    <row r="1245" spans="7:19" x14ac:dyDescent="0.2">
      <c r="G1245" s="56"/>
      <c r="H1245" s="56"/>
      <c r="I1245" s="56"/>
      <c r="J1245" s="56"/>
      <c r="K1245" s="56"/>
      <c r="S1245" s="59"/>
    </row>
    <row r="1246" spans="7:19" x14ac:dyDescent="0.2">
      <c r="G1246" s="56"/>
      <c r="H1246" s="56"/>
      <c r="I1246" s="56"/>
      <c r="J1246" s="56"/>
      <c r="K1246" s="56"/>
      <c r="S1246" s="59"/>
    </row>
    <row r="1247" spans="7:19" x14ac:dyDescent="0.2">
      <c r="G1247" s="56"/>
      <c r="H1247" s="56"/>
      <c r="I1247" s="56"/>
      <c r="J1247" s="56"/>
      <c r="K1247" s="56"/>
      <c r="S1247" s="59"/>
    </row>
    <row r="1248" spans="7:19" x14ac:dyDescent="0.2">
      <c r="G1248" s="56"/>
      <c r="H1248" s="56"/>
      <c r="I1248" s="56"/>
      <c r="J1248" s="56"/>
      <c r="K1248" s="56"/>
      <c r="S1248" s="59"/>
    </row>
    <row r="1249" spans="7:19" x14ac:dyDescent="0.2">
      <c r="G1249" s="56"/>
      <c r="H1249" s="56"/>
      <c r="I1249" s="56"/>
      <c r="J1249" s="56"/>
      <c r="K1249" s="56"/>
      <c r="S1249" s="59"/>
    </row>
    <row r="1250" spans="7:19" x14ac:dyDescent="0.2">
      <c r="G1250" s="56"/>
      <c r="H1250" s="56"/>
      <c r="I1250" s="56"/>
      <c r="J1250" s="56"/>
      <c r="K1250" s="56"/>
      <c r="S1250" s="59"/>
    </row>
    <row r="1251" spans="7:19" x14ac:dyDescent="0.2">
      <c r="G1251" s="56"/>
      <c r="H1251" s="56"/>
      <c r="I1251" s="56"/>
      <c r="J1251" s="56"/>
      <c r="K1251" s="56"/>
      <c r="S1251" s="59"/>
    </row>
    <row r="1252" spans="7:19" x14ac:dyDescent="0.2">
      <c r="G1252" s="56"/>
      <c r="H1252" s="56"/>
      <c r="I1252" s="56"/>
      <c r="J1252" s="56"/>
      <c r="K1252" s="56"/>
      <c r="S1252" s="59"/>
    </row>
    <row r="1253" spans="7:19" x14ac:dyDescent="0.2">
      <c r="G1253" s="56"/>
      <c r="H1253" s="56"/>
      <c r="I1253" s="56"/>
      <c r="J1253" s="56"/>
      <c r="K1253" s="56"/>
      <c r="S1253" s="59"/>
    </row>
    <row r="1254" spans="7:19" x14ac:dyDescent="0.2">
      <c r="G1254" s="56"/>
      <c r="H1254" s="56"/>
      <c r="I1254" s="56"/>
      <c r="J1254" s="56"/>
      <c r="K1254" s="56"/>
      <c r="S1254" s="59"/>
    </row>
    <row r="1255" spans="7:19" x14ac:dyDescent="0.2">
      <c r="G1255" s="56"/>
      <c r="H1255" s="56"/>
      <c r="I1255" s="56"/>
      <c r="J1255" s="56"/>
      <c r="K1255" s="56"/>
      <c r="S1255" s="59"/>
    </row>
    <row r="1256" spans="7:19" x14ac:dyDescent="0.2">
      <c r="G1256" s="56"/>
      <c r="H1256" s="56"/>
      <c r="I1256" s="56"/>
      <c r="J1256" s="56"/>
      <c r="K1256" s="56"/>
      <c r="S1256" s="59"/>
    </row>
    <row r="1257" spans="7:19" x14ac:dyDescent="0.2">
      <c r="G1257" s="56"/>
      <c r="H1257" s="56"/>
      <c r="I1257" s="56"/>
      <c r="J1257" s="56"/>
      <c r="K1257" s="56"/>
      <c r="S1257" s="59"/>
    </row>
    <row r="1258" spans="7:19" x14ac:dyDescent="0.2">
      <c r="G1258" s="56"/>
      <c r="H1258" s="56"/>
      <c r="I1258" s="56"/>
      <c r="J1258" s="56"/>
      <c r="K1258" s="56"/>
      <c r="S1258" s="59"/>
    </row>
    <row r="1259" spans="7:19" x14ac:dyDescent="0.2">
      <c r="G1259" s="56"/>
      <c r="H1259" s="56"/>
      <c r="I1259" s="56"/>
      <c r="J1259" s="56"/>
      <c r="K1259" s="56"/>
      <c r="S1259" s="59"/>
    </row>
    <row r="1260" spans="7:19" x14ac:dyDescent="0.2">
      <c r="G1260" s="56"/>
      <c r="H1260" s="56"/>
      <c r="I1260" s="56"/>
      <c r="J1260" s="56"/>
      <c r="K1260" s="56"/>
      <c r="S1260" s="59"/>
    </row>
    <row r="1261" spans="7:19" x14ac:dyDescent="0.2">
      <c r="G1261" s="56"/>
      <c r="H1261" s="56"/>
      <c r="I1261" s="56"/>
      <c r="J1261" s="56"/>
      <c r="K1261" s="56"/>
      <c r="S1261" s="59"/>
    </row>
    <row r="1262" spans="7:19" x14ac:dyDescent="0.2">
      <c r="G1262" s="56"/>
      <c r="H1262" s="56"/>
      <c r="I1262" s="56"/>
      <c r="J1262" s="56"/>
      <c r="K1262" s="56"/>
      <c r="S1262" s="59"/>
    </row>
    <row r="1263" spans="7:19" x14ac:dyDescent="0.2">
      <c r="G1263" s="56"/>
      <c r="H1263" s="56"/>
      <c r="I1263" s="56"/>
      <c r="J1263" s="56"/>
      <c r="K1263" s="56"/>
      <c r="S1263" s="59"/>
    </row>
    <row r="1264" spans="7:19" x14ac:dyDescent="0.2">
      <c r="G1264" s="56"/>
      <c r="H1264" s="56"/>
      <c r="I1264" s="56"/>
      <c r="J1264" s="56"/>
      <c r="K1264" s="56"/>
      <c r="S1264" s="59"/>
    </row>
    <row r="1265" spans="7:19" x14ac:dyDescent="0.2">
      <c r="G1265" s="56"/>
      <c r="H1265" s="56"/>
      <c r="I1265" s="56"/>
      <c r="J1265" s="56"/>
      <c r="K1265" s="56"/>
      <c r="S1265" s="59"/>
    </row>
    <row r="1266" spans="7:19" x14ac:dyDescent="0.2">
      <c r="G1266" s="56"/>
      <c r="H1266" s="56"/>
      <c r="I1266" s="56"/>
      <c r="J1266" s="56"/>
      <c r="K1266" s="56"/>
      <c r="S1266" s="59"/>
    </row>
    <row r="1267" spans="7:19" x14ac:dyDescent="0.2">
      <c r="G1267" s="56"/>
      <c r="H1267" s="56"/>
      <c r="I1267" s="56"/>
      <c r="J1267" s="56"/>
      <c r="K1267" s="56"/>
      <c r="S1267" s="59"/>
    </row>
    <row r="1268" spans="7:19" x14ac:dyDescent="0.2">
      <c r="G1268" s="56"/>
      <c r="H1268" s="56"/>
      <c r="I1268" s="56"/>
      <c r="J1268" s="56"/>
      <c r="K1268" s="56"/>
      <c r="S1268" s="59"/>
    </row>
    <row r="1269" spans="7:19" x14ac:dyDescent="0.2">
      <c r="G1269" s="56"/>
      <c r="H1269" s="56"/>
      <c r="I1269" s="56"/>
      <c r="J1269" s="56"/>
      <c r="K1269" s="56"/>
      <c r="S1269" s="59"/>
    </row>
    <row r="1270" spans="7:19" x14ac:dyDescent="0.2">
      <c r="G1270" s="56"/>
      <c r="H1270" s="56"/>
      <c r="I1270" s="56"/>
      <c r="J1270" s="56"/>
      <c r="K1270" s="56"/>
      <c r="S1270" s="59"/>
    </row>
    <row r="1271" spans="7:19" x14ac:dyDescent="0.2">
      <c r="G1271" s="56"/>
      <c r="H1271" s="56"/>
      <c r="I1271" s="56"/>
      <c r="J1271" s="56"/>
      <c r="K1271" s="56"/>
      <c r="S1271" s="59"/>
    </row>
    <row r="1272" spans="7:19" x14ac:dyDescent="0.2">
      <c r="G1272" s="56"/>
      <c r="H1272" s="56"/>
      <c r="I1272" s="56"/>
      <c r="J1272" s="56"/>
      <c r="K1272" s="56"/>
      <c r="S1272" s="59"/>
    </row>
    <row r="1273" spans="7:19" x14ac:dyDescent="0.2">
      <c r="G1273" s="56"/>
      <c r="H1273" s="56"/>
      <c r="I1273" s="56"/>
      <c r="J1273" s="56"/>
      <c r="K1273" s="56"/>
      <c r="S1273" s="59"/>
    </row>
    <row r="1274" spans="7:19" x14ac:dyDescent="0.2">
      <c r="G1274" s="56"/>
      <c r="H1274" s="56"/>
      <c r="I1274" s="56"/>
      <c r="J1274" s="56"/>
      <c r="K1274" s="56"/>
      <c r="S1274" s="59"/>
    </row>
    <row r="1275" spans="7:19" x14ac:dyDescent="0.2">
      <c r="G1275" s="56"/>
      <c r="H1275" s="56"/>
      <c r="I1275" s="56"/>
      <c r="J1275" s="56"/>
      <c r="K1275" s="56"/>
      <c r="S1275" s="59"/>
    </row>
    <row r="1276" spans="7:19" x14ac:dyDescent="0.2">
      <c r="G1276" s="56"/>
      <c r="H1276" s="56"/>
      <c r="I1276" s="56"/>
      <c r="J1276" s="56"/>
      <c r="K1276" s="56"/>
      <c r="S1276" s="59"/>
    </row>
    <row r="1277" spans="7:19" x14ac:dyDescent="0.2">
      <c r="G1277" s="56"/>
      <c r="H1277" s="56"/>
      <c r="I1277" s="56"/>
      <c r="J1277" s="56"/>
      <c r="K1277" s="56"/>
      <c r="S1277" s="59"/>
    </row>
    <row r="1278" spans="7:19" x14ac:dyDescent="0.2">
      <c r="G1278" s="56"/>
      <c r="H1278" s="56"/>
      <c r="I1278" s="56"/>
      <c r="J1278" s="56"/>
      <c r="K1278" s="56"/>
      <c r="S1278" s="59"/>
    </row>
    <row r="1279" spans="7:19" x14ac:dyDescent="0.2">
      <c r="G1279" s="56"/>
      <c r="H1279" s="56"/>
      <c r="I1279" s="56"/>
      <c r="J1279" s="56"/>
      <c r="K1279" s="56"/>
      <c r="S1279" s="59"/>
    </row>
    <row r="1280" spans="7:19" x14ac:dyDescent="0.2">
      <c r="G1280" s="56"/>
      <c r="H1280" s="56"/>
      <c r="I1280" s="56"/>
      <c r="J1280" s="56"/>
      <c r="K1280" s="56"/>
      <c r="S1280" s="59"/>
    </row>
    <row r="1281" spans="7:19" x14ac:dyDescent="0.2">
      <c r="G1281" s="56"/>
      <c r="H1281" s="56"/>
      <c r="I1281" s="56"/>
      <c r="J1281" s="56"/>
      <c r="K1281" s="56"/>
      <c r="S1281" s="59"/>
    </row>
    <row r="1282" spans="7:19" x14ac:dyDescent="0.2">
      <c r="G1282" s="56"/>
      <c r="H1282" s="56"/>
      <c r="I1282" s="56"/>
      <c r="J1282" s="56"/>
      <c r="K1282" s="56"/>
      <c r="S1282" s="59"/>
    </row>
    <row r="1283" spans="7:19" x14ac:dyDescent="0.2">
      <c r="G1283" s="56"/>
      <c r="H1283" s="56"/>
      <c r="I1283" s="56"/>
      <c r="J1283" s="56"/>
      <c r="K1283" s="56"/>
      <c r="S1283" s="59"/>
    </row>
    <row r="1284" spans="7:19" x14ac:dyDescent="0.2">
      <c r="G1284" s="56"/>
      <c r="H1284" s="56"/>
      <c r="I1284" s="56"/>
      <c r="J1284" s="56"/>
      <c r="K1284" s="56"/>
      <c r="S1284" s="59"/>
    </row>
    <row r="1285" spans="7:19" x14ac:dyDescent="0.2">
      <c r="G1285" s="56"/>
      <c r="H1285" s="56"/>
      <c r="I1285" s="56"/>
      <c r="J1285" s="56"/>
      <c r="K1285" s="56"/>
      <c r="S1285" s="59"/>
    </row>
    <row r="1286" spans="7:19" x14ac:dyDescent="0.2">
      <c r="G1286" s="56"/>
      <c r="H1286" s="56"/>
      <c r="I1286" s="56"/>
      <c r="J1286" s="56"/>
      <c r="K1286" s="56"/>
      <c r="S1286" s="59"/>
    </row>
    <row r="1287" spans="7:19" x14ac:dyDescent="0.2">
      <c r="G1287" s="56"/>
      <c r="H1287" s="56"/>
      <c r="I1287" s="56"/>
      <c r="J1287" s="56"/>
      <c r="K1287" s="56"/>
      <c r="S1287" s="59"/>
    </row>
    <row r="1288" spans="7:19" x14ac:dyDescent="0.2">
      <c r="G1288" s="56"/>
      <c r="H1288" s="56"/>
      <c r="I1288" s="56"/>
      <c r="J1288" s="56"/>
      <c r="K1288" s="56"/>
      <c r="S1288" s="59"/>
    </row>
    <row r="1289" spans="7:19" x14ac:dyDescent="0.2">
      <c r="G1289" s="56"/>
      <c r="H1289" s="56"/>
      <c r="I1289" s="56"/>
      <c r="J1289" s="56"/>
      <c r="K1289" s="56"/>
      <c r="S1289" s="59"/>
    </row>
    <row r="1290" spans="7:19" x14ac:dyDescent="0.2">
      <c r="G1290" s="56"/>
      <c r="H1290" s="56"/>
      <c r="I1290" s="56"/>
      <c r="J1290" s="56"/>
      <c r="K1290" s="56"/>
      <c r="S1290" s="59"/>
    </row>
    <row r="1291" spans="7:19" x14ac:dyDescent="0.2">
      <c r="G1291" s="56"/>
      <c r="H1291" s="56"/>
      <c r="I1291" s="56"/>
      <c r="J1291" s="56"/>
      <c r="K1291" s="56"/>
      <c r="S1291" s="59"/>
    </row>
    <row r="1292" spans="7:19" x14ac:dyDescent="0.2">
      <c r="G1292" s="56"/>
      <c r="H1292" s="56"/>
      <c r="I1292" s="56"/>
      <c r="J1292" s="56"/>
      <c r="K1292" s="56"/>
      <c r="S1292" s="59"/>
    </row>
    <row r="1293" spans="7:19" x14ac:dyDescent="0.2">
      <c r="G1293" s="56"/>
      <c r="H1293" s="56"/>
      <c r="I1293" s="56"/>
      <c r="J1293" s="56"/>
      <c r="K1293" s="56"/>
      <c r="S1293" s="59"/>
    </row>
    <row r="1294" spans="7:19" x14ac:dyDescent="0.2">
      <c r="G1294" s="56"/>
      <c r="H1294" s="56"/>
      <c r="I1294" s="56"/>
      <c r="J1294" s="56"/>
      <c r="K1294" s="56"/>
      <c r="S1294" s="59"/>
    </row>
    <row r="1295" spans="7:19" x14ac:dyDescent="0.2">
      <c r="G1295" s="56"/>
      <c r="H1295" s="56"/>
      <c r="I1295" s="56"/>
      <c r="J1295" s="56"/>
      <c r="K1295" s="56"/>
      <c r="S1295" s="59"/>
    </row>
    <row r="1296" spans="7:19" x14ac:dyDescent="0.2">
      <c r="G1296" s="56"/>
      <c r="H1296" s="56"/>
      <c r="I1296" s="56"/>
      <c r="J1296" s="56"/>
      <c r="K1296" s="56"/>
      <c r="S1296" s="59"/>
    </row>
    <row r="1297" spans="7:19" x14ac:dyDescent="0.2">
      <c r="G1297" s="56"/>
      <c r="H1297" s="56"/>
      <c r="I1297" s="56"/>
      <c r="J1297" s="56"/>
      <c r="K1297" s="56"/>
      <c r="S1297" s="59"/>
    </row>
    <row r="1298" spans="7:19" x14ac:dyDescent="0.2">
      <c r="G1298" s="56"/>
      <c r="H1298" s="56"/>
      <c r="I1298" s="56"/>
      <c r="J1298" s="56"/>
      <c r="K1298" s="56"/>
      <c r="S1298" s="59"/>
    </row>
    <row r="1299" spans="7:19" x14ac:dyDescent="0.2">
      <c r="G1299" s="56"/>
      <c r="H1299" s="56"/>
      <c r="I1299" s="56"/>
      <c r="J1299" s="56"/>
      <c r="K1299" s="56"/>
      <c r="S1299" s="59"/>
    </row>
    <row r="1300" spans="7:19" x14ac:dyDescent="0.2">
      <c r="G1300" s="56"/>
      <c r="H1300" s="56"/>
      <c r="I1300" s="56"/>
      <c r="J1300" s="56"/>
      <c r="K1300" s="56"/>
      <c r="S1300" s="59"/>
    </row>
    <row r="1301" spans="7:19" x14ac:dyDescent="0.2">
      <c r="G1301" s="56"/>
      <c r="H1301" s="56"/>
      <c r="I1301" s="56"/>
      <c r="J1301" s="56"/>
      <c r="K1301" s="56"/>
      <c r="S1301" s="59"/>
    </row>
    <row r="1302" spans="7:19" x14ac:dyDescent="0.2">
      <c r="G1302" s="56"/>
      <c r="H1302" s="56"/>
      <c r="I1302" s="56"/>
      <c r="J1302" s="56"/>
      <c r="K1302" s="56"/>
      <c r="S1302" s="59"/>
    </row>
    <row r="1303" spans="7:19" x14ac:dyDescent="0.2">
      <c r="G1303" s="56"/>
      <c r="H1303" s="56"/>
      <c r="I1303" s="56"/>
      <c r="J1303" s="56"/>
      <c r="K1303" s="56"/>
      <c r="S1303" s="59"/>
    </row>
    <row r="1304" spans="7:19" x14ac:dyDescent="0.2">
      <c r="G1304" s="56"/>
      <c r="H1304" s="56"/>
      <c r="I1304" s="56"/>
      <c r="J1304" s="56"/>
      <c r="K1304" s="56"/>
      <c r="S1304" s="59"/>
    </row>
    <row r="1305" spans="7:19" x14ac:dyDescent="0.2">
      <c r="G1305" s="56"/>
      <c r="H1305" s="56"/>
      <c r="I1305" s="56"/>
      <c r="J1305" s="56"/>
      <c r="K1305" s="56"/>
      <c r="S1305" s="59"/>
    </row>
    <row r="1306" spans="7:19" x14ac:dyDescent="0.2">
      <c r="G1306" s="56"/>
      <c r="H1306" s="56"/>
      <c r="I1306" s="56"/>
      <c r="J1306" s="56"/>
      <c r="K1306" s="56"/>
      <c r="S1306" s="59"/>
    </row>
    <row r="1307" spans="7:19" x14ac:dyDescent="0.2">
      <c r="G1307" s="56"/>
      <c r="H1307" s="56"/>
      <c r="I1307" s="56"/>
      <c r="J1307" s="56"/>
      <c r="K1307" s="56"/>
      <c r="S1307" s="59"/>
    </row>
    <row r="1308" spans="7:19" x14ac:dyDescent="0.2">
      <c r="G1308" s="56"/>
      <c r="H1308" s="56"/>
      <c r="I1308" s="56"/>
      <c r="J1308" s="56"/>
      <c r="K1308" s="56"/>
      <c r="S1308" s="59"/>
    </row>
    <row r="1309" spans="7:19" x14ac:dyDescent="0.2">
      <c r="G1309" s="56"/>
      <c r="H1309" s="56"/>
      <c r="I1309" s="56"/>
      <c r="J1309" s="56"/>
      <c r="K1309" s="56"/>
      <c r="S1309" s="59"/>
    </row>
    <row r="1310" spans="7:19" x14ac:dyDescent="0.2">
      <c r="G1310" s="56"/>
      <c r="H1310" s="56"/>
      <c r="I1310" s="56"/>
      <c r="J1310" s="56"/>
      <c r="K1310" s="56"/>
      <c r="S1310" s="59"/>
    </row>
    <row r="1311" spans="7:19" x14ac:dyDescent="0.2">
      <c r="G1311" s="56"/>
      <c r="H1311" s="56"/>
      <c r="I1311" s="56"/>
      <c r="J1311" s="56"/>
      <c r="K1311" s="56"/>
      <c r="S1311" s="59"/>
    </row>
    <row r="1312" spans="7:19" x14ac:dyDescent="0.2">
      <c r="G1312" s="56"/>
      <c r="H1312" s="56"/>
      <c r="I1312" s="56"/>
      <c r="J1312" s="56"/>
      <c r="K1312" s="56"/>
      <c r="S1312" s="59"/>
    </row>
    <row r="1313" spans="7:19" x14ac:dyDescent="0.2">
      <c r="G1313" s="56"/>
      <c r="H1313" s="56"/>
      <c r="I1313" s="56"/>
      <c r="J1313" s="56"/>
      <c r="K1313" s="56"/>
      <c r="S1313" s="59"/>
    </row>
    <row r="1314" spans="7:19" x14ac:dyDescent="0.2">
      <c r="G1314" s="56"/>
      <c r="H1314" s="56"/>
      <c r="I1314" s="56"/>
      <c r="J1314" s="56"/>
      <c r="K1314" s="56"/>
      <c r="S1314" s="59"/>
    </row>
    <row r="1315" spans="7:19" x14ac:dyDescent="0.2">
      <c r="G1315" s="56"/>
      <c r="H1315" s="56"/>
      <c r="I1315" s="56"/>
      <c r="J1315" s="56"/>
      <c r="K1315" s="56"/>
      <c r="S1315" s="59"/>
    </row>
    <row r="1316" spans="7:19" x14ac:dyDescent="0.2">
      <c r="G1316" s="56"/>
      <c r="H1316" s="56"/>
      <c r="I1316" s="56"/>
      <c r="J1316" s="56"/>
      <c r="K1316" s="56"/>
      <c r="S1316" s="59"/>
    </row>
    <row r="1317" spans="7:19" x14ac:dyDescent="0.2">
      <c r="G1317" s="56"/>
      <c r="H1317" s="56"/>
      <c r="I1317" s="56"/>
      <c r="J1317" s="56"/>
      <c r="K1317" s="56"/>
      <c r="S1317" s="59"/>
    </row>
    <row r="1318" spans="7:19" x14ac:dyDescent="0.2">
      <c r="G1318" s="56"/>
      <c r="H1318" s="56"/>
      <c r="I1318" s="56"/>
      <c r="J1318" s="56"/>
      <c r="K1318" s="56"/>
      <c r="S1318" s="59"/>
    </row>
    <row r="1319" spans="7:19" x14ac:dyDescent="0.2">
      <c r="G1319" s="56"/>
      <c r="H1319" s="56"/>
      <c r="I1319" s="56"/>
      <c r="J1319" s="56"/>
      <c r="K1319" s="56"/>
      <c r="S1319" s="59"/>
    </row>
    <row r="1320" spans="7:19" x14ac:dyDescent="0.2">
      <c r="G1320" s="56"/>
      <c r="H1320" s="56"/>
      <c r="I1320" s="56"/>
      <c r="J1320" s="56"/>
      <c r="K1320" s="56"/>
      <c r="S1320" s="59"/>
    </row>
    <row r="1321" spans="7:19" x14ac:dyDescent="0.2">
      <c r="G1321" s="56"/>
      <c r="H1321" s="56"/>
      <c r="I1321" s="56"/>
      <c r="J1321" s="56"/>
      <c r="K1321" s="56"/>
      <c r="S1321" s="59"/>
    </row>
    <row r="1322" spans="7:19" x14ac:dyDescent="0.2">
      <c r="G1322" s="56"/>
      <c r="H1322" s="56"/>
      <c r="I1322" s="56"/>
      <c r="J1322" s="56"/>
      <c r="K1322" s="56"/>
      <c r="S1322" s="59"/>
    </row>
    <row r="1323" spans="7:19" x14ac:dyDescent="0.2">
      <c r="G1323" s="56"/>
      <c r="H1323" s="56"/>
      <c r="I1323" s="56"/>
      <c r="J1323" s="56"/>
      <c r="K1323" s="56"/>
      <c r="S1323" s="59"/>
    </row>
    <row r="1324" spans="7:19" x14ac:dyDescent="0.2">
      <c r="G1324" s="56"/>
      <c r="H1324" s="56"/>
      <c r="I1324" s="56"/>
      <c r="J1324" s="56"/>
      <c r="K1324" s="56"/>
      <c r="S1324" s="59"/>
    </row>
    <row r="1325" spans="7:19" x14ac:dyDescent="0.2">
      <c r="G1325" s="56"/>
      <c r="H1325" s="56"/>
      <c r="I1325" s="56"/>
      <c r="J1325" s="56"/>
      <c r="K1325" s="56"/>
      <c r="S1325" s="59"/>
    </row>
    <row r="1326" spans="7:19" x14ac:dyDescent="0.2">
      <c r="G1326" s="56"/>
      <c r="H1326" s="56"/>
      <c r="I1326" s="56"/>
      <c r="J1326" s="56"/>
      <c r="K1326" s="56"/>
      <c r="S1326" s="59"/>
    </row>
    <row r="1327" spans="7:19" x14ac:dyDescent="0.2">
      <c r="G1327" s="56"/>
      <c r="H1327" s="56"/>
      <c r="I1327" s="56"/>
      <c r="J1327" s="56"/>
      <c r="K1327" s="56"/>
      <c r="S1327" s="59"/>
    </row>
    <row r="1328" spans="7:19" x14ac:dyDescent="0.2">
      <c r="G1328" s="56"/>
      <c r="H1328" s="56"/>
      <c r="I1328" s="56"/>
      <c r="J1328" s="56"/>
      <c r="K1328" s="56"/>
      <c r="S1328" s="59"/>
    </row>
    <row r="1329" spans="7:19" x14ac:dyDescent="0.2">
      <c r="G1329" s="56"/>
      <c r="H1329" s="56"/>
      <c r="I1329" s="56"/>
      <c r="J1329" s="56"/>
      <c r="K1329" s="56"/>
      <c r="S1329" s="59"/>
    </row>
    <row r="1330" spans="7:19" x14ac:dyDescent="0.2">
      <c r="G1330" s="56"/>
      <c r="H1330" s="56"/>
      <c r="I1330" s="56"/>
      <c r="J1330" s="56"/>
      <c r="K1330" s="56"/>
      <c r="S1330" s="59"/>
    </row>
    <row r="1331" spans="7:19" x14ac:dyDescent="0.2">
      <c r="G1331" s="56"/>
      <c r="H1331" s="56"/>
      <c r="I1331" s="56"/>
      <c r="J1331" s="56"/>
      <c r="K1331" s="56"/>
      <c r="S1331" s="59"/>
    </row>
    <row r="1332" spans="7:19" x14ac:dyDescent="0.2">
      <c r="G1332" s="56"/>
      <c r="H1332" s="56"/>
      <c r="I1332" s="56"/>
      <c r="J1332" s="56"/>
      <c r="K1332" s="56"/>
      <c r="S1332" s="59"/>
    </row>
    <row r="1333" spans="7:19" x14ac:dyDescent="0.2">
      <c r="G1333" s="56"/>
      <c r="H1333" s="56"/>
      <c r="I1333" s="56"/>
      <c r="J1333" s="56"/>
      <c r="K1333" s="56"/>
      <c r="S1333" s="59"/>
    </row>
    <row r="1334" spans="7:19" x14ac:dyDescent="0.2">
      <c r="G1334" s="56"/>
      <c r="H1334" s="56"/>
      <c r="I1334" s="56"/>
      <c r="J1334" s="56"/>
      <c r="K1334" s="56"/>
      <c r="S1334" s="59"/>
    </row>
    <row r="1335" spans="7:19" x14ac:dyDescent="0.2">
      <c r="G1335" s="56"/>
      <c r="H1335" s="56"/>
      <c r="I1335" s="56"/>
      <c r="J1335" s="56"/>
      <c r="K1335" s="56"/>
      <c r="S1335" s="59"/>
    </row>
    <row r="1336" spans="7:19" x14ac:dyDescent="0.2">
      <c r="G1336" s="56"/>
      <c r="H1336" s="56"/>
      <c r="I1336" s="56"/>
      <c r="J1336" s="56"/>
      <c r="K1336" s="56"/>
      <c r="S1336" s="59"/>
    </row>
    <row r="1337" spans="7:19" x14ac:dyDescent="0.2">
      <c r="G1337" s="56"/>
      <c r="H1337" s="56"/>
      <c r="I1337" s="56"/>
      <c r="J1337" s="56"/>
      <c r="K1337" s="56"/>
      <c r="S1337" s="59"/>
    </row>
    <row r="1338" spans="7:19" x14ac:dyDescent="0.2">
      <c r="G1338" s="56"/>
      <c r="H1338" s="56"/>
      <c r="I1338" s="56"/>
      <c r="J1338" s="56"/>
      <c r="K1338" s="56"/>
      <c r="S1338" s="59"/>
    </row>
    <row r="1339" spans="7:19" x14ac:dyDescent="0.2">
      <c r="G1339" s="56"/>
      <c r="H1339" s="56"/>
      <c r="I1339" s="56"/>
      <c r="J1339" s="56"/>
      <c r="K1339" s="56"/>
      <c r="S1339" s="59"/>
    </row>
    <row r="1340" spans="7:19" x14ac:dyDescent="0.2">
      <c r="G1340" s="56"/>
      <c r="H1340" s="56"/>
      <c r="I1340" s="56"/>
      <c r="J1340" s="56"/>
      <c r="K1340" s="56"/>
      <c r="S1340" s="59"/>
    </row>
    <row r="1341" spans="7:19" x14ac:dyDescent="0.2">
      <c r="G1341" s="56"/>
      <c r="H1341" s="56"/>
      <c r="I1341" s="56"/>
      <c r="J1341" s="56"/>
      <c r="K1341" s="56"/>
      <c r="S1341" s="59"/>
    </row>
    <row r="1342" spans="7:19" x14ac:dyDescent="0.2">
      <c r="G1342" s="56"/>
      <c r="H1342" s="56"/>
      <c r="I1342" s="56"/>
      <c r="J1342" s="56"/>
      <c r="K1342" s="56"/>
      <c r="S1342" s="59"/>
    </row>
    <row r="1343" spans="7:19" x14ac:dyDescent="0.2">
      <c r="G1343" s="56"/>
      <c r="H1343" s="56"/>
      <c r="I1343" s="56"/>
      <c r="J1343" s="56"/>
      <c r="K1343" s="56"/>
      <c r="S1343" s="59"/>
    </row>
    <row r="1344" spans="7:19" x14ac:dyDescent="0.2">
      <c r="G1344" s="56"/>
      <c r="H1344" s="56"/>
      <c r="I1344" s="56"/>
      <c r="J1344" s="56"/>
      <c r="K1344" s="56"/>
      <c r="S1344" s="59"/>
    </row>
    <row r="1345" spans="7:19" x14ac:dyDescent="0.2">
      <c r="G1345" s="56"/>
      <c r="H1345" s="56"/>
      <c r="I1345" s="56"/>
      <c r="J1345" s="56"/>
      <c r="K1345" s="56"/>
      <c r="S1345" s="59"/>
    </row>
    <row r="1346" spans="7:19" x14ac:dyDescent="0.2">
      <c r="G1346" s="56"/>
      <c r="H1346" s="56"/>
      <c r="I1346" s="56"/>
      <c r="J1346" s="56"/>
      <c r="K1346" s="56"/>
      <c r="S1346" s="59"/>
    </row>
    <row r="1347" spans="7:19" x14ac:dyDescent="0.2">
      <c r="G1347" s="56"/>
      <c r="H1347" s="56"/>
      <c r="I1347" s="56"/>
      <c r="J1347" s="56"/>
      <c r="K1347" s="56"/>
      <c r="S1347" s="59"/>
    </row>
    <row r="1348" spans="7:19" x14ac:dyDescent="0.2">
      <c r="G1348" s="56"/>
      <c r="H1348" s="56"/>
      <c r="I1348" s="56"/>
      <c r="J1348" s="56"/>
      <c r="K1348" s="56"/>
      <c r="S1348" s="59"/>
    </row>
    <row r="1349" spans="7:19" x14ac:dyDescent="0.2">
      <c r="G1349" s="56"/>
      <c r="H1349" s="56"/>
      <c r="I1349" s="56"/>
      <c r="J1349" s="56"/>
      <c r="K1349" s="56"/>
      <c r="S1349" s="59"/>
    </row>
    <row r="1350" spans="7:19" x14ac:dyDescent="0.2">
      <c r="G1350" s="56"/>
      <c r="H1350" s="56"/>
      <c r="I1350" s="56"/>
      <c r="J1350" s="56"/>
      <c r="K1350" s="56"/>
      <c r="S1350" s="59"/>
    </row>
    <row r="1351" spans="7:19" x14ac:dyDescent="0.2">
      <c r="G1351" s="56"/>
      <c r="H1351" s="56"/>
      <c r="I1351" s="56"/>
      <c r="J1351" s="56"/>
      <c r="K1351" s="56"/>
      <c r="S1351" s="59"/>
    </row>
    <row r="1352" spans="7:19" x14ac:dyDescent="0.2">
      <c r="G1352" s="56"/>
      <c r="H1352" s="56"/>
      <c r="I1352" s="56"/>
      <c r="J1352" s="56"/>
      <c r="K1352" s="56"/>
      <c r="S1352" s="59"/>
    </row>
    <row r="1353" spans="7:19" x14ac:dyDescent="0.2">
      <c r="G1353" s="56"/>
      <c r="H1353" s="56"/>
      <c r="I1353" s="56"/>
      <c r="J1353" s="56"/>
      <c r="K1353" s="56"/>
      <c r="S1353" s="59"/>
    </row>
    <row r="1354" spans="7:19" x14ac:dyDescent="0.2">
      <c r="G1354" s="56"/>
      <c r="H1354" s="56"/>
      <c r="I1354" s="56"/>
      <c r="J1354" s="56"/>
      <c r="K1354" s="56"/>
      <c r="S1354" s="59"/>
    </row>
    <row r="1355" spans="7:19" x14ac:dyDescent="0.2">
      <c r="G1355" s="56"/>
      <c r="H1355" s="56"/>
      <c r="I1355" s="56"/>
      <c r="J1355" s="56"/>
      <c r="K1355" s="56"/>
      <c r="S1355" s="59"/>
    </row>
    <row r="1356" spans="7:19" x14ac:dyDescent="0.2">
      <c r="G1356" s="56"/>
      <c r="H1356" s="56"/>
      <c r="I1356" s="56"/>
      <c r="J1356" s="56"/>
      <c r="K1356" s="56"/>
      <c r="S1356" s="59"/>
    </row>
    <row r="1357" spans="7:19" x14ac:dyDescent="0.2">
      <c r="G1357" s="56"/>
      <c r="H1357" s="56"/>
      <c r="I1357" s="56"/>
      <c r="J1357" s="56"/>
      <c r="K1357" s="56"/>
      <c r="S1357" s="59"/>
    </row>
    <row r="1358" spans="7:19" x14ac:dyDescent="0.2">
      <c r="G1358" s="56"/>
      <c r="H1358" s="56"/>
      <c r="I1358" s="56"/>
      <c r="J1358" s="56"/>
      <c r="K1358" s="56"/>
      <c r="S1358" s="59"/>
    </row>
    <row r="1359" spans="7:19" x14ac:dyDescent="0.2">
      <c r="G1359" s="56"/>
      <c r="H1359" s="56"/>
      <c r="I1359" s="56"/>
      <c r="J1359" s="56"/>
      <c r="K1359" s="56"/>
      <c r="S1359" s="59"/>
    </row>
    <row r="1360" spans="7:19" x14ac:dyDescent="0.2">
      <c r="G1360" s="56"/>
      <c r="H1360" s="56"/>
      <c r="I1360" s="56"/>
      <c r="J1360" s="56"/>
      <c r="K1360" s="56"/>
      <c r="S1360" s="59"/>
    </row>
    <row r="1361" spans="7:19" x14ac:dyDescent="0.2">
      <c r="G1361" s="56"/>
      <c r="H1361" s="56"/>
      <c r="I1361" s="56"/>
      <c r="J1361" s="56"/>
      <c r="K1361" s="56"/>
      <c r="S1361" s="59"/>
    </row>
    <row r="1362" spans="7:19" x14ac:dyDescent="0.2">
      <c r="G1362" s="56"/>
      <c r="H1362" s="56"/>
      <c r="I1362" s="56"/>
      <c r="J1362" s="56"/>
      <c r="K1362" s="56"/>
      <c r="S1362" s="59"/>
    </row>
    <row r="1363" spans="7:19" x14ac:dyDescent="0.2">
      <c r="G1363" s="56"/>
      <c r="H1363" s="56"/>
      <c r="I1363" s="56"/>
      <c r="J1363" s="56"/>
      <c r="K1363" s="56"/>
      <c r="S1363" s="59"/>
    </row>
    <row r="1364" spans="7:19" x14ac:dyDescent="0.2">
      <c r="G1364" s="56"/>
      <c r="H1364" s="56"/>
      <c r="I1364" s="56"/>
      <c r="J1364" s="56"/>
      <c r="K1364" s="56"/>
      <c r="S1364" s="59"/>
    </row>
    <row r="1365" spans="7:19" x14ac:dyDescent="0.2">
      <c r="G1365" s="56"/>
      <c r="H1365" s="56"/>
      <c r="I1365" s="56"/>
      <c r="J1365" s="56"/>
      <c r="K1365" s="56"/>
      <c r="S1365" s="59"/>
    </row>
    <row r="1366" spans="7:19" x14ac:dyDescent="0.2">
      <c r="G1366" s="56"/>
      <c r="H1366" s="56"/>
      <c r="I1366" s="56"/>
      <c r="J1366" s="56"/>
      <c r="K1366" s="56"/>
      <c r="S1366" s="59"/>
    </row>
    <row r="1367" spans="7:19" x14ac:dyDescent="0.2">
      <c r="G1367" s="56"/>
      <c r="H1367" s="56"/>
      <c r="I1367" s="56"/>
      <c r="J1367" s="56"/>
      <c r="K1367" s="56"/>
      <c r="S1367" s="59"/>
    </row>
    <row r="1368" spans="7:19" x14ac:dyDescent="0.2">
      <c r="G1368" s="56"/>
      <c r="H1368" s="56"/>
      <c r="I1368" s="56"/>
      <c r="J1368" s="56"/>
      <c r="K1368" s="56"/>
      <c r="S1368" s="59"/>
    </row>
    <row r="1369" spans="7:19" x14ac:dyDescent="0.2">
      <c r="G1369" s="56"/>
      <c r="H1369" s="56"/>
      <c r="I1369" s="56"/>
      <c r="J1369" s="56"/>
      <c r="K1369" s="56"/>
      <c r="S1369" s="59"/>
    </row>
    <row r="1370" spans="7:19" x14ac:dyDescent="0.2">
      <c r="G1370" s="56"/>
      <c r="H1370" s="56"/>
      <c r="I1370" s="56"/>
      <c r="J1370" s="56"/>
      <c r="K1370" s="56"/>
      <c r="S1370" s="59"/>
    </row>
    <row r="1371" spans="7:19" x14ac:dyDescent="0.2">
      <c r="G1371" s="56"/>
      <c r="H1371" s="56"/>
      <c r="I1371" s="56"/>
      <c r="J1371" s="56"/>
      <c r="K1371" s="56"/>
      <c r="S1371" s="59"/>
    </row>
    <row r="1372" spans="7:19" x14ac:dyDescent="0.2">
      <c r="G1372" s="56"/>
      <c r="H1372" s="56"/>
      <c r="I1372" s="56"/>
      <c r="J1372" s="56"/>
      <c r="K1372" s="56"/>
      <c r="S1372" s="59"/>
    </row>
    <row r="1373" spans="7:19" x14ac:dyDescent="0.2">
      <c r="G1373" s="56"/>
      <c r="H1373" s="56"/>
      <c r="I1373" s="56"/>
      <c r="J1373" s="56"/>
      <c r="K1373" s="56"/>
      <c r="S1373" s="59"/>
    </row>
    <row r="1374" spans="7:19" x14ac:dyDescent="0.2">
      <c r="G1374" s="56"/>
      <c r="H1374" s="56"/>
      <c r="I1374" s="56"/>
      <c r="J1374" s="56"/>
      <c r="K1374" s="56"/>
      <c r="S1374" s="59"/>
    </row>
    <row r="1375" spans="7:19" x14ac:dyDescent="0.2">
      <c r="G1375" s="56"/>
      <c r="H1375" s="56"/>
      <c r="I1375" s="56"/>
      <c r="J1375" s="56"/>
      <c r="K1375" s="56"/>
      <c r="S1375" s="59"/>
    </row>
    <row r="1376" spans="7:19" x14ac:dyDescent="0.2">
      <c r="G1376" s="56"/>
      <c r="H1376" s="56"/>
      <c r="I1376" s="56"/>
      <c r="J1376" s="56"/>
      <c r="K1376" s="56"/>
      <c r="S1376" s="59"/>
    </row>
    <row r="1377" spans="7:19" x14ac:dyDescent="0.2">
      <c r="G1377" s="56"/>
      <c r="H1377" s="56"/>
      <c r="I1377" s="56"/>
      <c r="J1377" s="56"/>
      <c r="K1377" s="56"/>
      <c r="S1377" s="59"/>
    </row>
    <row r="1378" spans="7:19" x14ac:dyDescent="0.2">
      <c r="G1378" s="56"/>
      <c r="H1378" s="56"/>
      <c r="I1378" s="56"/>
      <c r="J1378" s="56"/>
      <c r="K1378" s="56"/>
      <c r="S1378" s="59"/>
    </row>
    <row r="1379" spans="7:19" x14ac:dyDescent="0.2">
      <c r="G1379" s="56"/>
      <c r="H1379" s="56"/>
      <c r="I1379" s="56"/>
      <c r="J1379" s="56"/>
      <c r="K1379" s="56"/>
      <c r="S1379" s="59"/>
    </row>
    <row r="1380" spans="7:19" x14ac:dyDescent="0.2">
      <c r="G1380" s="56"/>
      <c r="H1380" s="56"/>
      <c r="I1380" s="56"/>
      <c r="J1380" s="56"/>
      <c r="K1380" s="56"/>
      <c r="S1380" s="59"/>
    </row>
    <row r="1381" spans="7:19" x14ac:dyDescent="0.2">
      <c r="G1381" s="56"/>
      <c r="H1381" s="56"/>
      <c r="I1381" s="56"/>
      <c r="J1381" s="56"/>
      <c r="K1381" s="56"/>
      <c r="S1381" s="59"/>
    </row>
    <row r="1382" spans="7:19" x14ac:dyDescent="0.2">
      <c r="G1382" s="56"/>
      <c r="H1382" s="56"/>
      <c r="I1382" s="56"/>
      <c r="J1382" s="56"/>
      <c r="K1382" s="56"/>
      <c r="S1382" s="59"/>
    </row>
    <row r="1383" spans="7:19" x14ac:dyDescent="0.2">
      <c r="G1383" s="56"/>
      <c r="H1383" s="56"/>
      <c r="I1383" s="56"/>
      <c r="J1383" s="56"/>
      <c r="K1383" s="56"/>
      <c r="S1383" s="59"/>
    </row>
    <row r="1384" spans="7:19" x14ac:dyDescent="0.2">
      <c r="G1384" s="56"/>
      <c r="H1384" s="56"/>
      <c r="I1384" s="56"/>
      <c r="J1384" s="56"/>
      <c r="K1384" s="56"/>
      <c r="S1384" s="59"/>
    </row>
    <row r="1385" spans="7:19" x14ac:dyDescent="0.2">
      <c r="G1385" s="56"/>
      <c r="H1385" s="56"/>
      <c r="I1385" s="56"/>
      <c r="J1385" s="56"/>
      <c r="K1385" s="56"/>
      <c r="S1385" s="59"/>
    </row>
    <row r="1386" spans="7:19" x14ac:dyDescent="0.2">
      <c r="G1386" s="56"/>
      <c r="H1386" s="56"/>
      <c r="I1386" s="56"/>
      <c r="J1386" s="56"/>
      <c r="K1386" s="56"/>
      <c r="S1386" s="59"/>
    </row>
    <row r="1387" spans="7:19" x14ac:dyDescent="0.2">
      <c r="G1387" s="56"/>
      <c r="H1387" s="56"/>
      <c r="I1387" s="56"/>
      <c r="J1387" s="56"/>
      <c r="K1387" s="56"/>
      <c r="S1387" s="59"/>
    </row>
    <row r="1388" spans="7:19" x14ac:dyDescent="0.2">
      <c r="G1388" s="56"/>
      <c r="H1388" s="56"/>
      <c r="I1388" s="56"/>
      <c r="J1388" s="56"/>
      <c r="K1388" s="56"/>
      <c r="S1388" s="59"/>
    </row>
    <row r="1389" spans="7:19" x14ac:dyDescent="0.2">
      <c r="G1389" s="56"/>
      <c r="H1389" s="56"/>
      <c r="I1389" s="56"/>
      <c r="J1389" s="56"/>
      <c r="K1389" s="56"/>
      <c r="S1389" s="59"/>
    </row>
    <row r="1390" spans="7:19" x14ac:dyDescent="0.2">
      <c r="G1390" s="56"/>
      <c r="H1390" s="56"/>
      <c r="I1390" s="56"/>
      <c r="J1390" s="56"/>
      <c r="K1390" s="56"/>
      <c r="S1390" s="59"/>
    </row>
    <row r="1391" spans="7:19" x14ac:dyDescent="0.2">
      <c r="G1391" s="56"/>
      <c r="H1391" s="56"/>
      <c r="I1391" s="56"/>
      <c r="J1391" s="56"/>
      <c r="K1391" s="56"/>
      <c r="S1391" s="59"/>
    </row>
    <row r="1392" spans="7:19" x14ac:dyDescent="0.2">
      <c r="G1392" s="56"/>
      <c r="H1392" s="56"/>
      <c r="I1392" s="56"/>
      <c r="J1392" s="56"/>
      <c r="K1392" s="56"/>
      <c r="S1392" s="59"/>
    </row>
    <row r="1393" spans="7:19" x14ac:dyDescent="0.2">
      <c r="G1393" s="56"/>
      <c r="H1393" s="56"/>
      <c r="I1393" s="56"/>
      <c r="J1393" s="56"/>
      <c r="K1393" s="56"/>
      <c r="S1393" s="59"/>
    </row>
    <row r="1394" spans="7:19" x14ac:dyDescent="0.2">
      <c r="G1394" s="56"/>
      <c r="H1394" s="56"/>
      <c r="I1394" s="56"/>
      <c r="J1394" s="56"/>
      <c r="K1394" s="56"/>
      <c r="S1394" s="59"/>
    </row>
    <row r="1395" spans="7:19" x14ac:dyDescent="0.2">
      <c r="G1395" s="56"/>
      <c r="H1395" s="56"/>
      <c r="I1395" s="56"/>
      <c r="J1395" s="56"/>
      <c r="K1395" s="56"/>
      <c r="S1395" s="59"/>
    </row>
    <row r="1396" spans="7:19" x14ac:dyDescent="0.2">
      <c r="G1396" s="56"/>
      <c r="H1396" s="56"/>
      <c r="I1396" s="56"/>
      <c r="J1396" s="56"/>
      <c r="K1396" s="56"/>
      <c r="S1396" s="59"/>
    </row>
    <row r="1397" spans="7:19" x14ac:dyDescent="0.2">
      <c r="G1397" s="56"/>
      <c r="H1397" s="56"/>
      <c r="I1397" s="56"/>
      <c r="J1397" s="56"/>
      <c r="K1397" s="56"/>
      <c r="S1397" s="59"/>
    </row>
    <row r="1398" spans="7:19" x14ac:dyDescent="0.2">
      <c r="G1398" s="56"/>
      <c r="H1398" s="56"/>
      <c r="I1398" s="56"/>
      <c r="J1398" s="56"/>
      <c r="K1398" s="56"/>
      <c r="S1398" s="59"/>
    </row>
    <row r="1399" spans="7:19" x14ac:dyDescent="0.2">
      <c r="G1399" s="56"/>
      <c r="H1399" s="56"/>
      <c r="I1399" s="56"/>
      <c r="J1399" s="56"/>
      <c r="K1399" s="56"/>
      <c r="S1399" s="59"/>
    </row>
    <row r="1400" spans="7:19" x14ac:dyDescent="0.2">
      <c r="G1400" s="56"/>
      <c r="H1400" s="56"/>
      <c r="I1400" s="56"/>
      <c r="J1400" s="56"/>
      <c r="K1400" s="56"/>
      <c r="S1400" s="59"/>
    </row>
    <row r="1401" spans="7:19" x14ac:dyDescent="0.2">
      <c r="G1401" s="56"/>
      <c r="H1401" s="56"/>
      <c r="I1401" s="56"/>
      <c r="J1401" s="56"/>
      <c r="K1401" s="56"/>
      <c r="S1401" s="59"/>
    </row>
    <row r="1402" spans="7:19" x14ac:dyDescent="0.2">
      <c r="G1402" s="56"/>
      <c r="H1402" s="56"/>
      <c r="I1402" s="56"/>
      <c r="J1402" s="56"/>
      <c r="K1402" s="56"/>
      <c r="S1402" s="59"/>
    </row>
    <row r="1403" spans="7:19" x14ac:dyDescent="0.2">
      <c r="G1403" s="56"/>
      <c r="H1403" s="56"/>
      <c r="I1403" s="56"/>
      <c r="J1403" s="56"/>
      <c r="K1403" s="56"/>
      <c r="S1403" s="59"/>
    </row>
    <row r="1404" spans="7:19" x14ac:dyDescent="0.2">
      <c r="G1404" s="56"/>
      <c r="H1404" s="56"/>
      <c r="I1404" s="56"/>
      <c r="J1404" s="56"/>
      <c r="K1404" s="56"/>
      <c r="S1404" s="59"/>
    </row>
    <row r="1405" spans="7:19" x14ac:dyDescent="0.2">
      <c r="G1405" s="56"/>
      <c r="H1405" s="56"/>
      <c r="I1405" s="56"/>
      <c r="J1405" s="56"/>
      <c r="K1405" s="56"/>
      <c r="S1405" s="59"/>
    </row>
    <row r="1406" spans="7:19" x14ac:dyDescent="0.2">
      <c r="G1406" s="56"/>
      <c r="H1406" s="56"/>
      <c r="I1406" s="56"/>
      <c r="J1406" s="56"/>
      <c r="K1406" s="56"/>
      <c r="S1406" s="59"/>
    </row>
    <row r="1407" spans="7:19" x14ac:dyDescent="0.2">
      <c r="G1407" s="56"/>
      <c r="H1407" s="56"/>
      <c r="I1407" s="56"/>
      <c r="J1407" s="56"/>
      <c r="K1407" s="56"/>
      <c r="S1407" s="59"/>
    </row>
    <row r="1408" spans="7:19" x14ac:dyDescent="0.2">
      <c r="G1408" s="56"/>
      <c r="H1408" s="56"/>
      <c r="I1408" s="56"/>
      <c r="J1408" s="56"/>
      <c r="K1408" s="56"/>
      <c r="S1408" s="59"/>
    </row>
    <row r="1409" spans="7:19" x14ac:dyDescent="0.2">
      <c r="G1409" s="56"/>
      <c r="H1409" s="56"/>
      <c r="I1409" s="56"/>
      <c r="J1409" s="56"/>
      <c r="K1409" s="56"/>
      <c r="S1409" s="59"/>
    </row>
    <row r="1410" spans="7:19" ht="13.5" thickBot="1" x14ac:dyDescent="0.25">
      <c r="G1410" s="56"/>
      <c r="H1410" s="56"/>
      <c r="I1410" s="56"/>
      <c r="J1410" s="56"/>
      <c r="K1410" s="56"/>
      <c r="N1410" s="58"/>
      <c r="O1410" s="58"/>
      <c r="P1410" s="58"/>
      <c r="Q1410" s="58"/>
      <c r="R1410" s="58"/>
      <c r="S1410" s="57"/>
    </row>
    <row r="1411" spans="7:19" x14ac:dyDescent="0.2">
      <c r="G1411" s="56"/>
      <c r="H1411" s="56"/>
      <c r="I1411" s="56"/>
      <c r="J1411" s="56"/>
      <c r="K1411" s="56"/>
    </row>
    <row r="1412" spans="7:19" x14ac:dyDescent="0.2">
      <c r="G1412" s="56"/>
      <c r="H1412" s="56"/>
      <c r="I1412" s="56"/>
      <c r="J1412" s="56"/>
      <c r="K1412" s="56"/>
    </row>
    <row r="1413" spans="7:19" x14ac:dyDescent="0.2">
      <c r="G1413" s="56"/>
      <c r="H1413" s="56"/>
      <c r="I1413" s="56"/>
      <c r="J1413" s="56"/>
      <c r="K1413" s="56"/>
    </row>
    <row r="1414" spans="7:19" x14ac:dyDescent="0.2">
      <c r="G1414" s="56"/>
      <c r="H1414" s="56"/>
      <c r="I1414" s="56"/>
      <c r="J1414" s="56"/>
      <c r="K1414" s="56"/>
    </row>
    <row r="1415" spans="7:19" x14ac:dyDescent="0.2">
      <c r="G1415" s="56"/>
      <c r="H1415" s="56"/>
      <c r="I1415" s="56"/>
      <c r="J1415" s="56"/>
      <c r="K1415" s="56"/>
    </row>
    <row r="1416" spans="7:19" x14ac:dyDescent="0.2">
      <c r="G1416" s="56"/>
      <c r="H1416" s="56"/>
      <c r="I1416" s="56"/>
      <c r="J1416" s="56"/>
      <c r="K1416" s="56"/>
    </row>
    <row r="1417" spans="7:19" x14ac:dyDescent="0.2">
      <c r="G1417" s="56"/>
      <c r="H1417" s="56"/>
      <c r="I1417" s="56"/>
      <c r="J1417" s="56"/>
      <c r="K1417" s="56"/>
    </row>
    <row r="1418" spans="7:19" x14ac:dyDescent="0.2">
      <c r="G1418" s="56"/>
      <c r="H1418" s="56"/>
      <c r="I1418" s="56"/>
      <c r="J1418" s="56"/>
      <c r="K1418" s="56"/>
    </row>
    <row r="1419" spans="7:19" x14ac:dyDescent="0.2">
      <c r="G1419" s="56"/>
      <c r="H1419" s="56"/>
      <c r="I1419" s="56"/>
      <c r="J1419" s="56"/>
      <c r="K1419" s="56"/>
    </row>
    <row r="1420" spans="7:19" x14ac:dyDescent="0.2">
      <c r="G1420" s="56"/>
      <c r="H1420" s="56"/>
      <c r="I1420" s="56"/>
      <c r="J1420" s="56"/>
      <c r="K1420" s="56"/>
    </row>
    <row r="1421" spans="7:19" x14ac:dyDescent="0.2">
      <c r="G1421" s="56"/>
      <c r="H1421" s="56"/>
      <c r="I1421" s="56"/>
      <c r="J1421" s="56"/>
      <c r="K1421" s="56"/>
    </row>
    <row r="1422" spans="7:19" x14ac:dyDescent="0.2">
      <c r="G1422" s="56"/>
      <c r="H1422" s="56"/>
      <c r="I1422" s="56"/>
      <c r="J1422" s="56"/>
      <c r="K1422" s="56"/>
    </row>
    <row r="1423" spans="7:19" x14ac:dyDescent="0.2">
      <c r="G1423" s="56"/>
      <c r="H1423" s="56"/>
      <c r="I1423" s="56"/>
      <c r="J1423" s="56"/>
      <c r="K1423" s="56"/>
    </row>
    <row r="1424" spans="7:19" x14ac:dyDescent="0.2">
      <c r="G1424" s="56"/>
      <c r="H1424" s="56"/>
      <c r="I1424" s="56"/>
      <c r="J1424" s="56"/>
      <c r="K1424" s="56"/>
    </row>
    <row r="1425" spans="7:11" x14ac:dyDescent="0.2">
      <c r="G1425" s="56"/>
      <c r="H1425" s="56"/>
      <c r="I1425" s="56"/>
      <c r="J1425" s="56"/>
      <c r="K1425" s="56"/>
    </row>
    <row r="1426" spans="7:11" x14ac:dyDescent="0.2">
      <c r="G1426" s="56"/>
      <c r="H1426" s="56"/>
      <c r="I1426" s="56"/>
      <c r="J1426" s="56"/>
      <c r="K1426" s="56"/>
    </row>
    <row r="1427" spans="7:11" x14ac:dyDescent="0.2">
      <c r="G1427" s="56"/>
      <c r="H1427" s="56"/>
      <c r="I1427" s="56"/>
      <c r="J1427" s="56"/>
      <c r="K1427" s="56"/>
    </row>
    <row r="1428" spans="7:11" x14ac:dyDescent="0.2">
      <c r="G1428" s="56"/>
      <c r="H1428" s="56"/>
      <c r="I1428" s="56"/>
      <c r="J1428" s="56"/>
      <c r="K1428" s="56"/>
    </row>
    <row r="1429" spans="7:11" x14ac:dyDescent="0.2">
      <c r="G1429" s="56"/>
      <c r="H1429" s="56"/>
      <c r="I1429" s="56"/>
      <c r="J1429" s="56"/>
      <c r="K1429" s="56"/>
    </row>
    <row r="1430" spans="7:11" x14ac:dyDescent="0.2">
      <c r="G1430" s="56"/>
      <c r="H1430" s="56"/>
      <c r="I1430" s="56"/>
      <c r="J1430" s="56"/>
      <c r="K1430" s="56"/>
    </row>
    <row r="1431" spans="7:11" x14ac:dyDescent="0.2">
      <c r="G1431" s="56"/>
      <c r="H1431" s="56"/>
      <c r="I1431" s="56"/>
      <c r="J1431" s="56"/>
      <c r="K1431" s="56"/>
    </row>
    <row r="1432" spans="7:11" x14ac:dyDescent="0.2">
      <c r="G1432" s="56"/>
      <c r="H1432" s="56"/>
      <c r="I1432" s="56"/>
      <c r="J1432" s="56"/>
      <c r="K1432" s="56"/>
    </row>
    <row r="1433" spans="7:11" x14ac:dyDescent="0.2">
      <c r="G1433" s="56"/>
      <c r="H1433" s="56"/>
      <c r="I1433" s="56"/>
      <c r="J1433" s="56"/>
      <c r="K1433" s="56"/>
    </row>
    <row r="1434" spans="7:11" x14ac:dyDescent="0.2">
      <c r="G1434" s="56"/>
      <c r="H1434" s="56"/>
      <c r="I1434" s="56"/>
      <c r="J1434" s="56"/>
      <c r="K1434" s="56"/>
    </row>
    <row r="1435" spans="7:11" x14ac:dyDescent="0.2">
      <c r="G1435" s="56"/>
      <c r="H1435" s="56"/>
      <c r="I1435" s="56"/>
      <c r="J1435" s="56"/>
      <c r="K1435" s="56"/>
    </row>
    <row r="1436" spans="7:11" x14ac:dyDescent="0.2">
      <c r="G1436" s="56"/>
      <c r="H1436" s="56"/>
      <c r="I1436" s="56"/>
      <c r="J1436" s="56"/>
      <c r="K1436" s="56"/>
    </row>
    <row r="1437" spans="7:11" x14ac:dyDescent="0.2">
      <c r="G1437" s="56"/>
      <c r="H1437" s="56"/>
      <c r="I1437" s="56"/>
      <c r="J1437" s="56"/>
      <c r="K1437" s="56"/>
    </row>
    <row r="1438" spans="7:11" x14ac:dyDescent="0.2">
      <c r="G1438" s="56"/>
      <c r="H1438" s="56"/>
      <c r="I1438" s="56"/>
      <c r="J1438" s="56"/>
      <c r="K1438" s="56"/>
    </row>
    <row r="1439" spans="7:11" x14ac:dyDescent="0.2">
      <c r="G1439" s="56"/>
      <c r="H1439" s="56"/>
      <c r="I1439" s="56"/>
      <c r="J1439" s="56"/>
      <c r="K1439" s="56"/>
    </row>
    <row r="1440" spans="7:11" x14ac:dyDescent="0.2">
      <c r="G1440" s="56"/>
      <c r="H1440" s="56"/>
      <c r="I1440" s="56"/>
      <c r="J1440" s="56"/>
      <c r="K1440" s="56"/>
    </row>
    <row r="1441" spans="7:11" x14ac:dyDescent="0.2">
      <c r="G1441" s="56"/>
      <c r="H1441" s="56"/>
      <c r="I1441" s="56"/>
      <c r="J1441" s="56"/>
      <c r="K1441" s="56"/>
    </row>
    <row r="1442" spans="7:11" x14ac:dyDescent="0.2">
      <c r="G1442" s="56"/>
      <c r="H1442" s="56"/>
      <c r="I1442" s="56"/>
      <c r="J1442" s="56"/>
      <c r="K1442" s="56"/>
    </row>
    <row r="1443" spans="7:11" x14ac:dyDescent="0.2">
      <c r="G1443" s="56"/>
      <c r="H1443" s="56"/>
      <c r="I1443" s="56"/>
      <c r="J1443" s="56"/>
      <c r="K1443" s="56"/>
    </row>
    <row r="1444" spans="7:11" x14ac:dyDescent="0.2">
      <c r="G1444" s="56"/>
      <c r="H1444" s="56"/>
      <c r="I1444" s="56"/>
      <c r="J1444" s="56"/>
      <c r="K1444" s="56"/>
    </row>
    <row r="1445" spans="7:11" x14ac:dyDescent="0.2">
      <c r="G1445" s="56"/>
      <c r="H1445" s="56"/>
      <c r="I1445" s="56"/>
      <c r="J1445" s="56"/>
      <c r="K1445" s="56"/>
    </row>
    <row r="1446" spans="7:11" x14ac:dyDescent="0.2">
      <c r="G1446" s="56"/>
      <c r="H1446" s="56"/>
      <c r="I1446" s="56"/>
      <c r="J1446" s="56"/>
      <c r="K1446" s="56"/>
    </row>
    <row r="1447" spans="7:11" x14ac:dyDescent="0.2">
      <c r="G1447" s="56"/>
      <c r="H1447" s="56"/>
      <c r="I1447" s="56"/>
      <c r="J1447" s="56"/>
      <c r="K1447" s="56"/>
    </row>
    <row r="1448" spans="7:11" x14ac:dyDescent="0.2">
      <c r="G1448" s="56"/>
      <c r="H1448" s="56"/>
      <c r="I1448" s="56"/>
      <c r="J1448" s="56"/>
      <c r="K1448" s="56"/>
    </row>
    <row r="1449" spans="7:11" x14ac:dyDescent="0.2">
      <c r="G1449" s="56"/>
      <c r="H1449" s="56"/>
      <c r="I1449" s="56"/>
      <c r="J1449" s="56"/>
      <c r="K1449" s="56"/>
    </row>
    <row r="1450" spans="7:11" x14ac:dyDescent="0.2">
      <c r="G1450" s="56"/>
      <c r="H1450" s="56"/>
      <c r="I1450" s="56"/>
      <c r="J1450" s="56"/>
      <c r="K1450" s="56"/>
    </row>
    <row r="1451" spans="7:11" x14ac:dyDescent="0.2">
      <c r="G1451" s="56"/>
      <c r="H1451" s="56"/>
      <c r="I1451" s="56"/>
      <c r="J1451" s="56"/>
      <c r="K1451" s="56"/>
    </row>
    <row r="1452" spans="7:11" x14ac:dyDescent="0.2">
      <c r="G1452" s="56"/>
      <c r="H1452" s="56"/>
      <c r="I1452" s="56"/>
      <c r="J1452" s="56"/>
      <c r="K1452" s="56"/>
    </row>
    <row r="1453" spans="7:11" x14ac:dyDescent="0.2">
      <c r="G1453" s="56"/>
      <c r="H1453" s="56"/>
      <c r="I1453" s="56"/>
      <c r="J1453" s="56"/>
      <c r="K1453" s="56"/>
    </row>
    <row r="1454" spans="7:11" x14ac:dyDescent="0.2">
      <c r="G1454" s="56"/>
      <c r="H1454" s="56"/>
      <c r="I1454" s="56"/>
      <c r="J1454" s="56"/>
      <c r="K1454" s="56"/>
    </row>
    <row r="1455" spans="7:11" x14ac:dyDescent="0.2">
      <c r="G1455" s="56"/>
      <c r="H1455" s="56"/>
      <c r="I1455" s="56"/>
      <c r="J1455" s="56"/>
      <c r="K1455" s="56"/>
    </row>
    <row r="1456" spans="7:11" x14ac:dyDescent="0.2">
      <c r="G1456" s="56"/>
      <c r="H1456" s="56"/>
      <c r="I1456" s="56"/>
      <c r="J1456" s="56"/>
      <c r="K1456" s="56"/>
    </row>
    <row r="1457" spans="7:11" x14ac:dyDescent="0.2">
      <c r="G1457" s="56"/>
      <c r="H1457" s="56"/>
      <c r="I1457" s="56"/>
      <c r="J1457" s="56"/>
      <c r="K1457" s="56"/>
    </row>
    <row r="1458" spans="7:11" x14ac:dyDescent="0.2">
      <c r="G1458" s="56"/>
      <c r="H1458" s="56"/>
      <c r="I1458" s="56"/>
      <c r="J1458" s="56"/>
      <c r="K1458" s="56"/>
    </row>
    <row r="1459" spans="7:11" x14ac:dyDescent="0.2">
      <c r="G1459" s="56"/>
      <c r="H1459" s="56"/>
      <c r="I1459" s="56"/>
      <c r="J1459" s="56"/>
      <c r="K1459" s="56"/>
    </row>
    <row r="1460" spans="7:11" x14ac:dyDescent="0.2">
      <c r="G1460" s="56"/>
      <c r="H1460" s="56"/>
      <c r="I1460" s="56"/>
      <c r="J1460" s="56"/>
      <c r="K1460" s="56"/>
    </row>
    <row r="1461" spans="7:11" x14ac:dyDescent="0.2">
      <c r="G1461" s="56"/>
      <c r="H1461" s="56"/>
      <c r="I1461" s="56"/>
      <c r="J1461" s="56"/>
      <c r="K1461" s="56"/>
    </row>
    <row r="1462" spans="7:11" x14ac:dyDescent="0.2">
      <c r="G1462" s="56"/>
      <c r="H1462" s="56"/>
      <c r="I1462" s="56"/>
      <c r="J1462" s="56"/>
      <c r="K1462" s="56"/>
    </row>
    <row r="1463" spans="7:11" x14ac:dyDescent="0.2">
      <c r="G1463" s="56"/>
      <c r="H1463" s="56"/>
      <c r="I1463" s="56"/>
      <c r="J1463" s="56"/>
      <c r="K1463" s="56"/>
    </row>
    <row r="1464" spans="7:11" x14ac:dyDescent="0.2">
      <c r="G1464" s="56"/>
      <c r="H1464" s="56"/>
      <c r="I1464" s="56"/>
      <c r="J1464" s="56"/>
      <c r="K1464" s="56"/>
    </row>
    <row r="1465" spans="7:11" x14ac:dyDescent="0.2">
      <c r="G1465" s="56"/>
      <c r="H1465" s="56"/>
      <c r="I1465" s="56"/>
      <c r="J1465" s="56"/>
      <c r="K1465" s="56"/>
    </row>
    <row r="1466" spans="7:11" x14ac:dyDescent="0.2">
      <c r="G1466" s="56"/>
      <c r="H1466" s="56"/>
      <c r="I1466" s="56"/>
      <c r="J1466" s="56"/>
      <c r="K1466" s="56"/>
    </row>
    <row r="1467" spans="7:11" x14ac:dyDescent="0.2">
      <c r="G1467" s="56"/>
      <c r="H1467" s="56"/>
      <c r="I1467" s="56"/>
      <c r="J1467" s="56"/>
      <c r="K1467" s="56"/>
    </row>
    <row r="1468" spans="7:11" x14ac:dyDescent="0.2">
      <c r="G1468" s="56"/>
      <c r="H1468" s="56"/>
      <c r="I1468" s="56"/>
      <c r="J1468" s="56"/>
      <c r="K1468" s="56"/>
    </row>
    <row r="1469" spans="7:11" x14ac:dyDescent="0.2">
      <c r="G1469" s="56"/>
      <c r="H1469" s="56"/>
      <c r="I1469" s="56"/>
      <c r="J1469" s="56"/>
      <c r="K1469" s="56"/>
    </row>
    <row r="1470" spans="7:11" x14ac:dyDescent="0.2">
      <c r="G1470" s="56"/>
      <c r="H1470" s="56"/>
      <c r="I1470" s="56"/>
      <c r="J1470" s="56"/>
      <c r="K1470" s="56"/>
    </row>
    <row r="1471" spans="7:11" x14ac:dyDescent="0.2">
      <c r="G1471" s="56"/>
      <c r="H1471" s="56"/>
      <c r="I1471" s="56"/>
      <c r="J1471" s="56"/>
      <c r="K1471" s="56"/>
    </row>
    <row r="1472" spans="7:11" x14ac:dyDescent="0.2">
      <c r="G1472" s="56"/>
      <c r="H1472" s="56"/>
      <c r="I1472" s="56"/>
      <c r="J1472" s="56"/>
      <c r="K1472" s="56"/>
    </row>
    <row r="1473" spans="7:11" x14ac:dyDescent="0.2">
      <c r="G1473" s="56"/>
      <c r="H1473" s="56"/>
      <c r="I1473" s="56"/>
      <c r="J1473" s="56"/>
      <c r="K1473" s="56"/>
    </row>
    <row r="1474" spans="7:11" x14ac:dyDescent="0.2">
      <c r="G1474" s="56"/>
      <c r="H1474" s="56"/>
      <c r="I1474" s="56"/>
      <c r="J1474" s="56"/>
      <c r="K1474" s="56"/>
    </row>
    <row r="1475" spans="7:11" x14ac:dyDescent="0.2">
      <c r="G1475" s="56"/>
      <c r="H1475" s="56"/>
      <c r="I1475" s="56"/>
      <c r="J1475" s="56"/>
      <c r="K1475" s="56"/>
    </row>
    <row r="1476" spans="7:11" x14ac:dyDescent="0.2">
      <c r="G1476" s="56"/>
      <c r="H1476" s="56"/>
      <c r="I1476" s="56"/>
      <c r="J1476" s="56"/>
      <c r="K1476" s="56"/>
    </row>
    <row r="1477" spans="7:11" x14ac:dyDescent="0.2">
      <c r="G1477" s="56"/>
      <c r="H1477" s="56"/>
      <c r="I1477" s="56"/>
      <c r="J1477" s="56"/>
      <c r="K1477" s="56"/>
    </row>
    <row r="1478" spans="7:11" x14ac:dyDescent="0.2">
      <c r="G1478" s="56"/>
      <c r="H1478" s="56"/>
      <c r="I1478" s="56"/>
      <c r="J1478" s="56"/>
      <c r="K1478" s="56"/>
    </row>
    <row r="1479" spans="7:11" x14ac:dyDescent="0.2">
      <c r="G1479" s="56"/>
      <c r="H1479" s="56"/>
      <c r="I1479" s="56"/>
      <c r="J1479" s="56"/>
      <c r="K1479" s="56"/>
    </row>
    <row r="1480" spans="7:11" x14ac:dyDescent="0.2">
      <c r="G1480" s="56"/>
      <c r="H1480" s="56"/>
      <c r="I1480" s="56"/>
      <c r="J1480" s="56"/>
      <c r="K1480" s="56"/>
    </row>
    <row r="1481" spans="7:11" x14ac:dyDescent="0.2">
      <c r="G1481" s="56"/>
      <c r="H1481" s="56"/>
      <c r="I1481" s="56"/>
      <c r="J1481" s="56"/>
      <c r="K1481" s="56"/>
    </row>
    <row r="1482" spans="7:11" x14ac:dyDescent="0.2">
      <c r="G1482" s="56"/>
      <c r="H1482" s="56"/>
      <c r="I1482" s="56"/>
      <c r="J1482" s="56"/>
      <c r="K1482" s="56"/>
    </row>
    <row r="1483" spans="7:11" x14ac:dyDescent="0.2">
      <c r="G1483" s="56"/>
      <c r="H1483" s="56"/>
      <c r="I1483" s="56"/>
      <c r="J1483" s="56"/>
      <c r="K1483" s="56"/>
    </row>
    <row r="1484" spans="7:11" x14ac:dyDescent="0.2">
      <c r="G1484" s="56"/>
      <c r="H1484" s="56"/>
      <c r="I1484" s="56"/>
      <c r="J1484" s="56"/>
      <c r="K1484" s="56"/>
    </row>
    <row r="1485" spans="7:11" x14ac:dyDescent="0.2">
      <c r="G1485" s="56"/>
      <c r="H1485" s="56"/>
      <c r="I1485" s="56"/>
      <c r="J1485" s="56"/>
      <c r="K1485" s="56"/>
    </row>
    <row r="1486" spans="7:11" x14ac:dyDescent="0.2">
      <c r="G1486" s="56"/>
      <c r="H1486" s="56"/>
      <c r="I1486" s="56"/>
      <c r="J1486" s="56"/>
      <c r="K1486" s="56"/>
    </row>
    <row r="1487" spans="7:11" x14ac:dyDescent="0.2">
      <c r="G1487" s="56"/>
      <c r="H1487" s="56"/>
      <c r="I1487" s="56"/>
      <c r="J1487" s="56"/>
      <c r="K1487" s="56"/>
    </row>
    <row r="1488" spans="7:11" x14ac:dyDescent="0.2">
      <c r="G1488" s="56"/>
      <c r="H1488" s="56"/>
      <c r="I1488" s="56"/>
      <c r="J1488" s="56"/>
      <c r="K1488" s="56"/>
    </row>
    <row r="1489" spans="7:11" x14ac:dyDescent="0.2">
      <c r="G1489" s="56"/>
      <c r="H1489" s="56"/>
      <c r="I1489" s="56"/>
      <c r="J1489" s="56"/>
      <c r="K1489" s="56"/>
    </row>
    <row r="1490" spans="7:11" x14ac:dyDescent="0.2">
      <c r="G1490" s="56"/>
      <c r="H1490" s="56"/>
      <c r="I1490" s="56"/>
      <c r="J1490" s="56"/>
      <c r="K1490" s="56"/>
    </row>
    <row r="1491" spans="7:11" x14ac:dyDescent="0.2">
      <c r="G1491" s="56"/>
      <c r="H1491" s="56"/>
      <c r="I1491" s="56"/>
      <c r="J1491" s="56"/>
      <c r="K1491" s="56"/>
    </row>
    <row r="1492" spans="7:11" x14ac:dyDescent="0.2">
      <c r="G1492" s="56"/>
      <c r="H1492" s="56"/>
      <c r="I1492" s="56"/>
      <c r="J1492" s="56"/>
      <c r="K1492" s="56"/>
    </row>
    <row r="1493" spans="7:11" x14ac:dyDescent="0.2">
      <c r="G1493" s="56"/>
      <c r="H1493" s="56"/>
      <c r="I1493" s="56"/>
      <c r="J1493" s="56"/>
      <c r="K1493" s="56"/>
    </row>
    <row r="1494" spans="7:11" x14ac:dyDescent="0.2">
      <c r="G1494" s="56"/>
      <c r="H1494" s="56"/>
      <c r="I1494" s="56"/>
      <c r="J1494" s="56"/>
      <c r="K1494" s="56"/>
    </row>
    <row r="1495" spans="7:11" x14ac:dyDescent="0.2">
      <c r="G1495" s="56"/>
      <c r="H1495" s="56"/>
      <c r="I1495" s="56"/>
      <c r="J1495" s="56"/>
      <c r="K1495" s="56"/>
    </row>
    <row r="1496" spans="7:11" x14ac:dyDescent="0.2">
      <c r="G1496" s="56"/>
      <c r="H1496" s="56"/>
      <c r="I1496" s="56"/>
      <c r="J1496" s="56"/>
      <c r="K1496" s="56"/>
    </row>
    <row r="1497" spans="7:11" x14ac:dyDescent="0.2">
      <c r="G1497" s="56"/>
      <c r="H1497" s="56"/>
      <c r="I1497" s="56"/>
      <c r="J1497" s="56"/>
      <c r="K1497" s="56"/>
    </row>
    <row r="1498" spans="7:11" x14ac:dyDescent="0.2">
      <c r="G1498" s="56"/>
      <c r="H1498" s="56"/>
      <c r="I1498" s="56"/>
      <c r="J1498" s="56"/>
      <c r="K1498" s="56"/>
    </row>
    <row r="1499" spans="7:11" x14ac:dyDescent="0.2">
      <c r="G1499" s="56"/>
      <c r="H1499" s="56"/>
      <c r="I1499" s="56"/>
      <c r="J1499" s="56"/>
      <c r="K1499" s="56"/>
    </row>
    <row r="1500" spans="7:11" x14ac:dyDescent="0.2">
      <c r="G1500" s="56"/>
      <c r="H1500" s="56"/>
      <c r="I1500" s="56"/>
      <c r="J1500" s="56"/>
      <c r="K1500" s="56"/>
    </row>
    <row r="1501" spans="7:11" x14ac:dyDescent="0.2">
      <c r="G1501" s="56"/>
      <c r="H1501" s="56"/>
      <c r="I1501" s="56"/>
      <c r="J1501" s="56"/>
      <c r="K1501" s="56"/>
    </row>
    <row r="1502" spans="7:11" x14ac:dyDescent="0.2">
      <c r="G1502" s="56"/>
      <c r="H1502" s="56"/>
      <c r="I1502" s="56"/>
      <c r="J1502" s="56"/>
      <c r="K1502" s="56"/>
    </row>
    <row r="1503" spans="7:11" x14ac:dyDescent="0.2">
      <c r="G1503" s="56"/>
      <c r="H1503" s="56"/>
      <c r="I1503" s="56"/>
      <c r="J1503" s="56"/>
      <c r="K1503" s="56"/>
    </row>
    <row r="1504" spans="7:11" x14ac:dyDescent="0.2">
      <c r="G1504" s="56"/>
      <c r="H1504" s="56"/>
      <c r="I1504" s="56"/>
      <c r="J1504" s="56"/>
      <c r="K1504" s="56"/>
    </row>
    <row r="1505" spans="7:11" x14ac:dyDescent="0.2">
      <c r="G1505" s="56"/>
      <c r="H1505" s="56"/>
      <c r="I1505" s="56"/>
      <c r="J1505" s="56"/>
      <c r="K1505" s="56"/>
    </row>
    <row r="1506" spans="7:11" x14ac:dyDescent="0.2">
      <c r="G1506" s="56"/>
      <c r="H1506" s="56"/>
      <c r="I1506" s="56"/>
      <c r="J1506" s="56"/>
      <c r="K1506" s="56"/>
    </row>
    <row r="1507" spans="7:11" x14ac:dyDescent="0.2">
      <c r="G1507" s="56"/>
      <c r="H1507" s="56"/>
      <c r="I1507" s="56"/>
      <c r="J1507" s="56"/>
      <c r="K1507" s="56"/>
    </row>
    <row r="1508" spans="7:11" x14ac:dyDescent="0.2">
      <c r="G1508" s="56"/>
      <c r="H1508" s="56"/>
      <c r="I1508" s="56"/>
      <c r="J1508" s="56"/>
      <c r="K1508" s="56"/>
    </row>
    <row r="1509" spans="7:11" x14ac:dyDescent="0.2">
      <c r="G1509" s="56"/>
      <c r="H1509" s="56"/>
      <c r="I1509" s="56"/>
      <c r="J1509" s="56"/>
      <c r="K1509" s="56"/>
    </row>
    <row r="1510" spans="7:11" x14ac:dyDescent="0.2">
      <c r="G1510" s="56"/>
      <c r="H1510" s="56"/>
      <c r="I1510" s="56"/>
      <c r="J1510" s="56"/>
      <c r="K1510" s="56"/>
    </row>
    <row r="1511" spans="7:11" x14ac:dyDescent="0.2">
      <c r="G1511" s="56"/>
      <c r="H1511" s="56"/>
      <c r="I1511" s="56"/>
      <c r="J1511" s="56"/>
      <c r="K1511" s="56"/>
    </row>
    <row r="1512" spans="7:11" x14ac:dyDescent="0.2">
      <c r="G1512" s="56"/>
      <c r="H1512" s="56"/>
      <c r="I1512" s="56"/>
      <c r="J1512" s="56"/>
      <c r="K1512" s="56"/>
    </row>
    <row r="1513" spans="7:11" x14ac:dyDescent="0.2">
      <c r="G1513" s="56"/>
      <c r="H1513" s="56"/>
      <c r="I1513" s="56"/>
      <c r="J1513" s="56"/>
      <c r="K1513" s="56"/>
    </row>
    <row r="1514" spans="7:11" x14ac:dyDescent="0.2">
      <c r="G1514" s="56"/>
      <c r="H1514" s="56"/>
      <c r="I1514" s="56"/>
      <c r="J1514" s="56"/>
      <c r="K1514" s="56"/>
    </row>
    <row r="1515" spans="7:11" x14ac:dyDescent="0.2">
      <c r="G1515" s="56"/>
      <c r="H1515" s="56"/>
      <c r="I1515" s="56"/>
      <c r="J1515" s="56"/>
      <c r="K1515" s="56"/>
    </row>
    <row r="1516" spans="7:11" x14ac:dyDescent="0.2">
      <c r="G1516" s="56"/>
      <c r="H1516" s="56"/>
      <c r="I1516" s="56"/>
      <c r="J1516" s="56"/>
      <c r="K1516" s="56"/>
    </row>
    <row r="1517" spans="7:11" x14ac:dyDescent="0.2">
      <c r="G1517" s="56"/>
      <c r="H1517" s="56"/>
      <c r="I1517" s="56"/>
      <c r="J1517" s="56"/>
      <c r="K1517" s="56"/>
    </row>
    <row r="1518" spans="7:11" x14ac:dyDescent="0.2">
      <c r="G1518" s="56"/>
      <c r="H1518" s="56"/>
      <c r="I1518" s="56"/>
      <c r="J1518" s="56"/>
      <c r="K1518" s="56"/>
    </row>
    <row r="1519" spans="7:11" x14ac:dyDescent="0.2">
      <c r="G1519" s="56"/>
      <c r="H1519" s="56"/>
      <c r="I1519" s="56"/>
      <c r="J1519" s="56"/>
      <c r="K1519" s="56"/>
    </row>
    <row r="1520" spans="7:11" x14ac:dyDescent="0.2">
      <c r="G1520" s="56"/>
      <c r="H1520" s="56"/>
      <c r="I1520" s="56"/>
      <c r="J1520" s="56"/>
      <c r="K1520" s="56"/>
    </row>
    <row r="1521" spans="7:11" x14ac:dyDescent="0.2">
      <c r="G1521" s="56"/>
      <c r="H1521" s="56"/>
      <c r="I1521" s="56"/>
      <c r="J1521" s="56"/>
      <c r="K1521" s="56"/>
    </row>
    <row r="1522" spans="7:11" x14ac:dyDescent="0.2">
      <c r="G1522" s="56"/>
      <c r="H1522" s="56"/>
      <c r="I1522" s="56"/>
      <c r="J1522" s="56"/>
      <c r="K1522" s="56"/>
    </row>
    <row r="1523" spans="7:11" x14ac:dyDescent="0.2">
      <c r="G1523" s="56"/>
      <c r="H1523" s="56"/>
      <c r="I1523" s="56"/>
      <c r="J1523" s="56"/>
      <c r="K1523" s="56"/>
    </row>
    <row r="1524" spans="7:11" x14ac:dyDescent="0.2">
      <c r="G1524" s="56"/>
      <c r="H1524" s="56"/>
      <c r="I1524" s="56"/>
      <c r="J1524" s="56"/>
      <c r="K1524" s="56"/>
    </row>
    <row r="1525" spans="7:11" x14ac:dyDescent="0.2">
      <c r="G1525" s="56"/>
      <c r="H1525" s="56"/>
      <c r="I1525" s="56"/>
      <c r="J1525" s="56"/>
      <c r="K1525" s="56"/>
    </row>
    <row r="1526" spans="7:11" x14ac:dyDescent="0.2">
      <c r="G1526" s="56"/>
      <c r="H1526" s="56"/>
      <c r="I1526" s="56"/>
      <c r="J1526" s="56"/>
      <c r="K1526" s="56"/>
    </row>
    <row r="1527" spans="7:11" x14ac:dyDescent="0.2">
      <c r="G1527" s="56"/>
      <c r="H1527" s="56"/>
      <c r="I1527" s="56"/>
      <c r="J1527" s="56"/>
      <c r="K1527" s="56"/>
    </row>
    <row r="1528" spans="7:11" x14ac:dyDescent="0.2">
      <c r="G1528" s="56"/>
      <c r="H1528" s="56"/>
      <c r="I1528" s="56"/>
      <c r="J1528" s="56"/>
      <c r="K1528" s="56"/>
    </row>
    <row r="1529" spans="7:11" x14ac:dyDescent="0.2">
      <c r="G1529" s="56"/>
      <c r="H1529" s="56"/>
      <c r="I1529" s="56"/>
      <c r="J1529" s="56"/>
      <c r="K1529" s="56"/>
    </row>
    <row r="1530" spans="7:11" x14ac:dyDescent="0.2">
      <c r="G1530" s="56"/>
      <c r="H1530" s="56"/>
      <c r="I1530" s="56"/>
      <c r="J1530" s="56"/>
      <c r="K1530" s="56"/>
    </row>
    <row r="1531" spans="7:11" x14ac:dyDescent="0.2">
      <c r="G1531" s="56"/>
      <c r="H1531" s="56"/>
      <c r="I1531" s="56"/>
      <c r="J1531" s="56"/>
      <c r="K1531" s="56"/>
    </row>
    <row r="1532" spans="7:11" x14ac:dyDescent="0.2">
      <c r="G1532" s="56"/>
      <c r="H1532" s="56"/>
      <c r="I1532" s="56"/>
      <c r="J1532" s="56"/>
      <c r="K1532" s="56"/>
    </row>
    <row r="1533" spans="7:11" x14ac:dyDescent="0.2">
      <c r="G1533" s="56"/>
      <c r="H1533" s="56"/>
      <c r="I1533" s="56"/>
      <c r="J1533" s="56"/>
      <c r="K1533" s="56"/>
    </row>
    <row r="1534" spans="7:11" x14ac:dyDescent="0.2">
      <c r="G1534" s="56"/>
      <c r="H1534" s="56"/>
      <c r="I1534" s="56"/>
      <c r="J1534" s="56"/>
      <c r="K1534" s="56"/>
    </row>
    <row r="1535" spans="7:11" x14ac:dyDescent="0.2">
      <c r="G1535" s="56"/>
      <c r="H1535" s="56"/>
      <c r="I1535" s="56"/>
      <c r="J1535" s="56"/>
      <c r="K1535" s="56"/>
    </row>
    <row r="1536" spans="7:11" x14ac:dyDescent="0.2">
      <c r="G1536" s="56"/>
      <c r="H1536" s="56"/>
      <c r="I1536" s="56"/>
      <c r="J1536" s="56"/>
      <c r="K1536" s="56"/>
    </row>
    <row r="1537" spans="7:11" x14ac:dyDescent="0.2">
      <c r="G1537" s="56"/>
      <c r="H1537" s="56"/>
      <c r="I1537" s="56"/>
      <c r="J1537" s="56"/>
      <c r="K1537" s="56"/>
    </row>
    <row r="1538" spans="7:11" x14ac:dyDescent="0.2">
      <c r="G1538" s="56"/>
      <c r="H1538" s="56"/>
      <c r="I1538" s="56"/>
      <c r="J1538" s="56"/>
      <c r="K1538" s="56"/>
    </row>
    <row r="1539" spans="7:11" x14ac:dyDescent="0.2">
      <c r="G1539" s="56"/>
      <c r="H1539" s="56"/>
      <c r="I1539" s="56"/>
      <c r="J1539" s="56"/>
      <c r="K1539" s="56"/>
    </row>
    <row r="1540" spans="7:11" x14ac:dyDescent="0.2">
      <c r="G1540" s="56"/>
      <c r="H1540" s="56"/>
      <c r="I1540" s="56"/>
      <c r="J1540" s="56"/>
      <c r="K1540" s="56"/>
    </row>
    <row r="1541" spans="7:11" x14ac:dyDescent="0.2">
      <c r="G1541" s="56"/>
      <c r="H1541" s="56"/>
      <c r="I1541" s="56"/>
      <c r="J1541" s="56"/>
      <c r="K1541" s="56"/>
    </row>
    <row r="1542" spans="7:11" x14ac:dyDescent="0.2">
      <c r="G1542" s="56"/>
      <c r="H1542" s="56"/>
      <c r="I1542" s="56"/>
      <c r="J1542" s="56"/>
      <c r="K1542" s="56"/>
    </row>
    <row r="1543" spans="7:11" x14ac:dyDescent="0.2">
      <c r="G1543" s="56"/>
      <c r="H1543" s="56"/>
      <c r="I1543" s="56"/>
      <c r="J1543" s="56"/>
      <c r="K1543" s="56"/>
    </row>
    <row r="1544" spans="7:11" x14ac:dyDescent="0.2">
      <c r="G1544" s="56"/>
      <c r="H1544" s="56"/>
      <c r="I1544" s="56"/>
      <c r="J1544" s="56"/>
      <c r="K1544" s="56"/>
    </row>
    <row r="1545" spans="7:11" x14ac:dyDescent="0.2">
      <c r="G1545" s="56"/>
      <c r="H1545" s="56"/>
      <c r="I1545" s="56"/>
      <c r="J1545" s="56"/>
      <c r="K1545" s="56"/>
    </row>
    <row r="1546" spans="7:11" x14ac:dyDescent="0.2">
      <c r="G1546" s="56"/>
      <c r="H1546" s="56"/>
      <c r="I1546" s="56"/>
      <c r="J1546" s="56"/>
      <c r="K1546" s="56"/>
    </row>
    <row r="1547" spans="7:11" x14ac:dyDescent="0.2">
      <c r="G1547" s="56"/>
      <c r="H1547" s="56"/>
      <c r="I1547" s="56"/>
      <c r="J1547" s="56"/>
      <c r="K1547" s="56"/>
    </row>
    <row r="1548" spans="7:11" x14ac:dyDescent="0.2">
      <c r="G1548" s="56"/>
      <c r="H1548" s="56"/>
      <c r="I1548" s="56"/>
      <c r="J1548" s="56"/>
      <c r="K1548" s="56"/>
    </row>
    <row r="1549" spans="7:11" x14ac:dyDescent="0.2">
      <c r="G1549" s="56"/>
      <c r="H1549" s="56"/>
      <c r="I1549" s="56"/>
      <c r="J1549" s="56"/>
      <c r="K1549" s="56"/>
    </row>
    <row r="1550" spans="7:11" x14ac:dyDescent="0.2">
      <c r="G1550" s="56"/>
      <c r="H1550" s="56"/>
      <c r="I1550" s="56"/>
      <c r="J1550" s="56"/>
      <c r="K1550" s="56"/>
    </row>
    <row r="1551" spans="7:11" x14ac:dyDescent="0.2">
      <c r="G1551" s="56"/>
      <c r="H1551" s="56"/>
      <c r="I1551" s="56"/>
      <c r="J1551" s="56"/>
      <c r="K1551" s="56"/>
    </row>
    <row r="1552" spans="7:11" x14ac:dyDescent="0.2">
      <c r="G1552" s="56"/>
      <c r="H1552" s="56"/>
      <c r="I1552" s="56"/>
      <c r="J1552" s="56"/>
      <c r="K1552" s="56"/>
    </row>
    <row r="1553" spans="7:11" x14ac:dyDescent="0.2">
      <c r="G1553" s="56"/>
      <c r="H1553" s="56"/>
      <c r="I1553" s="56"/>
      <c r="J1553" s="56"/>
      <c r="K1553" s="56"/>
    </row>
    <row r="1554" spans="7:11" x14ac:dyDescent="0.2">
      <c r="G1554" s="56"/>
      <c r="H1554" s="56"/>
      <c r="I1554" s="56"/>
      <c r="J1554" s="56"/>
      <c r="K1554" s="56"/>
    </row>
    <row r="1555" spans="7:11" x14ac:dyDescent="0.2">
      <c r="G1555" s="56"/>
      <c r="H1555" s="56"/>
      <c r="I1555" s="56"/>
      <c r="J1555" s="56"/>
      <c r="K1555" s="56"/>
    </row>
    <row r="1556" spans="7:11" x14ac:dyDescent="0.2">
      <c r="G1556" s="56"/>
      <c r="H1556" s="56"/>
      <c r="I1556" s="56"/>
      <c r="J1556" s="56"/>
      <c r="K1556" s="56"/>
    </row>
    <row r="1557" spans="7:11" x14ac:dyDescent="0.2">
      <c r="G1557" s="56"/>
      <c r="H1557" s="56"/>
      <c r="I1557" s="56"/>
      <c r="J1557" s="56"/>
      <c r="K1557" s="56"/>
    </row>
    <row r="1558" spans="7:11" x14ac:dyDescent="0.2">
      <c r="G1558" s="56"/>
      <c r="H1558" s="56"/>
      <c r="I1558" s="56"/>
      <c r="J1558" s="56"/>
      <c r="K1558" s="56"/>
    </row>
    <row r="1559" spans="7:11" x14ac:dyDescent="0.2">
      <c r="G1559" s="56"/>
      <c r="H1559" s="56"/>
      <c r="I1559" s="56"/>
      <c r="J1559" s="56"/>
      <c r="K1559" s="56"/>
    </row>
    <row r="1560" spans="7:11" x14ac:dyDescent="0.2">
      <c r="G1560" s="56"/>
      <c r="H1560" s="56"/>
      <c r="I1560" s="56"/>
      <c r="J1560" s="56"/>
      <c r="K1560" s="56"/>
    </row>
    <row r="1561" spans="7:11" x14ac:dyDescent="0.2">
      <c r="G1561" s="56"/>
      <c r="H1561" s="56"/>
      <c r="I1561" s="56"/>
      <c r="J1561" s="56"/>
      <c r="K1561" s="56"/>
    </row>
    <row r="1562" spans="7:11" x14ac:dyDescent="0.2">
      <c r="G1562" s="56"/>
      <c r="H1562" s="56"/>
      <c r="I1562" s="56"/>
      <c r="J1562" s="56"/>
      <c r="K1562" s="56"/>
    </row>
    <row r="1563" spans="7:11" x14ac:dyDescent="0.2">
      <c r="G1563" s="56"/>
      <c r="H1563" s="56"/>
      <c r="I1563" s="56"/>
      <c r="J1563" s="56"/>
      <c r="K1563" s="56"/>
    </row>
    <row r="1564" spans="7:11" x14ac:dyDescent="0.2">
      <c r="G1564" s="56"/>
      <c r="H1564" s="56"/>
      <c r="I1564" s="56"/>
      <c r="J1564" s="56"/>
      <c r="K1564" s="56"/>
    </row>
    <row r="1565" spans="7:11" x14ac:dyDescent="0.2">
      <c r="G1565" s="56"/>
      <c r="H1565" s="56"/>
      <c r="I1565" s="56"/>
      <c r="J1565" s="56"/>
      <c r="K1565" s="56"/>
    </row>
    <row r="1566" spans="7:11" x14ac:dyDescent="0.2">
      <c r="G1566" s="56"/>
      <c r="H1566" s="56"/>
      <c r="I1566" s="56"/>
      <c r="J1566" s="56"/>
      <c r="K1566" s="56"/>
    </row>
    <row r="1567" spans="7:11" x14ac:dyDescent="0.2">
      <c r="G1567" s="56"/>
      <c r="H1567" s="56"/>
      <c r="I1567" s="56"/>
      <c r="J1567" s="56"/>
      <c r="K1567" s="56"/>
    </row>
    <row r="1568" spans="7:11" x14ac:dyDescent="0.2">
      <c r="G1568" s="56"/>
      <c r="H1568" s="56"/>
      <c r="I1568" s="56"/>
      <c r="J1568" s="56"/>
      <c r="K1568" s="56"/>
    </row>
    <row r="1569" spans="7:11" x14ac:dyDescent="0.2">
      <c r="G1569" s="56"/>
      <c r="H1569" s="56"/>
      <c r="I1569" s="56"/>
      <c r="J1569" s="56"/>
      <c r="K1569" s="56"/>
    </row>
    <row r="1570" spans="7:11" x14ac:dyDescent="0.2">
      <c r="G1570" s="56"/>
      <c r="H1570" s="56"/>
      <c r="I1570" s="56"/>
      <c r="J1570" s="56"/>
      <c r="K1570" s="56"/>
    </row>
    <row r="1571" spans="7:11" x14ac:dyDescent="0.2">
      <c r="G1571" s="56"/>
      <c r="H1571" s="56"/>
      <c r="I1571" s="56"/>
      <c r="J1571" s="56"/>
      <c r="K1571" s="56"/>
    </row>
    <row r="1572" spans="7:11" x14ac:dyDescent="0.2">
      <c r="G1572" s="56"/>
      <c r="H1572" s="56"/>
      <c r="I1572" s="56"/>
      <c r="J1572" s="56"/>
      <c r="K1572" s="56"/>
    </row>
    <row r="1573" spans="7:11" x14ac:dyDescent="0.2">
      <c r="G1573" s="56"/>
      <c r="H1573" s="56"/>
      <c r="I1573" s="56"/>
      <c r="J1573" s="56"/>
      <c r="K1573" s="56"/>
    </row>
    <row r="1574" spans="7:11" x14ac:dyDescent="0.2">
      <c r="G1574" s="56"/>
      <c r="H1574" s="56"/>
      <c r="I1574" s="56"/>
      <c r="J1574" s="56"/>
      <c r="K1574" s="56"/>
    </row>
    <row r="1575" spans="7:11" x14ac:dyDescent="0.2">
      <c r="G1575" s="56"/>
      <c r="H1575" s="56"/>
      <c r="I1575" s="56"/>
      <c r="J1575" s="56"/>
      <c r="K1575" s="56"/>
    </row>
    <row r="1576" spans="7:11" x14ac:dyDescent="0.2">
      <c r="G1576" s="56"/>
      <c r="H1576" s="56"/>
      <c r="I1576" s="56"/>
      <c r="J1576" s="56"/>
      <c r="K1576" s="56"/>
    </row>
    <row r="1577" spans="7:11" x14ac:dyDescent="0.2">
      <c r="G1577" s="56"/>
      <c r="H1577" s="56"/>
      <c r="I1577" s="56"/>
      <c r="J1577" s="56"/>
      <c r="K1577" s="56"/>
    </row>
    <row r="1578" spans="7:11" x14ac:dyDescent="0.2">
      <c r="G1578" s="56"/>
      <c r="H1578" s="56"/>
      <c r="I1578" s="56"/>
      <c r="J1578" s="56"/>
      <c r="K1578" s="56"/>
    </row>
    <row r="1579" spans="7:11" x14ac:dyDescent="0.2">
      <c r="G1579" s="56"/>
      <c r="H1579" s="56"/>
      <c r="I1579" s="56"/>
      <c r="J1579" s="56"/>
      <c r="K1579" s="56"/>
    </row>
    <row r="1580" spans="7:11" x14ac:dyDescent="0.2">
      <c r="G1580" s="56"/>
      <c r="H1580" s="56"/>
      <c r="I1580" s="56"/>
      <c r="J1580" s="56"/>
      <c r="K1580" s="56"/>
    </row>
    <row r="1581" spans="7:11" x14ac:dyDescent="0.2">
      <c r="G1581" s="56"/>
      <c r="H1581" s="56"/>
      <c r="I1581" s="56"/>
      <c r="J1581" s="56"/>
      <c r="K1581" s="56"/>
    </row>
    <row r="1582" spans="7:11" x14ac:dyDescent="0.2">
      <c r="G1582" s="56"/>
      <c r="H1582" s="56"/>
      <c r="I1582" s="56"/>
      <c r="J1582" s="56"/>
      <c r="K1582" s="56"/>
    </row>
    <row r="1583" spans="7:11" x14ac:dyDescent="0.2">
      <c r="G1583" s="56"/>
      <c r="H1583" s="56"/>
      <c r="I1583" s="56"/>
      <c r="J1583" s="56"/>
      <c r="K1583" s="56"/>
    </row>
    <row r="1584" spans="7:11" x14ac:dyDescent="0.2">
      <c r="G1584" s="56"/>
      <c r="H1584" s="56"/>
      <c r="I1584" s="56"/>
      <c r="J1584" s="56"/>
      <c r="K1584" s="56"/>
    </row>
    <row r="1585" spans="7:11" x14ac:dyDescent="0.2">
      <c r="G1585" s="56"/>
      <c r="H1585" s="56"/>
      <c r="I1585" s="56"/>
      <c r="J1585" s="56"/>
      <c r="K1585" s="56"/>
    </row>
    <row r="1586" spans="7:11" x14ac:dyDescent="0.2">
      <c r="G1586" s="56"/>
      <c r="H1586" s="56"/>
      <c r="I1586" s="56"/>
      <c r="J1586" s="56"/>
      <c r="K1586" s="56"/>
    </row>
    <row r="1587" spans="7:11" x14ac:dyDescent="0.2">
      <c r="G1587" s="56"/>
      <c r="H1587" s="56"/>
      <c r="I1587" s="56"/>
      <c r="J1587" s="56"/>
      <c r="K1587" s="56"/>
    </row>
    <row r="1588" spans="7:11" x14ac:dyDescent="0.2">
      <c r="G1588" s="56"/>
      <c r="H1588" s="56"/>
      <c r="I1588" s="56"/>
      <c r="J1588" s="56"/>
      <c r="K1588" s="56"/>
    </row>
    <row r="1589" spans="7:11" x14ac:dyDescent="0.2">
      <c r="G1589" s="56"/>
      <c r="H1589" s="56"/>
      <c r="I1589" s="56"/>
      <c r="J1589" s="56"/>
      <c r="K1589" s="56"/>
    </row>
    <row r="1590" spans="7:11" x14ac:dyDescent="0.2">
      <c r="G1590" s="56"/>
      <c r="H1590" s="56"/>
      <c r="I1590" s="56"/>
      <c r="J1590" s="56"/>
      <c r="K1590" s="56"/>
    </row>
    <row r="1591" spans="7:11" x14ac:dyDescent="0.2">
      <c r="G1591" s="56"/>
      <c r="H1591" s="56"/>
      <c r="I1591" s="56"/>
      <c r="J1591" s="56"/>
      <c r="K1591" s="56"/>
    </row>
    <row r="1592" spans="7:11" x14ac:dyDescent="0.2">
      <c r="G1592" s="56"/>
      <c r="H1592" s="56"/>
      <c r="I1592" s="56"/>
      <c r="J1592" s="56"/>
      <c r="K1592" s="56"/>
    </row>
    <row r="1593" spans="7:11" x14ac:dyDescent="0.2">
      <c r="G1593" s="56"/>
      <c r="H1593" s="56"/>
      <c r="I1593" s="56"/>
      <c r="J1593" s="56"/>
      <c r="K1593" s="56"/>
    </row>
    <row r="1594" spans="7:11" x14ac:dyDescent="0.2">
      <c r="G1594" s="56"/>
      <c r="H1594" s="56"/>
      <c r="I1594" s="56"/>
      <c r="J1594" s="56"/>
      <c r="K1594" s="56"/>
    </row>
    <row r="1595" spans="7:11" x14ac:dyDescent="0.2">
      <c r="G1595" s="56"/>
      <c r="H1595" s="56"/>
      <c r="I1595" s="56"/>
      <c r="J1595" s="56"/>
      <c r="K1595" s="56"/>
    </row>
    <row r="1596" spans="7:11" x14ac:dyDescent="0.2">
      <c r="G1596" s="56"/>
      <c r="H1596" s="56"/>
      <c r="I1596" s="56"/>
      <c r="J1596" s="56"/>
      <c r="K1596" s="56"/>
    </row>
    <row r="1597" spans="7:11" x14ac:dyDescent="0.2">
      <c r="G1597" s="56"/>
      <c r="H1597" s="56"/>
      <c r="I1597" s="56"/>
      <c r="J1597" s="56"/>
      <c r="K1597" s="56"/>
    </row>
    <row r="1598" spans="7:11" x14ac:dyDescent="0.2">
      <c r="G1598" s="56"/>
      <c r="H1598" s="56"/>
      <c r="I1598" s="56"/>
      <c r="J1598" s="56"/>
      <c r="K1598" s="56"/>
    </row>
    <row r="1599" spans="7:11" x14ac:dyDescent="0.2">
      <c r="G1599" s="56"/>
      <c r="H1599" s="56"/>
      <c r="I1599" s="56"/>
      <c r="J1599" s="56"/>
      <c r="K1599" s="56"/>
    </row>
    <row r="1600" spans="7:11" x14ac:dyDescent="0.2">
      <c r="G1600" s="56"/>
      <c r="H1600" s="56"/>
      <c r="I1600" s="56"/>
      <c r="J1600" s="56"/>
      <c r="K1600" s="56"/>
    </row>
    <row r="1601" spans="7:11" x14ac:dyDescent="0.2">
      <c r="G1601" s="56"/>
      <c r="H1601" s="56"/>
      <c r="I1601" s="56"/>
      <c r="J1601" s="56"/>
      <c r="K1601" s="56"/>
    </row>
    <row r="1602" spans="7:11" x14ac:dyDescent="0.2">
      <c r="G1602" s="56"/>
      <c r="H1602" s="56"/>
      <c r="I1602" s="56"/>
      <c r="J1602" s="56"/>
      <c r="K1602" s="56"/>
    </row>
    <row r="1603" spans="7:11" x14ac:dyDescent="0.2">
      <c r="G1603" s="56"/>
      <c r="H1603" s="56"/>
      <c r="I1603" s="56"/>
      <c r="J1603" s="56"/>
      <c r="K1603" s="56"/>
    </row>
    <row r="1604" spans="7:11" x14ac:dyDescent="0.2">
      <c r="G1604" s="56"/>
      <c r="H1604" s="56"/>
      <c r="I1604" s="56"/>
      <c r="J1604" s="56"/>
      <c r="K1604" s="56"/>
    </row>
    <row r="1605" spans="7:11" x14ac:dyDescent="0.2">
      <c r="G1605" s="56"/>
      <c r="H1605" s="56"/>
      <c r="I1605" s="56"/>
      <c r="J1605" s="56"/>
      <c r="K1605" s="56"/>
    </row>
    <row r="1606" spans="7:11" x14ac:dyDescent="0.2">
      <c r="G1606" s="56"/>
      <c r="H1606" s="56"/>
      <c r="I1606" s="56"/>
      <c r="J1606" s="56"/>
      <c r="K1606" s="56"/>
    </row>
    <row r="1607" spans="7:11" x14ac:dyDescent="0.2">
      <c r="G1607" s="56"/>
      <c r="H1607" s="56"/>
      <c r="I1607" s="56"/>
      <c r="J1607" s="56"/>
      <c r="K1607" s="56"/>
    </row>
    <row r="1608" spans="7:11" x14ac:dyDescent="0.2">
      <c r="G1608" s="56"/>
      <c r="H1608" s="56"/>
      <c r="I1608" s="56"/>
      <c r="J1608" s="56"/>
      <c r="K1608" s="56"/>
    </row>
    <row r="1609" spans="7:11" x14ac:dyDescent="0.2">
      <c r="G1609" s="56"/>
      <c r="H1609" s="56"/>
      <c r="I1609" s="56"/>
      <c r="J1609" s="56"/>
      <c r="K1609" s="56"/>
    </row>
    <row r="1610" spans="7:11" x14ac:dyDescent="0.2">
      <c r="G1610" s="56"/>
      <c r="H1610" s="56"/>
      <c r="I1610" s="56"/>
      <c r="J1610" s="56"/>
      <c r="K1610" s="56"/>
    </row>
    <row r="1611" spans="7:11" x14ac:dyDescent="0.2">
      <c r="G1611" s="56"/>
      <c r="H1611" s="56"/>
      <c r="I1611" s="56"/>
      <c r="J1611" s="56"/>
      <c r="K1611" s="56"/>
    </row>
    <row r="1612" spans="7:11" x14ac:dyDescent="0.2">
      <c r="G1612" s="56"/>
      <c r="H1612" s="56"/>
      <c r="I1612" s="56"/>
      <c r="J1612" s="56"/>
      <c r="K1612" s="56"/>
    </row>
    <row r="1613" spans="7:11" x14ac:dyDescent="0.2">
      <c r="G1613" s="56"/>
      <c r="H1613" s="56"/>
      <c r="I1613" s="56"/>
      <c r="J1613" s="56"/>
      <c r="K1613" s="56"/>
    </row>
    <row r="1614" spans="7:11" x14ac:dyDescent="0.2">
      <c r="G1614" s="56"/>
      <c r="H1614" s="56"/>
      <c r="I1614" s="56"/>
      <c r="J1614" s="56"/>
      <c r="K1614" s="56"/>
    </row>
    <row r="1615" spans="7:11" x14ac:dyDescent="0.2">
      <c r="G1615" s="56"/>
      <c r="H1615" s="56"/>
      <c r="I1615" s="56"/>
      <c r="J1615" s="56"/>
      <c r="K1615" s="56"/>
    </row>
    <row r="1616" spans="7:11" x14ac:dyDescent="0.2">
      <c r="G1616" s="56"/>
      <c r="H1616" s="56"/>
      <c r="I1616" s="56"/>
      <c r="J1616" s="56"/>
      <c r="K1616" s="56"/>
    </row>
    <row r="1617" spans="7:11" x14ac:dyDescent="0.2">
      <c r="G1617" s="56"/>
      <c r="H1617" s="56"/>
      <c r="I1617" s="56"/>
      <c r="J1617" s="56"/>
      <c r="K1617" s="56"/>
    </row>
    <row r="1618" spans="7:11" x14ac:dyDescent="0.2">
      <c r="G1618" s="56"/>
      <c r="H1618" s="56"/>
      <c r="I1618" s="56"/>
      <c r="J1618" s="56"/>
      <c r="K1618" s="56"/>
    </row>
    <row r="1619" spans="7:11" x14ac:dyDescent="0.2">
      <c r="G1619" s="56"/>
      <c r="H1619" s="56"/>
      <c r="I1619" s="56"/>
      <c r="J1619" s="56"/>
      <c r="K1619" s="56"/>
    </row>
    <row r="1620" spans="7:11" x14ac:dyDescent="0.2">
      <c r="G1620" s="56"/>
      <c r="H1620" s="56"/>
      <c r="I1620" s="56"/>
      <c r="J1620" s="56"/>
      <c r="K1620" s="56"/>
    </row>
    <row r="1621" spans="7:11" x14ac:dyDescent="0.2">
      <c r="G1621" s="56"/>
      <c r="H1621" s="56"/>
      <c r="I1621" s="56"/>
      <c r="J1621" s="56"/>
      <c r="K1621" s="56"/>
    </row>
    <row r="1622" spans="7:11" x14ac:dyDescent="0.2">
      <c r="G1622" s="56"/>
      <c r="H1622" s="56"/>
      <c r="I1622" s="56"/>
      <c r="J1622" s="56"/>
      <c r="K1622" s="56"/>
    </row>
    <row r="1623" spans="7:11" x14ac:dyDescent="0.2">
      <c r="G1623" s="56"/>
      <c r="H1623" s="56"/>
      <c r="I1623" s="56"/>
      <c r="J1623" s="56"/>
      <c r="K1623" s="56"/>
    </row>
    <row r="1624" spans="7:11" x14ac:dyDescent="0.2">
      <c r="G1624" s="56"/>
      <c r="H1624" s="56"/>
      <c r="I1624" s="56"/>
      <c r="J1624" s="56"/>
      <c r="K1624" s="56"/>
    </row>
    <row r="1625" spans="7:11" x14ac:dyDescent="0.2">
      <c r="G1625" s="56"/>
      <c r="H1625" s="56"/>
      <c r="I1625" s="56"/>
      <c r="J1625" s="56"/>
      <c r="K1625" s="56"/>
    </row>
    <row r="1626" spans="7:11" x14ac:dyDescent="0.2">
      <c r="G1626" s="56"/>
      <c r="H1626" s="56"/>
      <c r="I1626" s="56"/>
      <c r="J1626" s="56"/>
      <c r="K1626" s="56"/>
    </row>
    <row r="1627" spans="7:11" x14ac:dyDescent="0.2">
      <c r="G1627" s="56"/>
      <c r="H1627" s="56"/>
      <c r="I1627" s="56"/>
      <c r="J1627" s="56"/>
      <c r="K1627" s="56"/>
    </row>
    <row r="1628" spans="7:11" x14ac:dyDescent="0.2">
      <c r="G1628" s="56"/>
      <c r="H1628" s="56"/>
      <c r="I1628" s="56"/>
      <c r="J1628" s="56"/>
      <c r="K1628" s="56"/>
    </row>
    <row r="1629" spans="7:11" x14ac:dyDescent="0.2">
      <c r="G1629" s="56"/>
      <c r="H1629" s="56"/>
      <c r="I1629" s="56"/>
      <c r="J1629" s="56"/>
      <c r="K1629" s="56"/>
    </row>
    <row r="1630" spans="7:11" x14ac:dyDescent="0.2">
      <c r="G1630" s="56"/>
      <c r="H1630" s="56"/>
      <c r="I1630" s="56"/>
      <c r="J1630" s="56"/>
      <c r="K1630" s="56"/>
    </row>
    <row r="1631" spans="7:11" x14ac:dyDescent="0.2">
      <c r="G1631" s="56"/>
      <c r="H1631" s="56"/>
      <c r="I1631" s="56"/>
      <c r="J1631" s="56"/>
      <c r="K1631" s="56"/>
    </row>
    <row r="1632" spans="7:11" x14ac:dyDescent="0.2">
      <c r="G1632" s="56"/>
      <c r="H1632" s="56"/>
      <c r="I1632" s="56"/>
      <c r="J1632" s="56"/>
      <c r="K1632" s="56"/>
    </row>
    <row r="1633" spans="7:11" x14ac:dyDescent="0.2">
      <c r="G1633" s="56"/>
      <c r="H1633" s="56"/>
      <c r="I1633" s="56"/>
      <c r="J1633" s="56"/>
      <c r="K1633" s="56"/>
    </row>
    <row r="1634" spans="7:11" x14ac:dyDescent="0.2">
      <c r="G1634" s="56"/>
      <c r="H1634" s="56"/>
      <c r="I1634" s="56"/>
      <c r="J1634" s="56"/>
      <c r="K1634" s="56"/>
    </row>
    <row r="1635" spans="7:11" x14ac:dyDescent="0.2">
      <c r="G1635" s="56"/>
      <c r="H1635" s="56"/>
      <c r="I1635" s="56"/>
      <c r="J1635" s="56"/>
      <c r="K1635" s="56"/>
    </row>
    <row r="1636" spans="7:11" x14ac:dyDescent="0.2">
      <c r="G1636" s="56"/>
      <c r="H1636" s="56"/>
      <c r="I1636" s="56"/>
      <c r="J1636" s="56"/>
      <c r="K1636" s="56"/>
    </row>
    <row r="1637" spans="7:11" x14ac:dyDescent="0.2">
      <c r="G1637" s="56"/>
      <c r="H1637" s="56"/>
      <c r="I1637" s="56"/>
      <c r="J1637" s="56"/>
      <c r="K1637" s="56"/>
    </row>
    <row r="1638" spans="7:11" x14ac:dyDescent="0.2">
      <c r="G1638" s="56"/>
      <c r="H1638" s="56"/>
      <c r="I1638" s="56"/>
      <c r="J1638" s="56"/>
      <c r="K1638" s="56"/>
    </row>
    <row r="1639" spans="7:11" x14ac:dyDescent="0.2">
      <c r="G1639" s="56"/>
      <c r="H1639" s="56"/>
      <c r="I1639" s="56"/>
      <c r="J1639" s="56"/>
      <c r="K1639" s="56"/>
    </row>
    <row r="1640" spans="7:11" x14ac:dyDescent="0.2">
      <c r="G1640" s="56"/>
      <c r="H1640" s="56"/>
      <c r="I1640" s="56"/>
      <c r="J1640" s="56"/>
      <c r="K1640" s="56"/>
    </row>
    <row r="1641" spans="7:11" x14ac:dyDescent="0.2">
      <c r="G1641" s="56"/>
      <c r="H1641" s="56"/>
      <c r="I1641" s="56"/>
      <c r="J1641" s="56"/>
      <c r="K1641" s="56"/>
    </row>
    <row r="1642" spans="7:11" x14ac:dyDescent="0.2">
      <c r="G1642" s="56"/>
      <c r="H1642" s="56"/>
      <c r="I1642" s="56"/>
      <c r="J1642" s="56"/>
      <c r="K1642" s="56"/>
    </row>
    <row r="1643" spans="7:11" x14ac:dyDescent="0.2">
      <c r="G1643" s="56"/>
      <c r="H1643" s="56"/>
      <c r="I1643" s="56"/>
      <c r="J1643" s="56"/>
      <c r="K1643" s="56"/>
    </row>
    <row r="1644" spans="7:11" x14ac:dyDescent="0.2">
      <c r="G1644" s="56"/>
      <c r="H1644" s="56"/>
      <c r="I1644" s="56"/>
      <c r="J1644" s="56"/>
      <c r="K1644" s="56"/>
    </row>
    <row r="1645" spans="7:11" x14ac:dyDescent="0.2">
      <c r="G1645" s="56"/>
      <c r="H1645" s="56"/>
      <c r="I1645" s="56"/>
      <c r="J1645" s="56"/>
      <c r="K1645" s="56"/>
    </row>
    <row r="1646" spans="7:11" x14ac:dyDescent="0.2">
      <c r="G1646" s="56"/>
      <c r="H1646" s="56"/>
      <c r="I1646" s="56"/>
      <c r="J1646" s="56"/>
      <c r="K1646" s="56"/>
    </row>
    <row r="1647" spans="7:11" x14ac:dyDescent="0.2">
      <c r="G1647" s="56"/>
      <c r="H1647" s="56"/>
      <c r="I1647" s="56"/>
      <c r="J1647" s="56"/>
      <c r="K1647" s="56"/>
    </row>
    <row r="1648" spans="7:11" x14ac:dyDescent="0.2">
      <c r="G1648" s="56"/>
      <c r="H1648" s="56"/>
      <c r="I1648" s="56"/>
      <c r="J1648" s="56"/>
      <c r="K1648" s="56"/>
    </row>
    <row r="1649" spans="7:11" x14ac:dyDescent="0.2">
      <c r="G1649" s="56"/>
      <c r="H1649" s="56"/>
      <c r="I1649" s="56"/>
      <c r="J1649" s="56"/>
      <c r="K1649" s="56"/>
    </row>
    <row r="1650" spans="7:11" x14ac:dyDescent="0.2">
      <c r="G1650" s="56"/>
      <c r="H1650" s="56"/>
      <c r="I1650" s="56"/>
      <c r="J1650" s="56"/>
      <c r="K1650" s="56"/>
    </row>
    <row r="1651" spans="7:11" x14ac:dyDescent="0.2">
      <c r="G1651" s="56"/>
      <c r="H1651" s="56"/>
      <c r="I1651" s="56"/>
      <c r="J1651" s="56"/>
      <c r="K1651" s="56"/>
    </row>
    <row r="1652" spans="7:11" x14ac:dyDescent="0.2">
      <c r="G1652" s="56"/>
      <c r="H1652" s="56"/>
      <c r="I1652" s="56"/>
      <c r="J1652" s="56"/>
      <c r="K1652" s="56"/>
    </row>
    <row r="1653" spans="7:11" x14ac:dyDescent="0.2">
      <c r="G1653" s="56"/>
      <c r="H1653" s="56"/>
      <c r="I1653" s="56"/>
      <c r="J1653" s="56"/>
      <c r="K1653" s="56"/>
    </row>
    <row r="1654" spans="7:11" x14ac:dyDescent="0.2">
      <c r="G1654" s="56"/>
      <c r="H1654" s="56"/>
      <c r="I1654" s="56"/>
      <c r="J1654" s="56"/>
      <c r="K1654" s="56"/>
    </row>
    <row r="1655" spans="7:11" x14ac:dyDescent="0.2">
      <c r="G1655" s="56"/>
      <c r="H1655" s="56"/>
      <c r="I1655" s="56"/>
      <c r="J1655" s="56"/>
      <c r="K1655" s="56"/>
    </row>
    <row r="1656" spans="7:11" x14ac:dyDescent="0.2">
      <c r="G1656" s="56"/>
      <c r="H1656" s="56"/>
      <c r="I1656" s="56"/>
      <c r="J1656" s="56"/>
      <c r="K1656" s="56"/>
    </row>
    <row r="1657" spans="7:11" x14ac:dyDescent="0.2">
      <c r="G1657" s="56"/>
      <c r="H1657" s="56"/>
      <c r="I1657" s="56"/>
      <c r="J1657" s="56"/>
      <c r="K1657" s="56"/>
    </row>
    <row r="1658" spans="7:11" x14ac:dyDescent="0.2">
      <c r="G1658" s="56"/>
      <c r="H1658" s="56"/>
      <c r="I1658" s="56"/>
      <c r="J1658" s="56"/>
      <c r="K1658" s="56"/>
    </row>
    <row r="1659" spans="7:11" x14ac:dyDescent="0.2">
      <c r="G1659" s="56"/>
      <c r="H1659" s="56"/>
      <c r="I1659" s="56"/>
      <c r="J1659" s="56"/>
      <c r="K1659" s="56"/>
    </row>
    <row r="1660" spans="7:11" x14ac:dyDescent="0.2">
      <c r="G1660" s="56"/>
      <c r="H1660" s="56"/>
      <c r="I1660" s="56"/>
      <c r="J1660" s="56"/>
      <c r="K1660" s="56"/>
    </row>
    <row r="1661" spans="7:11" x14ac:dyDescent="0.2">
      <c r="G1661" s="56"/>
      <c r="H1661" s="56"/>
      <c r="I1661" s="56"/>
      <c r="J1661" s="56"/>
      <c r="K1661" s="56"/>
    </row>
    <row r="1662" spans="7:11" x14ac:dyDescent="0.2">
      <c r="G1662" s="56"/>
      <c r="H1662" s="56"/>
      <c r="I1662" s="56"/>
      <c r="J1662" s="56"/>
      <c r="K1662" s="56"/>
    </row>
    <row r="1663" spans="7:11" x14ac:dyDescent="0.2">
      <c r="G1663" s="56"/>
      <c r="H1663" s="56"/>
      <c r="I1663" s="56"/>
      <c r="J1663" s="56"/>
      <c r="K1663" s="56"/>
    </row>
    <row r="1664" spans="7:11" x14ac:dyDescent="0.2">
      <c r="G1664" s="56"/>
      <c r="H1664" s="56"/>
      <c r="I1664" s="56"/>
      <c r="J1664" s="56"/>
      <c r="K1664" s="56"/>
    </row>
    <row r="1665" spans="7:11" x14ac:dyDescent="0.2">
      <c r="G1665" s="56"/>
      <c r="H1665" s="56"/>
      <c r="I1665" s="56"/>
      <c r="J1665" s="56"/>
      <c r="K1665" s="56"/>
    </row>
    <row r="1666" spans="7:11" x14ac:dyDescent="0.2">
      <c r="G1666" s="56"/>
      <c r="H1666" s="56"/>
      <c r="I1666" s="56"/>
      <c r="J1666" s="56"/>
      <c r="K1666" s="56"/>
    </row>
    <row r="1667" spans="7:11" x14ac:dyDescent="0.2">
      <c r="G1667" s="56"/>
      <c r="H1667" s="56"/>
      <c r="I1667" s="56"/>
      <c r="J1667" s="56"/>
      <c r="K1667" s="56"/>
    </row>
    <row r="1668" spans="7:11" x14ac:dyDescent="0.2">
      <c r="G1668" s="56"/>
      <c r="H1668" s="56"/>
      <c r="I1668" s="56"/>
      <c r="J1668" s="56"/>
      <c r="K1668" s="56"/>
    </row>
    <row r="1669" spans="7:11" x14ac:dyDescent="0.2">
      <c r="G1669" s="56"/>
      <c r="H1669" s="56"/>
      <c r="I1669" s="56"/>
      <c r="J1669" s="56"/>
      <c r="K1669" s="56"/>
    </row>
    <row r="1670" spans="7:11" x14ac:dyDescent="0.2">
      <c r="G1670" s="56"/>
      <c r="H1670" s="56"/>
      <c r="I1670" s="56"/>
      <c r="J1670" s="56"/>
      <c r="K1670" s="56"/>
    </row>
    <row r="1671" spans="7:11" x14ac:dyDescent="0.2">
      <c r="G1671" s="56"/>
      <c r="H1671" s="56"/>
      <c r="I1671" s="56"/>
      <c r="J1671" s="56"/>
      <c r="K1671" s="56"/>
    </row>
    <row r="1672" spans="7:11" x14ac:dyDescent="0.2">
      <c r="G1672" s="56"/>
      <c r="H1672" s="56"/>
      <c r="I1672" s="56"/>
      <c r="J1672" s="56"/>
      <c r="K1672" s="56"/>
    </row>
    <row r="1673" spans="7:11" x14ac:dyDescent="0.2">
      <c r="G1673" s="56"/>
      <c r="H1673" s="56"/>
      <c r="I1673" s="56"/>
      <c r="J1673" s="56"/>
      <c r="K1673" s="56"/>
    </row>
    <row r="1674" spans="7:11" x14ac:dyDescent="0.2">
      <c r="G1674" s="56"/>
      <c r="H1674" s="56"/>
      <c r="I1674" s="56"/>
      <c r="J1674" s="56"/>
      <c r="K1674" s="56"/>
    </row>
    <row r="1675" spans="7:11" x14ac:dyDescent="0.2">
      <c r="G1675" s="56"/>
      <c r="H1675" s="56"/>
      <c r="I1675" s="56"/>
      <c r="J1675" s="56"/>
      <c r="K1675" s="56"/>
    </row>
    <row r="1676" spans="7:11" x14ac:dyDescent="0.2">
      <c r="G1676" s="56"/>
      <c r="H1676" s="56"/>
      <c r="I1676" s="56"/>
      <c r="J1676" s="56"/>
      <c r="K1676" s="56"/>
    </row>
    <row r="1677" spans="7:11" x14ac:dyDescent="0.2">
      <c r="G1677" s="56"/>
      <c r="H1677" s="56"/>
      <c r="I1677" s="56"/>
      <c r="J1677" s="56"/>
      <c r="K1677" s="56"/>
    </row>
    <row r="1678" spans="7:11" x14ac:dyDescent="0.2">
      <c r="G1678" s="56"/>
      <c r="H1678" s="56"/>
      <c r="I1678" s="56"/>
      <c r="J1678" s="56"/>
      <c r="K1678" s="56"/>
    </row>
    <row r="1679" spans="7:11" x14ac:dyDescent="0.2">
      <c r="G1679" s="56"/>
      <c r="H1679" s="56"/>
      <c r="I1679" s="56"/>
      <c r="J1679" s="56"/>
      <c r="K1679" s="56"/>
    </row>
    <row r="1680" spans="7:11" x14ac:dyDescent="0.2">
      <c r="G1680" s="56"/>
      <c r="H1680" s="56"/>
      <c r="I1680" s="56"/>
      <c r="J1680" s="56"/>
      <c r="K1680" s="56"/>
    </row>
    <row r="1681" spans="7:11" x14ac:dyDescent="0.2">
      <c r="G1681" s="56"/>
      <c r="H1681" s="56"/>
      <c r="I1681" s="56"/>
      <c r="J1681" s="56"/>
      <c r="K1681" s="56"/>
    </row>
    <row r="1682" spans="7:11" x14ac:dyDescent="0.2">
      <c r="G1682" s="56"/>
      <c r="H1682" s="56"/>
      <c r="I1682" s="56"/>
      <c r="J1682" s="56"/>
      <c r="K1682" s="56"/>
    </row>
    <row r="1683" spans="7:11" x14ac:dyDescent="0.2">
      <c r="G1683" s="56"/>
      <c r="H1683" s="56"/>
      <c r="I1683" s="56"/>
      <c r="J1683" s="56"/>
      <c r="K1683" s="56"/>
    </row>
    <row r="1684" spans="7:11" x14ac:dyDescent="0.2">
      <c r="G1684" s="56"/>
      <c r="H1684" s="56"/>
      <c r="I1684" s="56"/>
      <c r="J1684" s="56"/>
      <c r="K1684" s="56"/>
    </row>
    <row r="1685" spans="7:11" x14ac:dyDescent="0.2">
      <c r="G1685" s="56"/>
      <c r="H1685" s="56"/>
      <c r="I1685" s="56"/>
      <c r="J1685" s="56"/>
      <c r="K1685" s="56"/>
    </row>
    <row r="1686" spans="7:11" x14ac:dyDescent="0.2">
      <c r="G1686" s="56"/>
      <c r="H1686" s="56"/>
      <c r="I1686" s="56"/>
      <c r="J1686" s="56"/>
      <c r="K1686" s="56"/>
    </row>
    <row r="1687" spans="7:11" x14ac:dyDescent="0.2">
      <c r="G1687" s="56"/>
      <c r="H1687" s="56"/>
      <c r="I1687" s="56"/>
      <c r="J1687" s="56"/>
      <c r="K1687" s="56"/>
    </row>
    <row r="1688" spans="7:11" x14ac:dyDescent="0.2">
      <c r="G1688" s="56"/>
      <c r="H1688" s="56"/>
      <c r="I1688" s="56"/>
      <c r="J1688" s="56"/>
      <c r="K1688" s="56"/>
    </row>
    <row r="1689" spans="7:11" x14ac:dyDescent="0.2">
      <c r="G1689" s="56"/>
      <c r="H1689" s="56"/>
      <c r="I1689" s="56"/>
      <c r="J1689" s="56"/>
      <c r="K1689" s="56"/>
    </row>
    <row r="1690" spans="7:11" x14ac:dyDescent="0.2">
      <c r="G1690" s="56"/>
      <c r="H1690" s="56"/>
      <c r="I1690" s="56"/>
      <c r="J1690" s="56"/>
      <c r="K1690" s="56"/>
    </row>
    <row r="1691" spans="7:11" x14ac:dyDescent="0.2">
      <c r="G1691" s="56"/>
      <c r="H1691" s="56"/>
      <c r="I1691" s="56"/>
      <c r="J1691" s="56"/>
      <c r="K1691" s="56"/>
    </row>
    <row r="1692" spans="7:11" x14ac:dyDescent="0.2">
      <c r="G1692" s="56"/>
      <c r="H1692" s="56"/>
      <c r="I1692" s="56"/>
      <c r="J1692" s="56"/>
      <c r="K1692" s="56"/>
    </row>
    <row r="1693" spans="7:11" x14ac:dyDescent="0.2">
      <c r="G1693" s="56"/>
      <c r="H1693" s="56"/>
      <c r="I1693" s="56"/>
      <c r="J1693" s="56"/>
      <c r="K1693" s="56"/>
    </row>
    <row r="1694" spans="7:11" x14ac:dyDescent="0.2">
      <c r="G1694" s="56"/>
      <c r="H1694" s="56"/>
      <c r="I1694" s="56"/>
      <c r="J1694" s="56"/>
      <c r="K1694" s="56"/>
    </row>
    <row r="1695" spans="7:11" x14ac:dyDescent="0.2">
      <c r="G1695" s="56"/>
      <c r="H1695" s="56"/>
      <c r="I1695" s="56"/>
      <c r="J1695" s="56"/>
      <c r="K1695" s="56"/>
    </row>
    <row r="1696" spans="7:11" x14ac:dyDescent="0.2">
      <c r="G1696" s="56"/>
      <c r="H1696" s="56"/>
      <c r="I1696" s="56"/>
      <c r="J1696" s="56"/>
      <c r="K1696" s="56"/>
    </row>
    <row r="1697" spans="7:11" x14ac:dyDescent="0.2">
      <c r="G1697" s="56"/>
      <c r="H1697" s="56"/>
      <c r="I1697" s="56"/>
      <c r="J1697" s="56"/>
      <c r="K1697" s="56"/>
    </row>
    <row r="1698" spans="7:11" x14ac:dyDescent="0.2">
      <c r="G1698" s="56"/>
      <c r="H1698" s="56"/>
      <c r="I1698" s="56"/>
      <c r="J1698" s="56"/>
      <c r="K1698" s="56"/>
    </row>
    <row r="1699" spans="7:11" x14ac:dyDescent="0.2">
      <c r="G1699" s="56"/>
      <c r="H1699" s="56"/>
      <c r="I1699" s="56"/>
      <c r="J1699" s="56"/>
      <c r="K1699" s="56"/>
    </row>
    <row r="1700" spans="7:11" x14ac:dyDescent="0.2">
      <c r="G1700" s="56"/>
      <c r="H1700" s="56"/>
      <c r="I1700" s="56"/>
      <c r="J1700" s="56"/>
      <c r="K1700" s="56"/>
    </row>
    <row r="1701" spans="7:11" x14ac:dyDescent="0.2">
      <c r="G1701" s="56"/>
      <c r="H1701" s="56"/>
      <c r="I1701" s="56"/>
      <c r="J1701" s="56"/>
      <c r="K1701" s="56"/>
    </row>
    <row r="1702" spans="7:11" x14ac:dyDescent="0.2">
      <c r="G1702" s="56"/>
      <c r="H1702" s="56"/>
      <c r="I1702" s="56"/>
      <c r="J1702" s="56"/>
      <c r="K1702" s="56"/>
    </row>
    <row r="1703" spans="7:11" x14ac:dyDescent="0.2">
      <c r="G1703" s="56"/>
      <c r="H1703" s="56"/>
      <c r="I1703" s="56"/>
      <c r="J1703" s="56"/>
      <c r="K1703" s="56"/>
    </row>
    <row r="1704" spans="7:11" x14ac:dyDescent="0.2">
      <c r="G1704" s="56"/>
      <c r="H1704" s="56"/>
      <c r="I1704" s="56"/>
      <c r="J1704" s="56"/>
      <c r="K1704" s="56"/>
    </row>
    <row r="1705" spans="7:11" x14ac:dyDescent="0.2">
      <c r="G1705" s="56"/>
      <c r="H1705" s="56"/>
      <c r="I1705" s="56"/>
      <c r="J1705" s="56"/>
      <c r="K1705" s="56"/>
    </row>
    <row r="1706" spans="7:11" x14ac:dyDescent="0.2">
      <c r="G1706" s="56"/>
      <c r="H1706" s="56"/>
      <c r="I1706" s="56"/>
      <c r="J1706" s="56"/>
      <c r="K1706" s="56"/>
    </row>
    <row r="1707" spans="7:11" x14ac:dyDescent="0.2">
      <c r="G1707" s="56"/>
      <c r="H1707" s="56"/>
      <c r="I1707" s="56"/>
      <c r="J1707" s="56"/>
      <c r="K1707" s="56"/>
    </row>
    <row r="1708" spans="7:11" x14ac:dyDescent="0.2">
      <c r="G1708" s="56"/>
      <c r="H1708" s="56"/>
      <c r="I1708" s="56"/>
      <c r="J1708" s="56"/>
      <c r="K1708" s="56"/>
    </row>
    <row r="1709" spans="7:11" x14ac:dyDescent="0.2">
      <c r="G1709" s="56"/>
      <c r="H1709" s="56"/>
      <c r="I1709" s="56"/>
      <c r="J1709" s="56"/>
      <c r="K1709" s="56"/>
    </row>
    <row r="1710" spans="7:11" x14ac:dyDescent="0.2">
      <c r="G1710" s="56"/>
      <c r="H1710" s="56"/>
      <c r="I1710" s="56"/>
      <c r="J1710" s="56"/>
      <c r="K1710" s="56"/>
    </row>
    <row r="1711" spans="7:11" x14ac:dyDescent="0.2">
      <c r="G1711" s="56"/>
      <c r="H1711" s="56"/>
      <c r="I1711" s="56"/>
      <c r="J1711" s="56"/>
      <c r="K1711" s="56"/>
    </row>
    <row r="1712" spans="7:11" x14ac:dyDescent="0.2">
      <c r="G1712" s="56"/>
      <c r="H1712" s="56"/>
      <c r="I1712" s="56"/>
      <c r="J1712" s="56"/>
      <c r="K1712" s="56"/>
    </row>
    <row r="1713" spans="7:11" x14ac:dyDescent="0.2">
      <c r="G1713" s="56"/>
      <c r="H1713" s="56"/>
      <c r="I1713" s="56"/>
      <c r="J1713" s="56"/>
      <c r="K1713" s="56"/>
    </row>
    <row r="1714" spans="7:11" x14ac:dyDescent="0.2">
      <c r="G1714" s="56"/>
      <c r="H1714" s="56"/>
      <c r="I1714" s="56"/>
      <c r="J1714" s="56"/>
      <c r="K1714" s="56"/>
    </row>
    <row r="1715" spans="7:11" x14ac:dyDescent="0.2">
      <c r="G1715" s="56"/>
      <c r="H1715" s="56"/>
      <c r="I1715" s="56"/>
      <c r="J1715" s="56"/>
      <c r="K1715" s="56"/>
    </row>
    <row r="1716" spans="7:11" x14ac:dyDescent="0.2">
      <c r="G1716" s="56"/>
      <c r="H1716" s="56"/>
      <c r="I1716" s="56"/>
      <c r="J1716" s="56"/>
      <c r="K1716" s="56"/>
    </row>
    <row r="1717" spans="7:11" x14ac:dyDescent="0.2">
      <c r="G1717" s="56"/>
      <c r="H1717" s="56"/>
      <c r="I1717" s="56"/>
      <c r="J1717" s="56"/>
      <c r="K1717" s="56"/>
    </row>
    <row r="1718" spans="7:11" x14ac:dyDescent="0.2">
      <c r="G1718" s="56"/>
      <c r="H1718" s="56"/>
      <c r="I1718" s="56"/>
      <c r="J1718" s="56"/>
      <c r="K1718" s="56"/>
    </row>
    <row r="1719" spans="7:11" x14ac:dyDescent="0.2">
      <c r="G1719" s="56"/>
      <c r="H1719" s="56"/>
      <c r="I1719" s="56"/>
      <c r="J1719" s="56"/>
      <c r="K1719" s="56"/>
    </row>
    <row r="1720" spans="7:11" x14ac:dyDescent="0.2">
      <c r="G1720" s="56"/>
      <c r="H1720" s="56"/>
      <c r="I1720" s="56"/>
      <c r="J1720" s="56"/>
      <c r="K1720" s="56"/>
    </row>
    <row r="1721" spans="7:11" x14ac:dyDescent="0.2">
      <c r="G1721" s="56"/>
      <c r="H1721" s="56"/>
      <c r="I1721" s="56"/>
      <c r="J1721" s="56"/>
      <c r="K1721" s="56"/>
    </row>
    <row r="1722" spans="7:11" x14ac:dyDescent="0.2">
      <c r="G1722" s="56"/>
      <c r="H1722" s="56"/>
      <c r="I1722" s="56"/>
      <c r="J1722" s="56"/>
      <c r="K1722" s="56"/>
    </row>
    <row r="1723" spans="7:11" x14ac:dyDescent="0.2">
      <c r="G1723" s="56"/>
      <c r="H1723" s="56"/>
      <c r="I1723" s="56"/>
      <c r="J1723" s="56"/>
      <c r="K1723" s="56"/>
    </row>
    <row r="1724" spans="7:11" x14ac:dyDescent="0.2">
      <c r="G1724" s="56"/>
      <c r="H1724" s="56"/>
      <c r="I1724" s="56"/>
      <c r="J1724" s="56"/>
      <c r="K1724" s="56"/>
    </row>
    <row r="1725" spans="7:11" x14ac:dyDescent="0.2">
      <c r="G1725" s="56"/>
      <c r="H1725" s="56"/>
      <c r="I1725" s="56"/>
      <c r="J1725" s="56"/>
      <c r="K1725" s="56"/>
    </row>
    <row r="1726" spans="7:11" x14ac:dyDescent="0.2">
      <c r="G1726" s="56"/>
      <c r="H1726" s="56"/>
      <c r="I1726" s="56"/>
      <c r="J1726" s="56"/>
      <c r="K1726" s="56"/>
    </row>
    <row r="1727" spans="7:11" x14ac:dyDescent="0.2">
      <c r="G1727" s="56"/>
      <c r="H1727" s="56"/>
      <c r="I1727" s="56"/>
      <c r="J1727" s="56"/>
      <c r="K1727" s="56"/>
    </row>
    <row r="1728" spans="7:11" x14ac:dyDescent="0.2">
      <c r="G1728" s="56"/>
      <c r="H1728" s="56"/>
      <c r="I1728" s="56"/>
      <c r="J1728" s="56"/>
      <c r="K1728" s="56"/>
    </row>
    <row r="1729" spans="7:11" x14ac:dyDescent="0.2">
      <c r="G1729" s="56"/>
      <c r="H1729" s="56"/>
      <c r="I1729" s="56"/>
      <c r="J1729" s="56"/>
      <c r="K1729" s="56"/>
    </row>
    <row r="1730" spans="7:11" x14ac:dyDescent="0.2">
      <c r="G1730" s="56"/>
      <c r="H1730" s="56"/>
      <c r="I1730" s="56"/>
      <c r="J1730" s="56"/>
      <c r="K1730" s="56"/>
    </row>
    <row r="1731" spans="7:11" x14ac:dyDescent="0.2">
      <c r="G1731" s="56"/>
      <c r="H1731" s="56"/>
      <c r="I1731" s="56"/>
      <c r="J1731" s="56"/>
      <c r="K1731" s="56"/>
    </row>
    <row r="1732" spans="7:11" x14ac:dyDescent="0.2">
      <c r="G1732" s="56"/>
      <c r="H1732" s="56"/>
      <c r="I1732" s="56"/>
      <c r="J1732" s="56"/>
      <c r="K1732" s="56"/>
    </row>
    <row r="1733" spans="7:11" x14ac:dyDescent="0.2">
      <c r="G1733" s="56"/>
      <c r="H1733" s="56"/>
      <c r="I1733" s="56"/>
      <c r="J1733" s="56"/>
      <c r="K1733" s="56"/>
    </row>
    <row r="1734" spans="7:11" x14ac:dyDescent="0.2">
      <c r="G1734" s="56"/>
      <c r="H1734" s="56"/>
      <c r="I1734" s="56"/>
      <c r="J1734" s="56"/>
      <c r="K1734" s="56"/>
    </row>
    <row r="1735" spans="7:11" x14ac:dyDescent="0.2">
      <c r="G1735" s="56"/>
      <c r="H1735" s="56"/>
      <c r="I1735" s="56"/>
      <c r="J1735" s="56"/>
      <c r="K1735" s="56"/>
    </row>
    <row r="1736" spans="7:11" x14ac:dyDescent="0.2">
      <c r="G1736" s="56"/>
      <c r="H1736" s="56"/>
      <c r="I1736" s="56"/>
      <c r="J1736" s="56"/>
      <c r="K1736" s="56"/>
    </row>
    <row r="1737" spans="7:11" x14ac:dyDescent="0.2">
      <c r="G1737" s="56"/>
      <c r="H1737" s="56"/>
      <c r="I1737" s="56"/>
      <c r="J1737" s="56"/>
      <c r="K1737" s="56"/>
    </row>
    <row r="1738" spans="7:11" x14ac:dyDescent="0.2">
      <c r="G1738" s="56"/>
      <c r="H1738" s="56"/>
      <c r="I1738" s="56"/>
      <c r="J1738" s="56"/>
      <c r="K1738" s="56"/>
    </row>
    <row r="1739" spans="7:11" x14ac:dyDescent="0.2">
      <c r="G1739" s="56"/>
      <c r="H1739" s="56"/>
      <c r="I1739" s="56"/>
      <c r="J1739" s="56"/>
      <c r="K1739" s="56"/>
    </row>
    <row r="1740" spans="7:11" x14ac:dyDescent="0.2">
      <c r="G1740" s="56"/>
      <c r="H1740" s="56"/>
      <c r="I1740" s="56"/>
      <c r="J1740" s="56"/>
      <c r="K1740" s="56"/>
    </row>
    <row r="1741" spans="7:11" x14ac:dyDescent="0.2">
      <c r="G1741" s="56"/>
      <c r="H1741" s="56"/>
      <c r="I1741" s="56"/>
      <c r="J1741" s="56"/>
      <c r="K1741" s="56"/>
    </row>
    <row r="1742" spans="7:11" x14ac:dyDescent="0.2">
      <c r="G1742" s="56"/>
      <c r="H1742" s="56"/>
      <c r="I1742" s="56"/>
      <c r="J1742" s="56"/>
      <c r="K1742" s="56"/>
    </row>
    <row r="1743" spans="7:11" x14ac:dyDescent="0.2">
      <c r="G1743" s="56"/>
      <c r="H1743" s="56"/>
      <c r="I1743" s="56"/>
      <c r="J1743" s="56"/>
      <c r="K1743" s="56"/>
    </row>
    <row r="1744" spans="7:11" x14ac:dyDescent="0.2">
      <c r="G1744" s="56"/>
      <c r="H1744" s="56"/>
      <c r="I1744" s="56"/>
      <c r="J1744" s="56"/>
      <c r="K1744" s="56"/>
    </row>
    <row r="1745" spans="7:11" x14ac:dyDescent="0.2">
      <c r="G1745" s="56"/>
      <c r="H1745" s="56"/>
      <c r="I1745" s="56"/>
      <c r="J1745" s="56"/>
      <c r="K1745" s="56"/>
    </row>
    <row r="1746" spans="7:11" x14ac:dyDescent="0.2">
      <c r="G1746" s="56"/>
      <c r="H1746" s="56"/>
      <c r="I1746" s="56"/>
      <c r="J1746" s="56"/>
      <c r="K1746" s="56"/>
    </row>
    <row r="1747" spans="7:11" x14ac:dyDescent="0.2">
      <c r="G1747" s="56"/>
      <c r="H1747" s="56"/>
      <c r="I1747" s="56"/>
      <c r="J1747" s="56"/>
      <c r="K1747" s="56"/>
    </row>
    <row r="1748" spans="7:11" x14ac:dyDescent="0.2">
      <c r="G1748" s="56"/>
      <c r="H1748" s="56"/>
      <c r="I1748" s="56"/>
      <c r="J1748" s="56"/>
      <c r="K1748" s="56"/>
    </row>
    <row r="1749" spans="7:11" x14ac:dyDescent="0.2">
      <c r="G1749" s="56"/>
      <c r="H1749" s="56"/>
      <c r="I1749" s="56"/>
      <c r="J1749" s="56"/>
      <c r="K1749" s="56"/>
    </row>
    <row r="1750" spans="7:11" x14ac:dyDescent="0.2">
      <c r="G1750" s="56"/>
      <c r="H1750" s="56"/>
      <c r="I1750" s="56"/>
      <c r="J1750" s="56"/>
      <c r="K1750" s="56"/>
    </row>
    <row r="1751" spans="7:11" x14ac:dyDescent="0.2">
      <c r="G1751" s="56"/>
      <c r="H1751" s="56"/>
      <c r="I1751" s="56"/>
      <c r="J1751" s="56"/>
      <c r="K1751" s="56"/>
    </row>
    <row r="1752" spans="7:11" x14ac:dyDescent="0.2">
      <c r="G1752" s="56"/>
      <c r="H1752" s="56"/>
      <c r="I1752" s="56"/>
      <c r="J1752" s="56"/>
      <c r="K1752" s="56"/>
    </row>
    <row r="1753" spans="7:11" x14ac:dyDescent="0.2">
      <c r="G1753" s="56"/>
      <c r="H1753" s="56"/>
      <c r="I1753" s="56"/>
      <c r="J1753" s="56"/>
      <c r="K1753" s="56"/>
    </row>
    <row r="1754" spans="7:11" x14ac:dyDescent="0.2">
      <c r="G1754" s="56"/>
      <c r="H1754" s="56"/>
      <c r="I1754" s="56"/>
      <c r="J1754" s="56"/>
      <c r="K1754" s="56"/>
    </row>
    <row r="1755" spans="7:11" x14ac:dyDescent="0.2">
      <c r="G1755" s="56"/>
      <c r="H1755" s="56"/>
      <c r="I1755" s="56"/>
      <c r="J1755" s="56"/>
      <c r="K1755" s="56"/>
    </row>
    <row r="1756" spans="7:11" x14ac:dyDescent="0.2">
      <c r="G1756" s="56"/>
      <c r="H1756" s="56"/>
      <c r="I1756" s="56"/>
      <c r="J1756" s="56"/>
      <c r="K1756" s="56"/>
    </row>
    <row r="1757" spans="7:11" x14ac:dyDescent="0.2">
      <c r="G1757" s="56"/>
      <c r="H1757" s="56"/>
      <c r="I1757" s="56"/>
      <c r="J1757" s="56"/>
      <c r="K1757" s="56"/>
    </row>
    <row r="1758" spans="7:11" x14ac:dyDescent="0.2">
      <c r="G1758" s="56"/>
      <c r="H1758" s="56"/>
      <c r="I1758" s="56"/>
      <c r="J1758" s="56"/>
      <c r="K1758" s="56"/>
    </row>
    <row r="1759" spans="7:11" x14ac:dyDescent="0.2">
      <c r="G1759" s="56"/>
      <c r="H1759" s="56"/>
      <c r="I1759" s="56"/>
      <c r="J1759" s="56"/>
      <c r="K1759" s="56"/>
    </row>
    <row r="1760" spans="7:11" x14ac:dyDescent="0.2">
      <c r="G1760" s="56"/>
      <c r="H1760" s="56"/>
      <c r="I1760" s="56"/>
      <c r="J1760" s="56"/>
      <c r="K1760" s="56"/>
    </row>
    <row r="1761" spans="7:11" x14ac:dyDescent="0.2">
      <c r="G1761" s="56"/>
      <c r="H1761" s="56"/>
      <c r="I1761" s="56"/>
      <c r="J1761" s="56"/>
      <c r="K1761" s="56"/>
    </row>
    <row r="1762" spans="7:11" x14ac:dyDescent="0.2">
      <c r="G1762" s="56"/>
      <c r="H1762" s="56"/>
      <c r="I1762" s="56"/>
      <c r="J1762" s="56"/>
      <c r="K1762" s="56"/>
    </row>
    <row r="1763" spans="7:11" x14ac:dyDescent="0.2">
      <c r="G1763" s="56"/>
      <c r="H1763" s="56"/>
      <c r="I1763" s="56"/>
      <c r="J1763" s="56"/>
      <c r="K1763" s="56"/>
    </row>
    <row r="1764" spans="7:11" x14ac:dyDescent="0.2">
      <c r="G1764" s="56"/>
      <c r="H1764" s="56"/>
      <c r="I1764" s="56"/>
      <c r="J1764" s="56"/>
      <c r="K1764" s="56"/>
    </row>
    <row r="1765" spans="7:11" x14ac:dyDescent="0.2">
      <c r="G1765" s="56"/>
      <c r="H1765" s="56"/>
      <c r="I1765" s="56"/>
      <c r="J1765" s="56"/>
      <c r="K1765" s="56"/>
    </row>
    <row r="1766" spans="7:11" x14ac:dyDescent="0.2">
      <c r="G1766" s="56"/>
      <c r="H1766" s="56"/>
      <c r="I1766" s="56"/>
      <c r="J1766" s="56"/>
      <c r="K1766" s="56"/>
    </row>
    <row r="1767" spans="7:11" x14ac:dyDescent="0.2">
      <c r="G1767" s="56"/>
      <c r="H1767" s="56"/>
      <c r="I1767" s="56"/>
      <c r="J1767" s="56"/>
      <c r="K1767" s="56"/>
    </row>
    <row r="1768" spans="7:11" x14ac:dyDescent="0.2">
      <c r="G1768" s="56"/>
      <c r="H1768" s="56"/>
      <c r="I1768" s="56"/>
      <c r="J1768" s="56"/>
      <c r="K1768" s="56"/>
    </row>
    <row r="1769" spans="7:11" x14ac:dyDescent="0.2">
      <c r="G1769" s="56"/>
      <c r="H1769" s="56"/>
      <c r="I1769" s="56"/>
      <c r="J1769" s="56"/>
      <c r="K1769" s="56"/>
    </row>
    <row r="1770" spans="7:11" x14ac:dyDescent="0.2">
      <c r="G1770" s="56"/>
      <c r="H1770" s="56"/>
      <c r="I1770" s="56"/>
      <c r="J1770" s="56"/>
      <c r="K1770" s="56"/>
    </row>
    <row r="1771" spans="7:11" x14ac:dyDescent="0.2">
      <c r="G1771" s="56"/>
      <c r="H1771" s="56"/>
      <c r="I1771" s="56"/>
      <c r="J1771" s="56"/>
      <c r="K1771" s="56"/>
    </row>
    <row r="1772" spans="7:11" x14ac:dyDescent="0.2">
      <c r="G1772" s="56"/>
      <c r="H1772" s="56"/>
      <c r="I1772" s="56"/>
      <c r="J1772" s="56"/>
      <c r="K1772" s="56"/>
    </row>
    <row r="1773" spans="7:11" x14ac:dyDescent="0.2">
      <c r="G1773" s="56"/>
      <c r="H1773" s="56"/>
      <c r="I1773" s="56"/>
      <c r="J1773" s="56"/>
      <c r="K1773" s="56"/>
    </row>
    <row r="1774" spans="7:11" x14ac:dyDescent="0.2">
      <c r="G1774" s="56"/>
      <c r="H1774" s="56"/>
      <c r="I1774" s="56"/>
      <c r="J1774" s="56"/>
      <c r="K1774" s="56"/>
    </row>
    <row r="1775" spans="7:11" x14ac:dyDescent="0.2">
      <c r="G1775" s="56"/>
      <c r="H1775" s="56"/>
      <c r="I1775" s="56"/>
      <c r="J1775" s="56"/>
      <c r="K1775" s="56"/>
    </row>
    <row r="1776" spans="7:11" x14ac:dyDescent="0.2">
      <c r="G1776" s="56"/>
      <c r="H1776" s="56"/>
      <c r="I1776" s="56"/>
      <c r="J1776" s="56"/>
      <c r="K1776" s="56"/>
    </row>
    <row r="1777" spans="7:11" x14ac:dyDescent="0.2">
      <c r="G1777" s="56"/>
      <c r="H1777" s="56"/>
      <c r="I1777" s="56"/>
      <c r="J1777" s="56"/>
      <c r="K1777" s="56"/>
    </row>
    <row r="1778" spans="7:11" x14ac:dyDescent="0.2">
      <c r="G1778" s="56"/>
      <c r="H1778" s="56"/>
      <c r="I1778" s="56"/>
      <c r="J1778" s="56"/>
      <c r="K1778" s="56"/>
    </row>
    <row r="1779" spans="7:11" x14ac:dyDescent="0.2">
      <c r="G1779" s="56"/>
      <c r="H1779" s="56"/>
      <c r="I1779" s="56"/>
      <c r="J1779" s="56"/>
      <c r="K1779" s="56"/>
    </row>
    <row r="1780" spans="7:11" x14ac:dyDescent="0.2">
      <c r="G1780" s="56"/>
      <c r="H1780" s="56"/>
      <c r="I1780" s="56"/>
      <c r="J1780" s="56"/>
      <c r="K1780" s="56"/>
    </row>
    <row r="1781" spans="7:11" x14ac:dyDescent="0.2">
      <c r="G1781" s="56"/>
      <c r="H1781" s="56"/>
      <c r="I1781" s="56"/>
      <c r="J1781" s="56"/>
      <c r="K1781" s="56"/>
    </row>
    <row r="1782" spans="7:11" x14ac:dyDescent="0.2">
      <c r="G1782" s="56"/>
      <c r="H1782" s="56"/>
      <c r="I1782" s="56"/>
      <c r="J1782" s="56"/>
      <c r="K1782" s="56"/>
    </row>
    <row r="1783" spans="7:11" x14ac:dyDescent="0.2">
      <c r="G1783" s="56"/>
      <c r="H1783" s="56"/>
      <c r="I1783" s="56"/>
      <c r="J1783" s="56"/>
      <c r="K1783" s="56"/>
    </row>
    <row r="1784" spans="7:11" x14ac:dyDescent="0.2">
      <c r="G1784" s="56"/>
      <c r="H1784" s="56"/>
      <c r="I1784" s="56"/>
      <c r="J1784" s="56"/>
      <c r="K1784" s="56"/>
    </row>
    <row r="1785" spans="7:11" x14ac:dyDescent="0.2">
      <c r="G1785" s="56"/>
      <c r="H1785" s="56"/>
      <c r="I1785" s="56"/>
      <c r="J1785" s="56"/>
      <c r="K1785" s="56"/>
    </row>
    <row r="1786" spans="7:11" x14ac:dyDescent="0.2">
      <c r="G1786" s="56"/>
      <c r="H1786" s="56"/>
      <c r="I1786" s="56"/>
      <c r="J1786" s="56"/>
      <c r="K1786" s="56"/>
    </row>
    <row r="1787" spans="7:11" x14ac:dyDescent="0.2">
      <c r="G1787" s="56"/>
      <c r="H1787" s="56"/>
      <c r="I1787" s="56"/>
      <c r="J1787" s="56"/>
      <c r="K1787" s="56"/>
    </row>
    <row r="1788" spans="7:11" x14ac:dyDescent="0.2">
      <c r="G1788" s="56"/>
      <c r="H1788" s="56"/>
      <c r="I1788" s="56"/>
      <c r="J1788" s="56"/>
      <c r="K1788" s="56"/>
    </row>
    <row r="1789" spans="7:11" x14ac:dyDescent="0.2">
      <c r="G1789" s="56"/>
      <c r="H1789" s="56"/>
      <c r="I1789" s="56"/>
      <c r="J1789" s="56"/>
      <c r="K1789" s="56"/>
    </row>
    <row r="1790" spans="7:11" x14ac:dyDescent="0.2">
      <c r="G1790" s="56"/>
      <c r="H1790" s="56"/>
      <c r="I1790" s="56"/>
      <c r="J1790" s="56"/>
      <c r="K1790" s="56"/>
    </row>
    <row r="1791" spans="7:11" x14ac:dyDescent="0.2">
      <c r="G1791" s="56"/>
      <c r="H1791" s="56"/>
      <c r="I1791" s="56"/>
      <c r="J1791" s="56"/>
      <c r="K1791" s="56"/>
    </row>
    <row r="1792" spans="7:11" x14ac:dyDescent="0.2">
      <c r="G1792" s="56"/>
      <c r="H1792" s="56"/>
      <c r="I1792" s="56"/>
      <c r="J1792" s="56"/>
      <c r="K1792" s="56"/>
    </row>
    <row r="1793" spans="7:11" x14ac:dyDescent="0.2">
      <c r="G1793" s="56"/>
      <c r="H1793" s="56"/>
      <c r="I1793" s="56"/>
      <c r="J1793" s="56"/>
      <c r="K1793" s="56"/>
    </row>
    <row r="1794" spans="7:11" x14ac:dyDescent="0.2">
      <c r="G1794" s="56"/>
      <c r="H1794" s="56"/>
      <c r="I1794" s="56"/>
      <c r="J1794" s="56"/>
      <c r="K1794" s="56"/>
    </row>
    <row r="1795" spans="7:11" x14ac:dyDescent="0.2">
      <c r="G1795" s="56"/>
      <c r="H1795" s="56"/>
      <c r="I1795" s="56"/>
      <c r="J1795" s="56"/>
      <c r="K1795" s="56"/>
    </row>
    <row r="1796" spans="7:11" x14ac:dyDescent="0.2">
      <c r="G1796" s="56"/>
      <c r="H1796" s="56"/>
      <c r="I1796" s="56"/>
      <c r="J1796" s="56"/>
      <c r="K1796" s="56"/>
    </row>
    <row r="1797" spans="7:11" x14ac:dyDescent="0.2">
      <c r="G1797" s="56"/>
      <c r="H1797" s="56"/>
      <c r="I1797" s="56"/>
      <c r="J1797" s="56"/>
      <c r="K1797" s="56"/>
    </row>
    <row r="1798" spans="7:11" x14ac:dyDescent="0.2">
      <c r="G1798" s="56"/>
      <c r="H1798" s="56"/>
      <c r="I1798" s="56"/>
      <c r="J1798" s="56"/>
      <c r="K1798" s="56"/>
    </row>
    <row r="1799" spans="7:11" x14ac:dyDescent="0.2">
      <c r="G1799" s="56"/>
      <c r="H1799" s="56"/>
      <c r="I1799" s="56"/>
      <c r="J1799" s="56"/>
      <c r="K1799" s="56"/>
    </row>
    <row r="1800" spans="7:11" x14ac:dyDescent="0.2">
      <c r="G1800" s="56"/>
      <c r="H1800" s="56"/>
      <c r="I1800" s="56"/>
      <c r="J1800" s="56"/>
      <c r="K1800" s="56"/>
    </row>
    <row r="1801" spans="7:11" x14ac:dyDescent="0.2">
      <c r="G1801" s="56"/>
      <c r="H1801" s="56"/>
      <c r="I1801" s="56"/>
      <c r="J1801" s="56"/>
      <c r="K1801" s="56"/>
    </row>
    <row r="1802" spans="7:11" x14ac:dyDescent="0.2">
      <c r="G1802" s="56"/>
      <c r="H1802" s="56"/>
      <c r="I1802" s="56"/>
      <c r="J1802" s="56"/>
      <c r="K1802" s="56"/>
    </row>
    <row r="1803" spans="7:11" x14ac:dyDescent="0.2">
      <c r="G1803" s="56"/>
      <c r="H1803" s="56"/>
      <c r="I1803" s="56"/>
      <c r="J1803" s="56"/>
      <c r="K1803" s="56"/>
    </row>
    <row r="1804" spans="7:11" x14ac:dyDescent="0.2">
      <c r="G1804" s="56"/>
      <c r="H1804" s="56"/>
      <c r="I1804" s="56"/>
      <c r="J1804" s="56"/>
      <c r="K1804" s="56"/>
    </row>
    <row r="1805" spans="7:11" x14ac:dyDescent="0.2">
      <c r="G1805" s="56"/>
      <c r="H1805" s="56"/>
      <c r="I1805" s="56"/>
      <c r="J1805" s="56"/>
      <c r="K1805" s="56"/>
    </row>
    <row r="1806" spans="7:11" x14ac:dyDescent="0.2">
      <c r="G1806" s="56"/>
      <c r="H1806" s="56"/>
      <c r="I1806" s="56"/>
      <c r="J1806" s="56"/>
      <c r="K1806" s="56"/>
    </row>
    <row r="1807" spans="7:11" x14ac:dyDescent="0.2">
      <c r="G1807" s="56"/>
      <c r="H1807" s="56"/>
      <c r="I1807" s="56"/>
      <c r="J1807" s="56"/>
      <c r="K1807" s="56"/>
    </row>
    <row r="1808" spans="7:11" x14ac:dyDescent="0.2">
      <c r="G1808" s="56"/>
      <c r="H1808" s="56"/>
      <c r="I1808" s="56"/>
      <c r="J1808" s="56"/>
      <c r="K1808" s="56"/>
    </row>
    <row r="1809" spans="7:11" x14ac:dyDescent="0.2">
      <c r="G1809" s="56"/>
      <c r="H1809" s="56"/>
      <c r="I1809" s="56"/>
      <c r="J1809" s="56"/>
      <c r="K1809" s="56"/>
    </row>
    <row r="1810" spans="7:11" x14ac:dyDescent="0.2">
      <c r="G1810" s="56"/>
      <c r="H1810" s="56"/>
      <c r="I1810" s="56"/>
      <c r="J1810" s="56"/>
      <c r="K1810" s="56"/>
    </row>
    <row r="1811" spans="7:11" x14ac:dyDescent="0.2">
      <c r="G1811" s="56"/>
      <c r="H1811" s="56"/>
      <c r="I1811" s="56"/>
      <c r="J1811" s="56"/>
      <c r="K1811" s="56"/>
    </row>
    <row r="1812" spans="7:11" x14ac:dyDescent="0.2">
      <c r="G1812" s="56"/>
      <c r="H1812" s="56"/>
      <c r="I1812" s="56"/>
      <c r="J1812" s="56"/>
      <c r="K1812" s="56"/>
    </row>
    <row r="1813" spans="7:11" x14ac:dyDescent="0.2">
      <c r="G1813" s="56"/>
      <c r="H1813" s="56"/>
      <c r="I1813" s="56"/>
      <c r="J1813" s="56"/>
      <c r="K1813" s="56"/>
    </row>
    <row r="1814" spans="7:11" x14ac:dyDescent="0.2">
      <c r="G1814" s="56"/>
      <c r="H1814" s="56"/>
      <c r="I1814" s="56"/>
      <c r="J1814" s="56"/>
      <c r="K1814" s="56"/>
    </row>
    <row r="1815" spans="7:11" x14ac:dyDescent="0.2">
      <c r="G1815" s="56"/>
      <c r="H1815" s="56"/>
      <c r="I1815" s="56"/>
      <c r="J1815" s="56"/>
      <c r="K1815" s="56"/>
    </row>
    <row r="1816" spans="7:11" x14ac:dyDescent="0.2">
      <c r="G1816" s="56"/>
      <c r="H1816" s="56"/>
      <c r="I1816" s="56"/>
      <c r="J1816" s="56"/>
      <c r="K1816" s="56"/>
    </row>
    <row r="1817" spans="7:11" x14ac:dyDescent="0.2">
      <c r="G1817" s="56"/>
      <c r="H1817" s="56"/>
      <c r="I1817" s="56"/>
      <c r="J1817" s="56"/>
      <c r="K1817" s="56"/>
    </row>
    <row r="1818" spans="7:11" x14ac:dyDescent="0.2">
      <c r="G1818" s="56"/>
      <c r="H1818" s="56"/>
      <c r="I1818" s="56"/>
      <c r="J1818" s="56"/>
      <c r="K1818" s="56"/>
    </row>
    <row r="1819" spans="7:11" x14ac:dyDescent="0.2">
      <c r="G1819" s="56"/>
      <c r="H1819" s="56"/>
      <c r="I1819" s="56"/>
      <c r="J1819" s="56"/>
      <c r="K1819" s="56"/>
    </row>
    <row r="1820" spans="7:11" x14ac:dyDescent="0.2">
      <c r="G1820" s="56"/>
      <c r="H1820" s="56"/>
      <c r="I1820" s="56"/>
      <c r="J1820" s="56"/>
      <c r="K1820" s="56"/>
    </row>
    <row r="1821" spans="7:11" x14ac:dyDescent="0.2">
      <c r="G1821" s="56"/>
      <c r="H1821" s="56"/>
      <c r="I1821" s="56"/>
      <c r="J1821" s="56"/>
      <c r="K1821" s="56"/>
    </row>
    <row r="1822" spans="7:11" x14ac:dyDescent="0.2">
      <c r="G1822" s="56"/>
      <c r="H1822" s="56"/>
      <c r="I1822" s="56"/>
      <c r="J1822" s="56"/>
      <c r="K1822" s="56"/>
    </row>
    <row r="1823" spans="7:11" x14ac:dyDescent="0.2">
      <c r="G1823" s="56"/>
      <c r="H1823" s="56"/>
      <c r="I1823" s="56"/>
      <c r="J1823" s="56"/>
      <c r="K1823" s="56"/>
    </row>
    <row r="1824" spans="7:11" x14ac:dyDescent="0.2">
      <c r="G1824" s="56"/>
      <c r="H1824" s="56"/>
      <c r="I1824" s="56"/>
      <c r="J1824" s="56"/>
      <c r="K1824" s="56"/>
    </row>
    <row r="1825" spans="7:11" x14ac:dyDescent="0.2">
      <c r="G1825" s="56"/>
      <c r="H1825" s="56"/>
      <c r="I1825" s="56"/>
      <c r="J1825" s="56"/>
      <c r="K1825" s="56"/>
    </row>
    <row r="1826" spans="7:11" x14ac:dyDescent="0.2">
      <c r="G1826" s="56"/>
      <c r="H1826" s="56"/>
      <c r="I1826" s="56"/>
      <c r="J1826" s="56"/>
      <c r="K1826" s="56"/>
    </row>
    <row r="1827" spans="7:11" x14ac:dyDescent="0.2">
      <c r="G1827" s="56"/>
      <c r="H1827" s="56"/>
      <c r="I1827" s="56"/>
      <c r="J1827" s="56"/>
      <c r="K1827" s="56"/>
    </row>
    <row r="1828" spans="7:11" x14ac:dyDescent="0.2">
      <c r="G1828" s="56"/>
      <c r="H1828" s="56"/>
      <c r="I1828" s="56"/>
      <c r="J1828" s="56"/>
      <c r="K1828" s="56"/>
    </row>
    <row r="1829" spans="7:11" x14ac:dyDescent="0.2">
      <c r="G1829" s="56"/>
      <c r="H1829" s="56"/>
      <c r="I1829" s="56"/>
      <c r="J1829" s="56"/>
      <c r="K1829" s="56"/>
    </row>
    <row r="1830" spans="7:11" x14ac:dyDescent="0.2">
      <c r="G1830" s="56"/>
      <c r="H1830" s="56"/>
      <c r="I1830" s="56"/>
      <c r="J1830" s="56"/>
      <c r="K1830" s="56"/>
    </row>
    <row r="1831" spans="7:11" x14ac:dyDescent="0.2">
      <c r="G1831" s="56"/>
      <c r="H1831" s="56"/>
      <c r="I1831" s="56"/>
      <c r="J1831" s="56"/>
      <c r="K1831" s="56"/>
    </row>
    <row r="1832" spans="7:11" x14ac:dyDescent="0.2">
      <c r="G1832" s="56"/>
      <c r="H1832" s="56"/>
      <c r="I1832" s="56"/>
      <c r="J1832" s="56"/>
      <c r="K1832" s="56"/>
    </row>
    <row r="1833" spans="7:11" x14ac:dyDescent="0.2">
      <c r="G1833" s="56"/>
      <c r="H1833" s="56"/>
      <c r="I1833" s="56"/>
      <c r="J1833" s="56"/>
      <c r="K1833" s="56"/>
    </row>
    <row r="1834" spans="7:11" x14ac:dyDescent="0.2">
      <c r="G1834" s="56"/>
      <c r="H1834" s="56"/>
      <c r="I1834" s="56"/>
      <c r="J1834" s="56"/>
      <c r="K1834" s="56"/>
    </row>
    <row r="1835" spans="7:11" x14ac:dyDescent="0.2">
      <c r="G1835" s="56"/>
      <c r="H1835" s="56"/>
      <c r="I1835" s="56"/>
      <c r="J1835" s="56"/>
      <c r="K1835" s="56"/>
    </row>
    <row r="1836" spans="7:11" x14ac:dyDescent="0.2">
      <c r="G1836" s="56"/>
      <c r="H1836" s="56"/>
      <c r="I1836" s="56"/>
      <c r="J1836" s="56"/>
      <c r="K1836" s="56"/>
    </row>
    <row r="1837" spans="7:11" x14ac:dyDescent="0.2">
      <c r="G1837" s="56"/>
      <c r="H1837" s="56"/>
      <c r="I1837" s="56"/>
      <c r="J1837" s="56"/>
      <c r="K1837" s="56"/>
    </row>
    <row r="1838" spans="7:11" x14ac:dyDescent="0.2">
      <c r="G1838" s="56"/>
      <c r="H1838" s="56"/>
      <c r="I1838" s="56"/>
      <c r="J1838" s="56"/>
      <c r="K1838" s="56"/>
    </row>
    <row r="1839" spans="7:11" x14ac:dyDescent="0.2">
      <c r="G1839" s="56"/>
      <c r="H1839" s="56"/>
      <c r="I1839" s="56"/>
      <c r="J1839" s="56"/>
      <c r="K1839" s="56"/>
    </row>
    <row r="1840" spans="7:11" x14ac:dyDescent="0.2">
      <c r="G1840" s="56"/>
      <c r="H1840" s="56"/>
      <c r="I1840" s="56"/>
      <c r="J1840" s="56"/>
      <c r="K1840" s="56"/>
    </row>
    <row r="1841" spans="7:11" x14ac:dyDescent="0.2">
      <c r="G1841" s="56"/>
      <c r="H1841" s="56"/>
      <c r="I1841" s="56"/>
      <c r="J1841" s="56"/>
      <c r="K1841" s="56"/>
    </row>
    <row r="1842" spans="7:11" x14ac:dyDescent="0.2">
      <c r="G1842" s="56"/>
      <c r="H1842" s="56"/>
      <c r="I1842" s="56"/>
      <c r="J1842" s="56"/>
      <c r="K1842" s="56"/>
    </row>
    <row r="1843" spans="7:11" x14ac:dyDescent="0.2">
      <c r="G1843" s="56"/>
      <c r="H1843" s="56"/>
      <c r="I1843" s="56"/>
      <c r="J1843" s="56"/>
      <c r="K1843" s="56"/>
    </row>
    <row r="1844" spans="7:11" x14ac:dyDescent="0.2">
      <c r="G1844" s="56"/>
      <c r="H1844" s="56"/>
      <c r="I1844" s="56"/>
      <c r="J1844" s="56"/>
      <c r="K1844" s="56"/>
    </row>
    <row r="1845" spans="7:11" x14ac:dyDescent="0.2">
      <c r="G1845" s="56"/>
      <c r="H1845" s="56"/>
      <c r="I1845" s="56"/>
      <c r="J1845" s="56"/>
      <c r="K1845" s="56"/>
    </row>
    <row r="1846" spans="7:11" x14ac:dyDescent="0.2">
      <c r="G1846" s="56"/>
      <c r="H1846" s="56"/>
      <c r="I1846" s="56"/>
      <c r="J1846" s="56"/>
      <c r="K1846" s="56"/>
    </row>
    <row r="1847" spans="7:11" x14ac:dyDescent="0.2">
      <c r="G1847" s="56"/>
      <c r="H1847" s="56"/>
      <c r="I1847" s="56"/>
      <c r="J1847" s="56"/>
      <c r="K1847" s="56"/>
    </row>
    <row r="1848" spans="7:11" x14ac:dyDescent="0.2">
      <c r="G1848" s="56"/>
      <c r="H1848" s="56"/>
      <c r="I1848" s="56"/>
      <c r="J1848" s="56"/>
      <c r="K1848" s="56"/>
    </row>
    <row r="1849" spans="7:11" x14ac:dyDescent="0.2">
      <c r="G1849" s="56"/>
      <c r="H1849" s="56"/>
      <c r="I1849" s="56"/>
      <c r="J1849" s="56"/>
      <c r="K1849" s="56"/>
    </row>
    <row r="1850" spans="7:11" x14ac:dyDescent="0.2">
      <c r="G1850" s="56"/>
      <c r="H1850" s="56"/>
      <c r="I1850" s="56"/>
      <c r="J1850" s="56"/>
      <c r="K1850" s="56"/>
    </row>
    <row r="1851" spans="7:11" x14ac:dyDescent="0.2">
      <c r="G1851" s="56"/>
      <c r="H1851" s="56"/>
      <c r="I1851" s="56"/>
      <c r="J1851" s="56"/>
      <c r="K1851" s="56"/>
    </row>
    <row r="1852" spans="7:11" x14ac:dyDescent="0.2">
      <c r="G1852" s="56"/>
      <c r="H1852" s="56"/>
      <c r="I1852" s="56"/>
      <c r="J1852" s="56"/>
      <c r="K1852" s="56"/>
    </row>
    <row r="1853" spans="7:11" x14ac:dyDescent="0.2">
      <c r="G1853" s="56"/>
      <c r="H1853" s="56"/>
      <c r="I1853" s="56"/>
      <c r="J1853" s="56"/>
      <c r="K1853" s="56"/>
    </row>
    <row r="1854" spans="7:11" x14ac:dyDescent="0.2">
      <c r="G1854" s="56"/>
      <c r="H1854" s="56"/>
      <c r="I1854" s="56"/>
      <c r="J1854" s="56"/>
      <c r="K1854" s="56"/>
    </row>
    <row r="1855" spans="7:11" x14ac:dyDescent="0.2">
      <c r="G1855" s="56"/>
      <c r="H1855" s="56"/>
      <c r="I1855" s="56"/>
      <c r="J1855" s="56"/>
      <c r="K1855" s="56"/>
    </row>
    <row r="1856" spans="7:11" x14ac:dyDescent="0.2">
      <c r="G1856" s="56"/>
      <c r="H1856" s="56"/>
      <c r="I1856" s="56"/>
      <c r="J1856" s="56"/>
      <c r="K1856" s="56"/>
    </row>
    <row r="1857" spans="7:11" x14ac:dyDescent="0.2">
      <c r="G1857" s="56"/>
      <c r="H1857" s="56"/>
      <c r="I1857" s="56"/>
      <c r="J1857" s="56"/>
      <c r="K1857" s="56"/>
    </row>
    <row r="1858" spans="7:11" x14ac:dyDescent="0.2">
      <c r="G1858" s="56"/>
      <c r="H1858" s="56"/>
      <c r="I1858" s="56"/>
      <c r="J1858" s="56"/>
      <c r="K1858" s="56"/>
    </row>
    <row r="1859" spans="7:11" x14ac:dyDescent="0.2">
      <c r="G1859" s="56"/>
      <c r="H1859" s="56"/>
      <c r="I1859" s="56"/>
      <c r="J1859" s="56"/>
      <c r="K1859" s="56"/>
    </row>
    <row r="1860" spans="7:11" x14ac:dyDescent="0.2">
      <c r="G1860" s="56"/>
      <c r="H1860" s="56"/>
      <c r="I1860" s="56"/>
      <c r="J1860" s="56"/>
      <c r="K1860" s="56"/>
    </row>
    <row r="1861" spans="7:11" x14ac:dyDescent="0.2">
      <c r="G1861" s="56"/>
      <c r="H1861" s="56"/>
      <c r="I1861" s="56"/>
      <c r="J1861" s="56"/>
      <c r="K1861" s="56"/>
    </row>
    <row r="1862" spans="7:11" x14ac:dyDescent="0.2">
      <c r="G1862" s="56"/>
      <c r="H1862" s="56"/>
      <c r="I1862" s="56"/>
      <c r="J1862" s="56"/>
      <c r="K1862" s="56"/>
    </row>
    <row r="1863" spans="7:11" x14ac:dyDescent="0.2">
      <c r="G1863" s="56"/>
      <c r="H1863" s="56"/>
      <c r="I1863" s="56"/>
      <c r="J1863" s="56"/>
      <c r="K1863" s="56"/>
    </row>
    <row r="1864" spans="7:11" x14ac:dyDescent="0.2">
      <c r="G1864" s="56"/>
      <c r="H1864" s="56"/>
      <c r="I1864" s="56"/>
      <c r="J1864" s="56"/>
      <c r="K1864" s="56"/>
    </row>
    <row r="1865" spans="7:11" x14ac:dyDescent="0.2">
      <c r="G1865" s="56"/>
      <c r="H1865" s="56"/>
      <c r="I1865" s="56"/>
      <c r="J1865" s="56"/>
      <c r="K1865" s="56"/>
    </row>
    <row r="1866" spans="7:11" x14ac:dyDescent="0.2">
      <c r="G1866" s="56"/>
      <c r="H1866" s="56"/>
      <c r="I1866" s="56"/>
      <c r="J1866" s="56"/>
      <c r="K1866" s="56"/>
    </row>
    <row r="1867" spans="7:11" x14ac:dyDescent="0.2">
      <c r="G1867" s="56"/>
      <c r="H1867" s="56"/>
      <c r="I1867" s="56"/>
      <c r="J1867" s="56"/>
      <c r="K1867" s="56"/>
    </row>
    <row r="1868" spans="7:11" x14ac:dyDescent="0.2">
      <c r="G1868" s="56"/>
      <c r="H1868" s="56"/>
      <c r="I1868" s="56"/>
      <c r="J1868" s="56"/>
      <c r="K1868" s="56"/>
    </row>
    <row r="1869" spans="7:11" x14ac:dyDescent="0.2">
      <c r="G1869" s="56"/>
      <c r="H1869" s="56"/>
      <c r="I1869" s="56"/>
      <c r="J1869" s="56"/>
      <c r="K1869" s="56"/>
    </row>
    <row r="1870" spans="7:11" x14ac:dyDescent="0.2">
      <c r="G1870" s="56"/>
      <c r="H1870" s="56"/>
      <c r="I1870" s="56"/>
      <c r="J1870" s="56"/>
      <c r="K1870" s="56"/>
    </row>
    <row r="1871" spans="7:11" x14ac:dyDescent="0.2">
      <c r="G1871" s="56"/>
      <c r="H1871" s="56"/>
      <c r="I1871" s="56"/>
      <c r="J1871" s="56"/>
      <c r="K1871" s="56"/>
    </row>
    <row r="1872" spans="7:11" x14ac:dyDescent="0.2">
      <c r="G1872" s="56"/>
      <c r="H1872" s="56"/>
      <c r="I1872" s="56"/>
      <c r="J1872" s="56"/>
      <c r="K1872" s="56"/>
    </row>
    <row r="1873" spans="7:11" x14ac:dyDescent="0.2">
      <c r="G1873" s="56"/>
      <c r="H1873" s="56"/>
      <c r="I1873" s="56"/>
      <c r="J1873" s="56"/>
      <c r="K1873" s="56"/>
    </row>
    <row r="1874" spans="7:11" x14ac:dyDescent="0.2">
      <c r="G1874" s="56"/>
      <c r="H1874" s="56"/>
      <c r="I1874" s="56"/>
      <c r="J1874" s="56"/>
      <c r="K1874" s="56"/>
    </row>
    <row r="1875" spans="7:11" x14ac:dyDescent="0.2">
      <c r="G1875" s="56"/>
      <c r="H1875" s="56"/>
      <c r="I1875" s="56"/>
      <c r="J1875" s="56"/>
      <c r="K1875" s="56"/>
    </row>
    <row r="1876" spans="7:11" x14ac:dyDescent="0.2">
      <c r="G1876" s="56"/>
      <c r="H1876" s="56"/>
      <c r="I1876" s="56"/>
      <c r="J1876" s="56"/>
      <c r="K1876" s="56"/>
    </row>
    <row r="1877" spans="7:11" x14ac:dyDescent="0.2">
      <c r="G1877" s="56"/>
      <c r="H1877" s="56"/>
      <c r="I1877" s="56"/>
      <c r="J1877" s="56"/>
      <c r="K1877" s="56"/>
    </row>
    <row r="1878" spans="7:11" x14ac:dyDescent="0.2">
      <c r="G1878" s="56"/>
      <c r="H1878" s="56"/>
      <c r="I1878" s="56"/>
      <c r="J1878" s="56"/>
      <c r="K1878" s="56"/>
    </row>
    <row r="1879" spans="7:11" x14ac:dyDescent="0.2">
      <c r="G1879" s="56"/>
      <c r="H1879" s="56"/>
      <c r="I1879" s="56"/>
      <c r="J1879" s="56"/>
      <c r="K1879" s="56"/>
    </row>
    <row r="1880" spans="7:11" x14ac:dyDescent="0.2">
      <c r="G1880" s="56"/>
      <c r="H1880" s="56"/>
      <c r="I1880" s="56"/>
      <c r="J1880" s="56"/>
      <c r="K1880" s="56"/>
    </row>
    <row r="1881" spans="7:11" x14ac:dyDescent="0.2">
      <c r="G1881" s="56"/>
      <c r="H1881" s="56"/>
      <c r="I1881" s="56"/>
      <c r="J1881" s="56"/>
      <c r="K1881" s="56"/>
    </row>
    <row r="1882" spans="7:11" x14ac:dyDescent="0.2">
      <c r="G1882" s="56"/>
      <c r="H1882" s="56"/>
      <c r="I1882" s="56"/>
      <c r="J1882" s="56"/>
      <c r="K1882" s="56"/>
    </row>
    <row r="1883" spans="7:11" x14ac:dyDescent="0.2">
      <c r="G1883" s="56"/>
      <c r="H1883" s="56"/>
      <c r="I1883" s="56"/>
      <c r="J1883" s="56"/>
      <c r="K1883" s="56"/>
    </row>
    <row r="1884" spans="7:11" x14ac:dyDescent="0.2">
      <c r="G1884" s="56"/>
      <c r="H1884" s="56"/>
      <c r="I1884" s="56"/>
      <c r="J1884" s="56"/>
      <c r="K1884" s="56"/>
    </row>
    <row r="1885" spans="7:11" x14ac:dyDescent="0.2">
      <c r="G1885" s="56"/>
      <c r="H1885" s="56"/>
      <c r="I1885" s="56"/>
      <c r="J1885" s="56"/>
      <c r="K1885" s="56"/>
    </row>
    <row r="1886" spans="7:11" x14ac:dyDescent="0.2">
      <c r="G1886" s="56"/>
      <c r="H1886" s="56"/>
      <c r="I1886" s="56"/>
      <c r="J1886" s="56"/>
      <c r="K1886" s="56"/>
    </row>
    <row r="1887" spans="7:11" x14ac:dyDescent="0.2">
      <c r="G1887" s="56"/>
      <c r="H1887" s="56"/>
      <c r="I1887" s="56"/>
      <c r="J1887" s="56"/>
      <c r="K1887" s="56"/>
    </row>
    <row r="1888" spans="7:11" x14ac:dyDescent="0.2">
      <c r="G1888" s="56"/>
      <c r="H1888" s="56"/>
      <c r="I1888" s="56"/>
      <c r="J1888" s="56"/>
      <c r="K1888" s="56"/>
    </row>
    <row r="1889" spans="7:11" x14ac:dyDescent="0.2">
      <c r="G1889" s="56"/>
      <c r="H1889" s="56"/>
      <c r="I1889" s="56"/>
      <c r="J1889" s="56"/>
      <c r="K1889" s="56"/>
    </row>
    <row r="1890" spans="7:11" x14ac:dyDescent="0.2">
      <c r="G1890" s="56"/>
      <c r="H1890" s="56"/>
      <c r="I1890" s="56"/>
      <c r="J1890" s="56"/>
      <c r="K1890" s="56"/>
    </row>
    <row r="1891" spans="7:11" x14ac:dyDescent="0.2">
      <c r="G1891" s="56"/>
      <c r="H1891" s="56"/>
      <c r="I1891" s="56"/>
      <c r="J1891" s="56"/>
      <c r="K1891" s="56"/>
    </row>
    <row r="1892" spans="7:11" x14ac:dyDescent="0.2">
      <c r="G1892" s="56"/>
      <c r="H1892" s="56"/>
      <c r="I1892" s="56"/>
      <c r="J1892" s="56"/>
      <c r="K1892" s="56"/>
    </row>
    <row r="1893" spans="7:11" x14ac:dyDescent="0.2">
      <c r="G1893" s="56"/>
      <c r="H1893" s="56"/>
      <c r="I1893" s="56"/>
      <c r="J1893" s="56"/>
      <c r="K1893" s="56"/>
    </row>
    <row r="1894" spans="7:11" x14ac:dyDescent="0.2">
      <c r="G1894" s="56"/>
      <c r="H1894" s="56"/>
      <c r="I1894" s="56"/>
      <c r="J1894" s="56"/>
      <c r="K1894" s="56"/>
    </row>
    <row r="1895" spans="7:11" x14ac:dyDescent="0.2">
      <c r="G1895" s="56"/>
      <c r="H1895" s="56"/>
      <c r="I1895" s="56"/>
      <c r="J1895" s="56"/>
      <c r="K1895" s="56"/>
    </row>
    <row r="1896" spans="7:11" x14ac:dyDescent="0.2">
      <c r="G1896" s="56"/>
      <c r="H1896" s="56"/>
      <c r="I1896" s="56"/>
      <c r="J1896" s="56"/>
      <c r="K1896" s="56"/>
    </row>
    <row r="1897" spans="7:11" x14ac:dyDescent="0.2">
      <c r="G1897" s="56"/>
      <c r="H1897" s="56"/>
      <c r="I1897" s="56"/>
      <c r="J1897" s="56"/>
      <c r="K1897" s="56"/>
    </row>
    <row r="1898" spans="7:11" x14ac:dyDescent="0.2">
      <c r="G1898" s="56"/>
      <c r="H1898" s="56"/>
      <c r="I1898" s="56"/>
      <c r="J1898" s="56"/>
      <c r="K1898" s="56"/>
    </row>
    <row r="1899" spans="7:11" x14ac:dyDescent="0.2">
      <c r="G1899" s="56"/>
      <c r="H1899" s="56"/>
      <c r="I1899" s="56"/>
      <c r="J1899" s="56"/>
      <c r="K1899" s="56"/>
    </row>
    <row r="1900" spans="7:11" x14ac:dyDescent="0.2">
      <c r="G1900" s="56"/>
      <c r="H1900" s="56"/>
      <c r="I1900" s="56"/>
      <c r="J1900" s="56"/>
      <c r="K1900" s="56"/>
    </row>
    <row r="1901" spans="7:11" x14ac:dyDescent="0.2">
      <c r="G1901" s="56"/>
      <c r="H1901" s="56"/>
      <c r="I1901" s="56"/>
      <c r="J1901" s="56"/>
      <c r="K1901" s="56"/>
    </row>
    <row r="1902" spans="7:11" x14ac:dyDescent="0.2">
      <c r="G1902" s="56"/>
      <c r="H1902" s="56"/>
      <c r="I1902" s="56"/>
      <c r="J1902" s="56"/>
      <c r="K1902" s="56"/>
    </row>
    <row r="1903" spans="7:11" x14ac:dyDescent="0.2">
      <c r="G1903" s="56"/>
      <c r="H1903" s="56"/>
      <c r="I1903" s="56"/>
      <c r="J1903" s="56"/>
      <c r="K1903" s="56"/>
    </row>
    <row r="1904" spans="7:11" x14ac:dyDescent="0.2">
      <c r="G1904" s="56"/>
      <c r="H1904" s="56"/>
      <c r="I1904" s="56"/>
      <c r="J1904" s="56"/>
      <c r="K1904" s="56"/>
    </row>
    <row r="1905" spans="7:11" x14ac:dyDescent="0.2">
      <c r="G1905" s="56"/>
      <c r="H1905" s="56"/>
      <c r="I1905" s="56"/>
      <c r="J1905" s="56"/>
      <c r="K1905" s="56"/>
    </row>
    <row r="1906" spans="7:11" x14ac:dyDescent="0.2">
      <c r="G1906" s="56"/>
      <c r="H1906" s="56"/>
      <c r="I1906" s="56"/>
      <c r="J1906" s="56"/>
      <c r="K1906" s="56"/>
    </row>
    <row r="1907" spans="7:11" x14ac:dyDescent="0.2">
      <c r="G1907" s="56"/>
      <c r="H1907" s="56"/>
      <c r="I1907" s="56"/>
      <c r="J1907" s="56"/>
      <c r="K1907" s="56"/>
    </row>
    <row r="1908" spans="7:11" x14ac:dyDescent="0.2">
      <c r="G1908" s="56"/>
      <c r="H1908" s="56"/>
      <c r="I1908" s="56"/>
      <c r="J1908" s="56"/>
      <c r="K1908" s="56"/>
    </row>
    <row r="1909" spans="7:11" x14ac:dyDescent="0.2">
      <c r="G1909" s="56"/>
      <c r="H1909" s="56"/>
      <c r="I1909" s="56"/>
      <c r="J1909" s="56"/>
      <c r="K1909" s="56"/>
    </row>
    <row r="1910" spans="7:11" x14ac:dyDescent="0.2">
      <c r="G1910" s="56"/>
      <c r="H1910" s="56"/>
      <c r="I1910" s="56"/>
      <c r="J1910" s="56"/>
      <c r="K1910" s="56"/>
    </row>
    <row r="1911" spans="7:11" x14ac:dyDescent="0.2">
      <c r="G1911" s="56"/>
      <c r="H1911" s="56"/>
      <c r="I1911" s="56"/>
      <c r="J1911" s="56"/>
      <c r="K1911" s="56"/>
    </row>
    <row r="1912" spans="7:11" x14ac:dyDescent="0.2">
      <c r="G1912" s="56"/>
      <c r="H1912" s="56"/>
      <c r="I1912" s="56"/>
      <c r="J1912" s="56"/>
      <c r="K1912" s="56"/>
    </row>
    <row r="1913" spans="7:11" x14ac:dyDescent="0.2">
      <c r="G1913" s="56"/>
      <c r="H1913" s="56"/>
      <c r="I1913" s="56"/>
      <c r="J1913" s="56"/>
      <c r="K1913" s="56"/>
    </row>
    <row r="1914" spans="7:11" x14ac:dyDescent="0.2">
      <c r="G1914" s="56"/>
      <c r="H1914" s="56"/>
      <c r="I1914" s="56"/>
      <c r="J1914" s="56"/>
      <c r="K1914" s="56"/>
    </row>
    <row r="1915" spans="7:11" x14ac:dyDescent="0.2">
      <c r="G1915" s="56"/>
      <c r="H1915" s="56"/>
      <c r="I1915" s="56"/>
      <c r="J1915" s="56"/>
      <c r="K1915" s="56"/>
    </row>
    <row r="1916" spans="7:11" x14ac:dyDescent="0.2">
      <c r="G1916" s="56"/>
      <c r="H1916" s="56"/>
      <c r="I1916" s="56"/>
      <c r="J1916" s="56"/>
      <c r="K1916" s="56"/>
    </row>
    <row r="1917" spans="7:11" x14ac:dyDescent="0.2">
      <c r="G1917" s="56"/>
      <c r="H1917" s="56"/>
      <c r="I1917" s="56"/>
      <c r="J1917" s="56"/>
      <c r="K1917" s="56"/>
    </row>
    <row r="1918" spans="7:11" x14ac:dyDescent="0.2">
      <c r="G1918" s="56"/>
      <c r="H1918" s="56"/>
      <c r="I1918" s="56"/>
      <c r="J1918" s="56"/>
      <c r="K1918" s="56"/>
    </row>
    <row r="1919" spans="7:11" x14ac:dyDescent="0.2">
      <c r="G1919" s="56"/>
      <c r="H1919" s="56"/>
      <c r="I1919" s="56"/>
      <c r="J1919" s="56"/>
      <c r="K1919" s="56"/>
    </row>
    <row r="1920" spans="7:11" x14ac:dyDescent="0.2">
      <c r="G1920" s="56"/>
      <c r="H1920" s="56"/>
      <c r="I1920" s="56"/>
      <c r="J1920" s="56"/>
      <c r="K1920" s="56"/>
    </row>
    <row r="1921" spans="7:11" x14ac:dyDescent="0.2">
      <c r="G1921" s="56"/>
      <c r="H1921" s="56"/>
      <c r="I1921" s="56"/>
      <c r="J1921" s="56"/>
      <c r="K1921" s="56"/>
    </row>
    <row r="1922" spans="7:11" x14ac:dyDescent="0.2">
      <c r="G1922" s="56"/>
      <c r="H1922" s="56"/>
      <c r="I1922" s="56"/>
      <c r="J1922" s="56"/>
      <c r="K1922" s="56"/>
    </row>
    <row r="1923" spans="7:11" x14ac:dyDescent="0.2">
      <c r="G1923" s="56"/>
      <c r="H1923" s="56"/>
      <c r="I1923" s="56"/>
      <c r="J1923" s="56"/>
      <c r="K1923" s="56"/>
    </row>
    <row r="1924" spans="7:11" x14ac:dyDescent="0.2">
      <c r="G1924" s="56"/>
      <c r="H1924" s="56"/>
      <c r="I1924" s="56"/>
      <c r="J1924" s="56"/>
      <c r="K1924" s="56"/>
    </row>
    <row r="1925" spans="7:11" x14ac:dyDescent="0.2">
      <c r="G1925" s="56"/>
      <c r="H1925" s="56"/>
      <c r="I1925" s="56"/>
      <c r="J1925" s="56"/>
      <c r="K1925" s="56"/>
    </row>
    <row r="1926" spans="7:11" x14ac:dyDescent="0.2">
      <c r="G1926" s="56"/>
      <c r="H1926" s="56"/>
      <c r="I1926" s="56"/>
      <c r="J1926" s="56"/>
      <c r="K1926" s="56"/>
    </row>
    <row r="1927" spans="7:11" x14ac:dyDescent="0.2">
      <c r="G1927" s="56"/>
      <c r="H1927" s="56"/>
      <c r="I1927" s="56"/>
      <c r="J1927" s="56"/>
      <c r="K1927" s="56"/>
    </row>
    <row r="1928" spans="7:11" x14ac:dyDescent="0.2">
      <c r="G1928" s="56"/>
      <c r="H1928" s="56"/>
      <c r="I1928" s="56"/>
      <c r="J1928" s="56"/>
      <c r="K1928" s="56"/>
    </row>
    <row r="1929" spans="7:11" x14ac:dyDescent="0.2">
      <c r="G1929" s="56"/>
      <c r="H1929" s="56"/>
      <c r="I1929" s="56"/>
      <c r="J1929" s="56"/>
      <c r="K1929" s="56"/>
    </row>
    <row r="1930" spans="7:11" x14ac:dyDescent="0.2">
      <c r="G1930" s="56"/>
      <c r="H1930" s="56"/>
      <c r="I1930" s="56"/>
      <c r="J1930" s="56"/>
      <c r="K1930" s="56"/>
    </row>
    <row r="1931" spans="7:11" x14ac:dyDescent="0.2">
      <c r="G1931" s="56"/>
      <c r="H1931" s="56"/>
      <c r="I1931" s="56"/>
      <c r="J1931" s="56"/>
      <c r="K1931" s="56"/>
    </row>
    <row r="1932" spans="7:11" x14ac:dyDescent="0.2">
      <c r="G1932" s="56"/>
      <c r="H1932" s="56"/>
      <c r="I1932" s="56"/>
      <c r="J1932" s="56"/>
      <c r="K1932" s="56"/>
    </row>
    <row r="1933" spans="7:11" x14ac:dyDescent="0.2">
      <c r="G1933" s="56"/>
      <c r="H1933" s="56"/>
      <c r="I1933" s="56"/>
      <c r="J1933" s="56"/>
      <c r="K1933" s="56"/>
    </row>
    <row r="1934" spans="7:11" x14ac:dyDescent="0.2">
      <c r="G1934" s="56"/>
      <c r="H1934" s="56"/>
      <c r="I1934" s="56"/>
      <c r="J1934" s="56"/>
      <c r="K1934" s="56"/>
    </row>
    <row r="1935" spans="7:11" x14ac:dyDescent="0.2">
      <c r="G1935" s="56"/>
      <c r="H1935" s="56"/>
      <c r="I1935" s="56"/>
      <c r="J1935" s="56"/>
      <c r="K1935" s="56"/>
    </row>
    <row r="1936" spans="7:11" x14ac:dyDescent="0.2">
      <c r="G1936" s="56"/>
      <c r="H1936" s="56"/>
      <c r="I1936" s="56"/>
      <c r="J1936" s="56"/>
      <c r="K1936" s="56"/>
    </row>
    <row r="1937" spans="7:11" x14ac:dyDescent="0.2">
      <c r="G1937" s="56"/>
      <c r="H1937" s="56"/>
      <c r="I1937" s="56"/>
      <c r="J1937" s="56"/>
      <c r="K1937" s="56"/>
    </row>
    <row r="1938" spans="7:11" x14ac:dyDescent="0.2">
      <c r="G1938" s="56"/>
      <c r="H1938" s="56"/>
      <c r="I1938" s="56"/>
      <c r="J1938" s="56"/>
      <c r="K1938" s="56"/>
    </row>
    <row r="1939" spans="7:11" x14ac:dyDescent="0.2">
      <c r="G1939" s="56"/>
      <c r="H1939" s="56"/>
      <c r="I1939" s="56"/>
      <c r="J1939" s="56"/>
      <c r="K1939" s="56"/>
    </row>
    <row r="1940" spans="7:11" x14ac:dyDescent="0.2">
      <c r="G1940" s="56"/>
      <c r="H1940" s="56"/>
      <c r="I1940" s="56"/>
      <c r="J1940" s="56"/>
      <c r="K1940" s="56"/>
    </row>
    <row r="1941" spans="7:11" x14ac:dyDescent="0.2">
      <c r="G1941" s="56"/>
      <c r="H1941" s="56"/>
      <c r="I1941" s="56"/>
      <c r="J1941" s="56"/>
      <c r="K1941" s="56"/>
    </row>
    <row r="1942" spans="7:11" x14ac:dyDescent="0.2">
      <c r="G1942" s="56"/>
      <c r="H1942" s="56"/>
      <c r="I1942" s="56"/>
      <c r="J1942" s="56"/>
      <c r="K1942" s="56"/>
    </row>
    <row r="1943" spans="7:11" x14ac:dyDescent="0.2">
      <c r="G1943" s="56"/>
      <c r="H1943" s="56"/>
      <c r="I1943" s="56"/>
      <c r="J1943" s="56"/>
      <c r="K1943" s="56"/>
    </row>
    <row r="1944" spans="7:11" x14ac:dyDescent="0.2">
      <c r="G1944" s="56"/>
      <c r="H1944" s="56"/>
      <c r="I1944" s="56"/>
      <c r="J1944" s="56"/>
      <c r="K1944" s="56"/>
    </row>
    <row r="1945" spans="7:11" x14ac:dyDescent="0.2">
      <c r="G1945" s="56"/>
      <c r="H1945" s="56"/>
      <c r="I1945" s="56"/>
      <c r="J1945" s="56"/>
      <c r="K1945" s="56"/>
    </row>
    <row r="1946" spans="7:11" x14ac:dyDescent="0.2">
      <c r="G1946" s="56"/>
      <c r="H1946" s="56"/>
      <c r="I1946" s="56"/>
      <c r="J1946" s="56"/>
      <c r="K1946" s="56"/>
    </row>
    <row r="1947" spans="7:11" x14ac:dyDescent="0.2">
      <c r="G1947" s="56"/>
      <c r="H1947" s="56"/>
      <c r="I1947" s="56"/>
      <c r="J1947" s="56"/>
      <c r="K1947" s="56"/>
    </row>
    <row r="1948" spans="7:11" x14ac:dyDescent="0.2">
      <c r="G1948" s="56"/>
      <c r="H1948" s="56"/>
      <c r="I1948" s="56"/>
      <c r="J1948" s="56"/>
      <c r="K1948" s="56"/>
    </row>
    <row r="1949" spans="7:11" x14ac:dyDescent="0.2">
      <c r="G1949" s="56"/>
      <c r="H1949" s="56"/>
      <c r="I1949" s="56"/>
      <c r="J1949" s="56"/>
      <c r="K1949" s="56"/>
    </row>
    <row r="1950" spans="7:11" x14ac:dyDescent="0.2">
      <c r="G1950" s="56"/>
      <c r="H1950" s="56"/>
      <c r="I1950" s="56"/>
      <c r="J1950" s="56"/>
      <c r="K1950" s="56"/>
    </row>
    <row r="1951" spans="7:11" x14ac:dyDescent="0.2">
      <c r="G1951" s="56"/>
      <c r="H1951" s="56"/>
      <c r="I1951" s="56"/>
      <c r="J1951" s="56"/>
      <c r="K1951" s="56"/>
    </row>
    <row r="1952" spans="7:11" x14ac:dyDescent="0.2">
      <c r="G1952" s="56"/>
      <c r="H1952" s="56"/>
      <c r="I1952" s="56"/>
      <c r="J1952" s="56"/>
      <c r="K1952" s="56"/>
    </row>
    <row r="1953" spans="7:11" x14ac:dyDescent="0.2">
      <c r="G1953" s="56"/>
      <c r="H1953" s="56"/>
      <c r="I1953" s="56"/>
      <c r="J1953" s="56"/>
      <c r="K1953" s="56"/>
    </row>
    <row r="1954" spans="7:11" x14ac:dyDescent="0.2">
      <c r="G1954" s="56"/>
      <c r="H1954" s="56"/>
      <c r="I1954" s="56"/>
      <c r="J1954" s="56"/>
      <c r="K1954" s="56"/>
    </row>
    <row r="1955" spans="7:11" x14ac:dyDescent="0.2">
      <c r="G1955" s="56"/>
      <c r="H1955" s="56"/>
      <c r="I1955" s="56"/>
      <c r="J1955" s="56"/>
      <c r="K1955" s="56"/>
    </row>
    <row r="1956" spans="7:11" x14ac:dyDescent="0.2">
      <c r="G1956" s="56"/>
      <c r="H1956" s="56"/>
      <c r="I1956" s="56"/>
      <c r="J1956" s="56"/>
      <c r="K1956" s="56"/>
    </row>
    <row r="1957" spans="7:11" x14ac:dyDescent="0.2">
      <c r="G1957" s="56"/>
      <c r="H1957" s="56"/>
      <c r="I1957" s="56"/>
      <c r="J1957" s="56"/>
      <c r="K1957" s="56"/>
    </row>
    <row r="1958" spans="7:11" x14ac:dyDescent="0.2">
      <c r="G1958" s="56"/>
      <c r="H1958" s="56"/>
      <c r="I1958" s="56"/>
      <c r="J1958" s="56"/>
      <c r="K1958" s="56"/>
    </row>
    <row r="1959" spans="7:11" x14ac:dyDescent="0.2">
      <c r="G1959" s="56"/>
      <c r="H1959" s="56"/>
      <c r="I1959" s="56"/>
      <c r="J1959" s="56"/>
      <c r="K1959" s="56"/>
    </row>
    <row r="1960" spans="7:11" x14ac:dyDescent="0.2">
      <c r="G1960" s="56"/>
      <c r="H1960" s="56"/>
      <c r="I1960" s="56"/>
      <c r="J1960" s="56"/>
      <c r="K1960" s="56"/>
    </row>
    <row r="1961" spans="7:11" x14ac:dyDescent="0.2">
      <c r="G1961" s="56"/>
      <c r="H1961" s="56"/>
      <c r="I1961" s="56"/>
      <c r="J1961" s="56"/>
      <c r="K1961" s="56"/>
    </row>
    <row r="1962" spans="7:11" x14ac:dyDescent="0.2">
      <c r="G1962" s="56"/>
      <c r="H1962" s="56"/>
      <c r="I1962" s="56"/>
      <c r="J1962" s="56"/>
      <c r="K1962" s="56"/>
    </row>
    <row r="1963" spans="7:11" x14ac:dyDescent="0.2">
      <c r="G1963" s="56"/>
      <c r="H1963" s="56"/>
      <c r="I1963" s="56"/>
      <c r="J1963" s="56"/>
      <c r="K1963" s="56"/>
    </row>
    <row r="1964" spans="7:11" x14ac:dyDescent="0.2">
      <c r="G1964" s="56"/>
      <c r="H1964" s="56"/>
      <c r="I1964" s="56"/>
      <c r="J1964" s="56"/>
      <c r="K1964" s="56"/>
    </row>
    <row r="1965" spans="7:11" x14ac:dyDescent="0.2">
      <c r="G1965" s="56"/>
      <c r="H1965" s="56"/>
      <c r="I1965" s="56"/>
      <c r="J1965" s="56"/>
      <c r="K1965" s="56"/>
    </row>
    <row r="1966" spans="7:11" x14ac:dyDescent="0.2">
      <c r="G1966" s="56"/>
      <c r="H1966" s="56"/>
      <c r="I1966" s="56"/>
      <c r="J1966" s="56"/>
      <c r="K1966" s="56"/>
    </row>
    <row r="1967" spans="7:11" x14ac:dyDescent="0.2">
      <c r="G1967" s="56"/>
      <c r="H1967" s="56"/>
      <c r="I1967" s="56"/>
      <c r="J1967" s="56"/>
      <c r="K1967" s="56"/>
    </row>
    <row r="1968" spans="7:11" x14ac:dyDescent="0.2">
      <c r="G1968" s="56"/>
      <c r="H1968" s="56"/>
      <c r="I1968" s="56"/>
      <c r="J1968" s="56"/>
      <c r="K1968" s="56"/>
    </row>
    <row r="1969" spans="7:11" x14ac:dyDescent="0.2">
      <c r="G1969" s="56"/>
      <c r="H1969" s="56"/>
      <c r="I1969" s="56"/>
      <c r="J1969" s="56"/>
      <c r="K1969" s="56"/>
    </row>
    <row r="1970" spans="7:11" x14ac:dyDescent="0.2">
      <c r="G1970" s="56"/>
      <c r="H1970" s="56"/>
      <c r="I1970" s="56"/>
      <c r="J1970" s="56"/>
      <c r="K1970" s="56"/>
    </row>
    <row r="1971" spans="7:11" x14ac:dyDescent="0.2">
      <c r="G1971" s="56"/>
      <c r="H1971" s="56"/>
      <c r="I1971" s="56"/>
      <c r="J1971" s="56"/>
      <c r="K1971" s="56"/>
    </row>
    <row r="1972" spans="7:11" x14ac:dyDescent="0.2">
      <c r="G1972" s="56"/>
      <c r="H1972" s="56"/>
      <c r="I1972" s="56"/>
      <c r="J1972" s="56"/>
      <c r="K1972" s="56"/>
    </row>
    <row r="1973" spans="7:11" x14ac:dyDescent="0.2">
      <c r="G1973" s="56"/>
      <c r="H1973" s="56"/>
      <c r="I1973" s="56"/>
      <c r="J1973" s="56"/>
      <c r="K1973" s="56"/>
    </row>
    <row r="1974" spans="7:11" x14ac:dyDescent="0.2">
      <c r="G1974" s="56"/>
      <c r="H1974" s="56"/>
      <c r="I1974" s="56"/>
      <c r="J1974" s="56"/>
      <c r="K1974" s="56"/>
    </row>
    <row r="1975" spans="7:11" x14ac:dyDescent="0.2">
      <c r="G1975" s="56"/>
      <c r="H1975" s="56"/>
      <c r="I1975" s="56"/>
      <c r="J1975" s="56"/>
      <c r="K1975" s="56"/>
    </row>
    <row r="1976" spans="7:11" x14ac:dyDescent="0.2">
      <c r="G1976" s="56"/>
      <c r="H1976" s="56"/>
      <c r="I1976" s="56"/>
      <c r="J1976" s="56"/>
      <c r="K1976" s="56"/>
    </row>
    <row r="1977" spans="7:11" x14ac:dyDescent="0.2">
      <c r="G1977" s="56"/>
      <c r="H1977" s="56"/>
      <c r="I1977" s="56"/>
      <c r="J1977" s="56"/>
      <c r="K1977" s="56"/>
    </row>
    <row r="1978" spans="7:11" x14ac:dyDescent="0.2">
      <c r="G1978" s="56"/>
      <c r="H1978" s="56"/>
      <c r="I1978" s="56"/>
      <c r="J1978" s="56"/>
      <c r="K1978" s="56"/>
    </row>
    <row r="1979" spans="7:11" x14ac:dyDescent="0.2">
      <c r="G1979" s="56"/>
      <c r="H1979" s="56"/>
      <c r="I1979" s="56"/>
      <c r="J1979" s="56"/>
      <c r="K1979" s="56"/>
    </row>
    <row r="1980" spans="7:11" x14ac:dyDescent="0.2">
      <c r="G1980" s="56"/>
      <c r="H1980" s="56"/>
      <c r="I1980" s="56"/>
      <c r="J1980" s="56"/>
      <c r="K1980" s="56"/>
    </row>
    <row r="1981" spans="7:11" x14ac:dyDescent="0.2">
      <c r="G1981" s="56"/>
      <c r="H1981" s="56"/>
      <c r="I1981" s="56"/>
      <c r="J1981" s="56"/>
      <c r="K1981" s="56"/>
    </row>
    <row r="1982" spans="7:11" x14ac:dyDescent="0.2">
      <c r="G1982" s="56"/>
      <c r="H1982" s="56"/>
      <c r="I1982" s="56"/>
      <c r="J1982" s="56"/>
      <c r="K1982" s="56"/>
    </row>
    <row r="1983" spans="7:11" x14ac:dyDescent="0.2">
      <c r="G1983" s="56"/>
      <c r="H1983" s="56"/>
      <c r="I1983" s="56"/>
      <c r="J1983" s="56"/>
      <c r="K1983" s="56"/>
    </row>
    <row r="1984" spans="7:11" x14ac:dyDescent="0.2">
      <c r="G1984" s="56"/>
      <c r="H1984" s="56"/>
      <c r="I1984" s="56"/>
      <c r="J1984" s="56"/>
      <c r="K1984" s="56"/>
    </row>
    <row r="1985" spans="7:11" x14ac:dyDescent="0.2">
      <c r="G1985" s="56"/>
      <c r="H1985" s="56"/>
      <c r="I1985" s="56"/>
      <c r="J1985" s="56"/>
      <c r="K1985" s="56"/>
    </row>
    <row r="1986" spans="7:11" x14ac:dyDescent="0.2">
      <c r="G1986" s="56"/>
      <c r="H1986" s="56"/>
      <c r="I1986" s="56"/>
      <c r="J1986" s="56"/>
      <c r="K1986" s="56"/>
    </row>
    <row r="1987" spans="7:11" x14ac:dyDescent="0.2">
      <c r="G1987" s="56"/>
      <c r="H1987" s="56"/>
      <c r="I1987" s="56"/>
      <c r="J1987" s="56"/>
      <c r="K1987" s="56"/>
    </row>
    <row r="1988" spans="7:11" x14ac:dyDescent="0.2">
      <c r="G1988" s="56"/>
      <c r="H1988" s="56"/>
      <c r="I1988" s="56"/>
      <c r="J1988" s="56"/>
      <c r="K1988" s="56"/>
    </row>
    <row r="1989" spans="7:11" x14ac:dyDescent="0.2">
      <c r="G1989" s="56"/>
      <c r="H1989" s="56"/>
      <c r="I1989" s="56"/>
      <c r="J1989" s="56"/>
      <c r="K1989" s="56"/>
    </row>
    <row r="1990" spans="7:11" x14ac:dyDescent="0.2">
      <c r="G1990" s="56"/>
      <c r="H1990" s="56"/>
      <c r="I1990" s="56"/>
      <c r="J1990" s="56"/>
      <c r="K1990" s="56"/>
    </row>
    <row r="1991" spans="7:11" x14ac:dyDescent="0.2">
      <c r="G1991" s="56"/>
      <c r="H1991" s="56"/>
      <c r="I1991" s="56"/>
      <c r="J1991" s="56"/>
      <c r="K1991" s="56"/>
    </row>
    <row r="1992" spans="7:11" x14ac:dyDescent="0.2">
      <c r="G1992" s="56"/>
      <c r="H1992" s="56"/>
      <c r="I1992" s="56"/>
      <c r="J1992" s="56"/>
      <c r="K1992" s="56"/>
    </row>
    <row r="1993" spans="7:11" x14ac:dyDescent="0.2">
      <c r="G1993" s="56"/>
      <c r="H1993" s="56"/>
      <c r="I1993" s="56"/>
      <c r="J1993" s="56"/>
      <c r="K1993" s="56"/>
    </row>
    <row r="1994" spans="7:11" x14ac:dyDescent="0.2">
      <c r="G1994" s="56"/>
      <c r="H1994" s="56"/>
      <c r="I1994" s="56"/>
      <c r="J1994" s="56"/>
      <c r="K1994" s="56"/>
    </row>
    <row r="1995" spans="7:11" x14ac:dyDescent="0.2">
      <c r="G1995" s="56"/>
      <c r="H1995" s="56"/>
      <c r="I1995" s="56"/>
      <c r="J1995" s="56"/>
      <c r="K1995" s="56"/>
    </row>
    <row r="1996" spans="7:11" x14ac:dyDescent="0.2">
      <c r="G1996" s="56"/>
      <c r="H1996" s="56"/>
      <c r="I1996" s="56"/>
      <c r="J1996" s="56"/>
      <c r="K1996" s="56"/>
    </row>
    <row r="1997" spans="7:11" x14ac:dyDescent="0.2">
      <c r="G1997" s="56"/>
      <c r="H1997" s="56"/>
      <c r="I1997" s="56"/>
      <c r="J1997" s="56"/>
      <c r="K1997" s="56"/>
    </row>
    <row r="1998" spans="7:11" x14ac:dyDescent="0.2">
      <c r="G1998" s="56"/>
      <c r="H1998" s="56"/>
      <c r="I1998" s="56"/>
      <c r="J1998" s="56"/>
      <c r="K1998" s="56"/>
    </row>
    <row r="1999" spans="7:11" x14ac:dyDescent="0.2">
      <c r="G1999" s="56"/>
      <c r="H1999" s="56"/>
      <c r="I1999" s="56"/>
      <c r="J1999" s="56"/>
      <c r="K1999" s="56"/>
    </row>
    <row r="2000" spans="7:11" x14ac:dyDescent="0.2">
      <c r="G2000" s="56"/>
      <c r="H2000" s="56"/>
      <c r="I2000" s="56"/>
      <c r="J2000" s="56"/>
      <c r="K2000" s="56"/>
    </row>
    <row r="2001" spans="7:11" x14ac:dyDescent="0.2">
      <c r="G2001" s="56"/>
      <c r="H2001" s="56"/>
      <c r="I2001" s="56"/>
      <c r="J2001" s="56"/>
      <c r="K2001" s="56"/>
    </row>
    <row r="2002" spans="7:11" x14ac:dyDescent="0.2">
      <c r="G2002" s="56"/>
      <c r="H2002" s="56"/>
      <c r="I2002" s="56"/>
      <c r="J2002" s="56"/>
      <c r="K2002" s="56"/>
    </row>
    <row r="2003" spans="7:11" x14ac:dyDescent="0.2">
      <c r="G2003" s="56"/>
      <c r="H2003" s="56"/>
      <c r="I2003" s="56"/>
      <c r="J2003" s="56"/>
      <c r="K2003" s="56"/>
    </row>
    <row r="2004" spans="7:11" x14ac:dyDescent="0.2">
      <c r="G2004" s="56"/>
      <c r="H2004" s="56"/>
      <c r="I2004" s="56"/>
      <c r="J2004" s="56"/>
      <c r="K2004" s="56"/>
    </row>
    <row r="2005" spans="7:11" x14ac:dyDescent="0.2">
      <c r="G2005" s="56"/>
      <c r="H2005" s="56"/>
      <c r="I2005" s="56"/>
      <c r="J2005" s="56"/>
      <c r="K2005" s="56"/>
    </row>
    <row r="2006" spans="7:11" x14ac:dyDescent="0.2">
      <c r="G2006" s="56"/>
      <c r="H2006" s="56"/>
      <c r="I2006" s="56"/>
      <c r="J2006" s="56"/>
      <c r="K2006" s="56"/>
    </row>
    <row r="2007" spans="7:11" x14ac:dyDescent="0.2">
      <c r="G2007" s="56"/>
      <c r="H2007" s="56"/>
      <c r="I2007" s="56"/>
      <c r="J2007" s="56"/>
      <c r="K2007" s="56"/>
    </row>
    <row r="2008" spans="7:11" x14ac:dyDescent="0.2">
      <c r="G2008" s="56"/>
      <c r="H2008" s="56"/>
      <c r="I2008" s="56"/>
      <c r="J2008" s="56"/>
      <c r="K2008" s="56"/>
    </row>
    <row r="2009" spans="7:11" x14ac:dyDescent="0.2">
      <c r="G2009" s="56"/>
      <c r="H2009" s="56"/>
      <c r="I2009" s="56"/>
      <c r="J2009" s="56"/>
      <c r="K2009" s="56"/>
    </row>
    <row r="2010" spans="7:11" x14ac:dyDescent="0.2">
      <c r="G2010" s="56"/>
      <c r="H2010" s="56"/>
      <c r="I2010" s="56"/>
      <c r="J2010" s="56"/>
      <c r="K2010" s="56"/>
    </row>
    <row r="2011" spans="7:11" x14ac:dyDescent="0.2">
      <c r="G2011" s="56"/>
      <c r="H2011" s="56"/>
      <c r="I2011" s="56"/>
      <c r="J2011" s="56"/>
      <c r="K2011" s="56"/>
    </row>
    <row r="2012" spans="7:11" x14ac:dyDescent="0.2">
      <c r="G2012" s="56"/>
      <c r="H2012" s="56"/>
      <c r="I2012" s="56"/>
      <c r="J2012" s="56"/>
      <c r="K2012" s="56"/>
    </row>
    <row r="2013" spans="7:11" x14ac:dyDescent="0.2">
      <c r="G2013" s="56"/>
      <c r="H2013" s="56"/>
      <c r="I2013" s="56"/>
      <c r="J2013" s="56"/>
      <c r="K2013" s="56"/>
    </row>
    <row r="2014" spans="7:11" x14ac:dyDescent="0.2">
      <c r="G2014" s="56"/>
      <c r="H2014" s="56"/>
      <c r="I2014" s="56"/>
      <c r="J2014" s="56"/>
      <c r="K2014" s="56"/>
    </row>
    <row r="2015" spans="7:11" x14ac:dyDescent="0.2">
      <c r="G2015" s="56"/>
      <c r="H2015" s="56"/>
      <c r="I2015" s="56"/>
      <c r="J2015" s="56"/>
      <c r="K2015" s="56"/>
    </row>
    <row r="2016" spans="7:11" x14ac:dyDescent="0.2">
      <c r="G2016" s="56"/>
      <c r="H2016" s="56"/>
      <c r="I2016" s="56"/>
      <c r="J2016" s="56"/>
      <c r="K2016" s="56"/>
    </row>
    <row r="2017" spans="7:11" x14ac:dyDescent="0.2">
      <c r="G2017" s="56"/>
      <c r="H2017" s="56"/>
      <c r="I2017" s="56"/>
      <c r="J2017" s="56"/>
      <c r="K2017" s="56"/>
    </row>
    <row r="2018" spans="7:11" x14ac:dyDescent="0.2">
      <c r="G2018" s="56"/>
      <c r="H2018" s="56"/>
      <c r="I2018" s="56"/>
      <c r="J2018" s="56"/>
      <c r="K2018" s="56"/>
    </row>
    <row r="2019" spans="7:11" x14ac:dyDescent="0.2">
      <c r="G2019" s="56"/>
      <c r="H2019" s="56"/>
      <c r="I2019" s="56"/>
      <c r="J2019" s="56"/>
      <c r="K2019" s="56"/>
    </row>
    <row r="2020" spans="7:11" x14ac:dyDescent="0.2">
      <c r="G2020" s="56"/>
      <c r="H2020" s="56"/>
      <c r="I2020" s="56"/>
      <c r="J2020" s="56"/>
      <c r="K2020" s="56"/>
    </row>
    <row r="2021" spans="7:11" x14ac:dyDescent="0.2">
      <c r="G2021" s="56"/>
      <c r="H2021" s="56"/>
      <c r="I2021" s="56"/>
      <c r="J2021" s="56"/>
      <c r="K2021" s="56"/>
    </row>
    <row r="2022" spans="7:11" x14ac:dyDescent="0.2">
      <c r="G2022" s="56"/>
      <c r="H2022" s="56"/>
      <c r="I2022" s="56"/>
      <c r="J2022" s="56"/>
      <c r="K2022" s="56"/>
    </row>
    <row r="2023" spans="7:11" x14ac:dyDescent="0.2">
      <c r="G2023" s="56"/>
      <c r="H2023" s="56"/>
      <c r="I2023" s="56"/>
      <c r="J2023" s="56"/>
      <c r="K2023" s="56"/>
    </row>
    <row r="2024" spans="7:11" x14ac:dyDescent="0.2">
      <c r="G2024" s="56"/>
      <c r="H2024" s="56"/>
      <c r="I2024" s="56"/>
      <c r="J2024" s="56"/>
      <c r="K2024" s="56"/>
    </row>
    <row r="2025" spans="7:11" x14ac:dyDescent="0.2">
      <c r="G2025" s="56"/>
      <c r="H2025" s="56"/>
      <c r="I2025" s="56"/>
      <c r="J2025" s="56"/>
      <c r="K2025" s="56"/>
    </row>
    <row r="2026" spans="7:11" x14ac:dyDescent="0.2">
      <c r="G2026" s="56"/>
      <c r="H2026" s="56"/>
      <c r="I2026" s="56"/>
      <c r="J2026" s="56"/>
      <c r="K2026" s="56"/>
    </row>
    <row r="2027" spans="7:11" x14ac:dyDescent="0.2">
      <c r="G2027" s="56"/>
      <c r="H2027" s="56"/>
      <c r="I2027" s="56"/>
      <c r="J2027" s="56"/>
      <c r="K2027" s="56"/>
    </row>
    <row r="2028" spans="7:11" x14ac:dyDescent="0.2">
      <c r="G2028" s="56"/>
      <c r="H2028" s="56"/>
      <c r="I2028" s="56"/>
      <c r="J2028" s="56"/>
      <c r="K2028" s="56"/>
    </row>
    <row r="2029" spans="7:11" x14ac:dyDescent="0.2">
      <c r="G2029" s="56"/>
      <c r="H2029" s="56"/>
      <c r="I2029" s="56"/>
      <c r="J2029" s="56"/>
      <c r="K2029" s="56"/>
    </row>
    <row r="2030" spans="7:11" x14ac:dyDescent="0.2">
      <c r="G2030" s="56"/>
      <c r="H2030" s="56"/>
      <c r="I2030" s="56"/>
      <c r="J2030" s="56"/>
      <c r="K2030" s="56"/>
    </row>
    <row r="2031" spans="7:11" x14ac:dyDescent="0.2">
      <c r="G2031" s="56"/>
      <c r="H2031" s="56"/>
      <c r="I2031" s="56"/>
      <c r="J2031" s="56"/>
      <c r="K2031" s="56"/>
    </row>
    <row r="2032" spans="7:11" x14ac:dyDescent="0.2">
      <c r="G2032" s="56"/>
      <c r="H2032" s="56"/>
      <c r="I2032" s="56"/>
      <c r="J2032" s="56"/>
      <c r="K2032" s="56"/>
    </row>
    <row r="2033" spans="7:11" x14ac:dyDescent="0.2">
      <c r="G2033" s="56"/>
      <c r="H2033" s="56"/>
      <c r="I2033" s="56"/>
      <c r="J2033" s="56"/>
      <c r="K2033" s="56"/>
    </row>
    <row r="2034" spans="7:11" x14ac:dyDescent="0.2">
      <c r="G2034" s="56"/>
      <c r="H2034" s="56"/>
      <c r="I2034" s="56"/>
      <c r="J2034" s="56"/>
      <c r="K2034" s="56"/>
    </row>
    <row r="2035" spans="7:11" x14ac:dyDescent="0.2">
      <c r="G2035" s="56"/>
      <c r="H2035" s="56"/>
      <c r="I2035" s="56"/>
      <c r="J2035" s="56"/>
      <c r="K2035" s="56"/>
    </row>
    <row r="2036" spans="7:11" x14ac:dyDescent="0.2">
      <c r="G2036" s="56"/>
      <c r="H2036" s="56"/>
      <c r="I2036" s="56"/>
      <c r="J2036" s="56"/>
      <c r="K2036" s="56"/>
    </row>
    <row r="2037" spans="7:11" x14ac:dyDescent="0.2">
      <c r="G2037" s="56"/>
      <c r="H2037" s="56"/>
      <c r="I2037" s="56"/>
      <c r="J2037" s="56"/>
      <c r="K2037" s="56"/>
    </row>
    <row r="2038" spans="7:11" x14ac:dyDescent="0.2">
      <c r="G2038" s="56"/>
      <c r="H2038" s="56"/>
      <c r="I2038" s="56"/>
      <c r="J2038" s="56"/>
      <c r="K2038" s="56"/>
    </row>
    <row r="2039" spans="7:11" x14ac:dyDescent="0.2">
      <c r="G2039" s="56"/>
      <c r="H2039" s="56"/>
      <c r="I2039" s="56"/>
      <c r="J2039" s="56"/>
      <c r="K2039" s="56"/>
    </row>
    <row r="2040" spans="7:11" x14ac:dyDescent="0.2">
      <c r="G2040" s="56"/>
      <c r="H2040" s="56"/>
      <c r="I2040" s="56"/>
      <c r="J2040" s="56"/>
      <c r="K2040" s="56"/>
    </row>
    <row r="2041" spans="7:11" x14ac:dyDescent="0.2">
      <c r="G2041" s="56"/>
      <c r="H2041" s="56"/>
      <c r="I2041" s="56"/>
      <c r="J2041" s="56"/>
      <c r="K2041" s="56"/>
    </row>
    <row r="2042" spans="7:11" x14ac:dyDescent="0.2">
      <c r="G2042" s="56"/>
      <c r="H2042" s="56"/>
      <c r="I2042" s="56"/>
      <c r="J2042" s="56"/>
      <c r="K2042" s="56"/>
    </row>
    <row r="2043" spans="7:11" x14ac:dyDescent="0.2">
      <c r="G2043" s="56"/>
      <c r="H2043" s="56"/>
      <c r="I2043" s="56"/>
      <c r="J2043" s="56"/>
      <c r="K2043" s="56"/>
    </row>
    <row r="2044" spans="7:11" x14ac:dyDescent="0.2">
      <c r="G2044" s="56"/>
      <c r="H2044" s="56"/>
      <c r="I2044" s="56"/>
      <c r="J2044" s="56"/>
      <c r="K2044" s="56"/>
    </row>
    <row r="2045" spans="7:11" x14ac:dyDescent="0.2">
      <c r="G2045" s="56"/>
      <c r="H2045" s="56"/>
      <c r="I2045" s="56"/>
      <c r="J2045" s="56"/>
      <c r="K2045" s="56"/>
    </row>
    <row r="2046" spans="7:11" x14ac:dyDescent="0.2">
      <c r="G2046" s="56"/>
      <c r="H2046" s="56"/>
      <c r="I2046" s="56"/>
      <c r="J2046" s="56"/>
      <c r="K2046" s="56"/>
    </row>
    <row r="2047" spans="7:11" x14ac:dyDescent="0.2">
      <c r="G2047" s="56"/>
      <c r="H2047" s="56"/>
      <c r="I2047" s="56"/>
      <c r="J2047" s="56"/>
      <c r="K2047" s="56"/>
    </row>
    <row r="2048" spans="7:11" x14ac:dyDescent="0.2">
      <c r="G2048" s="56"/>
      <c r="H2048" s="56"/>
      <c r="I2048" s="56"/>
      <c r="J2048" s="56"/>
      <c r="K2048" s="56"/>
    </row>
    <row r="2049" spans="7:11" x14ac:dyDescent="0.2">
      <c r="G2049" s="56"/>
      <c r="H2049" s="56"/>
      <c r="I2049" s="56"/>
      <c r="J2049" s="56"/>
      <c r="K2049" s="56"/>
    </row>
    <row r="2050" spans="7:11" x14ac:dyDescent="0.2">
      <c r="G2050" s="56"/>
      <c r="H2050" s="56"/>
      <c r="I2050" s="56"/>
      <c r="J2050" s="56"/>
      <c r="K2050" s="56"/>
    </row>
    <row r="2051" spans="7:11" x14ac:dyDescent="0.2">
      <c r="G2051" s="56"/>
      <c r="H2051" s="56"/>
      <c r="I2051" s="56"/>
      <c r="J2051" s="56"/>
      <c r="K2051" s="56"/>
    </row>
    <row r="2052" spans="7:11" x14ac:dyDescent="0.2">
      <c r="G2052" s="56"/>
      <c r="H2052" s="56"/>
      <c r="I2052" s="56"/>
      <c r="J2052" s="56"/>
      <c r="K2052" s="56"/>
    </row>
    <row r="2053" spans="7:11" x14ac:dyDescent="0.2">
      <c r="G2053" s="56"/>
      <c r="H2053" s="56"/>
      <c r="I2053" s="56"/>
      <c r="J2053" s="56"/>
      <c r="K2053" s="56"/>
    </row>
    <row r="2054" spans="7:11" x14ac:dyDescent="0.2">
      <c r="G2054" s="56"/>
      <c r="H2054" s="56"/>
      <c r="I2054" s="56"/>
      <c r="J2054" s="56"/>
      <c r="K2054" s="56"/>
    </row>
    <row r="2055" spans="7:11" x14ac:dyDescent="0.2">
      <c r="G2055" s="56"/>
      <c r="H2055" s="56"/>
      <c r="I2055" s="56"/>
      <c r="J2055" s="56"/>
      <c r="K2055" s="56"/>
    </row>
    <row r="2056" spans="7:11" x14ac:dyDescent="0.2">
      <c r="G2056" s="56"/>
      <c r="H2056" s="56"/>
      <c r="I2056" s="56"/>
      <c r="J2056" s="56"/>
      <c r="K2056" s="56"/>
    </row>
    <row r="2057" spans="7:11" x14ac:dyDescent="0.2">
      <c r="G2057" s="56"/>
      <c r="H2057" s="56"/>
      <c r="I2057" s="56"/>
      <c r="J2057" s="56"/>
      <c r="K2057" s="56"/>
    </row>
    <row r="2058" spans="7:11" x14ac:dyDescent="0.2">
      <c r="G2058" s="56"/>
      <c r="H2058" s="56"/>
      <c r="I2058" s="56"/>
      <c r="J2058" s="56"/>
      <c r="K2058" s="56"/>
    </row>
    <row r="2059" spans="7:11" x14ac:dyDescent="0.2">
      <c r="G2059" s="56"/>
      <c r="H2059" s="56"/>
      <c r="I2059" s="56"/>
      <c r="J2059" s="56"/>
      <c r="K2059" s="56"/>
    </row>
    <row r="2060" spans="7:11" x14ac:dyDescent="0.2">
      <c r="G2060" s="56"/>
      <c r="H2060" s="56"/>
      <c r="I2060" s="56"/>
      <c r="J2060" s="56"/>
      <c r="K2060" s="56"/>
    </row>
    <row r="2061" spans="7:11" x14ac:dyDescent="0.2">
      <c r="G2061" s="56"/>
      <c r="H2061" s="56"/>
      <c r="I2061" s="56"/>
      <c r="J2061" s="56"/>
      <c r="K2061" s="56"/>
    </row>
    <row r="2062" spans="7:11" x14ac:dyDescent="0.2">
      <c r="G2062" s="56"/>
      <c r="H2062" s="56"/>
      <c r="I2062" s="56"/>
      <c r="J2062" s="56"/>
      <c r="K2062" s="56"/>
    </row>
    <row r="2063" spans="7:11" x14ac:dyDescent="0.2">
      <c r="G2063" s="56"/>
      <c r="H2063" s="56"/>
      <c r="I2063" s="56"/>
      <c r="J2063" s="56"/>
      <c r="K2063" s="56"/>
    </row>
    <row r="2064" spans="7:11" x14ac:dyDescent="0.2">
      <c r="G2064" s="56"/>
      <c r="H2064" s="56"/>
      <c r="I2064" s="56"/>
      <c r="J2064" s="56"/>
      <c r="K2064" s="56"/>
    </row>
    <row r="2065" spans="7:11" x14ac:dyDescent="0.2">
      <c r="G2065" s="56"/>
      <c r="H2065" s="56"/>
      <c r="I2065" s="56"/>
      <c r="J2065" s="56"/>
      <c r="K2065" s="56"/>
    </row>
    <row r="2066" spans="7:11" x14ac:dyDescent="0.2">
      <c r="G2066" s="56"/>
      <c r="H2066" s="56"/>
      <c r="I2066" s="56"/>
      <c r="J2066" s="56"/>
      <c r="K2066" s="56"/>
    </row>
    <row r="2067" spans="7:11" x14ac:dyDescent="0.2">
      <c r="G2067" s="56"/>
      <c r="H2067" s="56"/>
      <c r="I2067" s="56"/>
      <c r="J2067" s="56"/>
      <c r="K2067" s="56"/>
    </row>
    <row r="2068" spans="7:11" x14ac:dyDescent="0.2">
      <c r="G2068" s="56"/>
      <c r="H2068" s="56"/>
      <c r="I2068" s="56"/>
      <c r="J2068" s="56"/>
      <c r="K2068" s="56"/>
    </row>
    <row r="2069" spans="7:11" x14ac:dyDescent="0.2">
      <c r="G2069" s="56"/>
      <c r="H2069" s="56"/>
      <c r="I2069" s="56"/>
      <c r="J2069" s="56"/>
      <c r="K2069" s="56"/>
    </row>
    <row r="2070" spans="7:11" x14ac:dyDescent="0.2">
      <c r="G2070" s="56"/>
      <c r="H2070" s="56"/>
      <c r="I2070" s="56"/>
      <c r="J2070" s="56"/>
      <c r="K2070" s="56"/>
    </row>
    <row r="2071" spans="7:11" x14ac:dyDescent="0.2">
      <c r="G2071" s="56"/>
      <c r="H2071" s="56"/>
      <c r="I2071" s="56"/>
      <c r="J2071" s="56"/>
      <c r="K2071" s="56"/>
    </row>
    <row r="2072" spans="7:11" x14ac:dyDescent="0.2">
      <c r="G2072" s="56"/>
      <c r="H2072" s="56"/>
      <c r="I2072" s="56"/>
      <c r="J2072" s="56"/>
      <c r="K2072" s="56"/>
    </row>
    <row r="2073" spans="7:11" x14ac:dyDescent="0.2">
      <c r="G2073" s="56"/>
      <c r="H2073" s="56"/>
      <c r="I2073" s="56"/>
      <c r="J2073" s="56"/>
      <c r="K2073" s="56"/>
    </row>
    <row r="2074" spans="7:11" x14ac:dyDescent="0.2">
      <c r="G2074" s="56"/>
      <c r="H2074" s="56"/>
      <c r="I2074" s="56"/>
      <c r="J2074" s="56"/>
      <c r="K2074" s="56"/>
    </row>
    <row r="2075" spans="7:11" x14ac:dyDescent="0.2">
      <c r="G2075" s="56"/>
      <c r="H2075" s="56"/>
      <c r="I2075" s="56"/>
      <c r="J2075" s="56"/>
      <c r="K2075" s="56"/>
    </row>
    <row r="2076" spans="7:11" x14ac:dyDescent="0.2">
      <c r="G2076" s="56"/>
      <c r="H2076" s="56"/>
      <c r="I2076" s="56"/>
      <c r="J2076" s="56"/>
      <c r="K2076" s="56"/>
    </row>
    <row r="2077" spans="7:11" x14ac:dyDescent="0.2">
      <c r="G2077" s="56"/>
      <c r="H2077" s="56"/>
      <c r="I2077" s="56"/>
      <c r="J2077" s="56"/>
      <c r="K2077" s="56"/>
    </row>
    <row r="2078" spans="7:11" x14ac:dyDescent="0.2">
      <c r="G2078" s="56"/>
      <c r="H2078" s="56"/>
      <c r="I2078" s="56"/>
      <c r="J2078" s="56"/>
      <c r="K2078" s="56"/>
    </row>
    <row r="2079" spans="7:11" x14ac:dyDescent="0.2">
      <c r="G2079" s="56"/>
      <c r="H2079" s="56"/>
      <c r="I2079" s="56"/>
      <c r="J2079" s="56"/>
      <c r="K2079" s="56"/>
    </row>
    <row r="2080" spans="7:11" x14ac:dyDescent="0.2">
      <c r="G2080" s="56"/>
      <c r="H2080" s="56"/>
      <c r="I2080" s="56"/>
      <c r="J2080" s="56"/>
      <c r="K2080" s="56"/>
    </row>
    <row r="2081" spans="7:11" x14ac:dyDescent="0.2">
      <c r="G2081" s="56"/>
      <c r="H2081" s="56"/>
      <c r="I2081" s="56"/>
      <c r="J2081" s="56"/>
      <c r="K2081" s="56"/>
    </row>
    <row r="2082" spans="7:11" x14ac:dyDescent="0.2">
      <c r="G2082" s="56"/>
      <c r="H2082" s="56"/>
      <c r="I2082" s="56"/>
      <c r="J2082" s="56"/>
      <c r="K2082" s="56"/>
    </row>
    <row r="2083" spans="7:11" x14ac:dyDescent="0.2">
      <c r="G2083" s="56"/>
      <c r="H2083" s="56"/>
      <c r="I2083" s="56"/>
      <c r="J2083" s="56"/>
      <c r="K2083" s="56"/>
    </row>
    <row r="2084" spans="7:11" x14ac:dyDescent="0.2">
      <c r="G2084" s="56"/>
      <c r="H2084" s="56"/>
      <c r="I2084" s="56"/>
      <c r="J2084" s="56"/>
      <c r="K2084" s="56"/>
    </row>
    <row r="2085" spans="7:11" x14ac:dyDescent="0.2">
      <c r="G2085" s="56"/>
      <c r="H2085" s="56"/>
      <c r="I2085" s="56"/>
      <c r="J2085" s="56"/>
      <c r="K2085" s="56"/>
    </row>
    <row r="2086" spans="7:11" x14ac:dyDescent="0.2">
      <c r="G2086" s="56"/>
      <c r="H2086" s="56"/>
      <c r="I2086" s="56"/>
      <c r="J2086" s="56"/>
      <c r="K2086" s="56"/>
    </row>
    <row r="2087" spans="7:11" x14ac:dyDescent="0.2">
      <c r="G2087" s="56"/>
      <c r="H2087" s="56"/>
      <c r="I2087" s="56"/>
      <c r="J2087" s="56"/>
      <c r="K2087" s="56"/>
    </row>
    <row r="2088" spans="7:11" x14ac:dyDescent="0.2">
      <c r="G2088" s="56"/>
      <c r="H2088" s="56"/>
      <c r="I2088" s="56"/>
      <c r="J2088" s="56"/>
      <c r="K2088" s="56"/>
    </row>
    <row r="2089" spans="7:11" x14ac:dyDescent="0.2">
      <c r="G2089" s="56"/>
      <c r="H2089" s="56"/>
      <c r="I2089" s="56"/>
      <c r="J2089" s="56"/>
      <c r="K2089" s="56"/>
    </row>
    <row r="2090" spans="7:11" x14ac:dyDescent="0.2">
      <c r="G2090" s="56"/>
      <c r="H2090" s="56"/>
      <c r="I2090" s="56"/>
      <c r="J2090" s="56"/>
      <c r="K2090" s="56"/>
    </row>
    <row r="2091" spans="7:11" x14ac:dyDescent="0.2">
      <c r="G2091" s="56"/>
      <c r="H2091" s="56"/>
      <c r="I2091" s="56"/>
      <c r="J2091" s="56"/>
      <c r="K2091" s="56"/>
    </row>
    <row r="2092" spans="7:11" x14ac:dyDescent="0.2">
      <c r="G2092" s="56"/>
      <c r="H2092" s="56"/>
      <c r="I2092" s="56"/>
      <c r="J2092" s="56"/>
      <c r="K2092" s="56"/>
    </row>
    <row r="2093" spans="7:11" x14ac:dyDescent="0.2">
      <c r="G2093" s="56"/>
      <c r="H2093" s="56"/>
      <c r="I2093" s="56"/>
      <c r="J2093" s="56"/>
      <c r="K2093" s="56"/>
    </row>
    <row r="2094" spans="7:11" x14ac:dyDescent="0.2">
      <c r="G2094" s="56"/>
      <c r="H2094" s="56"/>
      <c r="I2094" s="56"/>
      <c r="J2094" s="56"/>
      <c r="K2094" s="56"/>
    </row>
    <row r="2095" spans="7:11" x14ac:dyDescent="0.2">
      <c r="G2095" s="56"/>
      <c r="H2095" s="56"/>
      <c r="I2095" s="56"/>
      <c r="J2095" s="56"/>
      <c r="K2095" s="56"/>
    </row>
    <row r="2096" spans="7:11" x14ac:dyDescent="0.2">
      <c r="G2096" s="56"/>
      <c r="H2096" s="56"/>
      <c r="I2096" s="56"/>
      <c r="J2096" s="56"/>
      <c r="K2096" s="56"/>
    </row>
    <row r="2097" spans="7:11" x14ac:dyDescent="0.2">
      <c r="G2097" s="56"/>
      <c r="H2097" s="56"/>
      <c r="I2097" s="56"/>
      <c r="J2097" s="56"/>
      <c r="K2097" s="56"/>
    </row>
    <row r="2098" spans="7:11" x14ac:dyDescent="0.2">
      <c r="G2098" s="56"/>
      <c r="H2098" s="56"/>
      <c r="I2098" s="56"/>
      <c r="J2098" s="56"/>
      <c r="K2098" s="56"/>
    </row>
    <row r="2099" spans="7:11" x14ac:dyDescent="0.2">
      <c r="G2099" s="56"/>
      <c r="H2099" s="56"/>
      <c r="I2099" s="56"/>
      <c r="J2099" s="56"/>
      <c r="K2099" s="56"/>
    </row>
    <row r="2100" spans="7:11" x14ac:dyDescent="0.2">
      <c r="G2100" s="56"/>
      <c r="H2100" s="56"/>
      <c r="I2100" s="56"/>
      <c r="J2100" s="56"/>
      <c r="K2100" s="56"/>
    </row>
    <row r="2101" spans="7:11" x14ac:dyDescent="0.2">
      <c r="G2101" s="56"/>
      <c r="H2101" s="56"/>
      <c r="I2101" s="56"/>
      <c r="J2101" s="56"/>
      <c r="K2101" s="56"/>
    </row>
    <row r="2102" spans="7:11" x14ac:dyDescent="0.2">
      <c r="G2102" s="56"/>
      <c r="H2102" s="56"/>
      <c r="I2102" s="56"/>
      <c r="J2102" s="56"/>
      <c r="K2102" s="56"/>
    </row>
    <row r="2103" spans="7:11" x14ac:dyDescent="0.2">
      <c r="G2103" s="56"/>
      <c r="H2103" s="56"/>
      <c r="I2103" s="56"/>
      <c r="J2103" s="56"/>
      <c r="K2103" s="56"/>
    </row>
    <row r="2104" spans="7:11" x14ac:dyDescent="0.2">
      <c r="G2104" s="56"/>
      <c r="H2104" s="56"/>
      <c r="I2104" s="56"/>
      <c r="J2104" s="56"/>
      <c r="K2104" s="56"/>
    </row>
    <row r="2105" spans="7:11" x14ac:dyDescent="0.2">
      <c r="G2105" s="56"/>
      <c r="H2105" s="56"/>
      <c r="I2105" s="56"/>
      <c r="J2105" s="56"/>
      <c r="K2105" s="56"/>
    </row>
    <row r="2106" spans="7:11" x14ac:dyDescent="0.2">
      <c r="G2106" s="56"/>
      <c r="H2106" s="56"/>
      <c r="I2106" s="56"/>
      <c r="J2106" s="56"/>
      <c r="K2106" s="56"/>
    </row>
    <row r="2107" spans="7:11" x14ac:dyDescent="0.2">
      <c r="G2107" s="56"/>
      <c r="H2107" s="56"/>
      <c r="I2107" s="56"/>
      <c r="J2107" s="56"/>
      <c r="K2107" s="56"/>
    </row>
    <row r="2108" spans="7:11" x14ac:dyDescent="0.2">
      <c r="G2108" s="56"/>
      <c r="H2108" s="56"/>
      <c r="I2108" s="56"/>
      <c r="J2108" s="56"/>
      <c r="K2108" s="56"/>
    </row>
    <row r="2109" spans="7:11" x14ac:dyDescent="0.2">
      <c r="G2109" s="56"/>
      <c r="H2109" s="56"/>
      <c r="I2109" s="56"/>
      <c r="J2109" s="56"/>
      <c r="K2109" s="56"/>
    </row>
    <row r="2110" spans="7:11" x14ac:dyDescent="0.2">
      <c r="G2110" s="56"/>
      <c r="H2110" s="56"/>
      <c r="I2110" s="56"/>
      <c r="J2110" s="56"/>
      <c r="K2110" s="56"/>
    </row>
    <row r="2111" spans="7:11" x14ac:dyDescent="0.2">
      <c r="G2111" s="56"/>
      <c r="H2111" s="56"/>
      <c r="I2111" s="56"/>
      <c r="J2111" s="56"/>
      <c r="K2111" s="56"/>
    </row>
    <row r="2112" spans="7:11" x14ac:dyDescent="0.2">
      <c r="G2112" s="56"/>
      <c r="H2112" s="56"/>
      <c r="I2112" s="56"/>
      <c r="J2112" s="56"/>
      <c r="K2112" s="56"/>
    </row>
    <row r="2113" spans="7:11" x14ac:dyDescent="0.2">
      <c r="G2113" s="56"/>
      <c r="H2113" s="56"/>
      <c r="I2113" s="56"/>
      <c r="J2113" s="56"/>
      <c r="K2113" s="56"/>
    </row>
    <row r="2114" spans="7:11" x14ac:dyDescent="0.2">
      <c r="G2114" s="56"/>
      <c r="H2114" s="56"/>
      <c r="I2114" s="56"/>
      <c r="J2114" s="56"/>
      <c r="K2114" s="56"/>
    </row>
    <row r="2115" spans="7:11" x14ac:dyDescent="0.2">
      <c r="G2115" s="56"/>
      <c r="H2115" s="56"/>
      <c r="I2115" s="56"/>
      <c r="J2115" s="56"/>
      <c r="K2115" s="56"/>
    </row>
    <row r="2116" spans="7:11" x14ac:dyDescent="0.2">
      <c r="G2116" s="56"/>
      <c r="H2116" s="56"/>
      <c r="I2116" s="56"/>
      <c r="J2116" s="56"/>
      <c r="K2116" s="56"/>
    </row>
    <row r="2117" spans="7:11" x14ac:dyDescent="0.2">
      <c r="G2117" s="56"/>
      <c r="H2117" s="56"/>
      <c r="I2117" s="56"/>
      <c r="J2117" s="56"/>
      <c r="K2117" s="56"/>
    </row>
    <row r="2118" spans="7:11" x14ac:dyDescent="0.2">
      <c r="G2118" s="56"/>
      <c r="H2118" s="56"/>
      <c r="I2118" s="56"/>
      <c r="J2118" s="56"/>
      <c r="K2118" s="56"/>
    </row>
    <row r="2119" spans="7:11" x14ac:dyDescent="0.2">
      <c r="G2119" s="56"/>
      <c r="H2119" s="56"/>
      <c r="I2119" s="56"/>
      <c r="J2119" s="56"/>
      <c r="K2119" s="56"/>
    </row>
    <row r="2120" spans="7:11" x14ac:dyDescent="0.2">
      <c r="G2120" s="56"/>
      <c r="H2120" s="56"/>
      <c r="I2120" s="56"/>
      <c r="J2120" s="56"/>
      <c r="K2120" s="56"/>
    </row>
    <row r="2121" spans="7:11" x14ac:dyDescent="0.2">
      <c r="G2121" s="56"/>
      <c r="H2121" s="56"/>
      <c r="I2121" s="56"/>
      <c r="J2121" s="56"/>
      <c r="K2121" s="56"/>
    </row>
    <row r="2122" spans="7:11" x14ac:dyDescent="0.2">
      <c r="G2122" s="56"/>
      <c r="H2122" s="56"/>
      <c r="I2122" s="56"/>
      <c r="J2122" s="56"/>
      <c r="K2122" s="56"/>
    </row>
    <row r="2123" spans="7:11" x14ac:dyDescent="0.2">
      <c r="G2123" s="56"/>
      <c r="H2123" s="56"/>
      <c r="I2123" s="56"/>
      <c r="J2123" s="56"/>
      <c r="K2123" s="56"/>
    </row>
    <row r="2124" spans="7:11" x14ac:dyDescent="0.2">
      <c r="G2124" s="56"/>
      <c r="H2124" s="56"/>
      <c r="I2124" s="56"/>
      <c r="J2124" s="56"/>
      <c r="K2124" s="56"/>
    </row>
    <row r="2125" spans="7:11" x14ac:dyDescent="0.2">
      <c r="G2125" s="56"/>
      <c r="H2125" s="56"/>
      <c r="I2125" s="56"/>
      <c r="J2125" s="56"/>
      <c r="K2125" s="56"/>
    </row>
    <row r="2126" spans="7:11" x14ac:dyDescent="0.2">
      <c r="G2126" s="56"/>
      <c r="H2126" s="56"/>
      <c r="I2126" s="56"/>
      <c r="J2126" s="56"/>
      <c r="K2126" s="56"/>
    </row>
    <row r="2127" spans="7:11" x14ac:dyDescent="0.2">
      <c r="G2127" s="56"/>
      <c r="H2127" s="56"/>
      <c r="I2127" s="56"/>
      <c r="J2127" s="56"/>
      <c r="K2127" s="56"/>
    </row>
    <row r="2128" spans="7:11" x14ac:dyDescent="0.2">
      <c r="G2128" s="56"/>
      <c r="H2128" s="56"/>
      <c r="I2128" s="56"/>
      <c r="J2128" s="56"/>
      <c r="K2128" s="56"/>
    </row>
    <row r="2129" spans="7:11" x14ac:dyDescent="0.2">
      <c r="G2129" s="56"/>
      <c r="H2129" s="56"/>
      <c r="I2129" s="56"/>
      <c r="J2129" s="56"/>
      <c r="K2129" s="56"/>
    </row>
    <row r="2130" spans="7:11" x14ac:dyDescent="0.2">
      <c r="G2130" s="56"/>
      <c r="H2130" s="56"/>
      <c r="I2130" s="56"/>
      <c r="J2130" s="56"/>
      <c r="K2130" s="56"/>
    </row>
    <row r="2131" spans="7:11" x14ac:dyDescent="0.2">
      <c r="G2131" s="56"/>
      <c r="H2131" s="56"/>
      <c r="I2131" s="56"/>
      <c r="J2131" s="56"/>
      <c r="K2131" s="56"/>
    </row>
    <row r="2132" spans="7:11" x14ac:dyDescent="0.2">
      <c r="G2132" s="56"/>
      <c r="H2132" s="56"/>
      <c r="I2132" s="56"/>
      <c r="J2132" s="56"/>
      <c r="K2132" s="56"/>
    </row>
    <row r="2133" spans="7:11" x14ac:dyDescent="0.2">
      <c r="G2133" s="56"/>
      <c r="H2133" s="56"/>
      <c r="I2133" s="56"/>
      <c r="J2133" s="56"/>
      <c r="K2133" s="56"/>
    </row>
    <row r="2134" spans="7:11" x14ac:dyDescent="0.2">
      <c r="G2134" s="56"/>
      <c r="H2134" s="56"/>
      <c r="I2134" s="56"/>
      <c r="J2134" s="56"/>
      <c r="K2134" s="56"/>
    </row>
    <row r="2135" spans="7:11" x14ac:dyDescent="0.2">
      <c r="G2135" s="56"/>
      <c r="H2135" s="56"/>
      <c r="I2135" s="56"/>
      <c r="J2135" s="56"/>
      <c r="K2135" s="56"/>
    </row>
    <row r="2136" spans="7:11" x14ac:dyDescent="0.2">
      <c r="G2136" s="56"/>
      <c r="H2136" s="56"/>
      <c r="I2136" s="56"/>
      <c r="J2136" s="56"/>
      <c r="K2136" s="56"/>
    </row>
    <row r="2137" spans="7:11" x14ac:dyDescent="0.2">
      <c r="G2137" s="56"/>
      <c r="H2137" s="56"/>
      <c r="I2137" s="56"/>
      <c r="J2137" s="56"/>
      <c r="K2137" s="56"/>
    </row>
    <row r="2138" spans="7:11" x14ac:dyDescent="0.2">
      <c r="G2138" s="56"/>
      <c r="H2138" s="56"/>
      <c r="I2138" s="56"/>
      <c r="J2138" s="56"/>
      <c r="K2138" s="56"/>
    </row>
    <row r="2139" spans="7:11" x14ac:dyDescent="0.2">
      <c r="G2139" s="56"/>
      <c r="H2139" s="56"/>
      <c r="I2139" s="56"/>
      <c r="J2139" s="56"/>
      <c r="K2139" s="56"/>
    </row>
    <row r="2140" spans="7:11" x14ac:dyDescent="0.2">
      <c r="G2140" s="56"/>
      <c r="H2140" s="56"/>
      <c r="I2140" s="56"/>
      <c r="J2140" s="56"/>
      <c r="K2140" s="56"/>
    </row>
    <row r="2141" spans="7:11" x14ac:dyDescent="0.2">
      <c r="G2141" s="56"/>
      <c r="H2141" s="56"/>
      <c r="I2141" s="56"/>
      <c r="J2141" s="56"/>
      <c r="K2141" s="56"/>
    </row>
    <row r="2142" spans="7:11" x14ac:dyDescent="0.2">
      <c r="G2142" s="56"/>
      <c r="H2142" s="56"/>
      <c r="I2142" s="56"/>
      <c r="J2142" s="56"/>
      <c r="K2142" s="56"/>
    </row>
    <row r="2143" spans="7:11" x14ac:dyDescent="0.2">
      <c r="G2143" s="56"/>
      <c r="H2143" s="56"/>
      <c r="I2143" s="56"/>
      <c r="J2143" s="56"/>
      <c r="K2143" s="56"/>
    </row>
    <row r="2144" spans="7:11" x14ac:dyDescent="0.2">
      <c r="G2144" s="56"/>
      <c r="H2144" s="56"/>
      <c r="I2144" s="56"/>
      <c r="J2144" s="56"/>
      <c r="K2144" s="56"/>
    </row>
    <row r="2145" spans="7:11" x14ac:dyDescent="0.2">
      <c r="G2145" s="56"/>
      <c r="H2145" s="56"/>
      <c r="I2145" s="56"/>
      <c r="J2145" s="56"/>
      <c r="K2145" s="56"/>
    </row>
    <row r="2146" spans="7:11" x14ac:dyDescent="0.2">
      <c r="G2146" s="56"/>
      <c r="H2146" s="56"/>
      <c r="I2146" s="56"/>
      <c r="J2146" s="56"/>
      <c r="K2146" s="56"/>
    </row>
    <row r="2147" spans="7:11" x14ac:dyDescent="0.2">
      <c r="G2147" s="56"/>
      <c r="H2147" s="56"/>
      <c r="I2147" s="56"/>
      <c r="J2147" s="56"/>
      <c r="K2147" s="56"/>
    </row>
    <row r="2148" spans="7:11" x14ac:dyDescent="0.2">
      <c r="G2148" s="56"/>
      <c r="H2148" s="56"/>
      <c r="I2148" s="56"/>
      <c r="J2148" s="56"/>
      <c r="K2148" s="56"/>
    </row>
    <row r="2149" spans="7:11" x14ac:dyDescent="0.2">
      <c r="G2149" s="56"/>
      <c r="H2149" s="56"/>
      <c r="I2149" s="56"/>
      <c r="J2149" s="56"/>
      <c r="K2149" s="56"/>
    </row>
    <row r="2150" spans="7:11" x14ac:dyDescent="0.2">
      <c r="G2150" s="56"/>
      <c r="H2150" s="56"/>
      <c r="I2150" s="56"/>
      <c r="J2150" s="56"/>
      <c r="K2150" s="56"/>
    </row>
    <row r="2151" spans="7:11" x14ac:dyDescent="0.2">
      <c r="G2151" s="56"/>
      <c r="H2151" s="56"/>
      <c r="I2151" s="56"/>
      <c r="J2151" s="56"/>
      <c r="K2151" s="56"/>
    </row>
    <row r="2152" spans="7:11" x14ac:dyDescent="0.2">
      <c r="G2152" s="56"/>
      <c r="H2152" s="56"/>
      <c r="I2152" s="56"/>
      <c r="J2152" s="56"/>
      <c r="K2152" s="56"/>
    </row>
    <row r="2153" spans="7:11" x14ac:dyDescent="0.2">
      <c r="G2153" s="56"/>
      <c r="H2153" s="56"/>
      <c r="I2153" s="56"/>
      <c r="J2153" s="56"/>
      <c r="K2153" s="56"/>
    </row>
    <row r="2154" spans="7:11" x14ac:dyDescent="0.2">
      <c r="G2154" s="56"/>
      <c r="H2154" s="56"/>
      <c r="I2154" s="56"/>
      <c r="J2154" s="56"/>
      <c r="K2154" s="56"/>
    </row>
    <row r="2155" spans="7:11" x14ac:dyDescent="0.2">
      <c r="G2155" s="56"/>
      <c r="H2155" s="56"/>
      <c r="I2155" s="56"/>
      <c r="J2155" s="56"/>
      <c r="K2155" s="56"/>
    </row>
    <row r="2156" spans="7:11" x14ac:dyDescent="0.2">
      <c r="G2156" s="56"/>
      <c r="H2156" s="56"/>
      <c r="I2156" s="56"/>
      <c r="J2156" s="56"/>
      <c r="K2156" s="56"/>
    </row>
    <row r="2157" spans="7:11" x14ac:dyDescent="0.2">
      <c r="G2157" s="56"/>
      <c r="H2157" s="56"/>
      <c r="I2157" s="56"/>
      <c r="J2157" s="56"/>
      <c r="K2157" s="56"/>
    </row>
    <row r="2158" spans="7:11" x14ac:dyDescent="0.2">
      <c r="G2158" s="56"/>
      <c r="H2158" s="56"/>
      <c r="I2158" s="56"/>
      <c r="J2158" s="56"/>
      <c r="K2158" s="56"/>
    </row>
    <row r="2159" spans="7:11" x14ac:dyDescent="0.2">
      <c r="G2159" s="56"/>
      <c r="H2159" s="56"/>
      <c r="I2159" s="56"/>
      <c r="J2159" s="56"/>
      <c r="K2159" s="56"/>
    </row>
    <row r="2160" spans="7:11" x14ac:dyDescent="0.2">
      <c r="G2160" s="56"/>
      <c r="H2160" s="56"/>
      <c r="I2160" s="56"/>
      <c r="J2160" s="56"/>
      <c r="K2160" s="56"/>
    </row>
    <row r="2161" spans="7:11" x14ac:dyDescent="0.2">
      <c r="G2161" s="56"/>
      <c r="H2161" s="56"/>
      <c r="I2161" s="56"/>
      <c r="J2161" s="56"/>
      <c r="K2161" s="56"/>
    </row>
    <row r="2162" spans="7:11" x14ac:dyDescent="0.2">
      <c r="G2162" s="56"/>
      <c r="H2162" s="56"/>
      <c r="I2162" s="56"/>
      <c r="J2162" s="56"/>
      <c r="K2162" s="56"/>
    </row>
    <row r="2163" spans="7:11" x14ac:dyDescent="0.2">
      <c r="G2163" s="56"/>
      <c r="H2163" s="56"/>
      <c r="I2163" s="56"/>
      <c r="J2163" s="56"/>
      <c r="K2163" s="56"/>
    </row>
    <row r="2164" spans="7:11" x14ac:dyDescent="0.2">
      <c r="G2164" s="56"/>
      <c r="H2164" s="56"/>
      <c r="I2164" s="56"/>
      <c r="J2164" s="56"/>
      <c r="K2164" s="56"/>
    </row>
    <row r="2165" spans="7:11" x14ac:dyDescent="0.2">
      <c r="G2165" s="56"/>
      <c r="H2165" s="56"/>
      <c r="I2165" s="56"/>
      <c r="J2165" s="56"/>
      <c r="K2165" s="56"/>
    </row>
    <row r="2166" spans="7:11" x14ac:dyDescent="0.2">
      <c r="G2166" s="56"/>
      <c r="H2166" s="56"/>
      <c r="I2166" s="56"/>
      <c r="J2166" s="56"/>
      <c r="K2166" s="56"/>
    </row>
    <row r="2167" spans="7:11" x14ac:dyDescent="0.2">
      <c r="G2167" s="56"/>
      <c r="H2167" s="56"/>
      <c r="I2167" s="56"/>
      <c r="J2167" s="56"/>
      <c r="K2167" s="56"/>
    </row>
    <row r="2168" spans="7:11" x14ac:dyDescent="0.2">
      <c r="G2168" s="56"/>
      <c r="H2168" s="56"/>
      <c r="I2168" s="56"/>
      <c r="J2168" s="56"/>
      <c r="K2168" s="56"/>
    </row>
    <row r="2169" spans="7:11" x14ac:dyDescent="0.2">
      <c r="G2169" s="56"/>
      <c r="H2169" s="56"/>
      <c r="I2169" s="56"/>
      <c r="J2169" s="56"/>
      <c r="K2169" s="56"/>
    </row>
    <row r="2170" spans="7:11" x14ac:dyDescent="0.2">
      <c r="G2170" s="56"/>
      <c r="H2170" s="56"/>
      <c r="I2170" s="56"/>
      <c r="J2170" s="56"/>
      <c r="K2170" s="56"/>
    </row>
    <row r="2171" spans="7:11" x14ac:dyDescent="0.2">
      <c r="G2171" s="56"/>
      <c r="H2171" s="56"/>
      <c r="I2171" s="56"/>
      <c r="J2171" s="56"/>
      <c r="K2171" s="56"/>
    </row>
    <row r="2172" spans="7:11" x14ac:dyDescent="0.2">
      <c r="G2172" s="56"/>
      <c r="H2172" s="56"/>
      <c r="I2172" s="56"/>
      <c r="J2172" s="56"/>
      <c r="K2172" s="56"/>
    </row>
    <row r="2173" spans="7:11" x14ac:dyDescent="0.2">
      <c r="G2173" s="56"/>
      <c r="H2173" s="56"/>
      <c r="I2173" s="56"/>
      <c r="J2173" s="56"/>
      <c r="K2173" s="56"/>
    </row>
    <row r="2174" spans="7:11" x14ac:dyDescent="0.2">
      <c r="G2174" s="56"/>
      <c r="H2174" s="56"/>
      <c r="I2174" s="56"/>
      <c r="J2174" s="56"/>
      <c r="K2174" s="56"/>
    </row>
    <row r="2175" spans="7:11" x14ac:dyDescent="0.2">
      <c r="G2175" s="56"/>
      <c r="H2175" s="56"/>
      <c r="I2175" s="56"/>
      <c r="J2175" s="56"/>
      <c r="K2175" s="56"/>
    </row>
    <row r="2176" spans="7:11" x14ac:dyDescent="0.2">
      <c r="G2176" s="56"/>
      <c r="H2176" s="56"/>
      <c r="I2176" s="56"/>
      <c r="J2176" s="56"/>
      <c r="K2176" s="56"/>
    </row>
    <row r="2177" spans="7:11" x14ac:dyDescent="0.2">
      <c r="G2177" s="56"/>
      <c r="H2177" s="56"/>
      <c r="I2177" s="56"/>
      <c r="J2177" s="56"/>
      <c r="K2177" s="56"/>
    </row>
    <row r="2178" spans="7:11" x14ac:dyDescent="0.2">
      <c r="G2178" s="56"/>
      <c r="H2178" s="56"/>
      <c r="I2178" s="56"/>
      <c r="J2178" s="56"/>
      <c r="K2178" s="56"/>
    </row>
    <row r="2179" spans="7:11" x14ac:dyDescent="0.2">
      <c r="G2179" s="56"/>
      <c r="H2179" s="56"/>
      <c r="I2179" s="56"/>
      <c r="J2179" s="56"/>
      <c r="K2179" s="56"/>
    </row>
    <row r="2180" spans="7:11" x14ac:dyDescent="0.2">
      <c r="G2180" s="56"/>
      <c r="H2180" s="56"/>
      <c r="I2180" s="56"/>
      <c r="J2180" s="56"/>
      <c r="K2180" s="56"/>
    </row>
    <row r="2181" spans="7:11" x14ac:dyDescent="0.2">
      <c r="G2181" s="56"/>
      <c r="H2181" s="56"/>
      <c r="I2181" s="56"/>
      <c r="J2181" s="56"/>
      <c r="K2181" s="56"/>
    </row>
    <row r="2182" spans="7:11" x14ac:dyDescent="0.2">
      <c r="G2182" s="56"/>
      <c r="H2182" s="56"/>
      <c r="I2182" s="56"/>
      <c r="J2182" s="56"/>
      <c r="K2182" s="56"/>
    </row>
    <row r="2183" spans="7:11" x14ac:dyDescent="0.2">
      <c r="G2183" s="56"/>
      <c r="H2183" s="56"/>
      <c r="I2183" s="56"/>
      <c r="J2183" s="56"/>
      <c r="K2183" s="56"/>
    </row>
    <row r="2184" spans="7:11" x14ac:dyDescent="0.2">
      <c r="G2184" s="56"/>
      <c r="H2184" s="56"/>
      <c r="I2184" s="56"/>
      <c r="J2184" s="56"/>
      <c r="K2184" s="56"/>
    </row>
    <row r="2185" spans="7:11" x14ac:dyDescent="0.2">
      <c r="G2185" s="56"/>
      <c r="H2185" s="56"/>
      <c r="I2185" s="56"/>
      <c r="J2185" s="56"/>
      <c r="K2185" s="56"/>
    </row>
    <row r="2186" spans="7:11" x14ac:dyDescent="0.2">
      <c r="G2186" s="56"/>
      <c r="H2186" s="56"/>
      <c r="I2186" s="56"/>
      <c r="J2186" s="56"/>
      <c r="K2186" s="56"/>
    </row>
    <row r="2187" spans="7:11" x14ac:dyDescent="0.2">
      <c r="G2187" s="56"/>
      <c r="H2187" s="56"/>
      <c r="I2187" s="56"/>
      <c r="J2187" s="56"/>
      <c r="K2187" s="56"/>
    </row>
    <row r="2188" spans="7:11" x14ac:dyDescent="0.2">
      <c r="G2188" s="56"/>
      <c r="H2188" s="56"/>
      <c r="I2188" s="56"/>
      <c r="J2188" s="56"/>
      <c r="K2188" s="56"/>
    </row>
    <row r="2189" spans="7:11" x14ac:dyDescent="0.2">
      <c r="G2189" s="56"/>
      <c r="H2189" s="56"/>
      <c r="I2189" s="56"/>
      <c r="J2189" s="56"/>
      <c r="K2189" s="56"/>
    </row>
    <row r="2190" spans="7:11" x14ac:dyDescent="0.2">
      <c r="G2190" s="56"/>
      <c r="H2190" s="56"/>
      <c r="I2190" s="56"/>
      <c r="J2190" s="56"/>
      <c r="K2190" s="56"/>
    </row>
    <row r="2191" spans="7:11" x14ac:dyDescent="0.2">
      <c r="G2191" s="56"/>
      <c r="H2191" s="56"/>
      <c r="I2191" s="56"/>
      <c r="J2191" s="56"/>
      <c r="K2191" s="56"/>
    </row>
    <row r="2192" spans="7:11" x14ac:dyDescent="0.2">
      <c r="G2192" s="56"/>
      <c r="H2192" s="56"/>
      <c r="I2192" s="56"/>
      <c r="J2192" s="56"/>
      <c r="K2192" s="56"/>
    </row>
    <row r="2193" spans="7:11" x14ac:dyDescent="0.2">
      <c r="G2193" s="56"/>
      <c r="H2193" s="56"/>
      <c r="I2193" s="56"/>
      <c r="J2193" s="56"/>
      <c r="K2193" s="56"/>
    </row>
    <row r="2194" spans="7:11" x14ac:dyDescent="0.2">
      <c r="G2194" s="56"/>
      <c r="H2194" s="56"/>
      <c r="I2194" s="56"/>
      <c r="J2194" s="56"/>
      <c r="K2194" s="56"/>
    </row>
    <row r="2195" spans="7:11" x14ac:dyDescent="0.2">
      <c r="G2195" s="56"/>
      <c r="H2195" s="56"/>
      <c r="I2195" s="56"/>
      <c r="J2195" s="56"/>
      <c r="K2195" s="56"/>
    </row>
    <row r="2196" spans="7:11" x14ac:dyDescent="0.2">
      <c r="G2196" s="56"/>
      <c r="H2196" s="56"/>
      <c r="I2196" s="56"/>
      <c r="J2196" s="56"/>
      <c r="K2196" s="56"/>
    </row>
    <row r="2197" spans="7:11" x14ac:dyDescent="0.2">
      <c r="G2197" s="56"/>
      <c r="H2197" s="56"/>
      <c r="I2197" s="56"/>
      <c r="J2197" s="56"/>
      <c r="K2197" s="56"/>
    </row>
    <row r="2198" spans="7:11" x14ac:dyDescent="0.2">
      <c r="G2198" s="56"/>
      <c r="H2198" s="56"/>
      <c r="I2198" s="56"/>
      <c r="J2198" s="56"/>
      <c r="K2198" s="56"/>
    </row>
    <row r="2199" spans="7:11" x14ac:dyDescent="0.2">
      <c r="G2199" s="56"/>
      <c r="H2199" s="56"/>
      <c r="I2199" s="56"/>
      <c r="J2199" s="56"/>
      <c r="K2199" s="56"/>
    </row>
    <row r="2200" spans="7:11" x14ac:dyDescent="0.2">
      <c r="G2200" s="56"/>
      <c r="H2200" s="56"/>
      <c r="I2200" s="56"/>
      <c r="J2200" s="56"/>
      <c r="K2200" s="56"/>
    </row>
    <row r="2201" spans="7:11" x14ac:dyDescent="0.2">
      <c r="G2201" s="56"/>
      <c r="H2201" s="56"/>
      <c r="I2201" s="56"/>
      <c r="J2201" s="56"/>
      <c r="K2201" s="56"/>
    </row>
    <row r="2202" spans="7:11" x14ac:dyDescent="0.2">
      <c r="G2202" s="56"/>
      <c r="H2202" s="56"/>
      <c r="I2202" s="56"/>
      <c r="J2202" s="56"/>
      <c r="K2202" s="56"/>
    </row>
    <row r="2203" spans="7:11" x14ac:dyDescent="0.2">
      <c r="G2203" s="56"/>
      <c r="H2203" s="56"/>
      <c r="I2203" s="56"/>
      <c r="J2203" s="56"/>
      <c r="K2203" s="56"/>
    </row>
    <row r="2204" spans="7:11" x14ac:dyDescent="0.2">
      <c r="G2204" s="56"/>
      <c r="H2204" s="56"/>
      <c r="I2204" s="56"/>
      <c r="J2204" s="56"/>
      <c r="K2204" s="56"/>
    </row>
    <row r="2205" spans="7:11" x14ac:dyDescent="0.2">
      <c r="G2205" s="56"/>
      <c r="H2205" s="56"/>
      <c r="I2205" s="56"/>
      <c r="J2205" s="56"/>
      <c r="K2205" s="56"/>
    </row>
    <row r="2206" spans="7:11" x14ac:dyDescent="0.2">
      <c r="G2206" s="56"/>
      <c r="H2206" s="56"/>
      <c r="I2206" s="56"/>
      <c r="J2206" s="56"/>
      <c r="K2206" s="56"/>
    </row>
    <row r="2207" spans="7:11" x14ac:dyDescent="0.2">
      <c r="G2207" s="56"/>
      <c r="H2207" s="56"/>
      <c r="I2207" s="56"/>
      <c r="J2207" s="56"/>
      <c r="K2207" s="56"/>
    </row>
    <row r="2208" spans="7:11" x14ac:dyDescent="0.2">
      <c r="G2208" s="56"/>
      <c r="H2208" s="56"/>
      <c r="I2208" s="56"/>
      <c r="J2208" s="56"/>
      <c r="K2208" s="56"/>
    </row>
    <row r="2209" spans="7:11" x14ac:dyDescent="0.2">
      <c r="G2209" s="56"/>
      <c r="H2209" s="56"/>
      <c r="I2209" s="56"/>
      <c r="J2209" s="56"/>
      <c r="K2209" s="56"/>
    </row>
    <row r="2210" spans="7:11" x14ac:dyDescent="0.2">
      <c r="G2210" s="56"/>
      <c r="H2210" s="56"/>
      <c r="I2210" s="56"/>
      <c r="J2210" s="56"/>
      <c r="K2210" s="56"/>
    </row>
    <row r="2211" spans="7:11" x14ac:dyDescent="0.2">
      <c r="G2211" s="56"/>
      <c r="H2211" s="56"/>
      <c r="I2211" s="56"/>
      <c r="J2211" s="56"/>
      <c r="K2211" s="56"/>
    </row>
    <row r="2212" spans="7:11" x14ac:dyDescent="0.2">
      <c r="G2212" s="56"/>
      <c r="H2212" s="56"/>
      <c r="I2212" s="56"/>
      <c r="J2212" s="56"/>
      <c r="K2212" s="56"/>
    </row>
    <row r="2213" spans="7:11" x14ac:dyDescent="0.2">
      <c r="G2213" s="56"/>
      <c r="H2213" s="56"/>
      <c r="I2213" s="56"/>
      <c r="J2213" s="56"/>
      <c r="K2213" s="56"/>
    </row>
    <row r="2214" spans="7:11" x14ac:dyDescent="0.2">
      <c r="G2214" s="56"/>
      <c r="H2214" s="56"/>
      <c r="I2214" s="56"/>
      <c r="J2214" s="56"/>
      <c r="K2214" s="56"/>
    </row>
    <row r="2215" spans="7:11" x14ac:dyDescent="0.2">
      <c r="G2215" s="56"/>
      <c r="H2215" s="56"/>
      <c r="I2215" s="56"/>
      <c r="J2215" s="56"/>
      <c r="K2215" s="56"/>
    </row>
    <row r="2216" spans="7:11" x14ac:dyDescent="0.2">
      <c r="G2216" s="56"/>
      <c r="H2216" s="56"/>
      <c r="I2216" s="56"/>
      <c r="J2216" s="56"/>
      <c r="K2216" s="56"/>
    </row>
    <row r="2217" spans="7:11" x14ac:dyDescent="0.2">
      <c r="G2217" s="56"/>
      <c r="H2217" s="56"/>
      <c r="I2217" s="56"/>
      <c r="J2217" s="56"/>
      <c r="K2217" s="56"/>
    </row>
    <row r="2218" spans="7:11" x14ac:dyDescent="0.2">
      <c r="G2218" s="56"/>
      <c r="H2218" s="56"/>
      <c r="I2218" s="56"/>
      <c r="J2218" s="56"/>
      <c r="K2218" s="56"/>
    </row>
    <row r="2219" spans="7:11" x14ac:dyDescent="0.2">
      <c r="G2219" s="56"/>
      <c r="H2219" s="56"/>
      <c r="I2219" s="56"/>
      <c r="J2219" s="56"/>
      <c r="K2219" s="56"/>
    </row>
    <row r="2220" spans="7:11" x14ac:dyDescent="0.2">
      <c r="G2220" s="56"/>
      <c r="H2220" s="56"/>
      <c r="I2220" s="56"/>
      <c r="J2220" s="56"/>
      <c r="K2220" s="56"/>
    </row>
    <row r="2221" spans="7:11" x14ac:dyDescent="0.2">
      <c r="G2221" s="56"/>
      <c r="H2221" s="56"/>
      <c r="I2221" s="56"/>
      <c r="J2221" s="56"/>
      <c r="K2221" s="56"/>
    </row>
    <row r="2222" spans="7:11" x14ac:dyDescent="0.2">
      <c r="G2222" s="56"/>
      <c r="H2222" s="56"/>
      <c r="I2222" s="56"/>
      <c r="J2222" s="56"/>
      <c r="K2222" s="56"/>
    </row>
    <row r="2223" spans="7:11" x14ac:dyDescent="0.2">
      <c r="G2223" s="56"/>
      <c r="H2223" s="56"/>
      <c r="I2223" s="56"/>
      <c r="J2223" s="56"/>
      <c r="K2223" s="56"/>
    </row>
    <row r="2224" spans="7:11" x14ac:dyDescent="0.2">
      <c r="G2224" s="56"/>
      <c r="H2224" s="56"/>
      <c r="I2224" s="56"/>
      <c r="J2224" s="56"/>
      <c r="K2224" s="56"/>
    </row>
    <row r="2225" spans="7:11" x14ac:dyDescent="0.2">
      <c r="G2225" s="56"/>
      <c r="H2225" s="56"/>
      <c r="I2225" s="56"/>
      <c r="J2225" s="56"/>
      <c r="K2225" s="56"/>
    </row>
    <row r="2226" spans="7:11" x14ac:dyDescent="0.2">
      <c r="G2226" s="56"/>
      <c r="H2226" s="56"/>
      <c r="I2226" s="56"/>
      <c r="J2226" s="56"/>
      <c r="K2226" s="56"/>
    </row>
    <row r="2227" spans="7:11" x14ac:dyDescent="0.2">
      <c r="G2227" s="56"/>
      <c r="H2227" s="56"/>
      <c r="I2227" s="56"/>
      <c r="J2227" s="56"/>
      <c r="K2227" s="56"/>
    </row>
    <row r="2228" spans="7:11" x14ac:dyDescent="0.2">
      <c r="G2228" s="56"/>
      <c r="H2228" s="56"/>
      <c r="I2228" s="56"/>
      <c r="J2228" s="56"/>
      <c r="K2228" s="56"/>
    </row>
    <row r="2229" spans="7:11" x14ac:dyDescent="0.2">
      <c r="G2229" s="56"/>
      <c r="H2229" s="56"/>
      <c r="I2229" s="56"/>
      <c r="J2229" s="56"/>
      <c r="K2229" s="56"/>
    </row>
    <row r="2230" spans="7:11" x14ac:dyDescent="0.2">
      <c r="G2230" s="56"/>
      <c r="H2230" s="56"/>
      <c r="I2230" s="56"/>
      <c r="J2230" s="56"/>
      <c r="K2230" s="56"/>
    </row>
    <row r="2231" spans="7:11" x14ac:dyDescent="0.2">
      <c r="G2231" s="56"/>
      <c r="H2231" s="56"/>
      <c r="I2231" s="56"/>
      <c r="J2231" s="56"/>
      <c r="K2231" s="56"/>
    </row>
    <row r="2232" spans="7:11" x14ac:dyDescent="0.2">
      <c r="G2232" s="56"/>
      <c r="H2232" s="56"/>
      <c r="I2232" s="56"/>
      <c r="J2232" s="56"/>
      <c r="K2232" s="56"/>
    </row>
    <row r="2233" spans="7:11" x14ac:dyDescent="0.2">
      <c r="G2233" s="56"/>
      <c r="H2233" s="56"/>
      <c r="I2233" s="56"/>
      <c r="J2233" s="56"/>
      <c r="K2233" s="56"/>
    </row>
    <row r="2234" spans="7:11" x14ac:dyDescent="0.2">
      <c r="G2234" s="56"/>
      <c r="H2234" s="56"/>
      <c r="I2234" s="56"/>
      <c r="J2234" s="56"/>
      <c r="K2234" s="56"/>
    </row>
    <row r="2235" spans="7:11" x14ac:dyDescent="0.2">
      <c r="G2235" s="56"/>
      <c r="H2235" s="56"/>
      <c r="I2235" s="56"/>
      <c r="J2235" s="56"/>
      <c r="K2235" s="56"/>
    </row>
    <row r="2236" spans="7:11" x14ac:dyDescent="0.2">
      <c r="G2236" s="56"/>
      <c r="H2236" s="56"/>
      <c r="I2236" s="56"/>
      <c r="J2236" s="56"/>
      <c r="K2236" s="56"/>
    </row>
    <row r="2237" spans="7:11" x14ac:dyDescent="0.2">
      <c r="G2237" s="56"/>
      <c r="H2237" s="56"/>
      <c r="I2237" s="56"/>
      <c r="J2237" s="56"/>
      <c r="K2237" s="56"/>
    </row>
    <row r="2238" spans="7:11" x14ac:dyDescent="0.2">
      <c r="G2238" s="56"/>
      <c r="H2238" s="56"/>
      <c r="I2238" s="56"/>
      <c r="J2238" s="56"/>
      <c r="K2238" s="56"/>
    </row>
    <row r="2239" spans="7:11" x14ac:dyDescent="0.2">
      <c r="G2239" s="56"/>
      <c r="H2239" s="56"/>
      <c r="I2239" s="56"/>
      <c r="J2239" s="56"/>
      <c r="K2239" s="56"/>
    </row>
    <row r="2240" spans="7:11" x14ac:dyDescent="0.2">
      <c r="G2240" s="56"/>
      <c r="H2240" s="56"/>
      <c r="I2240" s="56"/>
      <c r="J2240" s="56"/>
      <c r="K2240" s="56"/>
    </row>
    <row r="2241" spans="7:11" x14ac:dyDescent="0.2">
      <c r="G2241" s="56"/>
      <c r="H2241" s="56"/>
      <c r="I2241" s="56"/>
      <c r="J2241" s="56"/>
      <c r="K2241" s="56"/>
    </row>
    <row r="2242" spans="7:11" x14ac:dyDescent="0.2">
      <c r="G2242" s="56"/>
      <c r="H2242" s="56"/>
      <c r="I2242" s="56"/>
      <c r="J2242" s="56"/>
      <c r="K2242" s="56"/>
    </row>
    <row r="2243" spans="7:11" x14ac:dyDescent="0.2">
      <c r="G2243" s="56"/>
      <c r="H2243" s="56"/>
      <c r="I2243" s="56"/>
      <c r="J2243" s="56"/>
      <c r="K2243" s="56"/>
    </row>
    <row r="2244" spans="7:11" x14ac:dyDescent="0.2">
      <c r="G2244" s="56"/>
      <c r="H2244" s="56"/>
      <c r="I2244" s="56"/>
      <c r="J2244" s="56"/>
      <c r="K2244" s="56"/>
    </row>
    <row r="2245" spans="7:11" x14ac:dyDescent="0.2">
      <c r="G2245" s="56"/>
      <c r="H2245" s="56"/>
      <c r="I2245" s="56"/>
      <c r="J2245" s="56"/>
      <c r="K2245" s="56"/>
    </row>
    <row r="2246" spans="7:11" x14ac:dyDescent="0.2">
      <c r="G2246" s="56"/>
      <c r="H2246" s="56"/>
      <c r="I2246" s="56"/>
      <c r="J2246" s="56"/>
      <c r="K2246" s="56"/>
    </row>
    <row r="2247" spans="7:11" x14ac:dyDescent="0.2">
      <c r="G2247" s="56"/>
      <c r="H2247" s="56"/>
      <c r="I2247" s="56"/>
      <c r="J2247" s="56"/>
      <c r="K2247" s="56"/>
    </row>
    <row r="2248" spans="7:11" x14ac:dyDescent="0.2">
      <c r="G2248" s="56"/>
      <c r="H2248" s="56"/>
      <c r="I2248" s="56"/>
      <c r="J2248" s="56"/>
      <c r="K2248" s="56"/>
    </row>
    <row r="2249" spans="7:11" x14ac:dyDescent="0.2">
      <c r="G2249" s="56"/>
      <c r="H2249" s="56"/>
      <c r="I2249" s="56"/>
      <c r="J2249" s="56"/>
      <c r="K2249" s="56"/>
    </row>
    <row r="2250" spans="7:11" x14ac:dyDescent="0.2">
      <c r="G2250" s="56"/>
      <c r="H2250" s="56"/>
      <c r="I2250" s="56"/>
      <c r="J2250" s="56"/>
      <c r="K2250" s="56"/>
    </row>
    <row r="2251" spans="7:11" x14ac:dyDescent="0.2">
      <c r="G2251" s="56"/>
      <c r="H2251" s="56"/>
      <c r="I2251" s="56"/>
      <c r="J2251" s="56"/>
      <c r="K2251" s="56"/>
    </row>
    <row r="2252" spans="7:11" x14ac:dyDescent="0.2">
      <c r="G2252" s="56"/>
      <c r="H2252" s="56"/>
      <c r="I2252" s="56"/>
      <c r="J2252" s="56"/>
      <c r="K2252" s="56"/>
    </row>
    <row r="2253" spans="7:11" x14ac:dyDescent="0.2">
      <c r="G2253" s="56"/>
      <c r="H2253" s="56"/>
      <c r="I2253" s="56"/>
      <c r="J2253" s="56"/>
      <c r="K2253" s="56"/>
    </row>
    <row r="2254" spans="7:11" x14ac:dyDescent="0.2">
      <c r="G2254" s="56"/>
      <c r="H2254" s="56"/>
      <c r="I2254" s="56"/>
      <c r="J2254" s="56"/>
      <c r="K2254" s="56"/>
    </row>
    <row r="2255" spans="7:11" x14ac:dyDescent="0.2">
      <c r="G2255" s="56"/>
      <c r="H2255" s="56"/>
      <c r="I2255" s="56"/>
      <c r="J2255" s="56"/>
      <c r="K2255" s="56"/>
    </row>
    <row r="2256" spans="7:11" x14ac:dyDescent="0.2">
      <c r="G2256" s="56"/>
      <c r="H2256" s="56"/>
      <c r="I2256" s="56"/>
      <c r="J2256" s="56"/>
      <c r="K2256" s="56"/>
    </row>
    <row r="2257" spans="7:11" x14ac:dyDescent="0.2">
      <c r="G2257" s="56"/>
      <c r="H2257" s="56"/>
      <c r="I2257" s="56"/>
      <c r="J2257" s="56"/>
      <c r="K2257" s="56"/>
    </row>
    <row r="2258" spans="7:11" x14ac:dyDescent="0.2">
      <c r="G2258" s="56"/>
      <c r="H2258" s="56"/>
      <c r="I2258" s="56"/>
      <c r="J2258" s="56"/>
      <c r="K2258" s="56"/>
    </row>
    <row r="2259" spans="7:11" x14ac:dyDescent="0.2">
      <c r="G2259" s="56"/>
      <c r="H2259" s="56"/>
      <c r="I2259" s="56"/>
      <c r="J2259" s="56"/>
      <c r="K2259" s="56"/>
    </row>
    <row r="2260" spans="7:11" x14ac:dyDescent="0.2">
      <c r="G2260" s="56"/>
      <c r="H2260" s="56"/>
      <c r="I2260" s="56"/>
      <c r="J2260" s="56"/>
      <c r="K2260" s="56"/>
    </row>
    <row r="2261" spans="7:11" x14ac:dyDescent="0.2">
      <c r="G2261" s="56"/>
      <c r="H2261" s="56"/>
      <c r="I2261" s="56"/>
      <c r="J2261" s="56"/>
      <c r="K2261" s="56"/>
    </row>
    <row r="2262" spans="7:11" x14ac:dyDescent="0.2">
      <c r="G2262" s="56"/>
      <c r="H2262" s="56"/>
      <c r="I2262" s="56"/>
      <c r="J2262" s="56"/>
      <c r="K2262" s="56"/>
    </row>
    <row r="2263" spans="7:11" x14ac:dyDescent="0.2">
      <c r="G2263" s="56"/>
      <c r="H2263" s="56"/>
      <c r="I2263" s="56"/>
      <c r="J2263" s="56"/>
      <c r="K2263" s="56"/>
    </row>
    <row r="2264" spans="7:11" x14ac:dyDescent="0.2">
      <c r="G2264" s="56"/>
      <c r="H2264" s="56"/>
      <c r="I2264" s="56"/>
      <c r="J2264" s="56"/>
      <c r="K2264" s="56"/>
    </row>
    <row r="2265" spans="7:11" x14ac:dyDescent="0.2">
      <c r="G2265" s="56"/>
      <c r="H2265" s="56"/>
      <c r="I2265" s="56"/>
      <c r="J2265" s="56"/>
      <c r="K2265" s="56"/>
    </row>
    <row r="2266" spans="7:11" x14ac:dyDescent="0.2">
      <c r="G2266" s="56"/>
      <c r="H2266" s="56"/>
      <c r="I2266" s="56"/>
      <c r="J2266" s="56"/>
      <c r="K2266" s="56"/>
    </row>
    <row r="2267" spans="7:11" x14ac:dyDescent="0.2">
      <c r="G2267" s="56"/>
      <c r="H2267" s="56"/>
      <c r="I2267" s="56"/>
      <c r="J2267" s="56"/>
      <c r="K2267" s="56"/>
    </row>
    <row r="2268" spans="7:11" x14ac:dyDescent="0.2">
      <c r="G2268" s="56"/>
      <c r="H2268" s="56"/>
      <c r="I2268" s="56"/>
      <c r="J2268" s="56"/>
      <c r="K2268" s="56"/>
    </row>
    <row r="2269" spans="7:11" x14ac:dyDescent="0.2">
      <c r="G2269" s="56"/>
      <c r="H2269" s="56"/>
      <c r="I2269" s="56"/>
      <c r="J2269" s="56"/>
      <c r="K2269" s="56"/>
    </row>
    <row r="2270" spans="7:11" x14ac:dyDescent="0.2">
      <c r="G2270" s="56"/>
      <c r="H2270" s="56"/>
      <c r="I2270" s="56"/>
      <c r="J2270" s="56"/>
      <c r="K2270" s="56"/>
    </row>
    <row r="2271" spans="7:11" x14ac:dyDescent="0.2">
      <c r="G2271" s="56"/>
      <c r="H2271" s="56"/>
      <c r="I2271" s="56"/>
      <c r="J2271" s="56"/>
      <c r="K2271" s="56"/>
    </row>
    <row r="2272" spans="7:11" x14ac:dyDescent="0.2">
      <c r="G2272" s="56"/>
      <c r="H2272" s="56"/>
      <c r="I2272" s="56"/>
      <c r="J2272" s="56"/>
      <c r="K2272" s="56"/>
    </row>
    <row r="2273" spans="7:11" x14ac:dyDescent="0.2">
      <c r="G2273" s="56"/>
      <c r="H2273" s="56"/>
      <c r="I2273" s="56"/>
      <c r="J2273" s="56"/>
      <c r="K2273" s="56"/>
    </row>
    <row r="2274" spans="7:11" x14ac:dyDescent="0.2">
      <c r="G2274" s="56"/>
      <c r="H2274" s="56"/>
      <c r="I2274" s="56"/>
      <c r="J2274" s="56"/>
      <c r="K2274" s="56"/>
    </row>
    <row r="2275" spans="7:11" x14ac:dyDescent="0.2">
      <c r="G2275" s="56"/>
      <c r="H2275" s="56"/>
      <c r="I2275" s="56"/>
      <c r="J2275" s="56"/>
      <c r="K2275" s="56"/>
    </row>
    <row r="2276" spans="7:11" x14ac:dyDescent="0.2">
      <c r="G2276" s="56"/>
      <c r="H2276" s="56"/>
      <c r="I2276" s="56"/>
      <c r="J2276" s="56"/>
      <c r="K2276" s="56"/>
    </row>
    <row r="2277" spans="7:11" x14ac:dyDescent="0.2">
      <c r="G2277" s="56"/>
      <c r="H2277" s="56"/>
      <c r="I2277" s="56"/>
      <c r="J2277" s="56"/>
      <c r="K2277" s="56"/>
    </row>
    <row r="2278" spans="7:11" x14ac:dyDescent="0.2">
      <c r="G2278" s="56"/>
      <c r="H2278" s="56"/>
      <c r="I2278" s="56"/>
      <c r="J2278" s="56"/>
      <c r="K2278" s="56"/>
    </row>
    <row r="2279" spans="7:11" x14ac:dyDescent="0.2">
      <c r="G2279" s="56"/>
      <c r="H2279" s="56"/>
      <c r="I2279" s="56"/>
      <c r="J2279" s="56"/>
      <c r="K2279" s="56"/>
    </row>
    <row r="2280" spans="7:11" x14ac:dyDescent="0.2">
      <c r="G2280" s="56"/>
      <c r="H2280" s="56"/>
      <c r="I2280" s="56"/>
      <c r="J2280" s="56"/>
      <c r="K2280" s="56"/>
    </row>
    <row r="2281" spans="7:11" x14ac:dyDescent="0.2">
      <c r="G2281" s="56"/>
      <c r="H2281" s="56"/>
      <c r="I2281" s="56"/>
      <c r="J2281" s="56"/>
      <c r="K2281" s="56"/>
    </row>
    <row r="2282" spans="7:11" x14ac:dyDescent="0.2">
      <c r="G2282" s="56"/>
      <c r="H2282" s="56"/>
      <c r="I2282" s="56"/>
      <c r="J2282" s="56"/>
      <c r="K2282" s="56"/>
    </row>
    <row r="2283" spans="7:11" x14ac:dyDescent="0.2">
      <c r="G2283" s="56"/>
      <c r="H2283" s="56"/>
      <c r="I2283" s="56"/>
      <c r="J2283" s="56"/>
      <c r="K2283" s="56"/>
    </row>
    <row r="2284" spans="7:11" x14ac:dyDescent="0.2">
      <c r="G2284" s="56"/>
      <c r="H2284" s="56"/>
      <c r="I2284" s="56"/>
      <c r="J2284" s="56"/>
      <c r="K2284" s="56"/>
    </row>
    <row r="2285" spans="7:11" x14ac:dyDescent="0.2">
      <c r="G2285" s="56"/>
      <c r="H2285" s="56"/>
      <c r="I2285" s="56"/>
      <c r="J2285" s="56"/>
      <c r="K2285" s="56"/>
    </row>
    <row r="2286" spans="7:11" x14ac:dyDescent="0.2">
      <c r="G2286" s="56"/>
      <c r="H2286" s="56"/>
      <c r="I2286" s="56"/>
      <c r="J2286" s="56"/>
      <c r="K2286" s="56"/>
    </row>
    <row r="2287" spans="7:11" x14ac:dyDescent="0.2">
      <c r="G2287" s="56"/>
      <c r="H2287" s="56"/>
      <c r="I2287" s="56"/>
      <c r="J2287" s="56"/>
      <c r="K2287" s="56"/>
    </row>
    <row r="2288" spans="7:11" x14ac:dyDescent="0.2">
      <c r="G2288" s="56"/>
      <c r="H2288" s="56"/>
      <c r="I2288" s="56"/>
      <c r="J2288" s="56"/>
      <c r="K2288" s="56"/>
    </row>
    <row r="2289" spans="7:11" x14ac:dyDescent="0.2">
      <c r="G2289" s="56"/>
      <c r="H2289" s="56"/>
      <c r="I2289" s="56"/>
      <c r="J2289" s="56"/>
      <c r="K2289" s="56"/>
    </row>
    <row r="2290" spans="7:11" x14ac:dyDescent="0.2">
      <c r="G2290" s="56"/>
      <c r="H2290" s="56"/>
      <c r="I2290" s="56"/>
      <c r="J2290" s="56"/>
      <c r="K2290" s="56"/>
    </row>
    <row r="2291" spans="7:11" x14ac:dyDescent="0.2">
      <c r="G2291" s="56"/>
      <c r="H2291" s="56"/>
      <c r="I2291" s="56"/>
      <c r="J2291" s="56"/>
      <c r="K2291" s="56"/>
    </row>
    <row r="2292" spans="7:11" x14ac:dyDescent="0.2">
      <c r="G2292" s="56"/>
      <c r="H2292" s="56"/>
      <c r="I2292" s="56"/>
      <c r="J2292" s="56"/>
      <c r="K2292" s="56"/>
    </row>
    <row r="2293" spans="7:11" x14ac:dyDescent="0.2">
      <c r="G2293" s="56"/>
      <c r="H2293" s="56"/>
      <c r="I2293" s="56"/>
      <c r="J2293" s="56"/>
      <c r="K2293" s="56"/>
    </row>
    <row r="2294" spans="7:11" x14ac:dyDescent="0.2">
      <c r="G2294" s="56"/>
      <c r="H2294" s="56"/>
      <c r="I2294" s="56"/>
      <c r="J2294" s="56"/>
      <c r="K2294" s="56"/>
    </row>
    <row r="2295" spans="7:11" x14ac:dyDescent="0.2">
      <c r="G2295" s="56"/>
      <c r="H2295" s="56"/>
      <c r="I2295" s="56"/>
      <c r="J2295" s="56"/>
      <c r="K2295" s="56"/>
    </row>
    <row r="2296" spans="7:11" x14ac:dyDescent="0.2">
      <c r="G2296" s="56"/>
      <c r="H2296" s="56"/>
      <c r="I2296" s="56"/>
      <c r="J2296" s="56"/>
      <c r="K2296" s="56"/>
    </row>
    <row r="2297" spans="7:11" x14ac:dyDescent="0.2">
      <c r="G2297" s="56"/>
      <c r="H2297" s="56"/>
      <c r="I2297" s="56"/>
      <c r="J2297" s="56"/>
      <c r="K2297" s="56"/>
    </row>
    <row r="2298" spans="7:11" x14ac:dyDescent="0.2">
      <c r="G2298" s="56"/>
      <c r="H2298" s="56"/>
      <c r="I2298" s="56"/>
      <c r="J2298" s="56"/>
      <c r="K2298" s="56"/>
    </row>
    <row r="2299" spans="7:11" x14ac:dyDescent="0.2">
      <c r="G2299" s="56"/>
      <c r="H2299" s="56"/>
      <c r="I2299" s="56"/>
      <c r="J2299" s="56"/>
      <c r="K2299" s="56"/>
    </row>
    <row r="2300" spans="7:11" x14ac:dyDescent="0.2">
      <c r="G2300" s="56"/>
      <c r="H2300" s="56"/>
      <c r="I2300" s="56"/>
      <c r="J2300" s="56"/>
      <c r="K2300" s="56"/>
    </row>
    <row r="2301" spans="7:11" x14ac:dyDescent="0.2">
      <c r="G2301" s="56"/>
      <c r="H2301" s="56"/>
      <c r="I2301" s="56"/>
      <c r="J2301" s="56"/>
      <c r="K2301" s="56"/>
    </row>
    <row r="2302" spans="7:11" x14ac:dyDescent="0.2">
      <c r="G2302" s="56"/>
      <c r="H2302" s="56"/>
      <c r="I2302" s="56"/>
      <c r="J2302" s="56"/>
      <c r="K2302" s="56"/>
    </row>
    <row r="2303" spans="7:11" x14ac:dyDescent="0.2">
      <c r="G2303" s="56"/>
      <c r="H2303" s="56"/>
      <c r="I2303" s="56"/>
      <c r="J2303" s="56"/>
      <c r="K2303" s="56"/>
    </row>
    <row r="2304" spans="7:11" x14ac:dyDescent="0.2">
      <c r="G2304" s="56"/>
      <c r="H2304" s="56"/>
      <c r="I2304" s="56"/>
      <c r="J2304" s="56"/>
      <c r="K2304" s="56"/>
    </row>
    <row r="2305" spans="7:11" x14ac:dyDescent="0.2">
      <c r="G2305" s="56"/>
      <c r="H2305" s="56"/>
      <c r="I2305" s="56"/>
      <c r="J2305" s="56"/>
      <c r="K2305" s="56"/>
    </row>
    <row r="2306" spans="7:11" x14ac:dyDescent="0.2">
      <c r="G2306" s="56"/>
      <c r="H2306" s="56"/>
      <c r="I2306" s="56"/>
      <c r="J2306" s="56"/>
      <c r="K2306" s="56"/>
    </row>
    <row r="2307" spans="7:11" x14ac:dyDescent="0.2">
      <c r="G2307" s="56"/>
      <c r="H2307" s="56"/>
      <c r="I2307" s="56"/>
      <c r="J2307" s="56"/>
      <c r="K2307" s="56"/>
    </row>
    <row r="2308" spans="7:11" x14ac:dyDescent="0.2">
      <c r="G2308" s="56"/>
      <c r="H2308" s="56"/>
      <c r="I2308" s="56"/>
      <c r="J2308" s="56"/>
      <c r="K2308" s="56"/>
    </row>
    <row r="2309" spans="7:11" x14ac:dyDescent="0.2">
      <c r="G2309" s="56"/>
      <c r="H2309" s="56"/>
      <c r="I2309" s="56"/>
      <c r="J2309" s="56"/>
      <c r="K2309" s="56"/>
    </row>
    <row r="2310" spans="7:11" x14ac:dyDescent="0.2">
      <c r="G2310" s="56"/>
      <c r="H2310" s="56"/>
      <c r="I2310" s="56"/>
      <c r="J2310" s="56"/>
      <c r="K2310" s="56"/>
    </row>
    <row r="2311" spans="7:11" x14ac:dyDescent="0.2">
      <c r="G2311" s="56"/>
      <c r="H2311" s="56"/>
      <c r="I2311" s="56"/>
      <c r="J2311" s="56"/>
      <c r="K2311" s="56"/>
    </row>
    <row r="2312" spans="7:11" x14ac:dyDescent="0.2">
      <c r="G2312" s="56"/>
      <c r="H2312" s="56"/>
      <c r="I2312" s="56"/>
      <c r="J2312" s="56"/>
      <c r="K2312" s="56"/>
    </row>
    <row r="2313" spans="7:11" x14ac:dyDescent="0.2">
      <c r="G2313" s="56"/>
      <c r="H2313" s="56"/>
      <c r="I2313" s="56"/>
      <c r="J2313" s="56"/>
      <c r="K2313" s="56"/>
    </row>
    <row r="2314" spans="7:11" x14ac:dyDescent="0.2">
      <c r="G2314" s="56"/>
      <c r="H2314" s="56"/>
      <c r="I2314" s="56"/>
      <c r="J2314" s="56"/>
      <c r="K2314" s="56"/>
    </row>
    <row r="2315" spans="7:11" x14ac:dyDescent="0.2">
      <c r="G2315" s="56"/>
      <c r="H2315" s="56"/>
      <c r="I2315" s="56"/>
      <c r="J2315" s="56"/>
      <c r="K2315" s="56"/>
    </row>
    <row r="2316" spans="7:11" x14ac:dyDescent="0.2">
      <c r="G2316" s="56"/>
      <c r="H2316" s="56"/>
      <c r="I2316" s="56"/>
      <c r="J2316" s="56"/>
      <c r="K2316" s="56"/>
    </row>
    <row r="2317" spans="7:11" x14ac:dyDescent="0.2">
      <c r="G2317" s="56"/>
      <c r="H2317" s="56"/>
      <c r="I2317" s="56"/>
      <c r="J2317" s="56"/>
      <c r="K2317" s="56"/>
    </row>
    <row r="2318" spans="7:11" x14ac:dyDescent="0.2">
      <c r="G2318" s="56"/>
      <c r="H2318" s="56"/>
      <c r="I2318" s="56"/>
      <c r="J2318" s="56"/>
      <c r="K2318" s="56"/>
    </row>
    <row r="2319" spans="7:11" x14ac:dyDescent="0.2">
      <c r="G2319" s="56"/>
      <c r="H2319" s="56"/>
      <c r="I2319" s="56"/>
      <c r="J2319" s="56"/>
      <c r="K2319" s="56"/>
    </row>
    <row r="2320" spans="7:11" x14ac:dyDescent="0.2">
      <c r="G2320" s="56"/>
      <c r="H2320" s="56"/>
      <c r="I2320" s="56"/>
      <c r="J2320" s="56"/>
      <c r="K2320" s="56"/>
    </row>
    <row r="2321" spans="7:11" x14ac:dyDescent="0.2">
      <c r="G2321" s="56"/>
      <c r="H2321" s="56"/>
      <c r="I2321" s="56"/>
      <c r="J2321" s="56"/>
      <c r="K2321" s="56"/>
    </row>
    <row r="2322" spans="7:11" x14ac:dyDescent="0.2">
      <c r="G2322" s="56"/>
      <c r="H2322" s="56"/>
      <c r="I2322" s="56"/>
      <c r="J2322" s="56"/>
      <c r="K2322" s="56"/>
    </row>
    <row r="2323" spans="7:11" x14ac:dyDescent="0.2">
      <c r="G2323" s="56"/>
      <c r="H2323" s="56"/>
      <c r="I2323" s="56"/>
      <c r="J2323" s="56"/>
      <c r="K2323" s="56"/>
    </row>
    <row r="2324" spans="7:11" x14ac:dyDescent="0.2">
      <c r="G2324" s="56"/>
      <c r="H2324" s="56"/>
      <c r="I2324" s="56"/>
      <c r="J2324" s="56"/>
      <c r="K2324" s="56"/>
    </row>
    <row r="2325" spans="7:11" x14ac:dyDescent="0.2">
      <c r="G2325" s="56"/>
      <c r="H2325" s="56"/>
      <c r="I2325" s="56"/>
      <c r="J2325" s="56"/>
      <c r="K2325" s="56"/>
    </row>
    <row r="2326" spans="7:11" x14ac:dyDescent="0.2">
      <c r="G2326" s="56"/>
      <c r="H2326" s="56"/>
      <c r="I2326" s="56"/>
      <c r="J2326" s="56"/>
      <c r="K2326" s="56"/>
    </row>
    <row r="2327" spans="7:11" x14ac:dyDescent="0.2">
      <c r="G2327" s="56"/>
      <c r="H2327" s="56"/>
      <c r="I2327" s="56"/>
      <c r="J2327" s="56"/>
      <c r="K2327" s="56"/>
    </row>
    <row r="2328" spans="7:11" x14ac:dyDescent="0.2">
      <c r="G2328" s="56"/>
      <c r="H2328" s="56"/>
      <c r="I2328" s="56"/>
      <c r="J2328" s="56"/>
      <c r="K2328" s="56"/>
    </row>
    <row r="2329" spans="7:11" x14ac:dyDescent="0.2">
      <c r="G2329" s="56"/>
      <c r="H2329" s="56"/>
      <c r="I2329" s="56"/>
      <c r="J2329" s="56"/>
      <c r="K2329" s="56"/>
    </row>
    <row r="2330" spans="7:11" x14ac:dyDescent="0.2">
      <c r="G2330" s="56"/>
      <c r="H2330" s="56"/>
      <c r="I2330" s="56"/>
      <c r="J2330" s="56"/>
      <c r="K2330" s="56"/>
    </row>
    <row r="2331" spans="7:11" x14ac:dyDescent="0.2">
      <c r="G2331" s="56"/>
      <c r="H2331" s="56"/>
      <c r="I2331" s="56"/>
      <c r="J2331" s="56"/>
      <c r="K2331" s="56"/>
    </row>
    <row r="2332" spans="7:11" x14ac:dyDescent="0.2">
      <c r="G2332" s="56"/>
      <c r="H2332" s="56"/>
      <c r="I2332" s="56"/>
      <c r="J2332" s="56"/>
      <c r="K2332" s="56"/>
    </row>
    <row r="2333" spans="7:11" x14ac:dyDescent="0.2">
      <c r="G2333" s="56"/>
      <c r="H2333" s="56"/>
      <c r="I2333" s="56"/>
      <c r="J2333" s="56"/>
      <c r="K2333" s="56"/>
    </row>
    <row r="2334" spans="7:11" x14ac:dyDescent="0.2">
      <c r="G2334" s="56"/>
      <c r="H2334" s="56"/>
      <c r="I2334" s="56"/>
      <c r="J2334" s="56"/>
      <c r="K2334" s="56"/>
    </row>
    <row r="2335" spans="7:11" x14ac:dyDescent="0.2">
      <c r="G2335" s="56"/>
      <c r="H2335" s="56"/>
      <c r="I2335" s="56"/>
      <c r="J2335" s="56"/>
      <c r="K2335" s="56"/>
    </row>
    <row r="2336" spans="7:11" x14ac:dyDescent="0.2">
      <c r="G2336" s="56"/>
      <c r="H2336" s="56"/>
      <c r="I2336" s="56"/>
      <c r="J2336" s="56"/>
      <c r="K2336" s="56"/>
    </row>
    <row r="2337" spans="7:11" x14ac:dyDescent="0.2">
      <c r="G2337" s="56"/>
      <c r="H2337" s="56"/>
      <c r="I2337" s="56"/>
      <c r="J2337" s="56"/>
      <c r="K2337" s="56"/>
    </row>
    <row r="2338" spans="7:11" x14ac:dyDescent="0.2">
      <c r="G2338" s="56"/>
      <c r="H2338" s="56"/>
      <c r="I2338" s="56"/>
      <c r="J2338" s="56"/>
      <c r="K2338" s="56"/>
    </row>
    <row r="2339" spans="7:11" x14ac:dyDescent="0.2">
      <c r="G2339" s="56"/>
      <c r="H2339" s="56"/>
      <c r="I2339" s="56"/>
      <c r="J2339" s="56"/>
      <c r="K2339" s="56"/>
    </row>
    <row r="2340" spans="7:11" x14ac:dyDescent="0.2">
      <c r="G2340" s="56"/>
      <c r="H2340" s="56"/>
      <c r="I2340" s="56"/>
      <c r="J2340" s="56"/>
      <c r="K2340" s="56"/>
    </row>
    <row r="2341" spans="7:11" x14ac:dyDescent="0.2">
      <c r="G2341" s="56"/>
      <c r="H2341" s="56"/>
      <c r="I2341" s="56"/>
      <c r="J2341" s="56"/>
      <c r="K2341" s="56"/>
    </row>
    <row r="2342" spans="7:11" x14ac:dyDescent="0.2">
      <c r="G2342" s="56"/>
      <c r="H2342" s="56"/>
      <c r="I2342" s="56"/>
      <c r="J2342" s="56"/>
      <c r="K2342" s="56"/>
    </row>
    <row r="2343" spans="7:11" x14ac:dyDescent="0.2">
      <c r="G2343" s="56"/>
      <c r="H2343" s="56"/>
      <c r="I2343" s="56"/>
      <c r="J2343" s="56"/>
      <c r="K2343" s="56"/>
    </row>
    <row r="2344" spans="7:11" x14ac:dyDescent="0.2">
      <c r="G2344" s="56"/>
      <c r="H2344" s="56"/>
      <c r="I2344" s="56"/>
      <c r="J2344" s="56"/>
      <c r="K2344" s="56"/>
    </row>
    <row r="2345" spans="7:11" x14ac:dyDescent="0.2">
      <c r="G2345" s="56"/>
      <c r="H2345" s="56"/>
      <c r="I2345" s="56"/>
      <c r="J2345" s="56"/>
      <c r="K2345" s="56"/>
    </row>
    <row r="2346" spans="7:11" x14ac:dyDescent="0.2">
      <c r="G2346" s="56"/>
      <c r="H2346" s="56"/>
      <c r="I2346" s="56"/>
      <c r="J2346" s="56"/>
      <c r="K2346" s="56"/>
    </row>
    <row r="2347" spans="7:11" x14ac:dyDescent="0.2">
      <c r="G2347" s="56"/>
      <c r="H2347" s="56"/>
      <c r="I2347" s="56"/>
      <c r="J2347" s="56"/>
      <c r="K2347" s="56"/>
    </row>
    <row r="2348" spans="7:11" x14ac:dyDescent="0.2">
      <c r="G2348" s="56"/>
      <c r="H2348" s="56"/>
      <c r="I2348" s="56"/>
      <c r="J2348" s="56"/>
      <c r="K2348" s="56"/>
    </row>
    <row r="2349" spans="7:11" x14ac:dyDescent="0.2">
      <c r="G2349" s="56"/>
      <c r="H2349" s="56"/>
      <c r="I2349" s="56"/>
      <c r="J2349" s="56"/>
      <c r="K2349" s="56"/>
    </row>
    <row r="2350" spans="7:11" x14ac:dyDescent="0.2">
      <c r="G2350" s="56"/>
      <c r="H2350" s="56"/>
      <c r="I2350" s="56"/>
      <c r="J2350" s="56"/>
      <c r="K2350" s="56"/>
    </row>
    <row r="2351" spans="7:11" x14ac:dyDescent="0.2">
      <c r="G2351" s="56"/>
      <c r="H2351" s="56"/>
      <c r="I2351" s="56"/>
      <c r="J2351" s="56"/>
      <c r="K2351" s="56"/>
    </row>
    <row r="2352" spans="7:11" x14ac:dyDescent="0.2">
      <c r="G2352" s="56"/>
      <c r="H2352" s="56"/>
      <c r="I2352" s="56"/>
      <c r="J2352" s="56"/>
      <c r="K2352" s="56"/>
    </row>
    <row r="2353" spans="7:11" x14ac:dyDescent="0.2">
      <c r="G2353" s="56"/>
      <c r="H2353" s="56"/>
      <c r="I2353" s="56"/>
      <c r="J2353" s="56"/>
      <c r="K2353" s="56"/>
    </row>
    <row r="2354" spans="7:11" x14ac:dyDescent="0.2">
      <c r="G2354" s="56"/>
      <c r="H2354" s="56"/>
      <c r="I2354" s="56"/>
      <c r="J2354" s="56"/>
      <c r="K2354" s="56"/>
    </row>
    <row r="2355" spans="7:11" x14ac:dyDescent="0.2">
      <c r="G2355" s="56"/>
      <c r="H2355" s="56"/>
      <c r="I2355" s="56"/>
      <c r="J2355" s="56"/>
      <c r="K2355" s="56"/>
    </row>
    <row r="2356" spans="7:11" x14ac:dyDescent="0.2">
      <c r="G2356" s="56"/>
      <c r="H2356" s="56"/>
      <c r="I2356" s="56"/>
      <c r="J2356" s="56"/>
      <c r="K2356" s="56"/>
    </row>
    <row r="2357" spans="7:11" x14ac:dyDescent="0.2">
      <c r="G2357" s="56"/>
      <c r="H2357" s="56"/>
      <c r="I2357" s="56"/>
      <c r="J2357" s="56"/>
      <c r="K2357" s="56"/>
    </row>
    <row r="2358" spans="7:11" x14ac:dyDescent="0.2">
      <c r="G2358" s="56"/>
      <c r="H2358" s="56"/>
      <c r="I2358" s="56"/>
      <c r="J2358" s="56"/>
      <c r="K2358" s="56"/>
    </row>
    <row r="2359" spans="7:11" x14ac:dyDescent="0.2">
      <c r="G2359" s="56"/>
      <c r="H2359" s="56"/>
      <c r="I2359" s="56"/>
      <c r="J2359" s="56"/>
      <c r="K2359" s="56"/>
    </row>
    <row r="2360" spans="7:11" x14ac:dyDescent="0.2">
      <c r="G2360" s="56"/>
      <c r="H2360" s="56"/>
      <c r="I2360" s="56"/>
      <c r="J2360" s="56"/>
      <c r="K2360" s="56"/>
    </row>
    <row r="2361" spans="7:11" x14ac:dyDescent="0.2">
      <c r="G2361" s="56"/>
      <c r="H2361" s="56"/>
      <c r="I2361" s="56"/>
      <c r="J2361" s="56"/>
      <c r="K2361" s="56"/>
    </row>
    <row r="2362" spans="7:11" x14ac:dyDescent="0.2">
      <c r="G2362" s="56"/>
      <c r="H2362" s="56"/>
      <c r="I2362" s="56"/>
      <c r="J2362" s="56"/>
      <c r="K2362" s="56"/>
    </row>
    <row r="2363" spans="7:11" x14ac:dyDescent="0.2">
      <c r="G2363" s="56"/>
      <c r="H2363" s="56"/>
      <c r="I2363" s="56"/>
      <c r="J2363" s="56"/>
      <c r="K2363" s="56"/>
    </row>
    <row r="2364" spans="7:11" x14ac:dyDescent="0.2">
      <c r="G2364" s="56"/>
      <c r="H2364" s="56"/>
      <c r="I2364" s="56"/>
      <c r="J2364" s="56"/>
      <c r="K2364" s="56"/>
    </row>
    <row r="2365" spans="7:11" x14ac:dyDescent="0.2">
      <c r="G2365" s="56"/>
      <c r="H2365" s="56"/>
      <c r="I2365" s="56"/>
      <c r="J2365" s="56"/>
      <c r="K2365" s="56"/>
    </row>
    <row r="2366" spans="7:11" x14ac:dyDescent="0.2">
      <c r="G2366" s="56"/>
      <c r="H2366" s="56"/>
      <c r="I2366" s="56"/>
      <c r="J2366" s="56"/>
      <c r="K2366" s="56"/>
    </row>
    <row r="2367" spans="7:11" x14ac:dyDescent="0.2">
      <c r="G2367" s="56"/>
      <c r="H2367" s="56"/>
      <c r="I2367" s="56"/>
      <c r="J2367" s="56"/>
      <c r="K2367" s="56"/>
    </row>
    <row r="2368" spans="7:11" x14ac:dyDescent="0.2">
      <c r="G2368" s="56"/>
      <c r="H2368" s="56"/>
      <c r="I2368" s="56"/>
      <c r="J2368" s="56"/>
      <c r="K2368" s="56"/>
    </row>
    <row r="2369" spans="7:11" x14ac:dyDescent="0.2">
      <c r="G2369" s="56"/>
      <c r="H2369" s="56"/>
      <c r="I2369" s="56"/>
      <c r="J2369" s="56"/>
      <c r="K2369" s="56"/>
    </row>
    <row r="2370" spans="7:11" x14ac:dyDescent="0.2">
      <c r="G2370" s="56"/>
      <c r="H2370" s="56"/>
      <c r="I2370" s="56"/>
      <c r="J2370" s="56"/>
      <c r="K2370" s="56"/>
    </row>
    <row r="2371" spans="7:11" x14ac:dyDescent="0.2">
      <c r="G2371" s="56"/>
      <c r="H2371" s="56"/>
      <c r="I2371" s="56"/>
      <c r="J2371" s="56"/>
      <c r="K2371" s="56"/>
    </row>
    <row r="2372" spans="7:11" x14ac:dyDescent="0.2">
      <c r="G2372" s="56"/>
      <c r="H2372" s="56"/>
      <c r="I2372" s="56"/>
      <c r="J2372" s="56"/>
      <c r="K2372" s="56"/>
    </row>
    <row r="2373" spans="7:11" x14ac:dyDescent="0.2">
      <c r="G2373" s="56"/>
      <c r="H2373" s="56"/>
      <c r="I2373" s="56"/>
      <c r="J2373" s="56"/>
      <c r="K2373" s="56"/>
    </row>
    <row r="2374" spans="7:11" x14ac:dyDescent="0.2">
      <c r="G2374" s="56"/>
      <c r="H2374" s="56"/>
      <c r="I2374" s="56"/>
      <c r="J2374" s="56"/>
      <c r="K2374" s="56"/>
    </row>
    <row r="2375" spans="7:11" x14ac:dyDescent="0.2">
      <c r="G2375" s="56"/>
      <c r="H2375" s="56"/>
      <c r="I2375" s="56"/>
      <c r="J2375" s="56"/>
      <c r="K2375" s="56"/>
    </row>
    <row r="2376" spans="7:11" x14ac:dyDescent="0.2">
      <c r="G2376" s="56"/>
      <c r="H2376" s="56"/>
      <c r="I2376" s="56"/>
      <c r="J2376" s="56"/>
      <c r="K2376" s="56"/>
    </row>
    <row r="2377" spans="7:11" x14ac:dyDescent="0.2">
      <c r="G2377" s="56"/>
      <c r="H2377" s="56"/>
      <c r="I2377" s="56"/>
      <c r="J2377" s="56"/>
      <c r="K2377" s="56"/>
    </row>
    <row r="2378" spans="7:11" x14ac:dyDescent="0.2">
      <c r="G2378" s="56"/>
      <c r="H2378" s="56"/>
      <c r="I2378" s="56"/>
      <c r="J2378" s="56"/>
      <c r="K2378" s="56"/>
    </row>
    <row r="2379" spans="7:11" x14ac:dyDescent="0.2">
      <c r="G2379" s="56"/>
      <c r="H2379" s="56"/>
      <c r="I2379" s="56"/>
      <c r="J2379" s="56"/>
      <c r="K2379" s="56"/>
    </row>
    <row r="2380" spans="7:11" x14ac:dyDescent="0.2">
      <c r="G2380" s="56"/>
      <c r="H2380" s="56"/>
      <c r="I2380" s="56"/>
      <c r="J2380" s="56"/>
      <c r="K2380" s="56"/>
    </row>
    <row r="2381" spans="7:11" x14ac:dyDescent="0.2">
      <c r="G2381" s="56"/>
      <c r="H2381" s="56"/>
      <c r="I2381" s="56"/>
      <c r="J2381" s="56"/>
      <c r="K2381" s="56"/>
    </row>
    <row r="2382" spans="7:11" x14ac:dyDescent="0.2">
      <c r="G2382" s="56"/>
      <c r="H2382" s="56"/>
      <c r="I2382" s="56"/>
      <c r="J2382" s="56"/>
      <c r="K2382" s="56"/>
    </row>
    <row r="2383" spans="7:11" x14ac:dyDescent="0.2">
      <c r="G2383" s="56"/>
      <c r="H2383" s="56"/>
      <c r="I2383" s="56"/>
      <c r="J2383" s="56"/>
      <c r="K2383" s="56"/>
    </row>
    <row r="2384" spans="7:11" x14ac:dyDescent="0.2">
      <c r="G2384" s="56"/>
      <c r="H2384" s="56"/>
      <c r="I2384" s="56"/>
      <c r="J2384" s="56"/>
      <c r="K2384" s="56"/>
    </row>
    <row r="2385" spans="7:11" x14ac:dyDescent="0.2">
      <c r="G2385" s="56"/>
      <c r="H2385" s="56"/>
      <c r="I2385" s="56"/>
      <c r="J2385" s="56"/>
      <c r="K2385" s="56"/>
    </row>
    <row r="2386" spans="7:11" x14ac:dyDescent="0.2">
      <c r="G2386" s="56"/>
      <c r="H2386" s="56"/>
      <c r="I2386" s="56"/>
      <c r="J2386" s="56"/>
      <c r="K2386" s="56"/>
    </row>
    <row r="2387" spans="7:11" x14ac:dyDescent="0.2">
      <c r="G2387" s="56"/>
      <c r="H2387" s="56"/>
      <c r="I2387" s="56"/>
      <c r="J2387" s="56"/>
      <c r="K2387" s="56"/>
    </row>
    <row r="2388" spans="7:11" x14ac:dyDescent="0.2">
      <c r="G2388" s="56"/>
      <c r="H2388" s="56"/>
      <c r="I2388" s="56"/>
      <c r="J2388" s="56"/>
      <c r="K2388" s="56"/>
    </row>
    <row r="2389" spans="7:11" x14ac:dyDescent="0.2">
      <c r="G2389" s="56"/>
      <c r="H2389" s="56"/>
      <c r="I2389" s="56"/>
      <c r="J2389" s="56"/>
      <c r="K2389" s="56"/>
    </row>
    <row r="2390" spans="7:11" x14ac:dyDescent="0.2">
      <c r="G2390" s="56"/>
      <c r="H2390" s="56"/>
      <c r="I2390" s="56"/>
      <c r="J2390" s="56"/>
      <c r="K2390" s="56"/>
    </row>
    <row r="2391" spans="7:11" x14ac:dyDescent="0.2">
      <c r="G2391" s="56"/>
      <c r="H2391" s="56"/>
      <c r="I2391" s="56"/>
      <c r="J2391" s="56"/>
      <c r="K2391" s="56"/>
    </row>
    <row r="2392" spans="7:11" x14ac:dyDescent="0.2">
      <c r="G2392" s="56"/>
      <c r="H2392" s="56"/>
      <c r="I2392" s="56"/>
      <c r="J2392" s="56"/>
      <c r="K2392" s="56"/>
    </row>
    <row r="2393" spans="7:11" x14ac:dyDescent="0.2">
      <c r="G2393" s="56"/>
      <c r="H2393" s="56"/>
      <c r="I2393" s="56"/>
      <c r="J2393" s="56"/>
      <c r="K2393" s="56"/>
    </row>
    <row r="2394" spans="7:11" x14ac:dyDescent="0.2">
      <c r="G2394" s="56"/>
      <c r="H2394" s="56"/>
      <c r="I2394" s="56"/>
      <c r="J2394" s="56"/>
      <c r="K2394" s="56"/>
    </row>
    <row r="2395" spans="7:11" x14ac:dyDescent="0.2">
      <c r="G2395" s="56"/>
      <c r="H2395" s="56"/>
      <c r="I2395" s="56"/>
      <c r="J2395" s="56"/>
      <c r="K2395" s="56"/>
    </row>
    <row r="2396" spans="7:11" x14ac:dyDescent="0.2">
      <c r="G2396" s="56"/>
      <c r="H2396" s="56"/>
      <c r="I2396" s="56"/>
      <c r="J2396" s="56"/>
      <c r="K2396" s="56"/>
    </row>
    <row r="2397" spans="7:11" x14ac:dyDescent="0.2">
      <c r="G2397" s="56"/>
      <c r="H2397" s="56"/>
      <c r="I2397" s="56"/>
      <c r="J2397" s="56"/>
      <c r="K2397" s="56"/>
    </row>
    <row r="2398" spans="7:11" x14ac:dyDescent="0.2">
      <c r="G2398" s="56"/>
      <c r="H2398" s="56"/>
      <c r="I2398" s="56"/>
      <c r="J2398" s="56"/>
      <c r="K2398" s="56"/>
    </row>
    <row r="2399" spans="7:11" x14ac:dyDescent="0.2">
      <c r="G2399" s="56"/>
      <c r="H2399" s="56"/>
      <c r="I2399" s="56"/>
      <c r="J2399" s="56"/>
      <c r="K2399" s="56"/>
    </row>
    <row r="2400" spans="7:11" x14ac:dyDescent="0.2">
      <c r="G2400" s="56"/>
      <c r="H2400" s="56"/>
      <c r="I2400" s="56"/>
      <c r="J2400" s="56"/>
      <c r="K2400" s="56"/>
    </row>
    <row r="2401" spans="7:11" x14ac:dyDescent="0.2">
      <c r="G2401" s="56"/>
      <c r="H2401" s="56"/>
      <c r="I2401" s="56"/>
      <c r="J2401" s="56"/>
      <c r="K2401" s="56"/>
    </row>
    <row r="2402" spans="7:11" x14ac:dyDescent="0.2">
      <c r="G2402" s="56"/>
      <c r="H2402" s="56"/>
      <c r="I2402" s="56"/>
      <c r="J2402" s="56"/>
      <c r="K2402" s="56"/>
    </row>
    <row r="2403" spans="7:11" x14ac:dyDescent="0.2">
      <c r="G2403" s="56"/>
      <c r="H2403" s="56"/>
      <c r="I2403" s="56"/>
      <c r="J2403" s="56"/>
      <c r="K2403" s="56"/>
    </row>
    <row r="2404" spans="7:11" x14ac:dyDescent="0.2">
      <c r="G2404" s="56"/>
      <c r="H2404" s="56"/>
      <c r="I2404" s="56"/>
      <c r="J2404" s="56"/>
      <c r="K2404" s="56"/>
    </row>
    <row r="2405" spans="7:11" x14ac:dyDescent="0.2">
      <c r="G2405" s="56"/>
      <c r="H2405" s="56"/>
      <c r="I2405" s="56"/>
      <c r="J2405" s="56"/>
      <c r="K2405" s="56"/>
    </row>
    <row r="2406" spans="7:11" x14ac:dyDescent="0.2">
      <c r="G2406" s="56"/>
      <c r="H2406" s="56"/>
      <c r="I2406" s="56"/>
      <c r="J2406" s="56"/>
      <c r="K2406" s="56"/>
    </row>
    <row r="2407" spans="7:11" x14ac:dyDescent="0.2">
      <c r="G2407" s="56"/>
      <c r="H2407" s="56"/>
      <c r="I2407" s="56"/>
      <c r="J2407" s="56"/>
      <c r="K2407" s="56"/>
    </row>
    <row r="2408" spans="7:11" x14ac:dyDescent="0.2">
      <c r="G2408" s="56"/>
      <c r="H2408" s="56"/>
      <c r="I2408" s="56"/>
      <c r="J2408" s="56"/>
      <c r="K2408" s="56"/>
    </row>
    <row r="2409" spans="7:11" x14ac:dyDescent="0.2">
      <c r="G2409" s="56"/>
      <c r="H2409" s="56"/>
      <c r="I2409" s="56"/>
      <c r="J2409" s="56"/>
      <c r="K2409" s="56"/>
    </row>
    <row r="2410" spans="7:11" x14ac:dyDescent="0.2">
      <c r="G2410" s="56"/>
      <c r="H2410" s="56"/>
      <c r="I2410" s="56"/>
      <c r="J2410" s="56"/>
      <c r="K2410" s="56"/>
    </row>
    <row r="2411" spans="7:11" x14ac:dyDescent="0.2">
      <c r="G2411" s="56"/>
      <c r="H2411" s="56"/>
      <c r="I2411" s="56"/>
      <c r="J2411" s="56"/>
      <c r="K2411" s="56"/>
    </row>
    <row r="2412" spans="7:11" x14ac:dyDescent="0.2">
      <c r="G2412" s="56"/>
      <c r="H2412" s="56"/>
      <c r="I2412" s="56"/>
      <c r="J2412" s="56"/>
      <c r="K2412" s="56"/>
    </row>
    <row r="2413" spans="7:11" x14ac:dyDescent="0.2">
      <c r="G2413" s="56"/>
      <c r="H2413" s="56"/>
      <c r="I2413" s="56"/>
      <c r="J2413" s="56"/>
      <c r="K2413" s="56"/>
    </row>
    <row r="2414" spans="7:11" x14ac:dyDescent="0.2">
      <c r="G2414" s="56"/>
      <c r="H2414" s="56"/>
      <c r="I2414" s="56"/>
      <c r="J2414" s="56"/>
      <c r="K2414" s="56"/>
    </row>
    <row r="2415" spans="7:11" x14ac:dyDescent="0.2">
      <c r="G2415" s="56"/>
      <c r="H2415" s="56"/>
      <c r="I2415" s="56"/>
      <c r="J2415" s="56"/>
      <c r="K2415" s="56"/>
    </row>
    <row r="2416" spans="7:11" x14ac:dyDescent="0.2">
      <c r="G2416" s="56"/>
      <c r="H2416" s="56"/>
      <c r="I2416" s="56"/>
      <c r="J2416" s="56"/>
      <c r="K2416" s="56"/>
    </row>
    <row r="2417" spans="7:11" x14ac:dyDescent="0.2">
      <c r="G2417" s="56"/>
      <c r="H2417" s="56"/>
      <c r="I2417" s="56"/>
      <c r="J2417" s="56"/>
      <c r="K2417" s="56"/>
    </row>
    <row r="2418" spans="7:11" x14ac:dyDescent="0.2">
      <c r="G2418" s="56"/>
      <c r="H2418" s="56"/>
      <c r="I2418" s="56"/>
      <c r="J2418" s="56"/>
      <c r="K2418" s="56"/>
    </row>
    <row r="2419" spans="7:11" x14ac:dyDescent="0.2">
      <c r="G2419" s="56"/>
      <c r="H2419" s="56"/>
      <c r="I2419" s="56"/>
      <c r="J2419" s="56"/>
      <c r="K2419" s="56"/>
    </row>
    <row r="2420" spans="7:11" x14ac:dyDescent="0.2">
      <c r="G2420" s="56"/>
      <c r="H2420" s="56"/>
      <c r="I2420" s="56"/>
      <c r="J2420" s="56"/>
      <c r="K2420" s="56"/>
    </row>
    <row r="2421" spans="7:11" x14ac:dyDescent="0.2">
      <c r="G2421" s="56"/>
      <c r="H2421" s="56"/>
      <c r="I2421" s="56"/>
      <c r="J2421" s="56"/>
      <c r="K2421" s="56"/>
    </row>
    <row r="2422" spans="7:11" x14ac:dyDescent="0.2">
      <c r="G2422" s="56"/>
      <c r="H2422" s="56"/>
      <c r="I2422" s="56"/>
      <c r="J2422" s="56"/>
      <c r="K2422" s="56"/>
    </row>
    <row r="2423" spans="7:11" x14ac:dyDescent="0.2">
      <c r="G2423" s="56"/>
      <c r="H2423" s="56"/>
      <c r="I2423" s="56"/>
      <c r="J2423" s="56"/>
      <c r="K2423" s="56"/>
    </row>
    <row r="2424" spans="7:11" x14ac:dyDescent="0.2">
      <c r="G2424" s="56"/>
      <c r="H2424" s="56"/>
      <c r="I2424" s="56"/>
      <c r="J2424" s="56"/>
      <c r="K2424" s="56"/>
    </row>
    <row r="2425" spans="7:11" x14ac:dyDescent="0.2">
      <c r="G2425" s="56"/>
      <c r="H2425" s="56"/>
      <c r="I2425" s="56"/>
      <c r="J2425" s="56"/>
      <c r="K2425" s="56"/>
    </row>
    <row r="2426" spans="7:11" x14ac:dyDescent="0.2">
      <c r="G2426" s="56"/>
      <c r="H2426" s="56"/>
      <c r="I2426" s="56"/>
      <c r="J2426" s="56"/>
      <c r="K2426" s="56"/>
    </row>
    <row r="2427" spans="7:11" x14ac:dyDescent="0.2">
      <c r="G2427" s="56"/>
      <c r="H2427" s="56"/>
      <c r="I2427" s="56"/>
      <c r="J2427" s="56"/>
      <c r="K2427" s="56"/>
    </row>
    <row r="2428" spans="7:11" x14ac:dyDescent="0.2">
      <c r="G2428" s="56"/>
      <c r="H2428" s="56"/>
      <c r="I2428" s="56"/>
      <c r="J2428" s="56"/>
      <c r="K2428" s="56"/>
    </row>
    <row r="2429" spans="7:11" x14ac:dyDescent="0.2">
      <c r="G2429" s="56"/>
      <c r="H2429" s="56"/>
      <c r="I2429" s="56"/>
      <c r="J2429" s="56"/>
      <c r="K2429" s="56"/>
    </row>
    <row r="2430" spans="7:11" x14ac:dyDescent="0.2">
      <c r="G2430" s="56"/>
      <c r="H2430" s="56"/>
      <c r="I2430" s="56"/>
      <c r="J2430" s="56"/>
      <c r="K2430" s="56"/>
    </row>
    <row r="2431" spans="7:11" x14ac:dyDescent="0.2">
      <c r="G2431" s="56"/>
      <c r="H2431" s="56"/>
      <c r="I2431" s="56"/>
      <c r="J2431" s="56"/>
      <c r="K2431" s="56"/>
    </row>
    <row r="2432" spans="7:11" x14ac:dyDescent="0.2">
      <c r="G2432" s="56"/>
      <c r="H2432" s="56"/>
      <c r="I2432" s="56"/>
      <c r="J2432" s="56"/>
      <c r="K2432" s="56"/>
    </row>
    <row r="2433" spans="7:11" x14ac:dyDescent="0.2">
      <c r="G2433" s="56"/>
      <c r="H2433" s="56"/>
      <c r="I2433" s="56"/>
      <c r="J2433" s="56"/>
      <c r="K2433" s="56"/>
    </row>
    <row r="2434" spans="7:11" x14ac:dyDescent="0.2">
      <c r="G2434" s="56"/>
      <c r="H2434" s="56"/>
      <c r="I2434" s="56"/>
      <c r="J2434" s="56"/>
      <c r="K2434" s="56"/>
    </row>
    <row r="2435" spans="7:11" x14ac:dyDescent="0.2">
      <c r="G2435" s="56"/>
      <c r="H2435" s="56"/>
      <c r="I2435" s="56"/>
      <c r="J2435" s="56"/>
      <c r="K2435" s="56"/>
    </row>
    <row r="2436" spans="7:11" x14ac:dyDescent="0.2">
      <c r="G2436" s="56"/>
      <c r="H2436" s="56"/>
      <c r="I2436" s="56"/>
      <c r="J2436" s="56"/>
      <c r="K2436" s="56"/>
    </row>
    <row r="2437" spans="7:11" x14ac:dyDescent="0.2">
      <c r="G2437" s="56"/>
      <c r="H2437" s="56"/>
      <c r="I2437" s="56"/>
      <c r="J2437" s="56"/>
      <c r="K2437" s="56"/>
    </row>
    <row r="2438" spans="7:11" x14ac:dyDescent="0.2">
      <c r="G2438" s="56"/>
      <c r="H2438" s="56"/>
      <c r="I2438" s="56"/>
      <c r="J2438" s="56"/>
      <c r="K2438" s="56"/>
    </row>
    <row r="2439" spans="7:11" x14ac:dyDescent="0.2">
      <c r="G2439" s="56"/>
      <c r="H2439" s="56"/>
      <c r="I2439" s="56"/>
      <c r="J2439" s="56"/>
      <c r="K2439" s="56"/>
    </row>
    <row r="2440" spans="7:11" x14ac:dyDescent="0.2">
      <c r="G2440" s="56"/>
      <c r="H2440" s="56"/>
      <c r="I2440" s="56"/>
      <c r="J2440" s="56"/>
      <c r="K2440" s="56"/>
    </row>
    <row r="2441" spans="7:11" x14ac:dyDescent="0.2">
      <c r="G2441" s="56"/>
      <c r="H2441" s="56"/>
      <c r="I2441" s="56"/>
      <c r="J2441" s="56"/>
      <c r="K2441" s="56"/>
    </row>
    <row r="2442" spans="7:11" x14ac:dyDescent="0.2">
      <c r="G2442" s="56"/>
      <c r="H2442" s="56"/>
      <c r="I2442" s="56"/>
      <c r="J2442" s="56"/>
      <c r="K2442" s="56"/>
    </row>
    <row r="2443" spans="7:11" x14ac:dyDescent="0.2">
      <c r="G2443" s="56"/>
      <c r="H2443" s="56"/>
      <c r="I2443" s="56"/>
      <c r="J2443" s="56"/>
      <c r="K2443" s="56"/>
    </row>
    <row r="2444" spans="7:11" x14ac:dyDescent="0.2">
      <c r="G2444" s="56"/>
      <c r="H2444" s="56"/>
      <c r="I2444" s="56"/>
      <c r="J2444" s="56"/>
      <c r="K2444" s="56"/>
    </row>
    <row r="2445" spans="7:11" x14ac:dyDescent="0.2">
      <c r="G2445" s="56"/>
      <c r="H2445" s="56"/>
      <c r="I2445" s="56"/>
      <c r="J2445" s="56"/>
      <c r="K2445" s="56"/>
    </row>
    <row r="2446" spans="7:11" x14ac:dyDescent="0.2">
      <c r="G2446" s="56"/>
      <c r="H2446" s="56"/>
      <c r="I2446" s="56"/>
      <c r="J2446" s="56"/>
      <c r="K2446" s="56"/>
    </row>
    <row r="2447" spans="7:11" x14ac:dyDescent="0.2">
      <c r="G2447" s="56"/>
      <c r="H2447" s="56"/>
      <c r="I2447" s="56"/>
      <c r="J2447" s="56"/>
      <c r="K2447" s="56"/>
    </row>
    <row r="2448" spans="7:11" x14ac:dyDescent="0.2">
      <c r="G2448" s="56"/>
      <c r="H2448" s="56"/>
      <c r="I2448" s="56"/>
      <c r="J2448" s="56"/>
      <c r="K2448" s="56"/>
    </row>
    <row r="2449" spans="7:11" x14ac:dyDescent="0.2">
      <c r="G2449" s="56"/>
      <c r="H2449" s="56"/>
      <c r="I2449" s="56"/>
      <c r="J2449" s="56"/>
      <c r="K2449" s="56"/>
    </row>
    <row r="2450" spans="7:11" x14ac:dyDescent="0.2">
      <c r="G2450" s="56"/>
      <c r="H2450" s="56"/>
      <c r="I2450" s="56"/>
      <c r="J2450" s="56"/>
      <c r="K2450" s="56"/>
    </row>
    <row r="2451" spans="7:11" x14ac:dyDescent="0.2">
      <c r="G2451" s="56"/>
      <c r="H2451" s="56"/>
      <c r="I2451" s="56"/>
      <c r="J2451" s="56"/>
      <c r="K2451" s="56"/>
    </row>
    <row r="2452" spans="7:11" x14ac:dyDescent="0.2">
      <c r="G2452" s="56"/>
      <c r="H2452" s="56"/>
      <c r="I2452" s="56"/>
      <c r="J2452" s="56"/>
      <c r="K2452" s="56"/>
    </row>
    <row r="2453" spans="7:11" x14ac:dyDescent="0.2">
      <c r="G2453" s="56"/>
      <c r="H2453" s="56"/>
      <c r="I2453" s="56"/>
      <c r="J2453" s="56"/>
      <c r="K2453" s="56"/>
    </row>
    <row r="2454" spans="7:11" x14ac:dyDescent="0.2">
      <c r="G2454" s="56"/>
      <c r="H2454" s="56"/>
      <c r="I2454" s="56"/>
      <c r="J2454" s="56"/>
      <c r="K2454" s="56"/>
    </row>
    <row r="2455" spans="7:11" x14ac:dyDescent="0.2">
      <c r="G2455" s="56"/>
      <c r="H2455" s="56"/>
      <c r="I2455" s="56"/>
      <c r="J2455" s="56"/>
      <c r="K2455" s="56"/>
    </row>
    <row r="2456" spans="7:11" x14ac:dyDescent="0.2">
      <c r="G2456" s="56"/>
      <c r="H2456" s="56"/>
      <c r="I2456" s="56"/>
      <c r="J2456" s="56"/>
      <c r="K2456" s="56"/>
    </row>
    <row r="2457" spans="7:11" x14ac:dyDescent="0.2">
      <c r="G2457" s="56"/>
      <c r="H2457" s="56"/>
      <c r="I2457" s="56"/>
      <c r="J2457" s="56"/>
      <c r="K2457" s="56"/>
    </row>
    <row r="2458" spans="7:11" x14ac:dyDescent="0.2">
      <c r="G2458" s="56"/>
      <c r="H2458" s="56"/>
      <c r="I2458" s="56"/>
      <c r="J2458" s="56"/>
      <c r="K2458" s="56"/>
    </row>
    <row r="2459" spans="7:11" x14ac:dyDescent="0.2">
      <c r="G2459" s="56"/>
      <c r="H2459" s="56"/>
      <c r="I2459" s="56"/>
      <c r="J2459" s="56"/>
      <c r="K2459" s="56"/>
    </row>
    <row r="2460" spans="7:11" x14ac:dyDescent="0.2">
      <c r="G2460" s="56"/>
      <c r="H2460" s="56"/>
      <c r="I2460" s="56"/>
      <c r="J2460" s="56"/>
      <c r="K2460" s="56"/>
    </row>
    <row r="2461" spans="7:11" x14ac:dyDescent="0.2">
      <c r="G2461" s="56"/>
      <c r="H2461" s="56"/>
      <c r="I2461" s="56"/>
      <c r="J2461" s="56"/>
      <c r="K2461" s="56"/>
    </row>
    <row r="2462" spans="7:11" x14ac:dyDescent="0.2">
      <c r="G2462" s="56"/>
      <c r="H2462" s="56"/>
      <c r="I2462" s="56"/>
      <c r="J2462" s="56"/>
      <c r="K2462" s="56"/>
    </row>
    <row r="2463" spans="7:11" x14ac:dyDescent="0.2">
      <c r="G2463" s="56"/>
      <c r="H2463" s="56"/>
      <c r="I2463" s="56"/>
      <c r="J2463" s="56"/>
      <c r="K2463" s="56"/>
    </row>
    <row r="2464" spans="7:11" x14ac:dyDescent="0.2">
      <c r="G2464" s="56"/>
      <c r="H2464" s="56"/>
      <c r="I2464" s="56"/>
      <c r="J2464" s="56"/>
      <c r="K2464" s="56"/>
    </row>
    <row r="2465" spans="7:11" x14ac:dyDescent="0.2">
      <c r="G2465" s="56"/>
      <c r="H2465" s="56"/>
      <c r="I2465" s="56"/>
      <c r="J2465" s="56"/>
      <c r="K2465" s="56"/>
    </row>
    <row r="2466" spans="7:11" x14ac:dyDescent="0.2">
      <c r="G2466" s="56"/>
      <c r="H2466" s="56"/>
      <c r="I2466" s="56"/>
      <c r="J2466" s="56"/>
      <c r="K2466" s="56"/>
    </row>
    <row r="2467" spans="7:11" x14ac:dyDescent="0.2">
      <c r="G2467" s="56"/>
      <c r="H2467" s="56"/>
      <c r="I2467" s="56"/>
      <c r="J2467" s="56"/>
      <c r="K2467" s="56"/>
    </row>
    <row r="2468" spans="7:11" x14ac:dyDescent="0.2">
      <c r="G2468" s="56"/>
      <c r="H2468" s="56"/>
      <c r="I2468" s="56"/>
      <c r="J2468" s="56"/>
      <c r="K2468" s="56"/>
    </row>
    <row r="2469" spans="7:11" x14ac:dyDescent="0.2">
      <c r="G2469" s="56"/>
      <c r="H2469" s="56"/>
      <c r="I2469" s="56"/>
      <c r="J2469" s="56"/>
      <c r="K2469" s="56"/>
    </row>
    <row r="2470" spans="7:11" x14ac:dyDescent="0.2">
      <c r="G2470" s="56"/>
      <c r="H2470" s="56"/>
      <c r="I2470" s="56"/>
      <c r="J2470" s="56"/>
      <c r="K2470" s="56"/>
    </row>
    <row r="2471" spans="7:11" x14ac:dyDescent="0.2">
      <c r="G2471" s="56"/>
      <c r="H2471" s="56"/>
      <c r="I2471" s="56"/>
      <c r="J2471" s="56"/>
      <c r="K2471" s="56"/>
    </row>
    <row r="2472" spans="7:11" x14ac:dyDescent="0.2">
      <c r="G2472" s="56"/>
      <c r="H2472" s="56"/>
      <c r="I2472" s="56"/>
      <c r="J2472" s="56"/>
      <c r="K2472" s="56"/>
    </row>
    <row r="2473" spans="7:11" x14ac:dyDescent="0.2">
      <c r="G2473" s="56"/>
      <c r="H2473" s="56"/>
      <c r="I2473" s="56"/>
      <c r="J2473" s="56"/>
      <c r="K2473" s="56"/>
    </row>
    <row r="2474" spans="7:11" x14ac:dyDescent="0.2">
      <c r="G2474" s="56"/>
      <c r="H2474" s="56"/>
      <c r="I2474" s="56"/>
      <c r="J2474" s="56"/>
      <c r="K2474" s="56"/>
    </row>
    <row r="2475" spans="7:11" x14ac:dyDescent="0.2">
      <c r="G2475" s="56"/>
      <c r="H2475" s="56"/>
      <c r="I2475" s="56"/>
      <c r="J2475" s="56"/>
      <c r="K2475" s="56"/>
    </row>
    <row r="2476" spans="7:11" x14ac:dyDescent="0.2">
      <c r="G2476" s="56"/>
      <c r="H2476" s="56"/>
      <c r="I2476" s="56"/>
      <c r="J2476" s="56"/>
      <c r="K2476" s="56"/>
    </row>
    <row r="2477" spans="7:11" x14ac:dyDescent="0.2">
      <c r="G2477" s="56"/>
      <c r="H2477" s="56"/>
      <c r="I2477" s="56"/>
      <c r="J2477" s="56"/>
      <c r="K2477" s="56"/>
    </row>
    <row r="2478" spans="7:11" x14ac:dyDescent="0.2">
      <c r="G2478" s="56"/>
      <c r="H2478" s="56"/>
      <c r="I2478" s="56"/>
      <c r="J2478" s="56"/>
      <c r="K2478" s="56"/>
    </row>
    <row r="2479" spans="7:11" x14ac:dyDescent="0.2">
      <c r="G2479" s="56"/>
      <c r="H2479" s="56"/>
      <c r="I2479" s="56"/>
      <c r="J2479" s="56"/>
      <c r="K2479" s="56"/>
    </row>
    <row r="2480" spans="7:11" x14ac:dyDescent="0.2">
      <c r="G2480" s="56"/>
      <c r="H2480" s="56"/>
      <c r="I2480" s="56"/>
      <c r="J2480" s="56"/>
      <c r="K2480" s="56"/>
    </row>
    <row r="2481" spans="7:11" x14ac:dyDescent="0.2">
      <c r="G2481" s="56"/>
      <c r="H2481" s="56"/>
      <c r="I2481" s="56"/>
      <c r="J2481" s="56"/>
      <c r="K2481" s="56"/>
    </row>
    <row r="2482" spans="7:11" x14ac:dyDescent="0.2">
      <c r="G2482" s="56"/>
      <c r="H2482" s="56"/>
      <c r="I2482" s="56"/>
      <c r="J2482" s="56"/>
      <c r="K2482" s="56"/>
    </row>
    <row r="2483" spans="7:11" x14ac:dyDescent="0.2">
      <c r="G2483" s="56"/>
      <c r="H2483" s="56"/>
      <c r="I2483" s="56"/>
      <c r="J2483" s="56"/>
      <c r="K2483" s="56"/>
    </row>
    <row r="2484" spans="7:11" x14ac:dyDescent="0.2">
      <c r="G2484" s="56"/>
      <c r="H2484" s="56"/>
      <c r="I2484" s="56"/>
      <c r="J2484" s="56"/>
      <c r="K2484" s="56"/>
    </row>
    <row r="2485" spans="7:11" x14ac:dyDescent="0.2">
      <c r="G2485" s="56"/>
      <c r="H2485" s="56"/>
      <c r="I2485" s="56"/>
      <c r="J2485" s="56"/>
      <c r="K2485" s="56"/>
    </row>
    <row r="2486" spans="7:11" x14ac:dyDescent="0.2">
      <c r="G2486" s="56"/>
      <c r="H2486" s="56"/>
      <c r="I2486" s="56"/>
      <c r="J2486" s="56"/>
      <c r="K2486" s="56"/>
    </row>
    <row r="2487" spans="7:11" x14ac:dyDescent="0.2">
      <c r="G2487" s="56"/>
      <c r="H2487" s="56"/>
      <c r="I2487" s="56"/>
      <c r="J2487" s="56"/>
      <c r="K2487" s="56"/>
    </row>
    <row r="2488" spans="7:11" x14ac:dyDescent="0.2">
      <c r="G2488" s="56"/>
      <c r="H2488" s="56"/>
      <c r="I2488" s="56"/>
      <c r="J2488" s="56"/>
      <c r="K2488" s="56"/>
    </row>
    <row r="2489" spans="7:11" x14ac:dyDescent="0.2">
      <c r="G2489" s="56"/>
      <c r="H2489" s="56"/>
      <c r="I2489" s="56"/>
      <c r="J2489" s="56"/>
      <c r="K2489" s="56"/>
    </row>
    <row r="2490" spans="7:11" x14ac:dyDescent="0.2">
      <c r="G2490" s="56"/>
      <c r="H2490" s="56"/>
      <c r="I2490" s="56"/>
      <c r="J2490" s="56"/>
      <c r="K2490" s="56"/>
    </row>
    <row r="2491" spans="7:11" x14ac:dyDescent="0.2">
      <c r="G2491" s="56"/>
      <c r="H2491" s="56"/>
      <c r="I2491" s="56"/>
      <c r="J2491" s="56"/>
      <c r="K2491" s="56"/>
    </row>
    <row r="2492" spans="7:11" x14ac:dyDescent="0.2">
      <c r="G2492" s="56"/>
      <c r="H2492" s="56"/>
      <c r="I2492" s="56"/>
      <c r="J2492" s="56"/>
      <c r="K2492" s="56"/>
    </row>
    <row r="2493" spans="7:11" x14ac:dyDescent="0.2">
      <c r="G2493" s="56"/>
      <c r="H2493" s="56"/>
      <c r="I2493" s="56"/>
      <c r="J2493" s="56"/>
      <c r="K2493" s="56"/>
    </row>
    <row r="2494" spans="7:11" x14ac:dyDescent="0.2">
      <c r="G2494" s="56"/>
      <c r="H2494" s="56"/>
      <c r="I2494" s="56"/>
      <c r="J2494" s="56"/>
      <c r="K2494" s="56"/>
    </row>
    <row r="2495" spans="7:11" x14ac:dyDescent="0.2">
      <c r="G2495" s="56"/>
      <c r="H2495" s="56"/>
      <c r="I2495" s="56"/>
      <c r="J2495" s="56"/>
      <c r="K2495" s="56"/>
    </row>
    <row r="2496" spans="7:11" x14ac:dyDescent="0.2">
      <c r="G2496" s="56"/>
      <c r="H2496" s="56"/>
      <c r="I2496" s="56"/>
      <c r="J2496" s="56"/>
      <c r="K2496" s="56"/>
    </row>
    <row r="2497" spans="7:11" x14ac:dyDescent="0.2">
      <c r="G2497" s="56"/>
      <c r="H2497" s="56"/>
      <c r="I2497" s="56"/>
      <c r="J2497" s="56"/>
      <c r="K2497" s="56"/>
    </row>
    <row r="2498" spans="7:11" x14ac:dyDescent="0.2">
      <c r="G2498" s="56"/>
      <c r="H2498" s="56"/>
      <c r="I2498" s="56"/>
      <c r="J2498" s="56"/>
      <c r="K2498" s="56"/>
    </row>
    <row r="2499" spans="7:11" x14ac:dyDescent="0.2">
      <c r="G2499" s="56"/>
      <c r="H2499" s="56"/>
      <c r="I2499" s="56"/>
      <c r="J2499" s="56"/>
      <c r="K2499" s="56"/>
    </row>
    <row r="2500" spans="7:11" x14ac:dyDescent="0.2">
      <c r="G2500" s="56"/>
      <c r="H2500" s="56"/>
      <c r="I2500" s="56"/>
      <c r="J2500" s="56"/>
      <c r="K2500" s="56"/>
    </row>
    <row r="2501" spans="7:11" x14ac:dyDescent="0.2">
      <c r="G2501" s="56"/>
      <c r="H2501" s="56"/>
      <c r="I2501" s="56"/>
      <c r="J2501" s="56"/>
      <c r="K2501" s="56"/>
    </row>
    <row r="2502" spans="7:11" x14ac:dyDescent="0.2">
      <c r="G2502" s="56"/>
      <c r="H2502" s="56"/>
      <c r="I2502" s="56"/>
      <c r="J2502" s="56"/>
      <c r="K2502" s="56"/>
    </row>
    <row r="2503" spans="7:11" x14ac:dyDescent="0.2">
      <c r="G2503" s="56"/>
      <c r="H2503" s="56"/>
      <c r="I2503" s="56"/>
      <c r="J2503" s="56"/>
      <c r="K2503" s="56"/>
    </row>
    <row r="2504" spans="7:11" x14ac:dyDescent="0.2">
      <c r="G2504" s="56"/>
      <c r="H2504" s="56"/>
      <c r="I2504" s="56"/>
      <c r="J2504" s="56"/>
      <c r="K2504" s="56"/>
    </row>
    <row r="2505" spans="7:11" x14ac:dyDescent="0.2">
      <c r="G2505" s="56"/>
      <c r="H2505" s="56"/>
      <c r="I2505" s="56"/>
      <c r="J2505" s="56"/>
      <c r="K2505" s="56"/>
    </row>
    <row r="2506" spans="7:11" x14ac:dyDescent="0.2">
      <c r="G2506" s="56"/>
      <c r="H2506" s="56"/>
      <c r="I2506" s="56"/>
      <c r="J2506" s="56"/>
      <c r="K2506" s="56"/>
    </row>
    <row r="2507" spans="7:11" x14ac:dyDescent="0.2">
      <c r="G2507" s="56"/>
      <c r="H2507" s="56"/>
      <c r="I2507" s="56"/>
      <c r="J2507" s="56"/>
      <c r="K2507" s="56"/>
    </row>
    <row r="2508" spans="7:11" x14ac:dyDescent="0.2">
      <c r="G2508" s="56"/>
      <c r="H2508" s="56"/>
      <c r="I2508" s="56"/>
      <c r="J2508" s="56"/>
      <c r="K2508" s="56"/>
    </row>
    <row r="2509" spans="7:11" x14ac:dyDescent="0.2">
      <c r="G2509" s="56"/>
      <c r="H2509" s="56"/>
      <c r="I2509" s="56"/>
      <c r="J2509" s="56"/>
      <c r="K2509" s="56"/>
    </row>
    <row r="2510" spans="7:11" x14ac:dyDescent="0.2">
      <c r="G2510" s="56"/>
      <c r="H2510" s="56"/>
      <c r="I2510" s="56"/>
      <c r="J2510" s="56"/>
      <c r="K2510" s="56"/>
    </row>
    <row r="2511" spans="7:11" x14ac:dyDescent="0.2">
      <c r="G2511" s="56"/>
      <c r="H2511" s="56"/>
      <c r="I2511" s="56"/>
      <c r="J2511" s="56"/>
      <c r="K2511" s="56"/>
    </row>
    <row r="2512" spans="7:11" x14ac:dyDescent="0.2">
      <c r="G2512" s="56"/>
      <c r="H2512" s="56"/>
      <c r="I2512" s="56"/>
      <c r="J2512" s="56"/>
      <c r="K2512" s="56"/>
    </row>
    <row r="2513" spans="7:11" x14ac:dyDescent="0.2">
      <c r="G2513" s="56"/>
      <c r="H2513" s="56"/>
      <c r="I2513" s="56"/>
      <c r="J2513" s="56"/>
      <c r="K2513" s="56"/>
    </row>
    <row r="2514" spans="7:11" x14ac:dyDescent="0.2">
      <c r="G2514" s="56"/>
      <c r="H2514" s="56"/>
      <c r="I2514" s="56"/>
      <c r="J2514" s="56"/>
      <c r="K2514" s="56"/>
    </row>
    <row r="2515" spans="7:11" x14ac:dyDescent="0.2">
      <c r="G2515" s="56"/>
      <c r="H2515" s="56"/>
      <c r="I2515" s="56"/>
      <c r="J2515" s="56"/>
      <c r="K2515" s="56"/>
    </row>
    <row r="2516" spans="7:11" x14ac:dyDescent="0.2">
      <c r="G2516" s="56"/>
      <c r="H2516" s="56"/>
      <c r="I2516" s="56"/>
      <c r="J2516" s="56"/>
      <c r="K2516" s="56"/>
    </row>
    <row r="2517" spans="7:11" x14ac:dyDescent="0.2">
      <c r="G2517" s="56"/>
      <c r="H2517" s="56"/>
      <c r="I2517" s="56"/>
      <c r="J2517" s="56"/>
      <c r="K2517" s="56"/>
    </row>
    <row r="2518" spans="7:11" x14ac:dyDescent="0.2">
      <c r="G2518" s="56"/>
      <c r="H2518" s="56"/>
      <c r="I2518" s="56"/>
      <c r="J2518" s="56"/>
      <c r="K2518" s="56"/>
    </row>
    <row r="2519" spans="7:11" x14ac:dyDescent="0.2">
      <c r="G2519" s="56"/>
      <c r="H2519" s="56"/>
      <c r="I2519" s="56"/>
      <c r="J2519" s="56"/>
      <c r="K2519" s="56"/>
    </row>
    <row r="2520" spans="7:11" x14ac:dyDescent="0.2">
      <c r="G2520" s="56"/>
      <c r="H2520" s="56"/>
      <c r="I2520" s="56"/>
      <c r="J2520" s="56"/>
      <c r="K2520" s="56"/>
    </row>
    <row r="2521" spans="7:11" x14ac:dyDescent="0.2">
      <c r="G2521" s="56"/>
      <c r="H2521" s="56"/>
      <c r="I2521" s="56"/>
      <c r="J2521" s="56"/>
      <c r="K2521" s="56"/>
    </row>
    <row r="2522" spans="7:11" x14ac:dyDescent="0.2">
      <c r="G2522" s="56"/>
      <c r="H2522" s="56"/>
      <c r="I2522" s="56"/>
      <c r="J2522" s="56"/>
      <c r="K2522" s="56"/>
    </row>
    <row r="2523" spans="7:11" x14ac:dyDescent="0.2">
      <c r="G2523" s="56"/>
      <c r="H2523" s="56"/>
      <c r="I2523" s="56"/>
      <c r="J2523" s="56"/>
      <c r="K2523" s="56"/>
    </row>
    <row r="2524" spans="7:11" x14ac:dyDescent="0.2">
      <c r="G2524" s="56"/>
      <c r="H2524" s="56"/>
      <c r="I2524" s="56"/>
      <c r="J2524" s="56"/>
      <c r="K2524" s="56"/>
    </row>
    <row r="2525" spans="7:11" x14ac:dyDescent="0.2">
      <c r="G2525" s="56"/>
      <c r="H2525" s="56"/>
      <c r="I2525" s="56"/>
      <c r="J2525" s="56"/>
      <c r="K2525" s="56"/>
    </row>
    <row r="2526" spans="7:11" x14ac:dyDescent="0.2">
      <c r="G2526" s="56"/>
      <c r="H2526" s="56"/>
      <c r="I2526" s="56"/>
      <c r="J2526" s="56"/>
      <c r="K2526" s="56"/>
    </row>
    <row r="2527" spans="7:11" x14ac:dyDescent="0.2">
      <c r="G2527" s="56"/>
      <c r="H2527" s="56"/>
      <c r="I2527" s="56"/>
      <c r="J2527" s="56"/>
      <c r="K2527" s="56"/>
    </row>
    <row r="2528" spans="7:11" x14ac:dyDescent="0.2">
      <c r="G2528" s="56"/>
      <c r="H2528" s="56"/>
      <c r="I2528" s="56"/>
      <c r="J2528" s="56"/>
      <c r="K2528" s="56"/>
    </row>
    <row r="2529" spans="7:11" x14ac:dyDescent="0.2">
      <c r="G2529" s="56"/>
      <c r="H2529" s="56"/>
      <c r="I2529" s="56"/>
      <c r="J2529" s="56"/>
      <c r="K2529" s="56"/>
    </row>
    <row r="2530" spans="7:11" x14ac:dyDescent="0.2">
      <c r="G2530" s="56"/>
      <c r="H2530" s="56"/>
      <c r="I2530" s="56"/>
      <c r="J2530" s="56"/>
      <c r="K2530" s="56"/>
    </row>
    <row r="2531" spans="7:11" x14ac:dyDescent="0.2">
      <c r="G2531" s="56"/>
      <c r="H2531" s="56"/>
      <c r="I2531" s="56"/>
      <c r="J2531" s="56"/>
      <c r="K2531" s="56"/>
    </row>
    <row r="2532" spans="7:11" x14ac:dyDescent="0.2">
      <c r="G2532" s="56"/>
      <c r="H2532" s="56"/>
      <c r="I2532" s="56"/>
      <c r="J2532" s="56"/>
      <c r="K2532" s="56"/>
    </row>
    <row r="2533" spans="7:11" x14ac:dyDescent="0.2">
      <c r="G2533" s="56"/>
      <c r="H2533" s="56"/>
      <c r="I2533" s="56"/>
      <c r="J2533" s="56"/>
      <c r="K2533" s="56"/>
    </row>
    <row r="2534" spans="7:11" x14ac:dyDescent="0.2">
      <c r="G2534" s="56"/>
      <c r="H2534" s="56"/>
      <c r="I2534" s="56"/>
      <c r="J2534" s="56"/>
      <c r="K2534" s="56"/>
    </row>
    <row r="2535" spans="7:11" x14ac:dyDescent="0.2">
      <c r="G2535" s="56"/>
      <c r="H2535" s="56"/>
      <c r="I2535" s="56"/>
      <c r="J2535" s="56"/>
      <c r="K2535" s="56"/>
    </row>
    <row r="2536" spans="7:11" x14ac:dyDescent="0.2">
      <c r="G2536" s="56"/>
      <c r="H2536" s="56"/>
      <c r="I2536" s="56"/>
      <c r="J2536" s="56"/>
      <c r="K2536" s="56"/>
    </row>
    <row r="2537" spans="7:11" x14ac:dyDescent="0.2">
      <c r="G2537" s="56"/>
      <c r="H2537" s="56"/>
      <c r="I2537" s="56"/>
      <c r="J2537" s="56"/>
      <c r="K2537" s="56"/>
    </row>
    <row r="2538" spans="7:11" x14ac:dyDescent="0.2">
      <c r="G2538" s="56"/>
      <c r="H2538" s="56"/>
      <c r="I2538" s="56"/>
      <c r="J2538" s="56"/>
      <c r="K2538" s="56"/>
    </row>
    <row r="2539" spans="7:11" x14ac:dyDescent="0.2">
      <c r="G2539" s="56"/>
      <c r="H2539" s="56"/>
      <c r="I2539" s="56"/>
      <c r="J2539" s="56"/>
      <c r="K2539" s="56"/>
    </row>
    <row r="2540" spans="7:11" x14ac:dyDescent="0.2">
      <c r="G2540" s="56"/>
      <c r="H2540" s="56"/>
      <c r="I2540" s="56"/>
      <c r="J2540" s="56"/>
      <c r="K2540" s="56"/>
    </row>
    <row r="2541" spans="7:11" x14ac:dyDescent="0.2">
      <c r="G2541" s="56"/>
      <c r="H2541" s="56"/>
      <c r="I2541" s="56"/>
      <c r="J2541" s="56"/>
      <c r="K2541" s="56"/>
    </row>
    <row r="2542" spans="7:11" x14ac:dyDescent="0.2">
      <c r="G2542" s="56"/>
      <c r="H2542" s="56"/>
      <c r="I2542" s="56"/>
      <c r="J2542" s="56"/>
      <c r="K2542" s="56"/>
    </row>
    <row r="2543" spans="7:11" x14ac:dyDescent="0.2">
      <c r="G2543" s="56"/>
      <c r="H2543" s="56"/>
      <c r="I2543" s="56"/>
      <c r="J2543" s="56"/>
      <c r="K2543" s="56"/>
    </row>
    <row r="2544" spans="7:11" x14ac:dyDescent="0.2">
      <c r="G2544" s="56"/>
      <c r="H2544" s="56"/>
      <c r="I2544" s="56"/>
      <c r="J2544" s="56"/>
      <c r="K2544" s="56"/>
    </row>
    <row r="2545" spans="7:11" x14ac:dyDescent="0.2">
      <c r="G2545" s="56"/>
      <c r="H2545" s="56"/>
      <c r="I2545" s="56"/>
      <c r="J2545" s="56"/>
      <c r="K2545" s="56"/>
    </row>
    <row r="2546" spans="7:11" x14ac:dyDescent="0.2">
      <c r="G2546" s="56"/>
      <c r="H2546" s="56"/>
      <c r="I2546" s="56"/>
      <c r="J2546" s="56"/>
      <c r="K2546" s="56"/>
    </row>
    <row r="2547" spans="7:11" x14ac:dyDescent="0.2">
      <c r="G2547" s="56"/>
      <c r="H2547" s="56"/>
      <c r="I2547" s="56"/>
      <c r="J2547" s="56"/>
      <c r="K2547" s="56"/>
    </row>
    <row r="2548" spans="7:11" x14ac:dyDescent="0.2">
      <c r="G2548" s="56"/>
      <c r="H2548" s="56"/>
      <c r="I2548" s="56"/>
      <c r="J2548" s="56"/>
      <c r="K2548" s="56"/>
    </row>
    <row r="2549" spans="7:11" x14ac:dyDescent="0.2">
      <c r="G2549" s="56"/>
      <c r="H2549" s="56"/>
      <c r="I2549" s="56"/>
      <c r="J2549" s="56"/>
      <c r="K2549" s="56"/>
    </row>
    <row r="2550" spans="7:11" x14ac:dyDescent="0.2">
      <c r="G2550" s="56"/>
      <c r="H2550" s="56"/>
      <c r="I2550" s="56"/>
      <c r="J2550" s="56"/>
      <c r="K2550" s="56"/>
    </row>
    <row r="2551" spans="7:11" x14ac:dyDescent="0.2">
      <c r="G2551" s="56"/>
      <c r="H2551" s="56"/>
      <c r="I2551" s="56"/>
      <c r="J2551" s="56"/>
      <c r="K2551" s="56"/>
    </row>
    <row r="2552" spans="7:11" x14ac:dyDescent="0.2">
      <c r="G2552" s="56"/>
      <c r="H2552" s="56"/>
      <c r="I2552" s="56"/>
      <c r="J2552" s="56"/>
      <c r="K2552" s="56"/>
    </row>
    <row r="2553" spans="7:11" x14ac:dyDescent="0.2">
      <c r="G2553" s="56"/>
      <c r="H2553" s="56"/>
      <c r="I2553" s="56"/>
      <c r="J2553" s="56"/>
      <c r="K2553" s="56"/>
    </row>
    <row r="2554" spans="7:11" x14ac:dyDescent="0.2">
      <c r="G2554" s="56"/>
      <c r="H2554" s="56"/>
      <c r="I2554" s="56"/>
      <c r="J2554" s="56"/>
      <c r="K2554" s="56"/>
    </row>
    <row r="2555" spans="7:11" x14ac:dyDescent="0.2">
      <c r="G2555" s="56"/>
      <c r="H2555" s="56"/>
      <c r="I2555" s="56"/>
      <c r="J2555" s="56"/>
      <c r="K2555" s="56"/>
    </row>
    <row r="2556" spans="7:11" x14ac:dyDescent="0.2">
      <c r="G2556" s="56"/>
      <c r="H2556" s="56"/>
      <c r="I2556" s="56"/>
      <c r="J2556" s="56"/>
      <c r="K2556" s="56"/>
    </row>
    <row r="2557" spans="7:11" x14ac:dyDescent="0.2">
      <c r="G2557" s="56"/>
      <c r="H2557" s="56"/>
      <c r="I2557" s="56"/>
      <c r="J2557" s="56"/>
      <c r="K2557" s="56"/>
    </row>
    <row r="2558" spans="7:11" x14ac:dyDescent="0.2">
      <c r="G2558" s="56"/>
      <c r="H2558" s="56"/>
      <c r="I2558" s="56"/>
      <c r="J2558" s="56"/>
      <c r="K2558" s="56"/>
    </row>
    <row r="2559" spans="7:11" x14ac:dyDescent="0.2">
      <c r="G2559" s="56"/>
      <c r="H2559" s="56"/>
      <c r="I2559" s="56"/>
      <c r="J2559" s="56"/>
      <c r="K2559" s="56"/>
    </row>
    <row r="2560" spans="7:11" x14ac:dyDescent="0.2">
      <c r="G2560" s="56"/>
      <c r="H2560" s="56"/>
      <c r="I2560" s="56"/>
      <c r="J2560" s="56"/>
      <c r="K2560" s="56"/>
    </row>
    <row r="2561" spans="7:11" x14ac:dyDescent="0.2">
      <c r="G2561" s="56"/>
      <c r="H2561" s="56"/>
      <c r="I2561" s="56"/>
      <c r="J2561" s="56"/>
      <c r="K2561" s="56"/>
    </row>
    <row r="2562" spans="7:11" x14ac:dyDescent="0.2">
      <c r="G2562" s="56"/>
      <c r="H2562" s="56"/>
      <c r="I2562" s="56"/>
      <c r="J2562" s="56"/>
      <c r="K2562" s="56"/>
    </row>
    <row r="2563" spans="7:11" x14ac:dyDescent="0.2">
      <c r="G2563" s="56"/>
      <c r="H2563" s="56"/>
      <c r="I2563" s="56"/>
      <c r="J2563" s="56"/>
      <c r="K2563" s="56"/>
    </row>
    <row r="2564" spans="7:11" x14ac:dyDescent="0.2">
      <c r="G2564" s="56"/>
      <c r="H2564" s="56"/>
      <c r="I2564" s="56"/>
      <c r="J2564" s="56"/>
      <c r="K2564" s="56"/>
    </row>
    <row r="2565" spans="7:11" x14ac:dyDescent="0.2">
      <c r="G2565" s="56"/>
      <c r="H2565" s="56"/>
      <c r="I2565" s="56"/>
      <c r="J2565" s="56"/>
      <c r="K2565" s="56"/>
    </row>
    <row r="2566" spans="7:11" x14ac:dyDescent="0.2">
      <c r="G2566" s="56"/>
      <c r="H2566" s="56"/>
      <c r="I2566" s="56"/>
      <c r="J2566" s="56"/>
      <c r="K2566" s="56"/>
    </row>
    <row r="2567" spans="7:11" x14ac:dyDescent="0.2">
      <c r="G2567" s="56"/>
      <c r="H2567" s="56"/>
      <c r="I2567" s="56"/>
      <c r="J2567" s="56"/>
      <c r="K2567" s="56"/>
    </row>
    <row r="2568" spans="7:11" x14ac:dyDescent="0.2">
      <c r="G2568" s="56"/>
      <c r="H2568" s="56"/>
      <c r="I2568" s="56"/>
      <c r="J2568" s="56"/>
      <c r="K2568" s="56"/>
    </row>
    <row r="2569" spans="7:11" x14ac:dyDescent="0.2">
      <c r="G2569" s="56"/>
      <c r="H2569" s="56"/>
      <c r="I2569" s="56"/>
      <c r="J2569" s="56"/>
      <c r="K2569" s="56"/>
    </row>
    <row r="2570" spans="7:11" x14ac:dyDescent="0.2">
      <c r="G2570" s="56"/>
      <c r="H2570" s="56"/>
      <c r="I2570" s="56"/>
      <c r="J2570" s="56"/>
      <c r="K2570" s="56"/>
    </row>
    <row r="2571" spans="7:11" x14ac:dyDescent="0.2">
      <c r="G2571" s="56"/>
      <c r="H2571" s="56"/>
      <c r="I2571" s="56"/>
      <c r="J2571" s="56"/>
      <c r="K2571" s="56"/>
    </row>
    <row r="2572" spans="7:11" x14ac:dyDescent="0.2">
      <c r="G2572" s="56"/>
      <c r="H2572" s="56"/>
      <c r="I2572" s="56"/>
      <c r="J2572" s="56"/>
      <c r="K2572" s="56"/>
    </row>
    <row r="2573" spans="7:11" x14ac:dyDescent="0.2">
      <c r="G2573" s="56"/>
      <c r="H2573" s="56"/>
      <c r="I2573" s="56"/>
      <c r="J2573" s="56"/>
      <c r="K2573" s="56"/>
    </row>
    <row r="2574" spans="7:11" x14ac:dyDescent="0.2">
      <c r="G2574" s="56"/>
      <c r="H2574" s="56"/>
      <c r="I2574" s="56"/>
      <c r="J2574" s="56"/>
      <c r="K2574" s="56"/>
    </row>
    <row r="2575" spans="7:11" x14ac:dyDescent="0.2">
      <c r="G2575" s="56"/>
      <c r="H2575" s="56"/>
      <c r="I2575" s="56"/>
      <c r="J2575" s="56"/>
      <c r="K2575" s="56"/>
    </row>
    <row r="2576" spans="7:11" x14ac:dyDescent="0.2">
      <c r="G2576" s="56"/>
      <c r="H2576" s="56"/>
      <c r="I2576" s="56"/>
      <c r="J2576" s="56"/>
      <c r="K2576" s="56"/>
    </row>
    <row r="2577" spans="7:11" x14ac:dyDescent="0.2">
      <c r="G2577" s="56"/>
      <c r="H2577" s="56"/>
      <c r="I2577" s="56"/>
      <c r="J2577" s="56"/>
      <c r="K2577" s="56"/>
    </row>
    <row r="2578" spans="7:11" x14ac:dyDescent="0.2">
      <c r="G2578" s="56"/>
      <c r="H2578" s="56"/>
      <c r="I2578" s="56"/>
      <c r="J2578" s="56"/>
      <c r="K2578" s="56"/>
    </row>
    <row r="2579" spans="7:11" x14ac:dyDescent="0.2">
      <c r="G2579" s="56"/>
      <c r="H2579" s="56"/>
      <c r="I2579" s="56"/>
      <c r="J2579" s="56"/>
      <c r="K2579" s="56"/>
    </row>
    <row r="2580" spans="7:11" x14ac:dyDescent="0.2">
      <c r="G2580" s="56"/>
      <c r="H2580" s="56"/>
      <c r="I2580" s="56"/>
      <c r="J2580" s="56"/>
      <c r="K2580" s="56"/>
    </row>
    <row r="2581" spans="7:11" x14ac:dyDescent="0.2">
      <c r="G2581" s="56"/>
      <c r="H2581" s="56"/>
      <c r="I2581" s="56"/>
      <c r="J2581" s="56"/>
      <c r="K2581" s="56"/>
    </row>
    <row r="2582" spans="7:11" x14ac:dyDescent="0.2">
      <c r="G2582" s="56"/>
      <c r="H2582" s="56"/>
      <c r="I2582" s="56"/>
      <c r="J2582" s="56"/>
      <c r="K2582" s="56"/>
    </row>
    <row r="2583" spans="7:11" x14ac:dyDescent="0.2">
      <c r="G2583" s="56"/>
      <c r="H2583" s="56"/>
      <c r="I2583" s="56"/>
      <c r="J2583" s="56"/>
      <c r="K2583" s="56"/>
    </row>
    <row r="2584" spans="7:11" x14ac:dyDescent="0.2">
      <c r="G2584" s="56"/>
      <c r="H2584" s="56"/>
      <c r="I2584" s="56"/>
      <c r="J2584" s="56"/>
      <c r="K2584" s="56"/>
    </row>
    <row r="2585" spans="7:11" x14ac:dyDescent="0.2">
      <c r="G2585" s="56"/>
      <c r="H2585" s="56"/>
      <c r="I2585" s="56"/>
      <c r="J2585" s="56"/>
      <c r="K2585" s="56"/>
    </row>
    <row r="2586" spans="7:11" x14ac:dyDescent="0.2">
      <c r="G2586" s="56"/>
      <c r="H2586" s="56"/>
      <c r="I2586" s="56"/>
      <c r="J2586" s="56"/>
      <c r="K2586" s="56"/>
    </row>
    <row r="2587" spans="7:11" x14ac:dyDescent="0.2">
      <c r="G2587" s="56"/>
      <c r="H2587" s="56"/>
      <c r="I2587" s="56"/>
      <c r="J2587" s="56"/>
      <c r="K2587" s="56"/>
    </row>
    <row r="2588" spans="7:11" x14ac:dyDescent="0.2">
      <c r="G2588" s="56"/>
      <c r="H2588" s="56"/>
      <c r="I2588" s="56"/>
      <c r="J2588" s="56"/>
      <c r="K2588" s="56"/>
    </row>
    <row r="2589" spans="7:11" x14ac:dyDescent="0.2">
      <c r="G2589" s="56"/>
      <c r="H2589" s="56"/>
      <c r="I2589" s="56"/>
      <c r="J2589" s="56"/>
      <c r="K2589" s="56"/>
    </row>
    <row r="2590" spans="7:11" x14ac:dyDescent="0.2">
      <c r="G2590" s="56"/>
      <c r="H2590" s="56"/>
      <c r="I2590" s="56"/>
      <c r="J2590" s="56"/>
      <c r="K2590" s="56"/>
    </row>
    <row r="2591" spans="7:11" x14ac:dyDescent="0.2">
      <c r="G2591" s="56"/>
      <c r="H2591" s="56"/>
      <c r="I2591" s="56"/>
      <c r="J2591" s="56"/>
      <c r="K2591" s="56"/>
    </row>
    <row r="2592" spans="7:11" x14ac:dyDescent="0.2">
      <c r="G2592" s="56"/>
      <c r="H2592" s="56"/>
      <c r="I2592" s="56"/>
      <c r="J2592" s="56"/>
      <c r="K2592" s="56"/>
    </row>
    <row r="2593" spans="7:11" x14ac:dyDescent="0.2">
      <c r="G2593" s="56"/>
      <c r="H2593" s="56"/>
      <c r="I2593" s="56"/>
      <c r="J2593" s="56"/>
      <c r="K2593" s="56"/>
    </row>
    <row r="2594" spans="7:11" x14ac:dyDescent="0.2">
      <c r="G2594" s="56"/>
      <c r="H2594" s="56"/>
      <c r="I2594" s="56"/>
      <c r="J2594" s="56"/>
      <c r="K2594" s="56"/>
    </row>
    <row r="2595" spans="7:11" x14ac:dyDescent="0.2">
      <c r="G2595" s="56"/>
      <c r="H2595" s="56"/>
      <c r="I2595" s="56"/>
      <c r="J2595" s="56"/>
      <c r="K2595" s="56"/>
    </row>
    <row r="2596" spans="7:11" x14ac:dyDescent="0.2">
      <c r="G2596" s="56"/>
      <c r="H2596" s="56"/>
      <c r="I2596" s="56"/>
      <c r="J2596" s="56"/>
      <c r="K2596" s="56"/>
    </row>
    <row r="2597" spans="7:11" x14ac:dyDescent="0.2">
      <c r="G2597" s="56"/>
      <c r="H2597" s="56"/>
      <c r="I2597" s="56"/>
      <c r="J2597" s="56"/>
      <c r="K2597" s="56"/>
    </row>
    <row r="2598" spans="7:11" x14ac:dyDescent="0.2">
      <c r="G2598" s="56"/>
      <c r="H2598" s="56"/>
      <c r="I2598" s="56"/>
      <c r="J2598" s="56"/>
      <c r="K2598" s="56"/>
    </row>
    <row r="2599" spans="7:11" x14ac:dyDescent="0.2">
      <c r="G2599" s="56"/>
      <c r="H2599" s="56"/>
      <c r="I2599" s="56"/>
      <c r="J2599" s="56"/>
      <c r="K2599" s="56"/>
    </row>
    <row r="2600" spans="7:11" x14ac:dyDescent="0.2">
      <c r="G2600" s="56"/>
      <c r="H2600" s="56"/>
      <c r="I2600" s="56"/>
      <c r="J2600" s="56"/>
      <c r="K2600" s="56"/>
    </row>
    <row r="2601" spans="7:11" x14ac:dyDescent="0.2">
      <c r="G2601" s="56"/>
      <c r="H2601" s="56"/>
      <c r="I2601" s="56"/>
      <c r="J2601" s="56"/>
      <c r="K2601" s="56"/>
    </row>
    <row r="2602" spans="7:11" x14ac:dyDescent="0.2">
      <c r="G2602" s="56"/>
      <c r="H2602" s="56"/>
      <c r="I2602" s="56"/>
      <c r="J2602" s="56"/>
      <c r="K2602" s="56"/>
    </row>
    <row r="2603" spans="7:11" x14ac:dyDescent="0.2">
      <c r="G2603" s="56"/>
      <c r="H2603" s="56"/>
      <c r="I2603" s="56"/>
      <c r="J2603" s="56"/>
      <c r="K2603" s="56"/>
    </row>
    <row r="2604" spans="7:11" x14ac:dyDescent="0.2">
      <c r="G2604" s="56"/>
      <c r="H2604" s="56"/>
      <c r="I2604" s="56"/>
      <c r="J2604" s="56"/>
      <c r="K2604" s="56"/>
    </row>
    <row r="2605" spans="7:11" x14ac:dyDescent="0.2">
      <c r="G2605" s="56"/>
      <c r="H2605" s="56"/>
      <c r="I2605" s="56"/>
      <c r="J2605" s="56"/>
      <c r="K2605" s="56"/>
    </row>
    <row r="2606" spans="7:11" x14ac:dyDescent="0.2">
      <c r="G2606" s="56"/>
      <c r="H2606" s="56"/>
      <c r="I2606" s="56"/>
      <c r="J2606" s="56"/>
      <c r="K2606" s="56"/>
    </row>
    <row r="2607" spans="7:11" x14ac:dyDescent="0.2">
      <c r="G2607" s="56"/>
      <c r="H2607" s="56"/>
      <c r="I2607" s="56"/>
      <c r="J2607" s="56"/>
      <c r="K2607" s="56"/>
    </row>
    <row r="2608" spans="7:11" x14ac:dyDescent="0.2">
      <c r="G2608" s="56"/>
      <c r="H2608" s="56"/>
      <c r="I2608" s="56"/>
      <c r="J2608" s="56"/>
      <c r="K2608" s="56"/>
    </row>
    <row r="2609" spans="7:11" x14ac:dyDescent="0.2">
      <c r="G2609" s="56"/>
      <c r="H2609" s="56"/>
      <c r="I2609" s="56"/>
      <c r="J2609" s="56"/>
      <c r="K2609" s="56"/>
    </row>
    <row r="2610" spans="7:11" x14ac:dyDescent="0.2">
      <c r="G2610" s="56"/>
      <c r="H2610" s="56"/>
      <c r="I2610" s="56"/>
      <c r="J2610" s="56"/>
      <c r="K2610" s="56"/>
    </row>
    <row r="2611" spans="7:11" x14ac:dyDescent="0.2">
      <c r="G2611" s="56"/>
      <c r="H2611" s="56"/>
      <c r="I2611" s="56"/>
      <c r="J2611" s="56"/>
      <c r="K2611" s="56"/>
    </row>
    <row r="2612" spans="7:11" x14ac:dyDescent="0.2">
      <c r="G2612" s="56"/>
      <c r="H2612" s="56"/>
      <c r="I2612" s="56"/>
      <c r="J2612" s="56"/>
      <c r="K2612" s="56"/>
    </row>
    <row r="2613" spans="7:11" x14ac:dyDescent="0.2">
      <c r="G2613" s="56"/>
      <c r="H2613" s="56"/>
      <c r="I2613" s="56"/>
      <c r="J2613" s="56"/>
      <c r="K2613" s="56"/>
    </row>
    <row r="2614" spans="7:11" x14ac:dyDescent="0.2">
      <c r="G2614" s="56"/>
      <c r="H2614" s="56"/>
      <c r="I2614" s="56"/>
      <c r="J2614" s="56"/>
      <c r="K2614" s="56"/>
    </row>
    <row r="2615" spans="7:11" x14ac:dyDescent="0.2">
      <c r="G2615" s="56"/>
      <c r="H2615" s="56"/>
      <c r="I2615" s="56"/>
      <c r="J2615" s="56"/>
      <c r="K2615" s="56"/>
    </row>
    <row r="2616" spans="7:11" x14ac:dyDescent="0.2">
      <c r="G2616" s="56"/>
      <c r="H2616" s="56"/>
      <c r="I2616" s="56"/>
      <c r="J2616" s="56"/>
      <c r="K2616" s="56"/>
    </row>
    <row r="2617" spans="7:11" x14ac:dyDescent="0.2">
      <c r="G2617" s="56"/>
      <c r="H2617" s="56"/>
      <c r="I2617" s="56"/>
      <c r="J2617" s="56"/>
      <c r="K2617" s="56"/>
    </row>
    <row r="2618" spans="7:11" x14ac:dyDescent="0.2">
      <c r="G2618" s="56"/>
      <c r="H2618" s="56"/>
      <c r="I2618" s="56"/>
      <c r="J2618" s="56"/>
      <c r="K2618" s="56"/>
    </row>
    <row r="2619" spans="7:11" x14ac:dyDescent="0.2">
      <c r="G2619" s="56"/>
      <c r="H2619" s="56"/>
      <c r="I2619" s="56"/>
      <c r="J2619" s="56"/>
      <c r="K2619" s="56"/>
    </row>
    <row r="2620" spans="7:11" x14ac:dyDescent="0.2">
      <c r="G2620" s="56"/>
      <c r="H2620" s="56"/>
      <c r="I2620" s="56"/>
      <c r="J2620" s="56"/>
      <c r="K2620" s="56"/>
    </row>
    <row r="2621" spans="7:11" x14ac:dyDescent="0.2">
      <c r="G2621" s="56"/>
      <c r="H2621" s="56"/>
      <c r="I2621" s="56"/>
      <c r="J2621" s="56"/>
      <c r="K2621" s="56"/>
    </row>
    <row r="2622" spans="7:11" x14ac:dyDescent="0.2">
      <c r="G2622" s="56"/>
      <c r="H2622" s="56"/>
      <c r="I2622" s="56"/>
      <c r="J2622" s="56"/>
      <c r="K2622" s="56"/>
    </row>
    <row r="2623" spans="7:11" x14ac:dyDescent="0.2">
      <c r="G2623" s="56"/>
      <c r="H2623" s="56"/>
      <c r="I2623" s="56"/>
      <c r="J2623" s="56"/>
      <c r="K2623" s="56"/>
    </row>
    <row r="2624" spans="7:11" x14ac:dyDescent="0.2">
      <c r="G2624" s="56"/>
      <c r="H2624" s="56"/>
      <c r="I2624" s="56"/>
      <c r="J2624" s="56"/>
      <c r="K2624" s="56"/>
    </row>
    <row r="2625" spans="7:11" x14ac:dyDescent="0.2">
      <c r="G2625" s="56"/>
      <c r="H2625" s="56"/>
      <c r="I2625" s="56"/>
      <c r="J2625" s="56"/>
      <c r="K2625" s="56"/>
    </row>
    <row r="2626" spans="7:11" x14ac:dyDescent="0.2">
      <c r="G2626" s="56"/>
      <c r="H2626" s="56"/>
      <c r="I2626" s="56"/>
      <c r="J2626" s="56"/>
      <c r="K2626" s="56"/>
    </row>
    <row r="2627" spans="7:11" x14ac:dyDescent="0.2">
      <c r="G2627" s="56"/>
      <c r="H2627" s="56"/>
      <c r="I2627" s="56"/>
      <c r="J2627" s="56"/>
      <c r="K2627" s="56"/>
    </row>
    <row r="2628" spans="7:11" x14ac:dyDescent="0.2">
      <c r="G2628" s="56"/>
      <c r="H2628" s="56"/>
      <c r="I2628" s="56"/>
      <c r="J2628" s="56"/>
      <c r="K2628" s="56"/>
    </row>
    <row r="2629" spans="7:11" x14ac:dyDescent="0.2">
      <c r="G2629" s="56"/>
      <c r="H2629" s="56"/>
      <c r="I2629" s="56"/>
      <c r="J2629" s="56"/>
      <c r="K2629" s="56"/>
    </row>
    <row r="2630" spans="7:11" x14ac:dyDescent="0.2">
      <c r="G2630" s="56"/>
      <c r="H2630" s="56"/>
      <c r="I2630" s="56"/>
      <c r="J2630" s="56"/>
      <c r="K2630" s="56"/>
    </row>
    <row r="2631" spans="7:11" x14ac:dyDescent="0.2">
      <c r="G2631" s="56"/>
      <c r="H2631" s="56"/>
      <c r="I2631" s="56"/>
      <c r="J2631" s="56"/>
      <c r="K2631" s="56"/>
    </row>
    <row r="2632" spans="7:11" x14ac:dyDescent="0.2">
      <c r="G2632" s="56"/>
      <c r="H2632" s="56"/>
      <c r="I2632" s="56"/>
      <c r="J2632" s="56"/>
      <c r="K2632" s="56"/>
    </row>
    <row r="2633" spans="7:11" x14ac:dyDescent="0.2">
      <c r="G2633" s="56"/>
      <c r="H2633" s="56"/>
      <c r="I2633" s="56"/>
      <c r="J2633" s="56"/>
      <c r="K2633" s="56"/>
    </row>
    <row r="2634" spans="7:11" x14ac:dyDescent="0.2">
      <c r="G2634" s="56"/>
      <c r="H2634" s="56"/>
      <c r="I2634" s="56"/>
      <c r="J2634" s="56"/>
      <c r="K2634" s="56"/>
    </row>
    <row r="2635" spans="7:11" x14ac:dyDescent="0.2">
      <c r="G2635" s="56"/>
      <c r="H2635" s="56"/>
      <c r="I2635" s="56"/>
      <c r="J2635" s="56"/>
      <c r="K2635" s="56"/>
    </row>
    <row r="2636" spans="7:11" x14ac:dyDescent="0.2">
      <c r="G2636" s="56"/>
      <c r="H2636" s="56"/>
      <c r="I2636" s="56"/>
      <c r="J2636" s="56"/>
      <c r="K2636" s="56"/>
    </row>
    <row r="2637" spans="7:11" x14ac:dyDescent="0.2">
      <c r="G2637" s="56"/>
      <c r="H2637" s="56"/>
      <c r="I2637" s="56"/>
      <c r="J2637" s="56"/>
      <c r="K2637" s="56"/>
    </row>
    <row r="2638" spans="7:11" x14ac:dyDescent="0.2">
      <c r="G2638" s="56"/>
      <c r="H2638" s="56"/>
      <c r="I2638" s="56"/>
      <c r="J2638" s="56"/>
      <c r="K2638" s="56"/>
    </row>
    <row r="2639" spans="7:11" x14ac:dyDescent="0.2">
      <c r="G2639" s="56"/>
      <c r="H2639" s="56"/>
      <c r="I2639" s="56"/>
      <c r="J2639" s="56"/>
      <c r="K2639" s="56"/>
    </row>
    <row r="2640" spans="7:11" x14ac:dyDescent="0.2">
      <c r="G2640" s="56"/>
      <c r="H2640" s="56"/>
      <c r="I2640" s="56"/>
      <c r="J2640" s="56"/>
      <c r="K2640" s="56"/>
    </row>
    <row r="2641" spans="7:11" x14ac:dyDescent="0.2">
      <c r="G2641" s="56"/>
      <c r="H2641" s="56"/>
      <c r="I2641" s="56"/>
      <c r="J2641" s="56"/>
      <c r="K2641" s="56"/>
    </row>
    <row r="2642" spans="7:11" x14ac:dyDescent="0.2">
      <c r="G2642" s="56"/>
      <c r="H2642" s="56"/>
      <c r="I2642" s="56"/>
      <c r="J2642" s="56"/>
      <c r="K2642" s="56"/>
    </row>
    <row r="2643" spans="7:11" x14ac:dyDescent="0.2">
      <c r="G2643" s="56"/>
      <c r="H2643" s="56"/>
      <c r="I2643" s="56"/>
      <c r="J2643" s="56"/>
      <c r="K2643" s="56"/>
    </row>
    <row r="2644" spans="7:11" x14ac:dyDescent="0.2">
      <c r="G2644" s="56"/>
      <c r="H2644" s="56"/>
      <c r="I2644" s="56"/>
      <c r="J2644" s="56"/>
      <c r="K2644" s="56"/>
    </row>
    <row r="2645" spans="7:11" x14ac:dyDescent="0.2">
      <c r="G2645" s="56"/>
      <c r="H2645" s="56"/>
      <c r="I2645" s="56"/>
      <c r="J2645" s="56"/>
      <c r="K2645" s="56"/>
    </row>
    <row r="2646" spans="7:11" x14ac:dyDescent="0.2">
      <c r="G2646" s="56"/>
      <c r="H2646" s="56"/>
      <c r="I2646" s="56"/>
      <c r="J2646" s="56"/>
      <c r="K2646" s="56"/>
    </row>
    <row r="2647" spans="7:11" x14ac:dyDescent="0.2">
      <c r="G2647" s="56"/>
      <c r="H2647" s="56"/>
      <c r="I2647" s="56"/>
      <c r="J2647" s="56"/>
      <c r="K2647" s="56"/>
    </row>
    <row r="2648" spans="7:11" x14ac:dyDescent="0.2">
      <c r="G2648" s="56"/>
      <c r="H2648" s="56"/>
      <c r="I2648" s="56"/>
      <c r="J2648" s="56"/>
      <c r="K2648" s="56"/>
    </row>
    <row r="2649" spans="7:11" x14ac:dyDescent="0.2">
      <c r="G2649" s="56"/>
      <c r="H2649" s="56"/>
      <c r="I2649" s="56"/>
      <c r="J2649" s="56"/>
      <c r="K2649" s="56"/>
    </row>
    <row r="2650" spans="7:11" x14ac:dyDescent="0.2">
      <c r="G2650" s="56"/>
      <c r="H2650" s="56"/>
      <c r="I2650" s="56"/>
      <c r="J2650" s="56"/>
      <c r="K2650" s="56"/>
    </row>
    <row r="2651" spans="7:11" x14ac:dyDescent="0.2">
      <c r="G2651" s="56"/>
      <c r="H2651" s="56"/>
      <c r="I2651" s="56"/>
      <c r="J2651" s="56"/>
      <c r="K2651" s="56"/>
    </row>
    <row r="2652" spans="7:11" x14ac:dyDescent="0.2">
      <c r="G2652" s="56"/>
      <c r="H2652" s="56"/>
      <c r="I2652" s="56"/>
      <c r="J2652" s="56"/>
      <c r="K2652" s="56"/>
    </row>
    <row r="2653" spans="7:11" x14ac:dyDescent="0.2">
      <c r="G2653" s="56"/>
      <c r="H2653" s="56"/>
      <c r="I2653" s="56"/>
      <c r="J2653" s="56"/>
      <c r="K2653" s="56"/>
    </row>
    <row r="2654" spans="7:11" x14ac:dyDescent="0.2">
      <c r="G2654" s="56"/>
      <c r="H2654" s="56"/>
      <c r="I2654" s="56"/>
      <c r="J2654" s="56"/>
      <c r="K2654" s="56"/>
    </row>
    <row r="2655" spans="7:11" x14ac:dyDescent="0.2">
      <c r="G2655" s="56"/>
      <c r="H2655" s="56"/>
      <c r="I2655" s="56"/>
      <c r="J2655" s="56"/>
      <c r="K2655" s="56"/>
    </row>
    <row r="2656" spans="7:11" x14ac:dyDescent="0.2">
      <c r="G2656" s="56"/>
      <c r="H2656" s="56"/>
      <c r="I2656" s="56"/>
      <c r="J2656" s="56"/>
      <c r="K2656" s="56"/>
    </row>
    <row r="2657" spans="7:11" x14ac:dyDescent="0.2">
      <c r="G2657" s="56"/>
      <c r="H2657" s="56"/>
      <c r="I2657" s="56"/>
      <c r="J2657" s="56"/>
      <c r="K2657" s="56"/>
    </row>
    <row r="2658" spans="7:11" x14ac:dyDescent="0.2">
      <c r="G2658" s="56"/>
      <c r="H2658" s="56"/>
      <c r="I2658" s="56"/>
      <c r="J2658" s="56"/>
      <c r="K2658" s="56"/>
    </row>
    <row r="2659" spans="7:11" x14ac:dyDescent="0.2">
      <c r="G2659" s="56"/>
      <c r="H2659" s="56"/>
      <c r="I2659" s="56"/>
      <c r="J2659" s="56"/>
      <c r="K2659" s="56"/>
    </row>
    <row r="2660" spans="7:11" x14ac:dyDescent="0.2">
      <c r="G2660" s="56"/>
      <c r="H2660" s="56"/>
      <c r="I2660" s="56"/>
      <c r="J2660" s="56"/>
      <c r="K2660" s="56"/>
    </row>
    <row r="2661" spans="7:11" x14ac:dyDescent="0.2">
      <c r="G2661" s="56"/>
      <c r="H2661" s="56"/>
      <c r="I2661" s="56"/>
      <c r="J2661" s="56"/>
      <c r="K2661" s="56"/>
    </row>
    <row r="2662" spans="7:11" x14ac:dyDescent="0.2">
      <c r="G2662" s="56"/>
      <c r="H2662" s="56"/>
      <c r="I2662" s="56"/>
      <c r="J2662" s="56"/>
      <c r="K2662" s="56"/>
    </row>
    <row r="2663" spans="7:11" x14ac:dyDescent="0.2">
      <c r="G2663" s="56"/>
      <c r="H2663" s="56"/>
      <c r="I2663" s="56"/>
      <c r="J2663" s="56"/>
      <c r="K2663" s="56"/>
    </row>
    <row r="2664" spans="7:11" x14ac:dyDescent="0.2">
      <c r="G2664" s="56"/>
      <c r="H2664" s="56"/>
      <c r="I2664" s="56"/>
      <c r="J2664" s="56"/>
      <c r="K2664" s="56"/>
    </row>
    <row r="2665" spans="7:11" x14ac:dyDescent="0.2">
      <c r="G2665" s="56"/>
      <c r="H2665" s="56"/>
      <c r="I2665" s="56"/>
      <c r="J2665" s="56"/>
      <c r="K2665" s="56"/>
    </row>
    <row r="2666" spans="7:11" x14ac:dyDescent="0.2">
      <c r="G2666" s="56"/>
      <c r="H2666" s="56"/>
      <c r="I2666" s="56"/>
      <c r="J2666" s="56"/>
      <c r="K2666" s="56"/>
    </row>
    <row r="2667" spans="7:11" x14ac:dyDescent="0.2">
      <c r="G2667" s="56"/>
      <c r="H2667" s="56"/>
      <c r="I2667" s="56"/>
      <c r="J2667" s="56"/>
      <c r="K2667" s="56"/>
    </row>
    <row r="2668" spans="7:11" x14ac:dyDescent="0.2">
      <c r="G2668" s="56"/>
      <c r="H2668" s="56"/>
      <c r="I2668" s="56"/>
      <c r="J2668" s="56"/>
      <c r="K2668" s="56"/>
    </row>
    <row r="2669" spans="7:11" x14ac:dyDescent="0.2">
      <c r="G2669" s="56"/>
      <c r="H2669" s="56"/>
      <c r="I2669" s="56"/>
      <c r="J2669" s="56"/>
      <c r="K2669" s="56"/>
    </row>
    <row r="2670" spans="7:11" x14ac:dyDescent="0.2">
      <c r="G2670" s="56"/>
      <c r="H2670" s="56"/>
      <c r="I2670" s="56"/>
      <c r="J2670" s="56"/>
      <c r="K2670" s="56"/>
    </row>
    <row r="2671" spans="7:11" x14ac:dyDescent="0.2">
      <c r="G2671" s="56"/>
      <c r="H2671" s="56"/>
      <c r="I2671" s="56"/>
      <c r="J2671" s="56"/>
      <c r="K2671" s="56"/>
    </row>
    <row r="2672" spans="7:11" x14ac:dyDescent="0.2">
      <c r="G2672" s="56"/>
      <c r="H2672" s="56"/>
      <c r="I2672" s="56"/>
      <c r="J2672" s="56"/>
      <c r="K2672" s="56"/>
    </row>
    <row r="2673" spans="7:11" x14ac:dyDescent="0.2">
      <c r="G2673" s="56"/>
      <c r="H2673" s="56"/>
      <c r="I2673" s="56"/>
      <c r="J2673" s="56"/>
      <c r="K2673" s="56"/>
    </row>
    <row r="2674" spans="7:11" x14ac:dyDescent="0.2">
      <c r="G2674" s="56"/>
      <c r="H2674" s="56"/>
      <c r="I2674" s="56"/>
      <c r="J2674" s="56"/>
      <c r="K2674" s="56"/>
    </row>
    <row r="2675" spans="7:11" x14ac:dyDescent="0.2">
      <c r="G2675" s="56"/>
      <c r="H2675" s="56"/>
      <c r="I2675" s="56"/>
      <c r="J2675" s="56"/>
      <c r="K2675" s="56"/>
    </row>
    <row r="2676" spans="7:11" x14ac:dyDescent="0.2">
      <c r="G2676" s="56"/>
      <c r="H2676" s="56"/>
      <c r="I2676" s="56"/>
      <c r="J2676" s="56"/>
      <c r="K2676" s="56"/>
    </row>
    <row r="2677" spans="7:11" x14ac:dyDescent="0.2">
      <c r="G2677" s="56"/>
      <c r="H2677" s="56"/>
      <c r="I2677" s="56"/>
      <c r="J2677" s="56"/>
      <c r="K2677" s="56"/>
    </row>
    <row r="2678" spans="7:11" x14ac:dyDescent="0.2">
      <c r="G2678" s="56"/>
      <c r="H2678" s="56"/>
      <c r="I2678" s="56"/>
      <c r="J2678" s="56"/>
      <c r="K2678" s="56"/>
    </row>
    <row r="2679" spans="7:11" x14ac:dyDescent="0.2">
      <c r="G2679" s="56"/>
      <c r="H2679" s="56"/>
      <c r="I2679" s="56"/>
      <c r="J2679" s="56"/>
      <c r="K2679" s="56"/>
    </row>
    <row r="2680" spans="7:11" x14ac:dyDescent="0.2">
      <c r="G2680" s="56"/>
      <c r="H2680" s="56"/>
      <c r="I2680" s="56"/>
      <c r="J2680" s="56"/>
      <c r="K2680" s="56"/>
    </row>
    <row r="2681" spans="7:11" x14ac:dyDescent="0.2">
      <c r="G2681" s="56"/>
      <c r="H2681" s="56"/>
      <c r="I2681" s="56"/>
      <c r="J2681" s="56"/>
      <c r="K2681" s="56"/>
    </row>
    <row r="2682" spans="7:11" x14ac:dyDescent="0.2">
      <c r="G2682" s="56"/>
      <c r="H2682" s="56"/>
      <c r="I2682" s="56"/>
      <c r="J2682" s="56"/>
      <c r="K2682" s="56"/>
    </row>
    <row r="2683" spans="7:11" x14ac:dyDescent="0.2">
      <c r="G2683" s="56"/>
      <c r="H2683" s="56"/>
      <c r="I2683" s="56"/>
      <c r="J2683" s="56"/>
      <c r="K2683" s="56"/>
    </row>
    <row r="2684" spans="7:11" x14ac:dyDescent="0.2">
      <c r="G2684" s="56"/>
      <c r="H2684" s="56"/>
      <c r="I2684" s="56"/>
      <c r="J2684" s="56"/>
      <c r="K2684" s="56"/>
    </row>
    <row r="2685" spans="7:11" x14ac:dyDescent="0.2">
      <c r="G2685" s="56"/>
      <c r="H2685" s="56"/>
      <c r="I2685" s="56"/>
      <c r="J2685" s="56"/>
      <c r="K2685" s="56"/>
    </row>
    <row r="2686" spans="7:11" x14ac:dyDescent="0.2">
      <c r="G2686" s="56"/>
      <c r="H2686" s="56"/>
      <c r="I2686" s="56"/>
      <c r="J2686" s="56"/>
      <c r="K2686" s="56"/>
    </row>
    <row r="2687" spans="7:11" x14ac:dyDescent="0.2">
      <c r="G2687" s="56"/>
      <c r="H2687" s="56"/>
      <c r="I2687" s="56"/>
      <c r="J2687" s="56"/>
      <c r="K2687" s="56"/>
    </row>
    <row r="2688" spans="7:11" x14ac:dyDescent="0.2">
      <c r="G2688" s="56"/>
      <c r="H2688" s="56"/>
      <c r="I2688" s="56"/>
      <c r="J2688" s="56"/>
      <c r="K2688" s="56"/>
    </row>
    <row r="2689" spans="7:11" x14ac:dyDescent="0.2">
      <c r="G2689" s="56"/>
      <c r="H2689" s="56"/>
      <c r="I2689" s="56"/>
      <c r="J2689" s="56"/>
      <c r="K2689" s="56"/>
    </row>
    <row r="2690" spans="7:11" x14ac:dyDescent="0.2">
      <c r="G2690" s="56"/>
      <c r="H2690" s="56"/>
      <c r="I2690" s="56"/>
      <c r="J2690" s="56"/>
      <c r="K2690" s="56"/>
    </row>
    <row r="2691" spans="7:11" x14ac:dyDescent="0.2">
      <c r="G2691" s="56"/>
      <c r="H2691" s="56"/>
      <c r="I2691" s="56"/>
      <c r="J2691" s="56"/>
      <c r="K2691" s="56"/>
    </row>
    <row r="2692" spans="7:11" x14ac:dyDescent="0.2">
      <c r="G2692" s="56"/>
      <c r="H2692" s="56"/>
      <c r="I2692" s="56"/>
      <c r="J2692" s="56"/>
      <c r="K2692" s="56"/>
    </row>
    <row r="2693" spans="7:11" x14ac:dyDescent="0.2">
      <c r="G2693" s="56"/>
      <c r="H2693" s="56"/>
      <c r="I2693" s="56"/>
      <c r="J2693" s="56"/>
      <c r="K2693" s="56"/>
    </row>
    <row r="2694" spans="7:11" x14ac:dyDescent="0.2">
      <c r="G2694" s="56"/>
      <c r="H2694" s="56"/>
      <c r="I2694" s="56"/>
      <c r="J2694" s="56"/>
      <c r="K2694" s="56"/>
    </row>
    <row r="2695" spans="7:11" x14ac:dyDescent="0.2">
      <c r="G2695" s="56"/>
      <c r="H2695" s="56"/>
      <c r="I2695" s="56"/>
      <c r="J2695" s="56"/>
      <c r="K2695" s="56"/>
    </row>
    <row r="2696" spans="7:11" x14ac:dyDescent="0.2">
      <c r="G2696" s="56"/>
      <c r="H2696" s="56"/>
      <c r="I2696" s="56"/>
      <c r="J2696" s="56"/>
      <c r="K2696" s="56"/>
    </row>
    <row r="2697" spans="7:11" x14ac:dyDescent="0.2">
      <c r="G2697" s="56"/>
      <c r="H2697" s="56"/>
      <c r="I2697" s="56"/>
      <c r="J2697" s="56"/>
      <c r="K2697" s="56"/>
    </row>
    <row r="2698" spans="7:11" x14ac:dyDescent="0.2">
      <c r="G2698" s="56"/>
      <c r="H2698" s="56"/>
      <c r="I2698" s="56"/>
      <c r="J2698" s="56"/>
      <c r="K2698" s="56"/>
    </row>
    <row r="2699" spans="7:11" x14ac:dyDescent="0.2">
      <c r="G2699" s="56"/>
      <c r="H2699" s="56"/>
      <c r="I2699" s="56"/>
      <c r="J2699" s="56"/>
      <c r="K2699" s="56"/>
    </row>
    <row r="2700" spans="7:11" x14ac:dyDescent="0.2">
      <c r="G2700" s="56"/>
      <c r="H2700" s="56"/>
      <c r="I2700" s="56"/>
      <c r="J2700" s="56"/>
      <c r="K2700" s="56"/>
    </row>
    <row r="2701" spans="7:11" x14ac:dyDescent="0.2">
      <c r="G2701" s="56"/>
      <c r="H2701" s="56"/>
      <c r="I2701" s="56"/>
      <c r="J2701" s="56"/>
      <c r="K2701" s="56"/>
    </row>
    <row r="2702" spans="7:11" x14ac:dyDescent="0.2">
      <c r="G2702" s="56"/>
      <c r="H2702" s="56"/>
      <c r="I2702" s="56"/>
      <c r="J2702" s="56"/>
      <c r="K2702" s="56"/>
    </row>
    <row r="2703" spans="7:11" x14ac:dyDescent="0.2">
      <c r="G2703" s="56"/>
      <c r="H2703" s="56"/>
      <c r="I2703" s="56"/>
      <c r="J2703" s="56"/>
      <c r="K2703" s="56"/>
    </row>
    <row r="2704" spans="7:11" x14ac:dyDescent="0.2">
      <c r="G2704" s="56"/>
      <c r="H2704" s="56"/>
      <c r="I2704" s="56"/>
      <c r="J2704" s="56"/>
      <c r="K2704" s="56"/>
    </row>
    <row r="2705" spans="7:11" x14ac:dyDescent="0.2">
      <c r="G2705" s="56"/>
      <c r="H2705" s="56"/>
      <c r="I2705" s="56"/>
      <c r="J2705" s="56"/>
      <c r="K2705" s="56"/>
    </row>
    <row r="2706" spans="7:11" x14ac:dyDescent="0.2">
      <c r="G2706" s="56"/>
      <c r="H2706" s="56"/>
      <c r="I2706" s="56"/>
      <c r="J2706" s="56"/>
      <c r="K2706" s="56"/>
    </row>
    <row r="2707" spans="7:11" x14ac:dyDescent="0.2">
      <c r="G2707" s="56"/>
      <c r="H2707" s="56"/>
      <c r="I2707" s="56"/>
      <c r="J2707" s="56"/>
      <c r="K2707" s="56"/>
    </row>
    <row r="2708" spans="7:11" x14ac:dyDescent="0.2">
      <c r="G2708" s="56"/>
      <c r="H2708" s="56"/>
      <c r="I2708" s="56"/>
      <c r="J2708" s="56"/>
      <c r="K2708" s="56"/>
    </row>
    <row r="2709" spans="7:11" x14ac:dyDescent="0.2">
      <c r="G2709" s="56"/>
      <c r="H2709" s="56"/>
      <c r="I2709" s="56"/>
      <c r="J2709" s="56"/>
      <c r="K2709" s="56"/>
    </row>
    <row r="2710" spans="7:11" x14ac:dyDescent="0.2">
      <c r="G2710" s="56"/>
      <c r="H2710" s="56"/>
      <c r="I2710" s="56"/>
      <c r="J2710" s="56"/>
      <c r="K2710" s="56"/>
    </row>
    <row r="2711" spans="7:11" x14ac:dyDescent="0.2">
      <c r="G2711" s="56"/>
      <c r="H2711" s="56"/>
      <c r="I2711" s="56"/>
      <c r="J2711" s="56"/>
      <c r="K2711" s="56"/>
    </row>
    <row r="2712" spans="7:11" x14ac:dyDescent="0.2">
      <c r="G2712" s="56"/>
      <c r="H2712" s="56"/>
      <c r="I2712" s="56"/>
      <c r="J2712" s="56"/>
      <c r="K2712" s="56"/>
    </row>
    <row r="2713" spans="7:11" x14ac:dyDescent="0.2">
      <c r="G2713" s="56"/>
      <c r="H2713" s="56"/>
      <c r="I2713" s="56"/>
      <c r="J2713" s="56"/>
      <c r="K2713" s="56"/>
    </row>
    <row r="2714" spans="7:11" x14ac:dyDescent="0.2">
      <c r="G2714" s="56"/>
      <c r="H2714" s="56"/>
      <c r="I2714" s="56"/>
      <c r="J2714" s="56"/>
      <c r="K2714" s="56"/>
    </row>
    <row r="2715" spans="7:11" x14ac:dyDescent="0.2">
      <c r="G2715" s="56"/>
      <c r="H2715" s="56"/>
      <c r="I2715" s="56"/>
      <c r="J2715" s="56"/>
      <c r="K2715" s="56"/>
    </row>
    <row r="2716" spans="7:11" x14ac:dyDescent="0.2">
      <c r="G2716" s="56"/>
      <c r="H2716" s="56"/>
      <c r="I2716" s="56"/>
      <c r="J2716" s="56"/>
      <c r="K2716" s="56"/>
    </row>
    <row r="2717" spans="7:11" x14ac:dyDescent="0.2">
      <c r="G2717" s="56"/>
      <c r="H2717" s="56"/>
      <c r="I2717" s="56"/>
      <c r="J2717" s="56"/>
      <c r="K2717" s="56"/>
    </row>
    <row r="2718" spans="7:11" x14ac:dyDescent="0.2">
      <c r="G2718" s="56"/>
      <c r="H2718" s="56"/>
      <c r="I2718" s="56"/>
      <c r="J2718" s="56"/>
      <c r="K2718" s="56"/>
    </row>
    <row r="2719" spans="7:11" x14ac:dyDescent="0.2">
      <c r="G2719" s="56"/>
      <c r="H2719" s="56"/>
      <c r="I2719" s="56"/>
      <c r="J2719" s="56"/>
      <c r="K2719" s="56"/>
    </row>
    <row r="2720" spans="7:11" x14ac:dyDescent="0.2">
      <c r="G2720" s="56"/>
      <c r="H2720" s="56"/>
      <c r="I2720" s="56"/>
      <c r="J2720" s="56"/>
      <c r="K2720" s="56"/>
    </row>
    <row r="2721" spans="7:11" x14ac:dyDescent="0.2">
      <c r="G2721" s="56"/>
      <c r="H2721" s="56"/>
      <c r="I2721" s="56"/>
      <c r="J2721" s="56"/>
      <c r="K2721" s="56"/>
    </row>
    <row r="2722" spans="7:11" x14ac:dyDescent="0.2">
      <c r="G2722" s="56"/>
      <c r="H2722" s="56"/>
      <c r="I2722" s="56"/>
      <c r="J2722" s="56"/>
      <c r="K2722" s="56"/>
    </row>
    <row r="2723" spans="7:11" x14ac:dyDescent="0.2">
      <c r="G2723" s="56"/>
      <c r="H2723" s="56"/>
      <c r="I2723" s="56"/>
      <c r="J2723" s="56"/>
      <c r="K2723" s="56"/>
    </row>
    <row r="2724" spans="7:11" x14ac:dyDescent="0.2">
      <c r="G2724" s="56"/>
      <c r="H2724" s="56"/>
      <c r="I2724" s="56"/>
      <c r="J2724" s="56"/>
      <c r="K2724" s="56"/>
    </row>
    <row r="2725" spans="7:11" x14ac:dyDescent="0.2">
      <c r="G2725" s="56"/>
      <c r="H2725" s="56"/>
      <c r="I2725" s="56"/>
      <c r="J2725" s="56"/>
      <c r="K2725" s="56"/>
    </row>
    <row r="2726" spans="7:11" x14ac:dyDescent="0.2">
      <c r="G2726" s="56"/>
      <c r="H2726" s="56"/>
      <c r="I2726" s="56"/>
      <c r="J2726" s="56"/>
      <c r="K2726" s="56"/>
    </row>
    <row r="2727" spans="7:11" x14ac:dyDescent="0.2">
      <c r="G2727" s="56"/>
      <c r="H2727" s="56"/>
      <c r="I2727" s="56"/>
      <c r="J2727" s="56"/>
      <c r="K2727" s="56"/>
    </row>
    <row r="2728" spans="7:11" x14ac:dyDescent="0.2">
      <c r="G2728" s="56"/>
      <c r="H2728" s="56"/>
      <c r="I2728" s="56"/>
      <c r="J2728" s="56"/>
      <c r="K2728" s="56"/>
    </row>
    <row r="2729" spans="7:11" x14ac:dyDescent="0.2">
      <c r="G2729" s="56"/>
      <c r="H2729" s="56"/>
      <c r="I2729" s="56"/>
      <c r="J2729" s="56"/>
      <c r="K2729" s="56"/>
    </row>
    <row r="2730" spans="7:11" x14ac:dyDescent="0.2">
      <c r="G2730" s="56"/>
      <c r="H2730" s="56"/>
      <c r="I2730" s="56"/>
      <c r="J2730" s="56"/>
      <c r="K2730" s="56"/>
    </row>
    <row r="2731" spans="7:11" x14ac:dyDescent="0.2">
      <c r="G2731" s="56"/>
      <c r="H2731" s="56"/>
      <c r="I2731" s="56"/>
      <c r="J2731" s="56"/>
      <c r="K2731" s="56"/>
    </row>
    <row r="2732" spans="7:11" x14ac:dyDescent="0.2">
      <c r="G2732" s="56"/>
      <c r="H2732" s="56"/>
      <c r="I2732" s="56"/>
      <c r="J2732" s="56"/>
      <c r="K2732" s="56"/>
    </row>
    <row r="2733" spans="7:11" x14ac:dyDescent="0.2">
      <c r="G2733" s="56"/>
      <c r="H2733" s="56"/>
      <c r="I2733" s="56"/>
      <c r="J2733" s="56"/>
      <c r="K2733" s="56"/>
    </row>
    <row r="2734" spans="7:11" x14ac:dyDescent="0.2">
      <c r="G2734" s="56"/>
      <c r="H2734" s="56"/>
      <c r="I2734" s="56"/>
      <c r="J2734" s="56"/>
      <c r="K2734" s="56"/>
    </row>
    <row r="2735" spans="7:11" x14ac:dyDescent="0.2">
      <c r="G2735" s="56"/>
      <c r="H2735" s="56"/>
      <c r="I2735" s="56"/>
      <c r="J2735" s="56"/>
      <c r="K2735" s="56"/>
    </row>
    <row r="2736" spans="7:11" x14ac:dyDescent="0.2">
      <c r="G2736" s="56"/>
      <c r="H2736" s="56"/>
      <c r="I2736" s="56"/>
      <c r="J2736" s="56"/>
      <c r="K2736" s="56"/>
    </row>
    <row r="2737" spans="7:11" x14ac:dyDescent="0.2">
      <c r="G2737" s="56"/>
      <c r="H2737" s="56"/>
      <c r="I2737" s="56"/>
      <c r="J2737" s="56"/>
      <c r="K2737" s="56"/>
    </row>
    <row r="2738" spans="7:11" x14ac:dyDescent="0.2">
      <c r="G2738" s="56"/>
      <c r="H2738" s="56"/>
      <c r="I2738" s="56"/>
      <c r="J2738" s="56"/>
      <c r="K2738" s="56"/>
    </row>
    <row r="2739" spans="7:11" x14ac:dyDescent="0.2">
      <c r="G2739" s="56"/>
      <c r="H2739" s="56"/>
      <c r="I2739" s="56"/>
      <c r="J2739" s="56"/>
      <c r="K2739" s="56"/>
    </row>
    <row r="2740" spans="7:11" x14ac:dyDescent="0.2">
      <c r="G2740" s="56"/>
      <c r="H2740" s="56"/>
      <c r="I2740" s="56"/>
      <c r="J2740" s="56"/>
      <c r="K2740" s="56"/>
    </row>
    <row r="2741" spans="7:11" x14ac:dyDescent="0.2">
      <c r="G2741" s="56"/>
      <c r="H2741" s="56"/>
      <c r="I2741" s="56"/>
      <c r="J2741" s="56"/>
      <c r="K2741" s="56"/>
    </row>
    <row r="2742" spans="7:11" x14ac:dyDescent="0.2">
      <c r="G2742" s="56"/>
      <c r="H2742" s="56"/>
      <c r="I2742" s="56"/>
      <c r="J2742" s="56"/>
      <c r="K2742" s="56"/>
    </row>
    <row r="2743" spans="7:11" x14ac:dyDescent="0.2">
      <c r="G2743" s="56"/>
      <c r="H2743" s="56"/>
      <c r="I2743" s="56"/>
      <c r="J2743" s="56"/>
      <c r="K2743" s="56"/>
    </row>
    <row r="2744" spans="7:11" x14ac:dyDescent="0.2">
      <c r="G2744" s="56"/>
      <c r="H2744" s="56"/>
      <c r="I2744" s="56"/>
      <c r="J2744" s="56"/>
      <c r="K2744" s="56"/>
    </row>
    <row r="2745" spans="7:11" x14ac:dyDescent="0.2">
      <c r="G2745" s="56"/>
      <c r="H2745" s="56"/>
      <c r="I2745" s="56"/>
      <c r="J2745" s="56"/>
      <c r="K2745" s="56"/>
    </row>
    <row r="2746" spans="7:11" x14ac:dyDescent="0.2">
      <c r="G2746" s="56"/>
      <c r="H2746" s="56"/>
      <c r="I2746" s="56"/>
      <c r="J2746" s="56"/>
      <c r="K2746" s="56"/>
    </row>
    <row r="2747" spans="7:11" x14ac:dyDescent="0.2">
      <c r="G2747" s="56"/>
      <c r="H2747" s="56"/>
      <c r="I2747" s="56"/>
      <c r="J2747" s="56"/>
      <c r="K2747" s="56"/>
    </row>
    <row r="2748" spans="7:11" x14ac:dyDescent="0.2">
      <c r="G2748" s="56"/>
      <c r="H2748" s="56"/>
      <c r="I2748" s="56"/>
      <c r="J2748" s="56"/>
      <c r="K2748" s="56"/>
    </row>
    <row r="2749" spans="7:11" x14ac:dyDescent="0.2">
      <c r="G2749" s="56"/>
      <c r="H2749" s="56"/>
      <c r="I2749" s="56"/>
      <c r="J2749" s="56"/>
      <c r="K2749" s="56"/>
    </row>
    <row r="2750" spans="7:11" x14ac:dyDescent="0.2">
      <c r="G2750" s="56"/>
      <c r="H2750" s="56"/>
      <c r="I2750" s="56"/>
      <c r="J2750" s="56"/>
      <c r="K2750" s="56"/>
    </row>
    <row r="2751" spans="7:11" x14ac:dyDescent="0.2">
      <c r="G2751" s="56"/>
      <c r="H2751" s="56"/>
      <c r="I2751" s="56"/>
      <c r="J2751" s="56"/>
      <c r="K2751" s="56"/>
    </row>
    <row r="2752" spans="7:11" x14ac:dyDescent="0.2">
      <c r="G2752" s="56"/>
      <c r="H2752" s="56"/>
      <c r="I2752" s="56"/>
      <c r="J2752" s="56"/>
      <c r="K2752" s="56"/>
    </row>
    <row r="2753" spans="7:11" x14ac:dyDescent="0.2">
      <c r="G2753" s="56"/>
      <c r="H2753" s="56"/>
      <c r="I2753" s="56"/>
      <c r="J2753" s="56"/>
      <c r="K2753" s="56"/>
    </row>
    <row r="2754" spans="7:11" x14ac:dyDescent="0.2">
      <c r="G2754" s="56"/>
      <c r="H2754" s="56"/>
      <c r="I2754" s="56"/>
      <c r="J2754" s="56"/>
      <c r="K2754" s="56"/>
    </row>
    <row r="2755" spans="7:11" x14ac:dyDescent="0.2">
      <c r="G2755" s="56"/>
      <c r="H2755" s="56"/>
      <c r="I2755" s="56"/>
      <c r="J2755" s="56"/>
      <c r="K2755" s="56"/>
    </row>
    <row r="2756" spans="7:11" x14ac:dyDescent="0.2">
      <c r="G2756" s="56"/>
      <c r="H2756" s="56"/>
      <c r="I2756" s="56"/>
      <c r="J2756" s="56"/>
      <c r="K2756" s="56"/>
    </row>
    <row r="2757" spans="7:11" x14ac:dyDescent="0.2">
      <c r="G2757" s="56"/>
      <c r="H2757" s="56"/>
      <c r="I2757" s="56"/>
      <c r="J2757" s="56"/>
      <c r="K2757" s="56"/>
    </row>
    <row r="2758" spans="7:11" x14ac:dyDescent="0.2">
      <c r="G2758" s="56"/>
      <c r="H2758" s="56"/>
      <c r="I2758" s="56"/>
      <c r="J2758" s="56"/>
      <c r="K2758" s="56"/>
    </row>
    <row r="2759" spans="7:11" x14ac:dyDescent="0.2">
      <c r="G2759" s="56"/>
      <c r="H2759" s="56"/>
      <c r="I2759" s="56"/>
      <c r="J2759" s="56"/>
      <c r="K2759" s="56"/>
    </row>
    <row r="2760" spans="7:11" x14ac:dyDescent="0.2">
      <c r="G2760" s="56"/>
      <c r="H2760" s="56"/>
      <c r="I2760" s="56"/>
      <c r="J2760" s="56"/>
      <c r="K2760" s="56"/>
    </row>
    <row r="2761" spans="7:11" x14ac:dyDescent="0.2">
      <c r="G2761" s="56"/>
      <c r="H2761" s="56"/>
      <c r="I2761" s="56"/>
      <c r="J2761" s="56"/>
      <c r="K2761" s="56"/>
    </row>
    <row r="2762" spans="7:11" x14ac:dyDescent="0.2">
      <c r="G2762" s="56"/>
      <c r="H2762" s="56"/>
      <c r="I2762" s="56"/>
      <c r="J2762" s="56"/>
      <c r="K2762" s="56"/>
    </row>
    <row r="2763" spans="7:11" x14ac:dyDescent="0.2">
      <c r="G2763" s="56"/>
      <c r="H2763" s="56"/>
      <c r="I2763" s="56"/>
      <c r="J2763" s="56"/>
      <c r="K2763" s="56"/>
    </row>
    <row r="2764" spans="7:11" x14ac:dyDescent="0.2">
      <c r="G2764" s="56"/>
      <c r="H2764" s="56"/>
      <c r="I2764" s="56"/>
      <c r="J2764" s="56"/>
      <c r="K2764" s="56"/>
    </row>
    <row r="2765" spans="7:11" x14ac:dyDescent="0.2">
      <c r="G2765" s="56"/>
      <c r="H2765" s="56"/>
      <c r="I2765" s="56"/>
      <c r="J2765" s="56"/>
      <c r="K2765" s="56"/>
    </row>
    <row r="2766" spans="7:11" x14ac:dyDescent="0.2">
      <c r="G2766" s="56"/>
      <c r="H2766" s="56"/>
      <c r="I2766" s="56"/>
      <c r="J2766" s="56"/>
      <c r="K2766" s="56"/>
    </row>
    <row r="2767" spans="7:11" x14ac:dyDescent="0.2">
      <c r="G2767" s="56"/>
      <c r="H2767" s="56"/>
      <c r="I2767" s="56"/>
      <c r="J2767" s="56"/>
      <c r="K2767" s="56"/>
    </row>
    <row r="2768" spans="7:11" x14ac:dyDescent="0.2">
      <c r="G2768" s="56"/>
      <c r="H2768" s="56"/>
      <c r="I2768" s="56"/>
      <c r="J2768" s="56"/>
      <c r="K2768" s="56"/>
    </row>
    <row r="2769" spans="7:11" x14ac:dyDescent="0.2">
      <c r="G2769" s="56"/>
      <c r="H2769" s="56"/>
      <c r="I2769" s="56"/>
      <c r="J2769" s="56"/>
      <c r="K2769" s="56"/>
    </row>
    <row r="2770" spans="7:11" x14ac:dyDescent="0.2">
      <c r="G2770" s="56"/>
      <c r="H2770" s="56"/>
      <c r="I2770" s="56"/>
      <c r="J2770" s="56"/>
      <c r="K2770" s="56"/>
    </row>
    <row r="2771" spans="7:11" x14ac:dyDescent="0.2">
      <c r="G2771" s="56"/>
      <c r="H2771" s="56"/>
      <c r="I2771" s="56"/>
      <c r="J2771" s="56"/>
      <c r="K2771" s="56"/>
    </row>
    <row r="2772" spans="7:11" x14ac:dyDescent="0.2">
      <c r="G2772" s="56"/>
      <c r="H2772" s="56"/>
      <c r="I2772" s="56"/>
      <c r="J2772" s="56"/>
      <c r="K2772" s="56"/>
    </row>
    <row r="2773" spans="7:11" x14ac:dyDescent="0.2">
      <c r="G2773" s="56"/>
      <c r="H2773" s="56"/>
      <c r="I2773" s="56"/>
      <c r="J2773" s="56"/>
      <c r="K2773" s="56"/>
    </row>
    <row r="2774" spans="7:11" x14ac:dyDescent="0.2">
      <c r="G2774" s="56"/>
      <c r="H2774" s="56"/>
      <c r="I2774" s="56"/>
      <c r="J2774" s="56"/>
      <c r="K2774" s="56"/>
    </row>
    <row r="2775" spans="7:11" x14ac:dyDescent="0.2">
      <c r="G2775" s="56"/>
      <c r="H2775" s="56"/>
      <c r="I2775" s="56"/>
      <c r="J2775" s="56"/>
      <c r="K2775" s="56"/>
    </row>
    <row r="2776" spans="7:11" x14ac:dyDescent="0.2">
      <c r="G2776" s="56"/>
      <c r="H2776" s="56"/>
      <c r="I2776" s="56"/>
      <c r="J2776" s="56"/>
      <c r="K2776" s="56"/>
    </row>
    <row r="2777" spans="7:11" x14ac:dyDescent="0.2">
      <c r="G2777" s="56"/>
      <c r="H2777" s="56"/>
      <c r="I2777" s="56"/>
      <c r="J2777" s="56"/>
      <c r="K2777" s="56"/>
    </row>
    <row r="2778" spans="7:11" x14ac:dyDescent="0.2">
      <c r="G2778" s="56"/>
      <c r="H2778" s="56"/>
      <c r="I2778" s="56"/>
      <c r="J2778" s="56"/>
      <c r="K2778" s="56"/>
    </row>
    <row r="2779" spans="7:11" x14ac:dyDescent="0.2">
      <c r="G2779" s="56"/>
      <c r="H2779" s="56"/>
      <c r="I2779" s="56"/>
      <c r="J2779" s="56"/>
      <c r="K2779" s="56"/>
    </row>
    <row r="2780" spans="7:11" x14ac:dyDescent="0.2">
      <c r="G2780" s="56"/>
      <c r="H2780" s="56"/>
      <c r="I2780" s="56"/>
      <c r="J2780" s="56"/>
      <c r="K2780" s="56"/>
    </row>
    <row r="2781" spans="7:11" x14ac:dyDescent="0.2">
      <c r="G2781" s="56"/>
      <c r="H2781" s="56"/>
      <c r="I2781" s="56"/>
      <c r="J2781" s="56"/>
      <c r="K2781" s="56"/>
    </row>
    <row r="2782" spans="7:11" x14ac:dyDescent="0.2">
      <c r="G2782" s="56"/>
      <c r="H2782" s="56"/>
      <c r="I2782" s="56"/>
      <c r="J2782" s="56"/>
      <c r="K2782" s="56"/>
    </row>
    <row r="2783" spans="7:11" x14ac:dyDescent="0.2">
      <c r="G2783" s="56"/>
      <c r="H2783" s="56"/>
      <c r="I2783" s="56"/>
      <c r="J2783" s="56"/>
      <c r="K2783" s="56"/>
    </row>
    <row r="2784" spans="7:11" x14ac:dyDescent="0.2">
      <c r="G2784" s="56"/>
      <c r="H2784" s="56"/>
      <c r="I2784" s="56"/>
      <c r="J2784" s="56"/>
      <c r="K2784" s="56"/>
    </row>
    <row r="2785" spans="7:11" x14ac:dyDescent="0.2">
      <c r="G2785" s="56"/>
      <c r="H2785" s="56"/>
      <c r="I2785" s="56"/>
      <c r="J2785" s="56"/>
      <c r="K2785" s="56"/>
    </row>
    <row r="2786" spans="7:11" x14ac:dyDescent="0.2">
      <c r="G2786" s="56"/>
      <c r="H2786" s="56"/>
      <c r="I2786" s="56"/>
      <c r="J2786" s="56"/>
      <c r="K2786" s="56"/>
    </row>
    <row r="2787" spans="7:11" x14ac:dyDescent="0.2">
      <c r="G2787" s="56"/>
      <c r="H2787" s="56"/>
      <c r="I2787" s="56"/>
      <c r="J2787" s="56"/>
      <c r="K2787" s="56"/>
    </row>
    <row r="2788" spans="7:11" x14ac:dyDescent="0.2">
      <c r="G2788" s="56"/>
      <c r="H2788" s="56"/>
      <c r="I2788" s="56"/>
      <c r="J2788" s="56"/>
      <c r="K2788" s="56"/>
    </row>
    <row r="2789" spans="7:11" x14ac:dyDescent="0.2">
      <c r="G2789" s="56"/>
      <c r="H2789" s="56"/>
      <c r="I2789" s="56"/>
      <c r="J2789" s="56"/>
      <c r="K2789" s="56"/>
    </row>
    <row r="2790" spans="7:11" x14ac:dyDescent="0.2">
      <c r="G2790" s="56"/>
      <c r="H2790" s="56"/>
      <c r="I2790" s="56"/>
      <c r="J2790" s="56"/>
      <c r="K2790" s="56"/>
    </row>
    <row r="2791" spans="7:11" x14ac:dyDescent="0.2">
      <c r="G2791" s="56"/>
      <c r="H2791" s="56"/>
      <c r="I2791" s="56"/>
      <c r="J2791" s="56"/>
      <c r="K2791" s="56"/>
    </row>
    <row r="2792" spans="7:11" x14ac:dyDescent="0.2">
      <c r="G2792" s="56"/>
      <c r="H2792" s="56"/>
      <c r="I2792" s="56"/>
      <c r="J2792" s="56"/>
      <c r="K2792" s="56"/>
    </row>
    <row r="2793" spans="7:11" x14ac:dyDescent="0.2">
      <c r="G2793" s="56"/>
      <c r="H2793" s="56"/>
      <c r="I2793" s="56"/>
      <c r="J2793" s="56"/>
      <c r="K2793" s="56"/>
    </row>
    <row r="2794" spans="7:11" x14ac:dyDescent="0.2">
      <c r="G2794" s="56"/>
      <c r="H2794" s="56"/>
      <c r="I2794" s="56"/>
      <c r="J2794" s="56"/>
      <c r="K2794" s="56"/>
    </row>
    <row r="2795" spans="7:11" x14ac:dyDescent="0.2">
      <c r="G2795" s="56"/>
      <c r="H2795" s="56"/>
      <c r="I2795" s="56"/>
      <c r="J2795" s="56"/>
      <c r="K2795" s="56"/>
    </row>
    <row r="2796" spans="7:11" x14ac:dyDescent="0.2">
      <c r="G2796" s="56"/>
      <c r="H2796" s="56"/>
      <c r="I2796" s="56"/>
      <c r="J2796" s="56"/>
      <c r="K2796" s="56"/>
    </row>
    <row r="2797" spans="7:11" x14ac:dyDescent="0.2">
      <c r="G2797" s="56"/>
      <c r="H2797" s="56"/>
      <c r="I2797" s="56"/>
      <c r="J2797" s="56"/>
      <c r="K2797" s="56"/>
    </row>
    <row r="2798" spans="7:11" x14ac:dyDescent="0.2">
      <c r="G2798" s="56"/>
      <c r="H2798" s="56"/>
      <c r="I2798" s="56"/>
      <c r="J2798" s="56"/>
      <c r="K2798" s="56"/>
    </row>
    <row r="2799" spans="7:11" x14ac:dyDescent="0.2">
      <c r="G2799" s="56"/>
      <c r="H2799" s="56"/>
      <c r="I2799" s="56"/>
      <c r="J2799" s="56"/>
      <c r="K2799" s="56"/>
    </row>
    <row r="2800" spans="7:11" x14ac:dyDescent="0.2">
      <c r="G2800" s="56"/>
      <c r="H2800" s="56"/>
      <c r="I2800" s="56"/>
      <c r="J2800" s="56"/>
      <c r="K2800" s="56"/>
    </row>
    <row r="2801" spans="7:11" x14ac:dyDescent="0.2">
      <c r="G2801" s="56"/>
      <c r="H2801" s="56"/>
      <c r="I2801" s="56"/>
      <c r="J2801" s="56"/>
      <c r="K2801" s="56"/>
    </row>
    <row r="2802" spans="7:11" x14ac:dyDescent="0.2">
      <c r="G2802" s="56"/>
      <c r="H2802" s="56"/>
      <c r="I2802" s="56"/>
      <c r="J2802" s="56"/>
      <c r="K2802" s="56"/>
    </row>
    <row r="2803" spans="7:11" x14ac:dyDescent="0.2">
      <c r="G2803" s="56"/>
      <c r="H2803" s="56"/>
      <c r="I2803" s="56"/>
      <c r="J2803" s="56"/>
      <c r="K2803" s="56"/>
    </row>
    <row r="2804" spans="7:11" x14ac:dyDescent="0.2">
      <c r="G2804" s="56"/>
      <c r="H2804" s="56"/>
      <c r="I2804" s="56"/>
      <c r="J2804" s="56"/>
      <c r="K2804" s="56"/>
    </row>
    <row r="2805" spans="7:11" x14ac:dyDescent="0.2">
      <c r="G2805" s="56"/>
      <c r="H2805" s="56"/>
      <c r="I2805" s="56"/>
      <c r="J2805" s="56"/>
      <c r="K2805" s="56"/>
    </row>
    <row r="2806" spans="7:11" x14ac:dyDescent="0.2">
      <c r="G2806" s="56"/>
      <c r="H2806" s="56"/>
      <c r="I2806" s="56"/>
      <c r="J2806" s="56"/>
      <c r="K2806" s="56"/>
    </row>
    <row r="2807" spans="7:11" x14ac:dyDescent="0.2">
      <c r="G2807" s="56"/>
      <c r="H2807" s="56"/>
      <c r="I2807" s="56"/>
      <c r="J2807" s="56"/>
      <c r="K2807" s="56"/>
    </row>
    <row r="2808" spans="7:11" x14ac:dyDescent="0.2">
      <c r="G2808" s="56"/>
      <c r="H2808" s="56"/>
      <c r="I2808" s="56"/>
      <c r="J2808" s="56"/>
      <c r="K2808" s="56"/>
    </row>
    <row r="2809" spans="7:11" x14ac:dyDescent="0.2">
      <c r="G2809" s="56"/>
      <c r="H2809" s="56"/>
      <c r="I2809" s="56"/>
      <c r="J2809" s="56"/>
      <c r="K2809" s="56"/>
    </row>
    <row r="2810" spans="7:11" x14ac:dyDescent="0.2">
      <c r="G2810" s="56"/>
      <c r="H2810" s="56"/>
      <c r="I2810" s="56"/>
      <c r="J2810" s="56"/>
      <c r="K2810" s="56"/>
    </row>
    <row r="2811" spans="7:11" x14ac:dyDescent="0.2">
      <c r="G2811" s="56"/>
      <c r="H2811" s="56"/>
      <c r="I2811" s="56"/>
      <c r="J2811" s="56"/>
      <c r="K2811" s="56"/>
    </row>
    <row r="2812" spans="7:11" x14ac:dyDescent="0.2">
      <c r="G2812" s="56"/>
      <c r="H2812" s="56"/>
      <c r="I2812" s="56"/>
      <c r="J2812" s="56"/>
      <c r="K2812" s="56"/>
    </row>
    <row r="2813" spans="7:11" x14ac:dyDescent="0.2">
      <c r="G2813" s="56"/>
      <c r="H2813" s="56"/>
      <c r="I2813" s="56"/>
      <c r="J2813" s="56"/>
      <c r="K2813" s="56"/>
    </row>
    <row r="2814" spans="7:11" x14ac:dyDescent="0.2">
      <c r="G2814" s="56"/>
      <c r="H2814" s="56"/>
      <c r="I2814" s="56"/>
      <c r="J2814" s="56"/>
      <c r="K2814" s="56"/>
    </row>
    <row r="2815" spans="7:11" x14ac:dyDescent="0.2">
      <c r="G2815" s="56"/>
      <c r="H2815" s="56"/>
      <c r="I2815" s="56"/>
      <c r="J2815" s="56"/>
      <c r="K2815" s="56"/>
    </row>
    <row r="2816" spans="7:11" x14ac:dyDescent="0.2">
      <c r="G2816" s="56"/>
      <c r="H2816" s="56"/>
      <c r="I2816" s="56"/>
      <c r="J2816" s="56"/>
      <c r="K2816" s="56"/>
    </row>
    <row r="2817" spans="7:11" x14ac:dyDescent="0.2">
      <c r="G2817" s="56"/>
      <c r="H2817" s="56"/>
      <c r="I2817" s="56"/>
      <c r="J2817" s="56"/>
      <c r="K2817" s="56"/>
    </row>
    <row r="2818" spans="7:11" x14ac:dyDescent="0.2">
      <c r="G2818" s="56"/>
      <c r="H2818" s="56"/>
      <c r="I2818" s="56"/>
      <c r="J2818" s="56"/>
      <c r="K2818" s="56"/>
    </row>
    <row r="2819" spans="7:11" x14ac:dyDescent="0.2">
      <c r="G2819" s="56"/>
      <c r="H2819" s="56"/>
      <c r="I2819" s="56"/>
      <c r="J2819" s="56"/>
      <c r="K2819" s="56"/>
    </row>
    <row r="2820" spans="7:11" x14ac:dyDescent="0.2">
      <c r="G2820" s="56"/>
      <c r="H2820" s="56"/>
      <c r="I2820" s="56"/>
      <c r="J2820" s="56"/>
      <c r="K2820" s="56"/>
    </row>
    <row r="2821" spans="7:11" x14ac:dyDescent="0.2">
      <c r="G2821" s="56"/>
      <c r="H2821" s="56"/>
      <c r="I2821" s="56"/>
      <c r="J2821" s="56"/>
      <c r="K2821" s="56"/>
    </row>
    <row r="2822" spans="7:11" x14ac:dyDescent="0.2">
      <c r="G2822" s="56"/>
      <c r="H2822" s="56"/>
      <c r="I2822" s="56"/>
      <c r="J2822" s="56"/>
      <c r="K2822" s="56"/>
    </row>
    <row r="2823" spans="7:11" x14ac:dyDescent="0.2">
      <c r="G2823" s="56"/>
      <c r="H2823" s="56"/>
      <c r="I2823" s="56"/>
      <c r="J2823" s="56"/>
      <c r="K2823" s="56"/>
    </row>
    <row r="2824" spans="7:11" x14ac:dyDescent="0.2">
      <c r="G2824" s="56"/>
      <c r="H2824" s="56"/>
      <c r="I2824" s="56"/>
      <c r="J2824" s="56"/>
      <c r="K2824" s="56"/>
    </row>
    <row r="2825" spans="7:11" x14ac:dyDescent="0.2">
      <c r="G2825" s="56"/>
      <c r="H2825" s="56"/>
      <c r="I2825" s="56"/>
      <c r="J2825" s="56"/>
      <c r="K2825" s="56"/>
    </row>
    <row r="2826" spans="7:11" x14ac:dyDescent="0.2">
      <c r="G2826" s="56"/>
      <c r="H2826" s="56"/>
      <c r="I2826" s="56"/>
      <c r="J2826" s="56"/>
      <c r="K2826" s="56"/>
    </row>
    <row r="2827" spans="7:11" x14ac:dyDescent="0.2">
      <c r="G2827" s="56"/>
      <c r="H2827" s="56"/>
      <c r="I2827" s="56"/>
      <c r="J2827" s="56"/>
      <c r="K2827" s="56"/>
    </row>
    <row r="2828" spans="7:11" x14ac:dyDescent="0.2">
      <c r="G2828" s="56"/>
      <c r="H2828" s="56"/>
      <c r="I2828" s="56"/>
      <c r="J2828" s="56"/>
      <c r="K2828" s="56"/>
    </row>
    <row r="2829" spans="7:11" x14ac:dyDescent="0.2">
      <c r="G2829" s="56"/>
      <c r="H2829" s="56"/>
      <c r="I2829" s="56"/>
      <c r="J2829" s="56"/>
      <c r="K2829" s="56"/>
    </row>
    <row r="2830" spans="7:11" x14ac:dyDescent="0.2">
      <c r="G2830" s="56"/>
      <c r="H2830" s="56"/>
      <c r="I2830" s="56"/>
      <c r="J2830" s="56"/>
      <c r="K2830" s="56"/>
    </row>
    <row r="2831" spans="7:11" x14ac:dyDescent="0.2">
      <c r="G2831" s="56"/>
      <c r="H2831" s="56"/>
      <c r="I2831" s="56"/>
      <c r="J2831" s="56"/>
      <c r="K2831" s="56"/>
    </row>
    <row r="2832" spans="7:11" x14ac:dyDescent="0.2">
      <c r="G2832" s="56"/>
      <c r="H2832" s="56"/>
      <c r="I2832" s="56"/>
      <c r="J2832" s="56"/>
      <c r="K2832" s="56"/>
    </row>
    <row r="2833" spans="7:11" x14ac:dyDescent="0.2">
      <c r="G2833" s="56"/>
      <c r="H2833" s="56"/>
      <c r="I2833" s="56"/>
      <c r="J2833" s="56"/>
      <c r="K2833" s="56"/>
    </row>
    <row r="2834" spans="7:11" x14ac:dyDescent="0.2">
      <c r="G2834" s="56"/>
      <c r="H2834" s="56"/>
      <c r="I2834" s="56"/>
      <c r="J2834" s="56"/>
      <c r="K2834" s="56"/>
    </row>
    <row r="2835" spans="7:11" x14ac:dyDescent="0.2">
      <c r="G2835" s="56"/>
      <c r="H2835" s="56"/>
      <c r="I2835" s="56"/>
      <c r="J2835" s="56"/>
      <c r="K2835" s="56"/>
    </row>
    <row r="2836" spans="7:11" x14ac:dyDescent="0.2">
      <c r="G2836" s="56"/>
      <c r="H2836" s="56"/>
      <c r="I2836" s="56"/>
      <c r="J2836" s="56"/>
      <c r="K2836" s="56"/>
    </row>
    <row r="2837" spans="7:11" x14ac:dyDescent="0.2">
      <c r="G2837" s="56"/>
      <c r="H2837" s="56"/>
      <c r="I2837" s="56"/>
      <c r="J2837" s="56"/>
      <c r="K2837" s="56"/>
    </row>
    <row r="2838" spans="7:11" x14ac:dyDescent="0.2">
      <c r="G2838" s="56"/>
      <c r="H2838" s="56"/>
      <c r="I2838" s="56"/>
      <c r="J2838" s="56"/>
      <c r="K2838" s="56"/>
    </row>
    <row r="2839" spans="7:11" x14ac:dyDescent="0.2">
      <c r="G2839" s="56"/>
      <c r="H2839" s="56"/>
      <c r="I2839" s="56"/>
      <c r="J2839" s="56"/>
      <c r="K2839" s="56"/>
    </row>
    <row r="2840" spans="7:11" x14ac:dyDescent="0.2">
      <c r="G2840" s="56"/>
      <c r="H2840" s="56"/>
      <c r="I2840" s="56"/>
      <c r="J2840" s="56"/>
      <c r="K2840" s="56"/>
    </row>
    <row r="2841" spans="7:11" x14ac:dyDescent="0.2">
      <c r="G2841" s="56"/>
      <c r="H2841" s="56"/>
      <c r="I2841" s="56"/>
      <c r="J2841" s="56"/>
      <c r="K2841" s="56"/>
    </row>
    <row r="2842" spans="7:11" x14ac:dyDescent="0.2">
      <c r="G2842" s="56"/>
      <c r="H2842" s="56"/>
      <c r="I2842" s="56"/>
      <c r="J2842" s="56"/>
      <c r="K2842" s="56"/>
    </row>
    <row r="2843" spans="7:11" x14ac:dyDescent="0.2">
      <c r="G2843" s="56"/>
      <c r="H2843" s="56"/>
      <c r="I2843" s="56"/>
      <c r="J2843" s="56"/>
      <c r="K2843" s="56"/>
    </row>
    <row r="2844" spans="7:11" x14ac:dyDescent="0.2">
      <c r="G2844" s="56"/>
      <c r="H2844" s="56"/>
      <c r="I2844" s="56"/>
      <c r="J2844" s="56"/>
      <c r="K2844" s="56"/>
    </row>
    <row r="2845" spans="7:11" x14ac:dyDescent="0.2">
      <c r="G2845" s="56"/>
      <c r="H2845" s="56"/>
      <c r="I2845" s="56"/>
      <c r="J2845" s="56"/>
      <c r="K2845" s="56"/>
    </row>
    <row r="2846" spans="7:11" x14ac:dyDescent="0.2">
      <c r="G2846" s="56"/>
      <c r="H2846" s="56"/>
      <c r="I2846" s="56"/>
      <c r="J2846" s="56"/>
      <c r="K2846" s="56"/>
    </row>
    <row r="2847" spans="7:11" x14ac:dyDescent="0.2">
      <c r="G2847" s="56"/>
      <c r="H2847" s="56"/>
      <c r="I2847" s="56"/>
      <c r="J2847" s="56"/>
      <c r="K2847" s="56"/>
    </row>
    <row r="2848" spans="7:11" x14ac:dyDescent="0.2">
      <c r="G2848" s="56"/>
      <c r="H2848" s="56"/>
      <c r="I2848" s="56"/>
      <c r="J2848" s="56"/>
      <c r="K2848" s="56"/>
    </row>
    <row r="2849" spans="7:11" x14ac:dyDescent="0.2">
      <c r="G2849" s="56"/>
      <c r="H2849" s="56"/>
      <c r="I2849" s="56"/>
      <c r="J2849" s="56"/>
      <c r="K2849" s="56"/>
    </row>
    <row r="2850" spans="7:11" x14ac:dyDescent="0.2">
      <c r="G2850" s="56"/>
      <c r="H2850" s="56"/>
      <c r="I2850" s="56"/>
      <c r="J2850" s="56"/>
      <c r="K2850" s="56"/>
    </row>
    <row r="2851" spans="7:11" x14ac:dyDescent="0.2">
      <c r="G2851" s="56"/>
      <c r="H2851" s="56"/>
      <c r="I2851" s="56"/>
      <c r="J2851" s="56"/>
      <c r="K2851" s="56"/>
    </row>
    <row r="2852" spans="7:11" x14ac:dyDescent="0.2">
      <c r="G2852" s="56"/>
      <c r="H2852" s="56"/>
      <c r="I2852" s="56"/>
      <c r="J2852" s="56"/>
      <c r="K2852" s="56"/>
    </row>
    <row r="2853" spans="7:11" x14ac:dyDescent="0.2">
      <c r="G2853" s="56"/>
      <c r="H2853" s="56"/>
      <c r="I2853" s="56"/>
      <c r="J2853" s="56"/>
      <c r="K2853" s="56"/>
    </row>
    <row r="2854" spans="7:11" x14ac:dyDescent="0.2">
      <c r="G2854" s="56"/>
      <c r="H2854" s="56"/>
      <c r="I2854" s="56"/>
      <c r="J2854" s="56"/>
      <c r="K2854" s="56"/>
    </row>
    <row r="2855" spans="7:11" x14ac:dyDescent="0.2">
      <c r="G2855" s="56"/>
      <c r="H2855" s="56"/>
      <c r="I2855" s="56"/>
      <c r="J2855" s="56"/>
      <c r="K2855" s="56"/>
    </row>
    <row r="2856" spans="7:11" x14ac:dyDescent="0.2">
      <c r="G2856" s="56"/>
      <c r="H2856" s="56"/>
      <c r="I2856" s="56"/>
      <c r="J2856" s="56"/>
      <c r="K2856" s="56"/>
    </row>
    <row r="2857" spans="7:11" x14ac:dyDescent="0.2">
      <c r="G2857" s="56"/>
      <c r="H2857" s="56"/>
      <c r="I2857" s="56"/>
      <c r="J2857" s="56"/>
      <c r="K2857" s="56"/>
    </row>
    <row r="2858" spans="7:11" x14ac:dyDescent="0.2">
      <c r="G2858" s="56"/>
      <c r="H2858" s="56"/>
      <c r="I2858" s="56"/>
      <c r="J2858" s="56"/>
      <c r="K2858" s="56"/>
    </row>
    <row r="2859" spans="7:11" x14ac:dyDescent="0.2">
      <c r="G2859" s="56"/>
      <c r="H2859" s="56"/>
      <c r="I2859" s="56"/>
      <c r="J2859" s="56"/>
      <c r="K2859" s="56"/>
    </row>
    <row r="2860" spans="7:11" x14ac:dyDescent="0.2">
      <c r="G2860" s="56"/>
      <c r="H2860" s="56"/>
      <c r="I2860" s="56"/>
      <c r="J2860" s="56"/>
      <c r="K2860" s="56"/>
    </row>
    <row r="2861" spans="7:11" x14ac:dyDescent="0.2">
      <c r="G2861" s="56"/>
      <c r="H2861" s="56"/>
      <c r="I2861" s="56"/>
      <c r="J2861" s="56"/>
      <c r="K2861" s="56"/>
    </row>
    <row r="2862" spans="7:11" x14ac:dyDescent="0.2">
      <c r="G2862" s="56"/>
      <c r="H2862" s="56"/>
      <c r="I2862" s="56"/>
      <c r="J2862" s="56"/>
      <c r="K2862" s="56"/>
    </row>
    <row r="2863" spans="7:11" x14ac:dyDescent="0.2">
      <c r="G2863" s="56"/>
      <c r="H2863" s="56"/>
      <c r="I2863" s="56"/>
      <c r="J2863" s="56"/>
      <c r="K2863" s="56"/>
    </row>
    <row r="2864" spans="7:11" x14ac:dyDescent="0.2">
      <c r="G2864" s="56"/>
      <c r="H2864" s="56"/>
      <c r="I2864" s="56"/>
      <c r="J2864" s="56"/>
      <c r="K2864" s="56"/>
    </row>
    <row r="2865" spans="7:11" x14ac:dyDescent="0.2">
      <c r="G2865" s="56"/>
      <c r="H2865" s="56"/>
      <c r="I2865" s="56"/>
      <c r="J2865" s="56"/>
      <c r="K2865" s="56"/>
    </row>
    <row r="2866" spans="7:11" x14ac:dyDescent="0.2">
      <c r="G2866" s="56"/>
      <c r="H2866" s="56"/>
      <c r="I2866" s="56"/>
      <c r="J2866" s="56"/>
      <c r="K2866" s="56"/>
    </row>
    <row r="2867" spans="7:11" x14ac:dyDescent="0.2">
      <c r="G2867" s="56"/>
      <c r="H2867" s="56"/>
      <c r="I2867" s="56"/>
      <c r="J2867" s="56"/>
      <c r="K2867" s="56"/>
    </row>
    <row r="2868" spans="7:11" x14ac:dyDescent="0.2">
      <c r="G2868" s="56"/>
      <c r="H2868" s="56"/>
      <c r="I2868" s="56"/>
      <c r="J2868" s="56"/>
      <c r="K2868" s="56"/>
    </row>
    <row r="2869" spans="7:11" x14ac:dyDescent="0.2">
      <c r="G2869" s="56"/>
      <c r="H2869" s="56"/>
      <c r="I2869" s="56"/>
      <c r="J2869" s="56"/>
      <c r="K2869" s="56"/>
    </row>
    <row r="2870" spans="7:11" x14ac:dyDescent="0.2">
      <c r="G2870" s="56"/>
      <c r="H2870" s="56"/>
      <c r="I2870" s="56"/>
      <c r="J2870" s="56"/>
      <c r="K2870" s="56"/>
    </row>
    <row r="2871" spans="7:11" x14ac:dyDescent="0.2">
      <c r="G2871" s="56"/>
      <c r="H2871" s="56"/>
      <c r="I2871" s="56"/>
      <c r="J2871" s="56"/>
      <c r="K2871" s="56"/>
    </row>
    <row r="2872" spans="7:11" x14ac:dyDescent="0.2">
      <c r="G2872" s="56"/>
      <c r="H2872" s="56"/>
      <c r="I2872" s="56"/>
      <c r="J2872" s="56"/>
      <c r="K2872" s="56"/>
    </row>
    <row r="2873" spans="7:11" x14ac:dyDescent="0.2">
      <c r="G2873" s="56"/>
      <c r="H2873" s="56"/>
      <c r="I2873" s="56"/>
      <c r="J2873" s="56"/>
      <c r="K2873" s="56"/>
    </row>
    <row r="2874" spans="7:11" x14ac:dyDescent="0.2">
      <c r="G2874" s="56"/>
      <c r="H2874" s="56"/>
      <c r="I2874" s="56"/>
      <c r="J2874" s="56"/>
      <c r="K2874" s="56"/>
    </row>
    <row r="2875" spans="7:11" x14ac:dyDescent="0.2">
      <c r="G2875" s="56"/>
      <c r="H2875" s="56"/>
      <c r="I2875" s="56"/>
      <c r="J2875" s="56"/>
      <c r="K2875" s="56"/>
    </row>
    <row r="2876" spans="7:11" x14ac:dyDescent="0.2">
      <c r="G2876" s="56"/>
      <c r="H2876" s="56"/>
      <c r="I2876" s="56"/>
      <c r="J2876" s="56"/>
      <c r="K2876" s="56"/>
    </row>
    <row r="2877" spans="7:11" x14ac:dyDescent="0.2">
      <c r="G2877" s="56"/>
      <c r="H2877" s="56"/>
      <c r="I2877" s="56"/>
      <c r="J2877" s="56"/>
      <c r="K2877" s="56"/>
    </row>
    <row r="2878" spans="7:11" x14ac:dyDescent="0.2">
      <c r="G2878" s="56"/>
      <c r="H2878" s="56"/>
      <c r="I2878" s="56"/>
      <c r="J2878" s="56"/>
      <c r="K2878" s="56"/>
    </row>
    <row r="2879" spans="7:11" x14ac:dyDescent="0.2">
      <c r="G2879" s="56"/>
      <c r="H2879" s="56"/>
      <c r="I2879" s="56"/>
      <c r="J2879" s="56"/>
      <c r="K2879" s="56"/>
    </row>
    <row r="2880" spans="7:11" x14ac:dyDescent="0.2">
      <c r="G2880" s="56"/>
      <c r="H2880" s="56"/>
      <c r="I2880" s="56"/>
      <c r="J2880" s="56"/>
      <c r="K2880" s="56"/>
    </row>
    <row r="2881" spans="7:11" x14ac:dyDescent="0.2">
      <c r="G2881" s="56"/>
      <c r="H2881" s="56"/>
      <c r="I2881" s="56"/>
      <c r="J2881" s="56"/>
      <c r="K2881" s="56"/>
    </row>
    <row r="2882" spans="7:11" x14ac:dyDescent="0.2">
      <c r="G2882" s="56"/>
      <c r="H2882" s="56"/>
      <c r="I2882" s="56"/>
      <c r="J2882" s="56"/>
      <c r="K2882" s="56"/>
    </row>
    <row r="2883" spans="7:11" x14ac:dyDescent="0.2">
      <c r="G2883" s="56"/>
      <c r="H2883" s="56"/>
      <c r="I2883" s="56"/>
      <c r="J2883" s="56"/>
      <c r="K2883" s="56"/>
    </row>
    <row r="2884" spans="7:11" x14ac:dyDescent="0.2">
      <c r="G2884" s="56"/>
      <c r="H2884" s="56"/>
      <c r="I2884" s="56"/>
      <c r="J2884" s="56"/>
      <c r="K2884" s="56"/>
    </row>
    <row r="2885" spans="7:11" x14ac:dyDescent="0.2">
      <c r="G2885" s="56"/>
      <c r="H2885" s="56"/>
      <c r="I2885" s="56"/>
      <c r="J2885" s="56"/>
      <c r="K2885" s="56"/>
    </row>
    <row r="2886" spans="7:11" x14ac:dyDescent="0.2">
      <c r="G2886" s="56"/>
      <c r="H2886" s="56"/>
      <c r="I2886" s="56"/>
      <c r="J2886" s="56"/>
      <c r="K2886" s="56"/>
    </row>
    <row r="2887" spans="7:11" x14ac:dyDescent="0.2">
      <c r="G2887" s="56"/>
      <c r="H2887" s="56"/>
      <c r="I2887" s="56"/>
      <c r="J2887" s="56"/>
      <c r="K2887" s="56"/>
    </row>
    <row r="2888" spans="7:11" x14ac:dyDescent="0.2">
      <c r="G2888" s="56"/>
      <c r="H2888" s="56"/>
      <c r="I2888" s="56"/>
      <c r="J2888" s="56"/>
      <c r="K2888" s="56"/>
    </row>
    <row r="2889" spans="7:11" x14ac:dyDescent="0.2">
      <c r="G2889" s="56"/>
      <c r="H2889" s="56"/>
      <c r="I2889" s="56"/>
      <c r="J2889" s="56"/>
      <c r="K2889" s="56"/>
    </row>
    <row r="2890" spans="7:11" x14ac:dyDescent="0.2">
      <c r="G2890" s="56"/>
      <c r="H2890" s="56"/>
      <c r="I2890" s="56"/>
      <c r="J2890" s="56"/>
      <c r="K2890" s="56"/>
    </row>
    <row r="2891" spans="7:11" x14ac:dyDescent="0.2">
      <c r="G2891" s="56"/>
      <c r="H2891" s="56"/>
      <c r="I2891" s="56"/>
      <c r="J2891" s="56"/>
      <c r="K2891" s="56"/>
    </row>
    <row r="2892" spans="7:11" x14ac:dyDescent="0.2">
      <c r="G2892" s="56"/>
      <c r="H2892" s="56"/>
      <c r="I2892" s="56"/>
      <c r="J2892" s="56"/>
      <c r="K2892" s="56"/>
    </row>
    <row r="2893" spans="7:11" x14ac:dyDescent="0.2">
      <c r="G2893" s="56"/>
      <c r="H2893" s="56"/>
      <c r="I2893" s="56"/>
      <c r="J2893" s="56"/>
      <c r="K2893" s="56"/>
    </row>
    <row r="2894" spans="7:11" x14ac:dyDescent="0.2">
      <c r="G2894" s="56"/>
      <c r="H2894" s="56"/>
      <c r="I2894" s="56"/>
      <c r="J2894" s="56"/>
      <c r="K2894" s="56"/>
    </row>
    <row r="2895" spans="7:11" x14ac:dyDescent="0.2">
      <c r="G2895" s="56"/>
      <c r="H2895" s="56"/>
      <c r="I2895" s="56"/>
      <c r="J2895" s="56"/>
      <c r="K2895" s="56"/>
    </row>
    <row r="2896" spans="7:11" x14ac:dyDescent="0.2">
      <c r="G2896" s="56"/>
      <c r="H2896" s="56"/>
      <c r="I2896" s="56"/>
      <c r="J2896" s="56"/>
      <c r="K2896" s="56"/>
    </row>
    <row r="2897" spans="7:11" x14ac:dyDescent="0.2">
      <c r="G2897" s="56"/>
      <c r="H2897" s="56"/>
      <c r="I2897" s="56"/>
      <c r="J2897" s="56"/>
      <c r="K2897" s="56"/>
    </row>
    <row r="2898" spans="7:11" x14ac:dyDescent="0.2">
      <c r="G2898" s="56"/>
      <c r="H2898" s="56"/>
      <c r="I2898" s="56"/>
      <c r="J2898" s="56"/>
      <c r="K2898" s="56"/>
    </row>
    <row r="2899" spans="7:11" x14ac:dyDescent="0.2">
      <c r="G2899" s="56"/>
      <c r="H2899" s="56"/>
      <c r="I2899" s="56"/>
      <c r="J2899" s="56"/>
      <c r="K2899" s="56"/>
    </row>
    <row r="2900" spans="7:11" x14ac:dyDescent="0.2">
      <c r="G2900" s="56"/>
      <c r="H2900" s="56"/>
      <c r="I2900" s="56"/>
      <c r="J2900" s="56"/>
      <c r="K2900" s="56"/>
    </row>
    <row r="2901" spans="7:11" x14ac:dyDescent="0.2">
      <c r="G2901" s="56"/>
      <c r="H2901" s="56"/>
      <c r="I2901" s="56"/>
      <c r="J2901" s="56"/>
      <c r="K2901" s="56"/>
    </row>
    <row r="2902" spans="7:11" x14ac:dyDescent="0.2">
      <c r="G2902" s="56"/>
      <c r="H2902" s="56"/>
      <c r="I2902" s="56"/>
      <c r="J2902" s="56"/>
      <c r="K2902" s="56"/>
    </row>
    <row r="2903" spans="7:11" x14ac:dyDescent="0.2">
      <c r="G2903" s="56"/>
      <c r="H2903" s="56"/>
      <c r="I2903" s="56"/>
      <c r="J2903" s="56"/>
      <c r="K2903" s="56"/>
    </row>
    <row r="2904" spans="7:11" x14ac:dyDescent="0.2">
      <c r="G2904" s="56"/>
      <c r="H2904" s="56"/>
      <c r="I2904" s="56"/>
      <c r="J2904" s="56"/>
      <c r="K2904" s="56"/>
    </row>
    <row r="2905" spans="7:11" x14ac:dyDescent="0.2">
      <c r="G2905" s="56"/>
      <c r="H2905" s="56"/>
      <c r="I2905" s="56"/>
      <c r="J2905" s="56"/>
      <c r="K2905" s="56"/>
    </row>
    <row r="2906" spans="7:11" x14ac:dyDescent="0.2">
      <c r="G2906" s="56"/>
      <c r="H2906" s="56"/>
      <c r="I2906" s="56"/>
      <c r="J2906" s="56"/>
      <c r="K2906" s="56"/>
    </row>
    <row r="2907" spans="7:11" x14ac:dyDescent="0.2">
      <c r="G2907" s="56"/>
      <c r="H2907" s="56"/>
      <c r="I2907" s="56"/>
      <c r="J2907" s="56"/>
      <c r="K2907" s="56"/>
    </row>
    <row r="2908" spans="7:11" x14ac:dyDescent="0.2">
      <c r="G2908" s="56"/>
      <c r="H2908" s="56"/>
      <c r="I2908" s="56"/>
      <c r="J2908" s="56"/>
      <c r="K2908" s="56"/>
    </row>
    <row r="2909" spans="7:11" x14ac:dyDescent="0.2">
      <c r="G2909" s="56"/>
      <c r="H2909" s="56"/>
      <c r="I2909" s="56"/>
      <c r="J2909" s="56"/>
      <c r="K2909" s="56"/>
    </row>
    <row r="2910" spans="7:11" x14ac:dyDescent="0.2">
      <c r="G2910" s="56"/>
      <c r="H2910" s="56"/>
      <c r="I2910" s="56"/>
      <c r="J2910" s="56"/>
      <c r="K2910" s="56"/>
    </row>
    <row r="2911" spans="7:11" x14ac:dyDescent="0.2">
      <c r="G2911" s="56"/>
      <c r="H2911" s="56"/>
      <c r="I2911" s="56"/>
      <c r="J2911" s="56"/>
      <c r="K2911" s="56"/>
    </row>
    <row r="2912" spans="7:11" x14ac:dyDescent="0.2">
      <c r="G2912" s="56"/>
      <c r="H2912" s="56"/>
      <c r="I2912" s="56"/>
      <c r="J2912" s="56"/>
      <c r="K2912" s="56"/>
    </row>
    <row r="2913" spans="7:11" x14ac:dyDescent="0.2">
      <c r="G2913" s="56"/>
      <c r="H2913" s="56"/>
      <c r="I2913" s="56"/>
      <c r="J2913" s="56"/>
      <c r="K2913" s="56"/>
    </row>
    <row r="2914" spans="7:11" x14ac:dyDescent="0.2">
      <c r="G2914" s="56"/>
      <c r="H2914" s="56"/>
      <c r="I2914" s="56"/>
      <c r="J2914" s="56"/>
      <c r="K2914" s="56"/>
    </row>
    <row r="2915" spans="7:11" x14ac:dyDescent="0.2">
      <c r="G2915" s="56"/>
      <c r="H2915" s="56"/>
      <c r="I2915" s="56"/>
      <c r="J2915" s="56"/>
      <c r="K2915" s="56"/>
    </row>
    <row r="2916" spans="7:11" x14ac:dyDescent="0.2">
      <c r="G2916" s="56"/>
      <c r="H2916" s="56"/>
      <c r="I2916" s="56"/>
      <c r="J2916" s="56"/>
      <c r="K2916" s="56"/>
    </row>
    <row r="2917" spans="7:11" x14ac:dyDescent="0.2">
      <c r="G2917" s="56"/>
      <c r="H2917" s="56"/>
      <c r="I2917" s="56"/>
      <c r="J2917" s="56"/>
      <c r="K2917" s="56"/>
    </row>
    <row r="2918" spans="7:11" x14ac:dyDescent="0.2">
      <c r="G2918" s="56"/>
      <c r="H2918" s="56"/>
      <c r="I2918" s="56"/>
      <c r="J2918" s="56"/>
      <c r="K2918" s="56"/>
    </row>
    <row r="2919" spans="7:11" x14ac:dyDescent="0.2">
      <c r="G2919" s="56"/>
      <c r="H2919" s="56"/>
      <c r="I2919" s="56"/>
      <c r="J2919" s="56"/>
      <c r="K2919" s="56"/>
    </row>
    <row r="2920" spans="7:11" x14ac:dyDescent="0.2">
      <c r="G2920" s="56"/>
      <c r="H2920" s="56"/>
      <c r="I2920" s="56"/>
      <c r="J2920" s="56"/>
      <c r="K2920" s="56"/>
    </row>
    <row r="2921" spans="7:11" x14ac:dyDescent="0.2">
      <c r="G2921" s="56"/>
      <c r="H2921" s="56"/>
      <c r="I2921" s="56"/>
      <c r="J2921" s="56"/>
      <c r="K2921" s="56"/>
    </row>
    <row r="2922" spans="7:11" x14ac:dyDescent="0.2">
      <c r="G2922" s="56"/>
      <c r="H2922" s="56"/>
      <c r="I2922" s="56"/>
      <c r="J2922" s="56"/>
      <c r="K2922" s="56"/>
    </row>
    <row r="2923" spans="7:11" x14ac:dyDescent="0.2">
      <c r="G2923" s="56"/>
      <c r="H2923" s="56"/>
      <c r="I2923" s="56"/>
      <c r="J2923" s="56"/>
      <c r="K2923" s="56"/>
    </row>
    <row r="2924" spans="7:11" x14ac:dyDescent="0.2">
      <c r="G2924" s="56"/>
      <c r="H2924" s="56"/>
      <c r="I2924" s="56"/>
      <c r="J2924" s="56"/>
      <c r="K2924" s="56"/>
    </row>
    <row r="2925" spans="7:11" x14ac:dyDescent="0.2">
      <c r="G2925" s="56"/>
      <c r="H2925" s="56"/>
      <c r="I2925" s="56"/>
      <c r="J2925" s="56"/>
      <c r="K2925" s="56"/>
    </row>
    <row r="2926" spans="7:11" x14ac:dyDescent="0.2">
      <c r="G2926" s="56"/>
      <c r="H2926" s="56"/>
      <c r="I2926" s="56"/>
      <c r="J2926" s="56"/>
      <c r="K2926" s="56"/>
    </row>
    <row r="2927" spans="7:11" x14ac:dyDescent="0.2">
      <c r="G2927" s="56"/>
      <c r="H2927" s="56"/>
      <c r="I2927" s="56"/>
      <c r="J2927" s="56"/>
      <c r="K2927" s="56"/>
    </row>
    <row r="2928" spans="7:11" x14ac:dyDescent="0.2">
      <c r="G2928" s="56"/>
      <c r="H2928" s="56"/>
      <c r="I2928" s="56"/>
      <c r="J2928" s="56"/>
      <c r="K2928" s="56"/>
    </row>
    <row r="2929" spans="7:11" x14ac:dyDescent="0.2">
      <c r="G2929" s="56"/>
      <c r="H2929" s="56"/>
      <c r="I2929" s="56"/>
      <c r="J2929" s="56"/>
      <c r="K2929" s="56"/>
    </row>
    <row r="2930" spans="7:11" x14ac:dyDescent="0.2">
      <c r="G2930" s="56"/>
      <c r="H2930" s="56"/>
      <c r="I2930" s="56"/>
      <c r="J2930" s="56"/>
      <c r="K2930" s="56"/>
    </row>
    <row r="2931" spans="7:11" x14ac:dyDescent="0.2">
      <c r="G2931" s="56"/>
      <c r="H2931" s="56"/>
      <c r="I2931" s="56"/>
      <c r="J2931" s="56"/>
      <c r="K2931" s="56"/>
    </row>
    <row r="2932" spans="7:11" x14ac:dyDescent="0.2">
      <c r="G2932" s="56"/>
      <c r="H2932" s="56"/>
      <c r="I2932" s="56"/>
      <c r="J2932" s="56"/>
      <c r="K2932" s="56"/>
    </row>
    <row r="2933" spans="7:11" x14ac:dyDescent="0.2">
      <c r="G2933" s="56"/>
      <c r="H2933" s="56"/>
      <c r="I2933" s="56"/>
      <c r="J2933" s="56"/>
      <c r="K2933" s="56"/>
    </row>
    <row r="2934" spans="7:11" x14ac:dyDescent="0.2">
      <c r="G2934" s="56"/>
      <c r="H2934" s="56"/>
      <c r="I2934" s="56"/>
      <c r="J2934" s="56"/>
      <c r="K2934" s="56"/>
    </row>
    <row r="2935" spans="7:11" x14ac:dyDescent="0.2">
      <c r="G2935" s="56"/>
      <c r="H2935" s="56"/>
      <c r="I2935" s="56"/>
      <c r="J2935" s="56"/>
      <c r="K2935" s="56"/>
    </row>
    <row r="2936" spans="7:11" x14ac:dyDescent="0.2">
      <c r="G2936" s="56"/>
      <c r="H2936" s="56"/>
      <c r="I2936" s="56"/>
      <c r="J2936" s="56"/>
      <c r="K2936" s="56"/>
    </row>
    <row r="2937" spans="7:11" x14ac:dyDescent="0.2">
      <c r="G2937" s="56"/>
      <c r="H2937" s="56"/>
      <c r="I2937" s="56"/>
      <c r="J2937" s="56"/>
      <c r="K2937" s="56"/>
    </row>
    <row r="2938" spans="7:11" x14ac:dyDescent="0.2">
      <c r="G2938" s="56"/>
      <c r="H2938" s="56"/>
      <c r="I2938" s="56"/>
      <c r="J2938" s="56"/>
      <c r="K2938" s="56"/>
    </row>
    <row r="2939" spans="7:11" x14ac:dyDescent="0.2">
      <c r="G2939" s="56"/>
      <c r="H2939" s="56"/>
      <c r="I2939" s="56"/>
      <c r="J2939" s="56"/>
      <c r="K2939" s="56"/>
    </row>
    <row r="2940" spans="7:11" x14ac:dyDescent="0.2">
      <c r="G2940" s="56"/>
      <c r="H2940" s="56"/>
      <c r="I2940" s="56"/>
      <c r="J2940" s="56"/>
      <c r="K2940" s="56"/>
    </row>
    <row r="2941" spans="7:11" x14ac:dyDescent="0.2">
      <c r="G2941" s="56"/>
      <c r="H2941" s="56"/>
      <c r="I2941" s="56"/>
      <c r="J2941" s="56"/>
      <c r="K2941" s="56"/>
    </row>
    <row r="2942" spans="7:11" x14ac:dyDescent="0.2">
      <c r="G2942" s="56"/>
      <c r="H2942" s="56"/>
      <c r="I2942" s="56"/>
      <c r="J2942" s="56"/>
      <c r="K2942" s="56"/>
    </row>
    <row r="2943" spans="7:11" x14ac:dyDescent="0.2">
      <c r="G2943" s="56"/>
      <c r="H2943" s="56"/>
      <c r="I2943" s="56"/>
      <c r="J2943" s="56"/>
      <c r="K2943" s="56"/>
    </row>
    <row r="2944" spans="7:11" x14ac:dyDescent="0.2">
      <c r="G2944" s="56"/>
      <c r="H2944" s="56"/>
      <c r="I2944" s="56"/>
      <c r="J2944" s="56"/>
      <c r="K2944" s="56"/>
    </row>
    <row r="2945" spans="7:11" x14ac:dyDescent="0.2">
      <c r="G2945" s="56"/>
      <c r="H2945" s="56"/>
      <c r="I2945" s="56"/>
      <c r="J2945" s="56"/>
      <c r="K2945" s="56"/>
    </row>
    <row r="2946" spans="7:11" x14ac:dyDescent="0.2">
      <c r="G2946" s="56"/>
      <c r="H2946" s="56"/>
      <c r="I2946" s="56"/>
      <c r="J2946" s="56"/>
      <c r="K2946" s="56"/>
    </row>
    <row r="2947" spans="7:11" x14ac:dyDescent="0.2">
      <c r="G2947" s="56"/>
      <c r="H2947" s="56"/>
      <c r="I2947" s="56"/>
      <c r="J2947" s="56"/>
      <c r="K2947" s="56"/>
    </row>
    <row r="2948" spans="7:11" x14ac:dyDescent="0.2">
      <c r="G2948" s="56"/>
      <c r="H2948" s="56"/>
      <c r="I2948" s="56"/>
      <c r="J2948" s="56"/>
      <c r="K2948" s="56"/>
    </row>
    <row r="2949" spans="7:11" x14ac:dyDescent="0.2">
      <c r="G2949" s="56"/>
      <c r="H2949" s="56"/>
      <c r="I2949" s="56"/>
      <c r="J2949" s="56"/>
      <c r="K2949" s="56"/>
    </row>
    <row r="2950" spans="7:11" x14ac:dyDescent="0.2">
      <c r="G2950" s="56"/>
      <c r="H2950" s="56"/>
      <c r="I2950" s="56"/>
      <c r="J2950" s="56"/>
      <c r="K2950" s="56"/>
    </row>
    <row r="2951" spans="7:11" x14ac:dyDescent="0.2">
      <c r="G2951" s="56"/>
      <c r="H2951" s="56"/>
      <c r="I2951" s="56"/>
      <c r="J2951" s="56"/>
      <c r="K2951" s="56"/>
    </row>
    <row r="2952" spans="7:11" x14ac:dyDescent="0.2">
      <c r="G2952" s="56"/>
      <c r="H2952" s="56"/>
      <c r="I2952" s="56"/>
      <c r="J2952" s="56"/>
      <c r="K2952" s="56"/>
    </row>
    <row r="2953" spans="7:11" x14ac:dyDescent="0.2">
      <c r="G2953" s="56"/>
      <c r="H2953" s="56"/>
      <c r="I2953" s="56"/>
      <c r="J2953" s="56"/>
      <c r="K2953" s="56"/>
    </row>
    <row r="2954" spans="7:11" x14ac:dyDescent="0.2">
      <c r="G2954" s="56"/>
      <c r="H2954" s="56"/>
      <c r="I2954" s="56"/>
      <c r="J2954" s="56"/>
      <c r="K2954" s="56"/>
    </row>
    <row r="2955" spans="7:11" x14ac:dyDescent="0.2">
      <c r="G2955" s="56"/>
      <c r="H2955" s="56"/>
      <c r="I2955" s="56"/>
      <c r="J2955" s="56"/>
      <c r="K2955" s="56"/>
    </row>
    <row r="2956" spans="7:11" x14ac:dyDescent="0.2">
      <c r="G2956" s="56"/>
      <c r="H2956" s="56"/>
      <c r="I2956" s="56"/>
      <c r="J2956" s="56"/>
      <c r="K2956" s="56"/>
    </row>
    <row r="2957" spans="7:11" x14ac:dyDescent="0.2">
      <c r="G2957" s="56"/>
      <c r="H2957" s="56"/>
      <c r="I2957" s="56"/>
      <c r="J2957" s="56"/>
      <c r="K2957" s="56"/>
    </row>
    <row r="2958" spans="7:11" x14ac:dyDescent="0.2">
      <c r="G2958" s="56"/>
      <c r="H2958" s="56"/>
      <c r="I2958" s="56"/>
      <c r="J2958" s="56"/>
      <c r="K2958" s="56"/>
    </row>
    <row r="2959" spans="7:11" x14ac:dyDescent="0.2">
      <c r="G2959" s="56"/>
      <c r="H2959" s="56"/>
      <c r="I2959" s="56"/>
      <c r="J2959" s="56"/>
      <c r="K2959" s="56"/>
    </row>
    <row r="2960" spans="7:11" x14ac:dyDescent="0.2">
      <c r="G2960" s="56"/>
      <c r="H2960" s="56"/>
      <c r="I2960" s="56"/>
      <c r="J2960" s="56"/>
      <c r="K2960" s="56"/>
    </row>
    <row r="2961" spans="7:11" x14ac:dyDescent="0.2">
      <c r="G2961" s="56"/>
      <c r="H2961" s="56"/>
      <c r="I2961" s="56"/>
      <c r="J2961" s="56"/>
      <c r="K2961" s="56"/>
    </row>
    <row r="2962" spans="7:11" x14ac:dyDescent="0.2">
      <c r="G2962" s="56"/>
      <c r="H2962" s="56"/>
      <c r="I2962" s="56"/>
      <c r="J2962" s="56"/>
      <c r="K2962" s="56"/>
    </row>
    <row r="2963" spans="7:11" x14ac:dyDescent="0.2">
      <c r="G2963" s="56"/>
      <c r="H2963" s="56"/>
      <c r="I2963" s="56"/>
      <c r="J2963" s="56"/>
      <c r="K2963" s="56"/>
    </row>
    <row r="2964" spans="7:11" x14ac:dyDescent="0.2">
      <c r="G2964" s="56"/>
      <c r="H2964" s="56"/>
      <c r="I2964" s="56"/>
      <c r="J2964" s="56"/>
      <c r="K2964" s="56"/>
    </row>
    <row r="2965" spans="7:11" x14ac:dyDescent="0.2">
      <c r="G2965" s="56"/>
      <c r="H2965" s="56"/>
      <c r="I2965" s="56"/>
      <c r="J2965" s="56"/>
      <c r="K2965" s="56"/>
    </row>
    <row r="2966" spans="7:11" x14ac:dyDescent="0.2">
      <c r="G2966" s="56"/>
      <c r="H2966" s="56"/>
      <c r="I2966" s="56"/>
      <c r="J2966" s="56"/>
      <c r="K2966" s="56"/>
    </row>
    <row r="2967" spans="7:11" x14ac:dyDescent="0.2">
      <c r="G2967" s="56"/>
      <c r="H2967" s="56"/>
      <c r="I2967" s="56"/>
      <c r="J2967" s="56"/>
      <c r="K2967" s="56"/>
    </row>
    <row r="2968" spans="7:11" x14ac:dyDescent="0.2">
      <c r="G2968" s="56"/>
      <c r="H2968" s="56"/>
      <c r="I2968" s="56"/>
      <c r="J2968" s="56"/>
      <c r="K2968" s="56"/>
    </row>
    <row r="2969" spans="7:11" x14ac:dyDescent="0.2">
      <c r="G2969" s="56"/>
      <c r="H2969" s="56"/>
      <c r="I2969" s="56"/>
      <c r="J2969" s="56"/>
      <c r="K2969" s="56"/>
    </row>
    <row r="2970" spans="7:11" x14ac:dyDescent="0.2">
      <c r="G2970" s="56"/>
      <c r="H2970" s="56"/>
      <c r="I2970" s="56"/>
      <c r="J2970" s="56"/>
      <c r="K2970" s="56"/>
    </row>
    <row r="2971" spans="7:11" x14ac:dyDescent="0.2">
      <c r="G2971" s="56"/>
      <c r="H2971" s="56"/>
      <c r="I2971" s="56"/>
      <c r="J2971" s="56"/>
      <c r="K2971" s="56"/>
    </row>
    <row r="2972" spans="7:11" x14ac:dyDescent="0.2">
      <c r="G2972" s="56"/>
      <c r="H2972" s="56"/>
      <c r="I2972" s="56"/>
      <c r="J2972" s="56"/>
      <c r="K2972" s="56"/>
    </row>
    <row r="2973" spans="7:11" x14ac:dyDescent="0.2">
      <c r="G2973" s="56"/>
      <c r="H2973" s="56"/>
      <c r="I2973" s="56"/>
      <c r="J2973" s="56"/>
      <c r="K2973" s="56"/>
    </row>
    <row r="2974" spans="7:11" x14ac:dyDescent="0.2">
      <c r="G2974" s="56"/>
      <c r="H2974" s="56"/>
      <c r="I2974" s="56"/>
      <c r="J2974" s="56"/>
      <c r="K2974" s="56"/>
    </row>
    <row r="2975" spans="7:11" x14ac:dyDescent="0.2">
      <c r="G2975" s="56"/>
      <c r="H2975" s="56"/>
      <c r="I2975" s="56"/>
      <c r="J2975" s="56"/>
      <c r="K2975" s="56"/>
    </row>
    <row r="2976" spans="7:11" x14ac:dyDescent="0.2">
      <c r="G2976" s="56"/>
      <c r="H2976" s="56"/>
      <c r="I2976" s="56"/>
      <c r="J2976" s="56"/>
      <c r="K2976" s="56"/>
    </row>
    <row r="2977" spans="7:11" x14ac:dyDescent="0.2">
      <c r="G2977" s="56"/>
      <c r="H2977" s="56"/>
      <c r="I2977" s="56"/>
      <c r="J2977" s="56"/>
      <c r="K2977" s="56"/>
    </row>
    <row r="2978" spans="7:11" x14ac:dyDescent="0.2">
      <c r="G2978" s="56"/>
      <c r="H2978" s="56"/>
      <c r="I2978" s="56"/>
      <c r="J2978" s="56"/>
      <c r="K2978" s="56"/>
    </row>
    <row r="2979" spans="7:11" x14ac:dyDescent="0.2">
      <c r="G2979" s="56"/>
      <c r="H2979" s="56"/>
      <c r="I2979" s="56"/>
      <c r="J2979" s="56"/>
      <c r="K2979" s="56"/>
    </row>
    <row r="2980" spans="7:11" x14ac:dyDescent="0.2">
      <c r="G2980" s="56"/>
      <c r="H2980" s="56"/>
      <c r="I2980" s="56"/>
      <c r="J2980" s="56"/>
      <c r="K2980" s="56"/>
    </row>
    <row r="2981" spans="7:11" x14ac:dyDescent="0.2">
      <c r="G2981" s="56"/>
      <c r="H2981" s="56"/>
      <c r="I2981" s="56"/>
      <c r="J2981" s="56"/>
      <c r="K2981" s="56"/>
    </row>
    <row r="2982" spans="7:11" x14ac:dyDescent="0.2">
      <c r="G2982" s="56"/>
      <c r="H2982" s="56"/>
      <c r="I2982" s="56"/>
      <c r="J2982" s="56"/>
      <c r="K2982" s="56"/>
    </row>
    <row r="2983" spans="7:11" x14ac:dyDescent="0.2">
      <c r="G2983" s="56"/>
      <c r="H2983" s="56"/>
      <c r="I2983" s="56"/>
      <c r="J2983" s="56"/>
      <c r="K2983" s="56"/>
    </row>
    <row r="2984" spans="7:11" x14ac:dyDescent="0.2">
      <c r="G2984" s="56"/>
      <c r="H2984" s="56"/>
      <c r="I2984" s="56"/>
      <c r="J2984" s="56"/>
      <c r="K2984" s="56"/>
    </row>
    <row r="2985" spans="7:11" x14ac:dyDescent="0.2">
      <c r="G2985" s="56"/>
      <c r="H2985" s="56"/>
      <c r="I2985" s="56"/>
      <c r="J2985" s="56"/>
      <c r="K2985" s="56"/>
    </row>
    <row r="2986" spans="7:11" x14ac:dyDescent="0.2">
      <c r="G2986" s="56"/>
      <c r="H2986" s="56"/>
      <c r="I2986" s="56"/>
      <c r="J2986" s="56"/>
      <c r="K2986" s="56"/>
    </row>
    <row r="2987" spans="7:11" x14ac:dyDescent="0.2">
      <c r="G2987" s="56"/>
      <c r="H2987" s="56"/>
      <c r="I2987" s="56"/>
      <c r="J2987" s="56"/>
      <c r="K2987" s="56"/>
    </row>
    <row r="2988" spans="7:11" x14ac:dyDescent="0.2">
      <c r="G2988" s="56"/>
      <c r="H2988" s="56"/>
      <c r="I2988" s="56"/>
      <c r="J2988" s="56"/>
      <c r="K2988" s="56"/>
    </row>
    <row r="2989" spans="7:11" x14ac:dyDescent="0.2">
      <c r="G2989" s="56"/>
      <c r="H2989" s="56"/>
      <c r="I2989" s="56"/>
      <c r="J2989" s="56"/>
      <c r="K2989" s="56"/>
    </row>
    <row r="2990" spans="7:11" x14ac:dyDescent="0.2">
      <c r="G2990" s="56"/>
      <c r="H2990" s="56"/>
      <c r="I2990" s="56"/>
      <c r="J2990" s="56"/>
      <c r="K2990" s="56"/>
    </row>
    <row r="2991" spans="7:11" x14ac:dyDescent="0.2">
      <c r="G2991" s="56"/>
      <c r="H2991" s="56"/>
      <c r="I2991" s="56"/>
      <c r="J2991" s="56"/>
      <c r="K2991" s="56"/>
    </row>
    <row r="2992" spans="7:11" x14ac:dyDescent="0.2">
      <c r="G2992" s="56"/>
      <c r="H2992" s="56"/>
      <c r="I2992" s="56"/>
      <c r="J2992" s="56"/>
      <c r="K2992" s="56"/>
    </row>
    <row r="2993" spans="6:11" x14ac:dyDescent="0.2">
      <c r="G2993" s="56"/>
      <c r="H2993" s="56"/>
      <c r="I2993" s="56"/>
      <c r="J2993" s="56"/>
      <c r="K2993" s="56"/>
    </row>
    <row r="2994" spans="6:11" x14ac:dyDescent="0.2">
      <c r="G2994" s="56"/>
      <c r="H2994" s="56"/>
      <c r="I2994" s="56"/>
      <c r="J2994" s="56"/>
      <c r="K2994" s="56"/>
    </row>
    <row r="2995" spans="6:11" x14ac:dyDescent="0.2">
      <c r="G2995" s="56"/>
      <c r="H2995" s="56"/>
      <c r="I2995" s="56"/>
      <c r="J2995" s="56"/>
      <c r="K2995" s="56"/>
    </row>
    <row r="2996" spans="6:11" x14ac:dyDescent="0.2">
      <c r="G2996" s="56"/>
      <c r="H2996" s="56"/>
      <c r="I2996" s="56"/>
      <c r="J2996" s="56"/>
      <c r="K2996" s="56"/>
    </row>
    <row r="2997" spans="6:11" x14ac:dyDescent="0.2">
      <c r="G2997" s="56"/>
      <c r="H2997" s="56"/>
      <c r="I2997" s="56"/>
      <c r="J2997" s="56"/>
      <c r="K2997" s="56"/>
    </row>
    <row r="2998" spans="6:11" x14ac:dyDescent="0.2">
      <c r="G2998" s="56"/>
      <c r="H2998" s="56"/>
      <c r="I2998" s="56"/>
      <c r="J2998" s="56"/>
      <c r="K2998" s="56"/>
    </row>
    <row r="2999" spans="6:11" x14ac:dyDescent="0.2">
      <c r="G2999" s="56"/>
      <c r="H2999" s="56"/>
      <c r="I2999" s="56"/>
      <c r="J2999" s="56"/>
      <c r="K2999" s="56"/>
    </row>
    <row r="3000" spans="6:11" x14ac:dyDescent="0.2">
      <c r="G3000" s="56"/>
      <c r="H3000" s="56"/>
      <c r="I3000" s="56"/>
      <c r="J3000" s="56"/>
      <c r="K3000" s="56"/>
    </row>
    <row r="3001" spans="6:11" x14ac:dyDescent="0.2">
      <c r="G3001" s="56"/>
      <c r="H3001" s="56"/>
      <c r="I3001" s="56"/>
      <c r="J3001" s="56"/>
      <c r="K3001" s="56"/>
    </row>
    <row r="3002" spans="6:11" x14ac:dyDescent="0.2">
      <c r="G3002" s="56"/>
      <c r="H3002" s="56"/>
      <c r="I3002" s="56"/>
      <c r="J3002" s="56"/>
      <c r="K3002" s="56"/>
    </row>
    <row r="3003" spans="6:11" x14ac:dyDescent="0.2">
      <c r="F3003" t="s">
        <v>76</v>
      </c>
      <c r="G3003" s="56"/>
      <c r="H3003" s="56"/>
      <c r="I3003" s="56"/>
      <c r="J3003" s="56"/>
      <c r="K3003" s="56"/>
    </row>
  </sheetData>
  <autoFilter ref="A4:G100" xr:uid="{BCF2E815-1D99-4C3F-814D-49064F177FA7}"/>
  <dataValidations count="2">
    <dataValidation type="list" allowBlank="1" showInputMessage="1" showErrorMessage="1" sqref="F5:F3003" xr:uid="{3B7FBA81-0DA7-48BE-9905-A373BB6E0697}">
      <formula1>$L$5:$L$25</formula1>
    </dataValidation>
    <dataValidation type="list" allowBlank="1" showInputMessage="1" showErrorMessage="1" sqref="L5:L8" xr:uid="{559FE218-54BF-400A-935F-6B030661EAF6}">
      <formula1>$F$5:$F$3002</formula1>
    </dataValidation>
  </dataValidation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D2A36-480F-497B-A98C-147AE11E9F48}">
  <dimension ref="A1:AP32"/>
  <sheetViews>
    <sheetView tabSelected="1" workbookViewId="0"/>
  </sheetViews>
  <sheetFormatPr defaultRowHeight="12.75" x14ac:dyDescent="0.2"/>
  <sheetData>
    <row r="1" spans="1:42" x14ac:dyDescent="0.2">
      <c r="A1" t="s">
        <v>35</v>
      </c>
      <c r="B1" t="s">
        <v>9</v>
      </c>
      <c r="C1" t="s">
        <v>36</v>
      </c>
      <c r="D1" t="s">
        <v>37</v>
      </c>
      <c r="E1" t="s">
        <v>38</v>
      </c>
      <c r="F1" t="s">
        <v>39</v>
      </c>
      <c r="G1" t="s">
        <v>40</v>
      </c>
      <c r="H1" t="s">
        <v>41</v>
      </c>
      <c r="I1" t="s">
        <v>42</v>
      </c>
      <c r="J1" t="s">
        <v>43</v>
      </c>
      <c r="K1" t="s">
        <v>44</v>
      </c>
      <c r="L1" t="s">
        <v>45</v>
      </c>
      <c r="M1" t="s">
        <v>46</v>
      </c>
      <c r="N1" t="s">
        <v>47</v>
      </c>
      <c r="O1" t="s">
        <v>48</v>
      </c>
      <c r="P1" t="s">
        <v>49</v>
      </c>
      <c r="Q1" t="s">
        <v>50</v>
      </c>
      <c r="R1" t="s">
        <v>51</v>
      </c>
      <c r="S1" t="s">
        <v>52</v>
      </c>
      <c r="T1" t="s">
        <v>53</v>
      </c>
      <c r="U1" t="s">
        <v>54</v>
      </c>
      <c r="V1" t="s">
        <v>55</v>
      </c>
      <c r="W1" t="s">
        <v>56</v>
      </c>
      <c r="X1" t="s">
        <v>57</v>
      </c>
      <c r="Y1" t="s">
        <v>58</v>
      </c>
      <c r="Z1" t="s">
        <v>59</v>
      </c>
      <c r="AA1" t="s">
        <v>60</v>
      </c>
      <c r="AB1" t="s">
        <v>61</v>
      </c>
      <c r="AC1" t="s">
        <v>62</v>
      </c>
      <c r="AD1" t="s">
        <v>63</v>
      </c>
      <c r="AE1" t="s">
        <v>64</v>
      </c>
      <c r="AF1" t="s">
        <v>65</v>
      </c>
      <c r="AG1" t="s">
        <v>66</v>
      </c>
      <c r="AH1" t="s">
        <v>67</v>
      </c>
      <c r="AI1" s="55" t="s">
        <v>68</v>
      </c>
      <c r="AJ1" s="55" t="s">
        <v>69</v>
      </c>
      <c r="AK1" s="55" t="s">
        <v>70</v>
      </c>
      <c r="AL1" s="55" t="s">
        <v>71</v>
      </c>
      <c r="AM1" s="55" t="s">
        <v>72</v>
      </c>
      <c r="AN1" s="55" t="s">
        <v>73</v>
      </c>
      <c r="AO1" s="55" t="s">
        <v>74</v>
      </c>
      <c r="AP1" s="55" t="s">
        <v>75</v>
      </c>
    </row>
    <row r="2" spans="1:42" x14ac:dyDescent="0.2">
      <c r="A2">
        <v>2002</v>
      </c>
      <c r="B2">
        <v>112</v>
      </c>
      <c r="C2">
        <v>90</v>
      </c>
      <c r="D2">
        <v>96</v>
      </c>
      <c r="E2">
        <v>93</v>
      </c>
      <c r="F2">
        <v>99</v>
      </c>
      <c r="G2">
        <v>99</v>
      </c>
      <c r="H2">
        <v>109</v>
      </c>
      <c r="I2">
        <v>99</v>
      </c>
      <c r="J2">
        <v>106</v>
      </c>
      <c r="K2">
        <v>86</v>
      </c>
      <c r="L2">
        <v>99</v>
      </c>
      <c r="M2">
        <v>99</v>
      </c>
      <c r="N2">
        <v>91</v>
      </c>
      <c r="O2">
        <v>90</v>
      </c>
      <c r="P2">
        <v>99</v>
      </c>
      <c r="Q2">
        <v>107</v>
      </c>
      <c r="R2">
        <v>91</v>
      </c>
      <c r="S2">
        <v>93</v>
      </c>
      <c r="T2">
        <v>93</v>
      </c>
      <c r="U2">
        <v>99</v>
      </c>
      <c r="V2">
        <v>91</v>
      </c>
      <c r="W2">
        <v>88</v>
      </c>
      <c r="X2">
        <v>94</v>
      </c>
      <c r="Y2">
        <v>105</v>
      </c>
      <c r="Z2">
        <v>98</v>
      </c>
      <c r="AA2">
        <v>99</v>
      </c>
      <c r="AB2">
        <v>95</v>
      </c>
      <c r="AC2">
        <v>93</v>
      </c>
      <c r="AD2">
        <v>106</v>
      </c>
      <c r="AE2">
        <v>91</v>
      </c>
      <c r="AF2">
        <v>106</v>
      </c>
      <c r="AG2">
        <v>99</v>
      </c>
      <c r="AH2">
        <v>99</v>
      </c>
    </row>
    <row r="3" spans="1:42" x14ac:dyDescent="0.2">
      <c r="A3">
        <v>2002</v>
      </c>
      <c r="B3">
        <v>119</v>
      </c>
      <c r="C3">
        <v>78</v>
      </c>
      <c r="D3">
        <v>85</v>
      </c>
      <c r="E3">
        <v>77</v>
      </c>
      <c r="F3">
        <v>81</v>
      </c>
      <c r="G3">
        <v>78</v>
      </c>
      <c r="H3">
        <v>86</v>
      </c>
      <c r="I3">
        <v>93</v>
      </c>
      <c r="J3">
        <v>79</v>
      </c>
      <c r="K3">
        <v>79</v>
      </c>
      <c r="L3">
        <v>78</v>
      </c>
      <c r="M3">
        <v>78</v>
      </c>
      <c r="N3">
        <v>78</v>
      </c>
      <c r="O3">
        <v>78</v>
      </c>
      <c r="P3">
        <v>78</v>
      </c>
      <c r="Q3">
        <v>78</v>
      </c>
      <c r="R3">
        <v>78</v>
      </c>
      <c r="S3">
        <v>78</v>
      </c>
      <c r="T3">
        <v>78</v>
      </c>
      <c r="U3">
        <v>78</v>
      </c>
      <c r="V3">
        <v>78</v>
      </c>
      <c r="W3">
        <v>78</v>
      </c>
      <c r="X3">
        <v>78</v>
      </c>
      <c r="Y3">
        <v>78</v>
      </c>
      <c r="Z3">
        <v>78</v>
      </c>
      <c r="AA3">
        <v>78</v>
      </c>
      <c r="AB3">
        <v>78</v>
      </c>
      <c r="AC3">
        <v>78</v>
      </c>
      <c r="AD3">
        <v>78</v>
      </c>
      <c r="AE3">
        <v>78</v>
      </c>
      <c r="AF3">
        <v>78</v>
      </c>
      <c r="AG3">
        <v>78</v>
      </c>
      <c r="AH3">
        <v>78</v>
      </c>
    </row>
    <row r="4" spans="1:42" x14ac:dyDescent="0.2">
      <c r="A4">
        <v>2002</v>
      </c>
      <c r="B4">
        <v>127</v>
      </c>
      <c r="G4">
        <v>83</v>
      </c>
      <c r="H4">
        <v>83</v>
      </c>
      <c r="I4">
        <v>83</v>
      </c>
      <c r="J4">
        <v>83</v>
      </c>
    </row>
    <row r="5" spans="1:42" x14ac:dyDescent="0.2">
      <c r="A5">
        <v>2002</v>
      </c>
      <c r="B5">
        <v>128</v>
      </c>
      <c r="C5">
        <v>83</v>
      </c>
      <c r="D5">
        <v>83</v>
      </c>
      <c r="E5">
        <v>83</v>
      </c>
      <c r="F5">
        <v>83</v>
      </c>
      <c r="J5" s="3"/>
      <c r="K5">
        <v>83</v>
      </c>
      <c r="L5">
        <v>99</v>
      </c>
      <c r="M5">
        <v>99</v>
      </c>
      <c r="N5">
        <v>99</v>
      </c>
      <c r="O5">
        <v>99</v>
      </c>
      <c r="P5">
        <v>99</v>
      </c>
      <c r="Q5">
        <v>99</v>
      </c>
      <c r="R5">
        <v>99</v>
      </c>
      <c r="S5">
        <v>99</v>
      </c>
      <c r="T5">
        <v>99</v>
      </c>
      <c r="U5">
        <v>99</v>
      </c>
      <c r="V5">
        <v>99</v>
      </c>
      <c r="W5">
        <v>99</v>
      </c>
      <c r="X5">
        <v>99</v>
      </c>
      <c r="Y5">
        <v>99</v>
      </c>
      <c r="Z5">
        <v>99</v>
      </c>
      <c r="AA5">
        <v>99</v>
      </c>
      <c r="AB5">
        <v>99</v>
      </c>
      <c r="AC5">
        <v>99</v>
      </c>
      <c r="AD5">
        <v>99</v>
      </c>
      <c r="AE5">
        <v>99</v>
      </c>
      <c r="AF5">
        <v>99</v>
      </c>
      <c r="AG5">
        <v>99</v>
      </c>
      <c r="AH5">
        <v>99</v>
      </c>
    </row>
    <row r="6" spans="1:42" x14ac:dyDescent="0.2">
      <c r="A6">
        <v>2002</v>
      </c>
      <c r="B6">
        <v>130</v>
      </c>
      <c r="C6">
        <v>58</v>
      </c>
      <c r="D6">
        <v>61</v>
      </c>
      <c r="E6">
        <v>51</v>
      </c>
      <c r="F6">
        <v>53</v>
      </c>
      <c r="G6">
        <v>60</v>
      </c>
      <c r="H6">
        <v>64</v>
      </c>
      <c r="I6">
        <v>66</v>
      </c>
      <c r="J6">
        <v>66</v>
      </c>
      <c r="K6">
        <v>56</v>
      </c>
      <c r="L6">
        <v>61</v>
      </c>
      <c r="M6">
        <v>61</v>
      </c>
      <c r="N6">
        <v>61</v>
      </c>
      <c r="O6">
        <v>61</v>
      </c>
      <c r="P6">
        <v>61</v>
      </c>
      <c r="Q6">
        <v>61</v>
      </c>
      <c r="R6">
        <v>61</v>
      </c>
      <c r="S6">
        <v>61</v>
      </c>
      <c r="T6">
        <v>61</v>
      </c>
      <c r="U6">
        <v>61</v>
      </c>
      <c r="V6">
        <v>61</v>
      </c>
      <c r="W6">
        <v>61</v>
      </c>
      <c r="X6">
        <v>61</v>
      </c>
      <c r="Y6">
        <v>61</v>
      </c>
      <c r="Z6">
        <v>61</v>
      </c>
      <c r="AA6">
        <v>61</v>
      </c>
      <c r="AB6">
        <v>61</v>
      </c>
      <c r="AC6">
        <v>61</v>
      </c>
      <c r="AD6">
        <v>61</v>
      </c>
      <c r="AE6">
        <v>61</v>
      </c>
      <c r="AF6">
        <v>61</v>
      </c>
      <c r="AG6">
        <v>61</v>
      </c>
      <c r="AH6">
        <v>61</v>
      </c>
    </row>
    <row r="7" spans="1:42" x14ac:dyDescent="0.2">
      <c r="A7">
        <v>2002</v>
      </c>
      <c r="B7">
        <v>136</v>
      </c>
      <c r="C7">
        <v>60</v>
      </c>
      <c r="D7">
        <v>60</v>
      </c>
      <c r="E7">
        <v>61</v>
      </c>
      <c r="F7">
        <v>60</v>
      </c>
      <c r="G7">
        <v>58</v>
      </c>
      <c r="H7">
        <v>64</v>
      </c>
      <c r="I7">
        <v>61</v>
      </c>
      <c r="J7">
        <v>58</v>
      </c>
      <c r="K7">
        <v>66</v>
      </c>
      <c r="L7">
        <v>59</v>
      </c>
      <c r="M7">
        <v>59</v>
      </c>
      <c r="N7">
        <v>59</v>
      </c>
      <c r="O7">
        <v>59</v>
      </c>
      <c r="P7">
        <v>59</v>
      </c>
      <c r="Q7">
        <v>59</v>
      </c>
      <c r="R7">
        <v>59</v>
      </c>
      <c r="S7">
        <v>59</v>
      </c>
      <c r="T7">
        <v>59</v>
      </c>
      <c r="U7">
        <v>59</v>
      </c>
      <c r="V7">
        <v>59</v>
      </c>
      <c r="W7">
        <v>59</v>
      </c>
      <c r="X7">
        <v>59</v>
      </c>
      <c r="Y7">
        <v>59</v>
      </c>
      <c r="Z7">
        <v>59</v>
      </c>
      <c r="AA7">
        <v>59</v>
      </c>
      <c r="AB7">
        <v>59</v>
      </c>
      <c r="AC7">
        <v>59</v>
      </c>
      <c r="AD7">
        <v>59</v>
      </c>
      <c r="AE7">
        <v>59</v>
      </c>
      <c r="AF7">
        <v>59</v>
      </c>
      <c r="AG7">
        <v>59</v>
      </c>
      <c r="AH7">
        <v>59</v>
      </c>
    </row>
    <row r="8" spans="1:42" x14ac:dyDescent="0.2">
      <c r="A8">
        <v>2002</v>
      </c>
      <c r="B8">
        <v>155</v>
      </c>
      <c r="C8">
        <v>51</v>
      </c>
      <c r="D8">
        <v>51</v>
      </c>
      <c r="E8">
        <v>51</v>
      </c>
      <c r="F8">
        <v>51</v>
      </c>
      <c r="G8">
        <v>51</v>
      </c>
      <c r="H8">
        <v>51</v>
      </c>
      <c r="I8">
        <v>51</v>
      </c>
      <c r="J8">
        <v>51</v>
      </c>
      <c r="K8">
        <v>51</v>
      </c>
      <c r="L8">
        <v>51</v>
      </c>
      <c r="M8">
        <v>51</v>
      </c>
      <c r="N8">
        <v>51</v>
      </c>
      <c r="O8">
        <v>51</v>
      </c>
      <c r="P8">
        <v>51</v>
      </c>
      <c r="Q8">
        <v>51</v>
      </c>
      <c r="R8">
        <v>51</v>
      </c>
      <c r="S8">
        <v>51</v>
      </c>
      <c r="T8">
        <v>51</v>
      </c>
      <c r="U8">
        <v>51</v>
      </c>
      <c r="V8">
        <v>51</v>
      </c>
      <c r="W8">
        <v>51</v>
      </c>
      <c r="X8">
        <v>51</v>
      </c>
      <c r="Y8">
        <v>51</v>
      </c>
      <c r="Z8">
        <v>51</v>
      </c>
      <c r="AA8">
        <v>51</v>
      </c>
      <c r="AB8">
        <v>51</v>
      </c>
      <c r="AC8">
        <v>51</v>
      </c>
      <c r="AD8">
        <v>51</v>
      </c>
      <c r="AE8">
        <v>51</v>
      </c>
      <c r="AF8">
        <v>51</v>
      </c>
      <c r="AG8">
        <v>51</v>
      </c>
      <c r="AH8">
        <v>51</v>
      </c>
    </row>
    <row r="9" spans="1:42" x14ac:dyDescent="0.2">
      <c r="A9">
        <v>2002</v>
      </c>
      <c r="B9">
        <v>168</v>
      </c>
      <c r="C9">
        <v>79</v>
      </c>
      <c r="D9">
        <v>76</v>
      </c>
      <c r="E9">
        <v>76</v>
      </c>
      <c r="G9">
        <v>71</v>
      </c>
      <c r="J9">
        <v>76</v>
      </c>
      <c r="K9">
        <v>74</v>
      </c>
      <c r="M9">
        <v>76</v>
      </c>
      <c r="N9">
        <v>78</v>
      </c>
      <c r="O9">
        <v>76</v>
      </c>
      <c r="Q9">
        <v>76</v>
      </c>
      <c r="R9">
        <v>76</v>
      </c>
      <c r="T9">
        <v>76</v>
      </c>
      <c r="V9">
        <v>76</v>
      </c>
      <c r="W9">
        <v>78</v>
      </c>
      <c r="X9">
        <v>76</v>
      </c>
      <c r="Z9">
        <v>76</v>
      </c>
      <c r="AC9">
        <v>76</v>
      </c>
      <c r="AD9">
        <v>76</v>
      </c>
      <c r="AE9">
        <v>76</v>
      </c>
      <c r="AF9">
        <v>76</v>
      </c>
    </row>
    <row r="10" spans="1:42" x14ac:dyDescent="0.2">
      <c r="A10">
        <v>2002</v>
      </c>
      <c r="B10">
        <v>170</v>
      </c>
      <c r="F10">
        <v>66</v>
      </c>
      <c r="H10">
        <v>64</v>
      </c>
      <c r="I10">
        <v>64</v>
      </c>
      <c r="L10">
        <v>60</v>
      </c>
      <c r="S10">
        <v>60</v>
      </c>
      <c r="Y10">
        <v>59</v>
      </c>
      <c r="AB10">
        <v>62</v>
      </c>
      <c r="AH10">
        <v>54</v>
      </c>
    </row>
    <row r="11" spans="1:42" x14ac:dyDescent="0.2">
      <c r="A11">
        <v>2002</v>
      </c>
      <c r="B11">
        <v>171</v>
      </c>
      <c r="AA11">
        <v>54</v>
      </c>
      <c r="AG11">
        <v>59</v>
      </c>
    </row>
    <row r="12" spans="1:42" x14ac:dyDescent="0.2">
      <c r="A12">
        <v>2002</v>
      </c>
      <c r="B12">
        <v>172</v>
      </c>
      <c r="P12">
        <v>52</v>
      </c>
      <c r="U12">
        <v>61</v>
      </c>
    </row>
    <row r="13" spans="1:42" x14ac:dyDescent="0.2">
      <c r="A13">
        <v>2002</v>
      </c>
      <c r="B13">
        <v>178</v>
      </c>
      <c r="C13">
        <v>87</v>
      </c>
      <c r="D13">
        <v>86</v>
      </c>
      <c r="E13">
        <v>87</v>
      </c>
      <c r="G13">
        <v>116</v>
      </c>
      <c r="J13">
        <v>87</v>
      </c>
      <c r="K13">
        <v>104</v>
      </c>
      <c r="M13">
        <v>87</v>
      </c>
      <c r="N13">
        <v>104</v>
      </c>
      <c r="O13">
        <v>87</v>
      </c>
      <c r="Q13">
        <v>87</v>
      </c>
      <c r="R13">
        <v>83</v>
      </c>
      <c r="T13">
        <v>87</v>
      </c>
      <c r="V13">
        <v>87</v>
      </c>
      <c r="W13">
        <v>102</v>
      </c>
      <c r="X13">
        <v>87</v>
      </c>
      <c r="Z13">
        <v>87</v>
      </c>
      <c r="AC13">
        <v>87</v>
      </c>
      <c r="AD13">
        <v>87</v>
      </c>
      <c r="AE13">
        <v>87</v>
      </c>
      <c r="AF13">
        <v>87</v>
      </c>
    </row>
    <row r="14" spans="1:42" x14ac:dyDescent="0.2">
      <c r="A14">
        <v>2002</v>
      </c>
      <c r="B14">
        <v>181</v>
      </c>
      <c r="F14">
        <v>94</v>
      </c>
      <c r="H14">
        <v>97</v>
      </c>
      <c r="I14">
        <v>98</v>
      </c>
      <c r="L14">
        <v>86</v>
      </c>
      <c r="S14">
        <v>90</v>
      </c>
      <c r="Y14">
        <v>81</v>
      </c>
      <c r="AB14">
        <v>78</v>
      </c>
      <c r="AH14">
        <v>78</v>
      </c>
    </row>
    <row r="15" spans="1:42" x14ac:dyDescent="0.2">
      <c r="A15">
        <v>2002</v>
      </c>
      <c r="B15">
        <v>182</v>
      </c>
      <c r="AA15">
        <v>64</v>
      </c>
      <c r="AG15">
        <v>78</v>
      </c>
    </row>
    <row r="16" spans="1:42" x14ac:dyDescent="0.2">
      <c r="A16">
        <v>2002</v>
      </c>
      <c r="B16">
        <v>183</v>
      </c>
      <c r="P16">
        <v>68</v>
      </c>
      <c r="U16">
        <v>73</v>
      </c>
    </row>
    <row r="17" spans="1:34" x14ac:dyDescent="0.2">
      <c r="A17">
        <v>2002</v>
      </c>
      <c r="B17">
        <v>188</v>
      </c>
      <c r="G17">
        <v>113</v>
      </c>
      <c r="K17">
        <v>112</v>
      </c>
      <c r="N17">
        <v>127</v>
      </c>
      <c r="W17">
        <v>113</v>
      </c>
    </row>
    <row r="18" spans="1:34" x14ac:dyDescent="0.2">
      <c r="A18">
        <v>2002</v>
      </c>
      <c r="B18">
        <v>189</v>
      </c>
      <c r="C18">
        <v>106</v>
      </c>
      <c r="D18">
        <v>106</v>
      </c>
      <c r="E18">
        <v>106</v>
      </c>
      <c r="J18">
        <v>106</v>
      </c>
      <c r="M18">
        <v>106</v>
      </c>
      <c r="O18">
        <v>106</v>
      </c>
      <c r="Q18">
        <v>106</v>
      </c>
      <c r="R18">
        <v>106</v>
      </c>
      <c r="T18">
        <v>114</v>
      </c>
      <c r="V18">
        <v>111</v>
      </c>
      <c r="X18">
        <v>106</v>
      </c>
      <c r="Z18">
        <v>106</v>
      </c>
      <c r="AC18">
        <v>106</v>
      </c>
      <c r="AD18">
        <v>106</v>
      </c>
      <c r="AE18">
        <v>106</v>
      </c>
      <c r="AF18">
        <v>106</v>
      </c>
    </row>
    <row r="19" spans="1:34" x14ac:dyDescent="0.2">
      <c r="A19">
        <v>2002</v>
      </c>
      <c r="B19">
        <v>193</v>
      </c>
      <c r="F19">
        <v>107</v>
      </c>
      <c r="H19">
        <v>116</v>
      </c>
      <c r="I19">
        <v>104</v>
      </c>
      <c r="L19">
        <v>102</v>
      </c>
      <c r="S19">
        <v>98</v>
      </c>
      <c r="Y19">
        <v>99</v>
      </c>
      <c r="AB19">
        <v>111</v>
      </c>
      <c r="AH19">
        <v>103</v>
      </c>
    </row>
    <row r="20" spans="1:34" x14ac:dyDescent="0.2">
      <c r="A20">
        <v>2002</v>
      </c>
      <c r="B20">
        <v>195</v>
      </c>
      <c r="P20">
        <v>94</v>
      </c>
      <c r="U20">
        <v>112</v>
      </c>
      <c r="AA20">
        <v>112</v>
      </c>
      <c r="AG20">
        <v>107</v>
      </c>
    </row>
    <row r="21" spans="1:34" x14ac:dyDescent="0.2">
      <c r="A21">
        <v>2002</v>
      </c>
      <c r="B21">
        <v>201</v>
      </c>
      <c r="C21">
        <v>112</v>
      </c>
      <c r="D21">
        <v>112</v>
      </c>
      <c r="E21">
        <v>112</v>
      </c>
      <c r="G21">
        <v>111</v>
      </c>
      <c r="J21">
        <v>112</v>
      </c>
      <c r="K21">
        <v>112</v>
      </c>
      <c r="M21">
        <v>112</v>
      </c>
      <c r="N21">
        <v>112</v>
      </c>
      <c r="O21">
        <v>112</v>
      </c>
      <c r="Q21">
        <v>112</v>
      </c>
      <c r="R21">
        <v>112</v>
      </c>
      <c r="T21">
        <v>112</v>
      </c>
      <c r="V21">
        <v>112</v>
      </c>
      <c r="W21">
        <v>112</v>
      </c>
      <c r="X21">
        <v>112</v>
      </c>
      <c r="Z21">
        <v>112</v>
      </c>
      <c r="AC21">
        <v>112</v>
      </c>
      <c r="AD21">
        <v>112</v>
      </c>
      <c r="AE21">
        <v>112</v>
      </c>
      <c r="AF21">
        <v>112</v>
      </c>
    </row>
    <row r="22" spans="1:34" x14ac:dyDescent="0.2">
      <c r="A22">
        <v>2002</v>
      </c>
      <c r="B22">
        <v>204</v>
      </c>
      <c r="F22">
        <v>112</v>
      </c>
      <c r="H22">
        <v>112</v>
      </c>
      <c r="I22">
        <v>112</v>
      </c>
      <c r="L22">
        <v>116</v>
      </c>
      <c r="S22">
        <v>116</v>
      </c>
      <c r="Y22">
        <v>116</v>
      </c>
      <c r="AB22">
        <v>119</v>
      </c>
      <c r="AG22">
        <v>119</v>
      </c>
      <c r="AH22">
        <v>107</v>
      </c>
    </row>
    <row r="23" spans="1:34" x14ac:dyDescent="0.2">
      <c r="A23">
        <v>2002</v>
      </c>
      <c r="B23">
        <v>205</v>
      </c>
      <c r="P23">
        <v>100</v>
      </c>
      <c r="U23">
        <v>103</v>
      </c>
      <c r="AA23">
        <v>96</v>
      </c>
    </row>
    <row r="24" spans="1:34" x14ac:dyDescent="0.2">
      <c r="A24">
        <v>2002</v>
      </c>
      <c r="B24">
        <v>212</v>
      </c>
      <c r="C24">
        <v>112</v>
      </c>
      <c r="D24">
        <v>115</v>
      </c>
      <c r="E24">
        <v>115</v>
      </c>
      <c r="J24">
        <v>115</v>
      </c>
      <c r="M24">
        <v>115</v>
      </c>
      <c r="O24">
        <v>112</v>
      </c>
      <c r="Q24">
        <v>115</v>
      </c>
      <c r="R24">
        <v>112</v>
      </c>
      <c r="T24">
        <v>115</v>
      </c>
      <c r="V24">
        <v>112</v>
      </c>
      <c r="X24">
        <v>115</v>
      </c>
      <c r="Z24">
        <v>115</v>
      </c>
      <c r="AC24">
        <v>115</v>
      </c>
      <c r="AD24">
        <v>115</v>
      </c>
      <c r="AE24">
        <v>115</v>
      </c>
      <c r="AF24">
        <v>115</v>
      </c>
    </row>
    <row r="25" spans="1:34" x14ac:dyDescent="0.2">
      <c r="A25">
        <v>2002</v>
      </c>
      <c r="B25">
        <v>213</v>
      </c>
      <c r="G25">
        <v>116</v>
      </c>
      <c r="K25">
        <v>116</v>
      </c>
      <c r="N25">
        <v>118</v>
      </c>
      <c r="W25">
        <v>118</v>
      </c>
    </row>
    <row r="26" spans="1:34" x14ac:dyDescent="0.2">
      <c r="A26">
        <v>2002</v>
      </c>
      <c r="B26">
        <v>216</v>
      </c>
      <c r="F26">
        <v>116</v>
      </c>
      <c r="H26">
        <v>116</v>
      </c>
      <c r="I26">
        <v>112</v>
      </c>
      <c r="L26">
        <v>117</v>
      </c>
      <c r="S26">
        <v>119</v>
      </c>
      <c r="Y26">
        <v>119</v>
      </c>
      <c r="AB26">
        <v>119</v>
      </c>
      <c r="AH26">
        <v>119</v>
      </c>
    </row>
    <row r="27" spans="1:34" x14ac:dyDescent="0.2">
      <c r="A27">
        <v>2002</v>
      </c>
      <c r="B27">
        <v>217</v>
      </c>
      <c r="P27">
        <v>125</v>
      </c>
      <c r="U27">
        <v>118</v>
      </c>
      <c r="AA27">
        <v>129</v>
      </c>
      <c r="AG27">
        <v>126</v>
      </c>
    </row>
    <row r="28" spans="1:34" x14ac:dyDescent="0.2">
      <c r="A28">
        <v>2002</v>
      </c>
      <c r="B28">
        <v>224</v>
      </c>
      <c r="C28">
        <v>113</v>
      </c>
      <c r="D28">
        <v>113</v>
      </c>
      <c r="E28">
        <v>113</v>
      </c>
      <c r="J28">
        <v>113</v>
      </c>
      <c r="M28">
        <v>113</v>
      </c>
      <c r="O28">
        <v>113</v>
      </c>
      <c r="Q28">
        <v>113</v>
      </c>
      <c r="R28">
        <v>113</v>
      </c>
      <c r="T28">
        <v>113</v>
      </c>
      <c r="V28">
        <v>113</v>
      </c>
      <c r="X28">
        <v>113</v>
      </c>
      <c r="Z28">
        <v>113</v>
      </c>
      <c r="AC28">
        <v>113</v>
      </c>
      <c r="AD28">
        <v>113</v>
      </c>
      <c r="AE28">
        <v>113</v>
      </c>
      <c r="AF28">
        <v>113</v>
      </c>
    </row>
    <row r="29" spans="1:34" x14ac:dyDescent="0.2">
      <c r="A29">
        <v>2002</v>
      </c>
      <c r="B29">
        <v>227</v>
      </c>
      <c r="G29">
        <v>87</v>
      </c>
      <c r="K29">
        <v>90</v>
      </c>
      <c r="N29">
        <v>99</v>
      </c>
      <c r="W29">
        <v>98</v>
      </c>
    </row>
    <row r="30" spans="1:34" x14ac:dyDescent="0.2">
      <c r="A30">
        <v>2002</v>
      </c>
      <c r="B30">
        <v>228</v>
      </c>
      <c r="F30">
        <v>93</v>
      </c>
      <c r="H30">
        <v>93</v>
      </c>
      <c r="I30">
        <v>84</v>
      </c>
      <c r="L30">
        <v>106</v>
      </c>
      <c r="S30">
        <v>98</v>
      </c>
      <c r="Y30">
        <v>102</v>
      </c>
      <c r="AB30">
        <v>101</v>
      </c>
      <c r="AH30">
        <v>96</v>
      </c>
    </row>
    <row r="31" spans="1:34" x14ac:dyDescent="0.2">
      <c r="A31">
        <v>2002</v>
      </c>
      <c r="B31">
        <v>229</v>
      </c>
      <c r="P31">
        <v>94</v>
      </c>
      <c r="U31">
        <v>89</v>
      </c>
      <c r="AA31">
        <v>99</v>
      </c>
      <c r="AG31">
        <v>89</v>
      </c>
    </row>
    <row r="32" spans="1:34" x14ac:dyDescent="0.2">
      <c r="A32">
        <v>2002</v>
      </c>
      <c r="B32">
        <v>235</v>
      </c>
      <c r="C32">
        <v>65</v>
      </c>
      <c r="D32">
        <v>65</v>
      </c>
      <c r="E32">
        <v>65</v>
      </c>
      <c r="J32">
        <v>65</v>
      </c>
      <c r="M32">
        <v>65</v>
      </c>
      <c r="O32">
        <v>65</v>
      </c>
      <c r="Q32">
        <v>65</v>
      </c>
      <c r="R32">
        <v>65</v>
      </c>
      <c r="T32">
        <v>65</v>
      </c>
      <c r="V32">
        <v>65</v>
      </c>
      <c r="X32">
        <v>65</v>
      </c>
      <c r="Z32">
        <v>65</v>
      </c>
      <c r="AC32">
        <v>65</v>
      </c>
      <c r="AD32">
        <v>65</v>
      </c>
      <c r="AE32">
        <v>65</v>
      </c>
      <c r="AF32">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Irrigation</vt:lpstr>
      <vt:lpstr>Timeline</vt:lpstr>
      <vt:lpstr>IrrigationDF</vt:lpstr>
    </vt:vector>
  </TitlesOfParts>
  <Company>USDA-ARS-USWCL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Hunsaker</dc:creator>
  <cp:lastModifiedBy>Reviewer</cp:lastModifiedBy>
  <dcterms:created xsi:type="dcterms:W3CDTF">2002-03-22T17:35:23Z</dcterms:created>
  <dcterms:modified xsi:type="dcterms:W3CDTF">2024-12-23T16:45:45Z</dcterms:modified>
</cp:coreProperties>
</file>