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tool\tool\Data\2002_F105_CO_FISE\"/>
    </mc:Choice>
  </mc:AlternateContent>
  <xr:revisionPtr revIDLastSave="0" documentId="13_ncr:1_{4C474ECF-A0B4-4ECC-A708-F1CCB8C1340C}" xr6:coauthVersionLast="47" xr6:coauthVersionMax="47" xr10:uidLastSave="{00000000-0000-0000-0000-000000000000}"/>
  <bookViews>
    <workbookView xWindow="-4590" yWindow="-28920" windowWidth="18240" windowHeight="29040" xr2:uid="{5485CBB2-C13A-4C0B-BAC8-38661C175E52}"/>
  </bookViews>
  <sheets>
    <sheet name="Raw Scale" sheetId="1" r:id="rId1"/>
    <sheet name="Plot Scale" sheetId="2" r:id="rId2"/>
    <sheet name="Compa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1" l="1"/>
  <c r="F71" i="1"/>
  <c r="F72" i="1"/>
  <c r="A28" i="1"/>
  <c r="F73" i="1" s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K47" i="1"/>
  <c r="L47" i="1"/>
  <c r="M47" i="1" s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38" i="1"/>
  <c r="F70" i="1" l="1"/>
  <c r="M57" i="1"/>
  <c r="M55" i="1"/>
  <c r="M50" i="1"/>
  <c r="M48" i="1"/>
  <c r="M72" i="1"/>
  <c r="M56" i="1"/>
  <c r="M59" i="1"/>
  <c r="M68" i="1"/>
  <c r="M51" i="1"/>
  <c r="M64" i="1"/>
  <c r="M54" i="1"/>
  <c r="M60" i="1"/>
  <c r="M71" i="1"/>
  <c r="M67" i="1"/>
  <c r="M63" i="1"/>
  <c r="M40" i="1"/>
  <c r="M73" i="1"/>
  <c r="M70" i="1"/>
  <c r="M43" i="1"/>
  <c r="M39" i="1"/>
  <c r="M62" i="1"/>
  <c r="M53" i="1"/>
  <c r="M49" i="1"/>
  <c r="M61" i="1"/>
  <c r="M58" i="1"/>
  <c r="M41" i="1"/>
  <c r="M69" i="1"/>
  <c r="M46" i="1"/>
  <c r="M42" i="1"/>
  <c r="M44" i="1"/>
  <c r="M66" i="1"/>
  <c r="M65" i="1"/>
  <c r="M52" i="1"/>
  <c r="M45" i="1"/>
  <c r="A27" i="1"/>
  <c r="F41" i="1" l="1"/>
  <c r="F45" i="1"/>
  <c r="N72" i="1"/>
  <c r="F56" i="1"/>
  <c r="N56" i="1" s="1"/>
  <c r="F48" i="1"/>
  <c r="F64" i="1"/>
  <c r="O64" i="1" s="1"/>
  <c r="F40" i="1"/>
  <c r="O40" i="1" s="1"/>
  <c r="N41" i="1"/>
  <c r="O41" i="1"/>
  <c r="F63" i="1"/>
  <c r="F55" i="1"/>
  <c r="F47" i="1"/>
  <c r="F39" i="1"/>
  <c r="F62" i="1"/>
  <c r="F54" i="1"/>
  <c r="F46" i="1"/>
  <c r="F69" i="1"/>
  <c r="F61" i="1"/>
  <c r="F53" i="1"/>
  <c r="F68" i="1"/>
  <c r="F60" i="1"/>
  <c r="F52" i="1"/>
  <c r="F44" i="1"/>
  <c r="F67" i="1"/>
  <c r="F59" i="1"/>
  <c r="F51" i="1"/>
  <c r="F43" i="1"/>
  <c r="F38" i="1"/>
  <c r="F66" i="1"/>
  <c r="F58" i="1"/>
  <c r="F50" i="1"/>
  <c r="F42" i="1"/>
  <c r="F65" i="1"/>
  <c r="F57" i="1"/>
  <c r="F49" i="1"/>
  <c r="O49" i="1" s="1"/>
  <c r="O48" i="1" l="1"/>
  <c r="N48" i="1"/>
  <c r="O56" i="1"/>
  <c r="P56" i="1" s="1"/>
  <c r="N40" i="1"/>
  <c r="P40" i="1" s="1"/>
  <c r="N64" i="1"/>
  <c r="P64" i="1" s="1"/>
  <c r="O72" i="1"/>
  <c r="P72" i="1" s="1"/>
  <c r="P48" i="1"/>
  <c r="N51" i="1"/>
  <c r="O51" i="1"/>
  <c r="O53" i="1"/>
  <c r="N53" i="1"/>
  <c r="N47" i="1"/>
  <c r="O47" i="1"/>
  <c r="N73" i="1"/>
  <c r="O73" i="1"/>
  <c r="O59" i="1"/>
  <c r="N59" i="1"/>
  <c r="N61" i="1"/>
  <c r="O61" i="1"/>
  <c r="N55" i="1"/>
  <c r="O55" i="1"/>
  <c r="P41" i="1"/>
  <c r="O65" i="1"/>
  <c r="N65" i="1"/>
  <c r="N42" i="1"/>
  <c r="O42" i="1"/>
  <c r="O69" i="1"/>
  <c r="N69" i="1"/>
  <c r="N50" i="1"/>
  <c r="O50" i="1"/>
  <c r="N44" i="1"/>
  <c r="O44" i="1"/>
  <c r="N46" i="1"/>
  <c r="O46" i="1"/>
  <c r="N71" i="1"/>
  <c r="O71" i="1"/>
  <c r="N58" i="1"/>
  <c r="O58" i="1"/>
  <c r="N52" i="1"/>
  <c r="O52" i="1"/>
  <c r="N54" i="1"/>
  <c r="O54" i="1"/>
  <c r="N43" i="1"/>
  <c r="O43" i="1"/>
  <c r="N67" i="1"/>
  <c r="O67" i="1"/>
  <c r="N63" i="1"/>
  <c r="O63" i="1"/>
  <c r="N66" i="1"/>
  <c r="O66" i="1"/>
  <c r="N60" i="1"/>
  <c r="O60" i="1"/>
  <c r="O62" i="1"/>
  <c r="N62" i="1"/>
  <c r="N49" i="1"/>
  <c r="N38" i="1"/>
  <c r="N68" i="1"/>
  <c r="O68" i="1"/>
  <c r="N70" i="1"/>
  <c r="O70" i="1"/>
  <c r="N57" i="1"/>
  <c r="O57" i="1"/>
  <c r="N45" i="1"/>
  <c r="O45" i="1"/>
  <c r="N39" i="1"/>
  <c r="O39" i="1"/>
  <c r="P50" i="1" l="1"/>
  <c r="P59" i="1"/>
  <c r="P49" i="1"/>
  <c r="P52" i="1"/>
  <c r="P44" i="1"/>
  <c r="P63" i="1"/>
  <c r="P66" i="1"/>
  <c r="P54" i="1"/>
  <c r="P70" i="1"/>
  <c r="P71" i="1"/>
  <c r="P67" i="1"/>
  <c r="P58" i="1"/>
  <c r="P69" i="1"/>
  <c r="P57" i="1"/>
  <c r="P53" i="1"/>
  <c r="P62" i="1"/>
  <c r="P73" i="1"/>
  <c r="P55" i="1"/>
  <c r="P47" i="1"/>
  <c r="P39" i="1"/>
  <c r="P68" i="1"/>
  <c r="P60" i="1"/>
  <c r="P43" i="1"/>
  <c r="P61" i="1"/>
  <c r="P45" i="1"/>
  <c r="P46" i="1"/>
  <c r="P42" i="1"/>
  <c r="P65" i="1"/>
  <c r="P51" i="1"/>
  <c r="L38" i="1" l="1"/>
  <c r="O38" i="1" s="1"/>
  <c r="P38" i="1" s="1"/>
  <c r="M38" i="1" l="1"/>
</calcChain>
</file>

<file path=xl/sharedStrings.xml><?xml version="1.0" encoding="utf-8"?>
<sst xmlns="http://schemas.openxmlformats.org/spreadsheetml/2006/main" count="424" uniqueCount="113">
  <si>
    <t>Harvest</t>
  </si>
  <si>
    <t>Field wt</t>
  </si>
  <si>
    <t>HADAT</t>
  </si>
  <si>
    <t>WBWAH</t>
  </si>
  <si>
    <t>(kg/ha)</t>
  </si>
  <si>
    <t>Parameters</t>
  </si>
  <si>
    <t>m2 per ha</t>
  </si>
  <si>
    <t>Ginning</t>
  </si>
  <si>
    <t>Sample</t>
  </si>
  <si>
    <t>wt</t>
  </si>
  <si>
    <t>(g)</t>
  </si>
  <si>
    <t>Fiber</t>
  </si>
  <si>
    <t>Seed</t>
  </si>
  <si>
    <t>FFRAC</t>
  </si>
  <si>
    <t>SFRAC</t>
  </si>
  <si>
    <t>TFRAC</t>
  </si>
  <si>
    <t>(g/g)</t>
  </si>
  <si>
    <t>Compute</t>
  </si>
  <si>
    <t>WFWAH</t>
  </si>
  <si>
    <t>WSWAH</t>
  </si>
  <si>
    <t>WSCWAH</t>
  </si>
  <si>
    <t>PID</t>
  </si>
  <si>
    <t>Column H - Weight of bulk cotton subsample prior to ginning (g)</t>
  </si>
  <si>
    <t>Column K - Fiber fraction after ginning (FFRAC, g/g)</t>
  </si>
  <si>
    <t>Column L - Seed fraction after ginning (SFRAC, g/g)</t>
  </si>
  <si>
    <t>Column N - Wet fiber weight at harvest (WFWAH, kg/ha)</t>
  </si>
  <si>
    <t>Column O - Wet seed weight at harvest (WSWAH, kg/ha)</t>
  </si>
  <si>
    <t>Column P - Wet seed cotton weight at harvest (fiber + seed) (WSCWAH, kg/ha)</t>
  </si>
  <si>
    <t>Plot</t>
  </si>
  <si>
    <t>HARM</t>
  </si>
  <si>
    <t>Hand</t>
  </si>
  <si>
    <t>Column C - Harvest method (HARM)</t>
  </si>
  <si>
    <t>Size of harvest area (6 40-inch rows by 4 m) (m2)</t>
  </si>
  <si>
    <t>g per kg</t>
  </si>
  <si>
    <t>Column F - Wet bulk weight at harvest (fiber + seed + trash) (WBWAH, kg/ha)</t>
  </si>
  <si>
    <t>Date</t>
  </si>
  <si>
    <t>GNDAT</t>
  </si>
  <si>
    <t>Column D - Harvest date (HADAT, mm/dd/yyyy)</t>
  </si>
  <si>
    <t>Column G - Ginning Date (GNDAT, mm/dd/yyyy)</t>
  </si>
  <si>
    <t>Quality</t>
  </si>
  <si>
    <t>FBMIC</t>
  </si>
  <si>
    <t>FBLTH</t>
  </si>
  <si>
    <t>FBUNI</t>
  </si>
  <si>
    <t>FBSTR</t>
  </si>
  <si>
    <t>FBCRD</t>
  </si>
  <si>
    <t>FBCGR</t>
  </si>
  <si>
    <t>FBTAR</t>
  </si>
  <si>
    <t>(inches)</t>
  </si>
  <si>
    <t>(%)</t>
  </si>
  <si>
    <t>(g/tex)</t>
  </si>
  <si>
    <t>(% ref)</t>
  </si>
  <si>
    <t>QLDAT</t>
  </si>
  <si>
    <t>11-1</t>
  </si>
  <si>
    <t>21-1</t>
  </si>
  <si>
    <t>11-2</t>
  </si>
  <si>
    <t>11-3</t>
  </si>
  <si>
    <t>11-4</t>
  </si>
  <si>
    <t>Column R - Micronaire (FBMIC)</t>
  </si>
  <si>
    <t>Column S - Upper half mean fiber length (FBLTH, inches)</t>
  </si>
  <si>
    <t>Column T - Fiber uniformity (FBUNI, %)</t>
  </si>
  <si>
    <t>Column U - Fiber strength (FBSTR, g/tex)</t>
  </si>
  <si>
    <t>Column V - Fiber Color Reflectance (FBCRD, % reflectance)</t>
  </si>
  <si>
    <t>Column W - Fiber Color Grade (FBCGR)</t>
  </si>
  <si>
    <t>Column X - Trash Area (FBTAR, % of surface covered by trash)</t>
  </si>
  <si>
    <t>Size of harvest area for stress plots (6 40-inch rows by 2 m) (m2)</t>
  </si>
  <si>
    <t>Column E - Weight of bulk hand-picked cotton in six 4 m rows with gleaning weight from 10/28/2002 added (g)</t>
  </si>
  <si>
    <t>Column I - Weight of fiber after ginning (g)</t>
  </si>
  <si>
    <t>Column M - Trash fraction after ginning (TFRAC, g/g)</t>
  </si>
  <si>
    <t>LintYield mean (kg/ha)</t>
  </si>
  <si>
    <t>SCYield mean (kg/ha)</t>
  </si>
  <si>
    <t>Original</t>
  </si>
  <si>
    <t>Spreadsheet</t>
  </si>
  <si>
    <t>Column Q - Quality measurement date (QLDAT, mm/dd/yyyy), Sent to USDA AMS Phoenix Classing Office</t>
  </si>
  <si>
    <t>Column J - Weight of fuzzy seed after ginning (g)</t>
  </si>
  <si>
    <t>ID</t>
  </si>
  <si>
    <t>Column A - ID (ID)</t>
  </si>
  <si>
    <t>Column B - Plot ID (PID)</t>
  </si>
  <si>
    <t>p101</t>
  </si>
  <si>
    <t>p102</t>
  </si>
  <si>
    <t>p103</t>
  </si>
  <si>
    <t>p104</t>
  </si>
  <si>
    <t>p105</t>
  </si>
  <si>
    <t>p106</t>
  </si>
  <si>
    <t>p107</t>
  </si>
  <si>
    <t>p108</t>
  </si>
  <si>
    <t>p201</t>
  </si>
  <si>
    <t>p202</t>
  </si>
  <si>
    <t>p203</t>
  </si>
  <si>
    <t>p204</t>
  </si>
  <si>
    <t>p205</t>
  </si>
  <si>
    <t>p206</t>
  </si>
  <si>
    <t>p207</t>
  </si>
  <si>
    <t>p208</t>
  </si>
  <si>
    <t>p301</t>
  </si>
  <si>
    <t>p302</t>
  </si>
  <si>
    <t>p303</t>
  </si>
  <si>
    <t>p304</t>
  </si>
  <si>
    <t>p305</t>
  </si>
  <si>
    <t>p306</t>
  </si>
  <si>
    <t>p307</t>
  </si>
  <si>
    <t>p308</t>
  </si>
  <si>
    <t>p401</t>
  </si>
  <si>
    <t>p402</t>
  </si>
  <si>
    <t>p403</t>
  </si>
  <si>
    <t>p404</t>
  </si>
  <si>
    <t>p405</t>
  </si>
  <si>
    <t>p406</t>
  </si>
  <si>
    <t>p407</t>
  </si>
  <si>
    <t>p408</t>
  </si>
  <si>
    <t>p902</t>
  </si>
  <si>
    <t>p904</t>
  </si>
  <si>
    <t>p906</t>
  </si>
  <si>
    <t>p908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</si>
</sst>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4" fontId="0" fillId="2" borderId="0" xfId="0" applyNumberFormat="1" applyFill="1"/>
    <xf numFmtId="164" fontId="0" fillId="0" borderId="0" xfId="0" applyNumberFormat="1"/>
    <xf numFmtId="164" fontId="0" fillId="2" borderId="0" xfId="0" applyNumberFormat="1" applyFill="1"/>
    <xf numFmtId="2" fontId="0" fillId="2" borderId="0" xfId="0" applyNumberFormat="1" applyFill="1"/>
    <xf numFmtId="165" fontId="0" fillId="2" borderId="0" xfId="0" applyNumberFormat="1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WFWAH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1:1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Compare!$N$5:$N$6</c:f>
              <c:numCache>
                <c:formatCode>General</c:formatCode>
                <c:ptCount val="2"/>
                <c:pt idx="0">
                  <c:v>0</c:v>
                </c:pt>
                <c:pt idx="1">
                  <c:v>2000</c:v>
                </c:pt>
              </c:numCache>
            </c:numRef>
          </c:xVal>
          <c:yVal>
            <c:numRef>
              <c:f>Compare!$N$5:$N$6</c:f>
              <c:numCache>
                <c:formatCode>General</c:formatCode>
                <c:ptCount val="2"/>
                <c:pt idx="0">
                  <c:v>0</c:v>
                </c:pt>
                <c:pt idx="1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8A-4F08-966A-F8DC98749202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Compare!$B$6:$B$41</c:f>
              <c:numCache>
                <c:formatCode>General</c:formatCode>
                <c:ptCount val="36"/>
                <c:pt idx="0">
                  <c:v>1320.8045382596224</c:v>
                </c:pt>
                <c:pt idx="1">
                  <c:v>1566.1621266340587</c:v>
                </c:pt>
                <c:pt idx="2">
                  <c:v>1283.2179311388734</c:v>
                </c:pt>
                <c:pt idx="3">
                  <c:v>1312.2293898616733</c:v>
                </c:pt>
                <c:pt idx="4">
                  <c:v>1263.8379649491621</c:v>
                </c:pt>
                <c:pt idx="5">
                  <c:v>1133.2395019685978</c:v>
                </c:pt>
                <c:pt idx="6">
                  <c:v>1431.8983037958687</c:v>
                </c:pt>
                <c:pt idx="7">
                  <c:v>1483.3114525600183</c:v>
                </c:pt>
                <c:pt idx="8">
                  <c:v>1513.9380597517281</c:v>
                </c:pt>
                <c:pt idx="9">
                  <c:v>1160.2979987764897</c:v>
                </c:pt>
                <c:pt idx="10">
                  <c:v>1575.6975790964177</c:v>
                </c:pt>
                <c:pt idx="11">
                  <c:v>1057.1232789764999</c:v>
                </c:pt>
                <c:pt idx="12">
                  <c:v>1680.3908411182599</c:v>
                </c:pt>
                <c:pt idx="13">
                  <c:v>1273.9486206221825</c:v>
                </c:pt>
                <c:pt idx="14">
                  <c:v>1484.3626420197647</c:v>
                </c:pt>
                <c:pt idx="15">
                  <c:v>1498.9888382522829</c:v>
                </c:pt>
                <c:pt idx="16">
                  <c:v>1383.0921397904106</c:v>
                </c:pt>
                <c:pt idx="17">
                  <c:v>1704.2947108958037</c:v>
                </c:pt>
                <c:pt idx="18">
                  <c:v>1403.4649973310243</c:v>
                </c:pt>
                <c:pt idx="19">
                  <c:v>1695.7640755742705</c:v>
                </c:pt>
                <c:pt idx="20">
                  <c:v>1314.6093835948166</c:v>
                </c:pt>
                <c:pt idx="21">
                  <c:v>1688.4811255664436</c:v>
                </c:pt>
                <c:pt idx="22">
                  <c:v>1334.6633660511936</c:v>
                </c:pt>
                <c:pt idx="23">
                  <c:v>1297.563735950863</c:v>
                </c:pt>
                <c:pt idx="24">
                  <c:v>1084.3788506204944</c:v>
                </c:pt>
                <c:pt idx="25">
                  <c:v>1427.8859445878993</c:v>
                </c:pt>
                <c:pt idx="26">
                  <c:v>1554.4849169199274</c:v>
                </c:pt>
                <c:pt idx="27">
                  <c:v>1464.3145860159377</c:v>
                </c:pt>
                <c:pt idx="28">
                  <c:v>1459.7607054867719</c:v>
                </c:pt>
                <c:pt idx="29">
                  <c:v>1449.6956246149523</c:v>
                </c:pt>
                <c:pt idx="30">
                  <c:v>1348.6601919686409</c:v>
                </c:pt>
                <c:pt idx="31">
                  <c:v>1200.5110040813122</c:v>
                </c:pt>
                <c:pt idx="32">
                  <c:v>668.11252875529874</c:v>
                </c:pt>
                <c:pt idx="33">
                  <c:v>166.63861241167101</c:v>
                </c:pt>
                <c:pt idx="34">
                  <c:v>781.86039871945013</c:v>
                </c:pt>
                <c:pt idx="35">
                  <c:v>192.79156501920352</c:v>
                </c:pt>
              </c:numCache>
            </c:numRef>
          </c:xVal>
          <c:yVal>
            <c:numRef>
              <c:f>'Raw Scale'!$N$38:$N$73</c:f>
              <c:numCache>
                <c:formatCode>0.0</c:formatCode>
                <c:ptCount val="36"/>
                <c:pt idx="0">
                  <c:v>1361.4739358040736</c:v>
                </c:pt>
                <c:pt idx="1">
                  <c:v>1598.7367809042973</c:v>
                </c:pt>
                <c:pt idx="2">
                  <c:v>1314.7697772783472</c:v>
                </c:pt>
                <c:pt idx="3">
                  <c:v>1329.3168100048367</c:v>
                </c:pt>
                <c:pt idx="4">
                  <c:v>1267.1301151449811</c:v>
                </c:pt>
                <c:pt idx="5">
                  <c:v>1136.3758412337872</c:v>
                </c:pt>
                <c:pt idx="6">
                  <c:v>1435.4893419313767</c:v>
                </c:pt>
                <c:pt idx="7">
                  <c:v>1490.312521027118</c:v>
                </c:pt>
                <c:pt idx="8">
                  <c:v>1535.1652035751945</c:v>
                </c:pt>
                <c:pt idx="9">
                  <c:v>1192.4861653740636</c:v>
                </c:pt>
                <c:pt idx="10">
                  <c:v>1608.0621024491027</c:v>
                </c:pt>
                <c:pt idx="11">
                  <c:v>1075.7662475718078</c:v>
                </c:pt>
                <c:pt idx="12">
                  <c:v>1688.7635559561922</c:v>
                </c:pt>
                <c:pt idx="13">
                  <c:v>1278.6294928627774</c:v>
                </c:pt>
                <c:pt idx="14">
                  <c:v>1497.5831177829914</c:v>
                </c:pt>
                <c:pt idx="15">
                  <c:v>1509.2271386714681</c:v>
                </c:pt>
                <c:pt idx="16">
                  <c:v>1396.6100662852166</c:v>
                </c:pt>
                <c:pt idx="17">
                  <c:v>1732.3690042346009</c:v>
                </c:pt>
                <c:pt idx="18">
                  <c:v>1413.7397751995602</c:v>
                </c:pt>
                <c:pt idx="19">
                  <c:v>1716.2418984639278</c:v>
                </c:pt>
                <c:pt idx="20">
                  <c:v>1323.8031612387924</c:v>
                </c:pt>
                <c:pt idx="21">
                  <c:v>1693.8767859330751</c:v>
                </c:pt>
                <c:pt idx="22">
                  <c:v>1343.2854734559326</c:v>
                </c:pt>
                <c:pt idx="23">
                  <c:v>1307.2830355212911</c:v>
                </c:pt>
                <c:pt idx="24">
                  <c:v>1094.0807188752485</c:v>
                </c:pt>
                <c:pt idx="25">
                  <c:v>1436.6755393405037</c:v>
                </c:pt>
                <c:pt idx="26">
                  <c:v>1563.6245842453227</c:v>
                </c:pt>
                <c:pt idx="27">
                  <c:v>1474.5982554663312</c:v>
                </c:pt>
                <c:pt idx="28">
                  <c:v>1466.6256254275711</c:v>
                </c:pt>
                <c:pt idx="29">
                  <c:v>1464.9874920206798</c:v>
                </c:pt>
                <c:pt idx="30">
                  <c:v>1354.3222485421959</c:v>
                </c:pt>
                <c:pt idx="31">
                  <c:v>1203.627842977166</c:v>
                </c:pt>
                <c:pt idx="32">
                  <c:v>670.25613702706835</c:v>
                </c:pt>
                <c:pt idx="33">
                  <c:v>168.23214682784601</c:v>
                </c:pt>
                <c:pt idx="34">
                  <c:v>785.68660109615917</c:v>
                </c:pt>
                <c:pt idx="35">
                  <c:v>195.67728512074558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8A-4F08-966A-F8DC98749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677960"/>
        <c:axId val="862680120"/>
      </c:scatterChart>
      <c:valAx>
        <c:axId val="862677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680120"/>
        <c:crosses val="autoZero"/>
        <c:crossBetween val="midCat"/>
      </c:valAx>
      <c:valAx>
        <c:axId val="862680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677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WSCWAH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1:1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Compare!$N$23:$N$24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Compare!$N$23:$N$24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A6-457E-A0F0-6FC4C0CBD472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Compare!$C$6:$C$41</c:f>
              <c:numCache>
                <c:formatCode>General</c:formatCode>
                <c:ptCount val="36"/>
                <c:pt idx="0">
                  <c:v>3821.3924431321088</c:v>
                </c:pt>
                <c:pt idx="1">
                  <c:v>4242.5497594050739</c:v>
                </c:pt>
                <c:pt idx="2">
                  <c:v>3630.4680664916887</c:v>
                </c:pt>
                <c:pt idx="3">
                  <c:v>3503.7114501312335</c:v>
                </c:pt>
                <c:pt idx="4">
                  <c:v>3502.9732611548557</c:v>
                </c:pt>
                <c:pt idx="5">
                  <c:v>3383.4755030621172</c:v>
                </c:pt>
                <c:pt idx="6">
                  <c:v>3911.0003827646542</c:v>
                </c:pt>
                <c:pt idx="7">
                  <c:v>4221.3404965004374</c:v>
                </c:pt>
                <c:pt idx="8">
                  <c:v>4102.1776574803152</c:v>
                </c:pt>
                <c:pt idx="9">
                  <c:v>3273.2461176727911</c:v>
                </c:pt>
                <c:pt idx="10">
                  <c:v>4429.2022090988621</c:v>
                </c:pt>
                <c:pt idx="11">
                  <c:v>3075.39780183727</c:v>
                </c:pt>
                <c:pt idx="12">
                  <c:v>4849.2795822397193</c:v>
                </c:pt>
                <c:pt idx="13">
                  <c:v>3580.9615594925635</c:v>
                </c:pt>
                <c:pt idx="14">
                  <c:v>4136.4282589676295</c:v>
                </c:pt>
                <c:pt idx="15">
                  <c:v>4233.062664041995</c:v>
                </c:pt>
                <c:pt idx="16">
                  <c:v>3744.9352034120739</c:v>
                </c:pt>
                <c:pt idx="17">
                  <c:v>4531.0859580052484</c:v>
                </c:pt>
                <c:pt idx="18">
                  <c:v>3855.8754374453188</c:v>
                </c:pt>
                <c:pt idx="19">
                  <c:v>4570.5448928258966</c:v>
                </c:pt>
                <c:pt idx="20">
                  <c:v>3743.2195975503059</c:v>
                </c:pt>
                <c:pt idx="21">
                  <c:v>4481.0463145231843</c:v>
                </c:pt>
                <c:pt idx="22">
                  <c:v>3756.0422134733158</c:v>
                </c:pt>
                <c:pt idx="23">
                  <c:v>3691.1020888014004</c:v>
                </c:pt>
                <c:pt idx="24">
                  <c:v>3220.0828412073492</c:v>
                </c:pt>
                <c:pt idx="25">
                  <c:v>4047.3056102362202</c:v>
                </c:pt>
                <c:pt idx="26">
                  <c:v>4126.9411636045497</c:v>
                </c:pt>
                <c:pt idx="27">
                  <c:v>4131.5001640419941</c:v>
                </c:pt>
                <c:pt idx="28">
                  <c:v>3866.0870516185478</c:v>
                </c:pt>
                <c:pt idx="29">
                  <c:v>4098.4593722659665</c:v>
                </c:pt>
                <c:pt idx="30">
                  <c:v>3980.6225393700788</c:v>
                </c:pt>
                <c:pt idx="31">
                  <c:v>3356.6478018372704</c:v>
                </c:pt>
                <c:pt idx="32">
                  <c:v>2002.5153105861771</c:v>
                </c:pt>
                <c:pt idx="33">
                  <c:v>515.33929352580924</c:v>
                </c:pt>
                <c:pt idx="34">
                  <c:v>2332.4994531933503</c:v>
                </c:pt>
                <c:pt idx="35">
                  <c:v>621.03565179352586</c:v>
                </c:pt>
              </c:numCache>
            </c:numRef>
          </c:xVal>
          <c:yVal>
            <c:numRef>
              <c:f>'Raw Scale'!$P$38:$P$73</c:f>
              <c:numCache>
                <c:formatCode>0.0</c:formatCode>
                <c:ptCount val="36"/>
                <c:pt idx="0">
                  <c:v>3831.8954352096498</c:v>
                </c:pt>
                <c:pt idx="1">
                  <c:v>4204.5562470982959</c:v>
                </c:pt>
                <c:pt idx="2">
                  <c:v>3603.0174593939446</c:v>
                </c:pt>
                <c:pt idx="3">
                  <c:v>3465.8066896257233</c:v>
                </c:pt>
                <c:pt idx="4">
                  <c:v>3390.1099775531402</c:v>
                </c:pt>
                <c:pt idx="5">
                  <c:v>3213.1872818164129</c:v>
                </c:pt>
                <c:pt idx="6">
                  <c:v>3777.53952049382</c:v>
                </c:pt>
                <c:pt idx="7">
                  <c:v>4057.6841043032819</c:v>
                </c:pt>
                <c:pt idx="8">
                  <c:v>4024.8348003712849</c:v>
                </c:pt>
                <c:pt idx="9">
                  <c:v>3287.8692237643158</c:v>
                </c:pt>
                <c:pt idx="10">
                  <c:v>4373.2655310149421</c:v>
                </c:pt>
                <c:pt idx="11">
                  <c:v>3010.6477619852603</c:v>
                </c:pt>
                <c:pt idx="12">
                  <c:v>4676.2653300392685</c:v>
                </c:pt>
                <c:pt idx="13">
                  <c:v>3463.5458964749641</c:v>
                </c:pt>
                <c:pt idx="14">
                  <c:v>3995.8660658129506</c:v>
                </c:pt>
                <c:pt idx="15">
                  <c:v>4139.16749912868</c:v>
                </c:pt>
                <c:pt idx="16">
                  <c:v>3675.5822799094976</c:v>
                </c:pt>
                <c:pt idx="17">
                  <c:v>4471.4912941876692</c:v>
                </c:pt>
                <c:pt idx="18">
                  <c:v>3834.2258621156871</c:v>
                </c:pt>
                <c:pt idx="19">
                  <c:v>4485.9684889120808</c:v>
                </c:pt>
                <c:pt idx="20">
                  <c:v>3643.0551691302917</c:v>
                </c:pt>
                <c:pt idx="21">
                  <c:v>4348.9254854526534</c:v>
                </c:pt>
                <c:pt idx="22">
                  <c:v>3653.472937002156</c:v>
                </c:pt>
                <c:pt idx="23">
                  <c:v>3550.2152532603213</c:v>
                </c:pt>
                <c:pt idx="24">
                  <c:v>3120.2417742892276</c:v>
                </c:pt>
                <c:pt idx="25">
                  <c:v>3937.47425382751</c:v>
                </c:pt>
                <c:pt idx="26">
                  <c:v>4016.4299719998667</c:v>
                </c:pt>
                <c:pt idx="27">
                  <c:v>4051.1805355432016</c:v>
                </c:pt>
                <c:pt idx="28">
                  <c:v>3761.4540268816481</c:v>
                </c:pt>
                <c:pt idx="29">
                  <c:v>3975.3079487660757</c:v>
                </c:pt>
                <c:pt idx="30">
                  <c:v>3809.8753251045491</c:v>
                </c:pt>
                <c:pt idx="31">
                  <c:v>3225.4143416948837</c:v>
                </c:pt>
                <c:pt idx="32">
                  <c:v>1933.5717892986427</c:v>
                </c:pt>
                <c:pt idx="33">
                  <c:v>465.81026354781653</c:v>
                </c:pt>
                <c:pt idx="34">
                  <c:v>2247.7598257393747</c:v>
                </c:pt>
                <c:pt idx="35">
                  <c:v>560.81989177675314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A6-457E-A0F0-6FC4C0CBD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677960"/>
        <c:axId val="862680120"/>
      </c:scatterChart>
      <c:valAx>
        <c:axId val="862677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680120"/>
        <c:crosses val="autoZero"/>
        <c:crossBetween val="midCat"/>
      </c:valAx>
      <c:valAx>
        <c:axId val="862680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677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5</xdr:row>
      <xdr:rowOff>54292</xdr:rowOff>
    </xdr:from>
    <xdr:to>
      <xdr:col>11</xdr:col>
      <xdr:colOff>523875</xdr:colOff>
      <xdr:row>20</xdr:row>
      <xdr:rowOff>79057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B52070-2979-A699-03EA-5C872749A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304800</xdr:colOff>
      <xdr:row>21</xdr:row>
      <xdr:rowOff>171450</xdr:rowOff>
    </xdr:from>
    <xdr:to>
      <xdr:col>12</xdr:col>
      <xdr:colOff>0</xdr:colOff>
      <xdr:row>37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5AF20E-0DEF-4220-AE30-0F04445BD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E8EA-A5C9-47F2-8D6E-B68B0450AD04}">
  <dimension ref="A1:Y73"/>
  <sheetViews>
    <sheetView tabSelected="1" workbookViewId="0"/>
  </sheetViews>
  <sheetFormatPr defaultRowHeight="14.4" x14ac:dyDescent="0.3"/>
  <cols>
    <col min="1" max="3" width="8.88671875" customWidth="1"/>
    <col min="4" max="5" width="10.5546875" bestFit="1" customWidth="1"/>
    <col min="7" max="7" width="10.5546875" bestFit="1" customWidth="1"/>
    <col min="17" max="17" width="9.5546875" bestFit="1" customWidth="1"/>
  </cols>
  <sheetData>
    <row r="1" spans="1:1" x14ac:dyDescent="0.3">
      <c r="A1" t="s">
        <v>75</v>
      </c>
    </row>
    <row r="2" spans="1:1" x14ac:dyDescent="0.3">
      <c r="A2" t="s">
        <v>76</v>
      </c>
    </row>
    <row r="3" spans="1:1" x14ac:dyDescent="0.3">
      <c r="A3" t="s">
        <v>31</v>
      </c>
    </row>
    <row r="4" spans="1:1" x14ac:dyDescent="0.3">
      <c r="A4" t="s">
        <v>37</v>
      </c>
    </row>
    <row r="5" spans="1:1" x14ac:dyDescent="0.3">
      <c r="A5" t="s">
        <v>65</v>
      </c>
    </row>
    <row r="6" spans="1:1" x14ac:dyDescent="0.3">
      <c r="A6" t="s">
        <v>34</v>
      </c>
    </row>
    <row r="7" spans="1:1" x14ac:dyDescent="0.3">
      <c r="A7" t="s">
        <v>38</v>
      </c>
    </row>
    <row r="8" spans="1:1" x14ac:dyDescent="0.3">
      <c r="A8" t="s">
        <v>22</v>
      </c>
    </row>
    <row r="9" spans="1:1" x14ac:dyDescent="0.3">
      <c r="A9" t="s">
        <v>66</v>
      </c>
    </row>
    <row r="10" spans="1:1" x14ac:dyDescent="0.3">
      <c r="A10" t="s">
        <v>73</v>
      </c>
    </row>
    <row r="11" spans="1:1" x14ac:dyDescent="0.3">
      <c r="A11" t="s">
        <v>23</v>
      </c>
    </row>
    <row r="12" spans="1:1" x14ac:dyDescent="0.3">
      <c r="A12" t="s">
        <v>24</v>
      </c>
    </row>
    <row r="13" spans="1:1" x14ac:dyDescent="0.3">
      <c r="A13" t="s">
        <v>67</v>
      </c>
    </row>
    <row r="14" spans="1:1" x14ac:dyDescent="0.3">
      <c r="A14" t="s">
        <v>25</v>
      </c>
    </row>
    <row r="15" spans="1:1" x14ac:dyDescent="0.3">
      <c r="A15" t="s">
        <v>26</v>
      </c>
    </row>
    <row r="16" spans="1:1" x14ac:dyDescent="0.3">
      <c r="A16" t="s">
        <v>27</v>
      </c>
    </row>
    <row r="17" spans="1:24" x14ac:dyDescent="0.3">
      <c r="A17" t="s">
        <v>72</v>
      </c>
    </row>
    <row r="18" spans="1:24" x14ac:dyDescent="0.3">
      <c r="A18" t="s">
        <v>57</v>
      </c>
    </row>
    <row r="19" spans="1:24" x14ac:dyDescent="0.3">
      <c r="A19" t="s">
        <v>58</v>
      </c>
    </row>
    <row r="20" spans="1:24" x14ac:dyDescent="0.3">
      <c r="A20" t="s">
        <v>59</v>
      </c>
    </row>
    <row r="21" spans="1:24" x14ac:dyDescent="0.3">
      <c r="A21" t="s">
        <v>60</v>
      </c>
    </row>
    <row r="22" spans="1:24" x14ac:dyDescent="0.3">
      <c r="A22" t="s">
        <v>61</v>
      </c>
    </row>
    <row r="23" spans="1:24" x14ac:dyDescent="0.3">
      <c r="A23" t="s">
        <v>62</v>
      </c>
    </row>
    <row r="24" spans="1:24" x14ac:dyDescent="0.3">
      <c r="A24" t="s">
        <v>63</v>
      </c>
    </row>
    <row r="26" spans="1:24" x14ac:dyDescent="0.3">
      <c r="A26" t="s">
        <v>5</v>
      </c>
    </row>
    <row r="27" spans="1:24" x14ac:dyDescent="0.3">
      <c r="A27">
        <f>6*1.016*4</f>
        <v>24.384</v>
      </c>
      <c r="B27" t="s">
        <v>32</v>
      </c>
    </row>
    <row r="28" spans="1:24" x14ac:dyDescent="0.3">
      <c r="A28">
        <f>6*1.016*2</f>
        <v>12.192</v>
      </c>
      <c r="B28" t="s">
        <v>64</v>
      </c>
    </row>
    <row r="29" spans="1:24" x14ac:dyDescent="0.3">
      <c r="A29">
        <v>1000</v>
      </c>
      <c r="B29" t="s">
        <v>33</v>
      </c>
    </row>
    <row r="30" spans="1:24" x14ac:dyDescent="0.3">
      <c r="A30">
        <v>10000</v>
      </c>
      <c r="B30" t="s">
        <v>6</v>
      </c>
    </row>
    <row r="32" spans="1:24" x14ac:dyDescent="0.3">
      <c r="B32" s="1"/>
      <c r="C32" s="1" t="s">
        <v>0</v>
      </c>
      <c r="D32" s="1" t="s">
        <v>0</v>
      </c>
      <c r="E32" t="s">
        <v>0</v>
      </c>
      <c r="F32" s="1" t="s">
        <v>0</v>
      </c>
      <c r="G32" s="1" t="s">
        <v>7</v>
      </c>
      <c r="H32" t="s">
        <v>7</v>
      </c>
      <c r="I32" t="s">
        <v>7</v>
      </c>
      <c r="J32" t="s">
        <v>7</v>
      </c>
      <c r="K32" s="1" t="s">
        <v>7</v>
      </c>
      <c r="L32" s="1" t="s">
        <v>7</v>
      </c>
      <c r="M32" s="1" t="s">
        <v>7</v>
      </c>
      <c r="N32" s="1" t="s">
        <v>17</v>
      </c>
      <c r="O32" s="1" t="s">
        <v>17</v>
      </c>
      <c r="P32" s="1" t="s">
        <v>17</v>
      </c>
      <c r="Q32" s="1" t="s">
        <v>39</v>
      </c>
      <c r="R32" s="1" t="s">
        <v>39</v>
      </c>
      <c r="S32" s="1" t="s">
        <v>39</v>
      </c>
      <c r="T32" s="1" t="s">
        <v>39</v>
      </c>
      <c r="U32" s="1" t="s">
        <v>39</v>
      </c>
      <c r="V32" s="1" t="s">
        <v>39</v>
      </c>
      <c r="W32" s="1" t="s">
        <v>39</v>
      </c>
      <c r="X32" s="1" t="s">
        <v>39</v>
      </c>
    </row>
    <row r="33" spans="1:25" x14ac:dyDescent="0.3">
      <c r="B33" s="1"/>
      <c r="C33" s="1"/>
      <c r="D33" s="1"/>
      <c r="F33" s="1"/>
      <c r="G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5" x14ac:dyDescent="0.3">
      <c r="B34" s="1"/>
      <c r="C34" s="1"/>
      <c r="D34" s="1"/>
      <c r="E34" t="s">
        <v>1</v>
      </c>
      <c r="F34" s="1"/>
      <c r="G34" s="1" t="s">
        <v>35</v>
      </c>
      <c r="H34" t="s">
        <v>8</v>
      </c>
      <c r="I34" t="s">
        <v>11</v>
      </c>
      <c r="J34" t="s">
        <v>12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5" x14ac:dyDescent="0.3">
      <c r="A35" t="s">
        <v>74</v>
      </c>
      <c r="B35" s="1" t="s">
        <v>21</v>
      </c>
      <c r="C35" s="1" t="s">
        <v>29</v>
      </c>
      <c r="D35" s="1" t="s">
        <v>2</v>
      </c>
      <c r="F35" s="1" t="s">
        <v>3</v>
      </c>
      <c r="G35" s="1" t="s">
        <v>36</v>
      </c>
      <c r="H35" t="s">
        <v>9</v>
      </c>
      <c r="I35" t="s">
        <v>9</v>
      </c>
      <c r="J35" t="s">
        <v>9</v>
      </c>
      <c r="K35" s="1" t="s">
        <v>13</v>
      </c>
      <c r="L35" s="1" t="s">
        <v>14</v>
      </c>
      <c r="M35" s="1" t="s">
        <v>15</v>
      </c>
      <c r="N35" s="1" t="s">
        <v>18</v>
      </c>
      <c r="O35" s="1" t="s">
        <v>19</v>
      </c>
      <c r="P35" s="1" t="s">
        <v>20</v>
      </c>
      <c r="Q35" s="1" t="s">
        <v>51</v>
      </c>
      <c r="R35" s="1" t="s">
        <v>40</v>
      </c>
      <c r="S35" s="1" t="s">
        <v>41</v>
      </c>
      <c r="T35" s="1" t="s">
        <v>42</v>
      </c>
      <c r="U35" s="1" t="s">
        <v>43</v>
      </c>
      <c r="V35" s="1" t="s">
        <v>44</v>
      </c>
      <c r="W35" s="1" t="s">
        <v>45</v>
      </c>
      <c r="X35" s="1" t="s">
        <v>46</v>
      </c>
    </row>
    <row r="36" spans="1:25" x14ac:dyDescent="0.3">
      <c r="B36" s="1"/>
      <c r="C36" s="1"/>
      <c r="D36" s="1"/>
      <c r="E36" t="s">
        <v>10</v>
      </c>
      <c r="F36" s="1" t="s">
        <v>4</v>
      </c>
      <c r="G36" s="1"/>
      <c r="H36" t="s">
        <v>10</v>
      </c>
      <c r="I36" t="s">
        <v>10</v>
      </c>
      <c r="J36" t="s">
        <v>10</v>
      </c>
      <c r="K36" s="5" t="s">
        <v>16</v>
      </c>
      <c r="L36" s="5" t="s">
        <v>16</v>
      </c>
      <c r="M36" s="5" t="s">
        <v>16</v>
      </c>
      <c r="N36" s="5" t="s">
        <v>4</v>
      </c>
      <c r="O36" s="5" t="s">
        <v>4</v>
      </c>
      <c r="P36" s="5" t="s">
        <v>4</v>
      </c>
      <c r="Q36" s="5"/>
      <c r="R36" s="1"/>
      <c r="S36" s="1" t="s">
        <v>47</v>
      </c>
      <c r="T36" s="1" t="s">
        <v>48</v>
      </c>
      <c r="U36" s="1" t="s">
        <v>49</v>
      </c>
      <c r="V36" s="1" t="s">
        <v>50</v>
      </c>
      <c r="W36" s="1"/>
      <c r="X36" s="1" t="s">
        <v>48</v>
      </c>
    </row>
    <row r="37" spans="1:25" x14ac:dyDescent="0.3">
      <c r="A37" t="s">
        <v>74</v>
      </c>
      <c r="B37" s="1" t="s">
        <v>21</v>
      </c>
      <c r="C37" s="1" t="s">
        <v>29</v>
      </c>
      <c r="D37" s="1" t="s">
        <v>2</v>
      </c>
      <c r="F37" s="1" t="s">
        <v>3</v>
      </c>
      <c r="G37" s="1" t="s">
        <v>36</v>
      </c>
      <c r="K37" s="1" t="s">
        <v>13</v>
      </c>
      <c r="L37" s="1" t="s">
        <v>14</v>
      </c>
      <c r="M37" s="1" t="s">
        <v>15</v>
      </c>
      <c r="N37" s="1" t="s">
        <v>18</v>
      </c>
      <c r="O37" s="1" t="s">
        <v>19</v>
      </c>
      <c r="P37" s="1" t="s">
        <v>20</v>
      </c>
      <c r="Q37" s="1" t="s">
        <v>51</v>
      </c>
      <c r="R37" s="1" t="s">
        <v>40</v>
      </c>
      <c r="S37" s="1" t="s">
        <v>41</v>
      </c>
      <c r="T37" s="1" t="s">
        <v>42</v>
      </c>
      <c r="U37" s="1" t="s">
        <v>43</v>
      </c>
      <c r="V37" s="1" t="s">
        <v>44</v>
      </c>
      <c r="W37" s="1" t="s">
        <v>45</v>
      </c>
      <c r="X37" s="1" t="s">
        <v>46</v>
      </c>
    </row>
    <row r="38" spans="1:25" x14ac:dyDescent="0.3">
      <c r="A38">
        <v>1</v>
      </c>
      <c r="B38" s="7" t="s">
        <v>77</v>
      </c>
      <c r="C38" s="1" t="s">
        <v>30</v>
      </c>
      <c r="D38" s="2">
        <v>37537</v>
      </c>
      <c r="E38" s="3">
        <v>9605</v>
      </c>
      <c r="F38" s="4">
        <f>(E38/$A$29)/$A$27*$A$30</f>
        <v>3939.0583989501315</v>
      </c>
      <c r="G38" s="2">
        <v>37560</v>
      </c>
      <c r="H38" s="3">
        <v>3124.4</v>
      </c>
      <c r="I38" s="3">
        <v>1079.9000000000001</v>
      </c>
      <c r="J38" s="3">
        <v>1959.5</v>
      </c>
      <c r="K38" s="6">
        <f>I38/H38</f>
        <v>0.34563436179746515</v>
      </c>
      <c r="L38" s="6">
        <f>J38/H38</f>
        <v>0.62716041479964146</v>
      </c>
      <c r="M38" s="6">
        <f>1-K38-L38</f>
        <v>2.7205223402893441E-2</v>
      </c>
      <c r="N38" s="4">
        <f>F38*K38</f>
        <v>1361.4739358040736</v>
      </c>
      <c r="O38" s="4">
        <f>F38*L38</f>
        <v>2470.421499405576</v>
      </c>
      <c r="P38" s="4">
        <f>N38+O38</f>
        <v>3831.8954352096498</v>
      </c>
      <c r="Q38" s="2">
        <v>37568</v>
      </c>
      <c r="R38" s="1">
        <v>50</v>
      </c>
      <c r="S38" s="5">
        <v>1.0900000000000001</v>
      </c>
      <c r="T38" s="4">
        <v>80</v>
      </c>
      <c r="U38" s="4">
        <v>30.3</v>
      </c>
      <c r="V38" s="4">
        <v>82</v>
      </c>
      <c r="W38" s="7" t="s">
        <v>52</v>
      </c>
      <c r="X38" s="5">
        <v>0.1</v>
      </c>
      <c r="Y38" s="3"/>
    </row>
    <row r="39" spans="1:25" x14ac:dyDescent="0.3">
      <c r="A39">
        <v>2</v>
      </c>
      <c r="B39" s="7" t="s">
        <v>78</v>
      </c>
      <c r="C39" s="1" t="s">
        <v>30</v>
      </c>
      <c r="D39" s="2">
        <v>37537</v>
      </c>
      <c r="E39" s="3">
        <v>10560.2</v>
      </c>
      <c r="F39" s="4">
        <f t="shared" ref="F39:F69" si="0">(E39/$A$29)/$A$27*$A$30</f>
        <v>4330.7906824146976</v>
      </c>
      <c r="G39" s="2">
        <v>37560</v>
      </c>
      <c r="H39" s="3">
        <v>3101.4</v>
      </c>
      <c r="I39" s="3">
        <v>1144.9000000000001</v>
      </c>
      <c r="J39" s="3">
        <v>1866.1</v>
      </c>
      <c r="K39" s="6">
        <f t="shared" ref="K39:K73" si="1">I39/H39</f>
        <v>0.36915586509318377</v>
      </c>
      <c r="L39" s="6">
        <f t="shared" ref="L39:L73" si="2">J39/H39</f>
        <v>0.60169600825433667</v>
      </c>
      <c r="M39" s="6">
        <f t="shared" ref="M39:M73" si="3">1-K39-L39</f>
        <v>2.9148126652479567E-2</v>
      </c>
      <c r="N39" s="4">
        <f t="shared" ref="N39:N73" si="4">F39*K39</f>
        <v>1598.7367809042973</v>
      </c>
      <c r="O39" s="4">
        <f t="shared" ref="O39:O73" si="5">F39*L39</f>
        <v>2605.8194661939983</v>
      </c>
      <c r="P39" s="4">
        <f t="shared" ref="P39:P73" si="6">N39+O39</f>
        <v>4204.5562470982959</v>
      </c>
      <c r="Q39" s="2">
        <v>37568</v>
      </c>
      <c r="R39" s="1">
        <v>53</v>
      </c>
      <c r="S39" s="5">
        <v>1.1100000000000001</v>
      </c>
      <c r="T39" s="4">
        <v>82</v>
      </c>
      <c r="U39" s="4">
        <v>31.2</v>
      </c>
      <c r="V39" s="4">
        <v>83</v>
      </c>
      <c r="W39" s="7" t="s">
        <v>52</v>
      </c>
      <c r="X39" s="5">
        <v>0.1</v>
      </c>
      <c r="Y39" s="3"/>
    </row>
    <row r="40" spans="1:25" x14ac:dyDescent="0.3">
      <c r="A40">
        <v>3</v>
      </c>
      <c r="B40" s="7" t="s">
        <v>79</v>
      </c>
      <c r="C40" s="1" t="s">
        <v>30</v>
      </c>
      <c r="D40" s="2">
        <v>37537</v>
      </c>
      <c r="E40" s="3">
        <v>9070.2000000000007</v>
      </c>
      <c r="F40" s="4">
        <f t="shared" si="0"/>
        <v>3719.7342519685044</v>
      </c>
      <c r="G40" s="2">
        <v>37560</v>
      </c>
      <c r="H40" s="3">
        <v>3107.3</v>
      </c>
      <c r="I40" s="3">
        <v>1098.3</v>
      </c>
      <c r="J40" s="3">
        <v>1911.5</v>
      </c>
      <c r="K40" s="6">
        <f t="shared" si="1"/>
        <v>0.35345798603289025</v>
      </c>
      <c r="L40" s="6">
        <f t="shared" si="2"/>
        <v>0.61516429054162769</v>
      </c>
      <c r="M40" s="6">
        <f t="shared" si="3"/>
        <v>3.1377723425482063E-2</v>
      </c>
      <c r="N40" s="4">
        <f t="shared" si="4"/>
        <v>1314.7697772783472</v>
      </c>
      <c r="O40" s="4">
        <f t="shared" si="5"/>
        <v>2288.2476821155974</v>
      </c>
      <c r="P40" s="4">
        <f t="shared" si="6"/>
        <v>3603.0174593939446</v>
      </c>
      <c r="Q40" s="2">
        <v>37568</v>
      </c>
      <c r="R40" s="1">
        <v>49</v>
      </c>
      <c r="S40" s="5">
        <v>1.0900000000000001</v>
      </c>
      <c r="T40" s="4">
        <v>80</v>
      </c>
      <c r="U40" s="4">
        <v>30.5</v>
      </c>
      <c r="V40" s="4">
        <v>82</v>
      </c>
      <c r="W40" s="7" t="s">
        <v>52</v>
      </c>
      <c r="X40" s="5">
        <v>0.2</v>
      </c>
      <c r="Y40" s="3"/>
    </row>
    <row r="41" spans="1:25" x14ac:dyDescent="0.3">
      <c r="A41">
        <v>4</v>
      </c>
      <c r="B41" s="7" t="s">
        <v>80</v>
      </c>
      <c r="C41" s="1" t="s">
        <v>30</v>
      </c>
      <c r="D41" s="2">
        <v>37537</v>
      </c>
      <c r="E41" s="3">
        <v>8654.7000000000007</v>
      </c>
      <c r="F41" s="4">
        <f t="shared" si="0"/>
        <v>3549.3356299212596</v>
      </c>
      <c r="G41" s="2">
        <v>37560</v>
      </c>
      <c r="H41" s="3">
        <v>3029.7</v>
      </c>
      <c r="I41" s="3">
        <v>1134.7</v>
      </c>
      <c r="J41" s="3">
        <v>1823.7</v>
      </c>
      <c r="K41" s="6">
        <f t="shared" si="1"/>
        <v>0.37452553058058558</v>
      </c>
      <c r="L41" s="6">
        <f t="shared" si="2"/>
        <v>0.60194078621645708</v>
      </c>
      <c r="M41" s="6">
        <f t="shared" si="3"/>
        <v>2.3533683202957345E-2</v>
      </c>
      <c r="N41" s="4">
        <f t="shared" si="4"/>
        <v>1329.3168100048367</v>
      </c>
      <c r="O41" s="4">
        <f t="shared" si="5"/>
        <v>2136.4898796208868</v>
      </c>
      <c r="P41" s="4">
        <f t="shared" si="6"/>
        <v>3465.8066896257233</v>
      </c>
      <c r="Q41" s="2">
        <v>37568</v>
      </c>
      <c r="R41" s="1">
        <v>51</v>
      </c>
      <c r="S41" s="5">
        <v>1.1100000000000001</v>
      </c>
      <c r="T41" s="4">
        <v>82</v>
      </c>
      <c r="U41" s="4">
        <v>31</v>
      </c>
      <c r="V41" s="4">
        <v>82</v>
      </c>
      <c r="W41" s="7" t="s">
        <v>53</v>
      </c>
      <c r="X41" s="5">
        <v>0.1</v>
      </c>
      <c r="Y41" s="3"/>
    </row>
    <row r="42" spans="1:25" x14ac:dyDescent="0.3">
      <c r="A42">
        <v>5</v>
      </c>
      <c r="B42" s="7" t="s">
        <v>81</v>
      </c>
      <c r="C42" s="1" t="s">
        <v>30</v>
      </c>
      <c r="D42" s="2">
        <v>37537</v>
      </c>
      <c r="E42" s="3">
        <v>8563.9</v>
      </c>
      <c r="F42" s="4">
        <f t="shared" si="0"/>
        <v>3512.0980971128606</v>
      </c>
      <c r="G42" s="2">
        <v>37560</v>
      </c>
      <c r="H42" s="3">
        <v>3270.6</v>
      </c>
      <c r="I42" s="3">
        <v>1180</v>
      </c>
      <c r="J42" s="3">
        <v>1977</v>
      </c>
      <c r="K42" s="6">
        <f t="shared" si="1"/>
        <v>0.36079006910047084</v>
      </c>
      <c r="L42" s="6">
        <f t="shared" si="2"/>
        <v>0.6044762428912126</v>
      </c>
      <c r="M42" s="6">
        <f t="shared" si="3"/>
        <v>3.4733688008316554E-2</v>
      </c>
      <c r="N42" s="4">
        <f t="shared" si="4"/>
        <v>1267.1301151449811</v>
      </c>
      <c r="O42" s="4">
        <f t="shared" si="5"/>
        <v>2122.9798624081591</v>
      </c>
      <c r="P42" s="4">
        <f t="shared" si="6"/>
        <v>3390.1099775531402</v>
      </c>
      <c r="Q42" s="2">
        <v>37568</v>
      </c>
      <c r="R42" s="1">
        <v>45</v>
      </c>
      <c r="S42" s="5">
        <v>1.1100000000000001</v>
      </c>
      <c r="T42" s="4">
        <v>81</v>
      </c>
      <c r="U42" s="4">
        <v>29</v>
      </c>
      <c r="V42" s="4">
        <v>81</v>
      </c>
      <c r="W42" s="7" t="s">
        <v>53</v>
      </c>
      <c r="X42" s="5">
        <v>0.1</v>
      </c>
      <c r="Y42" s="3"/>
    </row>
    <row r="43" spans="1:25" x14ac:dyDescent="0.3">
      <c r="A43">
        <v>6</v>
      </c>
      <c r="B43" s="7" t="s">
        <v>82</v>
      </c>
      <c r="C43" s="1" t="s">
        <v>30</v>
      </c>
      <c r="D43" s="2">
        <v>37537</v>
      </c>
      <c r="E43" s="3">
        <v>8273.1</v>
      </c>
      <c r="F43" s="4">
        <f t="shared" si="0"/>
        <v>3392.8395669291344</v>
      </c>
      <c r="G43" s="2">
        <v>37560</v>
      </c>
      <c r="H43" s="3">
        <v>3499.5</v>
      </c>
      <c r="I43" s="3">
        <v>1172.0999999999999</v>
      </c>
      <c r="J43" s="3">
        <v>2142.1</v>
      </c>
      <c r="K43" s="6">
        <f t="shared" si="1"/>
        <v>0.33493356193741963</v>
      </c>
      <c r="L43" s="6">
        <f t="shared" si="2"/>
        <v>0.61211601657379622</v>
      </c>
      <c r="M43" s="6">
        <f t="shared" si="3"/>
        <v>5.295042148878415E-2</v>
      </c>
      <c r="N43" s="4">
        <f t="shared" si="4"/>
        <v>1136.3758412337872</v>
      </c>
      <c r="O43" s="4">
        <f t="shared" si="5"/>
        <v>2076.8114405826254</v>
      </c>
      <c r="P43" s="4">
        <f t="shared" si="6"/>
        <v>3213.1872818164129</v>
      </c>
      <c r="Q43" s="2">
        <v>37568</v>
      </c>
      <c r="R43" s="1">
        <v>50</v>
      </c>
      <c r="S43" s="5">
        <v>1.1200000000000001</v>
      </c>
      <c r="T43" s="4">
        <v>82</v>
      </c>
      <c r="U43" s="4">
        <v>31.1</v>
      </c>
      <c r="V43" s="4">
        <v>81</v>
      </c>
      <c r="W43" s="7" t="s">
        <v>53</v>
      </c>
      <c r="X43" s="5">
        <v>0.1</v>
      </c>
      <c r="Y43" s="3"/>
    </row>
    <row r="44" spans="1:25" x14ac:dyDescent="0.3">
      <c r="A44">
        <v>7</v>
      </c>
      <c r="B44" s="7" t="s">
        <v>83</v>
      </c>
      <c r="C44" s="1" t="s">
        <v>30</v>
      </c>
      <c r="D44" s="2">
        <v>37537</v>
      </c>
      <c r="E44" s="3">
        <v>9560.5</v>
      </c>
      <c r="F44" s="4">
        <f t="shared" si="0"/>
        <v>3920.8087270341202</v>
      </c>
      <c r="G44" s="2">
        <v>37560</v>
      </c>
      <c r="H44" s="3">
        <v>3223.8</v>
      </c>
      <c r="I44" s="3">
        <v>1180.3</v>
      </c>
      <c r="J44" s="3">
        <v>1925.7</v>
      </c>
      <c r="K44" s="6">
        <f t="shared" si="1"/>
        <v>0.36612072709225135</v>
      </c>
      <c r="L44" s="6">
        <f t="shared" si="2"/>
        <v>0.59733854457472546</v>
      </c>
      <c r="M44" s="6">
        <f t="shared" si="3"/>
        <v>3.6540728333023242E-2</v>
      </c>
      <c r="N44" s="4">
        <f t="shared" si="4"/>
        <v>1435.4893419313767</v>
      </c>
      <c r="O44" s="4">
        <f t="shared" si="5"/>
        <v>2342.0501785624433</v>
      </c>
      <c r="P44" s="4">
        <f t="shared" si="6"/>
        <v>3777.53952049382</v>
      </c>
      <c r="Q44" s="2">
        <v>37568</v>
      </c>
      <c r="R44" s="1">
        <v>53</v>
      </c>
      <c r="S44" s="5">
        <v>1.1000000000000001</v>
      </c>
      <c r="T44" s="4">
        <v>80</v>
      </c>
      <c r="U44" s="4">
        <v>29.8</v>
      </c>
      <c r="V44" s="4">
        <v>82</v>
      </c>
      <c r="W44" s="7" t="s">
        <v>53</v>
      </c>
      <c r="X44" s="5">
        <v>0.1</v>
      </c>
      <c r="Y44" s="3"/>
    </row>
    <row r="45" spans="1:25" x14ac:dyDescent="0.3">
      <c r="A45">
        <v>8</v>
      </c>
      <c r="B45" s="7" t="s">
        <v>84</v>
      </c>
      <c r="C45" s="1" t="s">
        <v>30</v>
      </c>
      <c r="D45" s="2">
        <v>37537</v>
      </c>
      <c r="E45" s="3">
        <v>10341.9</v>
      </c>
      <c r="F45" s="4">
        <f>(E45/$A$29)/$A$27*$A$30</f>
        <v>4241.2647637795271</v>
      </c>
      <c r="G45" s="2">
        <v>37560</v>
      </c>
      <c r="H45" s="3">
        <v>3229.8</v>
      </c>
      <c r="I45" s="3">
        <v>1134.9000000000001</v>
      </c>
      <c r="J45" s="3">
        <v>1955.1</v>
      </c>
      <c r="K45" s="6">
        <f t="shared" si="1"/>
        <v>0.35138398662455883</v>
      </c>
      <c r="L45" s="6">
        <f t="shared" si="2"/>
        <v>0.60533159947984394</v>
      </c>
      <c r="M45" s="6">
        <f t="shared" si="3"/>
        <v>4.3284413895597229E-2</v>
      </c>
      <c r="N45" s="4">
        <f t="shared" si="4"/>
        <v>1490.312521027118</v>
      </c>
      <c r="O45" s="4">
        <f t="shared" si="5"/>
        <v>2567.3715832761636</v>
      </c>
      <c r="P45" s="4">
        <f t="shared" si="6"/>
        <v>4057.6841043032819</v>
      </c>
      <c r="Q45" s="2">
        <v>37568</v>
      </c>
      <c r="R45" s="1">
        <v>48</v>
      </c>
      <c r="S45" s="5">
        <v>1.1299999999999999</v>
      </c>
      <c r="T45" s="4">
        <v>82</v>
      </c>
      <c r="U45" s="4">
        <v>30</v>
      </c>
      <c r="V45" s="4">
        <v>82</v>
      </c>
      <c r="W45" s="7" t="s">
        <v>53</v>
      </c>
      <c r="X45" s="5">
        <v>0.1</v>
      </c>
      <c r="Y45" s="3"/>
    </row>
    <row r="46" spans="1:25" x14ac:dyDescent="0.3">
      <c r="A46">
        <v>9</v>
      </c>
      <c r="B46" s="7" t="s">
        <v>85</v>
      </c>
      <c r="C46" s="1" t="s">
        <v>30</v>
      </c>
      <c r="D46" s="2">
        <v>37537</v>
      </c>
      <c r="E46" s="3">
        <v>10143</v>
      </c>
      <c r="F46" s="4">
        <f t="shared" si="0"/>
        <v>4159.6948818897636</v>
      </c>
      <c r="G46" s="2">
        <v>37560</v>
      </c>
      <c r="H46" s="3">
        <v>3491.6</v>
      </c>
      <c r="I46" s="3">
        <v>1288.5999999999999</v>
      </c>
      <c r="J46" s="3">
        <v>2089.8000000000002</v>
      </c>
      <c r="K46" s="6">
        <f t="shared" si="1"/>
        <v>0.36905716576927483</v>
      </c>
      <c r="L46" s="6">
        <f>J46/H46</f>
        <v>0.59852216748768483</v>
      </c>
      <c r="M46" s="6">
        <f t="shared" si="3"/>
        <v>3.2420666743040338E-2</v>
      </c>
      <c r="N46" s="4">
        <f t="shared" si="4"/>
        <v>1535.1652035751945</v>
      </c>
      <c r="O46" s="4">
        <f t="shared" si="5"/>
        <v>2489.6695967960904</v>
      </c>
      <c r="P46" s="4">
        <f t="shared" si="6"/>
        <v>4024.8348003712849</v>
      </c>
      <c r="Q46" s="2">
        <v>37568</v>
      </c>
      <c r="R46" s="1">
        <v>51</v>
      </c>
      <c r="S46" s="5">
        <v>1.06</v>
      </c>
      <c r="T46" s="4">
        <v>80</v>
      </c>
      <c r="U46" s="4">
        <v>29</v>
      </c>
      <c r="V46" s="4">
        <v>83</v>
      </c>
      <c r="W46" s="7" t="s">
        <v>52</v>
      </c>
      <c r="X46" s="5">
        <v>0.1</v>
      </c>
      <c r="Y46" s="3"/>
    </row>
    <row r="47" spans="1:25" x14ac:dyDescent="0.3">
      <c r="A47">
        <v>10</v>
      </c>
      <c r="B47" s="7" t="s">
        <v>86</v>
      </c>
      <c r="C47" s="1" t="s">
        <v>30</v>
      </c>
      <c r="D47" s="2">
        <v>37537</v>
      </c>
      <c r="E47" s="3">
        <v>8202.9</v>
      </c>
      <c r="F47" s="4">
        <f t="shared" si="0"/>
        <v>3364.0501968503931</v>
      </c>
      <c r="G47" s="2">
        <v>37560</v>
      </c>
      <c r="H47" s="3">
        <v>3311.9</v>
      </c>
      <c r="I47" s="3">
        <v>1174</v>
      </c>
      <c r="J47" s="3">
        <v>2062.9</v>
      </c>
      <c r="K47" s="6">
        <f t="shared" si="1"/>
        <v>0.35447930191128957</v>
      </c>
      <c r="L47" s="6">
        <f t="shared" si="2"/>
        <v>0.6228750868081766</v>
      </c>
      <c r="M47" s="6">
        <f>1-K47-L47</f>
        <v>2.2645611280533884E-2</v>
      </c>
      <c r="N47" s="4">
        <f t="shared" si="4"/>
        <v>1192.4861653740636</v>
      </c>
      <c r="O47" s="4">
        <f t="shared" si="5"/>
        <v>2095.3830583902522</v>
      </c>
      <c r="P47" s="4">
        <f t="shared" si="6"/>
        <v>3287.8692237643158</v>
      </c>
      <c r="Q47" s="2">
        <v>37568</v>
      </c>
      <c r="R47" s="1">
        <v>53</v>
      </c>
      <c r="S47" s="5">
        <v>1.1000000000000001</v>
      </c>
      <c r="T47" s="4">
        <v>80</v>
      </c>
      <c r="U47" s="4">
        <v>30.5</v>
      </c>
      <c r="V47" s="4">
        <v>82</v>
      </c>
      <c r="W47" s="7" t="s">
        <v>54</v>
      </c>
      <c r="X47" s="5">
        <v>0.1</v>
      </c>
      <c r="Y47" s="3"/>
    </row>
    <row r="48" spans="1:25" x14ac:dyDescent="0.3">
      <c r="A48">
        <v>11</v>
      </c>
      <c r="B48" s="7" t="s">
        <v>87</v>
      </c>
      <c r="C48" s="1" t="s">
        <v>30</v>
      </c>
      <c r="D48" s="2">
        <v>37537</v>
      </c>
      <c r="E48" s="3">
        <v>11022</v>
      </c>
      <c r="F48" s="4">
        <f t="shared" si="0"/>
        <v>4520.177165354331</v>
      </c>
      <c r="G48" s="2">
        <v>37560</v>
      </c>
      <c r="H48" s="3">
        <v>3461.4</v>
      </c>
      <c r="I48" s="3">
        <v>1231.4000000000001</v>
      </c>
      <c r="J48" s="3">
        <v>2117.5</v>
      </c>
      <c r="K48" s="6">
        <f t="shared" si="1"/>
        <v>0.35575200785809213</v>
      </c>
      <c r="L48" s="6">
        <f t="shared" si="2"/>
        <v>0.61174669208990584</v>
      </c>
      <c r="M48" s="6">
        <f t="shared" si="3"/>
        <v>3.2501300052002025E-2</v>
      </c>
      <c r="N48" s="4">
        <f>F48*K48</f>
        <v>1608.0621024491027</v>
      </c>
      <c r="O48" s="4">
        <f t="shared" si="5"/>
        <v>2765.2034285658392</v>
      </c>
      <c r="P48" s="4">
        <f t="shared" si="6"/>
        <v>4373.2655310149421</v>
      </c>
      <c r="Q48" s="2">
        <v>37568</v>
      </c>
      <c r="R48" s="1">
        <v>55</v>
      </c>
      <c r="S48" s="5">
        <v>1.0900000000000001</v>
      </c>
      <c r="T48" s="4">
        <v>81</v>
      </c>
      <c r="U48" s="4">
        <v>30.3</v>
      </c>
      <c r="V48" s="4">
        <v>82</v>
      </c>
      <c r="W48" s="7" t="s">
        <v>52</v>
      </c>
      <c r="X48" s="5">
        <v>0.1</v>
      </c>
      <c r="Y48" s="3"/>
    </row>
    <row r="49" spans="1:25" x14ac:dyDescent="0.3">
      <c r="A49">
        <v>12</v>
      </c>
      <c r="B49" s="7" t="s">
        <v>88</v>
      </c>
      <c r="C49" s="1" t="s">
        <v>30</v>
      </c>
      <c r="D49" s="2">
        <v>37537</v>
      </c>
      <c r="E49" s="3">
        <v>7631.3</v>
      </c>
      <c r="F49" s="4">
        <f t="shared" si="0"/>
        <v>3129.6341863517064</v>
      </c>
      <c r="G49" s="2">
        <v>37560</v>
      </c>
      <c r="H49" s="3">
        <v>3009</v>
      </c>
      <c r="I49" s="3">
        <v>1034.3</v>
      </c>
      <c r="J49" s="3">
        <v>1860.3</v>
      </c>
      <c r="K49" s="6">
        <f t="shared" si="1"/>
        <v>0.3437354602858092</v>
      </c>
      <c r="L49" s="6">
        <f t="shared" si="2"/>
        <v>0.6182452642073778</v>
      </c>
      <c r="M49" s="6">
        <f t="shared" si="3"/>
        <v>3.8019275506813055E-2</v>
      </c>
      <c r="N49" s="4">
        <f t="shared" si="4"/>
        <v>1075.7662475718078</v>
      </c>
      <c r="O49" s="4">
        <f>F49*L49</f>
        <v>1934.8815144134526</v>
      </c>
      <c r="P49" s="4">
        <f t="shared" si="6"/>
        <v>3010.6477619852603</v>
      </c>
      <c r="Q49" s="2">
        <v>37568</v>
      </c>
      <c r="R49" s="1">
        <v>44</v>
      </c>
      <c r="S49" s="5">
        <v>1.1200000000000001</v>
      </c>
      <c r="T49" s="4">
        <v>82</v>
      </c>
      <c r="U49" s="4">
        <v>30.3</v>
      </c>
      <c r="V49" s="4">
        <v>81</v>
      </c>
      <c r="W49" s="7" t="s">
        <v>54</v>
      </c>
      <c r="X49" s="5">
        <v>0.1</v>
      </c>
      <c r="Y49" s="3"/>
    </row>
    <row r="50" spans="1:25" x14ac:dyDescent="0.3">
      <c r="A50">
        <v>13</v>
      </c>
      <c r="B50" s="7" t="s">
        <v>89</v>
      </c>
      <c r="C50" s="1" t="s">
        <v>30</v>
      </c>
      <c r="D50" s="2">
        <v>37540</v>
      </c>
      <c r="E50" s="3">
        <v>11883.4</v>
      </c>
      <c r="F50" s="4">
        <f t="shared" si="0"/>
        <v>4873.441601049869</v>
      </c>
      <c r="G50" s="2">
        <v>37560</v>
      </c>
      <c r="H50" s="3">
        <v>3378.7</v>
      </c>
      <c r="I50" s="3">
        <v>1170.8</v>
      </c>
      <c r="J50" s="3">
        <v>2071.1999999999998</v>
      </c>
      <c r="K50" s="6">
        <f t="shared" si="1"/>
        <v>0.34652381093319917</v>
      </c>
      <c r="L50" s="6">
        <f t="shared" si="2"/>
        <v>0.61301684079675611</v>
      </c>
      <c r="M50" s="6">
        <f t="shared" si="3"/>
        <v>4.0459348270044715E-2</v>
      </c>
      <c r="N50" s="4">
        <f t="shared" si="4"/>
        <v>1688.7635559561922</v>
      </c>
      <c r="O50" s="4">
        <f t="shared" si="5"/>
        <v>2987.5017740830758</v>
      </c>
      <c r="P50" s="4">
        <f>N50+O50</f>
        <v>4676.2653300392685</v>
      </c>
      <c r="Q50" s="2">
        <v>37568</v>
      </c>
      <c r="R50" s="1">
        <v>51</v>
      </c>
      <c r="S50" s="5">
        <v>1.1200000000000001</v>
      </c>
      <c r="T50" s="4">
        <v>81</v>
      </c>
      <c r="U50" s="4">
        <v>30.3</v>
      </c>
      <c r="V50" s="4">
        <v>83</v>
      </c>
      <c r="W50" s="7" t="s">
        <v>52</v>
      </c>
      <c r="X50" s="5">
        <v>0.1</v>
      </c>
      <c r="Y50" s="3"/>
    </row>
    <row r="51" spans="1:25" x14ac:dyDescent="0.3">
      <c r="A51">
        <v>14</v>
      </c>
      <c r="B51" s="7" t="s">
        <v>90</v>
      </c>
      <c r="C51" s="1" t="s">
        <v>30</v>
      </c>
      <c r="D51" s="2">
        <v>37540</v>
      </c>
      <c r="E51" s="3">
        <v>8763.9</v>
      </c>
      <c r="F51" s="4">
        <f t="shared" si="0"/>
        <v>3594.1190944881891</v>
      </c>
      <c r="G51" s="2">
        <v>37560</v>
      </c>
      <c r="H51" s="3">
        <v>2837.9</v>
      </c>
      <c r="I51" s="3">
        <v>1009.6</v>
      </c>
      <c r="J51" s="3">
        <v>1725.2</v>
      </c>
      <c r="K51" s="6">
        <f t="shared" si="1"/>
        <v>0.35575601677296592</v>
      </c>
      <c r="L51" s="6">
        <f t="shared" si="2"/>
        <v>0.60791430282955705</v>
      </c>
      <c r="M51" s="6">
        <f t="shared" si="3"/>
        <v>3.6329680397477082E-2</v>
      </c>
      <c r="N51" s="4">
        <f t="shared" si="4"/>
        <v>1278.6294928627774</v>
      </c>
      <c r="O51" s="4">
        <f t="shared" si="5"/>
        <v>2184.9164036121865</v>
      </c>
      <c r="P51" s="4">
        <f t="shared" si="6"/>
        <v>3463.5458964749641</v>
      </c>
      <c r="Q51" s="2">
        <v>37568</v>
      </c>
      <c r="R51" s="1">
        <v>52</v>
      </c>
      <c r="S51" s="5">
        <v>1.0900000000000001</v>
      </c>
      <c r="T51" s="4">
        <v>80</v>
      </c>
      <c r="U51" s="4">
        <v>30.8</v>
      </c>
      <c r="V51" s="4">
        <v>83</v>
      </c>
      <c r="W51" s="7" t="s">
        <v>52</v>
      </c>
      <c r="X51" s="5">
        <v>0.1</v>
      </c>
      <c r="Y51" s="3"/>
    </row>
    <row r="52" spans="1:25" x14ac:dyDescent="0.3">
      <c r="A52">
        <v>15</v>
      </c>
      <c r="B52" s="7" t="s">
        <v>91</v>
      </c>
      <c r="C52" s="1" t="s">
        <v>30</v>
      </c>
      <c r="D52" s="2">
        <v>37540</v>
      </c>
      <c r="E52" s="3">
        <v>10176.1</v>
      </c>
      <c r="F52" s="4">
        <f t="shared" si="0"/>
        <v>4173.2693569553803</v>
      </c>
      <c r="G52" s="2">
        <v>37560</v>
      </c>
      <c r="H52" s="3">
        <v>3792.1</v>
      </c>
      <c r="I52" s="3">
        <v>1360.8</v>
      </c>
      <c r="J52" s="3">
        <v>2270.1</v>
      </c>
      <c r="K52" s="6">
        <f t="shared" si="1"/>
        <v>0.35885129611560879</v>
      </c>
      <c r="L52" s="6">
        <f t="shared" si="2"/>
        <v>0.5986392763903905</v>
      </c>
      <c r="M52" s="6">
        <f t="shared" si="3"/>
        <v>4.2509427494000773E-2</v>
      </c>
      <c r="N52" s="4">
        <f t="shared" si="4"/>
        <v>1497.5831177829914</v>
      </c>
      <c r="O52" s="4">
        <f t="shared" si="5"/>
        <v>2498.2829480299592</v>
      </c>
      <c r="P52" s="4">
        <f t="shared" si="6"/>
        <v>3995.8660658129506</v>
      </c>
      <c r="Q52" s="2">
        <v>37568</v>
      </c>
      <c r="R52" s="1">
        <v>53</v>
      </c>
      <c r="S52" s="5">
        <v>1.1200000000000001</v>
      </c>
      <c r="T52" s="4">
        <v>81</v>
      </c>
      <c r="U52" s="4">
        <v>29</v>
      </c>
      <c r="V52" s="4">
        <v>83</v>
      </c>
      <c r="W52" s="7" t="s">
        <v>54</v>
      </c>
      <c r="X52" s="5">
        <v>0.1</v>
      </c>
      <c r="Y52" s="3"/>
    </row>
    <row r="53" spans="1:25" x14ac:dyDescent="0.3">
      <c r="A53">
        <v>16</v>
      </c>
      <c r="B53" s="7" t="s">
        <v>92</v>
      </c>
      <c r="C53" s="1" t="s">
        <v>30</v>
      </c>
      <c r="D53" s="2">
        <v>37540</v>
      </c>
      <c r="E53" s="3">
        <v>10392.4</v>
      </c>
      <c r="F53" s="4">
        <f t="shared" si="0"/>
        <v>4261.975065616798</v>
      </c>
      <c r="G53" s="2">
        <v>37560</v>
      </c>
      <c r="H53" s="3">
        <v>3394.1</v>
      </c>
      <c r="I53" s="3">
        <v>1201.9000000000001</v>
      </c>
      <c r="J53" s="3">
        <v>2094.4</v>
      </c>
      <c r="K53" s="6">
        <f t="shared" si="1"/>
        <v>0.35411449279632307</v>
      </c>
      <c r="L53" s="6">
        <f t="shared" si="2"/>
        <v>0.61707079932824616</v>
      </c>
      <c r="M53" s="6">
        <f t="shared" si="3"/>
        <v>2.8814707875430723E-2</v>
      </c>
      <c r="N53" s="4">
        <f t="shared" si="4"/>
        <v>1509.2271386714681</v>
      </c>
      <c r="O53" s="4">
        <f t="shared" si="5"/>
        <v>2629.9403604572121</v>
      </c>
      <c r="P53" s="4">
        <f t="shared" si="6"/>
        <v>4139.16749912868</v>
      </c>
      <c r="Q53" s="2">
        <v>37568</v>
      </c>
      <c r="R53" s="1">
        <v>54</v>
      </c>
      <c r="S53" s="5">
        <v>1.1200000000000001</v>
      </c>
      <c r="T53" s="4">
        <v>82</v>
      </c>
      <c r="U53" s="4">
        <v>30.1</v>
      </c>
      <c r="V53" s="4">
        <v>83</v>
      </c>
      <c r="W53" s="7" t="s">
        <v>52</v>
      </c>
      <c r="X53" s="5">
        <v>0.1</v>
      </c>
      <c r="Y53" s="3"/>
    </row>
    <row r="54" spans="1:25" x14ac:dyDescent="0.3">
      <c r="A54">
        <v>17</v>
      </c>
      <c r="B54" s="7" t="s">
        <v>93</v>
      </c>
      <c r="C54" s="1" t="s">
        <v>30</v>
      </c>
      <c r="D54" s="2">
        <v>37540</v>
      </c>
      <c r="E54" s="3">
        <v>9220.9</v>
      </c>
      <c r="F54" s="4">
        <f t="shared" si="0"/>
        <v>3781.5370734908138</v>
      </c>
      <c r="G54" s="2">
        <v>37560</v>
      </c>
      <c r="H54" s="3">
        <v>3604.7</v>
      </c>
      <c r="I54" s="3">
        <v>1331.3</v>
      </c>
      <c r="J54" s="3">
        <v>2172.4</v>
      </c>
      <c r="K54" s="6">
        <f t="shared" si="1"/>
        <v>0.36932338336061254</v>
      </c>
      <c r="L54" s="6">
        <f t="shared" si="2"/>
        <v>0.60265764141260025</v>
      </c>
      <c r="M54" s="6">
        <f t="shared" si="3"/>
        <v>2.8018975226787202E-2</v>
      </c>
      <c r="N54" s="4">
        <f t="shared" si="4"/>
        <v>1396.6100662852166</v>
      </c>
      <c r="O54" s="4">
        <f t="shared" si="5"/>
        <v>2278.9722136242808</v>
      </c>
      <c r="P54" s="4">
        <f t="shared" si="6"/>
        <v>3675.5822799094976</v>
      </c>
      <c r="Q54" s="2">
        <v>37568</v>
      </c>
      <c r="R54" s="1">
        <v>54</v>
      </c>
      <c r="S54" s="5">
        <v>1.1200000000000001</v>
      </c>
      <c r="T54" s="4">
        <v>82</v>
      </c>
      <c r="U54" s="4">
        <v>31.1</v>
      </c>
      <c r="V54" s="4">
        <v>83</v>
      </c>
      <c r="W54" s="7" t="s">
        <v>52</v>
      </c>
      <c r="X54" s="5">
        <v>0.1</v>
      </c>
      <c r="Y54" s="3"/>
    </row>
    <row r="55" spans="1:25" x14ac:dyDescent="0.3">
      <c r="A55">
        <v>18</v>
      </c>
      <c r="B55" s="7" t="s">
        <v>94</v>
      </c>
      <c r="C55" s="1" t="s">
        <v>30</v>
      </c>
      <c r="D55" s="2">
        <v>37537</v>
      </c>
      <c r="E55" s="3">
        <v>11230.6</v>
      </c>
      <c r="F55" s="4">
        <f t="shared" si="0"/>
        <v>4605.725065616798</v>
      </c>
      <c r="G55" s="2">
        <v>37560</v>
      </c>
      <c r="H55" s="3">
        <v>4035</v>
      </c>
      <c r="I55" s="3">
        <v>1517.7</v>
      </c>
      <c r="J55" s="3">
        <v>2399.6999999999998</v>
      </c>
      <c r="K55" s="6">
        <f t="shared" si="1"/>
        <v>0.37613382899628256</v>
      </c>
      <c r="L55" s="6">
        <f t="shared" si="2"/>
        <v>0.594721189591078</v>
      </c>
      <c r="M55" s="6">
        <f t="shared" si="3"/>
        <v>2.9144981412639437E-2</v>
      </c>
      <c r="N55" s="4">
        <f t="shared" si="4"/>
        <v>1732.3690042346009</v>
      </c>
      <c r="O55" s="4">
        <f t="shared" si="5"/>
        <v>2739.122289953068</v>
      </c>
      <c r="P55" s="4">
        <f t="shared" si="6"/>
        <v>4471.4912941876692</v>
      </c>
      <c r="Q55" s="2">
        <v>37568</v>
      </c>
      <c r="R55" s="1">
        <v>54</v>
      </c>
      <c r="S55" s="5">
        <v>1.1200000000000001</v>
      </c>
      <c r="T55" s="4">
        <v>83</v>
      </c>
      <c r="U55" s="4">
        <v>32.1</v>
      </c>
      <c r="V55" s="4">
        <v>83</v>
      </c>
      <c r="W55" s="7" t="s">
        <v>53</v>
      </c>
      <c r="X55" s="5">
        <v>0.2</v>
      </c>
      <c r="Y55" s="3"/>
    </row>
    <row r="56" spans="1:25" x14ac:dyDescent="0.3">
      <c r="A56">
        <v>19</v>
      </c>
      <c r="B56" s="7" t="s">
        <v>95</v>
      </c>
      <c r="C56" s="1" t="s">
        <v>30</v>
      </c>
      <c r="D56" s="2">
        <v>37539</v>
      </c>
      <c r="E56" s="3">
        <v>9471</v>
      </c>
      <c r="F56" s="4">
        <f t="shared" si="0"/>
        <v>3884.1043307086616</v>
      </c>
      <c r="G56" s="2">
        <v>37560</v>
      </c>
      <c r="H56" s="3">
        <v>3559.5</v>
      </c>
      <c r="I56" s="3">
        <v>1295.5899999999999</v>
      </c>
      <c r="J56" s="3">
        <v>2218.1999999999998</v>
      </c>
      <c r="K56" s="6">
        <f t="shared" si="1"/>
        <v>0.36398089619328555</v>
      </c>
      <c r="L56" s="6">
        <f t="shared" si="2"/>
        <v>0.62317741255794346</v>
      </c>
      <c r="M56" s="6">
        <f t="shared" si="3"/>
        <v>1.2841691248770992E-2</v>
      </c>
      <c r="N56" s="4">
        <f t="shared" si="4"/>
        <v>1413.7397751995602</v>
      </c>
      <c r="O56" s="4">
        <f t="shared" si="5"/>
        <v>2420.4860869161266</v>
      </c>
      <c r="P56" s="4">
        <f t="shared" si="6"/>
        <v>3834.2258621156871</v>
      </c>
      <c r="Q56" s="2">
        <v>37568</v>
      </c>
      <c r="R56" s="1">
        <v>52</v>
      </c>
      <c r="S56" s="5">
        <v>1.1299999999999999</v>
      </c>
      <c r="T56" s="4">
        <v>83</v>
      </c>
      <c r="U56" s="4">
        <v>30.7</v>
      </c>
      <c r="V56" s="4">
        <v>83</v>
      </c>
      <c r="W56" s="7" t="s">
        <v>52</v>
      </c>
      <c r="X56" s="5">
        <v>0.1</v>
      </c>
      <c r="Y56" s="3"/>
    </row>
    <row r="57" spans="1:25" x14ac:dyDescent="0.3">
      <c r="A57">
        <v>20</v>
      </c>
      <c r="B57" s="7" t="s">
        <v>96</v>
      </c>
      <c r="C57" s="1" t="s">
        <v>30</v>
      </c>
      <c r="D57" s="2">
        <v>37539</v>
      </c>
      <c r="E57" s="3">
        <v>11279.4</v>
      </c>
      <c r="F57" s="4">
        <f t="shared" si="0"/>
        <v>4625.7381889763774</v>
      </c>
      <c r="G57" s="2">
        <v>37560</v>
      </c>
      <c r="H57" s="3">
        <v>4127</v>
      </c>
      <c r="I57" s="3">
        <v>1531.2</v>
      </c>
      <c r="J57" s="3">
        <v>2471.1</v>
      </c>
      <c r="K57" s="6">
        <f t="shared" si="1"/>
        <v>0.3710201114611098</v>
      </c>
      <c r="L57" s="6">
        <f t="shared" si="2"/>
        <v>0.59876423552217106</v>
      </c>
      <c r="M57" s="6">
        <f t="shared" si="3"/>
        <v>3.0215653016719135E-2</v>
      </c>
      <c r="N57" s="4">
        <f t="shared" si="4"/>
        <v>1716.2418984639278</v>
      </c>
      <c r="O57" s="4">
        <f t="shared" si="5"/>
        <v>2769.7265904481528</v>
      </c>
      <c r="P57" s="4">
        <f t="shared" si="6"/>
        <v>4485.9684889120808</v>
      </c>
      <c r="Q57" s="2">
        <v>37568</v>
      </c>
      <c r="R57" s="1">
        <v>54</v>
      </c>
      <c r="S57" s="5">
        <v>1.1200000000000001</v>
      </c>
      <c r="T57" s="4">
        <v>80</v>
      </c>
      <c r="U57" s="4">
        <v>30.5</v>
      </c>
      <c r="V57" s="4">
        <v>83</v>
      </c>
      <c r="W57" s="7" t="s">
        <v>54</v>
      </c>
      <c r="X57" s="5">
        <v>0.1</v>
      </c>
      <c r="Y57" s="3"/>
    </row>
    <row r="58" spans="1:25" x14ac:dyDescent="0.3">
      <c r="A58">
        <v>21</v>
      </c>
      <c r="B58" s="7" t="s">
        <v>97</v>
      </c>
      <c r="C58" s="1" t="s">
        <v>30</v>
      </c>
      <c r="D58" s="2">
        <v>37540</v>
      </c>
      <c r="E58" s="3">
        <v>9191.2999999999993</v>
      </c>
      <c r="F58" s="4">
        <f t="shared" si="0"/>
        <v>3769.3979658792646</v>
      </c>
      <c r="G58" s="2">
        <v>37560</v>
      </c>
      <c r="H58" s="3">
        <v>3302.7</v>
      </c>
      <c r="I58" s="3">
        <v>1159.9000000000001</v>
      </c>
      <c r="J58" s="3">
        <v>2032.1</v>
      </c>
      <c r="K58" s="6">
        <f t="shared" si="1"/>
        <v>0.35119750507160813</v>
      </c>
      <c r="L58" s="6">
        <f t="shared" si="2"/>
        <v>0.61528446422623917</v>
      </c>
      <c r="M58" s="6">
        <f t="shared" si="3"/>
        <v>3.3518030702152757E-2</v>
      </c>
      <c r="N58" s="4">
        <f t="shared" si="4"/>
        <v>1323.8031612387924</v>
      </c>
      <c r="O58" s="4">
        <f t="shared" si="5"/>
        <v>2319.252007891499</v>
      </c>
      <c r="P58" s="4">
        <f t="shared" si="6"/>
        <v>3643.0551691302917</v>
      </c>
      <c r="Q58" s="2">
        <v>37568</v>
      </c>
      <c r="R58" s="1">
        <v>44</v>
      </c>
      <c r="S58" s="5">
        <v>1.1100000000000001</v>
      </c>
      <c r="T58" s="4">
        <v>81</v>
      </c>
      <c r="U58" s="4">
        <v>29.8</v>
      </c>
      <c r="V58" s="4">
        <v>82</v>
      </c>
      <c r="W58" s="7" t="s">
        <v>54</v>
      </c>
      <c r="X58" s="5">
        <v>0.2</v>
      </c>
      <c r="Y58" s="3"/>
    </row>
    <row r="59" spans="1:25" x14ac:dyDescent="0.3">
      <c r="A59">
        <v>22</v>
      </c>
      <c r="B59" s="7" t="s">
        <v>98</v>
      </c>
      <c r="C59" s="1" t="s">
        <v>30</v>
      </c>
      <c r="D59" s="2">
        <v>37540</v>
      </c>
      <c r="E59" s="3">
        <v>10961.5</v>
      </c>
      <c r="F59" s="4">
        <f t="shared" si="0"/>
        <v>4495.3658136482936</v>
      </c>
      <c r="G59" s="2">
        <v>37560</v>
      </c>
      <c r="H59" s="3">
        <v>3573.2</v>
      </c>
      <c r="I59" s="3">
        <v>1346.4</v>
      </c>
      <c r="J59" s="3">
        <v>2110.4</v>
      </c>
      <c r="K59" s="6">
        <f t="shared" si="1"/>
        <v>0.3768051046680847</v>
      </c>
      <c r="L59" s="6">
        <f t="shared" si="2"/>
        <v>0.59061905294973693</v>
      </c>
      <c r="M59" s="6">
        <f t="shared" si="3"/>
        <v>3.2575842382178366E-2</v>
      </c>
      <c r="N59" s="4">
        <f t="shared" si="4"/>
        <v>1693.8767859330751</v>
      </c>
      <c r="O59" s="4">
        <f t="shared" si="5"/>
        <v>2655.0486995195788</v>
      </c>
      <c r="P59" s="4">
        <f t="shared" si="6"/>
        <v>4348.9254854526534</v>
      </c>
      <c r="Q59" s="2">
        <v>37568</v>
      </c>
      <c r="R59" s="1">
        <v>54</v>
      </c>
      <c r="S59" s="5">
        <v>1.1200000000000001</v>
      </c>
      <c r="T59" s="4">
        <v>80</v>
      </c>
      <c r="U59" s="4">
        <v>28.5</v>
      </c>
      <c r="V59" s="4">
        <v>82</v>
      </c>
      <c r="W59" s="7" t="s">
        <v>53</v>
      </c>
      <c r="X59" s="5">
        <v>0.1</v>
      </c>
      <c r="Y59" s="3"/>
    </row>
    <row r="60" spans="1:25" x14ac:dyDescent="0.3">
      <c r="A60">
        <v>23</v>
      </c>
      <c r="B60" s="7" t="s">
        <v>99</v>
      </c>
      <c r="C60" s="1" t="s">
        <v>30</v>
      </c>
      <c r="D60" s="2">
        <v>37540</v>
      </c>
      <c r="E60" s="3">
        <v>9217.9</v>
      </c>
      <c r="F60" s="4">
        <f t="shared" si="0"/>
        <v>3780.3067585301837</v>
      </c>
      <c r="G60" s="2">
        <v>37560</v>
      </c>
      <c r="H60" s="3">
        <v>3213</v>
      </c>
      <c r="I60" s="3">
        <v>1141.7</v>
      </c>
      <c r="J60" s="3">
        <v>1963.5</v>
      </c>
      <c r="K60" s="6">
        <f t="shared" si="1"/>
        <v>0.35533769063180831</v>
      </c>
      <c r="L60" s="6">
        <f t="shared" si="2"/>
        <v>0.61111111111111116</v>
      </c>
      <c r="M60" s="6">
        <f t="shared" si="3"/>
        <v>3.3551198257080528E-2</v>
      </c>
      <c r="N60" s="4">
        <f t="shared" si="4"/>
        <v>1343.2854734559326</v>
      </c>
      <c r="O60" s="4">
        <f t="shared" si="5"/>
        <v>2310.1874635462236</v>
      </c>
      <c r="P60" s="4">
        <f t="shared" si="6"/>
        <v>3653.472937002156</v>
      </c>
      <c r="Q60" s="2">
        <v>37568</v>
      </c>
      <c r="R60" s="1">
        <v>54</v>
      </c>
      <c r="S60" s="5">
        <v>1.06</v>
      </c>
      <c r="T60" s="4">
        <v>80</v>
      </c>
      <c r="U60" s="4">
        <v>28.9</v>
      </c>
      <c r="V60" s="4">
        <v>82</v>
      </c>
      <c r="W60" s="7" t="s">
        <v>52</v>
      </c>
      <c r="X60" s="5">
        <v>0.1</v>
      </c>
      <c r="Y60" s="3"/>
    </row>
    <row r="61" spans="1:25" x14ac:dyDescent="0.3">
      <c r="A61">
        <v>24</v>
      </c>
      <c r="B61" s="7" t="s">
        <v>100</v>
      </c>
      <c r="C61" s="1" t="s">
        <v>30</v>
      </c>
      <c r="D61" s="2">
        <v>37540</v>
      </c>
      <c r="E61" s="3">
        <v>9067.7999999999993</v>
      </c>
      <c r="F61" s="4">
        <f t="shared" si="0"/>
        <v>3718.75</v>
      </c>
      <c r="G61" s="2">
        <v>37560</v>
      </c>
      <c r="H61" s="3">
        <v>2775.8</v>
      </c>
      <c r="I61" s="3">
        <v>975.8</v>
      </c>
      <c r="J61" s="3">
        <v>1674.2</v>
      </c>
      <c r="K61" s="6">
        <f t="shared" si="1"/>
        <v>0.35153829526622954</v>
      </c>
      <c r="L61" s="6">
        <f t="shared" si="2"/>
        <v>0.60314143670293241</v>
      </c>
      <c r="M61" s="6">
        <f t="shared" si="3"/>
        <v>4.5320268030837996E-2</v>
      </c>
      <c r="N61" s="4">
        <f t="shared" si="4"/>
        <v>1307.2830355212911</v>
      </c>
      <c r="O61" s="4">
        <f t="shared" si="5"/>
        <v>2242.93221773903</v>
      </c>
      <c r="P61" s="4">
        <f t="shared" si="6"/>
        <v>3550.2152532603213</v>
      </c>
      <c r="Q61" s="2">
        <v>37568</v>
      </c>
      <c r="R61" s="1">
        <v>52</v>
      </c>
      <c r="S61" s="5">
        <v>1.1000000000000001</v>
      </c>
      <c r="T61" s="4">
        <v>80</v>
      </c>
      <c r="U61" s="4">
        <v>30.9</v>
      </c>
      <c r="V61" s="4">
        <v>83</v>
      </c>
      <c r="W61" s="7" t="s">
        <v>52</v>
      </c>
      <c r="X61" s="5">
        <v>0.1</v>
      </c>
      <c r="Y61" s="3"/>
    </row>
    <row r="62" spans="1:25" x14ac:dyDescent="0.3">
      <c r="A62">
        <v>25</v>
      </c>
      <c r="B62" s="7" t="s">
        <v>101</v>
      </c>
      <c r="C62" s="1" t="s">
        <v>30</v>
      </c>
      <c r="D62" s="2">
        <v>37539</v>
      </c>
      <c r="E62" s="3">
        <v>7922.1</v>
      </c>
      <c r="F62" s="4">
        <f t="shared" si="0"/>
        <v>3248.892716535433</v>
      </c>
      <c r="G62" s="2">
        <v>37560</v>
      </c>
      <c r="H62" s="3">
        <v>2669.3</v>
      </c>
      <c r="I62" s="3">
        <v>898.9</v>
      </c>
      <c r="J62" s="3">
        <v>1664.7</v>
      </c>
      <c r="K62" s="6">
        <f t="shared" si="1"/>
        <v>0.33675495448244858</v>
      </c>
      <c r="L62" s="6">
        <f t="shared" si="2"/>
        <v>0.62364664893417743</v>
      </c>
      <c r="M62" s="6">
        <f t="shared" si="3"/>
        <v>3.959839658337394E-2</v>
      </c>
      <c r="N62" s="4">
        <f t="shared" si="4"/>
        <v>1094.0807188752485</v>
      </c>
      <c r="O62" s="4">
        <f t="shared" si="5"/>
        <v>2026.1610554139793</v>
      </c>
      <c r="P62" s="4">
        <f t="shared" si="6"/>
        <v>3120.2417742892276</v>
      </c>
      <c r="Q62" s="2">
        <v>37568</v>
      </c>
      <c r="R62" s="1">
        <v>51</v>
      </c>
      <c r="S62" s="5">
        <v>1.05</v>
      </c>
      <c r="T62" s="4">
        <v>79</v>
      </c>
      <c r="U62" s="4">
        <v>29.4</v>
      </c>
      <c r="V62" s="4">
        <v>82</v>
      </c>
      <c r="W62" s="7" t="s">
        <v>52</v>
      </c>
      <c r="X62" s="5">
        <v>0.2</v>
      </c>
      <c r="Y62" s="3"/>
    </row>
    <row r="63" spans="1:25" x14ac:dyDescent="0.3">
      <c r="A63">
        <v>26</v>
      </c>
      <c r="B63" s="7" t="s">
        <v>102</v>
      </c>
      <c r="C63" s="1" t="s">
        <v>30</v>
      </c>
      <c r="D63" s="2">
        <v>37539</v>
      </c>
      <c r="E63" s="3">
        <v>9929.7000000000007</v>
      </c>
      <c r="F63" s="4">
        <f t="shared" si="0"/>
        <v>4072.2194881889768</v>
      </c>
      <c r="G63" s="2">
        <v>37560</v>
      </c>
      <c r="H63" s="3">
        <v>3354.6</v>
      </c>
      <c r="I63" s="3">
        <v>1183.5</v>
      </c>
      <c r="J63" s="3">
        <v>2060.1</v>
      </c>
      <c r="K63" s="6">
        <f t="shared" si="1"/>
        <v>0.35279914147737435</v>
      </c>
      <c r="L63" s="6">
        <f t="shared" si="2"/>
        <v>0.61411196565909498</v>
      </c>
      <c r="M63" s="6">
        <f t="shared" si="3"/>
        <v>3.3088892863530672E-2</v>
      </c>
      <c r="N63" s="4">
        <f t="shared" si="4"/>
        <v>1436.6755393405037</v>
      </c>
      <c r="O63" s="4">
        <f t="shared" si="5"/>
        <v>2500.7987144870062</v>
      </c>
      <c r="P63" s="4">
        <f t="shared" si="6"/>
        <v>3937.47425382751</v>
      </c>
      <c r="Q63" s="2">
        <v>37568</v>
      </c>
      <c r="R63" s="1">
        <v>51</v>
      </c>
      <c r="S63" s="5">
        <v>1.1000000000000001</v>
      </c>
      <c r="T63" s="4">
        <v>81</v>
      </c>
      <c r="U63" s="4">
        <v>30</v>
      </c>
      <c r="V63" s="4">
        <v>83</v>
      </c>
      <c r="W63" s="7" t="s">
        <v>52</v>
      </c>
      <c r="X63" s="5">
        <v>0.1</v>
      </c>
      <c r="Y63" s="3"/>
    </row>
    <row r="64" spans="1:25" x14ac:dyDescent="0.3">
      <c r="A64">
        <v>27</v>
      </c>
      <c r="B64" s="7" t="s">
        <v>103</v>
      </c>
      <c r="C64" s="1" t="s">
        <v>30</v>
      </c>
      <c r="D64" s="2">
        <v>37539</v>
      </c>
      <c r="E64" s="3">
        <v>10122.299999999999</v>
      </c>
      <c r="F64" s="4">
        <f t="shared" si="0"/>
        <v>4151.2057086614168</v>
      </c>
      <c r="G64" s="2">
        <v>37560</v>
      </c>
      <c r="H64" s="3">
        <v>2938.4</v>
      </c>
      <c r="I64" s="3">
        <v>1106.8</v>
      </c>
      <c r="J64" s="3">
        <v>1736.2</v>
      </c>
      <c r="K64" s="6">
        <f t="shared" si="1"/>
        <v>0.37666757419003538</v>
      </c>
      <c r="L64" s="6">
        <f t="shared" si="2"/>
        <v>0.59086577729376533</v>
      </c>
      <c r="M64" s="6">
        <f t="shared" si="3"/>
        <v>3.2466648516199292E-2</v>
      </c>
      <c r="N64" s="4">
        <f t="shared" si="4"/>
        <v>1563.6245842453227</v>
      </c>
      <c r="O64" s="4">
        <f t="shared" si="5"/>
        <v>2452.805387754544</v>
      </c>
      <c r="P64" s="4">
        <f t="shared" si="6"/>
        <v>4016.4299719998667</v>
      </c>
      <c r="Q64" s="2">
        <v>37568</v>
      </c>
      <c r="R64" s="1">
        <v>55</v>
      </c>
      <c r="S64" s="5">
        <v>1.1000000000000001</v>
      </c>
      <c r="T64" s="4">
        <v>81</v>
      </c>
      <c r="U64" s="4">
        <v>30.1</v>
      </c>
      <c r="V64" s="4">
        <v>83</v>
      </c>
      <c r="W64" s="7" t="s">
        <v>52</v>
      </c>
      <c r="X64" s="5">
        <v>0.1</v>
      </c>
      <c r="Y64" s="3"/>
    </row>
    <row r="65" spans="1:25" x14ac:dyDescent="0.3">
      <c r="A65">
        <v>28</v>
      </c>
      <c r="B65" s="7" t="s">
        <v>104</v>
      </c>
      <c r="C65" s="1" t="s">
        <v>30</v>
      </c>
      <c r="D65" s="2">
        <v>37539</v>
      </c>
      <c r="E65" s="3">
        <v>10145</v>
      </c>
      <c r="F65" s="4">
        <f t="shared" si="0"/>
        <v>4160.5150918635172</v>
      </c>
      <c r="G65" s="2">
        <v>37560</v>
      </c>
      <c r="H65" s="3">
        <v>3226.9</v>
      </c>
      <c r="I65" s="3">
        <v>1143.7</v>
      </c>
      <c r="J65" s="3">
        <v>1998.4</v>
      </c>
      <c r="K65" s="6">
        <f t="shared" si="1"/>
        <v>0.35442684929808793</v>
      </c>
      <c r="L65" s="6">
        <f t="shared" si="2"/>
        <v>0.61929405931389259</v>
      </c>
      <c r="M65" s="6">
        <f t="shared" si="3"/>
        <v>2.6279091388019427E-2</v>
      </c>
      <c r="N65" s="4">
        <f t="shared" si="4"/>
        <v>1474.5982554663312</v>
      </c>
      <c r="O65" s="4">
        <f t="shared" si="5"/>
        <v>2576.5822800768701</v>
      </c>
      <c r="P65" s="4">
        <f t="shared" si="6"/>
        <v>4051.1805355432016</v>
      </c>
      <c r="Q65" s="2">
        <v>37568</v>
      </c>
      <c r="R65" s="1">
        <v>50</v>
      </c>
      <c r="S65" s="5">
        <v>1.1200000000000001</v>
      </c>
      <c r="T65" s="4">
        <v>81</v>
      </c>
      <c r="U65" s="4">
        <v>30.9</v>
      </c>
      <c r="V65" s="4">
        <v>82</v>
      </c>
      <c r="W65" s="7" t="s">
        <v>53</v>
      </c>
      <c r="X65" s="5">
        <v>0.2</v>
      </c>
      <c r="Y65" s="3"/>
    </row>
    <row r="66" spans="1:25" x14ac:dyDescent="0.3">
      <c r="A66">
        <v>29</v>
      </c>
      <c r="B66" s="7" t="s">
        <v>105</v>
      </c>
      <c r="C66" s="1" t="s">
        <v>30</v>
      </c>
      <c r="D66" s="2">
        <v>37539</v>
      </c>
      <c r="E66" s="3">
        <v>9471.4</v>
      </c>
      <c r="F66" s="4">
        <f t="shared" si="0"/>
        <v>3884.2683727034118</v>
      </c>
      <c r="G66" s="2">
        <v>37560</v>
      </c>
      <c r="H66" s="3">
        <v>2935</v>
      </c>
      <c r="I66" s="3">
        <v>1108.2</v>
      </c>
      <c r="J66" s="3">
        <v>1734</v>
      </c>
      <c r="K66" s="6">
        <f t="shared" si="1"/>
        <v>0.37758091993185694</v>
      </c>
      <c r="L66" s="6">
        <f t="shared" si="2"/>
        <v>0.59080068143100506</v>
      </c>
      <c r="M66" s="6">
        <f t="shared" si="3"/>
        <v>3.1618398637138001E-2</v>
      </c>
      <c r="N66" s="4">
        <f t="shared" si="4"/>
        <v>1466.6256254275711</v>
      </c>
      <c r="O66" s="4">
        <f t="shared" si="5"/>
        <v>2294.8284014540768</v>
      </c>
      <c r="P66" s="4">
        <f t="shared" si="6"/>
        <v>3761.4540268816481</v>
      </c>
      <c r="Q66" s="2">
        <v>37568</v>
      </c>
      <c r="R66" s="1">
        <v>57</v>
      </c>
      <c r="S66" s="5">
        <v>1.1100000000000001</v>
      </c>
      <c r="T66" s="4">
        <v>82</v>
      </c>
      <c r="U66" s="4">
        <v>28.8</v>
      </c>
      <c r="V66" s="4">
        <v>83</v>
      </c>
      <c r="W66" s="7" t="s">
        <v>52</v>
      </c>
      <c r="X66" s="5">
        <v>0.1</v>
      </c>
      <c r="Y66" s="3"/>
    </row>
    <row r="67" spans="1:25" x14ac:dyDescent="0.3">
      <c r="A67">
        <v>30</v>
      </c>
      <c r="B67" s="7" t="s">
        <v>106</v>
      </c>
      <c r="C67" s="1" t="s">
        <v>30</v>
      </c>
      <c r="D67" s="2">
        <v>37539</v>
      </c>
      <c r="E67" s="3">
        <v>10099.1</v>
      </c>
      <c r="F67" s="4">
        <f t="shared" si="0"/>
        <v>4141.6912729658798</v>
      </c>
      <c r="G67" s="2">
        <v>37560</v>
      </c>
      <c r="H67" s="3">
        <v>3865.8</v>
      </c>
      <c r="I67" s="3">
        <v>1367.4</v>
      </c>
      <c r="J67" s="3">
        <v>2343.1</v>
      </c>
      <c r="K67" s="6">
        <f t="shared" si="1"/>
        <v>0.353717212478659</v>
      </c>
      <c r="L67" s="6">
        <f t="shared" si="2"/>
        <v>0.6061099901702105</v>
      </c>
      <c r="M67" s="6">
        <f t="shared" si="3"/>
        <v>4.0172797351130551E-2</v>
      </c>
      <c r="N67" s="4">
        <f t="shared" si="4"/>
        <v>1464.9874920206798</v>
      </c>
      <c r="O67" s="4">
        <f t="shared" si="5"/>
        <v>2510.3204567453959</v>
      </c>
      <c r="P67" s="4">
        <f t="shared" si="6"/>
        <v>3975.3079487660757</v>
      </c>
      <c r="Q67" s="2">
        <v>37568</v>
      </c>
      <c r="R67" s="1">
        <v>52</v>
      </c>
      <c r="S67" s="5">
        <v>1.1100000000000001</v>
      </c>
      <c r="T67" s="4">
        <v>81</v>
      </c>
      <c r="U67" s="4">
        <v>31.5</v>
      </c>
      <c r="V67" s="4">
        <v>83</v>
      </c>
      <c r="W67" s="7" t="s">
        <v>52</v>
      </c>
      <c r="X67" s="5">
        <v>0.1</v>
      </c>
      <c r="Y67" s="3"/>
    </row>
    <row r="68" spans="1:25" x14ac:dyDescent="0.3">
      <c r="A68">
        <v>31</v>
      </c>
      <c r="B68" s="7" t="s">
        <v>107</v>
      </c>
      <c r="C68" s="1" t="s">
        <v>30</v>
      </c>
      <c r="D68" s="2">
        <v>37539</v>
      </c>
      <c r="E68" s="3">
        <v>9747.1</v>
      </c>
      <c r="F68" s="4">
        <f t="shared" si="0"/>
        <v>3997.3343175853015</v>
      </c>
      <c r="G68" s="2">
        <v>37560</v>
      </c>
      <c r="H68" s="3">
        <v>2752.9</v>
      </c>
      <c r="I68" s="3">
        <v>932.7</v>
      </c>
      <c r="J68" s="3">
        <v>1691.1</v>
      </c>
      <c r="K68" s="6">
        <f t="shared" si="1"/>
        <v>0.33880634966762324</v>
      </c>
      <c r="L68" s="6">
        <f t="shared" si="2"/>
        <v>0.6142976497511714</v>
      </c>
      <c r="M68" s="6">
        <f t="shared" si="3"/>
        <v>4.6896000581205355E-2</v>
      </c>
      <c r="N68" s="4">
        <f t="shared" si="4"/>
        <v>1354.3222485421959</v>
      </c>
      <c r="O68" s="4">
        <f t="shared" si="5"/>
        <v>2455.5530765623535</v>
      </c>
      <c r="P68" s="4">
        <f t="shared" si="6"/>
        <v>3809.8753251045491</v>
      </c>
      <c r="Q68" s="2">
        <v>37568</v>
      </c>
      <c r="R68" s="1">
        <v>50</v>
      </c>
      <c r="S68" s="5">
        <v>1.1000000000000001</v>
      </c>
      <c r="T68" s="4">
        <v>81</v>
      </c>
      <c r="U68" s="4">
        <v>31.4</v>
      </c>
      <c r="V68" s="4">
        <v>83</v>
      </c>
      <c r="W68" s="7" t="s">
        <v>52</v>
      </c>
      <c r="X68" s="5">
        <v>0.1</v>
      </c>
      <c r="Y68" s="3"/>
    </row>
    <row r="69" spans="1:25" x14ac:dyDescent="0.3">
      <c r="A69">
        <v>32</v>
      </c>
      <c r="B69" s="7" t="s">
        <v>108</v>
      </c>
      <c r="C69" s="1" t="s">
        <v>30</v>
      </c>
      <c r="D69" s="2">
        <v>37539</v>
      </c>
      <c r="E69" s="3">
        <v>8206.1</v>
      </c>
      <c r="F69" s="4">
        <f t="shared" si="0"/>
        <v>3365.362532808399</v>
      </c>
      <c r="G69" s="2">
        <v>37560</v>
      </c>
      <c r="H69" s="3">
        <v>2751</v>
      </c>
      <c r="I69" s="3">
        <v>983.9</v>
      </c>
      <c r="J69" s="3">
        <v>1652.7</v>
      </c>
      <c r="K69" s="6">
        <f t="shared" si="1"/>
        <v>0.35765176299527446</v>
      </c>
      <c r="L69" s="6">
        <f t="shared" si="2"/>
        <v>0.60076335877862597</v>
      </c>
      <c r="M69" s="6">
        <f t="shared" si="3"/>
        <v>4.1584878226099575E-2</v>
      </c>
      <c r="N69" s="4">
        <f t="shared" si="4"/>
        <v>1203.627842977166</v>
      </c>
      <c r="O69" s="4">
        <f t="shared" si="5"/>
        <v>2021.7864987177177</v>
      </c>
      <c r="P69" s="4">
        <f t="shared" si="6"/>
        <v>3225.4143416948837</v>
      </c>
      <c r="Q69" s="2">
        <v>37568</v>
      </c>
      <c r="R69" s="1">
        <v>54</v>
      </c>
      <c r="S69" s="5">
        <v>1.08</v>
      </c>
      <c r="T69" s="4">
        <v>81</v>
      </c>
      <c r="U69" s="4">
        <v>29.7</v>
      </c>
      <c r="V69" s="4">
        <v>83</v>
      </c>
      <c r="W69" s="7" t="s">
        <v>52</v>
      </c>
      <c r="X69" s="5">
        <v>0.2</v>
      </c>
      <c r="Y69" s="3"/>
    </row>
    <row r="70" spans="1:25" x14ac:dyDescent="0.3">
      <c r="A70">
        <v>34</v>
      </c>
      <c r="B70" s="7" t="s">
        <v>109</v>
      </c>
      <c r="C70" s="1" t="s">
        <v>30</v>
      </c>
      <c r="D70" s="2">
        <v>37544</v>
      </c>
      <c r="E70" s="3">
        <v>2449.3000000000002</v>
      </c>
      <c r="F70" s="4">
        <f>(E70/$A$29)/$A$28*$A$30</f>
        <v>2008.9402887139108</v>
      </c>
      <c r="G70" s="2">
        <v>37560</v>
      </c>
      <c r="H70">
        <v>2417.6</v>
      </c>
      <c r="I70">
        <v>806.6</v>
      </c>
      <c r="J70">
        <v>1520.3</v>
      </c>
      <c r="K70" s="6">
        <f t="shared" si="1"/>
        <v>0.33363666446062212</v>
      </c>
      <c r="L70" s="6">
        <f t="shared" si="2"/>
        <v>0.6288467902051621</v>
      </c>
      <c r="M70" s="6">
        <f t="shared" si="3"/>
        <v>3.7516545334215778E-2</v>
      </c>
      <c r="N70" s="4">
        <f t="shared" si="4"/>
        <v>670.25613702706835</v>
      </c>
      <c r="O70" s="4">
        <f t="shared" si="5"/>
        <v>1263.3156522715744</v>
      </c>
      <c r="P70" s="4">
        <f t="shared" si="6"/>
        <v>1933.5717892986427</v>
      </c>
      <c r="Q70" s="2">
        <v>37568</v>
      </c>
      <c r="R70" s="1">
        <v>43</v>
      </c>
      <c r="S70" s="5">
        <v>1.07</v>
      </c>
      <c r="T70" s="4">
        <v>80</v>
      </c>
      <c r="U70" s="4">
        <v>31.5</v>
      </c>
      <c r="V70" s="4">
        <v>81</v>
      </c>
      <c r="W70" s="7" t="s">
        <v>52</v>
      </c>
      <c r="X70" s="5">
        <v>0.1</v>
      </c>
      <c r="Y70" s="3"/>
    </row>
    <row r="71" spans="1:25" x14ac:dyDescent="0.3">
      <c r="A71">
        <v>36</v>
      </c>
      <c r="B71" s="7" t="s">
        <v>110</v>
      </c>
      <c r="C71" s="1" t="s">
        <v>30</v>
      </c>
      <c r="D71" s="2">
        <v>37544</v>
      </c>
      <c r="E71" s="3">
        <v>634.30999999999995</v>
      </c>
      <c r="F71" s="4">
        <f t="shared" ref="F71:F73" si="7">(E71/$A$29)/$A$28*$A$30</f>
        <v>520.26738845144348</v>
      </c>
      <c r="G71" s="2">
        <v>37560</v>
      </c>
      <c r="H71">
        <v>631.5</v>
      </c>
      <c r="I71">
        <v>204.2</v>
      </c>
      <c r="J71">
        <v>361.2</v>
      </c>
      <c r="K71" s="6">
        <f t="shared" si="1"/>
        <v>0.32335708630245447</v>
      </c>
      <c r="L71" s="6">
        <f t="shared" si="2"/>
        <v>0.57197149643705458</v>
      </c>
      <c r="M71" s="6">
        <f t="shared" si="3"/>
        <v>0.10467141726049101</v>
      </c>
      <c r="N71" s="4">
        <f t="shared" si="4"/>
        <v>168.23214682784601</v>
      </c>
      <c r="O71" s="4">
        <f t="shared" si="5"/>
        <v>297.57811671997052</v>
      </c>
      <c r="P71" s="4">
        <f t="shared" si="6"/>
        <v>465.81026354781653</v>
      </c>
      <c r="Q71" s="2">
        <v>37568</v>
      </c>
      <c r="R71" s="1">
        <v>50</v>
      </c>
      <c r="S71" s="5">
        <v>1.04</v>
      </c>
      <c r="T71" s="4">
        <v>79</v>
      </c>
      <c r="U71" s="4">
        <v>28.5</v>
      </c>
      <c r="V71" s="4">
        <v>80</v>
      </c>
      <c r="W71" s="7" t="s">
        <v>55</v>
      </c>
      <c r="X71" s="5">
        <v>0.1</v>
      </c>
      <c r="Y71" s="3"/>
    </row>
    <row r="72" spans="1:25" x14ac:dyDescent="0.3">
      <c r="A72">
        <v>38</v>
      </c>
      <c r="B72" s="7" t="s">
        <v>111</v>
      </c>
      <c r="C72" s="1" t="s">
        <v>30</v>
      </c>
      <c r="D72" s="2">
        <v>37544</v>
      </c>
      <c r="E72" s="3">
        <v>2857.7</v>
      </c>
      <c r="F72" s="4">
        <f t="shared" si="7"/>
        <v>2343.9140419947503</v>
      </c>
      <c r="G72" s="2">
        <v>37560</v>
      </c>
      <c r="H72">
        <v>2835</v>
      </c>
      <c r="I72">
        <v>950.3</v>
      </c>
      <c r="J72">
        <v>1768.4</v>
      </c>
      <c r="K72" s="6">
        <f t="shared" si="1"/>
        <v>0.33520282186948852</v>
      </c>
      <c r="L72" s="6">
        <f t="shared" si="2"/>
        <v>0.62377425044091717</v>
      </c>
      <c r="M72" s="6">
        <f t="shared" si="3"/>
        <v>4.1022927689594368E-2</v>
      </c>
      <c r="N72" s="4">
        <f t="shared" si="4"/>
        <v>785.68660109615917</v>
      </c>
      <c r="O72" s="4">
        <f t="shared" si="5"/>
        <v>1462.0732246432158</v>
      </c>
      <c r="P72" s="4">
        <f t="shared" si="6"/>
        <v>2247.7598257393747</v>
      </c>
      <c r="Q72" s="2">
        <v>37568</v>
      </c>
      <c r="R72" s="1">
        <v>41</v>
      </c>
      <c r="S72" s="5">
        <v>1.1100000000000001</v>
      </c>
      <c r="T72" s="4">
        <v>81</v>
      </c>
      <c r="U72" s="4">
        <v>29.9</v>
      </c>
      <c r="V72" s="4">
        <v>82</v>
      </c>
      <c r="W72" s="7" t="s">
        <v>52</v>
      </c>
      <c r="X72" s="5">
        <v>0.1</v>
      </c>
      <c r="Y72" s="3"/>
    </row>
    <row r="73" spans="1:25" x14ac:dyDescent="0.3">
      <c r="A73">
        <v>40</v>
      </c>
      <c r="B73" s="7" t="s">
        <v>112</v>
      </c>
      <c r="C73" s="1" t="s">
        <v>30</v>
      </c>
      <c r="D73" s="2">
        <v>37544</v>
      </c>
      <c r="E73" s="3">
        <v>768.5</v>
      </c>
      <c r="F73" s="4">
        <f t="shared" si="7"/>
        <v>630.33136482939619</v>
      </c>
      <c r="G73" s="2">
        <v>37560</v>
      </c>
      <c r="H73">
        <v>759.9</v>
      </c>
      <c r="I73">
        <v>235.9</v>
      </c>
      <c r="J73">
        <v>440.2</v>
      </c>
      <c r="K73" s="6">
        <f t="shared" si="1"/>
        <v>0.31043558362942492</v>
      </c>
      <c r="L73" s="6">
        <f t="shared" si="2"/>
        <v>0.57928674825634952</v>
      </c>
      <c r="M73" s="6">
        <f t="shared" si="3"/>
        <v>0.11027766811422557</v>
      </c>
      <c r="N73" s="4">
        <f t="shared" si="4"/>
        <v>195.67728512074558</v>
      </c>
      <c r="O73" s="4">
        <f t="shared" si="5"/>
        <v>365.14260665600762</v>
      </c>
      <c r="P73" s="4">
        <f t="shared" si="6"/>
        <v>560.81989177675314</v>
      </c>
      <c r="Q73" s="2">
        <v>37568</v>
      </c>
      <c r="R73" s="1">
        <v>48</v>
      </c>
      <c r="S73" s="5">
        <v>1.06</v>
      </c>
      <c r="T73" s="4">
        <v>80</v>
      </c>
      <c r="U73" s="4">
        <v>29.8</v>
      </c>
      <c r="V73" s="4">
        <v>79</v>
      </c>
      <c r="W73" s="7" t="s">
        <v>56</v>
      </c>
      <c r="X73" s="5">
        <v>0.1</v>
      </c>
      <c r="Y7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74ED-B270-4962-A7F2-21DE7C85D8A3}">
  <dimension ref="A1:Y42"/>
  <sheetViews>
    <sheetView workbookViewId="0"/>
  </sheetViews>
  <sheetFormatPr defaultRowHeight="14.4" x14ac:dyDescent="0.3"/>
  <cols>
    <col min="4" max="4" width="10.5546875" bestFit="1" customWidth="1"/>
    <col min="7" max="7" width="10.5546875" bestFit="1" customWidth="1"/>
    <col min="17" max="17" width="9.5546875" bestFit="1" customWidth="1"/>
  </cols>
  <sheetData>
    <row r="1" spans="1:25" x14ac:dyDescent="0.3">
      <c r="B1" s="1"/>
      <c r="C1" s="1" t="s">
        <v>0</v>
      </c>
      <c r="D1" s="1" t="s">
        <v>0</v>
      </c>
      <c r="E1" t="s">
        <v>0</v>
      </c>
      <c r="F1" s="1" t="s">
        <v>0</v>
      </c>
      <c r="G1" s="1" t="s">
        <v>7</v>
      </c>
      <c r="H1" t="s">
        <v>7</v>
      </c>
      <c r="I1" t="s">
        <v>7</v>
      </c>
      <c r="J1" t="s">
        <v>7</v>
      </c>
      <c r="K1" s="1" t="s">
        <v>7</v>
      </c>
      <c r="L1" s="1" t="s">
        <v>7</v>
      </c>
      <c r="M1" s="1" t="s">
        <v>7</v>
      </c>
      <c r="N1" s="1" t="s">
        <v>17</v>
      </c>
      <c r="O1" s="1" t="s">
        <v>17</v>
      </c>
      <c r="P1" s="1" t="s">
        <v>17</v>
      </c>
      <c r="Q1" s="1" t="s">
        <v>39</v>
      </c>
      <c r="R1" s="1" t="s">
        <v>39</v>
      </c>
      <c r="S1" s="1" t="s">
        <v>39</v>
      </c>
      <c r="T1" s="1" t="s">
        <v>39</v>
      </c>
      <c r="U1" s="1" t="s">
        <v>39</v>
      </c>
      <c r="V1" s="1" t="s">
        <v>39</v>
      </c>
      <c r="W1" s="1" t="s">
        <v>39</v>
      </c>
      <c r="X1" s="1" t="s">
        <v>39</v>
      </c>
    </row>
    <row r="2" spans="1:25" x14ac:dyDescent="0.3">
      <c r="B2" s="1"/>
      <c r="C2" s="1"/>
      <c r="D2" s="1"/>
      <c r="F2" s="1"/>
      <c r="G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5" x14ac:dyDescent="0.3">
      <c r="B3" s="1"/>
      <c r="C3" s="1"/>
      <c r="D3" s="1"/>
      <c r="E3" t="s">
        <v>1</v>
      </c>
      <c r="F3" s="1"/>
      <c r="G3" s="1" t="s">
        <v>35</v>
      </c>
      <c r="H3" t="s">
        <v>8</v>
      </c>
      <c r="I3" t="s">
        <v>11</v>
      </c>
      <c r="J3" t="s">
        <v>12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5" x14ac:dyDescent="0.3">
      <c r="A4" t="s">
        <v>74</v>
      </c>
      <c r="B4" s="1" t="s">
        <v>21</v>
      </c>
      <c r="C4" s="1" t="s">
        <v>29</v>
      </c>
      <c r="D4" s="1" t="s">
        <v>2</v>
      </c>
      <c r="F4" s="1" t="s">
        <v>3</v>
      </c>
      <c r="G4" s="1" t="s">
        <v>36</v>
      </c>
      <c r="H4" t="s">
        <v>9</v>
      </c>
      <c r="I4" t="s">
        <v>9</v>
      </c>
      <c r="J4" t="s">
        <v>9</v>
      </c>
      <c r="K4" s="1" t="s">
        <v>13</v>
      </c>
      <c r="L4" s="1" t="s">
        <v>14</v>
      </c>
      <c r="M4" s="1" t="s">
        <v>15</v>
      </c>
      <c r="N4" s="1" t="s">
        <v>18</v>
      </c>
      <c r="O4" s="1" t="s">
        <v>19</v>
      </c>
      <c r="P4" s="1" t="s">
        <v>20</v>
      </c>
      <c r="Q4" s="1" t="s">
        <v>51</v>
      </c>
      <c r="R4" s="1" t="s">
        <v>40</v>
      </c>
      <c r="S4" s="1" t="s">
        <v>41</v>
      </c>
      <c r="T4" s="1" t="s">
        <v>42</v>
      </c>
      <c r="U4" s="1" t="s">
        <v>43</v>
      </c>
      <c r="V4" s="1" t="s">
        <v>44</v>
      </c>
      <c r="W4" s="1" t="s">
        <v>45</v>
      </c>
      <c r="X4" s="1" t="s">
        <v>46</v>
      </c>
    </row>
    <row r="5" spans="1:25" x14ac:dyDescent="0.3">
      <c r="B5" s="1"/>
      <c r="C5" s="1"/>
      <c r="D5" s="1"/>
      <c r="E5" t="s">
        <v>10</v>
      </c>
      <c r="F5" s="1" t="s">
        <v>4</v>
      </c>
      <c r="G5" s="1"/>
      <c r="H5" t="s">
        <v>10</v>
      </c>
      <c r="I5" t="s">
        <v>10</v>
      </c>
      <c r="J5" t="s">
        <v>10</v>
      </c>
      <c r="K5" s="5" t="s">
        <v>16</v>
      </c>
      <c r="L5" s="5" t="s">
        <v>16</v>
      </c>
      <c r="M5" s="5" t="s">
        <v>16</v>
      </c>
      <c r="N5" s="5" t="s">
        <v>4</v>
      </c>
      <c r="O5" s="5" t="s">
        <v>4</v>
      </c>
      <c r="P5" s="5" t="s">
        <v>4</v>
      </c>
      <c r="Q5" s="5"/>
      <c r="R5" s="1"/>
      <c r="S5" s="1" t="s">
        <v>47</v>
      </c>
      <c r="T5" s="1" t="s">
        <v>48</v>
      </c>
      <c r="U5" s="1" t="s">
        <v>49</v>
      </c>
      <c r="V5" s="1" t="s">
        <v>50</v>
      </c>
      <c r="W5" s="1"/>
      <c r="X5" s="1" t="s">
        <v>48</v>
      </c>
    </row>
    <row r="6" spans="1:25" x14ac:dyDescent="0.3">
      <c r="A6" t="s">
        <v>74</v>
      </c>
      <c r="B6" s="1" t="s">
        <v>21</v>
      </c>
      <c r="C6" s="1" t="s">
        <v>29</v>
      </c>
      <c r="D6" s="1" t="s">
        <v>2</v>
      </c>
      <c r="F6" s="1" t="s">
        <v>3</v>
      </c>
      <c r="G6" s="1" t="s">
        <v>36</v>
      </c>
      <c r="K6" s="1" t="s">
        <v>13</v>
      </c>
      <c r="L6" s="1" t="s">
        <v>14</v>
      </c>
      <c r="M6" s="1" t="s">
        <v>15</v>
      </c>
      <c r="N6" s="1" t="s">
        <v>18</v>
      </c>
      <c r="O6" s="1" t="s">
        <v>19</v>
      </c>
      <c r="P6" s="1" t="s">
        <v>20</v>
      </c>
      <c r="Q6" s="1" t="s">
        <v>51</v>
      </c>
      <c r="R6" s="1" t="s">
        <v>40</v>
      </c>
      <c r="S6" s="1" t="s">
        <v>41</v>
      </c>
      <c r="T6" s="1" t="s">
        <v>42</v>
      </c>
      <c r="U6" s="1" t="s">
        <v>43</v>
      </c>
      <c r="V6" s="1" t="s">
        <v>44</v>
      </c>
      <c r="W6" s="1" t="s">
        <v>45</v>
      </c>
      <c r="X6" s="1" t="s">
        <v>46</v>
      </c>
    </row>
    <row r="7" spans="1:25" x14ac:dyDescent="0.3">
      <c r="A7">
        <v>1</v>
      </c>
      <c r="B7" s="7" t="s">
        <v>77</v>
      </c>
      <c r="C7" s="1" t="s">
        <v>30</v>
      </c>
      <c r="D7" s="2">
        <v>37537</v>
      </c>
      <c r="E7" s="3">
        <v>9605</v>
      </c>
      <c r="F7" s="4">
        <v>3939.0583989501315</v>
      </c>
      <c r="G7" s="2">
        <v>37560</v>
      </c>
      <c r="H7" s="3">
        <v>3124.4</v>
      </c>
      <c r="I7" s="3">
        <v>1079.9000000000001</v>
      </c>
      <c r="J7" s="3">
        <v>1959.5</v>
      </c>
      <c r="K7" s="6">
        <v>0.34563436179746515</v>
      </c>
      <c r="L7" s="6">
        <v>0.62716041479964146</v>
      </c>
      <c r="M7" s="6">
        <v>2.7205223402893441E-2</v>
      </c>
      <c r="N7" s="4">
        <v>1361.4739358040736</v>
      </c>
      <c r="O7" s="4">
        <v>2470.421499405576</v>
      </c>
      <c r="P7" s="4">
        <v>3831.8954352096498</v>
      </c>
      <c r="Q7" s="2">
        <v>37568</v>
      </c>
      <c r="R7" s="1">
        <v>50</v>
      </c>
      <c r="S7" s="5">
        <v>1.0900000000000001</v>
      </c>
      <c r="T7" s="4">
        <v>80</v>
      </c>
      <c r="U7" s="4">
        <v>30.3</v>
      </c>
      <c r="V7" s="4">
        <v>82</v>
      </c>
      <c r="W7" s="7" t="s">
        <v>52</v>
      </c>
      <c r="X7" s="5">
        <v>0.1</v>
      </c>
      <c r="Y7" s="3"/>
    </row>
    <row r="8" spans="1:25" x14ac:dyDescent="0.3">
      <c r="A8">
        <v>2</v>
      </c>
      <c r="B8" s="7" t="s">
        <v>78</v>
      </c>
      <c r="C8" s="1" t="s">
        <v>30</v>
      </c>
      <c r="D8" s="2">
        <v>37537</v>
      </c>
      <c r="E8" s="3">
        <v>10560.2</v>
      </c>
      <c r="F8" s="4">
        <v>4330.7906824146976</v>
      </c>
      <c r="G8" s="2">
        <v>37560</v>
      </c>
      <c r="H8" s="3">
        <v>3101.4</v>
      </c>
      <c r="I8" s="3">
        <v>1144.9000000000001</v>
      </c>
      <c r="J8" s="3">
        <v>1866.1</v>
      </c>
      <c r="K8" s="6">
        <v>0.36915586509318377</v>
      </c>
      <c r="L8" s="6">
        <v>0.60169600825433667</v>
      </c>
      <c r="M8" s="6">
        <v>2.9148126652479567E-2</v>
      </c>
      <c r="N8" s="4">
        <v>1598.7367809042973</v>
      </c>
      <c r="O8" s="4">
        <v>2605.8194661939983</v>
      </c>
      <c r="P8" s="4">
        <v>4204.5562470982959</v>
      </c>
      <c r="Q8" s="2">
        <v>37568</v>
      </c>
      <c r="R8" s="1">
        <v>53</v>
      </c>
      <c r="S8" s="5">
        <v>1.1100000000000001</v>
      </c>
      <c r="T8" s="4">
        <v>82</v>
      </c>
      <c r="U8" s="4">
        <v>31.2</v>
      </c>
      <c r="V8" s="4">
        <v>83</v>
      </c>
      <c r="W8" s="7" t="s">
        <v>52</v>
      </c>
      <c r="X8" s="5">
        <v>0.1</v>
      </c>
      <c r="Y8" s="3"/>
    </row>
    <row r="9" spans="1:25" x14ac:dyDescent="0.3">
      <c r="A9">
        <v>3</v>
      </c>
      <c r="B9" s="7" t="s">
        <v>79</v>
      </c>
      <c r="C9" s="1" t="s">
        <v>30</v>
      </c>
      <c r="D9" s="2">
        <v>37537</v>
      </c>
      <c r="E9" s="3">
        <v>9070.2000000000007</v>
      </c>
      <c r="F9" s="4">
        <v>3719.7342519685044</v>
      </c>
      <c r="G9" s="2">
        <v>37560</v>
      </c>
      <c r="H9" s="3">
        <v>3107.3</v>
      </c>
      <c r="I9" s="3">
        <v>1098.3</v>
      </c>
      <c r="J9" s="3">
        <v>1911.5</v>
      </c>
      <c r="K9" s="6">
        <v>0.35345798603289025</v>
      </c>
      <c r="L9" s="6">
        <v>0.61516429054162769</v>
      </c>
      <c r="M9" s="6">
        <v>3.1377723425482063E-2</v>
      </c>
      <c r="N9" s="4">
        <v>1314.7697772783472</v>
      </c>
      <c r="O9" s="4">
        <v>2288.2476821155974</v>
      </c>
      <c r="P9" s="4">
        <v>3603.0174593939446</v>
      </c>
      <c r="Q9" s="2">
        <v>37568</v>
      </c>
      <c r="R9" s="1">
        <v>49</v>
      </c>
      <c r="S9" s="5">
        <v>1.0900000000000001</v>
      </c>
      <c r="T9" s="4">
        <v>80</v>
      </c>
      <c r="U9" s="4">
        <v>30.5</v>
      </c>
      <c r="V9" s="4">
        <v>82</v>
      </c>
      <c r="W9" s="7" t="s">
        <v>52</v>
      </c>
      <c r="X9" s="5">
        <v>0.2</v>
      </c>
      <c r="Y9" s="3"/>
    </row>
    <row r="10" spans="1:25" x14ac:dyDescent="0.3">
      <c r="A10">
        <v>4</v>
      </c>
      <c r="B10" s="7" t="s">
        <v>80</v>
      </c>
      <c r="C10" s="1" t="s">
        <v>30</v>
      </c>
      <c r="D10" s="2">
        <v>37537</v>
      </c>
      <c r="E10" s="3">
        <v>8654.7000000000007</v>
      </c>
      <c r="F10" s="4">
        <v>3549.3356299212596</v>
      </c>
      <c r="G10" s="2">
        <v>37560</v>
      </c>
      <c r="H10" s="3">
        <v>3029.7</v>
      </c>
      <c r="I10" s="3">
        <v>1134.7</v>
      </c>
      <c r="J10" s="3">
        <v>1823.7</v>
      </c>
      <c r="K10" s="6">
        <v>0.37452553058058558</v>
      </c>
      <c r="L10" s="6">
        <v>0.60194078621645708</v>
      </c>
      <c r="M10" s="6">
        <v>2.3533683202957345E-2</v>
      </c>
      <c r="N10" s="4">
        <v>1329.3168100048367</v>
      </c>
      <c r="O10" s="4">
        <v>2136.4898796208868</v>
      </c>
      <c r="P10" s="4">
        <v>3465.8066896257233</v>
      </c>
      <c r="Q10" s="2">
        <v>37568</v>
      </c>
      <c r="R10" s="1">
        <v>51</v>
      </c>
      <c r="S10" s="5">
        <v>1.1100000000000001</v>
      </c>
      <c r="T10" s="4">
        <v>82</v>
      </c>
      <c r="U10" s="4">
        <v>31</v>
      </c>
      <c r="V10" s="4">
        <v>82</v>
      </c>
      <c r="W10" s="7" t="s">
        <v>53</v>
      </c>
      <c r="X10" s="5">
        <v>0.1</v>
      </c>
      <c r="Y10" s="3"/>
    </row>
    <row r="11" spans="1:25" x14ac:dyDescent="0.3">
      <c r="A11">
        <v>5</v>
      </c>
      <c r="B11" s="7" t="s">
        <v>81</v>
      </c>
      <c r="C11" s="1" t="s">
        <v>30</v>
      </c>
      <c r="D11" s="2">
        <v>37537</v>
      </c>
      <c r="E11" s="3">
        <v>8563.9</v>
      </c>
      <c r="F11" s="4">
        <v>3512.0980971128606</v>
      </c>
      <c r="G11" s="2">
        <v>37560</v>
      </c>
      <c r="H11" s="3">
        <v>3270.6</v>
      </c>
      <c r="I11" s="3">
        <v>1180</v>
      </c>
      <c r="J11" s="3">
        <v>1977</v>
      </c>
      <c r="K11" s="6">
        <v>0.36079006910047084</v>
      </c>
      <c r="L11" s="6">
        <v>0.6044762428912126</v>
      </c>
      <c r="M11" s="6">
        <v>3.4733688008316554E-2</v>
      </c>
      <c r="N11" s="4">
        <v>1267.1301151449811</v>
      </c>
      <c r="O11" s="4">
        <v>2122.9798624081591</v>
      </c>
      <c r="P11" s="4">
        <v>3390.1099775531402</v>
      </c>
      <c r="Q11" s="2">
        <v>37568</v>
      </c>
      <c r="R11" s="1">
        <v>45</v>
      </c>
      <c r="S11" s="5">
        <v>1.1100000000000001</v>
      </c>
      <c r="T11" s="4">
        <v>81</v>
      </c>
      <c r="U11" s="4">
        <v>29</v>
      </c>
      <c r="V11" s="4">
        <v>81</v>
      </c>
      <c r="W11" s="7" t="s">
        <v>53</v>
      </c>
      <c r="X11" s="5">
        <v>0.1</v>
      </c>
      <c r="Y11" s="3"/>
    </row>
    <row r="12" spans="1:25" x14ac:dyDescent="0.3">
      <c r="A12">
        <v>6</v>
      </c>
      <c r="B12" s="7" t="s">
        <v>82</v>
      </c>
      <c r="C12" s="1" t="s">
        <v>30</v>
      </c>
      <c r="D12" s="2">
        <v>37537</v>
      </c>
      <c r="E12" s="3">
        <v>8273.1</v>
      </c>
      <c r="F12" s="4">
        <v>3392.8395669291344</v>
      </c>
      <c r="G12" s="2">
        <v>37560</v>
      </c>
      <c r="H12" s="3">
        <v>3499.5</v>
      </c>
      <c r="I12" s="3">
        <v>1172.0999999999999</v>
      </c>
      <c r="J12" s="3">
        <v>2142.1</v>
      </c>
      <c r="K12" s="6">
        <v>0.33493356193741963</v>
      </c>
      <c r="L12" s="6">
        <v>0.61211601657379622</v>
      </c>
      <c r="M12" s="6">
        <v>5.295042148878415E-2</v>
      </c>
      <c r="N12" s="4">
        <v>1136.3758412337872</v>
      </c>
      <c r="O12" s="4">
        <v>2076.8114405826254</v>
      </c>
      <c r="P12" s="4">
        <v>3213.1872818164129</v>
      </c>
      <c r="Q12" s="2">
        <v>37568</v>
      </c>
      <c r="R12" s="1">
        <v>50</v>
      </c>
      <c r="S12" s="5">
        <v>1.1200000000000001</v>
      </c>
      <c r="T12" s="4">
        <v>82</v>
      </c>
      <c r="U12" s="4">
        <v>31.1</v>
      </c>
      <c r="V12" s="4">
        <v>81</v>
      </c>
      <c r="W12" s="7" t="s">
        <v>53</v>
      </c>
      <c r="X12" s="5">
        <v>0.1</v>
      </c>
      <c r="Y12" s="3"/>
    </row>
    <row r="13" spans="1:25" x14ac:dyDescent="0.3">
      <c r="A13">
        <v>7</v>
      </c>
      <c r="B13" s="7" t="s">
        <v>83</v>
      </c>
      <c r="C13" s="1" t="s">
        <v>30</v>
      </c>
      <c r="D13" s="2">
        <v>37537</v>
      </c>
      <c r="E13" s="3">
        <v>9560.5</v>
      </c>
      <c r="F13" s="4">
        <v>3920.8087270341202</v>
      </c>
      <c r="G13" s="2">
        <v>37560</v>
      </c>
      <c r="H13" s="3">
        <v>3223.8</v>
      </c>
      <c r="I13" s="3">
        <v>1180.3</v>
      </c>
      <c r="J13" s="3">
        <v>1925.7</v>
      </c>
      <c r="K13" s="6">
        <v>0.36612072709225135</v>
      </c>
      <c r="L13" s="6">
        <v>0.59733854457472546</v>
      </c>
      <c r="M13" s="6">
        <v>3.6540728333023242E-2</v>
      </c>
      <c r="N13" s="4">
        <v>1435.4893419313767</v>
      </c>
      <c r="O13" s="4">
        <v>2342.0501785624433</v>
      </c>
      <c r="P13" s="4">
        <v>3777.53952049382</v>
      </c>
      <c r="Q13" s="2">
        <v>37568</v>
      </c>
      <c r="R13" s="1">
        <v>53</v>
      </c>
      <c r="S13" s="5">
        <v>1.1000000000000001</v>
      </c>
      <c r="T13" s="4">
        <v>80</v>
      </c>
      <c r="U13" s="4">
        <v>29.8</v>
      </c>
      <c r="V13" s="4">
        <v>82</v>
      </c>
      <c r="W13" s="7" t="s">
        <v>53</v>
      </c>
      <c r="X13" s="5">
        <v>0.1</v>
      </c>
      <c r="Y13" s="3"/>
    </row>
    <row r="14" spans="1:25" x14ac:dyDescent="0.3">
      <c r="A14">
        <v>8</v>
      </c>
      <c r="B14" s="7" t="s">
        <v>84</v>
      </c>
      <c r="C14" s="1" t="s">
        <v>30</v>
      </c>
      <c r="D14" s="2">
        <v>37537</v>
      </c>
      <c r="E14" s="3">
        <v>10341.9</v>
      </c>
      <c r="F14" s="4">
        <v>4241.2647637795271</v>
      </c>
      <c r="G14" s="2">
        <v>37560</v>
      </c>
      <c r="H14" s="3">
        <v>3229.8</v>
      </c>
      <c r="I14" s="3">
        <v>1134.9000000000001</v>
      </c>
      <c r="J14" s="3">
        <v>1955.1</v>
      </c>
      <c r="K14" s="6">
        <v>0.35138398662455883</v>
      </c>
      <c r="L14" s="6">
        <v>0.60533159947984394</v>
      </c>
      <c r="M14" s="6">
        <v>4.3284413895597229E-2</v>
      </c>
      <c r="N14" s="4">
        <v>1490.312521027118</v>
      </c>
      <c r="O14" s="4">
        <v>2567.3715832761636</v>
      </c>
      <c r="P14" s="4">
        <v>4057.6841043032819</v>
      </c>
      <c r="Q14" s="2">
        <v>37568</v>
      </c>
      <c r="R14" s="1">
        <v>48</v>
      </c>
      <c r="S14" s="5">
        <v>1.1299999999999999</v>
      </c>
      <c r="T14" s="4">
        <v>82</v>
      </c>
      <c r="U14" s="4">
        <v>30</v>
      </c>
      <c r="V14" s="4">
        <v>82</v>
      </c>
      <c r="W14" s="7" t="s">
        <v>53</v>
      </c>
      <c r="X14" s="5">
        <v>0.1</v>
      </c>
      <c r="Y14" s="3"/>
    </row>
    <row r="15" spans="1:25" x14ac:dyDescent="0.3">
      <c r="A15">
        <v>9</v>
      </c>
      <c r="B15" s="7" t="s">
        <v>85</v>
      </c>
      <c r="C15" s="1" t="s">
        <v>30</v>
      </c>
      <c r="D15" s="2">
        <v>37537</v>
      </c>
      <c r="E15" s="3">
        <v>10143</v>
      </c>
      <c r="F15" s="4">
        <v>4159.6948818897636</v>
      </c>
      <c r="G15" s="2">
        <v>37560</v>
      </c>
      <c r="H15" s="3">
        <v>3491.6</v>
      </c>
      <c r="I15" s="3">
        <v>1288.5999999999999</v>
      </c>
      <c r="J15" s="3">
        <v>2089.8000000000002</v>
      </c>
      <c r="K15" s="6">
        <v>0.36905716576927483</v>
      </c>
      <c r="L15" s="6">
        <v>0.59852216748768483</v>
      </c>
      <c r="M15" s="6">
        <v>3.2420666743040338E-2</v>
      </c>
      <c r="N15" s="4">
        <v>1535.1652035751945</v>
      </c>
      <c r="O15" s="4">
        <v>2489.6695967960904</v>
      </c>
      <c r="P15" s="4">
        <v>4024.8348003712849</v>
      </c>
      <c r="Q15" s="2">
        <v>37568</v>
      </c>
      <c r="R15" s="1">
        <v>51</v>
      </c>
      <c r="S15" s="5">
        <v>1.06</v>
      </c>
      <c r="T15" s="4">
        <v>80</v>
      </c>
      <c r="U15" s="4">
        <v>29</v>
      </c>
      <c r="V15" s="4">
        <v>83</v>
      </c>
      <c r="W15" s="7" t="s">
        <v>52</v>
      </c>
      <c r="X15" s="5">
        <v>0.1</v>
      </c>
      <c r="Y15" s="3"/>
    </row>
    <row r="16" spans="1:25" x14ac:dyDescent="0.3">
      <c r="A16">
        <v>10</v>
      </c>
      <c r="B16" s="7" t="s">
        <v>86</v>
      </c>
      <c r="C16" s="1" t="s">
        <v>30</v>
      </c>
      <c r="D16" s="2">
        <v>37537</v>
      </c>
      <c r="E16" s="3">
        <v>8202.9</v>
      </c>
      <c r="F16" s="4">
        <v>3364.0501968503931</v>
      </c>
      <c r="G16" s="2">
        <v>37560</v>
      </c>
      <c r="H16" s="3">
        <v>3311.9</v>
      </c>
      <c r="I16" s="3">
        <v>1174</v>
      </c>
      <c r="J16" s="3">
        <v>2062.9</v>
      </c>
      <c r="K16" s="6">
        <v>0.35447930191128957</v>
      </c>
      <c r="L16" s="6">
        <v>0.6228750868081766</v>
      </c>
      <c r="M16" s="6">
        <v>2.2645611280533884E-2</v>
      </c>
      <c r="N16" s="4">
        <v>1192.4861653740636</v>
      </c>
      <c r="O16" s="4">
        <v>2095.3830583902522</v>
      </c>
      <c r="P16" s="4">
        <v>3287.8692237643158</v>
      </c>
      <c r="Q16" s="2">
        <v>37568</v>
      </c>
      <c r="R16" s="1">
        <v>53</v>
      </c>
      <c r="S16" s="5">
        <v>1.1000000000000001</v>
      </c>
      <c r="T16" s="4">
        <v>80</v>
      </c>
      <c r="U16" s="4">
        <v>30.5</v>
      </c>
      <c r="V16" s="4">
        <v>82</v>
      </c>
      <c r="W16" s="7" t="s">
        <v>54</v>
      </c>
      <c r="X16" s="5">
        <v>0.1</v>
      </c>
      <c r="Y16" s="3"/>
    </row>
    <row r="17" spans="1:25" x14ac:dyDescent="0.3">
      <c r="A17">
        <v>11</v>
      </c>
      <c r="B17" s="7" t="s">
        <v>87</v>
      </c>
      <c r="C17" s="1" t="s">
        <v>30</v>
      </c>
      <c r="D17" s="2">
        <v>37537</v>
      </c>
      <c r="E17" s="3">
        <v>11022</v>
      </c>
      <c r="F17" s="4">
        <v>4520.177165354331</v>
      </c>
      <c r="G17" s="2">
        <v>37560</v>
      </c>
      <c r="H17" s="3">
        <v>3461.4</v>
      </c>
      <c r="I17" s="3">
        <v>1231.4000000000001</v>
      </c>
      <c r="J17" s="3">
        <v>2117.5</v>
      </c>
      <c r="K17" s="6">
        <v>0.35575200785809213</v>
      </c>
      <c r="L17" s="6">
        <v>0.61174669208990584</v>
      </c>
      <c r="M17" s="6">
        <v>3.2501300052002025E-2</v>
      </c>
      <c r="N17" s="4">
        <v>1608.0621024491027</v>
      </c>
      <c r="O17" s="4">
        <v>2765.2034285658392</v>
      </c>
      <c r="P17" s="4">
        <v>4373.2655310149421</v>
      </c>
      <c r="Q17" s="2">
        <v>37568</v>
      </c>
      <c r="R17" s="1">
        <v>55</v>
      </c>
      <c r="S17" s="5">
        <v>1.0900000000000001</v>
      </c>
      <c r="T17" s="4">
        <v>81</v>
      </c>
      <c r="U17" s="4">
        <v>30.3</v>
      </c>
      <c r="V17" s="4">
        <v>82</v>
      </c>
      <c r="W17" s="7" t="s">
        <v>52</v>
      </c>
      <c r="X17" s="5">
        <v>0.1</v>
      </c>
      <c r="Y17" s="3"/>
    </row>
    <row r="18" spans="1:25" x14ac:dyDescent="0.3">
      <c r="A18">
        <v>12</v>
      </c>
      <c r="B18" s="7" t="s">
        <v>88</v>
      </c>
      <c r="C18" s="1" t="s">
        <v>30</v>
      </c>
      <c r="D18" s="2">
        <v>37537</v>
      </c>
      <c r="E18" s="3">
        <v>7631.3</v>
      </c>
      <c r="F18" s="4">
        <v>3129.6341863517064</v>
      </c>
      <c r="G18" s="2">
        <v>37560</v>
      </c>
      <c r="H18" s="3">
        <v>3009</v>
      </c>
      <c r="I18" s="3">
        <v>1034.3</v>
      </c>
      <c r="J18" s="3">
        <v>1860.3</v>
      </c>
      <c r="K18" s="6">
        <v>0.3437354602858092</v>
      </c>
      <c r="L18" s="6">
        <v>0.6182452642073778</v>
      </c>
      <c r="M18" s="6">
        <v>3.8019275506813055E-2</v>
      </c>
      <c r="N18" s="4">
        <v>1075.7662475718078</v>
      </c>
      <c r="O18" s="4">
        <v>1934.8815144134526</v>
      </c>
      <c r="P18" s="4">
        <v>3010.6477619852603</v>
      </c>
      <c r="Q18" s="2">
        <v>37568</v>
      </c>
      <c r="R18" s="1">
        <v>44</v>
      </c>
      <c r="S18" s="5">
        <v>1.1200000000000001</v>
      </c>
      <c r="T18" s="4">
        <v>82</v>
      </c>
      <c r="U18" s="4">
        <v>30.3</v>
      </c>
      <c r="V18" s="4">
        <v>81</v>
      </c>
      <c r="W18" s="7" t="s">
        <v>54</v>
      </c>
      <c r="X18" s="5">
        <v>0.1</v>
      </c>
      <c r="Y18" s="3"/>
    </row>
    <row r="19" spans="1:25" x14ac:dyDescent="0.3">
      <c r="A19">
        <v>13</v>
      </c>
      <c r="B19" s="7" t="s">
        <v>89</v>
      </c>
      <c r="C19" s="1" t="s">
        <v>30</v>
      </c>
      <c r="D19" s="2">
        <v>37540</v>
      </c>
      <c r="E19" s="3">
        <v>11883.4</v>
      </c>
      <c r="F19" s="4">
        <v>4873.441601049869</v>
      </c>
      <c r="G19" s="2">
        <v>37560</v>
      </c>
      <c r="H19" s="3">
        <v>3378.7</v>
      </c>
      <c r="I19" s="3">
        <v>1170.8</v>
      </c>
      <c r="J19" s="3">
        <v>2071.1999999999998</v>
      </c>
      <c r="K19" s="6">
        <v>0.34652381093319917</v>
      </c>
      <c r="L19" s="6">
        <v>0.61301684079675611</v>
      </c>
      <c r="M19" s="6">
        <v>4.0459348270044715E-2</v>
      </c>
      <c r="N19" s="4">
        <v>1688.7635559561922</v>
      </c>
      <c r="O19" s="4">
        <v>2987.5017740830758</v>
      </c>
      <c r="P19" s="4">
        <v>4676.2653300392685</v>
      </c>
      <c r="Q19" s="2">
        <v>37568</v>
      </c>
      <c r="R19" s="1">
        <v>51</v>
      </c>
      <c r="S19" s="5">
        <v>1.1200000000000001</v>
      </c>
      <c r="T19" s="4">
        <v>81</v>
      </c>
      <c r="U19" s="4">
        <v>30.3</v>
      </c>
      <c r="V19" s="4">
        <v>83</v>
      </c>
      <c r="W19" s="7" t="s">
        <v>52</v>
      </c>
      <c r="X19" s="5">
        <v>0.1</v>
      </c>
      <c r="Y19" s="3"/>
    </row>
    <row r="20" spans="1:25" x14ac:dyDescent="0.3">
      <c r="A20">
        <v>14</v>
      </c>
      <c r="B20" s="7" t="s">
        <v>90</v>
      </c>
      <c r="C20" s="1" t="s">
        <v>30</v>
      </c>
      <c r="D20" s="2">
        <v>37540</v>
      </c>
      <c r="E20" s="3">
        <v>8763.9</v>
      </c>
      <c r="F20" s="4">
        <v>3594.1190944881891</v>
      </c>
      <c r="G20" s="2">
        <v>37560</v>
      </c>
      <c r="H20" s="3">
        <v>2837.9</v>
      </c>
      <c r="I20" s="3">
        <v>1009.6</v>
      </c>
      <c r="J20" s="3">
        <v>1725.2</v>
      </c>
      <c r="K20" s="6">
        <v>0.35575601677296592</v>
      </c>
      <c r="L20" s="6">
        <v>0.60791430282955705</v>
      </c>
      <c r="M20" s="6">
        <v>3.6329680397477082E-2</v>
      </c>
      <c r="N20" s="4">
        <v>1278.6294928627774</v>
      </c>
      <c r="O20" s="4">
        <v>2184.9164036121865</v>
      </c>
      <c r="P20" s="4">
        <v>3463.5458964749641</v>
      </c>
      <c r="Q20" s="2">
        <v>37568</v>
      </c>
      <c r="R20" s="1">
        <v>52</v>
      </c>
      <c r="S20" s="5">
        <v>1.0900000000000001</v>
      </c>
      <c r="T20" s="4">
        <v>80</v>
      </c>
      <c r="U20" s="4">
        <v>30.8</v>
      </c>
      <c r="V20" s="4">
        <v>83</v>
      </c>
      <c r="W20" s="7" t="s">
        <v>52</v>
      </c>
      <c r="X20" s="5">
        <v>0.1</v>
      </c>
      <c r="Y20" s="3"/>
    </row>
    <row r="21" spans="1:25" x14ac:dyDescent="0.3">
      <c r="A21">
        <v>15</v>
      </c>
      <c r="B21" s="7" t="s">
        <v>91</v>
      </c>
      <c r="C21" s="1" t="s">
        <v>30</v>
      </c>
      <c r="D21" s="2">
        <v>37540</v>
      </c>
      <c r="E21" s="3">
        <v>10176.1</v>
      </c>
      <c r="F21" s="4">
        <v>4173.2693569553803</v>
      </c>
      <c r="G21" s="2">
        <v>37560</v>
      </c>
      <c r="H21" s="3">
        <v>3792.1</v>
      </c>
      <c r="I21" s="3">
        <v>1360.8</v>
      </c>
      <c r="J21" s="3">
        <v>2270.1</v>
      </c>
      <c r="K21" s="6">
        <v>0.35885129611560879</v>
      </c>
      <c r="L21" s="6">
        <v>0.5986392763903905</v>
      </c>
      <c r="M21" s="6">
        <v>4.2509427494000773E-2</v>
      </c>
      <c r="N21" s="4">
        <v>1497.5831177829914</v>
      </c>
      <c r="O21" s="4">
        <v>2498.2829480299592</v>
      </c>
      <c r="P21" s="4">
        <v>3995.8660658129506</v>
      </c>
      <c r="Q21" s="2">
        <v>37568</v>
      </c>
      <c r="R21" s="1">
        <v>53</v>
      </c>
      <c r="S21" s="5">
        <v>1.1200000000000001</v>
      </c>
      <c r="T21" s="4">
        <v>81</v>
      </c>
      <c r="U21" s="4">
        <v>29</v>
      </c>
      <c r="V21" s="4">
        <v>83</v>
      </c>
      <c r="W21" s="7" t="s">
        <v>54</v>
      </c>
      <c r="X21" s="5">
        <v>0.1</v>
      </c>
      <c r="Y21" s="3"/>
    </row>
    <row r="22" spans="1:25" x14ac:dyDescent="0.3">
      <c r="A22">
        <v>16</v>
      </c>
      <c r="B22" s="7" t="s">
        <v>92</v>
      </c>
      <c r="C22" s="1" t="s">
        <v>30</v>
      </c>
      <c r="D22" s="2">
        <v>37540</v>
      </c>
      <c r="E22" s="3">
        <v>10392.4</v>
      </c>
      <c r="F22" s="4">
        <v>4261.975065616798</v>
      </c>
      <c r="G22" s="2">
        <v>37560</v>
      </c>
      <c r="H22" s="3">
        <v>3394.1</v>
      </c>
      <c r="I22" s="3">
        <v>1201.9000000000001</v>
      </c>
      <c r="J22" s="3">
        <v>2094.4</v>
      </c>
      <c r="K22" s="6">
        <v>0.35411449279632307</v>
      </c>
      <c r="L22" s="6">
        <v>0.61707079932824616</v>
      </c>
      <c r="M22" s="6">
        <v>2.8814707875430723E-2</v>
      </c>
      <c r="N22" s="4">
        <v>1509.2271386714681</v>
      </c>
      <c r="O22" s="4">
        <v>2629.9403604572121</v>
      </c>
      <c r="P22" s="4">
        <v>4139.16749912868</v>
      </c>
      <c r="Q22" s="2">
        <v>37568</v>
      </c>
      <c r="R22" s="1">
        <v>54</v>
      </c>
      <c r="S22" s="5">
        <v>1.1200000000000001</v>
      </c>
      <c r="T22" s="4">
        <v>82</v>
      </c>
      <c r="U22" s="4">
        <v>30.1</v>
      </c>
      <c r="V22" s="4">
        <v>83</v>
      </c>
      <c r="W22" s="7" t="s">
        <v>52</v>
      </c>
      <c r="X22" s="5">
        <v>0.1</v>
      </c>
      <c r="Y22" s="3"/>
    </row>
    <row r="23" spans="1:25" x14ac:dyDescent="0.3">
      <c r="A23">
        <v>17</v>
      </c>
      <c r="B23" s="7" t="s">
        <v>93</v>
      </c>
      <c r="C23" s="1" t="s">
        <v>30</v>
      </c>
      <c r="D23" s="2">
        <v>37540</v>
      </c>
      <c r="E23" s="3">
        <v>9220.9</v>
      </c>
      <c r="F23" s="4">
        <v>3781.5370734908138</v>
      </c>
      <c r="G23" s="2">
        <v>37560</v>
      </c>
      <c r="H23" s="3">
        <v>3604.7</v>
      </c>
      <c r="I23" s="3">
        <v>1331.3</v>
      </c>
      <c r="J23" s="3">
        <v>2172.4</v>
      </c>
      <c r="K23" s="6">
        <v>0.36932338336061254</v>
      </c>
      <c r="L23" s="6">
        <v>0.60265764141260025</v>
      </c>
      <c r="M23" s="6">
        <v>2.8018975226787202E-2</v>
      </c>
      <c r="N23" s="4">
        <v>1396.6100662852166</v>
      </c>
      <c r="O23" s="4">
        <v>2278.9722136242808</v>
      </c>
      <c r="P23" s="4">
        <v>3675.5822799094976</v>
      </c>
      <c r="Q23" s="2">
        <v>37568</v>
      </c>
      <c r="R23" s="1">
        <v>54</v>
      </c>
      <c r="S23" s="5">
        <v>1.1200000000000001</v>
      </c>
      <c r="T23" s="4">
        <v>82</v>
      </c>
      <c r="U23" s="4">
        <v>31.1</v>
      </c>
      <c r="V23" s="4">
        <v>83</v>
      </c>
      <c r="W23" s="7" t="s">
        <v>52</v>
      </c>
      <c r="X23" s="5">
        <v>0.1</v>
      </c>
      <c r="Y23" s="3"/>
    </row>
    <row r="24" spans="1:25" x14ac:dyDescent="0.3">
      <c r="A24">
        <v>18</v>
      </c>
      <c r="B24" s="7" t="s">
        <v>94</v>
      </c>
      <c r="C24" s="1" t="s">
        <v>30</v>
      </c>
      <c r="D24" s="2">
        <v>37537</v>
      </c>
      <c r="E24" s="3">
        <v>11230.6</v>
      </c>
      <c r="F24" s="4">
        <v>4605.725065616798</v>
      </c>
      <c r="G24" s="2">
        <v>37560</v>
      </c>
      <c r="H24" s="3">
        <v>4035</v>
      </c>
      <c r="I24" s="3">
        <v>1517.7</v>
      </c>
      <c r="J24" s="3">
        <v>2399.6999999999998</v>
      </c>
      <c r="K24" s="6">
        <v>0.37613382899628256</v>
      </c>
      <c r="L24" s="6">
        <v>0.594721189591078</v>
      </c>
      <c r="M24" s="6">
        <v>2.9144981412639437E-2</v>
      </c>
      <c r="N24" s="4">
        <v>1732.3690042346009</v>
      </c>
      <c r="O24" s="4">
        <v>2739.122289953068</v>
      </c>
      <c r="P24" s="4">
        <v>4471.4912941876692</v>
      </c>
      <c r="Q24" s="2">
        <v>37568</v>
      </c>
      <c r="R24" s="1">
        <v>54</v>
      </c>
      <c r="S24" s="5">
        <v>1.1200000000000001</v>
      </c>
      <c r="T24" s="4">
        <v>83</v>
      </c>
      <c r="U24" s="4">
        <v>32.1</v>
      </c>
      <c r="V24" s="4">
        <v>83</v>
      </c>
      <c r="W24" s="7" t="s">
        <v>53</v>
      </c>
      <c r="X24" s="5">
        <v>0.2</v>
      </c>
      <c r="Y24" s="3"/>
    </row>
    <row r="25" spans="1:25" x14ac:dyDescent="0.3">
      <c r="A25">
        <v>19</v>
      </c>
      <c r="B25" s="7" t="s">
        <v>95</v>
      </c>
      <c r="C25" s="1" t="s">
        <v>30</v>
      </c>
      <c r="D25" s="2">
        <v>37539</v>
      </c>
      <c r="E25" s="3">
        <v>9471</v>
      </c>
      <c r="F25" s="4">
        <v>3884.1043307086616</v>
      </c>
      <c r="G25" s="2">
        <v>37560</v>
      </c>
      <c r="H25" s="3">
        <v>3559.5</v>
      </c>
      <c r="I25" s="3">
        <v>1295.5899999999999</v>
      </c>
      <c r="J25" s="3">
        <v>2218.1999999999998</v>
      </c>
      <c r="K25" s="6">
        <v>0.36398089619328555</v>
      </c>
      <c r="L25" s="6">
        <v>0.62317741255794346</v>
      </c>
      <c r="M25" s="6">
        <v>1.2841691248770992E-2</v>
      </c>
      <c r="N25" s="4">
        <v>1413.7397751995602</v>
      </c>
      <c r="O25" s="4">
        <v>2420.4860869161266</v>
      </c>
      <c r="P25" s="4">
        <v>3834.2258621156871</v>
      </c>
      <c r="Q25" s="2">
        <v>37568</v>
      </c>
      <c r="R25" s="1">
        <v>52</v>
      </c>
      <c r="S25" s="5">
        <v>1.1299999999999999</v>
      </c>
      <c r="T25" s="4">
        <v>83</v>
      </c>
      <c r="U25" s="4">
        <v>30.7</v>
      </c>
      <c r="V25" s="4">
        <v>83</v>
      </c>
      <c r="W25" s="7" t="s">
        <v>52</v>
      </c>
      <c r="X25" s="5">
        <v>0.1</v>
      </c>
      <c r="Y25" s="3"/>
    </row>
    <row r="26" spans="1:25" x14ac:dyDescent="0.3">
      <c r="A26">
        <v>20</v>
      </c>
      <c r="B26" s="7" t="s">
        <v>96</v>
      </c>
      <c r="C26" s="1" t="s">
        <v>30</v>
      </c>
      <c r="D26" s="2">
        <v>37539</v>
      </c>
      <c r="E26" s="3">
        <v>11279.4</v>
      </c>
      <c r="F26" s="4">
        <v>4625.7381889763774</v>
      </c>
      <c r="G26" s="2">
        <v>37560</v>
      </c>
      <c r="H26" s="3">
        <v>4127</v>
      </c>
      <c r="I26" s="3">
        <v>1531.2</v>
      </c>
      <c r="J26" s="3">
        <v>2471.1</v>
      </c>
      <c r="K26" s="6">
        <v>0.3710201114611098</v>
      </c>
      <c r="L26" s="6">
        <v>0.59876423552217106</v>
      </c>
      <c r="M26" s="6">
        <v>3.0215653016719135E-2</v>
      </c>
      <c r="N26" s="4">
        <v>1716.2418984639278</v>
      </c>
      <c r="O26" s="4">
        <v>2769.7265904481528</v>
      </c>
      <c r="P26" s="4">
        <v>4485.9684889120808</v>
      </c>
      <c r="Q26" s="2">
        <v>37568</v>
      </c>
      <c r="R26" s="1">
        <v>54</v>
      </c>
      <c r="S26" s="5">
        <v>1.1200000000000001</v>
      </c>
      <c r="T26" s="4">
        <v>80</v>
      </c>
      <c r="U26" s="4">
        <v>30.5</v>
      </c>
      <c r="V26" s="4">
        <v>83</v>
      </c>
      <c r="W26" s="7" t="s">
        <v>54</v>
      </c>
      <c r="X26" s="5">
        <v>0.1</v>
      </c>
      <c r="Y26" s="3"/>
    </row>
    <row r="27" spans="1:25" x14ac:dyDescent="0.3">
      <c r="A27">
        <v>21</v>
      </c>
      <c r="B27" s="7" t="s">
        <v>97</v>
      </c>
      <c r="C27" s="1" t="s">
        <v>30</v>
      </c>
      <c r="D27" s="2">
        <v>37540</v>
      </c>
      <c r="E27" s="3">
        <v>9191.2999999999993</v>
      </c>
      <c r="F27" s="4">
        <v>3769.3979658792646</v>
      </c>
      <c r="G27" s="2">
        <v>37560</v>
      </c>
      <c r="H27" s="3">
        <v>3302.7</v>
      </c>
      <c r="I27" s="3">
        <v>1159.9000000000001</v>
      </c>
      <c r="J27" s="3">
        <v>2032.1</v>
      </c>
      <c r="K27" s="6">
        <v>0.35119750507160813</v>
      </c>
      <c r="L27" s="6">
        <v>0.61528446422623917</v>
      </c>
      <c r="M27" s="6">
        <v>3.3518030702152757E-2</v>
      </c>
      <c r="N27" s="4">
        <v>1323.8031612387924</v>
      </c>
      <c r="O27" s="4">
        <v>2319.252007891499</v>
      </c>
      <c r="P27" s="4">
        <v>3643.0551691302917</v>
      </c>
      <c r="Q27" s="2">
        <v>37568</v>
      </c>
      <c r="R27" s="1">
        <v>44</v>
      </c>
      <c r="S27" s="5">
        <v>1.1100000000000001</v>
      </c>
      <c r="T27" s="4">
        <v>81</v>
      </c>
      <c r="U27" s="4">
        <v>29.8</v>
      </c>
      <c r="V27" s="4">
        <v>82</v>
      </c>
      <c r="W27" s="7" t="s">
        <v>54</v>
      </c>
      <c r="X27" s="5">
        <v>0.2</v>
      </c>
      <c r="Y27" s="3"/>
    </row>
    <row r="28" spans="1:25" x14ac:dyDescent="0.3">
      <c r="A28">
        <v>22</v>
      </c>
      <c r="B28" s="7" t="s">
        <v>98</v>
      </c>
      <c r="C28" s="1" t="s">
        <v>30</v>
      </c>
      <c r="D28" s="2">
        <v>37540</v>
      </c>
      <c r="E28" s="3">
        <v>10961.5</v>
      </c>
      <c r="F28" s="4">
        <v>4495.3658136482936</v>
      </c>
      <c r="G28" s="2">
        <v>37560</v>
      </c>
      <c r="H28" s="3">
        <v>3573.2</v>
      </c>
      <c r="I28" s="3">
        <v>1346.4</v>
      </c>
      <c r="J28" s="3">
        <v>2110.4</v>
      </c>
      <c r="K28" s="6">
        <v>0.3768051046680847</v>
      </c>
      <c r="L28" s="6">
        <v>0.59061905294973693</v>
      </c>
      <c r="M28" s="6">
        <v>3.2575842382178366E-2</v>
      </c>
      <c r="N28" s="4">
        <v>1693.8767859330751</v>
      </c>
      <c r="O28" s="4">
        <v>2655.0486995195788</v>
      </c>
      <c r="P28" s="4">
        <v>4348.9254854526534</v>
      </c>
      <c r="Q28" s="2">
        <v>37568</v>
      </c>
      <c r="R28" s="1">
        <v>54</v>
      </c>
      <c r="S28" s="5">
        <v>1.1200000000000001</v>
      </c>
      <c r="T28" s="4">
        <v>80</v>
      </c>
      <c r="U28" s="4">
        <v>28.5</v>
      </c>
      <c r="V28" s="4">
        <v>82</v>
      </c>
      <c r="W28" s="7" t="s">
        <v>53</v>
      </c>
      <c r="X28" s="5">
        <v>0.1</v>
      </c>
      <c r="Y28" s="3"/>
    </row>
    <row r="29" spans="1:25" x14ac:dyDescent="0.3">
      <c r="A29">
        <v>23</v>
      </c>
      <c r="B29" s="7" t="s">
        <v>99</v>
      </c>
      <c r="C29" s="1" t="s">
        <v>30</v>
      </c>
      <c r="D29" s="2">
        <v>37540</v>
      </c>
      <c r="E29" s="3">
        <v>9217.9</v>
      </c>
      <c r="F29" s="4">
        <v>3780.3067585301837</v>
      </c>
      <c r="G29" s="2">
        <v>37560</v>
      </c>
      <c r="H29" s="3">
        <v>3213</v>
      </c>
      <c r="I29" s="3">
        <v>1141.7</v>
      </c>
      <c r="J29" s="3">
        <v>1963.5</v>
      </c>
      <c r="K29" s="6">
        <v>0.35533769063180831</v>
      </c>
      <c r="L29" s="6">
        <v>0.61111111111111116</v>
      </c>
      <c r="M29" s="6">
        <v>3.3551198257080528E-2</v>
      </c>
      <c r="N29" s="4">
        <v>1343.2854734559326</v>
      </c>
      <c r="O29" s="4">
        <v>2310.1874635462236</v>
      </c>
      <c r="P29" s="4">
        <v>3653.472937002156</v>
      </c>
      <c r="Q29" s="2">
        <v>37568</v>
      </c>
      <c r="R29" s="1">
        <v>54</v>
      </c>
      <c r="S29" s="5">
        <v>1.06</v>
      </c>
      <c r="T29" s="4">
        <v>80</v>
      </c>
      <c r="U29" s="4">
        <v>28.9</v>
      </c>
      <c r="V29" s="4">
        <v>82</v>
      </c>
      <c r="W29" s="7" t="s">
        <v>52</v>
      </c>
      <c r="X29" s="5">
        <v>0.1</v>
      </c>
      <c r="Y29" s="3"/>
    </row>
    <row r="30" spans="1:25" x14ac:dyDescent="0.3">
      <c r="A30">
        <v>24</v>
      </c>
      <c r="B30" s="7" t="s">
        <v>100</v>
      </c>
      <c r="C30" s="1" t="s">
        <v>30</v>
      </c>
      <c r="D30" s="2">
        <v>37540</v>
      </c>
      <c r="E30" s="3">
        <v>9067.7999999999993</v>
      </c>
      <c r="F30" s="4">
        <v>3718.75</v>
      </c>
      <c r="G30" s="2">
        <v>37560</v>
      </c>
      <c r="H30" s="3">
        <v>2775.8</v>
      </c>
      <c r="I30" s="3">
        <v>975.8</v>
      </c>
      <c r="J30" s="3">
        <v>1674.2</v>
      </c>
      <c r="K30" s="6">
        <v>0.35153829526622954</v>
      </c>
      <c r="L30" s="6">
        <v>0.60314143670293241</v>
      </c>
      <c r="M30" s="6">
        <v>4.5320268030837996E-2</v>
      </c>
      <c r="N30" s="4">
        <v>1307.2830355212911</v>
      </c>
      <c r="O30" s="4">
        <v>2242.93221773903</v>
      </c>
      <c r="P30" s="4">
        <v>3550.2152532603213</v>
      </c>
      <c r="Q30" s="2">
        <v>37568</v>
      </c>
      <c r="R30" s="1">
        <v>52</v>
      </c>
      <c r="S30" s="5">
        <v>1.1000000000000001</v>
      </c>
      <c r="T30" s="4">
        <v>80</v>
      </c>
      <c r="U30" s="4">
        <v>30.9</v>
      </c>
      <c r="V30" s="4">
        <v>83</v>
      </c>
      <c r="W30" s="7" t="s">
        <v>52</v>
      </c>
      <c r="X30" s="5">
        <v>0.1</v>
      </c>
      <c r="Y30" s="3"/>
    </row>
    <row r="31" spans="1:25" x14ac:dyDescent="0.3">
      <c r="A31">
        <v>25</v>
      </c>
      <c r="B31" s="7" t="s">
        <v>101</v>
      </c>
      <c r="C31" s="1" t="s">
        <v>30</v>
      </c>
      <c r="D31" s="2">
        <v>37539</v>
      </c>
      <c r="E31" s="3">
        <v>7922.1</v>
      </c>
      <c r="F31" s="4">
        <v>3248.892716535433</v>
      </c>
      <c r="G31" s="2">
        <v>37560</v>
      </c>
      <c r="H31" s="3">
        <v>2669.3</v>
      </c>
      <c r="I31" s="3">
        <v>898.9</v>
      </c>
      <c r="J31" s="3">
        <v>1664.7</v>
      </c>
      <c r="K31" s="6">
        <v>0.33675495448244858</v>
      </c>
      <c r="L31" s="6">
        <v>0.62364664893417743</v>
      </c>
      <c r="M31" s="6">
        <v>3.959839658337394E-2</v>
      </c>
      <c r="N31" s="4">
        <v>1094.0807188752485</v>
      </c>
      <c r="O31" s="4">
        <v>2026.1610554139793</v>
      </c>
      <c r="P31" s="4">
        <v>3120.2417742892276</v>
      </c>
      <c r="Q31" s="2">
        <v>37568</v>
      </c>
      <c r="R31" s="1">
        <v>51</v>
      </c>
      <c r="S31" s="5">
        <v>1.05</v>
      </c>
      <c r="T31" s="4">
        <v>79</v>
      </c>
      <c r="U31" s="4">
        <v>29.4</v>
      </c>
      <c r="V31" s="4">
        <v>82</v>
      </c>
      <c r="W31" s="7" t="s">
        <v>52</v>
      </c>
      <c r="X31" s="5">
        <v>0.2</v>
      </c>
      <c r="Y31" s="3"/>
    </row>
    <row r="32" spans="1:25" x14ac:dyDescent="0.3">
      <c r="A32">
        <v>26</v>
      </c>
      <c r="B32" s="7" t="s">
        <v>102</v>
      </c>
      <c r="C32" s="1" t="s">
        <v>30</v>
      </c>
      <c r="D32" s="2">
        <v>37539</v>
      </c>
      <c r="E32" s="3">
        <v>9929.7000000000007</v>
      </c>
      <c r="F32" s="4">
        <v>4072.2194881889768</v>
      </c>
      <c r="G32" s="2">
        <v>37560</v>
      </c>
      <c r="H32" s="3">
        <v>3354.6</v>
      </c>
      <c r="I32" s="3">
        <v>1183.5</v>
      </c>
      <c r="J32" s="3">
        <v>2060.1</v>
      </c>
      <c r="K32" s="6">
        <v>0.35279914147737435</v>
      </c>
      <c r="L32" s="6">
        <v>0.61411196565909498</v>
      </c>
      <c r="M32" s="6">
        <v>3.3088892863530672E-2</v>
      </c>
      <c r="N32" s="4">
        <v>1436.6755393405037</v>
      </c>
      <c r="O32" s="4">
        <v>2500.7987144870062</v>
      </c>
      <c r="P32" s="4">
        <v>3937.47425382751</v>
      </c>
      <c r="Q32" s="2">
        <v>37568</v>
      </c>
      <c r="R32" s="1">
        <v>51</v>
      </c>
      <c r="S32" s="5">
        <v>1.1000000000000001</v>
      </c>
      <c r="T32" s="4">
        <v>81</v>
      </c>
      <c r="U32" s="4">
        <v>30</v>
      </c>
      <c r="V32" s="4">
        <v>83</v>
      </c>
      <c r="W32" s="7" t="s">
        <v>52</v>
      </c>
      <c r="X32" s="5">
        <v>0.1</v>
      </c>
      <c r="Y32" s="3"/>
    </row>
    <row r="33" spans="1:25" x14ac:dyDescent="0.3">
      <c r="A33">
        <v>27</v>
      </c>
      <c r="B33" s="7" t="s">
        <v>103</v>
      </c>
      <c r="C33" s="1" t="s">
        <v>30</v>
      </c>
      <c r="D33" s="2">
        <v>37539</v>
      </c>
      <c r="E33" s="3">
        <v>10122.299999999999</v>
      </c>
      <c r="F33" s="4">
        <v>4151.2057086614168</v>
      </c>
      <c r="G33" s="2">
        <v>37560</v>
      </c>
      <c r="H33" s="3">
        <v>2938.4</v>
      </c>
      <c r="I33" s="3">
        <v>1106.8</v>
      </c>
      <c r="J33" s="3">
        <v>1736.2</v>
      </c>
      <c r="K33" s="6">
        <v>0.37666757419003538</v>
      </c>
      <c r="L33" s="6">
        <v>0.59086577729376533</v>
      </c>
      <c r="M33" s="6">
        <v>3.2466648516199292E-2</v>
      </c>
      <c r="N33" s="4">
        <v>1563.6245842453227</v>
      </c>
      <c r="O33" s="4">
        <v>2452.805387754544</v>
      </c>
      <c r="P33" s="4">
        <v>4016.4299719998667</v>
      </c>
      <c r="Q33" s="2">
        <v>37568</v>
      </c>
      <c r="R33" s="1">
        <v>55</v>
      </c>
      <c r="S33" s="5">
        <v>1.1000000000000001</v>
      </c>
      <c r="T33" s="4">
        <v>81</v>
      </c>
      <c r="U33" s="4">
        <v>30.1</v>
      </c>
      <c r="V33" s="4">
        <v>83</v>
      </c>
      <c r="W33" s="7" t="s">
        <v>52</v>
      </c>
      <c r="X33" s="5">
        <v>0.1</v>
      </c>
      <c r="Y33" s="3"/>
    </row>
    <row r="34" spans="1:25" x14ac:dyDescent="0.3">
      <c r="A34">
        <v>28</v>
      </c>
      <c r="B34" s="7" t="s">
        <v>104</v>
      </c>
      <c r="C34" s="1" t="s">
        <v>30</v>
      </c>
      <c r="D34" s="2">
        <v>37539</v>
      </c>
      <c r="E34" s="3">
        <v>10145</v>
      </c>
      <c r="F34" s="4">
        <v>4160.5150918635172</v>
      </c>
      <c r="G34" s="2">
        <v>37560</v>
      </c>
      <c r="H34" s="3">
        <v>3226.9</v>
      </c>
      <c r="I34" s="3">
        <v>1143.7</v>
      </c>
      <c r="J34" s="3">
        <v>1998.4</v>
      </c>
      <c r="K34" s="6">
        <v>0.35442684929808793</v>
      </c>
      <c r="L34" s="6">
        <v>0.61929405931389259</v>
      </c>
      <c r="M34" s="6">
        <v>2.6279091388019427E-2</v>
      </c>
      <c r="N34" s="4">
        <v>1474.5982554663312</v>
      </c>
      <c r="O34" s="4">
        <v>2576.5822800768701</v>
      </c>
      <c r="P34" s="4">
        <v>4051.1805355432016</v>
      </c>
      <c r="Q34" s="2">
        <v>37568</v>
      </c>
      <c r="R34" s="1">
        <v>50</v>
      </c>
      <c r="S34" s="5">
        <v>1.1200000000000001</v>
      </c>
      <c r="T34" s="4">
        <v>81</v>
      </c>
      <c r="U34" s="4">
        <v>30.9</v>
      </c>
      <c r="V34" s="4">
        <v>82</v>
      </c>
      <c r="W34" s="7" t="s">
        <v>53</v>
      </c>
      <c r="X34" s="5">
        <v>0.2</v>
      </c>
      <c r="Y34" s="3"/>
    </row>
    <row r="35" spans="1:25" x14ac:dyDescent="0.3">
      <c r="A35">
        <v>29</v>
      </c>
      <c r="B35" s="7" t="s">
        <v>105</v>
      </c>
      <c r="C35" s="1" t="s">
        <v>30</v>
      </c>
      <c r="D35" s="2">
        <v>37539</v>
      </c>
      <c r="E35" s="3">
        <v>9471.4</v>
      </c>
      <c r="F35" s="4">
        <v>3884.2683727034118</v>
      </c>
      <c r="G35" s="2">
        <v>37560</v>
      </c>
      <c r="H35" s="3">
        <v>2935</v>
      </c>
      <c r="I35" s="3">
        <v>1108.2</v>
      </c>
      <c r="J35" s="3">
        <v>1734</v>
      </c>
      <c r="K35" s="6">
        <v>0.37758091993185694</v>
      </c>
      <c r="L35" s="6">
        <v>0.59080068143100506</v>
      </c>
      <c r="M35" s="6">
        <v>3.1618398637138001E-2</v>
      </c>
      <c r="N35" s="4">
        <v>1466.6256254275711</v>
      </c>
      <c r="O35" s="4">
        <v>2294.8284014540768</v>
      </c>
      <c r="P35" s="4">
        <v>3761.4540268816481</v>
      </c>
      <c r="Q35" s="2">
        <v>37568</v>
      </c>
      <c r="R35" s="1">
        <v>57</v>
      </c>
      <c r="S35" s="5">
        <v>1.1100000000000001</v>
      </c>
      <c r="T35" s="4">
        <v>82</v>
      </c>
      <c r="U35" s="4">
        <v>28.8</v>
      </c>
      <c r="V35" s="4">
        <v>83</v>
      </c>
      <c r="W35" s="7" t="s">
        <v>52</v>
      </c>
      <c r="X35" s="5">
        <v>0.1</v>
      </c>
      <c r="Y35" s="3"/>
    </row>
    <row r="36" spans="1:25" x14ac:dyDescent="0.3">
      <c r="A36">
        <v>30</v>
      </c>
      <c r="B36" s="7" t="s">
        <v>106</v>
      </c>
      <c r="C36" s="1" t="s">
        <v>30</v>
      </c>
      <c r="D36" s="2">
        <v>37539</v>
      </c>
      <c r="E36" s="3">
        <v>10099.1</v>
      </c>
      <c r="F36" s="4">
        <v>4141.6912729658798</v>
      </c>
      <c r="G36" s="2">
        <v>37560</v>
      </c>
      <c r="H36" s="3">
        <v>3865.8</v>
      </c>
      <c r="I36" s="3">
        <v>1367.4</v>
      </c>
      <c r="J36" s="3">
        <v>2343.1</v>
      </c>
      <c r="K36" s="6">
        <v>0.353717212478659</v>
      </c>
      <c r="L36" s="6">
        <v>0.6061099901702105</v>
      </c>
      <c r="M36" s="6">
        <v>4.0172797351130551E-2</v>
      </c>
      <c r="N36" s="4">
        <v>1464.9874920206798</v>
      </c>
      <c r="O36" s="4">
        <v>2510.3204567453959</v>
      </c>
      <c r="P36" s="4">
        <v>3975.3079487660757</v>
      </c>
      <c r="Q36" s="2">
        <v>37568</v>
      </c>
      <c r="R36" s="1">
        <v>52</v>
      </c>
      <c r="S36" s="5">
        <v>1.1100000000000001</v>
      </c>
      <c r="T36" s="4">
        <v>81</v>
      </c>
      <c r="U36" s="4">
        <v>31.5</v>
      </c>
      <c r="V36" s="4">
        <v>83</v>
      </c>
      <c r="W36" s="7" t="s">
        <v>52</v>
      </c>
      <c r="X36" s="5">
        <v>0.1</v>
      </c>
      <c r="Y36" s="3"/>
    </row>
    <row r="37" spans="1:25" x14ac:dyDescent="0.3">
      <c r="A37">
        <v>31</v>
      </c>
      <c r="B37" s="7" t="s">
        <v>107</v>
      </c>
      <c r="C37" s="1" t="s">
        <v>30</v>
      </c>
      <c r="D37" s="2">
        <v>37539</v>
      </c>
      <c r="E37" s="3">
        <v>9747.1</v>
      </c>
      <c r="F37" s="4">
        <v>3997.3343175853015</v>
      </c>
      <c r="G37" s="2">
        <v>37560</v>
      </c>
      <c r="H37" s="3">
        <v>2752.9</v>
      </c>
      <c r="I37" s="3">
        <v>932.7</v>
      </c>
      <c r="J37" s="3">
        <v>1691.1</v>
      </c>
      <c r="K37" s="6">
        <v>0.33880634966762324</v>
      </c>
      <c r="L37" s="6">
        <v>0.6142976497511714</v>
      </c>
      <c r="M37" s="6">
        <v>4.6896000581205355E-2</v>
      </c>
      <c r="N37" s="4">
        <v>1354.3222485421959</v>
      </c>
      <c r="O37" s="4">
        <v>2455.5530765623535</v>
      </c>
      <c r="P37" s="4">
        <v>3809.8753251045491</v>
      </c>
      <c r="Q37" s="2">
        <v>37568</v>
      </c>
      <c r="R37" s="1">
        <v>50</v>
      </c>
      <c r="S37" s="5">
        <v>1.1000000000000001</v>
      </c>
      <c r="T37" s="4">
        <v>81</v>
      </c>
      <c r="U37" s="4">
        <v>31.4</v>
      </c>
      <c r="V37" s="4">
        <v>83</v>
      </c>
      <c r="W37" s="7" t="s">
        <v>52</v>
      </c>
      <c r="X37" s="5">
        <v>0.1</v>
      </c>
      <c r="Y37" s="3"/>
    </row>
    <row r="38" spans="1:25" x14ac:dyDescent="0.3">
      <c r="A38">
        <v>32</v>
      </c>
      <c r="B38" s="7" t="s">
        <v>108</v>
      </c>
      <c r="C38" s="1" t="s">
        <v>30</v>
      </c>
      <c r="D38" s="2">
        <v>37539</v>
      </c>
      <c r="E38" s="3">
        <v>8206.1</v>
      </c>
      <c r="F38" s="4">
        <v>3365.362532808399</v>
      </c>
      <c r="G38" s="2">
        <v>37560</v>
      </c>
      <c r="H38" s="3">
        <v>2751</v>
      </c>
      <c r="I38" s="3">
        <v>983.9</v>
      </c>
      <c r="J38" s="3">
        <v>1652.7</v>
      </c>
      <c r="K38" s="6">
        <v>0.35765176299527446</v>
      </c>
      <c r="L38" s="6">
        <v>0.60076335877862597</v>
      </c>
      <c r="M38" s="6">
        <v>4.1584878226099575E-2</v>
      </c>
      <c r="N38" s="4">
        <v>1203.627842977166</v>
      </c>
      <c r="O38" s="4">
        <v>2021.7864987177177</v>
      </c>
      <c r="P38" s="4">
        <v>3225.4143416948837</v>
      </c>
      <c r="Q38" s="2">
        <v>37568</v>
      </c>
      <c r="R38" s="1">
        <v>54</v>
      </c>
      <c r="S38" s="5">
        <v>1.08</v>
      </c>
      <c r="T38" s="4">
        <v>81</v>
      </c>
      <c r="U38" s="4">
        <v>29.7</v>
      </c>
      <c r="V38" s="4">
        <v>83</v>
      </c>
      <c r="W38" s="7" t="s">
        <v>52</v>
      </c>
      <c r="X38" s="5">
        <v>0.2</v>
      </c>
      <c r="Y38" s="3"/>
    </row>
    <row r="39" spans="1:25" x14ac:dyDescent="0.3">
      <c r="A39">
        <v>34</v>
      </c>
      <c r="B39" s="7" t="s">
        <v>109</v>
      </c>
      <c r="C39" s="1" t="s">
        <v>30</v>
      </c>
      <c r="D39" s="2">
        <v>37544</v>
      </c>
      <c r="E39" s="3">
        <v>2449.3000000000002</v>
      </c>
      <c r="F39" s="4">
        <v>2008.9402887139108</v>
      </c>
      <c r="G39" s="2">
        <v>37560</v>
      </c>
      <c r="H39">
        <v>2417.6</v>
      </c>
      <c r="I39">
        <v>806.6</v>
      </c>
      <c r="J39">
        <v>1520.3</v>
      </c>
      <c r="K39" s="6">
        <v>0.33363666446062212</v>
      </c>
      <c r="L39" s="6">
        <v>0.6288467902051621</v>
      </c>
      <c r="M39" s="6">
        <v>3.7516545334215778E-2</v>
      </c>
      <c r="N39" s="4">
        <v>670.25613702706835</v>
      </c>
      <c r="O39" s="4">
        <v>1263.3156522715744</v>
      </c>
      <c r="P39" s="4">
        <v>1933.5717892986427</v>
      </c>
      <c r="Q39" s="2">
        <v>37568</v>
      </c>
      <c r="R39" s="1">
        <v>43</v>
      </c>
      <c r="S39" s="5">
        <v>1.07</v>
      </c>
      <c r="T39" s="4">
        <v>80</v>
      </c>
      <c r="U39" s="4">
        <v>31.5</v>
      </c>
      <c r="V39" s="4">
        <v>81</v>
      </c>
      <c r="W39" s="7" t="s">
        <v>52</v>
      </c>
      <c r="X39" s="5">
        <v>0.1</v>
      </c>
      <c r="Y39" s="3"/>
    </row>
    <row r="40" spans="1:25" x14ac:dyDescent="0.3">
      <c r="A40">
        <v>36</v>
      </c>
      <c r="B40" s="7" t="s">
        <v>110</v>
      </c>
      <c r="C40" s="1" t="s">
        <v>30</v>
      </c>
      <c r="D40" s="2">
        <v>37544</v>
      </c>
      <c r="E40" s="3">
        <v>634.30999999999995</v>
      </c>
      <c r="F40" s="4">
        <v>520.26738845144348</v>
      </c>
      <c r="G40" s="2">
        <v>37560</v>
      </c>
      <c r="H40">
        <v>631.5</v>
      </c>
      <c r="I40">
        <v>204.2</v>
      </c>
      <c r="J40">
        <v>361.2</v>
      </c>
      <c r="K40" s="6">
        <v>0.32335708630245447</v>
      </c>
      <c r="L40" s="6">
        <v>0.57197149643705458</v>
      </c>
      <c r="M40" s="6">
        <v>0.10467141726049101</v>
      </c>
      <c r="N40" s="4">
        <v>168.23214682784601</v>
      </c>
      <c r="O40" s="4">
        <v>297.57811671997052</v>
      </c>
      <c r="P40" s="4">
        <v>465.81026354781653</v>
      </c>
      <c r="Q40" s="2">
        <v>37568</v>
      </c>
      <c r="R40" s="1">
        <v>50</v>
      </c>
      <c r="S40" s="5">
        <v>1.04</v>
      </c>
      <c r="T40" s="4">
        <v>79</v>
      </c>
      <c r="U40" s="4">
        <v>28.5</v>
      </c>
      <c r="V40" s="4">
        <v>80</v>
      </c>
      <c r="W40" s="7" t="s">
        <v>55</v>
      </c>
      <c r="X40" s="5">
        <v>0.1</v>
      </c>
      <c r="Y40" s="3"/>
    </row>
    <row r="41" spans="1:25" x14ac:dyDescent="0.3">
      <c r="A41">
        <v>38</v>
      </c>
      <c r="B41" s="7" t="s">
        <v>111</v>
      </c>
      <c r="C41" s="1" t="s">
        <v>30</v>
      </c>
      <c r="D41" s="2">
        <v>37544</v>
      </c>
      <c r="E41" s="3">
        <v>2857.7</v>
      </c>
      <c r="F41" s="4">
        <v>2343.9140419947503</v>
      </c>
      <c r="G41" s="2">
        <v>37560</v>
      </c>
      <c r="H41">
        <v>2835</v>
      </c>
      <c r="I41">
        <v>950.3</v>
      </c>
      <c r="J41">
        <v>1768.4</v>
      </c>
      <c r="K41" s="6">
        <v>0.33520282186948852</v>
      </c>
      <c r="L41" s="6">
        <v>0.62377425044091717</v>
      </c>
      <c r="M41" s="6">
        <v>4.1022927689594368E-2</v>
      </c>
      <c r="N41" s="4">
        <v>785.68660109615917</v>
      </c>
      <c r="O41" s="4">
        <v>1462.0732246432158</v>
      </c>
      <c r="P41" s="4">
        <v>2247.7598257393747</v>
      </c>
      <c r="Q41" s="2">
        <v>37568</v>
      </c>
      <c r="R41" s="1">
        <v>41</v>
      </c>
      <c r="S41" s="5">
        <v>1.1100000000000001</v>
      </c>
      <c r="T41" s="4">
        <v>81</v>
      </c>
      <c r="U41" s="4">
        <v>29.9</v>
      </c>
      <c r="V41" s="4">
        <v>82</v>
      </c>
      <c r="W41" s="7" t="s">
        <v>52</v>
      </c>
      <c r="X41" s="5">
        <v>0.1</v>
      </c>
      <c r="Y41" s="3"/>
    </row>
    <row r="42" spans="1:25" x14ac:dyDescent="0.3">
      <c r="A42">
        <v>40</v>
      </c>
      <c r="B42" s="7" t="s">
        <v>112</v>
      </c>
      <c r="C42" s="1" t="s">
        <v>30</v>
      </c>
      <c r="D42" s="2">
        <v>37544</v>
      </c>
      <c r="E42" s="3">
        <v>768.5</v>
      </c>
      <c r="F42" s="4">
        <v>630.33136482939619</v>
      </c>
      <c r="G42" s="2">
        <v>37560</v>
      </c>
      <c r="H42">
        <v>759.9</v>
      </c>
      <c r="I42">
        <v>235.9</v>
      </c>
      <c r="J42">
        <v>440.2</v>
      </c>
      <c r="K42" s="6">
        <v>0.31043558362942492</v>
      </c>
      <c r="L42" s="6">
        <v>0.57928674825634952</v>
      </c>
      <c r="M42" s="6">
        <v>0.11027766811422557</v>
      </c>
      <c r="N42" s="4">
        <v>195.67728512074558</v>
      </c>
      <c r="O42" s="4">
        <v>365.14260665600762</v>
      </c>
      <c r="P42" s="4">
        <v>560.81989177675314</v>
      </c>
      <c r="Q42" s="2">
        <v>37568</v>
      </c>
      <c r="R42" s="1">
        <v>48</v>
      </c>
      <c r="S42" s="5">
        <v>1.06</v>
      </c>
      <c r="T42" s="4">
        <v>80</v>
      </c>
      <c r="U42" s="4">
        <v>29.8</v>
      </c>
      <c r="V42" s="4">
        <v>79</v>
      </c>
      <c r="W42" s="7" t="s">
        <v>56</v>
      </c>
      <c r="X42" s="5">
        <v>0.1</v>
      </c>
      <c r="Y4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2A703-E793-4147-8A10-EA57A13CA9E8}">
  <dimension ref="A1:N41"/>
  <sheetViews>
    <sheetView workbookViewId="0"/>
  </sheetViews>
  <sheetFormatPr defaultRowHeight="14.4" x14ac:dyDescent="0.3"/>
  <sheetData>
    <row r="1" spans="1:14" x14ac:dyDescent="0.3">
      <c r="B1" t="s">
        <v>70</v>
      </c>
      <c r="C1" t="s">
        <v>70</v>
      </c>
    </row>
    <row r="2" spans="1:14" x14ac:dyDescent="0.3">
      <c r="B2" t="s">
        <v>71</v>
      </c>
      <c r="C2" t="s">
        <v>71</v>
      </c>
    </row>
    <row r="5" spans="1:14" x14ac:dyDescent="0.3">
      <c r="A5" t="s">
        <v>28</v>
      </c>
      <c r="B5" t="s">
        <v>68</v>
      </c>
      <c r="C5" t="s">
        <v>69</v>
      </c>
      <c r="N5">
        <v>0</v>
      </c>
    </row>
    <row r="6" spans="1:14" x14ac:dyDescent="0.3">
      <c r="A6">
        <v>101</v>
      </c>
      <c r="B6">
        <v>1320.8045382596224</v>
      </c>
      <c r="C6">
        <v>3821.3924431321088</v>
      </c>
      <c r="N6">
        <v>2000</v>
      </c>
    </row>
    <row r="7" spans="1:14" x14ac:dyDescent="0.3">
      <c r="A7">
        <v>102</v>
      </c>
      <c r="B7">
        <v>1566.1621266340587</v>
      </c>
      <c r="C7">
        <v>4242.5497594050739</v>
      </c>
    </row>
    <row r="8" spans="1:14" x14ac:dyDescent="0.3">
      <c r="A8">
        <v>103</v>
      </c>
      <c r="B8">
        <v>1283.2179311388734</v>
      </c>
      <c r="C8">
        <v>3630.4680664916887</v>
      </c>
    </row>
    <row r="9" spans="1:14" x14ac:dyDescent="0.3">
      <c r="A9">
        <v>104</v>
      </c>
      <c r="B9">
        <v>1312.2293898616733</v>
      </c>
      <c r="C9">
        <v>3503.7114501312335</v>
      </c>
    </row>
    <row r="10" spans="1:14" x14ac:dyDescent="0.3">
      <c r="A10">
        <v>105</v>
      </c>
      <c r="B10">
        <v>1263.8379649491621</v>
      </c>
      <c r="C10">
        <v>3502.9732611548557</v>
      </c>
    </row>
    <row r="11" spans="1:14" x14ac:dyDescent="0.3">
      <c r="A11">
        <v>106</v>
      </c>
      <c r="B11">
        <v>1133.2395019685978</v>
      </c>
      <c r="C11">
        <v>3383.4755030621172</v>
      </c>
    </row>
    <row r="12" spans="1:14" x14ac:dyDescent="0.3">
      <c r="A12">
        <v>107</v>
      </c>
      <c r="B12">
        <v>1431.8983037958687</v>
      </c>
      <c r="C12">
        <v>3911.0003827646542</v>
      </c>
    </row>
    <row r="13" spans="1:14" x14ac:dyDescent="0.3">
      <c r="A13">
        <v>108</v>
      </c>
      <c r="B13">
        <v>1483.3114525600183</v>
      </c>
      <c r="C13">
        <v>4221.3404965004374</v>
      </c>
    </row>
    <row r="14" spans="1:14" x14ac:dyDescent="0.3">
      <c r="A14">
        <v>201</v>
      </c>
      <c r="B14">
        <v>1513.9380597517281</v>
      </c>
      <c r="C14">
        <v>4102.1776574803152</v>
      </c>
    </row>
    <row r="15" spans="1:14" x14ac:dyDescent="0.3">
      <c r="A15">
        <v>202</v>
      </c>
      <c r="B15">
        <v>1160.2979987764897</v>
      </c>
      <c r="C15">
        <v>3273.2461176727911</v>
      </c>
    </row>
    <row r="16" spans="1:14" x14ac:dyDescent="0.3">
      <c r="A16">
        <v>203</v>
      </c>
      <c r="B16">
        <v>1575.6975790964177</v>
      </c>
      <c r="C16">
        <v>4429.2022090988621</v>
      </c>
    </row>
    <row r="17" spans="1:14" x14ac:dyDescent="0.3">
      <c r="A17">
        <v>204</v>
      </c>
      <c r="B17">
        <v>1057.1232789764999</v>
      </c>
      <c r="C17">
        <v>3075.39780183727</v>
      </c>
    </row>
    <row r="18" spans="1:14" x14ac:dyDescent="0.3">
      <c r="A18">
        <v>205</v>
      </c>
      <c r="B18">
        <v>1680.3908411182599</v>
      </c>
      <c r="C18">
        <v>4849.2795822397193</v>
      </c>
    </row>
    <row r="19" spans="1:14" x14ac:dyDescent="0.3">
      <c r="A19">
        <v>206</v>
      </c>
      <c r="B19">
        <v>1273.9486206221825</v>
      </c>
      <c r="C19">
        <v>3580.9615594925635</v>
      </c>
    </row>
    <row r="20" spans="1:14" x14ac:dyDescent="0.3">
      <c r="A20">
        <v>207</v>
      </c>
      <c r="B20">
        <v>1484.3626420197647</v>
      </c>
      <c r="C20">
        <v>4136.4282589676295</v>
      </c>
    </row>
    <row r="21" spans="1:14" x14ac:dyDescent="0.3">
      <c r="A21">
        <v>208</v>
      </c>
      <c r="B21">
        <v>1498.9888382522829</v>
      </c>
      <c r="C21">
        <v>4233.062664041995</v>
      </c>
    </row>
    <row r="22" spans="1:14" x14ac:dyDescent="0.3">
      <c r="A22">
        <v>301</v>
      </c>
      <c r="B22">
        <v>1383.0921397904106</v>
      </c>
      <c r="C22">
        <v>3744.9352034120739</v>
      </c>
    </row>
    <row r="23" spans="1:14" x14ac:dyDescent="0.3">
      <c r="A23">
        <v>302</v>
      </c>
      <c r="B23">
        <v>1704.2947108958037</v>
      </c>
      <c r="C23">
        <v>4531.0859580052484</v>
      </c>
      <c r="N23">
        <v>0</v>
      </c>
    </row>
    <row r="24" spans="1:14" x14ac:dyDescent="0.3">
      <c r="A24">
        <v>303</v>
      </c>
      <c r="B24">
        <v>1403.4649973310243</v>
      </c>
      <c r="C24">
        <v>3855.8754374453188</v>
      </c>
      <c r="N24">
        <v>5000</v>
      </c>
    </row>
    <row r="25" spans="1:14" x14ac:dyDescent="0.3">
      <c r="A25">
        <v>304</v>
      </c>
      <c r="B25">
        <v>1695.7640755742705</v>
      </c>
      <c r="C25">
        <v>4570.5448928258966</v>
      </c>
    </row>
    <row r="26" spans="1:14" x14ac:dyDescent="0.3">
      <c r="A26">
        <v>305</v>
      </c>
      <c r="B26">
        <v>1314.6093835948166</v>
      </c>
      <c r="C26">
        <v>3743.2195975503059</v>
      </c>
    </row>
    <row r="27" spans="1:14" x14ac:dyDescent="0.3">
      <c r="A27">
        <v>306</v>
      </c>
      <c r="B27">
        <v>1688.4811255664436</v>
      </c>
      <c r="C27">
        <v>4481.0463145231843</v>
      </c>
    </row>
    <row r="28" spans="1:14" x14ac:dyDescent="0.3">
      <c r="A28">
        <v>307</v>
      </c>
      <c r="B28">
        <v>1334.6633660511936</v>
      </c>
      <c r="C28">
        <v>3756.0422134733158</v>
      </c>
    </row>
    <row r="29" spans="1:14" x14ac:dyDescent="0.3">
      <c r="A29">
        <v>308</v>
      </c>
      <c r="B29">
        <v>1297.563735950863</v>
      </c>
      <c r="C29">
        <v>3691.1020888014004</v>
      </c>
    </row>
    <row r="30" spans="1:14" x14ac:dyDescent="0.3">
      <c r="A30">
        <v>401</v>
      </c>
      <c r="B30">
        <v>1084.3788506204944</v>
      </c>
      <c r="C30">
        <v>3220.0828412073492</v>
      </c>
    </row>
    <row r="31" spans="1:14" x14ac:dyDescent="0.3">
      <c r="A31">
        <v>402</v>
      </c>
      <c r="B31">
        <v>1427.8859445878993</v>
      </c>
      <c r="C31">
        <v>4047.3056102362202</v>
      </c>
    </row>
    <row r="32" spans="1:14" x14ac:dyDescent="0.3">
      <c r="A32">
        <v>403</v>
      </c>
      <c r="B32">
        <v>1554.4849169199274</v>
      </c>
      <c r="C32">
        <v>4126.9411636045497</v>
      </c>
    </row>
    <row r="33" spans="1:3" x14ac:dyDescent="0.3">
      <c r="A33">
        <v>404</v>
      </c>
      <c r="B33">
        <v>1464.3145860159377</v>
      </c>
      <c r="C33">
        <v>4131.5001640419941</v>
      </c>
    </row>
    <row r="34" spans="1:3" x14ac:dyDescent="0.3">
      <c r="A34">
        <v>405</v>
      </c>
      <c r="B34">
        <v>1459.7607054867719</v>
      </c>
      <c r="C34">
        <v>3866.0870516185478</v>
      </c>
    </row>
    <row r="35" spans="1:3" x14ac:dyDescent="0.3">
      <c r="A35">
        <v>406</v>
      </c>
      <c r="B35">
        <v>1449.6956246149523</v>
      </c>
      <c r="C35">
        <v>4098.4593722659665</v>
      </c>
    </row>
    <row r="36" spans="1:3" x14ac:dyDescent="0.3">
      <c r="A36">
        <v>407</v>
      </c>
      <c r="B36">
        <v>1348.6601919686409</v>
      </c>
      <c r="C36">
        <v>3980.6225393700788</v>
      </c>
    </row>
    <row r="37" spans="1:3" x14ac:dyDescent="0.3">
      <c r="A37">
        <v>408</v>
      </c>
      <c r="B37">
        <v>1200.5110040813122</v>
      </c>
      <c r="C37">
        <v>3356.6478018372704</v>
      </c>
    </row>
    <row r="38" spans="1:3" x14ac:dyDescent="0.3">
      <c r="A38">
        <v>902</v>
      </c>
      <c r="B38">
        <v>668.11252875529874</v>
      </c>
      <c r="C38">
        <v>2002.5153105861771</v>
      </c>
    </row>
    <row r="39" spans="1:3" x14ac:dyDescent="0.3">
      <c r="A39">
        <v>904</v>
      </c>
      <c r="B39">
        <v>166.63861241167101</v>
      </c>
      <c r="C39">
        <v>515.33929352580924</v>
      </c>
    </row>
    <row r="40" spans="1:3" x14ac:dyDescent="0.3">
      <c r="A40">
        <v>906</v>
      </c>
      <c r="B40">
        <v>781.86039871945013</v>
      </c>
      <c r="C40">
        <v>2332.4994531933503</v>
      </c>
    </row>
    <row r="41" spans="1:3" x14ac:dyDescent="0.3">
      <c r="A41">
        <v>908</v>
      </c>
      <c r="B41">
        <v>192.79156501920352</v>
      </c>
      <c r="C41">
        <v>621.03565179352586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Scale</vt:lpstr>
      <vt:lpstr>Plot Scale</vt:lpstr>
      <vt:lpstr>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2023-09-06T13:49:24Z</dcterms:created>
  <dcterms:modified xsi:type="dcterms:W3CDTF">2023-10-05T13:45:53Z</dcterms:modified>
</cp:coreProperties>
</file>