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12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pivotTables/pivotTable13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pivotTables/pivotTable14.xml" ContentType="application/vnd.openxmlformats-officedocument.spreadsheetml.pivotTable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pivotTables/pivotTable15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6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pivotTables/pivotTable17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pivotTables/pivotTable18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pivotTables/pivotTable19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pivotTables/pivotTable20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4FD1AE6A-A509-42C4-BF6C-BC4ED71F152F}" xr6:coauthVersionLast="47" xr6:coauthVersionMax="47" xr10:uidLastSave="{00000000-0000-0000-0000-000000000000}"/>
  <bookViews>
    <workbookView xWindow="16635" yWindow="-27615" windowWidth="17850" windowHeight="18780" activeTab="1" xr2:uid="{B998454C-0D52-450D-B143-048E06602361}"/>
  </bookViews>
  <sheets>
    <sheet name="Composite" sheetId="1" r:id="rId1"/>
    <sheet name="Canopy" sheetId="2" r:id="rId2"/>
    <sheet name="DOY162" sheetId="3" r:id="rId3"/>
    <sheet name="DOY163" sheetId="4" r:id="rId4"/>
    <sheet name="DOY164" sheetId="22" r:id="rId5"/>
    <sheet name="DOY165" sheetId="21" r:id="rId6"/>
    <sheet name="DOY167" sheetId="20" r:id="rId7"/>
    <sheet name="DOY168" sheetId="19" r:id="rId8"/>
    <sheet name="DOY169" sheetId="18" r:id="rId9"/>
    <sheet name="DOY170" sheetId="17" r:id="rId10"/>
    <sheet name="DOY171" sheetId="16" r:id="rId11"/>
    <sheet name="DOY172" sheetId="15" r:id="rId12"/>
    <sheet name="DOY175" sheetId="14" r:id="rId13"/>
    <sheet name="DOY179" sheetId="13" r:id="rId14"/>
    <sheet name="DOY180" sheetId="12" r:id="rId15"/>
    <sheet name="DOY185" sheetId="11" r:id="rId16"/>
    <sheet name="DOY187" sheetId="10" r:id="rId17"/>
    <sheet name="DOY188" sheetId="9" r:id="rId18"/>
    <sheet name="DOY223" sheetId="8" r:id="rId19"/>
    <sheet name="DOY225" sheetId="7" r:id="rId20"/>
    <sheet name="DOY226" sheetId="6" r:id="rId21"/>
    <sheet name="DOY238" sheetId="5" r:id="rId22"/>
  </sheets>
  <definedNames>
    <definedName name="_xlnm._FilterDatabase" localSheetId="6" hidden="1">'DOY167'!$A$9:$AD$81</definedName>
    <definedName name="_xlnm._FilterDatabase" localSheetId="7" hidden="1">'DOY168'!$A$9:$AD$81</definedName>
    <definedName name="_xlnm._FilterDatabase" localSheetId="8" hidden="1">'DOY169'!$A$9:$AD$81</definedName>
    <definedName name="_xlnm._FilterDatabase" localSheetId="9" hidden="1">'DOY170'!$A$9:$AD$81</definedName>
    <definedName name="_xlnm._FilterDatabase" localSheetId="10" hidden="1">'DOY171'!$A$9:$AD$81</definedName>
    <definedName name="_xlnm._FilterDatabase" localSheetId="11" hidden="1">'DOY172'!$A$9:$AD$81</definedName>
    <definedName name="_xlnm._FilterDatabase" localSheetId="12" hidden="1">'DOY175'!$A$9:$AD$81</definedName>
    <definedName name="_xlnm._FilterDatabase" localSheetId="13" hidden="1">'DOY179'!$A$9:$AD$81</definedName>
    <definedName name="_xlnm._FilterDatabase" localSheetId="14" hidden="1">'DOY180'!$A$9:$AD$81</definedName>
    <definedName name="_xlnm._FilterDatabase" localSheetId="15" hidden="1">'DOY185'!$A$9:$AD$81</definedName>
    <definedName name="_xlnm._FilterDatabase" localSheetId="16" hidden="1">'DOY187'!$A$9:$AD$85</definedName>
    <definedName name="_xlnm._FilterDatabase" localSheetId="17" hidden="1">'DOY188'!$A$9:$AD$85</definedName>
    <definedName name="_xlnm._FilterDatabase" localSheetId="18" hidden="1">'DOY223'!$B$9:$AE$85</definedName>
    <definedName name="_xlnm._FilterDatabase" localSheetId="19" hidden="1">'DOY225'!$B$9:$AE$85</definedName>
    <definedName name="_xlnm._FilterDatabase" localSheetId="20" hidden="1">'DOY226'!$B$9:$AE$85</definedName>
    <definedName name="_xlnm._FilterDatabase" localSheetId="21" hidden="1">'DOY238'!$B$9:$AE$85</definedName>
  </definedNames>
  <calcPr calcId="191029"/>
  <pivotCaches>
    <pivotCache cacheId="200" r:id="rId23"/>
    <pivotCache cacheId="201" r:id="rId24"/>
    <pivotCache cacheId="202" r:id="rId25"/>
    <pivotCache cacheId="203" r:id="rId26"/>
    <pivotCache cacheId="204" r:id="rId27"/>
    <pivotCache cacheId="205" r:id="rId28"/>
    <pivotCache cacheId="206" r:id="rId29"/>
    <pivotCache cacheId="207" r:id="rId30"/>
    <pivotCache cacheId="208" r:id="rId31"/>
    <pivotCache cacheId="209" r:id="rId32"/>
    <pivotCache cacheId="210" r:id="rId33"/>
    <pivotCache cacheId="211" r:id="rId34"/>
    <pivotCache cacheId="212" r:id="rId35"/>
    <pivotCache cacheId="213" r:id="rId36"/>
    <pivotCache cacheId="214" r:id="rId37"/>
    <pivotCache cacheId="215" r:id="rId38"/>
    <pivotCache cacheId="216" r:id="rId39"/>
    <pivotCache cacheId="217" r:id="rId40"/>
    <pivotCache cacheId="218" r:id="rId41"/>
    <pivotCache cacheId="219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22" l="1"/>
  <c r="X32" i="22"/>
  <c r="X37" i="22"/>
  <c r="Z37" i="22"/>
  <c r="V49" i="22"/>
  <c r="Z55" i="22"/>
  <c r="V63" i="22"/>
  <c r="Z64" i="22"/>
  <c r="W72" i="22"/>
  <c r="AC11" i="19"/>
  <c r="Y11" i="19"/>
  <c r="X42" i="19"/>
  <c r="AA44" i="19"/>
  <c r="V75" i="17"/>
  <c r="V14" i="12"/>
  <c r="AD30" i="12"/>
  <c r="AC38" i="12"/>
  <c r="AC61" i="12"/>
  <c r="AD61" i="12"/>
  <c r="AF61" i="12"/>
  <c r="AC76" i="12"/>
  <c r="AD76" i="12"/>
  <c r="AF76" i="12"/>
  <c r="AC30" i="11"/>
  <c r="V30" i="11"/>
  <c r="Y56" i="11"/>
  <c r="Z56" i="11"/>
  <c r="X57" i="11"/>
  <c r="W57" i="11"/>
  <c r="Y59" i="11"/>
  <c r="AD60" i="11"/>
  <c r="AA70" i="11"/>
  <c r="AB74" i="11"/>
  <c r="AA75" i="11"/>
  <c r="V77" i="11"/>
  <c r="AC78" i="11"/>
  <c r="AD78" i="11"/>
  <c r="V79" i="11"/>
  <c r="AA54" i="9"/>
  <c r="AC55" i="9"/>
  <c r="AA55" i="9"/>
  <c r="X11" i="3" l="1"/>
  <c r="V76" i="17"/>
  <c r="AC76" i="17"/>
  <c r="W76" i="17"/>
  <c r="Z60" i="3"/>
  <c r="Z38" i="3"/>
  <c r="Z49" i="3"/>
  <c r="W10" i="3"/>
  <c r="X10" i="3"/>
  <c r="Z19" i="4"/>
  <c r="Z13" i="4"/>
  <c r="W31" i="4"/>
  <c r="V51" i="4"/>
  <c r="W57" i="4"/>
  <c r="X66" i="4"/>
  <c r="X36" i="4"/>
  <c r="X18" i="4"/>
  <c r="X62" i="4"/>
  <c r="Z17" i="4"/>
  <c r="Z73" i="4"/>
  <c r="Y80" i="4"/>
  <c r="X38" i="4"/>
  <c r="X49" i="4"/>
  <c r="Y61" i="4"/>
  <c r="W22" i="4"/>
  <c r="W13" i="4"/>
  <c r="V43" i="4"/>
  <c r="V75" i="4"/>
  <c r="V32" i="4"/>
  <c r="Y36" i="4"/>
  <c r="X52" i="4"/>
  <c r="W62" i="4"/>
  <c r="Y71" i="4"/>
  <c r="Y19" i="4"/>
  <c r="W67" i="4"/>
  <c r="Z12" i="4"/>
  <c r="W46" i="4"/>
  <c r="Z69" i="4"/>
  <c r="V40" i="4"/>
  <c r="X26" i="4"/>
  <c r="Y30" i="4"/>
  <c r="V44" i="4"/>
  <c r="Y63" i="4"/>
  <c r="W79" i="11"/>
  <c r="AD22" i="12"/>
  <c r="V59" i="3"/>
  <c r="V54" i="18"/>
  <c r="W37" i="3"/>
  <c r="Y11" i="3"/>
  <c r="W15" i="4"/>
  <c r="W76" i="4"/>
  <c r="V26" i="3"/>
  <c r="V71" i="9"/>
  <c r="W71" i="9"/>
  <c r="Y71" i="9"/>
  <c r="W38" i="3"/>
  <c r="V22" i="9"/>
  <c r="Z22" i="9"/>
  <c r="AC22" i="9"/>
  <c r="AC19" i="10"/>
  <c r="X73" i="10"/>
  <c r="Y84" i="10"/>
  <c r="Z26" i="10"/>
  <c r="X50" i="10"/>
  <c r="W75" i="10"/>
  <c r="X68" i="10"/>
  <c r="AB13" i="10"/>
  <c r="AC36" i="10"/>
  <c r="AB63" i="10"/>
  <c r="AB37" i="10"/>
  <c r="AA48" i="10"/>
  <c r="AD40" i="10"/>
  <c r="Y58" i="10"/>
  <c r="AD78" i="10"/>
  <c r="W59" i="10"/>
  <c r="V10" i="10"/>
  <c r="Z54" i="10"/>
  <c r="AA24" i="10"/>
  <c r="AB71" i="10"/>
  <c r="AB38" i="10"/>
  <c r="X69" i="10"/>
  <c r="AB60" i="13"/>
  <c r="Z64" i="3"/>
  <c r="Z75" i="11"/>
  <c r="V38" i="3"/>
  <c r="Z72" i="3"/>
  <c r="Z30" i="9"/>
  <c r="X30" i="9"/>
  <c r="Y30" i="9"/>
  <c r="X14" i="11"/>
  <c r="AF60" i="12"/>
  <c r="AC60" i="12"/>
  <c r="AD60" i="12"/>
  <c r="V64" i="3"/>
  <c r="X26" i="3"/>
  <c r="W75" i="13"/>
  <c r="Z58" i="3"/>
  <c r="X58" i="3"/>
  <c r="Y58" i="3"/>
  <c r="W58" i="3"/>
  <c r="W26" i="3"/>
  <c r="X46" i="11"/>
  <c r="W42" i="10"/>
  <c r="AB42" i="10"/>
  <c r="V30" i="21"/>
  <c r="X75" i="11"/>
  <c r="V75" i="11"/>
  <c r="W75" i="11"/>
  <c r="AC75" i="11"/>
  <c r="AD75" i="11"/>
  <c r="X73" i="11"/>
  <c r="W64" i="3"/>
  <c r="Z26" i="3"/>
  <c r="AC12" i="8"/>
  <c r="AA59" i="13"/>
  <c r="X24" i="13"/>
  <c r="Y65" i="3"/>
  <c r="Z44" i="3"/>
  <c r="Z23" i="10"/>
  <c r="X54" i="9"/>
  <c r="Y54" i="9"/>
  <c r="Z54" i="9"/>
  <c r="AC74" i="13"/>
  <c r="V80" i="3"/>
  <c r="W80" i="3"/>
  <c r="X80" i="3"/>
  <c r="X76" i="3"/>
  <c r="X56" i="11"/>
  <c r="V58" i="11"/>
  <c r="Z79" i="9"/>
  <c r="Y23" i="3"/>
  <c r="Z23" i="3"/>
  <c r="W59" i="3"/>
  <c r="X38" i="3"/>
  <c r="V11" i="3"/>
  <c r="X71" i="11"/>
  <c r="AA75" i="16"/>
  <c r="AC77" i="19"/>
  <c r="AD77" i="19"/>
  <c r="W73" i="19"/>
  <c r="V73" i="19"/>
  <c r="AA58" i="19"/>
  <c r="Z76" i="3"/>
  <c r="V15" i="3"/>
  <c r="W15" i="3"/>
  <c r="X15" i="3"/>
  <c r="Y15" i="3"/>
  <c r="Z59" i="11"/>
  <c r="W58" i="14"/>
  <c r="Z40" i="14"/>
  <c r="Z80" i="16"/>
  <c r="Z68" i="22"/>
  <c r="V68" i="22"/>
  <c r="W68" i="22"/>
  <c r="Y48" i="22"/>
  <c r="AD42" i="13"/>
  <c r="V16" i="9"/>
  <c r="X16" i="9"/>
  <c r="W16" i="9"/>
  <c r="Y16" i="9"/>
  <c r="Z74" i="11"/>
  <c r="AD71" i="11"/>
  <c r="V46" i="22"/>
  <c r="X44" i="22"/>
  <c r="V10" i="3"/>
  <c r="V19" i="22"/>
  <c r="V17" i="22"/>
  <c r="V38" i="12"/>
  <c r="AD38" i="12"/>
  <c r="AA27" i="16"/>
  <c r="Z52" i="3"/>
  <c r="X60" i="13"/>
  <c r="Z60" i="13"/>
  <c r="AD60" i="13"/>
  <c r="Y29" i="3"/>
  <c r="AC59" i="11"/>
  <c r="AB59" i="11"/>
  <c r="W59" i="11"/>
  <c r="AD51" i="14"/>
  <c r="W24" i="20"/>
  <c r="Y24" i="20"/>
  <c r="X64" i="3"/>
  <c r="AD43" i="13"/>
  <c r="AB55" i="9"/>
  <c r="AD55" i="9"/>
  <c r="AD16" i="9"/>
  <c r="W73" i="11"/>
  <c r="V53" i="3"/>
  <c r="AC16" i="9"/>
  <c r="V73" i="11"/>
  <c r="X30" i="11"/>
  <c r="W30" i="11"/>
  <c r="X60" i="15"/>
  <c r="Y58" i="15"/>
  <c r="AD32" i="15"/>
  <c r="Y38" i="15"/>
  <c r="Y69" i="15"/>
  <c r="X22" i="15"/>
  <c r="X16" i="22"/>
  <c r="X81" i="3"/>
  <c r="Y81" i="3"/>
  <c r="AB16" i="9"/>
  <c r="Z77" i="11"/>
  <c r="Z32" i="16"/>
  <c r="V32" i="22"/>
  <c r="Y32" i="22"/>
  <c r="Z32" i="22"/>
  <c r="Y54" i="14"/>
  <c r="X26" i="14"/>
  <c r="AA47" i="14"/>
  <c r="X37" i="14"/>
  <c r="AC27" i="14"/>
  <c r="AC36" i="14"/>
  <c r="AA54" i="14"/>
  <c r="AB29" i="13"/>
  <c r="AC35" i="14"/>
  <c r="AC27" i="17"/>
  <c r="AD62" i="12"/>
  <c r="AD45" i="13"/>
  <c r="X58" i="17"/>
  <c r="AB76" i="19"/>
  <c r="Z43" i="3"/>
  <c r="W18" i="3"/>
  <c r="W16" i="3"/>
  <c r="Y70" i="3"/>
  <c r="AB75" i="11"/>
  <c r="V57" i="11"/>
  <c r="Y76" i="12"/>
  <c r="AA70" i="14"/>
  <c r="AB34" i="16"/>
  <c r="AA34" i="16"/>
  <c r="Y34" i="16"/>
  <c r="W58" i="22"/>
  <c r="W11" i="3"/>
  <c r="Y26" i="3"/>
  <c r="W33" i="3"/>
  <c r="V36" i="3"/>
  <c r="Y46" i="3"/>
  <c r="V58" i="3"/>
  <c r="V78" i="3"/>
  <c r="Z28" i="3"/>
  <c r="Z32" i="3"/>
  <c r="Y37" i="3"/>
  <c r="Y67" i="3"/>
  <c r="AA57" i="11"/>
  <c r="X56" i="17"/>
  <c r="Z56" i="17"/>
  <c r="Y56" i="17"/>
  <c r="V73" i="3"/>
  <c r="Y64" i="3"/>
  <c r="Z55" i="3"/>
  <c r="V44" i="3"/>
  <c r="Y38" i="3"/>
  <c r="V12" i="3"/>
  <c r="Z57" i="11"/>
  <c r="X74" i="19"/>
  <c r="Y74" i="19"/>
  <c r="V22" i="22"/>
  <c r="V81" i="11"/>
  <c r="W81" i="11"/>
  <c r="V71" i="11"/>
  <c r="V56" i="13"/>
  <c r="V74" i="3"/>
  <c r="W45" i="3"/>
  <c r="Y25" i="3"/>
  <c r="Z15" i="3"/>
  <c r="W71" i="11"/>
  <c r="Z11" i="17"/>
  <c r="Z48" i="3"/>
  <c r="Z66" i="3"/>
  <c r="V23" i="3"/>
  <c r="Z11" i="3"/>
  <c r="AD46" i="12"/>
  <c r="V74" i="11"/>
  <c r="AA74" i="11"/>
  <c r="AC74" i="11"/>
  <c r="AB59" i="13"/>
  <c r="V24" i="17"/>
  <c r="V72" i="19"/>
  <c r="AB44" i="19"/>
  <c r="Y73" i="11"/>
  <c r="AD61" i="11"/>
  <c r="AF59" i="12"/>
  <c r="W24" i="18"/>
  <c r="Z52" i="18"/>
  <c r="Y54" i="18"/>
  <c r="X65" i="18"/>
  <c r="AD21" i="18"/>
  <c r="AC23" i="18"/>
  <c r="W21" i="18"/>
  <c r="AC55" i="18"/>
  <c r="AA54" i="18"/>
  <c r="W22" i="18"/>
  <c r="AD43" i="18"/>
  <c r="X51" i="18"/>
  <c r="X52" i="18"/>
  <c r="Y20" i="18"/>
  <c r="Y56" i="18"/>
  <c r="W67" i="18"/>
  <c r="AD71" i="18"/>
  <c r="AD40" i="18"/>
  <c r="Y10" i="18"/>
  <c r="X73" i="19"/>
  <c r="V71" i="19"/>
  <c r="AC54" i="19"/>
  <c r="AB22" i="9"/>
  <c r="AB30" i="12"/>
  <c r="AA64" i="20"/>
  <c r="AA59" i="11"/>
  <c r="V59" i="11"/>
  <c r="X59" i="11"/>
  <c r="AB71" i="11"/>
  <c r="Y41" i="16"/>
  <c r="V31" i="16"/>
  <c r="V47" i="9"/>
  <c r="AB76" i="11"/>
  <c r="AB62" i="9"/>
  <c r="AD31" i="9"/>
  <c r="Z73" i="13"/>
  <c r="AA54" i="19"/>
  <c r="AC71" i="11"/>
  <c r="AA77" i="11"/>
  <c r="V63" i="9"/>
  <c r="AA12" i="9"/>
  <c r="X16" i="11"/>
  <c r="Z31" i="11"/>
  <c r="Y38" i="11"/>
  <c r="AC43" i="11"/>
  <c r="AD13" i="11"/>
  <c r="Z22" i="11"/>
  <c r="AA27" i="11"/>
  <c r="Y29" i="11"/>
  <c r="AC45" i="11"/>
  <c r="W14" i="16"/>
  <c r="Y76" i="13"/>
  <c r="V12" i="13"/>
  <c r="AC42" i="13"/>
  <c r="AD20" i="13"/>
  <c r="Y22" i="13"/>
  <c r="V70" i="13"/>
  <c r="V72" i="13"/>
  <c r="V75" i="13"/>
  <c r="AA77" i="13"/>
  <c r="W54" i="19"/>
  <c r="X33" i="20"/>
  <c r="Y60" i="13"/>
  <c r="Y41" i="13"/>
  <c r="AB25" i="13"/>
  <c r="AC13" i="13"/>
  <c r="AC73" i="16"/>
  <c r="X27" i="16"/>
  <c r="Y76" i="17"/>
  <c r="W78" i="22"/>
  <c r="W74" i="22"/>
  <c r="V14" i="16"/>
  <c r="AD33" i="16"/>
  <c r="AA60" i="16"/>
  <c r="V67" i="16"/>
  <c r="Y71" i="16"/>
  <c r="AD50" i="16"/>
  <c r="V52" i="16"/>
  <c r="AD11" i="16"/>
  <c r="V37" i="16"/>
  <c r="AD61" i="16"/>
  <c r="Y20" i="16"/>
  <c r="AA22" i="16"/>
  <c r="X51" i="16"/>
  <c r="V71" i="16"/>
  <c r="Y10" i="16"/>
  <c r="AC77" i="16"/>
  <c r="W55" i="16"/>
  <c r="AB57" i="16"/>
  <c r="AA61" i="16"/>
  <c r="AC63" i="16"/>
  <c r="Z75" i="16"/>
  <c r="AD34" i="16"/>
  <c r="Y40" i="16"/>
  <c r="X65" i="16"/>
  <c r="X28" i="16"/>
  <c r="X47" i="16"/>
  <c r="Y57" i="16"/>
  <c r="AC29" i="16"/>
  <c r="Y64" i="16"/>
  <c r="AC68" i="16"/>
  <c r="V28" i="13"/>
  <c r="Z26" i="13"/>
  <c r="Y12" i="16"/>
  <c r="AD59" i="13"/>
  <c r="AB53" i="16"/>
  <c r="V33" i="16"/>
  <c r="X71" i="20"/>
  <c r="Y21" i="21"/>
  <c r="Z21" i="21"/>
  <c r="V81" i="22"/>
  <c r="Z43" i="19"/>
  <c r="Z11" i="19"/>
  <c r="AA11" i="19"/>
  <c r="AB11" i="19"/>
  <c r="V23" i="21"/>
  <c r="X69" i="22"/>
  <c r="X63" i="22"/>
  <c r="Z63" i="22"/>
  <c r="Y67" i="22"/>
  <c r="W78" i="20"/>
  <c r="Z74" i="19"/>
  <c r="AA74" i="19"/>
  <c r="W74" i="19"/>
  <c r="AB74" i="19"/>
  <c r="V74" i="22"/>
  <c r="X74" i="22"/>
  <c r="X61" i="12"/>
  <c r="AD38" i="19"/>
  <c r="AD50" i="20"/>
  <c r="Y50" i="20"/>
  <c r="W79" i="22"/>
  <c r="V79" i="22"/>
  <c r="AB76" i="17"/>
  <c r="Z39" i="22"/>
  <c r="V20" i="22"/>
  <c r="W20" i="22"/>
  <c r="X10" i="22"/>
  <c r="AA12" i="17"/>
  <c r="Y12" i="19"/>
  <c r="W55" i="20"/>
  <c r="W69" i="22"/>
  <c r="AD69" i="19"/>
  <c r="V57" i="19"/>
  <c r="AC44" i="19"/>
  <c r="AD44" i="19"/>
  <c r="X16" i="20"/>
  <c r="Z18" i="21"/>
  <c r="X18" i="21"/>
  <c r="Y18" i="21"/>
  <c r="Z23" i="21"/>
  <c r="V66" i="21"/>
  <c r="X69" i="21"/>
  <c r="X21" i="21"/>
  <c r="Y51" i="21"/>
  <c r="W30" i="21"/>
  <c r="Y76" i="21"/>
  <c r="X62" i="21"/>
  <c r="Y22" i="21"/>
  <c r="X26" i="21"/>
  <c r="W45" i="21"/>
  <c r="W54" i="21"/>
  <c r="V67" i="21"/>
  <c r="Y31" i="21"/>
  <c r="V34" i="21"/>
  <c r="Y37" i="21"/>
  <c r="Z29" i="21"/>
  <c r="V47" i="21"/>
  <c r="X33" i="21"/>
  <c r="W15" i="21"/>
  <c r="Y73" i="21"/>
  <c r="X60" i="21"/>
  <c r="V68" i="21"/>
  <c r="W28" i="21"/>
  <c r="Z13" i="21"/>
  <c r="Z61" i="21"/>
  <c r="W77" i="21"/>
  <c r="X81" i="21"/>
  <c r="X75" i="21"/>
  <c r="Z78" i="21"/>
  <c r="Y75" i="19"/>
  <c r="V78" i="20"/>
  <c r="V80" i="20"/>
  <c r="AB73" i="20"/>
  <c r="Z40" i="21"/>
  <c r="Y33" i="21"/>
  <c r="X41" i="17"/>
  <c r="X10" i="17"/>
  <c r="AC13" i="17"/>
  <c r="Y21" i="17"/>
  <c r="AC43" i="17"/>
  <c r="AC42" i="17"/>
  <c r="W59" i="17"/>
  <c r="X61" i="17"/>
  <c r="X69" i="17"/>
  <c r="Y71" i="17"/>
  <c r="AC26" i="17"/>
  <c r="V55" i="17"/>
  <c r="X30" i="17"/>
  <c r="Y60" i="17"/>
  <c r="AD70" i="17"/>
  <c r="V72" i="17"/>
  <c r="Y73" i="17"/>
  <c r="AD78" i="17"/>
  <c r="X71" i="19"/>
  <c r="Z14" i="20"/>
  <c r="W16" i="20"/>
  <c r="AB23" i="20"/>
  <c r="AC54" i="20"/>
  <c r="W57" i="20"/>
  <c r="V60" i="20"/>
  <c r="AA62" i="20"/>
  <c r="AC32" i="20"/>
  <c r="X56" i="20"/>
  <c r="V67" i="20"/>
  <c r="Y79" i="20"/>
  <c r="V43" i="20"/>
  <c r="X45" i="20"/>
  <c r="AD10" i="20"/>
  <c r="V63" i="20"/>
  <c r="V74" i="20"/>
  <c r="W39" i="20"/>
  <c r="AC39" i="20"/>
  <c r="AA23" i="20"/>
  <c r="Z49" i="20"/>
  <c r="X66" i="20"/>
  <c r="V12" i="20"/>
  <c r="Z24" i="20"/>
  <c r="Y52" i="20"/>
  <c r="V11" i="20"/>
  <c r="V77" i="20"/>
  <c r="AC79" i="20"/>
  <c r="W11" i="20"/>
  <c r="V61" i="20"/>
  <c r="X18" i="20"/>
  <c r="AA78" i="20"/>
  <c r="W63" i="22"/>
  <c r="AD48" i="20"/>
  <c r="AA76" i="17"/>
  <c r="Z40" i="17"/>
  <c r="AB48" i="20"/>
  <c r="AC27" i="20"/>
  <c r="Y63" i="22"/>
  <c r="Z58" i="22"/>
  <c r="Y80" i="22"/>
  <c r="Z71" i="22"/>
  <c r="W49" i="22"/>
  <c r="Z59" i="22"/>
  <c r="Y37" i="22"/>
  <c r="W37" i="22"/>
  <c r="V59" i="22"/>
  <c r="X26" i="22"/>
  <c r="X68" i="22"/>
  <c r="V25" i="22"/>
  <c r="W46" i="22"/>
  <c r="V42" i="22"/>
  <c r="W42" i="19"/>
  <c r="X39" i="19"/>
  <c r="Z37" i="19"/>
  <c r="Z35" i="19"/>
  <c r="W73" i="22"/>
  <c r="AD11" i="19"/>
  <c r="V25" i="19"/>
  <c r="W28" i="19"/>
  <c r="Y53" i="19"/>
  <c r="AB56" i="19"/>
  <c r="X64" i="22"/>
  <c r="Y64" i="22"/>
  <c r="V10" i="22"/>
  <c r="W40" i="19"/>
  <c r="AD32" i="19"/>
  <c r="Z74" i="22"/>
  <c r="X27" i="22"/>
  <c r="AA60" i="19"/>
  <c r="W41" i="19"/>
  <c r="Y68" i="22"/>
  <c r="V27" i="22"/>
  <c r="AB58" i="19"/>
  <c r="Y38" i="19"/>
  <c r="X34" i="19"/>
  <c r="AD24" i="19"/>
  <c r="V10" i="19"/>
  <c r="Y74" i="22"/>
  <c r="Y59" i="22"/>
  <c r="V41" i="22"/>
  <c r="V30" i="22"/>
  <c r="W21" i="22"/>
  <c r="X53" i="22"/>
  <c r="V58" i="22"/>
  <c r="Y75" i="22"/>
  <c r="X80" i="22"/>
  <c r="W17" i="22"/>
  <c r="V80" i="22"/>
  <c r="W14" i="22"/>
  <c r="W64" i="22"/>
  <c r="V78" i="22"/>
  <c r="X20" i="22"/>
  <c r="V23" i="22"/>
  <c r="Y43" i="22"/>
  <c r="W45" i="22"/>
  <c r="X60" i="22"/>
  <c r="V62" i="22"/>
  <c r="X65" i="22"/>
  <c r="V11" i="22"/>
  <c r="Z16" i="22"/>
  <c r="Z52" i="22"/>
  <c r="Z54" i="22"/>
  <c r="V60" i="22"/>
  <c r="W70" i="22"/>
  <c r="Z80" i="22"/>
  <c r="Y10" i="22"/>
  <c r="Z25" i="22"/>
  <c r="Z62" i="22"/>
  <c r="Y62" i="22"/>
  <c r="Z21" i="22"/>
  <c r="W10" i="22"/>
  <c r="W48" i="22"/>
  <c r="W23" i="22"/>
  <c r="Y23" i="22"/>
  <c r="Y21" i="22"/>
  <c r="V43" i="22"/>
  <c r="V40" i="22"/>
  <c r="W40" i="22"/>
  <c r="X40" i="22"/>
  <c r="Y40" i="22"/>
  <c r="Z40" i="22"/>
  <c r="Z69" i="22"/>
  <c r="Y58" i="22"/>
  <c r="Y51" i="22"/>
  <c r="V37" i="22"/>
  <c r="V29" i="22"/>
  <c r="W29" i="22"/>
  <c r="X29" i="22"/>
  <c r="Y29" i="22"/>
  <c r="Z29" i="22"/>
  <c r="V71" i="22"/>
  <c r="W71" i="22"/>
  <c r="X71" i="22"/>
  <c r="Y71" i="22"/>
  <c r="Y69" i="22"/>
  <c r="X58" i="22"/>
  <c r="V51" i="22"/>
  <c r="X41" i="22"/>
  <c r="W30" i="22"/>
  <c r="X14" i="22"/>
  <c r="X48" i="22"/>
  <c r="V12" i="22"/>
  <c r="W12" i="22"/>
  <c r="Y12" i="22"/>
  <c r="Z12" i="22"/>
  <c r="V77" i="22"/>
  <c r="W77" i="22"/>
  <c r="X77" i="22"/>
  <c r="Y77" i="22"/>
  <c r="Z77" i="22"/>
  <c r="V76" i="22"/>
  <c r="W76" i="22"/>
  <c r="Y76" i="22"/>
  <c r="Z76" i="22"/>
  <c r="Z46" i="22"/>
  <c r="V18" i="22"/>
  <c r="W18" i="22"/>
  <c r="X18" i="22"/>
  <c r="Y46" i="22"/>
  <c r="Z73" i="22"/>
  <c r="V34" i="22"/>
  <c r="W34" i="22"/>
  <c r="X34" i="22"/>
  <c r="Y34" i="22"/>
  <c r="Z34" i="22"/>
  <c r="X46" i="22"/>
  <c r="Z57" i="22"/>
  <c r="W47" i="22"/>
  <c r="V66" i="22"/>
  <c r="W66" i="22"/>
  <c r="X66" i="22"/>
  <c r="Y66" i="22"/>
  <c r="Z66" i="22"/>
  <c r="Z42" i="22"/>
  <c r="V24" i="22"/>
  <c r="W24" i="22"/>
  <c r="X24" i="22"/>
  <c r="Y24" i="22"/>
  <c r="Z24" i="22"/>
  <c r="Y42" i="22"/>
  <c r="Y35" i="22"/>
  <c r="Y25" i="22"/>
  <c r="X76" i="22"/>
  <c r="X42" i="22"/>
  <c r="V35" i="22"/>
  <c r="X25" i="22"/>
  <c r="Y73" i="22"/>
  <c r="V72" i="22"/>
  <c r="X72" i="22"/>
  <c r="Y72" i="22"/>
  <c r="Z72" i="22"/>
  <c r="Z53" i="22"/>
  <c r="V44" i="22"/>
  <c r="W44" i="22"/>
  <c r="Y44" i="22"/>
  <c r="Z44" i="22"/>
  <c r="W42" i="22"/>
  <c r="W25" i="22"/>
  <c r="V14" i="22"/>
  <c r="X73" i="22"/>
  <c r="V69" i="22"/>
  <c r="V55" i="22"/>
  <c r="W55" i="22"/>
  <c r="X55" i="22"/>
  <c r="Y55" i="22"/>
  <c r="Y53" i="22"/>
  <c r="Z30" i="22"/>
  <c r="V28" i="22"/>
  <c r="Z14" i="22"/>
  <c r="Y14" i="22"/>
  <c r="V70" i="22"/>
  <c r="V56" i="22"/>
  <c r="W56" i="22"/>
  <c r="X56" i="22"/>
  <c r="Y56" i="22"/>
  <c r="Z56" i="22"/>
  <c r="V53" i="22"/>
  <c r="V45" i="22"/>
  <c r="X45" i="22"/>
  <c r="Y45" i="22"/>
  <c r="Z45" i="22"/>
  <c r="Z78" i="22"/>
  <c r="V73" i="22"/>
  <c r="V61" i="22"/>
  <c r="W61" i="22"/>
  <c r="X61" i="22"/>
  <c r="Y61" i="22"/>
  <c r="Z61" i="22"/>
  <c r="W53" i="22"/>
  <c r="X30" i="22"/>
  <c r="V39" i="22"/>
  <c r="W39" i="22"/>
  <c r="X39" i="22"/>
  <c r="Y39" i="22"/>
  <c r="V67" i="22"/>
  <c r="Z79" i="22"/>
  <c r="Y78" i="22"/>
  <c r="X31" i="22"/>
  <c r="W16" i="22"/>
  <c r="Z11" i="22"/>
  <c r="Z31" i="22"/>
  <c r="Y30" i="22"/>
  <c r="W81" i="22"/>
  <c r="Y79" i="22"/>
  <c r="X78" i="22"/>
  <c r="Z20" i="22"/>
  <c r="X79" i="22"/>
  <c r="V50" i="22"/>
  <c r="W50" i="22"/>
  <c r="X50" i="22"/>
  <c r="Y50" i="22"/>
  <c r="Z48" i="22"/>
  <c r="Y20" i="22"/>
  <c r="X12" i="22"/>
  <c r="Z23" i="22"/>
  <c r="Y19" i="22"/>
  <c r="V48" i="22"/>
  <c r="W80" i="22"/>
  <c r="Y27" i="22"/>
  <c r="Z70" i="22"/>
  <c r="V64" i="22"/>
  <c r="Z22" i="22"/>
  <c r="Y70" i="22"/>
  <c r="W59" i="22"/>
  <c r="W43" i="22"/>
  <c r="W27" i="22"/>
  <c r="Y22" i="22"/>
  <c r="W32" i="22"/>
  <c r="X59" i="22"/>
  <c r="Z38" i="22"/>
  <c r="Z81" i="22"/>
  <c r="X70" i="22"/>
  <c r="Z49" i="22"/>
  <c r="X38" i="22"/>
  <c r="Z33" i="22"/>
  <c r="X22" i="22"/>
  <c r="Z17" i="22"/>
  <c r="Y81" i="22"/>
  <c r="Y49" i="22"/>
  <c r="W22" i="22"/>
  <c r="Y17" i="22"/>
  <c r="X81" i="22"/>
  <c r="X49" i="22"/>
  <c r="X33" i="22"/>
  <c r="X17" i="22"/>
  <c r="Z67" i="22"/>
  <c r="Z51" i="22"/>
  <c r="Z35" i="22"/>
  <c r="Z19" i="22"/>
  <c r="X67" i="22"/>
  <c r="X51" i="22"/>
  <c r="X35" i="22"/>
  <c r="X19" i="22"/>
  <c r="W67" i="22"/>
  <c r="W51" i="22"/>
  <c r="W35" i="22"/>
  <c r="W19" i="22"/>
  <c r="Z45" i="21"/>
  <c r="Y25" i="21"/>
  <c r="X76" i="21"/>
  <c r="V75" i="21"/>
  <c r="Y75" i="21"/>
  <c r="V48" i="21"/>
  <c r="V17" i="21"/>
  <c r="W17" i="21"/>
  <c r="X49" i="21"/>
  <c r="Y49" i="21"/>
  <c r="Z49" i="21"/>
  <c r="X22" i="21"/>
  <c r="Y60" i="21"/>
  <c r="V54" i="21"/>
  <c r="X23" i="21"/>
  <c r="Z42" i="21"/>
  <c r="X29" i="21"/>
  <c r="W29" i="21"/>
  <c r="V29" i="21"/>
  <c r="Y29" i="21"/>
  <c r="V18" i="21"/>
  <c r="W18" i="21"/>
  <c r="Z76" i="21"/>
  <c r="Z31" i="21"/>
  <c r="V73" i="21"/>
  <c r="V15" i="21"/>
  <c r="Z41" i="21"/>
  <c r="V41" i="21"/>
  <c r="W41" i="21"/>
  <c r="X41" i="21"/>
  <c r="Z63" i="21"/>
  <c r="Z57" i="21"/>
  <c r="Z48" i="21"/>
  <c r="V71" i="21"/>
  <c r="W71" i="21"/>
  <c r="X34" i="21"/>
  <c r="Y34" i="21"/>
  <c r="W81" i="21"/>
  <c r="Z69" i="21"/>
  <c r="X73" i="21"/>
  <c r="Z66" i="21"/>
  <c r="Y52" i="21"/>
  <c r="W40" i="21"/>
  <c r="Y40" i="21"/>
  <c r="W31" i="21"/>
  <c r="V19" i="21"/>
  <c r="X10" i="21"/>
  <c r="W73" i="21"/>
  <c r="Y66" i="21"/>
  <c r="X52" i="21"/>
  <c r="Z72" i="21"/>
  <c r="V72" i="21"/>
  <c r="W72" i="21"/>
  <c r="X72" i="21"/>
  <c r="Y72" i="21"/>
  <c r="X63" i="21"/>
  <c r="Z54" i="21"/>
  <c r="X30" i="21"/>
  <c r="W63" i="21"/>
  <c r="X42" i="21"/>
  <c r="V16" i="21"/>
  <c r="X16" i="21"/>
  <c r="Y16" i="21"/>
  <c r="W16" i="21"/>
  <c r="X12" i="21"/>
  <c r="X68" i="21"/>
  <c r="Z44" i="21"/>
  <c r="W26" i="21"/>
  <c r="Y47" i="21"/>
  <c r="V69" i="21"/>
  <c r="Z36" i="21"/>
  <c r="Y24" i="21"/>
  <c r="X24" i="21"/>
  <c r="Z79" i="21"/>
  <c r="Z68" i="21"/>
  <c r="W68" i="21"/>
  <c r="Y54" i="21"/>
  <c r="X54" i="21"/>
  <c r="W44" i="21"/>
  <c r="Y32" i="21"/>
  <c r="Y11" i="21"/>
  <c r="X78" i="21"/>
  <c r="V32" i="21"/>
  <c r="V21" i="21"/>
  <c r="W21" i="21"/>
  <c r="W48" i="21"/>
  <c r="W32" i="21"/>
  <c r="Z67" i="21"/>
  <c r="Z19" i="21"/>
  <c r="Y19" i="21"/>
  <c r="X67" i="21"/>
  <c r="Y30" i="21"/>
  <c r="Y14" i="21"/>
  <c r="W42" i="20"/>
  <c r="AC42" i="20"/>
  <c r="W63" i="20"/>
  <c r="Y63" i="20"/>
  <c r="V52" i="20"/>
  <c r="Z52" i="20"/>
  <c r="AD52" i="20"/>
  <c r="AB61" i="20"/>
  <c r="AC61" i="20"/>
  <c r="AD61" i="20"/>
  <c r="W23" i="20"/>
  <c r="AC18" i="20"/>
  <c r="AB80" i="20"/>
  <c r="AC80" i="20"/>
  <c r="AD80" i="20"/>
  <c r="Z80" i="20"/>
  <c r="Z61" i="20"/>
  <c r="AB71" i="20"/>
  <c r="AB77" i="20"/>
  <c r="AC57" i="20"/>
  <c r="AD57" i="20"/>
  <c r="Y72" i="20"/>
  <c r="W50" i="20"/>
  <c r="AA42" i="20"/>
  <c r="AA41" i="20"/>
  <c r="V10" i="20"/>
  <c r="AD64" i="20"/>
  <c r="V64" i="20"/>
  <c r="W64" i="20"/>
  <c r="AA74" i="20"/>
  <c r="W74" i="20"/>
  <c r="X74" i="20"/>
  <c r="Y74" i="20"/>
  <c r="AD74" i="20"/>
  <c r="V66" i="20"/>
  <c r="Y66" i="20"/>
  <c r="AA66" i="20"/>
  <c r="AB66" i="20"/>
  <c r="AC66" i="20"/>
  <c r="AD66" i="20"/>
  <c r="V70" i="20"/>
  <c r="AC73" i="20"/>
  <c r="AD73" i="20"/>
  <c r="V73" i="20"/>
  <c r="W73" i="20"/>
  <c r="Z73" i="20"/>
  <c r="W71" i="20"/>
  <c r="Z48" i="20"/>
  <c r="V48" i="20"/>
  <c r="V54" i="20"/>
  <c r="Y80" i="20"/>
  <c r="X80" i="20"/>
  <c r="Z33" i="20"/>
  <c r="AD30" i="20"/>
  <c r="AB16" i="20"/>
  <c r="W12" i="20"/>
  <c r="AB39" i="20"/>
  <c r="W32" i="20"/>
  <c r="AD31" i="20"/>
  <c r="AD22" i="20"/>
  <c r="Z11" i="20"/>
  <c r="Y61" i="20"/>
  <c r="AC68" i="20"/>
  <c r="AA56" i="20"/>
  <c r="AB56" i="20"/>
  <c r="AC56" i="20"/>
  <c r="Y44" i="20"/>
  <c r="AA39" i="20"/>
  <c r="AA33" i="20"/>
  <c r="Y15" i="20"/>
  <c r="AD77" i="20"/>
  <c r="W76" i="20"/>
  <c r="AD63" i="20"/>
  <c r="Y71" i="20"/>
  <c r="Z71" i="20"/>
  <c r="AD69" i="20"/>
  <c r="V50" i="20"/>
  <c r="AA40" i="20"/>
  <c r="AD40" i="20"/>
  <c r="V59" i="20"/>
  <c r="W54" i="20"/>
  <c r="AC46" i="20"/>
  <c r="AA75" i="20"/>
  <c r="Y20" i="20"/>
  <c r="Z20" i="20"/>
  <c r="AB63" i="20"/>
  <c r="Z23" i="20"/>
  <c r="Z63" i="20"/>
  <c r="AD44" i="20"/>
  <c r="AD33" i="20"/>
  <c r="Y75" i="20"/>
  <c r="AB27" i="20"/>
  <c r="X75" i="20"/>
  <c r="AB78" i="20"/>
  <c r="AA44" i="20"/>
  <c r="V29" i="20"/>
  <c r="AA24" i="20"/>
  <c r="AC24" i="20"/>
  <c r="W60" i="20"/>
  <c r="W28" i="20"/>
  <c r="Z78" i="20"/>
  <c r="V76" i="20"/>
  <c r="Z62" i="20"/>
  <c r="X61" i="20"/>
  <c r="Z46" i="20"/>
  <c r="V44" i="20"/>
  <c r="X76" i="20"/>
  <c r="AA69" i="20"/>
  <c r="AD23" i="20"/>
  <c r="AB22" i="20"/>
  <c r="Z21" i="20"/>
  <c r="AC71" i="20"/>
  <c r="AA70" i="20"/>
  <c r="Y53" i="20"/>
  <c r="AC23" i="20"/>
  <c r="X54" i="20"/>
  <c r="V53" i="20"/>
  <c r="X38" i="20"/>
  <c r="V37" i="20"/>
  <c r="X22" i="20"/>
  <c r="AC69" i="19"/>
  <c r="Z76" i="19"/>
  <c r="Y76" i="19"/>
  <c r="V74" i="19"/>
  <c r="AC74" i="19"/>
  <c r="AD74" i="19"/>
  <c r="Z57" i="19"/>
  <c r="Y57" i="19"/>
  <c r="X57" i="19"/>
  <c r="AD76" i="19"/>
  <c r="X72" i="19"/>
  <c r="W57" i="19"/>
  <c r="AB10" i="19"/>
  <c r="AC76" i="19"/>
  <c r="W72" i="19"/>
  <c r="AA76" i="19"/>
  <c r="Z60" i="19"/>
  <c r="AC41" i="19"/>
  <c r="AD41" i="19"/>
  <c r="AA41" i="19"/>
  <c r="AB41" i="19"/>
  <c r="Y10" i="19"/>
  <c r="Y71" i="19"/>
  <c r="Y60" i="19"/>
  <c r="AC56" i="19"/>
  <c r="AA43" i="19"/>
  <c r="AA38" i="19"/>
  <c r="Y27" i="19"/>
  <c r="Y58" i="19"/>
  <c r="W38" i="19"/>
  <c r="W27" i="19"/>
  <c r="W75" i="19"/>
  <c r="X58" i="19"/>
  <c r="Z73" i="19"/>
  <c r="V28" i="19"/>
  <c r="Y73" i="19"/>
  <c r="W25" i="19"/>
  <c r="AC57" i="19"/>
  <c r="AD57" i="19"/>
  <c r="AA57" i="19"/>
  <c r="AB57" i="19"/>
  <c r="Z68" i="19"/>
  <c r="V12" i="19"/>
  <c r="V42" i="19"/>
  <c r="AC42" i="19"/>
  <c r="AD42" i="19"/>
  <c r="AC21" i="19"/>
  <c r="AA69" i="19"/>
  <c r="AC58" i="19"/>
  <c r="AD58" i="19"/>
  <c r="Z41" i="19"/>
  <c r="Y41" i="19"/>
  <c r="AC22" i="19"/>
  <c r="AD75" i="19"/>
  <c r="Y67" i="19"/>
  <c r="X41" i="19"/>
  <c r="AD27" i="19"/>
  <c r="AC75" i="19"/>
  <c r="AC70" i="19"/>
  <c r="AD60" i="19"/>
  <c r="AC27" i="19"/>
  <c r="AA22" i="19"/>
  <c r="AB12" i="19"/>
  <c r="AB77" i="19"/>
  <c r="AB75" i="19"/>
  <c r="AC73" i="19"/>
  <c r="AD73" i="19"/>
  <c r="AA73" i="19"/>
  <c r="AB73" i="19"/>
  <c r="AC60" i="19"/>
  <c r="V41" i="19"/>
  <c r="AD37" i="19"/>
  <c r="AB27" i="19"/>
  <c r="W22" i="19"/>
  <c r="V69" i="19"/>
  <c r="V76" i="19"/>
  <c r="AC10" i="19"/>
  <c r="AA77" i="19"/>
  <c r="AA75" i="19"/>
  <c r="AA70" i="19"/>
  <c r="AB60" i="19"/>
  <c r="AB42" i="19"/>
  <c r="AC37" i="19"/>
  <c r="AA27" i="19"/>
  <c r="AA72" i="19"/>
  <c r="AB72" i="19"/>
  <c r="AC72" i="19"/>
  <c r="AD72" i="19"/>
  <c r="Y72" i="19"/>
  <c r="Z72" i="19"/>
  <c r="W77" i="19"/>
  <c r="Z75" i="19"/>
  <c r="W70" i="19"/>
  <c r="X55" i="19"/>
  <c r="Z44" i="19"/>
  <c r="AA42" i="19"/>
  <c r="AB37" i="19"/>
  <c r="Z27" i="19"/>
  <c r="AA28" i="19"/>
  <c r="Z28" i="19"/>
  <c r="V77" i="19"/>
  <c r="Y55" i="19"/>
  <c r="Y44" i="19"/>
  <c r="Z42" i="19"/>
  <c r="AA40" i="19"/>
  <c r="AB40" i="19"/>
  <c r="AC40" i="19"/>
  <c r="AD40" i="19"/>
  <c r="Z40" i="19"/>
  <c r="V37" i="19"/>
  <c r="AA18" i="19"/>
  <c r="V11" i="19"/>
  <c r="AC15" i="19"/>
  <c r="V44" i="19"/>
  <c r="Y42" i="19"/>
  <c r="V70" i="19"/>
  <c r="V54" i="19"/>
  <c r="V38" i="19"/>
  <c r="V22" i="19"/>
  <c r="W71" i="19"/>
  <c r="W55" i="19"/>
  <c r="W39" i="19"/>
  <c r="W23" i="19"/>
  <c r="X11" i="19"/>
  <c r="W11" i="19"/>
  <c r="Z77" i="19"/>
  <c r="X76" i="19"/>
  <c r="V75" i="19"/>
  <c r="X60" i="19"/>
  <c r="X44" i="19"/>
  <c r="V27" i="19"/>
  <c r="X12" i="19"/>
  <c r="Y77" i="19"/>
  <c r="W76" i="19"/>
  <c r="W44" i="19"/>
  <c r="X75" i="19"/>
  <c r="X27" i="19"/>
  <c r="X77" i="19"/>
  <c r="AD16" i="19"/>
  <c r="AD70" i="19"/>
  <c r="AD54" i="19"/>
  <c r="AD22" i="19"/>
  <c r="Y52" i="19"/>
  <c r="AC38" i="19"/>
  <c r="AD71" i="19"/>
  <c r="AB70" i="19"/>
  <c r="Z69" i="19"/>
  <c r="AD65" i="19"/>
  <c r="AB54" i="19"/>
  <c r="X52" i="19"/>
  <c r="Z50" i="19"/>
  <c r="AD39" i="19"/>
  <c r="AB38" i="19"/>
  <c r="AB22" i="19"/>
  <c r="AB69" i="19"/>
  <c r="AA37" i="19"/>
  <c r="AC71" i="19"/>
  <c r="Y69" i="19"/>
  <c r="AC55" i="19"/>
  <c r="AC39" i="19"/>
  <c r="Y37" i="19"/>
  <c r="AC23" i="19"/>
  <c r="Y21" i="19"/>
  <c r="AA52" i="19"/>
  <c r="AB71" i="19"/>
  <c r="Z70" i="19"/>
  <c r="X69" i="19"/>
  <c r="AB55" i="19"/>
  <c r="Z54" i="19"/>
  <c r="Y51" i="19"/>
  <c r="AB39" i="19"/>
  <c r="Z38" i="19"/>
  <c r="X37" i="19"/>
  <c r="Z22" i="19"/>
  <c r="Z81" i="19"/>
  <c r="AA71" i="19"/>
  <c r="Y70" i="19"/>
  <c r="W69" i="19"/>
  <c r="V68" i="19"/>
  <c r="V66" i="19"/>
  <c r="AA55" i="19"/>
  <c r="Y54" i="19"/>
  <c r="AA39" i="19"/>
  <c r="W37" i="19"/>
  <c r="AC36" i="19"/>
  <c r="AA23" i="19"/>
  <c r="Y22" i="19"/>
  <c r="W21" i="19"/>
  <c r="Z71" i="19"/>
  <c r="X70" i="19"/>
  <c r="Z55" i="19"/>
  <c r="X54" i="19"/>
  <c r="Z39" i="19"/>
  <c r="X38" i="19"/>
  <c r="Z23" i="19"/>
  <c r="X22" i="19"/>
  <c r="V71" i="18"/>
  <c r="W71" i="18"/>
  <c r="X71" i="18"/>
  <c r="AD67" i="18"/>
  <c r="V22" i="18"/>
  <c r="Y71" i="18"/>
  <c r="V38" i="18"/>
  <c r="Z67" i="18"/>
  <c r="V55" i="18"/>
  <c r="W55" i="18"/>
  <c r="X40" i="18"/>
  <c r="Y23" i="18"/>
  <c r="W40" i="18"/>
  <c r="Y26" i="18"/>
  <c r="X39" i="18"/>
  <c r="V39" i="18"/>
  <c r="W39" i="18"/>
  <c r="V24" i="18"/>
  <c r="X24" i="18"/>
  <c r="Z24" i="18"/>
  <c r="Z43" i="18"/>
  <c r="V43" i="18"/>
  <c r="AA43" i="18"/>
  <c r="W72" i="18"/>
  <c r="X72" i="18"/>
  <c r="Y72" i="18"/>
  <c r="Z72" i="18"/>
  <c r="V21" i="18"/>
  <c r="AB21" i="18"/>
  <c r="X48" i="18"/>
  <c r="W10" i="18"/>
  <c r="AA40" i="18"/>
  <c r="AA72" i="18"/>
  <c r="W34" i="18"/>
  <c r="W38" i="18"/>
  <c r="W20" i="18"/>
  <c r="Z20" i="18"/>
  <c r="AC73" i="18"/>
  <c r="AC41" i="18"/>
  <c r="AD41" i="18"/>
  <c r="AA59" i="18"/>
  <c r="Y43" i="18"/>
  <c r="V41" i="18"/>
  <c r="W63" i="18"/>
  <c r="AD23" i="18"/>
  <c r="AC71" i="18"/>
  <c r="Z34" i="18"/>
  <c r="X32" i="18"/>
  <c r="AB71" i="18"/>
  <c r="AC72" i="18"/>
  <c r="AA71" i="18"/>
  <c r="AC40" i="18"/>
  <c r="AA39" i="18"/>
  <c r="Z71" i="18"/>
  <c r="AD69" i="18"/>
  <c r="AD65" i="18"/>
  <c r="AA53" i="18"/>
  <c r="Y19" i="18"/>
  <c r="AA78" i="17"/>
  <c r="AD28" i="17"/>
  <c r="X13" i="17"/>
  <c r="Y13" i="17"/>
  <c r="Z13" i="17"/>
  <c r="Z61" i="17"/>
  <c r="W13" i="17"/>
  <c r="Y61" i="17"/>
  <c r="AD44" i="17"/>
  <c r="V13" i="17"/>
  <c r="AA75" i="17"/>
  <c r="AC44" i="17"/>
  <c r="W24" i="17"/>
  <c r="V21" i="17"/>
  <c r="Z75" i="17"/>
  <c r="AC67" i="17"/>
  <c r="AC66" i="17"/>
  <c r="AA44" i="17"/>
  <c r="Z26" i="17"/>
  <c r="W75" i="17"/>
  <c r="AA56" i="17"/>
  <c r="AD56" i="17"/>
  <c r="AB56" i="17"/>
  <c r="AC56" i="17"/>
  <c r="V56" i="17"/>
  <c r="W56" i="17"/>
  <c r="AB44" i="17"/>
  <c r="V16" i="17"/>
  <c r="AB57" i="17"/>
  <c r="AC59" i="17"/>
  <c r="AB59" i="17"/>
  <c r="AA59" i="17"/>
  <c r="Z59" i="17"/>
  <c r="AD61" i="17"/>
  <c r="Y59" i="17"/>
  <c r="AB43" i="17"/>
  <c r="W42" i="17"/>
  <c r="W29" i="17"/>
  <c r="AA61" i="17"/>
  <c r="X59" i="17"/>
  <c r="X57" i="17"/>
  <c r="X45" i="17"/>
  <c r="W23" i="17"/>
  <c r="AD59" i="17"/>
  <c r="AC41" i="17"/>
  <c r="AD41" i="17"/>
  <c r="AB41" i="17"/>
  <c r="AD13" i="17"/>
  <c r="AB23" i="17"/>
  <c r="AD76" i="17"/>
  <c r="AD73" i="17"/>
  <c r="Y65" i="17"/>
  <c r="Z65" i="17"/>
  <c r="AA65" i="17"/>
  <c r="X62" i="17"/>
  <c r="V59" i="17"/>
  <c r="V26" i="17"/>
  <c r="W26" i="17"/>
  <c r="X26" i="17"/>
  <c r="AB13" i="17"/>
  <c r="AD12" i="17"/>
  <c r="Y23" i="17"/>
  <c r="V52" i="17"/>
  <c r="Y52" i="17"/>
  <c r="Y43" i="17"/>
  <c r="AC54" i="17"/>
  <c r="X54" i="17"/>
  <c r="AA54" i="17"/>
  <c r="AB54" i="17"/>
  <c r="V54" i="17"/>
  <c r="AD54" i="17"/>
  <c r="AB58" i="17"/>
  <c r="AC58" i="17"/>
  <c r="AD58" i="17"/>
  <c r="AA13" i="17"/>
  <c r="X14" i="17"/>
  <c r="AA40" i="17"/>
  <c r="AB40" i="17"/>
  <c r="AD40" i="17"/>
  <c r="AC40" i="17"/>
  <c r="Z24" i="17"/>
  <c r="Z57" i="17"/>
  <c r="Y24" i="17"/>
  <c r="X16" i="17"/>
  <c r="AB78" i="17"/>
  <c r="AD68" i="17"/>
  <c r="W61" i="17"/>
  <c r="X24" i="17"/>
  <c r="W70" i="17"/>
  <c r="AC70" i="17"/>
  <c r="X70" i="17"/>
  <c r="Z70" i="17"/>
  <c r="Y70" i="17"/>
  <c r="AA70" i="17"/>
  <c r="AB70" i="17"/>
  <c r="V61" i="17"/>
  <c r="AB16" i="17"/>
  <c r="AC16" i="17"/>
  <c r="AD16" i="17"/>
  <c r="AD75" i="17"/>
  <c r="AC75" i="17"/>
  <c r="AB75" i="17"/>
  <c r="W60" i="17"/>
  <c r="AD57" i="17"/>
  <c r="X78" i="17"/>
  <c r="Y75" i="17"/>
  <c r="AC61" i="17"/>
  <c r="V60" i="17"/>
  <c r="X40" i="17"/>
  <c r="X75" i="17"/>
  <c r="AB61" i="17"/>
  <c r="V44" i="17"/>
  <c r="AA24" i="17"/>
  <c r="AB24" i="17"/>
  <c r="AD24" i="17"/>
  <c r="AC24" i="17"/>
  <c r="V53" i="17"/>
  <c r="X53" i="17"/>
  <c r="W53" i="17"/>
  <c r="Y53" i="17"/>
  <c r="Y40" i="17"/>
  <c r="AA72" i="17"/>
  <c r="AB72" i="17"/>
  <c r="AC72" i="17"/>
  <c r="AD72" i="17"/>
  <c r="AC22" i="17"/>
  <c r="AD39" i="17"/>
  <c r="AC55" i="17"/>
  <c r="X46" i="17"/>
  <c r="AC23" i="17"/>
  <c r="AA22" i="17"/>
  <c r="AD19" i="17"/>
  <c r="AD65" i="17"/>
  <c r="AA55" i="17"/>
  <c r="AD52" i="17"/>
  <c r="AA51" i="17"/>
  <c r="AA39" i="17"/>
  <c r="AA23" i="17"/>
  <c r="AB20" i="17"/>
  <c r="Z68" i="17"/>
  <c r="AA49" i="17"/>
  <c r="AA14" i="16"/>
  <c r="Y48" i="16"/>
  <c r="X46" i="16"/>
  <c r="Y39" i="16"/>
  <c r="AC34" i="16"/>
  <c r="Y33" i="16"/>
  <c r="AB14" i="16"/>
  <c r="V75" i="16"/>
  <c r="X48" i="16"/>
  <c r="X33" i="16"/>
  <c r="X62" i="16"/>
  <c r="Z52" i="16"/>
  <c r="AB50" i="16"/>
  <c r="AB42" i="16"/>
  <c r="AD20" i="16"/>
  <c r="Y79" i="16"/>
  <c r="AC76" i="16"/>
  <c r="W67" i="16"/>
  <c r="X67" i="16"/>
  <c r="Y52" i="16"/>
  <c r="AA50" i="16"/>
  <c r="W49" i="16"/>
  <c r="AA42" i="16"/>
  <c r="AD35" i="16"/>
  <c r="Z50" i="16"/>
  <c r="Z42" i="16"/>
  <c r="AC35" i="16"/>
  <c r="X29" i="16"/>
  <c r="W22" i="16"/>
  <c r="V19" i="16"/>
  <c r="V12" i="16"/>
  <c r="AC62" i="16"/>
  <c r="W59" i="16"/>
  <c r="X59" i="16"/>
  <c r="Y59" i="16"/>
  <c r="V74" i="16"/>
  <c r="W74" i="16"/>
  <c r="AC74" i="16"/>
  <c r="AD74" i="16"/>
  <c r="AA78" i="16"/>
  <c r="X57" i="16"/>
  <c r="Y50" i="16"/>
  <c r="Y42" i="16"/>
  <c r="Z78" i="16"/>
  <c r="X71" i="16"/>
  <c r="AA80" i="16"/>
  <c r="AC78" i="16"/>
  <c r="W75" i="16"/>
  <c r="X75" i="16"/>
  <c r="Y75" i="16"/>
  <c r="AD71" i="16"/>
  <c r="V57" i="16"/>
  <c r="W50" i="16"/>
  <c r="AD43" i="16"/>
  <c r="Z35" i="16"/>
  <c r="X37" i="16"/>
  <c r="Y37" i="16"/>
  <c r="AC71" i="16"/>
  <c r="AD66" i="16"/>
  <c r="Y68" i="16"/>
  <c r="V34" i="16"/>
  <c r="V53" i="16"/>
  <c r="W53" i="16"/>
  <c r="AA53" i="16"/>
  <c r="X45" i="16"/>
  <c r="AD38" i="16"/>
  <c r="AB30" i="16"/>
  <c r="V27" i="16"/>
  <c r="W27" i="16"/>
  <c r="AA81" i="16"/>
  <c r="AD59" i="16"/>
  <c r="W38" i="16"/>
  <c r="Z30" i="16"/>
  <c r="Y23" i="16"/>
  <c r="AD49" i="16"/>
  <c r="AB36" i="16"/>
  <c r="X81" i="16"/>
  <c r="AB74" i="16"/>
  <c r="AA36" i="16"/>
  <c r="AD12" i="16"/>
  <c r="W60" i="16"/>
  <c r="Z74" i="16"/>
  <c r="AD72" i="16"/>
  <c r="Y72" i="16"/>
  <c r="Z72" i="16"/>
  <c r="V50" i="16"/>
  <c r="X25" i="16"/>
  <c r="Z68" i="16"/>
  <c r="AD75" i="16"/>
  <c r="Z67" i="16"/>
  <c r="V62" i="16"/>
  <c r="AC52" i="16"/>
  <c r="AA46" i="16"/>
  <c r="AC33" i="16"/>
  <c r="Z14" i="16"/>
  <c r="V42" i="16"/>
  <c r="W42" i="16"/>
  <c r="AC42" i="16"/>
  <c r="AD42" i="16"/>
  <c r="AC57" i="16"/>
  <c r="AD57" i="16"/>
  <c r="AA57" i="16"/>
  <c r="AD47" i="16"/>
  <c r="Y74" i="16"/>
  <c r="AB62" i="16"/>
  <c r="V59" i="16"/>
  <c r="AD54" i="16"/>
  <c r="AC44" i="16"/>
  <c r="W35" i="16"/>
  <c r="V35" i="16"/>
  <c r="W25" i="16"/>
  <c r="X74" i="16"/>
  <c r="Y69" i="16"/>
  <c r="AC54" i="16"/>
  <c r="AD52" i="16"/>
  <c r="AC75" i="16"/>
  <c r="Y67" i="16"/>
  <c r="AB52" i="16"/>
  <c r="Z46" i="16"/>
  <c r="X39" i="16"/>
  <c r="AB33" i="16"/>
  <c r="AB31" i="16"/>
  <c r="AC14" i="16"/>
  <c r="AB12" i="16"/>
  <c r="V11" i="16"/>
  <c r="W11" i="16"/>
  <c r="AB80" i="16"/>
  <c r="AB75" i="16"/>
  <c r="AA52" i="16"/>
  <c r="AC46" i="16"/>
  <c r="AA33" i="16"/>
  <c r="W81" i="16"/>
  <c r="AA59" i="16"/>
  <c r="V81" i="16"/>
  <c r="AC39" i="16"/>
  <c r="Z33" i="16"/>
  <c r="X14" i="16"/>
  <c r="V70" i="16"/>
  <c r="V54" i="16"/>
  <c r="V38" i="16"/>
  <c r="W71" i="16"/>
  <c r="W39" i="16"/>
  <c r="W23" i="16"/>
  <c r="AD78" i="16"/>
  <c r="Z76" i="16"/>
  <c r="AD62" i="16"/>
  <c r="AB61" i="16"/>
  <c r="AD46" i="16"/>
  <c r="AD14" i="16"/>
  <c r="Y76" i="16"/>
  <c r="AA45" i="16"/>
  <c r="Y44" i="16"/>
  <c r="AD80" i="16"/>
  <c r="V76" i="16"/>
  <c r="AD64" i="16"/>
  <c r="V60" i="16"/>
  <c r="AD48" i="16"/>
  <c r="AD32" i="16"/>
  <c r="AC80" i="16"/>
  <c r="Y46" i="16"/>
  <c r="AA31" i="16"/>
  <c r="Y14" i="16"/>
  <c r="W13" i="16"/>
  <c r="AA70" i="16"/>
  <c r="W52" i="16"/>
  <c r="AA38" i="16"/>
  <c r="W36" i="16"/>
  <c r="AC23" i="16"/>
  <c r="X68" i="16"/>
  <c r="X52" i="16"/>
  <c r="AB71" i="16"/>
  <c r="Z70" i="16"/>
  <c r="V36" i="16"/>
  <c r="AA71" i="16"/>
  <c r="AA23" i="16"/>
  <c r="X17" i="16"/>
  <c r="AD16" i="16"/>
  <c r="AB21" i="16"/>
  <c r="AB70" i="16"/>
  <c r="AB54" i="16"/>
  <c r="Z71" i="16"/>
  <c r="Z23" i="16"/>
  <c r="AA21" i="15"/>
  <c r="V74" i="15"/>
  <c r="AA73" i="15"/>
  <c r="AA68" i="15"/>
  <c r="X67" i="15"/>
  <c r="W67" i="15"/>
  <c r="AA18" i="15"/>
  <c r="AC38" i="15"/>
  <c r="W38" i="15"/>
  <c r="AD70" i="15"/>
  <c r="AD74" i="15"/>
  <c r="AC70" i="15"/>
  <c r="AD54" i="15"/>
  <c r="W70" i="15"/>
  <c r="AD21" i="15"/>
  <c r="AC68" i="15"/>
  <c r="AC54" i="15"/>
  <c r="AC21" i="15"/>
  <c r="W19" i="15"/>
  <c r="AD17" i="15"/>
  <c r="W60" i="15"/>
  <c r="X74" i="15"/>
  <c r="AC73" i="15"/>
  <c r="W44" i="15"/>
  <c r="AB43" i="15"/>
  <c r="Z69" i="15"/>
  <c r="AB54" i="15"/>
  <c r="AB21" i="15"/>
  <c r="AA70" i="15"/>
  <c r="AA54" i="15"/>
  <c r="Y21" i="15"/>
  <c r="AB80" i="15"/>
  <c r="Z38" i="15"/>
  <c r="X37" i="15"/>
  <c r="AA34" i="15"/>
  <c r="AA81" i="15"/>
  <c r="V67" i="15"/>
  <c r="Y54" i="15"/>
  <c r="Y52" i="15"/>
  <c r="Z18" i="15"/>
  <c r="W37" i="15"/>
  <c r="AD33" i="15"/>
  <c r="Y59" i="14"/>
  <c r="AD71" i="14"/>
  <c r="AB68" i="14"/>
  <c r="X68" i="14"/>
  <c r="Z68" i="14"/>
  <c r="W54" i="14"/>
  <c r="AB72" i="14"/>
  <c r="AC72" i="14"/>
  <c r="Z52" i="14"/>
  <c r="AA52" i="14"/>
  <c r="AA56" i="14"/>
  <c r="AB56" i="14"/>
  <c r="AC56" i="14"/>
  <c r="AD56" i="14"/>
  <c r="V43" i="14"/>
  <c r="Z67" i="14"/>
  <c r="W67" i="14"/>
  <c r="X67" i="14"/>
  <c r="V53" i="14"/>
  <c r="AB20" i="14"/>
  <c r="AC39" i="14"/>
  <c r="AD39" i="14"/>
  <c r="AB59" i="14"/>
  <c r="AD37" i="14"/>
  <c r="V37" i="14"/>
  <c r="V21" i="14"/>
  <c r="V72" i="14"/>
  <c r="AD66" i="14"/>
  <c r="X55" i="14"/>
  <c r="Y74" i="14"/>
  <c r="AA42" i="14"/>
  <c r="X41" i="14"/>
  <c r="AB39" i="14"/>
  <c r="X11" i="14"/>
  <c r="Z10" i="14"/>
  <c r="AC69" i="14"/>
  <c r="AC53" i="14"/>
  <c r="AC37" i="14"/>
  <c r="AB37" i="14"/>
  <c r="AD22" i="14"/>
  <c r="AC54" i="14"/>
  <c r="AA53" i="14"/>
  <c r="AA37" i="14"/>
  <c r="AC22" i="14"/>
  <c r="Z37" i="14"/>
  <c r="Y30" i="14"/>
  <c r="AB22" i="14"/>
  <c r="Z21" i="14"/>
  <c r="V65" i="14"/>
  <c r="AA63" i="14"/>
  <c r="AA38" i="14"/>
  <c r="Y37" i="14"/>
  <c r="Z38" i="14"/>
  <c r="Z22" i="14"/>
  <c r="X21" i="14"/>
  <c r="Z81" i="14"/>
  <c r="AD80" i="14"/>
  <c r="AA67" i="14"/>
  <c r="AC50" i="14"/>
  <c r="AD49" i="14"/>
  <c r="W37" i="14"/>
  <c r="AC20" i="14"/>
  <c r="AC16" i="14"/>
  <c r="X54" i="14"/>
  <c r="AC37" i="13"/>
  <c r="AC57" i="13"/>
  <c r="AD57" i="13"/>
  <c r="V57" i="13"/>
  <c r="AB61" i="13"/>
  <c r="X61" i="13"/>
  <c r="Y61" i="13"/>
  <c r="Z61" i="13"/>
  <c r="AA61" i="13"/>
  <c r="AC61" i="13"/>
  <c r="X73" i="13"/>
  <c r="W61" i="13"/>
  <c r="V58" i="13"/>
  <c r="X41" i="13"/>
  <c r="AD74" i="13"/>
  <c r="Z72" i="13"/>
  <c r="AB74" i="13"/>
  <c r="V40" i="13"/>
  <c r="W56" i="13"/>
  <c r="AD53" i="13"/>
  <c r="AB42" i="13"/>
  <c r="V76" i="13"/>
  <c r="W76" i="13"/>
  <c r="AC60" i="13"/>
  <c r="Y55" i="13"/>
  <c r="AC45" i="13"/>
  <c r="AA42" i="13"/>
  <c r="Y73" i="13"/>
  <c r="AD13" i="13"/>
  <c r="V23" i="13"/>
  <c r="AC59" i="13"/>
  <c r="X56" i="13"/>
  <c r="X57" i="13"/>
  <c r="Z74" i="13"/>
  <c r="AC41" i="13"/>
  <c r="AD41" i="13"/>
  <c r="W77" i="13"/>
  <c r="X45" i="13"/>
  <c r="Y45" i="13"/>
  <c r="Z45" i="13"/>
  <c r="AA45" i="13"/>
  <c r="AB45" i="13"/>
  <c r="X75" i="13"/>
  <c r="Y72" i="13"/>
  <c r="AA25" i="13"/>
  <c r="AD75" i="13"/>
  <c r="X72" i="13"/>
  <c r="W42" i="13"/>
  <c r="X42" i="13"/>
  <c r="V42" i="13"/>
  <c r="Z25" i="13"/>
  <c r="V44" i="13"/>
  <c r="AB44" i="13"/>
  <c r="AC44" i="13"/>
  <c r="AD44" i="13"/>
  <c r="X13" i="13"/>
  <c r="AA13" i="13"/>
  <c r="AB13" i="13"/>
  <c r="Y13" i="13"/>
  <c r="Z13" i="13"/>
  <c r="W13" i="13"/>
  <c r="Y56" i="13"/>
  <c r="AC75" i="13"/>
  <c r="W72" i="13"/>
  <c r="V71" i="13"/>
  <c r="W71" i="13"/>
  <c r="X71" i="13"/>
  <c r="V11" i="13"/>
  <c r="X77" i="13"/>
  <c r="Y77" i="13"/>
  <c r="Z77" i="13"/>
  <c r="AB77" i="13"/>
  <c r="AC77" i="13"/>
  <c r="AD77" i="13"/>
  <c r="V74" i="13"/>
  <c r="V38" i="13"/>
  <c r="V45" i="13"/>
  <c r="AD61" i="13"/>
  <c r="AC76" i="13"/>
  <c r="Y75" i="13"/>
  <c r="Y32" i="13"/>
  <c r="AC73" i="13"/>
  <c r="AD73" i="13"/>
  <c r="V73" i="13"/>
  <c r="W45" i="13"/>
  <c r="Y66" i="13"/>
  <c r="Y71" i="13"/>
  <c r="V60" i="13"/>
  <c r="V13" i="13"/>
  <c r="AA74" i="13"/>
  <c r="AA76" i="13"/>
  <c r="Z75" i="13"/>
  <c r="AB73" i="13"/>
  <c r="AB43" i="13"/>
  <c r="V61" i="13"/>
  <c r="W38" i="13"/>
  <c r="V35" i="13"/>
  <c r="AA28" i="13"/>
  <c r="AC25" i="13"/>
  <c r="AD25" i="13"/>
  <c r="Y58" i="13"/>
  <c r="X58" i="13"/>
  <c r="Z40" i="13"/>
  <c r="Y40" i="13"/>
  <c r="W70" i="13"/>
  <c r="AB70" i="13"/>
  <c r="X70" i="13"/>
  <c r="Y70" i="13"/>
  <c r="AC70" i="13"/>
  <c r="AD70" i="13"/>
  <c r="Z70" i="13"/>
  <c r="AA70" i="13"/>
  <c r="Z59" i="13"/>
  <c r="X40" i="13"/>
  <c r="X23" i="13"/>
  <c r="W11" i="13"/>
  <c r="X11" i="13"/>
  <c r="Y59" i="13"/>
  <c r="AA56" i="13"/>
  <c r="AB56" i="13"/>
  <c r="AC56" i="13"/>
  <c r="AD56" i="13"/>
  <c r="W40" i="13"/>
  <c r="W23" i="13"/>
  <c r="V77" i="13"/>
  <c r="Y25" i="13"/>
  <c r="Y74" i="13"/>
  <c r="Y43" i="13"/>
  <c r="AA40" i="13"/>
  <c r="AB40" i="13"/>
  <c r="AC40" i="13"/>
  <c r="AD40" i="13"/>
  <c r="X25" i="13"/>
  <c r="Y23" i="13"/>
  <c r="AB75" i="13"/>
  <c r="X74" i="13"/>
  <c r="X43" i="13"/>
  <c r="AB26" i="13"/>
  <c r="W25" i="13"/>
  <c r="AA75" i="13"/>
  <c r="W74" i="13"/>
  <c r="W43" i="13"/>
  <c r="AA26" i="13"/>
  <c r="V25" i="13"/>
  <c r="AD26" i="13"/>
  <c r="AD23" i="13"/>
  <c r="Z56" i="13"/>
  <c r="AA35" i="13"/>
  <c r="AA72" i="13"/>
  <c r="AB72" i="13"/>
  <c r="AC72" i="13"/>
  <c r="AD72" i="13"/>
  <c r="AA37" i="13"/>
  <c r="V37" i="13"/>
  <c r="Y37" i="13"/>
  <c r="W37" i="13"/>
  <c r="X37" i="13"/>
  <c r="AD71" i="13"/>
  <c r="AB38" i="13"/>
  <c r="AC81" i="13"/>
  <c r="AB71" i="13"/>
  <c r="AB39" i="13"/>
  <c r="Z38" i="13"/>
  <c r="AB23" i="13"/>
  <c r="AA71" i="13"/>
  <c r="W64" i="13"/>
  <c r="AA55" i="13"/>
  <c r="Y52" i="13"/>
  <c r="AA50" i="13"/>
  <c r="AA39" i="13"/>
  <c r="Y38" i="13"/>
  <c r="AA23" i="13"/>
  <c r="AD38" i="13"/>
  <c r="AC38" i="13"/>
  <c r="AC71" i="13"/>
  <c r="AC23" i="13"/>
  <c r="Z71" i="13"/>
  <c r="Z55" i="13"/>
  <c r="Z39" i="13"/>
  <c r="X38" i="13"/>
  <c r="Z23" i="13"/>
  <c r="AB22" i="13"/>
  <c r="AA38" i="13"/>
  <c r="AD67" i="13"/>
  <c r="X66" i="13"/>
  <c r="X11" i="12"/>
  <c r="X72" i="12"/>
  <c r="V10" i="12"/>
  <c r="X24" i="12"/>
  <c r="AB11" i="12"/>
  <c r="AB76" i="12"/>
  <c r="Z75" i="12"/>
  <c r="AA75" i="12"/>
  <c r="AC75" i="12"/>
  <c r="AD75" i="12"/>
  <c r="AB75" i="12"/>
  <c r="AC30" i="12"/>
  <c r="Z24" i="12"/>
  <c r="AA76" i="12"/>
  <c r="W46" i="12"/>
  <c r="Z76" i="12"/>
  <c r="Z11" i="12"/>
  <c r="V76" i="12"/>
  <c r="Y11" i="12"/>
  <c r="AC66" i="12"/>
  <c r="AD66" i="12"/>
  <c r="AF66" i="12"/>
  <c r="X42" i="12"/>
  <c r="AF62" i="12"/>
  <c r="W41" i="12"/>
  <c r="X41" i="12"/>
  <c r="Y41" i="12"/>
  <c r="AB41" i="12"/>
  <c r="AA14" i="12"/>
  <c r="Z54" i="12"/>
  <c r="V61" i="12"/>
  <c r="W61" i="12"/>
  <c r="AA64" i="12"/>
  <c r="AF64" i="12"/>
  <c r="AB64" i="12"/>
  <c r="V59" i="12"/>
  <c r="W59" i="12"/>
  <c r="Y59" i="12"/>
  <c r="X59" i="12"/>
  <c r="Z59" i="12"/>
  <c r="AA59" i="12"/>
  <c r="AD59" i="12"/>
  <c r="AB59" i="12"/>
  <c r="AC59" i="12"/>
  <c r="Z45" i="12"/>
  <c r="Y62" i="12"/>
  <c r="AA46" i="12"/>
  <c r="Z29" i="12"/>
  <c r="AA66" i="12"/>
  <c r="Z46" i="12"/>
  <c r="AA45" i="12"/>
  <c r="Y29" i="12"/>
  <c r="AD72" i="12"/>
  <c r="AB23" i="12"/>
  <c r="Y18" i="12"/>
  <c r="Z18" i="12"/>
  <c r="V52" i="12"/>
  <c r="Z52" i="12"/>
  <c r="Y52" i="12"/>
  <c r="V26" i="12"/>
  <c r="Y30" i="12"/>
  <c r="AA24" i="12"/>
  <c r="AB24" i="12"/>
  <c r="AD24" i="12"/>
  <c r="AC24" i="12"/>
  <c r="V24" i="12"/>
  <c r="AC46" i="12"/>
  <c r="AD39" i="12"/>
  <c r="V39" i="12"/>
  <c r="W39" i="12"/>
  <c r="X39" i="12"/>
  <c r="AB46" i="12"/>
  <c r="V54" i="12"/>
  <c r="AA54" i="12"/>
  <c r="AC12" i="12"/>
  <c r="V46" i="12"/>
  <c r="AD23" i="12"/>
  <c r="X23" i="12"/>
  <c r="V23" i="12"/>
  <c r="W23" i="12"/>
  <c r="Y46" i="12"/>
  <c r="W14" i="12"/>
  <c r="X57" i="12"/>
  <c r="V57" i="12"/>
  <c r="AA72" i="12"/>
  <c r="Y50" i="12"/>
  <c r="V30" i="12"/>
  <c r="Z30" i="12"/>
  <c r="AA30" i="12"/>
  <c r="W76" i="12"/>
  <c r="Z74" i="12"/>
  <c r="AA74" i="12"/>
  <c r="V72" i="12"/>
  <c r="Y75" i="12"/>
  <c r="AA43" i="12"/>
  <c r="V20" i="12"/>
  <c r="W20" i="12"/>
  <c r="X20" i="12"/>
  <c r="V75" i="12"/>
  <c r="Z43" i="12"/>
  <c r="AB60" i="12"/>
  <c r="W38" i="12"/>
  <c r="AA38" i="12"/>
  <c r="AB38" i="12"/>
  <c r="X38" i="12"/>
  <c r="Z38" i="12"/>
  <c r="Y38" i="12"/>
  <c r="AC17" i="12"/>
  <c r="AD17" i="12"/>
  <c r="Z14" i="12"/>
  <c r="AB14" i="12"/>
  <c r="AC14" i="12"/>
  <c r="AD14" i="12"/>
  <c r="AD12" i="12"/>
  <c r="V60" i="12"/>
  <c r="Y14" i="12"/>
  <c r="Y39" i="12"/>
  <c r="Y47" i="12"/>
  <c r="AD20" i="12"/>
  <c r="AC20" i="12"/>
  <c r="AB39" i="12"/>
  <c r="V62" i="12"/>
  <c r="W62" i="12"/>
  <c r="X62" i="12"/>
  <c r="Y25" i="12"/>
  <c r="AA12" i="12"/>
  <c r="AB12" i="12"/>
  <c r="AC62" i="12"/>
  <c r="W22" i="12"/>
  <c r="X22" i="12"/>
  <c r="Z22" i="12"/>
  <c r="AB22" i="12"/>
  <c r="Y22" i="12"/>
  <c r="AA22" i="12"/>
  <c r="V22" i="12"/>
  <c r="AC22" i="12"/>
  <c r="AA20" i="12"/>
  <c r="AB17" i="12"/>
  <c r="AC48" i="12"/>
  <c r="Y23" i="12"/>
  <c r="W16" i="12"/>
  <c r="X75" i="12"/>
  <c r="W30" i="12"/>
  <c r="AB16" i="12"/>
  <c r="W60" i="12"/>
  <c r="AA60" i="12"/>
  <c r="X60" i="12"/>
  <c r="Y60" i="12"/>
  <c r="Z60" i="12"/>
  <c r="AD43" i="12"/>
  <c r="AC25" i="12"/>
  <c r="AD25" i="12"/>
  <c r="AF75" i="12"/>
  <c r="AF48" i="12"/>
  <c r="X76" i="12"/>
  <c r="W75" i="12"/>
  <c r="X46" i="12"/>
  <c r="X30" i="12"/>
  <c r="X14" i="12"/>
  <c r="AC74" i="12"/>
  <c r="V73" i="12"/>
  <c r="AF72" i="12"/>
  <c r="AA71" i="12"/>
  <c r="AA70" i="12"/>
  <c r="X68" i="12"/>
  <c r="V67" i="12"/>
  <c r="Y66" i="12"/>
  <c r="AC65" i="12"/>
  <c r="V45" i="12"/>
  <c r="AB43" i="12"/>
  <c r="V42" i="12"/>
  <c r="Z41" i="12"/>
  <c r="AB40" i="12"/>
  <c r="AC29" i="12"/>
  <c r="Z28" i="12"/>
  <c r="AD27" i="12"/>
  <c r="AD26" i="12"/>
  <c r="W24" i="12"/>
  <c r="AB13" i="12"/>
  <c r="V12" i="12"/>
  <c r="W10" i="12"/>
  <c r="AC39" i="12"/>
  <c r="AB62" i="12"/>
  <c r="Y78" i="12"/>
  <c r="AA62" i="12"/>
  <c r="Z61" i="12"/>
  <c r="AA55" i="12"/>
  <c r="AF53" i="12"/>
  <c r="AA52" i="12"/>
  <c r="AD51" i="12"/>
  <c r="AA50" i="12"/>
  <c r="AA39" i="12"/>
  <c r="AA33" i="12"/>
  <c r="AD32" i="12"/>
  <c r="AA23" i="12"/>
  <c r="Y15" i="12"/>
  <c r="AC23" i="12"/>
  <c r="AA61" i="12"/>
  <c r="Z62" i="12"/>
  <c r="Y61" i="12"/>
  <c r="Z39" i="12"/>
  <c r="Z23" i="12"/>
  <c r="AB61" i="12"/>
  <c r="AA80" i="12"/>
  <c r="AD58" i="12"/>
  <c r="AB57" i="12"/>
  <c r="W56" i="12"/>
  <c r="AF51" i="12"/>
  <c r="AF49" i="12"/>
  <c r="X37" i="12"/>
  <c r="AD35" i="12"/>
  <c r="AD21" i="12"/>
  <c r="AB20" i="12"/>
  <c r="AA10" i="11"/>
  <c r="Y44" i="11"/>
  <c r="V55" i="11"/>
  <c r="AC42" i="11"/>
  <c r="AA39" i="11"/>
  <c r="AB39" i="11"/>
  <c r="Z39" i="11"/>
  <c r="V62" i="11"/>
  <c r="AD31" i="11"/>
  <c r="V31" i="11"/>
  <c r="W31" i="11"/>
  <c r="X31" i="11"/>
  <c r="Y31" i="11"/>
  <c r="Y62" i="11"/>
  <c r="AC46" i="11"/>
  <c r="AD45" i="11"/>
  <c r="AD81" i="11"/>
  <c r="AD55" i="11"/>
  <c r="Y48" i="11"/>
  <c r="AD10" i="11"/>
  <c r="X55" i="11"/>
  <c r="Z54" i="11"/>
  <c r="Y54" i="11"/>
  <c r="AA54" i="11"/>
  <c r="AB54" i="11"/>
  <c r="AC54" i="11"/>
  <c r="AD54" i="11"/>
  <c r="V54" i="11"/>
  <c r="X58" i="11"/>
  <c r="W55" i="11"/>
  <c r="AB44" i="11"/>
  <c r="AB10" i="11"/>
  <c r="AD63" i="11"/>
  <c r="W58" i="11"/>
  <c r="AD76" i="11"/>
  <c r="AA64" i="11"/>
  <c r="V63" i="11"/>
  <c r="Y50" i="11"/>
  <c r="Z44" i="11"/>
  <c r="AC18" i="11"/>
  <c r="V15" i="11"/>
  <c r="W15" i="11"/>
  <c r="X15" i="11"/>
  <c r="Y15" i="11"/>
  <c r="Z15" i="11"/>
  <c r="AC81" i="11"/>
  <c r="AC76" i="11"/>
  <c r="AD15" i="11"/>
  <c r="AB81" i="11"/>
  <c r="Y64" i="11"/>
  <c r="AB15" i="11"/>
  <c r="X81" i="11"/>
  <c r="Y78" i="11"/>
  <c r="Z78" i="11"/>
  <c r="AA78" i="11"/>
  <c r="V78" i="11"/>
  <c r="W78" i="11"/>
  <c r="X78" i="11"/>
  <c r="AB78" i="11"/>
  <c r="AA15" i="11"/>
  <c r="AD46" i="11"/>
  <c r="V46" i="11"/>
  <c r="W46" i="11"/>
  <c r="AC44" i="11"/>
  <c r="AC62" i="11"/>
  <c r="V10" i="11"/>
  <c r="W10" i="11"/>
  <c r="X10" i="11"/>
  <c r="Y10" i="11"/>
  <c r="Z10" i="11"/>
  <c r="X62" i="11"/>
  <c r="AD70" i="11"/>
  <c r="AB70" i="11"/>
  <c r="AC64" i="11"/>
  <c r="V64" i="11"/>
  <c r="W64" i="11"/>
  <c r="Z19" i="11"/>
  <c r="V19" i="11"/>
  <c r="AB22" i="11"/>
  <c r="AC22" i="11"/>
  <c r="AD22" i="11"/>
  <c r="V22" i="11"/>
  <c r="AA80" i="11"/>
  <c r="AB80" i="11"/>
  <c r="Z73" i="11"/>
  <c r="AB30" i="11"/>
  <c r="AD30" i="11"/>
  <c r="Y22" i="11"/>
  <c r="AD62" i="11"/>
  <c r="W62" i="11"/>
  <c r="AB58" i="11"/>
  <c r="AC58" i="11"/>
  <c r="AD58" i="11"/>
  <c r="Y58" i="11"/>
  <c r="Z58" i="11"/>
  <c r="AA58" i="11"/>
  <c r="Y19" i="11"/>
  <c r="Y16" i="11"/>
  <c r="W70" i="11"/>
  <c r="Y30" i="11"/>
  <c r="AD28" i="11"/>
  <c r="AA72" i="11"/>
  <c r="AB72" i="11"/>
  <c r="AC72" i="11"/>
  <c r="V72" i="11"/>
  <c r="W72" i="11"/>
  <c r="X72" i="11"/>
  <c r="Y72" i="11"/>
  <c r="Z72" i="11"/>
  <c r="AD72" i="11"/>
  <c r="AB49" i="11"/>
  <c r="W61" i="11"/>
  <c r="X61" i="11"/>
  <c r="Y61" i="11"/>
  <c r="AC61" i="11"/>
  <c r="Z61" i="11"/>
  <c r="AB61" i="11"/>
  <c r="V61" i="11"/>
  <c r="AA61" i="11"/>
  <c r="V70" i="11"/>
  <c r="Z70" i="11"/>
  <c r="AB62" i="11"/>
  <c r="AB55" i="11"/>
  <c r="Z55" i="11"/>
  <c r="AD59" i="11"/>
  <c r="V36" i="11"/>
  <c r="Y46" i="11"/>
  <c r="Z76" i="11"/>
  <c r="AA76" i="11"/>
  <c r="AD42" i="11"/>
  <c r="Z51" i="11"/>
  <c r="AD47" i="11"/>
  <c r="V47" i="11"/>
  <c r="W47" i="11"/>
  <c r="AD80" i="11"/>
  <c r="AC80" i="11"/>
  <c r="Y74" i="11"/>
  <c r="Z17" i="11"/>
  <c r="X74" i="11"/>
  <c r="X51" i="11"/>
  <c r="AB47" i="11"/>
  <c r="Y17" i="11"/>
  <c r="W74" i="11"/>
  <c r="AA47" i="11"/>
  <c r="Y75" i="11"/>
  <c r="W17" i="11"/>
  <c r="W77" i="11"/>
  <c r="X77" i="11"/>
  <c r="Y77" i="11"/>
  <c r="AC77" i="11"/>
  <c r="AD77" i="11"/>
  <c r="AA81" i="11"/>
  <c r="W80" i="11"/>
  <c r="V42" i="11"/>
  <c r="W42" i="11"/>
  <c r="AD17" i="11"/>
  <c r="AB45" i="11"/>
  <c r="AA31" i="11"/>
  <c r="Y80" i="11"/>
  <c r="Z81" i="11"/>
  <c r="V80" i="11"/>
  <c r="X79" i="11"/>
  <c r="Y79" i="11"/>
  <c r="Z79" i="11"/>
  <c r="AA79" i="11"/>
  <c r="Y71" i="11"/>
  <c r="AA71" i="11"/>
  <c r="Z71" i="11"/>
  <c r="AB57" i="11"/>
  <c r="AA56" i="11"/>
  <c r="AD56" i="11"/>
  <c r="AB56" i="11"/>
  <c r="AC56" i="11"/>
  <c r="V56" i="11"/>
  <c r="W56" i="11"/>
  <c r="Z47" i="11"/>
  <c r="Y14" i="11"/>
  <c r="AD74" i="11"/>
  <c r="Y35" i="11"/>
  <c r="AB31" i="11"/>
  <c r="Z80" i="11"/>
  <c r="X80" i="11"/>
  <c r="Y81" i="11"/>
  <c r="AC79" i="11"/>
  <c r="AB77" i="11"/>
  <c r="AB51" i="11"/>
  <c r="AD49" i="11"/>
  <c r="Y47" i="11"/>
  <c r="AD44" i="11"/>
  <c r="W60" i="11"/>
  <c r="V60" i="11"/>
  <c r="X60" i="11"/>
  <c r="Y60" i="11"/>
  <c r="Z60" i="11"/>
  <c r="AA60" i="11"/>
  <c r="AB60" i="11"/>
  <c r="AC60" i="11"/>
  <c r="X47" i="11"/>
  <c r="Z40" i="11"/>
  <c r="V76" i="11"/>
  <c r="W76" i="11"/>
  <c r="W45" i="11"/>
  <c r="Z45" i="11"/>
  <c r="X45" i="11"/>
  <c r="Y45" i="11"/>
  <c r="AD40" i="11"/>
  <c r="AB40" i="11"/>
  <c r="AC40" i="11"/>
  <c r="AC24" i="11"/>
  <c r="W13" i="11"/>
  <c r="X13" i="11"/>
  <c r="Z13" i="11"/>
  <c r="AB63" i="11"/>
  <c r="AB48" i="11"/>
  <c r="AB32" i="11"/>
  <c r="AB16" i="11"/>
  <c r="AB73" i="11"/>
  <c r="AA63" i="11"/>
  <c r="AA16" i="11"/>
  <c r="AA73" i="11"/>
  <c r="Y70" i="11"/>
  <c r="Z48" i="11"/>
  <c r="Z16" i="11"/>
  <c r="AC57" i="11"/>
  <c r="AD57" i="11"/>
  <c r="Y76" i="11"/>
  <c r="AC48" i="11"/>
  <c r="AD48" i="11"/>
  <c r="AA45" i="11"/>
  <c r="X76" i="11"/>
  <c r="Y63" i="11"/>
  <c r="V45" i="11"/>
  <c r="AC73" i="11"/>
  <c r="AD73" i="11"/>
  <c r="X63" i="11"/>
  <c r="W51" i="11"/>
  <c r="X19" i="11"/>
  <c r="AC70" i="11"/>
  <c r="W63" i="11"/>
  <c r="Y57" i="11"/>
  <c r="AB79" i="11"/>
  <c r="W54" i="11"/>
  <c r="Z63" i="11"/>
  <c r="AD32" i="11"/>
  <c r="W22" i="11"/>
  <c r="AC16" i="11"/>
  <c r="AD16" i="11"/>
  <c r="AA13" i="11"/>
  <c r="V13" i="11"/>
  <c r="V44" i="11"/>
  <c r="W44" i="11"/>
  <c r="X44" i="11"/>
  <c r="V28" i="11"/>
  <c r="W28" i="11"/>
  <c r="AB46" i="11"/>
  <c r="AB14" i="11"/>
  <c r="AD79" i="11"/>
  <c r="AC63" i="11"/>
  <c r="AA62" i="11"/>
  <c r="AC47" i="11"/>
  <c r="AA46" i="11"/>
  <c r="AC31" i="11"/>
  <c r="AA30" i="11"/>
  <c r="AC15" i="11"/>
  <c r="AA14" i="11"/>
  <c r="Z62" i="11"/>
  <c r="Z46" i="11"/>
  <c r="Z30" i="11"/>
  <c r="Z14" i="11"/>
  <c r="AC55" i="11"/>
  <c r="AA44" i="11"/>
  <c r="Z12" i="11"/>
  <c r="AC10" i="11"/>
  <c r="X70" i="11"/>
  <c r="X54" i="11"/>
  <c r="X22" i="11"/>
  <c r="X37" i="11"/>
  <c r="AC69" i="11"/>
  <c r="AC67" i="11"/>
  <c r="W66" i="11"/>
  <c r="V65" i="11"/>
  <c r="AD37" i="11"/>
  <c r="AC36" i="11"/>
  <c r="AD34" i="11"/>
  <c r="W21" i="11"/>
  <c r="AA18" i="11"/>
  <c r="W27" i="10"/>
  <c r="X27" i="10"/>
  <c r="Z27" i="10"/>
  <c r="V27" i="10"/>
  <c r="Y27" i="10"/>
  <c r="V77" i="10"/>
  <c r="Z68" i="10"/>
  <c r="AD56" i="10"/>
  <c r="Z56" i="10"/>
  <c r="AA56" i="10"/>
  <c r="AB56" i="10"/>
  <c r="Z37" i="10"/>
  <c r="AA64" i="10"/>
  <c r="AC64" i="10"/>
  <c r="AB64" i="10"/>
  <c r="Y64" i="10"/>
  <c r="Z64" i="10"/>
  <c r="AD64" i="10"/>
  <c r="AC24" i="10"/>
  <c r="V24" i="10"/>
  <c r="W24" i="10"/>
  <c r="Y60" i="10"/>
  <c r="AD50" i="10"/>
  <c r="V31" i="10"/>
  <c r="W31" i="10"/>
  <c r="AB31" i="10"/>
  <c r="AC56" i="10"/>
  <c r="AC50" i="10"/>
  <c r="Z48" i="10"/>
  <c r="Y48" i="10"/>
  <c r="X42" i="10"/>
  <c r="AC27" i="10"/>
  <c r="AD20" i="10"/>
  <c r="AD10" i="10"/>
  <c r="Y56" i="10"/>
  <c r="AB50" i="10"/>
  <c r="AB27" i="10"/>
  <c r="AC10" i="10"/>
  <c r="X56" i="10"/>
  <c r="AA50" i="10"/>
  <c r="AA27" i="10"/>
  <c r="AB10" i="10"/>
  <c r="V76" i="10"/>
  <c r="W76" i="10"/>
  <c r="AB76" i="10"/>
  <c r="AC76" i="10"/>
  <c r="AD76" i="10"/>
  <c r="X76" i="10"/>
  <c r="Y76" i="10"/>
  <c r="W56" i="10"/>
  <c r="V55" i="10"/>
  <c r="Y55" i="10"/>
  <c r="Z55" i="10"/>
  <c r="AA55" i="10"/>
  <c r="AD55" i="10"/>
  <c r="V52" i="10"/>
  <c r="W52" i="10"/>
  <c r="Z52" i="10"/>
  <c r="AA52" i="10"/>
  <c r="AB52" i="10"/>
  <c r="AC52" i="10"/>
  <c r="Z50" i="10"/>
  <c r="V39" i="10"/>
  <c r="X39" i="10"/>
  <c r="Y39" i="10"/>
  <c r="AA39" i="10"/>
  <c r="W39" i="10"/>
  <c r="Z39" i="10"/>
  <c r="X29" i="10"/>
  <c r="Y29" i="10"/>
  <c r="AA29" i="10"/>
  <c r="AB29" i="10"/>
  <c r="AC29" i="10"/>
  <c r="AA10" i="10"/>
  <c r="X64" i="10"/>
  <c r="V56" i="10"/>
  <c r="Y50" i="10"/>
  <c r="AB39" i="10"/>
  <c r="AD15" i="10"/>
  <c r="AA15" i="10"/>
  <c r="V15" i="10"/>
  <c r="W15" i="10"/>
  <c r="X15" i="10"/>
  <c r="Y15" i="10"/>
  <c r="Z10" i="10"/>
  <c r="AB70" i="10"/>
  <c r="AC70" i="10"/>
  <c r="AD70" i="10"/>
  <c r="W64" i="10"/>
  <c r="W37" i="10"/>
  <c r="AD31" i="10"/>
  <c r="AB15" i="10"/>
  <c r="Y10" i="10"/>
  <c r="V70" i="10"/>
  <c r="Y68" i="10"/>
  <c r="V64" i="10"/>
  <c r="AB57" i="10"/>
  <c r="W50" i="10"/>
  <c r="AD47" i="10"/>
  <c r="AD41" i="10"/>
  <c r="AC33" i="10"/>
  <c r="AA31" i="10"/>
  <c r="X24" i="10"/>
  <c r="AC17" i="10"/>
  <c r="X10" i="10"/>
  <c r="AD80" i="10"/>
  <c r="V80" i="10"/>
  <c r="X60" i="10"/>
  <c r="AA57" i="10"/>
  <c r="AC47" i="10"/>
  <c r="V46" i="10"/>
  <c r="Z46" i="10"/>
  <c r="AA46" i="10"/>
  <c r="AC41" i="10"/>
  <c r="V36" i="10"/>
  <c r="W36" i="10"/>
  <c r="X36" i="10"/>
  <c r="Y36" i="10"/>
  <c r="Z31" i="10"/>
  <c r="AB17" i="10"/>
  <c r="W10" i="10"/>
  <c r="AC63" i="10"/>
  <c r="W60" i="10"/>
  <c r="Z57" i="10"/>
  <c r="AD53" i="10"/>
  <c r="AD51" i="10"/>
  <c r="AB47" i="10"/>
  <c r="AB41" i="10"/>
  <c r="Y31" i="10"/>
  <c r="AD30" i="10"/>
  <c r="AB26" i="10"/>
  <c r="AC21" i="10"/>
  <c r="Y57" i="10"/>
  <c r="AC51" i="10"/>
  <c r="X47" i="10"/>
  <c r="X41" i="10"/>
  <c r="X31" i="10"/>
  <c r="AB21" i="10"/>
  <c r="W67" i="10"/>
  <c r="X67" i="10"/>
  <c r="Y67" i="10"/>
  <c r="AB51" i="10"/>
  <c r="W47" i="10"/>
  <c r="W41" i="10"/>
  <c r="AC30" i="10"/>
  <c r="Z28" i="10"/>
  <c r="AA21" i="10"/>
  <c r="AD11" i="10"/>
  <c r="W81" i="10"/>
  <c r="V81" i="10"/>
  <c r="X81" i="10"/>
  <c r="Y81" i="10"/>
  <c r="V74" i="10"/>
  <c r="W74" i="10"/>
  <c r="AC72" i="10"/>
  <c r="AD61" i="10"/>
  <c r="AC49" i="10"/>
  <c r="AD49" i="10"/>
  <c r="Z49" i="10"/>
  <c r="AA49" i="10"/>
  <c r="AB49" i="10"/>
  <c r="Y49" i="10"/>
  <c r="AB30" i="10"/>
  <c r="Y28" i="10"/>
  <c r="Z21" i="10"/>
  <c r="AB72" i="10"/>
  <c r="AC61" i="10"/>
  <c r="Y21" i="10"/>
  <c r="AC16" i="10"/>
  <c r="AD14" i="10"/>
  <c r="W51" i="10"/>
  <c r="Y47" i="10"/>
  <c r="Z47" i="10"/>
  <c r="AA47" i="10"/>
  <c r="V35" i="10"/>
  <c r="V28" i="10"/>
  <c r="W28" i="10"/>
  <c r="AA28" i="10"/>
  <c r="AB28" i="10"/>
  <c r="AD28" i="10"/>
  <c r="AC28" i="10"/>
  <c r="AD21" i="10"/>
  <c r="X14" i="10"/>
  <c r="AB84" i="10"/>
  <c r="AD39" i="10"/>
  <c r="W35" i="10"/>
  <c r="X33" i="10"/>
  <c r="Y26" i="10"/>
  <c r="W33" i="10"/>
  <c r="X26" i="10"/>
  <c r="Z15" i="10"/>
  <c r="W80" i="10"/>
  <c r="AD72" i="10"/>
  <c r="V72" i="10"/>
  <c r="W72" i="10"/>
  <c r="X72" i="10"/>
  <c r="Y70" i="10"/>
  <c r="AA65" i="10"/>
  <c r="AC58" i="10"/>
  <c r="Z36" i="10"/>
  <c r="V33" i="10"/>
  <c r="W26" i="10"/>
  <c r="AC81" i="10"/>
  <c r="AB67" i="10"/>
  <c r="X65" i="10"/>
  <c r="X63" i="10"/>
  <c r="AD59" i="10"/>
  <c r="Y30" i="10"/>
  <c r="Z19" i="10"/>
  <c r="W18" i="10"/>
  <c r="AB81" i="10"/>
  <c r="AA67" i="10"/>
  <c r="W61" i="10"/>
  <c r="V61" i="10"/>
  <c r="AA58" i="10"/>
  <c r="X49" i="10"/>
  <c r="AD46" i="10"/>
  <c r="X30" i="10"/>
  <c r="AD23" i="10"/>
  <c r="AC85" i="10"/>
  <c r="Y83" i="10"/>
  <c r="Z83" i="10"/>
  <c r="AA83" i="10"/>
  <c r="AA81" i="10"/>
  <c r="AC46" i="10"/>
  <c r="W45" i="10"/>
  <c r="AA45" i="10"/>
  <c r="AB45" i="10"/>
  <c r="W43" i="10"/>
  <c r="W30" i="10"/>
  <c r="AC57" i="10"/>
  <c r="AD57" i="10"/>
  <c r="W57" i="10"/>
  <c r="V57" i="10"/>
  <c r="Y41" i="10"/>
  <c r="Z41" i="10"/>
  <c r="AA41" i="10"/>
  <c r="V11" i="10"/>
  <c r="W11" i="10"/>
  <c r="X11" i="10"/>
  <c r="Y11" i="10"/>
  <c r="Z11" i="10"/>
  <c r="AA11" i="10"/>
  <c r="AB11" i="10"/>
  <c r="Y69" i="10"/>
  <c r="Y62" i="10"/>
  <c r="V62" i="10"/>
  <c r="V49" i="10"/>
  <c r="AB46" i="10"/>
  <c r="Z42" i="10"/>
  <c r="AD27" i="10"/>
  <c r="Z51" i="10"/>
  <c r="AA42" i="10"/>
  <c r="V40" i="10"/>
  <c r="X40" i="10"/>
  <c r="V73" i="10"/>
  <c r="Z65" i="10"/>
  <c r="Y51" i="10"/>
  <c r="Y23" i="10"/>
  <c r="AA23" i="10"/>
  <c r="Y20" i="10"/>
  <c r="AC18" i="10"/>
  <c r="Y65" i="10"/>
  <c r="Z60" i="10"/>
  <c r="V58" i="10"/>
  <c r="X53" i="10"/>
  <c r="Y53" i="10"/>
  <c r="X51" i="10"/>
  <c r="Y42" i="10"/>
  <c r="AA37" i="10"/>
  <c r="AD32" i="10"/>
  <c r="X32" i="10"/>
  <c r="Y32" i="10"/>
  <c r="Z32" i="10"/>
  <c r="AA32" i="10"/>
  <c r="Z18" i="10"/>
  <c r="AD68" i="10"/>
  <c r="Y14" i="10"/>
  <c r="AD60" i="10"/>
  <c r="AC25" i="10"/>
  <c r="AD25" i="10"/>
  <c r="X25" i="10"/>
  <c r="Y25" i="10"/>
  <c r="Z25" i="10"/>
  <c r="AA25" i="10"/>
  <c r="AB25" i="10"/>
  <c r="AC65" i="10"/>
  <c r="AD65" i="10"/>
  <c r="AC82" i="10"/>
  <c r="Y73" i="10"/>
  <c r="AA71" i="10"/>
  <c r="AB68" i="10"/>
  <c r="Z58" i="10"/>
  <c r="AC32" i="10"/>
  <c r="Z30" i="10"/>
  <c r="AA30" i="10"/>
  <c r="X23" i="10"/>
  <c r="Y18" i="10"/>
  <c r="V51" i="10"/>
  <c r="AC60" i="10"/>
  <c r="AB58" i="10"/>
  <c r="AC53" i="10"/>
  <c r="AC42" i="10"/>
  <c r="AD42" i="10"/>
  <c r="AC37" i="10"/>
  <c r="AC23" i="10"/>
  <c r="Z71" i="10"/>
  <c r="AC68" i="10"/>
  <c r="AA60" i="10"/>
  <c r="AB23" i="10"/>
  <c r="AA68" i="10"/>
  <c r="AC40" i="10"/>
  <c r="AB32" i="10"/>
  <c r="W23" i="10"/>
  <c r="X18" i="10"/>
  <c r="AD79" i="10"/>
  <c r="V66" i="10"/>
  <c r="W66" i="10"/>
  <c r="X58" i="10"/>
  <c r="AB40" i="10"/>
  <c r="W32" i="10"/>
  <c r="V23" i="10"/>
  <c r="V21" i="10"/>
  <c r="W21" i="10"/>
  <c r="AD16" i="10"/>
  <c r="V16" i="10"/>
  <c r="AB55" i="10"/>
  <c r="AD18" i="10"/>
  <c r="AC48" i="10"/>
  <c r="AB48" i="10"/>
  <c r="Y22" i="10"/>
  <c r="Z70" i="10"/>
  <c r="AA70" i="10"/>
  <c r="AD26" i="10"/>
  <c r="AB18" i="10"/>
  <c r="Z14" i="10"/>
  <c r="AA14" i="10"/>
  <c r="AB60" i="10"/>
  <c r="AD37" i="10"/>
  <c r="AB33" i="10"/>
  <c r="AC26" i="10"/>
  <c r="W22" i="10"/>
  <c r="AA18" i="10"/>
  <c r="AD12" i="10"/>
  <c r="W82" i="10"/>
  <c r="X70" i="10"/>
  <c r="W48" i="10"/>
  <c r="AB22" i="10"/>
  <c r="V12" i="10"/>
  <c r="X12" i="10"/>
  <c r="W70" i="10"/>
  <c r="Y46" i="10"/>
  <c r="W40" i="10"/>
  <c r="X37" i="10"/>
  <c r="Y37" i="10"/>
  <c r="AA22" i="10"/>
  <c r="W14" i="10"/>
  <c r="V68" i="10"/>
  <c r="W68" i="10"/>
  <c r="Z22" i="10"/>
  <c r="V14" i="10"/>
  <c r="AC79" i="10"/>
  <c r="AC71" i="10"/>
  <c r="AC55" i="10"/>
  <c r="AC39" i="10"/>
  <c r="AC31" i="10"/>
  <c r="AC15" i="10"/>
  <c r="X62" i="10"/>
  <c r="X46" i="10"/>
  <c r="X22" i="10"/>
  <c r="V38" i="9"/>
  <c r="W38" i="9"/>
  <c r="X38" i="9"/>
  <c r="Y38" i="9"/>
  <c r="Z38" i="9"/>
  <c r="V15" i="9"/>
  <c r="W15" i="9"/>
  <c r="Z15" i="9"/>
  <c r="W34" i="9"/>
  <c r="AD19" i="9"/>
  <c r="V10" i="9"/>
  <c r="AD62" i="9"/>
  <c r="Z11" i="9"/>
  <c r="AD11" i="9"/>
  <c r="AA11" i="9"/>
  <c r="AB11" i="9"/>
  <c r="AC62" i="9"/>
  <c r="Y55" i="9"/>
  <c r="W55" i="9"/>
  <c r="V55" i="9"/>
  <c r="Z55" i="9"/>
  <c r="AC20" i="9"/>
  <c r="Z67" i="9"/>
  <c r="X55" i="9"/>
  <c r="Z16" i="9"/>
  <c r="AA16" i="9"/>
  <c r="AD70" i="9"/>
  <c r="W62" i="9"/>
  <c r="X62" i="9"/>
  <c r="AA62" i="9"/>
  <c r="V62" i="9"/>
  <c r="Y62" i="9"/>
  <c r="W42" i="9"/>
  <c r="V42" i="9"/>
  <c r="X42" i="9"/>
  <c r="AC19" i="9"/>
  <c r="Y29" i="9"/>
  <c r="AD38" i="9"/>
  <c r="AC38" i="9"/>
  <c r="AA78" i="9"/>
  <c r="AB78" i="9"/>
  <c r="AC78" i="9"/>
  <c r="AD78" i="9"/>
  <c r="Z62" i="9"/>
  <c r="AC52" i="9"/>
  <c r="X47" i="9"/>
  <c r="AC46" i="9"/>
  <c r="AD46" i="9"/>
  <c r="AB17" i="9"/>
  <c r="Z17" i="9"/>
  <c r="X44" i="9"/>
  <c r="V44" i="9"/>
  <c r="AD84" i="9"/>
  <c r="AB47" i="9"/>
  <c r="AA47" i="9"/>
  <c r="V39" i="9"/>
  <c r="W39" i="9"/>
  <c r="Z39" i="9"/>
  <c r="AA39" i="9"/>
  <c r="AB39" i="9"/>
  <c r="AC39" i="9"/>
  <c r="AD39" i="9"/>
  <c r="AD26" i="9"/>
  <c r="AB23" i="9"/>
  <c r="AD23" i="9"/>
  <c r="AA85" i="9"/>
  <c r="Y63" i="9"/>
  <c r="Z63" i="9"/>
  <c r="AC63" i="9"/>
  <c r="W63" i="9"/>
  <c r="AA63" i="9"/>
  <c r="AD63" i="9"/>
  <c r="X63" i="9"/>
  <c r="AB63" i="9"/>
  <c r="AB38" i="9"/>
  <c r="V83" i="9"/>
  <c r="W83" i="9"/>
  <c r="AA49" i="9"/>
  <c r="W47" i="9"/>
  <c r="AB46" i="9"/>
  <c r="V35" i="9"/>
  <c r="AD51" i="9"/>
  <c r="V51" i="9"/>
  <c r="W51" i="9"/>
  <c r="X51" i="9"/>
  <c r="V54" i="9"/>
  <c r="W54" i="9"/>
  <c r="AC54" i="9"/>
  <c r="AD54" i="9"/>
  <c r="AB54" i="9"/>
  <c r="AA19" i="9"/>
  <c r="AD17" i="9"/>
  <c r="AA38" i="9"/>
  <c r="Y78" i="9"/>
  <c r="AB81" i="9"/>
  <c r="Z46" i="9"/>
  <c r="Y31" i="9"/>
  <c r="Z19" i="9"/>
  <c r="Z41" i="9"/>
  <c r="X31" i="9"/>
  <c r="AD85" i="9"/>
  <c r="Z80" i="9"/>
  <c r="AB85" i="9"/>
  <c r="Z85" i="9"/>
  <c r="W32" i="9"/>
  <c r="W22" i="9"/>
  <c r="X22" i="9"/>
  <c r="Y22" i="9"/>
  <c r="AA22" i="9"/>
  <c r="V45" i="9"/>
  <c r="Y45" i="9"/>
  <c r="V11" i="9"/>
  <c r="AD82" i="9"/>
  <c r="W82" i="9"/>
  <c r="X82" i="9"/>
  <c r="AA79" i="9"/>
  <c r="V75" i="9"/>
  <c r="W75" i="9"/>
  <c r="Z71" i="9"/>
  <c r="V31" i="9"/>
  <c r="AB30" i="9"/>
  <c r="Y18" i="9"/>
  <c r="Y43" i="9"/>
  <c r="Z43" i="9"/>
  <c r="Y39" i="9"/>
  <c r="AC31" i="9"/>
  <c r="X23" i="9"/>
  <c r="V46" i="9"/>
  <c r="X39" i="9"/>
  <c r="AB31" i="9"/>
  <c r="V23" i="9"/>
  <c r="W78" i="9"/>
  <c r="AA31" i="9"/>
  <c r="Z31" i="9"/>
  <c r="AD30" i="9"/>
  <c r="AC79" i="9"/>
  <c r="W31" i="9"/>
  <c r="AC30" i="9"/>
  <c r="AB28" i="9"/>
  <c r="Z18" i="9"/>
  <c r="AD47" i="9"/>
  <c r="AA30" i="9"/>
  <c r="AD22" i="9"/>
  <c r="Z78" i="9"/>
  <c r="V70" i="9"/>
  <c r="W23" i="9"/>
  <c r="AB79" i="9"/>
  <c r="Y15" i="9"/>
  <c r="X78" i="9"/>
  <c r="AB57" i="9"/>
  <c r="Y46" i="9"/>
  <c r="W44" i="9"/>
  <c r="X40" i="9"/>
  <c r="X15" i="9"/>
  <c r="X71" i="9"/>
  <c r="Y79" i="9"/>
  <c r="W35" i="9"/>
  <c r="W84" i="9"/>
  <c r="AC57" i="9"/>
  <c r="AC15" i="9"/>
  <c r="X79" i="9"/>
  <c r="AB71" i="9"/>
  <c r="Y70" i="9"/>
  <c r="AB44" i="9"/>
  <c r="AB15" i="9"/>
  <c r="Y23" i="9"/>
  <c r="Z23" i="9"/>
  <c r="AA23" i="9"/>
  <c r="AC23" i="9"/>
  <c r="AC70" i="9"/>
  <c r="AB26" i="9"/>
  <c r="AB70" i="9"/>
  <c r="W46" i="9"/>
  <c r="X46" i="9"/>
  <c r="AA46" i="9"/>
  <c r="AA70" i="9"/>
  <c r="AC71" i="9"/>
  <c r="AA71" i="9"/>
  <c r="X70" i="9"/>
  <c r="V61" i="9"/>
  <c r="Z57" i="9"/>
  <c r="AA44" i="9"/>
  <c r="X33" i="9"/>
  <c r="V30" i="9"/>
  <c r="W30" i="9"/>
  <c r="AA15" i="9"/>
  <c r="V78" i="9"/>
  <c r="AD71" i="9"/>
  <c r="AD57" i="9"/>
  <c r="AD44" i="9"/>
  <c r="Z26" i="9"/>
  <c r="AD18" i="9"/>
  <c r="AD15" i="9"/>
  <c r="AA83" i="9"/>
  <c r="Z70" i="9"/>
  <c r="W70" i="9"/>
  <c r="Y47" i="9"/>
  <c r="Z47" i="9"/>
  <c r="AC47" i="9"/>
  <c r="Z44" i="9"/>
  <c r="W76" i="9"/>
  <c r="W69" i="9"/>
  <c r="W66" i="9"/>
  <c r="X65" i="9"/>
  <c r="AC49" i="9"/>
  <c r="AA36" i="9"/>
  <c r="AC28" i="9"/>
  <c r="AD27" i="9"/>
  <c r="AB25" i="9"/>
  <c r="W13" i="9"/>
  <c r="AC11" i="9"/>
  <c r="W85" i="9"/>
  <c r="V81" i="9"/>
  <c r="W74" i="9"/>
  <c r="V60" i="9"/>
  <c r="AC59" i="9"/>
  <c r="W58" i="9"/>
  <c r="Y44" i="9"/>
  <c r="AD43" i="9"/>
  <c r="AD42" i="9"/>
  <c r="V34" i="9"/>
  <c r="Z21" i="9"/>
  <c r="AB20" i="9"/>
  <c r="AB19" i="9"/>
  <c r="V18" i="9"/>
  <c r="AE62" i="8"/>
  <c r="W30" i="8"/>
  <c r="AE73" i="8"/>
  <c r="X30" i="8"/>
  <c r="W56" i="8"/>
  <c r="W46" i="8"/>
  <c r="AA42" i="8"/>
  <c r="X62" i="8"/>
  <c r="AD12" i="7"/>
  <c r="V35" i="4"/>
  <c r="W35" i="4"/>
  <c r="X35" i="4"/>
  <c r="Y35" i="4"/>
  <c r="Z35" i="4"/>
  <c r="X79" i="4"/>
  <c r="Z79" i="4"/>
  <c r="W52" i="4"/>
  <c r="Z52" i="4"/>
  <c r="V12" i="4"/>
  <c r="X12" i="4"/>
  <c r="Y39" i="4"/>
  <c r="W69" i="4"/>
  <c r="X69" i="4"/>
  <c r="V69" i="4"/>
  <c r="V74" i="4"/>
  <c r="Y31" i="4"/>
  <c r="V76" i="4"/>
  <c r="Y73" i="4"/>
  <c r="X63" i="4"/>
  <c r="V59" i="4"/>
  <c r="Y22" i="4"/>
  <c r="Z22" i="4"/>
  <c r="W70" i="4"/>
  <c r="X70" i="4"/>
  <c r="V70" i="4"/>
  <c r="Y70" i="4"/>
  <c r="Z70" i="4"/>
  <c r="V17" i="4"/>
  <c r="W17" i="4"/>
  <c r="X17" i="4"/>
  <c r="Y17" i="4"/>
  <c r="X22" i="4"/>
  <c r="Y48" i="4"/>
  <c r="V48" i="4"/>
  <c r="Z48" i="4"/>
  <c r="V13" i="3"/>
  <c r="W13" i="3"/>
  <c r="X13" i="3"/>
  <c r="V67" i="3"/>
  <c r="W67" i="3"/>
  <c r="X67" i="3"/>
  <c r="Z67" i="3"/>
  <c r="X48" i="3"/>
  <c r="W48" i="3"/>
  <c r="Y73" i="3"/>
  <c r="W12" i="3"/>
  <c r="W73" i="3"/>
  <c r="X57" i="3"/>
  <c r="W49" i="3"/>
  <c r="Z29" i="3"/>
  <c r="W78" i="3"/>
  <c r="V72" i="3"/>
  <c r="W72" i="3"/>
  <c r="Y72" i="3"/>
  <c r="X72" i="3"/>
  <c r="Z53" i="3"/>
  <c r="V49" i="3"/>
  <c r="Y41" i="3"/>
  <c r="X33" i="3"/>
  <c r="Z17" i="3"/>
  <c r="Z74" i="3"/>
  <c r="W69" i="3"/>
  <c r="Y53" i="3"/>
  <c r="X41" i="3"/>
  <c r="Y17" i="3"/>
  <c r="Z13" i="3"/>
  <c r="V24" i="3"/>
  <c r="W24" i="3"/>
  <c r="X24" i="3"/>
  <c r="Y24" i="3"/>
  <c r="Z24" i="3"/>
  <c r="V29" i="3"/>
  <c r="W29" i="3"/>
  <c r="X29" i="3"/>
  <c r="X78" i="3"/>
  <c r="Y78" i="3"/>
  <c r="Z78" i="3"/>
  <c r="V66" i="3"/>
  <c r="X62" i="3"/>
  <c r="Y62" i="3"/>
  <c r="Z62" i="3"/>
  <c r="V18" i="3"/>
  <c r="Y48" i="3"/>
  <c r="Y20" i="3"/>
  <c r="V48" i="3"/>
  <c r="X32" i="3"/>
  <c r="X12" i="3"/>
  <c r="Y16" i="3"/>
  <c r="X16" i="3"/>
  <c r="V19" i="3"/>
  <c r="W19" i="3"/>
  <c r="X19" i="3"/>
  <c r="Y19" i="3"/>
  <c r="Z19" i="3"/>
  <c r="X49" i="3"/>
  <c r="V16" i="3"/>
  <c r="Y74" i="3"/>
  <c r="V69" i="3"/>
  <c r="Y66" i="3"/>
  <c r="V56" i="3"/>
  <c r="W56" i="3"/>
  <c r="Y56" i="3"/>
  <c r="Z56" i="3"/>
  <c r="X56" i="3"/>
  <c r="X53" i="3"/>
  <c r="X17" i="3"/>
  <c r="Y13" i="3"/>
  <c r="W77" i="3"/>
  <c r="V77" i="3"/>
  <c r="Z73" i="3"/>
  <c r="Z41" i="3"/>
  <c r="Z25" i="3"/>
  <c r="X30" i="3"/>
  <c r="Z77" i="3"/>
  <c r="X14" i="3"/>
  <c r="Y14" i="3"/>
  <c r="Z14" i="3"/>
  <c r="Z12" i="3"/>
  <c r="V28" i="3"/>
  <c r="X20" i="3"/>
  <c r="Z16" i="3"/>
  <c r="W20" i="3"/>
  <c r="Y49" i="3"/>
  <c r="Y57" i="3"/>
  <c r="Y45" i="3"/>
  <c r="X74" i="3"/>
  <c r="V41" i="3"/>
  <c r="X25" i="3"/>
  <c r="V50" i="3"/>
  <c r="V34" i="3"/>
  <c r="Z20" i="3"/>
  <c r="X77" i="3"/>
  <c r="V51" i="3"/>
  <c r="W51" i="3"/>
  <c r="X51" i="3"/>
  <c r="Y51" i="3"/>
  <c r="Z51" i="3"/>
  <c r="Y12" i="3"/>
  <c r="X73" i="3"/>
  <c r="W53" i="3"/>
  <c r="W17" i="3"/>
  <c r="W66" i="3"/>
  <c r="W62" i="3"/>
  <c r="Y50" i="3"/>
  <c r="V40" i="3"/>
  <c r="W40" i="3"/>
  <c r="X40" i="3"/>
  <c r="Z40" i="3"/>
  <c r="Y40" i="3"/>
  <c r="W25" i="3"/>
  <c r="Z56" i="9" l="1"/>
  <c r="X56" i="9"/>
  <c r="AD56" i="9"/>
  <c r="Z80" i="13"/>
  <c r="AC80" i="13"/>
  <c r="AA68" i="9"/>
  <c r="Y68" i="9"/>
  <c r="AC68" i="9"/>
  <c r="AD68" i="9"/>
  <c r="AB68" i="9"/>
  <c r="X65" i="14"/>
  <c r="V10" i="13"/>
  <c r="X10" i="13"/>
  <c r="AD10" i="13"/>
  <c r="AB10" i="13"/>
  <c r="Y10" i="13"/>
  <c r="W10" i="13"/>
  <c r="W57" i="13"/>
  <c r="Z57" i="13"/>
  <c r="Y57" i="13"/>
  <c r="AC12" i="13"/>
  <c r="V65" i="4"/>
  <c r="X65" i="4"/>
  <c r="X57" i="4"/>
  <c r="AA58" i="8"/>
  <c r="Z77" i="17"/>
  <c r="AA77" i="17"/>
  <c r="X77" i="17"/>
  <c r="AD77" i="17"/>
  <c r="AB77" i="17"/>
  <c r="W70" i="21"/>
  <c r="X70" i="21"/>
  <c r="V70" i="21"/>
  <c r="Z70" i="21"/>
  <c r="Y70" i="21"/>
  <c r="W55" i="21"/>
  <c r="Y55" i="21"/>
  <c r="X55" i="21"/>
  <c r="Z55" i="21"/>
  <c r="W80" i="21"/>
  <c r="V80" i="21"/>
  <c r="X35" i="21"/>
  <c r="V35" i="21"/>
  <c r="W35" i="21"/>
  <c r="Z35" i="21"/>
  <c r="Y35" i="21"/>
  <c r="AB16" i="13"/>
  <c r="AC16" i="13"/>
  <c r="AD16" i="13"/>
  <c r="AA16" i="13"/>
  <c r="V54" i="13"/>
  <c r="AB54" i="13"/>
  <c r="W54" i="13"/>
  <c r="AC54" i="13"/>
  <c r="AD54" i="13"/>
  <c r="X54" i="13"/>
  <c r="AA54" i="13"/>
  <c r="Y54" i="13"/>
  <c r="Z54" i="13"/>
  <c r="W25" i="4"/>
  <c r="Z25" i="4"/>
  <c r="V25" i="4"/>
  <c r="Y25" i="4"/>
  <c r="X68" i="9"/>
  <c r="Y45" i="21"/>
  <c r="W51" i="20"/>
  <c r="X51" i="20"/>
  <c r="V51" i="20"/>
  <c r="X36" i="20"/>
  <c r="Y36" i="20"/>
  <c r="Z36" i="20"/>
  <c r="AC36" i="20"/>
  <c r="AD36" i="20"/>
  <c r="AB21" i="20"/>
  <c r="AC21" i="20"/>
  <c r="Y21" i="20"/>
  <c r="AD21" i="20"/>
  <c r="W21" i="20"/>
  <c r="X21" i="20"/>
  <c r="AA21" i="20"/>
  <c r="V21" i="20"/>
  <c r="AB34" i="20"/>
  <c r="Y34" i="20"/>
  <c r="AD34" i="20"/>
  <c r="AA34" i="20"/>
  <c r="W34" i="20"/>
  <c r="X34" i="20"/>
  <c r="Z34" i="20"/>
  <c r="AC34" i="20"/>
  <c r="AD74" i="17"/>
  <c r="AA74" i="17"/>
  <c r="AB74" i="17"/>
  <c r="V74" i="17"/>
  <c r="X74" i="17"/>
  <c r="W74" i="17"/>
  <c r="Y74" i="17"/>
  <c r="Z74" i="17"/>
  <c r="Y26" i="16"/>
  <c r="X26" i="16"/>
  <c r="V26" i="16"/>
  <c r="W26" i="16"/>
  <c r="AC26" i="16"/>
  <c r="AD26" i="16"/>
  <c r="V62" i="4"/>
  <c r="AD13" i="12"/>
  <c r="Z33" i="15"/>
  <c r="AD55" i="16"/>
  <c r="W37" i="16"/>
  <c r="V34" i="20"/>
  <c r="AC11" i="17"/>
  <c r="AD11" i="17"/>
  <c r="AA11" i="17"/>
  <c r="V11" i="17"/>
  <c r="Y11" i="17"/>
  <c r="W11" i="17"/>
  <c r="X11" i="17"/>
  <c r="AB11" i="17"/>
  <c r="AD28" i="20"/>
  <c r="Y28" i="20"/>
  <c r="Z28" i="20"/>
  <c r="AC28" i="20"/>
  <c r="AB28" i="20"/>
  <c r="X28" i="20"/>
  <c r="AA28" i="20"/>
  <c r="V26" i="20"/>
  <c r="AD26" i="20"/>
  <c r="AB26" i="20"/>
  <c r="AA26" i="20"/>
  <c r="AC26" i="20"/>
  <c r="Y26" i="20"/>
  <c r="V13" i="20"/>
  <c r="AA13" i="20"/>
  <c r="Y13" i="20"/>
  <c r="AB13" i="20"/>
  <c r="AC13" i="20"/>
  <c r="V66" i="4"/>
  <c r="Z57" i="4"/>
  <c r="Z36" i="4"/>
  <c r="W66" i="4"/>
  <c r="Z62" i="4"/>
  <c r="X66" i="12"/>
  <c r="Y47" i="16"/>
  <c r="AA37" i="16"/>
  <c r="AC77" i="17"/>
  <c r="AA60" i="20"/>
  <c r="V55" i="21"/>
  <c r="AC15" i="20"/>
  <c r="X15" i="20"/>
  <c r="W15" i="20"/>
  <c r="AB15" i="20"/>
  <c r="Z15" i="20"/>
  <c r="AA15" i="20"/>
  <c r="AD15" i="20"/>
  <c r="AA37" i="20"/>
  <c r="AC37" i="20"/>
  <c r="Z37" i="20"/>
  <c r="W17" i="20"/>
  <c r="X17" i="20"/>
  <c r="V17" i="20"/>
  <c r="Z17" i="20"/>
  <c r="AD17" i="20"/>
  <c r="Y17" i="20"/>
  <c r="AA17" i="20"/>
  <c r="AB17" i="20"/>
  <c r="AC17" i="20"/>
  <c r="AC29" i="20"/>
  <c r="AD29" i="20"/>
  <c r="AA29" i="20"/>
  <c r="AB29" i="20"/>
  <c r="Y29" i="20"/>
  <c r="W29" i="20"/>
  <c r="X28" i="17"/>
  <c r="W28" i="17"/>
  <c r="Z28" i="17"/>
  <c r="Y28" i="17"/>
  <c r="V28" i="17"/>
  <c r="AA28" i="17"/>
  <c r="AC28" i="17"/>
  <c r="AB28" i="17"/>
  <c r="AA29" i="17"/>
  <c r="AB29" i="17"/>
  <c r="Z29" i="17"/>
  <c r="AD29" i="17"/>
  <c r="AC29" i="17"/>
  <c r="Z63" i="4"/>
  <c r="Z66" i="4"/>
  <c r="AC56" i="8"/>
  <c r="AD20" i="9"/>
  <c r="X13" i="12"/>
  <c r="X80" i="13"/>
  <c r="W51" i="15"/>
  <c r="AD43" i="15"/>
  <c r="X29" i="17"/>
  <c r="Z60" i="20"/>
  <c r="AA25" i="17"/>
  <c r="AB25" i="17"/>
  <c r="W25" i="17"/>
  <c r="V25" i="17"/>
  <c r="X25" i="17"/>
  <c r="Y25" i="17"/>
  <c r="AD25" i="17"/>
  <c r="Z25" i="17"/>
  <c r="AA25" i="20"/>
  <c r="AB25" i="20"/>
  <c r="AC25" i="20"/>
  <c r="AD25" i="20"/>
  <c r="Y46" i="4"/>
  <c r="AE66" i="6"/>
  <c r="Z73" i="10"/>
  <c r="AD51" i="11"/>
  <c r="AA51" i="11"/>
  <c r="V51" i="11"/>
  <c r="AC51" i="11"/>
  <c r="W29" i="16"/>
  <c r="W73" i="16"/>
  <c r="Y60" i="20"/>
  <c r="Z61" i="3"/>
  <c r="W61" i="3"/>
  <c r="Y61" i="3"/>
  <c r="X61" i="3"/>
  <c r="Z53" i="14"/>
  <c r="AD53" i="14"/>
  <c r="AB53" i="14"/>
  <c r="X53" i="14"/>
  <c r="AA81" i="14"/>
  <c r="V75" i="14"/>
  <c r="Z75" i="14"/>
  <c r="X46" i="4"/>
  <c r="X30" i="4"/>
  <c r="AD73" i="6"/>
  <c r="AA25" i="9"/>
  <c r="Y13" i="9"/>
  <c r="AB43" i="11"/>
  <c r="Y22" i="16"/>
  <c r="AB60" i="17"/>
  <c r="Z78" i="17"/>
  <c r="AD73" i="18"/>
  <c r="V73" i="18"/>
  <c r="Y52" i="18"/>
  <c r="AC68" i="19"/>
  <c r="W20" i="15"/>
  <c r="X20" i="15"/>
  <c r="Y20" i="15"/>
  <c r="Z20" i="15"/>
  <c r="V20" i="15"/>
  <c r="AC10" i="15"/>
  <c r="AD10" i="15"/>
  <c r="W40" i="4"/>
  <c r="AA23" i="6"/>
  <c r="X13" i="9"/>
  <c r="AB73" i="10"/>
  <c r="W53" i="11"/>
  <c r="X53" i="11"/>
  <c r="V53" i="11"/>
  <c r="Y53" i="11"/>
  <c r="Z53" i="11"/>
  <c r="W65" i="12"/>
  <c r="AB70" i="12"/>
  <c r="Y23" i="14"/>
  <c r="V41" i="14"/>
  <c r="AD73" i="15"/>
  <c r="Y11" i="16"/>
  <c r="Y27" i="16"/>
  <c r="AC65" i="16"/>
  <c r="W51" i="16"/>
  <c r="W36" i="17"/>
  <c r="AC74" i="17"/>
  <c r="AC52" i="17"/>
  <c r="AA23" i="18"/>
  <c r="AD81" i="18"/>
  <c r="X67" i="18"/>
  <c r="X21" i="18"/>
  <c r="Z26" i="20"/>
  <c r="Z27" i="20"/>
  <c r="AB74" i="20"/>
  <c r="X15" i="21"/>
  <c r="Z70" i="3"/>
  <c r="V70" i="3"/>
  <c r="W70" i="3"/>
  <c r="X70" i="3"/>
  <c r="Z76" i="4"/>
  <c r="Y76" i="4"/>
  <c r="AC65" i="9"/>
  <c r="AD65" i="9"/>
  <c r="Y65" i="9"/>
  <c r="Z65" i="9"/>
  <c r="W21" i="12"/>
  <c r="Y57" i="4"/>
  <c r="W61" i="9"/>
  <c r="Z61" i="9"/>
  <c r="AD61" i="9"/>
  <c r="AC61" i="9"/>
  <c r="Y61" i="9"/>
  <c r="AB59" i="9"/>
  <c r="AC22" i="13"/>
  <c r="AA36" i="15"/>
  <c r="V36" i="15"/>
  <c r="W36" i="15"/>
  <c r="W59" i="4"/>
  <c r="X59" i="4"/>
  <c r="Z59" i="4"/>
  <c r="Y45" i="4"/>
  <c r="Z45" i="4"/>
  <c r="W45" i="4"/>
  <c r="X45" i="4"/>
  <c r="V45" i="4"/>
  <c r="X73" i="4"/>
  <c r="V67" i="4"/>
  <c r="X31" i="4"/>
  <c r="Z75" i="7"/>
  <c r="AB38" i="17"/>
  <c r="V38" i="17"/>
  <c r="AD38" i="17"/>
  <c r="Z38" i="17"/>
  <c r="X38" i="17"/>
  <c r="AC38" i="17"/>
  <c r="W38" i="17"/>
  <c r="AA38" i="17"/>
  <c r="Y38" i="17"/>
  <c r="W64" i="21"/>
  <c r="V64" i="21"/>
  <c r="X64" i="21"/>
  <c r="X27" i="21"/>
  <c r="V27" i="21"/>
  <c r="W27" i="21"/>
  <c r="X45" i="21"/>
  <c r="Y27" i="21"/>
  <c r="X16" i="4"/>
  <c r="W16" i="4"/>
  <c r="Y16" i="4"/>
  <c r="V16" i="4"/>
  <c r="AA19" i="20"/>
  <c r="AB19" i="20"/>
  <c r="Z19" i="20"/>
  <c r="Y19" i="20"/>
  <c r="X19" i="20"/>
  <c r="V19" i="20"/>
  <c r="W19" i="20"/>
  <c r="AD19" i="20"/>
  <c r="AC55" i="16"/>
  <c r="X55" i="16"/>
  <c r="V55" i="16"/>
  <c r="Z55" i="16"/>
  <c r="AB55" i="16"/>
  <c r="AA55" i="16"/>
  <c r="Y58" i="16"/>
  <c r="AB58" i="16"/>
  <c r="X58" i="16"/>
  <c r="Z58" i="16"/>
  <c r="AA58" i="16"/>
  <c r="V58" i="16"/>
  <c r="X32" i="4"/>
  <c r="W74" i="4"/>
  <c r="X74" i="4"/>
  <c r="Y62" i="4"/>
  <c r="V14" i="4"/>
  <c r="W14" i="4"/>
  <c r="X14" i="4"/>
  <c r="Y14" i="4"/>
  <c r="Y67" i="12"/>
  <c r="V77" i="17"/>
  <c r="AD48" i="19"/>
  <c r="V45" i="21"/>
  <c r="W65" i="20"/>
  <c r="V65" i="20"/>
  <c r="X65" i="20"/>
  <c r="Y65" i="20"/>
  <c r="Z65" i="20"/>
  <c r="AA65" i="20"/>
  <c r="AB65" i="20"/>
  <c r="AD65" i="20"/>
  <c r="X30" i="20"/>
  <c r="Y30" i="20"/>
  <c r="AC30" i="20"/>
  <c r="X71" i="17"/>
  <c r="AC71" i="17"/>
  <c r="Z71" i="17"/>
  <c r="AA71" i="17"/>
  <c r="V71" i="17"/>
  <c r="W71" i="17"/>
  <c r="AB71" i="17"/>
  <c r="AE56" i="8"/>
  <c r="X67" i="12"/>
  <c r="Z20" i="13"/>
  <c r="Z28" i="13"/>
  <c r="AB20" i="13"/>
  <c r="V50" i="15"/>
  <c r="AB36" i="15"/>
  <c r="AC66" i="18"/>
  <c r="AB42" i="20"/>
  <c r="Z42" i="20"/>
  <c r="V42" i="20"/>
  <c r="X42" i="20"/>
  <c r="Y42" i="20"/>
  <c r="AD42" i="20"/>
  <c r="X79" i="20"/>
  <c r="AD79" i="20"/>
  <c r="X58" i="20"/>
  <c r="Y58" i="20"/>
  <c r="Z58" i="20"/>
  <c r="AA58" i="20"/>
  <c r="AC58" i="20"/>
  <c r="W58" i="20"/>
  <c r="V58" i="20"/>
  <c r="AD58" i="20"/>
  <c r="AB58" i="20"/>
  <c r="Z46" i="4"/>
  <c r="AD50" i="11"/>
  <c r="X50" i="11"/>
  <c r="Z50" i="11"/>
  <c r="W67" i="12"/>
  <c r="Z37" i="16"/>
  <c r="AB40" i="18"/>
  <c r="AC51" i="18"/>
  <c r="W56" i="19"/>
  <c r="Y37" i="20"/>
  <c r="X77" i="20"/>
  <c r="W77" i="20"/>
  <c r="Y77" i="20"/>
  <c r="AC77" i="20"/>
  <c r="AC38" i="20"/>
  <c r="Y38" i="20"/>
  <c r="AB38" i="20"/>
  <c r="W38" i="20"/>
  <c r="AA38" i="20"/>
  <c r="V38" i="20"/>
  <c r="Y69" i="4"/>
  <c r="Y66" i="4"/>
  <c r="AB12" i="6"/>
  <c r="Z77" i="6"/>
  <c r="AA28" i="6"/>
  <c r="AB61" i="9"/>
  <c r="W18" i="13"/>
  <c r="AA22" i="13"/>
  <c r="AD64" i="13"/>
  <c r="W28" i="13"/>
  <c r="AB37" i="16"/>
  <c r="Z55" i="18"/>
  <c r="W79" i="18"/>
  <c r="Z54" i="20"/>
  <c r="W43" i="14"/>
  <c r="X43" i="14"/>
  <c r="Z43" i="14"/>
  <c r="Y43" i="14"/>
  <c r="AB42" i="14"/>
  <c r="AC42" i="14"/>
  <c r="AB25" i="6"/>
  <c r="Y26" i="6"/>
  <c r="Z55" i="6"/>
  <c r="AE58" i="6"/>
  <c r="AA12" i="6"/>
  <c r="AA36" i="6"/>
  <c r="AD13" i="6"/>
  <c r="Z72" i="6"/>
  <c r="Z21" i="6"/>
  <c r="Z37" i="6"/>
  <c r="Z39" i="6"/>
  <c r="AD18" i="6"/>
  <c r="X61" i="6"/>
  <c r="X64" i="6"/>
  <c r="AD70" i="6"/>
  <c r="AE32" i="6"/>
  <c r="AA46" i="6"/>
  <c r="AD56" i="6"/>
  <c r="AC57" i="6"/>
  <c r="AC19" i="6"/>
  <c r="AC75" i="6"/>
  <c r="AA85" i="6"/>
  <c r="X44" i="6"/>
  <c r="W47" i="6"/>
  <c r="AD42" i="6"/>
  <c r="AE54" i="6"/>
  <c r="AB43" i="6"/>
  <c r="AA35" i="6"/>
  <c r="V61" i="3"/>
  <c r="Z71" i="4"/>
  <c r="Y12" i="4"/>
  <c r="Z68" i="9"/>
  <c r="AD84" i="10"/>
  <c r="V19" i="10"/>
  <c r="Z52" i="11"/>
  <c r="AA52" i="11"/>
  <c r="V52" i="11"/>
  <c r="AB52" i="11"/>
  <c r="AD52" i="11"/>
  <c r="AC52" i="11"/>
  <c r="W52" i="11"/>
  <c r="AC80" i="12"/>
  <c r="AB58" i="12"/>
  <c r="Z18" i="20"/>
  <c r="AC74" i="20"/>
  <c r="AD18" i="15"/>
  <c r="W18" i="15"/>
  <c r="AC18" i="15"/>
  <c r="X18" i="15"/>
  <c r="W54" i="15"/>
  <c r="V54" i="15"/>
  <c r="Z54" i="15"/>
  <c r="X54" i="15"/>
  <c r="W12" i="4"/>
  <c r="Y74" i="6"/>
  <c r="Z80" i="4"/>
  <c r="W36" i="4"/>
  <c r="Y32" i="4"/>
  <c r="AD71" i="10"/>
  <c r="Z64" i="11"/>
  <c r="X64" i="11"/>
  <c r="AD64" i="11"/>
  <c r="AC55" i="12"/>
  <c r="AD64" i="12"/>
  <c r="W64" i="12"/>
  <c r="AB74" i="12"/>
  <c r="X16" i="14"/>
  <c r="X11" i="16"/>
  <c r="Y61" i="16"/>
  <c r="AC24" i="18"/>
  <c r="X75" i="18"/>
  <c r="Y75" i="18"/>
  <c r="AA75" i="18"/>
  <c r="W75" i="18"/>
  <c r="AD75" i="18"/>
  <c r="AC18" i="19"/>
  <c r="AD18" i="19"/>
  <c r="AA67" i="19"/>
  <c r="AC67" i="19"/>
  <c r="W68" i="19"/>
  <c r="Z74" i="20"/>
  <c r="X51" i="21"/>
  <c r="Y61" i="21"/>
  <c r="Z37" i="21"/>
  <c r="AD64" i="15"/>
  <c r="X53" i="9"/>
  <c r="AC53" i="9"/>
  <c r="V53" i="9"/>
  <c r="AB53" i="9"/>
  <c r="Z20" i="11"/>
  <c r="W20" i="11"/>
  <c r="Y20" i="11"/>
  <c r="Y11" i="22"/>
  <c r="X11" i="22"/>
  <c r="W11" i="22"/>
  <c r="Z65" i="22"/>
  <c r="V65" i="22"/>
  <c r="Y65" i="22"/>
  <c r="W65" i="22"/>
  <c r="Z59" i="19"/>
  <c r="AB59" i="19"/>
  <c r="Y59" i="19"/>
  <c r="AA59" i="19"/>
  <c r="V59" i="19"/>
  <c r="AC59" i="19"/>
  <c r="AD59" i="19"/>
  <c r="X59" i="19"/>
  <c r="X68" i="4"/>
  <c r="V68" i="4"/>
  <c r="W68" i="4"/>
  <c r="Y68" i="4"/>
  <c r="Z68" i="4"/>
  <c r="AA29" i="11"/>
  <c r="AC29" i="11"/>
  <c r="V29" i="11"/>
  <c r="Z29" i="11"/>
  <c r="AD29" i="11"/>
  <c r="AB29" i="11"/>
  <c r="Z40" i="4"/>
  <c r="X40" i="4"/>
  <c r="Y40" i="4"/>
  <c r="Z72" i="4"/>
  <c r="V72" i="4"/>
  <c r="AB67" i="9"/>
  <c r="X67" i="9"/>
  <c r="W67" i="9"/>
  <c r="AA67" i="9"/>
  <c r="Y67" i="9"/>
  <c r="Z14" i="9"/>
  <c r="AB14" i="9"/>
  <c r="V57" i="4"/>
  <c r="AB27" i="11"/>
  <c r="AB48" i="17"/>
  <c r="AC48" i="17"/>
  <c r="AA19" i="19"/>
  <c r="AD19" i="19"/>
  <c r="AC73" i="14"/>
  <c r="V73" i="14"/>
  <c r="AD73" i="14"/>
  <c r="V13" i="4"/>
  <c r="AA80" i="13"/>
  <c r="AC20" i="13"/>
  <c r="AA73" i="16"/>
  <c r="Z46" i="3"/>
  <c r="Y43" i="4"/>
  <c r="AC17" i="9"/>
  <c r="AA17" i="9"/>
  <c r="AC52" i="12"/>
  <c r="Z52" i="15"/>
  <c r="Z80" i="21"/>
  <c r="X77" i="16"/>
  <c r="V77" i="16"/>
  <c r="W77" i="16"/>
  <c r="Z77" i="16"/>
  <c r="AD77" i="16"/>
  <c r="AB77" i="16"/>
  <c r="Z31" i="4"/>
  <c r="Y55" i="4"/>
  <c r="Z55" i="4"/>
  <c r="X55" i="4"/>
  <c r="V55" i="4"/>
  <c r="W55" i="4"/>
  <c r="W19" i="4"/>
  <c r="W43" i="4"/>
  <c r="X56" i="12"/>
  <c r="X58" i="12"/>
  <c r="Z40" i="16"/>
  <c r="W77" i="17"/>
  <c r="Y36" i="3"/>
  <c r="X36" i="3"/>
  <c r="W36" i="3"/>
  <c r="V18" i="4"/>
  <c r="Y57" i="20"/>
  <c r="Z31" i="3"/>
  <c r="X31" i="3"/>
  <c r="Y31" i="3"/>
  <c r="V31" i="3"/>
  <c r="W31" i="3"/>
  <c r="Z21" i="4"/>
  <c r="Z43" i="4"/>
  <c r="W28" i="16"/>
  <c r="Y77" i="16"/>
  <c r="V29" i="16"/>
  <c r="AB44" i="10"/>
  <c r="AA44" i="10"/>
  <c r="Y43" i="10"/>
  <c r="X43" i="10"/>
  <c r="V43" i="10"/>
  <c r="W20" i="10"/>
  <c r="AB20" i="10"/>
  <c r="X20" i="10"/>
  <c r="AA20" i="10"/>
  <c r="W84" i="10"/>
  <c r="AC84" i="10"/>
  <c r="AD85" i="10"/>
  <c r="V85" i="10"/>
  <c r="Y56" i="8"/>
  <c r="X43" i="4"/>
  <c r="Z26" i="6"/>
  <c r="X60" i="9"/>
  <c r="AB24" i="10"/>
  <c r="W10" i="14"/>
  <c r="Y32" i="18"/>
  <c r="W38" i="22"/>
  <c r="Y38" i="22"/>
  <c r="V38" i="22"/>
  <c r="V35" i="20"/>
  <c r="Y35" i="20"/>
  <c r="Z35" i="20"/>
  <c r="W35" i="20"/>
  <c r="X35" i="20"/>
  <c r="AC35" i="20"/>
  <c r="AA35" i="20"/>
  <c r="AB35" i="20"/>
  <c r="AD35" i="20"/>
  <c r="V31" i="20"/>
  <c r="X31" i="20"/>
  <c r="W31" i="20"/>
  <c r="AC31" i="20"/>
  <c r="Y31" i="20"/>
  <c r="AB31" i="20"/>
  <c r="AA31" i="20"/>
  <c r="Z31" i="20"/>
  <c r="AA59" i="20"/>
  <c r="X59" i="20"/>
  <c r="AB73" i="17"/>
  <c r="Z73" i="17"/>
  <c r="V73" i="17"/>
  <c r="W73" i="17"/>
  <c r="AA73" i="17"/>
  <c r="X73" i="17"/>
  <c r="AC73" i="17"/>
  <c r="V39" i="17"/>
  <c r="AB39" i="17"/>
  <c r="W39" i="17"/>
  <c r="X39" i="17"/>
  <c r="Z39" i="17"/>
  <c r="AC39" i="17"/>
  <c r="Y39" i="17"/>
  <c r="AA59" i="10"/>
  <c r="Y21" i="4"/>
  <c r="AC14" i="9"/>
  <c r="Y18" i="13"/>
  <c r="Y10" i="14"/>
  <c r="W58" i="16"/>
  <c r="Y55" i="20"/>
  <c r="V55" i="20"/>
  <c r="Z55" i="20"/>
  <c r="AC55" i="20"/>
  <c r="X55" i="20"/>
  <c r="AA55" i="20"/>
  <c r="AD55" i="20"/>
  <c r="Z10" i="20"/>
  <c r="W38" i="4"/>
  <c r="X29" i="9"/>
  <c r="V29" i="9"/>
  <c r="AA14" i="9"/>
  <c r="Y56" i="9"/>
  <c r="AC44" i="10"/>
  <c r="X12" i="11"/>
  <c r="AD20" i="11"/>
  <c r="W53" i="14"/>
  <c r="W75" i="14"/>
  <c r="Z42" i="14"/>
  <c r="Y56" i="15"/>
  <c r="AD21" i="16"/>
  <c r="AC17" i="16"/>
  <c r="AA21" i="17"/>
  <c r="AC19" i="18"/>
  <c r="Z40" i="18"/>
  <c r="AB54" i="18"/>
  <c r="AC48" i="20"/>
  <c r="V15" i="20"/>
  <c r="AD67" i="20"/>
  <c r="W33" i="22"/>
  <c r="Y33" i="22"/>
  <c r="V14" i="20"/>
  <c r="AA14" i="20"/>
  <c r="AD14" i="20"/>
  <c r="Y14" i="20"/>
  <c r="AB14" i="20"/>
  <c r="AC14" i="20"/>
  <c r="X14" i="20"/>
  <c r="W14" i="20"/>
  <c r="V23" i="20"/>
  <c r="X23" i="20"/>
  <c r="Y23" i="20"/>
  <c r="AA53" i="20"/>
  <c r="AD53" i="20"/>
  <c r="AB53" i="20"/>
  <c r="W53" i="20"/>
  <c r="X53" i="20"/>
  <c r="Z53" i="20"/>
  <c r="X62" i="20"/>
  <c r="Z41" i="20"/>
  <c r="AC41" i="20"/>
  <c r="Y41" i="20"/>
  <c r="X41" i="20"/>
  <c r="W41" i="20"/>
  <c r="AD41" i="20"/>
  <c r="AB18" i="20"/>
  <c r="AA18" i="20"/>
  <c r="V18" i="20"/>
  <c r="AD18" i="20"/>
  <c r="AD58" i="13"/>
  <c r="AB58" i="13"/>
  <c r="Z58" i="13"/>
  <c r="AA58" i="13"/>
  <c r="W58" i="13"/>
  <c r="AC58" i="13"/>
  <c r="Z37" i="13"/>
  <c r="AD37" i="13"/>
  <c r="X27" i="13"/>
  <c r="W27" i="13"/>
  <c r="V27" i="13"/>
  <c r="AB27" i="13"/>
  <c r="AC27" i="13"/>
  <c r="AD27" i="13"/>
  <c r="AD58" i="9"/>
  <c r="AC58" i="9"/>
  <c r="V58" i="9"/>
  <c r="V54" i="3"/>
  <c r="W54" i="3"/>
  <c r="Z54" i="3"/>
  <c r="X54" i="3"/>
  <c r="Y54" i="3"/>
  <c r="V76" i="15"/>
  <c r="W76" i="15"/>
  <c r="AD57" i="15"/>
  <c r="AB57" i="15"/>
  <c r="Z79" i="10"/>
  <c r="Y79" i="10"/>
  <c r="V79" i="10"/>
  <c r="W79" i="10"/>
  <c r="X79" i="10"/>
  <c r="AA79" i="10"/>
  <c r="AB79" i="10"/>
  <c r="AC13" i="12"/>
  <c r="V13" i="12"/>
  <c r="Y13" i="12"/>
  <c r="Z13" i="12"/>
  <c r="AA13" i="12"/>
  <c r="AA69" i="13"/>
  <c r="Y69" i="13"/>
  <c r="W62" i="22"/>
  <c r="X62" i="22"/>
  <c r="Y26" i="19"/>
  <c r="Z26" i="19"/>
  <c r="X26" i="19"/>
  <c r="AB26" i="19"/>
  <c r="AA26" i="19"/>
  <c r="V26" i="19"/>
  <c r="AC26" i="19"/>
  <c r="W26" i="19"/>
  <c r="AD26" i="19"/>
  <c r="X67" i="4"/>
  <c r="V70" i="14"/>
  <c r="X70" i="14"/>
  <c r="Y70" i="14"/>
  <c r="Z57" i="12"/>
  <c r="AA57" i="12"/>
  <c r="AC57" i="12"/>
  <c r="AF57" i="12"/>
  <c r="Y57" i="12"/>
  <c r="AB73" i="16"/>
  <c r="Z64" i="21"/>
  <c r="V37" i="3"/>
  <c r="X37" i="3"/>
  <c r="AB18" i="15"/>
  <c r="Y35" i="3"/>
  <c r="Z35" i="3"/>
  <c r="X35" i="3"/>
  <c r="X19" i="4"/>
  <c r="AA78" i="6"/>
  <c r="X68" i="11"/>
  <c r="W68" i="11"/>
  <c r="AB51" i="17"/>
  <c r="V51" i="17"/>
  <c r="Z51" i="17"/>
  <c r="W51" i="17"/>
  <c r="AD51" i="17"/>
  <c r="W34" i="3"/>
  <c r="X34" i="3"/>
  <c r="Y34" i="3"/>
  <c r="Z34" i="3"/>
  <c r="V81" i="4"/>
  <c r="Y81" i="4"/>
  <c r="Z81" i="4"/>
  <c r="W81" i="4"/>
  <c r="X81" i="4"/>
  <c r="W35" i="3"/>
  <c r="X72" i="4"/>
  <c r="AA48" i="14"/>
  <c r="X32" i="20"/>
  <c r="V39" i="3"/>
  <c r="X39" i="3"/>
  <c r="W39" i="3"/>
  <c r="Z39" i="3"/>
  <c r="Y39" i="3"/>
  <c r="V35" i="3"/>
  <c r="X13" i="4"/>
  <c r="AD65" i="12"/>
  <c r="W26" i="20"/>
  <c r="W48" i="4"/>
  <c r="X48" i="4"/>
  <c r="Z56" i="4"/>
  <c r="X56" i="4"/>
  <c r="Z78" i="4"/>
  <c r="X78" i="4"/>
  <c r="Y78" i="4"/>
  <c r="X26" i="9"/>
  <c r="W26" i="9"/>
  <c r="Y26" i="9"/>
  <c r="AA26" i="9"/>
  <c r="AB55" i="12"/>
  <c r="Y80" i="13"/>
  <c r="AB70" i="14"/>
  <c r="X36" i="15"/>
  <c r="V56" i="19"/>
  <c r="AD56" i="19"/>
  <c r="AC12" i="17"/>
  <c r="AB12" i="17"/>
  <c r="V12" i="17"/>
  <c r="W55" i="17"/>
  <c r="AB55" i="17"/>
  <c r="Z55" i="17"/>
  <c r="Y55" i="17"/>
  <c r="X55" i="17"/>
  <c r="W23" i="18"/>
  <c r="X23" i="18"/>
  <c r="V23" i="18"/>
  <c r="AB23" i="18"/>
  <c r="Z23" i="18"/>
  <c r="Z38" i="10"/>
  <c r="AA38" i="10"/>
  <c r="AC38" i="10"/>
  <c r="Z78" i="10"/>
  <c r="AA78" i="10"/>
  <c r="X78" i="10"/>
  <c r="Y78" i="10"/>
  <c r="AB78" i="10"/>
  <c r="AC78" i="10"/>
  <c r="V78" i="10"/>
  <c r="X48" i="10"/>
  <c r="V48" i="10"/>
  <c r="V38" i="4"/>
  <c r="X21" i="4"/>
  <c r="AB17" i="8"/>
  <c r="Y17" i="8"/>
  <c r="W29" i="8"/>
  <c r="AD14" i="9"/>
  <c r="Z84" i="10"/>
  <c r="V81" i="13"/>
  <c r="Y81" i="13"/>
  <c r="Y55" i="16"/>
  <c r="AB65" i="17"/>
  <c r="V65" i="17"/>
  <c r="AA16" i="20"/>
  <c r="Y16" i="20"/>
  <c r="Z16" i="20"/>
  <c r="AC16" i="20"/>
  <c r="AD16" i="20"/>
  <c r="V16" i="20"/>
  <c r="Z27" i="21"/>
  <c r="AB77" i="10"/>
  <c r="AD77" i="10"/>
  <c r="Z36" i="3"/>
  <c r="AC26" i="9"/>
  <c r="Z77" i="10"/>
  <c r="Y46" i="14"/>
  <c r="W70" i="14"/>
  <c r="Y36" i="15"/>
  <c r="AA29" i="16"/>
  <c r="V18" i="18"/>
  <c r="AB67" i="20"/>
  <c r="V36" i="22"/>
  <c r="W36" i="22"/>
  <c r="X36" i="22"/>
  <c r="W43" i="19"/>
  <c r="AB43" i="19"/>
  <c r="Y43" i="19"/>
  <c r="V43" i="19"/>
  <c r="AD43" i="19"/>
  <c r="X43" i="19"/>
  <c r="AD11" i="20"/>
  <c r="Y11" i="20"/>
  <c r="AA11" i="20"/>
  <c r="X11" i="20"/>
  <c r="AC20" i="20"/>
  <c r="AB20" i="20"/>
  <c r="V20" i="20"/>
  <c r="W20" i="20"/>
  <c r="X20" i="20"/>
  <c r="W38" i="11"/>
  <c r="V38" i="11"/>
  <c r="AA38" i="11"/>
  <c r="X38" i="11"/>
  <c r="Z37" i="3"/>
  <c r="W21" i="4"/>
  <c r="X61" i="4"/>
  <c r="Y13" i="6"/>
  <c r="X43" i="6"/>
  <c r="Z62" i="6"/>
  <c r="AE12" i="8"/>
  <c r="Z33" i="9"/>
  <c r="W33" i="9"/>
  <c r="Y33" i="9"/>
  <c r="Z22" i="13"/>
  <c r="V21" i="4"/>
  <c r="W61" i="4"/>
  <c r="Y72" i="6"/>
  <c r="Y29" i="8"/>
  <c r="AE29" i="8"/>
  <c r="Z46" i="8"/>
  <c r="Z27" i="9"/>
  <c r="Y14" i="9"/>
  <c r="V56" i="9"/>
  <c r="W73" i="10"/>
  <c r="W78" i="10"/>
  <c r="AA54" i="10"/>
  <c r="AC54" i="10"/>
  <c r="AC20" i="10"/>
  <c r="AD44" i="10"/>
  <c r="AC20" i="11"/>
  <c r="Z52" i="13"/>
  <c r="X48" i="14"/>
  <c r="V10" i="14"/>
  <c r="AA22" i="15"/>
  <c r="AB22" i="16"/>
  <c r="AC22" i="16"/>
  <c r="Z21" i="17"/>
  <c r="AC35" i="18"/>
  <c r="AD22" i="18"/>
  <c r="V28" i="20"/>
  <c r="Z25" i="20"/>
  <c r="X67" i="20"/>
  <c r="AC11" i="20"/>
  <c r="AB60" i="20"/>
  <c r="Z60" i="9"/>
  <c r="V57" i="3"/>
  <c r="Z57" i="3"/>
  <c r="W57" i="3"/>
  <c r="V59" i="9"/>
  <c r="Z59" i="9"/>
  <c r="AA59" i="9"/>
  <c r="X59" i="9"/>
  <c r="Z32" i="4"/>
  <c r="V79" i="4"/>
  <c r="W79" i="4"/>
  <c r="Y79" i="4"/>
  <c r="Y12" i="13"/>
  <c r="Z12" i="13"/>
  <c r="AA12" i="13"/>
  <c r="W12" i="13"/>
  <c r="X12" i="13"/>
  <c r="AB12" i="13"/>
  <c r="AD12" i="13"/>
  <c r="X61" i="9"/>
  <c r="X29" i="11"/>
  <c r="Z65" i="4"/>
  <c r="W29" i="11"/>
  <c r="X20" i="19"/>
  <c r="Y20" i="19"/>
  <c r="AC67" i="12"/>
  <c r="AD67" i="12"/>
  <c r="AF67" i="12"/>
  <c r="V52" i="15"/>
  <c r="W65" i="4"/>
  <c r="AA56" i="16"/>
  <c r="AC56" i="16"/>
  <c r="W39" i="4"/>
  <c r="X39" i="4"/>
  <c r="V39" i="4"/>
  <c r="Z39" i="4"/>
  <c r="V34" i="4"/>
  <c r="W34" i="4"/>
  <c r="X34" i="4"/>
  <c r="Y13" i="4"/>
  <c r="Y69" i="12"/>
  <c r="Z69" i="12"/>
  <c r="AB26" i="16"/>
  <c r="W30" i="20"/>
  <c r="Y80" i="21"/>
  <c r="Z12" i="16"/>
  <c r="W12" i="16"/>
  <c r="X12" i="16"/>
  <c r="AA12" i="16"/>
  <c r="V19" i="4"/>
  <c r="W56" i="9"/>
  <c r="AD42" i="15"/>
  <c r="X42" i="15"/>
  <c r="W15" i="18"/>
  <c r="AA79" i="20"/>
  <c r="V30" i="20"/>
  <c r="AB67" i="18"/>
  <c r="AD39" i="18"/>
  <c r="AC39" i="18"/>
  <c r="Y39" i="18"/>
  <c r="Z39" i="18"/>
  <c r="V33" i="3"/>
  <c r="Z33" i="3"/>
  <c r="Z61" i="4"/>
  <c r="X14" i="9"/>
  <c r="AC56" i="9"/>
  <c r="AD58" i="16"/>
  <c r="AB64" i="17"/>
  <c r="AC64" i="17"/>
  <c r="W78" i="17"/>
  <c r="AC78" i="17"/>
  <c r="Y78" i="17"/>
  <c r="V45" i="17"/>
  <c r="AA45" i="17"/>
  <c r="AD45" i="17"/>
  <c r="AB45" i="17"/>
  <c r="AC45" i="17"/>
  <c r="W45" i="17"/>
  <c r="V78" i="17"/>
  <c r="Z38" i="18"/>
  <c r="AC38" i="18"/>
  <c r="Y38" i="18"/>
  <c r="AA38" i="18"/>
  <c r="AB38" i="18"/>
  <c r="AD38" i="18"/>
  <c r="W17" i="10"/>
  <c r="X17" i="10"/>
  <c r="V17" i="10"/>
  <c r="Z17" i="10"/>
  <c r="Y17" i="10"/>
  <c r="AD17" i="10"/>
  <c r="Z24" i="10"/>
  <c r="AD24" i="10"/>
  <c r="Y24" i="10"/>
  <c r="AD13" i="10"/>
  <c r="X13" i="10"/>
  <c r="Y13" i="10"/>
  <c r="Z13" i="10"/>
  <c r="V13" i="10"/>
  <c r="AC13" i="10"/>
  <c r="AA13" i="10"/>
  <c r="V61" i="4"/>
  <c r="W60" i="9"/>
  <c r="AB56" i="9"/>
  <c r="AB65" i="12"/>
  <c r="Z36" i="15"/>
  <c r="AC58" i="16"/>
  <c r="AA17" i="18"/>
  <c r="AA20" i="18"/>
  <c r="Z29" i="20"/>
  <c r="Z77" i="20"/>
  <c r="AC53" i="19"/>
  <c r="AB53" i="19"/>
  <c r="X53" i="19"/>
  <c r="Z53" i="19"/>
  <c r="V53" i="19"/>
  <c r="W53" i="19"/>
  <c r="AD53" i="19"/>
  <c r="AE15" i="8"/>
  <c r="Z32" i="9"/>
  <c r="V32" i="9"/>
  <c r="Y32" i="9"/>
  <c r="X32" i="9"/>
  <c r="AA56" i="9"/>
  <c r="Z20" i="10"/>
  <c r="X77" i="10"/>
  <c r="AB50" i="13"/>
  <c r="AB81" i="15"/>
  <c r="Y66" i="17"/>
  <c r="Z66" i="17"/>
  <c r="AB66" i="17"/>
  <c r="AD66" i="17"/>
  <c r="AD71" i="17"/>
  <c r="AA33" i="18"/>
  <c r="AC54" i="18"/>
  <c r="X13" i="20"/>
  <c r="V56" i="20"/>
  <c r="Z56" i="20"/>
  <c r="W56" i="20"/>
  <c r="AD56" i="20"/>
  <c r="Y56" i="20"/>
  <c r="AB30" i="20"/>
  <c r="Z45" i="3"/>
  <c r="Y72" i="4"/>
  <c r="Y22" i="6"/>
  <c r="AA40" i="9"/>
  <c r="V40" i="9"/>
  <c r="AD37" i="9"/>
  <c r="AC37" i="9"/>
  <c r="Y60" i="9"/>
  <c r="W14" i="9"/>
  <c r="Y59" i="10"/>
  <c r="Z44" i="10"/>
  <c r="AD11" i="11"/>
  <c r="V11" i="11"/>
  <c r="Y11" i="11"/>
  <c r="AA11" i="11"/>
  <c r="W11" i="11"/>
  <c r="X11" i="11"/>
  <c r="V20" i="11"/>
  <c r="AC53" i="13"/>
  <c r="AB33" i="13"/>
  <c r="AA33" i="13"/>
  <c r="Y37" i="15"/>
  <c r="V58" i="15"/>
  <c r="Y60" i="16"/>
  <c r="AA65" i="16"/>
  <c r="Y29" i="16"/>
  <c r="AA69" i="17"/>
  <c r="AC22" i="18"/>
  <c r="Z54" i="18"/>
  <c r="X29" i="20"/>
  <c r="AD51" i="20"/>
  <c r="Y25" i="20"/>
  <c r="W67" i="20"/>
  <c r="AA52" i="20"/>
  <c r="X48" i="20"/>
  <c r="Y48" i="20"/>
  <c r="AA48" i="20"/>
  <c r="Y12" i="20"/>
  <c r="Z12" i="20"/>
  <c r="AA12" i="20"/>
  <c r="X12" i="20"/>
  <c r="AD12" i="20"/>
  <c r="AC12" i="20"/>
  <c r="AB12" i="20"/>
  <c r="W13" i="20"/>
  <c r="V14" i="21"/>
  <c r="W14" i="21"/>
  <c r="Y62" i="21"/>
  <c r="Z62" i="21"/>
  <c r="W53" i="21"/>
  <c r="X53" i="21"/>
  <c r="Y53" i="21"/>
  <c r="Z53" i="21"/>
  <c r="V28" i="21"/>
  <c r="X28" i="21"/>
  <c r="Y28" i="21"/>
  <c r="Z28" i="21"/>
  <c r="Y50" i="21"/>
  <c r="Z50" i="21"/>
  <c r="W42" i="21"/>
  <c r="Y42" i="21"/>
  <c r="V37" i="21"/>
  <c r="Y12" i="21"/>
  <c r="Z12" i="21"/>
  <c r="W12" i="21"/>
  <c r="V12" i="21"/>
  <c r="Y36" i="21"/>
  <c r="V36" i="21"/>
  <c r="W36" i="21"/>
  <c r="V10" i="16"/>
  <c r="W10" i="16"/>
  <c r="AC10" i="16"/>
  <c r="AD10" i="16"/>
  <c r="AC55" i="13"/>
  <c r="AB55" i="13"/>
  <c r="V55" i="13"/>
  <c r="W55" i="13"/>
  <c r="X55" i="13"/>
  <c r="AD55" i="13"/>
  <c r="AA24" i="13"/>
  <c r="AB24" i="13"/>
  <c r="W24" i="13"/>
  <c r="AC24" i="13"/>
  <c r="AD24" i="13"/>
  <c r="V24" i="13"/>
  <c r="AD11" i="13"/>
  <c r="AC11" i="13"/>
  <c r="AB11" i="13"/>
  <c r="Z11" i="13"/>
  <c r="Y11" i="13"/>
  <c r="AA11" i="13"/>
  <c r="W26" i="4"/>
  <c r="AD35" i="13"/>
  <c r="Z35" i="13"/>
  <c r="V29" i="17"/>
  <c r="Y69" i="17"/>
  <c r="AB27" i="18"/>
  <c r="Z27" i="18"/>
  <c r="AA22" i="18"/>
  <c r="X77" i="21"/>
  <c r="V51" i="21"/>
  <c r="W57" i="17"/>
  <c r="AC57" i="17"/>
  <c r="V27" i="17"/>
  <c r="W27" i="17"/>
  <c r="X27" i="17"/>
  <c r="Z27" i="17"/>
  <c r="W34" i="21"/>
  <c r="AA44" i="13"/>
  <c r="Y44" i="13"/>
  <c r="W44" i="13"/>
  <c r="X44" i="13"/>
  <c r="Z44" i="13"/>
  <c r="X29" i="13"/>
  <c r="AC29" i="13"/>
  <c r="Z29" i="13"/>
  <c r="Y29" i="13"/>
  <c r="AD29" i="13"/>
  <c r="AA29" i="13"/>
  <c r="AB19" i="13"/>
  <c r="V19" i="13"/>
  <c r="W19" i="13"/>
  <c r="X19" i="13"/>
  <c r="Y21" i="14"/>
  <c r="AB21" i="14"/>
  <c r="AC21" i="14"/>
  <c r="W21" i="14"/>
  <c r="AD21" i="14"/>
  <c r="AA21" i="14"/>
  <c r="AB69" i="14"/>
  <c r="V69" i="14"/>
  <c r="Y69" i="14"/>
  <c r="X69" i="14"/>
  <c r="W69" i="14"/>
  <c r="Z69" i="14"/>
  <c r="AD69" i="14"/>
  <c r="AA69" i="14"/>
  <c r="V36" i="14"/>
  <c r="AB36" i="14"/>
  <c r="AD36" i="14"/>
  <c r="AA59" i="14"/>
  <c r="AD59" i="14"/>
  <c r="V54" i="14"/>
  <c r="AB54" i="14"/>
  <c r="AD54" i="14"/>
  <c r="Z54" i="14"/>
  <c r="AC15" i="14"/>
  <c r="AD50" i="14"/>
  <c r="Y36" i="22"/>
  <c r="Z23" i="4"/>
  <c r="V23" i="4"/>
  <c r="W23" i="4"/>
  <c r="X23" i="4"/>
  <c r="Y23" i="4"/>
  <c r="V22" i="13"/>
  <c r="W22" i="13"/>
  <c r="AD22" i="13"/>
  <c r="X22" i="13"/>
  <c r="W52" i="15"/>
  <c r="W63" i="4"/>
  <c r="AD12" i="9"/>
  <c r="AA50" i="17"/>
  <c r="W50" i="17"/>
  <c r="X50" i="17"/>
  <c r="AD73" i="16"/>
  <c r="AA18" i="18"/>
  <c r="AC18" i="9"/>
  <c r="AA18" i="9"/>
  <c r="X18" i="9"/>
  <c r="W18" i="9"/>
  <c r="AB18" i="9"/>
  <c r="AF65" i="12"/>
  <c r="AD37" i="16"/>
  <c r="AD81" i="12"/>
  <c r="AB81" i="12"/>
  <c r="Y33" i="3"/>
  <c r="Y20" i="9"/>
  <c r="W20" i="9"/>
  <c r="V20" i="9"/>
  <c r="X20" i="9"/>
  <c r="W32" i="4"/>
  <c r="AA29" i="8"/>
  <c r="V14" i="9"/>
  <c r="X59" i="10"/>
  <c r="AB64" i="13"/>
  <c r="AB64" i="14"/>
  <c r="Z31" i="15"/>
  <c r="V59" i="15"/>
  <c r="X22" i="16"/>
  <c r="AC12" i="16"/>
  <c r="AC25" i="17"/>
  <c r="AB36" i="20"/>
  <c r="X13" i="21"/>
  <c r="W13" i="21"/>
  <c r="V13" i="21"/>
  <c r="Y13" i="21"/>
  <c r="V46" i="21"/>
  <c r="W46" i="21"/>
  <c r="Z46" i="21"/>
  <c r="X46" i="21"/>
  <c r="Y46" i="21"/>
  <c r="AC41" i="15"/>
  <c r="AD41" i="15"/>
  <c r="AA41" i="15"/>
  <c r="X15" i="6"/>
  <c r="Z20" i="9"/>
  <c r="X44" i="10"/>
  <c r="Z38" i="11"/>
  <c r="X20" i="11"/>
  <c r="Y12" i="11"/>
  <c r="AD65" i="13"/>
  <c r="AB18" i="13"/>
  <c r="AC65" i="14"/>
  <c r="W65" i="14"/>
  <c r="Z65" i="14"/>
  <c r="AB81" i="17"/>
  <c r="V25" i="20"/>
  <c r="X28" i="3"/>
  <c r="W32" i="3"/>
  <c r="X45" i="3"/>
  <c r="X51" i="4"/>
  <c r="Z14" i="4"/>
  <c r="V26" i="4"/>
  <c r="W44" i="4"/>
  <c r="Y56" i="4"/>
  <c r="Z18" i="4"/>
  <c r="Y79" i="6"/>
  <c r="AD11" i="6"/>
  <c r="W77" i="6"/>
  <c r="Y50" i="6"/>
  <c r="AA50" i="9"/>
  <c r="AD50" i="9"/>
  <c r="AA37" i="9"/>
  <c r="AB37" i="9"/>
  <c r="Y37" i="9"/>
  <c r="Y53" i="9"/>
  <c r="W13" i="10"/>
  <c r="AA17" i="10"/>
  <c r="W44" i="10"/>
  <c r="Z24" i="11"/>
  <c r="AA24" i="11"/>
  <c r="AD38" i="11"/>
  <c r="AB18" i="12"/>
  <c r="V18" i="12"/>
  <c r="W18" i="12"/>
  <c r="X18" i="12"/>
  <c r="AD18" i="12"/>
  <c r="AC16" i="12"/>
  <c r="AD16" i="12"/>
  <c r="V16" i="12"/>
  <c r="AA16" i="12"/>
  <c r="Z66" i="13"/>
  <c r="AA66" i="13"/>
  <c r="AB66" i="13"/>
  <c r="Y36" i="13"/>
  <c r="AA36" i="13"/>
  <c r="AC36" i="13"/>
  <c r="V29" i="13"/>
  <c r="AA10" i="13"/>
  <c r="X66" i="14"/>
  <c r="V66" i="14"/>
  <c r="Y53" i="14"/>
  <c r="AA33" i="15"/>
  <c r="AA77" i="16"/>
  <c r="X43" i="17"/>
  <c r="AA43" i="17"/>
  <c r="W69" i="17"/>
  <c r="Y49" i="18"/>
  <c r="X22" i="18"/>
  <c r="X25" i="20"/>
  <c r="V53" i="21"/>
  <c r="AA12" i="19"/>
  <c r="AD12" i="19"/>
  <c r="Z12" i="19"/>
  <c r="AC12" i="19"/>
  <c r="W12" i="19"/>
  <c r="AB21" i="19"/>
  <c r="V21" i="19"/>
  <c r="AA21" i="19"/>
  <c r="Z21" i="19"/>
  <c r="AD21" i="19"/>
  <c r="X21" i="19"/>
  <c r="X28" i="19"/>
  <c r="AB28" i="19"/>
  <c r="Y28" i="19"/>
  <c r="V69" i="20"/>
  <c r="Z69" i="20"/>
  <c r="AC19" i="20"/>
  <c r="X73" i="20"/>
  <c r="Y73" i="20"/>
  <c r="X39" i="20"/>
  <c r="V39" i="20"/>
  <c r="AD39" i="20"/>
  <c r="AC72" i="20"/>
  <c r="AD72" i="20"/>
  <c r="AA72" i="20"/>
  <c r="AB72" i="20"/>
  <c r="Z72" i="20"/>
  <c r="AA77" i="20"/>
  <c r="AA47" i="20"/>
  <c r="W47" i="21"/>
  <c r="V61" i="21"/>
  <c r="V22" i="16"/>
  <c r="Z22" i="16"/>
  <c r="AD22" i="16"/>
  <c r="X69" i="3"/>
  <c r="Z69" i="3"/>
  <c r="Y69" i="3"/>
  <c r="Z70" i="15"/>
  <c r="V70" i="15"/>
  <c r="AB70" i="15"/>
  <c r="Y70" i="15"/>
  <c r="X70" i="15"/>
  <c r="AB38" i="15"/>
  <c r="AD38" i="15"/>
  <c r="V38" i="15"/>
  <c r="X38" i="15"/>
  <c r="AA38" i="15"/>
  <c r="X10" i="14"/>
  <c r="Z26" i="4"/>
  <c r="Y26" i="4"/>
  <c r="W36" i="20"/>
  <c r="W15" i="22"/>
  <c r="Y15" i="22"/>
  <c r="V15" i="22"/>
  <c r="X15" i="22"/>
  <c r="Z15" i="22"/>
  <c r="X24" i="19"/>
  <c r="V24" i="19"/>
  <c r="AA24" i="19"/>
  <c r="AB24" i="19"/>
  <c r="AC24" i="19"/>
  <c r="W24" i="19"/>
  <c r="Y24" i="19"/>
  <c r="Z24" i="19"/>
  <c r="Z25" i="19"/>
  <c r="AC25" i="19"/>
  <c r="AD25" i="19"/>
  <c r="AA25" i="19"/>
  <c r="AB25" i="19"/>
  <c r="Y25" i="19"/>
  <c r="AD37" i="20"/>
  <c r="AB13" i="16"/>
  <c r="Y13" i="16"/>
  <c r="AA13" i="16"/>
  <c r="X13" i="16"/>
  <c r="AC13" i="16"/>
  <c r="AD13" i="16"/>
  <c r="V13" i="16"/>
  <c r="W54" i="16"/>
  <c r="AA54" i="16"/>
  <c r="Z54" i="16"/>
  <c r="X54" i="16"/>
  <c r="Y54" i="16"/>
  <c r="AC64" i="16"/>
  <c r="AB64" i="16"/>
  <c r="W72" i="16"/>
  <c r="AA72" i="16"/>
  <c r="AC72" i="16"/>
  <c r="X72" i="16"/>
  <c r="Z61" i="16"/>
  <c r="W61" i="16"/>
  <c r="AC61" i="16"/>
  <c r="V61" i="16"/>
  <c r="X61" i="16"/>
  <c r="X44" i="16"/>
  <c r="Z44" i="16"/>
  <c r="AB44" i="16"/>
  <c r="AD44" i="16"/>
  <c r="V44" i="16"/>
  <c r="AA44" i="16"/>
  <c r="W44" i="16"/>
  <c r="V30" i="16"/>
  <c r="AC30" i="16"/>
  <c r="Y30" i="16"/>
  <c r="AC27" i="16"/>
  <c r="AD27" i="16"/>
  <c r="Z27" i="16"/>
  <c r="AB27" i="16"/>
  <c r="AD72" i="18"/>
  <c r="V52" i="18"/>
  <c r="W52" i="18"/>
  <c r="AD54" i="18"/>
  <c r="W54" i="18"/>
  <c r="X54" i="18"/>
  <c r="Z21" i="18"/>
  <c r="Y21" i="18"/>
  <c r="X70" i="18"/>
  <c r="Y70" i="18"/>
  <c r="Z70" i="18"/>
  <c r="AA70" i="18"/>
  <c r="AB70" i="18"/>
  <c r="AC70" i="18"/>
  <c r="AD70" i="18"/>
  <c r="AC42" i="18"/>
  <c r="X42" i="18"/>
  <c r="Y24" i="18"/>
  <c r="AD24" i="18"/>
  <c r="AB24" i="18"/>
  <c r="AA24" i="18"/>
  <c r="Y72" i="14"/>
  <c r="AD72" i="14"/>
  <c r="V68" i="14"/>
  <c r="W68" i="14"/>
  <c r="AD18" i="14"/>
  <c r="AA18" i="14"/>
  <c r="Y22" i="14"/>
  <c r="X22" i="14"/>
  <c r="Z53" i="9"/>
  <c r="Y21" i="12"/>
  <c r="V21" i="12"/>
  <c r="X21" i="12"/>
  <c r="Z21" i="12"/>
  <c r="AA53" i="9"/>
  <c r="W75" i="4"/>
  <c r="X75" i="4"/>
  <c r="Y75" i="4"/>
  <c r="Z75" i="4"/>
  <c r="AD66" i="9"/>
  <c r="V66" i="9"/>
  <c r="Z30" i="4"/>
  <c r="V30" i="4"/>
  <c r="W30" i="4"/>
  <c r="V49" i="4"/>
  <c r="Y49" i="4"/>
  <c r="AC16" i="15"/>
  <c r="AB16" i="15"/>
  <c r="AB66" i="12"/>
  <c r="Z66" i="12"/>
  <c r="AB57" i="13"/>
  <c r="V46" i="3"/>
  <c r="W46" i="3"/>
  <c r="Y65" i="4"/>
  <c r="Z58" i="12"/>
  <c r="V58" i="12"/>
  <c r="W58" i="12"/>
  <c r="AF58" i="12"/>
  <c r="AA58" i="12"/>
  <c r="AC58" i="12"/>
  <c r="Y64" i="21"/>
  <c r="AB28" i="13"/>
  <c r="Y28" i="13"/>
  <c r="X28" i="13"/>
  <c r="Z47" i="16"/>
  <c r="AA47" i="16"/>
  <c r="AC47" i="16"/>
  <c r="AB47" i="16"/>
  <c r="W47" i="16"/>
  <c r="Z79" i="16"/>
  <c r="X79" i="16"/>
  <c r="AC79" i="16"/>
  <c r="W79" i="16"/>
  <c r="AD79" i="16"/>
  <c r="AA79" i="16"/>
  <c r="AB79" i="16"/>
  <c r="AB36" i="18"/>
  <c r="X36" i="18"/>
  <c r="AA36" i="18"/>
  <c r="V36" i="18"/>
  <c r="W36" i="18"/>
  <c r="Y36" i="18"/>
  <c r="Z36" i="18"/>
  <c r="AC36" i="18"/>
  <c r="AD36" i="18"/>
  <c r="AB55" i="18"/>
  <c r="AA55" i="18"/>
  <c r="X55" i="18"/>
  <c r="Y55" i="18"/>
  <c r="AD55" i="18"/>
  <c r="Y52" i="4"/>
  <c r="Y59" i="9"/>
  <c r="V68" i="11"/>
  <c r="AD70" i="14"/>
  <c r="Z41" i="4"/>
  <c r="X46" i="3"/>
  <c r="V52" i="4"/>
  <c r="AC25" i="9"/>
  <c r="AD25" i="9"/>
  <c r="V25" i="9"/>
  <c r="W25" i="9"/>
  <c r="X25" i="9"/>
  <c r="AA40" i="14"/>
  <c r="AC70" i="14"/>
  <c r="Z30" i="20"/>
  <c r="X80" i="21"/>
  <c r="AB42" i="17"/>
  <c r="AD42" i="17"/>
  <c r="Y42" i="17"/>
  <c r="Z42" i="17"/>
  <c r="X42" i="17"/>
  <c r="Y30" i="3"/>
  <c r="Z30" i="3"/>
  <c r="Z53" i="10"/>
  <c r="W53" i="10"/>
  <c r="AA53" i="10"/>
  <c r="AB53" i="10"/>
  <c r="Y63" i="10"/>
  <c r="Z63" i="10"/>
  <c r="AA63" i="10"/>
  <c r="AD63" i="10"/>
  <c r="W19" i="10"/>
  <c r="Y19" i="10"/>
  <c r="AB51" i="14"/>
  <c r="Y44" i="4"/>
  <c r="AC41" i="6"/>
  <c r="AA56" i="6"/>
  <c r="AC41" i="9"/>
  <c r="AB41" i="9"/>
  <c r="AA20" i="9"/>
  <c r="V63" i="10"/>
  <c r="Y44" i="10"/>
  <c r="V12" i="11"/>
  <c r="AC12" i="11"/>
  <c r="AD12" i="11"/>
  <c r="W12" i="11"/>
  <c r="AA43" i="11"/>
  <c r="AC70" i="12"/>
  <c r="AD80" i="13"/>
  <c r="Z33" i="14"/>
  <c r="W74" i="15"/>
  <c r="AB74" i="15"/>
  <c r="Z74" i="15"/>
  <c r="AC74" i="15"/>
  <c r="AD80" i="17"/>
  <c r="Z69" i="17"/>
  <c r="AB22" i="18"/>
  <c r="X26" i="20"/>
  <c r="W25" i="20"/>
  <c r="AD60" i="17"/>
  <c r="AA60" i="17"/>
  <c r="Z60" i="17"/>
  <c r="X60" i="17"/>
  <c r="W21" i="17"/>
  <c r="AD21" i="17"/>
  <c r="X59" i="21"/>
  <c r="V59" i="21"/>
  <c r="W59" i="21"/>
  <c r="AA53" i="13"/>
  <c r="X53" i="13"/>
  <c r="X69" i="15"/>
  <c r="AA69" i="15"/>
  <c r="W69" i="15"/>
  <c r="AB69" i="15"/>
  <c r="AB58" i="15"/>
  <c r="V45" i="3"/>
  <c r="Y51" i="4"/>
  <c r="X44" i="4"/>
  <c r="Z60" i="6"/>
  <c r="AA45" i="6"/>
  <c r="Z28" i="6"/>
  <c r="Y28" i="3"/>
  <c r="W51" i="4"/>
  <c r="W18" i="4"/>
  <c r="W49" i="4"/>
  <c r="Z44" i="4"/>
  <c r="W56" i="4"/>
  <c r="Y18" i="4"/>
  <c r="AD83" i="6"/>
  <c r="W52" i="6"/>
  <c r="Z83" i="6"/>
  <c r="Z27" i="6"/>
  <c r="Z15" i="6"/>
  <c r="Z78" i="6"/>
  <c r="Z73" i="8"/>
  <c r="AD58" i="8"/>
  <c r="AD12" i="8"/>
  <c r="AA61" i="9"/>
  <c r="Z12" i="9"/>
  <c r="W85" i="10"/>
  <c r="X84" i="10"/>
  <c r="Z18" i="11"/>
  <c r="AB18" i="11"/>
  <c r="V25" i="11"/>
  <c r="W25" i="11"/>
  <c r="AC38" i="11"/>
  <c r="AB12" i="11"/>
  <c r="AB19" i="12"/>
  <c r="AC19" i="12"/>
  <c r="AD19" i="12"/>
  <c r="V19" i="12"/>
  <c r="AA11" i="12"/>
  <c r="V11" i="12"/>
  <c r="W11" i="12"/>
  <c r="W13" i="12"/>
  <c r="AA19" i="12"/>
  <c r="AA57" i="13"/>
  <c r="AA72" i="15"/>
  <c r="AB72" i="15"/>
  <c r="AC72" i="15"/>
  <c r="AD72" i="15"/>
  <c r="Y72" i="15"/>
  <c r="AD16" i="15"/>
  <c r="AA26" i="16"/>
  <c r="AD17" i="17"/>
  <c r="V42" i="17"/>
  <c r="Z45" i="17"/>
  <c r="V69" i="17"/>
  <c r="X66" i="3"/>
  <c r="Y32" i="3"/>
  <c r="V56" i="4"/>
  <c r="X25" i="4"/>
  <c r="AD66" i="6"/>
  <c r="Z77" i="8"/>
  <c r="V52" i="9"/>
  <c r="AD52" i="9"/>
  <c r="X52" i="9"/>
  <c r="AB50" i="9"/>
  <c r="AC50" i="9"/>
  <c r="V26" i="9"/>
  <c r="AB12" i="9"/>
  <c r="AA19" i="11"/>
  <c r="AD19" i="11"/>
  <c r="AC19" i="11"/>
  <c r="W19" i="11"/>
  <c r="AB19" i="11"/>
  <c r="AA26" i="11"/>
  <c r="AD26" i="11"/>
  <c r="Z11" i="11"/>
  <c r="AB38" i="11"/>
  <c r="AB64" i="11"/>
  <c r="Z19" i="12"/>
  <c r="AC64" i="12"/>
  <c r="AA68" i="13"/>
  <c r="W68" i="13"/>
  <c r="X68" i="13"/>
  <c r="Z68" i="13"/>
  <c r="V68" i="13"/>
  <c r="AB37" i="13"/>
  <c r="W29" i="13"/>
  <c r="AB41" i="13"/>
  <c r="W35" i="15"/>
  <c r="Y77" i="17"/>
  <c r="Y45" i="17"/>
  <c r="AA42" i="17"/>
  <c r="X38" i="18"/>
  <c r="Z79" i="20"/>
  <c r="V36" i="20"/>
  <c r="V13" i="22"/>
  <c r="W13" i="22"/>
  <c r="X13" i="22"/>
  <c r="Y13" i="22"/>
  <c r="Z13" i="22"/>
  <c r="W59" i="19"/>
  <c r="AC81" i="16"/>
  <c r="AD81" i="16"/>
  <c r="Z81" i="16"/>
  <c r="Y81" i="16"/>
  <c r="AB81" i="16"/>
  <c r="AB45" i="16"/>
  <c r="W45" i="16"/>
  <c r="V45" i="16"/>
  <c r="Y45" i="16"/>
  <c r="AC45" i="16"/>
  <c r="Z45" i="16"/>
  <c r="X63" i="16"/>
  <c r="V63" i="16"/>
  <c r="W63" i="16"/>
  <c r="Y63" i="16"/>
  <c r="AD63" i="16"/>
  <c r="AA63" i="16"/>
  <c r="AB63" i="16"/>
  <c r="W70" i="16"/>
  <c r="X70" i="16"/>
  <c r="AC70" i="16"/>
  <c r="Y70" i="16"/>
  <c r="AB59" i="16"/>
  <c r="AC59" i="16"/>
  <c r="AC41" i="16"/>
  <c r="AD41" i="16"/>
  <c r="AA41" i="16"/>
  <c r="AB41" i="16"/>
  <c r="Z28" i="16"/>
  <c r="Y28" i="16"/>
  <c r="V28" i="16"/>
  <c r="Y62" i="8"/>
  <c r="Y57" i="9"/>
  <c r="AA57" i="9"/>
  <c r="AA51" i="14"/>
  <c r="X34" i="14"/>
  <c r="V67" i="14"/>
  <c r="AB34" i="15"/>
  <c r="AD34" i="15"/>
  <c r="Z47" i="15"/>
  <c r="AC32" i="15"/>
  <c r="V57" i="15"/>
  <c r="AB69" i="17"/>
  <c r="V40" i="17"/>
  <c r="AD48" i="18"/>
  <c r="V57" i="22"/>
  <c r="AD43" i="17"/>
  <c r="Z74" i="21"/>
  <c r="V40" i="21"/>
  <c r="AD51" i="16"/>
  <c r="AC51" i="16"/>
  <c r="Y51" i="16"/>
  <c r="AA51" i="16"/>
  <c r="Z43" i="16"/>
  <c r="W43" i="16"/>
  <c r="X43" i="16"/>
  <c r="AB68" i="16"/>
  <c r="V68" i="16"/>
  <c r="W68" i="16"/>
  <c r="Y25" i="16"/>
  <c r="V25" i="16"/>
  <c r="AC25" i="16"/>
  <c r="AD25" i="16"/>
  <c r="AA25" i="16"/>
  <c r="AB25" i="16"/>
  <c r="Z25" i="16"/>
  <c r="AA24" i="16"/>
  <c r="AB24" i="16"/>
  <c r="AC24" i="16"/>
  <c r="Y24" i="16"/>
  <c r="Z24" i="16"/>
  <c r="W14" i="11"/>
  <c r="AC14" i="11"/>
  <c r="AD14" i="11"/>
  <c r="AA43" i="16"/>
  <c r="W47" i="18"/>
  <c r="X27" i="18"/>
  <c r="W27" i="18"/>
  <c r="AD27" i="18"/>
  <c r="Z69" i="18"/>
  <c r="AA69" i="18"/>
  <c r="AB69" i="18"/>
  <c r="AC56" i="18"/>
  <c r="V34" i="18"/>
  <c r="V14" i="11"/>
  <c r="AC64" i="14"/>
  <c r="AD64" i="14"/>
  <c r="V24" i="4"/>
  <c r="W24" i="4"/>
  <c r="AB20" i="8"/>
  <c r="AA10" i="8"/>
  <c r="AC28" i="8"/>
  <c r="AB79" i="8"/>
  <c r="V80" i="9"/>
  <c r="AB80" i="9"/>
  <c r="AD68" i="13"/>
  <c r="V17" i="14"/>
  <c r="AD52" i="15"/>
  <c r="AA54" i="20"/>
  <c r="Y54" i="20"/>
  <c r="AD54" i="20"/>
  <c r="AB54" i="20"/>
  <c r="AD75" i="20"/>
  <c r="AB75" i="20"/>
  <c r="V75" i="20"/>
  <c r="Z75" i="20"/>
  <c r="W75" i="20"/>
  <c r="X46" i="20"/>
  <c r="Y46" i="20"/>
  <c r="AB46" i="20"/>
  <c r="AA46" i="20"/>
  <c r="X60" i="20"/>
  <c r="AD27" i="17"/>
  <c r="AB27" i="17"/>
  <c r="AD53" i="16"/>
  <c r="Z53" i="16"/>
  <c r="X53" i="16"/>
  <c r="Y56" i="16"/>
  <c r="AD56" i="16"/>
  <c r="Z56" i="16"/>
  <c r="X40" i="16"/>
  <c r="AA40" i="16"/>
  <c r="AB40" i="16"/>
  <c r="AC40" i="16"/>
  <c r="V40" i="16"/>
  <c r="AD40" i="16"/>
  <c r="W40" i="16"/>
  <c r="Z48" i="16"/>
  <c r="V48" i="16"/>
  <c r="W48" i="16"/>
  <c r="AB48" i="16"/>
  <c r="AA48" i="16"/>
  <c r="AC48" i="16"/>
  <c r="AD31" i="16"/>
  <c r="AC31" i="16"/>
  <c r="Z31" i="16"/>
  <c r="AB76" i="13"/>
  <c r="AD76" i="13"/>
  <c r="V45" i="10"/>
  <c r="AC45" i="10"/>
  <c r="AD45" i="10"/>
  <c r="Z59" i="10"/>
  <c r="X55" i="10"/>
  <c r="W34" i="10"/>
  <c r="V34" i="10"/>
  <c r="W77" i="10"/>
  <c r="AC77" i="10"/>
  <c r="Y77" i="10"/>
  <c r="AC67" i="10"/>
  <c r="V67" i="10"/>
  <c r="Z67" i="10"/>
  <c r="AD43" i="8"/>
  <c r="W39" i="11"/>
  <c r="Y39" i="11"/>
  <c r="AB32" i="13"/>
  <c r="AA32" i="13"/>
  <c r="Z32" i="13"/>
  <c r="X18" i="14"/>
  <c r="Z74" i="14"/>
  <c r="AB64" i="15"/>
  <c r="AB48" i="19"/>
  <c r="Y70" i="20"/>
  <c r="AD70" i="20"/>
  <c r="W70" i="20"/>
  <c r="X70" i="20"/>
  <c r="AC70" i="20"/>
  <c r="V81" i="20"/>
  <c r="AD81" i="20"/>
  <c r="AC44" i="20"/>
  <c r="X44" i="20"/>
  <c r="AB44" i="20"/>
  <c r="AB57" i="20"/>
  <c r="AA57" i="20"/>
  <c r="Z57" i="20"/>
  <c r="X57" i="20"/>
  <c r="V57" i="20"/>
  <c r="AD22" i="17"/>
  <c r="Y22" i="17"/>
  <c r="V22" i="17"/>
  <c r="AB22" i="17"/>
  <c r="Z22" i="17"/>
  <c r="W22" i="17"/>
  <c r="X22" i="17"/>
  <c r="V23" i="17"/>
  <c r="Z23" i="17"/>
  <c r="X23" i="17"/>
  <c r="AD23" i="17"/>
  <c r="AD76" i="16"/>
  <c r="W76" i="16"/>
  <c r="X76" i="16"/>
  <c r="AA76" i="16"/>
  <c r="AC37" i="16"/>
  <c r="V51" i="16"/>
  <c r="V81" i="3"/>
  <c r="W81" i="3"/>
  <c r="Z81" i="3"/>
  <c r="V52" i="14"/>
  <c r="AB52" i="14"/>
  <c r="W52" i="14"/>
  <c r="X52" i="14"/>
  <c r="Y52" i="14"/>
  <c r="X52" i="22"/>
  <c r="Z17" i="8"/>
  <c r="AB42" i="8"/>
  <c r="AA40" i="11"/>
  <c r="V40" i="11"/>
  <c r="W34" i="11"/>
  <c r="Z33" i="13"/>
  <c r="V21" i="15"/>
  <c r="V18" i="15"/>
  <c r="X19" i="15"/>
  <c r="Y27" i="17"/>
  <c r="V49" i="19"/>
  <c r="Z26" i="21"/>
  <c r="X57" i="22"/>
  <c r="W57" i="22"/>
  <c r="Y57" i="22"/>
  <c r="W31" i="22"/>
  <c r="V31" i="22"/>
  <c r="Y31" i="22"/>
  <c r="W54" i="17"/>
  <c r="Y54" i="17"/>
  <c r="Z54" i="17"/>
  <c r="Z59" i="20"/>
  <c r="AB59" i="20"/>
  <c r="AC59" i="20"/>
  <c r="W59" i="20"/>
  <c r="AD59" i="20"/>
  <c r="Y59" i="20"/>
  <c r="Y68" i="20"/>
  <c r="Z68" i="20"/>
  <c r="W68" i="20"/>
  <c r="V71" i="20"/>
  <c r="AA71" i="20"/>
  <c r="X63" i="20"/>
  <c r="AC63" i="20"/>
  <c r="AB76" i="16"/>
  <c r="W63" i="3"/>
  <c r="X63" i="3"/>
  <c r="V63" i="3"/>
  <c r="Z63" i="3"/>
  <c r="Y63" i="3"/>
  <c r="AB58" i="14"/>
  <c r="AB41" i="14"/>
  <c r="Y41" i="14"/>
  <c r="AC41" i="14"/>
  <c r="AD41" i="14"/>
  <c r="AA75" i="14"/>
  <c r="AC75" i="14"/>
  <c r="X75" i="14"/>
  <c r="AD75" i="14"/>
  <c r="W38" i="14"/>
  <c r="Y38" i="14"/>
  <c r="AC38" i="14"/>
  <c r="AD38" i="14"/>
  <c r="X38" i="14"/>
  <c r="V37" i="15"/>
  <c r="AB83" i="9"/>
  <c r="Y83" i="9"/>
  <c r="AB41" i="11"/>
  <c r="AD41" i="11"/>
  <c r="AA41" i="11"/>
  <c r="Z41" i="11"/>
  <c r="AD20" i="14"/>
  <c r="AC32" i="17"/>
  <c r="AB42" i="18"/>
  <c r="Y54" i="22"/>
  <c r="W54" i="22"/>
  <c r="V26" i="22"/>
  <c r="Y26" i="22"/>
  <c r="W26" i="22"/>
  <c r="Z26" i="22"/>
  <c r="Y68" i="19"/>
  <c r="X68" i="19"/>
  <c r="AD23" i="19"/>
  <c r="AB23" i="19"/>
  <c r="Y23" i="19"/>
  <c r="V23" i="19"/>
  <c r="X23" i="19"/>
  <c r="X14" i="21"/>
  <c r="AB39" i="18"/>
  <c r="V60" i="3"/>
  <c r="W60" i="3"/>
  <c r="X60" i="3"/>
  <c r="Y60" i="3"/>
  <c r="V75" i="3"/>
  <c r="W75" i="3"/>
  <c r="X75" i="3"/>
  <c r="Z75" i="3"/>
  <c r="Y75" i="3"/>
  <c r="AC27" i="8"/>
  <c r="AB35" i="11"/>
  <c r="Z35" i="11"/>
  <c r="AB75" i="14"/>
  <c r="AC51" i="19"/>
  <c r="V38" i="21"/>
  <c r="W38" i="21"/>
  <c r="X38" i="21"/>
  <c r="Y38" i="21"/>
  <c r="W56" i="21"/>
  <c r="Y56" i="21"/>
  <c r="Y15" i="21"/>
  <c r="Z15" i="21"/>
  <c r="Z24" i="21"/>
  <c r="V24" i="21"/>
  <c r="W24" i="21"/>
  <c r="V10" i="21"/>
  <c r="Z10" i="21"/>
  <c r="W10" i="21"/>
  <c r="Y10" i="21"/>
  <c r="V76" i="21"/>
  <c r="W76" i="21"/>
  <c r="X19" i="21"/>
  <c r="W19" i="21"/>
  <c r="V22" i="3"/>
  <c r="Y22" i="3"/>
  <c r="X22" i="3"/>
  <c r="Z22" i="3"/>
  <c r="W22" i="3"/>
  <c r="X59" i="3"/>
  <c r="AB36" i="13"/>
  <c r="AB68" i="15"/>
  <c r="V20" i="17"/>
  <c r="X43" i="18"/>
  <c r="AB52" i="19"/>
  <c r="Z52" i="19"/>
  <c r="V52" i="19"/>
  <c r="AB70" i="20"/>
  <c r="W44" i="20"/>
  <c r="V21" i="22"/>
  <c r="X21" i="22"/>
  <c r="Z51" i="21"/>
  <c r="W51" i="21"/>
  <c r="V22" i="21"/>
  <c r="W22" i="21"/>
  <c r="Z22" i="21"/>
  <c r="W37" i="21"/>
  <c r="X37" i="21"/>
  <c r="Z63" i="16"/>
  <c r="AA55" i="11"/>
  <c r="AB50" i="12"/>
  <c r="AC24" i="15"/>
  <c r="V34" i="15"/>
  <c r="AB56" i="16"/>
  <c r="X21" i="17"/>
  <c r="W43" i="18"/>
  <c r="AD71" i="20"/>
  <c r="AB79" i="20"/>
  <c r="Y67" i="21"/>
  <c r="X23" i="22"/>
  <c r="V47" i="22"/>
  <c r="Y47" i="22"/>
  <c r="Z47" i="22"/>
  <c r="X47" i="22"/>
  <c r="Y16" i="22"/>
  <c r="V16" i="22"/>
  <c r="Y57" i="17"/>
  <c r="V57" i="17"/>
  <c r="AA57" i="17"/>
  <c r="W16" i="17"/>
  <c r="Z16" i="17"/>
  <c r="Y69" i="21"/>
  <c r="W69" i="21"/>
  <c r="Z43" i="21"/>
  <c r="W43" i="21"/>
  <c r="X43" i="21"/>
  <c r="V43" i="21"/>
  <c r="Z65" i="16"/>
  <c r="V39" i="16"/>
  <c r="AB39" i="16"/>
  <c r="Z39" i="16"/>
  <c r="AD39" i="16"/>
  <c r="AA39" i="16"/>
  <c r="X35" i="16"/>
  <c r="AB35" i="16"/>
  <c r="Y35" i="16"/>
  <c r="AA35" i="16"/>
  <c r="AB69" i="16"/>
  <c r="V69" i="16"/>
  <c r="W69" i="16"/>
  <c r="AA69" i="16"/>
  <c r="X69" i="16"/>
  <c r="Z69" i="16"/>
  <c r="W28" i="3"/>
  <c r="Y55" i="11"/>
  <c r="Z51" i="12"/>
  <c r="W48" i="13"/>
  <c r="X18" i="13"/>
  <c r="AC19" i="16"/>
  <c r="AC43" i="18"/>
  <c r="AC60" i="20"/>
  <c r="AD43" i="20"/>
  <c r="W43" i="20"/>
  <c r="X43" i="20"/>
  <c r="Y43" i="20"/>
  <c r="Z43" i="20"/>
  <c r="AA43" i="20"/>
  <c r="AB43" i="20"/>
  <c r="AC43" i="20"/>
  <c r="V49" i="20"/>
  <c r="X49" i="20"/>
  <c r="W49" i="20"/>
  <c r="AD49" i="20"/>
  <c r="AC49" i="20"/>
  <c r="Y49" i="20"/>
  <c r="AA49" i="20"/>
  <c r="W52" i="20"/>
  <c r="X52" i="20"/>
  <c r="AB52" i="20"/>
  <c r="AC52" i="20"/>
  <c r="V79" i="20"/>
  <c r="X69" i="20"/>
  <c r="AC69" i="20"/>
  <c r="V33" i="20"/>
  <c r="Y33" i="20"/>
  <c r="AC33" i="20"/>
  <c r="AB33" i="20"/>
  <c r="W58" i="21"/>
  <c r="V58" i="21"/>
  <c r="X58" i="21"/>
  <c r="Z25" i="21"/>
  <c r="X25" i="21"/>
  <c r="V25" i="21"/>
  <c r="V81" i="21"/>
  <c r="Y81" i="21"/>
  <c r="Z81" i="21"/>
  <c r="X44" i="21"/>
  <c r="AB21" i="13"/>
  <c r="AA21" i="13"/>
  <c r="V21" i="13"/>
  <c r="AA62" i="16"/>
  <c r="Y62" i="16"/>
  <c r="Z62" i="16"/>
  <c r="W32" i="16"/>
  <c r="X32" i="16"/>
  <c r="Y32" i="16"/>
  <c r="AB32" i="16"/>
  <c r="AA32" i="16"/>
  <c r="AC32" i="16"/>
  <c r="AD23" i="16"/>
  <c r="AB23" i="16"/>
  <c r="X23" i="16"/>
  <c r="Y10" i="3"/>
  <c r="Z10" i="3"/>
  <c r="AC80" i="9"/>
  <c r="AC41" i="11"/>
  <c r="AB52" i="12"/>
  <c r="W52" i="12"/>
  <c r="X52" i="12"/>
  <c r="AD52" i="12"/>
  <c r="X16" i="13"/>
  <c r="Z15" i="15"/>
  <c r="X20" i="16"/>
  <c r="W33" i="17"/>
  <c r="W40" i="17"/>
  <c r="AB43" i="18"/>
  <c r="AB49" i="20"/>
  <c r="W79" i="20"/>
  <c r="AC75" i="20"/>
  <c r="W45" i="20"/>
  <c r="AB64" i="20"/>
  <c r="AC64" i="20"/>
  <c r="Z64" i="20"/>
  <c r="Y64" i="20"/>
  <c r="X24" i="20"/>
  <c r="AD24" i="20"/>
  <c r="AB24" i="20"/>
  <c r="V24" i="20"/>
  <c r="AA50" i="20"/>
  <c r="AC22" i="20"/>
  <c r="Z22" i="20"/>
  <c r="W22" i="20"/>
  <c r="AA22" i="20"/>
  <c r="V22" i="20"/>
  <c r="Y22" i="20"/>
  <c r="AD38" i="20"/>
  <c r="Z77" i="21"/>
  <c r="V77" i="21"/>
  <c r="Y77" i="21"/>
  <c r="Z65" i="21"/>
  <c r="Y65" i="21"/>
  <c r="W65" i="16"/>
  <c r="AD65" i="16"/>
  <c r="AB65" i="16"/>
  <c r="Z11" i="16"/>
  <c r="AC11" i="16"/>
  <c r="AA11" i="16"/>
  <c r="AB11" i="16"/>
  <c r="AC60" i="16"/>
  <c r="AB60" i="16"/>
  <c r="X60" i="16"/>
  <c r="AD60" i="16"/>
  <c r="Z60" i="16"/>
  <c r="W30" i="16"/>
  <c r="AA30" i="16"/>
  <c r="AD30" i="16"/>
  <c r="AB38" i="16"/>
  <c r="AC38" i="16"/>
  <c r="Z38" i="16"/>
  <c r="X38" i="16"/>
  <c r="Y38" i="16"/>
  <c r="X64" i="20"/>
  <c r="W50" i="3"/>
  <c r="Z50" i="3"/>
  <c r="X50" i="3"/>
  <c r="W81" i="13"/>
  <c r="AC68" i="14"/>
  <c r="V49" i="14"/>
  <c r="AA24" i="14"/>
  <c r="AB65" i="15"/>
  <c r="Z29" i="16"/>
  <c r="W52" i="17"/>
  <c r="X20" i="18"/>
  <c r="X64" i="18"/>
  <c r="AD57" i="18"/>
  <c r="AA21" i="18"/>
  <c r="AA61" i="20"/>
  <c r="AC62" i="20"/>
  <c r="V47" i="20"/>
  <c r="W47" i="20"/>
  <c r="X47" i="20"/>
  <c r="Y47" i="20"/>
  <c r="AB47" i="20"/>
  <c r="W61" i="21"/>
  <c r="X61" i="21"/>
  <c r="V74" i="21"/>
  <c r="W74" i="21"/>
  <c r="Y74" i="21"/>
  <c r="X74" i="21"/>
  <c r="X50" i="14"/>
  <c r="Z32" i="14"/>
  <c r="AA15" i="14"/>
  <c r="V25" i="14"/>
  <c r="V66" i="15"/>
  <c r="Y74" i="15"/>
  <c r="V18" i="16"/>
  <c r="AC21" i="18"/>
  <c r="AA65" i="18"/>
  <c r="W65" i="19"/>
  <c r="X10" i="19"/>
  <c r="W10" i="19"/>
  <c r="AD10" i="19"/>
  <c r="AC19" i="19"/>
  <c r="W19" i="19"/>
  <c r="Y39" i="20"/>
  <c r="X27" i="20"/>
  <c r="Y18" i="20"/>
  <c r="Z58" i="17"/>
  <c r="Y58" i="17"/>
  <c r="V58" i="17"/>
  <c r="W44" i="17"/>
  <c r="Y44" i="17"/>
  <c r="X44" i="17"/>
  <c r="Z44" i="17"/>
  <c r="V79" i="21"/>
  <c r="Y79" i="21"/>
  <c r="X79" i="21"/>
  <c r="W79" i="21"/>
  <c r="Z56" i="21"/>
  <c r="AB72" i="16"/>
  <c r="AC34" i="18"/>
  <c r="AD34" i="18"/>
  <c r="AD22" i="15"/>
  <c r="V50" i="18"/>
  <c r="AD35" i="18"/>
  <c r="V62" i="20"/>
  <c r="W62" i="20"/>
  <c r="V45" i="20"/>
  <c r="Z45" i="20"/>
  <c r="AC45" i="20"/>
  <c r="AD45" i="20"/>
  <c r="Y45" i="20"/>
  <c r="AB45" i="20"/>
  <c r="AB40" i="20"/>
  <c r="AC40" i="20"/>
  <c r="V78" i="21"/>
  <c r="Y78" i="21"/>
  <c r="W60" i="21"/>
  <c r="V20" i="21"/>
  <c r="W20" i="21"/>
  <c r="AD10" i="17"/>
  <c r="V67" i="18"/>
  <c r="AB38" i="14"/>
  <c r="W72" i="14"/>
  <c r="X36" i="14"/>
  <c r="AA22" i="14"/>
  <c r="AA57" i="15"/>
  <c r="X76" i="15"/>
  <c r="AC27" i="11"/>
  <c r="X32" i="12"/>
  <c r="Y24" i="12"/>
  <c r="W20" i="13"/>
  <c r="V66" i="13"/>
  <c r="AB12" i="15"/>
  <c r="AD67" i="17"/>
  <c r="Z51" i="18"/>
  <c r="AB68" i="20"/>
  <c r="AD68" i="20"/>
  <c r="AA68" i="20"/>
  <c r="AA63" i="20"/>
  <c r="Z75" i="21"/>
  <c r="Y41" i="21"/>
  <c r="V33" i="21"/>
  <c r="W33" i="21"/>
  <c r="Z33" i="21"/>
  <c r="X48" i="21"/>
  <c r="Y48" i="21"/>
  <c r="V57" i="21"/>
  <c r="W57" i="21"/>
  <c r="X57" i="21"/>
  <c r="Y57" i="21"/>
  <c r="AD28" i="8"/>
  <c r="Z16" i="8"/>
  <c r="X11" i="9"/>
  <c r="V41" i="12"/>
  <c r="W21" i="13"/>
  <c r="V67" i="13"/>
  <c r="W28" i="15"/>
  <c r="AB29" i="16"/>
  <c r="W43" i="17"/>
  <c r="AA52" i="18"/>
  <c r="X68" i="20"/>
  <c r="X37" i="20"/>
  <c r="Y23" i="21"/>
  <c r="X50" i="16"/>
  <c r="AC27" i="18"/>
  <c r="Y27" i="18"/>
  <c r="AA27" i="18"/>
  <c r="AC57" i="14"/>
  <c r="X24" i="15"/>
  <c r="W31" i="18"/>
  <c r="AA34" i="19"/>
  <c r="V75" i="22"/>
  <c r="X75" i="22"/>
  <c r="Z75" i="22"/>
  <c r="W27" i="20"/>
  <c r="Z14" i="21"/>
  <c r="V56" i="21"/>
  <c r="Z27" i="13"/>
  <c r="Z22" i="18"/>
  <c r="Y22" i="18"/>
  <c r="V41" i="17"/>
  <c r="AD38" i="10"/>
  <c r="AC11" i="10"/>
  <c r="V50" i="10"/>
  <c r="V58" i="14"/>
  <c r="AA25" i="15"/>
  <c r="AB64" i="18"/>
  <c r="Z32" i="18"/>
  <c r="AC35" i="19"/>
  <c r="Y35" i="19"/>
  <c r="X43" i="22"/>
  <c r="Z43" i="22"/>
  <c r="AA20" i="20"/>
  <c r="W10" i="17"/>
  <c r="AA10" i="17"/>
  <c r="V10" i="17"/>
  <c r="AB10" i="17"/>
  <c r="Y10" i="17"/>
  <c r="Z10" i="17"/>
  <c r="AC10" i="17"/>
  <c r="Z32" i="21"/>
  <c r="X32" i="21"/>
  <c r="V40" i="18"/>
  <c r="Y40" i="18"/>
  <c r="AA26" i="10"/>
  <c r="AA35" i="14"/>
  <c r="Z59" i="14"/>
  <c r="V65" i="18"/>
  <c r="V33" i="18"/>
  <c r="X10" i="18"/>
  <c r="Y41" i="22"/>
  <c r="W41" i="22"/>
  <c r="Z41" i="22"/>
  <c r="AD28" i="19"/>
  <c r="AC28" i="19"/>
  <c r="AA27" i="20"/>
  <c r="Y27" i="20"/>
  <c r="V27" i="20"/>
  <c r="AD27" i="20"/>
  <c r="Z43" i="17"/>
  <c r="V43" i="17"/>
  <c r="Z16" i="21"/>
  <c r="Z52" i="21"/>
  <c r="V52" i="21"/>
  <c r="W52" i="21"/>
  <c r="W67" i="21"/>
  <c r="V26" i="21"/>
  <c r="Y26" i="21"/>
  <c r="AC53" i="16"/>
  <c r="AA10" i="16"/>
  <c r="W41" i="16"/>
  <c r="V41" i="16"/>
  <c r="Z41" i="16"/>
  <c r="Y24" i="13"/>
  <c r="Z24" i="13"/>
  <c r="V84" i="10"/>
  <c r="AB65" i="10"/>
  <c r="V65" i="10"/>
  <c r="W65" i="10"/>
  <c r="Z27" i="8"/>
  <c r="Z12" i="8"/>
  <c r="X35" i="13"/>
  <c r="W36" i="14"/>
  <c r="V27" i="15"/>
  <c r="AD29" i="16"/>
  <c r="AA34" i="18"/>
  <c r="AB11" i="18"/>
  <c r="V68" i="20"/>
  <c r="AA45" i="20"/>
  <c r="AD62" i="20"/>
  <c r="Z30" i="21"/>
  <c r="Z47" i="21"/>
  <c r="X47" i="21"/>
  <c r="W75" i="22"/>
  <c r="AD55" i="19"/>
  <c r="V55" i="19"/>
  <c r="X25" i="19"/>
  <c r="Z12" i="17"/>
  <c r="W12" i="17"/>
  <c r="X12" i="17"/>
  <c r="AC81" i="20"/>
  <c r="W81" i="20"/>
  <c r="X81" i="20"/>
  <c r="Z81" i="20"/>
  <c r="AB81" i="20"/>
  <c r="AA81" i="20"/>
  <c r="Y81" i="20"/>
  <c r="V32" i="20"/>
  <c r="Y32" i="20"/>
  <c r="Z32" i="20"/>
  <c r="AA32" i="20"/>
  <c r="AB32" i="20"/>
  <c r="AD32" i="20"/>
  <c r="Z44" i="20"/>
  <c r="Z70" i="20"/>
  <c r="X65" i="21"/>
  <c r="X78" i="16"/>
  <c r="V78" i="16"/>
  <c r="W78" i="16"/>
  <c r="Y78" i="16"/>
  <c r="V79" i="16"/>
  <c r="AA56" i="18"/>
  <c r="V56" i="18"/>
  <c r="X56" i="18"/>
  <c r="W56" i="18"/>
  <c r="Z56" i="18"/>
  <c r="AD56" i="18"/>
  <c r="AB56" i="18"/>
  <c r="AA10" i="18"/>
  <c r="Z79" i="3"/>
  <c r="X79" i="3"/>
  <c r="V79" i="3"/>
  <c r="Y79" i="3"/>
  <c r="W79" i="3"/>
  <c r="AD43" i="11"/>
  <c r="AD36" i="11"/>
  <c r="AD36" i="13"/>
  <c r="AD81" i="13"/>
  <c r="AA67" i="18"/>
  <c r="Y35" i="18"/>
  <c r="Z10" i="19"/>
  <c r="W61" i="20"/>
  <c r="Z39" i="20"/>
  <c r="X20" i="21"/>
  <c r="Z36" i="22"/>
  <c r="W58" i="19"/>
  <c r="Z58" i="19"/>
  <c r="V58" i="19"/>
  <c r="AB37" i="20"/>
  <c r="W37" i="20"/>
  <c r="X50" i="20"/>
  <c r="Y12" i="17"/>
  <c r="X17" i="21"/>
  <c r="Y17" i="21"/>
  <c r="Z17" i="21"/>
  <c r="Y58" i="21"/>
  <c r="V64" i="16"/>
  <c r="AA28" i="16"/>
  <c r="V75" i="18"/>
  <c r="Z75" i="18"/>
  <c r="AA27" i="13"/>
  <c r="X56" i="7"/>
  <c r="AA77" i="8"/>
  <c r="W15" i="8"/>
  <c r="Y30" i="8"/>
  <c r="W67" i="13"/>
  <c r="Z72" i="14"/>
  <c r="X72" i="14"/>
  <c r="Z79" i="15"/>
  <c r="V44" i="15"/>
  <c r="Y16" i="17"/>
  <c r="AA10" i="19"/>
  <c r="Y62" i="20"/>
  <c r="AB62" i="20"/>
  <c r="Z20" i="21"/>
  <c r="W75" i="21"/>
  <c r="V33" i="22"/>
  <c r="W60" i="19"/>
  <c r="V60" i="19"/>
  <c r="AA36" i="20"/>
  <c r="Y69" i="20"/>
  <c r="AB69" i="20"/>
  <c r="W69" i="20"/>
  <c r="AC47" i="20"/>
  <c r="AC65" i="20"/>
  <c r="Z38" i="21"/>
  <c r="Z34" i="21"/>
  <c r="X66" i="21"/>
  <c r="X31" i="21"/>
  <c r="V31" i="21"/>
  <c r="AA67" i="16"/>
  <c r="W30" i="3"/>
  <c r="V30" i="3"/>
  <c r="Y27" i="13"/>
  <c r="Z10" i="16"/>
  <c r="AD69" i="16"/>
  <c r="Y39" i="19"/>
  <c r="W46" i="20"/>
  <c r="AD46" i="20"/>
  <c r="V46" i="20"/>
  <c r="AA30" i="20"/>
  <c r="X71" i="21"/>
  <c r="Z71" i="21"/>
  <c r="Y71" i="21"/>
  <c r="AB67" i="16"/>
  <c r="X41" i="16"/>
  <c r="X31" i="16"/>
  <c r="AC12" i="10"/>
  <c r="Y12" i="10"/>
  <c r="Z12" i="10"/>
  <c r="AB12" i="10"/>
  <c r="AA12" i="10"/>
  <c r="W12" i="10"/>
  <c r="AA80" i="10"/>
  <c r="AB80" i="10"/>
  <c r="X80" i="10"/>
  <c r="Y80" i="10"/>
  <c r="Z80" i="10"/>
  <c r="AC80" i="10"/>
  <c r="V32" i="10"/>
  <c r="Y38" i="10"/>
  <c r="V38" i="10"/>
  <c r="X38" i="10"/>
  <c r="W38" i="10"/>
  <c r="V25" i="10"/>
  <c r="W25" i="10"/>
  <c r="AD19" i="10"/>
  <c r="AB19" i="10"/>
  <c r="V60" i="4"/>
  <c r="Z60" i="4"/>
  <c r="X60" i="4"/>
  <c r="Y60" i="4"/>
  <c r="W60" i="4"/>
  <c r="AA50" i="19"/>
  <c r="X56" i="21"/>
  <c r="X28" i="22"/>
  <c r="W28" i="22"/>
  <c r="Y28" i="22"/>
  <c r="Z28" i="22"/>
  <c r="Z66" i="20"/>
  <c r="V65" i="16"/>
  <c r="Y65" i="16"/>
  <c r="W73" i="13"/>
  <c r="AA73" i="13"/>
  <c r="AB20" i="11"/>
  <c r="AA20" i="11"/>
  <c r="W74" i="3"/>
  <c r="Z65" i="3"/>
  <c r="AA74" i="15"/>
  <c r="V47" i="10"/>
  <c r="Y33" i="10"/>
  <c r="Z33" i="10"/>
  <c r="AA33" i="10"/>
  <c r="V82" i="10"/>
  <c r="X82" i="10"/>
  <c r="Y82" i="10"/>
  <c r="Z82" i="10"/>
  <c r="AA82" i="10"/>
  <c r="AD81" i="10"/>
  <c r="AC14" i="10"/>
  <c r="AB14" i="10"/>
  <c r="V22" i="4"/>
  <c r="Y15" i="4"/>
  <c r="V15" i="4"/>
  <c r="X15" i="4"/>
  <c r="Z15" i="4"/>
  <c r="AA80" i="20"/>
  <c r="AD47" i="20"/>
  <c r="AA76" i="20"/>
  <c r="AC76" i="20"/>
  <c r="AD76" i="20"/>
  <c r="AB76" i="20"/>
  <c r="Y76" i="20"/>
  <c r="Z76" i="20"/>
  <c r="V41" i="20"/>
  <c r="Z73" i="21"/>
  <c r="W62" i="16"/>
  <c r="Y80" i="16"/>
  <c r="V80" i="16"/>
  <c r="V46" i="16"/>
  <c r="W46" i="16"/>
  <c r="AB46" i="16"/>
  <c r="Z43" i="13"/>
  <c r="X47" i="3"/>
  <c r="V47" i="3"/>
  <c r="W47" i="3"/>
  <c r="Z47" i="3"/>
  <c r="W71" i="4"/>
  <c r="V71" i="4"/>
  <c r="X71" i="4"/>
  <c r="AB32" i="19"/>
  <c r="AB80" i="19"/>
  <c r="AB41" i="20"/>
  <c r="Z41" i="17"/>
  <c r="Y41" i="17"/>
  <c r="AA58" i="17"/>
  <c r="W78" i="21"/>
  <c r="Y68" i="21"/>
  <c r="Y20" i="21"/>
  <c r="Z58" i="21"/>
  <c r="Z10" i="22"/>
  <c r="V47" i="16"/>
  <c r="V72" i="18"/>
  <c r="AB67" i="14"/>
  <c r="Y40" i="10"/>
  <c r="Z40" i="10"/>
  <c r="AA40" i="10"/>
  <c r="AD48" i="10"/>
  <c r="AA77" i="10"/>
  <c r="AD82" i="10"/>
  <c r="AA73" i="10"/>
  <c r="W41" i="17"/>
  <c r="V37" i="4"/>
  <c r="Y37" i="4"/>
  <c r="Z37" i="4"/>
  <c r="W37" i="4"/>
  <c r="X37" i="4"/>
  <c r="X33" i="19"/>
  <c r="AD60" i="20"/>
  <c r="Y18" i="22"/>
  <c r="Z18" i="22"/>
  <c r="AD55" i="17"/>
  <c r="AC60" i="17"/>
  <c r="Y63" i="21"/>
  <c r="X40" i="21"/>
  <c r="W23" i="21"/>
  <c r="V11" i="21"/>
  <c r="W11" i="21"/>
  <c r="X11" i="21"/>
  <c r="Z11" i="21"/>
  <c r="V65" i="21"/>
  <c r="W65" i="21"/>
  <c r="AA41" i="17"/>
  <c r="V73" i="16"/>
  <c r="Y68" i="13"/>
  <c r="AB13" i="11"/>
  <c r="Y13" i="11"/>
  <c r="AD66" i="7"/>
  <c r="W17" i="7"/>
  <c r="AA34" i="7"/>
  <c r="AD77" i="7"/>
  <c r="X78" i="7"/>
  <c r="AC66" i="7"/>
  <c r="Z28" i="7"/>
  <c r="W72" i="7"/>
  <c r="AA53" i="7"/>
  <c r="AE54" i="7"/>
  <c r="X68" i="7"/>
  <c r="AB25" i="7"/>
  <c r="AE69" i="7"/>
  <c r="AC19" i="7"/>
  <c r="AB63" i="7"/>
  <c r="AD68" i="7"/>
  <c r="AB37" i="7"/>
  <c r="AA63" i="7"/>
  <c r="AA25" i="7"/>
  <c r="X55" i="7"/>
  <c r="AD81" i="7"/>
  <c r="X27" i="7"/>
  <c r="AB21" i="7"/>
  <c r="Z42" i="7"/>
  <c r="AC64" i="7"/>
  <c r="Y42" i="7"/>
  <c r="AC59" i="7"/>
  <c r="AD46" i="7"/>
  <c r="Z47" i="7"/>
  <c r="W40" i="7"/>
  <c r="AE39" i="7"/>
  <c r="W76" i="7"/>
  <c r="AA81" i="7"/>
  <c r="X10" i="7"/>
  <c r="AB22" i="7"/>
  <c r="AD52" i="7"/>
  <c r="Y56" i="7"/>
  <c r="Y61" i="7"/>
  <c r="AE60" i="7"/>
  <c r="W23" i="7"/>
  <c r="AC35" i="7"/>
  <c r="AB44" i="7"/>
  <c r="AB74" i="7"/>
  <c r="W83" i="7"/>
  <c r="AE10" i="7"/>
  <c r="AA37" i="7"/>
  <c r="AB66" i="7"/>
  <c r="X46" i="7"/>
  <c r="AC28" i="7"/>
  <c r="W48" i="7"/>
  <c r="AC79" i="7"/>
  <c r="X43" i="3"/>
  <c r="Y43" i="3"/>
  <c r="V43" i="3"/>
  <c r="W43" i="3"/>
  <c r="W52" i="3"/>
  <c r="X52" i="3"/>
  <c r="Y52" i="3"/>
  <c r="V52" i="3"/>
  <c r="AD66" i="10"/>
  <c r="AB85" i="10"/>
  <c r="V40" i="19"/>
  <c r="X40" i="19"/>
  <c r="AA56" i="19"/>
  <c r="W33" i="20"/>
  <c r="AA10" i="20"/>
  <c r="AC10" i="20"/>
  <c r="X10" i="20"/>
  <c r="Y10" i="20"/>
  <c r="AB11" i="20"/>
  <c r="X72" i="17"/>
  <c r="W72" i="17"/>
  <c r="Z72" i="17"/>
  <c r="Y72" i="17"/>
  <c r="V50" i="21"/>
  <c r="W50" i="21"/>
  <c r="X50" i="21"/>
  <c r="X36" i="21"/>
  <c r="V42" i="21"/>
  <c r="Z26" i="16"/>
  <c r="V49" i="16"/>
  <c r="V72" i="16"/>
  <c r="AB10" i="16"/>
  <c r="Z59" i="16"/>
  <c r="Y53" i="16"/>
  <c r="W14" i="3"/>
  <c r="V14" i="3"/>
  <c r="Z72" i="15"/>
  <c r="AC43" i="13"/>
  <c r="AC13" i="11"/>
  <c r="X65" i="3"/>
  <c r="X76" i="4"/>
  <c r="Y67" i="4"/>
  <c r="Z67" i="4"/>
  <c r="Z58" i="4"/>
  <c r="X58" i="4"/>
  <c r="Y58" i="4"/>
  <c r="W58" i="4"/>
  <c r="V58" i="4"/>
  <c r="V54" i="22"/>
  <c r="X54" i="22"/>
  <c r="AA53" i="19"/>
  <c r="AA67" i="20"/>
  <c r="AC67" i="20"/>
  <c r="Y67" i="20"/>
  <c r="Z67" i="20"/>
  <c r="Z13" i="20"/>
  <c r="AD13" i="20"/>
  <c r="Y29" i="17"/>
  <c r="V44" i="21"/>
  <c r="Y44" i="21"/>
  <c r="V60" i="21"/>
  <c r="W31" i="16"/>
  <c r="AD70" i="16"/>
  <c r="Z42" i="13"/>
  <c r="Y42" i="13"/>
  <c r="Z10" i="13"/>
  <c r="AC69" i="16"/>
  <c r="V43" i="13"/>
  <c r="W65" i="3"/>
  <c r="V59" i="10"/>
  <c r="AC59" i="10"/>
  <c r="W50" i="4"/>
  <c r="V50" i="4"/>
  <c r="X50" i="4"/>
  <c r="Y50" i="4"/>
  <c r="Z50" i="4"/>
  <c r="W27" i="4"/>
  <c r="Y27" i="4"/>
  <c r="Z27" i="4"/>
  <c r="V27" i="4"/>
  <c r="X27" i="4"/>
  <c r="W33" i="4"/>
  <c r="X33" i="4"/>
  <c r="Y33" i="4"/>
  <c r="V33" i="4"/>
  <c r="Z33" i="4"/>
  <c r="W73" i="4"/>
  <c r="Z56" i="19"/>
  <c r="W52" i="22"/>
  <c r="Y52" i="22"/>
  <c r="V52" i="22"/>
  <c r="W72" i="20"/>
  <c r="X72" i="20"/>
  <c r="V72" i="20"/>
  <c r="AD78" i="20"/>
  <c r="X78" i="20"/>
  <c r="AA27" i="17"/>
  <c r="AD68" i="16"/>
  <c r="X34" i="16"/>
  <c r="X73" i="16"/>
  <c r="Y73" i="16"/>
  <c r="Z73" i="16"/>
  <c r="W34" i="16"/>
  <c r="Z34" i="16"/>
  <c r="W33" i="16"/>
  <c r="V20" i="18"/>
  <c r="V65" i="3"/>
  <c r="W46" i="10"/>
  <c r="V70" i="17"/>
  <c r="W78" i="4"/>
  <c r="V78" i="4"/>
  <c r="X41" i="4"/>
  <c r="V41" i="4"/>
  <c r="W41" i="4"/>
  <c r="Y41" i="4"/>
  <c r="V31" i="4"/>
  <c r="V53" i="4"/>
  <c r="Y53" i="4"/>
  <c r="Z53" i="4"/>
  <c r="W53" i="4"/>
  <c r="X53" i="4"/>
  <c r="V71" i="14"/>
  <c r="AD26" i="15"/>
  <c r="V34" i="17"/>
  <c r="AB18" i="17"/>
  <c r="AD37" i="18"/>
  <c r="X16" i="18"/>
  <c r="Y40" i="19"/>
  <c r="X56" i="19"/>
  <c r="Y56" i="19"/>
  <c r="Y78" i="20"/>
  <c r="W66" i="20"/>
  <c r="Z60" i="21"/>
  <c r="Z50" i="22"/>
  <c r="AC43" i="19"/>
  <c r="Z50" i="20"/>
  <c r="AB50" i="20"/>
  <c r="AC50" i="20"/>
  <c r="Y39" i="13"/>
  <c r="W39" i="13"/>
  <c r="AD39" i="13"/>
  <c r="AC39" i="13"/>
  <c r="AD18" i="18"/>
  <c r="Y64" i="7"/>
  <c r="Z21" i="3"/>
  <c r="X21" i="3"/>
  <c r="W21" i="3"/>
  <c r="V21" i="3"/>
  <c r="Y21" i="3"/>
  <c r="V20" i="3"/>
  <c r="X80" i="16"/>
  <c r="Y47" i="3"/>
  <c r="AB61" i="10"/>
  <c r="X61" i="10"/>
  <c r="Y61" i="10"/>
  <c r="Z61" i="10"/>
  <c r="AA61" i="10"/>
  <c r="AA84" i="10"/>
  <c r="V22" i="14"/>
  <c r="W22" i="14"/>
  <c r="Y59" i="4"/>
  <c r="Y77" i="4"/>
  <c r="X77" i="4"/>
  <c r="Z77" i="4"/>
  <c r="V77" i="4"/>
  <c r="W77" i="4"/>
  <c r="V47" i="4"/>
  <c r="W47" i="4"/>
  <c r="X47" i="4"/>
  <c r="Y47" i="4"/>
  <c r="Z47" i="4"/>
  <c r="V63" i="21"/>
  <c r="W57" i="16"/>
  <c r="Z57" i="16"/>
  <c r="X49" i="16"/>
  <c r="AA49" i="16"/>
  <c r="AC49" i="16"/>
  <c r="Y49" i="16"/>
  <c r="Z49" i="16"/>
  <c r="AB49" i="16"/>
  <c r="W80" i="20"/>
  <c r="AC35" i="13"/>
  <c r="V26" i="13"/>
  <c r="W26" i="13"/>
  <c r="AC26" i="13"/>
  <c r="Y26" i="13"/>
  <c r="W27" i="3"/>
  <c r="V27" i="3"/>
  <c r="X27" i="3"/>
  <c r="Y27" i="3"/>
  <c r="Z27" i="3"/>
  <c r="V32" i="3"/>
  <c r="W49" i="10"/>
  <c r="V53" i="10"/>
  <c r="AD69" i="10"/>
  <c r="V69" i="10"/>
  <c r="W69" i="10"/>
  <c r="AC69" i="10"/>
  <c r="Z69" i="10"/>
  <c r="AA69" i="10"/>
  <c r="AB69" i="10"/>
  <c r="AD83" i="10"/>
  <c r="V83" i="10"/>
  <c r="W83" i="10"/>
  <c r="X83" i="10"/>
  <c r="AB83" i="10"/>
  <c r="AC83" i="10"/>
  <c r="X21" i="10"/>
  <c r="AB59" i="10"/>
  <c r="W80" i="16"/>
  <c r="V73" i="4"/>
  <c r="Z16" i="4"/>
  <c r="V39" i="13"/>
  <c r="V44" i="10"/>
  <c r="X66" i="10"/>
  <c r="Y66" i="10"/>
  <c r="AC66" i="10"/>
  <c r="AA66" i="10"/>
  <c r="Z66" i="10"/>
  <c r="AB66" i="10"/>
  <c r="AD54" i="10"/>
  <c r="V42" i="10"/>
  <c r="X28" i="10"/>
  <c r="AA19" i="10"/>
  <c r="Z42" i="4"/>
  <c r="V42" i="4"/>
  <c r="W42" i="4"/>
  <c r="X42" i="4"/>
  <c r="Y42" i="4"/>
  <c r="V63" i="4"/>
  <c r="AB72" i="18"/>
  <c r="AC69" i="15"/>
  <c r="AD69" i="15"/>
  <c r="V69" i="15"/>
  <c r="AB73" i="15"/>
  <c r="X39" i="13"/>
  <c r="W55" i="10"/>
  <c r="AD36" i="10"/>
  <c r="X52" i="10"/>
  <c r="Y52" i="10"/>
  <c r="AD52" i="10"/>
  <c r="AC73" i="10"/>
  <c r="AD73" i="10"/>
  <c r="AB78" i="16"/>
  <c r="X30" i="16"/>
  <c r="X26" i="13"/>
  <c r="W10" i="20"/>
  <c r="AB15" i="7"/>
  <c r="AA43" i="13"/>
  <c r="V23" i="16"/>
  <c r="X42" i="16"/>
  <c r="AC50" i="16"/>
  <c r="Y36" i="16"/>
  <c r="AB10" i="20"/>
  <c r="V39" i="19"/>
  <c r="W41" i="3"/>
  <c r="AB32" i="7"/>
  <c r="V76" i="3"/>
  <c r="W76" i="3"/>
  <c r="Y76" i="3"/>
  <c r="V17" i="3"/>
  <c r="Z70" i="14"/>
  <c r="Z76" i="10"/>
  <c r="AA76" i="10"/>
  <c r="W63" i="10"/>
  <c r="Z51" i="4"/>
  <c r="V43" i="16"/>
  <c r="AB43" i="16"/>
  <c r="V56" i="16"/>
  <c r="W79" i="9"/>
  <c r="AD79" i="9"/>
  <c r="V79" i="9"/>
  <c r="AB36" i="10"/>
  <c r="V30" i="10"/>
  <c r="X57" i="10"/>
  <c r="AB82" i="10"/>
  <c r="X64" i="4"/>
  <c r="Y64" i="4"/>
  <c r="Z64" i="4"/>
  <c r="V64" i="4"/>
  <c r="W64" i="4"/>
  <c r="Z49" i="4"/>
  <c r="AA74" i="16"/>
  <c r="W24" i="16"/>
  <c r="X24" i="16"/>
  <c r="V24" i="16"/>
  <c r="X56" i="16"/>
  <c r="W56" i="16"/>
  <c r="X64" i="16"/>
  <c r="Z64" i="16"/>
  <c r="AA64" i="16"/>
  <c r="Z59" i="3"/>
  <c r="X76" i="17"/>
  <c r="Z36" i="16"/>
  <c r="X36" i="16"/>
  <c r="AD36" i="16"/>
  <c r="AC36" i="16"/>
  <c r="X59" i="13"/>
  <c r="V59" i="13"/>
  <c r="W59" i="13"/>
  <c r="X18" i="3"/>
  <c r="Y18" i="3"/>
  <c r="Z18" i="3"/>
  <c r="Z51" i="16"/>
  <c r="V38" i="14"/>
  <c r="AA60" i="13"/>
  <c r="AC67" i="16"/>
  <c r="AB54" i="10"/>
  <c r="Y54" i="10"/>
  <c r="X54" i="10"/>
  <c r="V54" i="10"/>
  <c r="W54" i="10"/>
  <c r="V46" i="4"/>
  <c r="Y34" i="4"/>
  <c r="Z34" i="4"/>
  <c r="W54" i="4"/>
  <c r="Z54" i="4"/>
  <c r="Y54" i="4"/>
  <c r="V54" i="4"/>
  <c r="X54" i="4"/>
  <c r="AD33" i="10"/>
  <c r="AB16" i="10"/>
  <c r="V37" i="10"/>
  <c r="AC53" i="20"/>
  <c r="AC78" i="20"/>
  <c r="Y59" i="21"/>
  <c r="W25" i="21"/>
  <c r="W62" i="21"/>
  <c r="V62" i="21"/>
  <c r="V66" i="16"/>
  <c r="AB66" i="16"/>
  <c r="Y66" i="16"/>
  <c r="AC66" i="16"/>
  <c r="X66" i="16"/>
  <c r="Z66" i="16"/>
  <c r="AA66" i="16"/>
  <c r="W66" i="16"/>
  <c r="V32" i="16"/>
  <c r="AD45" i="16"/>
  <c r="AA22" i="11"/>
  <c r="Z68" i="3"/>
  <c r="V68" i="3"/>
  <c r="W68" i="3"/>
  <c r="X68" i="3"/>
  <c r="Y68" i="3"/>
  <c r="AB51" i="16"/>
  <c r="W60" i="13"/>
  <c r="AA36" i="10"/>
  <c r="AD22" i="10"/>
  <c r="V22" i="10"/>
  <c r="AC22" i="10"/>
  <c r="AA72" i="10"/>
  <c r="Y72" i="10"/>
  <c r="Z72" i="10"/>
  <c r="Z15" i="19"/>
  <c r="W18" i="20"/>
  <c r="W48" i="20"/>
  <c r="AC51" i="20"/>
  <c r="Y51" i="20"/>
  <c r="Z51" i="20"/>
  <c r="AA51" i="20"/>
  <c r="AB51" i="20"/>
  <c r="AA73" i="20"/>
  <c r="W64" i="16"/>
  <c r="Y59" i="3"/>
  <c r="Y45" i="10"/>
  <c r="X45" i="10"/>
  <c r="Z45" i="10"/>
  <c r="V71" i="10"/>
  <c r="W71" i="10"/>
  <c r="X71" i="10"/>
  <c r="Y71" i="10"/>
  <c r="Z43" i="10"/>
  <c r="AD43" i="10"/>
  <c r="AA43" i="10"/>
  <c r="AB43" i="10"/>
  <c r="AC43" i="10"/>
  <c r="Y38" i="4"/>
  <c r="Z38" i="4"/>
  <c r="Z76" i="17"/>
  <c r="AC28" i="16"/>
  <c r="AB28" i="16"/>
  <c r="AD28" i="16"/>
  <c r="W42" i="3"/>
  <c r="X42" i="3"/>
  <c r="Y42" i="3"/>
  <c r="Z42" i="3"/>
  <c r="V42" i="3"/>
  <c r="W62" i="10"/>
  <c r="Z62" i="10"/>
  <c r="AA62" i="10"/>
  <c r="AB62" i="10"/>
  <c r="AC62" i="10"/>
  <c r="AD62" i="10"/>
  <c r="V20" i="10"/>
  <c r="V36" i="4"/>
  <c r="W11" i="4"/>
  <c r="V11" i="4"/>
  <c r="X11" i="4"/>
  <c r="Y11" i="4"/>
  <c r="Z11" i="4"/>
  <c r="Y74" i="4"/>
  <c r="Z74" i="4"/>
  <c r="Z20" i="4"/>
  <c r="X20" i="4"/>
  <c r="V20" i="4"/>
  <c r="W20" i="4"/>
  <c r="Y20" i="4"/>
  <c r="V18" i="10"/>
  <c r="V71" i="3"/>
  <c r="W71" i="3"/>
  <c r="Y71" i="3"/>
  <c r="Z71" i="3"/>
  <c r="X71" i="3"/>
  <c r="W58" i="17"/>
  <c r="V75" i="10"/>
  <c r="V60" i="10"/>
  <c r="Y43" i="21"/>
  <c r="Z39" i="21"/>
  <c r="W39" i="21"/>
  <c r="X39" i="21"/>
  <c r="V39" i="21"/>
  <c r="Y39" i="21"/>
  <c r="W66" i="21"/>
  <c r="Y31" i="16"/>
  <c r="Z13" i="16"/>
  <c r="AC43" i="16"/>
  <c r="V41" i="13"/>
  <c r="Z41" i="13"/>
  <c r="AA41" i="13"/>
  <c r="V70" i="18"/>
  <c r="Y44" i="3"/>
  <c r="Z81" i="10"/>
  <c r="Z29" i="10"/>
  <c r="V29" i="10"/>
  <c r="W29" i="10"/>
  <c r="AD29" i="10"/>
  <c r="X19" i="10"/>
  <c r="Z76" i="13"/>
  <c r="W72" i="4"/>
  <c r="Y24" i="4"/>
  <c r="X24" i="4"/>
  <c r="Z24" i="4"/>
  <c r="W41" i="13"/>
  <c r="V19" i="14"/>
  <c r="AB65" i="14"/>
  <c r="W53" i="15"/>
  <c r="V60" i="15"/>
  <c r="AD24" i="16"/>
  <c r="Y43" i="16"/>
  <c r="AB32" i="17"/>
  <c r="AA26" i="17"/>
  <c r="AB17" i="18"/>
  <c r="W70" i="18"/>
  <c r="Z59" i="21"/>
  <c r="Z60" i="22"/>
  <c r="W40" i="20"/>
  <c r="Y40" i="20"/>
  <c r="X40" i="20"/>
  <c r="V40" i="20"/>
  <c r="Z40" i="20"/>
  <c r="Z47" i="20"/>
  <c r="AC28" i="13"/>
  <c r="AD28" i="13"/>
  <c r="W23" i="3"/>
  <c r="X23" i="3"/>
  <c r="X44" i="3"/>
  <c r="V26" i="10"/>
  <c r="V25" i="3"/>
  <c r="X76" i="13"/>
  <c r="V10" i="4"/>
  <c r="W10" i="4"/>
  <c r="Y10" i="4"/>
  <c r="Z10" i="4"/>
  <c r="X10" i="4"/>
  <c r="Y60" i="22"/>
  <c r="Z38" i="20"/>
  <c r="V49" i="21"/>
  <c r="W49" i="21"/>
  <c r="AD26" i="17"/>
  <c r="X10" i="16"/>
  <c r="AC10" i="13"/>
  <c r="Y77" i="3"/>
  <c r="V55" i="3"/>
  <c r="W55" i="3"/>
  <c r="X55" i="3"/>
  <c r="Y55" i="3"/>
  <c r="W44" i="3"/>
  <c r="AA85" i="10"/>
  <c r="Z85" i="10"/>
  <c r="Y85" i="10"/>
  <c r="X85" i="10"/>
  <c r="AA51" i="10"/>
  <c r="W58" i="10"/>
  <c r="AD58" i="10"/>
  <c r="Z16" i="10"/>
  <c r="AA16" i="10"/>
  <c r="W16" i="10"/>
  <c r="X16" i="10"/>
  <c r="Y16" i="10"/>
  <c r="W28" i="4"/>
  <c r="V28" i="4"/>
  <c r="Y28" i="4"/>
  <c r="X28" i="4"/>
  <c r="Z28" i="4"/>
  <c r="V80" i="4"/>
  <c r="X80" i="4"/>
  <c r="W80" i="4"/>
  <c r="W60" i="22"/>
  <c r="AB55" i="20"/>
  <c r="AD20" i="20"/>
  <c r="Y26" i="17"/>
  <c r="AD67" i="16"/>
  <c r="AB26" i="17"/>
  <c r="AA68" i="16"/>
  <c r="V16" i="11"/>
  <c r="W16" i="11"/>
  <c r="Y80" i="3"/>
  <c r="Z80" i="3"/>
  <c r="V62" i="3"/>
  <c r="V41" i="10"/>
  <c r="AD67" i="10"/>
  <c r="W29" i="4"/>
  <c r="X29" i="4"/>
  <c r="Z29" i="4"/>
  <c r="V29" i="4"/>
  <c r="Y29" i="4"/>
  <c r="AA68" i="19"/>
  <c r="Y81" i="19"/>
  <c r="W67" i="19"/>
  <c r="AD67" i="19"/>
  <c r="AC66" i="19"/>
  <c r="V67" i="19"/>
  <c r="AD34" i="19"/>
  <c r="X78" i="19"/>
  <c r="Y78" i="19"/>
  <c r="Z78" i="19"/>
  <c r="AC78" i="19"/>
  <c r="AD78" i="19"/>
  <c r="AA78" i="19"/>
  <c r="AB78" i="19"/>
  <c r="W78" i="19"/>
  <c r="V78" i="19"/>
  <c r="AB51" i="19"/>
  <c r="AC16" i="19"/>
  <c r="AA16" i="19"/>
  <c r="V16" i="19"/>
  <c r="W16" i="19"/>
  <c r="X16" i="19"/>
  <c r="Y16" i="19"/>
  <c r="Z16" i="19"/>
  <c r="Z63" i="19"/>
  <c r="AA63" i="19"/>
  <c r="AB63" i="19"/>
  <c r="AC63" i="19"/>
  <c r="AD63" i="19"/>
  <c r="V63" i="19"/>
  <c r="W63" i="19"/>
  <c r="X63" i="19"/>
  <c r="Y63" i="19"/>
  <c r="V29" i="19"/>
  <c r="W29" i="19"/>
  <c r="X29" i="19"/>
  <c r="AA29" i="19"/>
  <c r="AB29" i="19"/>
  <c r="AC29" i="19"/>
  <c r="Y29" i="19"/>
  <c r="Z29" i="19"/>
  <c r="AD29" i="19"/>
  <c r="AB16" i="19"/>
  <c r="X67" i="19"/>
  <c r="AB49" i="19"/>
  <c r="W20" i="19"/>
  <c r="AA81" i="19"/>
  <c r="V33" i="19"/>
  <c r="AB66" i="19"/>
  <c r="Z34" i="19"/>
  <c r="Z49" i="19"/>
  <c r="AD36" i="19"/>
  <c r="AB36" i="19"/>
  <c r="AD51" i="19"/>
  <c r="X36" i="19"/>
  <c r="Z20" i="19"/>
  <c r="AD35" i="19"/>
  <c r="V50" i="19"/>
  <c r="X46" i="19"/>
  <c r="Y46" i="19"/>
  <c r="Z46" i="19"/>
  <c r="AC46" i="19"/>
  <c r="AD46" i="19"/>
  <c r="AA46" i="19"/>
  <c r="AB46" i="19"/>
  <c r="V46" i="19"/>
  <c r="W46" i="19"/>
  <c r="W36" i="19"/>
  <c r="AD15" i="19"/>
  <c r="AB35" i="19"/>
  <c r="X66" i="19"/>
  <c r="X50" i="19"/>
  <c r="V81" i="19"/>
  <c r="AB15" i="19"/>
  <c r="X35" i="19"/>
  <c r="V80" i="19"/>
  <c r="W80" i="19"/>
  <c r="Y80" i="19"/>
  <c r="AA80" i="19"/>
  <c r="Z80" i="19"/>
  <c r="X80" i="19"/>
  <c r="AC80" i="19"/>
  <c r="AC64" i="19"/>
  <c r="V64" i="19"/>
  <c r="W64" i="19"/>
  <c r="X64" i="19"/>
  <c r="Y64" i="19"/>
  <c r="Z64" i="19"/>
  <c r="AA64" i="19"/>
  <c r="AB33" i="19"/>
  <c r="AD81" i="19"/>
  <c r="AA66" i="19"/>
  <c r="Z66" i="19"/>
  <c r="AB34" i="19"/>
  <c r="Z36" i="19"/>
  <c r="Y50" i="19"/>
  <c r="W66" i="19"/>
  <c r="W50" i="19"/>
  <c r="Z31" i="19"/>
  <c r="AA31" i="19"/>
  <c r="AB31" i="19"/>
  <c r="AC31" i="19"/>
  <c r="AD31" i="19"/>
  <c r="W31" i="19"/>
  <c r="Y31" i="19"/>
  <c r="X31" i="19"/>
  <c r="V31" i="19"/>
  <c r="W52" i="19"/>
  <c r="AA15" i="19"/>
  <c r="AD66" i="19"/>
  <c r="AB81" i="19"/>
  <c r="X49" i="19"/>
  <c r="W35" i="19"/>
  <c r="AA17" i="19"/>
  <c r="W17" i="19"/>
  <c r="AC17" i="19"/>
  <c r="X17" i="19"/>
  <c r="Y17" i="19"/>
  <c r="Z17" i="19"/>
  <c r="AB17" i="19"/>
  <c r="AA65" i="19"/>
  <c r="AB65" i="19"/>
  <c r="Y65" i="19"/>
  <c r="Z65" i="19"/>
  <c r="AC65" i="19"/>
  <c r="V65" i="19"/>
  <c r="Y36" i="19"/>
  <c r="AB18" i="19"/>
  <c r="AD33" i="19"/>
  <c r="AC32" i="19"/>
  <c r="Z32" i="19"/>
  <c r="V32" i="19"/>
  <c r="W32" i="19"/>
  <c r="X32" i="19"/>
  <c r="Y32" i="19"/>
  <c r="AA32" i="19"/>
  <c r="Z79" i="19"/>
  <c r="AA79" i="19"/>
  <c r="AB79" i="19"/>
  <c r="AC79" i="19"/>
  <c r="AD79" i="19"/>
  <c r="V79" i="19"/>
  <c r="W79" i="19"/>
  <c r="X79" i="19"/>
  <c r="Y79" i="19"/>
  <c r="V45" i="19"/>
  <c r="W45" i="19"/>
  <c r="X45" i="19"/>
  <c r="AA45" i="19"/>
  <c r="AB45" i="19"/>
  <c r="Y45" i="19"/>
  <c r="Z45" i="19"/>
  <c r="AD45" i="19"/>
  <c r="AC45" i="19"/>
  <c r="AA36" i="19"/>
  <c r="AD68" i="19"/>
  <c r="V34" i="19"/>
  <c r="V35" i="19"/>
  <c r="Z51" i="19"/>
  <c r="X81" i="19"/>
  <c r="W34" i="19"/>
  <c r="W51" i="19"/>
  <c r="AB64" i="19"/>
  <c r="X14" i="19"/>
  <c r="Y14" i="19"/>
  <c r="Z14" i="19"/>
  <c r="AC14" i="19"/>
  <c r="AD14" i="19"/>
  <c r="AA14" i="19"/>
  <c r="AB14" i="19"/>
  <c r="V14" i="19"/>
  <c r="W14" i="19"/>
  <c r="AD64" i="19"/>
  <c r="AC33" i="19"/>
  <c r="V19" i="19"/>
  <c r="AA35" i="19"/>
  <c r="V15" i="19"/>
  <c r="X15" i="19"/>
  <c r="W15" i="19"/>
  <c r="Y15" i="19"/>
  <c r="X19" i="19"/>
  <c r="AC34" i="19"/>
  <c r="AA51" i="19"/>
  <c r="AB20" i="19"/>
  <c r="Y34" i="19"/>
  <c r="AD80" i="19"/>
  <c r="Y19" i="19"/>
  <c r="Y66" i="19"/>
  <c r="X62" i="19"/>
  <c r="Y62" i="19"/>
  <c r="Z62" i="19"/>
  <c r="AC62" i="19"/>
  <c r="AD62" i="19"/>
  <c r="AA62" i="19"/>
  <c r="AB62" i="19"/>
  <c r="V62" i="19"/>
  <c r="W62" i="19"/>
  <c r="Z19" i="19"/>
  <c r="AD49" i="19"/>
  <c r="AA49" i="19"/>
  <c r="AB68" i="19"/>
  <c r="W81" i="19"/>
  <c r="AC20" i="19"/>
  <c r="Z47" i="19"/>
  <c r="AA47" i="19"/>
  <c r="AB47" i="19"/>
  <c r="AC47" i="19"/>
  <c r="AD47" i="19"/>
  <c r="V47" i="19"/>
  <c r="W47" i="19"/>
  <c r="X47" i="19"/>
  <c r="Y47" i="19"/>
  <c r="V13" i="19"/>
  <c r="W13" i="19"/>
  <c r="AA13" i="19"/>
  <c r="X13" i="19"/>
  <c r="Y13" i="19"/>
  <c r="AB13" i="19"/>
  <c r="Z13" i="19"/>
  <c r="AC13" i="19"/>
  <c r="AD13" i="19"/>
  <c r="V36" i="19"/>
  <c r="AD20" i="19"/>
  <c r="AD50" i="19"/>
  <c r="AB50" i="19"/>
  <c r="AC50" i="19"/>
  <c r="X65" i="19"/>
  <c r="AB19" i="19"/>
  <c r="X18" i="19"/>
  <c r="AA20" i="19"/>
  <c r="AC49" i="19"/>
  <c r="AC81" i="19"/>
  <c r="W18" i="19"/>
  <c r="Y18" i="19"/>
  <c r="AD17" i="19"/>
  <c r="AC48" i="19"/>
  <c r="V48" i="19"/>
  <c r="W48" i="19"/>
  <c r="X48" i="19"/>
  <c r="Y48" i="19"/>
  <c r="Z48" i="19"/>
  <c r="AA48" i="19"/>
  <c r="V18" i="19"/>
  <c r="AB67" i="19"/>
  <c r="AC52" i="19"/>
  <c r="AD52" i="19"/>
  <c r="V17" i="19"/>
  <c r="W49" i="19"/>
  <c r="V20" i="19"/>
  <c r="V61" i="19"/>
  <c r="W61" i="19"/>
  <c r="X61" i="19"/>
  <c r="AA61" i="19"/>
  <c r="AB61" i="19"/>
  <c r="Y61" i="19"/>
  <c r="Z61" i="19"/>
  <c r="AC61" i="19"/>
  <c r="AD61" i="19"/>
  <c r="Z18" i="19"/>
  <c r="W33" i="19"/>
  <c r="Y33" i="19"/>
  <c r="Z33" i="19"/>
  <c r="AA33" i="19"/>
  <c r="X51" i="19"/>
  <c r="V51" i="19"/>
  <c r="X30" i="19"/>
  <c r="Y30" i="19"/>
  <c r="Z30" i="19"/>
  <c r="AC30" i="19"/>
  <c r="AD30" i="19"/>
  <c r="AA30" i="19"/>
  <c r="AB30" i="19"/>
  <c r="V30" i="19"/>
  <c r="W30" i="19"/>
  <c r="Z67" i="19"/>
  <c r="Y49" i="19"/>
  <c r="AB19" i="18"/>
  <c r="X66" i="18"/>
  <c r="Y66" i="18"/>
  <c r="Z66" i="18"/>
  <c r="AA66" i="18"/>
  <c r="AB66" i="18"/>
  <c r="V74" i="18"/>
  <c r="AC74" i="18"/>
  <c r="AD74" i="18"/>
  <c r="AB74" i="18"/>
  <c r="W74" i="18"/>
  <c r="Y74" i="18"/>
  <c r="AC17" i="18"/>
  <c r="Y48" i="18"/>
  <c r="V66" i="18"/>
  <c r="W50" i="18"/>
  <c r="V49" i="18"/>
  <c r="Z74" i="18"/>
  <c r="AB75" i="18"/>
  <c r="AC75" i="18"/>
  <c r="Y51" i="18"/>
  <c r="W66" i="18"/>
  <c r="AB51" i="18"/>
  <c r="Z49" i="18"/>
  <c r="AB58" i="18"/>
  <c r="AC58" i="18"/>
  <c r="Z16" i="18"/>
  <c r="AB48" i="18"/>
  <c r="AD50" i="18"/>
  <c r="AC64" i="18"/>
  <c r="AD64" i="18"/>
  <c r="V30" i="18"/>
  <c r="W30" i="18"/>
  <c r="X30" i="18"/>
  <c r="Z30" i="18"/>
  <c r="AA30" i="18"/>
  <c r="AB30" i="18"/>
  <c r="Y30" i="18"/>
  <c r="AC30" i="18"/>
  <c r="AD30" i="18"/>
  <c r="V29" i="18"/>
  <c r="AD29" i="18"/>
  <c r="X29" i="18"/>
  <c r="W29" i="18"/>
  <c r="Y29" i="18"/>
  <c r="Z29" i="18"/>
  <c r="AA29" i="18"/>
  <c r="AB29" i="18"/>
  <c r="AC29" i="18"/>
  <c r="Z11" i="18"/>
  <c r="AA48" i="18"/>
  <c r="AD66" i="18"/>
  <c r="AC50" i="18"/>
  <c r="X49" i="18"/>
  <c r="X31" i="18"/>
  <c r="Y31" i="18"/>
  <c r="Z31" i="18"/>
  <c r="AA31" i="18"/>
  <c r="AB31" i="18"/>
  <c r="AC31" i="18"/>
  <c r="AD31" i="18"/>
  <c r="V31" i="18"/>
  <c r="Y73" i="18"/>
  <c r="Z73" i="18"/>
  <c r="W73" i="18"/>
  <c r="X73" i="18"/>
  <c r="AA73" i="18"/>
  <c r="AB73" i="18"/>
  <c r="AD17" i="18"/>
  <c r="Z48" i="18"/>
  <c r="AA19" i="18"/>
  <c r="W49" i="18"/>
  <c r="Z19" i="18"/>
  <c r="AB68" i="18"/>
  <c r="AC68" i="18"/>
  <c r="AD68" i="18"/>
  <c r="W19" i="18"/>
  <c r="AB12" i="18"/>
  <c r="V12" i="18"/>
  <c r="AA12" i="18"/>
  <c r="W12" i="18"/>
  <c r="X12" i="18"/>
  <c r="Y12" i="18"/>
  <c r="Z12" i="18"/>
  <c r="AC12" i="18"/>
  <c r="AD12" i="18"/>
  <c r="AB76" i="18"/>
  <c r="W76" i="18"/>
  <c r="X76" i="18"/>
  <c r="Y76" i="18"/>
  <c r="Z76" i="18"/>
  <c r="AA76" i="18"/>
  <c r="AC76" i="18"/>
  <c r="AD76" i="18"/>
  <c r="V76" i="18"/>
  <c r="AC81" i="18"/>
  <c r="AA64" i="18"/>
  <c r="AD49" i="18"/>
  <c r="AD19" i="18"/>
  <c r="AB81" i="18"/>
  <c r="Z64" i="18"/>
  <c r="V64" i="18"/>
  <c r="AC49" i="18"/>
  <c r="AD80" i="18"/>
  <c r="V80" i="18"/>
  <c r="W80" i="18"/>
  <c r="X80" i="18"/>
  <c r="AB80" i="18"/>
  <c r="AC80" i="18"/>
  <c r="AA81" i="18"/>
  <c r="Y64" i="18"/>
  <c r="AA74" i="18"/>
  <c r="AB49" i="18"/>
  <c r="V81" i="18"/>
  <c r="W81" i="18"/>
  <c r="X81" i="18"/>
  <c r="Y81" i="18"/>
  <c r="V19" i="18"/>
  <c r="Y67" i="18"/>
  <c r="AA49" i="18"/>
  <c r="X15" i="18"/>
  <c r="Y15" i="18"/>
  <c r="Z15" i="18"/>
  <c r="V15" i="18"/>
  <c r="AA15" i="18"/>
  <c r="AB15" i="18"/>
  <c r="AC15" i="18"/>
  <c r="AD15" i="18"/>
  <c r="V16" i="18"/>
  <c r="W16" i="18"/>
  <c r="AB60" i="18"/>
  <c r="AA60" i="18"/>
  <c r="AC60" i="18"/>
  <c r="AD60" i="18"/>
  <c r="V60" i="18"/>
  <c r="W60" i="18"/>
  <c r="X60" i="18"/>
  <c r="Y60" i="18"/>
  <c r="Z60" i="18"/>
  <c r="AB16" i="18"/>
  <c r="AA16" i="18"/>
  <c r="Y16" i="18"/>
  <c r="W32" i="18"/>
  <c r="V46" i="18"/>
  <c r="W46" i="18"/>
  <c r="X46" i="18"/>
  <c r="AB46" i="18"/>
  <c r="AC46" i="18"/>
  <c r="AD46" i="18"/>
  <c r="Y46" i="18"/>
  <c r="Z46" i="18"/>
  <c r="AA46" i="18"/>
  <c r="V45" i="18"/>
  <c r="AD45" i="18"/>
  <c r="W45" i="18"/>
  <c r="X45" i="18"/>
  <c r="Z45" i="18"/>
  <c r="Y45" i="18"/>
  <c r="AA45" i="18"/>
  <c r="AB45" i="18"/>
  <c r="AC45" i="18"/>
  <c r="V51" i="18"/>
  <c r="Z35" i="18"/>
  <c r="X47" i="18"/>
  <c r="Y47" i="18"/>
  <c r="Z47" i="18"/>
  <c r="AC47" i="18"/>
  <c r="AD47" i="18"/>
  <c r="AA47" i="18"/>
  <c r="V47" i="18"/>
  <c r="AB47" i="18"/>
  <c r="AA51" i="18"/>
  <c r="W64" i="18"/>
  <c r="X19" i="18"/>
  <c r="Z10" i="18"/>
  <c r="AB10" i="18"/>
  <c r="AC10" i="18"/>
  <c r="AD10" i="18"/>
  <c r="AC32" i="18"/>
  <c r="V27" i="18"/>
  <c r="AB35" i="18"/>
  <c r="AD58" i="18"/>
  <c r="Z17" i="18"/>
  <c r="Y17" i="18"/>
  <c r="V17" i="18"/>
  <c r="W17" i="18"/>
  <c r="X17" i="18"/>
  <c r="W25" i="18"/>
  <c r="X25" i="18"/>
  <c r="Y25" i="18"/>
  <c r="Z25" i="18"/>
  <c r="AA25" i="18"/>
  <c r="AB25" i="18"/>
  <c r="Y53" i="18"/>
  <c r="Y69" i="18"/>
  <c r="V32" i="18"/>
  <c r="V58" i="18"/>
  <c r="Z33" i="18"/>
  <c r="V59" i="18"/>
  <c r="AC65" i="18"/>
  <c r="AB65" i="18"/>
  <c r="AC18" i="18"/>
  <c r="AB59" i="18"/>
  <c r="W58" i="18"/>
  <c r="Y18" i="18"/>
  <c r="V61" i="18"/>
  <c r="AD61" i="18"/>
  <c r="Y61" i="18"/>
  <c r="Z61" i="18"/>
  <c r="W61" i="18"/>
  <c r="X61" i="18"/>
  <c r="AA61" i="18"/>
  <c r="AB61" i="18"/>
  <c r="AC61" i="18"/>
  <c r="AB26" i="18"/>
  <c r="AC26" i="18"/>
  <c r="AD26" i="18"/>
  <c r="AA26" i="18"/>
  <c r="V26" i="18"/>
  <c r="W26" i="18"/>
  <c r="AB32" i="18"/>
  <c r="AC53" i="18"/>
  <c r="AC69" i="18"/>
  <c r="AA35" i="18"/>
  <c r="AA58" i="18"/>
  <c r="Y33" i="18"/>
  <c r="AD59" i="18"/>
  <c r="AA32" i="18"/>
  <c r="X53" i="18"/>
  <c r="X69" i="18"/>
  <c r="AB37" i="18"/>
  <c r="Z58" i="18"/>
  <c r="W33" i="18"/>
  <c r="AC59" i="18"/>
  <c r="V10" i="18"/>
  <c r="Z81" i="18"/>
  <c r="AC48" i="18"/>
  <c r="Z53" i="18"/>
  <c r="AB20" i="18"/>
  <c r="AC20" i="18"/>
  <c r="AD20" i="18"/>
  <c r="X35" i="18"/>
  <c r="Z68" i="18"/>
  <c r="V35" i="18"/>
  <c r="W53" i="18"/>
  <c r="W69" i="18"/>
  <c r="AA37" i="18"/>
  <c r="Y58" i="18"/>
  <c r="X59" i="18"/>
  <c r="V25" i="18"/>
  <c r="AC67" i="18"/>
  <c r="Z18" i="18"/>
  <c r="V78" i="18"/>
  <c r="W78" i="18"/>
  <c r="X78" i="18"/>
  <c r="Y78" i="18"/>
  <c r="AC78" i="18"/>
  <c r="AD78" i="18"/>
  <c r="Z78" i="18"/>
  <c r="AA78" i="18"/>
  <c r="AB78" i="18"/>
  <c r="Y68" i="18"/>
  <c r="X74" i="18"/>
  <c r="V53" i="18"/>
  <c r="V69" i="18"/>
  <c r="Z37" i="18"/>
  <c r="X58" i="18"/>
  <c r="X33" i="18"/>
  <c r="Z59" i="18"/>
  <c r="V48" i="18"/>
  <c r="AD25" i="18"/>
  <c r="AD32" i="18"/>
  <c r="X79" i="18"/>
  <c r="Y79" i="18"/>
  <c r="AD79" i="18"/>
  <c r="V79" i="18"/>
  <c r="Z79" i="18"/>
  <c r="AA79" i="18"/>
  <c r="AB79" i="18"/>
  <c r="AC79" i="18"/>
  <c r="W51" i="18"/>
  <c r="AB44" i="18"/>
  <c r="Y44" i="18"/>
  <c r="Z44" i="18"/>
  <c r="AA44" i="18"/>
  <c r="AC44" i="18"/>
  <c r="AD44" i="18"/>
  <c r="V44" i="18"/>
  <c r="W44" i="18"/>
  <c r="X44" i="18"/>
  <c r="X68" i="18"/>
  <c r="X26" i="18"/>
  <c r="Y37" i="18"/>
  <c r="AD33" i="18"/>
  <c r="AC25" i="18"/>
  <c r="W18" i="18"/>
  <c r="W35" i="18"/>
  <c r="Y59" i="18"/>
  <c r="W41" i="18"/>
  <c r="X41" i="18"/>
  <c r="Y41" i="18"/>
  <c r="Z41" i="18"/>
  <c r="AA41" i="18"/>
  <c r="AB41" i="18"/>
  <c r="AA68" i="18"/>
  <c r="AA80" i="18"/>
  <c r="AC37" i="18"/>
  <c r="AC33" i="18"/>
  <c r="Z65" i="18"/>
  <c r="AD52" i="18"/>
  <c r="AD53" i="18"/>
  <c r="AD51" i="18"/>
  <c r="V11" i="18"/>
  <c r="AC11" i="18"/>
  <c r="AD11" i="18"/>
  <c r="W11" i="18"/>
  <c r="X11" i="18"/>
  <c r="Y11" i="18"/>
  <c r="X63" i="18"/>
  <c r="Y63" i="18"/>
  <c r="Z63" i="18"/>
  <c r="AC63" i="18"/>
  <c r="AD63" i="18"/>
  <c r="AA63" i="18"/>
  <c r="AB63" i="18"/>
  <c r="V63" i="18"/>
  <c r="AA11" i="18"/>
  <c r="W59" i="18"/>
  <c r="Y34" i="18"/>
  <c r="AB34" i="18"/>
  <c r="V42" i="18"/>
  <c r="W42" i="18"/>
  <c r="Y42" i="18"/>
  <c r="AD42" i="18"/>
  <c r="Z42" i="18"/>
  <c r="AA42" i="18"/>
  <c r="W68" i="18"/>
  <c r="V57" i="18"/>
  <c r="Z80" i="18"/>
  <c r="Z26" i="18"/>
  <c r="X37" i="18"/>
  <c r="AB33" i="18"/>
  <c r="Y65" i="18"/>
  <c r="AC52" i="18"/>
  <c r="W48" i="18"/>
  <c r="AB18" i="18"/>
  <c r="V68" i="18"/>
  <c r="Y80" i="18"/>
  <c r="W37" i="18"/>
  <c r="W65" i="18"/>
  <c r="AB52" i="18"/>
  <c r="X34" i="18"/>
  <c r="AC16" i="18"/>
  <c r="AD16" i="18"/>
  <c r="W57" i="18"/>
  <c r="X57" i="18"/>
  <c r="Y57" i="18"/>
  <c r="Z57" i="18"/>
  <c r="AA57" i="18"/>
  <c r="AB57" i="18"/>
  <c r="X50" i="18"/>
  <c r="Y50" i="18"/>
  <c r="Z50" i="18"/>
  <c r="AA50" i="18"/>
  <c r="AB50" i="18"/>
  <c r="V62" i="18"/>
  <c r="W62" i="18"/>
  <c r="X62" i="18"/>
  <c r="Y62" i="18"/>
  <c r="AC62" i="18"/>
  <c r="AD62" i="18"/>
  <c r="Z62" i="18"/>
  <c r="AA62" i="18"/>
  <c r="AB62" i="18"/>
  <c r="AB28" i="18"/>
  <c r="W28" i="18"/>
  <c r="X28" i="18"/>
  <c r="Y28" i="18"/>
  <c r="Z28" i="18"/>
  <c r="AA28" i="18"/>
  <c r="AC28" i="18"/>
  <c r="AD28" i="18"/>
  <c r="V28" i="18"/>
  <c r="AB53" i="18"/>
  <c r="V14" i="18"/>
  <c r="W14" i="18"/>
  <c r="X14" i="18"/>
  <c r="AB14" i="18"/>
  <c r="AC14" i="18"/>
  <c r="AD14" i="18"/>
  <c r="Z14" i="18"/>
  <c r="Y14" i="18"/>
  <c r="AA14" i="18"/>
  <c r="V13" i="18"/>
  <c r="AD13" i="18"/>
  <c r="AB13" i="18"/>
  <c r="W13" i="18"/>
  <c r="X13" i="18"/>
  <c r="Y13" i="18"/>
  <c r="AA13" i="18"/>
  <c r="Z13" i="18"/>
  <c r="AC13" i="18"/>
  <c r="V77" i="18"/>
  <c r="AD77" i="18"/>
  <c r="W77" i="18"/>
  <c r="X77" i="18"/>
  <c r="Y77" i="18"/>
  <c r="Z77" i="18"/>
  <c r="AA77" i="18"/>
  <c r="AB77" i="18"/>
  <c r="AC77" i="18"/>
  <c r="AC57" i="18"/>
  <c r="V37" i="18"/>
  <c r="X18" i="18"/>
  <c r="AA36" i="17"/>
  <c r="V80" i="17"/>
  <c r="AD33" i="17"/>
  <c r="AD32" i="17"/>
  <c r="X35" i="17"/>
  <c r="Y35" i="17"/>
  <c r="Z35" i="17"/>
  <c r="AA35" i="17"/>
  <c r="AB35" i="17"/>
  <c r="AC35" i="17"/>
  <c r="Z31" i="17"/>
  <c r="AA31" i="17"/>
  <c r="AB31" i="17"/>
  <c r="W31" i="17"/>
  <c r="X31" i="17"/>
  <c r="Y31" i="17"/>
  <c r="AD31" i="17"/>
  <c r="V31" i="17"/>
  <c r="AC31" i="17"/>
  <c r="AC19" i="17"/>
  <c r="AD37" i="17"/>
  <c r="AB37" i="17"/>
  <c r="AC37" i="17"/>
  <c r="AA48" i="17"/>
  <c r="AD48" i="17"/>
  <c r="Y30" i="17"/>
  <c r="Z30" i="17"/>
  <c r="W30" i="17"/>
  <c r="AA30" i="17"/>
  <c r="AB30" i="17"/>
  <c r="AC30" i="17"/>
  <c r="AD30" i="17"/>
  <c r="V30" i="17"/>
  <c r="AA18" i="17"/>
  <c r="AC68" i="17"/>
  <c r="V49" i="17"/>
  <c r="W49" i="17"/>
  <c r="X49" i="17"/>
  <c r="Y49" i="17"/>
  <c r="Z49" i="17"/>
  <c r="Y51" i="17"/>
  <c r="AA20" i="17"/>
  <c r="Z18" i="17"/>
  <c r="AA32" i="17"/>
  <c r="Z37" i="17"/>
  <c r="Z50" i="17"/>
  <c r="Y50" i="17"/>
  <c r="AA80" i="17"/>
  <c r="Y18" i="17"/>
  <c r="Z32" i="17"/>
  <c r="Y37" i="17"/>
  <c r="V50" i="17"/>
  <c r="AC49" i="17"/>
  <c r="AD34" i="17"/>
  <c r="AD36" i="17"/>
  <c r="Z80" i="17"/>
  <c r="X18" i="17"/>
  <c r="W32" i="17"/>
  <c r="AA37" i="17"/>
  <c r="AB50" i="17"/>
  <c r="AC36" i="17"/>
  <c r="Y80" i="17"/>
  <c r="V18" i="17"/>
  <c r="V32" i="17"/>
  <c r="W37" i="17"/>
  <c r="AB53" i="17"/>
  <c r="AC53" i="17"/>
  <c r="AD53" i="17"/>
  <c r="Z81" i="17"/>
  <c r="Z36" i="17"/>
  <c r="X80" i="17"/>
  <c r="W18" i="17"/>
  <c r="Y32" i="17"/>
  <c r="X37" i="17"/>
  <c r="V64" i="17"/>
  <c r="W64" i="17"/>
  <c r="X64" i="17"/>
  <c r="Y64" i="17"/>
  <c r="Z64" i="17"/>
  <c r="AA64" i="17"/>
  <c r="AD64" i="17"/>
  <c r="Z47" i="17"/>
  <c r="AA47" i="17"/>
  <c r="AD47" i="17"/>
  <c r="AC47" i="17"/>
  <c r="V47" i="17"/>
  <c r="X47" i="17"/>
  <c r="Y47" i="17"/>
  <c r="AB47" i="17"/>
  <c r="W47" i="17"/>
  <c r="Y81" i="17"/>
  <c r="AC34" i="17"/>
  <c r="AB36" i="17"/>
  <c r="W80" i="17"/>
  <c r="AC33" i="17"/>
  <c r="X32" i="17"/>
  <c r="V37" i="17"/>
  <c r="X66" i="17"/>
  <c r="W66" i="17"/>
  <c r="V66" i="17"/>
  <c r="Y46" i="17"/>
  <c r="V46" i="17"/>
  <c r="Z46" i="17"/>
  <c r="AB46" i="17"/>
  <c r="W46" i="17"/>
  <c r="AA46" i="17"/>
  <c r="AC46" i="17"/>
  <c r="AD46" i="17"/>
  <c r="AA53" i="17"/>
  <c r="AD81" i="17"/>
  <c r="Y36" i="17"/>
  <c r="AC80" i="17"/>
  <c r="AA67" i="17"/>
  <c r="X67" i="17"/>
  <c r="Y67" i="17"/>
  <c r="Z67" i="17"/>
  <c r="Z53" i="17"/>
  <c r="X36" i="17"/>
  <c r="AB80" i="17"/>
  <c r="W19" i="17"/>
  <c r="Y62" i="17"/>
  <c r="W62" i="17"/>
  <c r="V62" i="17"/>
  <c r="Z62" i="17"/>
  <c r="AA62" i="17"/>
  <c r="AB62" i="17"/>
  <c r="AC62" i="17"/>
  <c r="AD62" i="17"/>
  <c r="V19" i="17"/>
  <c r="X65" i="17"/>
  <c r="AA66" i="17"/>
  <c r="W65" i="17"/>
  <c r="W35" i="17"/>
  <c r="V36" i="17"/>
  <c r="Y33" i="17"/>
  <c r="V81" i="17"/>
  <c r="W81" i="17"/>
  <c r="X81" i="17"/>
  <c r="Z63" i="17"/>
  <c r="AA63" i="17"/>
  <c r="V63" i="17"/>
  <c r="W63" i="17"/>
  <c r="X63" i="17"/>
  <c r="Y63" i="17"/>
  <c r="AB63" i="17"/>
  <c r="AC63" i="17"/>
  <c r="AD63" i="17"/>
  <c r="AA68" i="17"/>
  <c r="AD20" i="17"/>
  <c r="AC81" i="17"/>
  <c r="AC51" i="17"/>
  <c r="AA81" i="17"/>
  <c r="Y34" i="17"/>
  <c r="AC18" i="17"/>
  <c r="Z79" i="17"/>
  <c r="AA79" i="17"/>
  <c r="AB79" i="17"/>
  <c r="X79" i="17"/>
  <c r="AC79" i="17"/>
  <c r="AD79" i="17"/>
  <c r="Y79" i="17"/>
  <c r="V79" i="17"/>
  <c r="W79" i="17"/>
  <c r="X68" i="17"/>
  <c r="AD49" i="17"/>
  <c r="W67" i="17"/>
  <c r="Z20" i="17"/>
  <c r="AB33" i="17"/>
  <c r="X34" i="17"/>
  <c r="X51" i="17"/>
  <c r="V35" i="17"/>
  <c r="AA33" i="17"/>
  <c r="AD18" i="17"/>
  <c r="V17" i="17"/>
  <c r="W17" i="17"/>
  <c r="X17" i="17"/>
  <c r="Y17" i="17"/>
  <c r="Z17" i="17"/>
  <c r="AA17" i="17"/>
  <c r="AB17" i="17"/>
  <c r="AC17" i="17"/>
  <c r="W68" i="17"/>
  <c r="Y20" i="17"/>
  <c r="AB49" i="17"/>
  <c r="V67" i="17"/>
  <c r="W34" i="17"/>
  <c r="AA52" i="17"/>
  <c r="Z15" i="17"/>
  <c r="AA15" i="17"/>
  <c r="AB15" i="17"/>
  <c r="AD15" i="17"/>
  <c r="V15" i="17"/>
  <c r="W15" i="17"/>
  <c r="X15" i="17"/>
  <c r="Y15" i="17"/>
  <c r="AC15" i="17"/>
  <c r="Y68" i="17"/>
  <c r="X20" i="17"/>
  <c r="AC20" i="17"/>
  <c r="AB52" i="17"/>
  <c r="Z33" i="17"/>
  <c r="Z19" i="17"/>
  <c r="AA19" i="17"/>
  <c r="Y19" i="17"/>
  <c r="X19" i="17"/>
  <c r="AB19" i="17"/>
  <c r="AA16" i="17"/>
  <c r="V68" i="17"/>
  <c r="W20" i="17"/>
  <c r="AD50" i="17"/>
  <c r="Y48" i="17"/>
  <c r="Z48" i="17"/>
  <c r="X33" i="17"/>
  <c r="AD35" i="17"/>
  <c r="Y14" i="17"/>
  <c r="Z14" i="17"/>
  <c r="V14" i="17"/>
  <c r="AC14" i="17"/>
  <c r="W14" i="17"/>
  <c r="AA14" i="17"/>
  <c r="AB14" i="17"/>
  <c r="AD14" i="17"/>
  <c r="AC65" i="17"/>
  <c r="Z52" i="17"/>
  <c r="X48" i="17"/>
  <c r="AD69" i="17"/>
  <c r="AB68" i="17"/>
  <c r="AA34" i="17"/>
  <c r="Z34" i="17"/>
  <c r="AB34" i="17"/>
  <c r="V33" i="17"/>
  <c r="AB21" i="17"/>
  <c r="AC21" i="17"/>
  <c r="X52" i="17"/>
  <c r="AC50" i="17"/>
  <c r="W48" i="17"/>
  <c r="AC69" i="17"/>
  <c r="AB67" i="17"/>
  <c r="V48" i="17"/>
  <c r="AB19" i="16"/>
  <c r="AB17" i="16"/>
  <c r="AA19" i="16"/>
  <c r="W19" i="16"/>
  <c r="AA21" i="16"/>
  <c r="Z20" i="16"/>
  <c r="AA17" i="16"/>
  <c r="W20" i="16"/>
  <c r="X19" i="16"/>
  <c r="AB20" i="16"/>
  <c r="Z15" i="16"/>
  <c r="AA15" i="16"/>
  <c r="AB15" i="16"/>
  <c r="AC15" i="16"/>
  <c r="AD15" i="16"/>
  <c r="V15" i="16"/>
  <c r="W15" i="16"/>
  <c r="X15" i="16"/>
  <c r="Y15" i="16"/>
  <c r="Z16" i="16"/>
  <c r="AA16" i="16"/>
  <c r="V16" i="16"/>
  <c r="W16" i="16"/>
  <c r="X16" i="16"/>
  <c r="Y16" i="16"/>
  <c r="Y17" i="16"/>
  <c r="V21" i="16"/>
  <c r="W21" i="16"/>
  <c r="Z19" i="16"/>
  <c r="Y21" i="16"/>
  <c r="W17" i="16"/>
  <c r="V17" i="16"/>
  <c r="V20" i="16"/>
  <c r="AD17" i="16"/>
  <c r="Z17" i="16"/>
  <c r="X21" i="16"/>
  <c r="Y19" i="16"/>
  <c r="AB16" i="16"/>
  <c r="Z21" i="16"/>
  <c r="AD19" i="16"/>
  <c r="AC21" i="16"/>
  <c r="AB18" i="16"/>
  <c r="W18" i="16"/>
  <c r="X18" i="16"/>
  <c r="Y18" i="16"/>
  <c r="Z18" i="16"/>
  <c r="AA18" i="16"/>
  <c r="AC18" i="16"/>
  <c r="AC20" i="16"/>
  <c r="AC16" i="16"/>
  <c r="AA20" i="16"/>
  <c r="AD18" i="16"/>
  <c r="AC26" i="15"/>
  <c r="X21" i="15"/>
  <c r="AC80" i="15"/>
  <c r="Z24" i="15"/>
  <c r="Y18" i="15"/>
  <c r="V19" i="15"/>
  <c r="AC42" i="15"/>
  <c r="AD80" i="15"/>
  <c r="W24" i="15"/>
  <c r="AD56" i="15"/>
  <c r="AD37" i="15"/>
  <c r="AC37" i="15"/>
  <c r="Z22" i="15"/>
  <c r="Z37" i="15"/>
  <c r="Y10" i="15"/>
  <c r="W10" i="15"/>
  <c r="Z10" i="15"/>
  <c r="AA10" i="15"/>
  <c r="V10" i="15"/>
  <c r="X10" i="15"/>
  <c r="AB10" i="15"/>
  <c r="V12" i="15"/>
  <c r="X52" i="15"/>
  <c r="Y24" i="15"/>
  <c r="AC27" i="15"/>
  <c r="AA31" i="15"/>
  <c r="Y53" i="15"/>
  <c r="Y39" i="15"/>
  <c r="Z39" i="15"/>
  <c r="AA39" i="15"/>
  <c r="AB39" i="15"/>
  <c r="AC39" i="15"/>
  <c r="AD39" i="15"/>
  <c r="W39" i="15"/>
  <c r="X39" i="15"/>
  <c r="V39" i="15"/>
  <c r="Z27" i="15"/>
  <c r="AA27" i="15"/>
  <c r="AC33" i="15"/>
  <c r="Z53" i="15"/>
  <c r="W40" i="15"/>
  <c r="X40" i="15"/>
  <c r="V40" i="15"/>
  <c r="V17" i="15"/>
  <c r="AA17" i="15"/>
  <c r="Z17" i="15"/>
  <c r="AC17" i="15"/>
  <c r="Y17" i="15"/>
  <c r="W17" i="15"/>
  <c r="X17" i="15"/>
  <c r="AB17" i="15"/>
  <c r="AC52" i="15"/>
  <c r="AB32" i="15"/>
  <c r="X33" i="15"/>
  <c r="AB27" i="15"/>
  <c r="Z81" i="15"/>
  <c r="AB63" i="15"/>
  <c r="AC63" i="15"/>
  <c r="AD63" i="15"/>
  <c r="V63" i="15"/>
  <c r="Y63" i="15"/>
  <c r="W63" i="15"/>
  <c r="X63" i="15"/>
  <c r="Z41" i="15"/>
  <c r="W41" i="15"/>
  <c r="X41" i="15"/>
  <c r="V41" i="15"/>
  <c r="Y41" i="15"/>
  <c r="W33" i="15"/>
  <c r="AB41" i="15"/>
  <c r="Y33" i="15"/>
  <c r="W22" i="15"/>
  <c r="Z48" i="15"/>
  <c r="V48" i="15"/>
  <c r="W48" i="15"/>
  <c r="X48" i="15"/>
  <c r="Y48" i="15"/>
  <c r="AA48" i="15"/>
  <c r="AB48" i="15"/>
  <c r="V33" i="15"/>
  <c r="AC56" i="15"/>
  <c r="V80" i="15"/>
  <c r="W80" i="15"/>
  <c r="X80" i="15"/>
  <c r="Y80" i="15"/>
  <c r="Z80" i="15"/>
  <c r="AA80" i="15"/>
  <c r="Y71" i="15"/>
  <c r="Z71" i="15"/>
  <c r="AA71" i="15"/>
  <c r="AB71" i="15"/>
  <c r="AC71" i="15"/>
  <c r="AD71" i="15"/>
  <c r="W71" i="15"/>
  <c r="X71" i="15"/>
  <c r="V71" i="15"/>
  <c r="X27" i="15"/>
  <c r="AA56" i="15"/>
  <c r="Y40" i="15"/>
  <c r="AC36" i="15"/>
  <c r="AB33" i="15"/>
  <c r="X30" i="15"/>
  <c r="Y30" i="15"/>
  <c r="Z30" i="15"/>
  <c r="AA30" i="15"/>
  <c r="AB30" i="15"/>
  <c r="V30" i="15"/>
  <c r="W30" i="15"/>
  <c r="AC30" i="15"/>
  <c r="AD30" i="15"/>
  <c r="V45" i="15"/>
  <c r="W45" i="15"/>
  <c r="X45" i="15"/>
  <c r="Y45" i="15"/>
  <c r="Z45" i="15"/>
  <c r="AC45" i="15"/>
  <c r="AD45" i="15"/>
  <c r="AA45" i="15"/>
  <c r="AB45" i="15"/>
  <c r="W25" i="15"/>
  <c r="Z25" i="15"/>
  <c r="V25" i="15"/>
  <c r="X25" i="15"/>
  <c r="Y25" i="15"/>
  <c r="AB28" i="15"/>
  <c r="Y28" i="15"/>
  <c r="Z28" i="15"/>
  <c r="AA28" i="15"/>
  <c r="AC28" i="15"/>
  <c r="AD28" i="15"/>
  <c r="X65" i="15"/>
  <c r="Y65" i="15"/>
  <c r="V65" i="15"/>
  <c r="Z65" i="15"/>
  <c r="W65" i="15"/>
  <c r="Z44" i="15"/>
  <c r="AA44" i="15"/>
  <c r="AB44" i="15"/>
  <c r="Y44" i="15"/>
  <c r="AC44" i="15"/>
  <c r="AD44" i="15"/>
  <c r="V13" i="15"/>
  <c r="W13" i="15"/>
  <c r="X13" i="15"/>
  <c r="Y13" i="15"/>
  <c r="Z13" i="15"/>
  <c r="AA13" i="15"/>
  <c r="AC13" i="15"/>
  <c r="AB13" i="15"/>
  <c r="AD13" i="15"/>
  <c r="AC57" i="15"/>
  <c r="AA43" i="15"/>
  <c r="AC12" i="15"/>
  <c r="AB79" i="15"/>
  <c r="AC79" i="15"/>
  <c r="AD79" i="15"/>
  <c r="Y79" i="15"/>
  <c r="W79" i="15"/>
  <c r="X79" i="15"/>
  <c r="V79" i="15"/>
  <c r="W21" i="15"/>
  <c r="X62" i="15"/>
  <c r="Y62" i="15"/>
  <c r="Z62" i="15"/>
  <c r="AA62" i="15"/>
  <c r="AB62" i="15"/>
  <c r="AC62" i="15"/>
  <c r="V62" i="15"/>
  <c r="W62" i="15"/>
  <c r="AD62" i="15"/>
  <c r="AC64" i="15"/>
  <c r="AC43" i="15"/>
  <c r="AC22" i="15"/>
  <c r="AC40" i="15"/>
  <c r="Y42" i="15"/>
  <c r="W27" i="15"/>
  <c r="V49" i="15"/>
  <c r="W49" i="15"/>
  <c r="AB24" i="15"/>
  <c r="AC51" i="15"/>
  <c r="Z51" i="15"/>
  <c r="AA51" i="15"/>
  <c r="AB51" i="15"/>
  <c r="AD51" i="15"/>
  <c r="Y51" i="15"/>
  <c r="AA24" i="15"/>
  <c r="X51" i="15"/>
  <c r="AB53" i="15"/>
  <c r="AA20" i="15"/>
  <c r="AB20" i="15"/>
  <c r="AC20" i="15"/>
  <c r="AD20" i="15"/>
  <c r="V53" i="15"/>
  <c r="V56" i="15"/>
  <c r="X56" i="15"/>
  <c r="W56" i="15"/>
  <c r="V22" i="15"/>
  <c r="AD12" i="15"/>
  <c r="X35" i="15"/>
  <c r="X81" i="15"/>
  <c r="V81" i="15"/>
  <c r="W81" i="15"/>
  <c r="Z21" i="15"/>
  <c r="W72" i="15"/>
  <c r="V72" i="15"/>
  <c r="X72" i="15"/>
  <c r="AA63" i="15"/>
  <c r="AC34" i="15"/>
  <c r="AD40" i="15"/>
  <c r="Z63" i="15"/>
  <c r="AD36" i="15"/>
  <c r="Y22" i="15"/>
  <c r="AB22" i="15"/>
  <c r="V73" i="15"/>
  <c r="Z73" i="15"/>
  <c r="W73" i="15"/>
  <c r="Y73" i="15"/>
  <c r="X73" i="15"/>
  <c r="V77" i="15"/>
  <c r="W77" i="15"/>
  <c r="X77" i="15"/>
  <c r="Y77" i="15"/>
  <c r="Z77" i="15"/>
  <c r="AA77" i="15"/>
  <c r="AB77" i="15"/>
  <c r="AC77" i="15"/>
  <c r="AD77" i="15"/>
  <c r="AB40" i="15"/>
  <c r="Z42" i="15"/>
  <c r="AD81" i="15"/>
  <c r="AA65" i="15"/>
  <c r="W11" i="15"/>
  <c r="X11" i="15"/>
  <c r="Y11" i="15"/>
  <c r="Z11" i="15"/>
  <c r="AC11" i="15"/>
  <c r="AB11" i="15"/>
  <c r="AD11" i="15"/>
  <c r="AA11" i="15"/>
  <c r="Z50" i="15"/>
  <c r="X50" i="15"/>
  <c r="Y50" i="15"/>
  <c r="AB50" i="15"/>
  <c r="W50" i="15"/>
  <c r="AA50" i="15"/>
  <c r="AC50" i="15"/>
  <c r="AD50" i="15"/>
  <c r="Z12" i="15"/>
  <c r="AC25" i="15"/>
  <c r="V42" i="15"/>
  <c r="X28" i="15"/>
  <c r="AB31" i="15"/>
  <c r="AC31" i="15"/>
  <c r="AD31" i="15"/>
  <c r="W31" i="15"/>
  <c r="X31" i="15"/>
  <c r="V31" i="15"/>
  <c r="Y31" i="15"/>
  <c r="X14" i="15"/>
  <c r="Y14" i="15"/>
  <c r="Z14" i="15"/>
  <c r="AA14" i="15"/>
  <c r="AB14" i="15"/>
  <c r="W14" i="15"/>
  <c r="V14" i="15"/>
  <c r="AD14" i="15"/>
  <c r="AC14" i="15"/>
  <c r="AA75" i="15"/>
  <c r="Z75" i="15"/>
  <c r="AD75" i="15"/>
  <c r="Y75" i="15"/>
  <c r="AC75" i="15"/>
  <c r="W75" i="15"/>
  <c r="X75" i="15"/>
  <c r="AB75" i="15"/>
  <c r="Z49" i="15"/>
  <c r="X68" i="15"/>
  <c r="AA40" i="15"/>
  <c r="AC81" i="15"/>
  <c r="AB42" i="15"/>
  <c r="AA52" i="15"/>
  <c r="AD48" i="15"/>
  <c r="AA49" i="15"/>
  <c r="Y19" i="15"/>
  <c r="AC19" i="15"/>
  <c r="AB19" i="15"/>
  <c r="AD19" i="15"/>
  <c r="AA19" i="15"/>
  <c r="Z19" i="15"/>
  <c r="AB49" i="15"/>
  <c r="AA58" i="15"/>
  <c r="V29" i="15"/>
  <c r="W29" i="15"/>
  <c r="X29" i="15"/>
  <c r="Y29" i="15"/>
  <c r="Z29" i="15"/>
  <c r="AA29" i="15"/>
  <c r="AC29" i="15"/>
  <c r="AB29" i="15"/>
  <c r="AD29" i="15"/>
  <c r="AA76" i="15"/>
  <c r="Z76" i="15"/>
  <c r="AB76" i="15"/>
  <c r="AC76" i="15"/>
  <c r="AD76" i="15"/>
  <c r="Y76" i="15"/>
  <c r="AB52" i="15"/>
  <c r="Y68" i="15"/>
  <c r="AB37" i="15"/>
  <c r="V28" i="15"/>
  <c r="Y27" i="15"/>
  <c r="V24" i="15"/>
  <c r="AD49" i="15"/>
  <c r="X26" i="15"/>
  <c r="Y26" i="15"/>
  <c r="AB26" i="15"/>
  <c r="Z26" i="15"/>
  <c r="W26" i="15"/>
  <c r="AA26" i="15"/>
  <c r="AA12" i="15"/>
  <c r="V64" i="15"/>
  <c r="W64" i="15"/>
  <c r="X64" i="15"/>
  <c r="Y64" i="15"/>
  <c r="Z64" i="15"/>
  <c r="AA64" i="15"/>
  <c r="V61" i="15"/>
  <c r="W61" i="15"/>
  <c r="X61" i="15"/>
  <c r="Y61" i="15"/>
  <c r="Z61" i="15"/>
  <c r="AA61" i="15"/>
  <c r="AB61" i="15"/>
  <c r="AC61" i="15"/>
  <c r="AD61" i="15"/>
  <c r="Y55" i="15"/>
  <c r="Z55" i="15"/>
  <c r="AA55" i="15"/>
  <c r="AB55" i="15"/>
  <c r="AC55" i="15"/>
  <c r="AD55" i="15"/>
  <c r="W55" i="15"/>
  <c r="X55" i="15"/>
  <c r="V55" i="15"/>
  <c r="Z56" i="15"/>
  <c r="V26" i="15"/>
  <c r="V16" i="15"/>
  <c r="X16" i="15"/>
  <c r="AA16" i="15"/>
  <c r="Y16" i="15"/>
  <c r="Z16" i="15"/>
  <c r="W16" i="15"/>
  <c r="W57" i="15"/>
  <c r="Z57" i="15"/>
  <c r="Y57" i="15"/>
  <c r="X57" i="15"/>
  <c r="X49" i="15"/>
  <c r="AB59" i="15"/>
  <c r="W59" i="15"/>
  <c r="AC59" i="15"/>
  <c r="Z59" i="15"/>
  <c r="AA59" i="15"/>
  <c r="Y59" i="15"/>
  <c r="AD59" i="15"/>
  <c r="X59" i="15"/>
  <c r="AB56" i="15"/>
  <c r="AA32" i="15"/>
  <c r="W32" i="15"/>
  <c r="X32" i="15"/>
  <c r="Z32" i="15"/>
  <c r="V32" i="15"/>
  <c r="Y32" i="15"/>
  <c r="W68" i="15"/>
  <c r="AD65" i="15"/>
  <c r="AD24" i="15"/>
  <c r="AB47" i="15"/>
  <c r="AC47" i="15"/>
  <c r="AD47" i="15"/>
  <c r="W47" i="15"/>
  <c r="V47" i="15"/>
  <c r="X47" i="15"/>
  <c r="Y47" i="15"/>
  <c r="Y12" i="15"/>
  <c r="V51" i="15"/>
  <c r="X46" i="15"/>
  <c r="Y46" i="15"/>
  <c r="Z46" i="15"/>
  <c r="AA46" i="15"/>
  <c r="AB46" i="15"/>
  <c r="V46" i="15"/>
  <c r="W46" i="15"/>
  <c r="AC46" i="15"/>
  <c r="AD46" i="15"/>
  <c r="AC49" i="15"/>
  <c r="V35" i="15"/>
  <c r="X58" i="15"/>
  <c r="V68" i="15"/>
  <c r="AD58" i="15"/>
  <c r="Y49" i="15"/>
  <c r="Z58" i="15"/>
  <c r="X78" i="15"/>
  <c r="Y78" i="15"/>
  <c r="Z78" i="15"/>
  <c r="AA78" i="15"/>
  <c r="W78" i="15"/>
  <c r="AD78" i="15"/>
  <c r="V78" i="15"/>
  <c r="AC78" i="15"/>
  <c r="AB78" i="15"/>
  <c r="Y23" i="15"/>
  <c r="Z23" i="15"/>
  <c r="AA23" i="15"/>
  <c r="AB23" i="15"/>
  <c r="AC23" i="15"/>
  <c r="AD23" i="15"/>
  <c r="W23" i="15"/>
  <c r="X23" i="15"/>
  <c r="V23" i="15"/>
  <c r="W42" i="15"/>
  <c r="W43" i="15"/>
  <c r="Y43" i="15"/>
  <c r="Z43" i="15"/>
  <c r="X43" i="15"/>
  <c r="Z66" i="15"/>
  <c r="W66" i="15"/>
  <c r="AC66" i="15"/>
  <c r="X66" i="15"/>
  <c r="AA66" i="15"/>
  <c r="AD66" i="15"/>
  <c r="Y66" i="15"/>
  <c r="AB66" i="15"/>
  <c r="AA47" i="15"/>
  <c r="X12" i="15"/>
  <c r="Y67" i="15"/>
  <c r="AA67" i="15"/>
  <c r="Z67" i="15"/>
  <c r="AB67" i="15"/>
  <c r="AD67" i="15"/>
  <c r="AC67" i="15"/>
  <c r="AD27" i="15"/>
  <c r="X34" i="15"/>
  <c r="W34" i="15"/>
  <c r="Y34" i="15"/>
  <c r="Z34" i="15"/>
  <c r="AA37" i="15"/>
  <c r="AC65" i="15"/>
  <c r="Z68" i="15"/>
  <c r="AC58" i="15"/>
  <c r="W12" i="15"/>
  <c r="W58" i="15"/>
  <c r="AD68" i="15"/>
  <c r="AB25" i="15"/>
  <c r="AC53" i="15"/>
  <c r="AD53" i="15"/>
  <c r="AD25" i="15"/>
  <c r="AA42" i="15"/>
  <c r="X44" i="15"/>
  <c r="AC48" i="15"/>
  <c r="AB15" i="15"/>
  <c r="AC15" i="15"/>
  <c r="AD15" i="15"/>
  <c r="V15" i="15"/>
  <c r="W15" i="15"/>
  <c r="X15" i="15"/>
  <c r="Y15" i="15"/>
  <c r="X53" i="15"/>
  <c r="AB60" i="15"/>
  <c r="AA60" i="15"/>
  <c r="Y60" i="15"/>
  <c r="Z60" i="15"/>
  <c r="AD60" i="15"/>
  <c r="AC60" i="15"/>
  <c r="V11" i="15"/>
  <c r="Z40" i="15"/>
  <c r="AC35" i="15"/>
  <c r="AA35" i="15"/>
  <c r="Y35" i="15"/>
  <c r="AB35" i="15"/>
  <c r="AD35" i="15"/>
  <c r="Z35" i="15"/>
  <c r="AA53" i="15"/>
  <c r="AA15" i="15"/>
  <c r="AA79" i="15"/>
  <c r="V43" i="15"/>
  <c r="V75" i="15"/>
  <c r="Y81" i="15"/>
  <c r="AD79" i="14"/>
  <c r="V79" i="14"/>
  <c r="W79" i="14"/>
  <c r="X79" i="14"/>
  <c r="Y79" i="14"/>
  <c r="Z79" i="14"/>
  <c r="AB79" i="14"/>
  <c r="AC79" i="14"/>
  <c r="Y48" i="14"/>
  <c r="AC48" i="14"/>
  <c r="AB15" i="14"/>
  <c r="Y11" i="14"/>
  <c r="W24" i="14"/>
  <c r="AD25" i="14"/>
  <c r="W45" i="14"/>
  <c r="X45" i="14"/>
  <c r="Z45" i="14"/>
  <c r="V45" i="14"/>
  <c r="Y45" i="14"/>
  <c r="AA45" i="14"/>
  <c r="AB45" i="14"/>
  <c r="AC45" i="14"/>
  <c r="AD45" i="14"/>
  <c r="V39" i="14"/>
  <c r="W39" i="14"/>
  <c r="X39" i="14"/>
  <c r="X25" i="14"/>
  <c r="AC18" i="14"/>
  <c r="AC58" i="14"/>
  <c r="AA65" i="14"/>
  <c r="Y19" i="14"/>
  <c r="AC25" i="14"/>
  <c r="Y51" i="14"/>
  <c r="Y18" i="14"/>
  <c r="AD26" i="14"/>
  <c r="AA26" i="14"/>
  <c r="AB26" i="14"/>
  <c r="AC26" i="14"/>
  <c r="AB31" i="14"/>
  <c r="AD31" i="14"/>
  <c r="AC31" i="14"/>
  <c r="V31" i="14"/>
  <c r="W31" i="14"/>
  <c r="Z31" i="14"/>
  <c r="X31" i="14"/>
  <c r="Y31" i="14"/>
  <c r="AB11" i="14"/>
  <c r="Z24" i="14"/>
  <c r="AA20" i="14"/>
  <c r="W19" i="14"/>
  <c r="W51" i="14"/>
  <c r="AB50" i="14"/>
  <c r="V32" i="14"/>
  <c r="W32" i="14"/>
  <c r="X32" i="14"/>
  <c r="W42" i="14"/>
  <c r="V42" i="14"/>
  <c r="X42" i="14"/>
  <c r="Y42" i="14"/>
  <c r="AA36" i="14"/>
  <c r="Z20" i="14"/>
  <c r="AA50" i="14"/>
  <c r="V51" i="14"/>
  <c r="V11" i="14"/>
  <c r="AB57" i="14"/>
  <c r="X17" i="14"/>
  <c r="Y17" i="14"/>
  <c r="W17" i="14"/>
  <c r="Z17" i="14"/>
  <c r="AB17" i="14"/>
  <c r="AC17" i="14"/>
  <c r="AD17" i="14"/>
  <c r="AC80" i="14"/>
  <c r="AB80" i="14"/>
  <c r="Z48" i="14"/>
  <c r="V26" i="14"/>
  <c r="AC19" i="14"/>
  <c r="AA19" i="14"/>
  <c r="AB19" i="14"/>
  <c r="V44" i="14"/>
  <c r="X44" i="14"/>
  <c r="Z44" i="14"/>
  <c r="AC44" i="14"/>
  <c r="AA44" i="14"/>
  <c r="AB44" i="14"/>
  <c r="AD44" i="14"/>
  <c r="W44" i="14"/>
  <c r="Y44" i="14"/>
  <c r="X27" i="14"/>
  <c r="Y27" i="14"/>
  <c r="W27" i="14"/>
  <c r="AD27" i="14"/>
  <c r="AD15" i="14"/>
  <c r="X58" i="14"/>
  <c r="AB18" i="14"/>
  <c r="Z62" i="14"/>
  <c r="AB62" i="14"/>
  <c r="V62" i="14"/>
  <c r="W62" i="14"/>
  <c r="X62" i="14"/>
  <c r="AA62" i="14"/>
  <c r="AC62" i="14"/>
  <c r="AD62" i="14"/>
  <c r="V40" i="14"/>
  <c r="X40" i="14"/>
  <c r="Y40" i="14"/>
  <c r="W40" i="14"/>
  <c r="AA11" i="14"/>
  <c r="Z11" i="14"/>
  <c r="Z18" i="14"/>
  <c r="X19" i="14"/>
  <c r="X33" i="14"/>
  <c r="X51" i="14"/>
  <c r="AB33" i="14"/>
  <c r="AC33" i="14"/>
  <c r="AD33" i="14"/>
  <c r="Z14" i="14"/>
  <c r="AB14" i="14"/>
  <c r="AD14" i="14"/>
  <c r="V14" i="14"/>
  <c r="W14" i="14"/>
  <c r="AA14" i="14"/>
  <c r="AC14" i="14"/>
  <c r="X14" i="14"/>
  <c r="AC43" i="14"/>
  <c r="AD43" i="14"/>
  <c r="AD57" i="14"/>
  <c r="Y14" i="14"/>
  <c r="Z36" i="14"/>
  <c r="Y20" i="14"/>
  <c r="W50" i="14"/>
  <c r="Z19" i="14"/>
  <c r="Z51" i="14"/>
  <c r="V16" i="14"/>
  <c r="X81" i="14"/>
  <c r="Z34" i="14"/>
  <c r="AC34" i="14"/>
  <c r="AD34" i="14"/>
  <c r="AB34" i="14"/>
  <c r="Y34" i="14"/>
  <c r="AA34" i="14"/>
  <c r="V15" i="14"/>
  <c r="X15" i="14"/>
  <c r="Y15" i="14"/>
  <c r="Y36" i="14"/>
  <c r="X71" i="14"/>
  <c r="X20" i="14"/>
  <c r="X24" i="14"/>
  <c r="V50" i="14"/>
  <c r="AA27" i="14"/>
  <c r="AC67" i="14"/>
  <c r="AA68" i="14"/>
  <c r="AB27" i="14"/>
  <c r="Y24" i="14"/>
  <c r="AA79" i="14"/>
  <c r="V60" i="14"/>
  <c r="X60" i="14"/>
  <c r="W60" i="14"/>
  <c r="Y60" i="14"/>
  <c r="Z60" i="14"/>
  <c r="AA60" i="14"/>
  <c r="AB60" i="14"/>
  <c r="AD60" i="14"/>
  <c r="AC60" i="14"/>
  <c r="V55" i="14"/>
  <c r="W55" i="14"/>
  <c r="AA25" i="14"/>
  <c r="W20" i="14"/>
  <c r="W26" i="14"/>
  <c r="AB78" i="14"/>
  <c r="X78" i="14"/>
  <c r="Z78" i="14"/>
  <c r="AC78" i="14"/>
  <c r="W78" i="14"/>
  <c r="AA78" i="14"/>
  <c r="V78" i="14"/>
  <c r="AD78" i="14"/>
  <c r="W56" i="14"/>
  <c r="X56" i="14"/>
  <c r="Y56" i="14"/>
  <c r="Z56" i="14"/>
  <c r="V27" i="14"/>
  <c r="V20" i="14"/>
  <c r="AC51" i="14"/>
  <c r="Y68" i="14"/>
  <c r="W81" i="14"/>
  <c r="AB81" i="14"/>
  <c r="AC81" i="14"/>
  <c r="AD81" i="14"/>
  <c r="W11" i="14"/>
  <c r="Y33" i="14"/>
  <c r="AB47" i="14"/>
  <c r="AD47" i="14"/>
  <c r="W47" i="14"/>
  <c r="Z47" i="14"/>
  <c r="V47" i="14"/>
  <c r="X47" i="14"/>
  <c r="Y47" i="14"/>
  <c r="AC47" i="14"/>
  <c r="W59" i="14"/>
  <c r="X59" i="14"/>
  <c r="AD11" i="14"/>
  <c r="AC23" i="14"/>
  <c r="Z26" i="14"/>
  <c r="W18" i="14"/>
  <c r="Z30" i="14"/>
  <c r="AB30" i="14"/>
  <c r="V30" i="14"/>
  <c r="W30" i="14"/>
  <c r="X30" i="14"/>
  <c r="AA30" i="14"/>
  <c r="AC30" i="14"/>
  <c r="AD30" i="14"/>
  <c r="W13" i="14"/>
  <c r="X13" i="14"/>
  <c r="Z13" i="14"/>
  <c r="V13" i="14"/>
  <c r="AA13" i="14"/>
  <c r="Y13" i="14"/>
  <c r="AB13" i="14"/>
  <c r="AC13" i="14"/>
  <c r="AD13" i="14"/>
  <c r="X76" i="14"/>
  <c r="Y76" i="14"/>
  <c r="Z76" i="14"/>
  <c r="AA76" i="14"/>
  <c r="AB76" i="14"/>
  <c r="AC76" i="14"/>
  <c r="AD76" i="14"/>
  <c r="V76" i="14"/>
  <c r="W76" i="14"/>
  <c r="V18" i="14"/>
  <c r="AD42" i="14"/>
  <c r="AA39" i="14"/>
  <c r="Z23" i="14"/>
  <c r="AA41" i="14"/>
  <c r="AA72" i="14"/>
  <c r="AC71" i="14"/>
  <c r="V24" i="14"/>
  <c r="AC52" i="14"/>
  <c r="AD52" i="14"/>
  <c r="V74" i="14"/>
  <c r="W74" i="14"/>
  <c r="X74" i="14"/>
  <c r="AA74" i="14"/>
  <c r="AB74" i="14"/>
  <c r="AD74" i="14"/>
  <c r="AC74" i="14"/>
  <c r="AC59" i="14"/>
  <c r="Y39" i="14"/>
  <c r="AC11" i="14"/>
  <c r="AB48" i="14"/>
  <c r="W71" i="14"/>
  <c r="AD55" i="14"/>
  <c r="X35" i="14"/>
  <c r="AA71" i="14"/>
  <c r="AA43" i="14"/>
  <c r="W33" i="14"/>
  <c r="V33" i="14"/>
  <c r="AB23" i="14"/>
  <c r="AA23" i="14"/>
  <c r="Z73" i="14"/>
  <c r="AA73" i="14"/>
  <c r="AB73" i="14"/>
  <c r="Y73" i="14"/>
  <c r="W48" i="14"/>
  <c r="AB71" i="14"/>
  <c r="Z25" i="14"/>
  <c r="Y65" i="14"/>
  <c r="AD58" i="14"/>
  <c r="AD16" i="14"/>
  <c r="Z41" i="14"/>
  <c r="Y75" i="14"/>
  <c r="AC55" i="14"/>
  <c r="W35" i="14"/>
  <c r="Z71" i="14"/>
  <c r="AD67" i="14"/>
  <c r="AD23" i="14"/>
  <c r="Z39" i="14"/>
  <c r="Y35" i="14"/>
  <c r="V81" i="14"/>
  <c r="AB55" i="14"/>
  <c r="V35" i="14"/>
  <c r="Y71" i="14"/>
  <c r="AB43" i="14"/>
  <c r="X73" i="14"/>
  <c r="AD68" i="14"/>
  <c r="W73" i="14"/>
  <c r="AB63" i="14"/>
  <c r="AD63" i="14"/>
  <c r="V63" i="14"/>
  <c r="X63" i="14"/>
  <c r="Y63" i="14"/>
  <c r="Z63" i="14"/>
  <c r="W63" i="14"/>
  <c r="AC63" i="14"/>
  <c r="W77" i="14"/>
  <c r="Z77" i="14"/>
  <c r="V77" i="14"/>
  <c r="X77" i="14"/>
  <c r="Y77" i="14"/>
  <c r="AA77" i="14"/>
  <c r="AB77" i="14"/>
  <c r="AC77" i="14"/>
  <c r="AD77" i="14"/>
  <c r="AB32" i="14"/>
  <c r="Z15" i="14"/>
  <c r="AD24" i="14"/>
  <c r="Z58" i="14"/>
  <c r="AA55" i="14"/>
  <c r="Z35" i="14"/>
  <c r="AD32" i="14"/>
  <c r="Z27" i="14"/>
  <c r="AA33" i="14"/>
  <c r="V48" i="14"/>
  <c r="V12" i="14"/>
  <c r="X12" i="14"/>
  <c r="W12" i="14"/>
  <c r="Y12" i="14"/>
  <c r="Z12" i="14"/>
  <c r="AA12" i="14"/>
  <c r="AB12" i="14"/>
  <c r="AC12" i="14"/>
  <c r="AD12" i="14"/>
  <c r="AA58" i="14"/>
  <c r="Z64" i="14"/>
  <c r="Y64" i="14"/>
  <c r="AA64" i="14"/>
  <c r="V64" i="14"/>
  <c r="W64" i="14"/>
  <c r="X64" i="14"/>
  <c r="AB35" i="14"/>
  <c r="Y78" i="14"/>
  <c r="AC24" i="14"/>
  <c r="AD65" i="14"/>
  <c r="Z55" i="14"/>
  <c r="AC32" i="14"/>
  <c r="Y50" i="14"/>
  <c r="V80" i="14"/>
  <c r="W80" i="14"/>
  <c r="X80" i="14"/>
  <c r="Y80" i="14"/>
  <c r="Z80" i="14"/>
  <c r="AA80" i="14"/>
  <c r="V23" i="14"/>
  <c r="W23" i="14"/>
  <c r="X23" i="14"/>
  <c r="Y57" i="14"/>
  <c r="Z57" i="14"/>
  <c r="W57" i="14"/>
  <c r="AA57" i="14"/>
  <c r="V57" i="14"/>
  <c r="X57" i="14"/>
  <c r="Y49" i="14"/>
  <c r="Z49" i="14"/>
  <c r="W49" i="14"/>
  <c r="X49" i="14"/>
  <c r="AA49" i="14"/>
  <c r="AB49" i="14"/>
  <c r="AC49" i="14"/>
  <c r="V28" i="14"/>
  <c r="X28" i="14"/>
  <c r="W28" i="14"/>
  <c r="Y28" i="14"/>
  <c r="Z28" i="14"/>
  <c r="AA28" i="14"/>
  <c r="AB28" i="14"/>
  <c r="AC28" i="14"/>
  <c r="AD28" i="14"/>
  <c r="AD19" i="14"/>
  <c r="AB24" i="14"/>
  <c r="Y55" i="14"/>
  <c r="AA17" i="14"/>
  <c r="V56" i="14"/>
  <c r="AD48" i="14"/>
  <c r="W34" i="14"/>
  <c r="W15" i="14"/>
  <c r="W61" i="14"/>
  <c r="X61" i="14"/>
  <c r="Z61" i="14"/>
  <c r="AB61" i="14"/>
  <c r="AC61" i="14"/>
  <c r="Y61" i="14"/>
  <c r="AA61" i="14"/>
  <c r="AD61" i="14"/>
  <c r="V61" i="14"/>
  <c r="Y26" i="14"/>
  <c r="Y66" i="14"/>
  <c r="Z66" i="14"/>
  <c r="AA66" i="14"/>
  <c r="AC66" i="14"/>
  <c r="AB66" i="14"/>
  <c r="W25" i="14"/>
  <c r="Y25" i="14"/>
  <c r="AD40" i="14"/>
  <c r="AB25" i="14"/>
  <c r="Y58" i="14"/>
  <c r="V59" i="14"/>
  <c r="Z50" i="14"/>
  <c r="V34" i="14"/>
  <c r="Z46" i="14"/>
  <c r="AB46" i="14"/>
  <c r="W46" i="14"/>
  <c r="X46" i="14"/>
  <c r="AA46" i="14"/>
  <c r="AC46" i="14"/>
  <c r="AD46" i="14"/>
  <c r="V46" i="14"/>
  <c r="AA31" i="14"/>
  <c r="AA32" i="14"/>
  <c r="AC40" i="14"/>
  <c r="AD35" i="14"/>
  <c r="Y62" i="14"/>
  <c r="Z16" i="14"/>
  <c r="AB16" i="14"/>
  <c r="Y16" i="14"/>
  <c r="AA16" i="14"/>
  <c r="W29" i="14"/>
  <c r="X29" i="14"/>
  <c r="Z29" i="14"/>
  <c r="AD29" i="14"/>
  <c r="Y29" i="14"/>
  <c r="AA29" i="14"/>
  <c r="AB29" i="14"/>
  <c r="AC29" i="14"/>
  <c r="V29" i="14"/>
  <c r="AB10" i="14"/>
  <c r="AC10" i="14"/>
  <c r="AA10" i="14"/>
  <c r="AD10" i="14"/>
  <c r="Y32" i="14"/>
  <c r="AB40" i="14"/>
  <c r="W41" i="14"/>
  <c r="Y67" i="14"/>
  <c r="W66" i="14"/>
  <c r="W16" i="14"/>
  <c r="Y81" i="14"/>
  <c r="X46" i="13"/>
  <c r="Y46" i="13"/>
  <c r="AA46" i="13"/>
  <c r="AB46" i="13"/>
  <c r="AD46" i="13"/>
  <c r="AC46" i="13"/>
  <c r="W46" i="13"/>
  <c r="V46" i="13"/>
  <c r="Z46" i="13"/>
  <c r="Z17" i="13"/>
  <c r="AB17" i="13"/>
  <c r="X17" i="13"/>
  <c r="Y17" i="13"/>
  <c r="AC17" i="13"/>
  <c r="AA17" i="13"/>
  <c r="Z63" i="13"/>
  <c r="AA63" i="13"/>
  <c r="V63" i="13"/>
  <c r="W63" i="13"/>
  <c r="X63" i="13"/>
  <c r="Y63" i="13"/>
  <c r="AD63" i="13"/>
  <c r="AB63" i="13"/>
  <c r="AC63" i="13"/>
  <c r="Z50" i="13"/>
  <c r="Z19" i="13"/>
  <c r="Y48" i="13"/>
  <c r="X64" i="13"/>
  <c r="W17" i="13"/>
  <c r="Y50" i="13"/>
  <c r="AD50" i="13"/>
  <c r="Z64" i="13"/>
  <c r="V17" i="13"/>
  <c r="W66" i="13"/>
  <c r="X50" i="13"/>
  <c r="X67" i="13"/>
  <c r="AD17" i="13"/>
  <c r="W50" i="13"/>
  <c r="AC52" i="13"/>
  <c r="V48" i="13"/>
  <c r="X81" i="13"/>
  <c r="V50" i="13"/>
  <c r="AB52" i="13"/>
  <c r="W33" i="13"/>
  <c r="V33" i="13"/>
  <c r="X62" i="13"/>
  <c r="Y62" i="13"/>
  <c r="AA62" i="13"/>
  <c r="AB62" i="13"/>
  <c r="AC62" i="13"/>
  <c r="AD62" i="13"/>
  <c r="W62" i="13"/>
  <c r="Z62" i="13"/>
  <c r="V62" i="13"/>
  <c r="AD48" i="13"/>
  <c r="X33" i="13"/>
  <c r="AA52" i="13"/>
  <c r="Y34" i="13"/>
  <c r="AB34" i="13"/>
  <c r="W34" i="13"/>
  <c r="AD34" i="13"/>
  <c r="AC34" i="13"/>
  <c r="Z34" i="13"/>
  <c r="X34" i="13"/>
  <c r="AA34" i="13"/>
  <c r="Z79" i="13"/>
  <c r="AA79" i="13"/>
  <c r="V79" i="13"/>
  <c r="W79" i="13"/>
  <c r="AB79" i="13"/>
  <c r="AC79" i="13"/>
  <c r="AD79" i="13"/>
  <c r="X79" i="13"/>
  <c r="Y79" i="13"/>
  <c r="AA81" i="13"/>
  <c r="AD52" i="13"/>
  <c r="AB35" i="13"/>
  <c r="AA64" i="13"/>
  <c r="AB68" i="13"/>
  <c r="X52" i="13"/>
  <c r="AC19" i="13"/>
  <c r="Z15" i="13"/>
  <c r="AA15" i="13"/>
  <c r="AB15" i="13"/>
  <c r="V15" i="13"/>
  <c r="W15" i="13"/>
  <c r="AD15" i="13"/>
  <c r="AC15" i="13"/>
  <c r="X15" i="13"/>
  <c r="Y15" i="13"/>
  <c r="AC64" i="13"/>
  <c r="AB81" i="13"/>
  <c r="AC68" i="13"/>
  <c r="V52" i="13"/>
  <c r="V16" i="13"/>
  <c r="W16" i="13"/>
  <c r="AC48" i="13"/>
  <c r="AC33" i="13"/>
  <c r="AD69" i="13"/>
  <c r="Y51" i="13"/>
  <c r="Z51" i="13"/>
  <c r="AA51" i="13"/>
  <c r="AB51" i="13"/>
  <c r="AC51" i="13"/>
  <c r="Y53" i="13"/>
  <c r="W53" i="13"/>
  <c r="V53" i="13"/>
  <c r="Z53" i="13"/>
  <c r="W52" i="13"/>
  <c r="X48" i="13"/>
  <c r="Y35" i="13"/>
  <c r="AD33" i="13"/>
  <c r="W35" i="13"/>
  <c r="Z81" i="13"/>
  <c r="X36" i="13"/>
  <c r="AD21" i="13"/>
  <c r="X69" i="13"/>
  <c r="AB49" i="13"/>
  <c r="AC49" i="13"/>
  <c r="V49" i="13"/>
  <c r="W49" i="13"/>
  <c r="X49" i="13"/>
  <c r="Y49" i="13"/>
  <c r="Z49" i="13"/>
  <c r="AA49" i="13"/>
  <c r="X51" i="13"/>
  <c r="AC66" i="13"/>
  <c r="AD66" i="13"/>
  <c r="Y16" i="13"/>
  <c r="X30" i="13"/>
  <c r="Y30" i="13"/>
  <c r="Z30" i="13"/>
  <c r="V30" i="13"/>
  <c r="W30" i="13"/>
  <c r="AA30" i="13"/>
  <c r="AB30" i="13"/>
  <c r="AC30" i="13"/>
  <c r="AD30" i="13"/>
  <c r="W80" i="13"/>
  <c r="V80" i="13"/>
  <c r="AA48" i="13"/>
  <c r="Z18" i="13"/>
  <c r="V36" i="13"/>
  <c r="AC21" i="13"/>
  <c r="W69" i="13"/>
  <c r="W32" i="13"/>
  <c r="AA20" i="13"/>
  <c r="V51" i="13"/>
  <c r="W51" i="13"/>
  <c r="Z16" i="13"/>
  <c r="V64" i="13"/>
  <c r="AB53" i="13"/>
  <c r="AC50" i="13"/>
  <c r="AC18" i="13"/>
  <c r="V20" i="13"/>
  <c r="W36" i="13"/>
  <c r="X21" i="13"/>
  <c r="Z69" i="13"/>
  <c r="V32" i="13"/>
  <c r="AB80" i="13"/>
  <c r="V34" i="13"/>
  <c r="Y64" i="13"/>
  <c r="Z47" i="13"/>
  <c r="AA47" i="13"/>
  <c r="V47" i="13"/>
  <c r="AC47" i="13"/>
  <c r="AD47" i="13"/>
  <c r="X47" i="13"/>
  <c r="AB47" i="13"/>
  <c r="W47" i="13"/>
  <c r="Y47" i="13"/>
  <c r="Y20" i="13"/>
  <c r="Z48" i="13"/>
  <c r="Y33" i="13"/>
  <c r="V18" i="13"/>
  <c r="Z36" i="13"/>
  <c r="Z21" i="13"/>
  <c r="V69" i="13"/>
  <c r="AD32" i="13"/>
  <c r="AA19" i="13"/>
  <c r="AB48" i="13"/>
  <c r="X14" i="13"/>
  <c r="Y14" i="13"/>
  <c r="Z14" i="13"/>
  <c r="AA14" i="13"/>
  <c r="AB14" i="13"/>
  <c r="AC14" i="13"/>
  <c r="AD14" i="13"/>
  <c r="V14" i="13"/>
  <c r="W14" i="13"/>
  <c r="X78" i="13"/>
  <c r="Y78" i="13"/>
  <c r="AC78" i="13"/>
  <c r="AD78" i="13"/>
  <c r="W78" i="13"/>
  <c r="Z78" i="13"/>
  <c r="AB78" i="13"/>
  <c r="AA78" i="13"/>
  <c r="V78" i="13"/>
  <c r="AD18" i="13"/>
  <c r="AD49" i="13"/>
  <c r="Z31" i="13"/>
  <c r="AA31" i="13"/>
  <c r="AB31" i="13"/>
  <c r="W31" i="13"/>
  <c r="X31" i="13"/>
  <c r="Y31" i="13"/>
  <c r="AC31" i="13"/>
  <c r="AD31" i="13"/>
  <c r="V31" i="13"/>
  <c r="Y67" i="13"/>
  <c r="Z67" i="13"/>
  <c r="AA67" i="13"/>
  <c r="AB67" i="13"/>
  <c r="AC67" i="13"/>
  <c r="X20" i="13"/>
  <c r="X32" i="13"/>
  <c r="AC69" i="13"/>
  <c r="Y21" i="13"/>
  <c r="AB69" i="13"/>
  <c r="AC32" i="13"/>
  <c r="AA18" i="13"/>
  <c r="X65" i="13"/>
  <c r="AB65" i="13"/>
  <c r="V65" i="13"/>
  <c r="W65" i="13"/>
  <c r="Y65" i="13"/>
  <c r="Z65" i="13"/>
  <c r="AA65" i="13"/>
  <c r="AC65" i="13"/>
  <c r="AD19" i="13"/>
  <c r="AD51" i="13"/>
  <c r="Y19" i="13"/>
  <c r="AD34" i="12"/>
  <c r="AC34" i="12"/>
  <c r="Z32" i="12"/>
  <c r="W26" i="12"/>
  <c r="Y36" i="12"/>
  <c r="Z36" i="12"/>
  <c r="AA36" i="12"/>
  <c r="AB36" i="12"/>
  <c r="Y35" i="12"/>
  <c r="AB26" i="12"/>
  <c r="V48" i="12"/>
  <c r="W48" i="12"/>
  <c r="Y48" i="12"/>
  <c r="X48" i="12"/>
  <c r="Z48" i="12"/>
  <c r="AD48" i="12"/>
  <c r="AC35" i="12"/>
  <c r="AB68" i="12"/>
  <c r="AD69" i="12"/>
  <c r="AA68" i="12"/>
  <c r="AB34" i="12"/>
  <c r="Z68" i="12"/>
  <c r="Z47" i="12"/>
  <c r="AA47" i="12"/>
  <c r="V47" i="12"/>
  <c r="W47" i="12"/>
  <c r="X47" i="12"/>
  <c r="AB47" i="12"/>
  <c r="AC47" i="12"/>
  <c r="AD47" i="12"/>
  <c r="Y68" i="12"/>
  <c r="AA56" i="12"/>
  <c r="W72" i="12"/>
  <c r="W42" i="12"/>
  <c r="X34" i="12"/>
  <c r="AF52" i="12"/>
  <c r="W71" i="12"/>
  <c r="W68" i="12"/>
  <c r="Y34" i="12"/>
  <c r="AF55" i="12"/>
  <c r="W54" i="12"/>
  <c r="X54" i="12"/>
  <c r="Z63" i="12"/>
  <c r="AC63" i="12"/>
  <c r="AD63" i="12"/>
  <c r="AA63" i="12"/>
  <c r="AB63" i="12"/>
  <c r="AF63" i="12"/>
  <c r="V63" i="12"/>
  <c r="X63" i="12"/>
  <c r="Y63" i="12"/>
  <c r="W63" i="12"/>
  <c r="AD80" i="12"/>
  <c r="AF68" i="12"/>
  <c r="W34" i="12"/>
  <c r="AA69" i="12"/>
  <c r="AC36" i="12"/>
  <c r="AD55" i="12"/>
  <c r="Z71" i="12"/>
  <c r="AC56" i="12"/>
  <c r="V40" i="12"/>
  <c r="Y64" i="12"/>
  <c r="Z64" i="12"/>
  <c r="X36" i="12"/>
  <c r="AF50" i="12"/>
  <c r="V29" i="12"/>
  <c r="Z80" i="12"/>
  <c r="V35" i="12"/>
  <c r="V34" i="12"/>
  <c r="AF54" i="12"/>
  <c r="W50" i="12"/>
  <c r="V55" i="12"/>
  <c r="V71" i="12"/>
  <c r="AF56" i="12"/>
  <c r="Y54" i="12"/>
  <c r="X65" i="12"/>
  <c r="V65" i="12"/>
  <c r="Y65" i="12"/>
  <c r="Z65" i="12"/>
  <c r="AA65" i="12"/>
  <c r="W36" i="12"/>
  <c r="AD50" i="12"/>
  <c r="AB35" i="12"/>
  <c r="Y80" i="12"/>
  <c r="Y43" i="12"/>
  <c r="X35" i="12"/>
  <c r="AD54" i="12"/>
  <c r="W55" i="12"/>
  <c r="X71" i="12"/>
  <c r="AD56" i="12"/>
  <c r="AC32" i="12"/>
  <c r="W66" i="12"/>
  <c r="V66" i="12"/>
  <c r="AC50" i="12"/>
  <c r="Y58" i="12"/>
  <c r="X80" i="12"/>
  <c r="AC54" i="12"/>
  <c r="AA18" i="12"/>
  <c r="AC18" i="12"/>
  <c r="Z56" i="12"/>
  <c r="AB32" i="12"/>
  <c r="X29" i="12"/>
  <c r="V28" i="12"/>
  <c r="W28" i="12"/>
  <c r="X28" i="12"/>
  <c r="Z35" i="12"/>
  <c r="AB48" i="12"/>
  <c r="Y32" i="12"/>
  <c r="Y40" i="12"/>
  <c r="W49" i="12"/>
  <c r="X49" i="12"/>
  <c r="V49" i="12"/>
  <c r="Y49" i="12"/>
  <c r="Z49" i="12"/>
  <c r="AA48" i="12"/>
  <c r="X55" i="12"/>
  <c r="AD41" i="12"/>
  <c r="AA34" i="12"/>
  <c r="V50" i="12"/>
  <c r="AB56" i="12"/>
  <c r="AC41" i="12"/>
  <c r="AA51" i="12"/>
  <c r="AB51" i="12"/>
  <c r="W51" i="12"/>
  <c r="X51" i="12"/>
  <c r="Y51" i="12"/>
  <c r="V51" i="12"/>
  <c r="W43" i="12"/>
  <c r="Z34" i="12"/>
  <c r="Y71" i="12"/>
  <c r="AC44" i="12"/>
  <c r="AA44" i="12"/>
  <c r="Z44" i="12"/>
  <c r="AB44" i="12"/>
  <c r="AD44" i="12"/>
  <c r="AD36" i="12"/>
  <c r="Z50" i="12"/>
  <c r="V53" i="12"/>
  <c r="AC53" i="12"/>
  <c r="Y45" i="12"/>
  <c r="X45" i="12"/>
  <c r="Z72" i="12"/>
  <c r="AA29" i="12"/>
  <c r="V36" i="12"/>
  <c r="W32" i="12"/>
  <c r="V32" i="12"/>
  <c r="AB69" i="12"/>
  <c r="AF69" i="12"/>
  <c r="AC51" i="12"/>
  <c r="W80" i="12"/>
  <c r="AB54" i="12"/>
  <c r="Y26" i="12"/>
  <c r="Y56" i="12"/>
  <c r="AA32" i="12"/>
  <c r="AC68" i="12"/>
  <c r="V68" i="12"/>
  <c r="AC69" i="12"/>
  <c r="Z26" i="12"/>
  <c r="X26" i="12"/>
  <c r="AB71" i="12"/>
  <c r="AC71" i="12"/>
  <c r="W40" i="12"/>
  <c r="Z55" i="12"/>
  <c r="Y33" i="12"/>
  <c r="Y28" i="12"/>
  <c r="AD29" i="12"/>
  <c r="Y72" i="12"/>
  <c r="X74" i="12"/>
  <c r="AD74" i="12"/>
  <c r="AF74" i="12"/>
  <c r="Y55" i="12"/>
  <c r="AA35" i="12"/>
  <c r="AC40" i="12"/>
  <c r="V56" i="12"/>
  <c r="AD40" i="12"/>
  <c r="AC42" i="12"/>
  <c r="W17" i="12"/>
  <c r="Y17" i="12"/>
  <c r="Z17" i="12"/>
  <c r="V17" i="12"/>
  <c r="X17" i="12"/>
  <c r="AA17" i="12"/>
  <c r="Y27" i="12"/>
  <c r="X16" i="12"/>
  <c r="Y16" i="12"/>
  <c r="Z16" i="12"/>
  <c r="AD10" i="12"/>
  <c r="X10" i="12"/>
  <c r="Y10" i="12"/>
  <c r="Z10" i="12"/>
  <c r="AA10" i="12"/>
  <c r="AB10" i="12"/>
  <c r="AC10" i="12"/>
  <c r="Z53" i="12"/>
  <c r="Z40" i="12"/>
  <c r="W57" i="12"/>
  <c r="AD57" i="12"/>
  <c r="AA42" i="12"/>
  <c r="AA37" i="12"/>
  <c r="AB27" i="12"/>
  <c r="X69" i="12"/>
  <c r="Z31" i="12"/>
  <c r="AA31" i="12"/>
  <c r="AC31" i="12"/>
  <c r="AD31" i="12"/>
  <c r="X31" i="12"/>
  <c r="AB31" i="12"/>
  <c r="V31" i="12"/>
  <c r="W31" i="12"/>
  <c r="X70" i="12"/>
  <c r="W70" i="12"/>
  <c r="Y70" i="12"/>
  <c r="V70" i="12"/>
  <c r="Z33" i="12"/>
  <c r="X77" i="12"/>
  <c r="Y77" i="12"/>
  <c r="Z77" i="12"/>
  <c r="V77" i="12"/>
  <c r="W77" i="12"/>
  <c r="AA77" i="12"/>
  <c r="AB77" i="12"/>
  <c r="AC77" i="12"/>
  <c r="AD77" i="12"/>
  <c r="AF77" i="12"/>
  <c r="X50" i="12"/>
  <c r="AB73" i="12"/>
  <c r="AC73" i="12"/>
  <c r="AD73" i="12"/>
  <c r="AA73" i="12"/>
  <c r="AF73" i="12"/>
  <c r="AC33" i="12"/>
  <c r="AD37" i="12"/>
  <c r="AC37" i="12"/>
  <c r="AB37" i="12"/>
  <c r="AC43" i="12"/>
  <c r="Z20" i="12"/>
  <c r="Y20" i="12"/>
  <c r="W12" i="12"/>
  <c r="Z12" i="12"/>
  <c r="Y12" i="12"/>
  <c r="X12" i="12"/>
  <c r="W29" i="12"/>
  <c r="AD53" i="12"/>
  <c r="AD49" i="12"/>
  <c r="AA53" i="12"/>
  <c r="X44" i="12"/>
  <c r="AD28" i="12"/>
  <c r="X40" i="12"/>
  <c r="W69" i="12"/>
  <c r="Z42" i="12"/>
  <c r="V37" i="12"/>
  <c r="W27" i="12"/>
  <c r="AD71" i="12"/>
  <c r="AB29" i="12"/>
  <c r="Z78" i="12"/>
  <c r="AA78" i="12"/>
  <c r="AC78" i="12"/>
  <c r="AD78" i="12"/>
  <c r="W78" i="12"/>
  <c r="X78" i="12"/>
  <c r="V78" i="12"/>
  <c r="AB78" i="12"/>
  <c r="AF78" i="12"/>
  <c r="W35" i="12"/>
  <c r="Y73" i="12"/>
  <c r="X73" i="12"/>
  <c r="AA26" i="12"/>
  <c r="Y44" i="12"/>
  <c r="AB53" i="12"/>
  <c r="AC26" i="12"/>
  <c r="AA40" i="12"/>
  <c r="AB42" i="12"/>
  <c r="V64" i="12"/>
  <c r="X19" i="12"/>
  <c r="W19" i="12"/>
  <c r="Y19" i="12"/>
  <c r="AC11" i="12"/>
  <c r="AD11" i="12"/>
  <c r="AA49" i="12"/>
  <c r="X43" i="12"/>
  <c r="Y53" i="12"/>
  <c r="V43" i="12"/>
  <c r="AD42" i="12"/>
  <c r="W37" i="12"/>
  <c r="X27" i="12"/>
  <c r="Z73" i="12"/>
  <c r="AB21" i="12"/>
  <c r="AC21" i="12"/>
  <c r="AA21" i="12"/>
  <c r="W45" i="12"/>
  <c r="AC49" i="12"/>
  <c r="X53" i="12"/>
  <c r="W44" i="12"/>
  <c r="AB67" i="12"/>
  <c r="AC28" i="12"/>
  <c r="V69" i="12"/>
  <c r="Y42" i="12"/>
  <c r="Z37" i="12"/>
  <c r="V27" i="12"/>
  <c r="AF71" i="12"/>
  <c r="Z79" i="12"/>
  <c r="AA79" i="12"/>
  <c r="AB79" i="12"/>
  <c r="X79" i="12"/>
  <c r="Y79" i="12"/>
  <c r="V79" i="12"/>
  <c r="W79" i="12"/>
  <c r="AC79" i="12"/>
  <c r="AF79" i="12"/>
  <c r="AD79" i="12"/>
  <c r="AD33" i="12"/>
  <c r="Y74" i="12"/>
  <c r="AB72" i="12"/>
  <c r="AC27" i="12"/>
  <c r="AA27" i="12"/>
  <c r="Z27" i="12"/>
  <c r="AF70" i="12"/>
  <c r="AB49" i="12"/>
  <c r="W53" i="12"/>
  <c r="V44" i="12"/>
  <c r="AA67" i="12"/>
  <c r="AB28" i="12"/>
  <c r="AC72" i="12"/>
  <c r="AD45" i="12"/>
  <c r="Y37" i="12"/>
  <c r="AA41" i="12"/>
  <c r="AD68" i="12"/>
  <c r="AF80" i="12"/>
  <c r="V80" i="12"/>
  <c r="AB33" i="12"/>
  <c r="AB80" i="12"/>
  <c r="V81" i="12"/>
  <c r="W81" i="12"/>
  <c r="X81" i="12"/>
  <c r="Y81" i="12"/>
  <c r="Z81" i="12"/>
  <c r="AA81" i="12"/>
  <c r="AF81" i="12"/>
  <c r="W74" i="12"/>
  <c r="V74" i="12"/>
  <c r="W73" i="12"/>
  <c r="AB45" i="12"/>
  <c r="Z70" i="12"/>
  <c r="Z15" i="12"/>
  <c r="AA15" i="12"/>
  <c r="AB15" i="12"/>
  <c r="V15" i="12"/>
  <c r="W15" i="12"/>
  <c r="X15" i="12"/>
  <c r="AC15" i="12"/>
  <c r="AD15" i="12"/>
  <c r="V33" i="12"/>
  <c r="W33" i="12"/>
  <c r="X33" i="12"/>
  <c r="Z25" i="12"/>
  <c r="AA25" i="12"/>
  <c r="AB25" i="12"/>
  <c r="W25" i="12"/>
  <c r="V25" i="12"/>
  <c r="X25" i="12"/>
  <c r="Y31" i="12"/>
  <c r="AC81" i="12"/>
  <c r="AD70" i="12"/>
  <c r="Z67" i="12"/>
  <c r="AA28" i="12"/>
  <c r="AC45" i="12"/>
  <c r="X64" i="12"/>
  <c r="V23" i="11"/>
  <c r="W23" i="11"/>
  <c r="Z65" i="11"/>
  <c r="AB65" i="11"/>
  <c r="W32" i="11"/>
  <c r="X32" i="11"/>
  <c r="V32" i="11"/>
  <c r="V24" i="11"/>
  <c r="Y33" i="11"/>
  <c r="Z33" i="11"/>
  <c r="AA33" i="11"/>
  <c r="AC33" i="11"/>
  <c r="AB33" i="11"/>
  <c r="V33" i="11"/>
  <c r="X33" i="11"/>
  <c r="W33" i="11"/>
  <c r="AB25" i="11"/>
  <c r="AD69" i="11"/>
  <c r="X21" i="11"/>
  <c r="AD68" i="11"/>
  <c r="AA68" i="11"/>
  <c r="AA25" i="11"/>
  <c r="Z27" i="11"/>
  <c r="AD35" i="11"/>
  <c r="AD25" i="11"/>
  <c r="AA36" i="11"/>
  <c r="AB36" i="11"/>
  <c r="Z28" i="11"/>
  <c r="AA28" i="11"/>
  <c r="AB28" i="11"/>
  <c r="Y28" i="11"/>
  <c r="X35" i="11"/>
  <c r="Y69" i="11"/>
  <c r="AD23" i="11"/>
  <c r="AC28" i="11"/>
  <c r="Y27" i="11"/>
  <c r="AC35" i="11"/>
  <c r="AC25" i="11"/>
  <c r="V69" i="11"/>
  <c r="Y26" i="11"/>
  <c r="X27" i="11"/>
  <c r="Y34" i="11"/>
  <c r="AA35" i="11"/>
  <c r="V48" i="11"/>
  <c r="W48" i="11"/>
  <c r="X48" i="11"/>
  <c r="W69" i="11"/>
  <c r="AC65" i="11"/>
  <c r="AC37" i="11"/>
  <c r="W27" i="11"/>
  <c r="AD27" i="11"/>
  <c r="AC49" i="11"/>
  <c r="V49" i="11"/>
  <c r="W49" i="11"/>
  <c r="X49" i="11"/>
  <c r="Y49" i="11"/>
  <c r="Z49" i="11"/>
  <c r="AA49" i="11"/>
  <c r="Z69" i="11"/>
  <c r="W24" i="11"/>
  <c r="AD33" i="11"/>
  <c r="AA37" i="11"/>
  <c r="X26" i="11"/>
  <c r="V27" i="11"/>
  <c r="Y42" i="11"/>
  <c r="AA42" i="11"/>
  <c r="Z42" i="11"/>
  <c r="X42" i="11"/>
  <c r="W40" i="11"/>
  <c r="Z37" i="11"/>
  <c r="W26" i="11"/>
  <c r="V39" i="11"/>
  <c r="Y25" i="11"/>
  <c r="AA50" i="11"/>
  <c r="AB26" i="11"/>
  <c r="Y37" i="11"/>
  <c r="V26" i="11"/>
  <c r="AA67" i="11"/>
  <c r="V34" i="11"/>
  <c r="AC39" i="11"/>
  <c r="AD67" i="11"/>
  <c r="Z67" i="11"/>
  <c r="Z68" i="11"/>
  <c r="AA53" i="11"/>
  <c r="AB53" i="11"/>
  <c r="AC53" i="11"/>
  <c r="AD53" i="11"/>
  <c r="AB24" i="11"/>
  <c r="AC23" i="11"/>
  <c r="Y67" i="11"/>
  <c r="Y32" i="11"/>
  <c r="Y52" i="11"/>
  <c r="AB42" i="11"/>
  <c r="X24" i="11"/>
  <c r="X40" i="11"/>
  <c r="AD24" i="11"/>
  <c r="AD39" i="11"/>
  <c r="X52" i="11"/>
  <c r="AA12" i="11"/>
  <c r="Y65" i="11"/>
  <c r="Y51" i="11"/>
  <c r="AD21" i="11"/>
  <c r="V21" i="11"/>
  <c r="AA21" i="11"/>
  <c r="AD66" i="11"/>
  <c r="X39" i="11"/>
  <c r="AB23" i="11"/>
  <c r="Y23" i="11"/>
  <c r="Z25" i="11"/>
  <c r="AB67" i="11"/>
  <c r="Z43" i="11"/>
  <c r="Z66" i="11"/>
  <c r="AA17" i="11"/>
  <c r="AC17" i="11"/>
  <c r="AB17" i="11"/>
  <c r="AA48" i="11"/>
  <c r="AC26" i="11"/>
  <c r="AA65" i="11"/>
  <c r="X17" i="11"/>
  <c r="X65" i="11"/>
  <c r="X41" i="11"/>
  <c r="Z36" i="11"/>
  <c r="Y66" i="11"/>
  <c r="X43" i="11"/>
  <c r="AC34" i="11"/>
  <c r="V17" i="11"/>
  <c r="AB21" i="11"/>
  <c r="W35" i="11"/>
  <c r="Z26" i="11"/>
  <c r="AA69" i="11"/>
  <c r="AB37" i="11"/>
  <c r="Y40" i="11"/>
  <c r="AA34" i="11"/>
  <c r="Y43" i="11"/>
  <c r="AD18" i="11"/>
  <c r="Y18" i="11"/>
  <c r="V18" i="11"/>
  <c r="W18" i="11"/>
  <c r="X18" i="11"/>
  <c r="V35" i="11"/>
  <c r="W65" i="11"/>
  <c r="X66" i="11"/>
  <c r="W43" i="11"/>
  <c r="W50" i="11"/>
  <c r="W67" i="11"/>
  <c r="V67" i="11"/>
  <c r="AC32" i="11"/>
  <c r="X25" i="11"/>
  <c r="X67" i="11"/>
  <c r="V37" i="11"/>
  <c r="Z34" i="11"/>
  <c r="Y41" i="11"/>
  <c r="AA66" i="11"/>
  <c r="AB34" i="11"/>
  <c r="AA32" i="11"/>
  <c r="Y36" i="11"/>
  <c r="AB11" i="11"/>
  <c r="AC11" i="11"/>
  <c r="X69" i="11"/>
  <c r="X23" i="11"/>
  <c r="AD65" i="11"/>
  <c r="V41" i="11"/>
  <c r="X36" i="11"/>
  <c r="V43" i="11"/>
  <c r="Y68" i="11"/>
  <c r="AB50" i="11"/>
  <c r="AB66" i="11"/>
  <c r="AC66" i="11"/>
  <c r="AC21" i="11"/>
  <c r="Y24" i="11"/>
  <c r="Z32" i="11"/>
  <c r="AA23" i="11"/>
  <c r="X34" i="11"/>
  <c r="Z23" i="11"/>
  <c r="Z21" i="11"/>
  <c r="AB68" i="11"/>
  <c r="Y21" i="11"/>
  <c r="V50" i="11"/>
  <c r="W37" i="11"/>
  <c r="AC68" i="11"/>
  <c r="W41" i="11"/>
  <c r="X28" i="11"/>
  <c r="AB69" i="11"/>
  <c r="W36" i="11"/>
  <c r="V66" i="11"/>
  <c r="AC50" i="11"/>
  <c r="AA72" i="9"/>
  <c r="Y72" i="9"/>
  <c r="AB72" i="9"/>
  <c r="AC72" i="9"/>
  <c r="AD73" i="9"/>
  <c r="V73" i="9"/>
  <c r="W73" i="9"/>
  <c r="Z72" i="9"/>
  <c r="AA76" i="9"/>
  <c r="X77" i="9"/>
  <c r="Z77" i="9"/>
  <c r="AD77" i="9"/>
  <c r="Y77" i="9"/>
  <c r="W77" i="9"/>
  <c r="AA77" i="9"/>
  <c r="AB77" i="9"/>
  <c r="AC77" i="9"/>
  <c r="X21" i="9"/>
  <c r="Y81" i="9"/>
  <c r="Z81" i="9"/>
  <c r="AC81" i="9"/>
  <c r="X81" i="9"/>
  <c r="AA81" i="9"/>
  <c r="AD81" i="9"/>
  <c r="AA32" i="9"/>
  <c r="AC82" i="9"/>
  <c r="AB82" i="9"/>
  <c r="Z73" i="9"/>
  <c r="Z76" i="9"/>
  <c r="Y73" i="9"/>
  <c r="X83" i="9"/>
  <c r="AD69" i="9"/>
  <c r="V84" i="9"/>
  <c r="X84" i="9"/>
  <c r="Y84" i="9"/>
  <c r="Z84" i="9"/>
  <c r="AA84" i="9"/>
  <c r="AB84" i="9"/>
  <c r="W29" i="9"/>
  <c r="AC33" i="9"/>
  <c r="AC69" i="9"/>
  <c r="AB33" i="9"/>
  <c r="Y80" i="9"/>
  <c r="Y49" i="9"/>
  <c r="V74" i="9"/>
  <c r="AB69" i="9"/>
  <c r="Z10" i="9"/>
  <c r="AD10" i="9"/>
  <c r="AB10" i="9"/>
  <c r="AC10" i="9"/>
  <c r="AA10" i="9"/>
  <c r="Y76" i="9"/>
  <c r="AD83" i="9"/>
  <c r="W49" i="9"/>
  <c r="AA69" i="9"/>
  <c r="AB43" i="9"/>
  <c r="X49" i="9"/>
  <c r="Z28" i="9"/>
  <c r="Y69" i="9"/>
  <c r="V12" i="9"/>
  <c r="Y12" i="9"/>
  <c r="X12" i="9"/>
  <c r="W12" i="9"/>
  <c r="X80" i="9"/>
  <c r="V49" i="9"/>
  <c r="V69" i="9"/>
  <c r="AD13" i="9"/>
  <c r="Z13" i="9"/>
  <c r="AA13" i="9"/>
  <c r="AB13" i="9"/>
  <c r="AC13" i="9"/>
  <c r="W40" i="9"/>
  <c r="Y21" i="9"/>
  <c r="AA43" i="9"/>
  <c r="V82" i="9"/>
  <c r="AD29" i="9"/>
  <c r="AB49" i="9"/>
  <c r="AC73" i="9"/>
  <c r="Z69" i="9"/>
  <c r="AA24" i="9"/>
  <c r="AB24" i="9"/>
  <c r="AC24" i="9"/>
  <c r="Y24" i="9"/>
  <c r="Z24" i="9"/>
  <c r="AD24" i="9"/>
  <c r="V24" i="9"/>
  <c r="W24" i="9"/>
  <c r="X24" i="9"/>
  <c r="AC84" i="9"/>
  <c r="W21" i="9"/>
  <c r="V43" i="9"/>
  <c r="AA82" i="9"/>
  <c r="Z37" i="9"/>
  <c r="AC29" i="9"/>
  <c r="Z49" i="9"/>
  <c r="X69" i="9"/>
  <c r="Y10" i="9"/>
  <c r="V19" i="9"/>
  <c r="X19" i="9"/>
  <c r="Y19" i="9"/>
  <c r="W19" i="9"/>
  <c r="Y25" i="9"/>
  <c r="Z25" i="9"/>
  <c r="AA21" i="9"/>
  <c r="V21" i="9"/>
  <c r="X43" i="9"/>
  <c r="Z82" i="9"/>
  <c r="AC43" i="9"/>
  <c r="AB29" i="9"/>
  <c r="AD49" i="9"/>
  <c r="Z29" i="9"/>
  <c r="X10" i="9"/>
  <c r="AC44" i="9"/>
  <c r="AC12" i="9"/>
  <c r="W43" i="9"/>
  <c r="Y82" i="9"/>
  <c r="Y66" i="9"/>
  <c r="W81" i="9"/>
  <c r="AA29" i="9"/>
  <c r="V77" i="9"/>
  <c r="W10" i="9"/>
  <c r="W59" i="9"/>
  <c r="AC21" i="9"/>
  <c r="AD33" i="9"/>
  <c r="X85" i="9"/>
  <c r="Z51" i="9"/>
  <c r="Y51" i="9"/>
  <c r="AA51" i="9"/>
  <c r="AC51" i="9"/>
  <c r="AB51" i="9"/>
  <c r="AA80" i="9"/>
  <c r="AB73" i="9"/>
  <c r="V33" i="9"/>
  <c r="Z45" i="9"/>
  <c r="AB45" i="9"/>
  <c r="W45" i="9"/>
  <c r="AA45" i="9"/>
  <c r="X45" i="9"/>
  <c r="AC45" i="9"/>
  <c r="AA52" i="9"/>
  <c r="Z52" i="9"/>
  <c r="AB52" i="9"/>
  <c r="Y52" i="9"/>
  <c r="Z40" i="9"/>
  <c r="Y85" i="9"/>
  <c r="AB36" i="9"/>
  <c r="AD21" i="9"/>
  <c r="AD45" i="9"/>
  <c r="AA28" i="9"/>
  <c r="AC76" i="9"/>
  <c r="X36" i="9"/>
  <c r="X57" i="9"/>
  <c r="V57" i="9"/>
  <c r="W57" i="9"/>
  <c r="Z83" i="9"/>
  <c r="V13" i="9"/>
  <c r="AC85" i="9"/>
  <c r="Y17" i="9"/>
  <c r="Z58" i="9"/>
  <c r="AB58" i="9"/>
  <c r="X58" i="9"/>
  <c r="AA58" i="9"/>
  <c r="Y58" i="9"/>
  <c r="V65" i="9"/>
  <c r="W65" i="9"/>
  <c r="AC83" i="9"/>
  <c r="W52" i="9"/>
  <c r="X17" i="9"/>
  <c r="AB65" i="9"/>
  <c r="V76" i="9"/>
  <c r="AA27" i="9"/>
  <c r="AD32" i="9"/>
  <c r="AB32" i="9"/>
  <c r="AC32" i="9"/>
  <c r="AA33" i="9"/>
  <c r="AD72" i="9"/>
  <c r="V27" i="9"/>
  <c r="W27" i="9"/>
  <c r="X27" i="9"/>
  <c r="AC27" i="9"/>
  <c r="V37" i="9"/>
  <c r="X37" i="9"/>
  <c r="W37" i="9"/>
  <c r="AA48" i="9"/>
  <c r="AB48" i="9"/>
  <c r="V48" i="9"/>
  <c r="W48" i="9"/>
  <c r="Y48" i="9"/>
  <c r="AC48" i="9"/>
  <c r="AD48" i="9"/>
  <c r="Z48" i="9"/>
  <c r="X48" i="9"/>
  <c r="AA42" i="9"/>
  <c r="AB42" i="9"/>
  <c r="Y42" i="9"/>
  <c r="Z42" i="9"/>
  <c r="AC42" i="9"/>
  <c r="Y27" i="9"/>
  <c r="Z50" i="9"/>
  <c r="W50" i="9"/>
  <c r="X50" i="9"/>
  <c r="V50" i="9"/>
  <c r="Y50" i="9"/>
  <c r="AA73" i="9"/>
  <c r="AB76" i="9"/>
  <c r="AD28" i="9"/>
  <c r="V28" i="9"/>
  <c r="W28" i="9"/>
  <c r="X28" i="9"/>
  <c r="Y28" i="9"/>
  <c r="AC36" i="9"/>
  <c r="AD36" i="9"/>
  <c r="Y40" i="9"/>
  <c r="AB40" i="9"/>
  <c r="AC40" i="9"/>
  <c r="AD40" i="9"/>
  <c r="AA41" i="9"/>
  <c r="AD41" i="9"/>
  <c r="W41" i="9"/>
  <c r="Y41" i="9"/>
  <c r="X41" i="9"/>
  <c r="V41" i="9"/>
  <c r="AD76" i="9"/>
  <c r="W53" i="9"/>
  <c r="AD53" i="9"/>
  <c r="W11" i="9"/>
  <c r="V85" i="9"/>
  <c r="AA64" i="9"/>
  <c r="AB64" i="9"/>
  <c r="Z64" i="9"/>
  <c r="AC64" i="9"/>
  <c r="AD64" i="9"/>
  <c r="W64" i="9"/>
  <c r="X64" i="9"/>
  <c r="Y64" i="9"/>
  <c r="V64" i="9"/>
  <c r="W36" i="9"/>
  <c r="AB66" i="9"/>
  <c r="AC66" i="9"/>
  <c r="Z66" i="9"/>
  <c r="AA66" i="9"/>
  <c r="AB21" i="9"/>
  <c r="X73" i="9"/>
  <c r="X72" i="9"/>
  <c r="W17" i="9"/>
  <c r="Z36" i="9"/>
  <c r="AD59" i="9"/>
  <c r="AD60" i="9"/>
  <c r="AA60" i="9"/>
  <c r="AB60" i="9"/>
  <c r="AC60" i="9"/>
  <c r="V67" i="9"/>
  <c r="AC67" i="9"/>
  <c r="AD67" i="9"/>
  <c r="AB27" i="9"/>
  <c r="X66" i="9"/>
  <c r="X76" i="9"/>
  <c r="W72" i="9"/>
  <c r="Y11" i="9"/>
  <c r="V17" i="9"/>
  <c r="Y36" i="9"/>
  <c r="V68" i="9"/>
  <c r="W68" i="9"/>
  <c r="W80" i="9"/>
  <c r="AD80" i="9"/>
  <c r="V72" i="9"/>
  <c r="V36" i="9"/>
  <c r="AA65" i="9"/>
  <c r="Y57" i="8"/>
  <c r="Z57" i="8"/>
  <c r="W57" i="8"/>
  <c r="AB57" i="8"/>
  <c r="AC57" i="8"/>
  <c r="AD57" i="8"/>
  <c r="AE57" i="8"/>
  <c r="X57" i="8"/>
  <c r="AA57" i="8"/>
  <c r="AC69" i="8"/>
  <c r="W69" i="8"/>
  <c r="X69" i="8"/>
  <c r="Y69" i="8"/>
  <c r="Z69" i="8"/>
  <c r="AA69" i="8"/>
  <c r="AB69" i="8"/>
  <c r="AD69" i="8"/>
  <c r="AE69" i="8"/>
  <c r="AC59" i="8"/>
  <c r="AD59" i="8"/>
  <c r="W59" i="8"/>
  <c r="X59" i="8"/>
  <c r="AB59" i="8"/>
  <c r="Y59" i="8"/>
  <c r="Z59" i="8"/>
  <c r="AA59" i="8"/>
  <c r="AE59" i="8"/>
  <c r="Z70" i="8"/>
  <c r="AA70" i="8"/>
  <c r="W70" i="8"/>
  <c r="X70" i="8"/>
  <c r="Y70" i="8"/>
  <c r="AB70" i="8"/>
  <c r="AC70" i="8"/>
  <c r="AE70" i="8"/>
  <c r="AD70" i="8"/>
  <c r="AD48" i="8"/>
  <c r="W48" i="8"/>
  <c r="AE10" i="8"/>
  <c r="X17" i="8"/>
  <c r="X71" i="8"/>
  <c r="AD71" i="8"/>
  <c r="AE71" i="8"/>
  <c r="W71" i="8"/>
  <c r="AC71" i="8"/>
  <c r="Y71" i="8"/>
  <c r="Z71" i="8"/>
  <c r="AA71" i="8"/>
  <c r="AB71" i="8"/>
  <c r="AA47" i="8"/>
  <c r="AB47" i="8"/>
  <c r="AE47" i="8"/>
  <c r="AD47" i="8"/>
  <c r="W47" i="8"/>
  <c r="X47" i="8"/>
  <c r="Y47" i="8"/>
  <c r="Z47" i="8"/>
  <c r="AC47" i="8"/>
  <c r="AD67" i="8"/>
  <c r="W67" i="8"/>
  <c r="X67" i="8"/>
  <c r="Y67" i="8"/>
  <c r="Z67" i="8"/>
  <c r="AA67" i="8"/>
  <c r="AB67" i="8"/>
  <c r="AC67" i="8"/>
  <c r="AE67" i="8"/>
  <c r="AB10" i="8"/>
  <c r="W17" i="8"/>
  <c r="AD84" i="8"/>
  <c r="AE84" i="8"/>
  <c r="W84" i="8"/>
  <c r="AA84" i="8"/>
  <c r="AB84" i="8"/>
  <c r="AC84" i="8"/>
  <c r="X84" i="8"/>
  <c r="Y84" i="8"/>
  <c r="Z84" i="8"/>
  <c r="AA30" i="8"/>
  <c r="AB66" i="8"/>
  <c r="AA66" i="8"/>
  <c r="AD66" i="8"/>
  <c r="AE66" i="8"/>
  <c r="AC66" i="8"/>
  <c r="W66" i="8"/>
  <c r="Y66" i="8"/>
  <c r="Z66" i="8"/>
  <c r="X66" i="8"/>
  <c r="W72" i="8"/>
  <c r="X72" i="8"/>
  <c r="AC72" i="8"/>
  <c r="AB72" i="8"/>
  <c r="AD72" i="8"/>
  <c r="AE72" i="8"/>
  <c r="Y72" i="8"/>
  <c r="Z72" i="8"/>
  <c r="AA72" i="8"/>
  <c r="AA17" i="8"/>
  <c r="AC79" i="8"/>
  <c r="AD79" i="8"/>
  <c r="AE79" i="8"/>
  <c r="Y79" i="8"/>
  <c r="Z79" i="8"/>
  <c r="AA79" i="8"/>
  <c r="Z30" i="8"/>
  <c r="X56" i="8"/>
  <c r="AE76" i="8"/>
  <c r="AC76" i="8"/>
  <c r="W76" i="8"/>
  <c r="X76" i="8"/>
  <c r="Y76" i="8"/>
  <c r="Z76" i="8"/>
  <c r="AA76" i="8"/>
  <c r="AB76" i="8"/>
  <c r="AD76" i="8"/>
  <c r="W40" i="8"/>
  <c r="X40" i="8"/>
  <c r="AB40" i="8"/>
  <c r="AC40" i="8"/>
  <c r="AA40" i="8"/>
  <c r="AD40" i="8"/>
  <c r="Y40" i="8"/>
  <c r="Z40" i="8"/>
  <c r="AE40" i="8"/>
  <c r="W74" i="8"/>
  <c r="AE74" i="8"/>
  <c r="X74" i="8"/>
  <c r="Y74" i="8"/>
  <c r="Z74" i="8"/>
  <c r="AC74" i="8"/>
  <c r="AD74" i="8"/>
  <c r="AC75" i="8"/>
  <c r="AD75" i="8"/>
  <c r="X75" i="8"/>
  <c r="W75" i="8"/>
  <c r="Y75" i="8"/>
  <c r="AE75" i="8"/>
  <c r="AA75" i="8"/>
  <c r="Z75" i="8"/>
  <c r="AB75" i="8"/>
  <c r="AE48" i="8"/>
  <c r="AA23" i="8"/>
  <c r="AB23" i="8"/>
  <c r="Y23" i="8"/>
  <c r="AC23" i="8"/>
  <c r="AD23" i="8"/>
  <c r="AE23" i="8"/>
  <c r="W23" i="8"/>
  <c r="X23" i="8"/>
  <c r="Z23" i="8"/>
  <c r="AC48" i="8"/>
  <c r="AE58" i="8"/>
  <c r="AE13" i="8"/>
  <c r="Y13" i="8"/>
  <c r="Z13" i="8"/>
  <c r="AA13" i="8"/>
  <c r="AB13" i="8"/>
  <c r="AC13" i="8"/>
  <c r="X13" i="8"/>
  <c r="AD13" i="8"/>
  <c r="W13" i="8"/>
  <c r="AD52" i="8"/>
  <c r="AE52" i="8"/>
  <c r="AB52" i="8"/>
  <c r="AC52" i="8"/>
  <c r="Y52" i="8"/>
  <c r="Z52" i="8"/>
  <c r="AA52" i="8"/>
  <c r="W52" i="8"/>
  <c r="X52" i="8"/>
  <c r="AB85" i="8"/>
  <c r="AC85" i="8"/>
  <c r="AD85" i="8"/>
  <c r="AE85" i="8"/>
  <c r="AA85" i="8"/>
  <c r="X85" i="8"/>
  <c r="W85" i="8"/>
  <c r="Y85" i="8"/>
  <c r="Z85" i="8"/>
  <c r="AB48" i="8"/>
  <c r="W27" i="8"/>
  <c r="AC58" i="8"/>
  <c r="W64" i="8"/>
  <c r="AA64" i="8"/>
  <c r="Z64" i="8"/>
  <c r="AB74" i="8"/>
  <c r="AE42" i="8"/>
  <c r="AA48" i="8"/>
  <c r="W39" i="8"/>
  <c r="X39" i="8"/>
  <c r="Y39" i="8"/>
  <c r="Z39" i="8"/>
  <c r="AA39" i="8"/>
  <c r="AB39" i="8"/>
  <c r="AC39" i="8"/>
  <c r="AD39" i="8"/>
  <c r="AE39" i="8"/>
  <c r="AA74" i="8"/>
  <c r="X42" i="8"/>
  <c r="W28" i="8"/>
  <c r="X28" i="8"/>
  <c r="Z28" i="8"/>
  <c r="AB28" i="8"/>
  <c r="Y28" i="8"/>
  <c r="AA28" i="8"/>
  <c r="AB50" i="8"/>
  <c r="X50" i="8"/>
  <c r="Z50" i="8"/>
  <c r="AC50" i="8"/>
  <c r="W50" i="8"/>
  <c r="AD50" i="8"/>
  <c r="AE50" i="8"/>
  <c r="Y50" i="8"/>
  <c r="AA50" i="8"/>
  <c r="Z48" i="8"/>
  <c r="AD77" i="8"/>
  <c r="AB58" i="8"/>
  <c r="AA27" i="8"/>
  <c r="X80" i="8"/>
  <c r="W80" i="8"/>
  <c r="AC80" i="8"/>
  <c r="AD80" i="8"/>
  <c r="AE80" i="8"/>
  <c r="Z80" i="8"/>
  <c r="AA80" i="8"/>
  <c r="Y80" i="8"/>
  <c r="AB80" i="8"/>
  <c r="AE64" i="8"/>
  <c r="W42" i="8"/>
  <c r="AC14" i="8"/>
  <c r="AE14" i="8"/>
  <c r="AD14" i="8"/>
  <c r="X14" i="8"/>
  <c r="Z14" i="8"/>
  <c r="W14" i="8"/>
  <c r="Y14" i="8"/>
  <c r="AA14" i="8"/>
  <c r="AB14" i="8"/>
  <c r="Y48" i="8"/>
  <c r="AC77" i="8"/>
  <c r="AE27" i="8"/>
  <c r="Z29" i="8"/>
  <c r="Z54" i="8"/>
  <c r="Y54" i="8"/>
  <c r="AA54" i="8"/>
  <c r="X54" i="8"/>
  <c r="AB54" i="8"/>
  <c r="AE54" i="8"/>
  <c r="W54" i="8"/>
  <c r="AC54" i="8"/>
  <c r="AD54" i="8"/>
  <c r="AD64" i="8"/>
  <c r="AD42" i="8"/>
  <c r="W58" i="8"/>
  <c r="X58" i="8"/>
  <c r="Y58" i="8"/>
  <c r="Z58" i="8"/>
  <c r="Z81" i="8"/>
  <c r="AB81" i="8"/>
  <c r="AC81" i="8"/>
  <c r="X81" i="8"/>
  <c r="AA81" i="8"/>
  <c r="AD81" i="8"/>
  <c r="Y81" i="8"/>
  <c r="W81" i="8"/>
  <c r="AE81" i="8"/>
  <c r="W24" i="8"/>
  <c r="X24" i="8"/>
  <c r="Z24" i="8"/>
  <c r="AA24" i="8"/>
  <c r="Y24" i="8"/>
  <c r="AB24" i="8"/>
  <c r="AE24" i="8"/>
  <c r="AC24" i="8"/>
  <c r="AD24" i="8"/>
  <c r="X48" i="8"/>
  <c r="AB77" i="8"/>
  <c r="AB27" i="8"/>
  <c r="Z33" i="8"/>
  <c r="AA33" i="8"/>
  <c r="W33" i="8"/>
  <c r="X33" i="8"/>
  <c r="AB33" i="8"/>
  <c r="AC33" i="8"/>
  <c r="AD33" i="8"/>
  <c r="AE33" i="8"/>
  <c r="Y33" i="8"/>
  <c r="AC64" i="8"/>
  <c r="AC42" i="8"/>
  <c r="W12" i="8"/>
  <c r="AD37" i="8"/>
  <c r="X37" i="8"/>
  <c r="Y37" i="8"/>
  <c r="Z37" i="8"/>
  <c r="AA37" i="8"/>
  <c r="W37" i="8"/>
  <c r="AB37" i="8"/>
  <c r="AC37" i="8"/>
  <c r="AE37" i="8"/>
  <c r="Y68" i="8"/>
  <c r="AC68" i="8"/>
  <c r="AD68" i="8"/>
  <c r="AE68" i="8"/>
  <c r="X68" i="8"/>
  <c r="W68" i="8"/>
  <c r="Z68" i="8"/>
  <c r="AA68" i="8"/>
  <c r="AB68" i="8"/>
  <c r="Y61" i="8"/>
  <c r="AC61" i="8"/>
  <c r="AD61" i="8"/>
  <c r="AE61" i="8"/>
  <c r="AB61" i="8"/>
  <c r="Z61" i="8"/>
  <c r="AA61" i="8"/>
  <c r="W61" i="8"/>
  <c r="X61" i="8"/>
  <c r="Y27" i="8"/>
  <c r="AE46" i="8"/>
  <c r="AD46" i="8"/>
  <c r="AA46" i="8"/>
  <c r="AB46" i="8"/>
  <c r="AC46" i="8"/>
  <c r="AB64" i="8"/>
  <c r="Z42" i="8"/>
  <c r="W16" i="8"/>
  <c r="AE16" i="8"/>
  <c r="X79" i="8"/>
  <c r="X27" i="8"/>
  <c r="Y64" i="8"/>
  <c r="Y42" i="8"/>
  <c r="W79" i="8"/>
  <c r="AD27" i="8"/>
  <c r="X64" i="8"/>
  <c r="AA20" i="8"/>
  <c r="Z20" i="8"/>
  <c r="AE28" i="8"/>
  <c r="W20" i="8"/>
  <c r="X73" i="8"/>
  <c r="X32" i="8"/>
  <c r="Y32" i="8"/>
  <c r="W32" i="8"/>
  <c r="Z32" i="8"/>
  <c r="AA32" i="8"/>
  <c r="AE32" i="8"/>
  <c r="AB32" i="8"/>
  <c r="AC32" i="8"/>
  <c r="AD32" i="8"/>
  <c r="AC15" i="8"/>
  <c r="X43" i="8"/>
  <c r="AE20" i="8"/>
  <c r="W73" i="8"/>
  <c r="AB18" i="8"/>
  <c r="AC18" i="8"/>
  <c r="Y18" i="8"/>
  <c r="Z18" i="8"/>
  <c r="W18" i="8"/>
  <c r="X18" i="8"/>
  <c r="AA18" i="8"/>
  <c r="AD18" i="8"/>
  <c r="AE18" i="8"/>
  <c r="Y43" i="8"/>
  <c r="AD20" i="8"/>
  <c r="W53" i="8"/>
  <c r="X53" i="8"/>
  <c r="Y53" i="8"/>
  <c r="Z53" i="8"/>
  <c r="AC53" i="8"/>
  <c r="AD53" i="8"/>
  <c r="AE53" i="8"/>
  <c r="AA53" i="8"/>
  <c r="AB53" i="8"/>
  <c r="AC73" i="8"/>
  <c r="Y41" i="8"/>
  <c r="Z41" i="8"/>
  <c r="AE41" i="8"/>
  <c r="AB41" i="8"/>
  <c r="X41" i="8"/>
  <c r="AC41" i="8"/>
  <c r="W41" i="8"/>
  <c r="AA41" i="8"/>
  <c r="AD41" i="8"/>
  <c r="AB12" i="8"/>
  <c r="X29" i="8"/>
  <c r="AE55" i="8"/>
  <c r="AD55" i="8"/>
  <c r="X55" i="8"/>
  <c r="Z55" i="8"/>
  <c r="AC55" i="8"/>
  <c r="AB55" i="8"/>
  <c r="W55" i="8"/>
  <c r="Y55" i="8"/>
  <c r="AA55" i="8"/>
  <c r="AD73" i="8"/>
  <c r="W26" i="8"/>
  <c r="Y26" i="8"/>
  <c r="Z26" i="8"/>
  <c r="X26" i="8"/>
  <c r="AC26" i="8"/>
  <c r="AD26" i="8"/>
  <c r="AD15" i="8"/>
  <c r="AB73" i="8"/>
  <c r="W77" i="8"/>
  <c r="X77" i="8"/>
  <c r="Y77" i="8"/>
  <c r="AB15" i="8"/>
  <c r="AD29" i="8"/>
  <c r="AB62" i="8"/>
  <c r="AB16" i="8"/>
  <c r="Y15" i="8"/>
  <c r="AC29" i="8"/>
  <c r="W62" i="8"/>
  <c r="AA16" i="8"/>
  <c r="AA15" i="8"/>
  <c r="AB29" i="8"/>
  <c r="Y73" i="8"/>
  <c r="W31" i="8"/>
  <c r="AD31" i="8"/>
  <c r="AE31" i="8"/>
  <c r="X31" i="8"/>
  <c r="Z31" i="8"/>
  <c r="AA31" i="8"/>
  <c r="AB31" i="8"/>
  <c r="AC31" i="8"/>
  <c r="Y31" i="8"/>
  <c r="AC11" i="8"/>
  <c r="AD11" i="8"/>
  <c r="Y11" i="8"/>
  <c r="Z11" i="8"/>
  <c r="W11" i="8"/>
  <c r="X11" i="8"/>
  <c r="AA11" i="8"/>
  <c r="AB11" i="8"/>
  <c r="AE11" i="8"/>
  <c r="AD16" i="8"/>
  <c r="Z15" i="8"/>
  <c r="AE30" i="8"/>
  <c r="Z62" i="8"/>
  <c r="W10" i="8"/>
  <c r="X10" i="8"/>
  <c r="Z10" i="8"/>
  <c r="AC10" i="8"/>
  <c r="AD10" i="8"/>
  <c r="Y10" i="8"/>
  <c r="AE60" i="8"/>
  <c r="AD60" i="8"/>
  <c r="W60" i="8"/>
  <c r="X60" i="8"/>
  <c r="Y60" i="8"/>
  <c r="AB60" i="8"/>
  <c r="AA60" i="8"/>
  <c r="AC60" i="8"/>
  <c r="Z60" i="8"/>
  <c r="Z56" i="8"/>
  <c r="AA56" i="8"/>
  <c r="AB56" i="8"/>
  <c r="Y16" i="8"/>
  <c r="Y46" i="8"/>
  <c r="AC17" i="8"/>
  <c r="AB30" i="8"/>
  <c r="AD62" i="8"/>
  <c r="AE77" i="8"/>
  <c r="AB34" i="8"/>
  <c r="AC34" i="8"/>
  <c r="AE34" i="8"/>
  <c r="X34" i="8"/>
  <c r="Y34" i="8"/>
  <c r="Z34" i="8"/>
  <c r="AA34" i="8"/>
  <c r="AD34" i="8"/>
  <c r="W34" i="8"/>
  <c r="X20" i="8"/>
  <c r="AB43" i="8"/>
  <c r="Z43" i="8"/>
  <c r="AA43" i="8"/>
  <c r="AE43" i="8"/>
  <c r="Z45" i="8"/>
  <c r="AA45" i="8"/>
  <c r="AB45" i="8"/>
  <c r="AC45" i="8"/>
  <c r="AD45" i="8"/>
  <c r="Y45" i="8"/>
  <c r="AE45" i="8"/>
  <c r="W45" i="8"/>
  <c r="X45" i="8"/>
  <c r="AD51" i="8"/>
  <c r="AC51" i="8"/>
  <c r="W51" i="8"/>
  <c r="X51" i="8"/>
  <c r="Y51" i="8"/>
  <c r="Z51" i="8"/>
  <c r="AA51" i="8"/>
  <c r="AB51" i="8"/>
  <c r="AE51" i="8"/>
  <c r="AD19" i="8"/>
  <c r="AE19" i="8"/>
  <c r="Y19" i="8"/>
  <c r="Z19" i="8"/>
  <c r="W19" i="8"/>
  <c r="X19" i="8"/>
  <c r="AA19" i="8"/>
  <c r="AB19" i="8"/>
  <c r="AC19" i="8"/>
  <c r="AD35" i="8"/>
  <c r="AE35" i="8"/>
  <c r="Z35" i="8"/>
  <c r="AA35" i="8"/>
  <c r="W35" i="8"/>
  <c r="X35" i="8"/>
  <c r="Y35" i="8"/>
  <c r="AB35" i="8"/>
  <c r="AC35" i="8"/>
  <c r="Y20" i="8"/>
  <c r="W38" i="8"/>
  <c r="AA38" i="8"/>
  <c r="Z38" i="8"/>
  <c r="AB38" i="8"/>
  <c r="AC38" i="8"/>
  <c r="AD38" i="8"/>
  <c r="AE38" i="8"/>
  <c r="X38" i="8"/>
  <c r="Y38" i="8"/>
  <c r="W43" i="8"/>
  <c r="X21" i="8"/>
  <c r="Y21" i="8"/>
  <c r="W21" i="8"/>
  <c r="Z21" i="8"/>
  <c r="AA21" i="8"/>
  <c r="AB21" i="8"/>
  <c r="AD21" i="8"/>
  <c r="AE21" i="8"/>
  <c r="AC21" i="8"/>
  <c r="Z65" i="8"/>
  <c r="AB65" i="8"/>
  <c r="Y65" i="8"/>
  <c r="AA65" i="8"/>
  <c r="AE65" i="8"/>
  <c r="W65" i="8"/>
  <c r="X65" i="8"/>
  <c r="AC65" i="8"/>
  <c r="AD65" i="8"/>
  <c r="X15" i="8"/>
  <c r="Z36" i="8"/>
  <c r="Y36" i="8"/>
  <c r="AA36" i="8"/>
  <c r="AB36" i="8"/>
  <c r="AC36" i="8"/>
  <c r="AD36" i="8"/>
  <c r="AE36" i="8"/>
  <c r="W36" i="8"/>
  <c r="X36" i="8"/>
  <c r="AD83" i="8"/>
  <c r="AB83" i="8"/>
  <c r="W83" i="8"/>
  <c r="Z83" i="8"/>
  <c r="X83" i="8"/>
  <c r="Y83" i="8"/>
  <c r="AC83" i="8"/>
  <c r="AE83" i="8"/>
  <c r="AA83" i="8"/>
  <c r="Y12" i="8"/>
  <c r="AC43" i="8"/>
  <c r="Z49" i="8"/>
  <c r="Y49" i="8"/>
  <c r="AA49" i="8"/>
  <c r="AE49" i="8"/>
  <c r="W49" i="8"/>
  <c r="X49" i="8"/>
  <c r="AC49" i="8"/>
  <c r="AD49" i="8"/>
  <c r="AB49" i="8"/>
  <c r="AC62" i="8"/>
  <c r="X12" i="8"/>
  <c r="AE26" i="8"/>
  <c r="AA73" i="8"/>
  <c r="AA12" i="8"/>
  <c r="AB26" i="8"/>
  <c r="Y25" i="8"/>
  <c r="Z25" i="8"/>
  <c r="AE25" i="8"/>
  <c r="X25" i="8"/>
  <c r="AA25" i="8"/>
  <c r="AB25" i="8"/>
  <c r="AC25" i="8"/>
  <c r="AD25" i="8"/>
  <c r="W25" i="8"/>
  <c r="AC20" i="8"/>
  <c r="AA26" i="8"/>
  <c r="AA62" i="8"/>
  <c r="AC16" i="8"/>
  <c r="AE17" i="8"/>
  <c r="AE63" i="8"/>
  <c r="Y63" i="8"/>
  <c r="AA63" i="8"/>
  <c r="AB63" i="8"/>
  <c r="Z63" i="8"/>
  <c r="X63" i="8"/>
  <c r="AD63" i="8"/>
  <c r="W63" i="8"/>
  <c r="AC63" i="8"/>
  <c r="AD22" i="8"/>
  <c r="AE22" i="8"/>
  <c r="W22" i="8"/>
  <c r="X22" i="8"/>
  <c r="AA22" i="8"/>
  <c r="AB22" i="8"/>
  <c r="AC22" i="8"/>
  <c r="Y22" i="8"/>
  <c r="Z22" i="8"/>
  <c r="AD30" i="8"/>
  <c r="AB82" i="8"/>
  <c r="W82" i="8"/>
  <c r="X82" i="8"/>
  <c r="Y82" i="8"/>
  <c r="Z82" i="8"/>
  <c r="AA82" i="8"/>
  <c r="AD82" i="8"/>
  <c r="AE82" i="8"/>
  <c r="AC82" i="8"/>
  <c r="AD17" i="8"/>
  <c r="W78" i="8"/>
  <c r="Z78" i="8"/>
  <c r="AA78" i="8"/>
  <c r="AC78" i="8"/>
  <c r="AB78" i="8"/>
  <c r="X78" i="8"/>
  <c r="AE78" i="8"/>
  <c r="Y78" i="8"/>
  <c r="AD78" i="8"/>
  <c r="AC30" i="8"/>
  <c r="AE44" i="8"/>
  <c r="AD44" i="8"/>
  <c r="Y44" i="8"/>
  <c r="Z44" i="8"/>
  <c r="W44" i="8"/>
  <c r="X44" i="8"/>
  <c r="AA44" i="8"/>
  <c r="AB44" i="8"/>
  <c r="AC44" i="8"/>
  <c r="X16" i="8"/>
  <c r="X46" i="8"/>
  <c r="AD56" i="8"/>
  <c r="W55" i="6"/>
  <c r="AA55" i="6"/>
  <c r="AE27" i="6"/>
  <c r="AE42" i="6"/>
  <c r="AD74" i="6"/>
  <c r="Z70" i="7"/>
  <c r="AD19" i="7"/>
  <c r="X61" i="7"/>
  <c r="AB27" i="7"/>
  <c r="AA29" i="7"/>
  <c r="Z83" i="7"/>
  <c r="Y69" i="7"/>
  <c r="AB41" i="6"/>
  <c r="Y83" i="6"/>
  <c r="AB55" i="6"/>
  <c r="X76" i="7"/>
  <c r="AA10" i="7"/>
  <c r="AD63" i="6"/>
  <c r="Z64" i="6"/>
  <c r="AD78" i="6"/>
  <c r="AA28" i="7"/>
  <c r="AC23" i="6"/>
  <c r="AA56" i="7"/>
  <c r="AB21" i="6"/>
  <c r="Y42" i="6"/>
  <c r="X72" i="6"/>
  <c r="AD70" i="7"/>
  <c r="AD29" i="7"/>
  <c r="AB16" i="7"/>
  <c r="Y78" i="6"/>
  <c r="W12" i="7"/>
  <c r="Y55" i="7"/>
  <c r="AC42" i="7"/>
  <c r="W42" i="6"/>
  <c r="Z11" i="6"/>
  <c r="AB57" i="7"/>
  <c r="AA35" i="7"/>
  <c r="AC63" i="6"/>
  <c r="W57" i="7"/>
  <c r="W56" i="7"/>
  <c r="AD29" i="6"/>
  <c r="Y47" i="6"/>
  <c r="AD78" i="7"/>
  <c r="X42" i="7"/>
  <c r="AC83" i="7"/>
  <c r="AE71" i="7"/>
  <c r="AD75" i="7"/>
  <c r="Y45" i="7"/>
  <c r="AC75" i="7"/>
  <c r="Z29" i="7"/>
  <c r="AC55" i="7"/>
  <c r="AE78" i="6"/>
  <c r="X30" i="6"/>
  <c r="Y10" i="6"/>
  <c r="AB78" i="7"/>
  <c r="AA41" i="7"/>
  <c r="AE56" i="7"/>
  <c r="AD71" i="7"/>
  <c r="AC30" i="7"/>
  <c r="W52" i="7"/>
  <c r="Z29" i="6"/>
  <c r="AA50" i="6"/>
  <c r="AD69" i="6"/>
  <c r="AE51" i="6"/>
  <c r="Y27" i="7"/>
  <c r="AD76" i="7"/>
  <c r="AC71" i="7"/>
  <c r="AC70" i="7"/>
  <c r="Y73" i="7"/>
  <c r="AA73" i="7"/>
  <c r="W73" i="7"/>
  <c r="X73" i="7"/>
  <c r="AC73" i="7"/>
  <c r="AD73" i="7"/>
  <c r="AE73" i="7"/>
  <c r="Z73" i="7"/>
  <c r="AB73" i="7"/>
  <c r="AB71" i="7"/>
  <c r="W61" i="7"/>
  <c r="AB70" i="7"/>
  <c r="X71" i="7"/>
  <c r="W36" i="7"/>
  <c r="W71" i="7"/>
  <c r="AA27" i="7"/>
  <c r="AC29" i="7"/>
  <c r="AC18" i="7"/>
  <c r="AD18" i="7"/>
  <c r="AE18" i="7"/>
  <c r="W18" i="7"/>
  <c r="X18" i="7"/>
  <c r="Y18" i="7"/>
  <c r="Z18" i="7"/>
  <c r="AA18" i="7"/>
  <c r="AB18" i="7"/>
  <c r="W39" i="7"/>
  <c r="X39" i="7"/>
  <c r="Y39" i="7"/>
  <c r="AC39" i="7"/>
  <c r="AD39" i="7"/>
  <c r="AA39" i="7"/>
  <c r="Z39" i="7"/>
  <c r="AB39" i="7"/>
  <c r="Y31" i="7"/>
  <c r="W31" i="7"/>
  <c r="X31" i="7"/>
  <c r="Z31" i="7"/>
  <c r="AA31" i="7"/>
  <c r="AB31" i="7"/>
  <c r="AC31" i="7"/>
  <c r="AD31" i="7"/>
  <c r="AE31" i="7"/>
  <c r="AE27" i="7"/>
  <c r="X70" i="7"/>
  <c r="AB29" i="7"/>
  <c r="W42" i="7"/>
  <c r="AC40" i="7"/>
  <c r="AD40" i="7"/>
  <c r="AE40" i="7"/>
  <c r="X40" i="7"/>
  <c r="AA40" i="7"/>
  <c r="AB40" i="7"/>
  <c r="Z25" i="7"/>
  <c r="AB19" i="7"/>
  <c r="AB75" i="7"/>
  <c r="AD27" i="7"/>
  <c r="AE70" i="7"/>
  <c r="Y25" i="7"/>
  <c r="Z61" i="7"/>
  <c r="AA75" i="7"/>
  <c r="AC27" i="7"/>
  <c r="Y70" i="7"/>
  <c r="AE21" i="7"/>
  <c r="AA21" i="7"/>
  <c r="W21" i="7"/>
  <c r="Y21" i="7"/>
  <c r="Z21" i="7"/>
  <c r="Y71" i="7"/>
  <c r="Y75" i="7"/>
  <c r="Y29" i="7"/>
  <c r="Z85" i="7"/>
  <c r="AC85" i="7"/>
  <c r="X85" i="7"/>
  <c r="Y85" i="7"/>
  <c r="AA85" i="7"/>
  <c r="AB85" i="7"/>
  <c r="W85" i="7"/>
  <c r="AD85" i="7"/>
  <c r="AE85" i="7"/>
  <c r="Z15" i="7"/>
  <c r="W30" i="7"/>
  <c r="X30" i="7"/>
  <c r="Y30" i="7"/>
  <c r="AE52" i="7"/>
  <c r="X75" i="7"/>
  <c r="AB30" i="7"/>
  <c r="X29" i="7"/>
  <c r="Z81" i="7"/>
  <c r="AB81" i="7"/>
  <c r="AC81" i="7"/>
  <c r="AE55" i="7"/>
  <c r="AD54" i="7"/>
  <c r="W54" i="7"/>
  <c r="X54" i="7"/>
  <c r="Y54" i="7"/>
  <c r="Z54" i="7"/>
  <c r="AA54" i="7"/>
  <c r="AC54" i="7"/>
  <c r="AB54" i="7"/>
  <c r="Y15" i="7"/>
  <c r="AE61" i="7"/>
  <c r="AE42" i="7"/>
  <c r="AC52" i="7"/>
  <c r="W75" i="7"/>
  <c r="AA71" i="7"/>
  <c r="AA30" i="7"/>
  <c r="W29" i="7"/>
  <c r="AB60" i="7"/>
  <c r="Z60" i="7"/>
  <c r="AA26" i="7"/>
  <c r="AB26" i="7"/>
  <c r="AC26" i="7"/>
  <c r="W26" i="7"/>
  <c r="X26" i="7"/>
  <c r="Y26" i="7"/>
  <c r="Z26" i="7"/>
  <c r="AD26" i="7"/>
  <c r="AE26" i="7"/>
  <c r="Z51" i="7"/>
  <c r="AC51" i="7"/>
  <c r="AD51" i="7"/>
  <c r="W51" i="7"/>
  <c r="X51" i="7"/>
  <c r="Y51" i="7"/>
  <c r="AA51" i="7"/>
  <c r="AB51" i="7"/>
  <c r="AE51" i="7"/>
  <c r="X15" i="7"/>
  <c r="W35" i="7"/>
  <c r="AD44" i="7"/>
  <c r="Z52" i="7"/>
  <c r="AE75" i="7"/>
  <c r="AE30" i="7"/>
  <c r="AE29" i="7"/>
  <c r="AE32" i="7"/>
  <c r="W32" i="7"/>
  <c r="Z32" i="7"/>
  <c r="AA32" i="7"/>
  <c r="AD32" i="7"/>
  <c r="X32" i="7"/>
  <c r="Y32" i="7"/>
  <c r="AD55" i="7"/>
  <c r="W62" i="7"/>
  <c r="X62" i="7"/>
  <c r="Y62" i="7"/>
  <c r="Z62" i="7"/>
  <c r="AA62" i="7"/>
  <c r="AC62" i="7"/>
  <c r="AD62" i="7"/>
  <c r="AE62" i="7"/>
  <c r="AB62" i="7"/>
  <c r="W15" i="7"/>
  <c r="Z35" i="7"/>
  <c r="Y52" i="7"/>
  <c r="AD30" i="7"/>
  <c r="AE82" i="7"/>
  <c r="AD82" i="7"/>
  <c r="W82" i="7"/>
  <c r="Y82" i="7"/>
  <c r="Z82" i="7"/>
  <c r="AA82" i="7"/>
  <c r="AB82" i="7"/>
  <c r="AC82" i="7"/>
  <c r="X82" i="7"/>
  <c r="X84" i="7"/>
  <c r="AE84" i="7"/>
  <c r="W84" i="7"/>
  <c r="Y84" i="7"/>
  <c r="Z84" i="7"/>
  <c r="AA84" i="7"/>
  <c r="AB84" i="7"/>
  <c r="AC84" i="7"/>
  <c r="AD84" i="7"/>
  <c r="AA61" i="7"/>
  <c r="AB61" i="7"/>
  <c r="AC61" i="7"/>
  <c r="AD61" i="7"/>
  <c r="Y35" i="7"/>
  <c r="AC56" i="7"/>
  <c r="Z30" i="7"/>
  <c r="AB52" i="7"/>
  <c r="W70" i="7"/>
  <c r="AA15" i="7"/>
  <c r="AE35" i="7"/>
  <c r="AB12" i="7"/>
  <c r="AC53" i="7"/>
  <c r="Y53" i="7"/>
  <c r="Z53" i="7"/>
  <c r="Y12" i="7"/>
  <c r="AA52" i="7"/>
  <c r="AE83" i="7"/>
  <c r="Z57" i="7"/>
  <c r="Z79" i="7"/>
  <c r="AA79" i="7"/>
  <c r="AB79" i="7"/>
  <c r="AE79" i="7"/>
  <c r="Y38" i="7"/>
  <c r="Z38" i="7"/>
  <c r="AA38" i="7"/>
  <c r="AB38" i="7"/>
  <c r="W38" i="7"/>
  <c r="X38" i="7"/>
  <c r="AC38" i="7"/>
  <c r="AD38" i="7"/>
  <c r="AE38" i="7"/>
  <c r="AD35" i="7"/>
  <c r="AA12" i="7"/>
  <c r="X52" i="7"/>
  <c r="AD83" i="7"/>
  <c r="X57" i="7"/>
  <c r="AB46" i="7"/>
  <c r="AC46" i="7"/>
  <c r="Z46" i="7"/>
  <c r="W64" i="7"/>
  <c r="X64" i="7"/>
  <c r="AD64" i="7"/>
  <c r="AE64" i="7"/>
  <c r="AA65" i="7"/>
  <c r="AB65" i="7"/>
  <c r="W65" i="7"/>
  <c r="X65" i="7"/>
  <c r="Y65" i="7"/>
  <c r="Z65" i="7"/>
  <c r="AC65" i="7"/>
  <c r="AD65" i="7"/>
  <c r="AE65" i="7"/>
  <c r="W69" i="7"/>
  <c r="Z69" i="7"/>
  <c r="AC11" i="7"/>
  <c r="AD11" i="7"/>
  <c r="AE11" i="7"/>
  <c r="W11" i="7"/>
  <c r="X11" i="7"/>
  <c r="AB11" i="7"/>
  <c r="Y11" i="7"/>
  <c r="AA11" i="7"/>
  <c r="Z11" i="7"/>
  <c r="AA20" i="7"/>
  <c r="AB20" i="7"/>
  <c r="X20" i="7"/>
  <c r="W20" i="7"/>
  <c r="Y20" i="7"/>
  <c r="Z20" i="7"/>
  <c r="AC20" i="7"/>
  <c r="AD20" i="7"/>
  <c r="AE20" i="7"/>
  <c r="Z68" i="7"/>
  <c r="AE68" i="7"/>
  <c r="AA68" i="7"/>
  <c r="AC68" i="7"/>
  <c r="Y68" i="7"/>
  <c r="AB68" i="7"/>
  <c r="AB67" i="7"/>
  <c r="AC67" i="7"/>
  <c r="Y67" i="7"/>
  <c r="W67" i="7"/>
  <c r="X67" i="7"/>
  <c r="Z67" i="7"/>
  <c r="AA67" i="7"/>
  <c r="AD67" i="7"/>
  <c r="AE67" i="7"/>
  <c r="Z56" i="7"/>
  <c r="Z12" i="7"/>
  <c r="AE45" i="7"/>
  <c r="AC23" i="7"/>
  <c r="AA45" i="7"/>
  <c r="AE57" i="7"/>
  <c r="AE12" i="7"/>
  <c r="Z45" i="7"/>
  <c r="AA57" i="7"/>
  <c r="X49" i="7"/>
  <c r="AD49" i="7"/>
  <c r="AE49" i="7"/>
  <c r="AB49" i="7"/>
  <c r="AC49" i="7"/>
  <c r="Y49" i="7"/>
  <c r="Z49" i="7"/>
  <c r="AA49" i="7"/>
  <c r="W49" i="7"/>
  <c r="W28" i="7"/>
  <c r="Y57" i="7"/>
  <c r="AD16" i="7"/>
  <c r="AE78" i="7"/>
  <c r="X45" i="7"/>
  <c r="AE36" i="7"/>
  <c r="W45" i="7"/>
  <c r="AC41" i="7"/>
  <c r="AC50" i="7"/>
  <c r="W50" i="7"/>
  <c r="X50" i="7"/>
  <c r="Y50" i="7"/>
  <c r="Z50" i="7"/>
  <c r="AA50" i="7"/>
  <c r="AB50" i="7"/>
  <c r="AD50" i="7"/>
  <c r="AE50" i="7"/>
  <c r="W80" i="7"/>
  <c r="X80" i="7"/>
  <c r="AC80" i="7"/>
  <c r="AD80" i="7"/>
  <c r="Y80" i="7"/>
  <c r="Z80" i="7"/>
  <c r="AA80" i="7"/>
  <c r="AB80" i="7"/>
  <c r="AE80" i="7"/>
  <c r="AE16" i="7"/>
  <c r="AD36" i="7"/>
  <c r="W22" i="7"/>
  <c r="Z22" i="7"/>
  <c r="AA22" i="7"/>
  <c r="X22" i="7"/>
  <c r="Y22" i="7"/>
  <c r="AC22" i="7"/>
  <c r="AD22" i="7"/>
  <c r="AE22" i="7"/>
  <c r="Y72" i="7"/>
  <c r="AC72" i="7"/>
  <c r="AE72" i="7"/>
  <c r="Z44" i="7"/>
  <c r="AA55" i="7"/>
  <c r="W78" i="7"/>
  <c r="AB36" i="7"/>
  <c r="W41" i="7"/>
  <c r="W33" i="7"/>
  <c r="Y33" i="7"/>
  <c r="Z33" i="7"/>
  <c r="X33" i="7"/>
  <c r="AA33" i="7"/>
  <c r="AB33" i="7"/>
  <c r="AD33" i="7"/>
  <c r="AE33" i="7"/>
  <c r="AC33" i="7"/>
  <c r="W25" i="7"/>
  <c r="X25" i="7"/>
  <c r="AD25" i="7"/>
  <c r="Z34" i="7"/>
  <c r="AB34" i="7"/>
  <c r="AC34" i="7"/>
  <c r="AD34" i="7"/>
  <c r="X34" i="7"/>
  <c r="Y34" i="7"/>
  <c r="W34" i="7"/>
  <c r="AE34" i="7"/>
  <c r="AE44" i="7"/>
  <c r="AB42" i="7"/>
  <c r="W55" i="7"/>
  <c r="X36" i="7"/>
  <c r="Z27" i="7"/>
  <c r="Y41" i="7"/>
  <c r="AE25" i="7"/>
  <c r="X17" i="7"/>
  <c r="Z17" i="7"/>
  <c r="W27" i="7"/>
  <c r="W24" i="7"/>
  <c r="X24" i="7"/>
  <c r="Y24" i="7"/>
  <c r="AC24" i="7"/>
  <c r="AD24" i="7"/>
  <c r="AE24" i="7"/>
  <c r="Z24" i="7"/>
  <c r="AA24" i="7"/>
  <c r="AB24" i="7"/>
  <c r="AA70" i="7"/>
  <c r="W14" i="7"/>
  <c r="AD14" i="7"/>
  <c r="AE14" i="7"/>
  <c r="AA14" i="7"/>
  <c r="AB14" i="7"/>
  <c r="AC14" i="7"/>
  <c r="X14" i="7"/>
  <c r="Y14" i="7"/>
  <c r="Z14" i="7"/>
  <c r="Y19" i="7"/>
  <c r="AB83" i="7"/>
  <c r="AD45" i="7"/>
  <c r="AD57" i="7"/>
  <c r="AB77" i="7"/>
  <c r="Y77" i="7"/>
  <c r="X77" i="7"/>
  <c r="Z77" i="7"/>
  <c r="AA77" i="7"/>
  <c r="W77" i="7"/>
  <c r="AC77" i="7"/>
  <c r="AA47" i="7"/>
  <c r="AB47" i="7"/>
  <c r="AC47" i="7"/>
  <c r="W47" i="7"/>
  <c r="X47" i="7"/>
  <c r="AD47" i="7"/>
  <c r="AE47" i="7"/>
  <c r="AC12" i="7"/>
  <c r="AA83" i="7"/>
  <c r="AC45" i="7"/>
  <c r="AC57" i="7"/>
  <c r="W66" i="7"/>
  <c r="X66" i="7"/>
  <c r="AE66" i="7"/>
  <c r="Y66" i="7"/>
  <c r="Z66" i="7"/>
  <c r="AA66" i="7"/>
  <c r="X12" i="7"/>
  <c r="AB45" i="7"/>
  <c r="Z78" i="7"/>
  <c r="AC43" i="7"/>
  <c r="AE43" i="7"/>
  <c r="AB43" i="7"/>
  <c r="AD43" i="7"/>
  <c r="Z43" i="7"/>
  <c r="W43" i="7"/>
  <c r="X43" i="7"/>
  <c r="Y43" i="7"/>
  <c r="AA43" i="7"/>
  <c r="Y78" i="7"/>
  <c r="AD10" i="7"/>
  <c r="Y48" i="7"/>
  <c r="Z48" i="7"/>
  <c r="AB48" i="7"/>
  <c r="AC48" i="7"/>
  <c r="AE19" i="7"/>
  <c r="Z10" i="7"/>
  <c r="Y63" i="7"/>
  <c r="AD63" i="7"/>
  <c r="AE63" i="7"/>
  <c r="Z63" i="7"/>
  <c r="Y10" i="7"/>
  <c r="AB56" i="7"/>
  <c r="AB41" i="7"/>
  <c r="W10" i="7"/>
  <c r="AA44" i="7"/>
  <c r="Z19" i="7"/>
  <c r="AA78" i="7"/>
  <c r="AC36" i="7"/>
  <c r="X41" i="7"/>
  <c r="AC10" i="7"/>
  <c r="AB10" i="7"/>
  <c r="Y44" i="7"/>
  <c r="AA36" i="7"/>
  <c r="AE41" i="7"/>
  <c r="X44" i="7"/>
  <c r="Z55" i="7"/>
  <c r="Z41" i="7"/>
  <c r="Z36" i="7"/>
  <c r="AD41" i="7"/>
  <c r="AB55" i="7"/>
  <c r="AA58" i="7"/>
  <c r="AC58" i="7"/>
  <c r="AE58" i="7"/>
  <c r="W58" i="7"/>
  <c r="X58" i="7"/>
  <c r="Y58" i="7"/>
  <c r="Z58" i="7"/>
  <c r="AB58" i="7"/>
  <c r="AD58" i="7"/>
  <c r="Y36" i="7"/>
  <c r="Z71" i="7"/>
  <c r="AA13" i="7"/>
  <c r="AB13" i="7"/>
  <c r="Z13" i="7"/>
  <c r="AC13" i="7"/>
  <c r="W13" i="7"/>
  <c r="X13" i="7"/>
  <c r="Y13" i="7"/>
  <c r="AD13" i="7"/>
  <c r="AE13" i="7"/>
  <c r="AD15" i="7"/>
  <c r="AE15" i="7"/>
  <c r="W16" i="7"/>
  <c r="X16" i="7"/>
  <c r="Y16" i="7"/>
  <c r="Z16" i="7"/>
  <c r="AA16" i="7"/>
  <c r="AC16" i="7"/>
  <c r="AC29" i="6"/>
  <c r="AC70" i="6"/>
  <c r="AC42" i="6"/>
  <c r="AB42" i="6"/>
  <c r="Y43" i="6"/>
  <c r="Z10" i="6"/>
  <c r="W83" i="6"/>
  <c r="AE14" i="6"/>
  <c r="X26" i="6"/>
  <c r="AE43" i="6"/>
  <c r="AE10" i="6"/>
  <c r="AB15" i="6"/>
  <c r="AD43" i="6"/>
  <c r="X78" i="6"/>
  <c r="X10" i="6"/>
  <c r="Y11" i="6"/>
  <c r="AC78" i="6"/>
  <c r="W10" i="6"/>
  <c r="AB50" i="6"/>
  <c r="AB28" i="6"/>
  <c r="AE11" i="6"/>
  <c r="W78" i="6"/>
  <c r="AC10" i="6"/>
  <c r="AB10" i="6"/>
  <c r="W39" i="6"/>
  <c r="AE69" i="6"/>
  <c r="AB26" i="6"/>
  <c r="AC21" i="6"/>
  <c r="AA10" i="6"/>
  <c r="Z42" i="6"/>
  <c r="W43" i="6"/>
  <c r="W41" i="6"/>
  <c r="AE21" i="5"/>
  <c r="Z30" i="6"/>
  <c r="Z34" i="6"/>
  <c r="X41" i="6"/>
  <c r="AB18" i="6"/>
  <c r="Z23" i="6"/>
  <c r="Z79" i="6"/>
  <c r="AC55" i="6"/>
  <c r="AC61" i="6"/>
  <c r="AD64" i="6"/>
  <c r="AA29" i="6"/>
  <c r="AB79" i="6"/>
  <c r="W11" i="6"/>
  <c r="X11" i="6"/>
  <c r="AA11" i="6"/>
  <c r="AB11" i="6"/>
  <c r="AC11" i="6"/>
  <c r="AC43" i="6"/>
  <c r="AC30" i="6"/>
  <c r="Z41" i="6"/>
  <c r="Y27" i="6"/>
  <c r="AE47" i="6"/>
  <c r="X79" i="6"/>
  <c r="AA37" i="6"/>
  <c r="W30" i="6"/>
  <c r="AC74" i="6"/>
  <c r="W21" i="6"/>
  <c r="W79" i="6"/>
  <c r="AA54" i="6"/>
  <c r="AB64" i="6"/>
  <c r="Y29" i="6"/>
  <c r="AE79" i="6"/>
  <c r="AA21" i="6"/>
  <c r="Y21" i="6"/>
  <c r="AB30" i="6"/>
  <c r="AD10" i="6"/>
  <c r="AD79" i="6"/>
  <c r="AD35" i="6"/>
  <c r="Z50" i="6"/>
  <c r="Z43" i="6"/>
  <c r="AE41" i="6"/>
  <c r="AD41" i="6"/>
  <c r="AD30" i="6"/>
  <c r="AE30" i="6"/>
  <c r="AA64" i="6"/>
  <c r="X29" i="6"/>
  <c r="AB56" i="6"/>
  <c r="AE60" i="5"/>
  <c r="W32" i="6"/>
  <c r="AE60" i="6"/>
  <c r="AA30" i="6"/>
  <c r="Y30" i="6"/>
  <c r="AD27" i="6"/>
  <c r="W29" i="6"/>
  <c r="AA42" i="6"/>
  <c r="W27" i="6"/>
  <c r="AB46" i="6"/>
  <c r="AA79" i="6"/>
  <c r="W64" i="6"/>
  <c r="AE75" i="6"/>
  <c r="AE29" i="6"/>
  <c r="Z56" i="6"/>
  <c r="Y64" i="6"/>
  <c r="X42" i="6"/>
  <c r="AA82" i="6"/>
  <c r="AC82" i="6"/>
  <c r="Z82" i="6"/>
  <c r="AB82" i="6"/>
  <c r="AD82" i="6"/>
  <c r="AE82" i="6"/>
  <c r="AE65" i="6"/>
  <c r="X65" i="6"/>
  <c r="AB65" i="6"/>
  <c r="AC65" i="6"/>
  <c r="Y65" i="6"/>
  <c r="AD65" i="6"/>
  <c r="Z65" i="6"/>
  <c r="AA65" i="6"/>
  <c r="W65" i="6"/>
  <c r="AC13" i="6"/>
  <c r="X13" i="6"/>
  <c r="Z13" i="6"/>
  <c r="W13" i="6"/>
  <c r="AA13" i="6"/>
  <c r="AB13" i="6"/>
  <c r="AE13" i="6"/>
  <c r="AD58" i="6"/>
  <c r="Y58" i="6"/>
  <c r="Z58" i="6"/>
  <c r="AA58" i="6"/>
  <c r="X58" i="6"/>
  <c r="W71" i="6"/>
  <c r="X71" i="6"/>
  <c r="Y71" i="6"/>
  <c r="AC71" i="6"/>
  <c r="AD71" i="6"/>
  <c r="AE71" i="6"/>
  <c r="Z71" i="6"/>
  <c r="AA71" i="6"/>
  <c r="AB71" i="6"/>
  <c r="Y63" i="6"/>
  <c r="X63" i="6"/>
  <c r="Z63" i="6"/>
  <c r="AA63" i="6"/>
  <c r="AB63" i="6"/>
  <c r="AE35" i="6"/>
  <c r="AE18" i="6"/>
  <c r="AA60" i="6"/>
  <c r="AB47" i="6"/>
  <c r="AA41" i="6"/>
  <c r="W19" i="6"/>
  <c r="X19" i="6"/>
  <c r="Y19" i="6"/>
  <c r="Z19" i="6"/>
  <c r="AA19" i="6"/>
  <c r="AB19" i="6"/>
  <c r="AD19" i="6"/>
  <c r="AE19" i="6"/>
  <c r="Z46" i="6"/>
  <c r="Y28" i="6"/>
  <c r="AD38" i="6"/>
  <c r="AE38" i="6"/>
  <c r="W38" i="6"/>
  <c r="X38" i="6"/>
  <c r="Z38" i="6"/>
  <c r="AB38" i="6"/>
  <c r="AC38" i="6"/>
  <c r="Y38" i="6"/>
  <c r="AA38" i="6"/>
  <c r="AC58" i="6"/>
  <c r="AE46" i="6"/>
  <c r="AB58" i="6"/>
  <c r="AC47" i="6"/>
  <c r="AD14" i="6"/>
  <c r="W26" i="6"/>
  <c r="AE21" i="6"/>
  <c r="AD23" i="6"/>
  <c r="AC15" i="6"/>
  <c r="AC14" i="6"/>
  <c r="Y77" i="6"/>
  <c r="W22" i="6"/>
  <c r="X22" i="6"/>
  <c r="Z22" i="6"/>
  <c r="AA22" i="6"/>
  <c r="AB27" i="6"/>
  <c r="AC27" i="6"/>
  <c r="AD47" i="6"/>
  <c r="X77" i="6"/>
  <c r="AA31" i="6"/>
  <c r="AB31" i="6"/>
  <c r="AC31" i="6"/>
  <c r="AD31" i="6"/>
  <c r="AE31" i="6"/>
  <c r="W31" i="6"/>
  <c r="X31" i="6"/>
  <c r="Y31" i="6"/>
  <c r="Z31" i="6"/>
  <c r="Z73" i="6"/>
  <c r="AA73" i="6"/>
  <c r="AC73" i="6"/>
  <c r="AB73" i="6"/>
  <c r="W73" i="6"/>
  <c r="X73" i="6"/>
  <c r="Y73" i="6"/>
  <c r="AE73" i="6"/>
  <c r="W82" i="6"/>
  <c r="AD77" i="6"/>
  <c r="W23" i="6"/>
  <c r="AA39" i="6"/>
  <c r="X39" i="6"/>
  <c r="Y39" i="6"/>
  <c r="AB39" i="6"/>
  <c r="W80" i="6"/>
  <c r="AC80" i="6"/>
  <c r="X80" i="6"/>
  <c r="AE80" i="6"/>
  <c r="Y80" i="6"/>
  <c r="Z80" i="6"/>
  <c r="AA80" i="6"/>
  <c r="AB80" i="6"/>
  <c r="AD80" i="6"/>
  <c r="AA27" i="6"/>
  <c r="Y48" i="6"/>
  <c r="Z48" i="6"/>
  <c r="AA48" i="6"/>
  <c r="AB48" i="6"/>
  <c r="X48" i="6"/>
  <c r="W48" i="6"/>
  <c r="AC48" i="6"/>
  <c r="AD48" i="6"/>
  <c r="AE48" i="6"/>
  <c r="AE23" i="6"/>
  <c r="Y75" i="6"/>
  <c r="Z25" i="6"/>
  <c r="AA25" i="6"/>
  <c r="W25" i="6"/>
  <c r="AD25" i="6"/>
  <c r="X25" i="6"/>
  <c r="Y25" i="6"/>
  <c r="AC25" i="6"/>
  <c r="AE25" i="6"/>
  <c r="AA76" i="6"/>
  <c r="X76" i="6"/>
  <c r="Y76" i="6"/>
  <c r="Z76" i="6"/>
  <c r="W76" i="6"/>
  <c r="AB76" i="6"/>
  <c r="AD76" i="6"/>
  <c r="AE76" i="6"/>
  <c r="AC76" i="6"/>
  <c r="AA14" i="6"/>
  <c r="W14" i="6"/>
  <c r="X14" i="6"/>
  <c r="Y14" i="6"/>
  <c r="Z14" i="6"/>
  <c r="AB14" i="6"/>
  <c r="AC46" i="6"/>
  <c r="AE70" i="6"/>
  <c r="Z47" i="6"/>
  <c r="AA72" i="6"/>
  <c r="AB72" i="6"/>
  <c r="AC72" i="6"/>
  <c r="W72" i="6"/>
  <c r="AE72" i="6"/>
  <c r="AD72" i="6"/>
  <c r="W58" i="6"/>
  <c r="AC49" i="6"/>
  <c r="AD49" i="6"/>
  <c r="AE49" i="6"/>
  <c r="W49" i="6"/>
  <c r="AA49" i="6"/>
  <c r="AB49" i="6"/>
  <c r="X49" i="6"/>
  <c r="Y49" i="6"/>
  <c r="Z49" i="6"/>
  <c r="X21" i="6"/>
  <c r="AA74" i="6"/>
  <c r="Y20" i="6"/>
  <c r="AB20" i="6"/>
  <c r="Z20" i="6"/>
  <c r="AA20" i="6"/>
  <c r="AC20" i="6"/>
  <c r="AD20" i="6"/>
  <c r="AE20" i="6"/>
  <c r="W20" i="6"/>
  <c r="X20" i="6"/>
  <c r="AA26" i="6"/>
  <c r="AD26" i="6"/>
  <c r="AE26" i="6"/>
  <c r="AC26" i="6"/>
  <c r="Y82" i="6"/>
  <c r="AE56" i="6"/>
  <c r="X82" i="6"/>
  <c r="Y56" i="6"/>
  <c r="AB77" i="6"/>
  <c r="W33" i="6"/>
  <c r="X33" i="6"/>
  <c r="Y33" i="6"/>
  <c r="AE33" i="6"/>
  <c r="Z33" i="6"/>
  <c r="AC33" i="6"/>
  <c r="AD33" i="6"/>
  <c r="AA33" i="6"/>
  <c r="AB33" i="6"/>
  <c r="Y23" i="6"/>
  <c r="AD15" i="6"/>
  <c r="X47" i="6"/>
  <c r="AA47" i="6"/>
  <c r="X56" i="6"/>
  <c r="AA77" i="6"/>
  <c r="Y36" i="6"/>
  <c r="AC36" i="6"/>
  <c r="Z36" i="6"/>
  <c r="AD36" i="6"/>
  <c r="W36" i="6"/>
  <c r="AC28" i="6"/>
  <c r="AE37" i="6"/>
  <c r="AD37" i="6"/>
  <c r="X27" i="6"/>
  <c r="AD39" i="6"/>
  <c r="AD85" i="6"/>
  <c r="X85" i="6"/>
  <c r="X40" i="6"/>
  <c r="Y40" i="6"/>
  <c r="W40" i="6"/>
  <c r="Z40" i="6"/>
  <c r="AB40" i="6"/>
  <c r="AC40" i="6"/>
  <c r="AA40" i="6"/>
  <c r="AD40" i="6"/>
  <c r="AE40" i="6"/>
  <c r="Y17" i="6"/>
  <c r="AA17" i="6"/>
  <c r="W17" i="6"/>
  <c r="X17" i="6"/>
  <c r="Z17" i="6"/>
  <c r="AB17" i="6"/>
  <c r="AC17" i="6"/>
  <c r="AD17" i="6"/>
  <c r="AE17" i="6"/>
  <c r="AB37" i="6"/>
  <c r="W12" i="6"/>
  <c r="AD12" i="6"/>
  <c r="AE12" i="6"/>
  <c r="X12" i="6"/>
  <c r="Y12" i="6"/>
  <c r="Z12" i="6"/>
  <c r="AC12" i="6"/>
  <c r="AD59" i="6"/>
  <c r="AE59" i="6"/>
  <c r="Y59" i="6"/>
  <c r="AB59" i="6"/>
  <c r="W59" i="6"/>
  <c r="X59" i="6"/>
  <c r="Z59" i="6"/>
  <c r="AA59" i="6"/>
  <c r="AC59" i="6"/>
  <c r="AC34" i="6"/>
  <c r="AE74" i="6"/>
  <c r="Z85" i="6"/>
  <c r="AA16" i="6"/>
  <c r="AB16" i="6"/>
  <c r="AC16" i="6"/>
  <c r="AD16" i="6"/>
  <c r="AE16" i="6"/>
  <c r="W16" i="6"/>
  <c r="X16" i="6"/>
  <c r="Z16" i="6"/>
  <c r="Y16" i="6"/>
  <c r="AB34" i="6"/>
  <c r="AB61" i="6"/>
  <c r="AD61" i="6"/>
  <c r="W61" i="6"/>
  <c r="Y61" i="6"/>
  <c r="Z61" i="6"/>
  <c r="AE61" i="6"/>
  <c r="AA61" i="6"/>
  <c r="W85" i="6"/>
  <c r="AD28" i="6"/>
  <c r="AB74" i="6"/>
  <c r="X28" i="6"/>
  <c r="Z24" i="6"/>
  <c r="AE24" i="6"/>
  <c r="W24" i="6"/>
  <c r="AA24" i="6"/>
  <c r="AB24" i="6"/>
  <c r="AD24" i="6"/>
  <c r="AC24" i="6"/>
  <c r="Y15" i="6"/>
  <c r="Z68" i="6"/>
  <c r="X68" i="6"/>
  <c r="Y68" i="6"/>
  <c r="W68" i="6"/>
  <c r="AA68" i="6"/>
  <c r="AB68" i="6"/>
  <c r="AC68" i="6"/>
  <c r="AD68" i="6"/>
  <c r="AE68" i="6"/>
  <c r="X24" i="6"/>
  <c r="W69" i="6"/>
  <c r="AA69" i="6"/>
  <c r="Z75" i="6"/>
  <c r="W75" i="6"/>
  <c r="X75" i="6"/>
  <c r="AA75" i="6"/>
  <c r="AB75" i="6"/>
  <c r="X81" i="6"/>
  <c r="W81" i="6"/>
  <c r="Y81" i="6"/>
  <c r="AA81" i="6"/>
  <c r="AB81" i="6"/>
  <c r="AC81" i="6"/>
  <c r="AD81" i="6"/>
  <c r="AE81" i="6"/>
  <c r="Z81" i="6"/>
  <c r="AC69" i="6"/>
  <c r="Y54" i="6"/>
  <c r="AE22" i="6"/>
  <c r="W15" i="6"/>
  <c r="Y55" i="6"/>
  <c r="W66" i="6"/>
  <c r="X66" i="6"/>
  <c r="Z66" i="6"/>
  <c r="Y66" i="6"/>
  <c r="AA66" i="6"/>
  <c r="AB66" i="6"/>
  <c r="AC66" i="6"/>
  <c r="W70" i="6"/>
  <c r="X70" i="6"/>
  <c r="AA70" i="6"/>
  <c r="Z70" i="6"/>
  <c r="AB70" i="6"/>
  <c r="Y32" i="6"/>
  <c r="AB32" i="6"/>
  <c r="X32" i="6"/>
  <c r="AC32" i="6"/>
  <c r="AD32" i="6"/>
  <c r="Z32" i="6"/>
  <c r="AA32" i="6"/>
  <c r="AB69" i="6"/>
  <c r="X54" i="6"/>
  <c r="AD22" i="6"/>
  <c r="X55" i="6"/>
  <c r="Z69" i="6"/>
  <c r="AC22" i="6"/>
  <c r="AE55" i="6"/>
  <c r="AE39" i="6"/>
  <c r="AC45" i="6"/>
  <c r="X45" i="6"/>
  <c r="W45" i="6"/>
  <c r="Y45" i="6"/>
  <c r="Z45" i="6"/>
  <c r="AB45" i="6"/>
  <c r="AD45" i="6"/>
  <c r="W35" i="6"/>
  <c r="X35" i="6"/>
  <c r="Y35" i="6"/>
  <c r="Z35" i="6"/>
  <c r="AB35" i="6"/>
  <c r="AC35" i="6"/>
  <c r="X46" i="6"/>
  <c r="W46" i="6"/>
  <c r="X67" i="6"/>
  <c r="AC67" i="6"/>
  <c r="W67" i="6"/>
  <c r="Y67" i="6"/>
  <c r="Z67" i="6"/>
  <c r="AA67" i="6"/>
  <c r="AB67" i="6"/>
  <c r="AD67" i="6"/>
  <c r="AE67" i="6"/>
  <c r="AE85" i="6"/>
  <c r="AC85" i="6"/>
  <c r="AA53" i="6"/>
  <c r="AB53" i="6"/>
  <c r="AC53" i="6"/>
  <c r="AD53" i="6"/>
  <c r="AE53" i="6"/>
  <c r="Y53" i="6"/>
  <c r="Z53" i="6"/>
  <c r="W53" i="6"/>
  <c r="X53" i="6"/>
  <c r="AB54" i="6"/>
  <c r="AD54" i="6"/>
  <c r="Y85" i="6"/>
  <c r="AA84" i="6"/>
  <c r="AB84" i="6"/>
  <c r="AC84" i="6"/>
  <c r="W84" i="6"/>
  <c r="Z84" i="6"/>
  <c r="X84" i="6"/>
  <c r="Y84" i="6"/>
  <c r="AE84" i="6"/>
  <c r="AD84" i="6"/>
  <c r="X34" i="6"/>
  <c r="W34" i="6"/>
  <c r="Y34" i="6"/>
  <c r="AD34" i="6"/>
  <c r="AE34" i="6"/>
  <c r="AB85" i="6"/>
  <c r="X52" i="6"/>
  <c r="Y52" i="6"/>
  <c r="Z52" i="6"/>
  <c r="AA52" i="6"/>
  <c r="AC52" i="6"/>
  <c r="AD52" i="6"/>
  <c r="AB52" i="6"/>
  <c r="AE52" i="6"/>
  <c r="X37" i="6"/>
  <c r="W60" i="6"/>
  <c r="X60" i="6"/>
  <c r="Y60" i="6"/>
  <c r="AD60" i="6"/>
  <c r="Z57" i="6"/>
  <c r="AA57" i="6"/>
  <c r="W57" i="6"/>
  <c r="X57" i="6"/>
  <c r="Y57" i="6"/>
  <c r="AB57" i="6"/>
  <c r="AD57" i="6"/>
  <c r="AE57" i="6"/>
  <c r="W74" i="6"/>
  <c r="AC51" i="6"/>
  <c r="X51" i="6"/>
  <c r="AD51" i="6"/>
  <c r="W51" i="6"/>
  <c r="Y51" i="6"/>
  <c r="Z51" i="6"/>
  <c r="AA51" i="6"/>
  <c r="AB51" i="6"/>
  <c r="AA34" i="6"/>
  <c r="Y18" i="6"/>
  <c r="Z18" i="6"/>
  <c r="AA18" i="6"/>
  <c r="W18" i="6"/>
  <c r="X18" i="6"/>
  <c r="Y24" i="6"/>
  <c r="X74" i="6"/>
  <c r="AE62" i="6"/>
  <c r="X62" i="6"/>
  <c r="Y62" i="6"/>
  <c r="AC62" i="6"/>
  <c r="AD62" i="6"/>
  <c r="AB62" i="6"/>
  <c r="W62" i="6"/>
  <c r="AA44" i="6"/>
  <c r="Z44" i="6"/>
  <c r="AB44" i="6"/>
  <c r="Y44" i="6"/>
  <c r="AC44" i="6"/>
  <c r="AD44" i="6"/>
  <c r="W44" i="6"/>
  <c r="AE44" i="6"/>
  <c r="X23" i="6"/>
  <c r="Z54" i="6"/>
  <c r="AB22" i="6"/>
  <c r="W63" i="6"/>
  <c r="Y41" i="6"/>
  <c r="AD55" i="6"/>
  <c r="W28" i="6"/>
  <c r="X69" i="6"/>
  <c r="W54" i="6"/>
  <c r="AE63" i="6"/>
  <c r="X64" i="5"/>
  <c r="AC13" i="5"/>
  <c r="Z39" i="5"/>
  <c r="Y21" i="5"/>
  <c r="AC76" i="5"/>
  <c r="Y39" i="5"/>
  <c r="X85" i="5"/>
  <c r="W85" i="5"/>
  <c r="Z73" i="5"/>
  <c r="AC55" i="5"/>
  <c r="AE53" i="5"/>
  <c r="AC71" i="5"/>
  <c r="Z40" i="5"/>
  <c r="Y37" i="5"/>
  <c r="AA73" i="5"/>
  <c r="Y19" i="5"/>
  <c r="Y73" i="5"/>
  <c r="AA21" i="5"/>
  <c r="Z35" i="5"/>
  <c r="AB73" i="5"/>
  <c r="AC40" i="5"/>
  <c r="W77" i="5"/>
  <c r="AB40" i="5"/>
  <c r="AD76" i="5"/>
  <c r="AA40" i="5"/>
  <c r="AD39" i="5"/>
  <c r="Y74" i="5"/>
  <c r="AE85" i="5"/>
  <c r="AD85" i="5"/>
  <c r="Y57" i="5"/>
  <c r="AC85" i="5"/>
  <c r="AB39" i="5"/>
  <c r="AA64" i="5"/>
  <c r="Y55" i="5"/>
  <c r="Z47" i="5"/>
  <c r="W39" i="5"/>
  <c r="X13" i="5"/>
  <c r="AC14" i="5"/>
  <c r="X60" i="5"/>
  <c r="AE13" i="5"/>
  <c r="AC10" i="5"/>
  <c r="AA39" i="5"/>
  <c r="W40" i="5"/>
  <c r="Z14" i="5"/>
  <c r="Y29" i="5"/>
  <c r="Y10" i="5"/>
  <c r="Y13" i="5"/>
  <c r="AA13" i="5"/>
  <c r="AD13" i="5"/>
  <c r="Y41" i="5"/>
  <c r="Y53" i="5"/>
  <c r="Z77" i="5"/>
  <c r="AC11" i="5"/>
  <c r="AB74" i="5"/>
  <c r="X53" i="5"/>
  <c r="Z13" i="5"/>
  <c r="X14" i="5"/>
  <c r="Y72" i="5"/>
  <c r="Z72" i="5"/>
  <c r="AD72" i="5"/>
  <c r="AA83" i="5"/>
  <c r="AB83" i="5"/>
  <c r="AD83" i="5"/>
  <c r="AE83" i="5"/>
  <c r="X83" i="5"/>
  <c r="Y83" i="5"/>
  <c r="AC83" i="5"/>
  <c r="W83" i="5"/>
  <c r="Z83" i="5"/>
  <c r="Z20" i="5"/>
  <c r="Y20" i="5"/>
  <c r="W20" i="5"/>
  <c r="X20" i="5"/>
  <c r="AA20" i="5"/>
  <c r="AB20" i="5"/>
  <c r="AC20" i="5"/>
  <c r="AD20" i="5"/>
  <c r="AE20" i="5"/>
  <c r="W63" i="5"/>
  <c r="X63" i="5"/>
  <c r="AE63" i="5"/>
  <c r="Z63" i="5"/>
  <c r="AC63" i="5"/>
  <c r="AD63" i="5"/>
  <c r="AA63" i="5"/>
  <c r="AB63" i="5"/>
  <c r="Y63" i="5"/>
  <c r="AD30" i="5"/>
  <c r="AE30" i="5"/>
  <c r="AC59" i="5"/>
  <c r="AD59" i="5"/>
  <c r="W59" i="5"/>
  <c r="X59" i="5"/>
  <c r="Z59" i="5"/>
  <c r="AA59" i="5"/>
  <c r="AB59" i="5"/>
  <c r="Y59" i="5"/>
  <c r="AE59" i="5"/>
  <c r="Z37" i="5"/>
  <c r="AA37" i="5"/>
  <c r="AB37" i="5"/>
  <c r="X73" i="5"/>
  <c r="X37" i="5"/>
  <c r="AB76" i="5"/>
  <c r="AD45" i="5"/>
  <c r="AE45" i="5"/>
  <c r="AB45" i="5"/>
  <c r="AC45" i="5"/>
  <c r="Z45" i="5"/>
  <c r="W45" i="5"/>
  <c r="X45" i="5"/>
  <c r="Y45" i="5"/>
  <c r="AA45" i="5"/>
  <c r="W73" i="5"/>
  <c r="W37" i="5"/>
  <c r="AA76" i="5"/>
  <c r="W48" i="5"/>
  <c r="Y48" i="5"/>
  <c r="AD48" i="5"/>
  <c r="AE48" i="5"/>
  <c r="Z48" i="5"/>
  <c r="AE12" i="5"/>
  <c r="Y12" i="5"/>
  <c r="Z12" i="5"/>
  <c r="AA12" i="5"/>
  <c r="AB12" i="5"/>
  <c r="W12" i="5"/>
  <c r="X12" i="5"/>
  <c r="AC12" i="5"/>
  <c r="AD12" i="5"/>
  <c r="Z49" i="5"/>
  <c r="W49" i="5"/>
  <c r="AB49" i="5"/>
  <c r="AC49" i="5"/>
  <c r="AD49" i="5"/>
  <c r="AE49" i="5"/>
  <c r="X49" i="5"/>
  <c r="Y49" i="5"/>
  <c r="AA49" i="5"/>
  <c r="X19" i="5"/>
  <c r="AE37" i="5"/>
  <c r="Z76" i="5"/>
  <c r="Z15" i="5"/>
  <c r="AB15" i="5"/>
  <c r="AA15" i="5"/>
  <c r="AC15" i="5"/>
  <c r="AD15" i="5"/>
  <c r="AE15" i="5"/>
  <c r="W15" i="5"/>
  <c r="X15" i="5"/>
  <c r="Y15" i="5"/>
  <c r="AD55" i="5"/>
  <c r="Y40" i="5"/>
  <c r="W19" i="5"/>
  <c r="AD37" i="5"/>
  <c r="Y76" i="5"/>
  <c r="AD51" i="5"/>
  <c r="AC51" i="5"/>
  <c r="AE51" i="5"/>
  <c r="W51" i="5"/>
  <c r="X51" i="5"/>
  <c r="Y51" i="5"/>
  <c r="Z51" i="5"/>
  <c r="AA51" i="5"/>
  <c r="AB51" i="5"/>
  <c r="X40" i="5"/>
  <c r="AE14" i="5"/>
  <c r="AA19" i="5"/>
  <c r="AC37" i="5"/>
  <c r="X76" i="5"/>
  <c r="Y85" i="5"/>
  <c r="Z85" i="5"/>
  <c r="AA85" i="5"/>
  <c r="AB85" i="5"/>
  <c r="X79" i="5"/>
  <c r="Y79" i="5"/>
  <c r="Z79" i="5"/>
  <c r="W79" i="5"/>
  <c r="AA79" i="5"/>
  <c r="AB79" i="5"/>
  <c r="AC79" i="5"/>
  <c r="AD79" i="5"/>
  <c r="AE79" i="5"/>
  <c r="AC43" i="5"/>
  <c r="AD43" i="5"/>
  <c r="AA43" i="5"/>
  <c r="AB43" i="5"/>
  <c r="AE43" i="5"/>
  <c r="W43" i="5"/>
  <c r="Y43" i="5"/>
  <c r="X43" i="5"/>
  <c r="Z43" i="5"/>
  <c r="AB19" i="5"/>
  <c r="AB11" i="5"/>
  <c r="W76" i="5"/>
  <c r="X57" i="5"/>
  <c r="AD78" i="5"/>
  <c r="AE78" i="5"/>
  <c r="W78" i="5"/>
  <c r="X78" i="5"/>
  <c r="AA78" i="5"/>
  <c r="AB78" i="5"/>
  <c r="Y78" i="5"/>
  <c r="Z78" i="5"/>
  <c r="AC78" i="5"/>
  <c r="W56" i="5"/>
  <c r="X56" i="5"/>
  <c r="Y56" i="5"/>
  <c r="AE56" i="5"/>
  <c r="Z56" i="5"/>
  <c r="AA56" i="5"/>
  <c r="AB56" i="5"/>
  <c r="AC56" i="5"/>
  <c r="AD56" i="5"/>
  <c r="Y25" i="5"/>
  <c r="Z25" i="5"/>
  <c r="AA25" i="5"/>
  <c r="AE25" i="5"/>
  <c r="W25" i="5"/>
  <c r="X25" i="5"/>
  <c r="AB25" i="5"/>
  <c r="AD25" i="5"/>
  <c r="AC25" i="5"/>
  <c r="AC27" i="5"/>
  <c r="AD27" i="5"/>
  <c r="AE27" i="5"/>
  <c r="X27" i="5"/>
  <c r="W27" i="5"/>
  <c r="Y27" i="5"/>
  <c r="Z27" i="5"/>
  <c r="AA27" i="5"/>
  <c r="AB27" i="5"/>
  <c r="Z19" i="5"/>
  <c r="Z53" i="5"/>
  <c r="AA11" i="5"/>
  <c r="AE76" i="5"/>
  <c r="W57" i="5"/>
  <c r="AB34" i="5"/>
  <c r="AE34" i="5"/>
  <c r="W34" i="5"/>
  <c r="X34" i="5"/>
  <c r="Y34" i="5"/>
  <c r="Z34" i="5"/>
  <c r="AA34" i="5"/>
  <c r="AD34" i="5"/>
  <c r="AC34" i="5"/>
  <c r="Z21" i="5"/>
  <c r="AB30" i="5"/>
  <c r="AE19" i="5"/>
  <c r="AE11" i="5"/>
  <c r="AD60" i="5"/>
  <c r="AE57" i="5"/>
  <c r="W35" i="5"/>
  <c r="AA35" i="5"/>
  <c r="AB35" i="5"/>
  <c r="AD74" i="5"/>
  <c r="X74" i="5"/>
  <c r="W30" i="5"/>
  <c r="AC19" i="5"/>
  <c r="AB72" i="5"/>
  <c r="AD11" i="5"/>
  <c r="AC60" i="5"/>
  <c r="AD57" i="5"/>
  <c r="AB18" i="5"/>
  <c r="W18" i="5"/>
  <c r="X18" i="5"/>
  <c r="Z18" i="5"/>
  <c r="Y18" i="5"/>
  <c r="AA18" i="5"/>
  <c r="AC18" i="5"/>
  <c r="AD18" i="5"/>
  <c r="AE18" i="5"/>
  <c r="AC75" i="5"/>
  <c r="AD75" i="5"/>
  <c r="Z75" i="5"/>
  <c r="AA75" i="5"/>
  <c r="W75" i="5"/>
  <c r="X75" i="5"/>
  <c r="Y75" i="5"/>
  <c r="AB75" i="5"/>
  <c r="AE75" i="5"/>
  <c r="AE44" i="5"/>
  <c r="W44" i="5"/>
  <c r="AA44" i="5"/>
  <c r="AB44" i="5"/>
  <c r="X44" i="5"/>
  <c r="Y44" i="5"/>
  <c r="Z44" i="5"/>
  <c r="AC44" i="5"/>
  <c r="AD44" i="5"/>
  <c r="AC30" i="5"/>
  <c r="AD19" i="5"/>
  <c r="AC72" i="5"/>
  <c r="AB60" i="5"/>
  <c r="AC57" i="5"/>
  <c r="W71" i="5"/>
  <c r="AE71" i="5"/>
  <c r="Z30" i="5"/>
  <c r="AE39" i="5"/>
  <c r="AA72" i="5"/>
  <c r="Y47" i="5"/>
  <c r="AE10" i="5"/>
  <c r="AA60" i="5"/>
  <c r="AB57" i="5"/>
  <c r="AC35" i="5"/>
  <c r="AA30" i="5"/>
  <c r="AE72" i="5"/>
  <c r="X47" i="5"/>
  <c r="AD10" i="5"/>
  <c r="W60" i="5"/>
  <c r="AA57" i="5"/>
  <c r="AD81" i="5"/>
  <c r="AE81" i="5"/>
  <c r="AB81" i="5"/>
  <c r="AC81" i="5"/>
  <c r="Z81" i="5"/>
  <c r="AA81" i="5"/>
  <c r="W81" i="5"/>
  <c r="X81" i="5"/>
  <c r="Y81" i="5"/>
  <c r="X39" i="5"/>
  <c r="Y30" i="5"/>
  <c r="AC39" i="5"/>
  <c r="X72" i="5"/>
  <c r="W47" i="5"/>
  <c r="Z10" i="5"/>
  <c r="Z60" i="5"/>
  <c r="Z57" i="5"/>
  <c r="AB50" i="5"/>
  <c r="Z50" i="5"/>
  <c r="AA50" i="5"/>
  <c r="AC50" i="5"/>
  <c r="W50" i="5"/>
  <c r="AD50" i="5"/>
  <c r="X50" i="5"/>
  <c r="Y50" i="5"/>
  <c r="AE50" i="5"/>
  <c r="AE61" i="5"/>
  <c r="W61" i="5"/>
  <c r="X61" i="5"/>
  <c r="AC61" i="5"/>
  <c r="Y61" i="5"/>
  <c r="Z61" i="5"/>
  <c r="AA61" i="5"/>
  <c r="AB61" i="5"/>
  <c r="AD61" i="5"/>
  <c r="X32" i="5"/>
  <c r="AE32" i="5"/>
  <c r="AD32" i="5"/>
  <c r="Y32" i="5"/>
  <c r="W32" i="5"/>
  <c r="Z32" i="5"/>
  <c r="AA32" i="5"/>
  <c r="AB32" i="5"/>
  <c r="AC32" i="5"/>
  <c r="AE47" i="5"/>
  <c r="X30" i="5"/>
  <c r="AD31" i="5"/>
  <c r="AE31" i="5"/>
  <c r="X31" i="5"/>
  <c r="Z31" i="5"/>
  <c r="Y31" i="5"/>
  <c r="W31" i="5"/>
  <c r="AA31" i="5"/>
  <c r="AB31" i="5"/>
  <c r="AC31" i="5"/>
  <c r="W72" i="5"/>
  <c r="Y60" i="5"/>
  <c r="AB80" i="5"/>
  <c r="AC80" i="5"/>
  <c r="AD80" i="5"/>
  <c r="Y80" i="5"/>
  <c r="Z80" i="5"/>
  <c r="X80" i="5"/>
  <c r="W80" i="5"/>
  <c r="AA80" i="5"/>
  <c r="AE80" i="5"/>
  <c r="X10" i="5"/>
  <c r="AD21" i="5"/>
  <c r="AE68" i="5"/>
  <c r="AA68" i="5"/>
  <c r="AB68" i="5"/>
  <c r="AC68" i="5"/>
  <c r="AD68" i="5"/>
  <c r="W68" i="5"/>
  <c r="X68" i="5"/>
  <c r="Y68" i="5"/>
  <c r="Z68" i="5"/>
  <c r="AC52" i="5"/>
  <c r="AD52" i="5"/>
  <c r="AE52" i="5"/>
  <c r="W52" i="5"/>
  <c r="X52" i="5"/>
  <c r="Y52" i="5"/>
  <c r="Z52" i="5"/>
  <c r="AA52" i="5"/>
  <c r="AB52" i="5"/>
  <c r="AA55" i="5"/>
  <c r="AB10" i="5"/>
  <c r="AE28" i="5"/>
  <c r="X28" i="5"/>
  <c r="Z28" i="5"/>
  <c r="W28" i="5"/>
  <c r="Y28" i="5"/>
  <c r="AA28" i="5"/>
  <c r="AB28" i="5"/>
  <c r="AC28" i="5"/>
  <c r="AD28" i="5"/>
  <c r="W74" i="5"/>
  <c r="W41" i="5"/>
  <c r="Z55" i="5"/>
  <c r="AA10" i="5"/>
  <c r="AA47" i="5"/>
  <c r="AB47" i="5"/>
  <c r="AC41" i="5"/>
  <c r="AB41" i="5"/>
  <c r="X55" i="5"/>
  <c r="AD77" i="5"/>
  <c r="AA42" i="5"/>
  <c r="AB42" i="5"/>
  <c r="W42" i="5"/>
  <c r="Y42" i="5"/>
  <c r="X42" i="5"/>
  <c r="Z42" i="5"/>
  <c r="AC42" i="5"/>
  <c r="AD42" i="5"/>
  <c r="AE42" i="5"/>
  <c r="Y35" i="5"/>
  <c r="AC77" i="5"/>
  <c r="AD40" i="5"/>
  <c r="AE40" i="5"/>
  <c r="Z74" i="5"/>
  <c r="Z41" i="5"/>
  <c r="AB77" i="5"/>
  <c r="W24" i="5"/>
  <c r="X24" i="5"/>
  <c r="Y24" i="5"/>
  <c r="Z24" i="5"/>
  <c r="AA24" i="5"/>
  <c r="AC24" i="5"/>
  <c r="AB24" i="5"/>
  <c r="AD24" i="5"/>
  <c r="AE24" i="5"/>
  <c r="X48" i="5"/>
  <c r="X35" i="5"/>
  <c r="X41" i="5"/>
  <c r="AD41" i="5"/>
  <c r="AE41" i="5"/>
  <c r="W62" i="5"/>
  <c r="Y62" i="5"/>
  <c r="X62" i="5"/>
  <c r="Z62" i="5"/>
  <c r="AA62" i="5"/>
  <c r="AB62" i="5"/>
  <c r="AC62" i="5"/>
  <c r="AD62" i="5"/>
  <c r="AE62" i="5"/>
  <c r="AD35" i="5"/>
  <c r="AA74" i="5"/>
  <c r="AA77" i="5"/>
  <c r="AD64" i="5"/>
  <c r="W82" i="5"/>
  <c r="X82" i="5"/>
  <c r="Y82" i="5"/>
  <c r="Z82" i="5"/>
  <c r="AA82" i="5"/>
  <c r="AB82" i="5"/>
  <c r="AC82" i="5"/>
  <c r="AD82" i="5"/>
  <c r="AE82" i="5"/>
  <c r="W14" i="5"/>
  <c r="AD29" i="5"/>
  <c r="AE73" i="5"/>
  <c r="X77" i="5"/>
  <c r="Z17" i="5"/>
  <c r="Y17" i="5"/>
  <c r="AA17" i="5"/>
  <c r="AB17" i="5"/>
  <c r="AC17" i="5"/>
  <c r="AD17" i="5"/>
  <c r="AE17" i="5"/>
  <c r="X17" i="5"/>
  <c r="W17" i="5"/>
  <c r="Y71" i="5"/>
  <c r="Y14" i="5"/>
  <c r="AC29" i="5"/>
  <c r="Y77" i="5"/>
  <c r="Y64" i="5"/>
  <c r="AE35" i="5"/>
  <c r="W64" i="5"/>
  <c r="AC64" i="5"/>
  <c r="AC74" i="5"/>
  <c r="AA71" i="5"/>
  <c r="AC73" i="5"/>
  <c r="W13" i="5"/>
  <c r="AB64" i="5"/>
  <c r="AB55" i="5"/>
  <c r="W10" i="5"/>
  <c r="AD54" i="5"/>
  <c r="AE54" i="5"/>
  <c r="W54" i="5"/>
  <c r="AC54" i="5"/>
  <c r="X54" i="5"/>
  <c r="Y54" i="5"/>
  <c r="Z54" i="5"/>
  <c r="AA54" i="5"/>
  <c r="AB54" i="5"/>
  <c r="AA26" i="5"/>
  <c r="AB26" i="5"/>
  <c r="AC26" i="5"/>
  <c r="W26" i="5"/>
  <c r="X26" i="5"/>
  <c r="Y26" i="5"/>
  <c r="Z26" i="5"/>
  <c r="AD26" i="5"/>
  <c r="AE26" i="5"/>
  <c r="AC21" i="5"/>
  <c r="W70" i="5"/>
  <c r="AD70" i="5"/>
  <c r="AE70" i="5"/>
  <c r="AC70" i="5"/>
  <c r="X70" i="5"/>
  <c r="Y70" i="5"/>
  <c r="Z70" i="5"/>
  <c r="AA70" i="5"/>
  <c r="AB70" i="5"/>
  <c r="AE55" i="5"/>
  <c r="AB21" i="5"/>
  <c r="W55" i="5"/>
  <c r="W11" i="5"/>
  <c r="X11" i="5"/>
  <c r="Y11" i="5"/>
  <c r="Z11" i="5"/>
  <c r="X16" i="5"/>
  <c r="W16" i="5"/>
  <c r="Y16" i="5"/>
  <c r="AE16" i="5"/>
  <c r="AD16" i="5"/>
  <c r="Z16" i="5"/>
  <c r="AA16" i="5"/>
  <c r="AB16" i="5"/>
  <c r="AC16" i="5"/>
  <c r="W23" i="5"/>
  <c r="AA23" i="5"/>
  <c r="AC23" i="5"/>
  <c r="AB23" i="5"/>
  <c r="X23" i="5"/>
  <c r="Y23" i="5"/>
  <c r="Z23" i="5"/>
  <c r="AD23" i="5"/>
  <c r="AE23" i="5"/>
  <c r="AB66" i="5"/>
  <c r="X66" i="5"/>
  <c r="W66" i="5"/>
  <c r="Y66" i="5"/>
  <c r="Z66" i="5"/>
  <c r="AA66" i="5"/>
  <c r="AC66" i="5"/>
  <c r="AD66" i="5"/>
  <c r="AE66" i="5"/>
  <c r="Z65" i="5"/>
  <c r="AD65" i="5"/>
  <c r="AE65" i="5"/>
  <c r="Y65" i="5"/>
  <c r="AA65" i="5"/>
  <c r="AB65" i="5"/>
  <c r="AC65" i="5"/>
  <c r="W65" i="5"/>
  <c r="X65" i="5"/>
  <c r="X21" i="5"/>
  <c r="X36" i="5"/>
  <c r="Y36" i="5"/>
  <c r="AA36" i="5"/>
  <c r="Z36" i="5"/>
  <c r="AB36" i="5"/>
  <c r="AE36" i="5"/>
  <c r="AC36" i="5"/>
  <c r="AD36" i="5"/>
  <c r="W36" i="5"/>
  <c r="Z33" i="5"/>
  <c r="W33" i="5"/>
  <c r="X33" i="5"/>
  <c r="AD33" i="5"/>
  <c r="Y33" i="5"/>
  <c r="AA33" i="5"/>
  <c r="AB33" i="5"/>
  <c r="AC33" i="5"/>
  <c r="AE33" i="5"/>
  <c r="AB48" i="5"/>
  <c r="W21" i="5"/>
  <c r="AC48" i="5"/>
  <c r="W84" i="5"/>
  <c r="X84" i="5"/>
  <c r="Y84" i="5"/>
  <c r="Z84" i="5"/>
  <c r="AA84" i="5"/>
  <c r="AB84" i="5"/>
  <c r="AC84" i="5"/>
  <c r="AD84" i="5"/>
  <c r="AE84" i="5"/>
  <c r="AA41" i="5"/>
  <c r="AA48" i="5"/>
  <c r="AD14" i="5"/>
  <c r="AD67" i="5"/>
  <c r="X67" i="5"/>
  <c r="Z67" i="5"/>
  <c r="Y67" i="5"/>
  <c r="W67" i="5"/>
  <c r="AB67" i="5"/>
  <c r="AC67" i="5"/>
  <c r="AA67" i="5"/>
  <c r="AE67" i="5"/>
  <c r="AE77" i="5"/>
  <c r="AE64" i="5"/>
  <c r="Z46" i="5"/>
  <c r="AA46" i="5"/>
  <c r="AB46" i="5"/>
  <c r="W46" i="5"/>
  <c r="X46" i="5"/>
  <c r="Y46" i="5"/>
  <c r="AC46" i="5"/>
  <c r="AD46" i="5"/>
  <c r="AE46" i="5"/>
  <c r="W29" i="5"/>
  <c r="AA29" i="5"/>
  <c r="AE74" i="5"/>
  <c r="AD71" i="5"/>
  <c r="AE29" i="5"/>
  <c r="Z64" i="5"/>
  <c r="W38" i="5"/>
  <c r="X38" i="5"/>
  <c r="Y38" i="5"/>
  <c r="Z38" i="5"/>
  <c r="AC38" i="5"/>
  <c r="AD38" i="5"/>
  <c r="AA38" i="5"/>
  <c r="AB38" i="5"/>
  <c r="AE38" i="5"/>
  <c r="W22" i="5"/>
  <c r="AA22" i="5"/>
  <c r="AB22" i="5"/>
  <c r="X22" i="5"/>
  <c r="Y22" i="5"/>
  <c r="Z22" i="5"/>
  <c r="AC22" i="5"/>
  <c r="AD22" i="5"/>
  <c r="AE22" i="5"/>
  <c r="W53" i="5"/>
  <c r="AA53" i="5"/>
  <c r="AB53" i="5"/>
  <c r="AC53" i="5"/>
  <c r="AD53" i="5"/>
  <c r="X71" i="5"/>
  <c r="AB29" i="5"/>
  <c r="AA14" i="5"/>
  <c r="AB14" i="5"/>
  <c r="W69" i="5"/>
  <c r="X69" i="5"/>
  <c r="Y69" i="5"/>
  <c r="AB69" i="5"/>
  <c r="Z69" i="5"/>
  <c r="AA69" i="5"/>
  <c r="AC69" i="5"/>
  <c r="AD69" i="5"/>
  <c r="AE69" i="5"/>
  <c r="AB71" i="5"/>
  <c r="AD73" i="5"/>
  <c r="Z29" i="5"/>
  <c r="AB13" i="5"/>
  <c r="AA58" i="5"/>
  <c r="AB58" i="5"/>
  <c r="Z58" i="5"/>
  <c r="AC58" i="5"/>
  <c r="W58" i="5"/>
  <c r="X58" i="5"/>
  <c r="Y58" i="5"/>
  <c r="AD58" i="5"/>
  <c r="AE58" i="5"/>
  <c r="Z71" i="5"/>
  <c r="X29" i="5"/>
  <c r="AD47" i="5"/>
  <c r="AC47" i="5"/>
  <c r="AE74" i="7" l="1"/>
  <c r="AB69" i="7"/>
  <c r="X53" i="7"/>
  <c r="X48" i="7"/>
  <c r="W53" i="7"/>
  <c r="AB35" i="7"/>
  <c r="AB53" i="7"/>
  <c r="AF83" i="12"/>
  <c r="AD69" i="7"/>
  <c r="AD28" i="7"/>
  <c r="AA48" i="7"/>
  <c r="Z40" i="7"/>
  <c r="X69" i="7"/>
  <c r="AA42" i="7"/>
  <c r="AD48" i="7"/>
  <c r="AC50" i="6"/>
  <c r="AE83" i="6"/>
  <c r="AB72" i="7"/>
  <c r="AA69" i="7"/>
  <c r="AA76" i="7"/>
  <c r="Y46" i="6"/>
  <c r="W37" i="6"/>
  <c r="Y37" i="6"/>
  <c r="AE15" i="6"/>
  <c r="AC18" i="6"/>
  <c r="AE64" i="6"/>
  <c r="AE28" i="6"/>
  <c r="AB78" i="6"/>
  <c r="Y74" i="7"/>
  <c r="Y47" i="7"/>
  <c r="AA72" i="7"/>
  <c r="X28" i="7"/>
  <c r="AC15" i="7"/>
  <c r="Y40" i="7"/>
  <c r="AC39" i="6"/>
  <c r="AD46" i="6"/>
  <c r="AE50" i="6"/>
  <c r="Z72" i="7"/>
  <c r="W68" i="7"/>
  <c r="AC44" i="7"/>
  <c r="AE28" i="7"/>
  <c r="Z76" i="7"/>
  <c r="X72" i="7"/>
  <c r="W44" i="7"/>
  <c r="AA59" i="7"/>
  <c r="AD72" i="7"/>
  <c r="AB76" i="7"/>
  <c r="AE48" i="7"/>
  <c r="AD75" i="6"/>
  <c r="AB59" i="7"/>
  <c r="AD37" i="7"/>
  <c r="X36" i="6"/>
  <c r="AA83" i="6"/>
  <c r="Z59" i="7"/>
  <c r="Z37" i="7"/>
  <c r="AE23" i="7"/>
  <c r="AB64" i="7"/>
  <c r="Y79" i="7"/>
  <c r="Y81" i="7"/>
  <c r="X21" i="7"/>
  <c r="Y76" i="7"/>
  <c r="AA19" i="7"/>
  <c r="AC25" i="7"/>
  <c r="AA15" i="6"/>
  <c r="Z74" i="7"/>
  <c r="W74" i="7"/>
  <c r="Y37" i="7"/>
  <c r="AC37" i="6"/>
  <c r="AB23" i="6"/>
  <c r="AA62" i="6"/>
  <c r="AC60" i="6"/>
  <c r="AC54" i="6"/>
  <c r="Y70" i="6"/>
  <c r="AE36" i="6"/>
  <c r="AC56" i="6"/>
  <c r="AD21" i="6"/>
  <c r="Z74" i="6"/>
  <c r="W56" i="6"/>
  <c r="W59" i="7"/>
  <c r="AA74" i="7"/>
  <c r="AE77" i="7"/>
  <c r="AE17" i="7"/>
  <c r="X37" i="7"/>
  <c r="AC78" i="7"/>
  <c r="Z64" i="7"/>
  <c r="W79" i="7"/>
  <c r="AC32" i="7"/>
  <c r="Y60" i="7"/>
  <c r="AE81" i="7"/>
  <c r="AD21" i="7"/>
  <c r="AC77" i="6"/>
  <c r="Y59" i="7"/>
  <c r="Y23" i="7"/>
  <c r="AA64" i="7"/>
  <c r="X79" i="7"/>
  <c r="W81" i="7"/>
  <c r="AE77" i="6"/>
  <c r="AA23" i="7"/>
  <c r="AB60" i="6"/>
  <c r="AB36" i="6"/>
  <c r="AA43" i="6"/>
  <c r="AC79" i="6"/>
  <c r="X59" i="7"/>
  <c r="AD17" i="7"/>
  <c r="W37" i="7"/>
  <c r="AC74" i="7"/>
  <c r="Z23" i="7"/>
  <c r="AD79" i="7"/>
  <c r="X60" i="7"/>
  <c r="AC21" i="7"/>
  <c r="X74" i="7"/>
  <c r="AE45" i="6"/>
  <c r="X83" i="6"/>
  <c r="AE59" i="7"/>
  <c r="AD56" i="7"/>
  <c r="Y17" i="7"/>
  <c r="AE37" i="7"/>
  <c r="Y28" i="7"/>
  <c r="X23" i="7"/>
  <c r="W60" i="7"/>
  <c r="X81" i="7"/>
  <c r="AD59" i="7"/>
  <c r="W50" i="6"/>
  <c r="W19" i="7"/>
  <c r="Y83" i="7"/>
  <c r="AC17" i="7"/>
  <c r="AC37" i="7"/>
  <c r="AD23" i="7"/>
  <c r="AA46" i="7"/>
  <c r="AA60" i="7"/>
  <c r="X83" i="7"/>
  <c r="AC69" i="7"/>
  <c r="AC64" i="6"/>
  <c r="Y69" i="6"/>
  <c r="X50" i="6"/>
  <c r="AB83" i="6"/>
  <c r="AD50" i="6"/>
  <c r="AC76" i="7"/>
  <c r="AD74" i="7"/>
  <c r="AD42" i="7"/>
  <c r="AB17" i="7"/>
  <c r="AB28" i="7"/>
  <c r="AB23" i="7"/>
  <c r="AE46" i="7"/>
  <c r="AD60" i="7"/>
  <c r="AC83" i="6"/>
  <c r="X63" i="7"/>
  <c r="X19" i="7"/>
  <c r="AA17" i="7"/>
  <c r="Y46" i="7"/>
  <c r="AC60" i="7"/>
  <c r="X35" i="7"/>
  <c r="AC63" i="7"/>
  <c r="W46" i="7"/>
  <c r="AD53" i="7"/>
  <c r="AB29" i="6"/>
  <c r="W63" i="7"/>
  <c r="AE53" i="7"/>
  <c r="AE7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Pinter</author>
  </authors>
  <commentList>
    <comment ref="K79" authorId="0" shapeId="0" xr:uid="{E3B4177D-1541-4383-BC7B-AF9E08F18096}">
      <text>
        <r>
          <rPr>
            <b/>
            <sz val="8"/>
            <color indexed="81"/>
            <rFont val="Tahoma"/>
            <family val="2"/>
          </rPr>
          <t>Paul Pinter:</t>
        </r>
        <r>
          <rPr>
            <sz val="8"/>
            <color indexed="81"/>
            <rFont val="Tahoma"/>
            <family val="2"/>
          </rPr>
          <t xml:space="preserve">
This was 46.2 which was more than 10 se above mean
</t>
        </r>
      </text>
    </comment>
  </commentList>
</comments>
</file>

<file path=xl/sharedStrings.xml><?xml version="1.0" encoding="utf-8"?>
<sst xmlns="http://schemas.openxmlformats.org/spreadsheetml/2006/main" count="3058" uniqueCount="149">
  <si>
    <t>Plot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</si>
  <si>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</si>
  <si>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</si>
  <si>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</si>
  <si>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</si>
  <si>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</si>
  <si>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</si>
  <si>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</si>
  <si>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</si>
  <si>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</si>
  <si>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</si>
  <si>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</si>
  <si>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</si>
  <si>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</si>
  <si>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</si>
  <si>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</si>
  <si>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</si>
  <si>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</si>
  <si>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</si>
  <si>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</si>
  <si>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</si>
  <si>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</si>
  <si>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</si>
  <si>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</si>
  <si>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</si>
  <si>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</si>
  <si>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</si>
  <si>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</si>
  <si>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</si>
  <si>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</si>
  <si>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</si>
  <si>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</si>
  <si>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</si>
  <si>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p901</t>
  </si>
  <si>
    <t>p902</t>
  </si>
  <si>
    <t>p903</t>
  </si>
  <si>
    <t>p904</t>
  </si>
  <si>
    <t>p905</t>
  </si>
  <si>
    <t>p906</t>
  </si>
  <si>
    <t>p907</t>
  </si>
  <si>
    <t>p908</t>
  </si>
  <si>
    <t>DOY162</t>
  </si>
  <si>
    <t>DOY163</t>
  </si>
  <si>
    <t>DOY164</t>
  </si>
  <si>
    <t>DOY165</t>
  </si>
  <si>
    <t>DOY167</t>
  </si>
  <si>
    <t>DOY168</t>
  </si>
  <si>
    <t>DOY169</t>
  </si>
  <si>
    <t>DOY170</t>
  </si>
  <si>
    <t>DOY171</t>
  </si>
  <si>
    <t>DOY172</t>
  </si>
  <si>
    <t>DOY175</t>
  </si>
  <si>
    <t>DOY179</t>
  </si>
  <si>
    <t>DOY180</t>
  </si>
  <si>
    <t>DOY185</t>
  </si>
  <si>
    <t>DOY187</t>
  </si>
  <si>
    <t>DOY188</t>
  </si>
  <si>
    <t>DOY223</t>
  </si>
  <si>
    <t>DOY225</t>
  </si>
  <si>
    <t>DOY226</t>
  </si>
  <si>
    <t>DOY238</t>
  </si>
  <si>
    <t>WS</t>
  </si>
  <si>
    <t>NTL</t>
  </si>
  <si>
    <t>NTH</t>
  </si>
  <si>
    <t>NSL</t>
  </si>
  <si>
    <t>NSH</t>
  </si>
  <si>
    <t>NDL</t>
  </si>
  <si>
    <t>NDH</t>
  </si>
  <si>
    <t>FTL</t>
  </si>
  <si>
    <t>FTH</t>
  </si>
  <si>
    <t>FSL</t>
  </si>
  <si>
    <t>FSH</t>
  </si>
  <si>
    <t>FDL</t>
  </si>
  <si>
    <t>FDH</t>
  </si>
  <si>
    <t>DS</t>
  </si>
  <si>
    <t>1Jun</t>
  </si>
  <si>
    <t>15Jul</t>
  </si>
  <si>
    <t xml:space="preserve">Mean </t>
  </si>
  <si>
    <t xml:space="preserve">Median </t>
  </si>
  <si>
    <t xml:space="preserve">Quartile1 </t>
  </si>
  <si>
    <t xml:space="preserve">Minimum </t>
  </si>
  <si>
    <t>Acronym</t>
  </si>
  <si>
    <t>Foliage Only</t>
  </si>
  <si>
    <t>Canopy Composite</t>
  </si>
  <si>
    <t>Data</t>
  </si>
  <si>
    <t>View</t>
  </si>
  <si>
    <t>Median</t>
  </si>
  <si>
    <t>Quartile1</t>
  </si>
  <si>
    <t>Minimum</t>
  </si>
  <si>
    <t>StdDev</t>
  </si>
  <si>
    <t>Mean</t>
  </si>
  <si>
    <t>Obs12</t>
  </si>
  <si>
    <t>Obs11</t>
  </si>
  <si>
    <t>Obs10</t>
  </si>
  <si>
    <t>Obs9</t>
  </si>
  <si>
    <t>Obs8</t>
  </si>
  <si>
    <t>Obs7</t>
  </si>
  <si>
    <t>Obs6</t>
  </si>
  <si>
    <t>Obs5</t>
  </si>
  <si>
    <t>Obs4</t>
  </si>
  <si>
    <t>Obs3</t>
  </si>
  <si>
    <t>Obs2</t>
  </si>
  <si>
    <t>Obs1</t>
  </si>
  <si>
    <t>Time</t>
  </si>
  <si>
    <t>Block</t>
  </si>
  <si>
    <t>N</t>
  </si>
  <si>
    <t>Pop</t>
  </si>
  <si>
    <t>Irrig</t>
  </si>
  <si>
    <t>Trt</t>
  </si>
  <si>
    <t>PlotID</t>
  </si>
  <si>
    <t>(All)</t>
  </si>
  <si>
    <t>X</t>
  </si>
  <si>
    <t>Tair^2</t>
  </si>
  <si>
    <t>x</t>
  </si>
  <si>
    <t>Tair</t>
  </si>
  <si>
    <t>DryBulb</t>
  </si>
  <si>
    <t>IRTDisplay</t>
  </si>
  <si>
    <t>Intercept</t>
  </si>
  <si>
    <t>IRT Calibration Coefficients</t>
  </si>
  <si>
    <t>Late</t>
  </si>
  <si>
    <t>Early</t>
  </si>
  <si>
    <t>Kurtosis</t>
  </si>
  <si>
    <t>Skewness</t>
  </si>
  <si>
    <t>Maximum</t>
  </si>
  <si>
    <t>Quartile2</t>
  </si>
  <si>
    <t>StdErr</t>
  </si>
  <si>
    <t>Foliage</t>
  </si>
  <si>
    <t>IRTDisp^2</t>
  </si>
  <si>
    <t>canopy</t>
  </si>
  <si>
    <t># std errors</t>
  </si>
  <si>
    <t>view</t>
  </si>
  <si>
    <t>Conditional Display of data outside mean</t>
  </si>
  <si>
    <t>IRT Calibration Coefficients for IRT Serial No.</t>
  </si>
  <si>
    <t>HA167.02R  PJP  16 JUN 02 FISE MIDDAY IRTS</t>
  </si>
  <si>
    <t>HA168.02R 17 JUNE 2002 SMM MIDDAY IRT AT FISE</t>
  </si>
  <si>
    <t>HA169.02R  18 JUNE 02  RRR  MIDDAY IRT AT COTTON 02</t>
  </si>
  <si>
    <t>HA170.02R 19 JUNE 2002 SMM MIDDAY IRT AT FISE COTTON</t>
  </si>
  <si>
    <t>HA171.02R  20 JUNE 02  RRR MIDDAY IRT AT COTTON 02</t>
  </si>
  <si>
    <t>HA172.02R 21 JUNE 2002 SMM MIDDAY IRT AT FISE</t>
  </si>
  <si>
    <t>HA175.02R  24 JUNE 02  RRR  MIDDAY IRT AT COTTON 02</t>
  </si>
  <si>
    <t>HA179.02R 28 JUNE 02 RRR  MIDDAY IRT AT COTTON 02</t>
  </si>
  <si>
    <t>HA180.O2R PJP 29JUN02 FISE MIDDAY IRTS</t>
  </si>
  <si>
    <t>HA185.02R TRC 4 JULY 2002  FISE MIDDAY IRT</t>
  </si>
  <si>
    <t>HA187.02R  PJP 6 JULY 2002  MIDDAY IRT RUN</t>
  </si>
  <si>
    <t>HA188.02R Measurements made Sunday June 7 2002 TRC</t>
  </si>
  <si>
    <t>HA223.02r Midday IRTs Sunday 11 Aug. 2002 DOY 223  TRC</t>
  </si>
  <si>
    <t>HA225.02R  13 AUG 02  RRR  MIDDAY IRT AT COTTON 02</t>
  </si>
  <si>
    <t>A226.02R  14 AUG 02 RRR MIDDAY IRT AT COTTON 02</t>
  </si>
  <si>
    <t>HA238.02R  26 AUG 02 RRR MIDDAY IRT AT COTTON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</si>
</sst>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62"/>
      <name val="Arial"/>
      <family val="2"/>
    </font>
    <font>
      <b/>
      <sz val="8"/>
      <name val="Arial"/>
      <family val="2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0"/>
      <color indexed="54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2" fontId="2" fillId="0" borderId="0" xfId="1" applyNumberFormat="1" applyFont="1"/>
    <xf numFmtId="2" fontId="1" fillId="0" borderId="1" xfId="1" applyNumberFormat="1" applyBorder="1" applyAlignment="1">
      <alignment horizontal="right"/>
    </xf>
    <xf numFmtId="2" fontId="1" fillId="0" borderId="2" xfId="1" applyNumberFormat="1" applyBorder="1" applyAlignment="1">
      <alignment horizontal="right"/>
    </xf>
    <xf numFmtId="164" fontId="1" fillId="0" borderId="3" xfId="1" applyNumberFormat="1" applyBorder="1" applyAlignment="1">
      <alignment horizontal="right"/>
    </xf>
    <xf numFmtId="0" fontId="1" fillId="0" borderId="2" xfId="1" applyBorder="1" applyAlignment="1">
      <alignment horizontal="right"/>
    </xf>
    <xf numFmtId="2" fontId="1" fillId="0" borderId="4" xfId="1" applyNumberFormat="1" applyBorder="1" applyAlignment="1">
      <alignment horizontal="right"/>
    </xf>
    <xf numFmtId="2" fontId="1" fillId="0" borderId="0" xfId="1" applyNumberFormat="1" applyAlignment="1">
      <alignment horizontal="right"/>
    </xf>
    <xf numFmtId="164" fontId="1" fillId="0" borderId="5" xfId="1" applyNumberFormat="1" applyBorder="1" applyAlignment="1">
      <alignment horizontal="right"/>
    </xf>
    <xf numFmtId="0" fontId="1" fillId="0" borderId="0" xfId="1" applyAlignment="1">
      <alignment horizontal="right"/>
    </xf>
    <xf numFmtId="2" fontId="1" fillId="0" borderId="6" xfId="1" applyNumberFormat="1" applyBorder="1" applyAlignment="1">
      <alignment horizontal="right"/>
    </xf>
    <xf numFmtId="2" fontId="1" fillId="0" borderId="7" xfId="1" applyNumberFormat="1" applyBorder="1" applyAlignment="1">
      <alignment horizontal="right"/>
    </xf>
    <xf numFmtId="164" fontId="1" fillId="0" borderId="8" xfId="1" applyNumberFormat="1" applyBorder="1" applyAlignment="1">
      <alignment horizontal="right"/>
    </xf>
    <xf numFmtId="0" fontId="1" fillId="0" borderId="7" xfId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7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3" fillId="0" borderId="8" xfId="1" applyFont="1" applyBorder="1"/>
    <xf numFmtId="0" fontId="4" fillId="2" borderId="9" xfId="1" applyFont="1" applyFill="1" applyBorder="1"/>
    <xf numFmtId="0" fontId="4" fillId="2" borderId="10" xfId="1" applyFont="1" applyFill="1" applyBorder="1"/>
    <xf numFmtId="0" fontId="4" fillId="2" borderId="8" xfId="1" applyFont="1" applyFill="1" applyBorder="1"/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" fillId="0" borderId="11" xfId="1" applyBorder="1"/>
    <xf numFmtId="0" fontId="1" fillId="0" borderId="11" xfId="1" pivotButton="1" applyBorder="1"/>
    <xf numFmtId="0" fontId="6" fillId="0" borderId="0" xfId="1" applyFont="1"/>
    <xf numFmtId="0" fontId="7" fillId="0" borderId="0" xfId="1" applyFont="1" applyAlignment="1">
      <alignment horizontal="right"/>
    </xf>
    <xf numFmtId="0" fontId="8" fillId="3" borderId="0" xfId="1" applyFont="1" applyFill="1"/>
    <xf numFmtId="0" fontId="6" fillId="0" borderId="0" xfId="1" applyFont="1" applyAlignment="1">
      <alignment horizontal="right"/>
    </xf>
    <xf numFmtId="0" fontId="6" fillId="3" borderId="0" xfId="1" applyFont="1" applyFill="1"/>
    <xf numFmtId="0" fontId="7" fillId="0" borderId="0" xfId="1" applyFont="1"/>
    <xf numFmtId="0" fontId="8" fillId="0" borderId="0" xfId="1" applyFont="1"/>
    <xf numFmtId="164" fontId="1" fillId="3" borderId="0" xfId="1" applyNumberFormat="1" applyFill="1"/>
    <xf numFmtId="2" fontId="1" fillId="0" borderId="12" xfId="1" applyNumberFormat="1" applyBorder="1"/>
    <xf numFmtId="164" fontId="1" fillId="0" borderId="12" xfId="1" applyNumberFormat="1" applyBorder="1"/>
    <xf numFmtId="165" fontId="1" fillId="0" borderId="12" xfId="1" applyNumberFormat="1" applyBorder="1"/>
    <xf numFmtId="2" fontId="2" fillId="0" borderId="12" xfId="1" applyNumberFormat="1" applyFont="1" applyBorder="1"/>
    <xf numFmtId="164" fontId="1" fillId="3" borderId="12" xfId="1" applyNumberFormat="1" applyFill="1" applyBorder="1"/>
    <xf numFmtId="0" fontId="1" fillId="0" borderId="12" xfId="1" applyBorder="1"/>
    <xf numFmtId="2" fontId="1" fillId="4" borderId="0" xfId="1" applyNumberFormat="1" applyFill="1"/>
    <xf numFmtId="164" fontId="1" fillId="4" borderId="0" xfId="1" applyNumberFormat="1" applyFill="1"/>
    <xf numFmtId="165" fontId="1" fillId="4" borderId="0" xfId="1" applyNumberFormat="1" applyFill="1"/>
    <xf numFmtId="2" fontId="2" fillId="4" borderId="0" xfId="1" applyNumberFormat="1" applyFont="1" applyFill="1"/>
    <xf numFmtId="0" fontId="1" fillId="4" borderId="0" xfId="1" applyFill="1"/>
    <xf numFmtId="166" fontId="6" fillId="0" borderId="0" xfId="1" applyNumberFormat="1" applyFont="1"/>
    <xf numFmtId="165" fontId="6" fillId="0" borderId="0" xfId="1" applyNumberFormat="1" applyFont="1"/>
    <xf numFmtId="164" fontId="6" fillId="3" borderId="0" xfId="1" applyNumberFormat="1" applyFont="1" applyFill="1"/>
    <xf numFmtId="0" fontId="9" fillId="0" borderId="0" xfId="1" applyFont="1"/>
    <xf numFmtId="0" fontId="10" fillId="0" borderId="0" xfId="1" applyFont="1"/>
    <xf numFmtId="0" fontId="11" fillId="0" borderId="0" xfId="1" applyFont="1"/>
    <xf numFmtId="0" fontId="2" fillId="4" borderId="0" xfId="1" applyFont="1" applyFill="1"/>
    <xf numFmtId="2" fontId="12" fillId="2" borderId="0" xfId="1" applyNumberFormat="1" applyFont="1" applyFill="1" applyAlignment="1">
      <alignment horizontal="right"/>
    </xf>
    <xf numFmtId="0" fontId="12" fillId="2" borderId="0" xfId="1" applyFont="1" applyFill="1"/>
    <xf numFmtId="164" fontId="1" fillId="5" borderId="0" xfId="1" applyNumberFormat="1" applyFill="1"/>
    <xf numFmtId="0" fontId="1" fillId="5" borderId="0" xfId="1" applyFill="1"/>
    <xf numFmtId="2" fontId="1" fillId="0" borderId="13" xfId="1" applyNumberFormat="1" applyBorder="1"/>
    <xf numFmtId="164" fontId="1" fillId="0" borderId="13" xfId="1" applyNumberFormat="1" applyBorder="1"/>
    <xf numFmtId="165" fontId="1" fillId="0" borderId="13" xfId="1" applyNumberFormat="1" applyBorder="1"/>
    <xf numFmtId="2" fontId="2" fillId="0" borderId="13" xfId="1" applyNumberFormat="1" applyFont="1" applyBorder="1"/>
    <xf numFmtId="164" fontId="1" fillId="3" borderId="13" xfId="1" applyNumberFormat="1" applyFill="1" applyBorder="1"/>
    <xf numFmtId="0" fontId="1" fillId="0" borderId="13" xfId="1" applyBorder="1"/>
    <xf numFmtId="0" fontId="15" fillId="0" borderId="0" xfId="1" applyFont="1" applyAlignment="1">
      <alignment horizontal="center"/>
    </xf>
  </cellXfs>
  <cellStyles count="2">
    <cellStyle name="Normal" xfId="0" builtinId="0"/>
    <cellStyle name="Normal 2" xfId="1" xr:uid="{16A553B3-0019-440D-810B-BCAF55E20112}"/>
  </cellStyles>
  <dxfs count="11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pivotCacheDefinition" Target="pivotCache/pivotCacheDefinition17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42" Type="http://schemas.openxmlformats.org/officeDocument/2006/relationships/pivotCacheDefinition" Target="pivotCache/pivotCacheDefinition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pivotCacheDefinition" Target="pivotCache/pivotCacheDefinition15.xml"/><Relationship Id="rId40" Type="http://schemas.openxmlformats.org/officeDocument/2006/relationships/pivotCacheDefinition" Target="pivotCache/pivotCacheDefinition18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pivotCacheDefinition" Target="pivotCache/pivotCacheDefinition16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'DOY167'!$I$10:$I$39</c:f>
              <c:numCache>
                <c:formatCode>0.000</c:formatCode>
                <c:ptCount val="30"/>
                <c:pt idx="0">
                  <c:v>13.317</c:v>
                </c:pt>
                <c:pt idx="1">
                  <c:v>13.259</c:v>
                </c:pt>
                <c:pt idx="2">
                  <c:v>13.236000000000001</c:v>
                </c:pt>
                <c:pt idx="3">
                  <c:v>13.211</c:v>
                </c:pt>
                <c:pt idx="4">
                  <c:v>13.19</c:v>
                </c:pt>
                <c:pt idx="5">
                  <c:v>13.166</c:v>
                </c:pt>
                <c:pt idx="6">
                  <c:v>13.141</c:v>
                </c:pt>
                <c:pt idx="7">
                  <c:v>13.113</c:v>
                </c:pt>
                <c:pt idx="8">
                  <c:v>13.345000000000001</c:v>
                </c:pt>
                <c:pt idx="9">
                  <c:v>13.37</c:v>
                </c:pt>
                <c:pt idx="10">
                  <c:v>13.394</c:v>
                </c:pt>
                <c:pt idx="11">
                  <c:v>13.416</c:v>
                </c:pt>
                <c:pt idx="12">
                  <c:v>13.441000000000001</c:v>
                </c:pt>
                <c:pt idx="13">
                  <c:v>13.462</c:v>
                </c:pt>
                <c:pt idx="14">
                  <c:v>13.494</c:v>
                </c:pt>
                <c:pt idx="15">
                  <c:v>13.526999999999999</c:v>
                </c:pt>
                <c:pt idx="16">
                  <c:v>13.702999999999999</c:v>
                </c:pt>
                <c:pt idx="17">
                  <c:v>13.724</c:v>
                </c:pt>
                <c:pt idx="18">
                  <c:v>13.752000000000001</c:v>
                </c:pt>
                <c:pt idx="19">
                  <c:v>13.778</c:v>
                </c:pt>
                <c:pt idx="20">
                  <c:v>13.805</c:v>
                </c:pt>
                <c:pt idx="21">
                  <c:v>13.839</c:v>
                </c:pt>
                <c:pt idx="22">
                  <c:v>13.863</c:v>
                </c:pt>
                <c:pt idx="23">
                  <c:v>13.885999999999999</c:v>
                </c:pt>
                <c:pt idx="24">
                  <c:v>14.071</c:v>
                </c:pt>
                <c:pt idx="25">
                  <c:v>14.042</c:v>
                </c:pt>
                <c:pt idx="26">
                  <c:v>14.013</c:v>
                </c:pt>
                <c:pt idx="27">
                  <c:v>13.983000000000001</c:v>
                </c:pt>
                <c:pt idx="28">
                  <c:v>13.958</c:v>
                </c:pt>
                <c:pt idx="29">
                  <c:v>13.936</c:v>
                </c:pt>
              </c:numCache>
            </c:numRef>
          </c:xVal>
          <c:yVal>
            <c:numRef>
              <c:f>'DOY167'!$V$10:$V$39</c:f>
              <c:numCache>
                <c:formatCode>0.00</c:formatCode>
                <c:ptCount val="30"/>
                <c:pt idx="0">
                  <c:v>56.833333333333336</c:v>
                </c:pt>
                <c:pt idx="1">
                  <c:v>57.949999999999996</c:v>
                </c:pt>
                <c:pt idx="2">
                  <c:v>53.191666666666663</c:v>
                </c:pt>
                <c:pt idx="3">
                  <c:v>55.491666666666667</c:v>
                </c:pt>
                <c:pt idx="4">
                  <c:v>53.48333333333332</c:v>
                </c:pt>
                <c:pt idx="5">
                  <c:v>55.633333333333333</c:v>
                </c:pt>
                <c:pt idx="6">
                  <c:v>54.074999999999996</c:v>
                </c:pt>
                <c:pt idx="7">
                  <c:v>56.633333333333326</c:v>
                </c:pt>
                <c:pt idx="8">
                  <c:v>51.983333333333341</c:v>
                </c:pt>
                <c:pt idx="9">
                  <c:v>57.308333333333337</c:v>
                </c:pt>
                <c:pt idx="10">
                  <c:v>55.650000000000006</c:v>
                </c:pt>
                <c:pt idx="11">
                  <c:v>52.741666666666667</c:v>
                </c:pt>
                <c:pt idx="12">
                  <c:v>58.175000000000004</c:v>
                </c:pt>
                <c:pt idx="13">
                  <c:v>58.625</c:v>
                </c:pt>
                <c:pt idx="14">
                  <c:v>55.949999999999996</c:v>
                </c:pt>
                <c:pt idx="15">
                  <c:v>58.225000000000001</c:v>
                </c:pt>
                <c:pt idx="16">
                  <c:v>56.058333333333337</c:v>
                </c:pt>
                <c:pt idx="17">
                  <c:v>54.291666666666664</c:v>
                </c:pt>
                <c:pt idx="18">
                  <c:v>54.224999999999994</c:v>
                </c:pt>
                <c:pt idx="19">
                  <c:v>55.06666666666667</c:v>
                </c:pt>
                <c:pt idx="20">
                  <c:v>53.341666666666669</c:v>
                </c:pt>
                <c:pt idx="21">
                  <c:v>54.500000000000007</c:v>
                </c:pt>
                <c:pt idx="22">
                  <c:v>55.616666666666653</c:v>
                </c:pt>
                <c:pt idx="23">
                  <c:v>55.475000000000001</c:v>
                </c:pt>
                <c:pt idx="24">
                  <c:v>53.541666666666664</c:v>
                </c:pt>
                <c:pt idx="25">
                  <c:v>55.1</c:v>
                </c:pt>
                <c:pt idx="26">
                  <c:v>52.691666666666663</c:v>
                </c:pt>
                <c:pt idx="27">
                  <c:v>54.524999999999984</c:v>
                </c:pt>
                <c:pt idx="28">
                  <c:v>54.458333333333336</c:v>
                </c:pt>
                <c:pt idx="29">
                  <c:v>55.416666666666664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CE-4BB6-ABAC-E794CCFB8DE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'DOY167'!$I$48:$I$81</c:f>
              <c:numCache>
                <c:formatCode>0.000</c:formatCode>
                <c:ptCount val="34"/>
                <c:pt idx="0">
                  <c:v>13.324999999999999</c:v>
                </c:pt>
                <c:pt idx="1">
                  <c:v>13.265000000000001</c:v>
                </c:pt>
                <c:pt idx="2">
                  <c:v>13.242000000000001</c:v>
                </c:pt>
                <c:pt idx="3">
                  <c:v>13.218999999999999</c:v>
                </c:pt>
                <c:pt idx="4">
                  <c:v>13.195</c:v>
                </c:pt>
                <c:pt idx="5">
                  <c:v>13.172000000000001</c:v>
                </c:pt>
                <c:pt idx="6">
                  <c:v>13.15</c:v>
                </c:pt>
                <c:pt idx="7">
                  <c:v>13.121</c:v>
                </c:pt>
                <c:pt idx="8">
                  <c:v>13.351000000000001</c:v>
                </c:pt>
                <c:pt idx="9">
                  <c:v>13.375999999999999</c:v>
                </c:pt>
                <c:pt idx="10">
                  <c:v>13.4</c:v>
                </c:pt>
                <c:pt idx="11">
                  <c:v>13.422000000000001</c:v>
                </c:pt>
                <c:pt idx="12">
                  <c:v>13.448</c:v>
                </c:pt>
                <c:pt idx="13">
                  <c:v>13.467000000000001</c:v>
                </c:pt>
                <c:pt idx="14">
                  <c:v>13.502000000000001</c:v>
                </c:pt>
                <c:pt idx="15">
                  <c:v>13.532999999999999</c:v>
                </c:pt>
                <c:pt idx="16">
                  <c:v>13.709</c:v>
                </c:pt>
                <c:pt idx="17">
                  <c:v>13.731</c:v>
                </c:pt>
                <c:pt idx="18">
                  <c:v>13.759</c:v>
                </c:pt>
                <c:pt idx="19">
                  <c:v>13.782999999999999</c:v>
                </c:pt>
                <c:pt idx="20">
                  <c:v>13.813000000000001</c:v>
                </c:pt>
                <c:pt idx="21">
                  <c:v>13.846</c:v>
                </c:pt>
                <c:pt idx="22">
                  <c:v>13.868</c:v>
                </c:pt>
                <c:pt idx="23">
                  <c:v>13.894</c:v>
                </c:pt>
                <c:pt idx="24">
                  <c:v>14.076000000000001</c:v>
                </c:pt>
                <c:pt idx="25">
                  <c:v>14.048999999999999</c:v>
                </c:pt>
                <c:pt idx="26">
                  <c:v>14.019</c:v>
                </c:pt>
                <c:pt idx="27">
                  <c:v>13.988</c:v>
                </c:pt>
                <c:pt idx="28">
                  <c:v>13.965</c:v>
                </c:pt>
                <c:pt idx="29">
                  <c:v>13.942</c:v>
                </c:pt>
                <c:pt idx="30">
                  <c:v>13.673999999999999</c:v>
                </c:pt>
                <c:pt idx="31">
                  <c:v>13.634</c:v>
                </c:pt>
                <c:pt idx="32">
                  <c:v>13.598000000000001</c:v>
                </c:pt>
                <c:pt idx="33">
                  <c:v>13.561999999999999</c:v>
                </c:pt>
              </c:numCache>
            </c:numRef>
          </c:xVal>
          <c:yVal>
            <c:numRef>
              <c:f>'DOY167'!$V$48:$V$81</c:f>
              <c:numCache>
                <c:formatCode>0.00</c:formatCode>
                <c:ptCount val="34"/>
                <c:pt idx="0">
                  <c:v>31.608333333333334</c:v>
                </c:pt>
                <c:pt idx="1">
                  <c:v>31.458333333333332</c:v>
                </c:pt>
                <c:pt idx="2">
                  <c:v>31.900000000000006</c:v>
                </c:pt>
                <c:pt idx="3">
                  <c:v>32.266666666666666</c:v>
                </c:pt>
                <c:pt idx="4">
                  <c:v>30.349999999999998</c:v>
                </c:pt>
                <c:pt idx="5">
                  <c:v>30.141666666666669</c:v>
                </c:pt>
                <c:pt idx="6">
                  <c:v>30.191666666666674</c:v>
                </c:pt>
                <c:pt idx="7">
                  <c:v>30.091666666666665</c:v>
                </c:pt>
                <c:pt idx="8">
                  <c:v>31.566666666666663</c:v>
                </c:pt>
                <c:pt idx="9">
                  <c:v>32.75</c:v>
                </c:pt>
                <c:pt idx="10">
                  <c:v>31.733333333333334</c:v>
                </c:pt>
                <c:pt idx="11">
                  <c:v>32.80833333333333</c:v>
                </c:pt>
                <c:pt idx="12">
                  <c:v>31.116666666666671</c:v>
                </c:pt>
                <c:pt idx="13">
                  <c:v>30.483333333333331</c:v>
                </c:pt>
                <c:pt idx="14">
                  <c:v>30.808333333333337</c:v>
                </c:pt>
                <c:pt idx="15">
                  <c:v>30.425000000000001</c:v>
                </c:pt>
                <c:pt idx="16">
                  <c:v>31.041666666666668</c:v>
                </c:pt>
                <c:pt idx="17">
                  <c:v>32.141666666666673</c:v>
                </c:pt>
                <c:pt idx="18">
                  <c:v>30.908333333333331</c:v>
                </c:pt>
                <c:pt idx="19">
                  <c:v>31.25</c:v>
                </c:pt>
                <c:pt idx="20">
                  <c:v>35.208333333333329</c:v>
                </c:pt>
                <c:pt idx="21">
                  <c:v>31.033333333333331</c:v>
                </c:pt>
                <c:pt idx="22">
                  <c:v>31.916666666666661</c:v>
                </c:pt>
                <c:pt idx="23">
                  <c:v>35.766666666666659</c:v>
                </c:pt>
                <c:pt idx="24">
                  <c:v>33.624999999999993</c:v>
                </c:pt>
                <c:pt idx="25">
                  <c:v>33.608333333333327</c:v>
                </c:pt>
                <c:pt idx="26">
                  <c:v>34.949999999999996</c:v>
                </c:pt>
                <c:pt idx="27">
                  <c:v>32.616666666666667</c:v>
                </c:pt>
                <c:pt idx="28">
                  <c:v>31.349999999999998</c:v>
                </c:pt>
                <c:pt idx="29">
                  <c:v>31.691666666666674</c:v>
                </c:pt>
                <c:pt idx="30">
                  <c:v>31.216666666666665</c:v>
                </c:pt>
                <c:pt idx="31">
                  <c:v>30.608333333333334</c:v>
                </c:pt>
                <c:pt idx="32">
                  <c:v>30.958333333333339</c:v>
                </c:pt>
                <c:pt idx="33">
                  <c:v>30.783333333333335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CE-4BB6-ABAC-E794CCFB8DE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('DOY167'!$I$21,'DOY167'!$I$30)</c:f>
              <c:numCache>
                <c:formatCode>0.000</c:formatCode>
                <c:ptCount val="2"/>
                <c:pt idx="0">
                  <c:v>13.416</c:v>
                </c:pt>
                <c:pt idx="1">
                  <c:v>13.805</c:v>
                </c:pt>
              </c:numCache>
            </c:numRef>
          </c:xVal>
          <c:yVal>
            <c:numRef>
              <c:f>('DOY167'!$V$21,'DOY167'!$V$30)</c:f>
              <c:numCache>
                <c:formatCode>0.00</c:formatCode>
                <c:ptCount val="2"/>
                <c:pt idx="0">
                  <c:v>52.741666666666667</c:v>
                </c:pt>
                <c:pt idx="1">
                  <c:v>53.341666666666669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CE-4BB6-ABAC-E794CCFB8DE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('DOY167'!$I$59,'DOY167'!$I$68)</c:f>
              <c:numCache>
                <c:formatCode>0.000</c:formatCode>
                <c:ptCount val="2"/>
                <c:pt idx="0">
                  <c:v>13.422000000000001</c:v>
                </c:pt>
                <c:pt idx="1">
                  <c:v>13.813000000000001</c:v>
                </c:pt>
              </c:numCache>
            </c:numRef>
          </c:xVal>
          <c:yVal>
            <c:numRef>
              <c:f>('DOY167'!$V$59,'DOY167'!$V$68)</c:f>
              <c:numCache>
                <c:formatCode>0.00</c:formatCode>
                <c:ptCount val="2"/>
                <c:pt idx="0">
                  <c:v>32.80833333333333</c:v>
                </c:pt>
                <c:pt idx="1">
                  <c:v>35.208333333333329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CE-4BB6-ABAC-E794CCFB8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591983"/>
        <c:axId val="1"/>
      </c:scatterChart>
      <c:valAx>
        <c:axId val="200859198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8591983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'DOY168'!$I$10:$I$39</c:f>
              <c:numCache>
                <c:formatCode>0.000</c:formatCode>
                <c:ptCount val="30"/>
                <c:pt idx="0">
                  <c:v>13.144</c:v>
                </c:pt>
                <c:pt idx="1">
                  <c:v>13.128</c:v>
                </c:pt>
                <c:pt idx="2">
                  <c:v>13.113</c:v>
                </c:pt>
                <c:pt idx="3">
                  <c:v>13.097</c:v>
                </c:pt>
                <c:pt idx="4">
                  <c:v>13.083</c:v>
                </c:pt>
                <c:pt idx="5">
                  <c:v>13.067</c:v>
                </c:pt>
                <c:pt idx="6">
                  <c:v>13.052</c:v>
                </c:pt>
                <c:pt idx="7">
                  <c:v>13.037000000000001</c:v>
                </c:pt>
                <c:pt idx="8">
                  <c:v>13.173</c:v>
                </c:pt>
                <c:pt idx="9">
                  <c:v>13.186999999999999</c:v>
                </c:pt>
                <c:pt idx="10">
                  <c:v>13.202</c:v>
                </c:pt>
                <c:pt idx="11">
                  <c:v>13.218</c:v>
                </c:pt>
                <c:pt idx="12">
                  <c:v>13.231999999999999</c:v>
                </c:pt>
                <c:pt idx="13">
                  <c:v>13.246</c:v>
                </c:pt>
                <c:pt idx="14">
                  <c:v>13.263</c:v>
                </c:pt>
                <c:pt idx="15">
                  <c:v>13.278</c:v>
                </c:pt>
                <c:pt idx="16">
                  <c:v>13.41</c:v>
                </c:pt>
                <c:pt idx="17">
                  <c:v>13.427</c:v>
                </c:pt>
                <c:pt idx="18">
                  <c:v>13.442</c:v>
                </c:pt>
                <c:pt idx="19">
                  <c:v>13.458</c:v>
                </c:pt>
                <c:pt idx="20">
                  <c:v>13.474</c:v>
                </c:pt>
                <c:pt idx="21">
                  <c:v>13.49</c:v>
                </c:pt>
                <c:pt idx="22">
                  <c:v>13.506</c:v>
                </c:pt>
                <c:pt idx="23">
                  <c:v>13.52</c:v>
                </c:pt>
                <c:pt idx="24">
                  <c:v>13.622999999999999</c:v>
                </c:pt>
                <c:pt idx="25">
                  <c:v>13.608000000000001</c:v>
                </c:pt>
                <c:pt idx="26">
                  <c:v>13.593</c:v>
                </c:pt>
                <c:pt idx="27">
                  <c:v>13.577999999999999</c:v>
                </c:pt>
                <c:pt idx="28">
                  <c:v>13.561999999999999</c:v>
                </c:pt>
                <c:pt idx="29">
                  <c:v>13.545999999999999</c:v>
                </c:pt>
              </c:numCache>
            </c:numRef>
          </c:xVal>
          <c:yVal>
            <c:numRef>
              <c:f>'DOY168'!$V$10:$V$39</c:f>
              <c:numCache>
                <c:formatCode>0.00</c:formatCode>
                <c:ptCount val="30"/>
                <c:pt idx="0">
                  <c:v>32.825000000000003</c:v>
                </c:pt>
                <c:pt idx="1">
                  <c:v>34.416666666666664</c:v>
                </c:pt>
                <c:pt idx="2">
                  <c:v>35.1</c:v>
                </c:pt>
                <c:pt idx="3">
                  <c:v>53.908333333333339</c:v>
                </c:pt>
                <c:pt idx="4">
                  <c:v>36.525000000000006</c:v>
                </c:pt>
                <c:pt idx="5">
                  <c:v>57.75</c:v>
                </c:pt>
                <c:pt idx="6">
                  <c:v>57.716666666666669</c:v>
                </c:pt>
                <c:pt idx="7">
                  <c:v>37.358333333333334</c:v>
                </c:pt>
                <c:pt idx="8">
                  <c:v>32.94166666666667</c:v>
                </c:pt>
                <c:pt idx="9">
                  <c:v>58.033333333333339</c:v>
                </c:pt>
                <c:pt idx="10">
                  <c:v>36.666666666666664</c:v>
                </c:pt>
                <c:pt idx="11">
                  <c:v>36.44166666666667</c:v>
                </c:pt>
                <c:pt idx="12">
                  <c:v>36.491666666666667</c:v>
                </c:pt>
                <c:pt idx="13">
                  <c:v>57.858333333333348</c:v>
                </c:pt>
                <c:pt idx="14">
                  <c:v>35.824999999999996</c:v>
                </c:pt>
                <c:pt idx="15">
                  <c:v>36.758333333333326</c:v>
                </c:pt>
                <c:pt idx="16">
                  <c:v>55.266666666666673</c:v>
                </c:pt>
                <c:pt idx="17">
                  <c:v>33.550000000000004</c:v>
                </c:pt>
                <c:pt idx="18">
                  <c:v>54.066666666666663</c:v>
                </c:pt>
                <c:pt idx="19">
                  <c:v>35.516666666666673</c:v>
                </c:pt>
                <c:pt idx="20">
                  <c:v>35.308333333333337</c:v>
                </c:pt>
                <c:pt idx="21">
                  <c:v>35.874999999999993</c:v>
                </c:pt>
                <c:pt idx="22">
                  <c:v>56.616666666666674</c:v>
                </c:pt>
                <c:pt idx="23">
                  <c:v>34.674999999999997</c:v>
                </c:pt>
                <c:pt idx="24">
                  <c:v>34.608333333333334</c:v>
                </c:pt>
                <c:pt idx="25">
                  <c:v>34.758333333333333</c:v>
                </c:pt>
                <c:pt idx="26">
                  <c:v>34.675000000000004</c:v>
                </c:pt>
                <c:pt idx="27">
                  <c:v>34.841666666666661</c:v>
                </c:pt>
                <c:pt idx="28">
                  <c:v>54.899999999999984</c:v>
                </c:pt>
                <c:pt idx="29">
                  <c:v>56.29999999999999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9E-4CA5-AA48-44366DCDFF06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'DOY168'!$I$48:$I$81</c:f>
              <c:numCache>
                <c:formatCode>0.000</c:formatCode>
                <c:ptCount val="34"/>
                <c:pt idx="0">
                  <c:v>13.148999999999999</c:v>
                </c:pt>
                <c:pt idx="1">
                  <c:v>13.132999999999999</c:v>
                </c:pt>
                <c:pt idx="2">
                  <c:v>13.118</c:v>
                </c:pt>
                <c:pt idx="3">
                  <c:v>13.101000000000001</c:v>
                </c:pt>
                <c:pt idx="4">
                  <c:v>13.087</c:v>
                </c:pt>
                <c:pt idx="5">
                  <c:v>13.071999999999999</c:v>
                </c:pt>
                <c:pt idx="6">
                  <c:v>13.057</c:v>
                </c:pt>
                <c:pt idx="7">
                  <c:v>13.041</c:v>
                </c:pt>
                <c:pt idx="8">
                  <c:v>13.177</c:v>
                </c:pt>
                <c:pt idx="9">
                  <c:v>13.192</c:v>
                </c:pt>
                <c:pt idx="10">
                  <c:v>13.208</c:v>
                </c:pt>
                <c:pt idx="11">
                  <c:v>13.222</c:v>
                </c:pt>
                <c:pt idx="12">
                  <c:v>13.236000000000001</c:v>
                </c:pt>
                <c:pt idx="13">
                  <c:v>13.250999999999999</c:v>
                </c:pt>
                <c:pt idx="14">
                  <c:v>13.268000000000001</c:v>
                </c:pt>
                <c:pt idx="15">
                  <c:v>13.282</c:v>
                </c:pt>
                <c:pt idx="16">
                  <c:v>13.414999999999999</c:v>
                </c:pt>
                <c:pt idx="17">
                  <c:v>13.430999999999999</c:v>
                </c:pt>
                <c:pt idx="18">
                  <c:v>13.446</c:v>
                </c:pt>
                <c:pt idx="19">
                  <c:v>13.462</c:v>
                </c:pt>
                <c:pt idx="20">
                  <c:v>13.478999999999999</c:v>
                </c:pt>
                <c:pt idx="21">
                  <c:v>13.494999999999999</c:v>
                </c:pt>
                <c:pt idx="22">
                  <c:v>13.51</c:v>
                </c:pt>
                <c:pt idx="23">
                  <c:v>13.525</c:v>
                </c:pt>
                <c:pt idx="24">
                  <c:v>13.628</c:v>
                </c:pt>
                <c:pt idx="25">
                  <c:v>13.612</c:v>
                </c:pt>
                <c:pt idx="26">
                  <c:v>13.598000000000001</c:v>
                </c:pt>
                <c:pt idx="27">
                  <c:v>13.582000000000001</c:v>
                </c:pt>
                <c:pt idx="28">
                  <c:v>13.567</c:v>
                </c:pt>
                <c:pt idx="29">
                  <c:v>13.551</c:v>
                </c:pt>
                <c:pt idx="30">
                  <c:v>13.38</c:v>
                </c:pt>
                <c:pt idx="31">
                  <c:v>13.356999999999999</c:v>
                </c:pt>
                <c:pt idx="32">
                  <c:v>13.333</c:v>
                </c:pt>
                <c:pt idx="33">
                  <c:v>13.308</c:v>
                </c:pt>
              </c:numCache>
            </c:numRef>
          </c:xVal>
          <c:yVal>
            <c:numRef>
              <c:f>'DOY168'!$V$48:$V$81</c:f>
              <c:numCache>
                <c:formatCode>0.00</c:formatCode>
                <c:ptCount val="34"/>
                <c:pt idx="0">
                  <c:v>31.474999999999994</c:v>
                </c:pt>
                <c:pt idx="1">
                  <c:v>30.283333333333331</c:v>
                </c:pt>
                <c:pt idx="2">
                  <c:v>29.841666666666669</c:v>
                </c:pt>
                <c:pt idx="3">
                  <c:v>32.291666666666664</c:v>
                </c:pt>
                <c:pt idx="4">
                  <c:v>28.691666666666663</c:v>
                </c:pt>
                <c:pt idx="5">
                  <c:v>31.041666666666668</c:v>
                </c:pt>
                <c:pt idx="6">
                  <c:v>31.441666666666663</c:v>
                </c:pt>
                <c:pt idx="7">
                  <c:v>29.324999999999999</c:v>
                </c:pt>
                <c:pt idx="8">
                  <c:v>32.025000000000006</c:v>
                </c:pt>
                <c:pt idx="9">
                  <c:v>36.19166666666667</c:v>
                </c:pt>
                <c:pt idx="10">
                  <c:v>30.408333333333335</c:v>
                </c:pt>
                <c:pt idx="11">
                  <c:v>31.066666666666666</c:v>
                </c:pt>
                <c:pt idx="12">
                  <c:v>29.266666666666669</c:v>
                </c:pt>
                <c:pt idx="13">
                  <c:v>32.275000000000006</c:v>
                </c:pt>
                <c:pt idx="14">
                  <c:v>28.383333333333336</c:v>
                </c:pt>
                <c:pt idx="15">
                  <c:v>29.341666666666669</c:v>
                </c:pt>
                <c:pt idx="16">
                  <c:v>34.533333333333331</c:v>
                </c:pt>
                <c:pt idx="17">
                  <c:v>31.091666666666669</c:v>
                </c:pt>
                <c:pt idx="18">
                  <c:v>33.325000000000003</c:v>
                </c:pt>
                <c:pt idx="19">
                  <c:v>30.116666666666664</c:v>
                </c:pt>
                <c:pt idx="20">
                  <c:v>30.941666666666666</c:v>
                </c:pt>
                <c:pt idx="21">
                  <c:v>29.425000000000001</c:v>
                </c:pt>
                <c:pt idx="22">
                  <c:v>34.224999999999994</c:v>
                </c:pt>
                <c:pt idx="23">
                  <c:v>30.641666666666669</c:v>
                </c:pt>
                <c:pt idx="24">
                  <c:v>30.966666666666665</c:v>
                </c:pt>
                <c:pt idx="25">
                  <c:v>31.166666666666668</c:v>
                </c:pt>
                <c:pt idx="26">
                  <c:v>31.200000000000003</c:v>
                </c:pt>
                <c:pt idx="27">
                  <c:v>29.775000000000002</c:v>
                </c:pt>
                <c:pt idx="28">
                  <c:v>32.941666666666663</c:v>
                </c:pt>
                <c:pt idx="29">
                  <c:v>33.516666666666659</c:v>
                </c:pt>
                <c:pt idx="30">
                  <c:v>33.666666666666664</c:v>
                </c:pt>
                <c:pt idx="31">
                  <c:v>32.241666666666667</c:v>
                </c:pt>
                <c:pt idx="32">
                  <c:v>32.233333333333327</c:v>
                </c:pt>
                <c:pt idx="33">
                  <c:v>32.416666666666664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9E-4CA5-AA48-44366DCDFF06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('DOY168'!$I$21,'DOY168'!$I$30)</c:f>
              <c:numCache>
                <c:formatCode>0.000</c:formatCode>
                <c:ptCount val="2"/>
                <c:pt idx="0">
                  <c:v>13.218</c:v>
                </c:pt>
                <c:pt idx="1">
                  <c:v>13.474</c:v>
                </c:pt>
              </c:numCache>
            </c:numRef>
          </c:xVal>
          <c:yVal>
            <c:numRef>
              <c:f>('DOY168'!$V$21,'DOY168'!$V$30)</c:f>
              <c:numCache>
                <c:formatCode>0.00</c:formatCode>
                <c:ptCount val="2"/>
                <c:pt idx="0">
                  <c:v>36.44166666666667</c:v>
                </c:pt>
                <c:pt idx="1">
                  <c:v>35.308333333333337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9E-4CA5-AA48-44366DCDFF06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('DOY168'!$I$59,'DOY168'!$I$68)</c:f>
              <c:numCache>
                <c:formatCode>0.000</c:formatCode>
                <c:ptCount val="2"/>
                <c:pt idx="0">
                  <c:v>13.222</c:v>
                </c:pt>
                <c:pt idx="1">
                  <c:v>13.478999999999999</c:v>
                </c:pt>
              </c:numCache>
            </c:numRef>
          </c:xVal>
          <c:yVal>
            <c:numRef>
              <c:f>('DOY168'!$V$59,'DOY168'!$V$68)</c:f>
              <c:numCache>
                <c:formatCode>0.00</c:formatCode>
                <c:ptCount val="2"/>
                <c:pt idx="0">
                  <c:v>31.066666666666666</c:v>
                </c:pt>
                <c:pt idx="1">
                  <c:v>30.941666666666666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9E-4CA5-AA48-44366DCD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902944"/>
        <c:axId val="1"/>
      </c:scatterChart>
      <c:valAx>
        <c:axId val="769902944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9902944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'DOY169'!$I$10:$I$39</c:f>
              <c:numCache>
                <c:formatCode>0.000</c:formatCode>
                <c:ptCount val="30"/>
                <c:pt idx="0">
                  <c:v>13.101000000000001</c:v>
                </c:pt>
                <c:pt idx="1">
                  <c:v>13.082000000000001</c:v>
                </c:pt>
                <c:pt idx="2">
                  <c:v>13.065</c:v>
                </c:pt>
                <c:pt idx="3">
                  <c:v>13.047000000000001</c:v>
                </c:pt>
                <c:pt idx="4">
                  <c:v>13.03</c:v>
                </c:pt>
                <c:pt idx="5">
                  <c:v>13.012</c:v>
                </c:pt>
                <c:pt idx="6">
                  <c:v>12.994</c:v>
                </c:pt>
                <c:pt idx="7">
                  <c:v>12.978</c:v>
                </c:pt>
                <c:pt idx="8">
                  <c:v>13.128</c:v>
                </c:pt>
                <c:pt idx="9">
                  <c:v>13.145</c:v>
                </c:pt>
                <c:pt idx="10">
                  <c:v>13.163</c:v>
                </c:pt>
                <c:pt idx="11">
                  <c:v>13.18</c:v>
                </c:pt>
                <c:pt idx="12">
                  <c:v>13.196999999999999</c:v>
                </c:pt>
                <c:pt idx="13">
                  <c:v>13.215</c:v>
                </c:pt>
                <c:pt idx="14">
                  <c:v>13.233000000000001</c:v>
                </c:pt>
                <c:pt idx="15">
                  <c:v>13.33</c:v>
                </c:pt>
                <c:pt idx="16">
                  <c:v>13.446</c:v>
                </c:pt>
                <c:pt idx="17">
                  <c:v>13.462999999999999</c:v>
                </c:pt>
                <c:pt idx="18">
                  <c:v>13.48</c:v>
                </c:pt>
                <c:pt idx="19">
                  <c:v>13.497</c:v>
                </c:pt>
                <c:pt idx="20">
                  <c:v>13.513</c:v>
                </c:pt>
                <c:pt idx="21">
                  <c:v>13.529</c:v>
                </c:pt>
                <c:pt idx="22">
                  <c:v>13.545999999999999</c:v>
                </c:pt>
                <c:pt idx="23">
                  <c:v>13.561999999999999</c:v>
                </c:pt>
                <c:pt idx="24">
                  <c:v>13.667999999999999</c:v>
                </c:pt>
                <c:pt idx="25">
                  <c:v>13.651999999999999</c:v>
                </c:pt>
                <c:pt idx="26">
                  <c:v>13.635999999999999</c:v>
                </c:pt>
                <c:pt idx="27">
                  <c:v>13.619</c:v>
                </c:pt>
                <c:pt idx="28">
                  <c:v>13.602</c:v>
                </c:pt>
                <c:pt idx="29">
                  <c:v>13.585000000000001</c:v>
                </c:pt>
              </c:numCache>
            </c:numRef>
          </c:xVal>
          <c:yVal>
            <c:numRef>
              <c:f>'DOY169'!$V$10:$V$39</c:f>
              <c:numCache>
                <c:formatCode>0.00</c:formatCode>
                <c:ptCount val="30"/>
                <c:pt idx="0">
                  <c:v>36.224999999999994</c:v>
                </c:pt>
                <c:pt idx="1">
                  <c:v>35.758333333333333</c:v>
                </c:pt>
                <c:pt idx="2">
                  <c:v>35.69166666666667</c:v>
                </c:pt>
                <c:pt idx="3">
                  <c:v>55.449999999999996</c:v>
                </c:pt>
                <c:pt idx="4">
                  <c:v>35.658333333333339</c:v>
                </c:pt>
                <c:pt idx="5">
                  <c:v>57.841666666666669</c:v>
                </c:pt>
                <c:pt idx="6">
                  <c:v>56.741666666666674</c:v>
                </c:pt>
                <c:pt idx="7">
                  <c:v>36.166666666666664</c:v>
                </c:pt>
                <c:pt idx="8">
                  <c:v>34.916666666666664</c:v>
                </c:pt>
                <c:pt idx="9">
                  <c:v>59.208333333333336</c:v>
                </c:pt>
                <c:pt idx="10">
                  <c:v>36.150000000000006</c:v>
                </c:pt>
                <c:pt idx="11">
                  <c:v>34.225000000000001</c:v>
                </c:pt>
                <c:pt idx="12">
                  <c:v>36.091666666666676</c:v>
                </c:pt>
                <c:pt idx="13">
                  <c:v>57.79999999999999</c:v>
                </c:pt>
                <c:pt idx="14">
                  <c:v>35.116666666666667</c:v>
                </c:pt>
                <c:pt idx="15">
                  <c:v>36.491666666666667</c:v>
                </c:pt>
                <c:pt idx="16">
                  <c:v>57.524999999999984</c:v>
                </c:pt>
                <c:pt idx="17">
                  <c:v>34.891666666666673</c:v>
                </c:pt>
                <c:pt idx="18">
                  <c:v>55.19166666666667</c:v>
                </c:pt>
                <c:pt idx="19">
                  <c:v>35.975000000000001</c:v>
                </c:pt>
                <c:pt idx="20">
                  <c:v>34.69166666666667</c:v>
                </c:pt>
                <c:pt idx="21">
                  <c:v>36.425000000000004</c:v>
                </c:pt>
                <c:pt idx="22">
                  <c:v>56.425000000000004</c:v>
                </c:pt>
                <c:pt idx="23">
                  <c:v>34.008333333333333</c:v>
                </c:pt>
                <c:pt idx="24">
                  <c:v>35.266666666666659</c:v>
                </c:pt>
                <c:pt idx="25">
                  <c:v>35.950000000000003</c:v>
                </c:pt>
                <c:pt idx="26">
                  <c:v>35.141666666666666</c:v>
                </c:pt>
                <c:pt idx="27">
                  <c:v>34.9</c:v>
                </c:pt>
                <c:pt idx="28">
                  <c:v>53.741666666666667</c:v>
                </c:pt>
                <c:pt idx="29">
                  <c:v>56.266666666666673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41-45DC-9FEA-3074DDD41DD3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'DOY169'!$I$48:$I$81</c:f>
              <c:numCache>
                <c:formatCode>0.000</c:formatCode>
                <c:ptCount val="34"/>
                <c:pt idx="0">
                  <c:v>13.106</c:v>
                </c:pt>
                <c:pt idx="1">
                  <c:v>13.087</c:v>
                </c:pt>
                <c:pt idx="2">
                  <c:v>13.07</c:v>
                </c:pt>
                <c:pt idx="3">
                  <c:v>13.052</c:v>
                </c:pt>
                <c:pt idx="4">
                  <c:v>13.034000000000001</c:v>
                </c:pt>
                <c:pt idx="5">
                  <c:v>13.016</c:v>
                </c:pt>
                <c:pt idx="6">
                  <c:v>12.997999999999999</c:v>
                </c:pt>
                <c:pt idx="7">
                  <c:v>12.983000000000001</c:v>
                </c:pt>
                <c:pt idx="8">
                  <c:v>13.132999999999999</c:v>
                </c:pt>
                <c:pt idx="9">
                  <c:v>13.15</c:v>
                </c:pt>
                <c:pt idx="10">
                  <c:v>13.167999999999999</c:v>
                </c:pt>
                <c:pt idx="11">
                  <c:v>13.185</c:v>
                </c:pt>
                <c:pt idx="12">
                  <c:v>13.202</c:v>
                </c:pt>
                <c:pt idx="13">
                  <c:v>13.22</c:v>
                </c:pt>
                <c:pt idx="14">
                  <c:v>13.238</c:v>
                </c:pt>
                <c:pt idx="15">
                  <c:v>13.336</c:v>
                </c:pt>
                <c:pt idx="16">
                  <c:v>13.451000000000001</c:v>
                </c:pt>
                <c:pt idx="17">
                  <c:v>13.468</c:v>
                </c:pt>
                <c:pt idx="18">
                  <c:v>13.484</c:v>
                </c:pt>
                <c:pt idx="19">
                  <c:v>13.502000000000001</c:v>
                </c:pt>
                <c:pt idx="20">
                  <c:v>13.518000000000001</c:v>
                </c:pt>
                <c:pt idx="21">
                  <c:v>13.534000000000001</c:v>
                </c:pt>
                <c:pt idx="22">
                  <c:v>13.551</c:v>
                </c:pt>
                <c:pt idx="23">
                  <c:v>13.567</c:v>
                </c:pt>
                <c:pt idx="24">
                  <c:v>13.673</c:v>
                </c:pt>
                <c:pt idx="25">
                  <c:v>13.656000000000001</c:v>
                </c:pt>
                <c:pt idx="26">
                  <c:v>13.64</c:v>
                </c:pt>
                <c:pt idx="27">
                  <c:v>13.622999999999999</c:v>
                </c:pt>
                <c:pt idx="28">
                  <c:v>13.606999999999999</c:v>
                </c:pt>
                <c:pt idx="29">
                  <c:v>13.59</c:v>
                </c:pt>
                <c:pt idx="30">
                  <c:v>13.420999999999999</c:v>
                </c:pt>
                <c:pt idx="31">
                  <c:v>13.398999999999999</c:v>
                </c:pt>
                <c:pt idx="32">
                  <c:v>13.377000000000001</c:v>
                </c:pt>
                <c:pt idx="33">
                  <c:v>13.355</c:v>
                </c:pt>
              </c:numCache>
            </c:numRef>
          </c:xVal>
          <c:yVal>
            <c:numRef>
              <c:f>'DOY169'!$V$48:$V$81</c:f>
              <c:numCache>
                <c:formatCode>0.00</c:formatCode>
                <c:ptCount val="34"/>
                <c:pt idx="0">
                  <c:v>30.61666666666666</c:v>
                </c:pt>
                <c:pt idx="1">
                  <c:v>30.333333333333332</c:v>
                </c:pt>
                <c:pt idx="2">
                  <c:v>31</c:v>
                </c:pt>
                <c:pt idx="3">
                  <c:v>33.43333333333333</c:v>
                </c:pt>
                <c:pt idx="4">
                  <c:v>30.158333333333331</c:v>
                </c:pt>
                <c:pt idx="5">
                  <c:v>32.56666666666667</c:v>
                </c:pt>
                <c:pt idx="6">
                  <c:v>33.441666666666663</c:v>
                </c:pt>
                <c:pt idx="7">
                  <c:v>30.950000000000003</c:v>
                </c:pt>
                <c:pt idx="8">
                  <c:v>30.716666666666669</c:v>
                </c:pt>
                <c:pt idx="9">
                  <c:v>34.408333333333339</c:v>
                </c:pt>
                <c:pt idx="10">
                  <c:v>30.483333333333338</c:v>
                </c:pt>
                <c:pt idx="11">
                  <c:v>29.758333333333336</c:v>
                </c:pt>
                <c:pt idx="12">
                  <c:v>28.474999999999994</c:v>
                </c:pt>
                <c:pt idx="13">
                  <c:v>30.983333333333334</c:v>
                </c:pt>
                <c:pt idx="14">
                  <c:v>29.750000000000004</c:v>
                </c:pt>
                <c:pt idx="15">
                  <c:v>29.158333333333335</c:v>
                </c:pt>
                <c:pt idx="16">
                  <c:v>32.716666666666669</c:v>
                </c:pt>
                <c:pt idx="17">
                  <c:v>29.891666666666669</c:v>
                </c:pt>
                <c:pt idx="18">
                  <c:v>31.575000000000003</c:v>
                </c:pt>
                <c:pt idx="19">
                  <c:v>29.925000000000001</c:v>
                </c:pt>
                <c:pt idx="20">
                  <c:v>29.8</c:v>
                </c:pt>
                <c:pt idx="21">
                  <c:v>28.649999999999995</c:v>
                </c:pt>
                <c:pt idx="22">
                  <c:v>31.341666666666669</c:v>
                </c:pt>
                <c:pt idx="23">
                  <c:v>28.400000000000002</c:v>
                </c:pt>
                <c:pt idx="24">
                  <c:v>29.499999999999996</c:v>
                </c:pt>
                <c:pt idx="25">
                  <c:v>30.183333333333337</c:v>
                </c:pt>
                <c:pt idx="26">
                  <c:v>30.641666666666666</c:v>
                </c:pt>
                <c:pt idx="27">
                  <c:v>29.083333333333332</c:v>
                </c:pt>
                <c:pt idx="28">
                  <c:v>31.516666666666669</c:v>
                </c:pt>
                <c:pt idx="29">
                  <c:v>31.674999999999997</c:v>
                </c:pt>
                <c:pt idx="30">
                  <c:v>32.15</c:v>
                </c:pt>
                <c:pt idx="31">
                  <c:v>30.575000000000003</c:v>
                </c:pt>
                <c:pt idx="32">
                  <c:v>31.091666666666669</c:v>
                </c:pt>
                <c:pt idx="33">
                  <c:v>30.491666666666671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41-45DC-9FEA-3074DDD41DD3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('DOY169'!$I$21,'DOY169'!$I$30)</c:f>
              <c:numCache>
                <c:formatCode>0.000</c:formatCode>
                <c:ptCount val="2"/>
                <c:pt idx="0">
                  <c:v>13.18</c:v>
                </c:pt>
                <c:pt idx="1">
                  <c:v>13.513</c:v>
                </c:pt>
              </c:numCache>
            </c:numRef>
          </c:xVal>
          <c:yVal>
            <c:numRef>
              <c:f>('DOY169'!$V$21,'DOY169'!$V$30)</c:f>
              <c:numCache>
                <c:formatCode>0.00</c:formatCode>
                <c:ptCount val="2"/>
                <c:pt idx="0">
                  <c:v>34.225000000000001</c:v>
                </c:pt>
                <c:pt idx="1">
                  <c:v>34.69166666666667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41-45DC-9FEA-3074DDD41DD3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('DOY169'!$I$59,'DOY169'!$I$68)</c:f>
              <c:numCache>
                <c:formatCode>0.000</c:formatCode>
                <c:ptCount val="2"/>
                <c:pt idx="0">
                  <c:v>13.185</c:v>
                </c:pt>
                <c:pt idx="1">
                  <c:v>13.518000000000001</c:v>
                </c:pt>
              </c:numCache>
            </c:numRef>
          </c:xVal>
          <c:yVal>
            <c:numRef>
              <c:f>('DOY169'!$V$59,'DOY169'!$V$68)</c:f>
              <c:numCache>
                <c:formatCode>0.00</c:formatCode>
                <c:ptCount val="2"/>
                <c:pt idx="0">
                  <c:v>29.758333333333336</c:v>
                </c:pt>
                <c:pt idx="1">
                  <c:v>29.8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41-45DC-9FEA-3074DDD41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023760"/>
        <c:axId val="1"/>
      </c:scatterChart>
      <c:valAx>
        <c:axId val="766023760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023760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'DOY170'!$I$10:$I$39</c:f>
              <c:numCache>
                <c:formatCode>0.000</c:formatCode>
                <c:ptCount val="30"/>
                <c:pt idx="0">
                  <c:v>13.202999999999999</c:v>
                </c:pt>
                <c:pt idx="1">
                  <c:v>13.186999999999999</c:v>
                </c:pt>
                <c:pt idx="2">
                  <c:v>13.170999999999999</c:v>
                </c:pt>
                <c:pt idx="3">
                  <c:v>13.156000000000001</c:v>
                </c:pt>
                <c:pt idx="4">
                  <c:v>13.141</c:v>
                </c:pt>
                <c:pt idx="5">
                  <c:v>13.125</c:v>
                </c:pt>
                <c:pt idx="6">
                  <c:v>13.109</c:v>
                </c:pt>
                <c:pt idx="7">
                  <c:v>13.081</c:v>
                </c:pt>
                <c:pt idx="8">
                  <c:v>13.231</c:v>
                </c:pt>
                <c:pt idx="9">
                  <c:v>13.247</c:v>
                </c:pt>
                <c:pt idx="10">
                  <c:v>13.263</c:v>
                </c:pt>
                <c:pt idx="11">
                  <c:v>13.279</c:v>
                </c:pt>
                <c:pt idx="12">
                  <c:v>13.295</c:v>
                </c:pt>
                <c:pt idx="13">
                  <c:v>13.311</c:v>
                </c:pt>
                <c:pt idx="14">
                  <c:v>13.327</c:v>
                </c:pt>
                <c:pt idx="15">
                  <c:v>13.342000000000001</c:v>
                </c:pt>
                <c:pt idx="16">
                  <c:v>13.481999999999999</c:v>
                </c:pt>
                <c:pt idx="17">
                  <c:v>13.497</c:v>
                </c:pt>
                <c:pt idx="18">
                  <c:v>13.512</c:v>
                </c:pt>
                <c:pt idx="19">
                  <c:v>13.528</c:v>
                </c:pt>
                <c:pt idx="20">
                  <c:v>13.545999999999999</c:v>
                </c:pt>
                <c:pt idx="21">
                  <c:v>13.561999999999999</c:v>
                </c:pt>
                <c:pt idx="22">
                  <c:v>13.576000000000001</c:v>
                </c:pt>
                <c:pt idx="23">
                  <c:v>13.590999999999999</c:v>
                </c:pt>
                <c:pt idx="24">
                  <c:v>13.699</c:v>
                </c:pt>
                <c:pt idx="25">
                  <c:v>13.683</c:v>
                </c:pt>
                <c:pt idx="26">
                  <c:v>13.667999999999999</c:v>
                </c:pt>
                <c:pt idx="27">
                  <c:v>13.651999999999999</c:v>
                </c:pt>
                <c:pt idx="28">
                  <c:v>13.635999999999999</c:v>
                </c:pt>
                <c:pt idx="29">
                  <c:v>13.618</c:v>
                </c:pt>
              </c:numCache>
            </c:numRef>
          </c:xVal>
          <c:yVal>
            <c:numRef>
              <c:f>'DOY170'!$V$10:$V$39</c:f>
              <c:numCache>
                <c:formatCode>0.00</c:formatCode>
                <c:ptCount val="30"/>
                <c:pt idx="0">
                  <c:v>39.158333333333339</c:v>
                </c:pt>
                <c:pt idx="1">
                  <c:v>38.93333333333333</c:v>
                </c:pt>
                <c:pt idx="2">
                  <c:v>34.616666666666667</c:v>
                </c:pt>
                <c:pt idx="3">
                  <c:v>35.624999999999993</c:v>
                </c:pt>
                <c:pt idx="4">
                  <c:v>35.42499999999999</c:v>
                </c:pt>
                <c:pt idx="5">
                  <c:v>35.18333333333333</c:v>
                </c:pt>
                <c:pt idx="6">
                  <c:v>34.833333333333336</c:v>
                </c:pt>
                <c:pt idx="7">
                  <c:v>41.475000000000001</c:v>
                </c:pt>
                <c:pt idx="8">
                  <c:v>36.333333333333336</c:v>
                </c:pt>
                <c:pt idx="9">
                  <c:v>37.500000000000007</c:v>
                </c:pt>
                <c:pt idx="10">
                  <c:v>38.583333333333329</c:v>
                </c:pt>
                <c:pt idx="11">
                  <c:v>35.583333333333329</c:v>
                </c:pt>
                <c:pt idx="12">
                  <c:v>39.316666666666663</c:v>
                </c:pt>
                <c:pt idx="13">
                  <c:v>56.92499999999999</c:v>
                </c:pt>
                <c:pt idx="14">
                  <c:v>38.666666666666671</c:v>
                </c:pt>
                <c:pt idx="15">
                  <c:v>42.2</c:v>
                </c:pt>
                <c:pt idx="16">
                  <c:v>34.666666666666664</c:v>
                </c:pt>
                <c:pt idx="17">
                  <c:v>36.05833333333333</c:v>
                </c:pt>
                <c:pt idx="18">
                  <c:v>54.066666666666663</c:v>
                </c:pt>
                <c:pt idx="19">
                  <c:v>37.774999999999999</c:v>
                </c:pt>
                <c:pt idx="20">
                  <c:v>33.041666666666664</c:v>
                </c:pt>
                <c:pt idx="21">
                  <c:v>37.158333333333331</c:v>
                </c:pt>
                <c:pt idx="22">
                  <c:v>35.091666666666661</c:v>
                </c:pt>
                <c:pt idx="23">
                  <c:v>37.366666666666667</c:v>
                </c:pt>
                <c:pt idx="24">
                  <c:v>37.750000000000007</c:v>
                </c:pt>
                <c:pt idx="25">
                  <c:v>38.366666666666667</c:v>
                </c:pt>
                <c:pt idx="26">
                  <c:v>35.441666666666663</c:v>
                </c:pt>
                <c:pt idx="27">
                  <c:v>36.716666666666669</c:v>
                </c:pt>
                <c:pt idx="28">
                  <c:v>53.374999999999993</c:v>
                </c:pt>
                <c:pt idx="29">
                  <c:v>34.524999999999999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7-4589-A5F6-F8D94A4D5C6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'DOY170'!$I$48:$I$81</c:f>
              <c:numCache>
                <c:formatCode>0.000</c:formatCode>
                <c:ptCount val="34"/>
                <c:pt idx="0">
                  <c:v>13.208</c:v>
                </c:pt>
                <c:pt idx="1">
                  <c:v>13.192</c:v>
                </c:pt>
                <c:pt idx="2">
                  <c:v>13.176</c:v>
                </c:pt>
                <c:pt idx="3">
                  <c:v>13.16</c:v>
                </c:pt>
                <c:pt idx="4">
                  <c:v>13.145</c:v>
                </c:pt>
                <c:pt idx="5">
                  <c:v>13.129</c:v>
                </c:pt>
                <c:pt idx="6">
                  <c:v>13.114000000000001</c:v>
                </c:pt>
                <c:pt idx="7">
                  <c:v>13.086</c:v>
                </c:pt>
                <c:pt idx="8">
                  <c:v>13.234999999999999</c:v>
                </c:pt>
                <c:pt idx="9">
                  <c:v>13.250999999999999</c:v>
                </c:pt>
                <c:pt idx="10">
                  <c:v>13.266999999999999</c:v>
                </c:pt>
                <c:pt idx="11">
                  <c:v>13.284000000000001</c:v>
                </c:pt>
                <c:pt idx="12">
                  <c:v>13.298999999999999</c:v>
                </c:pt>
                <c:pt idx="13">
                  <c:v>13.315</c:v>
                </c:pt>
                <c:pt idx="14">
                  <c:v>13.332000000000001</c:v>
                </c:pt>
                <c:pt idx="15">
                  <c:v>13.347</c:v>
                </c:pt>
                <c:pt idx="16">
                  <c:v>13.486000000000001</c:v>
                </c:pt>
                <c:pt idx="17">
                  <c:v>13.500999999999999</c:v>
                </c:pt>
                <c:pt idx="18">
                  <c:v>13.516999999999999</c:v>
                </c:pt>
                <c:pt idx="19">
                  <c:v>13.532999999999999</c:v>
                </c:pt>
                <c:pt idx="20">
                  <c:v>13.551</c:v>
                </c:pt>
                <c:pt idx="21">
                  <c:v>13.566000000000001</c:v>
                </c:pt>
                <c:pt idx="22">
                  <c:v>13.581</c:v>
                </c:pt>
                <c:pt idx="23">
                  <c:v>13.596</c:v>
                </c:pt>
                <c:pt idx="24">
                  <c:v>13.704000000000001</c:v>
                </c:pt>
                <c:pt idx="25">
                  <c:v>13.688000000000001</c:v>
                </c:pt>
                <c:pt idx="26">
                  <c:v>13.672000000000001</c:v>
                </c:pt>
                <c:pt idx="27">
                  <c:v>13.657</c:v>
                </c:pt>
                <c:pt idx="28">
                  <c:v>13.641</c:v>
                </c:pt>
                <c:pt idx="29">
                  <c:v>13.622</c:v>
                </c:pt>
                <c:pt idx="30">
                  <c:v>13.449</c:v>
                </c:pt>
                <c:pt idx="31">
                  <c:v>13.423999999999999</c:v>
                </c:pt>
                <c:pt idx="32">
                  <c:v>13.398</c:v>
                </c:pt>
                <c:pt idx="33">
                  <c:v>13.372999999999999</c:v>
                </c:pt>
              </c:numCache>
            </c:numRef>
          </c:xVal>
          <c:yVal>
            <c:numRef>
              <c:f>'DOY170'!$V$48:$V$81</c:f>
              <c:numCache>
                <c:formatCode>0.00</c:formatCode>
                <c:ptCount val="34"/>
                <c:pt idx="0">
                  <c:v>30.900000000000002</c:v>
                </c:pt>
                <c:pt idx="1">
                  <c:v>30.483333333333334</c:v>
                </c:pt>
                <c:pt idx="2">
                  <c:v>29.86666666666666</c:v>
                </c:pt>
                <c:pt idx="3">
                  <c:v>30.7</c:v>
                </c:pt>
                <c:pt idx="4">
                  <c:v>30.083333333333332</c:v>
                </c:pt>
                <c:pt idx="5">
                  <c:v>30.841666666666665</c:v>
                </c:pt>
                <c:pt idx="6">
                  <c:v>30.766666666666669</c:v>
                </c:pt>
                <c:pt idx="7">
                  <c:v>30.616666666666671</c:v>
                </c:pt>
                <c:pt idx="8">
                  <c:v>30.041666666666671</c:v>
                </c:pt>
                <c:pt idx="9">
                  <c:v>32.1</c:v>
                </c:pt>
                <c:pt idx="10">
                  <c:v>30.341666666666669</c:v>
                </c:pt>
                <c:pt idx="11">
                  <c:v>30.150000000000002</c:v>
                </c:pt>
                <c:pt idx="12">
                  <c:v>30.158333333333331</c:v>
                </c:pt>
                <c:pt idx="13">
                  <c:v>32.458333333333329</c:v>
                </c:pt>
                <c:pt idx="14">
                  <c:v>29.149999999999995</c:v>
                </c:pt>
                <c:pt idx="15">
                  <c:v>30.624999999999996</c:v>
                </c:pt>
                <c:pt idx="16">
                  <c:v>30.033333333333335</c:v>
                </c:pt>
                <c:pt idx="17">
                  <c:v>29.575000000000003</c:v>
                </c:pt>
                <c:pt idx="18">
                  <c:v>32.050000000000004</c:v>
                </c:pt>
                <c:pt idx="19">
                  <c:v>30.533333333333331</c:v>
                </c:pt>
                <c:pt idx="20">
                  <c:v>29.083333333333332</c:v>
                </c:pt>
                <c:pt idx="21">
                  <c:v>29.641666666666669</c:v>
                </c:pt>
                <c:pt idx="22">
                  <c:v>30.991666666666671</c:v>
                </c:pt>
                <c:pt idx="23">
                  <c:v>30.833333333333332</c:v>
                </c:pt>
                <c:pt idx="24">
                  <c:v>31.399999999999995</c:v>
                </c:pt>
                <c:pt idx="25">
                  <c:v>29.633333333333329</c:v>
                </c:pt>
                <c:pt idx="26">
                  <c:v>29.350000000000005</c:v>
                </c:pt>
                <c:pt idx="27">
                  <c:v>29.366666666666664</c:v>
                </c:pt>
                <c:pt idx="28">
                  <c:v>34.274999999999999</c:v>
                </c:pt>
                <c:pt idx="29">
                  <c:v>30.299999999999997</c:v>
                </c:pt>
                <c:pt idx="30">
                  <c:v>31.358333333333334</c:v>
                </c:pt>
                <c:pt idx="31">
                  <c:v>32.783333333333331</c:v>
                </c:pt>
                <c:pt idx="32">
                  <c:v>30.983333333333338</c:v>
                </c:pt>
                <c:pt idx="33">
                  <c:v>32.57500000000001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07-4589-A5F6-F8D94A4D5C6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('DOY170'!$I$21,'DOY170'!$I$30)</c:f>
              <c:numCache>
                <c:formatCode>0.000</c:formatCode>
                <c:ptCount val="2"/>
                <c:pt idx="0">
                  <c:v>13.279</c:v>
                </c:pt>
                <c:pt idx="1">
                  <c:v>13.545999999999999</c:v>
                </c:pt>
              </c:numCache>
            </c:numRef>
          </c:xVal>
          <c:yVal>
            <c:numRef>
              <c:f>('DOY170'!$V$21,'DOY170'!$V$30)</c:f>
              <c:numCache>
                <c:formatCode>0.00</c:formatCode>
                <c:ptCount val="2"/>
                <c:pt idx="0">
                  <c:v>35.583333333333329</c:v>
                </c:pt>
                <c:pt idx="1">
                  <c:v>33.041666666666664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07-4589-A5F6-F8D94A4D5C6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('DOY170'!$I$59,'DOY170'!$I$68)</c:f>
              <c:numCache>
                <c:formatCode>0.000</c:formatCode>
                <c:ptCount val="2"/>
                <c:pt idx="0">
                  <c:v>13.284000000000001</c:v>
                </c:pt>
                <c:pt idx="1">
                  <c:v>13.551</c:v>
                </c:pt>
              </c:numCache>
            </c:numRef>
          </c:xVal>
          <c:yVal>
            <c:numRef>
              <c:f>('DOY170'!$V$59,'DOY170'!$V$68)</c:f>
              <c:numCache>
                <c:formatCode>0.00</c:formatCode>
                <c:ptCount val="2"/>
                <c:pt idx="0">
                  <c:v>30.150000000000002</c:v>
                </c:pt>
                <c:pt idx="1">
                  <c:v>29.083333333333332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07-4589-A5F6-F8D94A4D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380591"/>
        <c:axId val="1"/>
      </c:scatterChart>
      <c:valAx>
        <c:axId val="127538059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38059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'DOY171'!$I$10:$I$39</c:f>
              <c:numCache>
                <c:formatCode>0.000</c:formatCode>
                <c:ptCount val="30"/>
                <c:pt idx="0">
                  <c:v>13.103999999999999</c:v>
                </c:pt>
                <c:pt idx="1">
                  <c:v>13.086</c:v>
                </c:pt>
                <c:pt idx="2">
                  <c:v>13.066000000000001</c:v>
                </c:pt>
                <c:pt idx="3">
                  <c:v>13.048999999999999</c:v>
                </c:pt>
                <c:pt idx="4">
                  <c:v>13.031000000000001</c:v>
                </c:pt>
                <c:pt idx="5">
                  <c:v>13.010999999999999</c:v>
                </c:pt>
                <c:pt idx="6">
                  <c:v>12.993</c:v>
                </c:pt>
                <c:pt idx="7">
                  <c:v>12.976000000000001</c:v>
                </c:pt>
                <c:pt idx="8">
                  <c:v>13.132</c:v>
                </c:pt>
                <c:pt idx="9">
                  <c:v>13.148</c:v>
                </c:pt>
                <c:pt idx="10">
                  <c:v>13.166</c:v>
                </c:pt>
                <c:pt idx="11">
                  <c:v>13.182</c:v>
                </c:pt>
                <c:pt idx="12">
                  <c:v>13.2</c:v>
                </c:pt>
                <c:pt idx="13">
                  <c:v>13.218</c:v>
                </c:pt>
                <c:pt idx="14">
                  <c:v>13.238</c:v>
                </c:pt>
                <c:pt idx="15">
                  <c:v>13.256</c:v>
                </c:pt>
                <c:pt idx="16">
                  <c:v>13.407</c:v>
                </c:pt>
                <c:pt idx="17">
                  <c:v>13.425000000000001</c:v>
                </c:pt>
                <c:pt idx="18">
                  <c:v>13.442</c:v>
                </c:pt>
                <c:pt idx="19">
                  <c:v>13.461</c:v>
                </c:pt>
                <c:pt idx="20">
                  <c:v>13.48</c:v>
                </c:pt>
                <c:pt idx="21">
                  <c:v>13.497</c:v>
                </c:pt>
                <c:pt idx="22">
                  <c:v>13.515000000000001</c:v>
                </c:pt>
                <c:pt idx="23">
                  <c:v>13.532999999999999</c:v>
                </c:pt>
                <c:pt idx="24">
                  <c:v>13.659000000000001</c:v>
                </c:pt>
                <c:pt idx="25">
                  <c:v>13.634</c:v>
                </c:pt>
                <c:pt idx="26">
                  <c:v>13.614000000000001</c:v>
                </c:pt>
                <c:pt idx="27">
                  <c:v>13.596</c:v>
                </c:pt>
                <c:pt idx="28">
                  <c:v>13.577999999999999</c:v>
                </c:pt>
                <c:pt idx="29">
                  <c:v>13.561</c:v>
                </c:pt>
              </c:numCache>
            </c:numRef>
          </c:xVal>
          <c:yVal>
            <c:numRef>
              <c:f>'DOY171'!$V$10:$V$39</c:f>
              <c:numCache>
                <c:formatCode>0.00</c:formatCode>
                <c:ptCount val="30"/>
                <c:pt idx="0">
                  <c:v>46.191666666666663</c:v>
                </c:pt>
                <c:pt idx="1">
                  <c:v>44.708333333333336</c:v>
                </c:pt>
                <c:pt idx="2">
                  <c:v>41.141666666666666</c:v>
                </c:pt>
                <c:pt idx="3">
                  <c:v>32.666666666666664</c:v>
                </c:pt>
                <c:pt idx="4">
                  <c:v>41.44166666666667</c:v>
                </c:pt>
                <c:pt idx="5">
                  <c:v>33.508333333333333</c:v>
                </c:pt>
                <c:pt idx="6">
                  <c:v>33.541666666666671</c:v>
                </c:pt>
                <c:pt idx="7">
                  <c:v>45.116666666666667</c:v>
                </c:pt>
                <c:pt idx="8">
                  <c:v>41.075000000000003</c:v>
                </c:pt>
                <c:pt idx="9">
                  <c:v>34.325000000000003</c:v>
                </c:pt>
                <c:pt idx="10">
                  <c:v>45.550000000000004</c:v>
                </c:pt>
                <c:pt idx="11">
                  <c:v>40.866666666666674</c:v>
                </c:pt>
                <c:pt idx="12">
                  <c:v>45.733333333333327</c:v>
                </c:pt>
                <c:pt idx="13">
                  <c:v>54.908333333333339</c:v>
                </c:pt>
                <c:pt idx="14">
                  <c:v>44.358333333333327</c:v>
                </c:pt>
                <c:pt idx="15">
                  <c:v>47.074999999999996</c:v>
                </c:pt>
                <c:pt idx="16">
                  <c:v>32.508333333333333</c:v>
                </c:pt>
                <c:pt idx="17">
                  <c:v>42.258333333333333</c:v>
                </c:pt>
                <c:pt idx="18">
                  <c:v>53.316666666666656</c:v>
                </c:pt>
                <c:pt idx="19">
                  <c:v>44.42499999999999</c:v>
                </c:pt>
                <c:pt idx="20">
                  <c:v>39.249999999999993</c:v>
                </c:pt>
                <c:pt idx="21">
                  <c:v>44.275000000000006</c:v>
                </c:pt>
                <c:pt idx="22">
                  <c:v>32.108333333333334</c:v>
                </c:pt>
                <c:pt idx="23">
                  <c:v>41.85</c:v>
                </c:pt>
                <c:pt idx="24">
                  <c:v>42.45</c:v>
                </c:pt>
                <c:pt idx="25">
                  <c:v>45.35</c:v>
                </c:pt>
                <c:pt idx="26">
                  <c:v>41.866666666666667</c:v>
                </c:pt>
                <c:pt idx="27">
                  <c:v>43.42499999999999</c:v>
                </c:pt>
                <c:pt idx="28">
                  <c:v>31.266666666666666</c:v>
                </c:pt>
                <c:pt idx="29">
                  <c:v>31.974999999999998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B-4AB4-971B-1F0D7FF3B0E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'DOY171'!$I$48:$I$81</c:f>
              <c:numCache>
                <c:formatCode>0.000</c:formatCode>
                <c:ptCount val="34"/>
                <c:pt idx="0">
                  <c:v>13.109</c:v>
                </c:pt>
                <c:pt idx="1">
                  <c:v>13.090999999999999</c:v>
                </c:pt>
                <c:pt idx="2">
                  <c:v>13.071</c:v>
                </c:pt>
                <c:pt idx="3">
                  <c:v>13.053000000000001</c:v>
                </c:pt>
                <c:pt idx="4">
                  <c:v>13.036</c:v>
                </c:pt>
                <c:pt idx="5">
                  <c:v>13.016</c:v>
                </c:pt>
                <c:pt idx="6">
                  <c:v>12.997999999999999</c:v>
                </c:pt>
                <c:pt idx="7">
                  <c:v>12.981999999999999</c:v>
                </c:pt>
                <c:pt idx="8">
                  <c:v>13.137</c:v>
                </c:pt>
                <c:pt idx="9">
                  <c:v>13.153</c:v>
                </c:pt>
                <c:pt idx="10">
                  <c:v>13.17</c:v>
                </c:pt>
                <c:pt idx="11">
                  <c:v>13.186999999999999</c:v>
                </c:pt>
                <c:pt idx="12">
                  <c:v>13.205</c:v>
                </c:pt>
                <c:pt idx="13">
                  <c:v>13.224</c:v>
                </c:pt>
                <c:pt idx="14">
                  <c:v>13.243</c:v>
                </c:pt>
                <c:pt idx="15">
                  <c:v>13.260999999999999</c:v>
                </c:pt>
                <c:pt idx="16">
                  <c:v>13.412000000000001</c:v>
                </c:pt>
                <c:pt idx="17">
                  <c:v>13.43</c:v>
                </c:pt>
                <c:pt idx="18">
                  <c:v>13.446999999999999</c:v>
                </c:pt>
                <c:pt idx="19">
                  <c:v>13.465999999999999</c:v>
                </c:pt>
                <c:pt idx="20">
                  <c:v>13.484999999999999</c:v>
                </c:pt>
                <c:pt idx="21">
                  <c:v>13.502000000000001</c:v>
                </c:pt>
                <c:pt idx="22">
                  <c:v>13.519</c:v>
                </c:pt>
                <c:pt idx="23">
                  <c:v>13.539</c:v>
                </c:pt>
                <c:pt idx="24">
                  <c:v>13.664999999999999</c:v>
                </c:pt>
                <c:pt idx="25">
                  <c:v>13.638999999999999</c:v>
                </c:pt>
                <c:pt idx="26">
                  <c:v>13.62</c:v>
                </c:pt>
                <c:pt idx="27">
                  <c:v>13.601000000000001</c:v>
                </c:pt>
                <c:pt idx="28">
                  <c:v>13.583</c:v>
                </c:pt>
                <c:pt idx="29">
                  <c:v>13.566000000000001</c:v>
                </c:pt>
                <c:pt idx="30">
                  <c:v>13.379</c:v>
                </c:pt>
                <c:pt idx="31">
                  <c:v>13.355</c:v>
                </c:pt>
                <c:pt idx="32">
                  <c:v>13.331</c:v>
                </c:pt>
                <c:pt idx="33">
                  <c:v>13.285</c:v>
                </c:pt>
              </c:numCache>
            </c:numRef>
          </c:xVal>
          <c:yVal>
            <c:numRef>
              <c:f>'DOY171'!$V$48:$V$81</c:f>
              <c:numCache>
                <c:formatCode>0.00</c:formatCode>
                <c:ptCount val="34"/>
                <c:pt idx="0">
                  <c:v>31.683333333333334</c:v>
                </c:pt>
                <c:pt idx="1">
                  <c:v>30.724999999999994</c:v>
                </c:pt>
                <c:pt idx="2">
                  <c:v>30.883333333333336</c:v>
                </c:pt>
                <c:pt idx="3">
                  <c:v>31.200000000000003</c:v>
                </c:pt>
                <c:pt idx="4">
                  <c:v>31.033333333333331</c:v>
                </c:pt>
                <c:pt idx="5">
                  <c:v>31.866666666666664</c:v>
                </c:pt>
                <c:pt idx="6">
                  <c:v>32.308333333333337</c:v>
                </c:pt>
                <c:pt idx="7">
                  <c:v>31.541666666666671</c:v>
                </c:pt>
                <c:pt idx="8">
                  <c:v>30.883333333333336</c:v>
                </c:pt>
                <c:pt idx="9">
                  <c:v>31.033333333333335</c:v>
                </c:pt>
                <c:pt idx="10">
                  <c:v>30.783333333333335</c:v>
                </c:pt>
                <c:pt idx="11">
                  <c:v>30.716666666666669</c:v>
                </c:pt>
                <c:pt idx="12">
                  <c:v>30.983333333333334</c:v>
                </c:pt>
                <c:pt idx="13">
                  <c:v>33.875</c:v>
                </c:pt>
                <c:pt idx="14">
                  <c:v>30.783333333333331</c:v>
                </c:pt>
                <c:pt idx="15">
                  <c:v>31.341666666666669</c:v>
                </c:pt>
                <c:pt idx="16">
                  <c:v>30.533333333333335</c:v>
                </c:pt>
                <c:pt idx="17">
                  <c:v>31.491666666666664</c:v>
                </c:pt>
                <c:pt idx="18">
                  <c:v>33.458333333333329</c:v>
                </c:pt>
                <c:pt idx="19">
                  <c:v>30.741666666666664</c:v>
                </c:pt>
                <c:pt idx="20">
                  <c:v>30.649999999999995</c:v>
                </c:pt>
                <c:pt idx="21">
                  <c:v>30.349999999999998</c:v>
                </c:pt>
                <c:pt idx="22">
                  <c:v>30.816666666666666</c:v>
                </c:pt>
                <c:pt idx="23">
                  <c:v>31.316666666666663</c:v>
                </c:pt>
                <c:pt idx="24">
                  <c:v>32.291666666666664</c:v>
                </c:pt>
                <c:pt idx="25">
                  <c:v>32.691666666666663</c:v>
                </c:pt>
                <c:pt idx="26">
                  <c:v>32.633333333333333</c:v>
                </c:pt>
                <c:pt idx="27">
                  <c:v>31.933333333333334</c:v>
                </c:pt>
                <c:pt idx="28">
                  <c:v>31.358333333333331</c:v>
                </c:pt>
                <c:pt idx="29">
                  <c:v>31.375000000000004</c:v>
                </c:pt>
                <c:pt idx="30">
                  <c:v>30.099999999999994</c:v>
                </c:pt>
                <c:pt idx="31">
                  <c:v>33.549999999999997</c:v>
                </c:pt>
                <c:pt idx="32">
                  <c:v>30.349999999999994</c:v>
                </c:pt>
                <c:pt idx="33">
                  <c:v>33.883333333333333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B-4AB4-971B-1F0D7FF3B0E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('DOY171'!$I$21,'DOY171'!$I$30)</c:f>
              <c:numCache>
                <c:formatCode>0.000</c:formatCode>
                <c:ptCount val="2"/>
                <c:pt idx="0">
                  <c:v>13.182</c:v>
                </c:pt>
                <c:pt idx="1">
                  <c:v>13.48</c:v>
                </c:pt>
              </c:numCache>
            </c:numRef>
          </c:xVal>
          <c:yVal>
            <c:numRef>
              <c:f>('DOY171'!$V$21,'DOY171'!$V$30)</c:f>
              <c:numCache>
                <c:formatCode>0.00</c:formatCode>
                <c:ptCount val="2"/>
                <c:pt idx="0">
                  <c:v>40.866666666666674</c:v>
                </c:pt>
                <c:pt idx="1">
                  <c:v>39.249999999999993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B-4AB4-971B-1F0D7FF3B0E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('DOY171'!$I$59,'DOY171'!$I$68)</c:f>
              <c:numCache>
                <c:formatCode>0.000</c:formatCode>
                <c:ptCount val="2"/>
                <c:pt idx="0">
                  <c:v>13.186999999999999</c:v>
                </c:pt>
                <c:pt idx="1">
                  <c:v>13.484999999999999</c:v>
                </c:pt>
              </c:numCache>
            </c:numRef>
          </c:xVal>
          <c:yVal>
            <c:numRef>
              <c:f>('DOY171'!$V$59,'DOY171'!$V$68)</c:f>
              <c:numCache>
                <c:formatCode>0.00</c:formatCode>
                <c:ptCount val="2"/>
                <c:pt idx="0">
                  <c:v>30.716666666666669</c:v>
                </c:pt>
                <c:pt idx="1">
                  <c:v>30.649999999999995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B-4AB4-971B-1F0D7FF3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092943"/>
        <c:axId val="1"/>
      </c:scatterChart>
      <c:valAx>
        <c:axId val="200409294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4092943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'DOY172'!$I$10:$I$39</c:f>
              <c:numCache>
                <c:formatCode>0.000</c:formatCode>
                <c:ptCount val="30"/>
                <c:pt idx="0">
                  <c:v>13.164</c:v>
                </c:pt>
                <c:pt idx="1">
                  <c:v>13.148999999999999</c:v>
                </c:pt>
                <c:pt idx="2">
                  <c:v>13.134</c:v>
                </c:pt>
                <c:pt idx="3">
                  <c:v>13.118</c:v>
                </c:pt>
                <c:pt idx="4">
                  <c:v>13.103</c:v>
                </c:pt>
                <c:pt idx="5">
                  <c:v>13.086</c:v>
                </c:pt>
                <c:pt idx="6">
                  <c:v>13.067</c:v>
                </c:pt>
                <c:pt idx="7">
                  <c:v>13.052</c:v>
                </c:pt>
                <c:pt idx="8">
                  <c:v>13.188000000000001</c:v>
                </c:pt>
                <c:pt idx="9">
                  <c:v>13.202</c:v>
                </c:pt>
                <c:pt idx="10">
                  <c:v>13.217000000000001</c:v>
                </c:pt>
                <c:pt idx="11">
                  <c:v>13.231</c:v>
                </c:pt>
                <c:pt idx="12">
                  <c:v>13.246</c:v>
                </c:pt>
                <c:pt idx="13">
                  <c:v>13.26</c:v>
                </c:pt>
                <c:pt idx="14">
                  <c:v>13.276999999999999</c:v>
                </c:pt>
                <c:pt idx="15">
                  <c:v>13.292</c:v>
                </c:pt>
                <c:pt idx="16">
                  <c:v>13.435</c:v>
                </c:pt>
                <c:pt idx="17">
                  <c:v>13.45</c:v>
                </c:pt>
                <c:pt idx="18">
                  <c:v>13.467000000000001</c:v>
                </c:pt>
                <c:pt idx="19">
                  <c:v>13.483000000000001</c:v>
                </c:pt>
                <c:pt idx="20">
                  <c:v>13.499000000000001</c:v>
                </c:pt>
                <c:pt idx="21">
                  <c:v>13.513999999999999</c:v>
                </c:pt>
                <c:pt idx="22">
                  <c:v>13.528</c:v>
                </c:pt>
                <c:pt idx="23">
                  <c:v>13.542999999999999</c:v>
                </c:pt>
                <c:pt idx="24">
                  <c:v>13.648999999999999</c:v>
                </c:pt>
                <c:pt idx="25">
                  <c:v>13.634</c:v>
                </c:pt>
                <c:pt idx="26">
                  <c:v>13.619</c:v>
                </c:pt>
                <c:pt idx="27">
                  <c:v>13.603</c:v>
                </c:pt>
                <c:pt idx="28">
                  <c:v>13.587999999999999</c:v>
                </c:pt>
                <c:pt idx="29">
                  <c:v>13.571999999999999</c:v>
                </c:pt>
              </c:numCache>
            </c:numRef>
          </c:xVal>
          <c:yVal>
            <c:numRef>
              <c:f>'DOY172'!$V$10:$V$39</c:f>
              <c:numCache>
                <c:formatCode>0.00</c:formatCode>
                <c:ptCount val="30"/>
                <c:pt idx="0">
                  <c:v>48.133333333333333</c:v>
                </c:pt>
                <c:pt idx="1">
                  <c:v>48.275000000000006</c:v>
                </c:pt>
                <c:pt idx="2">
                  <c:v>42.633333333333326</c:v>
                </c:pt>
                <c:pt idx="3">
                  <c:v>41.691666666666663</c:v>
                </c:pt>
                <c:pt idx="4">
                  <c:v>44.641666666666659</c:v>
                </c:pt>
                <c:pt idx="5">
                  <c:v>39.675000000000004</c:v>
                </c:pt>
                <c:pt idx="6">
                  <c:v>41.291666666666664</c:v>
                </c:pt>
                <c:pt idx="7">
                  <c:v>49.016666666666673</c:v>
                </c:pt>
                <c:pt idx="8">
                  <c:v>42.75</c:v>
                </c:pt>
                <c:pt idx="9">
                  <c:v>44.699999999999996</c:v>
                </c:pt>
                <c:pt idx="10">
                  <c:v>46.108333333333327</c:v>
                </c:pt>
                <c:pt idx="11">
                  <c:v>43.641666666666673</c:v>
                </c:pt>
                <c:pt idx="12">
                  <c:v>48.383333333333333</c:v>
                </c:pt>
                <c:pt idx="13">
                  <c:v>35.666666666666664</c:v>
                </c:pt>
                <c:pt idx="14">
                  <c:v>47.300000000000004</c:v>
                </c:pt>
                <c:pt idx="15">
                  <c:v>50.06666666666667</c:v>
                </c:pt>
                <c:pt idx="16">
                  <c:v>42.966666666666669</c:v>
                </c:pt>
                <c:pt idx="17">
                  <c:v>45.524999999999999</c:v>
                </c:pt>
                <c:pt idx="18">
                  <c:v>32.99166666666666</c:v>
                </c:pt>
                <c:pt idx="19">
                  <c:v>47.283333333333331</c:v>
                </c:pt>
                <c:pt idx="20">
                  <c:v>41.691666666666663</c:v>
                </c:pt>
                <c:pt idx="21">
                  <c:v>46.033333333333331</c:v>
                </c:pt>
                <c:pt idx="22">
                  <c:v>42.816666666666663</c:v>
                </c:pt>
                <c:pt idx="23">
                  <c:v>42.591666666666661</c:v>
                </c:pt>
                <c:pt idx="24">
                  <c:v>43.975000000000001</c:v>
                </c:pt>
                <c:pt idx="25">
                  <c:v>46.30833333333333</c:v>
                </c:pt>
                <c:pt idx="26">
                  <c:v>44.449999999999996</c:v>
                </c:pt>
                <c:pt idx="27">
                  <c:v>45.56666666666667</c:v>
                </c:pt>
                <c:pt idx="28">
                  <c:v>32.891666666666659</c:v>
                </c:pt>
                <c:pt idx="29">
                  <c:v>45.216666666666661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B3-48B1-A29B-20EEE13E6FDE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'DOY172'!$I$48:$I$81</c:f>
              <c:numCache>
                <c:formatCode>0.000</c:formatCode>
                <c:ptCount val="34"/>
                <c:pt idx="0">
                  <c:v>13.169</c:v>
                </c:pt>
                <c:pt idx="1">
                  <c:v>13.154</c:v>
                </c:pt>
                <c:pt idx="2">
                  <c:v>13.138999999999999</c:v>
                </c:pt>
                <c:pt idx="3">
                  <c:v>13.122999999999999</c:v>
                </c:pt>
                <c:pt idx="4">
                  <c:v>13.106999999999999</c:v>
                </c:pt>
                <c:pt idx="5">
                  <c:v>13.090999999999999</c:v>
                </c:pt>
                <c:pt idx="6">
                  <c:v>13.071999999999999</c:v>
                </c:pt>
                <c:pt idx="7">
                  <c:v>13.057</c:v>
                </c:pt>
                <c:pt idx="8">
                  <c:v>13.192</c:v>
                </c:pt>
                <c:pt idx="9">
                  <c:v>13.207000000000001</c:v>
                </c:pt>
                <c:pt idx="10">
                  <c:v>13.222</c:v>
                </c:pt>
                <c:pt idx="11">
                  <c:v>13.236000000000001</c:v>
                </c:pt>
                <c:pt idx="12">
                  <c:v>13.250999999999999</c:v>
                </c:pt>
                <c:pt idx="13">
                  <c:v>13.265000000000001</c:v>
                </c:pt>
                <c:pt idx="14">
                  <c:v>13.282</c:v>
                </c:pt>
                <c:pt idx="15">
                  <c:v>13.295999999999999</c:v>
                </c:pt>
                <c:pt idx="16">
                  <c:v>13.44</c:v>
                </c:pt>
                <c:pt idx="17">
                  <c:v>13.455</c:v>
                </c:pt>
                <c:pt idx="18">
                  <c:v>13.472</c:v>
                </c:pt>
                <c:pt idx="19">
                  <c:v>13.487</c:v>
                </c:pt>
                <c:pt idx="20">
                  <c:v>13.504</c:v>
                </c:pt>
                <c:pt idx="21">
                  <c:v>13.518000000000001</c:v>
                </c:pt>
                <c:pt idx="22">
                  <c:v>13.532999999999999</c:v>
                </c:pt>
                <c:pt idx="23">
                  <c:v>13.547000000000001</c:v>
                </c:pt>
                <c:pt idx="24">
                  <c:v>13.654</c:v>
                </c:pt>
                <c:pt idx="25">
                  <c:v>13.638</c:v>
                </c:pt>
                <c:pt idx="26">
                  <c:v>13.622999999999999</c:v>
                </c:pt>
                <c:pt idx="27">
                  <c:v>13.606999999999999</c:v>
                </c:pt>
                <c:pt idx="28">
                  <c:v>13.592000000000001</c:v>
                </c:pt>
                <c:pt idx="29">
                  <c:v>13.577</c:v>
                </c:pt>
                <c:pt idx="30">
                  <c:v>13.404</c:v>
                </c:pt>
                <c:pt idx="31">
                  <c:v>13.38</c:v>
                </c:pt>
                <c:pt idx="32">
                  <c:v>13.349</c:v>
                </c:pt>
                <c:pt idx="33">
                  <c:v>13.324999999999999</c:v>
                </c:pt>
              </c:numCache>
            </c:numRef>
          </c:xVal>
          <c:yVal>
            <c:numRef>
              <c:f>'DOY172'!$V$48:$V$81</c:f>
              <c:numCache>
                <c:formatCode>0.00</c:formatCode>
                <c:ptCount val="34"/>
                <c:pt idx="0">
                  <c:v>33.516666666666666</c:v>
                </c:pt>
                <c:pt idx="1">
                  <c:v>31.891666666666669</c:v>
                </c:pt>
                <c:pt idx="2">
                  <c:v>32.024999999999999</c:v>
                </c:pt>
                <c:pt idx="3">
                  <c:v>31.175000000000001</c:v>
                </c:pt>
                <c:pt idx="4">
                  <c:v>32.891666666666673</c:v>
                </c:pt>
                <c:pt idx="5">
                  <c:v>32.15</c:v>
                </c:pt>
                <c:pt idx="6">
                  <c:v>31.849999999999998</c:v>
                </c:pt>
                <c:pt idx="7">
                  <c:v>32.416666666666664</c:v>
                </c:pt>
                <c:pt idx="8">
                  <c:v>33.9</c:v>
                </c:pt>
                <c:pt idx="9">
                  <c:v>33.191666666666663</c:v>
                </c:pt>
                <c:pt idx="10">
                  <c:v>31.816666666666666</c:v>
                </c:pt>
                <c:pt idx="11">
                  <c:v>33.274999999999999</c:v>
                </c:pt>
                <c:pt idx="12">
                  <c:v>32.908333333333331</c:v>
                </c:pt>
                <c:pt idx="13">
                  <c:v>32.9</c:v>
                </c:pt>
                <c:pt idx="14">
                  <c:v>31.866666666666674</c:v>
                </c:pt>
                <c:pt idx="15">
                  <c:v>33.324999999999996</c:v>
                </c:pt>
                <c:pt idx="16">
                  <c:v>31.633333333333336</c:v>
                </c:pt>
                <c:pt idx="17">
                  <c:v>31.108333333333334</c:v>
                </c:pt>
                <c:pt idx="18">
                  <c:v>30.450000000000003</c:v>
                </c:pt>
                <c:pt idx="19">
                  <c:v>32.05833333333333</c:v>
                </c:pt>
                <c:pt idx="20">
                  <c:v>32.300000000000004</c:v>
                </c:pt>
                <c:pt idx="21">
                  <c:v>31.7</c:v>
                </c:pt>
                <c:pt idx="22">
                  <c:v>31.900000000000002</c:v>
                </c:pt>
                <c:pt idx="23">
                  <c:v>33.35</c:v>
                </c:pt>
                <c:pt idx="24">
                  <c:v>33.524999999999999</c:v>
                </c:pt>
                <c:pt idx="25">
                  <c:v>33.208333333333336</c:v>
                </c:pt>
                <c:pt idx="26">
                  <c:v>33.591666666666661</c:v>
                </c:pt>
                <c:pt idx="27">
                  <c:v>32.325000000000003</c:v>
                </c:pt>
                <c:pt idx="28">
                  <c:v>32.391666666666673</c:v>
                </c:pt>
                <c:pt idx="29">
                  <c:v>33.658333333333331</c:v>
                </c:pt>
                <c:pt idx="30">
                  <c:v>32.06666666666667</c:v>
                </c:pt>
                <c:pt idx="31">
                  <c:v>35.258333333333326</c:v>
                </c:pt>
                <c:pt idx="32">
                  <c:v>31.349999999999998</c:v>
                </c:pt>
                <c:pt idx="33">
                  <c:v>35.033333333333331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B3-48B1-A29B-20EEE13E6FDE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('DOY172'!$I$21,'DOY172'!$I$30)</c:f>
              <c:numCache>
                <c:formatCode>0.000</c:formatCode>
                <c:ptCount val="2"/>
                <c:pt idx="0">
                  <c:v>13.231</c:v>
                </c:pt>
                <c:pt idx="1">
                  <c:v>13.499000000000001</c:v>
                </c:pt>
              </c:numCache>
            </c:numRef>
          </c:xVal>
          <c:yVal>
            <c:numRef>
              <c:f>('DOY172'!$V$21,'DOY172'!$V$30)</c:f>
              <c:numCache>
                <c:formatCode>0.00</c:formatCode>
                <c:ptCount val="2"/>
                <c:pt idx="0">
                  <c:v>43.641666666666673</c:v>
                </c:pt>
                <c:pt idx="1">
                  <c:v>41.691666666666663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B3-48B1-A29B-20EEE13E6FDE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('DOY172'!$I$59,'DOY172'!$I$68)</c:f>
              <c:numCache>
                <c:formatCode>0.000</c:formatCode>
                <c:ptCount val="2"/>
                <c:pt idx="0">
                  <c:v>13.236000000000001</c:v>
                </c:pt>
                <c:pt idx="1">
                  <c:v>13.504</c:v>
                </c:pt>
              </c:numCache>
            </c:numRef>
          </c:xVal>
          <c:yVal>
            <c:numRef>
              <c:f>('DOY172'!$V$59,'DOY172'!$V$68)</c:f>
              <c:numCache>
                <c:formatCode>0.00</c:formatCode>
                <c:ptCount val="2"/>
                <c:pt idx="0">
                  <c:v>33.274999999999999</c:v>
                </c:pt>
                <c:pt idx="1">
                  <c:v>32.300000000000004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B3-48B1-A29B-20EEE13E6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656799"/>
        <c:axId val="1"/>
      </c:scatterChart>
      <c:valAx>
        <c:axId val="130665679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665679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'DOY175'!$I$10:$I$39</c:f>
              <c:numCache>
                <c:formatCode>0.000</c:formatCode>
                <c:ptCount val="30"/>
                <c:pt idx="0">
                  <c:v>13.099</c:v>
                </c:pt>
                <c:pt idx="1">
                  <c:v>13.08</c:v>
                </c:pt>
                <c:pt idx="2">
                  <c:v>13.061</c:v>
                </c:pt>
                <c:pt idx="3">
                  <c:v>13.041</c:v>
                </c:pt>
                <c:pt idx="4">
                  <c:v>13.022</c:v>
                </c:pt>
                <c:pt idx="5">
                  <c:v>13.002000000000001</c:v>
                </c:pt>
                <c:pt idx="6">
                  <c:v>12.981</c:v>
                </c:pt>
                <c:pt idx="7">
                  <c:v>12.962999999999999</c:v>
                </c:pt>
                <c:pt idx="8">
                  <c:v>13.128</c:v>
                </c:pt>
                <c:pt idx="9">
                  <c:v>13.148</c:v>
                </c:pt>
                <c:pt idx="10">
                  <c:v>13.167999999999999</c:v>
                </c:pt>
                <c:pt idx="11">
                  <c:v>13.186999999999999</c:v>
                </c:pt>
                <c:pt idx="12">
                  <c:v>13.206</c:v>
                </c:pt>
                <c:pt idx="13">
                  <c:v>13.224</c:v>
                </c:pt>
                <c:pt idx="14">
                  <c:v>13.243</c:v>
                </c:pt>
                <c:pt idx="15">
                  <c:v>13.263999999999999</c:v>
                </c:pt>
                <c:pt idx="16">
                  <c:v>13.441000000000001</c:v>
                </c:pt>
                <c:pt idx="17">
                  <c:v>13.46</c:v>
                </c:pt>
                <c:pt idx="18">
                  <c:v>13.478999999999999</c:v>
                </c:pt>
                <c:pt idx="19">
                  <c:v>13.499000000000001</c:v>
                </c:pt>
                <c:pt idx="20">
                  <c:v>13.52</c:v>
                </c:pt>
                <c:pt idx="21">
                  <c:v>13.542999999999999</c:v>
                </c:pt>
                <c:pt idx="22">
                  <c:v>13.56</c:v>
                </c:pt>
                <c:pt idx="23">
                  <c:v>13.577</c:v>
                </c:pt>
                <c:pt idx="24">
                  <c:v>13.707000000000001</c:v>
                </c:pt>
                <c:pt idx="25">
                  <c:v>13.686</c:v>
                </c:pt>
                <c:pt idx="26">
                  <c:v>13.664999999999999</c:v>
                </c:pt>
                <c:pt idx="27">
                  <c:v>13.646000000000001</c:v>
                </c:pt>
                <c:pt idx="28">
                  <c:v>13.627000000000001</c:v>
                </c:pt>
                <c:pt idx="29">
                  <c:v>13.606999999999999</c:v>
                </c:pt>
              </c:numCache>
            </c:numRef>
          </c:xVal>
          <c:yVal>
            <c:numRef>
              <c:f>'DOY175'!$V$10:$V$39</c:f>
              <c:numCache>
                <c:formatCode>0.00</c:formatCode>
                <c:ptCount val="30"/>
                <c:pt idx="0">
                  <c:v>48.65</c:v>
                </c:pt>
                <c:pt idx="1">
                  <c:v>48.958333333333336</c:v>
                </c:pt>
                <c:pt idx="2">
                  <c:v>43.008333333333333</c:v>
                </c:pt>
                <c:pt idx="3">
                  <c:v>47.966666666666669</c:v>
                </c:pt>
                <c:pt idx="4">
                  <c:v>43.883333333333326</c:v>
                </c:pt>
                <c:pt idx="5">
                  <c:v>47.349999999999994</c:v>
                </c:pt>
                <c:pt idx="6">
                  <c:v>46.324999999999996</c:v>
                </c:pt>
                <c:pt idx="7">
                  <c:v>49.408333333333331</c:v>
                </c:pt>
                <c:pt idx="8">
                  <c:v>46.091666666666669</c:v>
                </c:pt>
                <c:pt idx="9">
                  <c:v>51.658333333333331</c:v>
                </c:pt>
                <c:pt idx="10">
                  <c:v>48.116666666666667</c:v>
                </c:pt>
                <c:pt idx="11">
                  <c:v>44.274999999999999</c:v>
                </c:pt>
                <c:pt idx="12">
                  <c:v>49.908333333333331</c:v>
                </c:pt>
                <c:pt idx="13">
                  <c:v>49.774999999999999</c:v>
                </c:pt>
                <c:pt idx="14">
                  <c:v>49.633333333333333</c:v>
                </c:pt>
                <c:pt idx="15">
                  <c:v>52.625</c:v>
                </c:pt>
                <c:pt idx="16">
                  <c:v>49.099999999999994</c:v>
                </c:pt>
                <c:pt idx="17">
                  <c:v>46.800000000000004</c:v>
                </c:pt>
                <c:pt idx="18">
                  <c:v>44.208333333333336</c:v>
                </c:pt>
                <c:pt idx="19">
                  <c:v>49.925000000000004</c:v>
                </c:pt>
                <c:pt idx="20">
                  <c:v>41.991666666666667</c:v>
                </c:pt>
                <c:pt idx="21">
                  <c:v>47.933333333333337</c:v>
                </c:pt>
                <c:pt idx="22">
                  <c:v>49.224999999999994</c:v>
                </c:pt>
                <c:pt idx="23">
                  <c:v>45.208333333333336</c:v>
                </c:pt>
                <c:pt idx="24">
                  <c:v>45.800000000000004</c:v>
                </c:pt>
                <c:pt idx="25">
                  <c:v>48.941666666666663</c:v>
                </c:pt>
                <c:pt idx="26">
                  <c:v>44.166666666666664</c:v>
                </c:pt>
                <c:pt idx="27">
                  <c:v>48.766666666666659</c:v>
                </c:pt>
                <c:pt idx="28">
                  <c:v>46.35</c:v>
                </c:pt>
                <c:pt idx="29">
                  <c:v>48.824999999999996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A4-4BEF-950C-1BE8305E2BD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'DOY175'!$I$48:$I$81</c:f>
              <c:numCache>
                <c:formatCode>0.000</c:formatCode>
                <c:ptCount val="34"/>
                <c:pt idx="0">
                  <c:v>13.103999999999999</c:v>
                </c:pt>
                <c:pt idx="1">
                  <c:v>13.084</c:v>
                </c:pt>
                <c:pt idx="2">
                  <c:v>13.066000000000001</c:v>
                </c:pt>
                <c:pt idx="3">
                  <c:v>13.045999999999999</c:v>
                </c:pt>
                <c:pt idx="4">
                  <c:v>13.026999999999999</c:v>
                </c:pt>
                <c:pt idx="5">
                  <c:v>13.007</c:v>
                </c:pt>
                <c:pt idx="6">
                  <c:v>12.986000000000001</c:v>
                </c:pt>
                <c:pt idx="7">
                  <c:v>12.967000000000001</c:v>
                </c:pt>
                <c:pt idx="8">
                  <c:v>13.134</c:v>
                </c:pt>
                <c:pt idx="9">
                  <c:v>13.153</c:v>
                </c:pt>
                <c:pt idx="10">
                  <c:v>13.173999999999999</c:v>
                </c:pt>
                <c:pt idx="11">
                  <c:v>13.192</c:v>
                </c:pt>
                <c:pt idx="12">
                  <c:v>13.211</c:v>
                </c:pt>
                <c:pt idx="13">
                  <c:v>13.231</c:v>
                </c:pt>
                <c:pt idx="14">
                  <c:v>13.249000000000001</c:v>
                </c:pt>
                <c:pt idx="15">
                  <c:v>13.269</c:v>
                </c:pt>
                <c:pt idx="16">
                  <c:v>13.446</c:v>
                </c:pt>
                <c:pt idx="17">
                  <c:v>13.465</c:v>
                </c:pt>
                <c:pt idx="18">
                  <c:v>13.484</c:v>
                </c:pt>
                <c:pt idx="19">
                  <c:v>13.504</c:v>
                </c:pt>
                <c:pt idx="20">
                  <c:v>13.526</c:v>
                </c:pt>
                <c:pt idx="21">
                  <c:v>13.547000000000001</c:v>
                </c:pt>
                <c:pt idx="22">
                  <c:v>13.565</c:v>
                </c:pt>
                <c:pt idx="23">
                  <c:v>13.582000000000001</c:v>
                </c:pt>
                <c:pt idx="24">
                  <c:v>13.711</c:v>
                </c:pt>
                <c:pt idx="25">
                  <c:v>13.691000000000001</c:v>
                </c:pt>
                <c:pt idx="26">
                  <c:v>13.670999999999999</c:v>
                </c:pt>
                <c:pt idx="27">
                  <c:v>13.65</c:v>
                </c:pt>
                <c:pt idx="28">
                  <c:v>13.632</c:v>
                </c:pt>
                <c:pt idx="29">
                  <c:v>13.612</c:v>
                </c:pt>
                <c:pt idx="30">
                  <c:v>13.401</c:v>
                </c:pt>
                <c:pt idx="31">
                  <c:v>13.364000000000001</c:v>
                </c:pt>
                <c:pt idx="32">
                  <c:v>13.326000000000001</c:v>
                </c:pt>
                <c:pt idx="33">
                  <c:v>13.295999999999999</c:v>
                </c:pt>
              </c:numCache>
            </c:numRef>
          </c:xVal>
          <c:yVal>
            <c:numRef>
              <c:f>'DOY175'!$V$48:$V$81</c:f>
              <c:numCache>
                <c:formatCode>0.00</c:formatCode>
                <c:ptCount val="34"/>
                <c:pt idx="0">
                  <c:v>28.858333333333338</c:v>
                </c:pt>
                <c:pt idx="1">
                  <c:v>29.866666666666671</c:v>
                </c:pt>
                <c:pt idx="2">
                  <c:v>29.258333333333329</c:v>
                </c:pt>
                <c:pt idx="3">
                  <c:v>28.366666666666664</c:v>
                </c:pt>
                <c:pt idx="4">
                  <c:v>28.683333333333334</c:v>
                </c:pt>
                <c:pt idx="5">
                  <c:v>27.783333333333335</c:v>
                </c:pt>
                <c:pt idx="6">
                  <c:v>28.825000000000003</c:v>
                </c:pt>
                <c:pt idx="7">
                  <c:v>30.066666666666663</c:v>
                </c:pt>
                <c:pt idx="8">
                  <c:v>30.808333333333334</c:v>
                </c:pt>
                <c:pt idx="9">
                  <c:v>30.63333333333334</c:v>
                </c:pt>
                <c:pt idx="10">
                  <c:v>29.108333333333334</c:v>
                </c:pt>
                <c:pt idx="11">
                  <c:v>29.674999999999997</c:v>
                </c:pt>
                <c:pt idx="12">
                  <c:v>28.433333333333337</c:v>
                </c:pt>
                <c:pt idx="13">
                  <c:v>29.983333333333331</c:v>
                </c:pt>
                <c:pt idx="14">
                  <c:v>29.966666666666665</c:v>
                </c:pt>
                <c:pt idx="15">
                  <c:v>28.974999999999998</c:v>
                </c:pt>
                <c:pt idx="16">
                  <c:v>29.374999999999996</c:v>
                </c:pt>
                <c:pt idx="17">
                  <c:v>29.824999999999999</c:v>
                </c:pt>
                <c:pt idx="18">
                  <c:v>28.174999999999997</c:v>
                </c:pt>
                <c:pt idx="19">
                  <c:v>28.824999999999999</c:v>
                </c:pt>
                <c:pt idx="20">
                  <c:v>30.074999999999999</c:v>
                </c:pt>
                <c:pt idx="21">
                  <c:v>28.650000000000002</c:v>
                </c:pt>
                <c:pt idx="22">
                  <c:v>28.933333333333334</c:v>
                </c:pt>
                <c:pt idx="23">
                  <c:v>30.091666666666669</c:v>
                </c:pt>
                <c:pt idx="24">
                  <c:v>29.491666666666664</c:v>
                </c:pt>
                <c:pt idx="25">
                  <c:v>31.183333333333334</c:v>
                </c:pt>
                <c:pt idx="26">
                  <c:v>31.516666666666666</c:v>
                </c:pt>
                <c:pt idx="27">
                  <c:v>30.008333333333326</c:v>
                </c:pt>
                <c:pt idx="28">
                  <c:v>28.666666666666668</c:v>
                </c:pt>
                <c:pt idx="29">
                  <c:v>29.758333333333336</c:v>
                </c:pt>
                <c:pt idx="30">
                  <c:v>28.566666666666666</c:v>
                </c:pt>
                <c:pt idx="31">
                  <c:v>33.774999999999999</c:v>
                </c:pt>
                <c:pt idx="32">
                  <c:v>28.683333333333334</c:v>
                </c:pt>
                <c:pt idx="33">
                  <c:v>33.116666666666674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A4-4BEF-950C-1BE8305E2BD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('DOY175'!$I$21,'DOY175'!$I$30)</c:f>
              <c:numCache>
                <c:formatCode>0.000</c:formatCode>
                <c:ptCount val="2"/>
                <c:pt idx="0">
                  <c:v>13.186999999999999</c:v>
                </c:pt>
                <c:pt idx="1">
                  <c:v>13.52</c:v>
                </c:pt>
              </c:numCache>
            </c:numRef>
          </c:xVal>
          <c:yVal>
            <c:numRef>
              <c:f>('DOY175'!$V$21,'DOY175'!$V$30)</c:f>
              <c:numCache>
                <c:formatCode>0.00</c:formatCode>
                <c:ptCount val="2"/>
                <c:pt idx="0">
                  <c:v>44.274999999999999</c:v>
                </c:pt>
                <c:pt idx="1">
                  <c:v>41.991666666666667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A4-4BEF-950C-1BE8305E2BD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('DOY175'!$I$59,'DOY175'!$I$68)</c:f>
              <c:numCache>
                <c:formatCode>0.000</c:formatCode>
                <c:ptCount val="2"/>
                <c:pt idx="0">
                  <c:v>13.192</c:v>
                </c:pt>
                <c:pt idx="1">
                  <c:v>13.526</c:v>
                </c:pt>
              </c:numCache>
            </c:numRef>
          </c:xVal>
          <c:yVal>
            <c:numRef>
              <c:f>('DOY175'!$V$59,'DOY175'!$V$68)</c:f>
              <c:numCache>
                <c:formatCode>0.00</c:formatCode>
                <c:ptCount val="2"/>
                <c:pt idx="0">
                  <c:v>29.674999999999997</c:v>
                </c:pt>
                <c:pt idx="1">
                  <c:v>30.074999999999999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A4-4BEF-950C-1BE8305E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043887"/>
        <c:axId val="1"/>
      </c:scatterChart>
      <c:valAx>
        <c:axId val="1330043887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0043887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'DOY179'!$I$10:$I$39</c:f>
              <c:numCache>
                <c:formatCode>0.000</c:formatCode>
                <c:ptCount val="30"/>
                <c:pt idx="0">
                  <c:v>13.154</c:v>
                </c:pt>
                <c:pt idx="1">
                  <c:v>13.138</c:v>
                </c:pt>
                <c:pt idx="2">
                  <c:v>13.121</c:v>
                </c:pt>
                <c:pt idx="3">
                  <c:v>13.103</c:v>
                </c:pt>
                <c:pt idx="4">
                  <c:v>13.087999999999999</c:v>
                </c:pt>
                <c:pt idx="5">
                  <c:v>13.071999999999999</c:v>
                </c:pt>
                <c:pt idx="6">
                  <c:v>13.055999999999999</c:v>
                </c:pt>
                <c:pt idx="7">
                  <c:v>13.04</c:v>
                </c:pt>
                <c:pt idx="8">
                  <c:v>13.178000000000001</c:v>
                </c:pt>
                <c:pt idx="9">
                  <c:v>13.193</c:v>
                </c:pt>
                <c:pt idx="10">
                  <c:v>13.209</c:v>
                </c:pt>
                <c:pt idx="11">
                  <c:v>13.224</c:v>
                </c:pt>
                <c:pt idx="12">
                  <c:v>13.24</c:v>
                </c:pt>
                <c:pt idx="13">
                  <c:v>13.254</c:v>
                </c:pt>
                <c:pt idx="14">
                  <c:v>13.271000000000001</c:v>
                </c:pt>
                <c:pt idx="15">
                  <c:v>13.286</c:v>
                </c:pt>
                <c:pt idx="16">
                  <c:v>13.412000000000001</c:v>
                </c:pt>
                <c:pt idx="17">
                  <c:v>13.429</c:v>
                </c:pt>
                <c:pt idx="18">
                  <c:v>13.445</c:v>
                </c:pt>
                <c:pt idx="19">
                  <c:v>13.462999999999999</c:v>
                </c:pt>
                <c:pt idx="20">
                  <c:v>13.48</c:v>
                </c:pt>
                <c:pt idx="21">
                  <c:v>13.496</c:v>
                </c:pt>
                <c:pt idx="22">
                  <c:v>13.513</c:v>
                </c:pt>
                <c:pt idx="23">
                  <c:v>13.53</c:v>
                </c:pt>
                <c:pt idx="24">
                  <c:v>13.64</c:v>
                </c:pt>
                <c:pt idx="25">
                  <c:v>13.622999999999999</c:v>
                </c:pt>
                <c:pt idx="26">
                  <c:v>13.606999999999999</c:v>
                </c:pt>
                <c:pt idx="27">
                  <c:v>13.59</c:v>
                </c:pt>
                <c:pt idx="28">
                  <c:v>13.573</c:v>
                </c:pt>
                <c:pt idx="29">
                  <c:v>13.555</c:v>
                </c:pt>
              </c:numCache>
            </c:numRef>
          </c:xVal>
          <c:yVal>
            <c:numRef>
              <c:f>'DOY179'!$V$10:$V$39</c:f>
              <c:numCache>
                <c:formatCode>0.00</c:formatCode>
                <c:ptCount val="30"/>
                <c:pt idx="0">
                  <c:v>36.06666666666667</c:v>
                </c:pt>
                <c:pt idx="1">
                  <c:v>35.958333333333336</c:v>
                </c:pt>
                <c:pt idx="2">
                  <c:v>35.016666666666666</c:v>
                </c:pt>
                <c:pt idx="3">
                  <c:v>51.958333333333321</c:v>
                </c:pt>
                <c:pt idx="4">
                  <c:v>35.549999999999997</c:v>
                </c:pt>
                <c:pt idx="5">
                  <c:v>50.499999999999993</c:v>
                </c:pt>
                <c:pt idx="6">
                  <c:v>48.541666666666679</c:v>
                </c:pt>
                <c:pt idx="7">
                  <c:v>35.883333333333326</c:v>
                </c:pt>
                <c:pt idx="8">
                  <c:v>34.233333333333341</c:v>
                </c:pt>
                <c:pt idx="9">
                  <c:v>53.550000000000004</c:v>
                </c:pt>
                <c:pt idx="10">
                  <c:v>36.033333333333331</c:v>
                </c:pt>
                <c:pt idx="11">
                  <c:v>34.733333333333334</c:v>
                </c:pt>
                <c:pt idx="12">
                  <c:v>36.841666666666669</c:v>
                </c:pt>
                <c:pt idx="13">
                  <c:v>52.133333333333333</c:v>
                </c:pt>
                <c:pt idx="14">
                  <c:v>34.875</c:v>
                </c:pt>
                <c:pt idx="15">
                  <c:v>36.533333333333331</c:v>
                </c:pt>
                <c:pt idx="16">
                  <c:v>52.050000000000004</c:v>
                </c:pt>
                <c:pt idx="17">
                  <c:v>35.175000000000004</c:v>
                </c:pt>
                <c:pt idx="18">
                  <c:v>47.658333333333331</c:v>
                </c:pt>
                <c:pt idx="19">
                  <c:v>35.483333333333334</c:v>
                </c:pt>
                <c:pt idx="20">
                  <c:v>33.791666666666664</c:v>
                </c:pt>
                <c:pt idx="21">
                  <c:v>34.958333333333336</c:v>
                </c:pt>
                <c:pt idx="22">
                  <c:v>50.550000000000004</c:v>
                </c:pt>
                <c:pt idx="23">
                  <c:v>33.625</c:v>
                </c:pt>
                <c:pt idx="24">
                  <c:v>34.266666666666673</c:v>
                </c:pt>
                <c:pt idx="25">
                  <c:v>35.80833333333333</c:v>
                </c:pt>
                <c:pt idx="26">
                  <c:v>34.675000000000004</c:v>
                </c:pt>
                <c:pt idx="27">
                  <c:v>34.300000000000004</c:v>
                </c:pt>
                <c:pt idx="28">
                  <c:v>46.841666666666669</c:v>
                </c:pt>
                <c:pt idx="29">
                  <c:v>50.750000000000007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22-4A77-8D79-B9A6E890EFEA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'DOY179'!$I$48:$I$81</c:f>
              <c:numCache>
                <c:formatCode>0.000</c:formatCode>
                <c:ptCount val="34"/>
                <c:pt idx="0">
                  <c:v>13.159000000000001</c:v>
                </c:pt>
                <c:pt idx="1">
                  <c:v>13.141999999999999</c:v>
                </c:pt>
                <c:pt idx="2">
                  <c:v>13.125999999999999</c:v>
                </c:pt>
                <c:pt idx="3">
                  <c:v>13.108000000000001</c:v>
                </c:pt>
                <c:pt idx="4">
                  <c:v>13.093</c:v>
                </c:pt>
                <c:pt idx="5">
                  <c:v>13.077</c:v>
                </c:pt>
                <c:pt idx="6">
                  <c:v>13.061</c:v>
                </c:pt>
                <c:pt idx="7">
                  <c:v>13.045999999999999</c:v>
                </c:pt>
                <c:pt idx="8">
                  <c:v>13.183</c:v>
                </c:pt>
                <c:pt idx="9">
                  <c:v>13.198</c:v>
                </c:pt>
                <c:pt idx="10">
                  <c:v>13.214</c:v>
                </c:pt>
                <c:pt idx="11">
                  <c:v>13.228999999999999</c:v>
                </c:pt>
                <c:pt idx="12">
                  <c:v>13.244</c:v>
                </c:pt>
                <c:pt idx="13">
                  <c:v>13.259</c:v>
                </c:pt>
                <c:pt idx="14">
                  <c:v>13.275</c:v>
                </c:pt>
                <c:pt idx="15">
                  <c:v>13.291</c:v>
                </c:pt>
                <c:pt idx="16">
                  <c:v>13.417</c:v>
                </c:pt>
                <c:pt idx="17">
                  <c:v>13.433999999999999</c:v>
                </c:pt>
                <c:pt idx="18">
                  <c:v>13.451000000000001</c:v>
                </c:pt>
                <c:pt idx="19">
                  <c:v>13.468</c:v>
                </c:pt>
                <c:pt idx="20">
                  <c:v>13.484</c:v>
                </c:pt>
                <c:pt idx="21">
                  <c:v>13.500999999999999</c:v>
                </c:pt>
                <c:pt idx="22">
                  <c:v>13.518000000000001</c:v>
                </c:pt>
                <c:pt idx="23">
                  <c:v>13.536</c:v>
                </c:pt>
                <c:pt idx="24">
                  <c:v>13.645</c:v>
                </c:pt>
                <c:pt idx="25">
                  <c:v>13.628</c:v>
                </c:pt>
                <c:pt idx="26">
                  <c:v>13.612</c:v>
                </c:pt>
                <c:pt idx="27">
                  <c:v>13.595000000000001</c:v>
                </c:pt>
                <c:pt idx="28">
                  <c:v>13.577</c:v>
                </c:pt>
                <c:pt idx="29">
                  <c:v>13.56</c:v>
                </c:pt>
                <c:pt idx="30">
                  <c:v>13.384</c:v>
                </c:pt>
                <c:pt idx="31">
                  <c:v>13.359</c:v>
                </c:pt>
                <c:pt idx="32">
                  <c:v>13.336</c:v>
                </c:pt>
                <c:pt idx="33">
                  <c:v>13.313000000000001</c:v>
                </c:pt>
              </c:numCache>
            </c:numRef>
          </c:xVal>
          <c:yVal>
            <c:numRef>
              <c:f>'DOY179'!$V$48:$V$81</c:f>
              <c:numCache>
                <c:formatCode>0.00</c:formatCode>
                <c:ptCount val="34"/>
                <c:pt idx="0">
                  <c:v>30.574999999999999</c:v>
                </c:pt>
                <c:pt idx="1">
                  <c:v>30.200000000000003</c:v>
                </c:pt>
                <c:pt idx="2">
                  <c:v>29.608333333333334</c:v>
                </c:pt>
                <c:pt idx="3">
                  <c:v>33.541666666666664</c:v>
                </c:pt>
                <c:pt idx="4">
                  <c:v>30.766666666666666</c:v>
                </c:pt>
                <c:pt idx="5">
                  <c:v>30.683333333333334</c:v>
                </c:pt>
                <c:pt idx="6">
                  <c:v>31.016666666666676</c:v>
                </c:pt>
                <c:pt idx="7">
                  <c:v>30.599999999999998</c:v>
                </c:pt>
                <c:pt idx="8">
                  <c:v>29.158333333333331</c:v>
                </c:pt>
                <c:pt idx="9">
                  <c:v>32.924999999999997</c:v>
                </c:pt>
                <c:pt idx="10">
                  <c:v>30.525000000000006</c:v>
                </c:pt>
                <c:pt idx="11">
                  <c:v>29.141666666666666</c:v>
                </c:pt>
                <c:pt idx="12">
                  <c:v>30.591666666666669</c:v>
                </c:pt>
                <c:pt idx="13">
                  <c:v>29.766666666666669</c:v>
                </c:pt>
                <c:pt idx="14">
                  <c:v>27.566666666666663</c:v>
                </c:pt>
                <c:pt idx="15">
                  <c:v>29.033333333333331</c:v>
                </c:pt>
                <c:pt idx="16">
                  <c:v>32.29999999999999</c:v>
                </c:pt>
                <c:pt idx="17">
                  <c:v>27.891666666666666</c:v>
                </c:pt>
                <c:pt idx="18">
                  <c:v>30.316666666666666</c:v>
                </c:pt>
                <c:pt idx="19">
                  <c:v>27.808333333333337</c:v>
                </c:pt>
                <c:pt idx="20">
                  <c:v>28.358333333333334</c:v>
                </c:pt>
                <c:pt idx="21">
                  <c:v>29.358333333333334</c:v>
                </c:pt>
                <c:pt idx="22">
                  <c:v>31.391666666666666</c:v>
                </c:pt>
                <c:pt idx="23">
                  <c:v>29.149999999999995</c:v>
                </c:pt>
                <c:pt idx="24">
                  <c:v>31.183333333333337</c:v>
                </c:pt>
                <c:pt idx="25">
                  <c:v>29.916666666666668</c:v>
                </c:pt>
                <c:pt idx="26">
                  <c:v>29.166666666666671</c:v>
                </c:pt>
                <c:pt idx="27">
                  <c:v>28.716666666666669</c:v>
                </c:pt>
                <c:pt idx="28">
                  <c:v>29.325000000000003</c:v>
                </c:pt>
                <c:pt idx="29">
                  <c:v>32.274999999999999</c:v>
                </c:pt>
                <c:pt idx="30">
                  <c:v>30.824999999999999</c:v>
                </c:pt>
                <c:pt idx="31">
                  <c:v>31.625</c:v>
                </c:pt>
                <c:pt idx="32">
                  <c:v>29.516666666666666</c:v>
                </c:pt>
                <c:pt idx="33">
                  <c:v>31.175000000000001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22-4A77-8D79-B9A6E890EFEA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('DOY179'!$I$21,'DOY179'!$I$30)</c:f>
              <c:numCache>
                <c:formatCode>0.000</c:formatCode>
                <c:ptCount val="2"/>
                <c:pt idx="0">
                  <c:v>13.224</c:v>
                </c:pt>
                <c:pt idx="1">
                  <c:v>13.48</c:v>
                </c:pt>
              </c:numCache>
            </c:numRef>
          </c:xVal>
          <c:yVal>
            <c:numRef>
              <c:f>('DOY179'!$V$21,'DOY179'!$V$30)</c:f>
              <c:numCache>
                <c:formatCode>0.00</c:formatCode>
                <c:ptCount val="2"/>
                <c:pt idx="0">
                  <c:v>34.733333333333334</c:v>
                </c:pt>
                <c:pt idx="1">
                  <c:v>33.791666666666664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22-4A77-8D79-B9A6E890EFEA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('DOY179'!$I$59,'DOY179'!$I$68)</c:f>
              <c:numCache>
                <c:formatCode>0.000</c:formatCode>
                <c:ptCount val="2"/>
                <c:pt idx="0">
                  <c:v>13.228999999999999</c:v>
                </c:pt>
                <c:pt idx="1">
                  <c:v>13.484</c:v>
                </c:pt>
              </c:numCache>
            </c:numRef>
          </c:xVal>
          <c:yVal>
            <c:numRef>
              <c:f>('DOY179'!$V$59,'DOY179'!$V$68)</c:f>
              <c:numCache>
                <c:formatCode>0.00</c:formatCode>
                <c:ptCount val="2"/>
                <c:pt idx="0">
                  <c:v>29.141666666666666</c:v>
                </c:pt>
                <c:pt idx="1">
                  <c:v>28.358333333333334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22-4A77-8D79-B9A6E890E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458223"/>
        <c:axId val="1"/>
      </c:scatterChart>
      <c:valAx>
        <c:axId val="200445822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4458223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596480284178113E-2"/>
          <c:y val="6.8785367866176755E-2"/>
          <c:w val="0.73858564294050322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'DOY180'!$I$10:$I$39</c:f>
              <c:numCache>
                <c:formatCode>0.000</c:formatCode>
                <c:ptCount val="30"/>
                <c:pt idx="0">
                  <c:v>13.27</c:v>
                </c:pt>
                <c:pt idx="1">
                  <c:v>13.247999999999999</c:v>
                </c:pt>
                <c:pt idx="2">
                  <c:v>13.212</c:v>
                </c:pt>
                <c:pt idx="3">
                  <c:v>13.180999999999999</c:v>
                </c:pt>
                <c:pt idx="4">
                  <c:v>13.16</c:v>
                </c:pt>
                <c:pt idx="5">
                  <c:v>13.141</c:v>
                </c:pt>
                <c:pt idx="6">
                  <c:v>13.122</c:v>
                </c:pt>
                <c:pt idx="7">
                  <c:v>13.103</c:v>
                </c:pt>
                <c:pt idx="8">
                  <c:v>13.3</c:v>
                </c:pt>
                <c:pt idx="9">
                  <c:v>13.32</c:v>
                </c:pt>
                <c:pt idx="10">
                  <c:v>13.340999999999999</c:v>
                </c:pt>
                <c:pt idx="11">
                  <c:v>13.363</c:v>
                </c:pt>
                <c:pt idx="12">
                  <c:v>13.385</c:v>
                </c:pt>
                <c:pt idx="13">
                  <c:v>13.413</c:v>
                </c:pt>
                <c:pt idx="14">
                  <c:v>13.436</c:v>
                </c:pt>
                <c:pt idx="15">
                  <c:v>13.46</c:v>
                </c:pt>
                <c:pt idx="16">
                  <c:v>13.651999999999999</c:v>
                </c:pt>
                <c:pt idx="17">
                  <c:v>13.672000000000001</c:v>
                </c:pt>
                <c:pt idx="18">
                  <c:v>13.701000000000001</c:v>
                </c:pt>
                <c:pt idx="19">
                  <c:v>13.722</c:v>
                </c:pt>
                <c:pt idx="20">
                  <c:v>13.74</c:v>
                </c:pt>
                <c:pt idx="21">
                  <c:v>13.76</c:v>
                </c:pt>
                <c:pt idx="22">
                  <c:v>13.776999999999999</c:v>
                </c:pt>
                <c:pt idx="23">
                  <c:v>13.795999999999999</c:v>
                </c:pt>
                <c:pt idx="24">
                  <c:v>13.936</c:v>
                </c:pt>
                <c:pt idx="25">
                  <c:v>13.91</c:v>
                </c:pt>
                <c:pt idx="26">
                  <c:v>13.885999999999999</c:v>
                </c:pt>
                <c:pt idx="27">
                  <c:v>13.866</c:v>
                </c:pt>
                <c:pt idx="28">
                  <c:v>13.842000000000001</c:v>
                </c:pt>
                <c:pt idx="29">
                  <c:v>13.821</c:v>
                </c:pt>
              </c:numCache>
            </c:numRef>
          </c:xVal>
          <c:yVal>
            <c:numRef>
              <c:f>'DOY180'!$V$10:$V$39</c:f>
              <c:numCache>
                <c:formatCode>0.00</c:formatCode>
                <c:ptCount val="30"/>
                <c:pt idx="0">
                  <c:v>34.083333333333336</c:v>
                </c:pt>
                <c:pt idx="1">
                  <c:v>33.916666666666671</c:v>
                </c:pt>
                <c:pt idx="2">
                  <c:v>32.958333333333336</c:v>
                </c:pt>
                <c:pt idx="3">
                  <c:v>50.1</c:v>
                </c:pt>
                <c:pt idx="4">
                  <c:v>32.758333333333333</c:v>
                </c:pt>
                <c:pt idx="5">
                  <c:v>48.391666666666673</c:v>
                </c:pt>
                <c:pt idx="6">
                  <c:v>48.116666666666667</c:v>
                </c:pt>
                <c:pt idx="7">
                  <c:v>34.341666666666676</c:v>
                </c:pt>
                <c:pt idx="8">
                  <c:v>33.983333333333334</c:v>
                </c:pt>
                <c:pt idx="9">
                  <c:v>52.649999999999984</c:v>
                </c:pt>
                <c:pt idx="10">
                  <c:v>34.158333333333331</c:v>
                </c:pt>
                <c:pt idx="11">
                  <c:v>31.758333333333329</c:v>
                </c:pt>
                <c:pt idx="12">
                  <c:v>33.833333333333336</c:v>
                </c:pt>
                <c:pt idx="13">
                  <c:v>50.166666666666664</c:v>
                </c:pt>
                <c:pt idx="14">
                  <c:v>35.133333333333333</c:v>
                </c:pt>
                <c:pt idx="15">
                  <c:v>36.125000000000007</c:v>
                </c:pt>
                <c:pt idx="16">
                  <c:v>53.858333333333348</c:v>
                </c:pt>
                <c:pt idx="17">
                  <c:v>33.858333333333327</c:v>
                </c:pt>
                <c:pt idx="18">
                  <c:v>47.550000000000011</c:v>
                </c:pt>
                <c:pt idx="19">
                  <c:v>33.491666666666667</c:v>
                </c:pt>
                <c:pt idx="20">
                  <c:v>31.591666666666665</c:v>
                </c:pt>
                <c:pt idx="21">
                  <c:v>33.966666666666661</c:v>
                </c:pt>
                <c:pt idx="22">
                  <c:v>50.441666666666663</c:v>
                </c:pt>
                <c:pt idx="23">
                  <c:v>32.275000000000006</c:v>
                </c:pt>
                <c:pt idx="24">
                  <c:v>33.783333333333339</c:v>
                </c:pt>
                <c:pt idx="25">
                  <c:v>34.916666666666664</c:v>
                </c:pt>
                <c:pt idx="26">
                  <c:v>33.800000000000004</c:v>
                </c:pt>
                <c:pt idx="27">
                  <c:v>33.491666666666667</c:v>
                </c:pt>
                <c:pt idx="28">
                  <c:v>45.841666666666669</c:v>
                </c:pt>
                <c:pt idx="29">
                  <c:v>50.783333333333331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04-4048-85B6-4AAD55D16C4B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'DOY180'!$I$48:$I$81</c:f>
              <c:numCache>
                <c:formatCode>0.000</c:formatCode>
                <c:ptCount val="34"/>
                <c:pt idx="0">
                  <c:v>13.276999999999999</c:v>
                </c:pt>
                <c:pt idx="1">
                  <c:v>13.254</c:v>
                </c:pt>
                <c:pt idx="2">
                  <c:v>13.215999999999999</c:v>
                </c:pt>
                <c:pt idx="3">
                  <c:v>13.193</c:v>
                </c:pt>
                <c:pt idx="4">
                  <c:v>13.166</c:v>
                </c:pt>
                <c:pt idx="5">
                  <c:v>13.146000000000001</c:v>
                </c:pt>
                <c:pt idx="6">
                  <c:v>13.127000000000001</c:v>
                </c:pt>
                <c:pt idx="7">
                  <c:v>13.11</c:v>
                </c:pt>
                <c:pt idx="8">
                  <c:v>13.305</c:v>
                </c:pt>
                <c:pt idx="9">
                  <c:v>13.326000000000001</c:v>
                </c:pt>
                <c:pt idx="10">
                  <c:v>13.347</c:v>
                </c:pt>
                <c:pt idx="11">
                  <c:v>13.369</c:v>
                </c:pt>
                <c:pt idx="12">
                  <c:v>13.39</c:v>
                </c:pt>
                <c:pt idx="13">
                  <c:v>13.419</c:v>
                </c:pt>
                <c:pt idx="14">
                  <c:v>13.442</c:v>
                </c:pt>
                <c:pt idx="15">
                  <c:v>13.465</c:v>
                </c:pt>
                <c:pt idx="16">
                  <c:v>13.657</c:v>
                </c:pt>
                <c:pt idx="17">
                  <c:v>13.680999999999999</c:v>
                </c:pt>
                <c:pt idx="18">
                  <c:v>13.706</c:v>
                </c:pt>
                <c:pt idx="19">
                  <c:v>13.727</c:v>
                </c:pt>
                <c:pt idx="20">
                  <c:v>13.746</c:v>
                </c:pt>
                <c:pt idx="21">
                  <c:v>13.765000000000001</c:v>
                </c:pt>
                <c:pt idx="22">
                  <c:v>13.782</c:v>
                </c:pt>
                <c:pt idx="23">
                  <c:v>13.801</c:v>
                </c:pt>
                <c:pt idx="24">
                  <c:v>13.942</c:v>
                </c:pt>
                <c:pt idx="25">
                  <c:v>13.916</c:v>
                </c:pt>
                <c:pt idx="26">
                  <c:v>13.893000000000001</c:v>
                </c:pt>
                <c:pt idx="27">
                  <c:v>13.871</c:v>
                </c:pt>
                <c:pt idx="28">
                  <c:v>13.848000000000001</c:v>
                </c:pt>
                <c:pt idx="29">
                  <c:v>13.824999999999999</c:v>
                </c:pt>
                <c:pt idx="30">
                  <c:v>13.617000000000001</c:v>
                </c:pt>
                <c:pt idx="31">
                  <c:v>13.58</c:v>
                </c:pt>
                <c:pt idx="32">
                  <c:v>13.547000000000001</c:v>
                </c:pt>
                <c:pt idx="33">
                  <c:v>13.510999999999999</c:v>
                </c:pt>
              </c:numCache>
            </c:numRef>
          </c:xVal>
          <c:yVal>
            <c:numRef>
              <c:f>'DOY180'!$V$48:$V$81</c:f>
              <c:numCache>
                <c:formatCode>0.00</c:formatCode>
                <c:ptCount val="34"/>
                <c:pt idx="0">
                  <c:v>28.891666666666666</c:v>
                </c:pt>
                <c:pt idx="1">
                  <c:v>28.300000000000008</c:v>
                </c:pt>
                <c:pt idx="2">
                  <c:v>27.241666666666671</c:v>
                </c:pt>
                <c:pt idx="3">
                  <c:v>34.983333333333327</c:v>
                </c:pt>
                <c:pt idx="4">
                  <c:v>28.249999999999996</c:v>
                </c:pt>
                <c:pt idx="5">
                  <c:v>31.966666666666669</c:v>
                </c:pt>
                <c:pt idx="6">
                  <c:v>31.566666666666674</c:v>
                </c:pt>
                <c:pt idx="7">
                  <c:v>28.8</c:v>
                </c:pt>
                <c:pt idx="8">
                  <c:v>29.275000000000002</c:v>
                </c:pt>
                <c:pt idx="9">
                  <c:v>34.4</c:v>
                </c:pt>
                <c:pt idx="10">
                  <c:v>27.55</c:v>
                </c:pt>
                <c:pt idx="11">
                  <c:v>28.583333333333332</c:v>
                </c:pt>
                <c:pt idx="12">
                  <c:v>28.099999999999998</c:v>
                </c:pt>
                <c:pt idx="13">
                  <c:v>31.775000000000002</c:v>
                </c:pt>
                <c:pt idx="14">
                  <c:v>30.741666666666664</c:v>
                </c:pt>
                <c:pt idx="15">
                  <c:v>30.683333333333337</c:v>
                </c:pt>
                <c:pt idx="16">
                  <c:v>33.85</c:v>
                </c:pt>
                <c:pt idx="17">
                  <c:v>28.408333333333328</c:v>
                </c:pt>
                <c:pt idx="18">
                  <c:v>29.283333333333335</c:v>
                </c:pt>
                <c:pt idx="19">
                  <c:v>27.741666666666671</c:v>
                </c:pt>
                <c:pt idx="20">
                  <c:v>27.825000000000003</c:v>
                </c:pt>
                <c:pt idx="21">
                  <c:v>28.025000000000002</c:v>
                </c:pt>
                <c:pt idx="22">
                  <c:v>31.991666666666664</c:v>
                </c:pt>
                <c:pt idx="23">
                  <c:v>28.316666666666666</c:v>
                </c:pt>
                <c:pt idx="24">
                  <c:v>29.291666666666671</c:v>
                </c:pt>
                <c:pt idx="25">
                  <c:v>26.791666666666668</c:v>
                </c:pt>
                <c:pt idx="26">
                  <c:v>29.625000000000004</c:v>
                </c:pt>
                <c:pt idx="27">
                  <c:v>29.100000000000005</c:v>
                </c:pt>
                <c:pt idx="28">
                  <c:v>28.083333333333339</c:v>
                </c:pt>
                <c:pt idx="29">
                  <c:v>31.833333333333332</c:v>
                </c:pt>
                <c:pt idx="30">
                  <c:v>30.941666666666663</c:v>
                </c:pt>
                <c:pt idx="31">
                  <c:v>32.133333333333333</c:v>
                </c:pt>
                <c:pt idx="32">
                  <c:v>29.691666666666666</c:v>
                </c:pt>
                <c:pt idx="33">
                  <c:v>32.958333333333336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04-4048-85B6-4AAD55D16C4B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('DOY180'!$I$21,'DOY180'!$I$30)</c:f>
              <c:numCache>
                <c:formatCode>0.000</c:formatCode>
                <c:ptCount val="2"/>
                <c:pt idx="0">
                  <c:v>13.363</c:v>
                </c:pt>
                <c:pt idx="1">
                  <c:v>13.74</c:v>
                </c:pt>
              </c:numCache>
            </c:numRef>
          </c:xVal>
          <c:yVal>
            <c:numRef>
              <c:f>('DOY180'!$V$21,'DOY180'!$V$30)</c:f>
              <c:numCache>
                <c:formatCode>0.00</c:formatCode>
                <c:ptCount val="2"/>
                <c:pt idx="0">
                  <c:v>31.758333333333329</c:v>
                </c:pt>
                <c:pt idx="1">
                  <c:v>31.591666666666665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04-4048-85B6-4AAD55D16C4B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('DOY180'!$I$59,'DOY180'!$I$68)</c:f>
              <c:numCache>
                <c:formatCode>0.000</c:formatCode>
                <c:ptCount val="2"/>
                <c:pt idx="0">
                  <c:v>13.369</c:v>
                </c:pt>
                <c:pt idx="1">
                  <c:v>13.746</c:v>
                </c:pt>
              </c:numCache>
            </c:numRef>
          </c:xVal>
          <c:yVal>
            <c:numRef>
              <c:f>('DOY180'!$V$59,'DOY180'!$V$68)</c:f>
              <c:numCache>
                <c:formatCode>0.00</c:formatCode>
                <c:ptCount val="2"/>
                <c:pt idx="0">
                  <c:v>28.583333333333332</c:v>
                </c:pt>
                <c:pt idx="1">
                  <c:v>27.825000000000003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04-4048-85B6-4AAD55D1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765840"/>
        <c:axId val="1"/>
      </c:scatterChart>
      <c:valAx>
        <c:axId val="993765840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3765840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009182879153909"/>
          <c:y val="0.30688856432601935"/>
          <c:w val="0.15948220962609097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'DOY185'!$I$10:$I$39</c:f>
              <c:numCache>
                <c:formatCode>0.000</c:formatCode>
                <c:ptCount val="30"/>
                <c:pt idx="0">
                  <c:v>13.25</c:v>
                </c:pt>
                <c:pt idx="1">
                  <c:v>13.233000000000001</c:v>
                </c:pt>
                <c:pt idx="2">
                  <c:v>13.217000000000001</c:v>
                </c:pt>
                <c:pt idx="3">
                  <c:v>13.2</c:v>
                </c:pt>
                <c:pt idx="4">
                  <c:v>13.183</c:v>
                </c:pt>
                <c:pt idx="5">
                  <c:v>13.166</c:v>
                </c:pt>
                <c:pt idx="6">
                  <c:v>13.147</c:v>
                </c:pt>
                <c:pt idx="7">
                  <c:v>13.129</c:v>
                </c:pt>
                <c:pt idx="8">
                  <c:v>13.278</c:v>
                </c:pt>
                <c:pt idx="9">
                  <c:v>13.295999999999999</c:v>
                </c:pt>
                <c:pt idx="10">
                  <c:v>13.316000000000001</c:v>
                </c:pt>
                <c:pt idx="11">
                  <c:v>13.333</c:v>
                </c:pt>
                <c:pt idx="12">
                  <c:v>13.352</c:v>
                </c:pt>
                <c:pt idx="13">
                  <c:v>13.382</c:v>
                </c:pt>
                <c:pt idx="14">
                  <c:v>13.401999999999999</c:v>
                </c:pt>
                <c:pt idx="15">
                  <c:v>13.420999999999999</c:v>
                </c:pt>
                <c:pt idx="16">
                  <c:v>13.596</c:v>
                </c:pt>
                <c:pt idx="17">
                  <c:v>13.616</c:v>
                </c:pt>
                <c:pt idx="18">
                  <c:v>13.638999999999999</c:v>
                </c:pt>
                <c:pt idx="19">
                  <c:v>13.67</c:v>
                </c:pt>
                <c:pt idx="20">
                  <c:v>13.693</c:v>
                </c:pt>
                <c:pt idx="21">
                  <c:v>13.712</c:v>
                </c:pt>
                <c:pt idx="22">
                  <c:v>13.731999999999999</c:v>
                </c:pt>
                <c:pt idx="23">
                  <c:v>13.753</c:v>
                </c:pt>
                <c:pt idx="24">
                  <c:v>13.898</c:v>
                </c:pt>
                <c:pt idx="25">
                  <c:v>13.875999999999999</c:v>
                </c:pt>
                <c:pt idx="26">
                  <c:v>13.851000000000001</c:v>
                </c:pt>
                <c:pt idx="27">
                  <c:v>13.83</c:v>
                </c:pt>
                <c:pt idx="28">
                  <c:v>13.805999999999999</c:v>
                </c:pt>
                <c:pt idx="29">
                  <c:v>13.785</c:v>
                </c:pt>
              </c:numCache>
            </c:numRef>
          </c:xVal>
          <c:yVal>
            <c:numRef>
              <c:f>'DOY185'!$V$10:$V$39</c:f>
              <c:numCache>
                <c:formatCode>0.00</c:formatCode>
                <c:ptCount val="30"/>
                <c:pt idx="0">
                  <c:v>41.791666666666664</c:v>
                </c:pt>
                <c:pt idx="1">
                  <c:v>44.225000000000001</c:v>
                </c:pt>
                <c:pt idx="2">
                  <c:v>36.516666666666666</c:v>
                </c:pt>
                <c:pt idx="3">
                  <c:v>43.016666666666659</c:v>
                </c:pt>
                <c:pt idx="4">
                  <c:v>36.666666666666664</c:v>
                </c:pt>
                <c:pt idx="5">
                  <c:v>39.475000000000001</c:v>
                </c:pt>
                <c:pt idx="6">
                  <c:v>39.733333333333327</c:v>
                </c:pt>
                <c:pt idx="7">
                  <c:v>43.416666666666664</c:v>
                </c:pt>
                <c:pt idx="8">
                  <c:v>36.358333333333334</c:v>
                </c:pt>
                <c:pt idx="9">
                  <c:v>45.116666666666667</c:v>
                </c:pt>
                <c:pt idx="10">
                  <c:v>42.191666666666663</c:v>
                </c:pt>
                <c:pt idx="11">
                  <c:v>36.333333333333329</c:v>
                </c:pt>
                <c:pt idx="12">
                  <c:v>42.158333333333331</c:v>
                </c:pt>
                <c:pt idx="13">
                  <c:v>36.383333333333333</c:v>
                </c:pt>
                <c:pt idx="14">
                  <c:v>38.81666666666667</c:v>
                </c:pt>
                <c:pt idx="15">
                  <c:v>43.783333333333339</c:v>
                </c:pt>
                <c:pt idx="16">
                  <c:v>43.374999999999993</c:v>
                </c:pt>
                <c:pt idx="17">
                  <c:v>43.324999999999996</c:v>
                </c:pt>
                <c:pt idx="18">
                  <c:v>32.158333333333331</c:v>
                </c:pt>
                <c:pt idx="19">
                  <c:v>40.258333333333333</c:v>
                </c:pt>
                <c:pt idx="20">
                  <c:v>34.866666666666667</c:v>
                </c:pt>
                <c:pt idx="21">
                  <c:v>43.241666666666667</c:v>
                </c:pt>
                <c:pt idx="22">
                  <c:v>44.75</c:v>
                </c:pt>
                <c:pt idx="23">
                  <c:v>40.891666666666666</c:v>
                </c:pt>
                <c:pt idx="24">
                  <c:v>39.633333333333333</c:v>
                </c:pt>
                <c:pt idx="25">
                  <c:v>40.833333333333336</c:v>
                </c:pt>
                <c:pt idx="26">
                  <c:v>39.9</c:v>
                </c:pt>
                <c:pt idx="27">
                  <c:v>41.916666666666671</c:v>
                </c:pt>
                <c:pt idx="28">
                  <c:v>37.258333333333333</c:v>
                </c:pt>
                <c:pt idx="29">
                  <c:v>44.041666666666664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E-408E-AC20-A9FD12B5D74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'DOY185'!$I$48:$I$81</c:f>
              <c:numCache>
                <c:formatCode>0.000</c:formatCode>
                <c:ptCount val="34"/>
                <c:pt idx="0">
                  <c:v>13.256</c:v>
                </c:pt>
                <c:pt idx="1">
                  <c:v>13.239000000000001</c:v>
                </c:pt>
                <c:pt idx="2">
                  <c:v>13.222</c:v>
                </c:pt>
                <c:pt idx="3">
                  <c:v>13.205</c:v>
                </c:pt>
                <c:pt idx="4">
                  <c:v>13.189</c:v>
                </c:pt>
                <c:pt idx="5">
                  <c:v>13.170999999999999</c:v>
                </c:pt>
                <c:pt idx="6">
                  <c:v>13.153</c:v>
                </c:pt>
                <c:pt idx="7">
                  <c:v>13.135</c:v>
                </c:pt>
                <c:pt idx="8">
                  <c:v>13.282999999999999</c:v>
                </c:pt>
                <c:pt idx="9">
                  <c:v>13.301</c:v>
                </c:pt>
                <c:pt idx="10">
                  <c:v>13.321</c:v>
                </c:pt>
                <c:pt idx="11">
                  <c:v>13.337999999999999</c:v>
                </c:pt>
                <c:pt idx="12">
                  <c:v>13.358000000000001</c:v>
                </c:pt>
                <c:pt idx="13">
                  <c:v>13.388</c:v>
                </c:pt>
                <c:pt idx="14">
                  <c:v>13.407</c:v>
                </c:pt>
                <c:pt idx="15">
                  <c:v>13.426</c:v>
                </c:pt>
                <c:pt idx="16">
                  <c:v>13.602</c:v>
                </c:pt>
                <c:pt idx="17">
                  <c:v>13.621</c:v>
                </c:pt>
                <c:pt idx="18">
                  <c:v>13.645</c:v>
                </c:pt>
                <c:pt idx="19">
                  <c:v>13.675000000000001</c:v>
                </c:pt>
                <c:pt idx="20">
                  <c:v>13.698</c:v>
                </c:pt>
                <c:pt idx="21">
                  <c:v>13.718</c:v>
                </c:pt>
                <c:pt idx="22">
                  <c:v>13.738</c:v>
                </c:pt>
                <c:pt idx="23">
                  <c:v>13.759</c:v>
                </c:pt>
                <c:pt idx="24">
                  <c:v>13.904</c:v>
                </c:pt>
                <c:pt idx="25">
                  <c:v>13.881</c:v>
                </c:pt>
                <c:pt idx="26">
                  <c:v>13.856</c:v>
                </c:pt>
                <c:pt idx="27">
                  <c:v>13.836</c:v>
                </c:pt>
                <c:pt idx="28">
                  <c:v>13.811999999999999</c:v>
                </c:pt>
                <c:pt idx="29">
                  <c:v>13.79</c:v>
                </c:pt>
                <c:pt idx="30">
                  <c:v>13.555999999999999</c:v>
                </c:pt>
                <c:pt idx="31">
                  <c:v>13.525</c:v>
                </c:pt>
                <c:pt idx="32">
                  <c:v>13.489000000000001</c:v>
                </c:pt>
                <c:pt idx="33">
                  <c:v>13.454000000000001</c:v>
                </c:pt>
              </c:numCache>
            </c:numRef>
          </c:xVal>
          <c:yVal>
            <c:numRef>
              <c:f>'DOY185'!$V$48:$V$81</c:f>
              <c:numCache>
                <c:formatCode>0.00</c:formatCode>
                <c:ptCount val="34"/>
                <c:pt idx="0">
                  <c:v>29.324999999999999</c:v>
                </c:pt>
                <c:pt idx="1">
                  <c:v>27.791666666666668</c:v>
                </c:pt>
                <c:pt idx="2">
                  <c:v>28.641666666666666</c:v>
                </c:pt>
                <c:pt idx="3">
                  <c:v>27.416666666666668</c:v>
                </c:pt>
                <c:pt idx="4">
                  <c:v>26.750000000000004</c:v>
                </c:pt>
                <c:pt idx="5">
                  <c:v>27.875</c:v>
                </c:pt>
                <c:pt idx="6">
                  <c:v>27.283333333333331</c:v>
                </c:pt>
                <c:pt idx="7">
                  <c:v>29.625000000000004</c:v>
                </c:pt>
                <c:pt idx="8">
                  <c:v>28</c:v>
                </c:pt>
                <c:pt idx="9">
                  <c:v>29</c:v>
                </c:pt>
                <c:pt idx="10">
                  <c:v>29.458333333333339</c:v>
                </c:pt>
                <c:pt idx="11">
                  <c:v>28.641666666666666</c:v>
                </c:pt>
                <c:pt idx="12">
                  <c:v>28.149999999999995</c:v>
                </c:pt>
                <c:pt idx="13">
                  <c:v>27.966666666666669</c:v>
                </c:pt>
                <c:pt idx="14">
                  <c:v>27.333333333333329</c:v>
                </c:pt>
                <c:pt idx="15">
                  <c:v>27.724999999999998</c:v>
                </c:pt>
                <c:pt idx="16">
                  <c:v>28.241666666666664</c:v>
                </c:pt>
                <c:pt idx="17">
                  <c:v>28.908333333333335</c:v>
                </c:pt>
                <c:pt idx="18">
                  <c:v>27.341666666666665</c:v>
                </c:pt>
                <c:pt idx="19">
                  <c:v>27.341666666666669</c:v>
                </c:pt>
                <c:pt idx="20">
                  <c:v>28.183333333333334</c:v>
                </c:pt>
                <c:pt idx="21">
                  <c:v>28.425000000000001</c:v>
                </c:pt>
                <c:pt idx="22">
                  <c:v>28.324999999999999</c:v>
                </c:pt>
                <c:pt idx="23">
                  <c:v>29.366666666666671</c:v>
                </c:pt>
                <c:pt idx="24">
                  <c:v>29.3</c:v>
                </c:pt>
                <c:pt idx="25">
                  <c:v>28.916666666666671</c:v>
                </c:pt>
                <c:pt idx="26">
                  <c:v>29.324999999999999</c:v>
                </c:pt>
                <c:pt idx="27">
                  <c:v>29.758333333333336</c:v>
                </c:pt>
                <c:pt idx="28">
                  <c:v>27.566666666666666</c:v>
                </c:pt>
                <c:pt idx="29">
                  <c:v>29.016666666666669</c:v>
                </c:pt>
                <c:pt idx="30">
                  <c:v>27.466666666666665</c:v>
                </c:pt>
                <c:pt idx="31">
                  <c:v>33.463636363636368</c:v>
                </c:pt>
                <c:pt idx="32">
                  <c:v>26.908333333333331</c:v>
                </c:pt>
                <c:pt idx="33">
                  <c:v>32.833333333333336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2E-408E-AC20-A9FD12B5D74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('DOY185'!$I$21,'DOY185'!$I$30)</c:f>
              <c:numCache>
                <c:formatCode>0.000</c:formatCode>
                <c:ptCount val="2"/>
                <c:pt idx="0">
                  <c:v>13.333</c:v>
                </c:pt>
                <c:pt idx="1">
                  <c:v>13.693</c:v>
                </c:pt>
              </c:numCache>
            </c:numRef>
          </c:xVal>
          <c:yVal>
            <c:numRef>
              <c:f>('DOY185'!$V$21,'DOY185'!$V$30)</c:f>
              <c:numCache>
                <c:formatCode>0.00</c:formatCode>
                <c:ptCount val="2"/>
                <c:pt idx="0">
                  <c:v>36.333333333333329</c:v>
                </c:pt>
                <c:pt idx="1">
                  <c:v>34.866666666666667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2E-408E-AC20-A9FD12B5D74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('DOY185'!$I$59,'DOY185'!$I$68)</c:f>
              <c:numCache>
                <c:formatCode>0.000</c:formatCode>
                <c:ptCount val="2"/>
                <c:pt idx="0">
                  <c:v>13.337999999999999</c:v>
                </c:pt>
                <c:pt idx="1">
                  <c:v>13.698</c:v>
                </c:pt>
              </c:numCache>
            </c:numRef>
          </c:xVal>
          <c:yVal>
            <c:numRef>
              <c:f>('DOY185'!$V$59,'DOY185'!$V$68)</c:f>
              <c:numCache>
                <c:formatCode>0.00</c:formatCode>
                <c:ptCount val="2"/>
                <c:pt idx="0">
                  <c:v>28.641666666666666</c:v>
                </c:pt>
                <c:pt idx="1">
                  <c:v>28.183333333333334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2E-408E-AC20-A9FD12B5D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763920"/>
        <c:axId val="1"/>
      </c:scatterChart>
      <c:valAx>
        <c:axId val="993763920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3763920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'DOY187'!$I$10:$I$41</c:f>
              <c:numCache>
                <c:formatCode>0.000</c:formatCode>
                <c:ptCount val="32"/>
                <c:pt idx="0">
                  <c:v>13.356999999999999</c:v>
                </c:pt>
                <c:pt idx="1">
                  <c:v>13.336</c:v>
                </c:pt>
                <c:pt idx="2">
                  <c:v>13.315</c:v>
                </c:pt>
                <c:pt idx="3">
                  <c:v>13.294</c:v>
                </c:pt>
                <c:pt idx="4">
                  <c:v>13.273999999999999</c:v>
                </c:pt>
                <c:pt idx="5">
                  <c:v>13.253</c:v>
                </c:pt>
                <c:pt idx="6">
                  <c:v>13.231999999999999</c:v>
                </c:pt>
                <c:pt idx="7">
                  <c:v>13.208</c:v>
                </c:pt>
                <c:pt idx="8">
                  <c:v>13.39</c:v>
                </c:pt>
                <c:pt idx="9">
                  <c:v>13.412000000000001</c:v>
                </c:pt>
                <c:pt idx="10">
                  <c:v>13.433</c:v>
                </c:pt>
                <c:pt idx="11">
                  <c:v>13.46</c:v>
                </c:pt>
                <c:pt idx="12">
                  <c:v>13.48</c:v>
                </c:pt>
                <c:pt idx="13">
                  <c:v>13.505000000000001</c:v>
                </c:pt>
                <c:pt idx="14">
                  <c:v>13.529</c:v>
                </c:pt>
                <c:pt idx="15">
                  <c:v>13.555</c:v>
                </c:pt>
                <c:pt idx="16">
                  <c:v>13.718999999999999</c:v>
                </c:pt>
                <c:pt idx="17">
                  <c:v>13.743</c:v>
                </c:pt>
                <c:pt idx="18">
                  <c:v>13.773</c:v>
                </c:pt>
                <c:pt idx="19">
                  <c:v>13.795</c:v>
                </c:pt>
                <c:pt idx="20">
                  <c:v>13.816000000000001</c:v>
                </c:pt>
                <c:pt idx="21">
                  <c:v>13.837</c:v>
                </c:pt>
                <c:pt idx="22">
                  <c:v>13.86</c:v>
                </c:pt>
                <c:pt idx="23">
                  <c:v>13.881</c:v>
                </c:pt>
                <c:pt idx="24" formatCode="General">
                  <c:v>14.118</c:v>
                </c:pt>
                <c:pt idx="25" formatCode="General">
                  <c:v>14.093999999999999</c:v>
                </c:pt>
                <c:pt idx="26">
                  <c:v>14.067</c:v>
                </c:pt>
                <c:pt idx="27">
                  <c:v>14.034000000000001</c:v>
                </c:pt>
                <c:pt idx="28">
                  <c:v>13.988</c:v>
                </c:pt>
                <c:pt idx="29">
                  <c:v>13.965999999999999</c:v>
                </c:pt>
                <c:pt idx="30">
                  <c:v>13.946</c:v>
                </c:pt>
                <c:pt idx="31">
                  <c:v>13.923999999999999</c:v>
                </c:pt>
              </c:numCache>
            </c:numRef>
          </c:xVal>
          <c:yVal>
            <c:numRef>
              <c:f>'DOY187'!$V$10:$V$41</c:f>
              <c:numCache>
                <c:formatCode>0.00</c:formatCode>
                <c:ptCount val="32"/>
                <c:pt idx="0">
                  <c:v>45.1</c:v>
                </c:pt>
                <c:pt idx="1">
                  <c:v>44.425000000000004</c:v>
                </c:pt>
                <c:pt idx="2">
                  <c:v>41.616666666666667</c:v>
                </c:pt>
                <c:pt idx="3">
                  <c:v>46.141666666666673</c:v>
                </c:pt>
                <c:pt idx="4">
                  <c:v>39.091666666666669</c:v>
                </c:pt>
                <c:pt idx="5">
                  <c:v>42.308333333333337</c:v>
                </c:pt>
                <c:pt idx="6">
                  <c:v>40.491666666666667</c:v>
                </c:pt>
                <c:pt idx="7">
                  <c:v>47.55833333333333</c:v>
                </c:pt>
                <c:pt idx="8">
                  <c:v>41.091666666666661</c:v>
                </c:pt>
                <c:pt idx="9">
                  <c:v>49.675000000000004</c:v>
                </c:pt>
                <c:pt idx="10">
                  <c:v>43.074999999999996</c:v>
                </c:pt>
                <c:pt idx="11">
                  <c:v>40.008333333333326</c:v>
                </c:pt>
                <c:pt idx="12">
                  <c:v>43</c:v>
                </c:pt>
                <c:pt idx="13">
                  <c:v>46.449999999999996</c:v>
                </c:pt>
                <c:pt idx="14">
                  <c:v>42.108333333333327</c:v>
                </c:pt>
                <c:pt idx="15">
                  <c:v>46.116666666666674</c:v>
                </c:pt>
                <c:pt idx="16">
                  <c:v>47.30833333333333</c:v>
                </c:pt>
                <c:pt idx="17">
                  <c:v>42.508333333333333</c:v>
                </c:pt>
                <c:pt idx="18">
                  <c:v>38.891666666666666</c:v>
                </c:pt>
                <c:pt idx="19">
                  <c:v>42.925000000000004</c:v>
                </c:pt>
                <c:pt idx="20">
                  <c:v>37.599999999999994</c:v>
                </c:pt>
                <c:pt idx="21">
                  <c:v>44.6</c:v>
                </c:pt>
                <c:pt idx="22">
                  <c:v>45.108333333333327</c:v>
                </c:pt>
                <c:pt idx="23">
                  <c:v>44.516666666666673</c:v>
                </c:pt>
                <c:pt idx="24">
                  <c:v>44.833333333333336</c:v>
                </c:pt>
                <c:pt idx="25">
                  <c:v>41.891666666666666</c:v>
                </c:pt>
                <c:pt idx="26">
                  <c:v>42.6</c:v>
                </c:pt>
                <c:pt idx="27">
                  <c:v>43.025000000000006</c:v>
                </c:pt>
                <c:pt idx="28">
                  <c:v>43.483333333333341</c:v>
                </c:pt>
                <c:pt idx="29">
                  <c:v>44.933333333333337</c:v>
                </c:pt>
                <c:pt idx="30">
                  <c:v>40.991666666666667</c:v>
                </c:pt>
                <c:pt idx="31">
                  <c:v>48.224999999999994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01-46E1-B3B4-4F535117D4E2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'DOY187'!$I$50:$I$85</c:f>
              <c:numCache>
                <c:formatCode>0.000</c:formatCode>
                <c:ptCount val="36"/>
                <c:pt idx="0">
                  <c:v>13.362</c:v>
                </c:pt>
                <c:pt idx="1">
                  <c:v>13.340999999999999</c:v>
                </c:pt>
                <c:pt idx="2">
                  <c:v>13.321</c:v>
                </c:pt>
                <c:pt idx="3">
                  <c:v>13.298999999999999</c:v>
                </c:pt>
                <c:pt idx="4">
                  <c:v>13.279</c:v>
                </c:pt>
                <c:pt idx="5">
                  <c:v>13.257999999999999</c:v>
                </c:pt>
                <c:pt idx="6">
                  <c:v>13.237</c:v>
                </c:pt>
                <c:pt idx="7">
                  <c:v>13.215999999999999</c:v>
                </c:pt>
                <c:pt idx="8">
                  <c:v>13.397</c:v>
                </c:pt>
                <c:pt idx="9">
                  <c:v>13.420999999999999</c:v>
                </c:pt>
                <c:pt idx="10">
                  <c:v>13.443</c:v>
                </c:pt>
                <c:pt idx="11">
                  <c:v>13.464</c:v>
                </c:pt>
                <c:pt idx="12">
                  <c:v>13.487</c:v>
                </c:pt>
                <c:pt idx="13">
                  <c:v>13.510999999999999</c:v>
                </c:pt>
                <c:pt idx="14">
                  <c:v>13.535</c:v>
                </c:pt>
                <c:pt idx="15">
                  <c:v>13.56</c:v>
                </c:pt>
                <c:pt idx="16">
                  <c:v>13.725</c:v>
                </c:pt>
                <c:pt idx="17">
                  <c:v>13.747999999999999</c:v>
                </c:pt>
                <c:pt idx="18">
                  <c:v>13.779</c:v>
                </c:pt>
                <c:pt idx="19">
                  <c:v>13.801</c:v>
                </c:pt>
                <c:pt idx="20">
                  <c:v>13.821999999999999</c:v>
                </c:pt>
                <c:pt idx="21">
                  <c:v>13.843</c:v>
                </c:pt>
                <c:pt idx="22">
                  <c:v>13.866</c:v>
                </c:pt>
                <c:pt idx="23">
                  <c:v>13.885999999999999</c:v>
                </c:pt>
                <c:pt idx="24" formatCode="General">
                  <c:v>14.124000000000001</c:v>
                </c:pt>
                <c:pt idx="25" formatCode="General">
                  <c:v>14.099</c:v>
                </c:pt>
                <c:pt idx="26">
                  <c:v>14.073</c:v>
                </c:pt>
                <c:pt idx="27">
                  <c:v>14.039</c:v>
                </c:pt>
                <c:pt idx="28">
                  <c:v>14.015000000000001</c:v>
                </c:pt>
                <c:pt idx="29">
                  <c:v>13.972</c:v>
                </c:pt>
                <c:pt idx="30">
                  <c:v>13.951000000000001</c:v>
                </c:pt>
                <c:pt idx="31">
                  <c:v>13.929</c:v>
                </c:pt>
                <c:pt idx="32">
                  <c:v>13.682</c:v>
                </c:pt>
                <c:pt idx="33">
                  <c:v>13.653</c:v>
                </c:pt>
                <c:pt idx="34">
                  <c:v>13.622999999999999</c:v>
                </c:pt>
                <c:pt idx="35">
                  <c:v>13.590999999999999</c:v>
                </c:pt>
              </c:numCache>
            </c:numRef>
          </c:xVal>
          <c:yVal>
            <c:numRef>
              <c:f>'DOY187'!$V$50:$V$85</c:f>
              <c:numCache>
                <c:formatCode>0.00</c:formatCode>
                <c:ptCount val="36"/>
                <c:pt idx="0">
                  <c:v>33.933333333333344</c:v>
                </c:pt>
                <c:pt idx="1">
                  <c:v>31.275000000000002</c:v>
                </c:pt>
                <c:pt idx="2">
                  <c:v>33.083333333333336</c:v>
                </c:pt>
                <c:pt idx="3">
                  <c:v>30.791666666666668</c:v>
                </c:pt>
                <c:pt idx="4">
                  <c:v>31.2</c:v>
                </c:pt>
                <c:pt idx="5">
                  <c:v>31.125</c:v>
                </c:pt>
                <c:pt idx="6">
                  <c:v>29.141666666666666</c:v>
                </c:pt>
                <c:pt idx="7">
                  <c:v>32.166666666666664</c:v>
                </c:pt>
                <c:pt idx="8">
                  <c:v>31.316666666666666</c:v>
                </c:pt>
                <c:pt idx="9">
                  <c:v>31.483333333333338</c:v>
                </c:pt>
                <c:pt idx="10">
                  <c:v>32.658333333333339</c:v>
                </c:pt>
                <c:pt idx="11">
                  <c:v>32.516666666666673</c:v>
                </c:pt>
                <c:pt idx="12">
                  <c:v>31.366666666666664</c:v>
                </c:pt>
                <c:pt idx="13">
                  <c:v>30.508333333333336</c:v>
                </c:pt>
                <c:pt idx="14">
                  <c:v>31.158333333333331</c:v>
                </c:pt>
                <c:pt idx="15">
                  <c:v>30.683333333333334</c:v>
                </c:pt>
                <c:pt idx="16">
                  <c:v>31.175000000000001</c:v>
                </c:pt>
                <c:pt idx="17">
                  <c:v>31.108333333333331</c:v>
                </c:pt>
                <c:pt idx="18">
                  <c:v>29.233333333333334</c:v>
                </c:pt>
                <c:pt idx="19">
                  <c:v>30.833333333333332</c:v>
                </c:pt>
                <c:pt idx="20">
                  <c:v>32.608333333333334</c:v>
                </c:pt>
                <c:pt idx="21">
                  <c:v>30.916666666666671</c:v>
                </c:pt>
                <c:pt idx="22">
                  <c:v>29.808333333333337</c:v>
                </c:pt>
                <c:pt idx="23">
                  <c:v>35.258333333333333</c:v>
                </c:pt>
                <c:pt idx="24">
                  <c:v>30.291666666666668</c:v>
                </c:pt>
                <c:pt idx="25">
                  <c:v>28.366666666666664</c:v>
                </c:pt>
                <c:pt idx="26">
                  <c:v>32.991666666666667</c:v>
                </c:pt>
                <c:pt idx="27">
                  <c:v>30.791666666666668</c:v>
                </c:pt>
                <c:pt idx="28">
                  <c:v>31.850000000000005</c:v>
                </c:pt>
                <c:pt idx="29">
                  <c:v>32.166666666666664</c:v>
                </c:pt>
                <c:pt idx="30">
                  <c:v>30.825000000000003</c:v>
                </c:pt>
                <c:pt idx="31">
                  <c:v>30.683333333333334</c:v>
                </c:pt>
                <c:pt idx="32">
                  <c:v>29.099999999999998</c:v>
                </c:pt>
                <c:pt idx="33">
                  <c:v>36.591666666666669</c:v>
                </c:pt>
                <c:pt idx="34">
                  <c:v>28.974999999999998</c:v>
                </c:pt>
                <c:pt idx="35">
                  <c:v>36.00833333333334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01-46E1-B3B4-4F535117D4E2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('DOY187'!$I$21,'DOY187'!$I$30)</c:f>
              <c:numCache>
                <c:formatCode>0.000</c:formatCode>
                <c:ptCount val="2"/>
                <c:pt idx="0">
                  <c:v>13.46</c:v>
                </c:pt>
                <c:pt idx="1">
                  <c:v>13.816000000000001</c:v>
                </c:pt>
              </c:numCache>
            </c:numRef>
          </c:xVal>
          <c:yVal>
            <c:numRef>
              <c:f>('DOY187'!$V$21,'DOY187'!$V$30)</c:f>
              <c:numCache>
                <c:formatCode>0.00</c:formatCode>
                <c:ptCount val="2"/>
                <c:pt idx="0">
                  <c:v>40.008333333333326</c:v>
                </c:pt>
                <c:pt idx="1">
                  <c:v>37.599999999999994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01-46E1-B3B4-4F535117D4E2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('DOY187'!$I$61,'DOY187'!$I$70)</c:f>
              <c:numCache>
                <c:formatCode>0.000</c:formatCode>
                <c:ptCount val="2"/>
                <c:pt idx="0">
                  <c:v>13.464</c:v>
                </c:pt>
                <c:pt idx="1">
                  <c:v>13.821999999999999</c:v>
                </c:pt>
              </c:numCache>
            </c:numRef>
          </c:xVal>
          <c:yVal>
            <c:numRef>
              <c:f>('DOY187'!$V$61,'DOY187'!$V$70)</c:f>
              <c:numCache>
                <c:formatCode>0.00</c:formatCode>
                <c:ptCount val="2"/>
                <c:pt idx="0">
                  <c:v>32.516666666666673</c:v>
                </c:pt>
                <c:pt idx="1">
                  <c:v>32.608333333333334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C01-46E1-B3B4-4F535117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380239"/>
        <c:axId val="1"/>
      </c:scatterChart>
      <c:valAx>
        <c:axId val="164838023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838023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'DOY188'!$I$10:$I$41</c:f>
              <c:numCache>
                <c:formatCode>0.000</c:formatCode>
                <c:ptCount val="32"/>
                <c:pt idx="0">
                  <c:v>13.29</c:v>
                </c:pt>
                <c:pt idx="1">
                  <c:v>13.272</c:v>
                </c:pt>
                <c:pt idx="2">
                  <c:v>13.250999999999999</c:v>
                </c:pt>
                <c:pt idx="3">
                  <c:v>13.231999999999999</c:v>
                </c:pt>
                <c:pt idx="4">
                  <c:v>13.212999999999999</c:v>
                </c:pt>
                <c:pt idx="5">
                  <c:v>13.195</c:v>
                </c:pt>
                <c:pt idx="6">
                  <c:v>13.173999999999999</c:v>
                </c:pt>
                <c:pt idx="7">
                  <c:v>13.153</c:v>
                </c:pt>
                <c:pt idx="8">
                  <c:v>13.321999999999999</c:v>
                </c:pt>
                <c:pt idx="9">
                  <c:v>13.342000000000001</c:v>
                </c:pt>
                <c:pt idx="10">
                  <c:v>13.361000000000001</c:v>
                </c:pt>
                <c:pt idx="11">
                  <c:v>13.38</c:v>
                </c:pt>
                <c:pt idx="12">
                  <c:v>13.398</c:v>
                </c:pt>
                <c:pt idx="13">
                  <c:v>13.417</c:v>
                </c:pt>
                <c:pt idx="14">
                  <c:v>13.438000000000001</c:v>
                </c:pt>
                <c:pt idx="15">
                  <c:v>13.458</c:v>
                </c:pt>
                <c:pt idx="16">
                  <c:v>13.613</c:v>
                </c:pt>
                <c:pt idx="17">
                  <c:v>13.63</c:v>
                </c:pt>
                <c:pt idx="18">
                  <c:v>13.65</c:v>
                </c:pt>
                <c:pt idx="19">
                  <c:v>13.667</c:v>
                </c:pt>
                <c:pt idx="20">
                  <c:v>13.683</c:v>
                </c:pt>
                <c:pt idx="21">
                  <c:v>13.7</c:v>
                </c:pt>
                <c:pt idx="22">
                  <c:v>13.715999999999999</c:v>
                </c:pt>
                <c:pt idx="23">
                  <c:v>13.734</c:v>
                </c:pt>
                <c:pt idx="24" formatCode="General">
                  <c:v>13.912000000000001</c:v>
                </c:pt>
                <c:pt idx="25" formatCode="General">
                  <c:v>13.894</c:v>
                </c:pt>
                <c:pt idx="26">
                  <c:v>13.872</c:v>
                </c:pt>
                <c:pt idx="27">
                  <c:v>13.853999999999999</c:v>
                </c:pt>
                <c:pt idx="28">
                  <c:v>13.829000000000001</c:v>
                </c:pt>
                <c:pt idx="29">
                  <c:v>13.811</c:v>
                </c:pt>
                <c:pt idx="30">
                  <c:v>13.789</c:v>
                </c:pt>
                <c:pt idx="31">
                  <c:v>13.766999999999999</c:v>
                </c:pt>
              </c:numCache>
            </c:numRef>
          </c:xVal>
          <c:yVal>
            <c:numRef>
              <c:f>'DOY188'!$V$10:$V$41</c:f>
              <c:numCache>
                <c:formatCode>0.00</c:formatCode>
                <c:ptCount val="32"/>
                <c:pt idx="0">
                  <c:v>45.666666666666664</c:v>
                </c:pt>
                <c:pt idx="1">
                  <c:v>46.624999999999993</c:v>
                </c:pt>
                <c:pt idx="2">
                  <c:v>43.25</c:v>
                </c:pt>
                <c:pt idx="3">
                  <c:v>48.033333333333339</c:v>
                </c:pt>
                <c:pt idx="4">
                  <c:v>33.266666666666673</c:v>
                </c:pt>
                <c:pt idx="5">
                  <c:v>47.033333333333331</c:v>
                </c:pt>
                <c:pt idx="6">
                  <c:v>43.558333333333337</c:v>
                </c:pt>
                <c:pt idx="7">
                  <c:v>50.533333333333339</c:v>
                </c:pt>
                <c:pt idx="8">
                  <c:v>34.275000000000006</c:v>
                </c:pt>
                <c:pt idx="9">
                  <c:v>51.216666666666661</c:v>
                </c:pt>
                <c:pt idx="10">
                  <c:v>46.25</c:v>
                </c:pt>
                <c:pt idx="11">
                  <c:v>34.366666666666667</c:v>
                </c:pt>
                <c:pt idx="12">
                  <c:v>45.300000000000004</c:v>
                </c:pt>
                <c:pt idx="13">
                  <c:v>47.925000000000004</c:v>
                </c:pt>
                <c:pt idx="14">
                  <c:v>44.408333333333331</c:v>
                </c:pt>
                <c:pt idx="15">
                  <c:v>46.69166666666667</c:v>
                </c:pt>
                <c:pt idx="16">
                  <c:v>48.283333333333331</c:v>
                </c:pt>
                <c:pt idx="17">
                  <c:v>44.625</c:v>
                </c:pt>
                <c:pt idx="18">
                  <c:v>40.00833333333334</c:v>
                </c:pt>
                <c:pt idx="19">
                  <c:v>45.491666666666667</c:v>
                </c:pt>
                <c:pt idx="20">
                  <c:v>33.450000000000003</c:v>
                </c:pt>
                <c:pt idx="21">
                  <c:v>46.633333333333333</c:v>
                </c:pt>
                <c:pt idx="22">
                  <c:v>48.133333333333333</c:v>
                </c:pt>
                <c:pt idx="23">
                  <c:v>47.975000000000001</c:v>
                </c:pt>
                <c:pt idx="24">
                  <c:v>49.133333333333347</c:v>
                </c:pt>
                <c:pt idx="25">
                  <c:v>44.008333333333333</c:v>
                </c:pt>
                <c:pt idx="26">
                  <c:v>44.383333333333333</c:v>
                </c:pt>
                <c:pt idx="27">
                  <c:v>47</c:v>
                </c:pt>
                <c:pt idx="28">
                  <c:v>48.050000000000004</c:v>
                </c:pt>
                <c:pt idx="29">
                  <c:v>47.625</c:v>
                </c:pt>
                <c:pt idx="30">
                  <c:v>43.466666666666669</c:v>
                </c:pt>
                <c:pt idx="31">
                  <c:v>48.274999999999999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8-417D-AE0D-BE8D886F6FBA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'DOY188'!$I$50:$I$85</c:f>
              <c:numCache>
                <c:formatCode>0.000</c:formatCode>
                <c:ptCount val="36"/>
                <c:pt idx="0">
                  <c:v>13.295999999999999</c:v>
                </c:pt>
                <c:pt idx="1">
                  <c:v>13.278</c:v>
                </c:pt>
                <c:pt idx="2">
                  <c:v>13.257</c:v>
                </c:pt>
                <c:pt idx="3">
                  <c:v>13.237</c:v>
                </c:pt>
                <c:pt idx="4">
                  <c:v>13.218999999999999</c:v>
                </c:pt>
                <c:pt idx="5">
                  <c:v>13.2</c:v>
                </c:pt>
                <c:pt idx="6">
                  <c:v>13.18</c:v>
                </c:pt>
                <c:pt idx="7">
                  <c:v>13.159000000000001</c:v>
                </c:pt>
                <c:pt idx="8">
                  <c:v>13.327999999999999</c:v>
                </c:pt>
                <c:pt idx="9">
                  <c:v>13.347</c:v>
                </c:pt>
                <c:pt idx="10">
                  <c:v>13.366</c:v>
                </c:pt>
                <c:pt idx="11">
                  <c:v>13.385999999999999</c:v>
                </c:pt>
                <c:pt idx="12">
                  <c:v>13.403</c:v>
                </c:pt>
                <c:pt idx="13">
                  <c:v>13.422000000000001</c:v>
                </c:pt>
                <c:pt idx="14">
                  <c:v>13.444000000000001</c:v>
                </c:pt>
                <c:pt idx="15">
                  <c:v>13.462999999999999</c:v>
                </c:pt>
                <c:pt idx="16">
                  <c:v>13.618</c:v>
                </c:pt>
                <c:pt idx="17">
                  <c:v>13.635999999999999</c:v>
                </c:pt>
                <c:pt idx="18">
                  <c:v>13.656000000000001</c:v>
                </c:pt>
                <c:pt idx="19">
                  <c:v>13.672000000000001</c:v>
                </c:pt>
                <c:pt idx="20">
                  <c:v>13.689</c:v>
                </c:pt>
                <c:pt idx="21">
                  <c:v>13.705</c:v>
                </c:pt>
                <c:pt idx="22">
                  <c:v>13.722</c:v>
                </c:pt>
                <c:pt idx="23">
                  <c:v>13.74</c:v>
                </c:pt>
                <c:pt idx="24" formatCode="General">
                  <c:v>13.917</c:v>
                </c:pt>
                <c:pt idx="25" formatCode="General">
                  <c:v>13.898999999999999</c:v>
                </c:pt>
                <c:pt idx="26">
                  <c:v>13.878</c:v>
                </c:pt>
                <c:pt idx="27">
                  <c:v>13.859</c:v>
                </c:pt>
                <c:pt idx="28">
                  <c:v>13.836</c:v>
                </c:pt>
                <c:pt idx="29">
                  <c:v>13.816000000000001</c:v>
                </c:pt>
                <c:pt idx="30">
                  <c:v>13.795</c:v>
                </c:pt>
                <c:pt idx="31">
                  <c:v>13.773</c:v>
                </c:pt>
                <c:pt idx="32">
                  <c:v>13.58</c:v>
                </c:pt>
                <c:pt idx="33">
                  <c:v>13.55</c:v>
                </c:pt>
                <c:pt idx="34">
                  <c:v>13.52</c:v>
                </c:pt>
                <c:pt idx="35">
                  <c:v>13.489000000000001</c:v>
                </c:pt>
              </c:numCache>
            </c:numRef>
          </c:xVal>
          <c:yVal>
            <c:numRef>
              <c:f>'DOY188'!$V$50:$V$85</c:f>
              <c:numCache>
                <c:formatCode>0.00</c:formatCode>
                <c:ptCount val="36"/>
                <c:pt idx="0">
                  <c:v>32.708333333333336</c:v>
                </c:pt>
                <c:pt idx="1">
                  <c:v>30.75</c:v>
                </c:pt>
                <c:pt idx="2">
                  <c:v>35.108333333333334</c:v>
                </c:pt>
                <c:pt idx="3">
                  <c:v>31.258333333333336</c:v>
                </c:pt>
                <c:pt idx="4">
                  <c:v>31.016666666666666</c:v>
                </c:pt>
                <c:pt idx="5">
                  <c:v>31.333333333333332</c:v>
                </c:pt>
                <c:pt idx="6">
                  <c:v>32.833333333333336</c:v>
                </c:pt>
                <c:pt idx="7">
                  <c:v>35.225000000000001</c:v>
                </c:pt>
                <c:pt idx="8">
                  <c:v>30.483333333333331</c:v>
                </c:pt>
                <c:pt idx="9">
                  <c:v>30.916666666666668</c:v>
                </c:pt>
                <c:pt idx="10">
                  <c:v>33.633333333333333</c:v>
                </c:pt>
                <c:pt idx="11">
                  <c:v>30.066666666666666</c:v>
                </c:pt>
                <c:pt idx="12">
                  <c:v>30.099999999999998</c:v>
                </c:pt>
                <c:pt idx="13">
                  <c:v>29.575000000000003</c:v>
                </c:pt>
                <c:pt idx="14">
                  <c:v>30.641666666666666</c:v>
                </c:pt>
                <c:pt idx="15">
                  <c:v>32.49166666666666</c:v>
                </c:pt>
                <c:pt idx="16">
                  <c:v>30.975000000000005</c:v>
                </c:pt>
                <c:pt idx="17">
                  <c:v>33.55833333333333</c:v>
                </c:pt>
                <c:pt idx="18">
                  <c:v>30.141666666666662</c:v>
                </c:pt>
                <c:pt idx="19">
                  <c:v>32.216666666666669</c:v>
                </c:pt>
                <c:pt idx="20">
                  <c:v>30.791666666666668</c:v>
                </c:pt>
                <c:pt idx="21">
                  <c:v>34.016666666666666</c:v>
                </c:pt>
                <c:pt idx="22">
                  <c:v>31.275000000000002</c:v>
                </c:pt>
                <c:pt idx="23">
                  <c:v>37.475000000000001</c:v>
                </c:pt>
                <c:pt idx="24">
                  <c:v>31.399999999999995</c:v>
                </c:pt>
                <c:pt idx="25">
                  <c:v>30.224999999999994</c:v>
                </c:pt>
                <c:pt idx="26">
                  <c:v>34.158333333333331</c:v>
                </c:pt>
                <c:pt idx="27">
                  <c:v>32.991666666666667</c:v>
                </c:pt>
                <c:pt idx="28">
                  <c:v>35.449999999999996</c:v>
                </c:pt>
                <c:pt idx="29">
                  <c:v>34.258333333333333</c:v>
                </c:pt>
                <c:pt idx="30">
                  <c:v>29.841666666666669</c:v>
                </c:pt>
                <c:pt idx="31">
                  <c:v>31.791666666666671</c:v>
                </c:pt>
                <c:pt idx="32">
                  <c:v>30.933333333333334</c:v>
                </c:pt>
                <c:pt idx="33">
                  <c:v>36.125</c:v>
                </c:pt>
                <c:pt idx="34">
                  <c:v>29.116666666666664</c:v>
                </c:pt>
                <c:pt idx="35">
                  <c:v>36.574999999999996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C8-417D-AE0D-BE8D886F6FBA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('DOY188'!$I$21,'DOY188'!$I$30)</c:f>
              <c:numCache>
                <c:formatCode>0.000</c:formatCode>
                <c:ptCount val="2"/>
                <c:pt idx="0">
                  <c:v>13.38</c:v>
                </c:pt>
                <c:pt idx="1">
                  <c:v>13.683</c:v>
                </c:pt>
              </c:numCache>
            </c:numRef>
          </c:xVal>
          <c:yVal>
            <c:numRef>
              <c:f>('DOY188'!$V$21,'DOY188'!$V$30)</c:f>
              <c:numCache>
                <c:formatCode>0.00</c:formatCode>
                <c:ptCount val="2"/>
                <c:pt idx="0">
                  <c:v>34.366666666666667</c:v>
                </c:pt>
                <c:pt idx="1">
                  <c:v>33.450000000000003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C8-417D-AE0D-BE8D886F6FBA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('DOY188'!$I$61,'DOY188'!$I$70)</c:f>
              <c:numCache>
                <c:formatCode>0.000</c:formatCode>
                <c:ptCount val="2"/>
                <c:pt idx="0">
                  <c:v>13.385999999999999</c:v>
                </c:pt>
                <c:pt idx="1">
                  <c:v>13.689</c:v>
                </c:pt>
              </c:numCache>
            </c:numRef>
          </c:xVal>
          <c:yVal>
            <c:numRef>
              <c:f>('DOY188'!$V$61,'DOY188'!$V$70)</c:f>
              <c:numCache>
                <c:formatCode>0.00</c:formatCode>
                <c:ptCount val="2"/>
                <c:pt idx="0">
                  <c:v>30.066666666666666</c:v>
                </c:pt>
                <c:pt idx="1">
                  <c:v>30.791666666666668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C8-417D-AE0D-BE8D886F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105919"/>
        <c:axId val="1"/>
      </c:scatterChart>
      <c:valAx>
        <c:axId val="1590105919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90105919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'DOY223'!$J$10:$J$39</c:f>
              <c:numCache>
                <c:formatCode>0.000</c:formatCode>
                <c:ptCount val="30"/>
                <c:pt idx="0">
                  <c:v>13.183999999999999</c:v>
                </c:pt>
                <c:pt idx="1">
                  <c:v>13.173999999999999</c:v>
                </c:pt>
                <c:pt idx="2">
                  <c:v>13.16</c:v>
                </c:pt>
                <c:pt idx="3">
                  <c:v>13.145</c:v>
                </c:pt>
                <c:pt idx="4">
                  <c:v>13.132</c:v>
                </c:pt>
                <c:pt idx="5">
                  <c:v>13.118</c:v>
                </c:pt>
                <c:pt idx="6">
                  <c:v>13.103</c:v>
                </c:pt>
                <c:pt idx="7">
                  <c:v>13.085000000000001</c:v>
                </c:pt>
                <c:pt idx="8">
                  <c:v>13.21</c:v>
                </c:pt>
                <c:pt idx="9">
                  <c:v>13.221</c:v>
                </c:pt>
                <c:pt idx="10">
                  <c:v>13.237</c:v>
                </c:pt>
                <c:pt idx="11">
                  <c:v>13.250999999999999</c:v>
                </c:pt>
                <c:pt idx="12">
                  <c:v>13.276</c:v>
                </c:pt>
                <c:pt idx="13">
                  <c:v>13.289</c:v>
                </c:pt>
                <c:pt idx="14">
                  <c:v>13.303000000000001</c:v>
                </c:pt>
                <c:pt idx="15">
                  <c:v>13.316000000000001</c:v>
                </c:pt>
                <c:pt idx="16">
                  <c:v>13.468999999999999</c:v>
                </c:pt>
                <c:pt idx="17">
                  <c:v>13.483000000000001</c:v>
                </c:pt>
                <c:pt idx="18">
                  <c:v>13.497999999999999</c:v>
                </c:pt>
                <c:pt idx="19">
                  <c:v>13.513</c:v>
                </c:pt>
                <c:pt idx="20">
                  <c:v>13.528</c:v>
                </c:pt>
                <c:pt idx="21">
                  <c:v>13.542999999999999</c:v>
                </c:pt>
                <c:pt idx="22">
                  <c:v>13.561</c:v>
                </c:pt>
                <c:pt idx="23">
                  <c:v>13.573</c:v>
                </c:pt>
                <c:pt idx="24">
                  <c:v>13.709</c:v>
                </c:pt>
                <c:pt idx="25">
                  <c:v>13.69</c:v>
                </c:pt>
                <c:pt idx="26">
                  <c:v>13.678000000000001</c:v>
                </c:pt>
                <c:pt idx="27">
                  <c:v>13.663</c:v>
                </c:pt>
                <c:pt idx="28">
                  <c:v>13.644</c:v>
                </c:pt>
                <c:pt idx="29">
                  <c:v>13.629</c:v>
                </c:pt>
              </c:numCache>
            </c:numRef>
          </c:xVal>
          <c:yVal>
            <c:numRef>
              <c:f>'DOY223'!$W$10:$W$39</c:f>
              <c:numCache>
                <c:formatCode>0.00</c:formatCode>
                <c:ptCount val="30"/>
                <c:pt idx="0">
                  <c:v>34.377490217121775</c:v>
                </c:pt>
                <c:pt idx="1">
                  <c:v>34.704565242285703</c:v>
                </c:pt>
                <c:pt idx="2">
                  <c:v>33.704462546452056</c:v>
                </c:pt>
                <c:pt idx="3">
                  <c:v>36.602929998891589</c:v>
                </c:pt>
                <c:pt idx="4">
                  <c:v>34.451558850043881</c:v>
                </c:pt>
                <c:pt idx="5">
                  <c:v>34.085356429432032</c:v>
                </c:pt>
                <c:pt idx="6">
                  <c:v>33.641112133332548</c:v>
                </c:pt>
                <c:pt idx="7">
                  <c:v>34.607821865364279</c:v>
                </c:pt>
                <c:pt idx="8">
                  <c:v>34.277814648851916</c:v>
                </c:pt>
                <c:pt idx="9">
                  <c:v>34.672612177269393</c:v>
                </c:pt>
                <c:pt idx="10">
                  <c:v>35.132965881417341</c:v>
                </c:pt>
                <c:pt idx="11">
                  <c:v>33.178214076374992</c:v>
                </c:pt>
                <c:pt idx="12">
                  <c:v>32.144432727167285</c:v>
                </c:pt>
                <c:pt idx="13">
                  <c:v>33.710029099723748</c:v>
                </c:pt>
                <c:pt idx="14">
                  <c:v>32.671153195917917</c:v>
                </c:pt>
                <c:pt idx="15">
                  <c:v>33.246759620340768</c:v>
                </c:pt>
                <c:pt idx="16">
                  <c:v>34.069206325564181</c:v>
                </c:pt>
                <c:pt idx="17">
                  <c:v>34.193427397577906</c:v>
                </c:pt>
                <c:pt idx="18">
                  <c:v>33.11213224746222</c:v>
                </c:pt>
                <c:pt idx="19">
                  <c:v>34.353004970747733</c:v>
                </c:pt>
                <c:pt idx="20">
                  <c:v>32.192776236602718</c:v>
                </c:pt>
                <c:pt idx="21">
                  <c:v>34.924629158189099</c:v>
                </c:pt>
                <c:pt idx="22">
                  <c:v>33.068334178572918</c:v>
                </c:pt>
                <c:pt idx="23">
                  <c:v>33.640071459056543</c:v>
                </c:pt>
                <c:pt idx="24">
                  <c:v>34.675321263016251</c:v>
                </c:pt>
                <c:pt idx="25">
                  <c:v>32.991780696328824</c:v>
                </c:pt>
                <c:pt idx="26">
                  <c:v>35.37874120823588</c:v>
                </c:pt>
                <c:pt idx="27">
                  <c:v>33.878157434349774</c:v>
                </c:pt>
                <c:pt idx="28">
                  <c:v>36.863851174861018</c:v>
                </c:pt>
                <c:pt idx="29">
                  <c:v>32.904982565674224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45-4B9D-B8FD-096F7FC1D989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'DOY223'!$J$48:$J$85</c:f>
              <c:numCache>
                <c:formatCode>0.000</c:formatCode>
                <c:ptCount val="38"/>
                <c:pt idx="0">
                  <c:v>13.368</c:v>
                </c:pt>
                <c:pt idx="1">
                  <c:v>13.339</c:v>
                </c:pt>
                <c:pt idx="2">
                  <c:v>13.191000000000001</c:v>
                </c:pt>
                <c:pt idx="3">
                  <c:v>13.178000000000001</c:v>
                </c:pt>
                <c:pt idx="4">
                  <c:v>13.164999999999999</c:v>
                </c:pt>
                <c:pt idx="5">
                  <c:v>13.151</c:v>
                </c:pt>
                <c:pt idx="6">
                  <c:v>13.135999999999999</c:v>
                </c:pt>
                <c:pt idx="7">
                  <c:v>13.122999999999999</c:v>
                </c:pt>
                <c:pt idx="8">
                  <c:v>13.108000000000001</c:v>
                </c:pt>
                <c:pt idx="9">
                  <c:v>13.093</c:v>
                </c:pt>
                <c:pt idx="10">
                  <c:v>13.215</c:v>
                </c:pt>
                <c:pt idx="11">
                  <c:v>13.227</c:v>
                </c:pt>
                <c:pt idx="12">
                  <c:v>13.242000000000001</c:v>
                </c:pt>
                <c:pt idx="13">
                  <c:v>13.256</c:v>
                </c:pt>
                <c:pt idx="14">
                  <c:v>13.281000000000001</c:v>
                </c:pt>
                <c:pt idx="15">
                  <c:v>13.294</c:v>
                </c:pt>
                <c:pt idx="16">
                  <c:v>13.307</c:v>
                </c:pt>
                <c:pt idx="17">
                  <c:v>13.321</c:v>
                </c:pt>
                <c:pt idx="18">
                  <c:v>13.474</c:v>
                </c:pt>
                <c:pt idx="19">
                  <c:v>13.488</c:v>
                </c:pt>
                <c:pt idx="20">
                  <c:v>13.503</c:v>
                </c:pt>
                <c:pt idx="21">
                  <c:v>13.518000000000001</c:v>
                </c:pt>
                <c:pt idx="22">
                  <c:v>13.532</c:v>
                </c:pt>
                <c:pt idx="23">
                  <c:v>13.551</c:v>
                </c:pt>
                <c:pt idx="24">
                  <c:v>13.566000000000001</c:v>
                </c:pt>
                <c:pt idx="25">
                  <c:v>13.579000000000001</c:v>
                </c:pt>
                <c:pt idx="26">
                  <c:v>13.712999999999999</c:v>
                </c:pt>
                <c:pt idx="27">
                  <c:v>13.698</c:v>
                </c:pt>
                <c:pt idx="28">
                  <c:v>13.683999999999999</c:v>
                </c:pt>
                <c:pt idx="29">
                  <c:v>13.667</c:v>
                </c:pt>
                <c:pt idx="30">
                  <c:v>13.648999999999999</c:v>
                </c:pt>
                <c:pt idx="31">
                  <c:v>13.634</c:v>
                </c:pt>
                <c:pt idx="32">
                  <c:v>13.618</c:v>
                </c:pt>
                <c:pt idx="33">
                  <c:v>13.601000000000001</c:v>
                </c:pt>
                <c:pt idx="34">
                  <c:v>13.445</c:v>
                </c:pt>
                <c:pt idx="35">
                  <c:v>13.412000000000001</c:v>
                </c:pt>
                <c:pt idx="36">
                  <c:v>13.382999999999999</c:v>
                </c:pt>
                <c:pt idx="37">
                  <c:v>13.343999999999999</c:v>
                </c:pt>
              </c:numCache>
            </c:numRef>
          </c:xVal>
          <c:yVal>
            <c:numRef>
              <c:f>'DOY223'!$W$48:$W$85</c:f>
              <c:numCache>
                <c:formatCode>0.00</c:formatCode>
                <c:ptCount val="38"/>
                <c:pt idx="0">
                  <c:v>60.64032384765455</c:v>
                </c:pt>
                <c:pt idx="1">
                  <c:v>56.937513570131877</c:v>
                </c:pt>
                <c:pt idx="2">
                  <c:v>33.162543392878113</c:v>
                </c:pt>
                <c:pt idx="3">
                  <c:v>32.537628327403752</c:v>
                </c:pt>
                <c:pt idx="4">
                  <c:v>32.545002237613097</c:v>
                </c:pt>
                <c:pt idx="5">
                  <c:v>33.825469259923402</c:v>
                </c:pt>
                <c:pt idx="6">
                  <c:v>33.207882313742282</c:v>
                </c:pt>
                <c:pt idx="7">
                  <c:v>32.320737697282247</c:v>
                </c:pt>
                <c:pt idx="8">
                  <c:v>32.088764620816754</c:v>
                </c:pt>
                <c:pt idx="9">
                  <c:v>32.054527858974744</c:v>
                </c:pt>
                <c:pt idx="10">
                  <c:v>33.942287865761379</c:v>
                </c:pt>
                <c:pt idx="11">
                  <c:v>32.314008382276349</c:v>
                </c:pt>
                <c:pt idx="12">
                  <c:v>33.409535512880709</c:v>
                </c:pt>
                <c:pt idx="13">
                  <c:v>32.5286587798875</c:v>
                </c:pt>
                <c:pt idx="14">
                  <c:v>31.412110473359817</c:v>
                </c:pt>
                <c:pt idx="15">
                  <c:v>31.677267120597211</c:v>
                </c:pt>
                <c:pt idx="16">
                  <c:v>32.000571628410427</c:v>
                </c:pt>
                <c:pt idx="17">
                  <c:v>31.774559988511754</c:v>
                </c:pt>
                <c:pt idx="18">
                  <c:v>31.757276055817172</c:v>
                </c:pt>
                <c:pt idx="19">
                  <c:v>33.088407834770948</c:v>
                </c:pt>
                <c:pt idx="20">
                  <c:v>32.470327755647311</c:v>
                </c:pt>
                <c:pt idx="21">
                  <c:v>33.153806322320492</c:v>
                </c:pt>
                <c:pt idx="22">
                  <c:v>31.927542097045784</c:v>
                </c:pt>
                <c:pt idx="23">
                  <c:v>31.573340041887111</c:v>
                </c:pt>
                <c:pt idx="24">
                  <c:v>31.694304486820513</c:v>
                </c:pt>
                <c:pt idx="25">
                  <c:v>32.496827802329399</c:v>
                </c:pt>
                <c:pt idx="26">
                  <c:v>33.273361815989524</c:v>
                </c:pt>
                <c:pt idx="27">
                  <c:v>31.371820693118796</c:v>
                </c:pt>
                <c:pt idx="28">
                  <c:v>33.255369885284601</c:v>
                </c:pt>
                <c:pt idx="29">
                  <c:v>33.327561090646945</c:v>
                </c:pt>
                <c:pt idx="30">
                  <c:v>36.41098290124615</c:v>
                </c:pt>
                <c:pt idx="31">
                  <c:v>32.816983304066746</c:v>
                </c:pt>
                <c:pt idx="32">
                  <c:v>30.200708357323482</c:v>
                </c:pt>
                <c:pt idx="33">
                  <c:v>30.944455256225371</c:v>
                </c:pt>
                <c:pt idx="34">
                  <c:v>41.401904255754069</c:v>
                </c:pt>
                <c:pt idx="35">
                  <c:v>43.867437833322974</c:v>
                </c:pt>
                <c:pt idx="36">
                  <c:v>43.092266161174798</c:v>
                </c:pt>
                <c:pt idx="37">
                  <c:v>44.00657542296603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45-4B9D-B8FD-096F7FC1D989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('DOY223'!$J$17,'DOY223'!$J$26)</c:f>
              <c:numCache>
                <c:formatCode>0.000</c:formatCode>
                <c:ptCount val="2"/>
                <c:pt idx="0">
                  <c:v>13.085000000000001</c:v>
                </c:pt>
                <c:pt idx="1">
                  <c:v>13.468999999999999</c:v>
                </c:pt>
              </c:numCache>
            </c:numRef>
          </c:xVal>
          <c:yVal>
            <c:numRef>
              <c:f>('DOY223'!$W$17,'DOY223'!$W$26)</c:f>
              <c:numCache>
                <c:formatCode>0.00</c:formatCode>
                <c:ptCount val="2"/>
                <c:pt idx="0">
                  <c:v>34.607821865364279</c:v>
                </c:pt>
                <c:pt idx="1">
                  <c:v>34.069206325564181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45-4B9D-B8FD-096F7FC1D989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('DOY223'!$J$59,'DOY223'!$J$68)</c:f>
              <c:numCache>
                <c:formatCode>0.000</c:formatCode>
                <c:ptCount val="2"/>
                <c:pt idx="0">
                  <c:v>13.227</c:v>
                </c:pt>
                <c:pt idx="1">
                  <c:v>13.503</c:v>
                </c:pt>
              </c:numCache>
            </c:numRef>
          </c:xVal>
          <c:yVal>
            <c:numRef>
              <c:f>('DOY223'!$W$59,'DOY223'!$W$68)</c:f>
              <c:numCache>
                <c:formatCode>0.00</c:formatCode>
                <c:ptCount val="2"/>
                <c:pt idx="0">
                  <c:v>32.314008382276349</c:v>
                </c:pt>
                <c:pt idx="1">
                  <c:v>32.470327755647311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45-4B9D-B8FD-096F7FC1D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693391"/>
        <c:axId val="1"/>
      </c:scatterChart>
      <c:valAx>
        <c:axId val="174569339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569339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'DOY225'!$J$10:$J$39</c:f>
              <c:numCache>
                <c:formatCode>0.000</c:formatCode>
                <c:ptCount val="30"/>
                <c:pt idx="0">
                  <c:v>13.124000000000001</c:v>
                </c:pt>
                <c:pt idx="1">
                  <c:v>13.105</c:v>
                </c:pt>
                <c:pt idx="2">
                  <c:v>13.087999999999999</c:v>
                </c:pt>
                <c:pt idx="3">
                  <c:v>13.069000000000001</c:v>
                </c:pt>
                <c:pt idx="4">
                  <c:v>13.048999999999999</c:v>
                </c:pt>
                <c:pt idx="5">
                  <c:v>13.03</c:v>
                </c:pt>
                <c:pt idx="6">
                  <c:v>13.013</c:v>
                </c:pt>
                <c:pt idx="7">
                  <c:v>12.983000000000001</c:v>
                </c:pt>
                <c:pt idx="8">
                  <c:v>13.146000000000001</c:v>
                </c:pt>
                <c:pt idx="9">
                  <c:v>13.166</c:v>
                </c:pt>
                <c:pt idx="10">
                  <c:v>13.182</c:v>
                </c:pt>
                <c:pt idx="11">
                  <c:v>13.201000000000001</c:v>
                </c:pt>
                <c:pt idx="12">
                  <c:v>13.223000000000001</c:v>
                </c:pt>
                <c:pt idx="13">
                  <c:v>13.247</c:v>
                </c:pt>
                <c:pt idx="14">
                  <c:v>13.263999999999999</c:v>
                </c:pt>
                <c:pt idx="15">
                  <c:v>13.282999999999999</c:v>
                </c:pt>
                <c:pt idx="16">
                  <c:v>13.446</c:v>
                </c:pt>
                <c:pt idx="17">
                  <c:v>13.462</c:v>
                </c:pt>
                <c:pt idx="18">
                  <c:v>13.481</c:v>
                </c:pt>
                <c:pt idx="19">
                  <c:v>13.5</c:v>
                </c:pt>
                <c:pt idx="20">
                  <c:v>13.516</c:v>
                </c:pt>
                <c:pt idx="21">
                  <c:v>13.534000000000001</c:v>
                </c:pt>
                <c:pt idx="22">
                  <c:v>13.551</c:v>
                </c:pt>
                <c:pt idx="23">
                  <c:v>13.567</c:v>
                </c:pt>
                <c:pt idx="24">
                  <c:v>13.765000000000001</c:v>
                </c:pt>
                <c:pt idx="25">
                  <c:v>13.746</c:v>
                </c:pt>
                <c:pt idx="26">
                  <c:v>13.726000000000001</c:v>
                </c:pt>
                <c:pt idx="27">
                  <c:v>13.694000000000001</c:v>
                </c:pt>
                <c:pt idx="28">
                  <c:v>13.675000000000001</c:v>
                </c:pt>
                <c:pt idx="29">
                  <c:v>13.656000000000001</c:v>
                </c:pt>
              </c:numCache>
            </c:numRef>
          </c:xVal>
          <c:yVal>
            <c:numRef>
              <c:f>'DOY225'!$W$10:$W$39</c:f>
              <c:numCache>
                <c:formatCode>0.00</c:formatCode>
                <c:ptCount val="30"/>
                <c:pt idx="0">
                  <c:v>33.142660343224271</c:v>
                </c:pt>
                <c:pt idx="1">
                  <c:v>32.804696074446376</c:v>
                </c:pt>
                <c:pt idx="2">
                  <c:v>31.949252107552486</c:v>
                </c:pt>
                <c:pt idx="3">
                  <c:v>37.886409117607073</c:v>
                </c:pt>
                <c:pt idx="4">
                  <c:v>35.319382047696173</c:v>
                </c:pt>
                <c:pt idx="5">
                  <c:v>33.786817406709581</c:v>
                </c:pt>
                <c:pt idx="6">
                  <c:v>33.705631997183865</c:v>
                </c:pt>
                <c:pt idx="7">
                  <c:v>32.180929304252466</c:v>
                </c:pt>
                <c:pt idx="8">
                  <c:v>38.241297217670798</c:v>
                </c:pt>
                <c:pt idx="9">
                  <c:v>35.944861889453712</c:v>
                </c:pt>
                <c:pt idx="10">
                  <c:v>33.143139386654155</c:v>
                </c:pt>
                <c:pt idx="11">
                  <c:v>37.166473053177846</c:v>
                </c:pt>
                <c:pt idx="12">
                  <c:v>30.756571054500387</c:v>
                </c:pt>
                <c:pt idx="13">
                  <c:v>35.027420479595222</c:v>
                </c:pt>
                <c:pt idx="14">
                  <c:v>31.860541325556497</c:v>
                </c:pt>
                <c:pt idx="15">
                  <c:v>30.997351649086728</c:v>
                </c:pt>
                <c:pt idx="16">
                  <c:v>34.791660846606732</c:v>
                </c:pt>
                <c:pt idx="17">
                  <c:v>31.352060926700577</c:v>
                </c:pt>
                <c:pt idx="18">
                  <c:v>31.160116974492198</c:v>
                </c:pt>
                <c:pt idx="19">
                  <c:v>30.973518042672463</c:v>
                </c:pt>
                <c:pt idx="20">
                  <c:v>32.519016856265985</c:v>
                </c:pt>
                <c:pt idx="21">
                  <c:v>32.001228761590369</c:v>
                </c:pt>
                <c:pt idx="22">
                  <c:v>33.984057066012369</c:v>
                </c:pt>
                <c:pt idx="23">
                  <c:v>33.551315284267936</c:v>
                </c:pt>
                <c:pt idx="24">
                  <c:v>33.671883273187682</c:v>
                </c:pt>
                <c:pt idx="25">
                  <c:v>31.813330072229249</c:v>
                </c:pt>
                <c:pt idx="26">
                  <c:v>29.849294474132126</c:v>
                </c:pt>
                <c:pt idx="27">
                  <c:v>30.254591016069906</c:v>
                </c:pt>
                <c:pt idx="28">
                  <c:v>31.345159015164786</c:v>
                </c:pt>
                <c:pt idx="29">
                  <c:v>32.719324506946947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76-4C4C-8FA5-47E5667DD24B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'DOY225'!$J$48:$J$85</c:f>
              <c:numCache>
                <c:formatCode>0.000</c:formatCode>
                <c:ptCount val="38"/>
                <c:pt idx="0">
                  <c:v>13.334</c:v>
                </c:pt>
                <c:pt idx="1">
                  <c:v>13.304</c:v>
                </c:pt>
                <c:pt idx="2">
                  <c:v>13.129</c:v>
                </c:pt>
                <c:pt idx="3">
                  <c:v>13.11</c:v>
                </c:pt>
                <c:pt idx="4">
                  <c:v>13.093</c:v>
                </c:pt>
                <c:pt idx="5">
                  <c:v>13.074</c:v>
                </c:pt>
                <c:pt idx="6">
                  <c:v>13.054</c:v>
                </c:pt>
                <c:pt idx="7">
                  <c:v>13.035</c:v>
                </c:pt>
                <c:pt idx="8">
                  <c:v>13.018000000000001</c:v>
                </c:pt>
                <c:pt idx="9">
                  <c:v>12.988</c:v>
                </c:pt>
                <c:pt idx="10">
                  <c:v>13.151</c:v>
                </c:pt>
                <c:pt idx="11">
                  <c:v>13.170999999999999</c:v>
                </c:pt>
                <c:pt idx="12">
                  <c:v>13.186999999999999</c:v>
                </c:pt>
                <c:pt idx="13">
                  <c:v>13.206</c:v>
                </c:pt>
                <c:pt idx="14">
                  <c:v>13.233000000000001</c:v>
                </c:pt>
                <c:pt idx="15">
                  <c:v>13.252000000000001</c:v>
                </c:pt>
                <c:pt idx="16">
                  <c:v>13.269</c:v>
                </c:pt>
                <c:pt idx="17">
                  <c:v>13.288</c:v>
                </c:pt>
                <c:pt idx="18">
                  <c:v>13.451000000000001</c:v>
                </c:pt>
                <c:pt idx="19">
                  <c:v>13.467000000000001</c:v>
                </c:pt>
                <c:pt idx="20">
                  <c:v>13.486000000000001</c:v>
                </c:pt>
                <c:pt idx="21">
                  <c:v>13.504</c:v>
                </c:pt>
                <c:pt idx="22">
                  <c:v>13.521000000000001</c:v>
                </c:pt>
                <c:pt idx="23">
                  <c:v>13.539</c:v>
                </c:pt>
                <c:pt idx="24">
                  <c:v>13.555</c:v>
                </c:pt>
                <c:pt idx="25">
                  <c:v>13.571999999999999</c:v>
                </c:pt>
                <c:pt idx="26">
                  <c:v>13.77</c:v>
                </c:pt>
                <c:pt idx="27">
                  <c:v>13.750999999999999</c:v>
                </c:pt>
                <c:pt idx="28">
                  <c:v>13.731</c:v>
                </c:pt>
                <c:pt idx="29">
                  <c:v>13.705</c:v>
                </c:pt>
                <c:pt idx="30">
                  <c:v>13.68</c:v>
                </c:pt>
                <c:pt idx="31">
                  <c:v>13.661</c:v>
                </c:pt>
                <c:pt idx="32">
                  <c:v>13.63</c:v>
                </c:pt>
                <c:pt idx="33">
                  <c:v>13.603</c:v>
                </c:pt>
                <c:pt idx="34">
                  <c:v>13.417</c:v>
                </c:pt>
                <c:pt idx="35">
                  <c:v>13.387</c:v>
                </c:pt>
                <c:pt idx="36">
                  <c:v>13.346</c:v>
                </c:pt>
                <c:pt idx="37">
                  <c:v>13.31</c:v>
                </c:pt>
              </c:numCache>
            </c:numRef>
          </c:xVal>
          <c:yVal>
            <c:numRef>
              <c:f>'DOY225'!$W$48:$W$85</c:f>
              <c:numCache>
                <c:formatCode>0.00</c:formatCode>
                <c:ptCount val="38"/>
                <c:pt idx="0">
                  <c:v>58.31651581516072</c:v>
                </c:pt>
                <c:pt idx="1">
                  <c:v>55.62868462708505</c:v>
                </c:pt>
                <c:pt idx="2">
                  <c:v>32.389332952665761</c:v>
                </c:pt>
                <c:pt idx="3">
                  <c:v>30.78040818329281</c:v>
                </c:pt>
                <c:pt idx="4">
                  <c:v>32.117429378531661</c:v>
                </c:pt>
                <c:pt idx="5">
                  <c:v>32.709780811790459</c:v>
                </c:pt>
                <c:pt idx="6">
                  <c:v>34.623672588270828</c:v>
                </c:pt>
                <c:pt idx="7">
                  <c:v>32.254592863686078</c:v>
                </c:pt>
                <c:pt idx="8">
                  <c:v>31.825064686601834</c:v>
                </c:pt>
                <c:pt idx="9">
                  <c:v>31.054988764829218</c:v>
                </c:pt>
                <c:pt idx="10">
                  <c:v>37.179435027868955</c:v>
                </c:pt>
                <c:pt idx="11">
                  <c:v>34.757049516902235</c:v>
                </c:pt>
                <c:pt idx="12">
                  <c:v>32.855142443643878</c:v>
                </c:pt>
                <c:pt idx="13">
                  <c:v>35.737853479733253</c:v>
                </c:pt>
                <c:pt idx="14">
                  <c:v>30.504982230997797</c:v>
                </c:pt>
                <c:pt idx="15">
                  <c:v>31.206952906074736</c:v>
                </c:pt>
                <c:pt idx="16">
                  <c:v>30.836382736543346</c:v>
                </c:pt>
                <c:pt idx="17">
                  <c:v>30.20467300359655</c:v>
                </c:pt>
                <c:pt idx="18">
                  <c:v>31.562637882439162</c:v>
                </c:pt>
                <c:pt idx="19">
                  <c:v>30.796769252909218</c:v>
                </c:pt>
                <c:pt idx="20">
                  <c:v>30.246731017674346</c:v>
                </c:pt>
                <c:pt idx="21">
                  <c:v>31.100398133256601</c:v>
                </c:pt>
                <c:pt idx="22">
                  <c:v>32.708149950701952</c:v>
                </c:pt>
                <c:pt idx="23">
                  <c:v>31.457375822406078</c:v>
                </c:pt>
                <c:pt idx="24">
                  <c:v>34.291013021003288</c:v>
                </c:pt>
                <c:pt idx="25">
                  <c:v>34.392918254649011</c:v>
                </c:pt>
                <c:pt idx="26">
                  <c:v>33.749749029767287</c:v>
                </c:pt>
                <c:pt idx="27">
                  <c:v>32.072324507344653</c:v>
                </c:pt>
                <c:pt idx="28">
                  <c:v>29.808370665822139</c:v>
                </c:pt>
                <c:pt idx="29">
                  <c:v>29.296114277577701</c:v>
                </c:pt>
                <c:pt idx="30">
                  <c:v>30.763863950012041</c:v>
                </c:pt>
                <c:pt idx="31">
                  <c:v>31.410113683066058</c:v>
                </c:pt>
                <c:pt idx="32">
                  <c:v>32.555432020529985</c:v>
                </c:pt>
                <c:pt idx="33">
                  <c:v>32.100712548721006</c:v>
                </c:pt>
                <c:pt idx="34">
                  <c:v>43.440976849962965</c:v>
                </c:pt>
                <c:pt idx="35">
                  <c:v>43.726809103122783</c:v>
                </c:pt>
                <c:pt idx="36">
                  <c:v>43.170042306764223</c:v>
                </c:pt>
                <c:pt idx="37">
                  <c:v>42.288895481475933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6-4C4C-8FA5-47E5667DD24B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('DOY225'!$J$17,'DOY225'!$J$26)</c:f>
              <c:numCache>
                <c:formatCode>0.000</c:formatCode>
                <c:ptCount val="2"/>
                <c:pt idx="0">
                  <c:v>12.983000000000001</c:v>
                </c:pt>
                <c:pt idx="1">
                  <c:v>13.446</c:v>
                </c:pt>
              </c:numCache>
            </c:numRef>
          </c:xVal>
          <c:yVal>
            <c:numRef>
              <c:f>('DOY225'!$W$17,'DOY225'!$W$26)</c:f>
              <c:numCache>
                <c:formatCode>0.00</c:formatCode>
                <c:ptCount val="2"/>
                <c:pt idx="0">
                  <c:v>32.180929304252466</c:v>
                </c:pt>
                <c:pt idx="1">
                  <c:v>34.791660846606732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76-4C4C-8FA5-47E5667DD24B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('DOY225'!$J$59,'DOY225'!$J$68)</c:f>
              <c:numCache>
                <c:formatCode>0.000</c:formatCode>
                <c:ptCount val="2"/>
                <c:pt idx="0">
                  <c:v>13.170999999999999</c:v>
                </c:pt>
                <c:pt idx="1">
                  <c:v>13.486000000000001</c:v>
                </c:pt>
              </c:numCache>
            </c:numRef>
          </c:xVal>
          <c:yVal>
            <c:numRef>
              <c:f>('DOY225'!$W$59,'DOY225'!$W$68)</c:f>
              <c:numCache>
                <c:formatCode>0.00</c:formatCode>
                <c:ptCount val="2"/>
                <c:pt idx="0">
                  <c:v>34.757049516902235</c:v>
                </c:pt>
                <c:pt idx="1">
                  <c:v>30.246731017674346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76-4C4C-8FA5-47E5667DD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106591"/>
        <c:axId val="1"/>
      </c:scatterChart>
      <c:valAx>
        <c:axId val="149110659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110659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'DOY226'!$J$10:$J$39</c:f>
              <c:numCache>
                <c:formatCode>0.000</c:formatCode>
                <c:ptCount val="30"/>
                <c:pt idx="0">
                  <c:v>13.016</c:v>
                </c:pt>
                <c:pt idx="1">
                  <c:v>12.997999999999999</c:v>
                </c:pt>
                <c:pt idx="2">
                  <c:v>12.981</c:v>
                </c:pt>
                <c:pt idx="3">
                  <c:v>12.962</c:v>
                </c:pt>
                <c:pt idx="4">
                  <c:v>12.941000000000001</c:v>
                </c:pt>
                <c:pt idx="5">
                  <c:v>12.923999999999999</c:v>
                </c:pt>
                <c:pt idx="6">
                  <c:v>12.907999999999999</c:v>
                </c:pt>
                <c:pt idx="7">
                  <c:v>12.89</c:v>
                </c:pt>
                <c:pt idx="8">
                  <c:v>13.038</c:v>
                </c:pt>
                <c:pt idx="9">
                  <c:v>13.057</c:v>
                </c:pt>
                <c:pt idx="10">
                  <c:v>13.073</c:v>
                </c:pt>
                <c:pt idx="11">
                  <c:v>13.087999999999999</c:v>
                </c:pt>
                <c:pt idx="12">
                  <c:v>13.106</c:v>
                </c:pt>
                <c:pt idx="13">
                  <c:v>13.122</c:v>
                </c:pt>
                <c:pt idx="14">
                  <c:v>13.137</c:v>
                </c:pt>
                <c:pt idx="15">
                  <c:v>13.154</c:v>
                </c:pt>
                <c:pt idx="16">
                  <c:v>13.291</c:v>
                </c:pt>
                <c:pt idx="17">
                  <c:v>13.308</c:v>
                </c:pt>
                <c:pt idx="18">
                  <c:v>13.324999999999999</c:v>
                </c:pt>
                <c:pt idx="19">
                  <c:v>13.342000000000001</c:v>
                </c:pt>
                <c:pt idx="20">
                  <c:v>13.358000000000001</c:v>
                </c:pt>
                <c:pt idx="21">
                  <c:v>13.372999999999999</c:v>
                </c:pt>
                <c:pt idx="22">
                  <c:v>13.388999999999999</c:v>
                </c:pt>
                <c:pt idx="23">
                  <c:v>13.406000000000001</c:v>
                </c:pt>
                <c:pt idx="24">
                  <c:v>13.56</c:v>
                </c:pt>
                <c:pt idx="25">
                  <c:v>13.541</c:v>
                </c:pt>
                <c:pt idx="26">
                  <c:v>13.521000000000001</c:v>
                </c:pt>
                <c:pt idx="27">
                  <c:v>13.504</c:v>
                </c:pt>
                <c:pt idx="28">
                  <c:v>13.481999999999999</c:v>
                </c:pt>
                <c:pt idx="29">
                  <c:v>13.464</c:v>
                </c:pt>
              </c:numCache>
            </c:numRef>
          </c:xVal>
          <c:yVal>
            <c:numRef>
              <c:f>'DOY226'!$W$10:$W$39</c:f>
              <c:numCache>
                <c:formatCode>0.00</c:formatCode>
                <c:ptCount val="30"/>
                <c:pt idx="0">
                  <c:v>32.514649903593401</c:v>
                </c:pt>
                <c:pt idx="1">
                  <c:v>32.375133469827482</c:v>
                </c:pt>
                <c:pt idx="2">
                  <c:v>30.630059660210488</c:v>
                </c:pt>
                <c:pt idx="3">
                  <c:v>38.689306601447974</c:v>
                </c:pt>
                <c:pt idx="4">
                  <c:v>38.911255743549667</c:v>
                </c:pt>
                <c:pt idx="5">
                  <c:v>35.124494183592219</c:v>
                </c:pt>
                <c:pt idx="6">
                  <c:v>35.576541743095582</c:v>
                </c:pt>
                <c:pt idx="7">
                  <c:v>31.975884851192017</c:v>
                </c:pt>
                <c:pt idx="8">
                  <c:v>41.988071210391624</c:v>
                </c:pt>
                <c:pt idx="9">
                  <c:v>37.255059021584422</c:v>
                </c:pt>
                <c:pt idx="10">
                  <c:v>31.677622125502268</c:v>
                </c:pt>
                <c:pt idx="11">
                  <c:v>40.139591946019323</c:v>
                </c:pt>
                <c:pt idx="12">
                  <c:v>31.646238489970614</c:v>
                </c:pt>
                <c:pt idx="13">
                  <c:v>37.314657725021441</c:v>
                </c:pt>
                <c:pt idx="14">
                  <c:v>34.159868126713228</c:v>
                </c:pt>
                <c:pt idx="15">
                  <c:v>33.735619994492232</c:v>
                </c:pt>
                <c:pt idx="16">
                  <c:v>38.296387319426579</c:v>
                </c:pt>
                <c:pt idx="17">
                  <c:v>30.90464024174689</c:v>
                </c:pt>
                <c:pt idx="18">
                  <c:v>32.159021285279557</c:v>
                </c:pt>
                <c:pt idx="19">
                  <c:v>31.14574841750219</c:v>
                </c:pt>
                <c:pt idx="20">
                  <c:v>35.618471378841072</c:v>
                </c:pt>
                <c:pt idx="21">
                  <c:v>32.108810915418829</c:v>
                </c:pt>
                <c:pt idx="22">
                  <c:v>35.431171116826228</c:v>
                </c:pt>
                <c:pt idx="23">
                  <c:v>30.758926372077383</c:v>
                </c:pt>
                <c:pt idx="24">
                  <c:v>38.560623807127648</c:v>
                </c:pt>
                <c:pt idx="25">
                  <c:v>37.183684254073214</c:v>
                </c:pt>
                <c:pt idx="26">
                  <c:v>30.151807556849437</c:v>
                </c:pt>
                <c:pt idx="27">
                  <c:v>29.730044273950423</c:v>
                </c:pt>
                <c:pt idx="28">
                  <c:v>31.041324683471416</c:v>
                </c:pt>
                <c:pt idx="29">
                  <c:v>31.048811309781907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2-457E-BB27-74B6BB1991C0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'DOY226'!$J$48:$J$85</c:f>
              <c:numCache>
                <c:formatCode>0.000</c:formatCode>
                <c:ptCount val="38"/>
                <c:pt idx="0">
                  <c:v>13.199</c:v>
                </c:pt>
                <c:pt idx="1">
                  <c:v>13.176</c:v>
                </c:pt>
                <c:pt idx="2">
                  <c:v>13.021000000000001</c:v>
                </c:pt>
                <c:pt idx="3">
                  <c:v>13.003</c:v>
                </c:pt>
                <c:pt idx="4">
                  <c:v>12.986000000000001</c:v>
                </c:pt>
                <c:pt idx="5">
                  <c:v>12.967000000000001</c:v>
                </c:pt>
                <c:pt idx="6">
                  <c:v>12.946</c:v>
                </c:pt>
                <c:pt idx="7">
                  <c:v>12.93</c:v>
                </c:pt>
                <c:pt idx="8">
                  <c:v>12.913</c:v>
                </c:pt>
                <c:pt idx="9">
                  <c:v>12.895</c:v>
                </c:pt>
                <c:pt idx="10">
                  <c:v>13.042999999999999</c:v>
                </c:pt>
                <c:pt idx="11">
                  <c:v>13.061999999999999</c:v>
                </c:pt>
                <c:pt idx="12">
                  <c:v>13.077999999999999</c:v>
                </c:pt>
                <c:pt idx="13">
                  <c:v>13.093</c:v>
                </c:pt>
                <c:pt idx="14">
                  <c:v>13.11</c:v>
                </c:pt>
                <c:pt idx="15">
                  <c:v>13.125999999999999</c:v>
                </c:pt>
                <c:pt idx="16">
                  <c:v>13.141999999999999</c:v>
                </c:pt>
                <c:pt idx="17">
                  <c:v>13.159000000000001</c:v>
                </c:pt>
                <c:pt idx="18">
                  <c:v>13.295999999999999</c:v>
                </c:pt>
                <c:pt idx="19">
                  <c:v>13.311999999999999</c:v>
                </c:pt>
                <c:pt idx="20">
                  <c:v>13.33</c:v>
                </c:pt>
                <c:pt idx="21">
                  <c:v>13.347</c:v>
                </c:pt>
                <c:pt idx="22">
                  <c:v>13.363</c:v>
                </c:pt>
                <c:pt idx="23">
                  <c:v>13.378</c:v>
                </c:pt>
                <c:pt idx="24">
                  <c:v>13.394</c:v>
                </c:pt>
                <c:pt idx="25">
                  <c:v>13.411</c:v>
                </c:pt>
                <c:pt idx="26">
                  <c:v>13.565</c:v>
                </c:pt>
                <c:pt idx="27">
                  <c:v>13.547000000000001</c:v>
                </c:pt>
                <c:pt idx="28">
                  <c:v>13.526</c:v>
                </c:pt>
                <c:pt idx="29">
                  <c:v>13.509</c:v>
                </c:pt>
                <c:pt idx="30">
                  <c:v>13.487</c:v>
                </c:pt>
                <c:pt idx="31">
                  <c:v>13.468999999999999</c:v>
                </c:pt>
                <c:pt idx="32">
                  <c:v>13.452</c:v>
                </c:pt>
                <c:pt idx="33">
                  <c:v>13.435</c:v>
                </c:pt>
                <c:pt idx="34">
                  <c:v>13.266</c:v>
                </c:pt>
                <c:pt idx="35">
                  <c:v>13.239000000000001</c:v>
                </c:pt>
                <c:pt idx="36">
                  <c:v>13.211</c:v>
                </c:pt>
                <c:pt idx="37">
                  <c:v>13.182</c:v>
                </c:pt>
              </c:numCache>
            </c:numRef>
          </c:xVal>
          <c:yVal>
            <c:numRef>
              <c:f>'DOY226'!$W$48:$W$85</c:f>
              <c:numCache>
                <c:formatCode>0.00</c:formatCode>
                <c:ptCount val="38"/>
                <c:pt idx="0">
                  <c:v>58.867625337616481</c:v>
                </c:pt>
                <c:pt idx="1">
                  <c:v>57.624940851224714</c:v>
                </c:pt>
                <c:pt idx="2">
                  <c:v>32.487892723305556</c:v>
                </c:pt>
                <c:pt idx="3">
                  <c:v>31.477085520240859</c:v>
                </c:pt>
                <c:pt idx="4">
                  <c:v>31.258067373710158</c:v>
                </c:pt>
                <c:pt idx="5">
                  <c:v>34.101917519314426</c:v>
                </c:pt>
                <c:pt idx="6">
                  <c:v>37.884537139495734</c:v>
                </c:pt>
                <c:pt idx="7">
                  <c:v>35.069347389209504</c:v>
                </c:pt>
                <c:pt idx="8">
                  <c:v>34.16369500211453</c:v>
                </c:pt>
                <c:pt idx="9">
                  <c:v>32.103007985869255</c:v>
                </c:pt>
                <c:pt idx="10">
                  <c:v>39.873207938463402</c:v>
                </c:pt>
                <c:pt idx="11">
                  <c:v>34.86953287147108</c:v>
                </c:pt>
                <c:pt idx="12">
                  <c:v>32.456653505278496</c:v>
                </c:pt>
                <c:pt idx="13">
                  <c:v>38.05245375449099</c:v>
                </c:pt>
                <c:pt idx="14">
                  <c:v>31.097809981555276</c:v>
                </c:pt>
                <c:pt idx="15">
                  <c:v>33.624368318867035</c:v>
                </c:pt>
                <c:pt idx="16">
                  <c:v>33.56999292530157</c:v>
                </c:pt>
                <c:pt idx="17">
                  <c:v>33.727171758943804</c:v>
                </c:pt>
                <c:pt idx="18">
                  <c:v>34.60413512980022</c:v>
                </c:pt>
                <c:pt idx="19">
                  <c:v>30.264126513057395</c:v>
                </c:pt>
                <c:pt idx="20">
                  <c:v>31.498058955588448</c:v>
                </c:pt>
                <c:pt idx="21">
                  <c:v>30.329517955850619</c:v>
                </c:pt>
                <c:pt idx="22">
                  <c:v>34.777812405807133</c:v>
                </c:pt>
                <c:pt idx="23">
                  <c:v>30.944686977894804</c:v>
                </c:pt>
                <c:pt idx="24">
                  <c:v>32.545410078190578</c:v>
                </c:pt>
                <c:pt idx="25">
                  <c:v>31.506616384859871</c:v>
                </c:pt>
                <c:pt idx="26">
                  <c:v>36.233661158213117</c:v>
                </c:pt>
                <c:pt idx="27">
                  <c:v>36.049777979955472</c:v>
                </c:pt>
                <c:pt idx="28">
                  <c:v>29.998219599271724</c:v>
                </c:pt>
                <c:pt idx="29">
                  <c:v>29.835172483613395</c:v>
                </c:pt>
                <c:pt idx="30">
                  <c:v>30.248508665232947</c:v>
                </c:pt>
                <c:pt idx="31">
                  <c:v>30.191139250230691</c:v>
                </c:pt>
                <c:pt idx="32">
                  <c:v>32.348101544043111</c:v>
                </c:pt>
                <c:pt idx="33">
                  <c:v>32.864072091587687</c:v>
                </c:pt>
                <c:pt idx="34">
                  <c:v>44.576303438726519</c:v>
                </c:pt>
                <c:pt idx="35">
                  <c:v>45.198079311377292</c:v>
                </c:pt>
                <c:pt idx="36">
                  <c:v>45.170415307183568</c:v>
                </c:pt>
                <c:pt idx="37">
                  <c:v>43.549552314432809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2-457E-BB27-74B6BB1991C0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('DOY226'!$J$17,'DOY226'!$J$26)</c:f>
              <c:numCache>
                <c:formatCode>0.000</c:formatCode>
                <c:ptCount val="2"/>
                <c:pt idx="0">
                  <c:v>12.89</c:v>
                </c:pt>
                <c:pt idx="1">
                  <c:v>13.291</c:v>
                </c:pt>
              </c:numCache>
            </c:numRef>
          </c:xVal>
          <c:yVal>
            <c:numRef>
              <c:f>('DOY226'!$W$17,'DOY226'!$W$26)</c:f>
              <c:numCache>
                <c:formatCode>0.00</c:formatCode>
                <c:ptCount val="2"/>
                <c:pt idx="0">
                  <c:v>31.975884851192017</c:v>
                </c:pt>
                <c:pt idx="1">
                  <c:v>38.296387319426579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32-457E-BB27-74B6BB1991C0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('DOY226'!$J$59,'DOY226'!$J$68)</c:f>
              <c:numCache>
                <c:formatCode>0.000</c:formatCode>
                <c:ptCount val="2"/>
                <c:pt idx="0">
                  <c:v>13.061999999999999</c:v>
                </c:pt>
                <c:pt idx="1">
                  <c:v>13.33</c:v>
                </c:pt>
              </c:numCache>
            </c:numRef>
          </c:xVal>
          <c:yVal>
            <c:numRef>
              <c:f>('DOY226'!$W$59,'DOY226'!$W$68)</c:f>
              <c:numCache>
                <c:formatCode>0.00</c:formatCode>
                <c:ptCount val="2"/>
                <c:pt idx="0">
                  <c:v>34.86953287147108</c:v>
                </c:pt>
                <c:pt idx="1">
                  <c:v>31.498058955588448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32-457E-BB27-74B6BB199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308383"/>
        <c:axId val="1"/>
      </c:scatterChart>
      <c:valAx>
        <c:axId val="1849308383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9308383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53503178796906E-2"/>
          <c:y val="6.8785367866176755E-2"/>
          <c:w val="0.72416071143581406"/>
          <c:h val="0.81219645903524096"/>
        </c:manualLayout>
      </c:layout>
      <c:scatterChart>
        <c:scatterStyle val="lineMarker"/>
        <c:varyColors val="0"/>
        <c:ser>
          <c:idx val="0"/>
          <c:order val="0"/>
          <c:tx>
            <c:v>Canopy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'DOY238'!$J$10:$J$39</c:f>
              <c:numCache>
                <c:formatCode>0.000</c:formatCode>
                <c:ptCount val="30"/>
                <c:pt idx="0">
                  <c:v>13.079000000000001</c:v>
                </c:pt>
                <c:pt idx="1">
                  <c:v>13.058999999999999</c:v>
                </c:pt>
                <c:pt idx="2">
                  <c:v>13.042</c:v>
                </c:pt>
                <c:pt idx="3">
                  <c:v>13.023</c:v>
                </c:pt>
                <c:pt idx="4">
                  <c:v>13.005000000000001</c:v>
                </c:pt>
                <c:pt idx="5">
                  <c:v>12.987</c:v>
                </c:pt>
                <c:pt idx="6">
                  <c:v>12.97</c:v>
                </c:pt>
                <c:pt idx="7">
                  <c:v>12.952</c:v>
                </c:pt>
                <c:pt idx="8">
                  <c:v>13.1</c:v>
                </c:pt>
                <c:pt idx="9">
                  <c:v>13.115</c:v>
                </c:pt>
                <c:pt idx="10">
                  <c:v>13.13</c:v>
                </c:pt>
                <c:pt idx="11">
                  <c:v>13.147</c:v>
                </c:pt>
                <c:pt idx="12">
                  <c:v>13.163</c:v>
                </c:pt>
                <c:pt idx="13">
                  <c:v>13.18</c:v>
                </c:pt>
                <c:pt idx="14">
                  <c:v>13.198</c:v>
                </c:pt>
                <c:pt idx="15">
                  <c:v>13.215</c:v>
                </c:pt>
                <c:pt idx="16">
                  <c:v>13.364000000000001</c:v>
                </c:pt>
                <c:pt idx="17">
                  <c:v>13.38</c:v>
                </c:pt>
                <c:pt idx="18">
                  <c:v>13.4</c:v>
                </c:pt>
                <c:pt idx="19">
                  <c:v>13.417</c:v>
                </c:pt>
                <c:pt idx="20">
                  <c:v>13.438000000000001</c:v>
                </c:pt>
                <c:pt idx="21">
                  <c:v>13.454000000000001</c:v>
                </c:pt>
                <c:pt idx="22">
                  <c:v>13.47</c:v>
                </c:pt>
                <c:pt idx="23">
                  <c:v>13.486000000000001</c:v>
                </c:pt>
                <c:pt idx="24">
                  <c:v>13.653</c:v>
                </c:pt>
                <c:pt idx="25">
                  <c:v>13.635999999999999</c:v>
                </c:pt>
                <c:pt idx="26">
                  <c:v>13.614000000000001</c:v>
                </c:pt>
                <c:pt idx="27">
                  <c:v>13.593</c:v>
                </c:pt>
                <c:pt idx="28">
                  <c:v>13.568</c:v>
                </c:pt>
                <c:pt idx="29">
                  <c:v>13.548</c:v>
                </c:pt>
              </c:numCache>
            </c:numRef>
          </c:xVal>
          <c:yVal>
            <c:numRef>
              <c:f>'DOY238'!$W$10:$W$39</c:f>
              <c:numCache>
                <c:formatCode>0.00</c:formatCode>
                <c:ptCount val="30"/>
                <c:pt idx="0">
                  <c:v>31.554326065288077</c:v>
                </c:pt>
                <c:pt idx="1">
                  <c:v>30.829518616816401</c:v>
                </c:pt>
                <c:pt idx="2">
                  <c:v>30.68396325416413</c:v>
                </c:pt>
                <c:pt idx="3">
                  <c:v>39.179949876358684</c:v>
                </c:pt>
                <c:pt idx="4">
                  <c:v>39.79455179551897</c:v>
                </c:pt>
                <c:pt idx="5">
                  <c:v>36.91283167851612</c:v>
                </c:pt>
                <c:pt idx="6">
                  <c:v>38.273680254249228</c:v>
                </c:pt>
                <c:pt idx="7">
                  <c:v>31.910201250073186</c:v>
                </c:pt>
                <c:pt idx="8">
                  <c:v>38.258981747124785</c:v>
                </c:pt>
                <c:pt idx="9">
                  <c:v>33.804595467655389</c:v>
                </c:pt>
                <c:pt idx="10">
                  <c:v>30.957807658664894</c:v>
                </c:pt>
                <c:pt idx="11">
                  <c:v>37.905815648086538</c:v>
                </c:pt>
                <c:pt idx="12">
                  <c:v>31.394688611689521</c:v>
                </c:pt>
                <c:pt idx="13">
                  <c:v>36.932461138124772</c:v>
                </c:pt>
                <c:pt idx="14">
                  <c:v>30.990635469242537</c:v>
                </c:pt>
                <c:pt idx="15">
                  <c:v>31.604515300879836</c:v>
                </c:pt>
                <c:pt idx="16">
                  <c:v>36.490085652110203</c:v>
                </c:pt>
                <c:pt idx="17">
                  <c:v>31.426350515095894</c:v>
                </c:pt>
                <c:pt idx="18">
                  <c:v>33.797869675027641</c:v>
                </c:pt>
                <c:pt idx="19">
                  <c:v>30.432783026528202</c:v>
                </c:pt>
                <c:pt idx="20">
                  <c:v>34.807561856933866</c:v>
                </c:pt>
                <c:pt idx="21">
                  <c:v>31.036957133613598</c:v>
                </c:pt>
                <c:pt idx="22">
                  <c:v>33.874521783860239</c:v>
                </c:pt>
                <c:pt idx="23">
                  <c:v>31.136162652869526</c:v>
                </c:pt>
                <c:pt idx="24">
                  <c:v>34.718167733574653</c:v>
                </c:pt>
                <c:pt idx="25">
                  <c:v>33.14276506021816</c:v>
                </c:pt>
                <c:pt idx="26">
                  <c:v>30.36738101660049</c:v>
                </c:pt>
                <c:pt idx="27">
                  <c:v>29.784257837182228</c:v>
                </c:pt>
                <c:pt idx="28">
                  <c:v>32.260306779430692</c:v>
                </c:pt>
                <c:pt idx="29">
                  <c:v>31.675854090727224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6B-4CAC-98CF-97C244899F27}"/>
            </c:ext>
          </c:extLst>
        </c:ser>
        <c:ser>
          <c:idx val="1"/>
          <c:order val="1"/>
          <c:tx>
            <c:v>Foliage</c:v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'DOY238'!$J$48:$J$85</c:f>
              <c:numCache>
                <c:formatCode>0.000</c:formatCode>
                <c:ptCount val="38"/>
                <c:pt idx="0">
                  <c:v>13.272</c:v>
                </c:pt>
                <c:pt idx="1">
                  <c:v>13.250999999999999</c:v>
                </c:pt>
                <c:pt idx="2">
                  <c:v>13.084</c:v>
                </c:pt>
                <c:pt idx="3">
                  <c:v>13.064</c:v>
                </c:pt>
                <c:pt idx="4">
                  <c:v>13.045999999999999</c:v>
                </c:pt>
                <c:pt idx="5">
                  <c:v>13.028</c:v>
                </c:pt>
                <c:pt idx="6">
                  <c:v>13.01</c:v>
                </c:pt>
                <c:pt idx="7">
                  <c:v>12.992000000000001</c:v>
                </c:pt>
                <c:pt idx="8">
                  <c:v>12.975</c:v>
                </c:pt>
                <c:pt idx="9">
                  <c:v>12.958</c:v>
                </c:pt>
                <c:pt idx="10">
                  <c:v>13.105</c:v>
                </c:pt>
                <c:pt idx="11">
                  <c:v>13.12</c:v>
                </c:pt>
                <c:pt idx="12">
                  <c:v>13.135</c:v>
                </c:pt>
                <c:pt idx="13">
                  <c:v>13.154</c:v>
                </c:pt>
                <c:pt idx="14">
                  <c:v>13.167999999999999</c:v>
                </c:pt>
                <c:pt idx="15">
                  <c:v>13.183999999999999</c:v>
                </c:pt>
                <c:pt idx="16">
                  <c:v>13.202999999999999</c:v>
                </c:pt>
                <c:pt idx="17">
                  <c:v>13.218999999999999</c:v>
                </c:pt>
                <c:pt idx="18">
                  <c:v>13.369</c:v>
                </c:pt>
                <c:pt idx="19">
                  <c:v>13.385</c:v>
                </c:pt>
                <c:pt idx="20">
                  <c:v>13.404999999999999</c:v>
                </c:pt>
                <c:pt idx="21">
                  <c:v>13.422000000000001</c:v>
                </c:pt>
                <c:pt idx="22">
                  <c:v>13.443</c:v>
                </c:pt>
                <c:pt idx="23">
                  <c:v>13.458</c:v>
                </c:pt>
                <c:pt idx="24">
                  <c:v>13.475</c:v>
                </c:pt>
                <c:pt idx="25">
                  <c:v>13.491</c:v>
                </c:pt>
                <c:pt idx="26">
                  <c:v>13.657999999999999</c:v>
                </c:pt>
                <c:pt idx="27">
                  <c:v>13.641</c:v>
                </c:pt>
                <c:pt idx="28">
                  <c:v>13.619</c:v>
                </c:pt>
                <c:pt idx="29">
                  <c:v>13.598000000000001</c:v>
                </c:pt>
                <c:pt idx="30">
                  <c:v>13.573</c:v>
                </c:pt>
                <c:pt idx="31">
                  <c:v>13.553000000000001</c:v>
                </c:pt>
                <c:pt idx="32">
                  <c:v>13.534000000000001</c:v>
                </c:pt>
                <c:pt idx="33">
                  <c:v>13.516999999999999</c:v>
                </c:pt>
                <c:pt idx="34">
                  <c:v>13.337999999999999</c:v>
                </c:pt>
                <c:pt idx="35">
                  <c:v>13.311</c:v>
                </c:pt>
                <c:pt idx="36">
                  <c:v>13.282999999999999</c:v>
                </c:pt>
                <c:pt idx="37">
                  <c:v>13.256</c:v>
                </c:pt>
              </c:numCache>
            </c:numRef>
          </c:xVal>
          <c:yVal>
            <c:numRef>
              <c:f>'DOY238'!$W$48:$W$85</c:f>
              <c:numCache>
                <c:formatCode>0.00</c:formatCode>
                <c:ptCount val="38"/>
                <c:pt idx="0">
                  <c:v>57.863794085182441</c:v>
                </c:pt>
                <c:pt idx="1">
                  <c:v>57.159981141373216</c:v>
                </c:pt>
                <c:pt idx="2">
                  <c:v>33.239786328073201</c:v>
                </c:pt>
                <c:pt idx="3">
                  <c:v>31.007068559140691</c:v>
                </c:pt>
                <c:pt idx="4">
                  <c:v>32.974962734042577</c:v>
                </c:pt>
                <c:pt idx="5">
                  <c:v>37.851672354538586</c:v>
                </c:pt>
                <c:pt idx="6">
                  <c:v>40.936605707264043</c:v>
                </c:pt>
                <c:pt idx="7">
                  <c:v>36.725230818580165</c:v>
                </c:pt>
                <c:pt idx="8">
                  <c:v>37.649566718277022</c:v>
                </c:pt>
                <c:pt idx="9">
                  <c:v>33.505156267659878</c:v>
                </c:pt>
                <c:pt idx="10">
                  <c:v>37.816351077164107</c:v>
                </c:pt>
                <c:pt idx="11">
                  <c:v>34.255901755026429</c:v>
                </c:pt>
                <c:pt idx="12">
                  <c:v>33.108267642392235</c:v>
                </c:pt>
                <c:pt idx="13">
                  <c:v>38.624646816596538</c:v>
                </c:pt>
                <c:pt idx="14">
                  <c:v>32.870352313969256</c:v>
                </c:pt>
                <c:pt idx="15">
                  <c:v>35.715047453391044</c:v>
                </c:pt>
                <c:pt idx="16">
                  <c:v>32.686114948235883</c:v>
                </c:pt>
                <c:pt idx="17">
                  <c:v>33.903594739318343</c:v>
                </c:pt>
                <c:pt idx="18">
                  <c:v>36.064207035741795</c:v>
                </c:pt>
                <c:pt idx="19">
                  <c:v>32.219981775408066</c:v>
                </c:pt>
                <c:pt idx="20">
                  <c:v>35.015216811517412</c:v>
                </c:pt>
                <c:pt idx="21">
                  <c:v>31.461409563767941</c:v>
                </c:pt>
                <c:pt idx="22">
                  <c:v>36.395714785350712</c:v>
                </c:pt>
                <c:pt idx="23">
                  <c:v>32.61511625635157</c:v>
                </c:pt>
                <c:pt idx="24">
                  <c:v>34.118271366295147</c:v>
                </c:pt>
                <c:pt idx="25">
                  <c:v>32.507423755387443</c:v>
                </c:pt>
                <c:pt idx="26">
                  <c:v>35.708596029318748</c:v>
                </c:pt>
                <c:pt idx="27">
                  <c:v>35.071649273928855</c:v>
                </c:pt>
                <c:pt idx="28">
                  <c:v>32.614827044401274</c:v>
                </c:pt>
                <c:pt idx="29">
                  <c:v>31.381925462893946</c:v>
                </c:pt>
                <c:pt idx="30">
                  <c:v>32.786935666349144</c:v>
                </c:pt>
                <c:pt idx="31">
                  <c:v>32.988550119327805</c:v>
                </c:pt>
                <c:pt idx="32">
                  <c:v>34.544814516358549</c:v>
                </c:pt>
                <c:pt idx="33">
                  <c:v>35.240821428267942</c:v>
                </c:pt>
                <c:pt idx="34">
                  <c:v>44.762129219131104</c:v>
                </c:pt>
                <c:pt idx="35">
                  <c:v>43.122411313025992</c:v>
                </c:pt>
                <c:pt idx="36">
                  <c:v>44.14344052246782</c:v>
                </c:pt>
                <c:pt idx="37">
                  <c:v>44.363243782387315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6B-4CAC-98CF-97C244899F27}"/>
            </c:ext>
          </c:extLst>
        </c:ser>
        <c:ser>
          <c:idx val="2"/>
          <c:order val="2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('DOY238'!$J$17,'DOY238'!$J$26)</c:f>
              <c:numCache>
                <c:formatCode>0.000</c:formatCode>
                <c:ptCount val="2"/>
                <c:pt idx="0">
                  <c:v>12.952</c:v>
                </c:pt>
                <c:pt idx="1">
                  <c:v>13.364000000000001</c:v>
                </c:pt>
              </c:numCache>
            </c:numRef>
          </c:xVal>
          <c:yVal>
            <c:numRef>
              <c:f>('DOY238'!$W$17,'DOY238'!$W$26)</c:f>
              <c:numCache>
                <c:formatCode>0.00</c:formatCode>
                <c:ptCount val="2"/>
                <c:pt idx="0">
                  <c:v>31.910201250073186</c:v>
                </c:pt>
                <c:pt idx="1">
                  <c:v>36.490085652110203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6B-4CAC-98CF-97C244899F27}"/>
            </c:ext>
          </c:extLst>
        </c:ser>
        <c:ser>
          <c:idx val="3"/>
          <c:order val="3"/>
          <c:tx>
            <c:v>NDH</c:v>
          </c:tx>
          <c:spPr>
            <a:ln w="38100">
              <a:noFill/>
            </a:ln>
          </c:spPr>
          <c:marker>
            <c:symbol val="triangle"/>
            <c:size val="5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('DOY238'!$J$59,'DOY238'!$J$68)</c:f>
              <c:numCache>
                <c:formatCode>0.000</c:formatCode>
                <c:ptCount val="2"/>
                <c:pt idx="0">
                  <c:v>13.12</c:v>
                </c:pt>
                <c:pt idx="1">
                  <c:v>13.404999999999999</c:v>
                </c:pt>
              </c:numCache>
            </c:numRef>
          </c:xVal>
          <c:yVal>
            <c:numRef>
              <c:f>('DOY238'!$W$59,'DOY238'!$W$68)</c:f>
              <c:numCache>
                <c:formatCode>0.00</c:formatCode>
                <c:ptCount val="2"/>
                <c:pt idx="0">
                  <c:v>34.255901755026429</c:v>
                </c:pt>
                <c:pt idx="1">
                  <c:v>35.015216811517412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6B-4CAC-98CF-97C244899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735471"/>
        <c:axId val="1"/>
      </c:scatterChart>
      <c:valAx>
        <c:axId val="1847735471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47735471"/>
        <c:crosses val="autoZero"/>
        <c:crossBetween val="midCat"/>
        <c:maj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71547296058922"/>
          <c:y val="0.30688856432601935"/>
          <c:w val="0.16828115580032249"/>
          <c:h val="0.33599006611555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ACF8739D-B401-41F3-A2F9-25BA49581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E36D6005-4A7D-4425-8E7F-8F0A7118F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87C27DD9-E88D-4E38-9597-5C1CCF962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DC059510-298D-45D4-AB73-542B62376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60071AB5-6B9D-4075-909E-CED4C809E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8D057BE1-DCBB-4A34-A348-4881C108B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0EC7E63C-FEF5-47EB-BEFB-4BD35ECD0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754966F-D520-4098-8702-4A4A55D48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8ED045FA-71DA-45C3-B78D-51D4EA893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82</xdr:row>
      <xdr:rowOff>152400</xdr:rowOff>
    </xdr:from>
    <xdr:to>
      <xdr:col>37</xdr:col>
      <xdr:colOff>57150</xdr:colOff>
      <xdr:row>105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28AD9355-38CA-4400-B25E-C58348EDE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86</xdr:row>
      <xdr:rowOff>152400</xdr:rowOff>
    </xdr:from>
    <xdr:to>
      <xdr:col>37</xdr:col>
      <xdr:colOff>57150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860982E6-09A5-4434-98E7-613D4B8B9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</xdr:colOff>
      <xdr:row>86</xdr:row>
      <xdr:rowOff>152400</xdr:rowOff>
    </xdr:from>
    <xdr:to>
      <xdr:col>37</xdr:col>
      <xdr:colOff>57150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68AAE89A-4B26-45F4-9CB5-B2330DBB8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9525</xdr:colOff>
      <xdr:row>86</xdr:row>
      <xdr:rowOff>152400</xdr:rowOff>
    </xdr:from>
    <xdr:to>
      <xdr:col>38</xdr:col>
      <xdr:colOff>57150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9A7D33CD-018B-426A-858B-479E39575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9525</xdr:colOff>
      <xdr:row>86</xdr:row>
      <xdr:rowOff>152400</xdr:rowOff>
    </xdr:from>
    <xdr:to>
      <xdr:col>38</xdr:col>
      <xdr:colOff>57150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490563CD-C4E8-4A76-9821-6C3F8033D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9525</xdr:colOff>
      <xdr:row>86</xdr:row>
      <xdr:rowOff>152400</xdr:rowOff>
    </xdr:from>
    <xdr:to>
      <xdr:col>38</xdr:col>
      <xdr:colOff>57150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159D4094-7168-4769-97A4-51F45DA7D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9525</xdr:colOff>
      <xdr:row>86</xdr:row>
      <xdr:rowOff>152400</xdr:rowOff>
    </xdr:from>
    <xdr:to>
      <xdr:col>38</xdr:col>
      <xdr:colOff>57150</xdr:colOff>
      <xdr:row>109</xdr:row>
      <xdr:rowOff>28575</xdr:rowOff>
    </xdr:to>
    <xdr:graphicFrame macro="">
      <xdr:nvGraphicFramePr>
        <xdr:cNvPr id="2" name="Chart 188">
          <a:extLst>
            <a:ext uri="{FF2B5EF4-FFF2-40B4-BE49-F238E27FC236}">
              <a16:creationId xmlns:a16="http://schemas.microsoft.com/office/drawing/2014/main" id="{F531C2AF-6736-4192-B897-FC29D6B90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02_F105_CO_FISE_IRT.xlsx" TargetMode="External"/><Relationship Id="rId1" Type="http://schemas.openxmlformats.org/officeDocument/2006/relationships/pivotCacheRecords" Target="pivotCacheRecords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0.748510300924" createdVersion="1" recordCount="72" xr:uid="{8BE4277C-0595-4212-8811-1699FBCE45D0}">
  <cacheSource type="worksheet">
    <worksheetSource ref="A9:Z81" sheet="DOY162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65" maxValue="13.643000000000001"/>
    </cacheField>
    <cacheField name="Obs1" numFmtId="0">
      <sharedItems containsSemiMixedTypes="0" containsString="0" containsNumber="1" minValue="28" maxValue="59"/>
    </cacheField>
    <cacheField name="Obs2" numFmtId="0">
      <sharedItems containsSemiMixedTypes="0" containsString="0" containsNumber="1" minValue="28.7" maxValue="61.8"/>
    </cacheField>
    <cacheField name="Obs3" numFmtId="0">
      <sharedItems containsSemiMixedTypes="0" containsString="0" containsNumber="1" minValue="28" maxValue="60.4"/>
    </cacheField>
    <cacheField name="Obs4" numFmtId="0">
      <sharedItems containsSemiMixedTypes="0" containsString="0" containsNumber="1" minValue="27.7" maxValue="61.8"/>
    </cacheField>
    <cacheField name="Obs5" numFmtId="0">
      <sharedItems containsSemiMixedTypes="0" containsString="0" containsNumber="1" minValue="28.1" maxValue="59.4"/>
    </cacheField>
    <cacheField name="Obs6" numFmtId="0">
      <sharedItems containsSemiMixedTypes="0" containsString="0" containsNumber="1" minValue="28" maxValue="61.4"/>
    </cacheField>
    <cacheField name="Obs7" numFmtId="0">
      <sharedItems containsSemiMixedTypes="0" containsString="0" containsNumber="1" minValue="29.1" maxValue="60.3"/>
    </cacheField>
    <cacheField name="Obs8" numFmtId="0">
      <sharedItems containsSemiMixedTypes="0" containsString="0" containsNumber="1" minValue="27.7" maxValue="62.9"/>
    </cacheField>
    <cacheField name="Obs9" numFmtId="0">
      <sharedItems containsSemiMixedTypes="0" containsString="0" containsNumber="1" minValue="28.8" maxValue="59.6"/>
    </cacheField>
    <cacheField name="Obs10" numFmtId="0">
      <sharedItems containsSemiMixedTypes="0" containsString="0" containsNumber="1" minValue="27.7" maxValue="61.7"/>
    </cacheField>
    <cacheField name="Obs11" numFmtId="0">
      <sharedItems containsSemiMixedTypes="0" containsString="0" containsNumber="1" minValue="27.5" maxValue="60.3"/>
    </cacheField>
    <cacheField name="Obs12" numFmtId="0">
      <sharedItems containsSemiMixedTypes="0" containsString="0" containsNumber="1" minValue="28" maxValue="62.7"/>
    </cacheField>
    <cacheField name="Mean" numFmtId="0">
      <sharedItems containsSemiMixedTypes="0" containsString="0" containsNumber="1" minValue="29.366666666666664" maxValue="60.8"/>
    </cacheField>
    <cacheField name="StdDev" numFmtId="0">
      <sharedItems containsSemiMixedTypes="0" containsString="0" containsNumber="1" minValue="0.21402822432586768" maxValue="2.0203306935031953"/>
    </cacheField>
    <cacheField name="Minimum" numFmtId="0">
      <sharedItems containsSemiMixedTypes="0" containsString="0" containsNumber="1" minValue="27.5" maxValue="59"/>
    </cacheField>
    <cacheField name="Quartile1" numFmtId="0">
      <sharedItems containsSemiMixedTypes="0" containsString="0" containsNumber="1" minValue="28.175000000000001" maxValue="59.9"/>
    </cacheField>
    <cacheField name="Median" numFmtId="0">
      <sharedItems containsSemiMixedTypes="0" containsString="0" containsNumber="1" minValue="29.3" maxValue="6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0.746453472224" createdVersion="1" recordCount="72" xr:uid="{15A203E9-A385-43B0-A6F2-3E3BCB4FEE7D}">
  <cacheSource type="worksheet">
    <worksheetSource ref="A9:Z81" sheet="DOY163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2.965" maxValue="13.746"/>
    </cacheField>
    <cacheField name="Obs1" numFmtId="0">
      <sharedItems containsSemiMixedTypes="0" containsString="0" containsNumber="1" minValue="25.9" maxValue="61"/>
    </cacheField>
    <cacheField name="Obs2" numFmtId="0">
      <sharedItems containsSemiMixedTypes="0" containsString="0" containsNumber="1" minValue="26" maxValue="64.7"/>
    </cacheField>
    <cacheField name="Obs3" numFmtId="0">
      <sharedItems containsSemiMixedTypes="0" containsString="0" containsNumber="1" minValue="26.7" maxValue="63.1"/>
    </cacheField>
    <cacheField name="Obs4" numFmtId="0">
      <sharedItems containsSemiMixedTypes="0" containsString="0" containsNumber="1" minValue="26.3" maxValue="63.9"/>
    </cacheField>
    <cacheField name="Obs5" numFmtId="0">
      <sharedItems containsSemiMixedTypes="0" containsString="0" containsNumber="1" minValue="26.8" maxValue="64.5"/>
    </cacheField>
    <cacheField name="Obs6" numFmtId="0">
      <sharedItems containsSemiMixedTypes="0" containsString="0" containsNumber="1" minValue="26.5" maxValue="64.099999999999994"/>
    </cacheField>
    <cacheField name="Obs7" numFmtId="0">
      <sharedItems containsSemiMixedTypes="0" containsString="0" containsNumber="1" minValue="26.1" maxValue="65.599999999999994"/>
    </cacheField>
    <cacheField name="Obs8" numFmtId="0">
      <sharedItems containsSemiMixedTypes="0" containsString="0" containsNumber="1" minValue="26.6" maxValue="61.2"/>
    </cacheField>
    <cacheField name="Obs9" numFmtId="0">
      <sharedItems containsSemiMixedTypes="0" containsString="0" containsNumber="1" minValue="26.5" maxValue="64.099999999999994"/>
    </cacheField>
    <cacheField name="Obs10" numFmtId="0">
      <sharedItems containsSemiMixedTypes="0" containsString="0" containsNumber="1" minValue="26.7" maxValue="62.8"/>
    </cacheField>
    <cacheField name="Obs11" numFmtId="0">
      <sharedItems containsSemiMixedTypes="0" containsString="0" containsNumber="1" minValue="26.7" maxValue="64.099999999999994"/>
    </cacheField>
    <cacheField name="Obs12" numFmtId="0">
      <sharedItems containsSemiMixedTypes="0" containsString="0" containsNumber="1" minValue="27.1" maxValue="64.599999999999994"/>
    </cacheField>
    <cacheField name="Mean" numFmtId="0">
      <sharedItems containsSemiMixedTypes="0" containsString="0" containsNumber="1" minValue="27.241666666666664" maxValue="63.125"/>
    </cacheField>
    <cacheField name="StdDev" numFmtId="0">
      <sharedItems containsSemiMixedTypes="0" containsString="0" containsNumber="1" minValue="0.11247895426041132" maxValue="3.5533879124809507"/>
    </cacheField>
    <cacheField name="Minimum" numFmtId="0">
      <sharedItems containsSemiMixedTypes="0" containsString="0" containsNumber="1" minValue="25.9" maxValue="60.4"/>
    </cacheField>
    <cacheField name="Quartile1" numFmtId="0">
      <sharedItems containsSemiMixedTypes="0" containsString="0" containsNumber="1" minValue="26.65" maxValue="62.3"/>
    </cacheField>
    <cacheField name="Median" numFmtId="0">
      <sharedItems containsSemiMixedTypes="0" containsString="0" containsNumber="1" minValue="27.2" maxValue="63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J. Pinter" refreshedDate="37494.735652430558" createdVersion="1" refreshedVersion="1" recordCount="76" xr:uid="{77F5B9FF-9D76-4503-B950-9B5BDCB96A7C}">
  <cacheSource type="worksheet">
    <worksheetSource ref="B9:AA85" sheet="DOY238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9">
        <s v="FSH"/>
        <s v="FTL"/>
        <s v="FDH"/>
        <s v="NTL"/>
        <s v="NDL"/>
        <s v="NTH"/>
        <s v="FTH"/>
        <s v="NDH"/>
        <s v="NSL"/>
        <s v="FSL"/>
        <s v="NSH"/>
        <s v="FDL"/>
        <s v="WS"/>
        <s v="Late"/>
        <s v="DS"/>
        <s v="Early"/>
        <s v="15Jul" u="1"/>
        <s v="1Jun" u="1"/>
        <e v="#N/A" u="1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7"/>
        <n v="6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0" maxValue="2" count="3">
        <n v="1"/>
        <n v="2"/>
        <n v="0" u="1"/>
      </sharedItems>
    </cacheField>
    <cacheField name="Time" numFmtId="0">
      <sharedItems containsSemiMixedTypes="0" containsString="0" containsNumber="1" minValue="12.952" maxValue="13.657999999999999"/>
    </cacheField>
    <cacheField name="Obs1" numFmtId="0">
      <sharedItems containsSemiMixedTypes="0" containsString="0" containsNumber="1" minValue="27.730741252049288" maxValue="60.71696131074706"/>
    </cacheField>
    <cacheField name="Obs2" numFmtId="0">
      <sharedItems containsSemiMixedTypes="0" containsString="0" containsNumber="1" minValue="28.123660534070677" maxValue="57.619669934885067"/>
    </cacheField>
    <cacheField name="Obs3" numFmtId="0">
      <sharedItems containsSemiMixedTypes="0" containsString="0" containsNumber="1" minValue="28.221784683231192" maxValue="61.544133981593241"/>
    </cacheField>
    <cacheField name="Obs4" numFmtId="0">
      <sharedItems containsSemiMixedTypes="0" containsString="0" containsNumber="1" minValue="27.534027999811009" maxValue="58.462481964765765"/>
    </cacheField>
    <cacheField name="Obs5" numFmtId="0">
      <sharedItems containsSemiMixedTypes="0" containsString="0" containsNumber="1" minValue="28.809641938897748" maxValue="57.788570489164663"/>
    </cacheField>
    <cacheField name="Obs6" numFmtId="0">
      <sharedItems containsSemiMixedTypes="0" containsString="0" containsNumber="1" minValue="28.90747020829275" maxValue="59.9688919469924"/>
    </cacheField>
    <cacheField name="Obs7" numFmtId="0">
      <sharedItems containsSemiMixedTypes="0" containsString="0" containsNumber="1" minValue="29.200701405250165" maxValue="60.301789905151551"/>
    </cacheField>
    <cacheField name="Obs8" numFmtId="0">
      <sharedItems containsSemiMixedTypes="0" containsString="0" containsNumber="1" minValue="29.68857469608723" maxValue="58.798423257655976"/>
    </cacheField>
    <cacheField name="Obs9" numFmtId="0">
      <sharedItems containsSemiMixedTypes="0" containsString="0" containsNumber="1" minValue="29.00525620914982" maxValue="61.048337601540709"/>
    </cacheField>
    <cacheField name="Obs10" numFmtId="0">
      <sharedItems containsSemiMixedTypes="0" containsString="0" containsNumber="1" minValue="29.395977527198784" maxValue="57.788570489164663"/>
    </cacheField>
    <cacheField name="Obs11" numFmtId="0">
      <sharedItems containsSemiMixedTypes="0" containsString="0" containsNumber="1" minValue="29.00525620914982" maxValue="62.284975425361687"/>
    </cacheField>
    <cacheField name="Obs12" numFmtId="0">
      <sharedItems containsSemiMixedTypes="0" containsString="0" containsNumber="1" minValue="29.298360600493442" maxValue="58.210082175449841"/>
    </cacheField>
    <cacheField name="Mean" numFmtId="0">
      <sharedItems containsSemiMixedTypes="0" containsString="0" containsNumber="1" minValue="29.784257837182228" maxValue="58.012450336393762"/>
    </cacheField>
    <cacheField name="StdErr" numFmtId="0">
      <sharedItems containsSemiMixedTypes="0" containsString="0" containsNumber="1" minValue="0.17979991505925003" maxValue="1.5274487293234502"/>
    </cacheField>
    <cacheField name="Minimum" numFmtId="0">
      <sharedItems containsSemiMixedTypes="0" containsString="0" containsNumber="1" minValue="27.534027999811009" maxValue="57.111953827135956"/>
    </cacheField>
    <cacheField name="Quartile1" numFmtId="0">
      <sharedItems containsSemiMixedTypes="0" containsString="0" containsNumber="1" minValue="29.273945801682622" maxValue="57.598541514898393"/>
    </cacheField>
    <cacheField name="Median" numFmtId="0">
      <sharedItems containsSemiMixedTypes="0" containsString="0" containsNumber="1" minValue="29.980770313865335" maxValue="57.9572174322166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2.772015162038" createdVersion="1" recordCount="76" xr:uid="{3CE721BA-D2E7-4853-ACF1-9F03E839E2C0}">
  <cacheSource type="worksheet">
    <worksheetSource ref="B9:AA85" sheet="DOY226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9">
        <s v="FSH"/>
        <s v="FTL"/>
        <s v="FDH"/>
        <s v="NTL"/>
        <s v="NDL"/>
        <s v="NTH"/>
        <s v="FTH"/>
        <s v="NDH"/>
        <s v="NSL"/>
        <s v="FSL"/>
        <s v="NSH"/>
        <s v="FDL"/>
        <s v="WS"/>
        <s v="Late"/>
        <s v="DS"/>
        <s v="Early"/>
        <s v="1Jun" u="1"/>
        <s v="15Jul" u="1"/>
        <e v="#N/A" u="1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7"/>
        <n v="6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0" maxValue="2" count="3">
        <n v="1"/>
        <n v="2"/>
        <n v="0" u="1"/>
      </sharedItems>
    </cacheField>
    <cacheField name="Time" numFmtId="0">
      <sharedItems containsSemiMixedTypes="0" containsString="0" containsNumber="1" minValue="12.89" maxValue="13.565"/>
    </cacheField>
    <cacheField name="Obs1" numFmtId="0">
      <sharedItems containsSemiMixedTypes="0" containsString="0" containsNumber="1" minValue="28.99857248599827" maxValue="63.668317526889986"/>
    </cacheField>
    <cacheField name="Obs2" numFmtId="0">
      <sharedItems containsSemiMixedTypes="0" containsString="0" containsNumber="1" minValue="29.194017682098615" maxValue="58.791739534504423"/>
    </cacheField>
    <cacheField name="Obs3" numFmtId="0">
      <sharedItems containsSemiMixedTypes="0" containsString="0" containsNumber="1" minValue="29.291676877341892" maxValue="59.461593230464146"/>
    </cacheField>
    <cacheField name="Obs4" numFmtId="0">
      <sharedItems containsSemiMixedTypes="0" containsString="0" containsNumber="1" minValue="29.194017682098615" maxValue="61.041653878389155"/>
    </cacheField>
    <cacheField name="Obs5" numFmtId="0">
      <sharedItems containsSemiMixedTypes="0" containsString="0" containsNumber="1" minValue="29.389293804047234" maxValue="59.628633969074762"/>
    </cacheField>
    <cacheField name="Obs6" numFmtId="0">
      <sharedItems containsSemiMixedTypes="0" containsString="0" containsNumber="1" minValue="29.291676877341892" maxValue="63.586889450212254"/>
    </cacheField>
    <cacheField name="Obs7" numFmtId="0">
      <sharedItems containsSemiMixedTypes="0" containsString="0" containsNumber="1" minValue="29.779338825489305" maxValue="61.45492319977776"/>
    </cacheField>
    <cacheField name="Obs8" numFmtId="0">
      <sharedItems containsSemiMixedTypes="0" containsString="0" containsNumber="1" minValue="28.705087677813268" maxValue="60.958873208497643"/>
    </cacheField>
    <cacheField name="Obs9" numFmtId="0">
      <sharedItems containsSemiMixedTypes="0" containsString="0" containsNumber="1" minValue="29.389293804047234" maxValue="59.378009458351947"/>
    </cacheField>
    <cacheField name="Obs10" numFmtId="0">
      <sharedItems containsSemiMixedTypes="0" containsString="0" containsNumber="1" minValue="28.215100960079642" maxValue="62.1139561500271"/>
    </cacheField>
    <cacheField name="Obs11" numFmtId="0">
      <sharedItems containsSemiMixedTypes="0" containsString="0" containsNumber="1" minValue="29.486868462214648" maxValue="59.04325168452381"/>
    </cacheField>
    <cacheField name="Obs12" numFmtId="0">
      <sharedItems containsSemiMixedTypes="0" containsString="0" containsNumber="1" minValue="28.99857248599827" maxValue="63.668317526889986"/>
    </cacheField>
    <cacheField name="Mean" numFmtId="0">
      <sharedItems containsSemiMixedTypes="0" containsString="0" containsNumber="1" minValue="29.730044273950423" maxValue="58.867625337616481"/>
    </cacheField>
    <cacheField name="StdErr" numFmtId="0">
      <sharedItems containsSemiMixedTypes="0" containsString="0" containsNumber="1" minValue="7.1200426147502965E-2" maxValue="1.4608345489552816"/>
    </cacheField>
    <cacheField name="Minimum" numFmtId="0">
      <sharedItems containsSemiMixedTypes="0" containsString="0" containsNumber="1" minValue="28.215100960079642" maxValue="57.697457623142284"/>
    </cacheField>
    <cacheField name="Quartile1" numFmtId="0">
      <sharedItems containsSemiMixedTypes="0" containsString="0" containsNumber="1" minValue="29.389293804047234" maxValue="58.497812037494462"/>
    </cacheField>
    <cacheField name="Median" numFmtId="0">
      <sharedItems containsSemiMixedTypes="0" containsString="0" containsNumber="1" minValue="29.633145912389907" maxValue="59.4198013444080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2.770194212964" createdVersion="1" recordCount="76" xr:uid="{8C485A7D-7992-4FBF-B9E7-21A1465AEDE1}">
  <cacheSource type="worksheet">
    <worksheetSource ref="B9:AA85" sheet="DOY225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9">
        <s v="FSH"/>
        <s v="FTL"/>
        <s v="FDH"/>
        <s v="NTL"/>
        <s v="NDL"/>
        <s v="NTH"/>
        <s v="FTH"/>
        <s v="NDH"/>
        <s v="NSL"/>
        <s v="FSL"/>
        <s v="NSH"/>
        <s v="FDL"/>
        <s v="WS"/>
        <s v="Late"/>
        <s v="DS"/>
        <s v="Early"/>
        <s v="1Jun" u="1"/>
        <s v="15Jul" u="1"/>
        <e v="#N/A" u="1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7"/>
        <n v="6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0" maxValue="2" count="3">
        <n v="1"/>
        <n v="2"/>
        <n v="0" u="1"/>
      </sharedItems>
    </cacheField>
    <cacheField name="Time" numFmtId="0">
      <sharedItems containsSemiMixedTypes="0" containsString="0" containsNumber="1" minValue="12.983000000000001" maxValue="13.77"/>
    </cacheField>
    <cacheField name="Obs1" numFmtId="0">
      <sharedItems containsSemiMixedTypes="0" containsString="0" containsNumber="1" minValue="28.874051592535" maxValue="62.988974501799959"/>
    </cacheField>
    <cacheField name="Obs2" numFmtId="0">
      <sharedItems containsSemiMixedTypes="0" containsString="0" containsNumber="1" minValue="28.97183759339207" maxValue="59.01651679191761"/>
    </cacheField>
    <cacheField name="Obs3" numFmtId="0">
      <sharedItems containsSemiMixedTypes="0" containsString="0" containsNumber="1" minValue="29.460133569608448" maxValue="62.251556809603933"/>
    </cacheField>
    <cacheField name="Obs4" numFmtId="0">
      <sharedItems containsSemiMixedTypes="0" containsString="0" containsNumber="1" minValue="27.40218935512722" maxValue="58.681082721482568"/>
    </cacheField>
    <cacheField name="Obs5" numFmtId="0">
      <sharedItems containsSemiMixedTypes="0" containsString="0" containsNumber="1" minValue="28.482484903727411" maxValue="60.018761223581315"/>
    </cacheField>
    <cacheField name="Obs6" numFmtId="0">
      <sharedItems containsSemiMixedTypes="0" containsString="0" containsNumber="1" minValue="29.264941984735692" maxValue="58.597118532528988"/>
    </cacheField>
    <cacheField name="Obs7" numFmtId="0">
      <sharedItems containsSemiMixedTypes="0" containsString="0" containsNumber="1" minValue="29.264941984735692" maxValue="60.102006847390086"/>
    </cacheField>
    <cacheField name="Obs8" numFmtId="0">
      <sharedItems containsSemiMixedTypes="0" containsString="0" containsNumber="1" minValue="28.776223323139998" maxValue="58.681082721482568"/>
    </cacheField>
    <cacheField name="Obs9" numFmtId="0">
      <sharedItems containsSemiMixedTypes="0" containsString="0" containsNumber="1" minValue="29.167282789492415" maxValue="59.768770740927465"/>
    </cacheField>
    <cacheField name="Obs10" numFmtId="0">
      <sharedItems containsSemiMixedTypes="0" containsString="0" containsNumber="1" minValue="29.65515608032948" maxValue="58.932721677115751"/>
    </cacheField>
    <cacheField name="Obs11" numFmtId="0">
      <sharedItems containsSemiMixedTypes="0" containsString="0" containsNumber="1" minValue="29.069581325711209" maxValue="62.169410167781386"/>
    </cacheField>
    <cacheField name="Obs12" numFmtId="0">
      <sharedItems containsSemiMixedTypes="0" containsString="0" containsNumber="1" minValue="28.874051592535" maxValue="58.597118532528988"/>
    </cacheField>
    <cacheField name="Mean" numFmtId="0">
      <sharedItems containsSemiMixedTypes="0" containsString="0" containsNumber="1" minValue="29.296114277577701" maxValue="58.729783563830786"/>
    </cacheField>
    <cacheField name="StdErr" numFmtId="0">
      <sharedItems containsSemiMixedTypes="0" containsString="0" containsNumber="1" minValue="8.8569661784474674E-2" maxValue="1.741217628230431"/>
    </cacheField>
    <cacheField name="Minimum" numFmtId="0">
      <sharedItems containsSemiMixedTypes="0" containsString="0" containsNumber="1" minValue="27.40218935512722" maxValue="58.092445759510916"/>
    </cacheField>
    <cacheField name="Quartile1" numFmtId="0">
      <sharedItems containsSemiMixedTypes="0" containsString="0" containsNumber="1" minValue="28.947391093177803" maxValue="58.57611691815611"/>
    </cacheField>
    <cacheField name="Median" numFmtId="0">
      <sharedItems containsSemiMixedTypes="0" containsString="0" containsNumber="1" minValue="29.508899764423191" maxValue="58.7230436816903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80.338713773148" createdVersion="1" recordCount="76" xr:uid="{AE88D376-4E12-49AD-8A12-6A699552894B}">
  <cacheSource type="worksheet">
    <worksheetSource ref="B9:AA85" sheet="DOY223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9">
        <s v="FSH"/>
        <s v="FTL"/>
        <s v="FDH"/>
        <s v="NTL"/>
        <s v="NDL"/>
        <s v="NTH"/>
        <s v="FTH"/>
        <s v="NDH"/>
        <s v="NSL"/>
        <s v="FSL"/>
        <s v="NSH"/>
        <s v="FDL"/>
        <s v="WS"/>
        <s v="Late"/>
        <s v="DS"/>
        <s v="Early"/>
        <s v="1Jun" u="1"/>
        <s v="15Jul" u="1"/>
        <e v="#N/A" u="1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7"/>
        <n v="6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0" maxValue="2" count="3">
        <n v="1"/>
        <n v="2"/>
        <n v="0" u="1"/>
      </sharedItems>
    </cacheField>
    <cacheField name="Time" numFmtId="0">
      <sharedItems containsSemiMixedTypes="0" containsString="0" containsNumber="1" minValue="13.085000000000001" maxValue="13.712999999999999"/>
    </cacheField>
    <cacheField name="Obs1" numFmtId="0">
      <sharedItems containsSemiMixedTypes="0" containsString="0" containsNumber="1" minValue="30.031326433013277" maxValue="60.504233492061807"/>
    </cacheField>
    <cacheField name="Obs2" numFmtId="0">
      <sharedItems containsSemiMixedTypes="0" containsString="0" containsNumber="1" minValue="29.544298512934834" maxValue="60.171842756357812"/>
    </cacheField>
    <cacheField name="Obs3" numFmtId="0">
      <sharedItems containsSemiMixedTypes="0" containsString="0" containsNumber="1" minValue="30.031326433013277" maxValue="61.084289940833443"/>
    </cacheField>
    <cacheField name="Obs4" numFmtId="0">
      <sharedItems containsSemiMixedTypes="0" containsString="0" containsNumber="1" minValue="29.64178863402638" maxValue="60.255003843090705"/>
    </cacheField>
    <cacheField name="Obs5" numFmtId="0">
      <sharedItems containsSemiMixedTypes="0" containsString="0" containsNumber="1" minValue="30.225841721279139" maxValue="61.166986073649106"/>
    </cacheField>
    <cacheField name="Obs6" numFmtId="0">
      <sharedItems containsSemiMixedTypes="0" containsString="0" containsNumber="1" minValue="30.12860521141517" maxValue="61.991622632219418"/>
    </cacheField>
    <cacheField name="Obs7" numFmtId="0">
      <sharedItems containsSemiMixedTypes="0" containsString="0" containsNumber="1" minValue="30.420187935393276" maxValue="60.421199210942696"/>
    </cacheField>
    <cacheField name="Obs8" numFmtId="0">
      <sharedItems containsSemiMixedTypes="0" containsString="0" containsNumber="1" minValue="30.12860521141517" maxValue="62.156042721478293"/>
    </cacheField>
    <cacheField name="Obs9" numFmtId="0">
      <sharedItems containsSemiMixedTypes="0" containsString="0" containsNumber="1" minValue="29.544298512934834" maxValue="61.166986073649106"/>
    </cacheField>
    <cacheField name="Obs10" numFmtId="0">
      <sharedItems containsSemiMixedTypes="0" containsString="0" containsNumber="1" minValue="29.251574538432592" maxValue="60.255003843090705"/>
    </cacheField>
    <cacheField name="Obs11" numFmtId="0">
      <sharedItems containsSemiMixedTypes="0" containsString="0" containsNumber="1" minValue="31.002212132825331" maxValue="62.402355841332152"/>
    </cacheField>
    <cacheField name="Obs12" numFmtId="0">
      <sharedItems containsSemiMixedTypes="0" containsString="0" containsNumber="1" minValue="30.711390242529994" maxValue="60.587225504642973"/>
    </cacheField>
    <cacheField name="Mean" numFmtId="0">
      <sharedItems containsSemiMixedTypes="0" containsString="0" containsNumber="1" minValue="30.200708357323482" maxValue="60.64032384765455"/>
    </cacheField>
    <cacheField name="StdErr" numFmtId="0">
      <sharedItems containsSemiMixedTypes="0" containsString="0" containsNumber="1" minValue="9.3642771074182923E-2" maxValue="1.593610743926454"/>
    </cacheField>
    <cacheField name="Minimum" numFmtId="0">
      <sharedItems containsSemiMixedTypes="0" containsString="0" containsNumber="1" minValue="29.251574538432592" maxValue="59.755403294624372"/>
    </cacheField>
    <cacheField name="Quartile1" numFmtId="0">
      <sharedItems containsSemiMixedTypes="0" containsString="0" containsNumber="1" minValue="29.64178863402638" maxValue="59.984571804191553"/>
    </cacheField>
    <cacheField name="Median" numFmtId="0">
      <sharedItems containsSemiMixedTypes="0" containsString="0" containsNumber="1" minValue="30.079965822214223" maxValue="60.4627163515022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45.500198379632" createdVersion="1" recordCount="76" xr:uid="{0A291E72-FD3C-47FE-9F7C-AF32E48C0229}">
  <cacheSource type="worksheet">
    <worksheetSource ref="A9:Z85" sheet="DOY188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NSH"/>
        <s v="FDL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7"/>
        <n v="6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153" maxValue="13.917"/>
    </cacheField>
    <cacheField name="Obs1" numFmtId="0">
      <sharedItems containsSemiMixedTypes="0" containsString="0" containsNumber="1" minValue="29.1" maxValue="71.8"/>
    </cacheField>
    <cacheField name="Obs2" numFmtId="0">
      <sharedItems containsSemiMixedTypes="0" containsString="0" containsNumber="1" minValue="27.6" maxValue="69.8"/>
    </cacheField>
    <cacheField name="Obs3" numFmtId="0">
      <sharedItems containsSemiMixedTypes="0" containsString="0" containsNumber="1" minValue="28.7" maxValue="66.5"/>
    </cacheField>
    <cacheField name="Obs4" numFmtId="0">
      <sharedItems containsSemiMixedTypes="0" containsString="0" containsNumber="1" minValue="28.6" maxValue="68.7"/>
    </cacheField>
    <cacheField name="Obs5" numFmtId="0">
      <sharedItems containsSemiMixedTypes="0" containsString="0" containsNumber="1" minValue="27.8" maxValue="65.2"/>
    </cacheField>
    <cacheField name="Obs6" numFmtId="0">
      <sharedItems containsSemiMixedTypes="0" containsString="0" containsNumber="1" minValue="27.3" maxValue="68.400000000000006"/>
    </cacheField>
    <cacheField name="Obs7" numFmtId="0">
      <sharedItems containsSemiMixedTypes="0" containsString="0" containsNumber="1" minValue="28.9" maxValue="67.599999999999994"/>
    </cacheField>
    <cacheField name="Obs8" numFmtId="0">
      <sharedItems containsSemiMixedTypes="0" containsString="0" containsNumber="1" minValue="29" maxValue="69.8"/>
    </cacheField>
    <cacheField name="Obs9" numFmtId="0">
      <sharedItems containsSemiMixedTypes="0" containsString="0" containsNumber="1" minValue="28.6" maxValue="67.099999999999994"/>
    </cacheField>
    <cacheField name="Obs10" numFmtId="0">
      <sharedItems containsSemiMixedTypes="0" containsString="0" containsNumber="1" minValue="28.2" maxValue="68.2"/>
    </cacheField>
    <cacheField name="Obs11" numFmtId="0">
      <sharedItems containsSemiMixedTypes="0" containsString="0" containsNumber="1" minValue="28.8" maxValue="67.099999999999994"/>
    </cacheField>
    <cacheField name="Obs12" numFmtId="0">
      <sharedItems containsSemiMixedTypes="0" containsString="0" containsNumber="1" minValue="29.3" maxValue="69.5"/>
    </cacheField>
    <cacheField name="Mean" numFmtId="0">
      <sharedItems containsSemiMixedTypes="0" containsString="0" containsNumber="1" minValue="29.116666666666664" maxValue="67.349999999999994"/>
    </cacheField>
    <cacheField name="StdErr" numFmtId="0">
      <sharedItems containsSemiMixedTypes="0" containsString="0" containsNumber="1" minValue="0.12512619892178228" maxValue="3.1240513711680484"/>
    </cacheField>
    <cacheField name="Minimum" numFmtId="0">
      <sharedItems containsString="0" containsBlank="1" containsNumber="1" minValue="27.3" maxValue="64.7"/>
    </cacheField>
    <cacheField name="Quartile1" numFmtId="0">
      <sharedItems containsString="0" containsBlank="1" containsNumber="1" minValue="28.65" maxValue="66.349999999999994"/>
    </cacheField>
    <cacheField name="Median" numFmtId="0">
      <sharedItems containsString="0" containsBlank="1" containsNumber="1" minValue="28.95" maxValue="67.65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45.496007291666" createdVersion="1" recordCount="76" xr:uid="{78D95A06-5D69-4E25-8A51-430EEFC904F6}">
  <cacheSource type="worksheet">
    <worksheetSource ref="A9:Z85" sheet="DOY187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NSH"/>
        <s v="FDL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7"/>
        <n v="6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208" maxValue="14.124000000000001"/>
    </cacheField>
    <cacheField name="Obs1" numFmtId="0">
      <sharedItems containsSemiMixedTypes="0" containsString="0" containsNumber="1" minValue="27.9" maxValue="68.2"/>
    </cacheField>
    <cacheField name="Obs2" numFmtId="0">
      <sharedItems containsSemiMixedTypes="0" containsString="0" containsNumber="1" minValue="28.6" maxValue="67.900000000000006"/>
    </cacheField>
    <cacheField name="Obs3" numFmtId="0">
      <sharedItems containsSemiMixedTypes="0" containsString="0" containsNumber="1" minValue="28.6" maxValue="64"/>
    </cacheField>
    <cacheField name="Obs4" numFmtId="0">
      <sharedItems containsSemiMixedTypes="0" containsString="0" containsNumber="1" minValue="27.6" maxValue="66.400000000000006"/>
    </cacheField>
    <cacheField name="Obs5" numFmtId="0">
      <sharedItems containsSemiMixedTypes="0" containsString="0" containsNumber="1" minValue="27.8" maxValue="66.599999999999994"/>
    </cacheField>
    <cacheField name="Obs6" numFmtId="0">
      <sharedItems containsSemiMixedTypes="0" containsString="0" containsNumber="1" minValue="27.3" maxValue="68.099999999999994"/>
    </cacheField>
    <cacheField name="Obs7" numFmtId="0">
      <sharedItems containsSemiMixedTypes="0" containsString="0" containsNumber="1" minValue="27.5" maxValue="66.2"/>
    </cacheField>
    <cacheField name="Obs8" numFmtId="0">
      <sharedItems containsSemiMixedTypes="0" containsString="0" containsNumber="1" minValue="28.4" maxValue="67.599999999999994"/>
    </cacheField>
    <cacheField name="Obs9" numFmtId="0">
      <sharedItems containsSemiMixedTypes="0" containsString="0" containsNumber="1" minValue="27.7" maxValue="65.5"/>
    </cacheField>
    <cacheField name="Obs10" numFmtId="0">
      <sharedItems containsSemiMixedTypes="0" containsString="0" containsNumber="1" minValue="27" maxValue="67.599999999999994"/>
    </cacheField>
    <cacheField name="Obs11" numFmtId="0">
      <sharedItems containsSemiMixedTypes="0" containsString="0" containsNumber="1" minValue="27" maxValue="64.900000000000006"/>
    </cacheField>
    <cacheField name="Obs12" numFmtId="0">
      <sharedItems containsSemiMixedTypes="0" containsString="0" containsNumber="1" minValue="27.6" maxValue="67.400000000000006"/>
    </cacheField>
    <cacheField name="Mean" numFmtId="0">
      <sharedItems containsSemiMixedTypes="0" containsString="0" containsNumber="1" minValue="28.366666666666664" maxValue="66.008333333333326"/>
    </cacheField>
    <cacheField name="StdErr" numFmtId="0">
      <sharedItems containsSemiMixedTypes="0" containsString="0" containsNumber="1" minValue="0.18257418583512333" maxValue="3.0641984055682339"/>
    </cacheField>
    <cacheField name="Minimum" numFmtId="0">
      <sharedItems containsString="0" containsBlank="1" containsNumber="1" minValue="27" maxValue="64"/>
    </cacheField>
    <cacheField name="Quartile1" numFmtId="0">
      <sharedItems containsString="0" containsBlank="1" containsNumber="1" minValue="28.35" maxValue="65.05"/>
    </cacheField>
    <cacheField name="Median" numFmtId="0">
      <sharedItems containsString="0" containsBlank="1" containsNumber="1" minValue="28.65" maxValue="66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41.707766782405" createdVersion="1" recordCount="72" xr:uid="{62F4777C-9F3F-443F-86D9-FCD115BDD0B9}">
  <cacheSource type="worksheet">
    <worksheetSource ref="A9:Z81" sheet="DOY185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129" maxValue="13.904"/>
    </cacheField>
    <cacheField name="Obs1" numFmtId="0">
      <sharedItems containsSemiMixedTypes="0" containsString="0" containsNumber="1" minValue="26.2" maxValue="63.6"/>
    </cacheField>
    <cacheField name="Obs2" numFmtId="0">
      <sharedItems containsSemiMixedTypes="0" containsString="0" containsNumber="1" minValue="26" maxValue="63"/>
    </cacheField>
    <cacheField name="Obs3" numFmtId="0">
      <sharedItems containsSemiMixedTypes="0" containsString="0" containsNumber="1" minValue="25.8" maxValue="62.8"/>
    </cacheField>
    <cacheField name="Obs4" numFmtId="0">
      <sharedItems containsSemiMixedTypes="0" containsString="0" containsNumber="1" minValue="25.6" maxValue="63.9"/>
    </cacheField>
    <cacheField name="Obs5" numFmtId="0">
      <sharedItems containsSemiMixedTypes="0" containsString="0" containsNumber="1" minValue="25.6" maxValue="62"/>
    </cacheField>
    <cacheField name="Obs6" numFmtId="0">
      <sharedItems containsSemiMixedTypes="0" containsString="0" containsNumber="1" minValue="25.2" maxValue="64.599999999999994"/>
    </cacheField>
    <cacheField name="Obs7" numFmtId="0">
      <sharedItems containsSemiMixedTypes="0" containsString="0" containsNumber="1" minValue="25.4" maxValue="61.6"/>
    </cacheField>
    <cacheField name="Obs8" numFmtId="0">
      <sharedItems containsSemiMixedTypes="0" containsString="0" containsNumber="1" minValue="25.9" maxValue="65"/>
    </cacheField>
    <cacheField name="Obs9" numFmtId="0">
      <sharedItems containsSemiMixedTypes="0" containsString="0" containsNumber="1" minValue="26.3" maxValue="62.5"/>
    </cacheField>
    <cacheField name="Obs10" numFmtId="0">
      <sharedItems containsSemiMixedTypes="0" containsString="0" containsNumber="1" minValue="25.8" maxValue="64.7"/>
    </cacheField>
    <cacheField name="Obs11" numFmtId="0">
      <sharedItems containsSemiMixedTypes="0" containsString="0" containsNumber="1" minValue="25.5" maxValue="62.8"/>
    </cacheField>
    <cacheField name="Obs12" numFmtId="0">
      <sharedItems containsSemiMixedTypes="0" containsString="0" containsNumber="1" minValue="25.3" maxValue="63.8"/>
    </cacheField>
    <cacheField name="Mean" numFmtId="0">
      <sharedItems containsSemiMixedTypes="0" containsString="0" containsNumber="1" minValue="26.75" maxValue="62.825000000000003"/>
    </cacheField>
    <cacheField name="StdErr" numFmtId="0">
      <sharedItems containsSemiMixedTypes="0" containsString="0" containsNumber="1" minValue="0.13602862889425416" maxValue="3.3695035677276439"/>
    </cacheField>
    <cacheField name="Minimum" numFmtId="0">
      <sharedItems containsSemiMixedTypes="0" containsString="0" containsNumber="1" minValue="25.2" maxValue="61"/>
    </cacheField>
    <cacheField name="Quartile1" numFmtId="0">
      <sharedItems containsSemiMixedTypes="0" containsString="0" containsNumber="1" minValue="26.15" maxValue="61.95"/>
    </cacheField>
    <cacheField name="Median" numFmtId="0">
      <sharedItems containsSemiMixedTypes="0" containsString="0" containsNumber="1" minValue="26.4" maxValue="6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fault" refreshedDate="37437.644999421296" createdVersion="1" recordCount="72" xr:uid="{30B5130E-8407-4500-A4B1-16046AB23EB6}">
  <cacheSource type="worksheet">
    <worksheetSource ref="A9:Z81" sheet="DOY180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103" maxValue="13.942"/>
    </cacheField>
    <cacheField name="Obs1" numFmtId="0">
      <sharedItems containsSemiMixedTypes="0" containsString="0" containsNumber="1" minValue="26.1" maxValue="65.900000000000006"/>
    </cacheField>
    <cacheField name="Obs2" numFmtId="0">
      <sharedItems containsSemiMixedTypes="0" containsString="0" containsNumber="1" minValue="26.6" maxValue="66.5"/>
    </cacheField>
    <cacheField name="Obs3" numFmtId="0">
      <sharedItems containsSemiMixedTypes="0" containsString="0" containsNumber="1" minValue="25.9" maxValue="64.2"/>
    </cacheField>
    <cacheField name="Obs4" numFmtId="0">
      <sharedItems containsSemiMixedTypes="0" containsString="0" containsNumber="1" minValue="25.6" maxValue="65.400000000000006"/>
    </cacheField>
    <cacheField name="Obs5" numFmtId="0">
      <sharedItems containsSemiMixedTypes="0" containsString="0" containsNumber="1" minValue="25.9" maxValue="64.8"/>
    </cacheField>
    <cacheField name="Obs6" numFmtId="0">
      <sharedItems containsSemiMixedTypes="0" containsString="0" containsNumber="1" minValue="26.1" maxValue="65.5"/>
    </cacheField>
    <cacheField name="Obs7" numFmtId="0">
      <sharedItems containsSemiMixedTypes="0" containsString="0" containsNumber="1" minValue="25" maxValue="67.099999999999994"/>
    </cacheField>
    <cacheField name="Obs8" numFmtId="0">
      <sharedItems containsSemiMixedTypes="0" containsString="0" containsNumber="1" minValue="26" maxValue="63.7"/>
    </cacheField>
    <cacheField name="Obs9" numFmtId="0">
      <sharedItems containsSemiMixedTypes="0" containsString="0" containsNumber="1" minValue="26.2" maxValue="65.8"/>
    </cacheField>
    <cacheField name="Obs10" numFmtId="0">
      <sharedItems containsSemiMixedTypes="0" containsString="0" containsNumber="1" minValue="25.3" maxValue="65.3"/>
    </cacheField>
    <cacheField name="Obs11" numFmtId="0">
      <sharedItems containsSemiMixedTypes="0" containsString="0" containsNumber="1" minValue="25.8" maxValue="66.900000000000006"/>
    </cacheField>
    <cacheField name="Obs12" numFmtId="0">
      <sharedItems containsSemiMixedTypes="0" containsString="0" containsNumber="1" minValue="24.8" maxValue="65.400000000000006"/>
    </cacheField>
    <cacheField name="Mean" numFmtId="0">
      <sharedItems containsSemiMixedTypes="0" containsString="0" containsNumber="1" minValue="26.791666666666668" maxValue="65.11666666666666"/>
    </cacheField>
    <cacheField name="StdErr" numFmtId="0">
      <sharedItems containsSemiMixedTypes="0" containsString="0" containsNumber="1" minValue="0.17340543372235542" maxValue="3.2142468131364117"/>
    </cacheField>
    <cacheField name="Minimum" numFmtId="0">
      <sharedItems containsSemiMixedTypes="0" containsString="0" containsNumber="1" minValue="24.8" maxValue="63.3"/>
    </cacheField>
    <cacheField name="Quartile1" numFmtId="0">
      <sharedItems containsSemiMixedTypes="0" containsString="0" containsNumber="1" minValue="26.05" maxValue="64.099999999999994"/>
    </cacheField>
    <cacheField name="Median" numFmtId="0">
      <sharedItems containsSemiMixedTypes="0" containsString="0" containsNumber="1" minValue="26.9" maxValue="65.09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35.767402314814" createdVersion="1" recordCount="72" xr:uid="{C2AF8E70-C5F7-48BA-B4A1-9B8B2A9A3F22}">
  <cacheSource type="worksheet">
    <worksheetSource ref="A9:Z81" sheet="DOY179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4" maxValue="13.645"/>
    </cacheField>
    <cacheField name="Obs1" numFmtId="0">
      <sharedItems containsSemiMixedTypes="0" containsString="0" containsNumber="1" minValue="26.7" maxValue="67.099999999999994"/>
    </cacheField>
    <cacheField name="Obs2" numFmtId="0">
      <sharedItems containsSemiMixedTypes="0" containsString="0" containsNumber="1" minValue="26.7" maxValue="64.900000000000006"/>
    </cacheField>
    <cacheField name="Obs3" numFmtId="0">
      <sharedItems containsSemiMixedTypes="0" containsString="0" containsNumber="1" minValue="27.5" maxValue="63.8"/>
    </cacheField>
    <cacheField name="Obs4" numFmtId="0">
      <sharedItems containsSemiMixedTypes="0" containsString="0" containsNumber="1" minValue="27.3" maxValue="64"/>
    </cacheField>
    <cacheField name="Obs5" numFmtId="0">
      <sharedItems containsSemiMixedTypes="0" containsString="0" containsNumber="1" minValue="26" maxValue="66.099999999999994"/>
    </cacheField>
    <cacheField name="Obs6" numFmtId="0">
      <sharedItems containsSemiMixedTypes="0" containsString="0" containsNumber="1" minValue="27.7" maxValue="66.400000000000006"/>
    </cacheField>
    <cacheField name="Obs7" numFmtId="0">
      <sharedItems containsSemiMixedTypes="0" containsString="0" containsNumber="1" minValue="27.2" maxValue="65.8"/>
    </cacheField>
    <cacheField name="Obs8" numFmtId="0">
      <sharedItems containsSemiMixedTypes="0" containsString="0" containsNumber="1" minValue="26.4" maxValue="66.2"/>
    </cacheField>
    <cacheField name="Obs9" numFmtId="0">
      <sharedItems containsSemiMixedTypes="0" containsString="0" containsNumber="1" minValue="27.5" maxValue="64.400000000000006"/>
    </cacheField>
    <cacheField name="Obs10" numFmtId="0">
      <sharedItems containsSemiMixedTypes="0" containsString="0" containsNumber="1" minValue="26.6" maxValue="64.2"/>
    </cacheField>
    <cacheField name="Obs11" numFmtId="0">
      <sharedItems containsSemiMixedTypes="0" containsString="0" containsNumber="1" minValue="26.7" maxValue="66.400000000000006"/>
    </cacheField>
    <cacheField name="Obs12" numFmtId="0">
      <sharedItems containsSemiMixedTypes="0" containsString="0" containsNumber="1" minValue="27.4" maxValue="66.599999999999994"/>
    </cacheField>
    <cacheField name="Mean" numFmtId="0">
      <sharedItems containsSemiMixedTypes="0" containsString="0" containsNumber="1" minValue="27.566666666666663" maxValue="64.325000000000003"/>
    </cacheField>
    <cacheField name="StdErr" numFmtId="0">
      <sharedItems containsSemiMixedTypes="0" containsString="0" containsNumber="1" minValue="0.12700413577928538" maxValue="2.7659854491754707"/>
    </cacheField>
    <cacheField name="Minimum" numFmtId="0">
      <sharedItems containsSemiMixedTypes="0" containsString="0" containsNumber="1" minValue="26" maxValue="62.7"/>
    </cacheField>
    <cacheField name="Quartile1" numFmtId="0">
      <sharedItems containsSemiMixedTypes="0" containsString="0" containsNumber="1" minValue="27.225000000000001" maxValue="63.475000000000001"/>
    </cacheField>
    <cacheField name="Median" numFmtId="0">
      <sharedItems containsSemiMixedTypes="0" containsString="0" containsNumber="1" minValue="27.6" maxValue="64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31.737065393521" createdVersion="1" recordCount="72" xr:uid="{060CF696-3491-4657-8979-3AE9039C2B42}">
  <cacheSource type="worksheet">
    <worksheetSource ref="A9:Z81" sheet="DOY175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2.962999999999999" maxValue="13.711"/>
    </cacheField>
    <cacheField name="Obs1" numFmtId="0">
      <sharedItems containsSemiMixedTypes="0" containsString="0" containsNumber="1" minValue="26.7" maxValue="68.7"/>
    </cacheField>
    <cacheField name="Obs2" numFmtId="0">
      <sharedItems containsSemiMixedTypes="0" containsString="0" containsNumber="1" minValue="26.2" maxValue="65.8"/>
    </cacheField>
    <cacheField name="Obs3" numFmtId="0">
      <sharedItems containsSemiMixedTypes="0" containsString="0" containsNumber="1" minValue="26.7" maxValue="65"/>
    </cacheField>
    <cacheField name="Obs4" numFmtId="0">
      <sharedItems containsSemiMixedTypes="0" containsString="0" containsNumber="1" minValue="27.2" maxValue="66.099999999999994"/>
    </cacheField>
    <cacheField name="Obs5" numFmtId="0">
      <sharedItems containsSemiMixedTypes="0" containsString="0" containsNumber="1" minValue="26.7" maxValue="64.3"/>
    </cacheField>
    <cacheField name="Obs6" numFmtId="0">
      <sharedItems containsSemiMixedTypes="0" containsString="0" containsNumber="1" minValue="26.9" maxValue="66.900000000000006"/>
    </cacheField>
    <cacheField name="Obs7" numFmtId="0">
      <sharedItems containsSemiMixedTypes="0" containsString="0" containsNumber="1" minValue="27.3" maxValue="65"/>
    </cacheField>
    <cacheField name="Obs8" numFmtId="0">
      <sharedItems containsSemiMixedTypes="0" containsString="0" containsNumber="1" minValue="27.7" maxValue="64.099999999999994"/>
    </cacheField>
    <cacheField name="Obs9" numFmtId="0">
      <sharedItems containsSemiMixedTypes="0" containsString="0" containsNumber="1" minValue="26.8" maxValue="66.099999999999994"/>
    </cacheField>
    <cacheField name="Obs10" numFmtId="0">
      <sharedItems containsSemiMixedTypes="0" containsString="0" containsNumber="1" minValue="27.1" maxValue="65.900000000000006"/>
    </cacheField>
    <cacheField name="Obs11" numFmtId="0">
      <sharedItems containsSemiMixedTypes="0" containsString="0" containsNumber="1" minValue="27" maxValue="66.400000000000006"/>
    </cacheField>
    <cacheField name="Obs12" numFmtId="0">
      <sharedItems containsSemiMixedTypes="0" containsString="0" containsNumber="1" minValue="27.2" maxValue="65"/>
    </cacheField>
    <cacheField name="Mean" numFmtId="0">
      <sharedItems containsSemiMixedTypes="0" containsString="0" containsNumber="1" minValue="27.783333333333335" maxValue="64.61666666666666"/>
    </cacheField>
    <cacheField name="StdErr" numFmtId="0">
      <sharedItems containsSemiMixedTypes="0" containsString="0" containsNumber="1" minValue="0.14788065075827567" maxValue="3.2150294153264145"/>
    </cacheField>
    <cacheField name="Minimum" numFmtId="0">
      <sharedItems containsSemiMixedTypes="0" containsString="0" containsNumber="1" minValue="26.2" maxValue="63"/>
    </cacheField>
    <cacheField name="Quartile1" numFmtId="0">
      <sharedItems containsSemiMixedTypes="0" containsString="0" containsNumber="1" minValue="27.05" maxValue="64.150000000000006"/>
    </cacheField>
    <cacheField name="Median" numFmtId="0">
      <sharedItems containsSemiMixedTypes="0" containsString="0" containsNumber="1" minValue="27.8" maxValue="64.84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8.639814120368" createdVersion="1" recordCount="72" xr:uid="{C2B412C3-C7FA-4216-A314-E8E13216A45E}">
  <cacheSource type="worksheet">
    <worksheetSource ref="A9:Z81" sheet="DOY172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52" maxValue="13.654"/>
    </cacheField>
    <cacheField name="Obs1" numFmtId="0">
      <sharedItems containsSemiMixedTypes="0" containsString="0" containsNumber="1" minValue="30.1" maxValue="63.4"/>
    </cacheField>
    <cacheField name="Obs2" numFmtId="0">
      <sharedItems containsSemiMixedTypes="0" containsString="0" containsNumber="1" minValue="29.8" maxValue="60.9"/>
    </cacheField>
    <cacheField name="Obs3" numFmtId="0">
      <sharedItems containsSemiMixedTypes="0" containsString="0" containsNumber="1" minValue="27.2" maxValue="61.1"/>
    </cacheField>
    <cacheField name="Obs4" numFmtId="0">
      <sharedItems containsSemiMixedTypes="0" containsString="0" containsNumber="1" minValue="27.9" maxValue="60.4"/>
    </cacheField>
    <cacheField name="Obs5" numFmtId="0">
      <sharedItems containsSemiMixedTypes="0" containsString="0" containsNumber="1" minValue="29.6" maxValue="61.4"/>
    </cacheField>
    <cacheField name="Obs6" numFmtId="0">
      <sharedItems containsSemiMixedTypes="0" containsString="0" containsNumber="1" minValue="29.8" maxValue="59.6"/>
    </cacheField>
    <cacheField name="Obs7" numFmtId="0">
      <sharedItems containsSemiMixedTypes="0" containsString="0" containsNumber="1" minValue="30.2" maxValue="62.1"/>
    </cacheField>
    <cacheField name="Obs8" numFmtId="0">
      <sharedItems containsSemiMixedTypes="0" containsString="0" containsNumber="1" minValue="30.1" maxValue="62.7"/>
    </cacheField>
    <cacheField name="Obs9" numFmtId="0">
      <sharedItems containsSemiMixedTypes="0" containsString="0" containsNumber="1" minValue="30.1" maxValue="62.1"/>
    </cacheField>
    <cacheField name="Obs10" numFmtId="0">
      <sharedItems containsSemiMixedTypes="0" containsString="0" containsNumber="1" minValue="29.7" maxValue="60.2"/>
    </cacheField>
    <cacheField name="Obs11" numFmtId="0">
      <sharedItems containsSemiMixedTypes="0" containsString="0" containsNumber="1" minValue="30.3" maxValue="61.5"/>
    </cacheField>
    <cacheField name="Obs12" numFmtId="0">
      <sharedItems containsSemiMixedTypes="0" containsString="0" containsNumber="1" minValue="30.3" maxValue="60.6"/>
    </cacheField>
    <cacheField name="Mean" numFmtId="0">
      <sharedItems containsSemiMixedTypes="0" containsString="0" containsNumber="1" minValue="30.45" maxValue="60.683333333333337"/>
    </cacheField>
    <cacheField name="StdErr" numFmtId="0">
      <sharedItems containsSemiMixedTypes="0" containsString="0" containsNumber="1" minValue="0.15390538875184806" maxValue="1.9286303168284873"/>
    </cacheField>
    <cacheField name="Minimum" numFmtId="0">
      <sharedItems containsSemiMixedTypes="0" containsString="0" containsNumber="1" minValue="27.2" maxValue="59.6"/>
    </cacheField>
    <cacheField name="Quartile1" numFmtId="0">
      <sharedItems containsSemiMixedTypes="0" containsString="0" containsNumber="1" minValue="30" maxValue="60.25"/>
    </cacheField>
    <cacheField name="Median" numFmtId="0">
      <sharedItems containsSemiMixedTypes="0" containsString="0" containsNumber="1" minValue="30.75" maxValue="6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7.747425925925" createdVersion="1" recordCount="72" xr:uid="{7363C181-3966-4244-B229-1DF39BDECB5C}">
  <cacheSource type="worksheet">
    <worksheetSource ref="A9:Z81" sheet="DOY171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2.976000000000001" maxValue="13.664999999999999"/>
    </cacheField>
    <cacheField name="Obs1" numFmtId="0">
      <sharedItems containsSemiMixedTypes="0" containsString="0" containsNumber="1" minValue="29.7" maxValue="62"/>
    </cacheField>
    <cacheField name="Obs2" numFmtId="0">
      <sharedItems containsSemiMixedTypes="0" containsString="0" containsNumber="1" minValue="29.1" maxValue="60.9"/>
    </cacheField>
    <cacheField name="Obs3" numFmtId="0">
      <sharedItems containsSemiMixedTypes="0" containsString="0" containsNumber="1" minValue="29.3" maxValue="60.1"/>
    </cacheField>
    <cacheField name="Obs4" numFmtId="0">
      <sharedItems containsSemiMixedTypes="0" containsString="0" containsNumber="1" minValue="29.7" maxValue="60.1"/>
    </cacheField>
    <cacheField name="Obs5" numFmtId="0">
      <sharedItems containsSemiMixedTypes="0" containsString="0" containsNumber="1" minValue="28.7" maxValue="59.9"/>
    </cacheField>
    <cacheField name="Obs6" numFmtId="0">
      <sharedItems containsSemiMixedTypes="0" containsString="0" containsNumber="1" minValue="28.9" maxValue="60.6"/>
    </cacheField>
    <cacheField name="Obs7" numFmtId="0">
      <sharedItems containsSemiMixedTypes="0" containsString="0" containsNumber="1" minValue="29.2" maxValue="61.4"/>
    </cacheField>
    <cacheField name="Obs8" numFmtId="0">
      <sharedItems containsSemiMixedTypes="0" containsString="0" containsNumber="1" minValue="29.3" maxValue="58.6"/>
    </cacheField>
    <cacheField name="Obs9" numFmtId="0">
      <sharedItems containsSemiMixedTypes="0" containsString="0" containsNumber="1" minValue="29" maxValue="60.3"/>
    </cacheField>
    <cacheField name="Obs10" numFmtId="0">
      <sharedItems containsSemiMixedTypes="0" containsString="0" containsNumber="1" minValue="29.6" maxValue="60.5"/>
    </cacheField>
    <cacheField name="Obs11" numFmtId="0">
      <sharedItems containsSemiMixedTypes="0" containsString="0" containsNumber="1" minValue="29.2" maxValue="60.4"/>
    </cacheField>
    <cacheField name="Obs12" numFmtId="0">
      <sharedItems containsSemiMixedTypes="0" containsString="0" containsNumber="1" minValue="29.3" maxValue="59.3"/>
    </cacheField>
    <cacheField name="Mean" numFmtId="0">
      <sharedItems containsSemiMixedTypes="0" containsString="0" containsNumber="1" minValue="30.1" maxValue="59.966666666666661"/>
    </cacheField>
    <cacheField name="StdErr" numFmtId="0">
      <sharedItems containsSemiMixedTypes="0" containsString="0" containsNumber="1" minValue="0.12643120059879562" maxValue="2.2194545580735636"/>
    </cacheField>
    <cacheField name="Minimum" numFmtId="0">
      <sharedItems containsSemiMixedTypes="0" containsString="0" containsNumber="1" minValue="28.7" maxValue="58.6"/>
    </cacheField>
    <cacheField name="Quartile1" numFmtId="0">
      <sharedItems containsSemiMixedTypes="0" containsString="0" containsNumber="1" minValue="29.675000000000001" maxValue="59.375"/>
    </cacheField>
    <cacheField name="Median" numFmtId="0">
      <sharedItems containsSemiMixedTypes="0" containsString="0" containsNumber="1" minValue="30.15" maxValue="6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6.690438194448" createdVersion="1" recordCount="72" xr:uid="{E5661CEC-EA36-4478-B422-046B79490C2B}">
  <cacheSource type="worksheet">
    <worksheetSource ref="A9:Z81" sheet="DOY170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81" maxValue="13.704000000000001"/>
    </cacheField>
    <cacheField name="Obs1" numFmtId="0">
      <sharedItems containsSemiMixedTypes="0" containsString="0" containsNumber="1" minValue="28.4" maxValue="64.400000000000006"/>
    </cacheField>
    <cacheField name="Obs2" numFmtId="0">
      <sharedItems containsSemiMixedTypes="0" containsString="0" containsNumber="1" minValue="28.7" maxValue="63.2"/>
    </cacheField>
    <cacheField name="Obs3" numFmtId="0">
      <sharedItems containsSemiMixedTypes="0" containsString="0" containsNumber="1" minValue="27" maxValue="63.3"/>
    </cacheField>
    <cacheField name="Obs4" numFmtId="0">
      <sharedItems containsSemiMixedTypes="0" containsString="0" containsNumber="1" minValue="28.4" maxValue="63.8"/>
    </cacheField>
    <cacheField name="Obs5" numFmtId="0">
      <sharedItems containsSemiMixedTypes="0" containsString="0" containsNumber="1" minValue="27.8" maxValue="62.8"/>
    </cacheField>
    <cacheField name="Obs6" numFmtId="0">
      <sharedItems containsSemiMixedTypes="0" containsString="0" containsNumber="1" minValue="28.5" maxValue="62.6"/>
    </cacheField>
    <cacheField name="Obs7" numFmtId="0">
      <sharedItems containsSemiMixedTypes="0" containsString="0" containsNumber="1" minValue="28.3" maxValue="63.8"/>
    </cacheField>
    <cacheField name="Obs8" numFmtId="0">
      <sharedItems containsSemiMixedTypes="0" containsString="0" containsNumber="1" minValue="28" maxValue="64.2"/>
    </cacheField>
    <cacheField name="Obs9" numFmtId="0">
      <sharedItems containsSemiMixedTypes="0" containsString="0" containsNumber="1" minValue="28.6" maxValue="64.599999999999994"/>
    </cacheField>
    <cacheField name="Obs10" numFmtId="0">
      <sharedItems containsSemiMixedTypes="0" containsString="0" containsNumber="1" minValue="28.6" maxValue="63.1"/>
    </cacheField>
    <cacheField name="Obs11" numFmtId="0">
      <sharedItems containsSemiMixedTypes="0" containsString="0" containsNumber="1" minValue="28.6" maxValue="63.5"/>
    </cacheField>
    <cacheField name="Obs12" numFmtId="0">
      <sharedItems containsSemiMixedTypes="0" containsString="0" containsNumber="1" minValue="28.4" maxValue="63.8"/>
    </cacheField>
    <cacheField name="Mean" numFmtId="0">
      <sharedItems containsSemiMixedTypes="0" containsString="0" containsNumber="1" minValue="29.083333333333332" maxValue="62.958333333333321"/>
    </cacheField>
    <cacheField name="StdErr" numFmtId="0">
      <sharedItems containsSemiMixedTypes="0" containsString="0" containsNumber="1" minValue="0.13055824196687893" maxValue="2.3543909118191584"/>
    </cacheField>
    <cacheField name="Minimum" numFmtId="0">
      <sharedItems containsSemiMixedTypes="0" containsString="0" containsNumber="1" minValue="27" maxValue="61.2"/>
    </cacheField>
    <cacheField name="Quartile1" numFmtId="0">
      <sharedItems containsSemiMixedTypes="0" containsString="0" containsNumber="1" minValue="28.5" maxValue="62.5"/>
    </cacheField>
    <cacheField name="Median" numFmtId="0">
      <sharedItems containsSemiMixedTypes="0" containsString="0" containsNumber="1" minValue="29.2" maxValue="63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6.412588657404" createdVersion="1" recordCount="72" xr:uid="{0A10666A-1CAC-41F5-B7EC-DDCDBC865DCA}">
  <cacheSource type="worksheet">
    <worksheetSource ref="A9:Z81" sheet="DOY169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2.978" maxValue="13.673"/>
    </cacheField>
    <cacheField name="Obs1" numFmtId="0">
      <sharedItems containsSemiMixedTypes="0" containsString="0" containsNumber="1" minValue="27.3" maxValue="66.2"/>
    </cacheField>
    <cacheField name="Obs2" numFmtId="0">
      <sharedItems containsSemiMixedTypes="0" containsString="0" containsNumber="1" minValue="28.2" maxValue="65.400000000000006"/>
    </cacheField>
    <cacheField name="Obs3" numFmtId="0">
      <sharedItems containsSemiMixedTypes="0" containsString="0" containsNumber="1" minValue="28.1" maxValue="65.599999999999994"/>
    </cacheField>
    <cacheField name="Obs4" numFmtId="0">
      <sharedItems containsSemiMixedTypes="0" containsString="0" containsNumber="1" minValue="28" maxValue="64.900000000000006"/>
    </cacheField>
    <cacheField name="Obs5" numFmtId="0">
      <sharedItems containsSemiMixedTypes="0" containsString="0" containsNumber="1" minValue="27.9" maxValue="64.7"/>
    </cacheField>
    <cacheField name="Obs6" numFmtId="0">
      <sharedItems containsSemiMixedTypes="0" containsString="0" containsNumber="1" minValue="27.7" maxValue="64.2"/>
    </cacheField>
    <cacheField name="Obs7" numFmtId="0">
      <sharedItems containsSemiMixedTypes="0" containsString="0" containsNumber="1" minValue="28" maxValue="65.8"/>
    </cacheField>
    <cacheField name="Obs8" numFmtId="0">
      <sharedItems containsSemiMixedTypes="0" containsString="0" containsNumber="1" minValue="27.6" maxValue="62.7"/>
    </cacheField>
    <cacheField name="Obs9" numFmtId="0">
      <sharedItems containsSemiMixedTypes="0" containsString="0" containsNumber="1" minValue="27.9" maxValue="66.099999999999994"/>
    </cacheField>
    <cacheField name="Obs10" numFmtId="0">
      <sharedItems containsSemiMixedTypes="0" containsString="0" containsNumber="1" minValue="28.6" maxValue="64.5"/>
    </cacheField>
    <cacheField name="Obs11" numFmtId="0">
      <sharedItems containsSemiMixedTypes="0" containsString="0" containsNumber="1" minValue="28" maxValue="65.5"/>
    </cacheField>
    <cacheField name="Obs12" numFmtId="0">
      <sharedItems containsSemiMixedTypes="0" containsString="0" containsNumber="1" minValue="27.9" maxValue="62.7"/>
    </cacheField>
    <cacheField name="Mean" numFmtId="0">
      <sharedItems containsSemiMixedTypes="0" containsString="0" containsNumber="1" minValue="28.4" maxValue="64.45"/>
    </cacheField>
    <cacheField name="StdErr" numFmtId="0">
      <sharedItems containsSemiMixedTypes="0" containsString="0" containsNumber="1" minValue="0.15231794896128084" maxValue="2.3960984701777019"/>
    </cacheField>
    <cacheField name="Minimum" numFmtId="0">
      <sharedItems containsSemiMixedTypes="0" containsString="0" containsNumber="1" minValue="27.3" maxValue="62.2"/>
    </cacheField>
    <cacheField name="Quartile1" numFmtId="0">
      <sharedItems containsSemiMixedTypes="0" containsString="0" containsNumber="1" minValue="27.975000000000001" maxValue="63.95"/>
    </cacheField>
    <cacheField name="Median" numFmtId="0">
      <sharedItems containsSemiMixedTypes="0" containsString="0" containsNumber="1" minValue="28.25" maxValue="6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4.750706018516" createdVersion="1" recordCount="72" xr:uid="{C3E2B5E0-3D74-4C90-AE7B-6C5A2DE75FEA}">
  <cacheSource type="worksheet">
    <worksheetSource ref="A9:Z81" sheet="DOY168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37000000000001" maxValue="13.628"/>
    </cacheField>
    <cacheField name="Obs1" numFmtId="0">
      <sharedItems containsSemiMixedTypes="0" containsString="0" containsNumber="1" minValue="27.8" maxValue="65.2"/>
    </cacheField>
    <cacheField name="Obs2" numFmtId="0">
      <sharedItems containsSemiMixedTypes="0" containsString="0" containsNumber="1" minValue="28.3" maxValue="61.3"/>
    </cacheField>
    <cacheField name="Obs3" numFmtId="0">
      <sharedItems containsSemiMixedTypes="0" containsString="0" containsNumber="1" minValue="28.3" maxValue="63.7"/>
    </cacheField>
    <cacheField name="Obs4" numFmtId="0">
      <sharedItems containsSemiMixedTypes="0" containsString="0" containsNumber="1" minValue="27.4" maxValue="62.6"/>
    </cacheField>
    <cacheField name="Obs5" numFmtId="0">
      <sharedItems containsSemiMixedTypes="0" containsString="0" containsNumber="1" minValue="27.8" maxValue="64"/>
    </cacheField>
    <cacheField name="Obs6" numFmtId="0">
      <sharedItems containsSemiMixedTypes="0" containsString="0" containsNumber="1" minValue="28.7" maxValue="62.4"/>
    </cacheField>
    <cacheField name="Obs7" numFmtId="0">
      <sharedItems containsSemiMixedTypes="0" containsString="0" containsNumber="1" minValue="27.7" maxValue="63.6"/>
    </cacheField>
    <cacheField name="Obs8" numFmtId="0">
      <sharedItems containsSemiMixedTypes="0" containsString="0" containsNumber="1" minValue="28.5" maxValue="62.8"/>
    </cacheField>
    <cacheField name="Obs9" numFmtId="0">
      <sharedItems containsSemiMixedTypes="0" containsString="0" containsNumber="1" minValue="27.4" maxValue="64.400000000000006"/>
    </cacheField>
    <cacheField name="Obs10" numFmtId="0">
      <sharedItems containsSemiMixedTypes="0" containsString="0" containsNumber="1" minValue="28.3" maxValue="62"/>
    </cacheField>
    <cacheField name="Obs11" numFmtId="0">
      <sharedItems containsSemiMixedTypes="0" containsString="0" containsNumber="1" minValue="27.6" maxValue="63.7"/>
    </cacheField>
    <cacheField name="Obs12" numFmtId="0">
      <sharedItems containsSemiMixedTypes="0" containsString="0" containsNumber="1" minValue="28.6" maxValue="63.7"/>
    </cacheField>
    <cacheField name="Mean" numFmtId="0">
      <sharedItems containsSemiMixedTypes="0" containsString="0" containsNumber="1" minValue="28.383333333333336" maxValue="62.341666666666676"/>
    </cacheField>
    <cacheField name="StdErr" numFmtId="0">
      <sharedItems containsSemiMixedTypes="0" containsString="0" containsNumber="1" minValue="0.17487369179156009" maxValue="2.2168589002997892"/>
    </cacheField>
    <cacheField name="Minimum" numFmtId="0">
      <sharedItems containsSemiMixedTypes="0" containsString="0" containsNumber="1" minValue="27.4" maxValue="60.4"/>
    </cacheField>
    <cacheField name="Quartile1" numFmtId="0">
      <sharedItems containsSemiMixedTypes="0" containsString="0" containsNumber="1" minValue="27.8" maxValue="61.2"/>
    </cacheField>
    <cacheField name="Median" numFmtId="0">
      <sharedItems containsSemiMixedTypes="0" containsString="0" containsNumber="1" minValue="28.5" maxValue="62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4.402635763887" createdVersion="1" recordCount="72" xr:uid="{CB139A71-9C6A-4400-B45B-F2049560B410}">
  <cacheSource type="worksheet">
    <worksheetSource ref="A9:Z81" sheet="DOY167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65" maxValue="13.643000000000001"/>
    </cacheField>
    <cacheField name="Obs1" numFmtId="0">
      <sharedItems containsSemiMixedTypes="0" containsString="0" containsNumber="1" minValue="28" maxValue="59"/>
    </cacheField>
    <cacheField name="Obs2" numFmtId="0">
      <sharedItems containsSemiMixedTypes="0" containsString="0" containsNumber="1" minValue="28.7" maxValue="61.8"/>
    </cacheField>
    <cacheField name="Obs3" numFmtId="0">
      <sharedItems containsSemiMixedTypes="0" containsString="0" containsNumber="1" minValue="28" maxValue="60.4"/>
    </cacheField>
    <cacheField name="Obs4" numFmtId="0">
      <sharedItems containsSemiMixedTypes="0" containsString="0" containsNumber="1" minValue="27.7" maxValue="61.8"/>
    </cacheField>
    <cacheField name="Obs5" numFmtId="0">
      <sharedItems containsSemiMixedTypes="0" containsString="0" containsNumber="1" minValue="28.1" maxValue="59.4"/>
    </cacheField>
    <cacheField name="Obs6" numFmtId="0">
      <sharedItems containsSemiMixedTypes="0" containsString="0" containsNumber="1" minValue="28" maxValue="61.4"/>
    </cacheField>
    <cacheField name="Obs7" numFmtId="0">
      <sharedItems containsSemiMixedTypes="0" containsString="0" containsNumber="1" minValue="29.1" maxValue="60.3"/>
    </cacheField>
    <cacheField name="Obs8" numFmtId="0">
      <sharedItems containsSemiMixedTypes="0" containsString="0" containsNumber="1" minValue="27.7" maxValue="62.9"/>
    </cacheField>
    <cacheField name="Obs9" numFmtId="0">
      <sharedItems containsSemiMixedTypes="0" containsString="0" containsNumber="1" minValue="28.8" maxValue="59.6"/>
    </cacheField>
    <cacheField name="Obs10" numFmtId="0">
      <sharedItems containsSemiMixedTypes="0" containsString="0" containsNumber="1" minValue="27.7" maxValue="61.7"/>
    </cacheField>
    <cacheField name="Obs11" numFmtId="0">
      <sharedItems containsSemiMixedTypes="0" containsString="0" containsNumber="1" minValue="27.5" maxValue="60.3"/>
    </cacheField>
    <cacheField name="Obs12" numFmtId="0">
      <sharedItems containsSemiMixedTypes="0" containsString="0" containsNumber="1" minValue="28" maxValue="62.7"/>
    </cacheField>
    <cacheField name="Mean" numFmtId="0">
      <sharedItems containsSemiMixedTypes="0" containsString="0" containsNumber="1" minValue="29.366666666666664" maxValue="60.8"/>
    </cacheField>
    <cacheField name="StdErr" numFmtId="0">
      <sharedItems containsSemiMixedTypes="0" containsString="0" containsNumber="1" minValue="0.21402822432586768" maxValue="2.0203306935031953"/>
    </cacheField>
    <cacheField name="Minimum" numFmtId="0">
      <sharedItems containsSemiMixedTypes="0" containsString="0" containsNumber="1" minValue="27.5" maxValue="59"/>
    </cacheField>
    <cacheField name="Quartile1" numFmtId="0">
      <sharedItems containsSemiMixedTypes="0" containsString="0" containsNumber="1" minValue="28.175000000000001" maxValue="59.9"/>
    </cacheField>
    <cacheField name="Median" numFmtId="0">
      <sharedItems containsSemiMixedTypes="0" containsString="0" containsNumber="1" minValue="29.3" maxValue="6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1.623552662037" createdVersion="1" recordCount="72" xr:uid="{1ADDFA99-36C4-4F8F-BDBB-D73421A2A08C}">
  <cacheSource type="worksheet">
    <worksheetSource ref="A9:Z81" sheet="DOY165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2.958" maxValue="13.64"/>
    </cacheField>
    <cacheField name="Obs1" numFmtId="0">
      <sharedItems containsSemiMixedTypes="0" containsString="0" containsNumber="1" minValue="27.6" maxValue="64.8"/>
    </cacheField>
    <cacheField name="Obs2" numFmtId="0">
      <sharedItems containsSemiMixedTypes="0" containsString="0" containsNumber="1" minValue="28.3" maxValue="68.8"/>
    </cacheField>
    <cacheField name="Obs3" numFmtId="0">
      <sharedItems containsSemiMixedTypes="0" containsString="0" containsNumber="1" minValue="28.3" maxValue="66.599999999999994"/>
    </cacheField>
    <cacheField name="Obs4" numFmtId="0">
      <sharedItems containsSemiMixedTypes="0" containsString="0" containsNumber="1" minValue="27.9" maxValue="67.599999999999994"/>
    </cacheField>
    <cacheField name="Obs5" numFmtId="0">
      <sharedItems containsSemiMixedTypes="0" containsString="0" containsNumber="1" minValue="28.2" maxValue="65.2"/>
    </cacheField>
    <cacheField name="Obs6" numFmtId="0">
      <sharedItems containsSemiMixedTypes="0" containsString="0" containsNumber="1" minValue="28" maxValue="67.8"/>
    </cacheField>
    <cacheField name="Obs7" numFmtId="0">
      <sharedItems containsSemiMixedTypes="0" containsString="0" containsNumber="1" minValue="27.7" maxValue="67.5"/>
    </cacheField>
    <cacheField name="Obs8" numFmtId="0">
      <sharedItems containsSemiMixedTypes="0" containsString="0" containsNumber="1" minValue="27.9" maxValue="69.2"/>
    </cacheField>
    <cacheField name="Obs9" numFmtId="0">
      <sharedItems containsSemiMixedTypes="0" containsString="0" containsNumber="1" minValue="27.5" maxValue="66.5"/>
    </cacheField>
    <cacheField name="Obs10" numFmtId="0">
      <sharedItems containsSemiMixedTypes="0" containsString="0" containsNumber="1" minValue="28.1" maxValue="66.5"/>
    </cacheField>
    <cacheField name="Obs11" numFmtId="0">
      <sharedItems containsSemiMixedTypes="0" containsString="0" containsNumber="1" minValue="27.8" maxValue="69"/>
    </cacheField>
    <cacheField name="Obs12" numFmtId="0">
      <sharedItems containsSemiMixedTypes="0" containsString="0" containsNumber="1" minValue="28.1" maxValue="65.599999999999994"/>
    </cacheField>
    <cacheField name="Mean" numFmtId="0">
      <sharedItems containsSemiMixedTypes="0" containsString="0" containsNumber="1" minValue="28.74166666666666" maxValue="66.908333333333331"/>
    </cacheField>
    <cacheField name="StdDev" numFmtId="0">
      <sharedItems containsSemiMixedTypes="0" containsString="0" containsNumber="1" minValue="0.1772937697949489" maxValue="2.7591262707200834"/>
    </cacheField>
    <cacheField name="Minimum" numFmtId="0">
      <sharedItems containsSemiMixedTypes="0" containsString="0" containsNumber="1" minValue="27.5" maxValue="64.5"/>
    </cacheField>
    <cacheField name="Quartile1" numFmtId="0">
      <sharedItems containsSemiMixedTypes="0" containsString="0" containsNumber="1" minValue="28.175000000000001" maxValue="65.424999999999997"/>
    </cacheField>
    <cacheField name="Median" numFmtId="0">
      <sharedItems containsSemiMixedTypes="0" containsString="0" containsNumber="1" minValue="28.65" maxValue="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 Pinter" refreshedDate="37420.744444328702" createdVersion="1" recordCount="72" xr:uid="{FE1D97DA-6091-4AD3-8746-6E39AC74C250}">
  <cacheSource type="worksheet">
    <worksheetSource ref="A9:Z81" sheet="CalibratedSortedData" r:id="rId2"/>
  </cacheSource>
  <cacheFields count="26">
    <cacheField name="PlotID" numFmtId="0">
      <sharedItems containsSemiMixedTypes="0" containsString="0" containsNumber="1" containsInteger="1" minValue="101" maxValue="908"/>
    </cacheField>
    <cacheField name="Acronym" numFmtId="0">
      <sharedItems count="16">
        <s v="FSH"/>
        <s v="FTL"/>
        <s v="FDH"/>
        <s v="NTL"/>
        <s v="NDL"/>
        <s v="NTH"/>
        <s v="FTH"/>
        <s v="NDH"/>
        <s v="NSL"/>
        <s v="FSL"/>
        <s v="FDL"/>
        <s v="NSH"/>
        <s v="WS"/>
        <s v="15Jul"/>
        <s v="DS"/>
        <s v="1Jun"/>
      </sharedItems>
    </cacheField>
    <cacheField name="Trt" numFmtId="0">
      <sharedItems containsSemiMixedTypes="0" containsString="0" containsNumber="1" containsInteger="1" minValue="1" maxValue="32" count="16">
        <n v="1"/>
        <n v="4"/>
        <n v="5"/>
        <n v="10"/>
        <n v="12"/>
        <n v="9"/>
        <n v="3"/>
        <n v="11"/>
        <n v="8"/>
        <n v="2"/>
        <n v="6"/>
        <n v="7"/>
        <n v="32"/>
        <n v="22"/>
        <n v="31"/>
        <n v="21"/>
      </sharedItems>
    </cacheField>
    <cacheField name="Irrig" numFmtId="0">
      <sharedItems containsSemiMixedTypes="0" containsString="0" containsNumber="1" containsInteger="1" minValue="1" maxValue="9" count="6">
        <n v="1"/>
        <n v="2"/>
        <n v="9"/>
        <n v="4"/>
        <n v="8"/>
        <n v="3"/>
      </sharedItems>
    </cacheField>
    <cacheField name="Pop" numFmtId="0">
      <sharedItems containsSemiMixedTypes="0" containsString="0" containsNumber="1" containsInteger="1" minValue="0" maxValue="3" count="4">
        <n v="1"/>
        <n v="2"/>
        <n v="3"/>
        <n v="0"/>
      </sharedItems>
    </cacheField>
    <cacheField name="N" numFmtId="0">
      <sharedItems containsSemiMixedTypes="0" containsString="0" containsNumber="1" containsInteger="1" minValue="1" maxValue="2" count="2">
        <n v="2"/>
        <n v="1"/>
      </sharedItems>
    </cacheField>
    <cacheField name="Block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View" numFmtId="0">
      <sharedItems containsSemiMixedTypes="0" containsString="0" containsNumber="1" containsInteger="1" minValue="1" maxValue="2" count="2">
        <n v="1"/>
        <n v="2"/>
      </sharedItems>
    </cacheField>
    <cacheField name="Time" numFmtId="0">
      <sharedItems containsSemiMixedTypes="0" containsString="0" containsNumber="1" minValue="13.045" maxValue="13.65"/>
    </cacheField>
    <cacheField name="Obs1" numFmtId="0">
      <sharedItems containsSemiMixedTypes="0" containsString="0" containsNumber="1" minValue="30" maxValue="62.9"/>
    </cacheField>
    <cacheField name="Obs2" numFmtId="0">
      <sharedItems containsSemiMixedTypes="0" containsString="0" containsNumber="1" minValue="29.5" maxValue="64.7"/>
    </cacheField>
    <cacheField name="Obs3" numFmtId="0">
      <sharedItems containsSemiMixedTypes="0" containsString="0" containsNumber="1" minValue="29.9" maxValue="65.400000000000006"/>
    </cacheField>
    <cacheField name="Obs4" numFmtId="0">
      <sharedItems containsSemiMixedTypes="0" containsString="0" containsNumber="1" minValue="29.8" maxValue="65.3"/>
    </cacheField>
    <cacheField name="Obs5" numFmtId="0">
      <sharedItems containsSemiMixedTypes="0" containsString="0" containsNumber="1" minValue="29.8" maxValue="66.5"/>
    </cacheField>
    <cacheField name="Obs6" numFmtId="0">
      <sharedItems containsSemiMixedTypes="0" containsString="0" containsNumber="1" minValue="29.8" maxValue="64.099999999999994"/>
    </cacheField>
    <cacheField name="Obs7" numFmtId="0">
      <sharedItems containsSemiMixedTypes="0" containsString="0" containsNumber="1" minValue="30.2" maxValue="66.3"/>
    </cacheField>
    <cacheField name="Obs8" numFmtId="0">
      <sharedItems containsSemiMixedTypes="0" containsString="0" containsNumber="1" minValue="29.5" maxValue="65.8"/>
    </cacheField>
    <cacheField name="Obs9" numFmtId="0">
      <sharedItems containsSemiMixedTypes="0" containsString="0" containsNumber="1" minValue="29.3" maxValue="67.7"/>
    </cacheField>
    <cacheField name="Obs10" numFmtId="0">
      <sharedItems containsSemiMixedTypes="0" containsString="0" containsNumber="1" minValue="29.6" maxValue="63"/>
    </cacheField>
    <cacheField name="Obs11" numFmtId="0">
      <sharedItems containsSemiMixedTypes="0" containsString="0" containsNumber="1" minValue="29.8" maxValue="66.099999999999994"/>
    </cacheField>
    <cacheField name="Obs12" numFmtId="0">
      <sharedItems containsSemiMixedTypes="0" containsString="0" containsNumber="1" minValue="28.8" maxValue="64.599999999999994"/>
    </cacheField>
    <cacheField name="Mean" numFmtId="0">
      <sharedItems containsSemiMixedTypes="0" containsString="0" containsNumber="1" minValue="30.774999999999999" maxValue="65.01666666666668"/>
    </cacheField>
    <cacheField name="StdDev" numFmtId="0">
      <sharedItems containsSemiMixedTypes="0" containsString="0" containsNumber="1" minValue="0.22645433459434527" maxValue="2.0355350102068481"/>
    </cacheField>
    <cacheField name="Minimum" numFmtId="0">
      <sharedItems containsSemiMixedTypes="0" containsString="0" containsNumber="1" minValue="28.8" maxValue="62.9"/>
    </cacheField>
    <cacheField name="Quartile1" numFmtId="0">
      <sharedItems containsSemiMixedTypes="0" containsString="0" containsNumber="1" minValue="29.875" maxValue="64.099999999999994"/>
    </cacheField>
    <cacheField name="Median" numFmtId="0">
      <sharedItems containsSemiMixedTypes="0" containsString="0" containsNumber="1" minValue="30.7" maxValue="65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77"/>
    <n v="57.6"/>
    <n v="56.3"/>
    <n v="50.9"/>
    <n v="53.6"/>
    <n v="49.2"/>
    <n v="56.5"/>
    <n v="55.9"/>
    <n v="59.3"/>
    <n v="50.1"/>
    <n v="56.8"/>
    <n v="44.9"/>
    <n v="57.7"/>
    <n v="54.06666666666667"/>
    <n v="1.2568197800782399"/>
    <n v="44.9"/>
    <n v="50.7"/>
    <n v="56.099999999999994"/>
  </r>
  <r>
    <n v="102"/>
    <x v="1"/>
    <x v="1"/>
    <x v="0"/>
    <x v="1"/>
    <x v="1"/>
    <x v="0"/>
    <x v="0"/>
    <n v="13.161"/>
    <n v="57"/>
    <n v="53.8"/>
    <n v="57.8"/>
    <n v="56.2"/>
    <n v="44.7"/>
    <n v="57.7"/>
    <n v="49.6"/>
    <n v="58.2"/>
    <n v="48.1"/>
    <n v="56.1"/>
    <n v="44.7"/>
    <n v="61.1"/>
    <n v="53.750000000000007"/>
    <n v="1.6069687255352529"/>
    <n v="44.7"/>
    <n v="49.225000000000001"/>
    <n v="56.150000000000006"/>
  </r>
  <r>
    <n v="103"/>
    <x v="2"/>
    <x v="2"/>
    <x v="0"/>
    <x v="2"/>
    <x v="0"/>
    <x v="0"/>
    <x v="0"/>
    <n v="13.146000000000001"/>
    <n v="55.7"/>
    <n v="54.6"/>
    <n v="55.8"/>
    <n v="46.5"/>
    <n v="50.2"/>
    <n v="47.1"/>
    <n v="43.7"/>
    <n v="54.3"/>
    <n v="48.2"/>
    <n v="45.8"/>
    <n v="55"/>
    <n v="45.6"/>
    <n v="50.208333333333343"/>
    <n v="1.3225582609228521"/>
    <n v="43.7"/>
    <n v="46.325000000000003"/>
    <n v="49.2"/>
  </r>
  <r>
    <n v="104"/>
    <x v="3"/>
    <x v="3"/>
    <x v="1"/>
    <x v="1"/>
    <x v="1"/>
    <x v="0"/>
    <x v="0"/>
    <n v="13.131"/>
    <n v="56.9"/>
    <n v="55"/>
    <n v="58"/>
    <n v="48.4"/>
    <n v="48"/>
    <n v="55.6"/>
    <n v="53.9"/>
    <n v="50.3"/>
    <n v="53.3"/>
    <n v="46.4"/>
    <n v="55.7"/>
    <n v="43.6"/>
    <n v="52.091666666666676"/>
    <n v="1.3332267949859624"/>
    <n v="43.6"/>
    <n v="48.3"/>
    <n v="53.599999999999994"/>
  </r>
  <r>
    <n v="105"/>
    <x v="4"/>
    <x v="4"/>
    <x v="1"/>
    <x v="2"/>
    <x v="1"/>
    <x v="1"/>
    <x v="0"/>
    <n v="13.115"/>
    <n v="57"/>
    <n v="55.8"/>
    <n v="52.5"/>
    <n v="47.9"/>
    <n v="55.7"/>
    <n v="53.5"/>
    <n v="54.2"/>
    <n v="51.6"/>
    <n v="48.3"/>
    <n v="48.4"/>
    <n v="50.8"/>
    <n v="53.5"/>
    <n v="52.433333333333337"/>
    <n v="0.89411657206676942"/>
    <n v="47.9"/>
    <n v="50.199999999999996"/>
    <n v="53"/>
  </r>
  <r>
    <n v="106"/>
    <x v="5"/>
    <x v="5"/>
    <x v="1"/>
    <x v="1"/>
    <x v="0"/>
    <x v="1"/>
    <x v="0"/>
    <n v="13.099"/>
    <n v="57.4"/>
    <n v="52.4"/>
    <n v="57"/>
    <n v="58.9"/>
    <n v="54.6"/>
    <n v="54.9"/>
    <n v="54.3"/>
    <n v="58.3"/>
    <n v="44.5"/>
    <n v="57.5"/>
    <n v="52.2"/>
    <n v="58.6"/>
    <n v="55.050000000000004"/>
    <n v="1.1695311155770685"/>
    <n v="44.5"/>
    <n v="53.824999999999996"/>
    <n v="55.95"/>
  </r>
  <r>
    <n v="107"/>
    <x v="3"/>
    <x v="3"/>
    <x v="1"/>
    <x v="1"/>
    <x v="1"/>
    <x v="1"/>
    <x v="0"/>
    <n v="13.082000000000001"/>
    <n v="57.1"/>
    <n v="56.3"/>
    <n v="50.8"/>
    <n v="48.4"/>
    <n v="49"/>
    <n v="51.4"/>
    <n v="55.7"/>
    <n v="52.4"/>
    <n v="54.5"/>
    <n v="53.1"/>
    <n v="56.1"/>
    <n v="55.6"/>
    <n v="53.366666666666667"/>
    <n v="0.85690893874024132"/>
    <n v="48.4"/>
    <n v="51.25"/>
    <n v="53.8"/>
  </r>
  <r>
    <n v="108"/>
    <x v="6"/>
    <x v="6"/>
    <x v="0"/>
    <x v="1"/>
    <x v="0"/>
    <x v="1"/>
    <x v="0"/>
    <n v="13.065"/>
    <n v="58"/>
    <n v="55.5"/>
    <n v="57.5"/>
    <n v="57.1"/>
    <n v="55.8"/>
    <n v="57"/>
    <n v="54.6"/>
    <n v="55.3"/>
    <n v="52.2"/>
    <n v="55.4"/>
    <n v="49.1"/>
    <n v="54"/>
    <n v="55.125"/>
    <n v="0.71996685529771243"/>
    <n v="49.1"/>
    <n v="54.45"/>
    <n v="55.45"/>
  </r>
  <r>
    <n v="201"/>
    <x v="4"/>
    <x v="4"/>
    <x v="1"/>
    <x v="2"/>
    <x v="1"/>
    <x v="0"/>
    <x v="0"/>
    <n v="13.201000000000001"/>
    <n v="57.5"/>
    <n v="51.9"/>
    <n v="46.8"/>
    <n v="50.6"/>
    <n v="48.2"/>
    <n v="49.7"/>
    <n v="48.5"/>
    <n v="57"/>
    <n v="45.6"/>
    <n v="52.5"/>
    <n v="47.6"/>
    <n v="48"/>
    <n v="50.324999999999996"/>
    <n v="1.098009562799906"/>
    <n v="45.6"/>
    <n v="47.9"/>
    <n v="49.1"/>
  </r>
  <r>
    <n v="202"/>
    <x v="5"/>
    <x v="5"/>
    <x v="1"/>
    <x v="1"/>
    <x v="0"/>
    <x v="0"/>
    <x v="0"/>
    <n v="13.215"/>
    <n v="58.3"/>
    <n v="53.9"/>
    <n v="54"/>
    <n v="57"/>
    <n v="51.5"/>
    <n v="55.7"/>
    <n v="53.8"/>
    <n v="57.3"/>
    <n v="57.1"/>
    <n v="46.7"/>
    <n v="54.3"/>
    <n v="54.2"/>
    <n v="54.483333333333341"/>
    <n v="0.9036821422056408"/>
    <n v="46.7"/>
    <n v="53.875"/>
    <n v="54.25"/>
  </r>
  <r>
    <n v="203"/>
    <x v="6"/>
    <x v="6"/>
    <x v="0"/>
    <x v="1"/>
    <x v="0"/>
    <x v="0"/>
    <x v="0"/>
    <n v="13.23"/>
    <n v="58"/>
    <n v="57.3"/>
    <n v="54.7"/>
    <n v="59"/>
    <n v="56"/>
    <n v="49.9"/>
    <n v="57.1"/>
    <n v="54.8"/>
    <n v="49.9"/>
    <n v="56.8"/>
    <n v="50.8"/>
    <n v="60.1"/>
    <n v="55.366666666666667"/>
    <n v="1.0042586088928134"/>
    <n v="49.9"/>
    <n v="53.725000000000001"/>
    <n v="56.4"/>
  </r>
  <r>
    <n v="204"/>
    <x v="7"/>
    <x v="7"/>
    <x v="1"/>
    <x v="2"/>
    <x v="0"/>
    <x v="0"/>
    <x v="0"/>
    <n v="13.246"/>
    <n v="57.7"/>
    <n v="42.2"/>
    <n v="47.7"/>
    <n v="44.3"/>
    <n v="51.2"/>
    <n v="39.299999999999997"/>
    <n v="45.8"/>
    <n v="51.5"/>
    <n v="50.9"/>
    <n v="51.3"/>
    <n v="55"/>
    <n v="46"/>
    <n v="48.57500000000001"/>
    <n v="1.5395357919013839"/>
    <n v="39.299999999999997"/>
    <n v="45.424999999999997"/>
    <n v="49.3"/>
  </r>
  <r>
    <n v="205"/>
    <x v="0"/>
    <x v="0"/>
    <x v="0"/>
    <x v="0"/>
    <x v="0"/>
    <x v="1"/>
    <x v="0"/>
    <n v="13.26"/>
    <n v="57.4"/>
    <n v="55.8"/>
    <n v="54"/>
    <n v="58.3"/>
    <n v="50.7"/>
    <n v="57.4"/>
    <n v="51.6"/>
    <n v="57.3"/>
    <n v="55.4"/>
    <n v="58.4"/>
    <n v="56.6"/>
    <n v="57.7"/>
    <n v="55.883333333333333"/>
    <n v="0.73647741981609571"/>
    <n v="50.7"/>
    <n v="55.05"/>
    <n v="56.95"/>
  </r>
  <r>
    <n v="206"/>
    <x v="8"/>
    <x v="8"/>
    <x v="1"/>
    <x v="0"/>
    <x v="1"/>
    <x v="1"/>
    <x v="0"/>
    <n v="13.276"/>
    <n v="56.8"/>
    <n v="57.2"/>
    <n v="56.7"/>
    <n v="53.8"/>
    <n v="55.5"/>
    <n v="53.8"/>
    <n v="55.5"/>
    <n v="54.3"/>
    <n v="53.4"/>
    <n v="51.3"/>
    <n v="55.8"/>
    <n v="55.6"/>
    <n v="54.974999999999994"/>
    <n v="0.49300024586634161"/>
    <n v="51.3"/>
    <n v="53.8"/>
    <n v="55.5"/>
  </r>
  <r>
    <n v="207"/>
    <x v="1"/>
    <x v="1"/>
    <x v="0"/>
    <x v="1"/>
    <x v="1"/>
    <x v="1"/>
    <x v="0"/>
    <n v="13.291"/>
    <n v="58.3"/>
    <n v="50.6"/>
    <n v="51.2"/>
    <n v="54.3"/>
    <n v="47.2"/>
    <n v="57"/>
    <n v="54.7"/>
    <n v="57.1"/>
    <n v="54.8"/>
    <n v="54.4"/>
    <n v="48.1"/>
    <n v="59.4"/>
    <n v="53.925000000000004"/>
    <n v="1.1282276930091377"/>
    <n v="47.2"/>
    <n v="51.050000000000004"/>
    <n v="54.55"/>
  </r>
  <r>
    <n v="208"/>
    <x v="9"/>
    <x v="9"/>
    <x v="0"/>
    <x v="0"/>
    <x v="1"/>
    <x v="1"/>
    <x v="0"/>
    <n v="13.305999999999999"/>
    <n v="56.2"/>
    <n v="56.7"/>
    <n v="56.9"/>
    <n v="57.8"/>
    <n v="54.2"/>
    <n v="54.8"/>
    <n v="54.3"/>
    <n v="57.5"/>
    <n v="55.3"/>
    <n v="56.8"/>
    <n v="47.6"/>
    <n v="57.7"/>
    <n v="55.483333333333341"/>
    <n v="0.8061161407162577"/>
    <n v="47.6"/>
    <n v="54.674999999999997"/>
    <n v="56.45"/>
  </r>
  <r>
    <n v="301"/>
    <x v="3"/>
    <x v="3"/>
    <x v="1"/>
    <x v="1"/>
    <x v="1"/>
    <x v="2"/>
    <x v="0"/>
    <n v="13.432"/>
    <n v="55"/>
    <n v="53.1"/>
    <n v="50.8"/>
    <n v="57.2"/>
    <n v="52.1"/>
    <n v="57.4"/>
    <n v="52.5"/>
    <n v="57.1"/>
    <n v="50.8"/>
    <n v="56"/>
    <n v="48.5"/>
    <n v="58.7"/>
    <n v="54.1"/>
    <n v="0.93654749592380426"/>
    <n v="48.5"/>
    <n v="51.774999999999999"/>
    <n v="54.05"/>
  </r>
  <r>
    <n v="302"/>
    <x v="1"/>
    <x v="1"/>
    <x v="0"/>
    <x v="1"/>
    <x v="1"/>
    <x v="2"/>
    <x v="0"/>
    <n v="13.446"/>
    <n v="57.8"/>
    <n v="48.8"/>
    <n v="51.8"/>
    <n v="59.9"/>
    <n v="48"/>
    <n v="50.9"/>
    <n v="50.3"/>
    <n v="55.9"/>
    <n v="53.4"/>
    <n v="45.3"/>
    <n v="56.4"/>
    <n v="49.1"/>
    <n v="52.29999999999999"/>
    <n v="1.2767738700144311"/>
    <n v="45.3"/>
    <n v="49.024999999999999"/>
    <n v="51.349999999999994"/>
  </r>
  <r>
    <n v="303"/>
    <x v="8"/>
    <x v="8"/>
    <x v="1"/>
    <x v="0"/>
    <x v="1"/>
    <x v="2"/>
    <x v="0"/>
    <n v="13.461"/>
    <n v="53"/>
    <n v="52"/>
    <n v="53.3"/>
    <n v="46.8"/>
    <n v="53.4"/>
    <n v="54"/>
    <n v="56.2"/>
    <n v="55.7"/>
    <n v="55.8"/>
    <n v="55"/>
    <n v="52.9"/>
    <n v="52.8"/>
    <n v="53.408333333333331"/>
    <n v="0.71831645905791219"/>
    <n v="46.8"/>
    <n v="52.875"/>
    <n v="53.349999999999994"/>
  </r>
  <r>
    <n v="304"/>
    <x v="9"/>
    <x v="9"/>
    <x v="0"/>
    <x v="0"/>
    <x v="1"/>
    <x v="2"/>
    <x v="0"/>
    <n v="13.476000000000001"/>
    <n v="57.6"/>
    <n v="59.3"/>
    <n v="50.2"/>
    <n v="57.8"/>
    <n v="47"/>
    <n v="54.5"/>
    <n v="53.6"/>
    <n v="55.9"/>
    <n v="49.2"/>
    <n v="55.1"/>
    <n v="49.3"/>
    <n v="56.2"/>
    <n v="53.808333333333337"/>
    <n v="1.1470950353837277"/>
    <n v="47"/>
    <n v="49.975000000000001"/>
    <n v="54.8"/>
  </r>
  <r>
    <n v="305"/>
    <x v="7"/>
    <x v="7"/>
    <x v="1"/>
    <x v="2"/>
    <x v="0"/>
    <x v="3"/>
    <x v="0"/>
    <n v="13.491"/>
    <n v="57.6"/>
    <n v="52"/>
    <n v="55.5"/>
    <n v="38.4"/>
    <n v="39.799999999999997"/>
    <n v="50.8"/>
    <n v="36.5"/>
    <n v="45"/>
    <n v="39"/>
    <n v="45.3"/>
    <n v="50.4"/>
    <n v="45.8"/>
    <n v="46.341666666666669"/>
    <n v="2.0203306935031953"/>
    <n v="36.5"/>
    <n v="39.599999999999994"/>
    <n v="45.55"/>
  </r>
  <r>
    <n v="306"/>
    <x v="1"/>
    <x v="1"/>
    <x v="0"/>
    <x v="1"/>
    <x v="1"/>
    <x v="3"/>
    <x v="0"/>
    <n v="13.505000000000001"/>
    <n v="58"/>
    <n v="56.4"/>
    <n v="51.9"/>
    <n v="58.1"/>
    <n v="53.3"/>
    <n v="53.7"/>
    <n v="48.4"/>
    <n v="52.7"/>
    <n v="53.6"/>
    <n v="53"/>
    <n v="55"/>
    <n v="51.2"/>
    <n v="53.774999999999999"/>
    <n v="0.80717661692414544"/>
    <n v="48.4"/>
    <n v="52.5"/>
    <n v="53.45"/>
  </r>
  <r>
    <n v="307"/>
    <x v="5"/>
    <x v="5"/>
    <x v="1"/>
    <x v="1"/>
    <x v="0"/>
    <x v="3"/>
    <x v="0"/>
    <n v="13.521000000000001"/>
    <n v="57"/>
    <n v="49.4"/>
    <n v="55.8"/>
    <n v="57.1"/>
    <n v="55"/>
    <n v="53"/>
    <n v="53.2"/>
    <n v="57.5"/>
    <n v="54.5"/>
    <n v="56.3"/>
    <n v="49.3"/>
    <n v="58.2"/>
    <n v="54.691666666666663"/>
    <n v="0.85912731738361237"/>
    <n v="49.3"/>
    <n v="53.150000000000006"/>
    <n v="55.4"/>
  </r>
  <r>
    <n v="308"/>
    <x v="2"/>
    <x v="2"/>
    <x v="0"/>
    <x v="2"/>
    <x v="0"/>
    <x v="3"/>
    <x v="0"/>
    <n v="13.535"/>
    <n v="57.1"/>
    <n v="52.8"/>
    <n v="50.9"/>
    <n v="51.8"/>
    <n v="45.8"/>
    <n v="55.7"/>
    <n v="44.9"/>
    <n v="54"/>
    <n v="40.799999999999997"/>
    <n v="51.7"/>
    <n v="49.7"/>
    <n v="46.8"/>
    <n v="50.166666666666664"/>
    <n v="1.3816071742135534"/>
    <n v="40.799999999999997"/>
    <n v="46.55"/>
    <n v="51.3"/>
  </r>
  <r>
    <n v="403"/>
    <x v="10"/>
    <x v="10"/>
    <x v="0"/>
    <x v="2"/>
    <x v="1"/>
    <x v="2"/>
    <x v="0"/>
    <n v="13.638999999999999"/>
    <n v="56.2"/>
    <n v="48"/>
    <n v="52"/>
    <n v="48.9"/>
    <n v="53.8"/>
    <n v="49.7"/>
    <n v="51.4"/>
    <n v="54.8"/>
    <n v="54"/>
    <n v="47.3"/>
    <n v="46.6"/>
    <n v="44.9"/>
    <n v="50.633333333333326"/>
    <n v="1.0416575757179416"/>
    <n v="44.9"/>
    <n v="47.825000000000003"/>
    <n v="50.55"/>
  </r>
  <r>
    <n v="404"/>
    <x v="6"/>
    <x v="6"/>
    <x v="0"/>
    <x v="1"/>
    <x v="0"/>
    <x v="2"/>
    <x v="0"/>
    <n v="13.624000000000001"/>
    <n v="57.7"/>
    <n v="50.8"/>
    <n v="53.9"/>
    <n v="55"/>
    <n v="52.9"/>
    <n v="52.4"/>
    <n v="51.2"/>
    <n v="55.7"/>
    <n v="52.4"/>
    <n v="57.2"/>
    <n v="53.4"/>
    <n v="55.5"/>
    <n v="54.008333333333326"/>
    <n v="0.64461150307693216"/>
    <n v="50.8"/>
    <n v="52.4"/>
    <n v="53.65"/>
  </r>
  <r>
    <n v="405"/>
    <x v="10"/>
    <x v="10"/>
    <x v="0"/>
    <x v="2"/>
    <x v="1"/>
    <x v="3"/>
    <x v="0"/>
    <n v="13.609"/>
    <n v="57.2"/>
    <n v="41.2"/>
    <n v="51.5"/>
    <n v="49"/>
    <n v="50.3"/>
    <n v="51.7"/>
    <n v="41.6"/>
    <n v="59.1"/>
    <n v="41.8"/>
    <n v="49.4"/>
    <n v="44.7"/>
    <n v="49.7"/>
    <n v="48.933333333333337"/>
    <n v="1.6765012871025708"/>
    <n v="41.2"/>
    <n v="43.975000000000001"/>
    <n v="49.55"/>
  </r>
  <r>
    <n v="406"/>
    <x v="6"/>
    <x v="6"/>
    <x v="0"/>
    <x v="1"/>
    <x v="0"/>
    <x v="3"/>
    <x v="0"/>
    <n v="13.595000000000001"/>
    <n v="58"/>
    <n v="52.7"/>
    <n v="51.5"/>
    <n v="55.1"/>
    <n v="46.5"/>
    <n v="55.9"/>
    <n v="52"/>
    <n v="54.1"/>
    <n v="53.5"/>
    <n v="55"/>
    <n v="50.3"/>
    <n v="51.4"/>
    <n v="52.999999999999993"/>
    <n v="0.8647998542315164"/>
    <n v="46.5"/>
    <n v="51.475000000000001"/>
    <n v="53.1"/>
  </r>
  <r>
    <n v="407"/>
    <x v="11"/>
    <x v="11"/>
    <x v="1"/>
    <x v="0"/>
    <x v="0"/>
    <x v="3"/>
    <x v="0"/>
    <n v="13.579000000000001"/>
    <n v="58.2"/>
    <n v="50.3"/>
    <n v="56.2"/>
    <n v="56.2"/>
    <n v="54.1"/>
    <n v="57.4"/>
    <n v="49.4"/>
    <n v="57.8"/>
    <n v="51.5"/>
    <n v="58.4"/>
    <n v="55.1"/>
    <n v="54.7"/>
    <n v="54.94166666666667"/>
    <n v="0.89124175658842153"/>
    <n v="49.4"/>
    <n v="53.45"/>
    <n v="55.650000000000006"/>
  </r>
  <r>
    <n v="408"/>
    <x v="3"/>
    <x v="3"/>
    <x v="1"/>
    <x v="1"/>
    <x v="1"/>
    <x v="3"/>
    <x v="0"/>
    <n v="13.564"/>
    <n v="57.3"/>
    <n v="52.1"/>
    <n v="57.2"/>
    <n v="59.8"/>
    <n v="51.4"/>
    <n v="55.9"/>
    <n v="53.1"/>
    <n v="58.4"/>
    <n v="45.4"/>
    <n v="57.8"/>
    <n v="52.5"/>
    <n v="55.2"/>
    <n v="54.675000000000004"/>
    <n v="1.153198779154075"/>
    <n v="45.4"/>
    <n v="52.4"/>
    <n v="55.55"/>
  </r>
  <r>
    <n v="901"/>
    <x v="12"/>
    <x v="12"/>
    <x v="2"/>
    <x v="3"/>
    <x v="1"/>
    <x v="0"/>
    <x v="0"/>
    <n v="13.414999999999999"/>
    <n v="33.299999999999997"/>
    <n v="37"/>
    <n v="35.9"/>
    <n v="36.5"/>
    <n v="32.200000000000003"/>
    <n v="35.6"/>
    <n v="32.6"/>
    <n v="34.799999999999997"/>
    <n v="34.5"/>
    <n v="33.9"/>
    <n v="32.4"/>
    <n v="35.200000000000003"/>
    <n v="34.49166666666666"/>
    <n v="0.46959981888733793"/>
    <n v="32.200000000000003"/>
    <n v="33.125"/>
    <n v="34.65"/>
  </r>
  <r>
    <n v="902"/>
    <x v="13"/>
    <x v="13"/>
    <x v="3"/>
    <x v="1"/>
    <x v="0"/>
    <x v="0"/>
    <x v="0"/>
    <n v="13.4"/>
    <n v="58.4"/>
    <n v="44.4"/>
    <n v="52.8"/>
    <n v="53.6"/>
    <n v="47.8"/>
    <n v="49.8"/>
    <n v="56"/>
    <n v="48.5"/>
    <n v="51.7"/>
    <n v="54.4"/>
    <n v="52.1"/>
    <n v="52"/>
    <n v="51.791666666666664"/>
    <n v="1.0940235949295718"/>
    <n v="44.4"/>
    <n v="49.474999999999994"/>
    <n v="52.05"/>
  </r>
  <r>
    <n v="903"/>
    <x v="14"/>
    <x v="14"/>
    <x v="4"/>
    <x v="3"/>
    <x v="1"/>
    <x v="0"/>
    <x v="0"/>
    <n v="13.391"/>
    <n v="58.6"/>
    <n v="61.2"/>
    <n v="60.4"/>
    <n v="61.8"/>
    <n v="57.8"/>
    <n v="59"/>
    <n v="59"/>
    <n v="62.9"/>
    <n v="58.5"/>
    <n v="60.4"/>
    <n v="59.3"/>
    <n v="62.6"/>
    <n v="60.125"/>
    <n v="0.48867864510515663"/>
    <n v="57.8"/>
    <n v="58.9"/>
    <n v="59.85"/>
  </r>
  <r>
    <n v="904"/>
    <x v="15"/>
    <x v="15"/>
    <x v="5"/>
    <x v="1"/>
    <x v="0"/>
    <x v="0"/>
    <x v="0"/>
    <n v="13.377000000000001"/>
    <n v="58"/>
    <n v="52.7"/>
    <n v="49.8"/>
    <n v="54.1"/>
    <n v="46.3"/>
    <n v="48.6"/>
    <n v="54.8"/>
    <n v="59.3"/>
    <n v="52.2"/>
    <n v="53.5"/>
    <n v="54.5"/>
    <n v="46.5"/>
    <n v="52.524999999999999"/>
    <n v="1.1883350333618798"/>
    <n v="46.3"/>
    <n v="49.5"/>
    <n v="53.1"/>
  </r>
  <r>
    <n v="905"/>
    <x v="12"/>
    <x v="12"/>
    <x v="2"/>
    <x v="3"/>
    <x v="1"/>
    <x v="1"/>
    <x v="0"/>
    <n v="13.368"/>
    <n v="33.799999999999997"/>
    <n v="36.200000000000003"/>
    <n v="33.1"/>
    <n v="36.9"/>
    <n v="32.1"/>
    <n v="35.9"/>
    <n v="32.9"/>
    <n v="34.5"/>
    <n v="32.799999999999997"/>
    <n v="33"/>
    <n v="34.799999999999997"/>
    <n v="35.9"/>
    <n v="34.325000000000003"/>
    <n v="0.46222862636394413"/>
    <n v="32.1"/>
    <n v="32.975000000000001"/>
    <n v="34.15"/>
  </r>
  <r>
    <n v="906"/>
    <x v="13"/>
    <x v="13"/>
    <x v="3"/>
    <x v="1"/>
    <x v="0"/>
    <x v="1"/>
    <x v="0"/>
    <n v="13.353"/>
    <n v="57.3"/>
    <n v="57.7"/>
    <n v="49"/>
    <n v="57.2"/>
    <n v="45.2"/>
    <n v="53.7"/>
    <n v="54.2"/>
    <n v="54.6"/>
    <n v="48.6"/>
    <n v="56.4"/>
    <n v="45.2"/>
    <n v="56.9"/>
    <n v="53"/>
    <n v="1.366592754838007"/>
    <n v="45.2"/>
    <n v="48.9"/>
    <n v="54.4"/>
  </r>
  <r>
    <n v="907"/>
    <x v="14"/>
    <x v="14"/>
    <x v="4"/>
    <x v="3"/>
    <x v="1"/>
    <x v="1"/>
    <x v="0"/>
    <n v="13.343999999999999"/>
    <n v="59"/>
    <n v="61.8"/>
    <n v="60"/>
    <n v="60.5"/>
    <n v="59.4"/>
    <n v="61.4"/>
    <n v="60.3"/>
    <n v="62.9"/>
    <n v="59.6"/>
    <n v="61.7"/>
    <n v="60.3"/>
    <n v="62.7"/>
    <n v="60.8"/>
    <n v="0.36988941836468392"/>
    <n v="59"/>
    <n v="59.9"/>
    <n v="60.4"/>
  </r>
  <r>
    <n v="908"/>
    <x v="15"/>
    <x v="15"/>
    <x v="5"/>
    <x v="1"/>
    <x v="0"/>
    <x v="1"/>
    <x v="0"/>
    <n v="13.329000000000001"/>
    <n v="57.6"/>
    <n v="52.9"/>
    <n v="50.3"/>
    <n v="57.4"/>
    <n v="49.8"/>
    <n v="56.1"/>
    <n v="43.2"/>
    <n v="58.9"/>
    <n v="41.2"/>
    <n v="57.9"/>
    <n v="53.6"/>
    <n v="57.1"/>
    <n v="53"/>
    <n v="1.6943310112718806"/>
    <n v="41.2"/>
    <n v="50.174999999999997"/>
    <n v="54.85"/>
  </r>
  <r>
    <n v="101"/>
    <x v="0"/>
    <x v="0"/>
    <x v="0"/>
    <x v="0"/>
    <x v="0"/>
    <x v="0"/>
    <x v="1"/>
    <n v="13.180999999999999"/>
    <n v="30"/>
    <n v="31.3"/>
    <n v="30"/>
    <n v="31.7"/>
    <n v="33.4"/>
    <n v="32.799999999999997"/>
    <n v="33.9"/>
    <n v="31.9"/>
    <n v="35.200000000000003"/>
    <n v="29.3"/>
    <n v="34.4"/>
    <n v="28.7"/>
    <n v="31.883333333333329"/>
    <n v="0.60813093353590608"/>
    <n v="28.7"/>
    <n v="30"/>
    <n v="31.8"/>
  </r>
  <r>
    <n v="102"/>
    <x v="1"/>
    <x v="1"/>
    <x v="0"/>
    <x v="1"/>
    <x v="1"/>
    <x v="0"/>
    <x v="1"/>
    <n v="13.164999999999999"/>
    <n v="30.2"/>
    <n v="29.5"/>
    <n v="28.9"/>
    <n v="31.8"/>
    <n v="33.4"/>
    <n v="29.5"/>
    <n v="33.9"/>
    <n v="31.3"/>
    <n v="29.3"/>
    <n v="31.6"/>
    <n v="29"/>
    <n v="28.4"/>
    <n v="30.566666666666666"/>
    <n v="0.52372982471203966"/>
    <n v="28.4"/>
    <n v="29.225000000000001"/>
    <n v="29.85"/>
  </r>
  <r>
    <n v="103"/>
    <x v="2"/>
    <x v="2"/>
    <x v="0"/>
    <x v="2"/>
    <x v="0"/>
    <x v="0"/>
    <x v="1"/>
    <n v="13.151"/>
    <n v="29.2"/>
    <n v="30.1"/>
    <n v="32.700000000000003"/>
    <n v="30.3"/>
    <n v="31.4"/>
    <n v="33.200000000000003"/>
    <n v="31.1"/>
    <n v="30.4"/>
    <n v="29.3"/>
    <n v="29.4"/>
    <n v="29.1"/>
    <n v="30.7"/>
    <n v="30.574999999999999"/>
    <n v="0.38712714221873784"/>
    <n v="29.1"/>
    <n v="29.375"/>
    <n v="30.35"/>
  </r>
  <r>
    <n v="104"/>
    <x v="3"/>
    <x v="3"/>
    <x v="1"/>
    <x v="1"/>
    <x v="1"/>
    <x v="0"/>
    <x v="1"/>
    <n v="13.135"/>
    <n v="28"/>
    <n v="30.3"/>
    <n v="29.3"/>
    <n v="28.4"/>
    <n v="29.1"/>
    <n v="28.6"/>
    <n v="30.4"/>
    <n v="30.2"/>
    <n v="30.7"/>
    <n v="30.1"/>
    <n v="31.9"/>
    <n v="30.5"/>
    <n v="29.791666666666668"/>
    <n v="0.32507769079174825"/>
    <n v="28"/>
    <n v="28.975000000000001"/>
    <n v="30.15"/>
  </r>
  <r>
    <n v="105"/>
    <x v="4"/>
    <x v="4"/>
    <x v="1"/>
    <x v="2"/>
    <x v="1"/>
    <x v="1"/>
    <x v="1"/>
    <n v="13.12"/>
    <n v="28.1"/>
    <n v="28.7"/>
    <n v="33.799999999999997"/>
    <n v="32.9"/>
    <n v="30.9"/>
    <n v="30.4"/>
    <n v="32.299999999999997"/>
    <n v="27.7"/>
    <n v="30.4"/>
    <n v="27.7"/>
    <n v="28.2"/>
    <n v="28.3"/>
    <n v="29.95"/>
    <n v="0.6231031822720553"/>
    <n v="27.7"/>
    <n v="28.175000000000001"/>
    <n v="29.55"/>
  </r>
  <r>
    <n v="106"/>
    <x v="5"/>
    <x v="5"/>
    <x v="1"/>
    <x v="1"/>
    <x v="0"/>
    <x v="1"/>
    <x v="1"/>
    <n v="13.103999999999999"/>
    <n v="29"/>
    <n v="30.7"/>
    <n v="32.1"/>
    <n v="29.3"/>
    <n v="30.4"/>
    <n v="28"/>
    <n v="30.7"/>
    <n v="28.7"/>
    <n v="33.299999999999997"/>
    <n v="33.9"/>
    <n v="28.9"/>
    <n v="32.200000000000003"/>
    <n v="30.6"/>
    <n v="0.55432186252460858"/>
    <n v="28"/>
    <n v="28.975000000000001"/>
    <n v="30.55"/>
  </r>
  <r>
    <n v="107"/>
    <x v="3"/>
    <x v="3"/>
    <x v="1"/>
    <x v="1"/>
    <x v="1"/>
    <x v="1"/>
    <x v="1"/>
    <n v="13.087"/>
    <n v="32.700000000000003"/>
    <n v="29.8"/>
    <n v="29.3"/>
    <n v="29.3"/>
    <n v="28.2"/>
    <n v="36.700000000000003"/>
    <n v="29.1"/>
    <n v="30.3"/>
    <n v="30"/>
    <n v="28.4"/>
    <n v="30.6"/>
    <n v="28.3"/>
    <n v="30.225000000000001"/>
    <n v="0.68833626824527316"/>
    <n v="28.2"/>
    <n v="28.925000000000001"/>
    <n v="29.55"/>
  </r>
  <r>
    <n v="108"/>
    <x v="6"/>
    <x v="6"/>
    <x v="0"/>
    <x v="1"/>
    <x v="0"/>
    <x v="1"/>
    <x v="1"/>
    <n v="13.07"/>
    <n v="28.3"/>
    <n v="30.6"/>
    <n v="34.799999999999997"/>
    <n v="29.9"/>
    <n v="29.9"/>
    <n v="30.5"/>
    <n v="30"/>
    <n v="29.1"/>
    <n v="34.1"/>
    <n v="29.8"/>
    <n v="30.2"/>
    <n v="30.6"/>
    <n v="30.65"/>
    <n v="0.54737666384422545"/>
    <n v="28.3"/>
    <n v="29.875"/>
    <n v="30.1"/>
  </r>
  <r>
    <n v="201"/>
    <x v="4"/>
    <x v="4"/>
    <x v="1"/>
    <x v="2"/>
    <x v="1"/>
    <x v="0"/>
    <x v="1"/>
    <n v="13.205"/>
    <n v="31.1"/>
    <n v="35.200000000000003"/>
    <n v="32.200000000000003"/>
    <n v="29.5"/>
    <n v="31.7"/>
    <n v="33.1"/>
    <n v="29.4"/>
    <n v="29.4"/>
    <n v="32.799999999999997"/>
    <n v="29.5"/>
    <n v="31.3"/>
    <n v="29.5"/>
    <n v="31.225000000000001"/>
    <n v="0.54064005277695626"/>
    <n v="29.4"/>
    <n v="29.5"/>
    <n v="31.2"/>
  </r>
  <r>
    <n v="202"/>
    <x v="5"/>
    <x v="5"/>
    <x v="1"/>
    <x v="1"/>
    <x v="0"/>
    <x v="0"/>
    <x v="1"/>
    <n v="13.22"/>
    <n v="32.799999999999997"/>
    <n v="30.3"/>
    <n v="31.6"/>
    <n v="30.1"/>
    <n v="32"/>
    <n v="34.6"/>
    <n v="37.700000000000003"/>
    <n v="32.5"/>
    <n v="33"/>
    <n v="31.3"/>
    <n v="33.799999999999997"/>
    <n v="30"/>
    <n v="32.475000000000001"/>
    <n v="0.63259027383091337"/>
    <n v="30"/>
    <n v="31.05"/>
    <n v="32.25"/>
  </r>
  <r>
    <n v="203"/>
    <x v="6"/>
    <x v="6"/>
    <x v="0"/>
    <x v="1"/>
    <x v="0"/>
    <x v="0"/>
    <x v="1"/>
    <n v="13.234999999999999"/>
    <n v="34.6"/>
    <n v="32.5"/>
    <n v="33"/>
    <n v="30.4"/>
    <n v="31.2"/>
    <n v="30.4"/>
    <n v="31.6"/>
    <n v="29.6"/>
    <n v="32.299999999999997"/>
    <n v="31"/>
    <n v="31.1"/>
    <n v="28.5"/>
    <n v="31.35"/>
    <n v="0.46685602218942723"/>
    <n v="28.5"/>
    <n v="30.4"/>
    <n v="31.15"/>
  </r>
  <r>
    <n v="204"/>
    <x v="7"/>
    <x v="7"/>
    <x v="1"/>
    <x v="2"/>
    <x v="0"/>
    <x v="0"/>
    <x v="1"/>
    <n v="13.25"/>
    <n v="30.4"/>
    <n v="32.1"/>
    <n v="33.299999999999997"/>
    <n v="28.3"/>
    <n v="30.7"/>
    <n v="30.6"/>
    <n v="30.6"/>
    <n v="29.5"/>
    <n v="29.3"/>
    <n v="31"/>
    <n v="29.7"/>
    <n v="30.5"/>
    <n v="30.5"/>
    <n v="0.37578201289064433"/>
    <n v="28.3"/>
    <n v="29.65"/>
    <n v="30.55"/>
  </r>
  <r>
    <n v="205"/>
    <x v="0"/>
    <x v="0"/>
    <x v="0"/>
    <x v="0"/>
    <x v="0"/>
    <x v="1"/>
    <x v="1"/>
    <n v="13.265000000000001"/>
    <n v="35.4"/>
    <n v="32.4"/>
    <n v="31.8"/>
    <n v="31.6"/>
    <n v="30.4"/>
    <n v="31.7"/>
    <n v="29.6"/>
    <n v="34.200000000000003"/>
    <n v="31.5"/>
    <n v="32.5"/>
    <n v="32.299999999999997"/>
    <n v="30.7"/>
    <n v="32.008333333333333"/>
    <n v="0.45601341243787619"/>
    <n v="29.6"/>
    <n v="31.3"/>
    <n v="31.75"/>
  </r>
  <r>
    <n v="206"/>
    <x v="8"/>
    <x v="8"/>
    <x v="1"/>
    <x v="0"/>
    <x v="1"/>
    <x v="1"/>
    <x v="1"/>
    <n v="13.28"/>
    <n v="30.7"/>
    <n v="35"/>
    <n v="31"/>
    <n v="29"/>
    <n v="30.7"/>
    <n v="32.1"/>
    <n v="32.799999999999997"/>
    <n v="29.9"/>
    <n v="33.299999999999997"/>
    <n v="35.6"/>
    <n v="31.9"/>
    <n v="29.6"/>
    <n v="31.8"/>
    <n v="0.59911550968020699"/>
    <n v="29"/>
    <n v="30.5"/>
    <n v="31.45"/>
  </r>
  <r>
    <n v="207"/>
    <x v="1"/>
    <x v="1"/>
    <x v="0"/>
    <x v="1"/>
    <x v="1"/>
    <x v="1"/>
    <x v="1"/>
    <n v="13.295"/>
    <n v="31.1"/>
    <n v="30.4"/>
    <n v="29.9"/>
    <n v="29.5"/>
    <n v="30.2"/>
    <n v="29.7"/>
    <n v="32.1"/>
    <n v="30.6"/>
    <n v="30.6"/>
    <n v="28.6"/>
    <n v="30.4"/>
    <n v="32.4"/>
    <n v="30.458333333333329"/>
    <n v="0.30462553598107506"/>
    <n v="28.6"/>
    <n v="29.85"/>
    <n v="30.4"/>
  </r>
  <r>
    <n v="208"/>
    <x v="9"/>
    <x v="9"/>
    <x v="0"/>
    <x v="0"/>
    <x v="1"/>
    <x v="1"/>
    <x v="1"/>
    <n v="13.311"/>
    <n v="30.1"/>
    <n v="29.1"/>
    <n v="30.1"/>
    <n v="30.5"/>
    <n v="29.1"/>
    <n v="31.4"/>
    <n v="34"/>
    <n v="41"/>
    <n v="34.6"/>
    <n v="30.1"/>
    <n v="31.4"/>
    <n v="30.2"/>
    <n v="31.8"/>
    <n v="0.97366847696240266"/>
    <n v="29.1"/>
    <n v="30.1"/>
    <n v="30.35"/>
  </r>
  <r>
    <n v="301"/>
    <x v="3"/>
    <x v="3"/>
    <x v="1"/>
    <x v="1"/>
    <x v="1"/>
    <x v="2"/>
    <x v="1"/>
    <n v="13.436999999999999"/>
    <n v="29.7"/>
    <n v="29.7"/>
    <n v="33.6"/>
    <n v="28"/>
    <n v="29.1"/>
    <n v="29.9"/>
    <n v="29.3"/>
    <n v="28.6"/>
    <n v="30.1"/>
    <n v="29.9"/>
    <n v="29.2"/>
    <n v="29.9"/>
    <n v="29.75"/>
    <n v="0.39244764175005381"/>
    <n v="28"/>
    <n v="29.175000000000001"/>
    <n v="29.7"/>
  </r>
  <r>
    <n v="302"/>
    <x v="1"/>
    <x v="1"/>
    <x v="0"/>
    <x v="1"/>
    <x v="1"/>
    <x v="2"/>
    <x v="1"/>
    <n v="13.451000000000001"/>
    <n v="30.1"/>
    <n v="30.1"/>
    <n v="31.2"/>
    <n v="31.9"/>
    <n v="31.7"/>
    <n v="29.7"/>
    <n v="29.4"/>
    <n v="32.6"/>
    <n v="32.5"/>
    <n v="29.9"/>
    <n v="28.8"/>
    <n v="30.7"/>
    <n v="30.716666666666665"/>
    <n v="0.36094013046183399"/>
    <n v="28.8"/>
    <n v="29.85"/>
    <n v="30.4"/>
  </r>
  <r>
    <n v="303"/>
    <x v="8"/>
    <x v="8"/>
    <x v="1"/>
    <x v="0"/>
    <x v="1"/>
    <x v="2"/>
    <x v="1"/>
    <n v="13.465"/>
    <n v="30.3"/>
    <n v="33.200000000000003"/>
    <n v="31.3"/>
    <n v="29.9"/>
    <n v="33.5"/>
    <n v="33.799999999999997"/>
    <n v="36.299999999999997"/>
    <n v="33.1"/>
    <n v="30.7"/>
    <n v="28.7"/>
    <n v="30.5"/>
    <n v="31.3"/>
    <n v="31.883333333333336"/>
    <n v="0.61284648002645503"/>
    <n v="28.7"/>
    <n v="30.45"/>
    <n v="31.3"/>
  </r>
  <r>
    <n v="304"/>
    <x v="9"/>
    <x v="9"/>
    <x v="0"/>
    <x v="0"/>
    <x v="1"/>
    <x v="2"/>
    <x v="1"/>
    <n v="13.48"/>
    <n v="29"/>
    <n v="31.9"/>
    <n v="30.4"/>
    <n v="28.6"/>
    <n v="32.700000000000003"/>
    <n v="30.7"/>
    <n v="36.200000000000003"/>
    <n v="32.200000000000003"/>
    <n v="37.299999999999997"/>
    <n v="30.7"/>
    <n v="32.299999999999997"/>
    <n v="32.299999999999997"/>
    <n v="32.024999999999999"/>
    <n v="0.74336713471182159"/>
    <n v="28.6"/>
    <n v="30.625"/>
    <n v="32.049999999999997"/>
  </r>
  <r>
    <n v="305"/>
    <x v="7"/>
    <x v="7"/>
    <x v="1"/>
    <x v="2"/>
    <x v="0"/>
    <x v="3"/>
    <x v="1"/>
    <n v="13.496"/>
    <n v="32.1"/>
    <n v="30.1"/>
    <n v="31.9"/>
    <n v="30.9"/>
    <n v="34.1"/>
    <n v="33.200000000000003"/>
    <n v="32.700000000000003"/>
    <n v="30.1"/>
    <n v="29.8"/>
    <n v="28.8"/>
    <n v="30.6"/>
    <n v="30.4"/>
    <n v="31.225000000000001"/>
    <n v="0.45379293769629825"/>
    <n v="28.8"/>
    <n v="30.1"/>
    <n v="30.75"/>
  </r>
  <r>
    <n v="306"/>
    <x v="1"/>
    <x v="1"/>
    <x v="0"/>
    <x v="1"/>
    <x v="1"/>
    <x v="3"/>
    <x v="1"/>
    <n v="13.51"/>
    <n v="30.1"/>
    <n v="30.7"/>
    <n v="29.8"/>
    <n v="28.3"/>
    <n v="29.7"/>
    <n v="29"/>
    <n v="29.8"/>
    <n v="28.6"/>
    <n v="28.8"/>
    <n v="28.4"/>
    <n v="29.7"/>
    <n v="29.5"/>
    <n v="29.366666666666664"/>
    <n v="0.21402822432586768"/>
    <n v="28.3"/>
    <n v="28.75"/>
    <n v="29.6"/>
  </r>
  <r>
    <n v="307"/>
    <x v="5"/>
    <x v="5"/>
    <x v="1"/>
    <x v="1"/>
    <x v="0"/>
    <x v="3"/>
    <x v="1"/>
    <n v="13.525"/>
    <n v="28.2"/>
    <n v="29"/>
    <n v="29.8"/>
    <n v="28.9"/>
    <n v="29"/>
    <n v="30.3"/>
    <n v="32.4"/>
    <n v="30.2"/>
    <n v="34.200000000000003"/>
    <n v="29.2"/>
    <n v="28.6"/>
    <n v="31.2"/>
    <n v="30.083333333333332"/>
    <n v="0.50734504028223382"/>
    <n v="28.2"/>
    <n v="28.975000000000001"/>
    <n v="29.5"/>
  </r>
  <r>
    <n v="308"/>
    <x v="2"/>
    <x v="2"/>
    <x v="0"/>
    <x v="2"/>
    <x v="0"/>
    <x v="3"/>
    <x v="1"/>
    <n v="13.54"/>
    <n v="28.4"/>
    <n v="28.8"/>
    <n v="29.2"/>
    <n v="32.9"/>
    <n v="28.3"/>
    <n v="30.3"/>
    <n v="29.9"/>
    <n v="32.700000000000003"/>
    <n v="30.5"/>
    <n v="28.6"/>
    <n v="30.3"/>
    <n v="31.7"/>
    <n v="30.13333333333334"/>
    <n v="0.46308146631495406"/>
    <n v="28.3"/>
    <n v="28.75"/>
    <n v="30.1"/>
  </r>
  <r>
    <n v="403"/>
    <x v="10"/>
    <x v="10"/>
    <x v="0"/>
    <x v="2"/>
    <x v="1"/>
    <x v="2"/>
    <x v="1"/>
    <n v="13.643000000000001"/>
    <n v="29.3"/>
    <n v="30.3"/>
    <n v="31.6"/>
    <n v="30.7"/>
    <n v="31.7"/>
    <n v="35.299999999999997"/>
    <n v="31.8"/>
    <n v="28"/>
    <n v="30.5"/>
    <n v="36"/>
    <n v="30.8"/>
    <n v="29.5"/>
    <n v="31.291666666666668"/>
    <n v="0.66838320678418073"/>
    <n v="28"/>
    <n v="30.1"/>
    <n v="30.75"/>
  </r>
  <r>
    <n v="404"/>
    <x v="6"/>
    <x v="6"/>
    <x v="0"/>
    <x v="1"/>
    <x v="0"/>
    <x v="2"/>
    <x v="1"/>
    <n v="13.628"/>
    <n v="29.8"/>
    <n v="29.2"/>
    <n v="34.1"/>
    <n v="28.5"/>
    <n v="30.6"/>
    <n v="29"/>
    <n v="31.8"/>
    <n v="28.1"/>
    <n v="30.8"/>
    <n v="28.9"/>
    <n v="30.6"/>
    <n v="28"/>
    <n v="29.95"/>
    <n v="0.50848855056983711"/>
    <n v="28"/>
    <n v="28.8"/>
    <n v="29.5"/>
  </r>
  <r>
    <n v="405"/>
    <x v="10"/>
    <x v="10"/>
    <x v="0"/>
    <x v="2"/>
    <x v="1"/>
    <x v="3"/>
    <x v="1"/>
    <n v="13.614000000000001"/>
    <n v="28.3"/>
    <n v="29.3"/>
    <n v="31"/>
    <n v="29.1"/>
    <n v="29.1"/>
    <n v="34.700000000000003"/>
    <n v="30.6"/>
    <n v="31.9"/>
    <n v="29.3"/>
    <n v="29.1"/>
    <n v="27.5"/>
    <n v="30"/>
    <n v="29.991666666666671"/>
    <n v="0.54778594765148347"/>
    <n v="27.5"/>
    <n v="29.1"/>
    <n v="29.3"/>
  </r>
  <r>
    <n v="406"/>
    <x v="6"/>
    <x v="6"/>
    <x v="0"/>
    <x v="1"/>
    <x v="0"/>
    <x v="3"/>
    <x v="1"/>
    <n v="13.599"/>
    <n v="29"/>
    <n v="29.8"/>
    <n v="28.4"/>
    <n v="27.7"/>
    <n v="29.6"/>
    <n v="31.4"/>
    <n v="32.5"/>
    <n v="31.8"/>
    <n v="30.1"/>
    <n v="28.5"/>
    <n v="29.9"/>
    <n v="32.5"/>
    <n v="30.1"/>
    <n v="0.46790960017871508"/>
    <n v="27.7"/>
    <n v="28.875"/>
    <n v="29.85"/>
  </r>
  <r>
    <n v="407"/>
    <x v="11"/>
    <x v="11"/>
    <x v="1"/>
    <x v="0"/>
    <x v="0"/>
    <x v="3"/>
    <x v="1"/>
    <n v="13.584"/>
    <n v="29.5"/>
    <n v="29.5"/>
    <n v="30.9"/>
    <n v="28.7"/>
    <n v="29.8"/>
    <n v="31.9"/>
    <n v="33.6"/>
    <n v="29.7"/>
    <n v="34.1"/>
    <n v="29.9"/>
    <n v="31.6"/>
    <n v="29.7"/>
    <n v="30.741666666666664"/>
    <n v="0.49672538802755134"/>
    <n v="28.7"/>
    <n v="29.65"/>
    <n v="29.85"/>
  </r>
  <r>
    <n v="408"/>
    <x v="3"/>
    <x v="3"/>
    <x v="1"/>
    <x v="1"/>
    <x v="1"/>
    <x v="3"/>
    <x v="1"/>
    <n v="13.569000000000001"/>
    <n v="29.6"/>
    <n v="30.7"/>
    <n v="28.2"/>
    <n v="28.6"/>
    <n v="28.1"/>
    <n v="29.1"/>
    <n v="32.5"/>
    <n v="29.8"/>
    <n v="29.6"/>
    <n v="30.8"/>
    <n v="33"/>
    <n v="30.3"/>
    <n v="30.024999999999999"/>
    <n v="0.44757342380548432"/>
    <n v="28.1"/>
    <n v="28.975000000000001"/>
    <n v="29.7"/>
  </r>
  <r>
    <n v="902"/>
    <x v="13"/>
    <x v="13"/>
    <x v="3"/>
    <x v="1"/>
    <x v="0"/>
    <x v="0"/>
    <x v="1"/>
    <n v="13.404"/>
    <n v="31.8"/>
    <n v="31.8"/>
    <n v="30.7"/>
    <n v="30.8"/>
    <n v="30.1"/>
    <n v="29.5"/>
    <n v="32.9"/>
    <n v="30.7"/>
    <n v="29.9"/>
    <n v="29.8"/>
    <n v="30.7"/>
    <n v="29.2"/>
    <n v="30.658333333333331"/>
    <n v="0.3107806235266643"/>
    <n v="29.2"/>
    <n v="29.875"/>
    <n v="30.7"/>
  </r>
  <r>
    <n v="904"/>
    <x v="15"/>
    <x v="15"/>
    <x v="5"/>
    <x v="1"/>
    <x v="0"/>
    <x v="0"/>
    <x v="1"/>
    <n v="13.381"/>
    <n v="29.4"/>
    <n v="29.4"/>
    <n v="28"/>
    <n v="30"/>
    <n v="31.6"/>
    <n v="29.3"/>
    <n v="32.200000000000003"/>
    <n v="31.1"/>
    <n v="30.9"/>
    <n v="28.6"/>
    <n v="32.799999999999997"/>
    <n v="33.9"/>
    <n v="30.6"/>
    <n v="0.51727725406762437"/>
    <n v="28"/>
    <n v="29.375"/>
    <n v="30.45"/>
  </r>
  <r>
    <n v="906"/>
    <x v="13"/>
    <x v="13"/>
    <x v="3"/>
    <x v="1"/>
    <x v="0"/>
    <x v="1"/>
    <x v="1"/>
    <n v="13.356999999999999"/>
    <n v="28.9"/>
    <n v="33.4"/>
    <n v="34.700000000000003"/>
    <n v="30.3"/>
    <n v="33.4"/>
    <n v="30.4"/>
    <n v="31.5"/>
    <n v="31.1"/>
    <n v="29.9"/>
    <n v="29"/>
    <n v="29.6"/>
    <n v="29.7"/>
    <n v="30.991666666666664"/>
    <n v="0.54764763241789804"/>
    <n v="28.9"/>
    <n v="29.675000000000001"/>
    <n v="30.35"/>
  </r>
  <r>
    <n v="908"/>
    <x v="15"/>
    <x v="15"/>
    <x v="5"/>
    <x v="1"/>
    <x v="0"/>
    <x v="1"/>
    <x v="1"/>
    <n v="13.334"/>
    <n v="28.6"/>
    <n v="30.3"/>
    <n v="30.2"/>
    <n v="30.8"/>
    <n v="30.4"/>
    <n v="30.4"/>
    <n v="30.8"/>
    <n v="34.4"/>
    <n v="30.8"/>
    <n v="31.7"/>
    <n v="32.4"/>
    <n v="29.4"/>
    <n v="30.85"/>
    <n v="0.42666785037716781"/>
    <n v="28.6"/>
    <n v="30.274999999999999"/>
    <n v="3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03999999999999"/>
    <n v="58.7"/>
    <n v="48.7"/>
    <n v="59.3"/>
    <n v="51.3"/>
    <n v="57"/>
    <n v="48.1"/>
    <n v="56.2"/>
    <n v="57.3"/>
    <n v="48.5"/>
    <n v="51.4"/>
    <n v="59.8"/>
    <n v="48.7"/>
    <n v="53.75"/>
    <n v="1.3570522867933048"/>
    <n v="48.1"/>
    <n v="48.7"/>
    <n v="53.8"/>
  </r>
  <r>
    <n v="102"/>
    <x v="1"/>
    <x v="1"/>
    <x v="0"/>
    <x v="1"/>
    <x v="1"/>
    <x v="0"/>
    <x v="0"/>
    <n v="13.084"/>
    <n v="59.3"/>
    <n v="49.1"/>
    <n v="59.9"/>
    <n v="44.4"/>
    <n v="58.9"/>
    <n v="54.9"/>
    <n v="59.1"/>
    <n v="56.6"/>
    <n v="49.7"/>
    <n v="58.4"/>
    <n v="60.8"/>
    <n v="41.9"/>
    <n v="54.416666666666664"/>
    <n v="1.877047703391709"/>
    <n v="41.9"/>
    <n v="49.550000000000004"/>
    <n v="57.5"/>
  </r>
  <r>
    <n v="103"/>
    <x v="2"/>
    <x v="2"/>
    <x v="0"/>
    <x v="2"/>
    <x v="0"/>
    <x v="0"/>
    <x v="0"/>
    <n v="13.057"/>
    <n v="59.4"/>
    <n v="52.9"/>
    <n v="58.3"/>
    <n v="47.5"/>
    <n v="53.3"/>
    <n v="49.9"/>
    <n v="52.7"/>
    <n v="52.6"/>
    <n v="45.2"/>
    <n v="54.8"/>
    <n v="45.6"/>
    <n v="37.4"/>
    <n v="50.79999999999999"/>
    <n v="1.7696515664578523"/>
    <n v="37.4"/>
    <n v="47.024999999999999"/>
    <n v="52.650000000000006"/>
  </r>
  <r>
    <n v="104"/>
    <x v="3"/>
    <x v="3"/>
    <x v="1"/>
    <x v="1"/>
    <x v="1"/>
    <x v="0"/>
    <x v="0"/>
    <n v="13.038"/>
    <n v="59.3"/>
    <n v="57.6"/>
    <n v="50.4"/>
    <n v="53.1"/>
    <n v="57.8"/>
    <n v="46.2"/>
    <n v="58.2"/>
    <n v="50.6"/>
    <n v="53"/>
    <n v="54.8"/>
    <n v="58.2"/>
    <n v="46.5"/>
    <n v="53.808333333333337"/>
    <n v="1.3325447478604453"/>
    <n v="46.2"/>
    <n v="50.55"/>
    <n v="53.95"/>
  </r>
  <r>
    <n v="105"/>
    <x v="4"/>
    <x v="4"/>
    <x v="1"/>
    <x v="2"/>
    <x v="1"/>
    <x v="1"/>
    <x v="0"/>
    <n v="13.02"/>
    <n v="59.2"/>
    <n v="48.5"/>
    <n v="54.6"/>
    <n v="47.6"/>
    <n v="48.5"/>
    <n v="48.2"/>
    <n v="54.3"/>
    <n v="54.3"/>
    <n v="44.3"/>
    <n v="58.4"/>
    <n v="45.3"/>
    <n v="42.7"/>
    <n v="50.491666666666667"/>
    <n v="1.5854670630703127"/>
    <n v="42.7"/>
    <n v="47.024999999999999"/>
    <n v="48.5"/>
  </r>
  <r>
    <n v="106"/>
    <x v="5"/>
    <x v="5"/>
    <x v="1"/>
    <x v="1"/>
    <x v="0"/>
    <x v="1"/>
    <x v="0"/>
    <n v="13.000999999999999"/>
    <n v="59.9"/>
    <n v="45.1"/>
    <n v="60.7"/>
    <n v="48.3"/>
    <n v="58.3"/>
    <n v="48.8"/>
    <n v="59.3"/>
    <n v="47.3"/>
    <n v="58.5"/>
    <n v="45.4"/>
    <n v="59.9"/>
    <n v="48.6"/>
    <n v="53.341666666666669"/>
    <n v="1.872628129424291"/>
    <n v="45.1"/>
    <n v="48.05"/>
    <n v="53.55"/>
  </r>
  <r>
    <n v="107"/>
    <x v="3"/>
    <x v="3"/>
    <x v="1"/>
    <x v="1"/>
    <x v="1"/>
    <x v="1"/>
    <x v="0"/>
    <n v="12.983000000000001"/>
    <n v="58.9"/>
    <n v="57"/>
    <n v="58.5"/>
    <n v="45.6"/>
    <n v="58.5"/>
    <n v="50.8"/>
    <n v="57.9"/>
    <n v="54.3"/>
    <n v="52.3"/>
    <n v="51.8"/>
    <n v="59.6"/>
    <n v="40.799999999999997"/>
    <n v="53.833333333333336"/>
    <n v="1.702508547272334"/>
    <n v="40.799999999999997"/>
    <n v="51.55"/>
    <n v="55.65"/>
  </r>
  <r>
    <n v="108"/>
    <x v="6"/>
    <x v="6"/>
    <x v="0"/>
    <x v="1"/>
    <x v="0"/>
    <x v="1"/>
    <x v="0"/>
    <n v="12.965"/>
    <n v="60"/>
    <n v="56.7"/>
    <n v="58.2"/>
    <n v="51.5"/>
    <n v="57.2"/>
    <n v="55.8"/>
    <n v="57.9"/>
    <n v="56.1"/>
    <n v="47.1"/>
    <n v="51.6"/>
    <n v="57.6"/>
    <n v="45.9"/>
    <n v="54.633333333333333"/>
    <n v="1.3125462954797991"/>
    <n v="45.9"/>
    <n v="51.575000000000003"/>
    <n v="56.400000000000006"/>
  </r>
  <r>
    <n v="201"/>
    <x v="4"/>
    <x v="4"/>
    <x v="1"/>
    <x v="2"/>
    <x v="1"/>
    <x v="0"/>
    <x v="0"/>
    <n v="13.134"/>
    <n v="58.2"/>
    <n v="52"/>
    <n v="55.4"/>
    <n v="45.4"/>
    <n v="55.9"/>
    <n v="40"/>
    <n v="57.4"/>
    <n v="41.7"/>
    <n v="49.3"/>
    <n v="49.4"/>
    <n v="55.9"/>
    <n v="38.1"/>
    <n v="49.891666666666659"/>
    <n v="2.0544651421238678"/>
    <n v="38.1"/>
    <n v="44.475000000000001"/>
    <n v="50.7"/>
  </r>
  <r>
    <n v="202"/>
    <x v="5"/>
    <x v="5"/>
    <x v="1"/>
    <x v="1"/>
    <x v="0"/>
    <x v="0"/>
    <x v="0"/>
    <n v="13.153"/>
    <n v="60.2"/>
    <n v="57.5"/>
    <n v="52.2"/>
    <n v="54.7"/>
    <n v="58.9"/>
    <n v="51"/>
    <n v="58.9"/>
    <n v="58"/>
    <n v="57.3"/>
    <n v="58.9"/>
    <n v="56.5"/>
    <n v="38.700000000000003"/>
    <n v="55.233333333333341"/>
    <n v="1.7065530265195907"/>
    <n v="38.700000000000003"/>
    <n v="54.075000000000003"/>
    <n v="57.4"/>
  </r>
  <r>
    <n v="203"/>
    <x v="6"/>
    <x v="6"/>
    <x v="0"/>
    <x v="1"/>
    <x v="0"/>
    <x v="0"/>
    <x v="0"/>
    <n v="13.173"/>
    <n v="59"/>
    <n v="41.5"/>
    <n v="62.6"/>
    <n v="48.9"/>
    <n v="45.1"/>
    <n v="57.1"/>
    <n v="47.1"/>
    <n v="58.5"/>
    <n v="44"/>
    <n v="59.8"/>
    <n v="58.4"/>
    <n v="44"/>
    <n v="52.166666666666664"/>
    <n v="2.2200304848211947"/>
    <n v="41.5"/>
    <n v="44.825000000000003"/>
    <n v="53"/>
  </r>
  <r>
    <n v="204"/>
    <x v="7"/>
    <x v="7"/>
    <x v="1"/>
    <x v="2"/>
    <x v="0"/>
    <x v="0"/>
    <x v="0"/>
    <n v="13.189"/>
    <n v="55.8"/>
    <n v="48.5"/>
    <n v="56.9"/>
    <n v="40.299999999999997"/>
    <n v="56.3"/>
    <n v="35.700000000000003"/>
    <n v="56.2"/>
    <n v="42.9"/>
    <n v="56.9"/>
    <n v="48.8"/>
    <n v="56.6"/>
    <n v="44.2"/>
    <n v="49.925000000000004"/>
    <n v="2.1964201245746042"/>
    <n v="35.700000000000003"/>
    <n v="43.875"/>
    <n v="52.3"/>
  </r>
  <r>
    <n v="205"/>
    <x v="0"/>
    <x v="0"/>
    <x v="0"/>
    <x v="0"/>
    <x v="0"/>
    <x v="1"/>
    <x v="0"/>
    <n v="13.209"/>
    <n v="59.9"/>
    <n v="56.6"/>
    <n v="58.9"/>
    <n v="57.5"/>
    <n v="58.9"/>
    <n v="47.1"/>
    <n v="59.9"/>
    <n v="58.3"/>
    <n v="58.8"/>
    <n v="59.7"/>
    <n v="59.9"/>
    <n v="52.9"/>
    <n v="57.366666666666667"/>
    <n v="1.0950531558519958"/>
    <n v="47.1"/>
    <n v="57.274999999999999"/>
    <n v="58.849999999999994"/>
  </r>
  <r>
    <n v="206"/>
    <x v="8"/>
    <x v="8"/>
    <x v="1"/>
    <x v="0"/>
    <x v="1"/>
    <x v="1"/>
    <x v="0"/>
    <n v="13.228"/>
    <n v="58.9"/>
    <n v="59.2"/>
    <n v="59.2"/>
    <n v="55.1"/>
    <n v="57.4"/>
    <n v="53.5"/>
    <n v="58.8"/>
    <n v="57.8"/>
    <n v="56.7"/>
    <n v="53.6"/>
    <n v="58.9"/>
    <n v="58.4"/>
    <n v="57.291666666666664"/>
    <n v="0.61168648304119533"/>
    <n v="53.5"/>
    <n v="56.300000000000004"/>
    <n v="58.099999999999994"/>
  </r>
  <r>
    <n v="207"/>
    <x v="1"/>
    <x v="1"/>
    <x v="0"/>
    <x v="1"/>
    <x v="1"/>
    <x v="1"/>
    <x v="0"/>
    <n v="13.249000000000001"/>
    <n v="59.2"/>
    <n v="55.3"/>
    <n v="57.5"/>
    <n v="45.2"/>
    <n v="57.9"/>
    <n v="56.1"/>
    <n v="57.4"/>
    <n v="57.5"/>
    <n v="46.4"/>
    <n v="57.8"/>
    <n v="60"/>
    <n v="49.4"/>
    <n v="54.974999999999994"/>
    <n v="1.4559244173688923"/>
    <n v="45.2"/>
    <n v="53.824999999999996"/>
    <n v="57.45"/>
  </r>
  <r>
    <n v="208"/>
    <x v="9"/>
    <x v="9"/>
    <x v="0"/>
    <x v="0"/>
    <x v="1"/>
    <x v="1"/>
    <x v="0"/>
    <n v="13.269"/>
    <n v="57.9"/>
    <n v="58.3"/>
    <n v="58.4"/>
    <n v="51.5"/>
    <n v="57.7"/>
    <n v="52.1"/>
    <n v="58.8"/>
    <n v="54.8"/>
    <n v="58"/>
    <n v="56.7"/>
    <n v="46"/>
    <n v="51.3"/>
    <n v="55.125"/>
    <n v="1.1667180724605584"/>
    <n v="46"/>
    <n v="51.95"/>
    <n v="57.2"/>
  </r>
  <r>
    <n v="301"/>
    <x v="3"/>
    <x v="3"/>
    <x v="1"/>
    <x v="1"/>
    <x v="1"/>
    <x v="2"/>
    <x v="0"/>
    <n v="13.472"/>
    <n v="58.2"/>
    <n v="40.6"/>
    <n v="59"/>
    <n v="51"/>
    <n v="55.2"/>
    <n v="57.1"/>
    <n v="46.3"/>
    <n v="57.2"/>
    <n v="45.5"/>
    <n v="57.6"/>
    <n v="59.5"/>
    <n v="45.3"/>
    <n v="52.708333333333336"/>
    <n v="1.9126951607032843"/>
    <n v="40.6"/>
    <n v="46.099999999999994"/>
    <n v="56.150000000000006"/>
  </r>
  <r>
    <n v="302"/>
    <x v="1"/>
    <x v="1"/>
    <x v="0"/>
    <x v="1"/>
    <x v="1"/>
    <x v="2"/>
    <x v="0"/>
    <n v="13.492000000000001"/>
    <n v="58.2"/>
    <n v="45.8"/>
    <n v="59.4"/>
    <n v="51.3"/>
    <n v="57.6"/>
    <n v="56"/>
    <n v="38.6"/>
    <n v="56.9"/>
    <n v="42.2"/>
    <n v="57.6"/>
    <n v="50.4"/>
    <n v="37.799999999999997"/>
    <n v="50.983333333333327"/>
    <n v="2.30653988966727"/>
    <n v="37.799999999999997"/>
    <n v="44.9"/>
    <n v="53.65"/>
  </r>
  <r>
    <n v="303"/>
    <x v="8"/>
    <x v="8"/>
    <x v="1"/>
    <x v="0"/>
    <x v="1"/>
    <x v="2"/>
    <x v="0"/>
    <n v="13.509"/>
    <n v="58.1"/>
    <n v="57"/>
    <n v="52.6"/>
    <n v="48.6"/>
    <n v="55.5"/>
    <n v="46.2"/>
    <n v="57.8"/>
    <n v="54.6"/>
    <n v="56"/>
    <n v="52.7"/>
    <n v="58.2"/>
    <n v="55.7"/>
    <n v="54.416666666666679"/>
    <n v="1.0973682935628539"/>
    <n v="46.2"/>
    <n v="52.675000000000004"/>
    <n v="55.6"/>
  </r>
  <r>
    <n v="304"/>
    <x v="9"/>
    <x v="9"/>
    <x v="0"/>
    <x v="0"/>
    <x v="1"/>
    <x v="2"/>
    <x v="0"/>
    <n v="13.526999999999999"/>
    <n v="59.4"/>
    <n v="54.6"/>
    <n v="58.5"/>
    <n v="50.7"/>
    <n v="57.6"/>
    <n v="45.2"/>
    <n v="58.9"/>
    <n v="50.6"/>
    <n v="55.6"/>
    <n v="48.1"/>
    <n v="58.5"/>
    <n v="54"/>
    <n v="54.308333333333337"/>
    <n v="1.3571057847902381"/>
    <n v="45.2"/>
    <n v="50.675000000000004"/>
    <n v="55.1"/>
  </r>
  <r>
    <n v="305"/>
    <x v="7"/>
    <x v="7"/>
    <x v="1"/>
    <x v="2"/>
    <x v="0"/>
    <x v="3"/>
    <x v="0"/>
    <n v="13.548"/>
    <n v="59.1"/>
    <n v="42.5"/>
    <n v="43.7"/>
    <n v="45.1"/>
    <n v="39.1"/>
    <n v="55.6"/>
    <n v="38.5"/>
    <n v="53.8"/>
    <n v="39.299999999999997"/>
    <n v="58"/>
    <n v="40.6"/>
    <n v="45.6"/>
    <n v="46.741666666666674"/>
    <n v="2.2334054149380673"/>
    <n v="38.5"/>
    <n v="40.274999999999999"/>
    <n v="44.400000000000006"/>
  </r>
  <r>
    <n v="306"/>
    <x v="1"/>
    <x v="1"/>
    <x v="0"/>
    <x v="1"/>
    <x v="1"/>
    <x v="3"/>
    <x v="0"/>
    <n v="13.569000000000001"/>
    <n v="58.8"/>
    <n v="52"/>
    <n v="58.9"/>
    <n v="47.9"/>
    <n v="57.8"/>
    <n v="46.2"/>
    <n v="52.7"/>
    <n v="56.6"/>
    <n v="43.9"/>
    <n v="55.9"/>
    <n v="59.4"/>
    <n v="47.9"/>
    <n v="53.166666666666657"/>
    <n v="1.5946089733153685"/>
    <n v="43.9"/>
    <n v="47.9"/>
    <n v="54.3"/>
  </r>
  <r>
    <n v="307"/>
    <x v="5"/>
    <x v="5"/>
    <x v="1"/>
    <x v="1"/>
    <x v="0"/>
    <x v="3"/>
    <x v="0"/>
    <n v="13.587"/>
    <n v="59"/>
    <n v="51.9"/>
    <n v="56.9"/>
    <n v="53.7"/>
    <n v="58.1"/>
    <n v="47.9"/>
    <n v="59.7"/>
    <n v="52.8"/>
    <n v="58.6"/>
    <n v="48.1"/>
    <n v="60.3"/>
    <n v="46.7"/>
    <n v="54.475000000000001"/>
    <n v="1.4357515717412701"/>
    <n v="46.7"/>
    <n v="50.95"/>
    <n v="55.3"/>
  </r>
  <r>
    <n v="308"/>
    <x v="2"/>
    <x v="2"/>
    <x v="0"/>
    <x v="2"/>
    <x v="0"/>
    <x v="3"/>
    <x v="0"/>
    <n v="13.61"/>
    <n v="54.3"/>
    <n v="46.7"/>
    <n v="57.1"/>
    <n v="43.6"/>
    <n v="59"/>
    <n v="39.200000000000003"/>
    <n v="56.4"/>
    <n v="45.6"/>
    <n v="49.8"/>
    <n v="52.9"/>
    <n v="52"/>
    <n v="40.299999999999997"/>
    <n v="49.741666666666653"/>
    <n v="1.9157425308335598"/>
    <n v="39.200000000000003"/>
    <n v="45.1"/>
    <n v="50.9"/>
  </r>
  <r>
    <n v="403"/>
    <x v="10"/>
    <x v="10"/>
    <x v="0"/>
    <x v="2"/>
    <x v="1"/>
    <x v="2"/>
    <x v="0"/>
    <n v="13.741"/>
    <n v="55.7"/>
    <n v="50.4"/>
    <n v="56.6"/>
    <n v="48.2"/>
    <n v="57.6"/>
    <n v="39.6"/>
    <n v="56"/>
    <n v="54.1"/>
    <n v="50.3"/>
    <n v="46.6"/>
    <n v="57.9"/>
    <n v="39.9"/>
    <n v="51.074999999999996"/>
    <n v="1.8675508593131374"/>
    <n v="39.6"/>
    <n v="47.800000000000004"/>
    <n v="52.25"/>
  </r>
  <r>
    <n v="404"/>
    <x v="6"/>
    <x v="6"/>
    <x v="0"/>
    <x v="1"/>
    <x v="0"/>
    <x v="2"/>
    <x v="0"/>
    <n v="13.721"/>
    <n v="59.4"/>
    <n v="42.7"/>
    <n v="58.7"/>
    <n v="41.8"/>
    <n v="58.1"/>
    <n v="43.4"/>
    <n v="56.3"/>
    <n v="55"/>
    <n v="54.2"/>
    <n v="54.6"/>
    <n v="60.1"/>
    <n v="45.6"/>
    <n v="52.491666666666674"/>
    <n v="2.0302805573156752"/>
    <n v="41.8"/>
    <n v="45.05"/>
    <n v="54.8"/>
  </r>
  <r>
    <n v="405"/>
    <x v="10"/>
    <x v="10"/>
    <x v="0"/>
    <x v="2"/>
    <x v="1"/>
    <x v="3"/>
    <x v="0"/>
    <n v="13.701000000000001"/>
    <n v="58.4"/>
    <n v="43.4"/>
    <n v="57.9"/>
    <n v="39.700000000000003"/>
    <n v="58.4"/>
    <n v="36.299999999999997"/>
    <n v="54.9"/>
    <n v="54.1"/>
    <n v="39"/>
    <n v="57.6"/>
    <n v="54.5"/>
    <n v="42.2"/>
    <n v="49.70000000000001"/>
    <n v="2.5233155197321433"/>
    <n v="36.299999999999997"/>
    <n v="41.575000000000003"/>
    <n v="54.3"/>
  </r>
  <r>
    <n v="406"/>
    <x v="6"/>
    <x v="6"/>
    <x v="0"/>
    <x v="1"/>
    <x v="0"/>
    <x v="3"/>
    <x v="0"/>
    <n v="13.682"/>
    <n v="60.5"/>
    <n v="49.5"/>
    <n v="59.3"/>
    <n v="39.799999999999997"/>
    <n v="57.2"/>
    <n v="51.5"/>
    <n v="58.6"/>
    <n v="42.3"/>
    <n v="58.8"/>
    <n v="46.1"/>
    <n v="59.9"/>
    <n v="41.6"/>
    <n v="52.091666666666669"/>
    <n v="2.2980379751765407"/>
    <n v="39.799999999999997"/>
    <n v="45.15"/>
    <n v="54.35"/>
  </r>
  <r>
    <n v="407"/>
    <x v="11"/>
    <x v="11"/>
    <x v="1"/>
    <x v="0"/>
    <x v="0"/>
    <x v="3"/>
    <x v="0"/>
    <n v="13.664"/>
    <n v="59.8"/>
    <n v="55.1"/>
    <n v="58.2"/>
    <n v="46.7"/>
    <n v="58.3"/>
    <n v="52.1"/>
    <n v="58"/>
    <n v="45.7"/>
    <n v="59.4"/>
    <n v="50.8"/>
    <n v="59.1"/>
    <n v="40.299999999999997"/>
    <n v="53.625"/>
    <n v="1.8752424085725707"/>
    <n v="40.299999999999997"/>
    <n v="49.774999999999999"/>
    <n v="56.55"/>
  </r>
  <r>
    <n v="408"/>
    <x v="3"/>
    <x v="3"/>
    <x v="1"/>
    <x v="1"/>
    <x v="1"/>
    <x v="3"/>
    <x v="0"/>
    <n v="13.638"/>
    <n v="58.6"/>
    <n v="47.5"/>
    <n v="59.4"/>
    <n v="45.5"/>
    <n v="57.8"/>
    <n v="52.8"/>
    <n v="55.8"/>
    <n v="56.6"/>
    <n v="47.2"/>
    <n v="58.4"/>
    <n v="53.8"/>
    <n v="49"/>
    <n v="53.533333333333331"/>
    <n v="1.4531227259132917"/>
    <n v="45.5"/>
    <n v="48.625"/>
    <n v="54.8"/>
  </r>
  <r>
    <n v="901"/>
    <x v="12"/>
    <x v="12"/>
    <x v="2"/>
    <x v="3"/>
    <x v="1"/>
    <x v="0"/>
    <x v="0"/>
    <n v="13.401999999999999"/>
    <n v="27.7"/>
    <n v="30.1"/>
    <n v="32.4"/>
    <n v="44.3"/>
    <n v="59.1"/>
    <n v="58.9"/>
    <n v="54.6"/>
    <n v="56.9"/>
    <n v="55.9"/>
    <n v="58.4"/>
    <n v="57.5"/>
    <n v="56.6"/>
    <n v="49.366666666666667"/>
    <n v="3.5533879124809507"/>
    <n v="27.7"/>
    <n v="41.324999999999996"/>
    <n v="56.25"/>
  </r>
  <r>
    <n v="902"/>
    <x v="13"/>
    <x v="13"/>
    <x v="3"/>
    <x v="1"/>
    <x v="0"/>
    <x v="0"/>
    <x v="0"/>
    <n v="13.385999999999999"/>
    <n v="61"/>
    <n v="59.3"/>
    <n v="46.1"/>
    <n v="57.4"/>
    <n v="50.2"/>
    <n v="54.7"/>
    <n v="59.7"/>
    <n v="51.8"/>
    <n v="56.7"/>
    <n v="51.3"/>
    <n v="59.1"/>
    <n v="41.1"/>
    <n v="54.033333333333331"/>
    <n v="1.7630609287213732"/>
    <n v="41.1"/>
    <n v="51.024999999999999"/>
    <n v="55.7"/>
  </r>
  <r>
    <n v="903"/>
    <x v="14"/>
    <x v="14"/>
    <x v="4"/>
    <x v="3"/>
    <x v="1"/>
    <x v="0"/>
    <x v="0"/>
    <n v="13.374000000000001"/>
    <n v="60.6"/>
    <n v="63.3"/>
    <n v="62.2"/>
    <n v="63.9"/>
    <n v="60.4"/>
    <n v="64.099999999999994"/>
    <n v="63"/>
    <n v="61.2"/>
    <n v="63.1"/>
    <n v="62.1"/>
    <n v="62.3"/>
    <n v="64.599999999999994"/>
    <n v="62.566666666666663"/>
    <n v="0.39048014991140428"/>
    <n v="60.4"/>
    <n v="61.875"/>
    <n v="62.65"/>
  </r>
  <r>
    <n v="904"/>
    <x v="15"/>
    <x v="15"/>
    <x v="5"/>
    <x v="1"/>
    <x v="0"/>
    <x v="0"/>
    <x v="0"/>
    <n v="13.353999999999999"/>
    <n v="60.2"/>
    <n v="58.1"/>
    <n v="56.9"/>
    <n v="47.6"/>
    <n v="54.2"/>
    <n v="48"/>
    <n v="61.9"/>
    <n v="44.8"/>
    <n v="54.1"/>
    <n v="45.3"/>
    <n v="58.3"/>
    <n v="44"/>
    <n v="52.783333333333331"/>
    <n v="1.8751498256637826"/>
    <n v="44"/>
    <n v="47.024999999999999"/>
    <n v="54.15"/>
  </r>
  <r>
    <n v="905"/>
    <x v="12"/>
    <x v="12"/>
    <x v="2"/>
    <x v="3"/>
    <x v="1"/>
    <x v="1"/>
    <x v="0"/>
    <n v="13.347"/>
    <n v="35.299999999999997"/>
    <n v="38"/>
    <n v="35.5"/>
    <n v="35.9"/>
    <n v="36.4"/>
    <n v="35.700000000000003"/>
    <n v="35.200000000000003"/>
    <n v="35.5"/>
    <n v="36.1"/>
    <n v="36.1"/>
    <n v="37.299999999999997"/>
    <n v="36.200000000000003"/>
    <n v="36.1"/>
    <n v="0.23868325657589121"/>
    <n v="35.200000000000003"/>
    <n v="35.5"/>
    <n v="36"/>
  </r>
  <r>
    <n v="906"/>
    <x v="13"/>
    <x v="13"/>
    <x v="3"/>
    <x v="1"/>
    <x v="0"/>
    <x v="1"/>
    <x v="0"/>
    <n v="13.327999999999999"/>
    <n v="60.6"/>
    <n v="51.5"/>
    <n v="59.1"/>
    <n v="41"/>
    <n v="57.2"/>
    <n v="41.1"/>
    <n v="59.3"/>
    <n v="52.7"/>
    <n v="57.6"/>
    <n v="52.8"/>
    <n v="59"/>
    <n v="49.8"/>
    <n v="53.475000000000001"/>
    <n v="1.955920499406876"/>
    <n v="41"/>
    <n v="51.075000000000003"/>
    <n v="55"/>
  </r>
  <r>
    <n v="907"/>
    <x v="14"/>
    <x v="14"/>
    <x v="4"/>
    <x v="3"/>
    <x v="1"/>
    <x v="1"/>
    <x v="0"/>
    <n v="13.318"/>
    <n v="60.6"/>
    <n v="64.7"/>
    <n v="63.1"/>
    <n v="61.7"/>
    <n v="64.5"/>
    <n v="63.4"/>
    <n v="65.599999999999994"/>
    <n v="60.4"/>
    <n v="64.099999999999994"/>
    <n v="62.8"/>
    <n v="64.099999999999994"/>
    <n v="62.5"/>
    <n v="63.125"/>
    <n v="0.46711963946695945"/>
    <n v="60.4"/>
    <n v="62.3"/>
    <n v="63.25"/>
  </r>
  <r>
    <n v="908"/>
    <x v="15"/>
    <x v="15"/>
    <x v="5"/>
    <x v="1"/>
    <x v="0"/>
    <x v="1"/>
    <x v="0"/>
    <n v="13.298999999999999"/>
    <n v="59.1"/>
    <n v="44.7"/>
    <n v="58.4"/>
    <n v="51.8"/>
    <n v="49.1"/>
    <n v="59.1"/>
    <n v="39.700000000000003"/>
    <n v="57.5"/>
    <n v="54.6"/>
    <n v="59.6"/>
    <n v="53.4"/>
    <n v="49.6"/>
    <n v="53.05"/>
    <n v="1.834166477358766"/>
    <n v="39.700000000000003"/>
    <n v="49.475000000000001"/>
    <n v="54"/>
  </r>
  <r>
    <n v="101"/>
    <x v="0"/>
    <x v="0"/>
    <x v="0"/>
    <x v="0"/>
    <x v="0"/>
    <x v="0"/>
    <x v="1"/>
    <n v="13.109"/>
    <n v="28.6"/>
    <n v="30.6"/>
    <n v="29.3"/>
    <n v="30"/>
    <n v="29"/>
    <n v="29.9"/>
    <n v="29.9"/>
    <n v="29.3"/>
    <n v="30.4"/>
    <n v="29.5"/>
    <n v="30.3"/>
    <n v="30"/>
    <n v="29.733333333333334"/>
    <n v="0.17335081496922636"/>
    <n v="28.6"/>
    <n v="29.3"/>
    <n v="29.9"/>
  </r>
  <r>
    <n v="102"/>
    <x v="1"/>
    <x v="1"/>
    <x v="0"/>
    <x v="1"/>
    <x v="1"/>
    <x v="0"/>
    <x v="1"/>
    <n v="13.089"/>
    <n v="26.7"/>
    <n v="28.6"/>
    <n v="27.6"/>
    <n v="26.8"/>
    <n v="28.6"/>
    <n v="27.6"/>
    <n v="28.3"/>
    <n v="26.9"/>
    <n v="27.1"/>
    <n v="32.700000000000003"/>
    <n v="27.6"/>
    <n v="27.9"/>
    <n v="28.033333333333335"/>
    <n v="0.46487752269936344"/>
    <n v="26.7"/>
    <n v="27.05"/>
    <n v="27.6"/>
  </r>
  <r>
    <n v="103"/>
    <x v="2"/>
    <x v="2"/>
    <x v="0"/>
    <x v="2"/>
    <x v="0"/>
    <x v="0"/>
    <x v="1"/>
    <n v="13.065"/>
    <n v="26.6"/>
    <n v="28.4"/>
    <n v="28.7"/>
    <n v="28.9"/>
    <n v="27.9"/>
    <n v="28.5"/>
    <n v="28.4"/>
    <n v="28.3"/>
    <n v="29.4"/>
    <n v="28"/>
    <n v="28.7"/>
    <n v="28.7"/>
    <n v="28.375"/>
    <n v="0.19814480471707985"/>
    <n v="26.6"/>
    <n v="28.225000000000001"/>
    <n v="28.45"/>
  </r>
  <r>
    <n v="104"/>
    <x v="3"/>
    <x v="3"/>
    <x v="1"/>
    <x v="1"/>
    <x v="1"/>
    <x v="0"/>
    <x v="1"/>
    <n v="13.042999999999999"/>
    <n v="27.3"/>
    <n v="28"/>
    <n v="28.5"/>
    <n v="28.9"/>
    <n v="28.6"/>
    <n v="27.7"/>
    <n v="27.6"/>
    <n v="28.4"/>
    <n v="28.7"/>
    <n v="27.8"/>
    <n v="28.8"/>
    <n v="29.1"/>
    <n v="28.283333333333331"/>
    <n v="0.16825005440734342"/>
    <n v="27.3"/>
    <n v="27.774999999999999"/>
    <n v="28.45"/>
  </r>
  <r>
    <n v="105"/>
    <x v="4"/>
    <x v="4"/>
    <x v="1"/>
    <x v="2"/>
    <x v="1"/>
    <x v="1"/>
    <x v="1"/>
    <n v="13.025"/>
    <n v="26.5"/>
    <n v="26"/>
    <n v="26.7"/>
    <n v="28.3"/>
    <n v="26.8"/>
    <n v="27.6"/>
    <n v="26.1"/>
    <n v="28.1"/>
    <n v="29.2"/>
    <n v="28.5"/>
    <n v="28.6"/>
    <n v="28.1"/>
    <n v="27.541666666666668"/>
    <n v="0.31126777260524674"/>
    <n v="26"/>
    <n v="26.65"/>
    <n v="27.85"/>
  </r>
  <r>
    <n v="106"/>
    <x v="5"/>
    <x v="5"/>
    <x v="1"/>
    <x v="1"/>
    <x v="0"/>
    <x v="1"/>
    <x v="1"/>
    <n v="13.006"/>
    <n v="31.8"/>
    <n v="30.1"/>
    <n v="28.8"/>
    <n v="27.8"/>
    <n v="29.3"/>
    <n v="28"/>
    <n v="30.5"/>
    <n v="27.8"/>
    <n v="27.9"/>
    <n v="28"/>
    <n v="32"/>
    <n v="29"/>
    <n v="29.25"/>
    <n v="0.44184530406837647"/>
    <n v="27.8"/>
    <n v="27.975000000000001"/>
    <n v="28.9"/>
  </r>
  <r>
    <n v="107"/>
    <x v="3"/>
    <x v="3"/>
    <x v="1"/>
    <x v="1"/>
    <x v="1"/>
    <x v="1"/>
    <x v="1"/>
    <n v="12.988"/>
    <n v="32.700000000000003"/>
    <n v="28.7"/>
    <n v="28.9"/>
    <n v="30.6"/>
    <n v="27.1"/>
    <n v="29.5"/>
    <n v="27.2"/>
    <n v="27.7"/>
    <n v="27"/>
    <n v="28"/>
    <n v="26.7"/>
    <n v="27.4"/>
    <n v="28.458333333333329"/>
    <n v="0.51100885560337583"/>
    <n v="26.7"/>
    <n v="27.175000000000001"/>
    <n v="27.85"/>
  </r>
  <r>
    <n v="108"/>
    <x v="6"/>
    <x v="6"/>
    <x v="0"/>
    <x v="1"/>
    <x v="0"/>
    <x v="1"/>
    <x v="1"/>
    <n v="12.97"/>
    <n v="30.2"/>
    <n v="31.8"/>
    <n v="32.200000000000003"/>
    <n v="31.9"/>
    <n v="27.2"/>
    <n v="29"/>
    <n v="29.1"/>
    <n v="28.3"/>
    <n v="28"/>
    <n v="29"/>
    <n v="28.1"/>
    <n v="29.2"/>
    <n v="29.5"/>
    <n v="0.48084521544060782"/>
    <n v="27.2"/>
    <n v="28.25"/>
    <n v="29.05"/>
  </r>
  <r>
    <n v="201"/>
    <x v="4"/>
    <x v="4"/>
    <x v="1"/>
    <x v="2"/>
    <x v="1"/>
    <x v="0"/>
    <x v="1"/>
    <n v="13.138999999999999"/>
    <n v="30.9"/>
    <n v="28.6"/>
    <n v="27.7"/>
    <n v="27.8"/>
    <n v="27"/>
    <n v="29.7"/>
    <n v="28.8"/>
    <n v="28.7"/>
    <n v="26.5"/>
    <n v="26.7"/>
    <n v="27.5"/>
    <n v="28.8"/>
    <n v="28.225000000000001"/>
    <n v="0.37073330281780065"/>
    <n v="26.5"/>
    <n v="27.375"/>
    <n v="28.2"/>
  </r>
  <r>
    <n v="202"/>
    <x v="5"/>
    <x v="5"/>
    <x v="1"/>
    <x v="1"/>
    <x v="0"/>
    <x v="0"/>
    <x v="1"/>
    <n v="13.157999999999999"/>
    <n v="31.6"/>
    <n v="29.2"/>
    <n v="28"/>
    <n v="29.7"/>
    <n v="29.5"/>
    <n v="30.4"/>
    <n v="31.7"/>
    <n v="28.7"/>
    <n v="29.3"/>
    <n v="29.6"/>
    <n v="29.9"/>
    <n v="31.3"/>
    <n v="29.908333333333331"/>
    <n v="0.33176715395659939"/>
    <n v="28"/>
    <n v="29.274999999999999"/>
    <n v="29.65"/>
  </r>
  <r>
    <n v="203"/>
    <x v="6"/>
    <x v="6"/>
    <x v="0"/>
    <x v="1"/>
    <x v="0"/>
    <x v="0"/>
    <x v="1"/>
    <n v="13.177"/>
    <n v="27.7"/>
    <n v="29.5"/>
    <n v="28.4"/>
    <n v="29"/>
    <n v="28.7"/>
    <n v="28.1"/>
    <n v="28.8"/>
    <n v="30.4"/>
    <n v="28.9"/>
    <n v="29"/>
    <n v="30.2"/>
    <n v="29.1"/>
    <n v="28.983333333333334"/>
    <n v="0.22456467426843138"/>
    <n v="27.7"/>
    <n v="28.625"/>
    <n v="28.95"/>
  </r>
  <r>
    <n v="204"/>
    <x v="7"/>
    <x v="7"/>
    <x v="1"/>
    <x v="2"/>
    <x v="0"/>
    <x v="0"/>
    <x v="1"/>
    <n v="13.194000000000001"/>
    <n v="30.2"/>
    <n v="30"/>
    <n v="29.4"/>
    <n v="29.7"/>
    <n v="29.1"/>
    <n v="31"/>
    <n v="29.3"/>
    <n v="29.3"/>
    <n v="29.6"/>
    <n v="29.9"/>
    <n v="29.4"/>
    <n v="29.3"/>
    <n v="29.683333333333334"/>
    <n v="0.15316525702519346"/>
    <n v="29.1"/>
    <n v="29.3"/>
    <n v="29.5"/>
  </r>
  <r>
    <n v="205"/>
    <x v="0"/>
    <x v="0"/>
    <x v="0"/>
    <x v="0"/>
    <x v="0"/>
    <x v="1"/>
    <x v="1"/>
    <n v="13.214"/>
    <n v="29.1"/>
    <n v="28.1"/>
    <n v="27.6"/>
    <n v="29.7"/>
    <n v="28.1"/>
    <n v="28.1"/>
    <n v="27.6"/>
    <n v="26.9"/>
    <n v="26.9"/>
    <n v="28.9"/>
    <n v="28.2"/>
    <n v="27.9"/>
    <n v="28.091666666666665"/>
    <n v="0.24040947812375738"/>
    <n v="26.9"/>
    <n v="27.6"/>
    <n v="28.1"/>
  </r>
  <r>
    <n v="206"/>
    <x v="8"/>
    <x v="8"/>
    <x v="1"/>
    <x v="0"/>
    <x v="1"/>
    <x v="1"/>
    <x v="1"/>
    <n v="13.234"/>
    <n v="25.9"/>
    <n v="29.2"/>
    <n v="27.9"/>
    <n v="26.7"/>
    <n v="29.3"/>
    <n v="26.5"/>
    <n v="27.8"/>
    <n v="28.4"/>
    <n v="27.8"/>
    <n v="28.1"/>
    <n v="29.7"/>
    <n v="28"/>
    <n v="27.941666666666666"/>
    <n v="0.33245148503050748"/>
    <n v="25.9"/>
    <n v="27.524999999999999"/>
    <n v="27.95"/>
  </r>
  <r>
    <n v="207"/>
    <x v="1"/>
    <x v="1"/>
    <x v="0"/>
    <x v="1"/>
    <x v="1"/>
    <x v="1"/>
    <x v="1"/>
    <n v="13.255000000000001"/>
    <n v="28.3"/>
    <n v="28.5"/>
    <n v="28.3"/>
    <n v="29.5"/>
    <n v="27"/>
    <n v="27.6"/>
    <n v="29.1"/>
    <n v="27.8"/>
    <n v="27.8"/>
    <n v="28.3"/>
    <n v="27.5"/>
    <n v="28.6"/>
    <n v="28.191666666666666"/>
    <n v="0.20205697266368838"/>
    <n v="27"/>
    <n v="27.75"/>
    <n v="28.3"/>
  </r>
  <r>
    <n v="208"/>
    <x v="9"/>
    <x v="9"/>
    <x v="0"/>
    <x v="0"/>
    <x v="1"/>
    <x v="1"/>
    <x v="1"/>
    <n v="13.278"/>
    <n v="28.5"/>
    <n v="29.5"/>
    <n v="27.7"/>
    <n v="30.2"/>
    <n v="28.8"/>
    <n v="29.9"/>
    <n v="29.1"/>
    <n v="30.3"/>
    <n v="30.5"/>
    <n v="28"/>
    <n v="27.4"/>
    <n v="28.5"/>
    <n v="29.033333333333331"/>
    <n v="0.30434563020730515"/>
    <n v="27.4"/>
    <n v="28.375"/>
    <n v="28.95"/>
  </r>
  <r>
    <n v="301"/>
    <x v="3"/>
    <x v="3"/>
    <x v="1"/>
    <x v="1"/>
    <x v="1"/>
    <x v="2"/>
    <x v="1"/>
    <n v="13.477"/>
    <n v="30.8"/>
    <n v="29.3"/>
    <n v="28.9"/>
    <n v="28.6"/>
    <n v="28.3"/>
    <n v="28.9"/>
    <n v="29.4"/>
    <n v="30.4"/>
    <n v="29.2"/>
    <n v="29.1"/>
    <n v="29"/>
    <n v="29.1"/>
    <n v="29.25"/>
    <n v="0.20282101379378389"/>
    <n v="28.3"/>
    <n v="28.9"/>
    <n v="29.1"/>
  </r>
  <r>
    <n v="302"/>
    <x v="1"/>
    <x v="1"/>
    <x v="0"/>
    <x v="1"/>
    <x v="1"/>
    <x v="2"/>
    <x v="1"/>
    <n v="13.496"/>
    <n v="26.7"/>
    <n v="27.3"/>
    <n v="27.1"/>
    <n v="28"/>
    <n v="28.5"/>
    <n v="28.4"/>
    <n v="28.2"/>
    <n v="28.8"/>
    <n v="27.6"/>
    <n v="28"/>
    <n v="28.3"/>
    <n v="28.3"/>
    <n v="27.933333333333337"/>
    <n v="0.18188130217474649"/>
    <n v="26.7"/>
    <n v="27.524999999999999"/>
    <n v="28.1"/>
  </r>
  <r>
    <n v="303"/>
    <x v="8"/>
    <x v="8"/>
    <x v="1"/>
    <x v="0"/>
    <x v="1"/>
    <x v="2"/>
    <x v="1"/>
    <n v="13.515000000000001"/>
    <n v="26.5"/>
    <n v="27.6"/>
    <n v="27.8"/>
    <n v="27.6"/>
    <n v="27.3"/>
    <n v="27.1"/>
    <n v="28.1"/>
    <n v="27.8"/>
    <n v="28.1"/>
    <n v="29.3"/>
    <n v="27.7"/>
    <n v="28.5"/>
    <n v="27.783333333333331"/>
    <n v="0.20294548205588359"/>
    <n v="26.5"/>
    <n v="27.524999999999999"/>
    <n v="27.75"/>
  </r>
  <r>
    <n v="304"/>
    <x v="9"/>
    <x v="9"/>
    <x v="0"/>
    <x v="0"/>
    <x v="1"/>
    <x v="2"/>
    <x v="1"/>
    <n v="13.532999999999999"/>
    <n v="27.6"/>
    <n v="27.1"/>
    <n v="27.5"/>
    <n v="26.3"/>
    <n v="28.3"/>
    <n v="27.9"/>
    <n v="28.6"/>
    <n v="28.7"/>
    <n v="28.3"/>
    <n v="28.7"/>
    <n v="29.4"/>
    <n v="28.6"/>
    <n v="28.083333333333332"/>
    <n v="0.24427795064578786"/>
    <n v="26.3"/>
    <n v="27.574999999999999"/>
    <n v="28.3"/>
  </r>
  <r>
    <n v="305"/>
    <x v="7"/>
    <x v="7"/>
    <x v="1"/>
    <x v="2"/>
    <x v="0"/>
    <x v="3"/>
    <x v="1"/>
    <n v="13.554"/>
    <n v="27.1"/>
    <n v="27.7"/>
    <n v="27.7"/>
    <n v="29"/>
    <n v="27.9"/>
    <n v="27.7"/>
    <n v="28.4"/>
    <n v="28.8"/>
    <n v="28.8"/>
    <n v="28.5"/>
    <n v="27.2"/>
    <n v="27.8"/>
    <n v="28.05"/>
    <n v="0.18319554050415165"/>
    <n v="27.1"/>
    <n v="27.7"/>
    <n v="27.85"/>
  </r>
  <r>
    <n v="306"/>
    <x v="1"/>
    <x v="1"/>
    <x v="0"/>
    <x v="1"/>
    <x v="1"/>
    <x v="3"/>
    <x v="1"/>
    <n v="13.574"/>
    <n v="27"/>
    <n v="30.5"/>
    <n v="27.3"/>
    <n v="27.7"/>
    <n v="27.5"/>
    <n v="27.3"/>
    <n v="29"/>
    <n v="28.4"/>
    <n v="29.7"/>
    <n v="28.9"/>
    <n v="27.6"/>
    <n v="28.8"/>
    <n v="28.308333333333337"/>
    <n v="0.31489736984506483"/>
    <n v="27"/>
    <n v="27.45"/>
    <n v="28.05"/>
  </r>
  <r>
    <n v="307"/>
    <x v="5"/>
    <x v="5"/>
    <x v="1"/>
    <x v="1"/>
    <x v="0"/>
    <x v="3"/>
    <x v="1"/>
    <n v="13.593999999999999"/>
    <n v="31.1"/>
    <n v="30.2"/>
    <n v="31.1"/>
    <n v="29.7"/>
    <n v="28.7"/>
    <n v="28"/>
    <n v="28.3"/>
    <n v="27.9"/>
    <n v="29.1"/>
    <n v="27.8"/>
    <n v="28.6"/>
    <n v="28.3"/>
    <n v="29.066666666666674"/>
    <n v="0.34362888132517366"/>
    <n v="27.8"/>
    <n v="28.225000000000001"/>
    <n v="28.65"/>
  </r>
  <r>
    <n v="308"/>
    <x v="2"/>
    <x v="2"/>
    <x v="0"/>
    <x v="2"/>
    <x v="0"/>
    <x v="3"/>
    <x v="1"/>
    <n v="13.615"/>
    <n v="28.6"/>
    <n v="28.1"/>
    <n v="27.6"/>
    <n v="28.7"/>
    <n v="28.2"/>
    <n v="28.9"/>
    <n v="29.4"/>
    <n v="29.1"/>
    <n v="28.5"/>
    <n v="30.9"/>
    <n v="27.8"/>
    <n v="28.9"/>
    <n v="28.725000000000001"/>
    <n v="0.24988633779817582"/>
    <n v="27.6"/>
    <n v="28.175000000000001"/>
    <n v="28.65"/>
  </r>
  <r>
    <n v="403"/>
    <x v="10"/>
    <x v="10"/>
    <x v="0"/>
    <x v="2"/>
    <x v="1"/>
    <x v="2"/>
    <x v="1"/>
    <n v="13.746"/>
    <n v="33.700000000000003"/>
    <n v="29.2"/>
    <n v="28.9"/>
    <n v="28.6"/>
    <n v="28.5"/>
    <n v="28"/>
    <n v="27.4"/>
    <n v="29.2"/>
    <n v="27.9"/>
    <n v="29"/>
    <n v="28"/>
    <n v="29.2"/>
    <n v="28.966666666666665"/>
    <n v="0.46373538257342739"/>
    <n v="27.4"/>
    <n v="28"/>
    <n v="28.75"/>
  </r>
  <r>
    <n v="404"/>
    <x v="6"/>
    <x v="6"/>
    <x v="0"/>
    <x v="1"/>
    <x v="0"/>
    <x v="2"/>
    <x v="1"/>
    <n v="13.726000000000001"/>
    <n v="28.5"/>
    <n v="28.3"/>
    <n v="27.8"/>
    <n v="29.7"/>
    <n v="30.2"/>
    <n v="28.3"/>
    <n v="29.8"/>
    <n v="28.4"/>
    <n v="27.8"/>
    <n v="27.2"/>
    <n v="28.8"/>
    <n v="28.1"/>
    <n v="28.574999999999999"/>
    <n v="0.26057192341602065"/>
    <n v="27.2"/>
    <n v="28.024999999999999"/>
    <n v="28.35"/>
  </r>
  <r>
    <n v="405"/>
    <x v="10"/>
    <x v="10"/>
    <x v="0"/>
    <x v="2"/>
    <x v="1"/>
    <x v="3"/>
    <x v="1"/>
    <n v="13.706"/>
    <n v="32.700000000000003"/>
    <n v="33.4"/>
    <n v="29.6"/>
    <n v="29.3"/>
    <n v="28.4"/>
    <n v="27.4"/>
    <n v="26.6"/>
    <n v="28.8"/>
    <n v="27.6"/>
    <n v="27.2"/>
    <n v="30.3"/>
    <n v="28.4"/>
    <n v="29.141666666666666"/>
    <n v="0.61069487661452326"/>
    <n v="26.6"/>
    <n v="27.55"/>
    <n v="28.6"/>
  </r>
  <r>
    <n v="406"/>
    <x v="6"/>
    <x v="6"/>
    <x v="0"/>
    <x v="1"/>
    <x v="0"/>
    <x v="3"/>
    <x v="1"/>
    <n v="13.686999999999999"/>
    <n v="27.6"/>
    <n v="28.5"/>
    <n v="28.6"/>
    <n v="26.6"/>
    <n v="27.8"/>
    <n v="27.7"/>
    <n v="27.8"/>
    <n v="27.4"/>
    <n v="28.3"/>
    <n v="27.3"/>
    <n v="30.7"/>
    <n v="29.4"/>
    <n v="28.141666666666666"/>
    <n v="0.3119970700458371"/>
    <n v="26.6"/>
    <n v="27.55"/>
    <n v="27.8"/>
  </r>
  <r>
    <n v="407"/>
    <x v="11"/>
    <x v="11"/>
    <x v="1"/>
    <x v="0"/>
    <x v="0"/>
    <x v="3"/>
    <x v="1"/>
    <n v="13.669"/>
    <n v="27.6"/>
    <n v="29.9"/>
    <n v="28.3"/>
    <n v="30.2"/>
    <n v="29.5"/>
    <n v="28.1"/>
    <n v="27.9"/>
    <n v="28.2"/>
    <n v="28.6"/>
    <n v="27.9"/>
    <n v="26.7"/>
    <n v="27.1"/>
    <n v="28.333333333333332"/>
    <n v="0.30830261927284108"/>
    <n v="26.7"/>
    <n v="27.824999999999999"/>
    <n v="28.15"/>
  </r>
  <r>
    <n v="408"/>
    <x v="3"/>
    <x v="3"/>
    <x v="1"/>
    <x v="1"/>
    <x v="1"/>
    <x v="3"/>
    <x v="1"/>
    <n v="13.65"/>
    <n v="27.1"/>
    <n v="28.3"/>
    <n v="29.1"/>
    <n v="27.5"/>
    <n v="27.4"/>
    <n v="26.7"/>
    <n v="27.2"/>
    <n v="30.2"/>
    <n v="28.9"/>
    <n v="27.7"/>
    <n v="28.4"/>
    <n v="29"/>
    <n v="28.125"/>
    <n v="0.29851272750903196"/>
    <n v="26.7"/>
    <n v="27.35"/>
    <n v="28"/>
  </r>
  <r>
    <n v="902"/>
    <x v="13"/>
    <x v="13"/>
    <x v="3"/>
    <x v="1"/>
    <x v="0"/>
    <x v="0"/>
    <x v="1"/>
    <n v="13.391"/>
    <n v="27.3"/>
    <n v="28.1"/>
    <n v="27.9"/>
    <n v="27.6"/>
    <n v="28.7"/>
    <n v="28.3"/>
    <n v="30.4"/>
    <n v="28"/>
    <n v="27.5"/>
    <n v="28.3"/>
    <n v="27.5"/>
    <n v="28.3"/>
    <n v="28.158333333333335"/>
    <n v="0.23659783463406772"/>
    <n v="27.3"/>
    <n v="27.574999999999999"/>
    <n v="28.05"/>
  </r>
  <r>
    <n v="904"/>
    <x v="15"/>
    <x v="15"/>
    <x v="5"/>
    <x v="1"/>
    <x v="0"/>
    <x v="0"/>
    <x v="1"/>
    <n v="13.36"/>
    <n v="26.8"/>
    <n v="27.1"/>
    <n v="27.9"/>
    <n v="27.4"/>
    <n v="27.7"/>
    <n v="27.6"/>
    <n v="27.1"/>
    <n v="27.9"/>
    <n v="27.6"/>
    <n v="27.5"/>
    <n v="28"/>
    <n v="28"/>
    <n v="27.55"/>
    <n v="0.11247895426041132"/>
    <n v="26.8"/>
    <n v="27.324999999999999"/>
    <n v="27.6"/>
  </r>
  <r>
    <n v="906"/>
    <x v="13"/>
    <x v="13"/>
    <x v="3"/>
    <x v="1"/>
    <x v="0"/>
    <x v="1"/>
    <x v="1"/>
    <n v="13.333"/>
    <n v="27.5"/>
    <n v="29.6"/>
    <n v="26.7"/>
    <n v="27.7"/>
    <n v="30"/>
    <n v="28.4"/>
    <n v="28.7"/>
    <n v="28.8"/>
    <n v="28.3"/>
    <n v="29.3"/>
    <n v="26.8"/>
    <n v="27.2"/>
    <n v="28.25"/>
    <n v="0.3137022328723359"/>
    <n v="26.7"/>
    <n v="27.425000000000001"/>
    <n v="28.35"/>
  </r>
  <r>
    <n v="908"/>
    <x v="15"/>
    <x v="15"/>
    <x v="5"/>
    <x v="1"/>
    <x v="0"/>
    <x v="1"/>
    <x v="1"/>
    <n v="13.304"/>
    <n v="25.9"/>
    <n v="28.6"/>
    <n v="27.1"/>
    <n v="27.7"/>
    <n v="27.7"/>
    <n v="27.3"/>
    <n v="26.7"/>
    <n v="26.6"/>
    <n v="27.2"/>
    <n v="27.2"/>
    <n v="26.9"/>
    <n v="28"/>
    <n v="27.241666666666664"/>
    <n v="0.20392301478647964"/>
    <n v="25.9"/>
    <n v="26.85"/>
    <n v="27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01"/>
    <x v="0"/>
    <x v="0"/>
    <x v="0"/>
    <x v="0"/>
    <x v="0"/>
    <x v="0"/>
    <x v="0"/>
    <n v="13.079000000000001"/>
    <n v="31.62950072495272"/>
    <n v="32.015657040905126"/>
    <n v="31.62950072495272"/>
    <n v="33.744991292180572"/>
    <n v="31.82266342000478"/>
    <n v="32.208481587653736"/>
    <n v="29.786022548640855"/>
    <n v="31.919181364723919"/>
    <n v="31.145854287908758"/>
    <n v="30.564083701704291"/>
    <n v="32.49740139374218"/>
    <n v="29.68857469608723"/>
    <n v="31.554326065288077"/>
    <n v="0.32915102390001943"/>
    <n v="29.68857469608723"/>
    <n v="31.00041164135764"/>
    <n v="31.72608207247875"/>
  </r>
  <r>
    <n v="102"/>
    <x v="1"/>
    <x v="1"/>
    <x v="0"/>
    <x v="1"/>
    <x v="1"/>
    <x v="0"/>
    <x v="0"/>
    <n v="13.058999999999999"/>
    <n v="30.564083701704291"/>
    <n v="29.980791448134305"/>
    <n v="31.82266342000478"/>
    <n v="30.661151137416528"/>
    <n v="30.564083701704291"/>
    <n v="30.564083701704291"/>
    <n v="31.145854287908758"/>
    <n v="31.62950072495272"/>
    <n v="31.339439668340134"/>
    <n v="32.208481587653736"/>
    <n v="30.078112495074127"/>
    <n v="29.395977527198784"/>
    <n v="30.829518616816401"/>
    <n v="0.23785083014428202"/>
    <n v="29.395977527198784"/>
    <n v="30.442590900046749"/>
    <n v="30.612617419560408"/>
  </r>
  <r>
    <n v="103"/>
    <x v="2"/>
    <x v="2"/>
    <x v="0"/>
    <x v="2"/>
    <x v="0"/>
    <x v="0"/>
    <x v="0"/>
    <n v="13.042"/>
    <n v="30.952099833325665"/>
    <n v="30.564083701704291"/>
    <n v="29.980791448134305"/>
    <n v="31.339439668340134"/>
    <n v="29.88342813265654"/>
    <n v="30.75817630459084"/>
    <n v="30.564083701704291"/>
    <n v="30.855159203227217"/>
    <n v="32.401137060250626"/>
    <n v="31.62950072495272"/>
    <n v="29.68857469608723"/>
    <n v="29.591084574995683"/>
    <n v="30.68396325416413"/>
    <n v="0.24196669953265351"/>
    <n v="29.591084574995683"/>
    <n v="29.956450619264864"/>
    <n v="30.661130003147566"/>
  </r>
  <r>
    <n v="104"/>
    <x v="3"/>
    <x v="3"/>
    <x v="1"/>
    <x v="1"/>
    <x v="1"/>
    <x v="0"/>
    <x v="0"/>
    <n v="13.023"/>
    <n v="46.548242009668215"/>
    <n v="40.061598010169149"/>
    <n v="42.278105859759179"/>
    <n v="40.988101745153507"/>
    <n v="42.736813859423762"/>
    <n v="38.476841031240539"/>
    <n v="38.850824008268773"/>
    <n v="38.289595931498837"/>
    <n v="36.313314532300573"/>
    <n v="34.4138116706076"/>
    <n v="34.699814947578794"/>
    <n v="36.502334910635376"/>
    <n v="39.179949876358684"/>
    <n v="1.030440535295237"/>
    <n v="34.4138116706076"/>
    <n v="36.455079816051679"/>
    <n v="38.663832519754656"/>
  </r>
  <r>
    <n v="105"/>
    <x v="4"/>
    <x v="4"/>
    <x v="1"/>
    <x v="2"/>
    <x v="1"/>
    <x v="1"/>
    <x v="0"/>
    <n v="13.005000000000001"/>
    <n v="37.632906623458041"/>
    <n v="38.383239615638651"/>
    <n v="39.596761072504549"/>
    <n v="39.96871515971209"/>
    <n v="39.596761072504549"/>
    <n v="39.037561885555306"/>
    <n v="39.410530417673193"/>
    <n v="39.96871515971209"/>
    <n v="40.710594444306473"/>
    <n v="42.920001179524071"/>
    <n v="40.247236905469464"/>
    <n v="40.061598010169149"/>
    <n v="39.79455179551897"/>
    <n v="0.37343341088677329"/>
    <n v="37.632906623458041"/>
    <n v="39.317288284643723"/>
    <n v="39.78273811610832"/>
  </r>
  <r>
    <n v="106"/>
    <x v="5"/>
    <x v="5"/>
    <x v="1"/>
    <x v="1"/>
    <x v="0"/>
    <x v="1"/>
    <x v="0"/>
    <n v="12.987"/>
    <n v="40.618007473614938"/>
    <n v="37.162574775862396"/>
    <n v="38.850824008268773"/>
    <n v="37.068381600729474"/>
    <n v="35.840023887049746"/>
    <n v="36.124125079814036"/>
    <n v="34.4138116706076"/>
    <n v="34.604522790459654"/>
    <n v="37.256725682457386"/>
    <n v="37.350834320514451"/>
    <n v="37.350834320514451"/>
    <n v="36.313314532300573"/>
    <n v="36.91283167851612"/>
    <n v="0.49065858213935021"/>
    <n v="34.4138116706076"/>
    <n v="36.053099781622961"/>
    <n v="37.115478188295938"/>
  </r>
  <r>
    <n v="107"/>
    <x v="3"/>
    <x v="3"/>
    <x v="1"/>
    <x v="1"/>
    <x v="1"/>
    <x v="1"/>
    <x v="0"/>
    <n v="12.97"/>
    <n v="36.97414615705862"/>
    <n v="36.59678169699589"/>
    <n v="36.502334910635376"/>
    <n v="35.650411749183895"/>
    <n v="36.691186214818472"/>
    <n v="39.037561885555306"/>
    <n v="41.818341146646318"/>
    <n v="39.503666879357837"/>
    <n v="41.172895269695196"/>
    <n v="38.570400178304496"/>
    <n v="38.476841031240539"/>
    <n v="38.289595931498837"/>
    <n v="38.273680254249228"/>
    <n v="0.55199560904748135"/>
    <n v="35.650411749183895"/>
    <n v="36.66758508536283"/>
    <n v="38.383218481369688"/>
  </r>
  <r>
    <n v="108"/>
    <x v="6"/>
    <x v="6"/>
    <x v="0"/>
    <x v="1"/>
    <x v="0"/>
    <x v="1"/>
    <x v="0"/>
    <n v="12.952"/>
    <n v="31.532855974619789"/>
    <n v="32.882036042329055"/>
    <n v="31.726103206747716"/>
    <n v="32.208481587653736"/>
    <n v="32.882036042329055"/>
    <n v="31.919181364723919"/>
    <n v="31.145854287908758"/>
    <n v="31.62950072495272"/>
    <n v="31.82266342000478"/>
    <n v="30.564083701704291"/>
    <n v="32.208481587653736"/>
    <n v="32.401137060250626"/>
    <n v="31.910201250073186"/>
    <n v="0.19398068074254332"/>
    <n v="30.564083701704291"/>
    <n v="31.605339537369488"/>
    <n v="31.870922392364349"/>
  </r>
  <r>
    <n v="201"/>
    <x v="4"/>
    <x v="4"/>
    <x v="1"/>
    <x v="2"/>
    <x v="1"/>
    <x v="0"/>
    <x v="0"/>
    <n v="13.1"/>
    <n v="37.350834320514451"/>
    <n v="38.850824008268773"/>
    <n v="38.476841031240539"/>
    <n v="37.068381600729474"/>
    <n v="38.383239615638651"/>
    <n v="36.59678169699589"/>
    <n v="34.985437807708607"/>
    <n v="41.172895269695196"/>
    <n v="39.782822653184176"/>
    <n v="40.988101745153507"/>
    <n v="38.383239615638651"/>
    <n v="37.068381600729474"/>
    <n v="38.258981747124785"/>
    <n v="0.52098745948930469"/>
    <n v="34.985437807708607"/>
    <n v="37.068381600729474"/>
    <n v="38.383239615638651"/>
  </r>
  <r>
    <n v="202"/>
    <x v="5"/>
    <x v="5"/>
    <x v="1"/>
    <x v="1"/>
    <x v="0"/>
    <x v="0"/>
    <x v="0"/>
    <n v="13.115"/>
    <n v="33.457719959071447"/>
    <n v="34.509188364802604"/>
    <n v="35.365676528350647"/>
    <n v="33.457719959071447"/>
    <n v="34.318392707874672"/>
    <n v="34.985437807708607"/>
    <n v="34.699814947578794"/>
    <n v="33.457719959071447"/>
    <n v="34.031882208448316"/>
    <n v="34.795064836159987"/>
    <n v="32.401137060250626"/>
    <n v="30.175391273476016"/>
    <n v="33.804595467655389"/>
    <n v="0.40757686256275416"/>
    <n v="30.175391273476016"/>
    <n v="33.457719959071447"/>
    <n v="34.175137458161494"/>
  </r>
  <r>
    <n v="203"/>
    <x v="6"/>
    <x v="6"/>
    <x v="0"/>
    <x v="1"/>
    <x v="0"/>
    <x v="0"/>
    <x v="0"/>
    <n v="13.13"/>
    <n v="30.952099833325665"/>
    <n v="30.855159203227217"/>
    <n v="30.952099833325665"/>
    <n v="30.369822024666014"/>
    <n v="29.102999941468958"/>
    <n v="31.242668112393417"/>
    <n v="29.591084574995683"/>
    <n v="30.272627783339985"/>
    <n v="31.62950072495272"/>
    <n v="33.074099755394911"/>
    <n v="32.112090448548393"/>
    <n v="31.339439668340134"/>
    <n v="30.957807658664894"/>
    <n v="0.30923984425641715"/>
    <n v="29.102999941468958"/>
    <n v="30.345523464334505"/>
    <n v="30.952099833325665"/>
  </r>
  <r>
    <n v="204"/>
    <x v="7"/>
    <x v="7"/>
    <x v="1"/>
    <x v="2"/>
    <x v="0"/>
    <x v="0"/>
    <x v="0"/>
    <n v="13.147"/>
    <n v="36.691186214818472"/>
    <n v="38.476841031240539"/>
    <n v="38.476841031240539"/>
    <n v="38.757391666818613"/>
    <n v="38.383239615638651"/>
    <n v="37.632906623458041"/>
    <n v="37.162574775862396"/>
    <n v="38.570400178304496"/>
    <n v="37.914598509560257"/>
    <n v="38.102181757605408"/>
    <n v="37.256725682457386"/>
    <n v="37.444900690033577"/>
    <n v="37.905815648086538"/>
    <n v="0.19111982784043346"/>
    <n v="36.691186214818472"/>
    <n v="37.397856938139526"/>
    <n v="38.008390133582836"/>
  </r>
  <r>
    <n v="205"/>
    <x v="0"/>
    <x v="0"/>
    <x v="0"/>
    <x v="0"/>
    <x v="0"/>
    <x v="1"/>
    <x v="0"/>
    <n v="13.163"/>
    <n v="31.242668112393417"/>
    <n v="31.145854287908758"/>
    <n v="31.726103206747716"/>
    <n v="31.919181364723919"/>
    <n v="29.88342813265654"/>
    <n v="31.726103206747716"/>
    <n v="30.661151137416528"/>
    <n v="32.015657040905126"/>
    <n v="31.62950072495272"/>
    <n v="32.401137060250626"/>
    <n v="30.369822024666014"/>
    <n v="32.015657040905126"/>
    <n v="31.394688611689521"/>
    <n v="0.21831670835977729"/>
    <n v="29.88342813265654"/>
    <n v="31.024678500285702"/>
    <n v="31.677801965850218"/>
  </r>
  <r>
    <n v="206"/>
    <x v="8"/>
    <x v="8"/>
    <x v="1"/>
    <x v="0"/>
    <x v="1"/>
    <x v="1"/>
    <x v="0"/>
    <n v="13.18"/>
    <n v="33.840663866141078"/>
    <n v="34.795064836159987"/>
    <n v="44.379413070864501"/>
    <n v="35.934766553175777"/>
    <n v="36.785548464103115"/>
    <n v="36.691186214818472"/>
    <n v="36.502334910635376"/>
    <n v="39.782822653184176"/>
    <n v="38.195909978821092"/>
    <n v="36.502334910635376"/>
    <n v="35.365676528350647"/>
    <n v="34.4138116706076"/>
    <n v="36.932461138124772"/>
    <n v="0.82365247091224791"/>
    <n v="33.840663866141078"/>
    <n v="35.223023605302984"/>
    <n v="36.502334910635376"/>
  </r>
  <r>
    <n v="207"/>
    <x v="1"/>
    <x v="1"/>
    <x v="0"/>
    <x v="1"/>
    <x v="1"/>
    <x v="1"/>
    <x v="0"/>
    <n v="13.198"/>
    <n v="31.62950072495272"/>
    <n v="30.952099833325665"/>
    <n v="30.952099833325665"/>
    <n v="31.339439668340134"/>
    <n v="30.078112495074127"/>
    <n v="30.466973997454122"/>
    <n v="29.200701405250165"/>
    <n v="29.68857469608723"/>
    <n v="31.726103206747716"/>
    <n v="31.919181364723919"/>
    <n v="32.015657040905126"/>
    <n v="31.919181364723919"/>
    <n v="30.990635469242537"/>
    <n v="0.27323685301897505"/>
    <n v="29.200701405250165"/>
    <n v="30.369758621859123"/>
    <n v="31.145769750832898"/>
  </r>
  <r>
    <n v="208"/>
    <x v="9"/>
    <x v="9"/>
    <x v="0"/>
    <x v="0"/>
    <x v="1"/>
    <x v="1"/>
    <x v="0"/>
    <n v="13.215"/>
    <n v="32.112090448548393"/>
    <n v="32.015657040905126"/>
    <n v="31.339439668340134"/>
    <n v="33.170068209120942"/>
    <n v="31.436168955748933"/>
    <n v="31.726103206747716"/>
    <n v="31.726103206747716"/>
    <n v="31.62950072495272"/>
    <n v="31.145854287908758"/>
    <n v="30.952099833325665"/>
    <n v="30.952099833325665"/>
    <n v="31.048998194886178"/>
    <n v="31.604515300879836"/>
    <n v="0.18208980730268332"/>
    <n v="30.952099833325665"/>
    <n v="31.121640264653113"/>
    <n v="31.532834840350827"/>
  </r>
  <r>
    <n v="301"/>
    <x v="3"/>
    <x v="3"/>
    <x v="1"/>
    <x v="1"/>
    <x v="1"/>
    <x v="2"/>
    <x v="0"/>
    <n v="13.364000000000001"/>
    <n v="33.64927644968212"/>
    <n v="44.015574542939738"/>
    <n v="34.604522790459654"/>
    <n v="38.850824008268773"/>
    <n v="34.4138116706076"/>
    <n v="35.74523895238579"/>
    <n v="35.080560890676004"/>
    <n v="34.795064836159987"/>
    <n v="37.914598509560257"/>
    <n v="39.130867421391677"/>
    <n v="35.840023887049746"/>
    <n v="33.840663866141078"/>
    <n v="36.490085652110203"/>
    <n v="0.87039768021010211"/>
    <n v="33.64927644968212"/>
    <n v="34.556845010496644"/>
    <n v="35.412899921530894"/>
  </r>
  <r>
    <n v="302"/>
    <x v="1"/>
    <x v="1"/>
    <x v="0"/>
    <x v="1"/>
    <x v="1"/>
    <x v="2"/>
    <x v="0"/>
    <n v="13.38"/>
    <n v="31.339439668340134"/>
    <n v="32.112090448548393"/>
    <n v="32.208481587653736"/>
    <n v="32.401137060250626"/>
    <n v="32.30483045822114"/>
    <n v="31.242668112393417"/>
    <n v="31.339439668340134"/>
    <n v="30.175391273476016"/>
    <n v="32.112090448548393"/>
    <n v="29.395977527198784"/>
    <n v="31.62950072495272"/>
    <n v="30.855159203227217"/>
    <n v="31.426350515095894"/>
    <n v="0.2665411529249091"/>
    <n v="29.395977527198784"/>
    <n v="31.145790885101867"/>
    <n v="31.484470196646427"/>
  </r>
  <r>
    <n v="303"/>
    <x v="8"/>
    <x v="8"/>
    <x v="1"/>
    <x v="0"/>
    <x v="1"/>
    <x v="2"/>
    <x v="0"/>
    <n v="13.4"/>
    <n v="34.985437807708607"/>
    <n v="34.031882208448316"/>
    <n v="30.952099833325665"/>
    <n v="33.840663866141078"/>
    <n v="32.401137060250626"/>
    <n v="33.074099755394911"/>
    <n v="34.318392707874672"/>
    <n v="35.080560890676004"/>
    <n v="34.699814947578794"/>
    <n v="34.031882208448316"/>
    <n v="33.64927644968212"/>
    <n v="34.509188364802604"/>
    <n v="33.797869675027641"/>
    <n v="0.34103879313665553"/>
    <n v="30.952099833325665"/>
    <n v="33.505482276110314"/>
    <n v="34.031882208448316"/>
  </r>
  <r>
    <n v="304"/>
    <x v="9"/>
    <x v="9"/>
    <x v="0"/>
    <x v="0"/>
    <x v="1"/>
    <x v="2"/>
    <x v="0"/>
    <n v="13.417"/>
    <n v="31.726103206747716"/>
    <n v="31.048998194886178"/>
    <n v="28.613858594493955"/>
    <n v="30.952099833325665"/>
    <n v="28.809641938897748"/>
    <n v="30.272627783339985"/>
    <n v="30.661151137416528"/>
    <n v="30.564083701704291"/>
    <n v="30.855159203227217"/>
    <n v="31.048998194886178"/>
    <n v="30.952099833325665"/>
    <n v="29.68857469608723"/>
    <n v="30.432783026528202"/>
    <n v="0.27166520121104359"/>
    <n v="28.613858594493955"/>
    <n v="30.126614511526796"/>
    <n v="30.758155170321871"/>
  </r>
  <r>
    <n v="305"/>
    <x v="7"/>
    <x v="7"/>
    <x v="1"/>
    <x v="2"/>
    <x v="0"/>
    <x v="3"/>
    <x v="0"/>
    <n v="13.438000000000001"/>
    <n v="35.74523895238579"/>
    <n v="34.222931476603819"/>
    <n v="34.509188364802604"/>
    <n v="34.604522790459654"/>
    <n v="33.64927644968212"/>
    <n v="33.074099755394911"/>
    <n v="32.593623458695795"/>
    <n v="35.934766553175777"/>
    <n v="36.313314532300573"/>
    <n v="36.218740940326271"/>
    <n v="35.934766553175777"/>
    <n v="34.890272456203263"/>
    <n v="34.807561856933866"/>
    <n v="0.36313096827668728"/>
    <n v="32.593623458695795"/>
    <n v="34.079517719873394"/>
    <n v="34.747397623331459"/>
  </r>
  <r>
    <n v="306"/>
    <x v="1"/>
    <x v="1"/>
    <x v="0"/>
    <x v="1"/>
    <x v="1"/>
    <x v="3"/>
    <x v="0"/>
    <n v="13.454000000000001"/>
    <n v="30.369822024666014"/>
    <n v="30.078112495074127"/>
    <n v="30.466973997454122"/>
    <n v="30.75817630459084"/>
    <n v="31.919181364723919"/>
    <n v="34.222931476603819"/>
    <n v="30.369822024666014"/>
    <n v="33.074099755394911"/>
    <n v="30.369822024666014"/>
    <n v="31.242668112393417"/>
    <n v="29.591084574995683"/>
    <n v="29.980791448134305"/>
    <n v="31.036957133613598"/>
    <n v="0.39871234898842017"/>
    <n v="29.591084574995683"/>
    <n v="30.296894642268043"/>
    <n v="30.41839801106007"/>
  </r>
  <r>
    <n v="307"/>
    <x v="5"/>
    <x v="5"/>
    <x v="1"/>
    <x v="1"/>
    <x v="0"/>
    <x v="3"/>
    <x v="0"/>
    <n v="13.47"/>
    <n v="33.457719959071447"/>
    <n v="33.361878310959206"/>
    <n v="32.689803255111478"/>
    <n v="34.031882208448316"/>
    <n v="32.015657040905126"/>
    <n v="32.978089033130949"/>
    <n v="33.64927644968212"/>
    <n v="35.175641705105484"/>
    <n v="32.978089033130949"/>
    <n v="38.008411267851791"/>
    <n v="32.49740139374218"/>
    <n v="35.650411749183895"/>
    <n v="33.874521783860239"/>
    <n v="0.48312700967092675"/>
    <n v="32.015657040905126"/>
    <n v="32.906017588626085"/>
    <n v="33.409799135015326"/>
  </r>
  <r>
    <n v="308"/>
    <x v="2"/>
    <x v="2"/>
    <x v="0"/>
    <x v="2"/>
    <x v="0"/>
    <x v="3"/>
    <x v="0"/>
    <n v="13.486000000000001"/>
    <n v="30.175391273476016"/>
    <n v="31.62950072495272"/>
    <n v="31.242668112393417"/>
    <n v="32.401137060250626"/>
    <n v="31.242668112393417"/>
    <n v="32.49740139374218"/>
    <n v="29.88342813265654"/>
    <n v="31.436168955748933"/>
    <n v="31.532855974619789"/>
    <n v="29.68857469608723"/>
    <n v="31.048998194886178"/>
    <n v="30.855159203227217"/>
    <n v="31.136162652869526"/>
    <n v="0.2558566524134791"/>
    <n v="29.68857469608723"/>
    <n v="30.685217220789418"/>
    <n v="31.242668112393417"/>
  </r>
  <r>
    <n v="401"/>
    <x v="10"/>
    <x v="10"/>
    <x v="1"/>
    <x v="0"/>
    <x v="0"/>
    <x v="2"/>
    <x v="0"/>
    <n v="13.653"/>
    <n v="36.029466950763862"/>
    <n v="34.604522790459654"/>
    <n v="32.978089033130949"/>
    <n v="31.436168955748933"/>
    <n v="33.64927644968212"/>
    <n v="34.222931476603819"/>
    <n v="34.222931476603819"/>
    <n v="35.365676528350647"/>
    <n v="35.175641705105484"/>
    <n v="37.538924791014772"/>
    <n v="36.218740940326271"/>
    <n v="35.175641705105484"/>
    <n v="34.718167733574653"/>
    <n v="0.46229893240511821"/>
    <n v="31.436168955748933"/>
    <n v="34.079517719873394"/>
    <n v="34.890082247782573"/>
  </r>
  <r>
    <n v="402"/>
    <x v="5"/>
    <x v="5"/>
    <x v="1"/>
    <x v="1"/>
    <x v="0"/>
    <x v="2"/>
    <x v="0"/>
    <n v="13.635999999999999"/>
    <n v="34.318392707874672"/>
    <n v="33.361878310959206"/>
    <n v="34.795064836159987"/>
    <n v="32.978089033130949"/>
    <n v="33.170068209120942"/>
    <n v="31.436168955748933"/>
    <n v="33.553519338645749"/>
    <n v="32.015657040905126"/>
    <n v="32.689803255111478"/>
    <n v="30.952099833325665"/>
    <n v="35.080560890676004"/>
    <n v="33.361878310959206"/>
    <n v="33.14276506021816"/>
    <n v="0.36251314340465574"/>
    <n v="30.952099833325665"/>
    <n v="32.521266701559888"/>
    <n v="33.26597326004007"/>
  </r>
  <r>
    <n v="403"/>
    <x v="11"/>
    <x v="11"/>
    <x v="0"/>
    <x v="2"/>
    <x v="1"/>
    <x v="2"/>
    <x v="0"/>
    <n v="13.614000000000001"/>
    <n v="28.515903519485164"/>
    <n v="30.564083701704291"/>
    <n v="29.102999941468958"/>
    <n v="29.200701405250165"/>
    <n v="30.466973997454122"/>
    <n v="31.145854287908758"/>
    <n v="31.145854287908758"/>
    <n v="31.82266342000478"/>
    <n v="31.145854287908758"/>
    <n v="30.369822024666014"/>
    <n v="31.62950072495272"/>
    <n v="29.298360600493442"/>
    <n v="30.36738101660049"/>
    <n v="0.31512438612021237"/>
    <n v="28.515903519485164"/>
    <n v="29.273945801682622"/>
    <n v="30.515528849579205"/>
  </r>
  <r>
    <n v="404"/>
    <x v="6"/>
    <x v="6"/>
    <x v="0"/>
    <x v="1"/>
    <x v="0"/>
    <x v="2"/>
    <x v="0"/>
    <n v="13.593"/>
    <n v="27.730741252049288"/>
    <n v="30.466973997454122"/>
    <n v="28.809641938897748"/>
    <n v="31.145854287908758"/>
    <n v="29.591084574995683"/>
    <n v="30.272627783339985"/>
    <n v="29.591084574995683"/>
    <n v="30.078112495074127"/>
    <n v="29.00525620914982"/>
    <n v="30.75817630459084"/>
    <n v="29.88342813265654"/>
    <n v="30.078112495074127"/>
    <n v="29.784257837182228"/>
    <n v="0.26880609171601105"/>
    <n v="27.730741252049288"/>
    <n v="29.444627483534219"/>
    <n v="29.980770313865335"/>
  </r>
  <r>
    <n v="405"/>
    <x v="11"/>
    <x v="11"/>
    <x v="0"/>
    <x v="2"/>
    <x v="1"/>
    <x v="3"/>
    <x v="0"/>
    <n v="13.568"/>
    <n v="30.175391273476016"/>
    <n v="31.048998194886178"/>
    <n v="31.436168955748933"/>
    <n v="31.532855974619789"/>
    <n v="31.145854287908758"/>
    <n v="34.4138116706076"/>
    <n v="33.744991292180572"/>
    <n v="33.744991292180572"/>
    <n v="34.509188364802604"/>
    <n v="31.82266342000478"/>
    <n v="31.82266342000478"/>
    <n v="31.726103206747716"/>
    <n v="32.260306779430692"/>
    <n v="0.41775552984912495"/>
    <n v="30.175391273476016"/>
    <n v="31.363590288788888"/>
    <n v="31.774383313376248"/>
  </r>
  <r>
    <n v="406"/>
    <x v="6"/>
    <x v="6"/>
    <x v="0"/>
    <x v="1"/>
    <x v="0"/>
    <x v="3"/>
    <x v="0"/>
    <n v="13.548"/>
    <n v="31.726103206747716"/>
    <n v="32.978089033130949"/>
    <n v="33.074099755394911"/>
    <n v="32.593623458695795"/>
    <n v="31.919181364723919"/>
    <n v="31.82266342000478"/>
    <n v="30.661151137416528"/>
    <n v="30.564083701704291"/>
    <n v="30.952099833325665"/>
    <n v="31.919181364723919"/>
    <n v="29.980791448134305"/>
    <n v="31.919181364723919"/>
    <n v="31.675854090727224"/>
    <n v="0.28011933205474393"/>
    <n v="29.980791448134305"/>
    <n v="30.879362659348381"/>
    <n v="31.870922392364349"/>
  </r>
  <r>
    <n v="407"/>
    <x v="10"/>
    <x v="10"/>
    <x v="1"/>
    <x v="0"/>
    <x v="0"/>
    <x v="3"/>
    <x v="0"/>
    <n v="13.529"/>
    <n v="32.015657040905126"/>
    <n v="31.726103206747716"/>
    <n v="33.074099755394911"/>
    <n v="33.361878310959206"/>
    <n v="34.127427976795026"/>
    <n v="35.650411749183895"/>
    <n v="34.222931476603819"/>
    <n v="34.127427976795026"/>
    <n v="37.726846187363371"/>
    <n v="34.031882208448316"/>
    <n v="34.509188364802604"/>
    <n v="33.26599439430904"/>
    <n v="33.986654054025671"/>
    <n v="0.45945493027997042"/>
    <n v="31.726103206747716"/>
    <n v="33.218020734580506"/>
    <n v="34.079655092621671"/>
  </r>
  <r>
    <n v="408"/>
    <x v="3"/>
    <x v="3"/>
    <x v="1"/>
    <x v="1"/>
    <x v="1"/>
    <x v="3"/>
    <x v="0"/>
    <n v="13.512"/>
    <n v="43.833401667749776"/>
    <n v="39.037561885555306"/>
    <n v="46.368436172602379"/>
    <n v="36.124125079814036"/>
    <n v="38.944214081181002"/>
    <n v="35.080560890676004"/>
    <n v="38.008411267851791"/>
    <n v="38.944214081181002"/>
    <n v="39.596761072504549"/>
    <n v="37.162574775862396"/>
    <n v="37.256725682457386"/>
    <n v="34.699814947578794"/>
    <n v="38.754733467084534"/>
    <n v="0.9801829994700979"/>
    <n v="34.699814947578794"/>
    <n v="36.902962351850306"/>
    <n v="38.476312674516393"/>
  </r>
  <r>
    <n v="901"/>
    <x v="12"/>
    <x v="12"/>
    <x v="2"/>
    <x v="3"/>
    <x v="1"/>
    <x v="0"/>
    <x v="0"/>
    <n v="13.353999999999999"/>
    <n v="37.444900690033577"/>
    <n v="36.691186214818472"/>
    <n v="38.195909978821092"/>
    <n v="38.102181757605408"/>
    <n v="37.538924791014772"/>
    <n v="35.74523895238579"/>
    <n v="36.785548464103115"/>
    <n v="38.476841031240539"/>
    <n v="37.068381600729474"/>
    <n v="39.130867421391677"/>
    <n v="36.218740940326271"/>
    <n v="35.74523895238579"/>
    <n v="37.261996732904663"/>
    <n v="0.31305650510279037"/>
    <n v="35.74523895238579"/>
    <n v="36.573074896195422"/>
    <n v="37.256641145381522"/>
  </r>
  <r>
    <n v="902"/>
    <x v="13"/>
    <x v="13"/>
    <x v="3"/>
    <x v="1"/>
    <x v="0"/>
    <x v="0"/>
    <x v="0"/>
    <n v="13.333"/>
    <n v="57.535156254938379"/>
    <n v="45.557217613178587"/>
    <n v="52.648006604776789"/>
    <n v="45.557217613178587"/>
    <n v="40.525378234385464"/>
    <n v="40.247236905469464"/>
    <n v="50.373172696135036"/>
    <n v="52.561041349630088"/>
    <n v="45.737784283927169"/>
    <n v="51.863797641090997"/>
    <n v="44.28851684169021"/>
    <n v="46.18846126138483"/>
    <n v="47.756915608315474"/>
    <n v="1.5157310129958708"/>
    <n v="40.247236905469464"/>
    <n v="45.240042420306494"/>
    <n v="45.963122772656"/>
  </r>
  <r>
    <n v="903"/>
    <x v="14"/>
    <x v="14"/>
    <x v="4"/>
    <x v="3"/>
    <x v="1"/>
    <x v="0"/>
    <x v="0"/>
    <n v="13.326000000000001"/>
    <n v="58.882302909533699"/>
    <n v="57.196678849772297"/>
    <n v="58.714501337240321"/>
    <n v="57.619669934885067"/>
    <n v="57.619669934885067"/>
    <n v="58.546530690795223"/>
    <n v="58.125864375268669"/>
    <n v="58.798423257655976"/>
    <n v="57.111953827135956"/>
    <n v="57.788570489164663"/>
    <n v="57.535156254938379"/>
    <n v="58.210082175449841"/>
    <n v="58.012450336393762"/>
    <n v="0.17979991505925003"/>
    <n v="57.111953827135956"/>
    <n v="57.598541514898393"/>
    <n v="57.957217432216666"/>
  </r>
  <r>
    <n v="904"/>
    <x v="15"/>
    <x v="15"/>
    <x v="5"/>
    <x v="1"/>
    <x v="0"/>
    <x v="0"/>
    <x v="0"/>
    <n v="13.305999999999999"/>
    <n v="60.71696131074706"/>
    <n v="46.727878772582308"/>
    <n v="60.551019554122654"/>
    <n v="58.462481964765765"/>
    <n v="57.366002089431205"/>
    <n v="50.108853179122519"/>
    <n v="60.301789905151551"/>
    <n v="52.561041349630088"/>
    <n v="59.71877465872474"/>
    <n v="48.781549341439245"/>
    <n v="62.284975425361687"/>
    <n v="57.111953827135956"/>
    <n v="56.224440114851241"/>
    <n v="1.5274487293234502"/>
    <n v="46.727878772582308"/>
    <n v="51.947994307003199"/>
    <n v="57.914242027098481"/>
  </r>
  <r>
    <n v="905"/>
    <x v="12"/>
    <x v="12"/>
    <x v="2"/>
    <x v="3"/>
    <x v="1"/>
    <x v="1"/>
    <x v="0"/>
    <n v="13.298999999999999"/>
    <n v="38.383239615638651"/>
    <n v="35.934766553175777"/>
    <n v="38.757391666818613"/>
    <n v="37.350834320514451"/>
    <n v="39.037561885555306"/>
    <n v="37.820743482730784"/>
    <n v="37.538924791014772"/>
    <n v="35.74523895238579"/>
    <n v="37.350834320514451"/>
    <n v="38.195909978821092"/>
    <n v="36.97414615705862"/>
    <n v="39.410530417673193"/>
    <n v="37.708343511825127"/>
    <n v="0.32906354946172639"/>
    <n v="35.74523895238579"/>
    <n v="37.256662279650492"/>
    <n v="37.679834136872778"/>
  </r>
  <r>
    <n v="906"/>
    <x v="13"/>
    <x v="13"/>
    <x v="3"/>
    <x v="1"/>
    <x v="0"/>
    <x v="1"/>
    <x v="0"/>
    <n v="13.278"/>
    <n v="56.262378831186261"/>
    <n v="45.82800421649457"/>
    <n v="49.932428825091186"/>
    <n v="50.461194664730016"/>
    <n v="46.18846126138483"/>
    <n v="46.458360225404263"/>
    <n v="46.63808152539422"/>
    <n v="48.069765255851827"/>
    <n v="46.727878772582308"/>
    <n v="56.432631978679659"/>
    <n v="45.286050593021223"/>
    <n v="43.10301942547266"/>
    <n v="48.44902129794108"/>
    <n v="1.2058830475537603"/>
    <n v="43.10301942547266"/>
    <n v="46.098347000162263"/>
    <n v="46.682980148988264"/>
  </r>
  <r>
    <n v="907"/>
    <x v="14"/>
    <x v="14"/>
    <x v="4"/>
    <x v="3"/>
    <x v="1"/>
    <x v="1"/>
    <x v="0"/>
    <n v="13.272"/>
    <n v="58.462481964765765"/>
    <n v="57.619669934885067"/>
    <n v="57.619669934885067"/>
    <n v="58.378390970198389"/>
    <n v="57.788570489164663"/>
    <n v="59.9688919469924"/>
    <n v="58.378390970198389"/>
    <n v="56.772631051211249"/>
    <n v="57.872957363497555"/>
    <n v="57.366002089431205"/>
    <n v="56.602716052021314"/>
    <n v="57.535156254938379"/>
    <n v="57.863794085182441"/>
    <n v="0.25496841926561997"/>
    <n v="56.602716052021314"/>
    <n v="57.492867713561587"/>
    <n v="57.704120212024861"/>
  </r>
  <r>
    <n v="908"/>
    <x v="15"/>
    <x v="15"/>
    <x v="5"/>
    <x v="1"/>
    <x v="0"/>
    <x v="1"/>
    <x v="0"/>
    <n v="13.250999999999999"/>
    <n v="60.71696131074706"/>
    <n v="57.196678849772297"/>
    <n v="61.544133981593241"/>
    <n v="55.065872722484272"/>
    <n v="56.517695149619449"/>
    <n v="54.894266981777093"/>
    <n v="54.808400708616603"/>
    <n v="55.750604943795764"/>
    <n v="61.048337601540709"/>
    <n v="54.033702165965316"/>
    <n v="61.956135246843914"/>
    <n v="52.386984033722904"/>
    <n v="57.159981141373216"/>
    <n v="0.95345995282364204"/>
    <n v="52.386984033722904"/>
    <n v="54.872800413486971"/>
    <n v="56.134150046707603"/>
  </r>
  <r>
    <n v="101"/>
    <x v="0"/>
    <x v="0"/>
    <x v="0"/>
    <x v="0"/>
    <x v="0"/>
    <x v="0"/>
    <x v="1"/>
    <n v="13.084"/>
    <n v="35.460630537166331"/>
    <n v="30.272627783339985"/>
    <n v="34.4138116706076"/>
    <n v="28.809641938897748"/>
    <n v="32.015657040905126"/>
    <n v="30.078112495074127"/>
    <n v="34.985437807708607"/>
    <n v="31.242668112393417"/>
    <n v="36.218740940326271"/>
    <n v="34.031882208448316"/>
    <n v="38.850824008268773"/>
    <n v="32.49740139374218"/>
    <n v="33.239786328073201"/>
    <n v="0.84749011589434486"/>
    <n v="28.809641938897748"/>
    <n v="31.000158030130059"/>
    <n v="33.264641801095252"/>
  </r>
  <r>
    <n v="102"/>
    <x v="1"/>
    <x v="1"/>
    <x v="0"/>
    <x v="1"/>
    <x v="1"/>
    <x v="0"/>
    <x v="1"/>
    <n v="13.064"/>
    <n v="30.952099833325665"/>
    <n v="29.786022548640855"/>
    <n v="28.221784683231192"/>
    <n v="27.534027999811009"/>
    <n v="29.980791448134305"/>
    <n v="34.031882208448316"/>
    <n v="31.048998194886178"/>
    <n v="31.339439668340134"/>
    <n v="34.509188364802604"/>
    <n v="31.339439668340134"/>
    <n v="33.457719959071447"/>
    <n v="29.88342813265654"/>
    <n v="31.007068559140691"/>
    <n v="0.62323895331335888"/>
    <n v="27.534027999811009"/>
    <n v="29.859076736652618"/>
    <n v="31.000549014105921"/>
  </r>
  <r>
    <n v="103"/>
    <x v="2"/>
    <x v="2"/>
    <x v="0"/>
    <x v="2"/>
    <x v="0"/>
    <x v="0"/>
    <x v="1"/>
    <n v="13.045999999999999"/>
    <n v="31.532855974619789"/>
    <n v="28.515903519485164"/>
    <n v="32.112090448548393"/>
    <n v="32.689803255111478"/>
    <n v="33.840663866141078"/>
    <n v="33.457719959071447"/>
    <n v="32.882036042329055"/>
    <n v="29.68857469608723"/>
    <n v="34.890272456203263"/>
    <n v="34.4138116706076"/>
    <n v="34.890272456203263"/>
    <n v="36.785548464103115"/>
    <n v="32.974962734042577"/>
    <n v="0.66576393077335161"/>
    <n v="28.515903519485164"/>
    <n v="31.967281830066241"/>
    <n v="33.169878000700251"/>
  </r>
  <r>
    <n v="104"/>
    <x v="3"/>
    <x v="3"/>
    <x v="1"/>
    <x v="1"/>
    <x v="1"/>
    <x v="0"/>
    <x v="1"/>
    <n v="13.028"/>
    <n v="39.410530417673193"/>
    <n v="38.476841031240539"/>
    <n v="36.879868444849841"/>
    <n v="33.074099755394911"/>
    <n v="37.820743482730784"/>
    <n v="37.820743482730784"/>
    <n v="40.247236905469464"/>
    <n v="39.96871515971209"/>
    <n v="42.186237454212467"/>
    <n v="39.317351687450618"/>
    <n v="34.127427976795026"/>
    <n v="34.890272456203263"/>
    <n v="37.851672354538586"/>
    <n v="0.78039202519489137"/>
    <n v="33.074099755394911"/>
    <n v="36.382469447688194"/>
    <n v="38.148792256985658"/>
  </r>
  <r>
    <n v="105"/>
    <x v="4"/>
    <x v="4"/>
    <x v="1"/>
    <x v="2"/>
    <x v="1"/>
    <x v="1"/>
    <x v="1"/>
    <n v="13.01"/>
    <n v="42.369931996767953"/>
    <n v="43.377229780361063"/>
    <n v="41.357519720085172"/>
    <n v="40.803139146460083"/>
    <n v="40.061598010169149"/>
    <n v="41.910378626344752"/>
    <n v="41.172895269695196"/>
    <n v="39.875790040717099"/>
    <n v="41.541975096323426"/>
    <n v="42.002373837505253"/>
    <n v="38.289595931498837"/>
    <n v="38.476841031240539"/>
    <n v="40.936605707264043"/>
    <n v="0.44090577972113243"/>
    <n v="38.289595931498837"/>
    <n v="40.015146017806138"/>
    <n v="41.265207494890184"/>
  </r>
  <r>
    <n v="106"/>
    <x v="5"/>
    <x v="5"/>
    <x v="1"/>
    <x v="1"/>
    <x v="0"/>
    <x v="1"/>
    <x v="1"/>
    <n v="12.992000000000001"/>
    <n v="37.538924791014772"/>
    <n v="37.068381600729474"/>
    <n v="35.650411749183895"/>
    <n v="38.944214081181002"/>
    <n v="37.538924791014772"/>
    <n v="35.365676528350647"/>
    <n v="38.570400178304496"/>
    <n v="34.985437807708607"/>
    <n v="38.570400178304496"/>
    <n v="36.879868444849841"/>
    <n v="34.795064836159987"/>
    <n v="34.795064836159987"/>
    <n v="36.725230818580165"/>
    <n v="0.44958425852862111"/>
    <n v="34.795064836159987"/>
    <n v="35.270616848190137"/>
    <n v="36.974125022789657"/>
  </r>
  <r>
    <n v="107"/>
    <x v="3"/>
    <x v="3"/>
    <x v="1"/>
    <x v="1"/>
    <x v="1"/>
    <x v="1"/>
    <x v="1"/>
    <n v="12.975"/>
    <n v="38.66391705683052"/>
    <n v="37.820743482730784"/>
    <n v="41.265228629159154"/>
    <n v="39.782822653184176"/>
    <n v="37.350834320514451"/>
    <n v="33.64927644968212"/>
    <n v="34.4138116706076"/>
    <n v="39.037561885555306"/>
    <n v="37.256725682457386"/>
    <n v="34.890272456203263"/>
    <n v="36.029466950763862"/>
    <n v="41.634139381635649"/>
    <n v="37.649566718277022"/>
    <n v="0.74589673554846148"/>
    <n v="33.64927644968212"/>
    <n v="35.744668327123712"/>
    <n v="37.585788901622621"/>
  </r>
  <r>
    <n v="108"/>
    <x v="6"/>
    <x v="6"/>
    <x v="0"/>
    <x v="1"/>
    <x v="0"/>
    <x v="1"/>
    <x v="1"/>
    <n v="12.958"/>
    <n v="34.4138116706076"/>
    <n v="32.689803255111478"/>
    <n v="33.64927644968212"/>
    <n v="31.62950072495272"/>
    <n v="34.4138116706076"/>
    <n v="35.555542277444076"/>
    <n v="30.369822024666014"/>
    <n v="30.272627783339985"/>
    <n v="33.074099755394911"/>
    <n v="34.604522790459654"/>
    <n v="34.509188364802604"/>
    <n v="36.879868444849841"/>
    <n v="33.505156267659878"/>
    <n v="0.57820115093866009"/>
    <n v="30.272627783339985"/>
    <n v="32.424727622571787"/>
    <n v="34.03154406014486"/>
  </r>
  <r>
    <n v="201"/>
    <x v="4"/>
    <x v="4"/>
    <x v="1"/>
    <x v="2"/>
    <x v="1"/>
    <x v="0"/>
    <x v="1"/>
    <n v="13.105"/>
    <n v="37.820743482730784"/>
    <n v="40.432706726618058"/>
    <n v="39.689812997113329"/>
    <n v="37.632906623458041"/>
    <n v="36.97414615705862"/>
    <n v="35.934766553175777"/>
    <n v="36.97414615705862"/>
    <n v="38.757391666818613"/>
    <n v="38.195909978821092"/>
    <n v="35.555542277444076"/>
    <n v="37.444900690033577"/>
    <n v="38.383239615638651"/>
    <n v="37.816351077164107"/>
    <n v="0.40776592895528579"/>
    <n v="35.555542277444076"/>
    <n v="36.97414615705862"/>
    <n v="37.726825053094416"/>
  </r>
  <r>
    <n v="202"/>
    <x v="5"/>
    <x v="5"/>
    <x v="1"/>
    <x v="1"/>
    <x v="0"/>
    <x v="0"/>
    <x v="1"/>
    <n v="13.12"/>
    <n v="34.795064836159987"/>
    <n v="37.726846187363371"/>
    <n v="32.689803255111478"/>
    <n v="35.175641705105484"/>
    <n v="34.222931476603819"/>
    <n v="34.031882208448316"/>
    <n v="34.4138116706076"/>
    <n v="36.59678169699589"/>
    <n v="34.890272456203263"/>
    <n v="31.919181364723919"/>
    <n v="32.785940782989229"/>
    <n v="31.82266342000478"/>
    <n v="34.255901755026429"/>
    <n v="0.51593389017123659"/>
    <n v="31.82266342000478"/>
    <n v="32.761906401019793"/>
    <n v="34.31837157360571"/>
  </r>
  <r>
    <n v="203"/>
    <x v="6"/>
    <x v="6"/>
    <x v="0"/>
    <x v="1"/>
    <x v="0"/>
    <x v="0"/>
    <x v="1"/>
    <n v="13.135"/>
    <n v="33.26599439430904"/>
    <n v="32.593623458695795"/>
    <n v="31.532855974619789"/>
    <n v="32.978089033130949"/>
    <n v="34.509188364802604"/>
    <n v="32.785940782989229"/>
    <n v="31.82266342000478"/>
    <n v="30.272627783339985"/>
    <n v="35.840023887049746"/>
    <n v="34.318392707874672"/>
    <n v="35.460630537166331"/>
    <n v="31.919181364723919"/>
    <n v="33.108267642392235"/>
    <n v="0.48008160668159106"/>
    <n v="30.272627783339985"/>
    <n v="31.895051878544134"/>
    <n v="32.882014908060086"/>
  </r>
  <r>
    <n v="204"/>
    <x v="7"/>
    <x v="7"/>
    <x v="1"/>
    <x v="2"/>
    <x v="0"/>
    <x v="0"/>
    <x v="1"/>
    <n v="13.154"/>
    <n v="41.541975096323426"/>
    <n v="39.22413068869011"/>
    <n v="38.66391705683052"/>
    <n v="39.689812997113329"/>
    <n v="38.476841031240539"/>
    <n v="34.985437807708607"/>
    <n v="38.289595931498837"/>
    <n v="36.407845855736944"/>
    <n v="38.944214081181002"/>
    <n v="37.632906623458041"/>
    <n v="41.818341146646318"/>
    <n v="37.820743482730784"/>
    <n v="38.624646816596538"/>
    <n v="0.55206277500419876"/>
    <n v="34.985437807708607"/>
    <n v="37.773784267912596"/>
    <n v="38.570379044035533"/>
  </r>
  <r>
    <n v="205"/>
    <x v="0"/>
    <x v="0"/>
    <x v="0"/>
    <x v="0"/>
    <x v="0"/>
    <x v="1"/>
    <x v="1"/>
    <n v="13.167999999999999"/>
    <n v="32.593623458695795"/>
    <n v="33.361878310959206"/>
    <n v="33.26599439430904"/>
    <n v="31.339439668340134"/>
    <n v="29.200701405250165"/>
    <n v="34.699814947578794"/>
    <n v="30.272627783339985"/>
    <n v="31.62950072495272"/>
    <n v="31.532855974619789"/>
    <n v="33.074099755394911"/>
    <n v="35.934766553175777"/>
    <n v="37.538924791014772"/>
    <n v="32.870352313969256"/>
    <n v="0.67943923319893818"/>
    <n v="29.200701405250165"/>
    <n v="31.484501898049874"/>
    <n v="32.83386160704535"/>
  </r>
  <r>
    <n v="206"/>
    <x v="8"/>
    <x v="8"/>
    <x v="1"/>
    <x v="0"/>
    <x v="1"/>
    <x v="1"/>
    <x v="1"/>
    <n v="13.183999999999999"/>
    <n v="36.785548464103115"/>
    <n v="33.074099755394911"/>
    <n v="38.850824008268773"/>
    <n v="34.031882208448316"/>
    <n v="38.383239615638651"/>
    <n v="35.175641705105484"/>
    <n v="35.934766553175777"/>
    <n v="35.934766553175777"/>
    <n v="33.744991292180572"/>
    <n v="36.218740940326271"/>
    <n v="34.985437807708607"/>
    <n v="35.460630537166331"/>
    <n v="35.715047453391044"/>
    <n v="0.50019211879048664"/>
    <n v="33.074099755394911"/>
    <n v="34.747048907893536"/>
    <n v="35.69769854517105"/>
  </r>
  <r>
    <n v="207"/>
    <x v="1"/>
    <x v="1"/>
    <x v="0"/>
    <x v="1"/>
    <x v="1"/>
    <x v="1"/>
    <x v="1"/>
    <n v="13.202999999999999"/>
    <n v="32.401137060250626"/>
    <n v="35.365676528350647"/>
    <n v="39.22413068869011"/>
    <n v="31.048998194886178"/>
    <n v="29.102999941468958"/>
    <n v="28.90747020829275"/>
    <n v="31.145854287908758"/>
    <n v="30.369822024666014"/>
    <n v="32.208481587653736"/>
    <n v="32.30483045822114"/>
    <n v="36.313314532300573"/>
    <n v="33.840663866141078"/>
    <n v="32.686114948235883"/>
    <n v="0.88079088209113388"/>
    <n v="28.90747020829275"/>
    <n v="30.879204152331138"/>
    <n v="32.256656022937435"/>
  </r>
  <r>
    <n v="208"/>
    <x v="9"/>
    <x v="9"/>
    <x v="0"/>
    <x v="0"/>
    <x v="1"/>
    <x v="1"/>
    <x v="1"/>
    <n v="13.218999999999999"/>
    <n v="38.102181757605408"/>
    <n v="33.26599439430904"/>
    <n v="34.031882208448316"/>
    <n v="33.744991292180572"/>
    <n v="30.661151137416528"/>
    <n v="36.029466950763862"/>
    <n v="31.532855974619789"/>
    <n v="34.4138116706076"/>
    <n v="33.074099755394911"/>
    <n v="35.840023887049746"/>
    <n v="32.49740139374218"/>
    <n v="33.64927644968212"/>
    <n v="33.903594739318343"/>
    <n v="0.58691317531123377"/>
    <n v="30.661151137416528"/>
    <n v="32.929925164981725"/>
    <n v="33.697133870931346"/>
  </r>
  <r>
    <n v="301"/>
    <x v="3"/>
    <x v="3"/>
    <x v="1"/>
    <x v="1"/>
    <x v="1"/>
    <x v="2"/>
    <x v="1"/>
    <n v="13.369"/>
    <n v="33.074099755394911"/>
    <n v="34.318392707874672"/>
    <n v="36.407845855736944"/>
    <n v="39.317351687450618"/>
    <n v="34.604522790459654"/>
    <n v="38.476841031240539"/>
    <n v="33.744991292180572"/>
    <n v="37.632906623458041"/>
    <n v="34.604522790459654"/>
    <n v="34.318392707874672"/>
    <n v="35.74523895238579"/>
    <n v="40.525378234385464"/>
    <n v="36.064207035741795"/>
    <n v="0.69447518225766491"/>
    <n v="33.074099755394911"/>
    <n v="34.318392707874672"/>
    <n v="35.174880871422722"/>
  </r>
  <r>
    <n v="302"/>
    <x v="1"/>
    <x v="1"/>
    <x v="0"/>
    <x v="1"/>
    <x v="1"/>
    <x v="2"/>
    <x v="1"/>
    <n v="13.385"/>
    <n v="33.936294171563667"/>
    <n v="31.726103206747716"/>
    <n v="30.952099833325665"/>
    <n v="33.553519338645749"/>
    <n v="31.048998194886178"/>
    <n v="33.074099755394911"/>
    <n v="32.882036042329055"/>
    <n v="31.048998194886178"/>
    <n v="31.82266342000478"/>
    <n v="30.661151137416528"/>
    <n v="35.175641705105484"/>
    <n v="30.75817630459084"/>
    <n v="32.219981775408066"/>
    <n v="0.42592453351683968"/>
    <n v="30.661151137416528"/>
    <n v="31.024773604496048"/>
    <n v="31.774383313376248"/>
  </r>
  <r>
    <n v="303"/>
    <x v="8"/>
    <x v="8"/>
    <x v="1"/>
    <x v="0"/>
    <x v="1"/>
    <x v="2"/>
    <x v="1"/>
    <n v="13.404999999999999"/>
    <n v="36.59678169699589"/>
    <n v="35.74523895238579"/>
    <n v="35.270680250997025"/>
    <n v="34.509188364802604"/>
    <n v="34.985437807708607"/>
    <n v="35.934766553175777"/>
    <n v="33.64927644968212"/>
    <n v="33.074099755394911"/>
    <n v="38.944214081181002"/>
    <n v="37.538924791014772"/>
    <n v="32.401137060250626"/>
    <n v="31.532855974619789"/>
    <n v="35.015216811517412"/>
    <n v="0.61915243044233326"/>
    <n v="31.532855974619789"/>
    <n v="33.505482276110314"/>
    <n v="35.128059029352812"/>
  </r>
  <r>
    <n v="304"/>
    <x v="9"/>
    <x v="9"/>
    <x v="0"/>
    <x v="0"/>
    <x v="1"/>
    <x v="2"/>
    <x v="1"/>
    <n v="13.422000000000001"/>
    <n v="28.417906175938434"/>
    <n v="31.82266342000478"/>
    <n v="35.270680250997025"/>
    <n v="31.242668112393417"/>
    <n v="32.49740139374218"/>
    <n v="33.361878310959206"/>
    <n v="30.369822024666014"/>
    <n v="32.30483045822114"/>
    <n v="31.145854287908758"/>
    <n v="30.952099833325665"/>
    <n v="29.00525620914982"/>
    <n v="31.145854287908758"/>
    <n v="31.461409563767941"/>
    <n v="0.52965845820694935"/>
    <n v="28.417906175938434"/>
    <n v="30.806530381160751"/>
    <n v="31.194261200151089"/>
  </r>
  <r>
    <n v="305"/>
    <x v="7"/>
    <x v="7"/>
    <x v="1"/>
    <x v="2"/>
    <x v="0"/>
    <x v="3"/>
    <x v="1"/>
    <n v="13.443"/>
    <n v="36.97414615705862"/>
    <n v="32.882036042329055"/>
    <n v="36.785548464103115"/>
    <n v="39.22413068869011"/>
    <n v="39.96871515971209"/>
    <n v="35.934766553175777"/>
    <n v="40.154438592088276"/>
    <n v="35.840023887049746"/>
    <n v="34.890272456203263"/>
    <n v="35.555542277444076"/>
    <n v="33.553519338645749"/>
    <n v="34.985437807708607"/>
    <n v="36.395714785350712"/>
    <n v="0.68139358380332005"/>
    <n v="32.882036042329055"/>
    <n v="34.961646469832274"/>
    <n v="35.887395220112765"/>
  </r>
  <r>
    <n v="306"/>
    <x v="1"/>
    <x v="1"/>
    <x v="0"/>
    <x v="1"/>
    <x v="1"/>
    <x v="3"/>
    <x v="1"/>
    <n v="13.458"/>
    <n v="32.593623458695795"/>
    <n v="30.078112495074127"/>
    <n v="34.4138116706076"/>
    <n v="33.26599439430904"/>
    <n v="38.102181757605408"/>
    <n v="32.208481587653736"/>
    <n v="32.978089033130949"/>
    <n v="30.75817630459084"/>
    <n v="30.078112495074127"/>
    <n v="30.661151137416528"/>
    <n v="33.457719959071447"/>
    <n v="32.785940782989229"/>
    <n v="32.61511625635157"/>
    <n v="0.64515996459110247"/>
    <n v="30.078112495074127"/>
    <n v="30.733920012797263"/>
    <n v="32.689782120842509"/>
  </r>
  <r>
    <n v="307"/>
    <x v="5"/>
    <x v="5"/>
    <x v="1"/>
    <x v="1"/>
    <x v="0"/>
    <x v="3"/>
    <x v="1"/>
    <n v="13.475"/>
    <n v="31.242668112393417"/>
    <n v="31.339439668340134"/>
    <n v="32.785940782989229"/>
    <n v="31.919181364723919"/>
    <n v="39.22413068869011"/>
    <n v="32.689803255111478"/>
    <n v="33.457719959071447"/>
    <n v="39.503666879357837"/>
    <n v="36.029466950763862"/>
    <n v="35.080560890676004"/>
    <n v="32.49740139374218"/>
    <n v="33.64927644968212"/>
    <n v="34.118271366295147"/>
    <n v="0.81453221491924432"/>
    <n v="31.242668112393417"/>
    <n v="32.352846386487613"/>
    <n v="33.121830371030342"/>
  </r>
  <r>
    <n v="308"/>
    <x v="2"/>
    <x v="2"/>
    <x v="0"/>
    <x v="2"/>
    <x v="0"/>
    <x v="3"/>
    <x v="1"/>
    <n v="13.491"/>
    <n v="32.689803255111478"/>
    <n v="30.75817630459084"/>
    <n v="35.840023887049746"/>
    <n v="31.436168955748933"/>
    <n v="31.62950072495272"/>
    <n v="31.436168955748933"/>
    <n v="32.882036042329055"/>
    <n v="30.369822024666014"/>
    <n v="39.037561885555306"/>
    <n v="31.82266342000478"/>
    <n v="32.401137060250626"/>
    <n v="29.786022548640855"/>
    <n v="32.507423755387443"/>
    <n v="0.74112870888075377"/>
    <n v="29.786022548640855"/>
    <n v="31.26667079295941"/>
    <n v="31.72608207247875"/>
  </r>
  <r>
    <n v="401"/>
    <x v="10"/>
    <x v="10"/>
    <x v="1"/>
    <x v="0"/>
    <x v="0"/>
    <x v="2"/>
    <x v="1"/>
    <n v="13.657999999999999"/>
    <n v="39.22413068869011"/>
    <n v="36.879868444849841"/>
    <n v="34.985437807708607"/>
    <n v="38.66391705683052"/>
    <n v="39.22413068869011"/>
    <n v="30.564083701704291"/>
    <n v="33.26599439430904"/>
    <n v="33.64927644968212"/>
    <n v="39.782822653184176"/>
    <n v="33.361878310959206"/>
    <n v="32.30483045822114"/>
    <n v="36.59678169699589"/>
    <n v="35.708596029318748"/>
    <n v="0.89823368165706474"/>
    <n v="30.564083701704291"/>
    <n v="33.337907331796664"/>
    <n v="35.791109752352249"/>
  </r>
  <r>
    <n v="402"/>
    <x v="5"/>
    <x v="5"/>
    <x v="1"/>
    <x v="1"/>
    <x v="0"/>
    <x v="2"/>
    <x v="1"/>
    <n v="13.641"/>
    <n v="33.553519338645749"/>
    <n v="36.218740940326271"/>
    <n v="36.691186214818472"/>
    <n v="34.222931476603819"/>
    <n v="35.175641705105484"/>
    <n v="33.744991292180572"/>
    <n v="34.985437807708607"/>
    <n v="33.936294171563667"/>
    <n v="40.432706726618058"/>
    <n v="35.175641705105484"/>
    <n v="32.882036042329055"/>
    <n v="33.840663866141078"/>
    <n v="35.071649273928855"/>
    <n v="0.58447426298767868"/>
    <n v="32.882036042329055"/>
    <n v="33.81674572265095"/>
    <n v="34.604184642156213"/>
  </r>
  <r>
    <n v="403"/>
    <x v="11"/>
    <x v="11"/>
    <x v="0"/>
    <x v="2"/>
    <x v="1"/>
    <x v="2"/>
    <x v="1"/>
    <n v="13.619"/>
    <n v="31.532855974619789"/>
    <n v="28.123660534070677"/>
    <n v="32.785940782989229"/>
    <n v="34.031882208448316"/>
    <n v="35.74523895238579"/>
    <n v="32.30483045822114"/>
    <n v="33.074099755394911"/>
    <n v="41.818341146646318"/>
    <n v="30.078112495074127"/>
    <n v="31.532855974619789"/>
    <n v="30.564083701704291"/>
    <n v="29.786022548640855"/>
    <n v="32.614827044401274"/>
    <n v="1.0224858610294776"/>
    <n v="28.123660534070677"/>
    <n v="30.442590900046749"/>
    <n v="31.918843216420463"/>
  </r>
  <r>
    <n v="404"/>
    <x v="6"/>
    <x v="6"/>
    <x v="0"/>
    <x v="1"/>
    <x v="0"/>
    <x v="2"/>
    <x v="1"/>
    <n v="13.598000000000001"/>
    <n v="31.62950072495272"/>
    <n v="32.112090448548393"/>
    <n v="31.339439668340134"/>
    <n v="30.078112495074127"/>
    <n v="29.493552185366198"/>
    <n v="31.436168955748933"/>
    <n v="31.242668112393417"/>
    <n v="35.840023887049746"/>
    <n v="31.048998194886178"/>
    <n v="32.401137060250626"/>
    <n v="29.786022548640855"/>
    <n v="30.175391273476016"/>
    <n v="31.381925462893946"/>
    <n v="0.48391836263125726"/>
    <n v="29.493552185366198"/>
    <n v="30.151071578875545"/>
    <n v="31.291053890366776"/>
  </r>
  <r>
    <n v="405"/>
    <x v="11"/>
    <x v="11"/>
    <x v="0"/>
    <x v="2"/>
    <x v="1"/>
    <x v="3"/>
    <x v="1"/>
    <n v="13.573"/>
    <n v="32.978089033130949"/>
    <n v="30.564083701704291"/>
    <n v="34.890272456203263"/>
    <n v="32.208481587653736"/>
    <n v="30.855159203227217"/>
    <n v="36.124125079814036"/>
    <n v="35.080560890676004"/>
    <n v="32.208481587653736"/>
    <n v="31.919181364723919"/>
    <n v="32.785940782989229"/>
    <n v="33.361878310959206"/>
    <n v="30.466973997454122"/>
    <n v="32.786935666349144"/>
    <n v="0.52704108446480269"/>
    <n v="30.466973997454122"/>
    <n v="31.653175824349745"/>
    <n v="32.497211185321483"/>
  </r>
  <r>
    <n v="406"/>
    <x v="6"/>
    <x v="6"/>
    <x v="0"/>
    <x v="1"/>
    <x v="0"/>
    <x v="3"/>
    <x v="1"/>
    <n v="13.553000000000001"/>
    <n v="32.882036042329055"/>
    <n v="32.401137060250626"/>
    <n v="32.978089033130949"/>
    <n v="33.457719959071447"/>
    <n v="32.785940782989229"/>
    <n v="35.650411749183895"/>
    <n v="32.689803255111478"/>
    <n v="31.82266342000478"/>
    <n v="34.222931476603819"/>
    <n v="35.460630537166331"/>
    <n v="31.82266342000478"/>
    <n v="29.68857469608723"/>
    <n v="32.988550119327805"/>
    <n v="0.46900714768677493"/>
    <n v="29.68857469608723"/>
    <n v="32.256518650189165"/>
    <n v="32.833988412659139"/>
  </r>
  <r>
    <n v="407"/>
    <x v="10"/>
    <x v="10"/>
    <x v="1"/>
    <x v="0"/>
    <x v="0"/>
    <x v="3"/>
    <x v="1"/>
    <n v="13.534000000000001"/>
    <n v="34.031882208448316"/>
    <n v="31.339439668340134"/>
    <n v="35.840023887049746"/>
    <n v="33.553519338645749"/>
    <n v="36.691186214818472"/>
    <n v="35.555542277444076"/>
    <n v="34.222931476603819"/>
    <n v="34.985437807708607"/>
    <n v="33.553519338645749"/>
    <n v="35.270680250997025"/>
    <n v="35.270680250997025"/>
    <n v="34.222931476603819"/>
    <n v="34.544814516358549"/>
    <n v="0.40136167390854521"/>
    <n v="31.339439668340134"/>
    <n v="33.912291490997674"/>
    <n v="34.604184642156213"/>
  </r>
  <r>
    <n v="408"/>
    <x v="3"/>
    <x v="3"/>
    <x v="1"/>
    <x v="1"/>
    <x v="1"/>
    <x v="3"/>
    <x v="1"/>
    <n v="13.516999999999999"/>
    <n v="36.502334910635376"/>
    <n v="38.944214081181002"/>
    <n v="37.256725682457386"/>
    <n v="31.726103206747716"/>
    <n v="35.555542277444076"/>
    <n v="31.145854287908758"/>
    <n v="33.840663866141078"/>
    <n v="34.127427976795026"/>
    <n v="33.64927644968212"/>
    <n v="39.410530417673193"/>
    <n v="35.555542277444076"/>
    <n v="35.175641705105484"/>
    <n v="35.240821428267942"/>
    <n v="0.73759603843656929"/>
    <n v="31.145854287908758"/>
    <n v="33.79281701202634"/>
    <n v="35.365591991274783"/>
  </r>
  <r>
    <n v="902"/>
    <x v="13"/>
    <x v="13"/>
    <x v="3"/>
    <x v="1"/>
    <x v="0"/>
    <x v="0"/>
    <x v="1"/>
    <n v="13.337999999999999"/>
    <n v="45.82800421649457"/>
    <n v="43.559825340930338"/>
    <n v="43.833401667749776"/>
    <n v="44.833260188667005"/>
    <n v="46.008317276015568"/>
    <n v="44.561078723599294"/>
    <n v="44.833260188667005"/>
    <n v="43.10301942547266"/>
    <n v="46.458360225404263"/>
    <n v="43.10301942547266"/>
    <n v="45.647522082821844"/>
    <n v="45.376481868278283"/>
    <n v="44.762129219131104"/>
    <n v="0.3324783444397853"/>
    <n v="43.10301942547266"/>
    <n v="43.765007586044916"/>
    <n v="44.833260188667005"/>
  </r>
  <r>
    <n v="904"/>
    <x v="15"/>
    <x v="15"/>
    <x v="5"/>
    <x v="1"/>
    <x v="0"/>
    <x v="0"/>
    <x v="1"/>
    <n v="13.311"/>
    <n v="44.923902806613711"/>
    <n v="43.468548694914666"/>
    <n v="41.910378626344752"/>
    <n v="41.726261398409946"/>
    <n v="42.094326780127822"/>
    <n v="44.742575302182367"/>
    <n v="42.369931996767953"/>
    <n v="44.197578343977995"/>
    <n v="41.265228629159154"/>
    <n v="43.285868597269527"/>
    <n v="43.559825340930338"/>
    <n v="43.924509239613727"/>
    <n v="43.122411313025992"/>
    <n v="0.35353278587982934"/>
    <n v="41.265228629159154"/>
    <n v="42.048339741682057"/>
    <n v="43.3772086460921"/>
  </r>
  <r>
    <n v="906"/>
    <x v="13"/>
    <x v="13"/>
    <x v="3"/>
    <x v="1"/>
    <x v="0"/>
    <x v="1"/>
    <x v="1"/>
    <n v="13.282999999999999"/>
    <n v="40.803139146460083"/>
    <n v="42.553457465171711"/>
    <n v="46.727878772582308"/>
    <n v="43.651059718408085"/>
    <n v="44.561078723599294"/>
    <n v="44.379413070864501"/>
    <n v="45.82800421649457"/>
    <n v="43.194465145640059"/>
    <n v="46.548242009668215"/>
    <n v="46.18846126138483"/>
    <n v="43.559825340930338"/>
    <n v="41.726261398409946"/>
    <n v="44.14344052246782"/>
    <n v="0.55544395810752556"/>
    <n v="40.803139146460083"/>
    <n v="43.034213225522976"/>
    <n v="44.01523639463629"/>
  </r>
  <r>
    <n v="908"/>
    <x v="15"/>
    <x v="15"/>
    <x v="5"/>
    <x v="1"/>
    <x v="0"/>
    <x v="1"/>
    <x v="1"/>
    <n v="13.256"/>
    <n v="41.541975096323426"/>
    <n v="42.645156796566702"/>
    <n v="44.833260188667005"/>
    <n v="43.285868597269527"/>
    <n v="44.923902806613711"/>
    <n v="47.086645075955325"/>
    <n v="45.918181880524031"/>
    <n v="41.541975096323426"/>
    <n v="45.105061236893334"/>
    <n v="46.18846126138483"/>
    <n v="42.920001179524071"/>
    <n v="46.368436172602379"/>
    <n v="44.363243782387315"/>
    <n v="0.55313933905870249"/>
    <n v="41.541975096323426"/>
    <n v="42.851290083784733"/>
    <n v="44.8785814976403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01"/>
    <x v="0"/>
    <x v="0"/>
    <x v="0"/>
    <x v="0"/>
    <x v="0"/>
    <x v="0"/>
    <x v="0"/>
    <n v="13.016"/>
    <n v="32.20179786450219"/>
    <n v="32.490717670590634"/>
    <n v="32.683119531959932"/>
    <n v="32.490717670590634"/>
    <n v="32.779257059837683"/>
    <n v="32.39445333709908"/>
    <n v="32.875352319177509"/>
    <n v="32.683119531959932"/>
    <n v="32.39445333709908"/>
    <n v="32.298146735069594"/>
    <n v="32.779257059837683"/>
    <n v="32.105406725396847"/>
    <n v="32.514649903593401"/>
    <n v="7.1200426147502965E-2"/>
    <n v="32.105406725396847"/>
    <n v="32.370376686591712"/>
    <n v="32.490717670590634"/>
  </r>
  <r>
    <n v="102"/>
    <x v="1"/>
    <x v="1"/>
    <x v="0"/>
    <x v="1"/>
    <x v="1"/>
    <x v="0"/>
    <x v="0"/>
    <n v="12.997999999999999"/>
    <n v="33.833980142989532"/>
    <n v="32.105406725396847"/>
    <n v="33.355194587807659"/>
    <n v="32.298146735069594"/>
    <n v="32.008973317753579"/>
    <n v="32.008973317753579"/>
    <n v="31.912497641572372"/>
    <n v="32.105406725396847"/>
    <n v="31.815979696853233"/>
    <n v="35.263996527845478"/>
    <n v="31.332755945188588"/>
    <n v="30.460290274302576"/>
    <n v="32.375133469827482"/>
    <n v="0.36027895234192803"/>
    <n v="30.460290274302576"/>
    <n v="31.888368155392588"/>
    <n v="32.057190021575209"/>
  </r>
  <r>
    <n v="103"/>
    <x v="2"/>
    <x v="2"/>
    <x v="0"/>
    <x v="2"/>
    <x v="0"/>
    <x v="0"/>
    <x v="0"/>
    <n v="12.981"/>
    <n v="30.363138301514468"/>
    <n v="31.042314471734631"/>
    <n v="30.84847548007567"/>
    <n v="30.654467414264982"/>
    <n v="30.265944060188438"/>
    <n v="30.460290274302576"/>
    <n v="30.460290274302576"/>
    <n v="30.654467414264982"/>
    <n v="30.84847548007567"/>
    <n v="30.363138301514468"/>
    <n v="31.042314471734631"/>
    <n v="30.557399978552745"/>
    <n v="30.630059660210488"/>
    <n v="7.6599479222074301E-2"/>
    <n v="30.265944060188438"/>
    <n v="30.436002281105548"/>
    <n v="30.605933696408862"/>
  </r>
  <r>
    <n v="104"/>
    <x v="3"/>
    <x v="3"/>
    <x v="1"/>
    <x v="1"/>
    <x v="1"/>
    <x v="0"/>
    <x v="0"/>
    <n v="12.962"/>
    <n v="46.541558286516668"/>
    <n v="37.626222900306495"/>
    <n v="40.888957856924208"/>
    <n v="44.281833118538664"/>
    <n v="37.626222900306495"/>
    <n v="36.49565118748383"/>
    <n v="36.873184721698294"/>
    <n v="40.426023003466511"/>
    <n v="34.883588733051717"/>
    <n v="36.306630809149027"/>
    <n v="34.883588733051717"/>
    <n v="37.438216966882031"/>
    <n v="38.689306601447974"/>
    <n v="1.0566130915749434"/>
    <n v="34.883588733051717"/>
    <n v="36.448396092900126"/>
    <n v="37.532219933594263"/>
  </r>
  <r>
    <n v="105"/>
    <x v="4"/>
    <x v="4"/>
    <x v="1"/>
    <x v="2"/>
    <x v="1"/>
    <x v="1"/>
    <x v="0"/>
    <n v="12.941000000000001"/>
    <n v="37.90791478640871"/>
    <n v="38.282912208347291"/>
    <n v="38.937530358029456"/>
    <n v="39.869106317565553"/>
    <n v="37.438216966882031"/>
    <n v="37.25004195930584"/>
    <n v="38.189226255669546"/>
    <n v="38.844140285117227"/>
    <n v="40.611323750463391"/>
    <n v="40.703910721154926"/>
    <n v="39.310667964299071"/>
    <n v="39.590077349353002"/>
    <n v="38.911255743549667"/>
    <n v="0.33142431701684427"/>
    <n v="37.25004195930584"/>
    <n v="38.118898388354339"/>
    <n v="38.890835321573341"/>
  </r>
  <r>
    <n v="106"/>
    <x v="5"/>
    <x v="5"/>
    <x v="1"/>
    <x v="1"/>
    <x v="0"/>
    <x v="1"/>
    <x v="0"/>
    <n v="12.923999999999999"/>
    <n v="39.124183698240131"/>
    <n v="35.358992805199101"/>
    <n v="36.401162132585398"/>
    <n v="34.597839067308108"/>
    <n v="34.502504641651058"/>
    <n v="33.451036235919901"/>
    <n v="34.311708984723126"/>
    <n v="35.073877167524458"/>
    <n v="34.025198485296769"/>
    <n v="35.168957981953938"/>
    <n v="35.548858554292529"/>
    <n v="33.92961044841212"/>
    <n v="35.124494183592219"/>
    <n v="0.43194878306026152"/>
    <n v="33.451036235919901"/>
    <n v="34.240081359866537"/>
    <n v="34.835858117416279"/>
  </r>
  <r>
    <n v="107"/>
    <x v="3"/>
    <x v="3"/>
    <x v="1"/>
    <x v="1"/>
    <x v="1"/>
    <x v="1"/>
    <x v="0"/>
    <n v="12.907999999999999"/>
    <n v="37.438216966882031"/>
    <n v="34.883588733051717"/>
    <n v="35.168957981953938"/>
    <n v="33.642592726530573"/>
    <n v="32.971405309979403"/>
    <n v="32.971405309979403"/>
    <n v="32.971405309979403"/>
    <n v="37.90791478640871"/>
    <n v="35.168957981953938"/>
    <n v="37.720162464211825"/>
    <n v="35.8333401638982"/>
    <n v="40.240553182317917"/>
    <n v="35.576541743095582"/>
    <n v="0.67547958304733979"/>
    <n v="32.971405309979403"/>
    <n v="33.474795872392782"/>
    <n v="35.168957981953938"/>
  </r>
  <r>
    <n v="108"/>
    <x v="6"/>
    <x v="6"/>
    <x v="0"/>
    <x v="1"/>
    <x v="0"/>
    <x v="1"/>
    <x v="0"/>
    <n v="12.89"/>
    <n v="31.815979696853233"/>
    <n v="31.815979696853233"/>
    <n v="31.815979696853233"/>
    <n v="31.622817001801174"/>
    <n v="31.622817001801174"/>
    <n v="31.042314471734631"/>
    <n v="31.429485232597386"/>
    <n v="32.298146735069594"/>
    <n v="32.298146735069594"/>
    <n v="33.738307569029026"/>
    <n v="32.298146735069594"/>
    <n v="31.912497641572372"/>
    <n v="31.975884851192017"/>
    <n v="0.19301905472735806"/>
    <n v="31.042314471734631"/>
    <n v="31.622817001801174"/>
    <n v="31.815979696853233"/>
  </r>
  <r>
    <n v="201"/>
    <x v="4"/>
    <x v="4"/>
    <x v="1"/>
    <x v="2"/>
    <x v="1"/>
    <x v="0"/>
    <x v="0"/>
    <n v="13.038"/>
    <n v="43.46186497176312"/>
    <n v="42.271422136607633"/>
    <n v="45.55053389002704"/>
    <n v="41.16621154654365"/>
    <n v="42.730130136272209"/>
    <n v="40.333309227161187"/>
    <n v="39.030878162403759"/>
    <n v="43.370546057209516"/>
    <n v="42.179553731060921"/>
    <n v="42.730130136272209"/>
    <n v="41.53529137317188"/>
    <n v="39.496983156206291"/>
    <n v="41.988071210391624"/>
    <n v="0.52629286570518319"/>
    <n v="39.030878162403759"/>
    <n v="40.957985966698033"/>
    <n v="42.225487933834273"/>
  </r>
  <r>
    <n v="202"/>
    <x v="5"/>
    <x v="5"/>
    <x v="1"/>
    <x v="1"/>
    <x v="0"/>
    <x v="0"/>
    <x v="0"/>
    <n v="13.057"/>
    <n v="36.212057217174724"/>
    <n v="44.73589157903082"/>
    <n v="35.738555229234244"/>
    <n v="40.611323750463391"/>
    <n v="35.548858554292529"/>
    <n v="36.684502491666926"/>
    <n v="38.001727544700245"/>
    <n v="36.212057217174724"/>
    <n v="36.873184721698294"/>
    <n v="37.438216966882031"/>
    <n v="34.883588733051717"/>
    <n v="34.12074425364348"/>
    <n v="37.255059021584422"/>
    <n v="0.83086392534792375"/>
    <n v="34.12074425364348"/>
    <n v="35.691131060498819"/>
    <n v="36.448279854420825"/>
  </r>
  <r>
    <n v="203"/>
    <x v="6"/>
    <x v="6"/>
    <x v="0"/>
    <x v="1"/>
    <x v="0"/>
    <x v="0"/>
    <x v="0"/>
    <n v="13.073"/>
    <n v="31.332755945188588"/>
    <n v="31.332755945188588"/>
    <n v="31.042314471734631"/>
    <n v="31.332755945188588"/>
    <n v="30.945416110174119"/>
    <n v="31.526172251468243"/>
    <n v="31.526172251468243"/>
    <n v="30.751492581439294"/>
    <n v="32.39445333709908"/>
    <n v="33.92961044841212"/>
    <n v="32.298146735069594"/>
    <n v="31.71941948359617"/>
    <n v="31.677622125502268"/>
    <n v="0.24881881223537208"/>
    <n v="30.751492581439294"/>
    <n v="31.260145576825099"/>
    <n v="31.429464098328417"/>
  </r>
  <r>
    <n v="204"/>
    <x v="7"/>
    <x v="7"/>
    <x v="1"/>
    <x v="2"/>
    <x v="0"/>
    <x v="0"/>
    <x v="0"/>
    <n v="13.087999999999999"/>
    <n v="40.14775486893673"/>
    <n v="40.333309227161187"/>
    <n v="40.518694511233917"/>
    <n v="40.703910721154926"/>
    <n v="39.869106317565553"/>
    <n v="39.590077349353002"/>
    <n v="39.310667964299071"/>
    <n v="39.869106317565553"/>
    <n v="39.869106317565553"/>
    <n v="40.611323750463391"/>
    <n v="40.426023003466511"/>
    <n v="40.426023003466511"/>
    <n v="40.139591946019323"/>
    <n v="0.12597957190508099"/>
    <n v="39.310667964299071"/>
    <n v="39.869106317565553"/>
    <n v="40.240532048048962"/>
  </r>
  <r>
    <n v="205"/>
    <x v="0"/>
    <x v="0"/>
    <x v="0"/>
    <x v="0"/>
    <x v="0"/>
    <x v="1"/>
    <x v="0"/>
    <n v="13.106"/>
    <n v="30.84847548007567"/>
    <n v="30.84847548007567"/>
    <n v="31.622817001801174"/>
    <n v="30.654467414264982"/>
    <n v="31.912497641572372"/>
    <n v="32.586939735544249"/>
    <n v="31.71941948359617"/>
    <n v="31.526172251468243"/>
    <n v="32.105406725396847"/>
    <n v="32.20179786450219"/>
    <n v="32.008973317753579"/>
    <n v="31.71941948359617"/>
    <n v="31.646238489970614"/>
    <n v="0.17164550990882202"/>
    <n v="30.654467414264982"/>
    <n v="31.356748058620099"/>
    <n v="31.71941948359617"/>
  </r>
  <r>
    <n v="206"/>
    <x v="8"/>
    <x v="8"/>
    <x v="1"/>
    <x v="0"/>
    <x v="1"/>
    <x v="1"/>
    <x v="0"/>
    <n v="13.122"/>
    <n v="32.971405309979403"/>
    <n v="37.720162464211825"/>
    <n v="43.91782551646218"/>
    <n v="35.263996527845478"/>
    <n v="35.738555229234244"/>
    <n v="40.426023003466511"/>
    <n v="34.12074425364348"/>
    <n v="42.821744930591329"/>
    <n v="35.073877167524458"/>
    <n v="40.240553182317917"/>
    <n v="34.407127947456054"/>
    <n v="35.073877167524458"/>
    <n v="37.314657725021441"/>
    <n v="1.0538022291435063"/>
    <n v="32.971405309979403"/>
    <n v="34.907189862507359"/>
    <n v="35.501275878539857"/>
  </r>
  <r>
    <n v="207"/>
    <x v="1"/>
    <x v="1"/>
    <x v="0"/>
    <x v="1"/>
    <x v="1"/>
    <x v="1"/>
    <x v="0"/>
    <n v="13.137"/>
    <n v="33.738307569029026"/>
    <n v="34.12074425364348"/>
    <n v="34.025198485296769"/>
    <n v="34.693131224427248"/>
    <n v="34.12074425364348"/>
    <n v="33.067416032243365"/>
    <n v="35.168957981953938"/>
    <n v="33.833980142989532"/>
    <n v="34.788381113008441"/>
    <n v="34.502504641651058"/>
    <n v="34.12074425364348"/>
    <n v="33.738307569029026"/>
    <n v="34.159868126713228"/>
    <n v="0.16266877788781423"/>
    <n v="33.067416032243365"/>
    <n v="33.810061999499403"/>
    <n v="34.12074425364348"/>
  </r>
  <r>
    <n v="208"/>
    <x v="9"/>
    <x v="9"/>
    <x v="0"/>
    <x v="0"/>
    <x v="1"/>
    <x v="1"/>
    <x v="0"/>
    <n v="13.154"/>
    <n v="33.738307569029026"/>
    <n v="35.8333401638982"/>
    <n v="32.39445333709908"/>
    <n v="32.875352319177509"/>
    <n v="34.025198485296769"/>
    <n v="32.298146735069594"/>
    <n v="34.407127947456054"/>
    <n v="32.20179786450219"/>
    <n v="33.642592726530573"/>
    <n v="34.693131224427248"/>
    <n v="34.788381113008441"/>
    <n v="33.92961044841212"/>
    <n v="33.735619994492232"/>
    <n v="0.32525472577593911"/>
    <n v="32.20179786450219"/>
    <n v="32.755127573657902"/>
    <n v="33.833959008720569"/>
  </r>
  <r>
    <n v="301"/>
    <x v="3"/>
    <x v="3"/>
    <x v="1"/>
    <x v="1"/>
    <x v="1"/>
    <x v="2"/>
    <x v="0"/>
    <n v="13.291"/>
    <n v="50.102169455970973"/>
    <n v="36.117441356662489"/>
    <n v="42.087643056976276"/>
    <n v="35.643728026032349"/>
    <n v="36.873184721698294"/>
    <n v="37.90791478640871"/>
    <n v="35.8333401638982"/>
    <n v="36.49565118748383"/>
    <n v="35.263996527845478"/>
    <n v="43.279184874117981"/>
    <n v="36.022783227612322"/>
    <n v="33.92961044841212"/>
    <n v="38.296387319426579"/>
    <n v="1.3350799215672837"/>
    <n v="33.92961044841212"/>
    <n v="35.785937129431737"/>
    <n v="36.306546272073163"/>
  </r>
  <r>
    <n v="302"/>
    <x v="1"/>
    <x v="1"/>
    <x v="0"/>
    <x v="1"/>
    <x v="1"/>
    <x v="2"/>
    <x v="0"/>
    <n v="13.308"/>
    <n v="30.557399978552745"/>
    <n v="31.139170564757212"/>
    <n v="31.526172251468243"/>
    <n v="30.460290274302576"/>
    <n v="31.139170564757212"/>
    <n v="30.363138301514468"/>
    <n v="31.042314471734631"/>
    <n v="31.042314471734631"/>
    <n v="30.84847548007567"/>
    <n v="31.622817001801174"/>
    <n v="30.84847548007567"/>
    <n v="30.265944060188438"/>
    <n v="30.90464024174689"/>
    <n v="0.12539289913593227"/>
    <n v="30.265944060188438"/>
    <n v="30.533122552490202"/>
    <n v="30.945394975905153"/>
  </r>
  <r>
    <n v="303"/>
    <x v="8"/>
    <x v="8"/>
    <x v="1"/>
    <x v="0"/>
    <x v="1"/>
    <x v="2"/>
    <x v="0"/>
    <n v="13.324999999999999"/>
    <n v="32.20179786450219"/>
    <n v="32.105406725396847"/>
    <n v="31.71941948359617"/>
    <n v="31.429485232597386"/>
    <n v="31.526172251468243"/>
    <n v="35.073877167524458"/>
    <n v="32.971405309979403"/>
    <n v="31.526172251468243"/>
    <n v="31.815979696853233"/>
    <n v="33.163384485969388"/>
    <n v="31.139170564757212"/>
    <n v="31.235984389241871"/>
    <n v="32.159021285279557"/>
    <n v="0.32223228192462755"/>
    <n v="31.139170564757212"/>
    <n v="31.502000496750529"/>
    <n v="31.767699590224701"/>
  </r>
  <r>
    <n v="304"/>
    <x v="9"/>
    <x v="9"/>
    <x v="0"/>
    <x v="0"/>
    <x v="1"/>
    <x v="2"/>
    <x v="0"/>
    <n v="13.342000000000001"/>
    <n v="30.557399978552745"/>
    <n v="33.259310671157493"/>
    <n v="30.460290274302576"/>
    <n v="31.526172251468243"/>
    <n v="30.945416110174119"/>
    <n v="30.654467414264982"/>
    <n v="31.526172251468243"/>
    <n v="30.945416110174119"/>
    <n v="31.332755945188588"/>
    <n v="30.945416110174119"/>
    <n v="31.71941948359617"/>
    <n v="29.87674440950499"/>
    <n v="31.14574841750219"/>
    <n v="0.24477562921326823"/>
    <n v="29.87674440950499"/>
    <n v="30.630200555336923"/>
    <n v="30.945416110174119"/>
  </r>
  <r>
    <n v="305"/>
    <x v="7"/>
    <x v="7"/>
    <x v="1"/>
    <x v="2"/>
    <x v="0"/>
    <x v="3"/>
    <x v="0"/>
    <n v="13.358000000000001"/>
    <n v="34.597839067308108"/>
    <n v="35.8333401638982"/>
    <n v="35.453946814014785"/>
    <n v="34.97875408455706"/>
    <n v="34.788381113008441"/>
    <n v="34.97875408455706"/>
    <n v="35.548858554292529"/>
    <n v="37.532241067863225"/>
    <n v="36.401162132585398"/>
    <n v="36.401162132585398"/>
    <n v="35.8333401638982"/>
    <n v="35.073877167524458"/>
    <n v="35.618471378841072"/>
    <n v="0.24398483210047681"/>
    <n v="34.597839067308108"/>
    <n v="34.97875408455706"/>
    <n v="35.501402684153661"/>
  </r>
  <r>
    <n v="306"/>
    <x v="1"/>
    <x v="1"/>
    <x v="0"/>
    <x v="1"/>
    <x v="1"/>
    <x v="3"/>
    <x v="0"/>
    <n v="13.372999999999999"/>
    <n v="30.945416110174119"/>
    <n v="31.429485232597386"/>
    <n v="34.788381113008441"/>
    <n v="30.751492581439294"/>
    <n v="31.71941948359617"/>
    <n v="34.97875408455706"/>
    <n v="31.332755945188588"/>
    <n v="33.642592726530573"/>
    <n v="31.235984389241871"/>
    <n v="31.815979696853233"/>
    <n v="31.429485232597386"/>
    <n v="31.235984389241871"/>
    <n v="32.108810915418829"/>
    <n v="0.42862724497197774"/>
    <n v="30.751492581439294"/>
    <n v="31.235984389241871"/>
    <n v="31.429485232597386"/>
  </r>
  <r>
    <n v="307"/>
    <x v="5"/>
    <x v="5"/>
    <x v="1"/>
    <x v="1"/>
    <x v="0"/>
    <x v="3"/>
    <x v="0"/>
    <n v="13.388999999999999"/>
    <n v="33.546835615494203"/>
    <n v="35.168957981953938"/>
    <n v="34.12074425364348"/>
    <n v="34.597839067308108"/>
    <n v="33.642592726530573"/>
    <n v="34.693131224427248"/>
    <n v="34.597839067308108"/>
    <n v="35.073877167524458"/>
    <n v="32.683119531959932"/>
    <n v="42.638473073415156"/>
    <n v="32.875352319177509"/>
    <n v="41.53529137317188"/>
    <n v="35.431171116826228"/>
    <n v="0.92885738103092808"/>
    <n v="32.683119531959932"/>
    <n v="33.618653448771482"/>
    <n v="34.597839067308108"/>
  </r>
  <r>
    <n v="308"/>
    <x v="2"/>
    <x v="2"/>
    <x v="0"/>
    <x v="2"/>
    <x v="0"/>
    <x v="3"/>
    <x v="0"/>
    <n v="13.406000000000001"/>
    <n v="29.779338825489305"/>
    <n v="30.071428771922577"/>
    <n v="30.84847548007567"/>
    <n v="31.235984389241871"/>
    <n v="31.139170564757212"/>
    <n v="31.332755945188588"/>
    <n v="31.139170564757212"/>
    <n v="31.622817001801174"/>
    <n v="30.265944060188438"/>
    <n v="30.557399978552745"/>
    <n v="30.751492581439294"/>
    <n v="30.363138301514468"/>
    <n v="30.758926372077383"/>
    <n v="0.16220438618595037"/>
    <n v="29.779338825489305"/>
    <n v="30.338839741182959"/>
    <n v="30.799984030757482"/>
  </r>
  <r>
    <n v="401"/>
    <x v="10"/>
    <x v="10"/>
    <x v="1"/>
    <x v="0"/>
    <x v="0"/>
    <x v="2"/>
    <x v="0"/>
    <n v="13.56"/>
    <n v="41.073835918541775"/>
    <n v="38.937530358029456"/>
    <n v="38.282912208347291"/>
    <n v="37.532241067863225"/>
    <n v="37.720162464211825"/>
    <n v="37.25004195930584"/>
    <n v="40.426023003466511"/>
    <n v="38.376555892487104"/>
    <n v="38.750707943667067"/>
    <n v="38.937530358029456"/>
    <n v="38.001727544700245"/>
    <n v="37.438216966882031"/>
    <n v="38.560623807127648"/>
    <n v="0.3402420744465493"/>
    <n v="37.25004195930584"/>
    <n v="37.673182115124675"/>
    <n v="38.329734050417201"/>
  </r>
  <r>
    <n v="402"/>
    <x v="5"/>
    <x v="5"/>
    <x v="1"/>
    <x v="1"/>
    <x v="0"/>
    <x v="2"/>
    <x v="0"/>
    <n v="13.541"/>
    <n v="49.483944517447519"/>
    <n v="43.370546057209516"/>
    <n v="36.778864740951569"/>
    <n v="38.282912208347291"/>
    <n v="36.117441356662489"/>
    <n v="35.453946814014785"/>
    <n v="35.358992805199101"/>
    <n v="35.073877167524458"/>
    <n v="34.597839067308108"/>
    <n v="33.642592726530573"/>
    <n v="35.263996527845478"/>
    <n v="32.779257059837683"/>
    <n v="37.183684254073214"/>
    <n v="1.362833493290339"/>
    <n v="32.779257059837683"/>
    <n v="34.954867642470369"/>
    <n v="35.406469809606946"/>
  </r>
  <r>
    <n v="403"/>
    <x v="11"/>
    <x v="11"/>
    <x v="0"/>
    <x v="2"/>
    <x v="1"/>
    <x v="2"/>
    <x v="0"/>
    <n v="13.521000000000001"/>
    <n v="29.486868462214648"/>
    <n v="29.68189097293568"/>
    <n v="29.68189097293568"/>
    <n v="30.945416110174119"/>
    <n v="29.974107724982755"/>
    <n v="29.87674440950499"/>
    <n v="29.779338825489305"/>
    <n v="31.429485232597386"/>
    <n v="29.974107724982755"/>
    <n v="30.071428771922577"/>
    <n v="30.654467414264982"/>
    <n v="30.265944060188438"/>
    <n v="30.151807556849437"/>
    <n v="0.16732666165188761"/>
    <n v="29.486868462214648"/>
    <n v="29.754976862350897"/>
    <n v="29.974107724982755"/>
  </r>
  <r>
    <n v="404"/>
    <x v="6"/>
    <x v="6"/>
    <x v="0"/>
    <x v="1"/>
    <x v="0"/>
    <x v="2"/>
    <x v="0"/>
    <n v="13.504"/>
    <n v="28.99857248599827"/>
    <n v="29.486868462214648"/>
    <n v="29.68189097293568"/>
    <n v="29.194017682098615"/>
    <n v="29.389293804047234"/>
    <n v="30.84847548007567"/>
    <n v="29.974107724982755"/>
    <n v="30.071428771922577"/>
    <n v="30.460290274302576"/>
    <n v="29.68189097293568"/>
    <n v="29.584400851844133"/>
    <n v="29.389293804047234"/>
    <n v="29.730044273950423"/>
    <n v="0.15324369430114004"/>
    <n v="28.99857248599827"/>
    <n v="29.389293804047234"/>
    <n v="29.633145912389907"/>
  </r>
  <r>
    <n v="405"/>
    <x v="11"/>
    <x v="11"/>
    <x v="0"/>
    <x v="2"/>
    <x v="1"/>
    <x v="3"/>
    <x v="0"/>
    <n v="13.481999999999999"/>
    <n v="30.945416110174119"/>
    <n v="30.363138301514468"/>
    <n v="30.654467414264982"/>
    <n v="30.363138301514468"/>
    <n v="30.460290274302576"/>
    <n v="31.815979696853233"/>
    <n v="30.654467414264982"/>
    <n v="30.945416110174119"/>
    <n v="31.815979696853233"/>
    <n v="31.139170564757212"/>
    <n v="30.751492581439294"/>
    <n v="32.586939735544249"/>
    <n v="31.041324683471416"/>
    <n v="0.19958046256331671"/>
    <n v="30.363138301514468"/>
    <n v="30.60592312927438"/>
    <n v="30.848454345806708"/>
  </r>
  <r>
    <n v="406"/>
    <x v="6"/>
    <x v="6"/>
    <x v="0"/>
    <x v="1"/>
    <x v="0"/>
    <x v="3"/>
    <x v="0"/>
    <n v="13.464"/>
    <n v="31.139170564757212"/>
    <n v="31.815979696853233"/>
    <n v="30.751492581439294"/>
    <n v="30.84847548007567"/>
    <n v="30.460290274302576"/>
    <n v="30.460290274302576"/>
    <n v="30.751492581439294"/>
    <n v="33.546835615494203"/>
    <n v="30.84847548007567"/>
    <n v="30.84847548007567"/>
    <n v="30.460290274302576"/>
    <n v="30.654467414264982"/>
    <n v="31.048811309781907"/>
    <n v="0.25118832550725884"/>
    <n v="30.460290274302576"/>
    <n v="30.60592312927438"/>
    <n v="30.799984030757482"/>
  </r>
  <r>
    <n v="407"/>
    <x v="10"/>
    <x v="10"/>
    <x v="1"/>
    <x v="0"/>
    <x v="0"/>
    <x v="3"/>
    <x v="0"/>
    <n v="13.446"/>
    <n v="33.546835615494203"/>
    <n v="32.490717670590634"/>
    <n v="32.875352319177509"/>
    <n v="32.008973317753579"/>
    <n v="32.875352319177509"/>
    <n v="33.833980142989532"/>
    <n v="32.875352319177509"/>
    <n v="40.703910721154926"/>
    <n v="32.779257059837683"/>
    <n v="32.875352319177509"/>
    <n v="32.586939735544249"/>
    <n v="32.298146735069594"/>
    <n v="33.47918085626204"/>
    <n v="0.67197704539624248"/>
    <n v="32.008973317753579"/>
    <n v="32.562884219305843"/>
    <n v="32.875352319177509"/>
  </r>
  <r>
    <n v="408"/>
    <x v="3"/>
    <x v="3"/>
    <x v="1"/>
    <x v="1"/>
    <x v="1"/>
    <x v="3"/>
    <x v="0"/>
    <n v="13.43"/>
    <n v="46.900662738193134"/>
    <n v="36.873184721698294"/>
    <n v="47.259090893262716"/>
    <n v="37.061697877577927"/>
    <n v="36.022783227612322"/>
    <n v="43.826717944598229"/>
    <n v="35.738555229234244"/>
    <n v="45.369798145126737"/>
    <n v="37.344150597362905"/>
    <n v="46.900662738193134"/>
    <n v="34.025198485296769"/>
    <n v="40.796455423308537"/>
    <n v="40.676579835122077"/>
    <n v="1.4608345489552816"/>
    <n v="34.025198485296769"/>
    <n v="36.660584348176798"/>
    <n v="39.070303010335721"/>
  </r>
  <r>
    <n v="901"/>
    <x v="12"/>
    <x v="12"/>
    <x v="2"/>
    <x v="3"/>
    <x v="1"/>
    <x v="0"/>
    <x v="0"/>
    <n v="13.281000000000001"/>
    <n v="38.376555892487104"/>
    <n v="36.590097973844344"/>
    <n v="36.778864740951569"/>
    <n v="42.546773742020164"/>
    <n v="36.590097973844344"/>
    <n v="36.212057217174724"/>
    <n v="41.443084819321719"/>
    <n v="36.022783227612322"/>
    <n v="39.77613893003263"/>
    <n v="36.778864740951569"/>
    <n v="43.46186497176312"/>
    <n v="37.90791478640871"/>
    <n v="38.540424918034361"/>
    <n v="0.75990581340826246"/>
    <n v="36.022783227612322"/>
    <n v="36.590097973844344"/>
    <n v="37.343389763680136"/>
  </r>
  <r>
    <n v="902"/>
    <x v="13"/>
    <x v="13"/>
    <x v="3"/>
    <x v="1"/>
    <x v="0"/>
    <x v="0"/>
    <x v="0"/>
    <n v="13.260999999999999"/>
    <n v="58.034920583398005"/>
    <n v="48.241281165324722"/>
    <n v="49.306928403885145"/>
    <n v="49.218356944297071"/>
    <n v="42.271422136607633"/>
    <n v="53.595150964735467"/>
    <n v="46.091726679817626"/>
    <n v="45.731100560775623"/>
    <n v="46.271786128111032"/>
    <n v="45.640838359670298"/>
    <n v="42.913317456372525"/>
    <n v="45.188893326074698"/>
    <n v="47.708810225755826"/>
    <n v="1.2856243697305145"/>
    <n v="42.271422136607633"/>
    <n v="45.527852101271399"/>
    <n v="46.181756403964329"/>
  </r>
  <r>
    <n v="903"/>
    <x v="14"/>
    <x v="14"/>
    <x v="4"/>
    <x v="3"/>
    <x v="1"/>
    <x v="0"/>
    <x v="0"/>
    <n v="13.254"/>
    <n v="57.697457623142284"/>
    <n v="58.791739534504423"/>
    <n v="58.707817614088768"/>
    <n v="58.707817614088768"/>
    <n v="57.950618246140969"/>
    <n v="58.455798241614211"/>
    <n v="58.959456569721951"/>
    <n v="58.623853425135188"/>
    <n v="58.371707247046835"/>
    <n v="59.127004530787737"/>
    <n v="59.04325168452381"/>
    <n v="58.623853425135188"/>
    <n v="58.588364646327513"/>
    <n v="0.12223092614655694"/>
    <n v="57.697457623142284"/>
    <n v="58.434775492972364"/>
    <n v="58.665835519611974"/>
  </r>
  <r>
    <n v="904"/>
    <x v="15"/>
    <x v="15"/>
    <x v="5"/>
    <x v="1"/>
    <x v="0"/>
    <x v="0"/>
    <x v="0"/>
    <n v="13.234"/>
    <n v="62.03172497112871"/>
    <n v="50.454510941578469"/>
    <n v="59.461593230464146"/>
    <n v="59.378009458351947"/>
    <n v="49.92574510193964"/>
    <n v="63.586889450212254"/>
    <n v="53.681608997426977"/>
    <n v="60.958873208497643"/>
    <n v="54.113265132815627"/>
    <n v="61.45492319977776"/>
    <n v="52.815126586304842"/>
    <n v="60.295106181999998"/>
    <n v="57.346448038374838"/>
    <n v="1.3901787506696033"/>
    <n v="49.92574510193964"/>
    <n v="53.46498839464644"/>
    <n v="59.419801344408043"/>
  </r>
  <r>
    <n v="905"/>
    <x v="12"/>
    <x v="12"/>
    <x v="2"/>
    <x v="3"/>
    <x v="1"/>
    <x v="1"/>
    <x v="0"/>
    <n v="13.228"/>
    <n v="36.684502491666926"/>
    <n v="39.403846694521647"/>
    <n v="37.25004195930584"/>
    <n v="41.258544906007607"/>
    <n v="37.532241067863225"/>
    <n v="37.061697877577927"/>
    <n v="37.814059759579237"/>
    <n v="36.684502491666926"/>
    <n v="40.054914287017603"/>
    <n v="37.438216966882031"/>
    <n v="39.496983156206291"/>
    <n v="37.25004195930584"/>
    <n v="38.160799468133426"/>
    <n v="0.43325388727756353"/>
    <n v="36.684502491666926"/>
    <n v="37.202955938873863"/>
    <n v="37.485229017372632"/>
  </r>
  <r>
    <n v="906"/>
    <x v="13"/>
    <x v="13"/>
    <x v="3"/>
    <x v="1"/>
    <x v="0"/>
    <x v="1"/>
    <x v="0"/>
    <n v="13.206"/>
    <n v="53.768024761580577"/>
    <n v="45.279366869869676"/>
    <n v="46.181777538233284"/>
    <n v="47.079961352803778"/>
    <n v="43.187781422488513"/>
    <n v="46.271786128111032"/>
    <n v="43.187781422488513"/>
    <n v="44.917219083462157"/>
    <n v="44.190894620826441"/>
    <n v="51.069481202681224"/>
    <n v="43.735568104196354"/>
    <n v="42.730130136272209"/>
    <n v="45.966647720251153"/>
    <n v="0.96884484266426762"/>
    <n v="42.730130136272209"/>
    <n v="43.598621433769395"/>
    <n v="45.098292976665917"/>
  </r>
  <r>
    <n v="907"/>
    <x v="14"/>
    <x v="14"/>
    <x v="4"/>
    <x v="3"/>
    <x v="1"/>
    <x v="1"/>
    <x v="0"/>
    <n v="13.199"/>
    <n v="59.378009458351947"/>
    <n v="58.623853425135188"/>
    <n v="58.539846967643669"/>
    <n v="59.628633969074762"/>
    <n v="59.628633969074762"/>
    <n v="57.697457623142284"/>
    <n v="59.210715108513732"/>
    <n v="58.875619186382146"/>
    <n v="59.378009458351947"/>
    <n v="58.203398452298288"/>
    <n v="58.371707247046835"/>
    <n v="58.875619186382146"/>
    <n v="58.867625337616481"/>
    <n v="0.17452052416190611"/>
    <n v="57.697457623142284"/>
    <n v="58.497812037494462"/>
    <n v="58.875619186382146"/>
  </r>
  <r>
    <n v="908"/>
    <x v="15"/>
    <x v="15"/>
    <x v="5"/>
    <x v="1"/>
    <x v="0"/>
    <x v="1"/>
    <x v="0"/>
    <n v="13.176"/>
    <n v="63.668317526889986"/>
    <n v="51.244806574726347"/>
    <n v="55.487463651686888"/>
    <n v="61.041653878389155"/>
    <n v="54.71580844376664"/>
    <n v="51.594950096361423"/>
    <n v="61.45492319977776"/>
    <n v="58.959456569721951"/>
    <n v="57.359318366279652"/>
    <n v="62.1139561500271"/>
    <n v="50.190318230179741"/>
    <n v="63.668317526889986"/>
    <n v="57.624940851224714"/>
    <n v="1.4215937955987334"/>
    <n v="50.190318230179741"/>
    <n v="53.935593856915332"/>
    <n v="58.159387468000801"/>
  </r>
  <r>
    <n v="101"/>
    <x v="0"/>
    <x v="0"/>
    <x v="0"/>
    <x v="0"/>
    <x v="0"/>
    <x v="0"/>
    <x v="1"/>
    <n v="13.021000000000001"/>
    <n v="31.235984389241871"/>
    <n v="31.71941948359617"/>
    <n v="32.490717670590634"/>
    <n v="31.526172251468243"/>
    <n v="34.597839067308108"/>
    <n v="31.71941948359617"/>
    <n v="33.067416032243365"/>
    <n v="31.815979696853233"/>
    <n v="31.622817001801174"/>
    <n v="32.20179786450219"/>
    <n v="34.597839067308108"/>
    <n v="33.259310671157493"/>
    <n v="32.487892723305556"/>
    <n v="0.33472789057015778"/>
    <n v="31.235984389241871"/>
    <n v="31.695268863147419"/>
    <n v="32.008888780677708"/>
  </r>
  <r>
    <n v="102"/>
    <x v="1"/>
    <x v="1"/>
    <x v="0"/>
    <x v="1"/>
    <x v="1"/>
    <x v="0"/>
    <x v="1"/>
    <n v="13.003"/>
    <n v="30.751492581439294"/>
    <n v="31.042314471734631"/>
    <n v="31.332755945188588"/>
    <n v="31.332755945188588"/>
    <n v="31.429485232597386"/>
    <n v="31.042314471734631"/>
    <n v="30.460290274302576"/>
    <n v="32.20179786450219"/>
    <n v="32.20179786450219"/>
    <n v="31.622817001801174"/>
    <n v="32.105406725396847"/>
    <n v="32.20179786450219"/>
    <n v="31.477085520240859"/>
    <n v="0.17351068435868311"/>
    <n v="30.460290274302576"/>
    <n v="31.042314471734631"/>
    <n v="31.381120588892987"/>
  </r>
  <r>
    <n v="103"/>
    <x v="2"/>
    <x v="2"/>
    <x v="0"/>
    <x v="2"/>
    <x v="0"/>
    <x v="0"/>
    <x v="1"/>
    <n v="12.986000000000001"/>
    <n v="30.654467414264982"/>
    <n v="30.460290274302576"/>
    <n v="29.779338825489305"/>
    <n v="30.071428771922577"/>
    <n v="32.298146735069594"/>
    <n v="30.751492581439294"/>
    <n v="31.622817001801174"/>
    <n v="31.235984389241871"/>
    <n v="32.683119531959932"/>
    <n v="32.008973317753579"/>
    <n v="30.751492581439294"/>
    <n v="32.779257059837683"/>
    <n v="31.258067373710158"/>
    <n v="0.2917127195848005"/>
    <n v="29.779338825489305"/>
    <n v="30.60592312927438"/>
    <n v="30.993738485340582"/>
  </r>
  <r>
    <n v="104"/>
    <x v="3"/>
    <x v="3"/>
    <x v="1"/>
    <x v="1"/>
    <x v="1"/>
    <x v="0"/>
    <x v="1"/>
    <n v="12.967000000000001"/>
    <n v="34.597839067308108"/>
    <n v="34.97875408455706"/>
    <n v="34.311708984723126"/>
    <n v="33.546835615494203"/>
    <n v="33.92961044841212"/>
    <n v="36.873184721698294"/>
    <n v="34.407127947456054"/>
    <n v="32.683119531959932"/>
    <n v="33.451036235919901"/>
    <n v="33.546835615494203"/>
    <n v="32.39445333709908"/>
    <n v="34.502504641651058"/>
    <n v="34.101917519314426"/>
    <n v="0.336991233048752"/>
    <n v="32.39445333709908"/>
    <n v="33.522885770600624"/>
    <n v="34.120659716567623"/>
  </r>
  <r>
    <n v="105"/>
    <x v="4"/>
    <x v="4"/>
    <x v="1"/>
    <x v="2"/>
    <x v="1"/>
    <x v="1"/>
    <x v="1"/>
    <n v="12.946"/>
    <n v="36.967462433907073"/>
    <n v="38.750707943667067"/>
    <n v="39.403846694521647"/>
    <n v="38.844140285117227"/>
    <n v="37.438216966882031"/>
    <n v="37.814059759579237"/>
    <n v="35.453946814014785"/>
    <n v="37.155891052710849"/>
    <n v="40.054914287017603"/>
    <n v="40.796455423308537"/>
    <n v="37.814059759579237"/>
    <n v="34.12074425364348"/>
    <n v="37.884537139495734"/>
    <n v="0.54233075707469836"/>
    <n v="34.12074425364348"/>
    <n v="37.108783898009904"/>
    <n v="37.814059759579237"/>
  </r>
  <r>
    <n v="106"/>
    <x v="5"/>
    <x v="5"/>
    <x v="1"/>
    <x v="1"/>
    <x v="0"/>
    <x v="1"/>
    <x v="1"/>
    <n v="12.93"/>
    <n v="34.97875408455706"/>
    <n v="36.022783227612322"/>
    <n v="34.311708984723126"/>
    <n v="32.683119531959932"/>
    <n v="34.502504641651058"/>
    <n v="33.451036235919901"/>
    <n v="36.117441356662489"/>
    <n v="37.532241067863225"/>
    <n v="34.216247753452272"/>
    <n v="36.306630809149027"/>
    <n v="36.684502491666926"/>
    <n v="34.025198485296769"/>
    <n v="35.069347389209504"/>
    <n v="0.41966397541149347"/>
    <n v="32.683119531959932"/>
    <n v="34.168485436413398"/>
    <n v="34.740629363104063"/>
  </r>
  <r>
    <n v="107"/>
    <x v="3"/>
    <x v="3"/>
    <x v="1"/>
    <x v="1"/>
    <x v="1"/>
    <x v="1"/>
    <x v="1"/>
    <n v="12.913"/>
    <n v="36.401162132585398"/>
    <n v="34.693131224427248"/>
    <n v="33.833980142989532"/>
    <n v="33.067416032243365"/>
    <n v="32.971405309979403"/>
    <n v="32.39445333709908"/>
    <n v="32.875352319177509"/>
    <n v="34.216247753452272"/>
    <n v="36.212057217174724"/>
    <n v="32.20179786450219"/>
    <n v="35.263996527845478"/>
    <n v="35.8333401638982"/>
    <n v="34.16369500211453"/>
    <n v="0.43392733766764857"/>
    <n v="32.20179786450219"/>
    <n v="32.947392062278929"/>
    <n v="34.025113948220906"/>
  </r>
  <r>
    <n v="108"/>
    <x v="6"/>
    <x v="6"/>
    <x v="0"/>
    <x v="1"/>
    <x v="0"/>
    <x v="1"/>
    <x v="1"/>
    <n v="12.895"/>
    <n v="33.067416032243365"/>
    <n v="32.586939735544249"/>
    <n v="31.042314471734631"/>
    <n v="31.526172251468243"/>
    <n v="32.008973317753579"/>
    <n v="32.20179786450219"/>
    <n v="33.259310671157493"/>
    <n v="31.139170564757212"/>
    <n v="30.460290274302576"/>
    <n v="31.042314471734631"/>
    <n v="33.067416032243365"/>
    <n v="33.833980142989532"/>
    <n v="32.103007985869255"/>
    <n v="0.3096508682369804"/>
    <n v="30.460290274302576"/>
    <n v="31.114956541501567"/>
    <n v="32.105385591127884"/>
  </r>
  <r>
    <n v="201"/>
    <x v="4"/>
    <x v="4"/>
    <x v="1"/>
    <x v="2"/>
    <x v="1"/>
    <x v="0"/>
    <x v="1"/>
    <n v="13.042999999999999"/>
    <n v="41.7195776752584"/>
    <n v="40.333309227161187"/>
    <n v="40.796455423308537"/>
    <n v="40.611323750463391"/>
    <n v="40.054914287017603"/>
    <n v="37.814059759579237"/>
    <n v="37.532241067863225"/>
    <n v="39.310667964299071"/>
    <n v="40.888957856924208"/>
    <n v="39.124183698240131"/>
    <n v="39.403846694521647"/>
    <n v="40.888957856924208"/>
    <n v="39.873207938463402"/>
    <n v="0.36858137013263381"/>
    <n v="37.532241067863225"/>
    <n v="39.26404689778434"/>
    <n v="40.194111757089395"/>
  </r>
  <r>
    <n v="202"/>
    <x v="5"/>
    <x v="5"/>
    <x v="1"/>
    <x v="1"/>
    <x v="0"/>
    <x v="0"/>
    <x v="1"/>
    <n v="13.061999999999999"/>
    <n v="34.025198485296769"/>
    <n v="32.008973317753579"/>
    <n v="32.008973317753579"/>
    <n v="34.788381113008441"/>
    <n v="35.738555229234244"/>
    <n v="37.344150597362905"/>
    <n v="37.438216966882031"/>
    <n v="35.073877167524458"/>
    <n v="34.597839067308108"/>
    <n v="35.263996527845478"/>
    <n v="34.502504641651058"/>
    <n v="35.643728026032349"/>
    <n v="34.86953287147108"/>
    <n v="0.48902672638354622"/>
    <n v="32.008973317753579"/>
    <n v="34.383178102562482"/>
    <n v="34.931129140266449"/>
  </r>
  <r>
    <n v="203"/>
    <x v="6"/>
    <x v="6"/>
    <x v="0"/>
    <x v="1"/>
    <x v="0"/>
    <x v="0"/>
    <x v="1"/>
    <n v="13.077999999999999"/>
    <n v="32.105406725396847"/>
    <n v="31.815979696853233"/>
    <n v="33.259310671157493"/>
    <n v="33.546835615494203"/>
    <n v="30.945416110174119"/>
    <n v="33.067416032243365"/>
    <n v="32.39445333709908"/>
    <n v="33.067416032243365"/>
    <n v="31.71941948359617"/>
    <n v="32.971405309979403"/>
    <n v="33.738307569029026"/>
    <n v="30.84847548007567"/>
    <n v="32.456653505278496"/>
    <n v="0.28120033521853394"/>
    <n v="30.84847548007567"/>
    <n v="31.791839643538967"/>
    <n v="32.682929323539241"/>
  </r>
  <r>
    <n v="204"/>
    <x v="7"/>
    <x v="7"/>
    <x v="1"/>
    <x v="2"/>
    <x v="0"/>
    <x v="0"/>
    <x v="1"/>
    <n v="13.093"/>
    <n v="36.401162132585398"/>
    <n v="36.873184721698294"/>
    <n v="39.030878162403759"/>
    <n v="36.684502491666926"/>
    <n v="37.90791478640871"/>
    <n v="39.869106317565553"/>
    <n v="36.967462433907073"/>
    <n v="36.49565118748383"/>
    <n v="39.683129273961782"/>
    <n v="38.470157308088986"/>
    <n v="39.77613893003263"/>
    <n v="38.470157308088986"/>
    <n v="38.05245375449099"/>
    <n v="0.38775918653424019"/>
    <n v="36.401162132585398"/>
    <n v="36.826014164190454"/>
    <n v="38.189036047248848"/>
  </r>
  <r>
    <n v="205"/>
    <x v="0"/>
    <x v="0"/>
    <x v="0"/>
    <x v="0"/>
    <x v="0"/>
    <x v="1"/>
    <x v="1"/>
    <n v="13.11"/>
    <n v="31.042314471734631"/>
    <n v="31.139170564757212"/>
    <n v="32.008973317753579"/>
    <n v="30.16870755032447"/>
    <n v="31.042314471734631"/>
    <n v="32.105406725396847"/>
    <n v="30.84847548007567"/>
    <n v="30.654467414264982"/>
    <n v="31.912497641572372"/>
    <n v="29.974107724982755"/>
    <n v="31.622817001801174"/>
    <n v="30.654467414264982"/>
    <n v="31.097809981555276"/>
    <n v="0.20177056100218443"/>
    <n v="29.974107724982755"/>
    <n v="30.654467414264982"/>
    <n v="31.042314471734631"/>
  </r>
  <r>
    <n v="206"/>
    <x v="8"/>
    <x v="8"/>
    <x v="1"/>
    <x v="0"/>
    <x v="1"/>
    <x v="1"/>
    <x v="1"/>
    <n v="13.125999999999999"/>
    <n v="32.586939735544249"/>
    <n v="33.067416032243365"/>
    <n v="33.067416032243365"/>
    <n v="33.546835615494203"/>
    <n v="32.683119531959932"/>
    <n v="32.875352319177509"/>
    <n v="32.490717670590634"/>
    <n v="34.407127947456054"/>
    <n v="35.358992805199101"/>
    <n v="33.738307569029026"/>
    <n v="35.453946814014785"/>
    <n v="34.216247753452272"/>
    <n v="33.624368318867035"/>
    <n v="0.29857102545913533"/>
    <n v="32.490717670590634"/>
    <n v="32.827294122373118"/>
    <n v="33.307125823868788"/>
  </r>
  <r>
    <n v="207"/>
    <x v="1"/>
    <x v="1"/>
    <x v="0"/>
    <x v="1"/>
    <x v="1"/>
    <x v="1"/>
    <x v="1"/>
    <n v="13.141999999999999"/>
    <n v="33.067416032243365"/>
    <n v="32.971405309979403"/>
    <n v="34.502504641651058"/>
    <n v="33.738307569029026"/>
    <n v="33.067416032243365"/>
    <n v="33.833980142989532"/>
    <n v="32.490717670590634"/>
    <n v="33.067416032243365"/>
    <n v="34.025198485296769"/>
    <n v="33.92961044841212"/>
    <n v="34.12074425364348"/>
    <n v="34.025198485296769"/>
    <n v="33.56999292530157"/>
    <n v="0.17614486919953529"/>
    <n v="32.490717670590634"/>
    <n v="33.067416032243365"/>
    <n v="33.786143856009275"/>
  </r>
  <r>
    <n v="208"/>
    <x v="9"/>
    <x v="9"/>
    <x v="0"/>
    <x v="0"/>
    <x v="1"/>
    <x v="1"/>
    <x v="1"/>
    <n v="13.159000000000001"/>
    <n v="34.407127947456054"/>
    <n v="34.407127947456054"/>
    <n v="34.216247753452272"/>
    <n v="33.259310671157493"/>
    <n v="31.815979696853233"/>
    <n v="36.212057217174724"/>
    <n v="32.875352319177509"/>
    <n v="32.586939735544249"/>
    <n v="33.546835615494203"/>
    <n v="32.490717670590634"/>
    <n v="34.97875408455706"/>
    <n v="33.92961044841212"/>
    <n v="33.727171758943804"/>
    <n v="0.35252966782905071"/>
    <n v="31.815979696853233"/>
    <n v="32.803249173269194"/>
    <n v="33.738223031953162"/>
  </r>
  <r>
    <n v="301"/>
    <x v="3"/>
    <x v="3"/>
    <x v="1"/>
    <x v="1"/>
    <x v="1"/>
    <x v="2"/>
    <x v="1"/>
    <n v="13.295999999999999"/>
    <n v="34.693131224427248"/>
    <n v="35.168957981953938"/>
    <n v="36.022783227612322"/>
    <n v="34.97875408455706"/>
    <n v="35.643728026032349"/>
    <n v="34.693131224427248"/>
    <n v="34.407127947456054"/>
    <n v="34.693131224427248"/>
    <n v="32.779257059837683"/>
    <n v="33.451036235919901"/>
    <n v="34.12074425364348"/>
    <n v="34.597839067308108"/>
    <n v="34.60413512980022"/>
    <n v="0.25389057808054993"/>
    <n v="32.779257059837683"/>
    <n v="34.335532024002909"/>
    <n v="34.693131224427248"/>
  </r>
  <r>
    <n v="302"/>
    <x v="1"/>
    <x v="1"/>
    <x v="0"/>
    <x v="1"/>
    <x v="1"/>
    <x v="2"/>
    <x v="1"/>
    <n v="13.311999999999999"/>
    <n v="29.194017682098615"/>
    <n v="32.20179786450219"/>
    <n v="30.557399978552745"/>
    <n v="29.974107724982755"/>
    <n v="30.751492581439294"/>
    <n v="29.974107724982755"/>
    <n v="31.71941948359617"/>
    <n v="30.071428771922577"/>
    <n v="29.389293804047234"/>
    <n v="30.460290274302576"/>
    <n v="29.486868462214648"/>
    <n v="29.389293804047234"/>
    <n v="30.264126513057395"/>
    <n v="0.27135664873432624"/>
    <n v="29.194017682098615"/>
    <n v="29.462474797672794"/>
    <n v="30.022768248452664"/>
  </r>
  <r>
    <n v="303"/>
    <x v="8"/>
    <x v="8"/>
    <x v="1"/>
    <x v="0"/>
    <x v="1"/>
    <x v="2"/>
    <x v="1"/>
    <n v="13.33"/>
    <n v="31.912497641572372"/>
    <n v="29.291676877341892"/>
    <n v="32.105406725396847"/>
    <n v="30.84847548007567"/>
    <n v="32.683119531959932"/>
    <n v="32.683119531959932"/>
    <n v="31.429485232597386"/>
    <n v="30.945416110174119"/>
    <n v="31.235984389241871"/>
    <n v="29.584400851844133"/>
    <n v="34.311708984723126"/>
    <n v="30.945416110174119"/>
    <n v="31.498058955588448"/>
    <n v="0.39793382969427932"/>
    <n v="29.291676877341892"/>
    <n v="30.921180952649507"/>
    <n v="31.332734810919629"/>
  </r>
  <r>
    <n v="304"/>
    <x v="9"/>
    <x v="9"/>
    <x v="0"/>
    <x v="0"/>
    <x v="1"/>
    <x v="2"/>
    <x v="1"/>
    <n v="13.347"/>
    <n v="29.68189097293568"/>
    <n v="29.584400851844133"/>
    <n v="31.139170564757212"/>
    <n v="30.16870755032447"/>
    <n v="29.486868462214648"/>
    <n v="31.815979696853233"/>
    <n v="30.16870755032447"/>
    <n v="30.557399978552745"/>
    <n v="31.235984389241871"/>
    <n v="30.363138301514468"/>
    <n v="30.460290274302576"/>
    <n v="29.291676877341892"/>
    <n v="30.329517955850619"/>
    <n v="0.22310585961914783"/>
    <n v="29.291676877341892"/>
    <n v="29.657518442662791"/>
    <n v="30.265922925919469"/>
  </r>
  <r>
    <n v="305"/>
    <x v="7"/>
    <x v="7"/>
    <x v="1"/>
    <x v="2"/>
    <x v="0"/>
    <x v="3"/>
    <x v="1"/>
    <n v="13.363"/>
    <n v="37.061697877577927"/>
    <n v="34.025198485296769"/>
    <n v="35.548858554292529"/>
    <n v="35.073877167524458"/>
    <n v="34.597839067308108"/>
    <n v="34.788381113008441"/>
    <n v="35.548858554292529"/>
    <n v="32.971405309979403"/>
    <n v="35.738555229234244"/>
    <n v="34.502504641651058"/>
    <n v="33.833980142989532"/>
    <n v="33.642592726530573"/>
    <n v="34.777812405807133"/>
    <n v="0.32019421337911447"/>
    <n v="32.971405309979403"/>
    <n v="33.977393899719956"/>
    <n v="34.693110090158271"/>
  </r>
  <r>
    <n v="306"/>
    <x v="1"/>
    <x v="1"/>
    <x v="0"/>
    <x v="1"/>
    <x v="1"/>
    <x v="3"/>
    <x v="1"/>
    <n v="13.378"/>
    <n v="31.526172251468243"/>
    <n v="31.912497641572372"/>
    <n v="31.139170564757212"/>
    <n v="30.945416110174119"/>
    <n v="30.654467414264982"/>
    <n v="30.654467414264982"/>
    <n v="31.042314471734631"/>
    <n v="31.429485232597386"/>
    <n v="31.526172251468243"/>
    <n v="30.265944060188438"/>
    <n v="30.16870755032447"/>
    <n v="30.071428771922577"/>
    <n v="30.944686977894804"/>
    <n v="0.1716489393217055"/>
    <n v="30.071428771922577"/>
    <n v="30.557336575745847"/>
    <n v="30.993865290954375"/>
  </r>
  <r>
    <n v="307"/>
    <x v="5"/>
    <x v="5"/>
    <x v="1"/>
    <x v="1"/>
    <x v="0"/>
    <x v="3"/>
    <x v="1"/>
    <n v="13.394"/>
    <n v="31.332755945188588"/>
    <n v="32.39445333709908"/>
    <n v="32.008973317753579"/>
    <n v="34.597839067308108"/>
    <n v="33.163384485969388"/>
    <n v="33.259310671157493"/>
    <n v="32.298146735069594"/>
    <n v="32.20179786450219"/>
    <n v="32.105406725396847"/>
    <n v="32.779257059837683"/>
    <n v="32.20179786450219"/>
    <n v="32.20179786450219"/>
    <n v="32.545410078190578"/>
    <n v="0.23913873469449595"/>
    <n v="31.332755945188588"/>
    <n v="32.177700079725852"/>
    <n v="32.249972299785895"/>
  </r>
  <r>
    <n v="308"/>
    <x v="2"/>
    <x v="2"/>
    <x v="0"/>
    <x v="2"/>
    <x v="0"/>
    <x v="3"/>
    <x v="1"/>
    <n v="13.411"/>
    <n v="32.105406725396847"/>
    <n v="29.194017682098615"/>
    <n v="31.526172251468243"/>
    <n v="32.298146735069594"/>
    <n v="31.526172251468243"/>
    <n v="34.407127947456054"/>
    <n v="31.526172251468243"/>
    <n v="31.139170564757212"/>
    <n v="32.298146735069594"/>
    <n v="31.332755945188588"/>
    <n v="30.16870755032447"/>
    <n v="30.557399978552745"/>
    <n v="31.506616384859871"/>
    <n v="0.37162698757253709"/>
    <n v="29.194017682098615"/>
    <n v="30.993727918206094"/>
    <n v="31.526172251468243"/>
  </r>
  <r>
    <n v="401"/>
    <x v="10"/>
    <x v="10"/>
    <x v="1"/>
    <x v="0"/>
    <x v="0"/>
    <x v="2"/>
    <x v="1"/>
    <n v="13.565"/>
    <n v="37.155891052710849"/>
    <n v="36.117441356662489"/>
    <n v="37.532241067863225"/>
    <n v="36.306630809149027"/>
    <n v="35.643728026032349"/>
    <n v="36.401162132585398"/>
    <n v="33.738307569029026"/>
    <n v="35.928082830024231"/>
    <n v="37.061697877577927"/>
    <n v="35.738555229234244"/>
    <n v="36.590097973844344"/>
    <n v="36.590097973844344"/>
    <n v="36.233661158213117"/>
    <n v="0.28118746840824144"/>
    <n v="33.738307569029026"/>
    <n v="35.88070092982673"/>
    <n v="36.353896470867213"/>
  </r>
  <r>
    <n v="402"/>
    <x v="5"/>
    <x v="5"/>
    <x v="1"/>
    <x v="1"/>
    <x v="0"/>
    <x v="2"/>
    <x v="1"/>
    <n v="13.547000000000001"/>
    <n v="32.875352319177509"/>
    <n v="37.626222900306495"/>
    <n v="35.928082830024231"/>
    <n v="34.693131224427248"/>
    <n v="36.401162132585398"/>
    <n v="35.548858554292529"/>
    <n v="37.438216966882031"/>
    <n v="36.401162132585398"/>
    <n v="34.311708984723126"/>
    <n v="37.25004195930584"/>
    <n v="37.061697877577927"/>
    <n v="37.061697877577927"/>
    <n v="36.049777979955472"/>
    <n v="0.42061069363393444"/>
    <n v="32.875352319177509"/>
    <n v="35.334926721826207"/>
    <n v="36.401162132585398"/>
  </r>
  <r>
    <n v="403"/>
    <x v="11"/>
    <x v="11"/>
    <x v="0"/>
    <x v="2"/>
    <x v="1"/>
    <x v="2"/>
    <x v="1"/>
    <n v="13.526"/>
    <n v="30.071428771922577"/>
    <n v="29.779338825489305"/>
    <n v="29.779338825489305"/>
    <n v="30.363138301514468"/>
    <n v="30.363138301514468"/>
    <n v="29.974107724982755"/>
    <n v="29.87674440950499"/>
    <n v="29.68189097293568"/>
    <n v="30.265944060188438"/>
    <n v="30.265944060188438"/>
    <n v="30.265944060188438"/>
    <n v="29.291676877341892"/>
    <n v="29.998219599271724"/>
    <n v="9.523263663421179E-2"/>
    <n v="29.291676877341892"/>
    <n v="29.779338825489305"/>
    <n v="30.022768248452664"/>
  </r>
  <r>
    <n v="404"/>
    <x v="6"/>
    <x v="6"/>
    <x v="0"/>
    <x v="1"/>
    <x v="0"/>
    <x v="2"/>
    <x v="1"/>
    <n v="13.509"/>
    <n v="29.68189097293568"/>
    <n v="29.68189097293568"/>
    <n v="30.557399978552745"/>
    <n v="29.486868462214648"/>
    <n v="30.363138301514468"/>
    <n v="29.291676877341892"/>
    <n v="31.042314471734631"/>
    <n v="28.705087677813268"/>
    <n v="30.557399978552745"/>
    <n v="29.584400851844133"/>
    <n v="30.071428771922577"/>
    <n v="28.99857248599827"/>
    <n v="29.835172483613395"/>
    <n v="0.20110590212954396"/>
    <n v="28.705087677813268"/>
    <n v="29.438070565996458"/>
    <n v="29.68189097293568"/>
  </r>
  <r>
    <n v="405"/>
    <x v="11"/>
    <x v="11"/>
    <x v="0"/>
    <x v="2"/>
    <x v="1"/>
    <x v="3"/>
    <x v="1"/>
    <n v="13.487"/>
    <n v="31.912497641572372"/>
    <n v="29.194017682098615"/>
    <n v="29.291676877341892"/>
    <n v="29.974107724982755"/>
    <n v="30.751492581439294"/>
    <n v="30.071428771922577"/>
    <n v="30.751492581439294"/>
    <n v="29.584400851844133"/>
    <n v="29.974107724982755"/>
    <n v="31.042314471734631"/>
    <n v="30.363138301514468"/>
    <n v="30.071428771922577"/>
    <n v="30.248508665232947"/>
    <n v="0.22360572013437488"/>
    <n v="29.194017682098615"/>
    <n v="29.876681006698099"/>
    <n v="30.071428771922577"/>
  </r>
  <r>
    <n v="406"/>
    <x v="6"/>
    <x v="6"/>
    <x v="0"/>
    <x v="1"/>
    <x v="0"/>
    <x v="3"/>
    <x v="1"/>
    <n v="13.468999999999999"/>
    <n v="29.87674440950499"/>
    <n v="29.87674440950499"/>
    <n v="31.815979696853233"/>
    <n v="30.265944060188438"/>
    <n v="29.584400851844133"/>
    <n v="30.460290274302576"/>
    <n v="30.945416110174119"/>
    <n v="29.584400851844133"/>
    <n v="31.526172251468243"/>
    <n v="28.215100960079642"/>
    <n v="30.363138301514468"/>
    <n v="29.779338825489305"/>
    <n v="30.191139250230691"/>
    <n v="0.27671275164292974"/>
    <n v="28.215100960079642"/>
    <n v="29.730604332078013"/>
    <n v="30.071344234846713"/>
  </r>
  <r>
    <n v="407"/>
    <x v="10"/>
    <x v="10"/>
    <x v="1"/>
    <x v="0"/>
    <x v="0"/>
    <x v="3"/>
    <x v="1"/>
    <n v="13.452"/>
    <n v="36.117441356662489"/>
    <n v="32.008973317753579"/>
    <n v="32.39445333709908"/>
    <n v="31.622817001801174"/>
    <n v="34.502504641651058"/>
    <n v="30.265944060188438"/>
    <n v="34.216247753452272"/>
    <n v="32.008973317753579"/>
    <n v="31.71941948359617"/>
    <n v="31.235984389241871"/>
    <n v="30.84847548007567"/>
    <n v="31.235984389241871"/>
    <n v="32.348101544043111"/>
    <n v="0.49658421146298065"/>
    <n v="30.265944060188438"/>
    <n v="31.235984389241871"/>
    <n v="31.864196400674874"/>
  </r>
  <r>
    <n v="408"/>
    <x v="3"/>
    <x v="3"/>
    <x v="1"/>
    <x v="1"/>
    <x v="1"/>
    <x v="3"/>
    <x v="1"/>
    <n v="13.435"/>
    <n v="33.163384485969388"/>
    <n v="33.067416032243365"/>
    <n v="34.693131224427248"/>
    <n v="31.235984389241871"/>
    <n v="31.815979696853233"/>
    <n v="30.945416110174119"/>
    <n v="34.883588733051717"/>
    <n v="32.105406725396847"/>
    <n v="33.738307569029026"/>
    <n v="33.451036235919901"/>
    <n v="33.067416032243365"/>
    <n v="32.20179786450219"/>
    <n v="32.864072091587687"/>
    <n v="0.36044577911834552"/>
    <n v="30.945416110174119"/>
    <n v="32.03304996826094"/>
    <n v="33.067416032243365"/>
  </r>
  <r>
    <n v="902"/>
    <x v="13"/>
    <x v="13"/>
    <x v="3"/>
    <x v="1"/>
    <x v="0"/>
    <x v="0"/>
    <x v="1"/>
    <n v="13.266"/>
    <n v="42.455032142087255"/>
    <n v="45.007819432870939"/>
    <n v="45.007819432870939"/>
    <n v="44.826576465515458"/>
    <n v="39.403846694521647"/>
    <n v="44.463583308349314"/>
    <n v="46.001633552864021"/>
    <n v="46.181777538233284"/>
    <n v="45.098377513741788"/>
    <n v="45.911498157372485"/>
    <n v="44.826576465515458"/>
    <n v="45.731100560775623"/>
    <n v="44.576303438726519"/>
    <n v="0.54884498199689313"/>
    <n v="39.403846694521647"/>
    <n v="44.735828176223919"/>
    <n v="45.007819432870939"/>
  </r>
  <r>
    <n v="904"/>
    <x v="15"/>
    <x v="15"/>
    <x v="5"/>
    <x v="1"/>
    <x v="0"/>
    <x v="0"/>
    <x v="1"/>
    <n v="13.239000000000001"/>
    <n v="44.826576465515458"/>
    <n v="47.79546506972914"/>
    <n v="43.46186497176312"/>
    <n v="48.419311723797435"/>
    <n v="44.826576465515458"/>
    <n v="45.731100560775623"/>
    <n v="45.369798145126737"/>
    <n v="44.190894620826441"/>
    <n v="43.91782551646218"/>
    <n v="43.279184874117981"/>
    <n v="45.007819432870939"/>
    <n v="45.55053389002704"/>
    <n v="45.198079311377292"/>
    <n v="0.45412977635333174"/>
    <n v="43.279184874117981"/>
    <n v="44.122627344735378"/>
    <n v="44.917197949193195"/>
  </r>
  <r>
    <n v="906"/>
    <x v="13"/>
    <x v="13"/>
    <x v="3"/>
    <x v="1"/>
    <x v="0"/>
    <x v="1"/>
    <x v="1"/>
    <n v="13.211"/>
    <n v="43.644375995256539"/>
    <n v="46.361752449450833"/>
    <n v="47.259090893262716"/>
    <n v="45.369798145126737"/>
    <n v="45.007819432870939"/>
    <n v="43.644375995256539"/>
    <n v="44.099913854576286"/>
    <n v="45.640838359670298"/>
    <n v="45.279366869869676"/>
    <n v="43.644375995256539"/>
    <n v="46.181777538233284"/>
    <n v="45.911498157372485"/>
    <n v="45.170415307183568"/>
    <n v="0.34581510839980767"/>
    <n v="43.644375995256539"/>
    <n v="43.986029389746349"/>
    <n v="45.324582507498206"/>
  </r>
  <r>
    <n v="908"/>
    <x v="15"/>
    <x v="15"/>
    <x v="5"/>
    <x v="1"/>
    <x v="0"/>
    <x v="1"/>
    <x v="1"/>
    <n v="13.182"/>
    <n v="43.46186497176312"/>
    <n v="41.258544906007607"/>
    <n v="43.553141617778792"/>
    <n v="42.730130136272209"/>
    <n v="44.281833118538664"/>
    <n v="41.903694903193205"/>
    <n v="45.007819432870939"/>
    <n v="44.554395000447755"/>
    <n v="45.460187151845851"/>
    <n v="43.096335702321113"/>
    <n v="44.281833118538664"/>
    <n v="43.004847713615789"/>
    <n v="43.549552314432809"/>
    <n v="0.35884993348787725"/>
    <n v="41.258544906007607"/>
    <n v="42.936168319279894"/>
    <n v="43.50750329477095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01"/>
    <x v="0"/>
    <x v="0"/>
    <x v="0"/>
    <x v="0"/>
    <x v="0"/>
    <x v="0"/>
    <x v="0"/>
    <n v="13.124000000000001"/>
    <n v="34.856853840445517"/>
    <n v="33.615857833924373"/>
    <n v="34.380393054849854"/>
    <n v="33.520100722888003"/>
    <n v="33.520100722888003"/>
    <n v="32.944670417373203"/>
    <n v="33.32845969520146"/>
    <n v="33.32845969520146"/>
    <n v="32.36771844449288"/>
    <n v="31.789244804247033"/>
    <n v="32.463982777984434"/>
    <n v="31.596082109194974"/>
    <n v="33.142660343224271"/>
    <n v="0.28031771483666496"/>
    <n v="31.596082109194974"/>
    <n v="32.439916694611547"/>
    <n v="33.32845969520146"/>
  </r>
  <r>
    <n v="102"/>
    <x v="1"/>
    <x v="1"/>
    <x v="0"/>
    <x v="1"/>
    <x v="1"/>
    <x v="0"/>
    <x v="0"/>
    <n v="13.105"/>
    <n v="33.615857833924373"/>
    <n v="31.982238425147379"/>
    <n v="35.427211921408585"/>
    <n v="34.380393054849854"/>
    <n v="31.789244804247033"/>
    <n v="33.232575778551293"/>
    <n v="31.596082109194974"/>
    <n v="32.560204842938049"/>
    <n v="31.596082109194974"/>
    <n v="34.284974092116926"/>
    <n v="31.209249496635671"/>
    <n v="31.982238425147379"/>
    <n v="32.804696074446376"/>
    <n v="0.39219113907700914"/>
    <n v="31.209249496635671"/>
    <n v="31.74095413048402"/>
    <n v="32.271221634042718"/>
  </r>
  <r>
    <n v="103"/>
    <x v="2"/>
    <x v="2"/>
    <x v="0"/>
    <x v="2"/>
    <x v="0"/>
    <x v="0"/>
    <x v="0"/>
    <n v="13.087999999999999"/>
    <n v="33.136649593363188"/>
    <n v="32.463982777984434"/>
    <n v="32.078671832790647"/>
    <n v="32.17506297189599"/>
    <n v="31.789244804247033"/>
    <n v="31.112435672151012"/>
    <n v="31.789244804247033"/>
    <n v="32.848617426571309"/>
    <n v="31.885762748966172"/>
    <n v="31.209249496635671"/>
    <n v="31.306021052582388"/>
    <n v="31.596082109194974"/>
    <n v="31.949252107552486"/>
    <n v="0.18242962243258365"/>
    <n v="31.112435672151012"/>
    <n v="31.523566845041827"/>
    <n v="31.837503776606603"/>
  </r>
  <r>
    <n v="104"/>
    <x v="3"/>
    <x v="3"/>
    <x v="1"/>
    <x v="1"/>
    <x v="1"/>
    <x v="0"/>
    <x v="0"/>
    <n v="13.069000000000001"/>
    <n v="48.125467590675271"/>
    <n v="43.252449981511781"/>
    <n v="42.520038849413964"/>
    <n v="35.142223089347738"/>
    <n v="43.526406725172592"/>
    <n v="33.615857833924373"/>
    <n v="36.657767599060726"/>
    <n v="33.32845969520146"/>
    <n v="35.806605271292"/>
    <n v="34.189512860846072"/>
    <n v="33.520100722888003"/>
    <n v="34.95201919195086"/>
    <n v="37.886409117607073"/>
    <n v="1.4580844579535228"/>
    <n v="33.32845969520146"/>
    <n v="34.046099104115648"/>
    <n v="35.474414180319869"/>
  </r>
  <r>
    <n v="105"/>
    <x v="4"/>
    <x v="4"/>
    <x v="1"/>
    <x v="2"/>
    <x v="1"/>
    <x v="1"/>
    <x v="0"/>
    <n v="13.048999999999999"/>
    <n v="33.232575778551293"/>
    <n v="33.615857833924373"/>
    <n v="34.761646220402241"/>
    <n v="35.616993133426149"/>
    <n v="35.901347937418031"/>
    <n v="34.284974092116926"/>
    <n v="33.99846359269057"/>
    <n v="34.856853840445517"/>
    <n v="35.901347937418031"/>
    <n v="38.630498441072774"/>
    <n v="36.279895916542827"/>
    <n v="36.752129848345369"/>
    <n v="35.319382047696173"/>
    <n v="0.43780935388145409"/>
    <n v="33.232575778551293"/>
    <n v="34.213346467260337"/>
    <n v="35.236923486935837"/>
  </r>
  <r>
    <n v="106"/>
    <x v="5"/>
    <x v="5"/>
    <x v="1"/>
    <x v="1"/>
    <x v="0"/>
    <x v="1"/>
    <x v="0"/>
    <n v="13.03"/>
    <n v="38.349820999880905"/>
    <n v="34.380393054849854"/>
    <n v="38.256177315741091"/>
    <n v="35.237261635239278"/>
    <n v="31.306021052582388"/>
    <n v="31.306021052582388"/>
    <n v="33.424301343313701"/>
    <n v="31.596082109194974"/>
    <n v="33.040681139637165"/>
    <n v="33.32845969520146"/>
    <n v="32.560204842938049"/>
    <n v="32.656384639353732"/>
    <n v="33.786817406709581"/>
    <n v="0.69653366961105534"/>
    <n v="31.306021052582388"/>
    <n v="32.319174159502282"/>
    <n v="33.184570417419309"/>
  </r>
  <r>
    <n v="107"/>
    <x v="3"/>
    <x v="3"/>
    <x v="1"/>
    <x v="1"/>
    <x v="1"/>
    <x v="1"/>
    <x v="0"/>
    <n v="13.013"/>
    <n v="34.571104174701908"/>
    <n v="31.982238425147379"/>
    <n v="35.142223089347738"/>
    <n v="31.69268459098997"/>
    <n v="30.627732521658782"/>
    <n v="32.271411842463394"/>
    <n v="30.724757688833094"/>
    <n v="37.034962984971727"/>
    <n v="32.560204842938049"/>
    <n v="35.142223089347738"/>
    <n v="33.807245250383332"/>
    <n v="38.910795465423256"/>
    <n v="33.705631997183865"/>
    <n v="0.73760072316067571"/>
    <n v="30.627732521658782"/>
    <n v="31.909849966608029"/>
    <n v="33.18372504666069"/>
  </r>
  <r>
    <n v="108"/>
    <x v="6"/>
    <x v="6"/>
    <x v="0"/>
    <x v="1"/>
    <x v="0"/>
    <x v="1"/>
    <x v="0"/>
    <n v="12.983000000000001"/>
    <n v="32.078671832790647"/>
    <n v="30.918681217567919"/>
    <n v="32.271411842463394"/>
    <n v="32.078671832790647"/>
    <n v="31.885762748966172"/>
    <n v="31.982238425147379"/>
    <n v="31.69268459098997"/>
    <n v="32.36771844449288"/>
    <n v="35.047142274918258"/>
    <n v="31.885762748966172"/>
    <n v="32.656384639353732"/>
    <n v="31.306021052582388"/>
    <n v="32.180929304252466"/>
    <n v="0.29279307073669447"/>
    <n v="30.918681217567919"/>
    <n v="31.837493209472122"/>
    <n v="32.03045512896901"/>
  </r>
  <r>
    <n v="201"/>
    <x v="4"/>
    <x v="4"/>
    <x v="1"/>
    <x v="2"/>
    <x v="1"/>
    <x v="0"/>
    <x v="0"/>
    <n v="13.146000000000001"/>
    <n v="39.004143269797559"/>
    <n v="38.443422415482786"/>
    <n v="41.324101104327426"/>
    <n v="36.752129848345369"/>
    <n v="39.377111801915447"/>
    <n v="36.846449829092094"/>
    <n v="35.142223089347738"/>
    <n v="37.034962984971727"/>
    <n v="38.443422415482786"/>
    <n v="41.047101025935575"/>
    <n v="37.505506175257025"/>
    <n v="37.974992652094045"/>
    <n v="38.241297217670798"/>
    <n v="0.51614069669154716"/>
    <n v="35.142223089347738"/>
    <n v="36.987834696001819"/>
    <n v="38.209207533788415"/>
  </r>
  <r>
    <n v="202"/>
    <x v="5"/>
    <x v="5"/>
    <x v="1"/>
    <x v="1"/>
    <x v="0"/>
    <x v="0"/>
    <x v="0"/>
    <n v="13.166"/>
    <n v="42.886582563766325"/>
    <n v="35.427211921408585"/>
    <n v="39.935296543954344"/>
    <n v="34.761646220402241"/>
    <n v="35.901347937418031"/>
    <n v="33.136649593363188"/>
    <n v="35.047142274918258"/>
    <n v="34.380393054849854"/>
    <n v="34.856853840445517"/>
    <n v="38.349820999880905"/>
    <n v="33.90287555580592"/>
    <n v="32.752522167231483"/>
    <n v="35.944861889453712"/>
    <n v="0.86273332106341527"/>
    <n v="32.752522167231483"/>
    <n v="34.261013680088872"/>
    <n v="34.951998057681891"/>
  </r>
  <r>
    <n v="203"/>
    <x v="6"/>
    <x v="6"/>
    <x v="0"/>
    <x v="1"/>
    <x v="0"/>
    <x v="0"/>
    <x v="0"/>
    <n v="13.182"/>
    <n v="33.424301343313701"/>
    <n v="33.90287555580592"/>
    <n v="33.232575778551293"/>
    <n v="33.32845969520146"/>
    <n v="32.078671832790647"/>
    <n v="32.078671832790647"/>
    <n v="32.848617426571309"/>
    <n v="32.36771844449288"/>
    <n v="34.571104174701908"/>
    <n v="34.189512860846072"/>
    <n v="33.520100722888003"/>
    <n v="32.17506297189599"/>
    <n v="33.143139386654155"/>
    <n v="0.24411325960133723"/>
    <n v="32.078671832790647"/>
    <n v="32.319554576343656"/>
    <n v="33.280517736876376"/>
  </r>
  <r>
    <n v="204"/>
    <x v="7"/>
    <x v="7"/>
    <x v="1"/>
    <x v="2"/>
    <x v="0"/>
    <x v="0"/>
    <x v="0"/>
    <n v="13.201000000000001"/>
    <n v="38.068763141847661"/>
    <n v="38.817405392511027"/>
    <n v="38.349820999880905"/>
    <n v="38.068763141847661"/>
    <n v="36.563363081238144"/>
    <n v="36.563363081238144"/>
    <n v="36.374427239979198"/>
    <n v="36.563363081238144"/>
    <n v="36.940727541300873"/>
    <n v="37.22330706669964"/>
    <n v="35.806605271292"/>
    <n v="36.657767599060726"/>
    <n v="37.166473053177846"/>
    <n v="0.2701699662796318"/>
    <n v="35.806605271292"/>
    <n v="36.563363081238144"/>
    <n v="36.799247570180796"/>
  </r>
  <r>
    <n v="205"/>
    <x v="0"/>
    <x v="0"/>
    <x v="0"/>
    <x v="0"/>
    <x v="0"/>
    <x v="1"/>
    <x v="0"/>
    <n v="13.223000000000001"/>
    <n v="31.015579579128431"/>
    <n v="30.918681217567919"/>
    <n v="31.112435672151012"/>
    <n v="30.14197265771827"/>
    <n v="31.015579579128431"/>
    <n v="30.918681217567919"/>
    <n v="31.69268459098997"/>
    <n v="30.530665085946545"/>
    <n v="30.918681217567919"/>
    <n v="30.627732521658782"/>
    <n v="30.433555381696376"/>
    <n v="29.752603932883105"/>
    <n v="30.756571054500387"/>
    <n v="0.14495587875045826"/>
    <n v="29.752603932883105"/>
    <n v="30.506387659884002"/>
    <n v="30.918681217567919"/>
  </r>
  <r>
    <n v="206"/>
    <x v="8"/>
    <x v="8"/>
    <x v="1"/>
    <x v="0"/>
    <x v="1"/>
    <x v="1"/>
    <x v="0"/>
    <n v="13.247"/>
    <n v="37.12915616010465"/>
    <n v="35.522123661686329"/>
    <n v="32.944670417373203"/>
    <n v="37.411482074275831"/>
    <n v="38.443422415482786"/>
    <n v="32.656384639353732"/>
    <n v="32.36771844449288"/>
    <n v="31.69268459098997"/>
    <n v="37.787324866973037"/>
    <n v="33.136649593363188"/>
    <n v="40.028179394411403"/>
    <n v="31.209249496635671"/>
    <n v="35.027420479595222"/>
    <n v="0.87450023092372819"/>
    <n v="31.209249496635671"/>
    <n v="32.584218090638515"/>
    <n v="34.329386627524755"/>
  </r>
  <r>
    <n v="207"/>
    <x v="1"/>
    <x v="1"/>
    <x v="0"/>
    <x v="1"/>
    <x v="1"/>
    <x v="1"/>
    <x v="0"/>
    <n v="13.263999999999999"/>
    <n v="32.36771844449288"/>
    <n v="31.499437358862043"/>
    <n v="32.944670417373203"/>
    <n v="30.918681217567919"/>
    <n v="32.271411842463394"/>
    <n v="31.112435672151012"/>
    <n v="31.402750339991186"/>
    <n v="31.306021052582388"/>
    <n v="31.69268459098997"/>
    <n v="32.463982777984434"/>
    <n v="31.306021052582388"/>
    <n v="33.040681139637165"/>
    <n v="31.860541325556497"/>
    <n v="0.20940288862962653"/>
    <n v="30.918681217567919"/>
    <n v="31.306021052582388"/>
    <n v="31.596060974926004"/>
  </r>
  <r>
    <n v="208"/>
    <x v="9"/>
    <x v="9"/>
    <x v="0"/>
    <x v="0"/>
    <x v="1"/>
    <x v="1"/>
    <x v="0"/>
    <n v="13.282999999999999"/>
    <n v="30.530665085946545"/>
    <n v="32.656384639353732"/>
    <n v="30.530665085946545"/>
    <n v="30.821740587469471"/>
    <n v="30.627732521658782"/>
    <n v="29.947372832376555"/>
    <n v="32.36771844449288"/>
    <n v="29.947372832376555"/>
    <n v="30.724757688833094"/>
    <n v="32.752522167231483"/>
    <n v="30.433555381696376"/>
    <n v="30.627732521658782"/>
    <n v="30.997351649086728"/>
    <n v="0.28929999677904272"/>
    <n v="29.947372832376555"/>
    <n v="30.506387659884002"/>
    <n v="30.627732521658782"/>
  </r>
  <r>
    <n v="301"/>
    <x v="3"/>
    <x v="3"/>
    <x v="1"/>
    <x v="1"/>
    <x v="1"/>
    <x v="2"/>
    <x v="0"/>
    <n v="13.446"/>
    <n v="42.978112821009589"/>
    <n v="36.657767599060726"/>
    <n v="33.807245250383332"/>
    <n v="33.615857833924373"/>
    <n v="34.189512860846072"/>
    <n v="31.596082109194974"/>
    <n v="33.807245250383332"/>
    <n v="33.32845969520146"/>
    <n v="32.463982777984434"/>
    <n v="39.935296543954344"/>
    <n v="32.656384639353732"/>
    <n v="32.463982777984434"/>
    <n v="34.791660846606732"/>
    <n v="0.9862264995908816"/>
    <n v="31.596082109194974"/>
    <n v="32.608284174011409"/>
    <n v="33.711551542153856"/>
  </r>
  <r>
    <n v="302"/>
    <x v="1"/>
    <x v="1"/>
    <x v="0"/>
    <x v="1"/>
    <x v="1"/>
    <x v="2"/>
    <x v="0"/>
    <n v="13.462"/>
    <n v="30.821740587469471"/>
    <n v="33.424301343313701"/>
    <n v="31.402750339991186"/>
    <n v="33.32845969520146"/>
    <n v="31.499437358862043"/>
    <n v="30.433555381696376"/>
    <n v="31.69268459098997"/>
    <n v="30.918681217567919"/>
    <n v="30.627732521658782"/>
    <n v="31.112435672151012"/>
    <n v="31.015579579128431"/>
    <n v="29.947372832376555"/>
    <n v="31.352060926700577"/>
    <n v="0.30552731933699723"/>
    <n v="29.947372832376555"/>
    <n v="30.773238571016797"/>
    <n v="31.064007625639722"/>
  </r>
  <r>
    <n v="303"/>
    <x v="8"/>
    <x v="8"/>
    <x v="1"/>
    <x v="0"/>
    <x v="1"/>
    <x v="2"/>
    <x v="0"/>
    <n v="13.481"/>
    <n v="31.885762748966172"/>
    <n v="31.596082109194974"/>
    <n v="30.821740587469471"/>
    <n v="30.239209167582239"/>
    <n v="30.627732521658782"/>
    <n v="30.433555381696376"/>
    <n v="31.596082109194974"/>
    <n v="30.821740587469471"/>
    <n v="31.209249496635671"/>
    <n v="32.17506297189599"/>
    <n v="31.402750339991186"/>
    <n v="31.112435672151012"/>
    <n v="31.160116974492198"/>
    <n v="0.17164004193830956"/>
    <n v="30.239209167582239"/>
    <n v="30.773238571016797"/>
    <n v="31.160842584393343"/>
  </r>
  <r>
    <n v="304"/>
    <x v="9"/>
    <x v="9"/>
    <x v="0"/>
    <x v="0"/>
    <x v="1"/>
    <x v="2"/>
    <x v="0"/>
    <n v="13.5"/>
    <n v="30.821740587469471"/>
    <n v="33.136649593363188"/>
    <n v="30.14197265771827"/>
    <n v="31.499437358862043"/>
    <n v="30.918681217567919"/>
    <n v="30.821740587469471"/>
    <n v="31.499437358862043"/>
    <n v="31.306021052582388"/>
    <n v="30.530665085946545"/>
    <n v="30.044693879316377"/>
    <n v="31.306021052582388"/>
    <n v="29.65515608032948"/>
    <n v="30.973518042672463"/>
    <n v="0.26098438056984746"/>
    <n v="29.65515608032948"/>
    <n v="30.433491978889478"/>
    <n v="30.870210902518693"/>
  </r>
  <r>
    <n v="305"/>
    <x v="7"/>
    <x v="7"/>
    <x v="1"/>
    <x v="2"/>
    <x v="0"/>
    <x v="3"/>
    <x v="0"/>
    <n v="13.516"/>
    <n v="32.944670417373203"/>
    <n v="32.944670417373203"/>
    <n v="32.656384639353732"/>
    <n v="32.36771844449288"/>
    <n v="31.402750339991186"/>
    <n v="31.789244804247033"/>
    <n v="31.402750339991186"/>
    <n v="33.520100722888003"/>
    <n v="32.560204842938049"/>
    <n v="33.32845969520146"/>
    <n v="33.232575778551293"/>
    <n v="32.078671832790647"/>
    <n v="32.519016856265985"/>
    <n v="0.20945320745711535"/>
    <n v="31.402750339991186"/>
    <n v="32.00631507565474"/>
    <n v="32.60829474114589"/>
  </r>
  <r>
    <n v="306"/>
    <x v="1"/>
    <x v="1"/>
    <x v="0"/>
    <x v="1"/>
    <x v="1"/>
    <x v="3"/>
    <x v="0"/>
    <n v="13.534000000000001"/>
    <n v="32.560204842938049"/>
    <n v="30.627732521658782"/>
    <n v="34.666396331821048"/>
    <n v="31.209249496635671"/>
    <n v="31.402750339991186"/>
    <n v="34.380393054849854"/>
    <n v="30.530665085946545"/>
    <n v="33.99846359269057"/>
    <n v="30.627732521658782"/>
    <n v="32.36771844449288"/>
    <n v="30.918681217567919"/>
    <n v="30.724757688833094"/>
    <n v="32.001228761590369"/>
    <n v="0.45160902034321865"/>
    <n v="30.530665085946545"/>
    <n v="30.700501397039517"/>
    <n v="31.305999918313429"/>
  </r>
  <r>
    <n v="307"/>
    <x v="5"/>
    <x v="5"/>
    <x v="1"/>
    <x v="1"/>
    <x v="0"/>
    <x v="3"/>
    <x v="0"/>
    <n v="13.551"/>
    <n v="32.848617426571309"/>
    <n v="33.520100722888003"/>
    <n v="32.560204842938049"/>
    <n v="31.982238425147379"/>
    <n v="32.944670417373203"/>
    <n v="33.136649593363188"/>
    <n v="33.520100722888003"/>
    <n v="33.232575778551293"/>
    <n v="33.520100722888003"/>
    <n v="41.6928427826522"/>
    <n v="33.32845969520146"/>
    <n v="35.522123661686329"/>
    <n v="33.984057066012369"/>
    <n v="0.74138284393824849"/>
    <n v="31.982238425147379"/>
    <n v="32.920657169672729"/>
    <n v="33.280517736876376"/>
  </r>
  <r>
    <n v="308"/>
    <x v="2"/>
    <x v="2"/>
    <x v="0"/>
    <x v="2"/>
    <x v="0"/>
    <x v="3"/>
    <x v="0"/>
    <n v="13.567"/>
    <n v="32.752522167231483"/>
    <n v="33.807245250383332"/>
    <n v="33.99846359269057"/>
    <n v="33.807245250383332"/>
    <n v="33.90287555580592"/>
    <n v="32.848617426571309"/>
    <n v="34.189512860846072"/>
    <n v="34.284974092116926"/>
    <n v="33.807245250383332"/>
    <n v="33.232575778551293"/>
    <n v="33.424301343313701"/>
    <n v="32.560204842938049"/>
    <n v="33.551315284267936"/>
    <n v="0.16736528082209776"/>
    <n v="32.560204842938049"/>
    <n v="33.136586190556301"/>
    <n v="33.807245250383332"/>
  </r>
  <r>
    <n v="401"/>
    <x v="10"/>
    <x v="10"/>
    <x v="1"/>
    <x v="0"/>
    <x v="0"/>
    <x v="2"/>
    <x v="0"/>
    <n v="13.765000000000001"/>
    <n v="33.99846359269057"/>
    <n v="35.996048335006122"/>
    <n v="35.047142274918258"/>
    <n v="31.209249496635671"/>
    <n v="32.17506297189599"/>
    <n v="31.69268459098997"/>
    <n v="32.17506297189599"/>
    <n v="35.996048335006122"/>
    <n v="32.078671832790647"/>
    <n v="36.752129848345369"/>
    <n v="34.189512860846072"/>
    <n v="32.752522167231483"/>
    <n v="33.671883273187682"/>
    <n v="0.55325222997660828"/>
    <n v="31.209249496635671"/>
    <n v="32.150965187119652"/>
    <n v="33.37549287996103"/>
  </r>
  <r>
    <n v="402"/>
    <x v="5"/>
    <x v="5"/>
    <x v="1"/>
    <x v="1"/>
    <x v="0"/>
    <x v="2"/>
    <x v="0"/>
    <n v="13.746"/>
    <n v="36.657767599060726"/>
    <n v="33.040681139637165"/>
    <n v="32.752522167231483"/>
    <n v="33.807245250383332"/>
    <n v="30.918681217567919"/>
    <n v="31.209249496635671"/>
    <n v="30.918681217567919"/>
    <n v="30.918681217567919"/>
    <n v="30.239209167582239"/>
    <n v="30.433555381696376"/>
    <n v="31.306021052582388"/>
    <n v="29.557665959237934"/>
    <n v="31.813330072229249"/>
    <n v="0.56626009948461198"/>
    <n v="29.557665959237934"/>
    <n v="30.797399758600033"/>
    <n v="31.063965357101793"/>
  </r>
  <r>
    <n v="403"/>
    <x v="11"/>
    <x v="11"/>
    <x v="0"/>
    <x v="2"/>
    <x v="1"/>
    <x v="2"/>
    <x v="0"/>
    <n v="13.726000000000001"/>
    <n v="29.362558911441035"/>
    <n v="29.362558911441035"/>
    <n v="29.460133569608448"/>
    <n v="29.362558911441035"/>
    <n v="30.044693879316377"/>
    <n v="30.530665085946545"/>
    <n v="29.460133569608448"/>
    <n v="30.918681217567919"/>
    <n v="29.460133569608448"/>
    <n v="30.821740587469471"/>
    <n v="29.85000951689879"/>
    <n v="29.557665959237934"/>
    <n v="29.849294474132126"/>
    <n v="0.1706007021405006"/>
    <n v="29.362558911441035"/>
    <n v="29.435739905066594"/>
    <n v="29.508899764423191"/>
  </r>
  <r>
    <n v="404"/>
    <x v="6"/>
    <x v="6"/>
    <x v="0"/>
    <x v="1"/>
    <x v="0"/>
    <x v="2"/>
    <x v="0"/>
    <n v="13.694000000000001"/>
    <n v="29.752603932883105"/>
    <n v="29.167282789492415"/>
    <n v="30.336403408908268"/>
    <n v="30.14197265771827"/>
    <n v="30.044693879316377"/>
    <n v="31.596082109194974"/>
    <n v="29.557665959237934"/>
    <n v="30.627732521658782"/>
    <n v="30.530665085946545"/>
    <n v="30.821740587469471"/>
    <n v="30.433555381696376"/>
    <n v="30.044693879316377"/>
    <n v="30.254591016069906"/>
    <n v="0.18249452530383206"/>
    <n v="29.167282789492415"/>
    <n v="29.97167139270806"/>
    <n v="30.239188033313269"/>
  </r>
  <r>
    <n v="405"/>
    <x v="11"/>
    <x v="11"/>
    <x v="0"/>
    <x v="2"/>
    <x v="1"/>
    <x v="3"/>
    <x v="0"/>
    <n v="13.675000000000001"/>
    <n v="32.463982777984434"/>
    <n v="31.112435672151012"/>
    <n v="31.306021052582388"/>
    <n v="30.627732521658782"/>
    <n v="30.918681217567919"/>
    <n v="31.015579579128431"/>
    <n v="31.306021052582388"/>
    <n v="31.112435672151012"/>
    <n v="31.112435672151012"/>
    <n v="33.232575778551293"/>
    <n v="30.724757688833094"/>
    <n v="31.209249496635671"/>
    <n v="31.345159015164786"/>
    <n v="0.21651909719414197"/>
    <n v="30.627732521658782"/>
    <n v="30.991354988738301"/>
    <n v="31.112435672151012"/>
  </r>
  <r>
    <n v="406"/>
    <x v="6"/>
    <x v="6"/>
    <x v="0"/>
    <x v="1"/>
    <x v="0"/>
    <x v="3"/>
    <x v="0"/>
    <n v="13.656000000000001"/>
    <n v="34.380393054849854"/>
    <n v="32.078671832790647"/>
    <n v="32.656384639353732"/>
    <n v="32.944670417373203"/>
    <n v="32.271411842463394"/>
    <n v="32.944670417373203"/>
    <n v="32.656384639353732"/>
    <n v="33.90287555580592"/>
    <n v="32.36771844449288"/>
    <n v="32.271411842463394"/>
    <n v="32.17506297189599"/>
    <n v="31.982238425147379"/>
    <n v="32.719324506946947"/>
    <n v="0.21398557214227371"/>
    <n v="31.982238425147379"/>
    <n v="32.247324624821545"/>
    <n v="32.512051541923306"/>
  </r>
  <r>
    <n v="407"/>
    <x v="10"/>
    <x v="10"/>
    <x v="1"/>
    <x v="0"/>
    <x v="0"/>
    <x v="3"/>
    <x v="0"/>
    <n v="13.625"/>
    <n v="32.848617426571309"/>
    <n v="32.752522167231483"/>
    <n v="32.17506297189599"/>
    <n v="31.789244804247033"/>
    <n v="33.136649593363188"/>
    <n v="33.32845969520146"/>
    <n v="33.040681139637165"/>
    <n v="39.656394381355582"/>
    <n v="32.848617426571309"/>
    <n v="32.752522167231483"/>
    <n v="32.078671832790647"/>
    <n v="32.271411842463394"/>
    <n v="33.223237954046674"/>
    <n v="0.60007725039536686"/>
    <n v="31.789244804247033"/>
    <n v="32.247324624821545"/>
    <n v="32.800569796901399"/>
  </r>
  <r>
    <n v="408"/>
    <x v="3"/>
    <x v="3"/>
    <x v="1"/>
    <x v="1"/>
    <x v="1"/>
    <x v="3"/>
    <x v="0"/>
    <n v="13.598000000000001"/>
    <n v="44.164159728220241"/>
    <n v="34.856853840445517"/>
    <n v="39.097448805633931"/>
    <n v="40.954683129395761"/>
    <n v="35.332257912592901"/>
    <n v="36.657767599060726"/>
    <n v="45.433452259239651"/>
    <n v="34.189512860846072"/>
    <n v="48.303582686223848"/>
    <n v="32.656384639353732"/>
    <n v="37.12915616010465"/>
    <n v="40.306574334554988"/>
    <n v="39.090152829639337"/>
    <n v="1.4116419001108587"/>
    <n v="32.656384639353732"/>
    <n v="35.213406894556059"/>
    <n v="38.113302482869287"/>
  </r>
  <r>
    <n v="901"/>
    <x v="12"/>
    <x v="12"/>
    <x v="2"/>
    <x v="3"/>
    <x v="1"/>
    <x v="0"/>
    <x v="0"/>
    <n v="13.436"/>
    <n v="40.306574334554988"/>
    <n v="36.940727541300873"/>
    <n v="41.6928427826522"/>
    <n v="43.252449981511781"/>
    <n v="37.505506175257025"/>
    <n v="40.213818289711718"/>
    <n v="37.317415704756705"/>
    <n v="44.70915668642462"/>
    <n v="37.787324866973037"/>
    <n v="38.53698156254675"/>
    <n v="44.345994455106755"/>
    <n v="38.256177315741091"/>
    <n v="40.072080808044795"/>
    <n v="0.81389685569241454"/>
    <n v="36.940727541300873"/>
    <n v="37.716870194044034"/>
    <n v="39.375399926129234"/>
  </r>
  <r>
    <n v="902"/>
    <x v="13"/>
    <x v="13"/>
    <x v="3"/>
    <x v="1"/>
    <x v="0"/>
    <x v="0"/>
    <x v="0"/>
    <n v="13.412000000000001"/>
    <n v="55.717186328038018"/>
    <n v="45.704365668169423"/>
    <n v="51.917682428783387"/>
    <n v="42.886582563766325"/>
    <n v="43.526406725172592"/>
    <n v="39.470248263600091"/>
    <n v="51.130430130366555"/>
    <n v="43.799983051992029"/>
    <n v="44.164159728220241"/>
    <n v="47.232356000656516"/>
    <n v="40.954683129395761"/>
    <n v="40.584588857857192"/>
    <n v="45.590722739668173"/>
    <n v="1.4480968938463981"/>
    <n v="39.470248263600091"/>
    <n v="42.403607705173684"/>
    <n v="43.982071390106135"/>
  </r>
  <r>
    <n v="903"/>
    <x v="14"/>
    <x v="14"/>
    <x v="4"/>
    <x v="3"/>
    <x v="1"/>
    <x v="0"/>
    <x v="0"/>
    <n v="13.404999999999999"/>
    <n v="58.092445759510916"/>
    <n v="59.01651679191761"/>
    <n v="58.932721677115751"/>
    <n v="58.681082721482568"/>
    <n v="58.429063349008011"/>
    <n v="58.597118532528988"/>
    <n v="59.183980215907532"/>
    <n v="58.513112075037469"/>
    <n v="59.01651679191761"/>
    <n v="58.932721677115751"/>
    <n v="58.765004641898223"/>
    <n v="58.597118532528988"/>
    <n v="58.729783563830786"/>
    <n v="8.8569661784474674E-2"/>
    <n v="58.092445759510916"/>
    <n v="58.57611691815611"/>
    <n v="58.723043681690399"/>
  </r>
  <r>
    <n v="904"/>
    <x v="15"/>
    <x v="15"/>
    <x v="5"/>
    <x v="1"/>
    <x v="0"/>
    <x v="0"/>
    <x v="0"/>
    <n v="13.382"/>
    <n v="62.988974501799959"/>
    <n v="46.064991787211426"/>
    <n v="62.004990078522511"/>
    <n v="55.460728759080688"/>
    <n v="57.586251319127314"/>
    <n v="47.142812364696013"/>
    <n v="60.102006847390086"/>
    <n v="58.681082721482568"/>
    <n v="57.923883353534769"/>
    <n v="52.440615210187715"/>
    <n v="59.183980215907532"/>
    <n v="53.308788362827102"/>
    <n v="56.07409212681398"/>
    <n v="1.5632292831195598"/>
    <n v="46.064991787211426"/>
    <n v="53.091745074667259"/>
    <n v="57.755067336331038"/>
  </r>
  <r>
    <n v="905"/>
    <x v="12"/>
    <x v="12"/>
    <x v="2"/>
    <x v="3"/>
    <x v="1"/>
    <x v="1"/>
    <x v="0"/>
    <n v="13.371"/>
    <n v="36.090706464056289"/>
    <n v="39.377111801915447"/>
    <n v="37.317415704756705"/>
    <n v="42.520038849413964"/>
    <n v="37.317415704756705"/>
    <n v="39.74940403742643"/>
    <n v="36.752129848345369"/>
    <n v="38.910795465423256"/>
    <n v="42.795010037985129"/>
    <n v="37.974992652094045"/>
    <n v="44.164159728220241"/>
    <n v="37.505506175257025"/>
    <n v="39.206223872470886"/>
    <n v="0.75941563911220389"/>
    <n v="36.090706464056289"/>
    <n v="37.317415704756705"/>
    <n v="38.442894058758654"/>
  </r>
  <r>
    <n v="906"/>
    <x v="13"/>
    <x v="13"/>
    <x v="3"/>
    <x v="1"/>
    <x v="0"/>
    <x v="1"/>
    <x v="0"/>
    <n v="13.342000000000001"/>
    <n v="51.480742726153345"/>
    <n v="44.981084540264739"/>
    <n v="45.162158433468498"/>
    <n v="46.514823393910468"/>
    <n v="42.244687244001433"/>
    <n v="41.784922530888572"/>
    <n v="42.795010037985129"/>
    <n v="41.876960010587005"/>
    <n v="41.13947665393745"/>
    <n v="42.795010037985129"/>
    <n v="46.78421513547471"/>
    <n v="40.12101997633053"/>
    <n v="43.973342560082251"/>
    <n v="0.91688861780654884"/>
    <n v="40.12101997633053"/>
    <n v="41.853950640662397"/>
    <n v="42.795010037985129"/>
  </r>
  <r>
    <n v="907"/>
    <x v="14"/>
    <x v="14"/>
    <x v="4"/>
    <x v="3"/>
    <x v="1"/>
    <x v="1"/>
    <x v="0"/>
    <n v="13.334"/>
    <n v="58.176663559692088"/>
    <n v="58.848884293775946"/>
    <n v="58.429063349008011"/>
    <n v="57.755151873406909"/>
    <n v="58.176663559692088"/>
    <n v="58.513112075037469"/>
    <n v="58.932721677115751"/>
    <n v="57.586251319127314"/>
    <n v="58.429063349008011"/>
    <n v="58.260839091335328"/>
    <n v="58.176663559692088"/>
    <n v="58.513112075037469"/>
    <n v="58.31651581516072"/>
    <n v="0.11267920077008985"/>
    <n v="57.586251319127314"/>
    <n v="58.176663559692088"/>
    <n v="58.344951220171666"/>
  </r>
  <r>
    <n v="908"/>
    <x v="15"/>
    <x v="15"/>
    <x v="5"/>
    <x v="1"/>
    <x v="0"/>
    <x v="1"/>
    <x v="0"/>
    <n v="13.304"/>
    <n v="61.758042930599686"/>
    <n v="51.305670965335814"/>
    <n v="62.251556809603933"/>
    <n v="47.76873017712294"/>
    <n v="60.018761223581315"/>
    <n v="46.064991787211426"/>
    <n v="58.765004641898223"/>
    <n v="56.993767920203922"/>
    <n v="59.768770740927465"/>
    <n v="50.33975408037729"/>
    <n v="62.169410167781386"/>
    <n v="50.33975408037729"/>
    <n v="55.62868462708505"/>
    <n v="1.741217628230431"/>
    <n v="46.064991787211426"/>
    <n v="50.33975408037729"/>
    <n v="57.879386281051069"/>
  </r>
  <r>
    <n v="101"/>
    <x v="0"/>
    <x v="0"/>
    <x v="0"/>
    <x v="0"/>
    <x v="0"/>
    <x v="0"/>
    <x v="1"/>
    <n v="13.129"/>
    <n v="33.232575778551293"/>
    <n v="33.520100722888003"/>
    <n v="32.752522167231483"/>
    <n v="32.656384639353732"/>
    <n v="32.463982777984434"/>
    <n v="33.232575778551293"/>
    <n v="31.306021052582388"/>
    <n v="33.99846359269057"/>
    <n v="31.209249496635671"/>
    <n v="30.239209167582239"/>
    <n v="32.078671832790647"/>
    <n v="31.982238425147379"/>
    <n v="32.389332952665761"/>
    <n v="0.31322225519822239"/>
    <n v="30.239209167582239"/>
    <n v="31.813184082006131"/>
    <n v="32.560183708669086"/>
  </r>
  <r>
    <n v="102"/>
    <x v="1"/>
    <x v="1"/>
    <x v="0"/>
    <x v="1"/>
    <x v="1"/>
    <x v="0"/>
    <x v="1"/>
    <n v="13.11"/>
    <n v="29.752603932883105"/>
    <n v="31.499437358862043"/>
    <n v="30.530665085946545"/>
    <n v="30.14197265771827"/>
    <n v="31.112435672151012"/>
    <n v="30.044693879316377"/>
    <n v="29.85000951689879"/>
    <n v="31.306021052582388"/>
    <n v="31.306021052582388"/>
    <n v="31.306021052582388"/>
    <n v="31.015579579128431"/>
    <n v="31.499437358862043"/>
    <n v="30.78040818329281"/>
    <n v="0.19387653721638937"/>
    <n v="29.752603932883105"/>
    <n v="30.117652963117798"/>
    <n v="31.064007625639722"/>
  </r>
  <r>
    <n v="103"/>
    <x v="2"/>
    <x v="2"/>
    <x v="0"/>
    <x v="2"/>
    <x v="0"/>
    <x v="0"/>
    <x v="1"/>
    <n v="13.093"/>
    <n v="31.596082109194974"/>
    <n v="31.69268459098997"/>
    <n v="30.918681217567919"/>
    <n v="32.078671832790647"/>
    <n v="33.136649593363188"/>
    <n v="32.944670417373203"/>
    <n v="32.944670417373203"/>
    <n v="31.982238425147379"/>
    <n v="33.040681139637165"/>
    <n v="31.306021052582388"/>
    <n v="31.015579579128431"/>
    <n v="32.752522167231483"/>
    <n v="32.117429378531661"/>
    <n v="0.23748437651880636"/>
    <n v="30.918681217567919"/>
    <n v="31.523566845041827"/>
    <n v="32.03045512896901"/>
  </r>
  <r>
    <n v="104"/>
    <x v="3"/>
    <x v="3"/>
    <x v="1"/>
    <x v="1"/>
    <x v="1"/>
    <x v="0"/>
    <x v="1"/>
    <n v="13.074"/>
    <n v="33.424301343313701"/>
    <n v="33.32845969520146"/>
    <n v="32.560204842938049"/>
    <n v="30.821740587469471"/>
    <n v="34.571104174701908"/>
    <n v="32.944670417373203"/>
    <n v="32.848617426571309"/>
    <n v="33.90287555580592"/>
    <n v="32.36771844449288"/>
    <n v="33.040681139637165"/>
    <n v="30.724757688833094"/>
    <n v="31.982238425147379"/>
    <n v="32.709780811790459"/>
    <n v="0.32728169782957234"/>
    <n v="30.724757688833094"/>
    <n v="32.271348439656506"/>
    <n v="32.896643921972256"/>
  </r>
  <r>
    <n v="105"/>
    <x v="4"/>
    <x v="4"/>
    <x v="1"/>
    <x v="2"/>
    <x v="1"/>
    <x v="1"/>
    <x v="1"/>
    <n v="13.054"/>
    <n v="34.571104174701908"/>
    <n v="35.901347937418031"/>
    <n v="36.846449829092094"/>
    <n v="35.332257912592901"/>
    <n v="33.711572676422826"/>
    <n v="33.807245250383332"/>
    <n v="33.711572676422826"/>
    <n v="33.136649593363188"/>
    <n v="35.142223089347738"/>
    <n v="35.522123661686329"/>
    <n v="32.944670417373203"/>
    <n v="34.856853840445517"/>
    <n v="34.623672588270828"/>
    <n v="0.34343655167660142"/>
    <n v="32.944670417373203"/>
    <n v="33.711572676422826"/>
    <n v="34.713979007573712"/>
  </r>
  <r>
    <n v="106"/>
    <x v="5"/>
    <x v="5"/>
    <x v="1"/>
    <x v="1"/>
    <x v="0"/>
    <x v="1"/>
    <x v="1"/>
    <n v="13.035"/>
    <n v="32.463982777984434"/>
    <n v="33.136649593363188"/>
    <n v="31.499437358862043"/>
    <n v="32.463982777984434"/>
    <n v="32.078671832790647"/>
    <n v="31.596082109194974"/>
    <n v="33.520100722888003"/>
    <n v="32.271411842463394"/>
    <n v="31.982238425147379"/>
    <n v="32.17506297189599"/>
    <n v="32.271411842463394"/>
    <n v="31.596082109194974"/>
    <n v="32.254592863686078"/>
    <n v="0.17444220762190699"/>
    <n v="31.499437358862043"/>
    <n v="31.885699346159278"/>
    <n v="32.223237407179695"/>
  </r>
  <r>
    <n v="107"/>
    <x v="3"/>
    <x v="3"/>
    <x v="1"/>
    <x v="1"/>
    <x v="1"/>
    <x v="1"/>
    <x v="1"/>
    <n v="13.018000000000001"/>
    <n v="33.711572676422826"/>
    <n v="34.09400936103728"/>
    <n v="32.271411842463394"/>
    <n v="32.560204842938049"/>
    <n v="31.112435672151012"/>
    <n v="30.336403408908268"/>
    <n v="31.499437358862043"/>
    <n v="30.821740587469471"/>
    <n v="29.557665959237934"/>
    <n v="33.520100722888003"/>
    <n v="31.982238425147379"/>
    <n v="30.433555381696376"/>
    <n v="31.825064686601834"/>
    <n v="0.41976337096408028"/>
    <n v="29.557665959237934"/>
    <n v="30.724694286026196"/>
    <n v="31.740837892004713"/>
  </r>
  <r>
    <n v="108"/>
    <x v="6"/>
    <x v="6"/>
    <x v="0"/>
    <x v="1"/>
    <x v="0"/>
    <x v="1"/>
    <x v="1"/>
    <n v="12.988"/>
    <n v="31.499437358862043"/>
    <n v="30.724757688833094"/>
    <n v="31.306021052582388"/>
    <n v="31.789244804247033"/>
    <n v="32.36771844449288"/>
    <n v="31.015579579128431"/>
    <n v="31.306021052582388"/>
    <n v="30.336403408908268"/>
    <n v="30.724757688833094"/>
    <n v="30.044693879316377"/>
    <n v="31.306021052582388"/>
    <n v="30.239209167582239"/>
    <n v="31.054988764829218"/>
    <n v="0.19600542193063297"/>
    <n v="30.044693879316377"/>
    <n v="30.627669118851887"/>
    <n v="31.160800315855411"/>
  </r>
  <r>
    <n v="201"/>
    <x v="4"/>
    <x v="4"/>
    <x v="1"/>
    <x v="2"/>
    <x v="1"/>
    <x v="0"/>
    <x v="1"/>
    <n v="13.151"/>
    <n v="37.317415704756705"/>
    <n v="38.162491363063346"/>
    <n v="38.443422415482786"/>
    <n v="37.974992652094045"/>
    <n v="34.284974092116926"/>
    <n v="34.95201919195086"/>
    <n v="37.599488007700295"/>
    <n v="36.563363081238144"/>
    <n v="37.974992652094045"/>
    <n v="36.846449829092094"/>
    <n v="36.563363081238144"/>
    <n v="39.470248263600091"/>
    <n v="37.179435027868955"/>
    <n v="0.42177879129108209"/>
    <n v="34.284974092116926"/>
    <n v="36.563363081238144"/>
    <n v="37.4584518562285"/>
  </r>
  <r>
    <n v="202"/>
    <x v="5"/>
    <x v="5"/>
    <x v="1"/>
    <x v="1"/>
    <x v="0"/>
    <x v="0"/>
    <x v="1"/>
    <n v="13.170999999999999"/>
    <n v="32.656384639353732"/>
    <n v="34.95201919195086"/>
    <n v="33.711572676422826"/>
    <n v="34.09400936103728"/>
    <n v="37.22330706669964"/>
    <n v="35.047142274918258"/>
    <n v="34.666396331821048"/>
    <n v="33.424301343313701"/>
    <n v="35.806605271292"/>
    <n v="32.848617426571309"/>
    <n v="36.46891629487763"/>
    <n v="36.185322324568524"/>
    <n v="34.757049516902235"/>
    <n v="0.42326828463081367"/>
    <n v="32.656384639353732"/>
    <n v="33.639754843145546"/>
    <n v="34.809207761885958"/>
  </r>
  <r>
    <n v="203"/>
    <x v="6"/>
    <x v="6"/>
    <x v="0"/>
    <x v="1"/>
    <x v="0"/>
    <x v="0"/>
    <x v="1"/>
    <n v="13.186999999999999"/>
    <n v="31.69268459098997"/>
    <n v="33.32845969520146"/>
    <n v="33.32845969520146"/>
    <n v="32.560204842938049"/>
    <n v="31.209249496635671"/>
    <n v="32.848617426571309"/>
    <n v="33.615857833924373"/>
    <n v="32.848617426571309"/>
    <n v="34.189512860846072"/>
    <n v="32.17506297189599"/>
    <n v="33.040681139637165"/>
    <n v="33.424301343313701"/>
    <n v="32.855142443643878"/>
    <n v="0.24270431095560518"/>
    <n v="31.209249496635671"/>
    <n v="32.463919375177532"/>
    <n v="32.944649283104241"/>
  </r>
  <r>
    <n v="204"/>
    <x v="7"/>
    <x v="7"/>
    <x v="1"/>
    <x v="2"/>
    <x v="0"/>
    <x v="0"/>
    <x v="1"/>
    <n v="13.206"/>
    <n v="33.424301343313701"/>
    <n v="33.99846359269057"/>
    <n v="35.616993133426149"/>
    <n v="36.563363081238144"/>
    <n v="35.142223089347738"/>
    <n v="36.563363081238144"/>
    <n v="34.284974092116926"/>
    <n v="34.571104174701908"/>
    <n v="39.097448805633931"/>
    <n v="37.505506175257025"/>
    <n v="36.279895916542827"/>
    <n v="35.806605271292"/>
    <n v="35.737853479733253"/>
    <n v="0.46296550472320813"/>
    <n v="33.424301343313701"/>
    <n v="34.499571654055664"/>
    <n v="35.711799202359074"/>
  </r>
  <r>
    <n v="205"/>
    <x v="0"/>
    <x v="0"/>
    <x v="0"/>
    <x v="0"/>
    <x v="0"/>
    <x v="1"/>
    <x v="1"/>
    <n v="13.233000000000001"/>
    <n v="30.724757688833094"/>
    <n v="30.724757688833094"/>
    <n v="30.336403408908268"/>
    <n v="29.947372832376555"/>
    <n v="30.530665085946545"/>
    <n v="32.17506297189599"/>
    <n v="29.557665959237934"/>
    <n v="29.264941984735692"/>
    <n v="29.85000951689879"/>
    <n v="31.69268459098997"/>
    <n v="30.627732521658782"/>
    <n v="30.627732521658782"/>
    <n v="30.504982230997797"/>
    <n v="0.23885218272684194"/>
    <n v="29.264941984735692"/>
    <n v="29.923032003507114"/>
    <n v="30.579198803802662"/>
  </r>
  <r>
    <n v="206"/>
    <x v="8"/>
    <x v="8"/>
    <x v="1"/>
    <x v="0"/>
    <x v="1"/>
    <x v="1"/>
    <x v="1"/>
    <n v="13.252000000000001"/>
    <n v="30.14197265771827"/>
    <n v="31.112435672151012"/>
    <n v="30.433555381696376"/>
    <n v="30.821740587469471"/>
    <n v="30.239209167582239"/>
    <n v="30.918681217567919"/>
    <n v="31.69268459098997"/>
    <n v="31.789244804247033"/>
    <n v="33.807245250383332"/>
    <n v="31.306021052582388"/>
    <n v="32.078671832790647"/>
    <n v="30.14197265771827"/>
    <n v="31.206952906074736"/>
    <n v="0.30338604173664679"/>
    <n v="30.14197265771827"/>
    <n v="30.384968828167843"/>
    <n v="31.015558444859465"/>
  </r>
  <r>
    <n v="207"/>
    <x v="1"/>
    <x v="1"/>
    <x v="0"/>
    <x v="1"/>
    <x v="1"/>
    <x v="1"/>
    <x v="1"/>
    <n v="13.269"/>
    <n v="30.433555381696376"/>
    <n v="31.015579579128431"/>
    <n v="30.044693879316377"/>
    <n v="32.17506297189599"/>
    <n v="30.530665085946545"/>
    <n v="30.336403408908268"/>
    <n v="32.36771844449288"/>
    <n v="30.530665085946545"/>
    <n v="29.947372832376555"/>
    <n v="31.885762748966172"/>
    <n v="29.947372832376555"/>
    <n v="30.821740587469471"/>
    <n v="30.836382736543346"/>
    <n v="0.24736799923606714"/>
    <n v="29.947372832376555"/>
    <n v="30.263476026510297"/>
    <n v="30.530665085946545"/>
  </r>
  <r>
    <n v="208"/>
    <x v="9"/>
    <x v="9"/>
    <x v="0"/>
    <x v="0"/>
    <x v="1"/>
    <x v="1"/>
    <x v="1"/>
    <n v="13.288"/>
    <n v="30.14197265771827"/>
    <n v="29.752603932883105"/>
    <n v="30.14197265771827"/>
    <n v="29.362558911441035"/>
    <n v="28.97183759339207"/>
    <n v="32.560204842938049"/>
    <n v="30.821740587469471"/>
    <n v="29.752603932883105"/>
    <n v="30.821740587469471"/>
    <n v="30.239209167582239"/>
    <n v="31.015579579128431"/>
    <n v="28.874051592535"/>
    <n v="30.20467300359655"/>
    <n v="0.29368383151241328"/>
    <n v="28.874051592535"/>
    <n v="29.655092677522589"/>
    <n v="30.14197265771827"/>
  </r>
  <r>
    <n v="301"/>
    <x v="3"/>
    <x v="3"/>
    <x v="1"/>
    <x v="1"/>
    <x v="1"/>
    <x v="2"/>
    <x v="1"/>
    <n v="13.451000000000001"/>
    <n v="31.209249496635671"/>
    <n v="33.32845969520146"/>
    <n v="31.69268459098997"/>
    <n v="31.885762748966172"/>
    <n v="30.530665085946545"/>
    <n v="31.69268459098997"/>
    <n v="30.627732521658782"/>
    <n v="30.918681217567919"/>
    <n v="31.015579579128431"/>
    <n v="31.982238425147379"/>
    <n v="31.789244804247033"/>
    <n v="32.078671832790647"/>
    <n v="31.562637882439162"/>
    <n v="0.22238240351627536"/>
    <n v="30.530665085946545"/>
    <n v="30.991354988738301"/>
    <n v="31.69268459098997"/>
  </r>
  <r>
    <n v="302"/>
    <x v="1"/>
    <x v="1"/>
    <x v="0"/>
    <x v="1"/>
    <x v="1"/>
    <x v="2"/>
    <x v="1"/>
    <n v="13.467000000000001"/>
    <n v="31.209249496635671"/>
    <n v="30.627732521658782"/>
    <n v="31.306021052582388"/>
    <n v="31.499437358862043"/>
    <n v="29.362558911441035"/>
    <n v="31.209249496635671"/>
    <n v="30.724757688833094"/>
    <n v="30.627732521658782"/>
    <n v="30.821740587469471"/>
    <n v="30.14197265771827"/>
    <n v="31.306021052582388"/>
    <n v="30.724757688833094"/>
    <n v="30.796769252909218"/>
    <n v="0.1720323431742582"/>
    <n v="29.362558911441035"/>
    <n v="30.627732521658782"/>
    <n v="30.773249138151282"/>
  </r>
  <r>
    <n v="303"/>
    <x v="8"/>
    <x v="8"/>
    <x v="1"/>
    <x v="0"/>
    <x v="1"/>
    <x v="2"/>
    <x v="1"/>
    <n v="13.486000000000001"/>
    <n v="30.918681217567919"/>
    <n v="29.85000951689879"/>
    <n v="31.015579579128431"/>
    <n v="30.044693879316377"/>
    <n v="31.015579579128431"/>
    <n v="30.239209167582239"/>
    <n v="30.044693879316377"/>
    <n v="29.264941984735692"/>
    <n v="29.752603932883105"/>
    <n v="30.14197265771827"/>
    <n v="30.336403408908268"/>
    <n v="30.336403408908268"/>
    <n v="30.246731017674346"/>
    <n v="0.15344487956646002"/>
    <n v="29.264941984735692"/>
    <n v="29.996022788711979"/>
    <n v="30.190590912650254"/>
  </r>
  <r>
    <n v="304"/>
    <x v="9"/>
    <x v="9"/>
    <x v="0"/>
    <x v="0"/>
    <x v="1"/>
    <x v="2"/>
    <x v="1"/>
    <n v="13.504"/>
    <n v="29.65515608032948"/>
    <n v="29.85000951689879"/>
    <n v="30.433555381696376"/>
    <n v="30.918681217567919"/>
    <n v="29.65515608032948"/>
    <n v="31.789244804247033"/>
    <n v="31.015579579128431"/>
    <n v="32.944670417373203"/>
    <n v="29.947372832376555"/>
    <n v="31.015579579128431"/>
    <n v="34.09400936103728"/>
    <n v="31.885762748966172"/>
    <n v="31.100398133256601"/>
    <n v="0.39902184039948868"/>
    <n v="29.65515608032948"/>
    <n v="29.923032003507114"/>
    <n v="30.967130398348175"/>
  </r>
  <r>
    <n v="305"/>
    <x v="7"/>
    <x v="7"/>
    <x v="1"/>
    <x v="2"/>
    <x v="0"/>
    <x v="3"/>
    <x v="1"/>
    <n v="13.521000000000001"/>
    <n v="36.374427239979198"/>
    <n v="31.499437358862043"/>
    <n v="32.944670417373203"/>
    <n v="33.232575778551293"/>
    <n v="32.271411842463394"/>
    <n v="33.136649593363188"/>
    <n v="32.848617426571309"/>
    <n v="30.821740587469471"/>
    <n v="33.615857833924373"/>
    <n v="32.36771844449288"/>
    <n v="31.306021052582388"/>
    <n v="32.078671832790647"/>
    <n v="32.708149950701952"/>
    <n v="0.41275312295849015"/>
    <n v="30.821740587469471"/>
    <n v="31.933863214308495"/>
    <n v="32.608167935532094"/>
  </r>
  <r>
    <n v="306"/>
    <x v="1"/>
    <x v="1"/>
    <x v="0"/>
    <x v="1"/>
    <x v="1"/>
    <x v="3"/>
    <x v="1"/>
    <n v="13.539"/>
    <n v="30.14197265771827"/>
    <n v="30.627732521658782"/>
    <n v="31.402750339991186"/>
    <n v="31.596082109194974"/>
    <n v="32.560204842938049"/>
    <n v="32.656384639353732"/>
    <n v="31.499437358862043"/>
    <n v="32.463982777984434"/>
    <n v="32.463982777984434"/>
    <n v="31.209249496635671"/>
    <n v="30.14197265771827"/>
    <n v="30.724757688833094"/>
    <n v="31.457375822406078"/>
    <n v="0.26758652875307448"/>
    <n v="30.14197265771827"/>
    <n v="30.700501397039517"/>
    <n v="31.451093849426613"/>
  </r>
  <r>
    <n v="307"/>
    <x v="5"/>
    <x v="5"/>
    <x v="1"/>
    <x v="1"/>
    <x v="0"/>
    <x v="3"/>
    <x v="1"/>
    <n v="13.555"/>
    <n v="33.232575778551293"/>
    <n v="33.615857833924373"/>
    <n v="34.475769749044858"/>
    <n v="35.237261635239278"/>
    <n v="35.332257912592901"/>
    <n v="34.09400936103728"/>
    <n v="33.615857833924373"/>
    <n v="34.475769749044858"/>
    <n v="34.380393054849854"/>
    <n v="33.615857833924373"/>
    <n v="36.279895916542827"/>
    <n v="33.136649593363188"/>
    <n v="34.291013021003288"/>
    <n v="0.27345502324187271"/>
    <n v="33.136649593363188"/>
    <n v="33.615857833924373"/>
    <n v="34.237201207943571"/>
  </r>
  <r>
    <n v="308"/>
    <x v="2"/>
    <x v="2"/>
    <x v="0"/>
    <x v="2"/>
    <x v="0"/>
    <x v="3"/>
    <x v="1"/>
    <n v="13.571999999999999"/>
    <n v="34.189512860846072"/>
    <n v="32.656384639353732"/>
    <n v="34.284974092116926"/>
    <n v="33.32845969520146"/>
    <n v="35.332257912592901"/>
    <n v="32.848617426571309"/>
    <n v="35.522123661686329"/>
    <n v="35.047142274918258"/>
    <n v="36.846449829092094"/>
    <n v="34.666396331821048"/>
    <n v="34.95201919195086"/>
    <n v="33.040681139637165"/>
    <n v="34.392918254649011"/>
    <n v="0.36314838771129443"/>
    <n v="32.656384639353732"/>
    <n v="33.256515056310384"/>
    <n v="34.475685211968987"/>
  </r>
  <r>
    <n v="401"/>
    <x v="10"/>
    <x v="10"/>
    <x v="1"/>
    <x v="0"/>
    <x v="0"/>
    <x v="2"/>
    <x v="1"/>
    <n v="13.77"/>
    <n v="35.332257912592901"/>
    <n v="33.99846359269057"/>
    <n v="34.475769749044858"/>
    <n v="34.09400936103728"/>
    <n v="33.520100722888003"/>
    <n v="31.596082109194974"/>
    <n v="33.99846359269057"/>
    <n v="33.232575778551293"/>
    <n v="33.90287555580592"/>
    <n v="33.807245250383332"/>
    <n v="33.040681139637165"/>
    <n v="33.99846359269057"/>
    <n v="33.749749029767287"/>
    <n v="0.25854416082442505"/>
    <n v="31.596082109194974"/>
    <n v="33.448219486803822"/>
    <n v="33.950669574248245"/>
  </r>
  <r>
    <n v="402"/>
    <x v="5"/>
    <x v="5"/>
    <x v="1"/>
    <x v="1"/>
    <x v="0"/>
    <x v="2"/>
    <x v="1"/>
    <n v="13.750999999999999"/>
    <n v="31.306021052582388"/>
    <n v="30.821740587469471"/>
    <n v="32.944670417373203"/>
    <n v="30.918681217567919"/>
    <n v="30.530665085946545"/>
    <n v="29.65515608032948"/>
    <n v="34.571104174701908"/>
    <n v="33.136649593363188"/>
    <n v="31.789244804247033"/>
    <n v="35.616993133426149"/>
    <n v="31.209249496635671"/>
    <n v="32.36771844449288"/>
    <n v="32.072324507344653"/>
    <n v="0.50238923008220704"/>
    <n v="29.65515608032948"/>
    <n v="30.894446060043308"/>
    <n v="31.547632928414711"/>
  </r>
  <r>
    <n v="403"/>
    <x v="11"/>
    <x v="11"/>
    <x v="0"/>
    <x v="2"/>
    <x v="1"/>
    <x v="2"/>
    <x v="1"/>
    <n v="13.731"/>
    <n v="30.918681217567919"/>
    <n v="30.918681217567919"/>
    <n v="29.460133569608448"/>
    <n v="29.362558911441035"/>
    <n v="30.530665085946545"/>
    <n v="29.264941984735692"/>
    <n v="29.264941984735692"/>
    <n v="28.776223323139998"/>
    <n v="29.167282789492415"/>
    <n v="30.239209167582239"/>
    <n v="29.65515608032948"/>
    <n v="30.14197265771827"/>
    <n v="29.808370665822139"/>
    <n v="0.20770469176181366"/>
    <n v="28.776223323139998"/>
    <n v="29.264941984735692"/>
    <n v="29.557644824968964"/>
  </r>
  <r>
    <n v="404"/>
    <x v="6"/>
    <x v="6"/>
    <x v="0"/>
    <x v="1"/>
    <x v="0"/>
    <x v="2"/>
    <x v="1"/>
    <n v="13.705"/>
    <n v="28.874051592535"/>
    <n v="28.97183759339207"/>
    <n v="29.65515608032948"/>
    <n v="27.40218935512722"/>
    <n v="28.482484903727411"/>
    <n v="29.460133569608448"/>
    <n v="30.433555381696376"/>
    <n v="29.65515608032948"/>
    <n v="30.336403408908268"/>
    <n v="29.65515608032948"/>
    <n v="29.069581325711209"/>
    <n v="29.557665959237934"/>
    <n v="29.296114277577701"/>
    <n v="0.23743535367345689"/>
    <n v="27.40218935512722"/>
    <n v="28.947391093177803"/>
    <n v="29.508899764423191"/>
  </r>
  <r>
    <n v="405"/>
    <x v="11"/>
    <x v="11"/>
    <x v="0"/>
    <x v="2"/>
    <x v="1"/>
    <x v="3"/>
    <x v="1"/>
    <n v="13.68"/>
    <n v="29.947372832376555"/>
    <n v="30.239209167582239"/>
    <n v="30.14197265771827"/>
    <n v="30.530665085946545"/>
    <n v="32.271411842463394"/>
    <n v="30.627732521658782"/>
    <n v="31.402750339991186"/>
    <n v="30.530665085946545"/>
    <n v="29.85000951689879"/>
    <n v="30.239209167582239"/>
    <n v="31.69268459098997"/>
    <n v="31.69268459098997"/>
    <n v="30.763863950012041"/>
    <n v="0.22983276117969414"/>
    <n v="29.85000951689879"/>
    <n v="30.214900040116248"/>
    <n v="30.530665085946545"/>
  </r>
  <r>
    <n v="406"/>
    <x v="6"/>
    <x v="6"/>
    <x v="0"/>
    <x v="1"/>
    <x v="0"/>
    <x v="3"/>
    <x v="1"/>
    <n v="13.661"/>
    <n v="32.36771844449288"/>
    <n v="32.17506297189599"/>
    <n v="31.982238425147379"/>
    <n v="31.112435672151012"/>
    <n v="31.015579579128431"/>
    <n v="31.209249496635671"/>
    <n v="31.499437358862043"/>
    <n v="31.402750339991186"/>
    <n v="30.627732521658782"/>
    <n v="30.530665085946545"/>
    <n v="31.789244804247033"/>
    <n v="31.209249496635671"/>
    <n v="31.410113683066058"/>
    <n v="0.16723614849212223"/>
    <n v="30.530665085946545"/>
    <n v="31.088221648895367"/>
    <n v="31.305999918313429"/>
  </r>
  <r>
    <n v="407"/>
    <x v="10"/>
    <x v="10"/>
    <x v="1"/>
    <x v="0"/>
    <x v="0"/>
    <x v="3"/>
    <x v="1"/>
    <n v="13.63"/>
    <n v="34.761646220402241"/>
    <n v="31.015579579128431"/>
    <n v="30.627732521658782"/>
    <n v="31.982238425147379"/>
    <n v="32.17506297189599"/>
    <n v="31.982238425147379"/>
    <n v="31.885762748966172"/>
    <n v="31.112435672151012"/>
    <n v="34.571104174701908"/>
    <n v="33.424301343313701"/>
    <n v="32.17506297189599"/>
    <n v="34.95201919195086"/>
    <n v="32.555432020529985"/>
    <n v="0.43513502445477797"/>
    <n v="30.627732521658782"/>
    <n v="31.692430979762381"/>
    <n v="32.078650698521685"/>
  </r>
  <r>
    <n v="408"/>
    <x v="3"/>
    <x v="3"/>
    <x v="1"/>
    <x v="1"/>
    <x v="1"/>
    <x v="3"/>
    <x v="1"/>
    <n v="13.603"/>
    <n v="32.848617426571309"/>
    <n v="33.711572676422826"/>
    <n v="33.615857833924373"/>
    <n v="31.596082109194974"/>
    <n v="33.040681139637165"/>
    <n v="31.499437358862043"/>
    <n v="31.789244804247033"/>
    <n v="32.17506297189599"/>
    <n v="31.015579579128431"/>
    <n v="31.982238425147379"/>
    <n v="30.821740587469471"/>
    <n v="31.112435672151012"/>
    <n v="32.100712548721006"/>
    <n v="0.28678167525120729"/>
    <n v="30.821740587469471"/>
    <n v="31.402686937184285"/>
    <n v="31.885741614697206"/>
  </r>
  <r>
    <n v="902"/>
    <x v="13"/>
    <x v="13"/>
    <x v="3"/>
    <x v="1"/>
    <x v="0"/>
    <x v="0"/>
    <x v="1"/>
    <n v="13.417"/>
    <n v="40.584588857857192"/>
    <n v="39.097448805633931"/>
    <n v="42.428297249481055"/>
    <n v="42.152818838454721"/>
    <n v="44.255098225932464"/>
    <n v="45.162158433468498"/>
    <n v="45.52379899742084"/>
    <n v="44.70915668642462"/>
    <n v="45.252631977263476"/>
    <n v="43.526406725172592"/>
    <n v="43.708833211590154"/>
    <n v="44.890484190855958"/>
    <n v="43.440976849962965"/>
    <n v="0.58221076997140087"/>
    <n v="39.097448805633931"/>
    <n v="42.35942764672447"/>
    <n v="43.981965718761309"/>
  </r>
  <r>
    <n v="904"/>
    <x v="15"/>
    <x v="15"/>
    <x v="5"/>
    <x v="1"/>
    <x v="0"/>
    <x v="0"/>
    <x v="1"/>
    <n v="13.387"/>
    <n v="43.252449981511781"/>
    <n v="42.152818838454721"/>
    <n v="43.069600809714913"/>
    <n v="43.89109062385598"/>
    <n v="43.89109062385598"/>
    <n v="44.255098225932464"/>
    <n v="43.526406725172592"/>
    <n v="46.694460156824562"/>
    <n v="42.520038849413964"/>
    <n v="41.784922530888572"/>
    <n v="43.708833211590154"/>
    <n v="45.974898660257821"/>
    <n v="43.726809103122783"/>
    <n v="0.41374135977159504"/>
    <n v="41.784922530888572"/>
    <n v="42.93221031963968"/>
    <n v="43.617619968381376"/>
  </r>
  <r>
    <n v="906"/>
    <x v="13"/>
    <x v="13"/>
    <x v="3"/>
    <x v="1"/>
    <x v="0"/>
    <x v="1"/>
    <x v="1"/>
    <n v="13.346"/>
    <n v="41.416349926715519"/>
    <n v="41.50855648056568"/>
    <n v="44.255098225932464"/>
    <n v="43.89109062385598"/>
    <n v="42.520038849413964"/>
    <n v="39.563342456746803"/>
    <n v="43.799983051992029"/>
    <n v="43.252449981511781"/>
    <n v="44.527660107841555"/>
    <n v="43.343811164603316"/>
    <n v="45.071642621135588"/>
    <n v="44.890484190855958"/>
    <n v="43.170042306764223"/>
    <n v="0.47527471760558704"/>
    <n v="39.563342456746803"/>
    <n v="42.267168257201895"/>
    <n v="43.571897108297676"/>
  </r>
  <r>
    <n v="908"/>
    <x v="15"/>
    <x v="15"/>
    <x v="5"/>
    <x v="1"/>
    <x v="0"/>
    <x v="1"/>
    <x v="1"/>
    <n v="13.31"/>
    <n v="42.978112821009589"/>
    <n v="41.324101104327426"/>
    <n v="42.520038849413964"/>
    <n v="41.50855648056568"/>
    <n v="40.399288110860311"/>
    <n v="41.968955221747507"/>
    <n v="42.978112821009589"/>
    <n v="43.526406725172592"/>
    <n v="42.244687244001433"/>
    <n v="42.795010037985129"/>
    <n v="42.611738180808956"/>
    <n v="42.611738180808956"/>
    <n v="42.288895481475933"/>
    <n v="0.24945696291896546"/>
    <n v="40.399288110860311"/>
    <n v="41.853855536452052"/>
    <n v="42.5658885151114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01"/>
    <x v="0"/>
    <x v="0"/>
    <x v="0"/>
    <x v="0"/>
    <x v="0"/>
    <x v="0"/>
    <x v="0"/>
    <n v="13.183999999999999"/>
    <n v="33.123282147060095"/>
    <n v="33.410933897010601"/>
    <n v="35.128855643044638"/>
    <n v="34.748278774099141"/>
    <n v="34.653028885517948"/>
    <n v="34.462402302741758"/>
    <n v="33.88950810950282"/>
    <n v="33.31509224889836"/>
    <n v="33.506733276584903"/>
    <n v="34.367025608546754"/>
    <n v="38.897428019120156"/>
    <n v="33.027313693334065"/>
    <n v="34.377490217121775"/>
    <n v="0.45784733707963998"/>
    <n v="33.027313693334065"/>
    <n v="33.386973484982541"/>
    <n v="34.128266859024791"/>
  </r>
  <r>
    <n v="102"/>
    <x v="1"/>
    <x v="1"/>
    <x v="0"/>
    <x v="1"/>
    <x v="1"/>
    <x v="0"/>
    <x v="0"/>
    <n v="13.173999999999999"/>
    <n v="33.410933897010601"/>
    <n v="33.793877804080232"/>
    <n v="37.492138728953925"/>
    <n v="35.887980491114931"/>
    <n v="34.462402302741758"/>
    <n v="33.506733276584903"/>
    <n v="35.033774828615158"/>
    <n v="33.698205230119726"/>
    <n v="35.223894188936178"/>
    <n v="35.887980491114931"/>
    <n v="35.413844475105485"/>
    <n v="32.643017193050632"/>
    <n v="34.704565242285703"/>
    <n v="0.39611452459815866"/>
    <n v="32.643017193050632"/>
    <n v="33.650337241736018"/>
    <n v="34.748088565678458"/>
  </r>
  <r>
    <n v="103"/>
    <x v="2"/>
    <x v="2"/>
    <x v="0"/>
    <x v="2"/>
    <x v="0"/>
    <x v="0"/>
    <x v="0"/>
    <n v="13.16"/>
    <n v="33.31509224889836"/>
    <n v="33.31509224889836"/>
    <n v="33.793877804080232"/>
    <n v="33.698205230119726"/>
    <n v="33.88950810950282"/>
    <n v="32.546837396634949"/>
    <n v="33.123282147060095"/>
    <n v="32.546837396634949"/>
    <n v="34.176145414542972"/>
    <n v="33.506733276584903"/>
    <n v="34.843486394142417"/>
    <n v="35.698452890324944"/>
    <n v="33.704462546452056"/>
    <n v="0.25963861249290754"/>
    <n v="32.546837396634949"/>
    <n v="33.267139723438795"/>
    <n v="33.602469253352311"/>
  </r>
  <r>
    <n v="104"/>
    <x v="3"/>
    <x v="3"/>
    <x v="1"/>
    <x v="1"/>
    <x v="1"/>
    <x v="0"/>
    <x v="0"/>
    <n v="13.145"/>
    <n v="34.176145414542972"/>
    <n v="41.310733658024326"/>
    <n v="36.549995634935044"/>
    <n v="42.047540718066976"/>
    <n v="35.508756215383229"/>
    <n v="33.602490387621273"/>
    <n v="36.927360094997773"/>
    <n v="36.738762402042269"/>
    <n v="38.710605604757767"/>
    <n v="33.88950810950282"/>
    <n v="36.266528470239727"/>
    <n v="33.506733276584903"/>
    <n v="36.602929998891589"/>
    <n v="0.82355199391300282"/>
    <n v="33.506733276584903"/>
    <n v="34.104486088282933"/>
    <n v="36.408262052587389"/>
  </r>
  <r>
    <n v="105"/>
    <x v="4"/>
    <x v="4"/>
    <x v="1"/>
    <x v="2"/>
    <x v="1"/>
    <x v="1"/>
    <x v="0"/>
    <n v="13.132"/>
    <n v="33.027313693334065"/>
    <n v="33.123282147060095"/>
    <n v="33.698205230119726"/>
    <n v="33.98509614638747"/>
    <n v="34.367025608546754"/>
    <n v="33.123282147060095"/>
    <n v="33.98509614638747"/>
    <n v="34.938651745647761"/>
    <n v="35.223894188936178"/>
    <n v="36.171954878265424"/>
    <n v="36.361059793676098"/>
    <n v="35.413844475105485"/>
    <n v="34.451558850043881"/>
    <n v="0.33634269653532484"/>
    <n v="33.027313693334065"/>
    <n v="33.554474459354822"/>
    <n v="34.176060877467108"/>
  </r>
  <r>
    <n v="106"/>
    <x v="5"/>
    <x v="5"/>
    <x v="1"/>
    <x v="1"/>
    <x v="0"/>
    <x v="1"/>
    <x v="0"/>
    <n v="13.118"/>
    <n v="34.271606645813826"/>
    <n v="34.271606645813826"/>
    <n v="34.938651745647761"/>
    <n v="32.643017193050632"/>
    <n v="34.557736728398808"/>
    <n v="32.643017193050632"/>
    <n v="35.7932378249889"/>
    <n v="33.219208332248193"/>
    <n v="36.266528470239727"/>
    <n v="32.546837396634949"/>
    <n v="34.557736728398808"/>
    <n v="33.31509224889836"/>
    <n v="34.085356429432032"/>
    <n v="0.3566403948490941"/>
    <n v="32.546837396634949"/>
    <n v="33.075160547448803"/>
    <n v="34.271606645813826"/>
  </r>
  <r>
    <n v="107"/>
    <x v="3"/>
    <x v="3"/>
    <x v="1"/>
    <x v="1"/>
    <x v="1"/>
    <x v="1"/>
    <x v="0"/>
    <n v="13.103"/>
    <n v="32.739154720928383"/>
    <n v="32.931302971070103"/>
    <n v="33.027313693334065"/>
    <n v="37.586120561397195"/>
    <n v="33.506733276584903"/>
    <n v="33.602490387621273"/>
    <n v="31.292653606279288"/>
    <n v="33.410933897010601"/>
    <n v="31.67931714468687"/>
    <n v="37.867812447499411"/>
    <n v="31.968870978844279"/>
    <n v="34.08064191473418"/>
    <n v="33.641112133332548"/>
    <n v="0.60017798536847344"/>
    <n v="31.292653606279288"/>
    <n v="32.546583785407357"/>
    <n v="33.219123795172337"/>
  </r>
  <r>
    <n v="108"/>
    <x v="6"/>
    <x v="6"/>
    <x v="0"/>
    <x v="1"/>
    <x v="0"/>
    <x v="1"/>
    <x v="0"/>
    <n v="13.085000000000001"/>
    <n v="36.266528470239727"/>
    <n v="33.506733276584903"/>
    <n v="33.698205230119726"/>
    <n v="35.698452890324944"/>
    <n v="33.698205230119726"/>
    <n v="34.462402302741758"/>
    <n v="33.027313693334065"/>
    <n v="34.08064191473418"/>
    <n v="33.602490387621273"/>
    <n v="37.492138728953925"/>
    <n v="32.739154720928383"/>
    <n v="37.021595538668628"/>
    <n v="34.607821865364279"/>
    <n v="0.46264433934410565"/>
    <n v="32.739154720928383"/>
    <n v="33.578551109862182"/>
    <n v="33.889423572426949"/>
  </r>
  <r>
    <n v="201"/>
    <x v="4"/>
    <x v="4"/>
    <x v="1"/>
    <x v="2"/>
    <x v="1"/>
    <x v="0"/>
    <x v="0"/>
    <n v="13.21"/>
    <n v="33.698205230119726"/>
    <n v="33.698205230119726"/>
    <n v="34.843486394142417"/>
    <n v="34.08064191473418"/>
    <n v="34.462402302741758"/>
    <n v="33.698205230119726"/>
    <n v="32.258044396160294"/>
    <n v="34.271606645813826"/>
    <n v="35.128855643044638"/>
    <n v="35.318890466289801"/>
    <n v="34.271606645813826"/>
    <n v="35.603625687123049"/>
    <n v="34.277814648851916"/>
    <n v="0.26178595438032753"/>
    <n v="32.258044396160294"/>
    <n v="33.698205230119726"/>
    <n v="34.271606645813826"/>
  </r>
  <r>
    <n v="202"/>
    <x v="5"/>
    <x v="5"/>
    <x v="1"/>
    <x v="1"/>
    <x v="0"/>
    <x v="0"/>
    <x v="0"/>
    <n v="13.221"/>
    <n v="38.617130994769674"/>
    <n v="41.12610920763435"/>
    <n v="33.123282147060095"/>
    <n v="41.402982480412419"/>
    <n v="31.968870978844279"/>
    <n v="32.450615331681334"/>
    <n v="31.775877357943934"/>
    <n v="33.31509224889836"/>
    <n v="31.775877357943934"/>
    <n v="34.462402302741758"/>
    <n v="32.450615331681334"/>
    <n v="33.602490387621273"/>
    <n v="34.672612177269393"/>
    <n v="1.0368376726091517"/>
    <n v="31.775877357943934"/>
    <n v="32.330179243472074"/>
    <n v="33.219187197979224"/>
  </r>
  <r>
    <n v="203"/>
    <x v="6"/>
    <x v="6"/>
    <x v="0"/>
    <x v="1"/>
    <x v="0"/>
    <x v="0"/>
    <x v="0"/>
    <n v="13.237"/>
    <n v="34.367025608546754"/>
    <n v="33.31509224889836"/>
    <n v="33.88950810950282"/>
    <n v="33.793877804080232"/>
    <n v="34.938651745647761"/>
    <n v="34.462402302741758"/>
    <n v="36.077339017753189"/>
    <n v="34.08064191473418"/>
    <n v="35.603625687123049"/>
    <n v="34.748278774099141"/>
    <n v="42.047540718066976"/>
    <n v="34.271606645813826"/>
    <n v="35.132965881417341"/>
    <n v="0.66651571812111587"/>
    <n v="33.31509224889836"/>
    <n v="34.032858463426336"/>
    <n v="34.41471395564426"/>
  </r>
  <r>
    <n v="204"/>
    <x v="7"/>
    <x v="7"/>
    <x v="1"/>
    <x v="2"/>
    <x v="0"/>
    <x v="0"/>
    <x v="0"/>
    <n v="13.250999999999999"/>
    <n v="34.367025608546754"/>
    <n v="34.462402302741758"/>
    <n v="33.88950810950282"/>
    <n v="32.931302971070103"/>
    <n v="33.027313693334065"/>
    <n v="33.027313693334065"/>
    <n v="32.450615331681334"/>
    <n v="32.931302971070103"/>
    <n v="32.931302971070103"/>
    <n v="33.123282147060095"/>
    <n v="32.739154720928383"/>
    <n v="32.258044396160294"/>
    <n v="33.178214076374992"/>
    <n v="0.20167276604404957"/>
    <n v="32.258044396160294"/>
    <n v="32.883265908534675"/>
    <n v="32.979308332202081"/>
  </r>
  <r>
    <n v="205"/>
    <x v="0"/>
    <x v="0"/>
    <x v="0"/>
    <x v="0"/>
    <x v="0"/>
    <x v="1"/>
    <x v="0"/>
    <n v="13.276"/>
    <n v="32.835249980268209"/>
    <n v="33.602490387621273"/>
    <n v="32.450615331681334"/>
    <n v="31.389382893688087"/>
    <n v="32.16169552559289"/>
    <n v="31.002212132825331"/>
    <n v="33.123282147060095"/>
    <n v="31.775877357943934"/>
    <n v="32.16169552559289"/>
    <n v="31.486069912558943"/>
    <n v="32.065304386487547"/>
    <n v="31.67931714468687"/>
    <n v="32.144432727167285"/>
    <n v="0.21885181082397354"/>
    <n v="31.002212132825331"/>
    <n v="31.631005336654887"/>
    <n v="32.113499956040215"/>
  </r>
  <r>
    <n v="206"/>
    <x v="8"/>
    <x v="8"/>
    <x v="1"/>
    <x v="0"/>
    <x v="1"/>
    <x v="1"/>
    <x v="0"/>
    <n v="13.289"/>
    <n v="31.099068225847912"/>
    <n v="35.982680888703015"/>
    <n v="36.171954878265424"/>
    <n v="35.887980491114931"/>
    <n v="32.16169552559289"/>
    <n v="31.099068225847912"/>
    <n v="32.16169552559289"/>
    <n v="30.420187935393276"/>
    <n v="36.077339017753189"/>
    <n v="32.546837396634949"/>
    <n v="40.200450843408618"/>
    <n v="30.711390242529994"/>
    <n v="33.710029099723748"/>
    <n v="0.88461616192131542"/>
    <n v="30.420187935393276"/>
    <n v="31.099068225847912"/>
    <n v="32.354266461113923"/>
  </r>
  <r>
    <n v="207"/>
    <x v="1"/>
    <x v="1"/>
    <x v="0"/>
    <x v="1"/>
    <x v="1"/>
    <x v="1"/>
    <x v="0"/>
    <n v="13.303000000000001"/>
    <n v="31.775877357943934"/>
    <n v="31.002212132825331"/>
    <n v="32.35435099818978"/>
    <n v="31.775877357943934"/>
    <n v="32.643017193050632"/>
    <n v="31.872395302663072"/>
    <n v="32.546837396634949"/>
    <n v="32.450615331681334"/>
    <n v="34.843486394142417"/>
    <n v="32.546837396634949"/>
    <n v="35.887980491114931"/>
    <n v="32.35435099818978"/>
    <n v="32.671153195917917"/>
    <n v="0.3928768230952519"/>
    <n v="31.002212132825331"/>
    <n v="31.848265816483288"/>
    <n v="32.40248316493556"/>
  </r>
  <r>
    <n v="208"/>
    <x v="9"/>
    <x v="9"/>
    <x v="0"/>
    <x v="0"/>
    <x v="1"/>
    <x v="1"/>
    <x v="0"/>
    <n v="13.316000000000001"/>
    <n v="32.643017193050632"/>
    <n v="32.835249980268209"/>
    <n v="32.546837396634949"/>
    <n v="32.16169552559289"/>
    <n v="32.643017193050632"/>
    <n v="31.292653606279288"/>
    <n v="32.931302971070103"/>
    <n v="34.462402302741758"/>
    <n v="33.027313693334065"/>
    <n v="37.021595538668628"/>
    <n v="33.410933897010601"/>
    <n v="33.98509614638747"/>
    <n v="33.246759620340768"/>
    <n v="0.41588780826945893"/>
    <n v="31.292653606279288"/>
    <n v="32.618972243946715"/>
    <n v="32.883276475669156"/>
  </r>
  <r>
    <n v="301"/>
    <x v="3"/>
    <x v="3"/>
    <x v="1"/>
    <x v="1"/>
    <x v="1"/>
    <x v="2"/>
    <x v="0"/>
    <n v="13.468999999999999"/>
    <n v="31.002212132825331"/>
    <n v="34.462402302741758"/>
    <n v="36.361059793676098"/>
    <n v="33.027313693334065"/>
    <n v="34.462402302741758"/>
    <n v="31.67931714468687"/>
    <n v="36.361059793676098"/>
    <n v="30.711390242529994"/>
    <n v="36.644400152757626"/>
    <n v="31.582714662891874"/>
    <n v="40.663808382245627"/>
    <n v="31.872395302663072"/>
    <n v="34.069206325564181"/>
    <n v="0.86786878705460546"/>
    <n v="30.711390242529994"/>
    <n v="31.655166524238119"/>
    <n v="33.744857998037915"/>
  </r>
  <r>
    <n v="302"/>
    <x v="1"/>
    <x v="1"/>
    <x v="0"/>
    <x v="1"/>
    <x v="1"/>
    <x v="2"/>
    <x v="0"/>
    <n v="13.483000000000001"/>
    <n v="32.739154720928383"/>
    <n v="37.304048258453605"/>
    <n v="35.033774828615158"/>
    <n v="36.361059793676098"/>
    <n v="33.31509224889836"/>
    <n v="32.931302971070103"/>
    <n v="34.653028885517948"/>
    <n v="31.968870978844279"/>
    <n v="35.128855643044638"/>
    <n v="33.31509224889836"/>
    <n v="35.698452890324944"/>
    <n v="31.872395302663072"/>
    <n v="34.193427397577906"/>
    <n v="0.50765944660601192"/>
    <n v="31.872395302663072"/>
    <n v="32.883265908534675"/>
    <n v="33.984060567208154"/>
  </r>
  <r>
    <n v="303"/>
    <x v="8"/>
    <x v="8"/>
    <x v="1"/>
    <x v="0"/>
    <x v="1"/>
    <x v="2"/>
    <x v="0"/>
    <n v="13.497999999999999"/>
    <n v="31.775877357943934"/>
    <n v="34.176145414542972"/>
    <n v="34.938651745647761"/>
    <n v="33.31509224889836"/>
    <n v="33.027313693334065"/>
    <n v="32.835249980268209"/>
    <n v="33.793877804080232"/>
    <n v="31.002212132825331"/>
    <n v="33.88950810950282"/>
    <n v="31.389382893688087"/>
    <n v="34.367025608546754"/>
    <n v="32.835249980268209"/>
    <n v="33.11213224746222"/>
    <n v="0.35375758868017115"/>
    <n v="31.002212132825331"/>
    <n v="32.57040682468714"/>
    <n v="33.171202971116216"/>
  </r>
  <r>
    <n v="304"/>
    <x v="9"/>
    <x v="9"/>
    <x v="0"/>
    <x v="0"/>
    <x v="1"/>
    <x v="2"/>
    <x v="0"/>
    <n v="13.513"/>
    <n v="32.643017193050632"/>
    <n v="33.88950810950282"/>
    <n v="34.271606645813826"/>
    <n v="33.123282147060095"/>
    <n v="33.506733276584903"/>
    <n v="34.176145414542972"/>
    <n v="35.128855643044638"/>
    <n v="33.602490387621273"/>
    <n v="33.88950810950282"/>
    <n v="32.931302971070103"/>
    <n v="38.52361411624365"/>
    <n v="36.549995634935044"/>
    <n v="34.353004970747733"/>
    <n v="0.48482437837260445"/>
    <n v="32.643017193050632"/>
    <n v="33.410870494203699"/>
    <n v="33.88950810950282"/>
  </r>
  <r>
    <n v="305"/>
    <x v="7"/>
    <x v="7"/>
    <x v="1"/>
    <x v="2"/>
    <x v="0"/>
    <x v="3"/>
    <x v="0"/>
    <n v="13.528"/>
    <n v="32.065304386487547"/>
    <n v="32.35435099818978"/>
    <n v="31.872395302663072"/>
    <n v="32.35435099818978"/>
    <n v="33.88950810950282"/>
    <n v="31.486069912558943"/>
    <n v="32.931302971070103"/>
    <n v="31.389382893688087"/>
    <n v="32.546837396634949"/>
    <n v="31.968870978844279"/>
    <n v="31.968870978844279"/>
    <n v="31.486069912558943"/>
    <n v="32.192776236602718"/>
    <n v="0.20348035350922331"/>
    <n v="31.389382893688087"/>
    <n v="31.775813955137039"/>
    <n v="32.017087682665917"/>
  </r>
  <r>
    <n v="306"/>
    <x v="1"/>
    <x v="1"/>
    <x v="0"/>
    <x v="1"/>
    <x v="1"/>
    <x v="3"/>
    <x v="0"/>
    <n v="13.542999999999999"/>
    <n v="33.602490387621273"/>
    <n v="35.698452890324944"/>
    <n v="39.177344626629264"/>
    <n v="33.027313693334065"/>
    <n v="34.843486394142417"/>
    <n v="34.176145414542972"/>
    <n v="38.990775823494459"/>
    <n v="34.08064191473418"/>
    <n v="38.149123916760246"/>
    <n v="31.968870978844279"/>
    <n v="33.219208332248193"/>
    <n v="32.16169552559289"/>
    <n v="34.924629158189099"/>
    <n v="0.73608845129833411"/>
    <n v="31.968870978844279"/>
    <n v="33.17123467251966"/>
    <n v="34.12839366463858"/>
  </r>
  <r>
    <n v="307"/>
    <x v="5"/>
    <x v="5"/>
    <x v="1"/>
    <x v="1"/>
    <x v="0"/>
    <x v="3"/>
    <x v="0"/>
    <n v="13.561"/>
    <n v="31.002212132825331"/>
    <n v="32.065304386487547"/>
    <n v="31.389382893688087"/>
    <n v="33.219208332248193"/>
    <n v="33.123282147060095"/>
    <n v="33.602490387621273"/>
    <n v="33.219208332248193"/>
    <n v="32.065304386487547"/>
    <n v="33.219208332248193"/>
    <n v="32.35435099818978"/>
    <n v="38.149123916760246"/>
    <n v="33.410933897010601"/>
    <n v="33.068334178572918"/>
    <n v="0.52149317473398249"/>
    <n v="31.002212132825331"/>
    <n v="32.065304386487547"/>
    <n v="33.171245239654141"/>
  </r>
  <r>
    <n v="308"/>
    <x v="2"/>
    <x v="2"/>
    <x v="0"/>
    <x v="2"/>
    <x v="0"/>
    <x v="3"/>
    <x v="0"/>
    <n v="13.573"/>
    <n v="33.31509224889836"/>
    <n v="33.793877804080232"/>
    <n v="33.602490387621273"/>
    <n v="33.793877804080232"/>
    <n v="33.98509614638747"/>
    <n v="33.98509614638747"/>
    <n v="32.931302971070103"/>
    <n v="35.603625687123049"/>
    <n v="32.643017193050632"/>
    <n v="35.128855643044638"/>
    <n v="31.67931714468687"/>
    <n v="33.219208332248193"/>
    <n v="33.640071459056543"/>
    <n v="0.30129263764702557"/>
    <n v="31.67931714468687"/>
    <n v="33.147231991953674"/>
    <n v="33.698184095850749"/>
  </r>
  <r>
    <n v="401"/>
    <x v="10"/>
    <x v="10"/>
    <x v="1"/>
    <x v="0"/>
    <x v="0"/>
    <x v="2"/>
    <x v="0"/>
    <n v="13.709"/>
    <n v="32.35435099818978"/>
    <n v="32.35435099818978"/>
    <n v="37.961625205790945"/>
    <n v="33.88950810950282"/>
    <n v="36.738762402042269"/>
    <n v="32.546837396634949"/>
    <n v="36.077339017753189"/>
    <n v="33.410933897010601"/>
    <n v="36.927360094997773"/>
    <n v="33.027313693334065"/>
    <n v="37.021595538668628"/>
    <n v="33.793877804080232"/>
    <n v="34.675321263016251"/>
    <n v="0.60686238115272628"/>
    <n v="32.35435099818978"/>
    <n v="32.907194619159284"/>
    <n v="33.841692956791526"/>
  </r>
  <r>
    <n v="402"/>
    <x v="5"/>
    <x v="5"/>
    <x v="1"/>
    <x v="1"/>
    <x v="0"/>
    <x v="2"/>
    <x v="0"/>
    <n v="13.69"/>
    <n v="32.739154720928383"/>
    <n v="32.835249980268209"/>
    <n v="35.033774828615158"/>
    <n v="32.35435099818978"/>
    <n v="33.602490387621273"/>
    <n v="32.35435099818978"/>
    <n v="33.506733276584903"/>
    <n v="32.065304386487547"/>
    <n v="35.033774828615158"/>
    <n v="31.582714662891874"/>
    <n v="33.98509614638747"/>
    <n v="30.808373141166371"/>
    <n v="32.991780696328824"/>
    <n v="0.37412875683038577"/>
    <n v="30.808373141166371"/>
    <n v="32.282089345264225"/>
    <n v="32.787202350598292"/>
  </r>
  <r>
    <n v="403"/>
    <x v="11"/>
    <x v="11"/>
    <x v="0"/>
    <x v="2"/>
    <x v="1"/>
    <x v="2"/>
    <x v="0"/>
    <n v="13.678000000000001"/>
    <n v="33.410933897010601"/>
    <n v="34.653028885517948"/>
    <n v="35.508756215383229"/>
    <n v="34.843486394142417"/>
    <n v="37.586120561397195"/>
    <n v="35.128855643044638"/>
    <n v="35.413844475105485"/>
    <n v="34.176145414542972"/>
    <n v="36.644400152757626"/>
    <n v="35.7932378249889"/>
    <n v="37.20993962039654"/>
    <n v="34.176145414542972"/>
    <n v="35.37874120823588"/>
    <n v="0.36574938815179447"/>
    <n v="33.410933897010601"/>
    <n v="34.533808017774206"/>
    <n v="35.271350059075061"/>
  </r>
  <r>
    <n v="404"/>
    <x v="6"/>
    <x v="6"/>
    <x v="0"/>
    <x v="1"/>
    <x v="0"/>
    <x v="2"/>
    <x v="0"/>
    <n v="13.663"/>
    <n v="35.128855643044638"/>
    <n v="33.219208332248193"/>
    <n v="36.738762402042269"/>
    <n v="33.698205230119726"/>
    <n v="34.462402302741758"/>
    <n v="32.931302971070103"/>
    <n v="35.128855643044638"/>
    <n v="33.410933897010601"/>
    <n v="32.931302971070103"/>
    <n v="33.123282147060095"/>
    <n v="33.506733276584903"/>
    <n v="32.258044396160294"/>
    <n v="33.878157434349774"/>
    <n v="0.36372874325909349"/>
    <n v="32.258044396160294"/>
    <n v="33.075287353062599"/>
    <n v="33.458833586797752"/>
  </r>
  <r>
    <n v="405"/>
    <x v="11"/>
    <x v="11"/>
    <x v="0"/>
    <x v="2"/>
    <x v="1"/>
    <x v="3"/>
    <x v="0"/>
    <n v="13.644"/>
    <n v="34.653028885517948"/>
    <n v="34.557736728398808"/>
    <n v="35.318890466289801"/>
    <n v="35.128855643044638"/>
    <n v="37.20993962039654"/>
    <n v="35.887980491114931"/>
    <n v="37.021595538668628"/>
    <n v="35.698452890324944"/>
    <n v="38.990775823494459"/>
    <n v="40.571221411554092"/>
    <n v="38.710605604757767"/>
    <n v="38.617130994769674"/>
    <n v="36.863851174861018"/>
    <n v="0.56949634816220196"/>
    <n v="34.557736728398808"/>
    <n v="35.271381760478512"/>
    <n v="36.454788014891776"/>
  </r>
  <r>
    <n v="406"/>
    <x v="6"/>
    <x v="6"/>
    <x v="0"/>
    <x v="1"/>
    <x v="0"/>
    <x v="3"/>
    <x v="0"/>
    <n v="13.629"/>
    <n v="33.698205230119726"/>
    <n v="32.258044396160294"/>
    <n v="33.123282147060095"/>
    <n v="32.546837396634949"/>
    <n v="32.065304386487547"/>
    <n v="32.065304386487547"/>
    <n v="34.653028885517948"/>
    <n v="33.027313693334065"/>
    <n v="35.033774828615158"/>
    <n v="32.16169552559289"/>
    <n v="32.065304386487547"/>
    <n v="32.16169552559289"/>
    <n v="32.904982565674224"/>
    <n v="0.30209082997786696"/>
    <n v="32.065304386487547"/>
    <n v="32.137597740816553"/>
    <n v="32.402440896397621"/>
  </r>
  <r>
    <n v="407"/>
    <x v="10"/>
    <x v="10"/>
    <x v="1"/>
    <x v="0"/>
    <x v="0"/>
    <x v="3"/>
    <x v="0"/>
    <n v="13.613"/>
    <n v="31.292653606279288"/>
    <n v="31.195882050332571"/>
    <n v="32.931302971070103"/>
    <n v="30.12860521141517"/>
    <n v="32.643017193050632"/>
    <n v="31.775877357943934"/>
    <n v="34.462402302741758"/>
    <n v="30.711390242529994"/>
    <n v="39.084081359330831"/>
    <n v="35.413844475105485"/>
    <n v="32.835249980268209"/>
    <n v="31.002212132825331"/>
    <n v="32.789709906907774"/>
    <n v="0.72692844710410531"/>
    <n v="30.12860521141517"/>
    <n v="31.147464570955762"/>
    <n v="32.209447275497283"/>
  </r>
  <r>
    <n v="408"/>
    <x v="3"/>
    <x v="3"/>
    <x v="1"/>
    <x v="1"/>
    <x v="1"/>
    <x v="3"/>
    <x v="0"/>
    <n v="13.596"/>
    <n v="31.968870978844279"/>
    <n v="36.549995634935044"/>
    <n v="37.304048258453605"/>
    <n v="32.835249980268209"/>
    <n v="39.363744355612347"/>
    <n v="32.739154720928383"/>
    <n v="40.014811948108303"/>
    <n v="31.292653606279288"/>
    <n v="39.73603659112333"/>
    <n v="31.67931714468687"/>
    <n v="39.73603659112333"/>
    <n v="36.361059793676098"/>
    <n v="35.798414967003247"/>
    <n v="1.0102555895829217"/>
    <n v="31.292653606279288"/>
    <n v="32.546583785407357"/>
    <n v="36.455527714305575"/>
  </r>
  <r>
    <n v="901"/>
    <x v="12"/>
    <x v="12"/>
    <x v="2"/>
    <x v="3"/>
    <x v="1"/>
    <x v="0"/>
    <x v="0"/>
    <n v="13.457000000000001"/>
    <n v="40.10765253002743"/>
    <n v="39.921929097651244"/>
    <n v="38.990775823494459"/>
    <n v="40.478592172324618"/>
    <n v="39.921929097651244"/>
    <n v="40.014811948108303"/>
    <n v="40.014811948108303"/>
    <n v="39.829003978656253"/>
    <n v="40.014811948108303"/>
    <n v="41.49518903426258"/>
    <n v="40.10765253002743"/>
    <n v="40.848855518014908"/>
    <n v="40.145501302202923"/>
    <n v="0.17440262508338178"/>
    <n v="38.990775823494459"/>
    <n v="39.921929097651244"/>
    <n v="40.014811948108303"/>
  </r>
  <r>
    <n v="902"/>
    <x v="13"/>
    <x v="13"/>
    <x v="3"/>
    <x v="1"/>
    <x v="0"/>
    <x v="0"/>
    <x v="0"/>
    <n v="13.44"/>
    <n v="43.968788480878892"/>
    <n v="44.514292661538448"/>
    <n v="54.761614646555756"/>
    <n v="43.513039278869492"/>
    <n v="42.873215117463225"/>
    <n v="44.241730779629364"/>
    <n v="45.51043155111774"/>
    <n v="47.308489921775973"/>
    <n v="46.231683789201732"/>
    <n v="48.823546081656133"/>
    <n v="42.598370734505856"/>
    <n v="40.571221411554092"/>
    <n v="45.409702037895556"/>
    <n v="1.0624140504827024"/>
    <n v="40.571221411554092"/>
    <n v="43.353083238517925"/>
    <n v="44.378011720583906"/>
  </r>
  <r>
    <n v="903"/>
    <x v="14"/>
    <x v="14"/>
    <x v="4"/>
    <x v="3"/>
    <x v="1"/>
    <x v="0"/>
    <x v="0"/>
    <n v="13.430999999999999"/>
    <n v="60.005393777278222"/>
    <n v="59.922105884931554"/>
    <n v="61.001551539479863"/>
    <n v="60.255003843090705"/>
    <n v="61.001551539479863"/>
    <n v="61.991622632219418"/>
    <n v="60.421199210942696"/>
    <n v="59.838775724046918"/>
    <n v="61.166986073649106"/>
    <n v="59.337907119442654"/>
    <n v="61.827033468808793"/>
    <n v="60.504233492061807"/>
    <n v="60.606113692119301"/>
    <n v="0.23405739010726473"/>
    <n v="59.337907119442654"/>
    <n v="59.984571804191553"/>
    <n v="60.462716351502252"/>
  </r>
  <r>
    <n v="904"/>
    <x v="15"/>
    <x v="15"/>
    <x v="5"/>
    <x v="1"/>
    <x v="0"/>
    <x v="0"/>
    <x v="0"/>
    <n v="13.407"/>
    <n v="43.968788480878892"/>
    <n v="44.69578924012152"/>
    <n v="58.919354230812658"/>
    <n v="56.895590914188624"/>
    <n v="52.253105910901574"/>
    <n v="55.789220200978157"/>
    <n v="58.75163719559513"/>
    <n v="59.505032395129128"/>
    <n v="55.447361312777588"/>
    <n v="58.079078313207823"/>
    <n v="57.319216027370359"/>
    <n v="60.587225504642973"/>
    <n v="55.18428331055037"/>
    <n v="1.593610743926454"/>
    <n v="43.968788480878892"/>
    <n v="54.648797462308586"/>
    <n v="57.107403470779488"/>
  </r>
  <r>
    <n v="905"/>
    <x v="12"/>
    <x v="12"/>
    <x v="2"/>
    <x v="3"/>
    <x v="1"/>
    <x v="1"/>
    <x v="0"/>
    <n v="13.398999999999999"/>
    <n v="40.014811948108303"/>
    <n v="40.014811948108303"/>
    <n v="39.363744355612347"/>
    <n v="39.270565625389771"/>
    <n v="40.385920664557212"/>
    <n v="40.200450843408618"/>
    <n v="39.643026935052482"/>
    <n v="40.200450843408618"/>
    <n v="38.055395695544561"/>
    <n v="40.200450843408618"/>
    <n v="40.293206888251888"/>
    <n v="40.10765253002743"/>
    <n v="39.812540760073183"/>
    <n v="0.19052547625768435"/>
    <n v="38.055395695544561"/>
    <n v="39.573206290192445"/>
    <n v="40.061232239067863"/>
  </r>
  <r>
    <n v="906"/>
    <x v="13"/>
    <x v="13"/>
    <x v="3"/>
    <x v="1"/>
    <x v="0"/>
    <x v="1"/>
    <x v="0"/>
    <n v="13.378"/>
    <n v="43.330443718300216"/>
    <n v="43.239082535208681"/>
    <n v="52.427247763884615"/>
    <n v="42.506671403110865"/>
    <n v="44.786474126606159"/>
    <n v="41.402982480412419"/>
    <n v="47.933815974671859"/>
    <n v="41.49518903426258"/>
    <n v="43.239082535208681"/>
    <n v="43.968788480878892"/>
    <n v="49.000984880597812"/>
    <n v="42.139451392151621"/>
    <n v="44.622517860441199"/>
    <n v="0.98391989090473131"/>
    <n v="41.402982480412419"/>
    <n v="42.414866400371054"/>
    <n v="43.284763126754449"/>
  </r>
  <r>
    <n v="907"/>
    <x v="14"/>
    <x v="14"/>
    <x v="4"/>
    <x v="3"/>
    <x v="1"/>
    <x v="1"/>
    <x v="0"/>
    <n v="13.368"/>
    <n v="60.504233492061807"/>
    <n v="60.171842756357812"/>
    <n v="61.084289940833443"/>
    <n v="60.005393777278222"/>
    <n v="61.166986073649106"/>
    <n v="59.922105884931554"/>
    <n v="60.338122661285681"/>
    <n v="62.156042721478293"/>
    <n v="59.755403294624372"/>
    <n v="60.255003843090705"/>
    <n v="62.402355841332152"/>
    <n v="59.922105884931554"/>
    <n v="60.64032384765455"/>
    <n v="0.25483693965886556"/>
    <n v="59.755403294624372"/>
    <n v="59.984571804191553"/>
    <n v="60.296563252188193"/>
  </r>
  <r>
    <n v="908"/>
    <x v="15"/>
    <x v="15"/>
    <x v="5"/>
    <x v="1"/>
    <x v="0"/>
    <x v="1"/>
    <x v="0"/>
    <n v="13.339"/>
    <n v="45.961531213954721"/>
    <n v="56.980400473900829"/>
    <n v="57.488370192877532"/>
    <n v="56.725844989150403"/>
    <n v="60.005393777278222"/>
    <n v="60.91877086958835"/>
    <n v="55.104826127970128"/>
    <n v="60.088639401086994"/>
    <n v="52.078794983766791"/>
    <n v="59.922105884931554"/>
    <n v="61.249639937926808"/>
    <n v="56.725844989150403"/>
    <n v="56.937513570131877"/>
    <n v="1.2628943592805406"/>
    <n v="45.961531213954721"/>
    <n v="56.320590273855331"/>
    <n v="57.234385333389184"/>
  </r>
  <r>
    <n v="101"/>
    <x v="0"/>
    <x v="0"/>
    <x v="0"/>
    <x v="0"/>
    <x v="0"/>
    <x v="0"/>
    <x v="1"/>
    <n v="13.191000000000001"/>
    <n v="32.065304386487547"/>
    <n v="32.643017193050632"/>
    <n v="33.123282147060095"/>
    <n v="33.698205230119726"/>
    <n v="33.219208332248193"/>
    <n v="33.123282147060095"/>
    <n v="33.027313693334065"/>
    <n v="34.367025608546754"/>
    <n v="33.219208332248193"/>
    <n v="33.698205230119726"/>
    <n v="32.739154720928383"/>
    <n v="33.027313693334065"/>
    <n v="33.162543392878113"/>
    <n v="0.16796063656450833"/>
    <n v="32.065304386487547"/>
    <n v="32.955273950232645"/>
    <n v="33.123282147060095"/>
  </r>
  <r>
    <n v="102"/>
    <x v="1"/>
    <x v="1"/>
    <x v="0"/>
    <x v="1"/>
    <x v="1"/>
    <x v="0"/>
    <x v="1"/>
    <n v="13.178000000000001"/>
    <n v="31.486069912558943"/>
    <n v="31.67931714468687"/>
    <n v="31.582714662891874"/>
    <n v="33.88950810950282"/>
    <n v="32.835249980268209"/>
    <n v="32.739154720928383"/>
    <n v="32.546837396634949"/>
    <n v="32.16169552559289"/>
    <n v="33.602490387621273"/>
    <n v="32.739154720928383"/>
    <n v="32.931302971070103"/>
    <n v="32.258044396160294"/>
    <n v="32.537628327403752"/>
    <n v="0.21777464454269432"/>
    <n v="31.486069912558943"/>
    <n v="32.041100930366383"/>
    <n v="32.642996058781662"/>
  </r>
  <r>
    <n v="103"/>
    <x v="2"/>
    <x v="2"/>
    <x v="0"/>
    <x v="2"/>
    <x v="0"/>
    <x v="0"/>
    <x v="1"/>
    <n v="13.164999999999999"/>
    <n v="34.938651745647761"/>
    <n v="33.219208332248193"/>
    <n v="32.835249980268209"/>
    <n v="33.123282147060095"/>
    <n v="32.258044396160294"/>
    <n v="31.582714662891874"/>
    <n v="32.35435099818978"/>
    <n v="31.582714662891874"/>
    <n v="31.67931714468687"/>
    <n v="32.35435099818978"/>
    <n v="32.065304386487547"/>
    <n v="32.546837396634949"/>
    <n v="32.545002237613097"/>
    <n v="0.2695299310602326"/>
    <n v="31.582714662891874"/>
    <n v="31.968807576037378"/>
    <n v="32.35435099818978"/>
  </r>
  <r>
    <n v="104"/>
    <x v="3"/>
    <x v="3"/>
    <x v="1"/>
    <x v="1"/>
    <x v="1"/>
    <x v="0"/>
    <x v="1"/>
    <n v="13.151"/>
    <n v="33.219208332248193"/>
    <n v="33.219208332248193"/>
    <n v="33.88950810950282"/>
    <n v="33.602490387621273"/>
    <n v="34.367025608546754"/>
    <n v="33.88950810950282"/>
    <n v="33.98509614638747"/>
    <n v="33.506733276584903"/>
    <n v="34.08064191473418"/>
    <n v="34.271606645813826"/>
    <n v="33.98509614638747"/>
    <n v="33.88950810950282"/>
    <n v="33.825469259923402"/>
    <n v="0.10685292098819343"/>
    <n v="33.219208332248193"/>
    <n v="33.578551109862182"/>
    <n v="33.88950810950282"/>
  </r>
  <r>
    <n v="105"/>
    <x v="4"/>
    <x v="4"/>
    <x v="1"/>
    <x v="2"/>
    <x v="1"/>
    <x v="1"/>
    <x v="1"/>
    <n v="13.135999999999999"/>
    <n v="34.938651745647761"/>
    <n v="34.462402302741758"/>
    <n v="35.887980491114931"/>
    <n v="33.31509224889836"/>
    <n v="32.450615331681334"/>
    <n v="32.835249980268209"/>
    <n v="33.027313693334065"/>
    <n v="31.968870978844279"/>
    <n v="33.027313693334065"/>
    <n v="32.35435099818978"/>
    <n v="31.872395302663072"/>
    <n v="32.35435099818978"/>
    <n v="33.207882313742282"/>
    <n v="0.36220105425883253"/>
    <n v="31.872395302663072"/>
    <n v="32.35435099818978"/>
    <n v="32.931281836801134"/>
  </r>
  <r>
    <n v="106"/>
    <x v="5"/>
    <x v="5"/>
    <x v="1"/>
    <x v="1"/>
    <x v="0"/>
    <x v="1"/>
    <x v="1"/>
    <n v="13.122999999999999"/>
    <n v="31.872395302663072"/>
    <n v="32.065304386487547"/>
    <n v="31.968870978844279"/>
    <n v="32.931302971070103"/>
    <n v="31.389382893688087"/>
    <n v="31.486069912558943"/>
    <n v="31.968870978844279"/>
    <n v="31.582714662891874"/>
    <n v="32.065304386487547"/>
    <n v="33.123282147060095"/>
    <n v="33.219208332248193"/>
    <n v="34.176145414542972"/>
    <n v="32.320737697282247"/>
    <n v="0.24548264978102438"/>
    <n v="31.389382893688087"/>
    <n v="31.799975142720271"/>
    <n v="32.017087682665917"/>
  </r>
  <r>
    <n v="107"/>
    <x v="3"/>
    <x v="3"/>
    <x v="1"/>
    <x v="1"/>
    <x v="1"/>
    <x v="1"/>
    <x v="1"/>
    <n v="13.108000000000001"/>
    <n v="33.31509224889836"/>
    <n v="32.065304386487547"/>
    <n v="32.450615331681334"/>
    <n v="32.065304386487547"/>
    <n v="31.486069912558943"/>
    <n v="31.292653606279288"/>
    <n v="32.065304386487547"/>
    <n v="31.389382893688087"/>
    <n v="32.258044396160294"/>
    <n v="32.16169552559289"/>
    <n v="32.546837396634949"/>
    <n v="31.968870978844279"/>
    <n v="32.088764620816754"/>
    <n v="0.16003822241721233"/>
    <n v="31.292653606279288"/>
    <n v="31.848170712272946"/>
    <n v="32.065304386487547"/>
  </r>
  <r>
    <n v="108"/>
    <x v="6"/>
    <x v="6"/>
    <x v="0"/>
    <x v="1"/>
    <x v="0"/>
    <x v="1"/>
    <x v="1"/>
    <n v="13.093"/>
    <n v="32.546837396634949"/>
    <n v="32.931302971070103"/>
    <n v="34.462402302741758"/>
    <n v="30.711390242529994"/>
    <n v="32.643017193050632"/>
    <n v="31.486069912558943"/>
    <n v="33.027313693334065"/>
    <n v="30.614365075355682"/>
    <n v="31.099068225847912"/>
    <n v="31.195882050332571"/>
    <n v="31.486069912558943"/>
    <n v="32.450615331681334"/>
    <n v="32.054527858974744"/>
    <n v="0.33066773566210889"/>
    <n v="30.614365075355682"/>
    <n v="31.171678594211407"/>
    <n v="31.96834262212014"/>
  </r>
  <r>
    <n v="201"/>
    <x v="4"/>
    <x v="4"/>
    <x v="1"/>
    <x v="2"/>
    <x v="1"/>
    <x v="0"/>
    <x v="1"/>
    <n v="13.215"/>
    <n v="34.462402302741758"/>
    <n v="33.88950810950282"/>
    <n v="36.361059793676098"/>
    <n v="34.938651745647761"/>
    <n v="32.546837396634949"/>
    <n v="32.35435099818978"/>
    <n v="32.450615331681334"/>
    <n v="33.027313693334065"/>
    <n v="34.462402302741758"/>
    <n v="33.88950810950282"/>
    <n v="34.462402302741758"/>
    <n v="34.462402302741758"/>
    <n v="33.942287865761379"/>
    <n v="0.34225119616297361"/>
    <n v="32.35435099818978"/>
    <n v="32.907194619159284"/>
    <n v="34.175955206122289"/>
  </r>
  <r>
    <n v="202"/>
    <x v="5"/>
    <x v="5"/>
    <x v="1"/>
    <x v="1"/>
    <x v="0"/>
    <x v="0"/>
    <x v="1"/>
    <n v="13.227"/>
    <n v="32.450615331681334"/>
    <n v="32.450615331681334"/>
    <n v="32.835249980268209"/>
    <n v="32.35435099818978"/>
    <n v="32.16169552559289"/>
    <n v="32.065304386487547"/>
    <n v="31.968870978844279"/>
    <n v="32.065304386487547"/>
    <n v="31.872395302663072"/>
    <n v="32.258044396160294"/>
    <n v="32.931302971070103"/>
    <n v="32.35435099818978"/>
    <n v="32.314008382276349"/>
    <n v="9.3642771074182923E-2"/>
    <n v="31.872395302663072"/>
    <n v="32.065304386487547"/>
    <n v="32.306197697175037"/>
  </r>
  <r>
    <n v="203"/>
    <x v="6"/>
    <x v="6"/>
    <x v="0"/>
    <x v="1"/>
    <x v="0"/>
    <x v="0"/>
    <x v="1"/>
    <n v="13.242000000000001"/>
    <n v="33.31509224889836"/>
    <n v="34.367025608546754"/>
    <n v="34.462402302741758"/>
    <n v="34.462402302741758"/>
    <n v="33.410933897010601"/>
    <n v="33.31509224889836"/>
    <n v="33.506733276584903"/>
    <n v="33.219208332248193"/>
    <n v="33.410933897010601"/>
    <n v="33.123282147060095"/>
    <n v="31.486069912558943"/>
    <n v="32.835249980268209"/>
    <n v="33.409535512880709"/>
    <n v="0.23530804806414468"/>
    <n v="31.486069912558943"/>
    <n v="33.195226785951171"/>
    <n v="33.36301307295448"/>
  </r>
  <r>
    <n v="204"/>
    <x v="7"/>
    <x v="7"/>
    <x v="1"/>
    <x v="2"/>
    <x v="0"/>
    <x v="0"/>
    <x v="1"/>
    <n v="13.256"/>
    <n v="31.67931714468687"/>
    <n v="31.389382893688087"/>
    <n v="32.931302971070103"/>
    <n v="32.065304386487547"/>
    <n v="32.258044396160294"/>
    <n v="32.16169552559289"/>
    <n v="30.808373141166371"/>
    <n v="32.258044396160294"/>
    <n v="33.410933897010601"/>
    <n v="33.698205230119726"/>
    <n v="33.98509614638747"/>
    <n v="33.698205230119726"/>
    <n v="32.5286587798875"/>
    <n v="0.2922218488168391"/>
    <n v="30.808373141166371"/>
    <n v="31.968807576037378"/>
    <n v="32.258044396160294"/>
  </r>
  <r>
    <n v="205"/>
    <x v="0"/>
    <x v="0"/>
    <x v="0"/>
    <x v="0"/>
    <x v="0"/>
    <x v="1"/>
    <x v="1"/>
    <n v="13.281000000000001"/>
    <n v="31.099068225847912"/>
    <n v="31.389382893688087"/>
    <n v="30.323035962605168"/>
    <n v="32.643017193050632"/>
    <n v="30.517297639643445"/>
    <n v="32.258044396160294"/>
    <n v="31.292653606279288"/>
    <n v="31.389382893688087"/>
    <n v="30.614365075355682"/>
    <n v="30.614365075355682"/>
    <n v="32.16169552559289"/>
    <n v="32.643017193050632"/>
    <n v="31.412110473359817"/>
    <n v="0.24121868414183273"/>
    <n v="30.323035962605168"/>
    <n v="30.614365075355682"/>
    <n v="31.341018249983687"/>
  </r>
  <r>
    <n v="206"/>
    <x v="8"/>
    <x v="8"/>
    <x v="1"/>
    <x v="0"/>
    <x v="1"/>
    <x v="1"/>
    <x v="1"/>
    <n v="13.294"/>
    <n v="30.711390242529994"/>
    <n v="30.517297639643445"/>
    <n v="30.323035962605168"/>
    <n v="31.389382893688087"/>
    <n v="30.614365075355682"/>
    <n v="32.065304386487547"/>
    <n v="32.16169552559289"/>
    <n v="31.292653606279288"/>
    <n v="33.027313693334065"/>
    <n v="32.450615331681334"/>
    <n v="32.546837396634949"/>
    <n v="33.027313693334065"/>
    <n v="31.677267120597211"/>
    <n v="0.28680146004444768"/>
    <n v="30.323035962605168"/>
    <n v="30.687133950736417"/>
    <n v="31.727343640087817"/>
  </r>
  <r>
    <n v="207"/>
    <x v="1"/>
    <x v="1"/>
    <x v="0"/>
    <x v="1"/>
    <x v="1"/>
    <x v="1"/>
    <x v="1"/>
    <n v="13.307"/>
    <n v="31.775877357943934"/>
    <n v="31.872395302663072"/>
    <n v="32.16169552559289"/>
    <n v="32.643017193050632"/>
    <n v="31.968870978844279"/>
    <n v="32.065304386487547"/>
    <n v="31.968870978844279"/>
    <n v="31.486069912558943"/>
    <n v="32.739154720928383"/>
    <n v="32.546837396634949"/>
    <n v="31.389382893688087"/>
    <n v="31.389382893688087"/>
    <n v="32.000571628410427"/>
    <n v="0.13392503331437966"/>
    <n v="31.389382893688087"/>
    <n v="31.703425496597685"/>
    <n v="31.968870978844279"/>
  </r>
  <r>
    <n v="208"/>
    <x v="9"/>
    <x v="9"/>
    <x v="0"/>
    <x v="0"/>
    <x v="1"/>
    <x v="1"/>
    <x v="1"/>
    <n v="13.321"/>
    <n v="32.450615331681334"/>
    <n v="32.450615331681334"/>
    <n v="33.410933897010601"/>
    <n v="32.16169552559289"/>
    <n v="31.195882050332571"/>
    <n v="32.065304386487547"/>
    <n v="30.420187935393276"/>
    <n v="31.486069912558943"/>
    <n v="31.67931714468687"/>
    <n v="31.486069912558943"/>
    <n v="31.582714662891874"/>
    <n v="30.905313771264819"/>
    <n v="31.774559988511754"/>
    <n v="0.22967924155559824"/>
    <n v="30.420187935393276"/>
    <n v="31.413522947002349"/>
    <n v="31.631015903789372"/>
  </r>
  <r>
    <n v="301"/>
    <x v="3"/>
    <x v="3"/>
    <x v="1"/>
    <x v="1"/>
    <x v="1"/>
    <x v="2"/>
    <x v="1"/>
    <n v="13.474"/>
    <n v="30.905313771264819"/>
    <n v="30.323035962605168"/>
    <n v="32.065304386487547"/>
    <n v="31.195882050332571"/>
    <n v="31.775877357943934"/>
    <n v="30.323035962605168"/>
    <n v="31.195882050332571"/>
    <n v="32.931302971070103"/>
    <n v="31.486069912558943"/>
    <n v="32.450615331681334"/>
    <n v="34.08064191473418"/>
    <n v="32.35435099818978"/>
    <n v="31.757276055817172"/>
    <n v="0.3168574584709527"/>
    <n v="30.323035962605168"/>
    <n v="31.123239980565632"/>
    <n v="31.630973635251436"/>
  </r>
  <r>
    <n v="302"/>
    <x v="1"/>
    <x v="1"/>
    <x v="0"/>
    <x v="1"/>
    <x v="1"/>
    <x v="2"/>
    <x v="1"/>
    <n v="13.488"/>
    <n v="31.002212132825331"/>
    <n v="31.099068225847912"/>
    <n v="32.450615331681334"/>
    <n v="33.698205230119726"/>
    <n v="32.931302971070103"/>
    <n v="32.835249980268209"/>
    <n v="34.271606645813826"/>
    <n v="33.88950810950282"/>
    <n v="33.793877804080232"/>
    <n v="34.938651745647761"/>
    <n v="33.027313693334065"/>
    <n v="33.123282147060095"/>
    <n v="33.088407834770948"/>
    <n v="0.33872362650387017"/>
    <n v="31.002212132825331"/>
    <n v="32.739091318121488"/>
    <n v="33.07529792019708"/>
  </r>
  <r>
    <n v="303"/>
    <x v="8"/>
    <x v="8"/>
    <x v="1"/>
    <x v="0"/>
    <x v="1"/>
    <x v="2"/>
    <x v="1"/>
    <n v="13.503"/>
    <n v="32.450615331681334"/>
    <n v="33.506733276584903"/>
    <n v="31.389382893688087"/>
    <n v="31.872395302663072"/>
    <n v="30.517297639643445"/>
    <n v="32.450615331681334"/>
    <n v="32.065304386487547"/>
    <n v="32.450615331681334"/>
    <n v="31.195882050332571"/>
    <n v="35.318890466289801"/>
    <n v="31.582714662891874"/>
    <n v="34.843486394142417"/>
    <n v="32.470327755647311"/>
    <n v="0.41503831529464391"/>
    <n v="30.517297639643445"/>
    <n v="31.534381720590929"/>
    <n v="32.257959859084437"/>
  </r>
  <r>
    <n v="304"/>
    <x v="9"/>
    <x v="9"/>
    <x v="0"/>
    <x v="0"/>
    <x v="1"/>
    <x v="2"/>
    <x v="1"/>
    <n v="13.518000000000001"/>
    <n v="33.88950810950282"/>
    <n v="34.938651745647761"/>
    <n v="32.835249980268209"/>
    <n v="34.08064191473418"/>
    <n v="32.258044396160294"/>
    <n v="33.219208332248193"/>
    <n v="32.643017193050632"/>
    <n v="33.602490387621273"/>
    <n v="32.835249980268209"/>
    <n v="32.16169552559289"/>
    <n v="32.450615331681334"/>
    <n v="32.931302971070103"/>
    <n v="33.153806322320492"/>
    <n v="0.23972948337404243"/>
    <n v="32.16169552559289"/>
    <n v="32.594916727708309"/>
    <n v="32.883276475669156"/>
  </r>
  <r>
    <n v="305"/>
    <x v="7"/>
    <x v="7"/>
    <x v="1"/>
    <x v="2"/>
    <x v="0"/>
    <x v="3"/>
    <x v="1"/>
    <n v="13.532"/>
    <n v="32.643017193050632"/>
    <n v="31.486069912558943"/>
    <n v="31.67931714468687"/>
    <n v="31.872395302663072"/>
    <n v="32.643017193050632"/>
    <n v="32.16169552559289"/>
    <n v="31.67931714468687"/>
    <n v="30.12860521141517"/>
    <n v="31.67931714468687"/>
    <n v="32.258044396160294"/>
    <n v="31.872395302663072"/>
    <n v="33.027313693334065"/>
    <n v="31.927542097045784"/>
    <n v="0.21354453113710445"/>
    <n v="30.12860521141517"/>
    <n v="31.67931714468687"/>
    <n v="31.872395302663072"/>
  </r>
  <r>
    <n v="306"/>
    <x v="1"/>
    <x v="1"/>
    <x v="0"/>
    <x v="1"/>
    <x v="1"/>
    <x v="3"/>
    <x v="1"/>
    <n v="13.551"/>
    <n v="31.486069912558943"/>
    <n v="30.711390242529994"/>
    <n v="30.614365075355682"/>
    <n v="31.195882050332571"/>
    <n v="31.389382893688087"/>
    <n v="30.905313771264819"/>
    <n v="32.065304386487547"/>
    <n v="31.968870978844279"/>
    <n v="31.486069912558943"/>
    <n v="31.486069912558943"/>
    <n v="33.602490387621273"/>
    <n v="31.968870978844279"/>
    <n v="31.573340041887111"/>
    <n v="0.22996017477347577"/>
    <n v="30.614365075355682"/>
    <n v="31.123239980565632"/>
    <n v="31.486069912558943"/>
  </r>
  <r>
    <n v="307"/>
    <x v="5"/>
    <x v="5"/>
    <x v="1"/>
    <x v="1"/>
    <x v="0"/>
    <x v="3"/>
    <x v="1"/>
    <n v="13.566000000000001"/>
    <n v="30.808373141166371"/>
    <n v="31.872395302663072"/>
    <n v="31.002212132825331"/>
    <n v="31.292653606279288"/>
    <n v="31.002212132825331"/>
    <n v="32.16169552559289"/>
    <n v="31.292653606279288"/>
    <n v="31.872395302663072"/>
    <n v="31.872395302663072"/>
    <n v="32.35435099818978"/>
    <n v="33.410933897010601"/>
    <n v="31.389382893688087"/>
    <n v="31.694304486820513"/>
    <n v="0.21060093254374773"/>
    <n v="30.808373141166371"/>
    <n v="31.220043237915799"/>
    <n v="31.630889098175579"/>
  </r>
  <r>
    <n v="308"/>
    <x v="2"/>
    <x v="2"/>
    <x v="0"/>
    <x v="2"/>
    <x v="0"/>
    <x v="3"/>
    <x v="1"/>
    <n v="13.579000000000001"/>
    <n v="31.67931714468687"/>
    <n v="31.099068225847912"/>
    <n v="31.67931714468687"/>
    <n v="32.835249980268209"/>
    <n v="32.643017193050632"/>
    <n v="32.450615331681334"/>
    <n v="33.506733276584903"/>
    <n v="33.698205230119726"/>
    <n v="34.271606645813826"/>
    <n v="31.968870978844279"/>
    <n v="32.450615331681334"/>
    <n v="31.67931714468687"/>
    <n v="32.496827802329399"/>
    <n v="0.27511251272401971"/>
    <n v="31.099068225847912"/>
    <n v="31.67931714468687"/>
    <n v="32.450615331681334"/>
  </r>
  <r>
    <n v="401"/>
    <x v="10"/>
    <x v="10"/>
    <x v="1"/>
    <x v="0"/>
    <x v="0"/>
    <x v="2"/>
    <x v="1"/>
    <n v="13.712999999999999"/>
    <n v="33.31509224889836"/>
    <n v="33.123282147060095"/>
    <n v="32.643017193050632"/>
    <n v="35.033774828615158"/>
    <n v="33.98509614638747"/>
    <n v="34.557736728398808"/>
    <n v="33.027313693334065"/>
    <n v="33.602490387621273"/>
    <n v="31.775877357943934"/>
    <n v="32.258044396160294"/>
    <n v="33.027313693334065"/>
    <n v="32.931302971070103"/>
    <n v="33.273361815989524"/>
    <n v="0.26538389460261341"/>
    <n v="31.775877357943934"/>
    <n v="32.859231526565239"/>
    <n v="33.07529792019708"/>
  </r>
  <r>
    <n v="402"/>
    <x v="5"/>
    <x v="5"/>
    <x v="1"/>
    <x v="1"/>
    <x v="0"/>
    <x v="2"/>
    <x v="1"/>
    <n v="13.698"/>
    <n v="30.323035962605168"/>
    <n v="30.420187935393276"/>
    <n v="31.389382893688087"/>
    <n v="32.546837396634949"/>
    <n v="31.486069912558943"/>
    <n v="31.486069912558943"/>
    <n v="30.808373141166371"/>
    <n v="30.808373141166371"/>
    <n v="30.517297639643445"/>
    <n v="32.35435099818978"/>
    <n v="32.739154720928383"/>
    <n v="31.582714662891874"/>
    <n v="31.371820693118796"/>
    <n v="0.24085128563030436"/>
    <n v="30.323035962605168"/>
    <n v="30.735604265785639"/>
    <n v="31.437726403123513"/>
  </r>
  <r>
    <n v="403"/>
    <x v="11"/>
    <x v="11"/>
    <x v="0"/>
    <x v="2"/>
    <x v="1"/>
    <x v="2"/>
    <x v="1"/>
    <n v="13.683999999999999"/>
    <n v="34.462402302741758"/>
    <n v="34.938651745647761"/>
    <n v="35.033774828615158"/>
    <n v="35.128855643044638"/>
    <n v="32.546837396634949"/>
    <n v="32.35435099818978"/>
    <n v="33.123282147060095"/>
    <n v="33.123282147060095"/>
    <n v="31.582714662891874"/>
    <n v="31.67931714468687"/>
    <n v="33.31509224889836"/>
    <n v="31.775877357943934"/>
    <n v="33.255369885284601"/>
    <n v="0.38716107760953311"/>
    <n v="31.582714662891874"/>
    <n v="32.209732588128318"/>
    <n v="33.123282147060095"/>
  </r>
  <r>
    <n v="404"/>
    <x v="6"/>
    <x v="6"/>
    <x v="0"/>
    <x v="1"/>
    <x v="0"/>
    <x v="2"/>
    <x v="1"/>
    <n v="13.667"/>
    <n v="32.450615331681334"/>
    <n v="32.065304386487547"/>
    <n v="32.35435099818978"/>
    <n v="32.835249980268209"/>
    <n v="32.931302971070103"/>
    <n v="33.027313693334065"/>
    <n v="32.931302971070103"/>
    <n v="32.065304386487547"/>
    <n v="33.88950810950282"/>
    <n v="36.266528470239727"/>
    <n v="33.98509614638747"/>
    <n v="35.128855643044638"/>
    <n v="33.327561090646945"/>
    <n v="0.37111261431623266"/>
    <n v="32.065304386487547"/>
    <n v="32.426549248308447"/>
    <n v="32.931302971070103"/>
  </r>
  <r>
    <n v="405"/>
    <x v="11"/>
    <x v="11"/>
    <x v="0"/>
    <x v="2"/>
    <x v="1"/>
    <x v="3"/>
    <x v="1"/>
    <n v="13.648999999999999"/>
    <n v="37.680060125302525"/>
    <n v="36.549995634935044"/>
    <n v="39.829003978656253"/>
    <n v="38.149123916760246"/>
    <n v="35.603625687123049"/>
    <n v="36.549995634935044"/>
    <n v="36.361059793676098"/>
    <n v="35.982680888703015"/>
    <n v="36.077339017753189"/>
    <n v="34.271606645813826"/>
    <n v="34.938651745647761"/>
    <n v="34.938651745647761"/>
    <n v="36.41098290124615"/>
    <n v="0.44564165541074796"/>
    <n v="34.271606645813826"/>
    <n v="35.437382201754225"/>
    <n v="36.219199405714647"/>
  </r>
  <r>
    <n v="406"/>
    <x v="6"/>
    <x v="6"/>
    <x v="0"/>
    <x v="1"/>
    <x v="0"/>
    <x v="3"/>
    <x v="1"/>
    <n v="13.634"/>
    <n v="31.872395302663072"/>
    <n v="30.905313771264819"/>
    <n v="31.968870978844279"/>
    <n v="32.16169552559289"/>
    <n v="34.176145414542972"/>
    <n v="33.88950810950282"/>
    <n v="32.450615331681334"/>
    <n v="32.931302971070103"/>
    <n v="33.027313693334065"/>
    <n v="32.450615331681334"/>
    <n v="34.176145414542972"/>
    <n v="33.793877804080232"/>
    <n v="32.816983304066746"/>
    <n v="0.2992472618629064"/>
    <n v="30.905313771264819"/>
    <n v="32.113489388905734"/>
    <n v="32.690959151375722"/>
  </r>
  <r>
    <n v="407"/>
    <x v="10"/>
    <x v="10"/>
    <x v="1"/>
    <x v="0"/>
    <x v="0"/>
    <x v="3"/>
    <x v="1"/>
    <n v="13.618"/>
    <n v="30.031326433013277"/>
    <n v="29.64178863402638"/>
    <n v="30.031326433013277"/>
    <n v="29.64178863402638"/>
    <n v="30.225841721279139"/>
    <n v="30.12860521141517"/>
    <n v="30.905313771264819"/>
    <n v="31.002212132825331"/>
    <n v="29.544298512934834"/>
    <n v="29.251574538432592"/>
    <n v="31.002212132825331"/>
    <n v="31.002212132825331"/>
    <n v="30.200708357323482"/>
    <n v="0.18347273189651683"/>
    <n v="29.251574538432592"/>
    <n v="29.64178863402638"/>
    <n v="30.079965822214223"/>
  </r>
  <r>
    <n v="408"/>
    <x v="3"/>
    <x v="3"/>
    <x v="1"/>
    <x v="1"/>
    <x v="1"/>
    <x v="3"/>
    <x v="1"/>
    <n v="13.601000000000001"/>
    <n v="30.031326433013277"/>
    <n v="29.544298512934834"/>
    <n v="30.614365075355682"/>
    <n v="30.323035962605168"/>
    <n v="31.486069912558943"/>
    <n v="31.002212132825331"/>
    <n v="30.905313771264819"/>
    <n v="31.099068225847912"/>
    <n v="31.582714662891874"/>
    <n v="30.808373141166371"/>
    <n v="31.486069912558943"/>
    <n v="32.450615331681334"/>
    <n v="30.944455256225371"/>
    <n v="0.22359395963430301"/>
    <n v="29.544298512934834"/>
    <n v="30.541532797168053"/>
    <n v="30.953762952045075"/>
  </r>
  <r>
    <n v="902"/>
    <x v="13"/>
    <x v="13"/>
    <x v="3"/>
    <x v="1"/>
    <x v="0"/>
    <x v="0"/>
    <x v="1"/>
    <n v="13.445"/>
    <n v="41.587353319574802"/>
    <n v="40.848855518014908"/>
    <n v="41.218442567098307"/>
    <n v="44.605062085098957"/>
    <n v="40.200450843408618"/>
    <n v="43.695465765287054"/>
    <n v="44.967717093961639"/>
    <n v="39.084081359330831"/>
    <n v="36.644400152757626"/>
    <n v="44.69578924012152"/>
    <n v="41.12610920763435"/>
    <n v="38.149123916760246"/>
    <n v="41.401904255754069"/>
    <n v="0.77638213915291143"/>
    <n v="36.644400152757626"/>
    <n v="39.921358472389173"/>
    <n v="41.172275887366325"/>
  </r>
  <r>
    <n v="904"/>
    <x v="15"/>
    <x v="15"/>
    <x v="5"/>
    <x v="1"/>
    <x v="0"/>
    <x v="0"/>
    <x v="1"/>
    <n v="13.412000000000001"/>
    <n v="42.598370734505856"/>
    <n v="42.690027797362916"/>
    <n v="42.414929803177955"/>
    <n v="46.950230840858126"/>
    <n v="47.487365851007311"/>
    <n v="43.78661560568893"/>
    <n v="43.695465765287054"/>
    <n v="43.87772317755288"/>
    <n v="45.600736020760998"/>
    <n v="45.148790987165398"/>
    <n v="40.663808382245627"/>
    <n v="41.49518903426258"/>
    <n v="43.867437833322974"/>
    <n v="0.60482469161243679"/>
    <n v="40.663808382245627"/>
    <n v="42.552510501673879"/>
    <n v="43.741040685487988"/>
  </r>
  <r>
    <n v="906"/>
    <x v="13"/>
    <x v="13"/>
    <x v="3"/>
    <x v="1"/>
    <x v="0"/>
    <x v="1"/>
    <x v="1"/>
    <n v="13.382999999999999"/>
    <n v="41.587353319574802"/>
    <n v="41.955587775444407"/>
    <n v="41.587353319574802"/>
    <n v="42.414929803177955"/>
    <n v="43.513039278869492"/>
    <n v="42.047540718066976"/>
    <n v="41.771555084585472"/>
    <n v="40.014811948108303"/>
    <n v="45.329695806217437"/>
    <n v="44.423480969440014"/>
    <n v="45.690998221866323"/>
    <n v="46.77084768917161"/>
    <n v="43.092266161174798"/>
    <n v="0.58921780281992309"/>
    <n v="40.014811948108303"/>
    <n v="41.725504643332805"/>
    <n v="42.231235260622469"/>
  </r>
  <r>
    <n v="908"/>
    <x v="15"/>
    <x v="15"/>
    <x v="5"/>
    <x v="1"/>
    <x v="0"/>
    <x v="1"/>
    <x v="1"/>
    <n v="13.343999999999999"/>
    <n v="41.587353319574802"/>
    <n v="43.695465765287054"/>
    <n v="45.781218154433724"/>
    <n v="41.49518903426258"/>
    <n v="43.42176263285382"/>
    <n v="43.78661560568893"/>
    <n v="45.600736020760998"/>
    <n v="46.681092710521462"/>
    <n v="43.78661560568893"/>
    <n v="46.321650110541533"/>
    <n v="41.6794753363491"/>
    <n v="44.241730779629364"/>
    <n v="44.00657542296603"/>
    <n v="0.52490452422758427"/>
    <n v="41.49518903426258"/>
    <n v="42.986190808727642"/>
    <n v="43.7866156056889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01"/>
    <x v="0"/>
    <x v="0"/>
    <x v="0"/>
    <x v="0"/>
    <x v="0"/>
    <x v="0"/>
    <x v="0"/>
    <n v="13.29"/>
    <n v="61.9"/>
    <n v="56.6"/>
    <n v="36.5"/>
    <n v="52.7"/>
    <n v="34.4"/>
    <n v="42.7"/>
    <n v="34.5"/>
    <n v="50"/>
    <n v="36"/>
    <n v="46.4"/>
    <n v="37"/>
    <n v="59.3"/>
    <n v="45.666666666666664"/>
    <n v="2.9525626602370791"/>
    <n v="34.4"/>
    <n v="36.375"/>
    <n v="44.55"/>
  </r>
  <r>
    <n v="102"/>
    <x v="1"/>
    <x v="1"/>
    <x v="0"/>
    <x v="1"/>
    <x v="1"/>
    <x v="0"/>
    <x v="0"/>
    <n v="13.272"/>
    <n v="61.3"/>
    <n v="51.6"/>
    <n v="38.799999999999997"/>
    <n v="59.3"/>
    <n v="36.4"/>
    <n v="51.1"/>
    <n v="44.7"/>
    <n v="36.9"/>
    <n v="48.7"/>
    <n v="42.4"/>
    <n v="49"/>
    <n v="39.299999999999997"/>
    <n v="46.624999999999993"/>
    <n v="2.409423576230846"/>
    <n v="36.4"/>
    <n v="39.174999999999997"/>
    <n v="46.7"/>
  </r>
  <r>
    <n v="103"/>
    <x v="2"/>
    <x v="2"/>
    <x v="0"/>
    <x v="2"/>
    <x v="0"/>
    <x v="0"/>
    <x v="0"/>
    <n v="13.250999999999999"/>
    <n v="55.3"/>
    <n v="39.4"/>
    <n v="41.4"/>
    <n v="41.7"/>
    <n v="41.7"/>
    <n v="44"/>
    <n v="41"/>
    <n v="43.8"/>
    <n v="42.2"/>
    <n v="42.1"/>
    <n v="44"/>
    <n v="42.4"/>
    <n v="43.25"/>
    <n v="1.1608839369857398"/>
    <n v="39.4"/>
    <n v="41.625"/>
    <n v="42.150000000000006"/>
  </r>
  <r>
    <n v="104"/>
    <x v="3"/>
    <x v="3"/>
    <x v="1"/>
    <x v="1"/>
    <x v="1"/>
    <x v="0"/>
    <x v="0"/>
    <n v="13.231999999999999"/>
    <n v="59.2"/>
    <n v="56.7"/>
    <n v="55.2"/>
    <n v="39.6"/>
    <n v="57.8"/>
    <n v="35.700000000000003"/>
    <n v="55.3"/>
    <n v="37.200000000000003"/>
    <n v="45.7"/>
    <n v="40.299999999999997"/>
    <n v="53"/>
    <n v="40.700000000000003"/>
    <n v="48.033333333333339"/>
    <n v="2.5873331693643378"/>
    <n v="35.700000000000003"/>
    <n v="40.125"/>
    <n v="49.35"/>
  </r>
  <r>
    <n v="105"/>
    <x v="4"/>
    <x v="4"/>
    <x v="1"/>
    <x v="2"/>
    <x v="1"/>
    <x v="1"/>
    <x v="0"/>
    <n v="13.212999999999999"/>
    <n v="39.700000000000003"/>
    <n v="34.5"/>
    <n v="32.799999999999997"/>
    <n v="31.1"/>
    <n v="30.8"/>
    <n v="34.200000000000003"/>
    <n v="31.3"/>
    <n v="33.299999999999997"/>
    <n v="32.1"/>
    <n v="32.1"/>
    <n v="34.700000000000003"/>
    <n v="32.6"/>
    <n v="33.266666666666673"/>
    <n v="0.69558492208956302"/>
    <n v="30.8"/>
    <n v="31.900000000000002"/>
    <n v="32.700000000000003"/>
  </r>
  <r>
    <n v="106"/>
    <x v="5"/>
    <x v="5"/>
    <x v="1"/>
    <x v="1"/>
    <x v="0"/>
    <x v="1"/>
    <x v="0"/>
    <n v="13.195"/>
    <n v="60.1"/>
    <n v="59.2"/>
    <n v="49.1"/>
    <n v="41.9"/>
    <n v="53.5"/>
    <n v="36.700000000000003"/>
    <n v="50.2"/>
    <n v="39.4"/>
    <n v="44.7"/>
    <n v="40.799999999999997"/>
    <n v="44.1"/>
    <n v="44.7"/>
    <n v="47.033333333333331"/>
    <n v="2.175320712451438"/>
    <n v="36.700000000000003"/>
    <n v="41.625"/>
    <n v="44.7"/>
  </r>
  <r>
    <n v="107"/>
    <x v="3"/>
    <x v="3"/>
    <x v="1"/>
    <x v="1"/>
    <x v="1"/>
    <x v="1"/>
    <x v="0"/>
    <n v="13.173999999999999"/>
    <n v="58"/>
    <n v="52"/>
    <n v="42.6"/>
    <n v="38.5"/>
    <n v="46.2"/>
    <n v="35.4"/>
    <n v="49"/>
    <n v="37.6"/>
    <n v="31.6"/>
    <n v="46.7"/>
    <n v="34"/>
    <n v="51.1"/>
    <n v="43.558333333333337"/>
    <n v="2.3774336282146011"/>
    <n v="31.6"/>
    <n v="37.049999999999997"/>
    <n v="44.400000000000006"/>
  </r>
  <r>
    <n v="108"/>
    <x v="6"/>
    <x v="6"/>
    <x v="0"/>
    <x v="1"/>
    <x v="0"/>
    <x v="1"/>
    <x v="0"/>
    <n v="13.153"/>
    <n v="62.4"/>
    <n v="60.9"/>
    <n v="50"/>
    <n v="45.7"/>
    <n v="55.6"/>
    <n v="44.2"/>
    <n v="53.4"/>
    <n v="43.8"/>
    <n v="43.5"/>
    <n v="51"/>
    <n v="45.7"/>
    <n v="50.2"/>
    <n v="50.533333333333339"/>
    <n v="1.8757355459615785"/>
    <n v="43.5"/>
    <n v="45.325000000000003"/>
    <n v="50.1"/>
  </r>
  <r>
    <n v="201"/>
    <x v="4"/>
    <x v="4"/>
    <x v="1"/>
    <x v="2"/>
    <x v="1"/>
    <x v="0"/>
    <x v="0"/>
    <n v="13.321999999999999"/>
    <n v="40.5"/>
    <n v="33.700000000000003"/>
    <n v="34.799999999999997"/>
    <n v="32"/>
    <n v="33.6"/>
    <n v="31.8"/>
    <n v="36.200000000000003"/>
    <n v="34.1"/>
    <n v="36.6"/>
    <n v="31.1"/>
    <n v="35.4"/>
    <n v="31.5"/>
    <n v="34.275000000000006"/>
    <n v="0.77509774554664135"/>
    <n v="31.1"/>
    <n v="31.95"/>
    <n v="33.900000000000006"/>
  </r>
  <r>
    <n v="202"/>
    <x v="5"/>
    <x v="5"/>
    <x v="1"/>
    <x v="1"/>
    <x v="0"/>
    <x v="0"/>
    <x v="0"/>
    <n v="13.342000000000001"/>
    <n v="60.6"/>
    <n v="60.8"/>
    <n v="39.6"/>
    <n v="60.5"/>
    <n v="42.4"/>
    <n v="52.5"/>
    <n v="45.1"/>
    <n v="56.2"/>
    <n v="52.4"/>
    <n v="47.6"/>
    <n v="46.8"/>
    <n v="50.1"/>
    <n v="51.216666666666661"/>
    <n v="2.09233208056312"/>
    <n v="39.6"/>
    <n v="46.375"/>
    <n v="51.25"/>
  </r>
  <r>
    <n v="203"/>
    <x v="6"/>
    <x v="6"/>
    <x v="0"/>
    <x v="1"/>
    <x v="0"/>
    <x v="0"/>
    <x v="0"/>
    <n v="13.361000000000001"/>
    <n v="59.5"/>
    <n v="48.2"/>
    <n v="40.9"/>
    <n v="43.2"/>
    <n v="51.7"/>
    <n v="41.4"/>
    <n v="46.2"/>
    <n v="42"/>
    <n v="43.5"/>
    <n v="44.3"/>
    <n v="44.6"/>
    <n v="49.5"/>
    <n v="46.25"/>
    <n v="1.540439724706729"/>
    <n v="40.9"/>
    <n v="42.900000000000006"/>
    <n v="44.45"/>
  </r>
  <r>
    <n v="204"/>
    <x v="7"/>
    <x v="7"/>
    <x v="1"/>
    <x v="2"/>
    <x v="0"/>
    <x v="0"/>
    <x v="0"/>
    <n v="13.38"/>
    <n v="38.299999999999997"/>
    <n v="33.9"/>
    <n v="35"/>
    <n v="34.1"/>
    <n v="32.5"/>
    <n v="36.200000000000003"/>
    <n v="32.299999999999997"/>
    <n v="35"/>
    <n v="31.5"/>
    <n v="34"/>
    <n v="32.6"/>
    <n v="37"/>
    <n v="34.366666666666667"/>
    <n v="0.59088189525605084"/>
    <n v="31.5"/>
    <n v="32.575000000000003"/>
    <n v="34.049999999999997"/>
  </r>
  <r>
    <n v="205"/>
    <x v="0"/>
    <x v="0"/>
    <x v="0"/>
    <x v="0"/>
    <x v="0"/>
    <x v="1"/>
    <x v="0"/>
    <n v="13.398"/>
    <n v="60.7"/>
    <n v="46.9"/>
    <n v="41.9"/>
    <n v="45.3"/>
    <n v="43.5"/>
    <n v="37.1"/>
    <n v="45.4"/>
    <n v="38.6"/>
    <n v="47.3"/>
    <n v="42.6"/>
    <n v="49.4"/>
    <n v="44.9"/>
    <n v="45.300000000000004"/>
    <n v="1.729687307526462"/>
    <n v="37.1"/>
    <n v="42.424999999999997"/>
    <n v="45.099999999999994"/>
  </r>
  <r>
    <n v="206"/>
    <x v="8"/>
    <x v="8"/>
    <x v="1"/>
    <x v="0"/>
    <x v="1"/>
    <x v="1"/>
    <x v="0"/>
    <n v="13.417"/>
    <n v="59.3"/>
    <n v="51.3"/>
    <n v="48.2"/>
    <n v="55.5"/>
    <n v="45.5"/>
    <n v="46.2"/>
    <n v="49"/>
    <n v="39"/>
    <n v="44.4"/>
    <n v="38"/>
    <n v="44.7"/>
    <n v="54"/>
    <n v="47.925000000000004"/>
    <n v="1.83844157487869"/>
    <n v="38"/>
    <n v="44.625"/>
    <n v="47.2"/>
  </r>
  <r>
    <n v="207"/>
    <x v="1"/>
    <x v="1"/>
    <x v="0"/>
    <x v="1"/>
    <x v="1"/>
    <x v="1"/>
    <x v="0"/>
    <n v="13.438000000000001"/>
    <n v="55.1"/>
    <n v="37.200000000000003"/>
    <n v="48.2"/>
    <n v="38.299999999999997"/>
    <n v="48.7"/>
    <n v="36"/>
    <n v="54.2"/>
    <n v="33.299999999999997"/>
    <n v="53.8"/>
    <n v="35.6"/>
    <n v="52.4"/>
    <n v="40.1"/>
    <n v="44.408333333333331"/>
    <n v="2.4223848233348919"/>
    <n v="33.299999999999997"/>
    <n v="36.900000000000006"/>
    <n v="44.150000000000006"/>
  </r>
  <r>
    <n v="208"/>
    <x v="9"/>
    <x v="9"/>
    <x v="0"/>
    <x v="0"/>
    <x v="1"/>
    <x v="1"/>
    <x v="0"/>
    <n v="13.458"/>
    <n v="56.4"/>
    <n v="38.700000000000003"/>
    <n v="55.2"/>
    <n v="42"/>
    <n v="50.2"/>
    <n v="38.700000000000003"/>
    <n v="50.1"/>
    <n v="40.200000000000003"/>
    <n v="47.5"/>
    <n v="39.1"/>
    <n v="46"/>
    <n v="56.2"/>
    <n v="46.69166666666667"/>
    <n v="2.0068616511530268"/>
    <n v="38.700000000000003"/>
    <n v="39.925000000000004"/>
    <n v="46.75"/>
  </r>
  <r>
    <n v="301"/>
    <x v="3"/>
    <x v="3"/>
    <x v="1"/>
    <x v="1"/>
    <x v="1"/>
    <x v="2"/>
    <x v="0"/>
    <n v="13.613"/>
    <n v="60.3"/>
    <n v="48.3"/>
    <n v="39.299999999999997"/>
    <n v="58.3"/>
    <n v="38.9"/>
    <n v="56.5"/>
    <n v="37.200000000000003"/>
    <n v="52.3"/>
    <n v="38.6"/>
    <n v="51.3"/>
    <n v="38.5"/>
    <n v="59.9"/>
    <n v="48.283333333333331"/>
    <n v="2.6876494555576929"/>
    <n v="37.200000000000003"/>
    <n v="38.825000000000003"/>
    <n v="49.8"/>
  </r>
  <r>
    <n v="302"/>
    <x v="1"/>
    <x v="1"/>
    <x v="0"/>
    <x v="1"/>
    <x v="1"/>
    <x v="2"/>
    <x v="0"/>
    <n v="13.63"/>
    <n v="61.4"/>
    <n v="39.1"/>
    <n v="58.9"/>
    <n v="43.4"/>
    <n v="44.6"/>
    <n v="43.2"/>
    <n v="39"/>
    <n v="38.700000000000003"/>
    <n v="40.4"/>
    <n v="46.7"/>
    <n v="37.700000000000003"/>
    <n v="42.4"/>
    <n v="44.625"/>
    <n v="2.2378332661913616"/>
    <n v="37.700000000000003"/>
    <n v="39.075000000000003"/>
    <n v="42.8"/>
  </r>
  <r>
    <n v="303"/>
    <x v="8"/>
    <x v="8"/>
    <x v="1"/>
    <x v="0"/>
    <x v="1"/>
    <x v="2"/>
    <x v="0"/>
    <n v="13.65"/>
    <n v="51.8"/>
    <n v="33"/>
    <n v="33.1"/>
    <n v="34.700000000000003"/>
    <n v="38.9"/>
    <n v="33.1"/>
    <n v="47.6"/>
    <n v="36.9"/>
    <n v="50.3"/>
    <n v="35.299999999999997"/>
    <n v="51.1"/>
    <n v="34.299999999999997"/>
    <n v="40.00833333333334"/>
    <n v="2.2428491868040186"/>
    <n v="33"/>
    <n v="34"/>
    <n v="36.099999999999994"/>
  </r>
  <r>
    <n v="304"/>
    <x v="9"/>
    <x v="9"/>
    <x v="0"/>
    <x v="0"/>
    <x v="1"/>
    <x v="2"/>
    <x v="0"/>
    <n v="13.667"/>
    <n v="62.8"/>
    <n v="54.8"/>
    <n v="39.9"/>
    <n v="50.3"/>
    <n v="37.799999999999997"/>
    <n v="42.5"/>
    <n v="41.1"/>
    <n v="41.7"/>
    <n v="37.200000000000003"/>
    <n v="47.7"/>
    <n v="35.5"/>
    <n v="54.6"/>
    <n v="45.491666666666667"/>
    <n v="2.4599968690954852"/>
    <n v="35.5"/>
    <n v="39.375"/>
    <n v="42.1"/>
  </r>
  <r>
    <n v="305"/>
    <x v="7"/>
    <x v="7"/>
    <x v="1"/>
    <x v="2"/>
    <x v="0"/>
    <x v="3"/>
    <x v="0"/>
    <n v="13.683"/>
    <n v="38.700000000000003"/>
    <n v="35.299999999999997"/>
    <n v="32.4"/>
    <n v="36.5"/>
    <n v="31.2"/>
    <n v="35.299999999999997"/>
    <n v="31"/>
    <n v="34.799999999999997"/>
    <n v="29.7"/>
    <n v="32.1"/>
    <n v="28.8"/>
    <n v="35.6"/>
    <n v="33.450000000000003"/>
    <n v="0.86964813504535532"/>
    <n v="28.8"/>
    <n v="31.15"/>
    <n v="33.599999999999994"/>
  </r>
  <r>
    <n v="306"/>
    <x v="1"/>
    <x v="1"/>
    <x v="0"/>
    <x v="1"/>
    <x v="1"/>
    <x v="3"/>
    <x v="0"/>
    <n v="13.7"/>
    <n v="61.1"/>
    <n v="49.4"/>
    <n v="37.299999999999997"/>
    <n v="60.3"/>
    <n v="46.1"/>
    <n v="44.2"/>
    <n v="37.299999999999997"/>
    <n v="51.3"/>
    <n v="35.9"/>
    <n v="49.7"/>
    <n v="39.5"/>
    <n v="47.5"/>
    <n v="46.633333333333333"/>
    <n v="2.434236030155053"/>
    <n v="35.9"/>
    <n v="38.950000000000003"/>
    <n v="46.8"/>
  </r>
  <r>
    <n v="307"/>
    <x v="5"/>
    <x v="5"/>
    <x v="1"/>
    <x v="1"/>
    <x v="0"/>
    <x v="3"/>
    <x v="0"/>
    <n v="13.715999999999999"/>
    <n v="58.9"/>
    <n v="50.8"/>
    <n v="42.2"/>
    <n v="55.8"/>
    <n v="44.6"/>
    <n v="48.2"/>
    <n v="46.3"/>
    <n v="47.5"/>
    <n v="41.5"/>
    <n v="53.3"/>
    <n v="36.700000000000003"/>
    <n v="51.8"/>
    <n v="48.133333333333333"/>
    <n v="1.8425251666935076"/>
    <n v="36.700000000000003"/>
    <n v="44"/>
    <n v="47.85"/>
  </r>
  <r>
    <n v="308"/>
    <x v="2"/>
    <x v="2"/>
    <x v="0"/>
    <x v="2"/>
    <x v="0"/>
    <x v="3"/>
    <x v="0"/>
    <n v="13.734"/>
    <n v="62"/>
    <n v="56.2"/>
    <n v="43.3"/>
    <n v="53"/>
    <n v="44.7"/>
    <n v="53.8"/>
    <n v="43.5"/>
    <n v="50.1"/>
    <n v="41.1"/>
    <n v="43.1"/>
    <n v="43.4"/>
    <n v="41.5"/>
    <n v="47.975000000000001"/>
    <n v="1.9743478017877802"/>
    <n v="41.1"/>
    <n v="43.25"/>
    <n v="44.1"/>
  </r>
  <r>
    <n v="401"/>
    <x v="10"/>
    <x v="10"/>
    <x v="1"/>
    <x v="0"/>
    <x v="0"/>
    <x v="2"/>
    <x v="0"/>
    <n v="13.912000000000001"/>
    <n v="61.3"/>
    <n v="60.2"/>
    <n v="43.5"/>
    <n v="58.1"/>
    <n v="49"/>
    <n v="44.1"/>
    <n v="48.3"/>
    <n v="39.4"/>
    <n v="47.5"/>
    <n v="43.3"/>
    <n v="42.2"/>
    <n v="52.7"/>
    <n v="49.133333333333347"/>
    <n v="2.1336174053290677"/>
    <m/>
    <m/>
    <m/>
  </r>
  <r>
    <n v="402"/>
    <x v="5"/>
    <x v="5"/>
    <x v="1"/>
    <x v="1"/>
    <x v="0"/>
    <x v="2"/>
    <x v="0"/>
    <n v="13.894"/>
    <n v="57.7"/>
    <n v="58.9"/>
    <n v="33.1"/>
    <n v="48.8"/>
    <n v="39.200000000000003"/>
    <n v="37.9"/>
    <n v="48.5"/>
    <n v="40.700000000000003"/>
    <n v="38.1"/>
    <n v="45.3"/>
    <n v="37.1"/>
    <n v="42.8"/>
    <n v="44.008333333333333"/>
    <n v="2.3492248345427251"/>
    <m/>
    <m/>
    <m/>
  </r>
  <r>
    <n v="403"/>
    <x v="11"/>
    <x v="11"/>
    <x v="0"/>
    <x v="2"/>
    <x v="1"/>
    <x v="2"/>
    <x v="0"/>
    <n v="13.872"/>
    <n v="47.9"/>
    <n v="54.5"/>
    <n v="37.200000000000003"/>
    <n v="43"/>
    <n v="46.7"/>
    <n v="43.6"/>
    <n v="38"/>
    <n v="46.7"/>
    <n v="49.8"/>
    <n v="41.7"/>
    <n v="43.7"/>
    <n v="39.799999999999997"/>
    <n v="44.383333333333333"/>
    <n v="1.4521057506638695"/>
    <n v="37.200000000000003"/>
    <n v="41.225000000000001"/>
    <n v="43.650000000000006"/>
  </r>
  <r>
    <n v="404"/>
    <x v="6"/>
    <x v="6"/>
    <x v="0"/>
    <x v="1"/>
    <x v="0"/>
    <x v="2"/>
    <x v="0"/>
    <n v="13.853999999999999"/>
    <n v="61.4"/>
    <n v="49.7"/>
    <n v="36.200000000000003"/>
    <n v="57.7"/>
    <n v="36.799999999999997"/>
    <n v="43"/>
    <n v="35.1"/>
    <n v="56.6"/>
    <n v="35"/>
    <n v="57.2"/>
    <n v="36.700000000000003"/>
    <n v="58.6"/>
    <n v="47"/>
    <n v="3.1240513711680484"/>
    <n v="35"/>
    <n v="36.575000000000003"/>
    <n v="46.35"/>
  </r>
  <r>
    <n v="405"/>
    <x v="11"/>
    <x v="11"/>
    <x v="0"/>
    <x v="2"/>
    <x v="1"/>
    <x v="3"/>
    <x v="0"/>
    <n v="13.829000000000001"/>
    <n v="59.6"/>
    <n v="59.4"/>
    <n v="40"/>
    <n v="52.7"/>
    <n v="39.799999999999997"/>
    <n v="55.5"/>
    <n v="36.299999999999997"/>
    <n v="56"/>
    <n v="36.4"/>
    <n v="44.6"/>
    <n v="40.1"/>
    <n v="56.2"/>
    <n v="48.050000000000004"/>
    <n v="2.6837473800639282"/>
    <n v="36.299999999999997"/>
    <n v="39.950000000000003"/>
    <n v="48.650000000000006"/>
  </r>
  <r>
    <n v="406"/>
    <x v="6"/>
    <x v="6"/>
    <x v="0"/>
    <x v="1"/>
    <x v="0"/>
    <x v="3"/>
    <x v="0"/>
    <n v="13.811"/>
    <n v="56.9"/>
    <n v="59.6"/>
    <n v="39.9"/>
    <n v="55.9"/>
    <n v="38.4"/>
    <n v="47.7"/>
    <n v="44"/>
    <n v="49.2"/>
    <n v="45.7"/>
    <n v="48.4"/>
    <n v="44.5"/>
    <n v="41.3"/>
    <n v="47.625"/>
    <n v="1.970199382311504"/>
    <n v="38.4"/>
    <n v="43.325000000000003"/>
    <n v="46.7"/>
  </r>
  <r>
    <n v="407"/>
    <x v="10"/>
    <x v="10"/>
    <x v="1"/>
    <x v="0"/>
    <x v="0"/>
    <x v="3"/>
    <x v="0"/>
    <n v="13.789"/>
    <n v="52.5"/>
    <n v="51.2"/>
    <n v="32.9"/>
    <n v="48.2"/>
    <n v="33.9"/>
    <n v="42.7"/>
    <n v="30.2"/>
    <n v="51.3"/>
    <n v="37.200000000000003"/>
    <n v="56.5"/>
    <n v="36.200000000000003"/>
    <n v="48.8"/>
    <n v="43.466666666666669"/>
    <n v="2.6043766582001462"/>
    <n v="30.2"/>
    <n v="35.625"/>
    <n v="45.45"/>
  </r>
  <r>
    <n v="408"/>
    <x v="3"/>
    <x v="3"/>
    <x v="1"/>
    <x v="1"/>
    <x v="1"/>
    <x v="3"/>
    <x v="0"/>
    <n v="13.766999999999999"/>
    <n v="60.4"/>
    <n v="61.6"/>
    <n v="36.1"/>
    <n v="60.8"/>
    <n v="38.5"/>
    <n v="46.2"/>
    <n v="50.4"/>
    <n v="41.9"/>
    <n v="40.6"/>
    <n v="46.3"/>
    <n v="53"/>
    <n v="43.5"/>
    <n v="48.274999999999999"/>
    <n v="2.5858333455404909"/>
    <n v="36.1"/>
    <n v="41.575000000000003"/>
    <n v="46.25"/>
  </r>
  <r>
    <n v="901"/>
    <x v="12"/>
    <x v="12"/>
    <x v="2"/>
    <x v="3"/>
    <x v="1"/>
    <x v="0"/>
    <x v="0"/>
    <n v="13.593999999999999"/>
    <n v="51.8"/>
    <n v="51.9"/>
    <n v="52.4"/>
    <n v="51.9"/>
    <n v="52.2"/>
    <n v="51.5"/>
    <n v="52.4"/>
    <n v="52.8"/>
    <n v="51.6"/>
    <n v="52.8"/>
    <n v="52.4"/>
    <n v="51.9"/>
    <n v="52.133333333333326"/>
    <n v="0.12512619892178228"/>
    <n v="51.5"/>
    <n v="51.875"/>
    <n v="52.05"/>
  </r>
  <r>
    <n v="902"/>
    <x v="13"/>
    <x v="13"/>
    <x v="3"/>
    <x v="1"/>
    <x v="0"/>
    <x v="0"/>
    <x v="0"/>
    <n v="13.576000000000001"/>
    <n v="61.9"/>
    <n v="58.3"/>
    <n v="32.700000000000003"/>
    <n v="56.2"/>
    <n v="35.9"/>
    <n v="52.8"/>
    <n v="43.8"/>
    <n v="45.3"/>
    <n v="45.9"/>
    <n v="45.6"/>
    <n v="38.6"/>
    <n v="48.7"/>
    <n v="47.141666666666673"/>
    <n v="2.5895904184549168"/>
    <n v="32.700000000000003"/>
    <n v="42.5"/>
    <n v="45.75"/>
  </r>
  <r>
    <n v="903"/>
    <x v="14"/>
    <x v="14"/>
    <x v="4"/>
    <x v="3"/>
    <x v="1"/>
    <x v="0"/>
    <x v="0"/>
    <n v="13.567"/>
    <n v="64.8"/>
    <n v="68.7"/>
    <n v="66.5"/>
    <n v="68.7"/>
    <n v="64.7"/>
    <n v="68.400000000000006"/>
    <n v="66.8"/>
    <n v="69.8"/>
    <n v="65"/>
    <n v="68.2"/>
    <n v="67.099999999999994"/>
    <n v="69.5"/>
    <n v="67.349999999999994"/>
    <n v="0.52389855599109636"/>
    <n v="64.7"/>
    <n v="66.125"/>
    <n v="67.650000000000006"/>
  </r>
  <r>
    <n v="904"/>
    <x v="15"/>
    <x v="15"/>
    <x v="5"/>
    <x v="1"/>
    <x v="0"/>
    <x v="0"/>
    <x v="0"/>
    <n v="13.544"/>
    <n v="71.8"/>
    <n v="69.8"/>
    <n v="49.4"/>
    <n v="60.6"/>
    <n v="51.8"/>
    <n v="61.8"/>
    <n v="56.9"/>
    <n v="65.599999999999994"/>
    <n v="61.7"/>
    <n v="61.5"/>
    <n v="53.5"/>
    <n v="63.8"/>
    <n v="60.68333333333333"/>
    <n v="1.9765225559404747"/>
    <n v="49.4"/>
    <n v="56.05"/>
    <n v="61.6"/>
  </r>
  <r>
    <n v="905"/>
    <x v="12"/>
    <x v="12"/>
    <x v="2"/>
    <x v="3"/>
    <x v="1"/>
    <x v="1"/>
    <x v="0"/>
    <n v="13.535"/>
    <n v="56.9"/>
    <n v="57.4"/>
    <n v="57.2"/>
    <n v="55.5"/>
    <n v="57"/>
    <n v="55.3"/>
    <n v="55.5"/>
    <n v="56.5"/>
    <n v="54.6"/>
    <n v="55"/>
    <n v="55.7"/>
    <n v="57.4"/>
    <n v="56.166666666666679"/>
    <n v="0.29033244615921605"/>
    <n v="54.6"/>
    <n v="55.45"/>
    <n v="56.1"/>
  </r>
  <r>
    <n v="906"/>
    <x v="13"/>
    <x v="13"/>
    <x v="3"/>
    <x v="1"/>
    <x v="0"/>
    <x v="1"/>
    <x v="0"/>
    <n v="13.515000000000001"/>
    <n v="55.1"/>
    <n v="55.1"/>
    <n v="34.299999999999997"/>
    <n v="45.2"/>
    <n v="34.299999999999997"/>
    <n v="34.299999999999997"/>
    <n v="40.4"/>
    <n v="40.6"/>
    <n v="33.6"/>
    <n v="37.5"/>
    <n v="35.299999999999997"/>
    <n v="41.9"/>
    <n v="40.633333333333333"/>
    <n v="2.2176063171306541"/>
    <n v="33.6"/>
    <n v="34.299999999999997"/>
    <n v="38.950000000000003"/>
  </r>
  <r>
    <n v="907"/>
    <x v="14"/>
    <x v="14"/>
    <x v="4"/>
    <x v="3"/>
    <x v="1"/>
    <x v="1"/>
    <x v="0"/>
    <n v="13.505000000000001"/>
    <n v="64.5"/>
    <n v="66.599999999999994"/>
    <n v="66.5"/>
    <n v="66.900000000000006"/>
    <n v="65.2"/>
    <n v="65.900000000000006"/>
    <n v="67.599999999999994"/>
    <n v="67.2"/>
    <n v="67.099999999999994"/>
    <n v="67.900000000000006"/>
    <n v="66.599999999999994"/>
    <n v="66.8"/>
    <n v="66.566666666666677"/>
    <n v="0.27915818621201882"/>
    <n v="64.5"/>
    <n v="66.349999999999994"/>
    <n v="66.7"/>
  </r>
  <r>
    <n v="908"/>
    <x v="15"/>
    <x v="15"/>
    <x v="5"/>
    <x v="1"/>
    <x v="0"/>
    <x v="1"/>
    <x v="0"/>
    <n v="13.484"/>
    <n v="67.400000000000006"/>
    <n v="65.400000000000006"/>
    <n v="47.7"/>
    <n v="60.8"/>
    <n v="63.1"/>
    <n v="59.8"/>
    <n v="55.1"/>
    <n v="65.3"/>
    <n v="53.3"/>
    <n v="66"/>
    <n v="56.5"/>
    <n v="65.900000000000006"/>
    <n v="60.524999999999999"/>
    <n v="1.788520846448769"/>
    <n v="47.7"/>
    <n v="56.15"/>
    <n v="61.95"/>
  </r>
  <r>
    <n v="101"/>
    <x v="0"/>
    <x v="0"/>
    <x v="0"/>
    <x v="0"/>
    <x v="0"/>
    <x v="0"/>
    <x v="1"/>
    <n v="13.295999999999999"/>
    <n v="34.1"/>
    <n v="33.700000000000003"/>
    <n v="31.9"/>
    <n v="32.5"/>
    <n v="32.299999999999997"/>
    <n v="32.9"/>
    <n v="31.8"/>
    <n v="30.6"/>
    <n v="31"/>
    <n v="33.6"/>
    <n v="32.299999999999997"/>
    <n v="35.799999999999997"/>
    <n v="32.708333333333336"/>
    <n v="0.4131289206173463"/>
    <n v="30.6"/>
    <n v="31.875"/>
    <n v="32.4"/>
  </r>
  <r>
    <n v="102"/>
    <x v="1"/>
    <x v="1"/>
    <x v="0"/>
    <x v="1"/>
    <x v="1"/>
    <x v="0"/>
    <x v="1"/>
    <n v="13.278"/>
    <n v="29.8"/>
    <n v="30.3"/>
    <n v="30.6"/>
    <n v="29.8"/>
    <n v="29.9"/>
    <n v="31.7"/>
    <n v="30.9"/>
    <n v="31.1"/>
    <n v="30.4"/>
    <n v="31.6"/>
    <n v="31.5"/>
    <n v="31.4"/>
    <n v="30.75"/>
    <n v="0.20652243256244365"/>
    <n v="29.8"/>
    <n v="30.2"/>
    <n v="30.75"/>
  </r>
  <r>
    <n v="103"/>
    <x v="2"/>
    <x v="2"/>
    <x v="0"/>
    <x v="2"/>
    <x v="0"/>
    <x v="0"/>
    <x v="1"/>
    <n v="13.257"/>
    <n v="37.5"/>
    <n v="36"/>
    <n v="37.1"/>
    <n v="32.5"/>
    <n v="36.799999999999997"/>
    <n v="35.299999999999997"/>
    <n v="33.299999999999997"/>
    <n v="34.1"/>
    <n v="35.299999999999997"/>
    <n v="35.5"/>
    <n v="34.200000000000003"/>
    <n v="33.700000000000003"/>
    <n v="35.108333333333334"/>
    <n v="0.45617951233559501"/>
    <n v="32.5"/>
    <n v="34"/>
    <n v="35.299999999999997"/>
  </r>
  <r>
    <n v="104"/>
    <x v="3"/>
    <x v="3"/>
    <x v="1"/>
    <x v="1"/>
    <x v="1"/>
    <x v="0"/>
    <x v="1"/>
    <n v="13.237"/>
    <n v="33.700000000000003"/>
    <n v="30.4"/>
    <n v="32"/>
    <n v="29.2"/>
    <n v="30.8"/>
    <n v="28.4"/>
    <n v="32"/>
    <n v="32.1"/>
    <n v="31.1"/>
    <n v="32.1"/>
    <n v="31.8"/>
    <n v="31.5"/>
    <n v="31.258333333333336"/>
    <n v="0.4101844251385815"/>
    <n v="28.4"/>
    <n v="30.7"/>
    <n v="31.65"/>
  </r>
  <r>
    <n v="105"/>
    <x v="4"/>
    <x v="4"/>
    <x v="1"/>
    <x v="2"/>
    <x v="1"/>
    <x v="1"/>
    <x v="1"/>
    <n v="13.218999999999999"/>
    <n v="30.4"/>
    <n v="29.7"/>
    <n v="30.7"/>
    <n v="31.7"/>
    <n v="30.6"/>
    <n v="32.6"/>
    <n v="30.1"/>
    <n v="30.1"/>
    <n v="33.1"/>
    <n v="31.7"/>
    <n v="31.4"/>
    <n v="30.1"/>
    <n v="31.016666666666666"/>
    <n v="0.31184527372957044"/>
    <n v="29.7"/>
    <n v="30.1"/>
    <n v="30.65"/>
  </r>
  <r>
    <n v="106"/>
    <x v="5"/>
    <x v="5"/>
    <x v="1"/>
    <x v="1"/>
    <x v="0"/>
    <x v="1"/>
    <x v="1"/>
    <n v="13.2"/>
    <n v="32"/>
    <n v="31.4"/>
    <n v="32.299999999999997"/>
    <n v="30.9"/>
    <n v="32.4"/>
    <n v="30.6"/>
    <n v="30.7"/>
    <n v="31"/>
    <n v="31.5"/>
    <n v="31.3"/>
    <n v="31.6"/>
    <n v="30.3"/>
    <n v="31.333333333333332"/>
    <n v="0.19319221600061787"/>
    <n v="30.3"/>
    <n v="30.85"/>
    <n v="31.35"/>
  </r>
  <r>
    <n v="107"/>
    <x v="3"/>
    <x v="3"/>
    <x v="1"/>
    <x v="1"/>
    <x v="1"/>
    <x v="1"/>
    <x v="1"/>
    <n v="13.18"/>
    <n v="29.6"/>
    <n v="32.299999999999997"/>
    <n v="34.700000000000003"/>
    <n v="31.6"/>
    <n v="32.4"/>
    <n v="32"/>
    <n v="31.1"/>
    <n v="33.5"/>
    <n v="32.200000000000003"/>
    <n v="36.5"/>
    <n v="34.799999999999997"/>
    <n v="33.299999999999997"/>
    <n v="32.833333333333336"/>
    <n v="0.53659043313245502"/>
    <n v="29.6"/>
    <n v="31.9"/>
    <n v="32.35"/>
  </r>
  <r>
    <n v="108"/>
    <x v="6"/>
    <x v="6"/>
    <x v="0"/>
    <x v="1"/>
    <x v="0"/>
    <x v="1"/>
    <x v="1"/>
    <n v="13.159000000000001"/>
    <n v="35.700000000000003"/>
    <n v="35.6"/>
    <n v="34.700000000000003"/>
    <n v="35.1"/>
    <n v="36"/>
    <n v="34.799999999999997"/>
    <n v="35.700000000000003"/>
    <n v="34.700000000000003"/>
    <n v="35.4"/>
    <n v="35.4"/>
    <n v="34.6"/>
    <n v="35"/>
    <n v="35.225000000000001"/>
    <n v="0.13602862889410222"/>
    <n v="34.6"/>
    <n v="34.774999999999999"/>
    <n v="35.25"/>
  </r>
  <r>
    <n v="201"/>
    <x v="4"/>
    <x v="4"/>
    <x v="1"/>
    <x v="2"/>
    <x v="1"/>
    <x v="0"/>
    <x v="1"/>
    <n v="13.327999999999999"/>
    <n v="29.8"/>
    <n v="30.3"/>
    <n v="29.8"/>
    <n v="31.6"/>
    <n v="31.6"/>
    <n v="32.9"/>
    <n v="29.7"/>
    <n v="29.7"/>
    <n v="29.3"/>
    <n v="29.2"/>
    <n v="30.9"/>
    <n v="31"/>
    <n v="30.483333333333331"/>
    <n v="0.32586326685727318"/>
    <n v="29.2"/>
    <n v="29.7"/>
    <n v="30.05"/>
  </r>
  <r>
    <n v="202"/>
    <x v="5"/>
    <x v="5"/>
    <x v="1"/>
    <x v="1"/>
    <x v="0"/>
    <x v="0"/>
    <x v="1"/>
    <n v="13.347"/>
    <n v="31"/>
    <n v="29.5"/>
    <n v="30.4"/>
    <n v="32.299999999999997"/>
    <n v="30.6"/>
    <n v="30.2"/>
    <n v="30.7"/>
    <n v="31"/>
    <n v="31"/>
    <n v="30.9"/>
    <n v="32.1"/>
    <n v="31.3"/>
    <n v="30.916666666666668"/>
    <n v="0.22047927592203878"/>
    <n v="29.5"/>
    <n v="30.55"/>
    <n v="30.95"/>
  </r>
  <r>
    <n v="203"/>
    <x v="6"/>
    <x v="6"/>
    <x v="0"/>
    <x v="1"/>
    <x v="0"/>
    <x v="0"/>
    <x v="1"/>
    <n v="13.366"/>
    <n v="33.799999999999997"/>
    <n v="33.4"/>
    <n v="33.4"/>
    <n v="34.1"/>
    <n v="32.9"/>
    <n v="34.299999999999997"/>
    <n v="33.9"/>
    <n v="34.700000000000003"/>
    <n v="31.8"/>
    <n v="34.6"/>
    <n v="33.5"/>
    <n v="33.200000000000003"/>
    <n v="33.633333333333333"/>
    <n v="0.23104942844295018"/>
    <n v="31.8"/>
    <n v="33.35"/>
    <n v="33.65"/>
  </r>
  <r>
    <n v="204"/>
    <x v="7"/>
    <x v="7"/>
    <x v="1"/>
    <x v="2"/>
    <x v="0"/>
    <x v="0"/>
    <x v="1"/>
    <n v="13.385999999999999"/>
    <n v="31.2"/>
    <n v="30.6"/>
    <n v="31.1"/>
    <n v="29.1"/>
    <n v="27.8"/>
    <n v="29.6"/>
    <n v="29"/>
    <n v="30"/>
    <n v="30.7"/>
    <n v="30.9"/>
    <n v="30.7"/>
    <n v="30.1"/>
    <n v="30.066666666666666"/>
    <n v="0.29601733500969413"/>
    <n v="27.8"/>
    <n v="29.475000000000001"/>
    <n v="30.35"/>
  </r>
  <r>
    <n v="205"/>
    <x v="0"/>
    <x v="0"/>
    <x v="0"/>
    <x v="0"/>
    <x v="0"/>
    <x v="1"/>
    <x v="1"/>
    <n v="13.403"/>
    <n v="29.1"/>
    <n v="31"/>
    <n v="29.6"/>
    <n v="29"/>
    <n v="31"/>
    <n v="29.5"/>
    <n v="29.6"/>
    <n v="30.5"/>
    <n v="30.7"/>
    <n v="30.5"/>
    <n v="31.4"/>
    <n v="29.3"/>
    <n v="30.1"/>
    <n v="0.24152294576980687"/>
    <n v="29"/>
    <n v="29.45"/>
    <n v="30.05"/>
  </r>
  <r>
    <n v="206"/>
    <x v="8"/>
    <x v="8"/>
    <x v="1"/>
    <x v="0"/>
    <x v="1"/>
    <x v="1"/>
    <x v="1"/>
    <n v="13.422000000000001"/>
    <n v="31.6"/>
    <n v="32.1"/>
    <n v="29.5"/>
    <n v="28.6"/>
    <n v="29.5"/>
    <n v="27.3"/>
    <n v="28.9"/>
    <n v="29"/>
    <n v="28.8"/>
    <n v="28.3"/>
    <n v="30.7"/>
    <n v="30.6"/>
    <n v="29.574999999999999"/>
    <n v="0.40771443512102257"/>
    <n v="27.3"/>
    <n v="28.75"/>
    <n v="29.25"/>
  </r>
  <r>
    <n v="207"/>
    <x v="1"/>
    <x v="1"/>
    <x v="0"/>
    <x v="1"/>
    <x v="1"/>
    <x v="1"/>
    <x v="1"/>
    <n v="13.444000000000001"/>
    <n v="31.8"/>
    <n v="33.5"/>
    <n v="30.4"/>
    <n v="30.8"/>
    <n v="30.3"/>
    <n v="30.5"/>
    <n v="30"/>
    <n v="30.8"/>
    <n v="29.9"/>
    <n v="29.6"/>
    <n v="29.7"/>
    <n v="30.4"/>
    <n v="30.641666666666666"/>
    <n v="0.31078062352664215"/>
    <n v="29.6"/>
    <n v="29.975000000000001"/>
    <n v="30.4"/>
  </r>
  <r>
    <n v="208"/>
    <x v="9"/>
    <x v="9"/>
    <x v="0"/>
    <x v="0"/>
    <x v="1"/>
    <x v="1"/>
    <x v="1"/>
    <n v="13.462999999999999"/>
    <n v="33.700000000000003"/>
    <n v="34.200000000000003"/>
    <n v="30"/>
    <n v="32"/>
    <n v="31.9"/>
    <n v="32"/>
    <n v="32.299999999999997"/>
    <n v="32.4"/>
    <n v="32.4"/>
    <n v="32.9"/>
    <n v="32.700000000000003"/>
    <n v="33.4"/>
    <n v="32.49166666666666"/>
    <n v="0.30784154063648078"/>
    <n v="30"/>
    <n v="32"/>
    <n v="32.4"/>
  </r>
  <r>
    <n v="301"/>
    <x v="3"/>
    <x v="3"/>
    <x v="1"/>
    <x v="1"/>
    <x v="1"/>
    <x v="2"/>
    <x v="1"/>
    <n v="13.618"/>
    <n v="31.3"/>
    <n v="31.9"/>
    <n v="31"/>
    <n v="32"/>
    <n v="30.6"/>
    <n v="31.2"/>
    <n v="31.4"/>
    <n v="30.4"/>
    <n v="31"/>
    <n v="30.1"/>
    <n v="30.3"/>
    <n v="30.5"/>
    <n v="30.975000000000001"/>
    <n v="0.17757840777827161"/>
    <n v="30.1"/>
    <n v="30.475000000000001"/>
    <n v="31"/>
  </r>
  <r>
    <n v="302"/>
    <x v="1"/>
    <x v="1"/>
    <x v="0"/>
    <x v="1"/>
    <x v="1"/>
    <x v="2"/>
    <x v="1"/>
    <n v="13.635999999999999"/>
    <n v="32"/>
    <n v="32.200000000000003"/>
    <n v="31.9"/>
    <n v="32.6"/>
    <n v="34.6"/>
    <n v="33.200000000000003"/>
    <n v="33.6"/>
    <n v="34"/>
    <n v="33.700000000000003"/>
    <n v="35.1"/>
    <n v="34.9"/>
    <n v="34.9"/>
    <n v="33.55833333333333"/>
    <n v="0.34100082940746779"/>
    <n v="31.9"/>
    <n v="32.5"/>
    <n v="33.65"/>
  </r>
  <r>
    <n v="303"/>
    <x v="8"/>
    <x v="8"/>
    <x v="1"/>
    <x v="0"/>
    <x v="1"/>
    <x v="2"/>
    <x v="1"/>
    <n v="13.656000000000001"/>
    <n v="29.2"/>
    <n v="30.8"/>
    <n v="28.7"/>
    <n v="28.8"/>
    <n v="29.7"/>
    <n v="31.2"/>
    <n v="30.2"/>
    <n v="29.6"/>
    <n v="30.2"/>
    <n v="31.4"/>
    <n v="31.2"/>
    <n v="30.7"/>
    <n v="30.141666666666662"/>
    <n v="0.27287979741712204"/>
    <n v="28.7"/>
    <n v="29.5"/>
    <n v="30.2"/>
  </r>
  <r>
    <n v="304"/>
    <x v="9"/>
    <x v="9"/>
    <x v="0"/>
    <x v="0"/>
    <x v="1"/>
    <x v="2"/>
    <x v="1"/>
    <n v="13.672000000000001"/>
    <n v="32.700000000000003"/>
    <n v="32.299999999999997"/>
    <n v="31"/>
    <n v="30.8"/>
    <n v="32"/>
    <n v="33.1"/>
    <n v="31.2"/>
    <n v="32.700000000000003"/>
    <n v="30.6"/>
    <n v="34.6"/>
    <n v="30.9"/>
    <n v="34.700000000000003"/>
    <n v="32.216666666666669"/>
    <n v="0.40840290069111124"/>
    <n v="30.6"/>
    <n v="30.975000000000001"/>
    <n v="32.15"/>
  </r>
  <r>
    <n v="305"/>
    <x v="7"/>
    <x v="7"/>
    <x v="1"/>
    <x v="2"/>
    <x v="0"/>
    <x v="3"/>
    <x v="1"/>
    <n v="13.689"/>
    <n v="30.5"/>
    <n v="29.7"/>
    <n v="29.7"/>
    <n v="29.3"/>
    <n v="30.1"/>
    <n v="33.700000000000003"/>
    <n v="31.4"/>
    <n v="34.4"/>
    <n v="30.4"/>
    <n v="29.6"/>
    <n v="29.8"/>
    <n v="30.9"/>
    <n v="30.791666666666668"/>
    <n v="0.47345575668202972"/>
    <n v="29.3"/>
    <n v="29.7"/>
    <n v="30.25"/>
  </r>
  <r>
    <n v="306"/>
    <x v="1"/>
    <x v="1"/>
    <x v="0"/>
    <x v="1"/>
    <x v="1"/>
    <x v="3"/>
    <x v="1"/>
    <n v="13.705"/>
    <n v="35.4"/>
    <n v="35"/>
    <n v="32.799999999999997"/>
    <n v="34.200000000000003"/>
    <n v="32.200000000000003"/>
    <n v="34.200000000000003"/>
    <n v="32.799999999999997"/>
    <n v="35.5"/>
    <n v="34.5"/>
    <n v="35"/>
    <n v="32.4"/>
    <n v="34.200000000000003"/>
    <n v="34.016666666666666"/>
    <n v="0.33997177541792845"/>
    <n v="32.200000000000003"/>
    <n v="32.799999999999997"/>
    <n v="34.200000000000003"/>
  </r>
  <r>
    <n v="307"/>
    <x v="5"/>
    <x v="5"/>
    <x v="1"/>
    <x v="1"/>
    <x v="0"/>
    <x v="3"/>
    <x v="1"/>
    <n v="13.722"/>
    <n v="32.4"/>
    <n v="32.200000000000003"/>
    <n v="31.9"/>
    <n v="30.3"/>
    <n v="31.8"/>
    <n v="31.7"/>
    <n v="30.7"/>
    <n v="30.8"/>
    <n v="30.9"/>
    <n v="32.700000000000003"/>
    <n v="29.3"/>
    <n v="30.6"/>
    <n v="31.274999999999999"/>
    <n v="0.28870793672375955"/>
    <n v="29.3"/>
    <n v="30.675000000000001"/>
    <n v="31.3"/>
  </r>
  <r>
    <n v="308"/>
    <x v="2"/>
    <x v="2"/>
    <x v="0"/>
    <x v="2"/>
    <x v="0"/>
    <x v="3"/>
    <x v="1"/>
    <n v="13.74"/>
    <n v="37.700000000000003"/>
    <n v="36.4"/>
    <n v="35.299999999999997"/>
    <n v="36.200000000000003"/>
    <n v="33.799999999999997"/>
    <n v="34.5"/>
    <n v="36.799999999999997"/>
    <n v="40.799999999999997"/>
    <n v="41"/>
    <n v="39.6"/>
    <n v="38.799999999999997"/>
    <n v="38.799999999999997"/>
    <n v="37.475000000000001"/>
    <n v="0.68469468975725856"/>
    <n v="33.799999999999997"/>
    <n v="35.975000000000001"/>
    <n v="37.25"/>
  </r>
  <r>
    <n v="401"/>
    <x v="10"/>
    <x v="10"/>
    <x v="1"/>
    <x v="0"/>
    <x v="0"/>
    <x v="2"/>
    <x v="1"/>
    <n v="13.917"/>
    <n v="33.1"/>
    <n v="30.8"/>
    <n v="34.6"/>
    <n v="30.9"/>
    <n v="30.2"/>
    <n v="31.2"/>
    <n v="30.5"/>
    <n v="29.9"/>
    <n v="33.5"/>
    <n v="30.7"/>
    <n v="31.2"/>
    <n v="30.2"/>
    <n v="31.4"/>
    <n v="0.43222468904287303"/>
    <m/>
    <m/>
    <m/>
  </r>
  <r>
    <n v="402"/>
    <x v="5"/>
    <x v="5"/>
    <x v="1"/>
    <x v="1"/>
    <x v="0"/>
    <x v="2"/>
    <x v="1"/>
    <n v="13.898999999999999"/>
    <n v="29.7"/>
    <n v="28.8"/>
    <n v="31"/>
    <n v="31"/>
    <n v="30.3"/>
    <n v="29.5"/>
    <n v="30.7"/>
    <n v="31.1"/>
    <n v="29.6"/>
    <n v="30.4"/>
    <n v="29.7"/>
    <n v="30.9"/>
    <n v="30.225000000000001"/>
    <n v="0.2164188559533135"/>
    <m/>
    <m/>
    <m/>
  </r>
  <r>
    <n v="403"/>
    <x v="11"/>
    <x v="11"/>
    <x v="0"/>
    <x v="2"/>
    <x v="1"/>
    <x v="2"/>
    <x v="1"/>
    <n v="13.878"/>
    <n v="34.299999999999997"/>
    <n v="33.799999999999997"/>
    <n v="34.5"/>
    <n v="35.299999999999997"/>
    <n v="33.200000000000003"/>
    <n v="34.700000000000003"/>
    <n v="34.700000000000003"/>
    <n v="34.6"/>
    <n v="33.4"/>
    <n v="34.1"/>
    <n v="34.200000000000003"/>
    <n v="33.1"/>
    <n v="34.158333333333331"/>
    <n v="0.19402371509739674"/>
    <n v="33.1"/>
    <n v="33.700000000000003"/>
    <n v="34.25"/>
  </r>
  <r>
    <n v="404"/>
    <x v="6"/>
    <x v="6"/>
    <x v="0"/>
    <x v="1"/>
    <x v="0"/>
    <x v="2"/>
    <x v="1"/>
    <n v="13.859"/>
    <n v="33"/>
    <n v="32.4"/>
    <n v="33.299999999999997"/>
    <n v="33"/>
    <n v="32.700000000000003"/>
    <n v="34"/>
    <n v="32.4"/>
    <n v="32.4"/>
    <n v="33.299999999999997"/>
    <n v="32.1"/>
    <n v="33.9"/>
    <n v="33.4"/>
    <n v="32.991666666666667"/>
    <n v="0.1768659539214891"/>
    <n v="32.1"/>
    <n v="32.4"/>
    <n v="33"/>
  </r>
  <r>
    <n v="405"/>
    <x v="11"/>
    <x v="11"/>
    <x v="0"/>
    <x v="2"/>
    <x v="1"/>
    <x v="3"/>
    <x v="1"/>
    <n v="13.836"/>
    <n v="39"/>
    <n v="38.700000000000003"/>
    <n v="36.1"/>
    <n v="35.6"/>
    <n v="32.9"/>
    <n v="32.700000000000003"/>
    <n v="33.5"/>
    <n v="33.299999999999997"/>
    <n v="34.700000000000003"/>
    <n v="36.200000000000003"/>
    <n v="35.200000000000003"/>
    <n v="37.5"/>
    <n v="35.450000000000003"/>
    <n v="0.62456045149830752"/>
    <n v="32.700000000000003"/>
    <n v="33.450000000000003"/>
    <n v="35.4"/>
  </r>
  <r>
    <n v="406"/>
    <x v="6"/>
    <x v="6"/>
    <x v="0"/>
    <x v="1"/>
    <x v="0"/>
    <x v="3"/>
    <x v="1"/>
    <n v="13.816000000000001"/>
    <n v="33.4"/>
    <n v="34"/>
    <n v="34.9"/>
    <n v="33.299999999999997"/>
    <n v="35.5"/>
    <n v="34.200000000000003"/>
    <n v="35.5"/>
    <n v="35"/>
    <n v="33.6"/>
    <n v="34.799999999999997"/>
    <n v="32.700000000000003"/>
    <n v="34.200000000000003"/>
    <n v="34.258333333333333"/>
    <n v="0.26008691243536575"/>
    <n v="32.700000000000003"/>
    <n v="33.549999999999997"/>
    <n v="34.200000000000003"/>
  </r>
  <r>
    <n v="407"/>
    <x v="10"/>
    <x v="10"/>
    <x v="1"/>
    <x v="0"/>
    <x v="0"/>
    <x v="3"/>
    <x v="1"/>
    <n v="13.795"/>
    <n v="30.4"/>
    <n v="29.3"/>
    <n v="30.2"/>
    <n v="31.2"/>
    <n v="30.7"/>
    <n v="29.6"/>
    <n v="29.1"/>
    <n v="31.2"/>
    <n v="28.6"/>
    <n v="29.3"/>
    <n v="29"/>
    <n v="29.5"/>
    <n v="29.841666666666669"/>
    <n v="0.25270006575446391"/>
    <n v="28.6"/>
    <n v="29.25"/>
    <n v="29.55"/>
  </r>
  <r>
    <n v="408"/>
    <x v="3"/>
    <x v="3"/>
    <x v="1"/>
    <x v="1"/>
    <x v="1"/>
    <x v="3"/>
    <x v="1"/>
    <n v="13.773"/>
    <n v="30.8"/>
    <n v="31.6"/>
    <n v="30.4"/>
    <n v="33"/>
    <n v="33.700000000000003"/>
    <n v="32.200000000000003"/>
    <n v="31.9"/>
    <n v="31.8"/>
    <n v="31.9"/>
    <n v="32.299999999999997"/>
    <n v="30.3"/>
    <n v="31.6"/>
    <n v="31.791666666666671"/>
    <n v="0.28563017340535024"/>
    <n v="30.3"/>
    <n v="31.4"/>
    <n v="31.85"/>
  </r>
  <r>
    <n v="902"/>
    <x v="13"/>
    <x v="13"/>
    <x v="3"/>
    <x v="1"/>
    <x v="0"/>
    <x v="0"/>
    <x v="1"/>
    <n v="13.58"/>
    <n v="31"/>
    <n v="31.3"/>
    <n v="30.4"/>
    <n v="31.8"/>
    <n v="31.3"/>
    <n v="31.3"/>
    <n v="30.3"/>
    <n v="31.7"/>
    <n v="30"/>
    <n v="30"/>
    <n v="31.2"/>
    <n v="30.9"/>
    <n v="30.933333333333334"/>
    <n v="0.17936476011671248"/>
    <n v="30"/>
    <n v="30.375"/>
    <n v="31.1"/>
  </r>
  <r>
    <n v="904"/>
    <x v="15"/>
    <x v="15"/>
    <x v="5"/>
    <x v="1"/>
    <x v="0"/>
    <x v="0"/>
    <x v="1"/>
    <n v="13.55"/>
    <n v="34.799999999999997"/>
    <n v="34.9"/>
    <n v="36"/>
    <n v="38.299999999999997"/>
    <n v="35.799999999999997"/>
    <n v="36.1"/>
    <n v="32.299999999999997"/>
    <n v="37.799999999999997"/>
    <n v="37.6"/>
    <n v="38.4"/>
    <n v="32"/>
    <n v="39.5"/>
    <n v="36.125"/>
    <n v="0.68147845071423729"/>
    <n v="32"/>
    <n v="34.875"/>
    <n v="36.049999999999997"/>
  </r>
  <r>
    <n v="906"/>
    <x v="13"/>
    <x v="13"/>
    <x v="3"/>
    <x v="1"/>
    <x v="0"/>
    <x v="1"/>
    <x v="1"/>
    <n v="13.52"/>
    <n v="29.8"/>
    <n v="27.6"/>
    <n v="28.7"/>
    <n v="29"/>
    <n v="28.8"/>
    <n v="28.5"/>
    <n v="29.5"/>
    <n v="29.9"/>
    <n v="28.9"/>
    <n v="28.2"/>
    <n v="30.3"/>
    <n v="30.2"/>
    <n v="29.116666666666664"/>
    <n v="0.24084237688799295"/>
    <n v="27.6"/>
    <n v="28.65"/>
    <n v="28.95"/>
  </r>
  <r>
    <n v="908"/>
    <x v="15"/>
    <x v="15"/>
    <x v="5"/>
    <x v="1"/>
    <x v="0"/>
    <x v="1"/>
    <x v="1"/>
    <n v="13.489000000000001"/>
    <n v="33.299999999999997"/>
    <n v="36.700000000000003"/>
    <n v="35.9"/>
    <n v="39.4"/>
    <n v="35.799999999999997"/>
    <n v="34.6"/>
    <n v="34.799999999999997"/>
    <n v="35.5"/>
    <n v="36.1"/>
    <n v="37.5"/>
    <n v="38.9"/>
    <n v="40.4"/>
    <n v="36.575000000000003"/>
    <n v="0.60990871150003201"/>
    <n v="33.299999999999997"/>
    <n v="35.325000000000003"/>
    <n v="3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101"/>
    <x v="0"/>
    <x v="0"/>
    <x v="0"/>
    <x v="0"/>
    <x v="0"/>
    <x v="0"/>
    <x v="0"/>
    <n v="13.356999999999999"/>
    <n v="58.8"/>
    <n v="45.2"/>
    <n v="50.8"/>
    <n v="40.4"/>
    <n v="37.9"/>
    <n v="41.8"/>
    <n v="41.6"/>
    <n v="43"/>
    <n v="45.3"/>
    <n v="40.799999999999997"/>
    <n v="46.6"/>
    <n v="49"/>
    <n v="45.1"/>
    <n v="1.6460696991760095"/>
    <n v="37.9"/>
    <n v="41.4"/>
    <n v="44.1"/>
  </r>
  <r>
    <n v="102"/>
    <x v="1"/>
    <x v="1"/>
    <x v="0"/>
    <x v="1"/>
    <x v="1"/>
    <x v="0"/>
    <x v="0"/>
    <n v="13.336"/>
    <n v="55.5"/>
    <n v="55.6"/>
    <n v="40"/>
    <n v="46.7"/>
    <n v="42.2"/>
    <n v="40.5"/>
    <n v="48"/>
    <n v="40.1"/>
    <n v="40.299999999999997"/>
    <n v="41.9"/>
    <n v="37.5"/>
    <n v="44.8"/>
    <n v="44.425000000000004"/>
    <n v="1.7312250435790069"/>
    <n v="37.5"/>
    <n v="40.25"/>
    <n v="42.05"/>
  </r>
  <r>
    <n v="103"/>
    <x v="2"/>
    <x v="2"/>
    <x v="0"/>
    <x v="2"/>
    <x v="0"/>
    <x v="0"/>
    <x v="0"/>
    <n v="13.315"/>
    <n v="48.2"/>
    <n v="44.2"/>
    <n v="36.9"/>
    <n v="47.7"/>
    <n v="34.9"/>
    <n v="41"/>
    <n v="38.5"/>
    <n v="46"/>
    <n v="37.1"/>
    <n v="43.4"/>
    <n v="40.9"/>
    <n v="40.6"/>
    <n v="41.616666666666667"/>
    <n v="1.2577537296484127"/>
    <n v="34.9"/>
    <n v="38.15"/>
    <n v="40.950000000000003"/>
  </r>
  <r>
    <n v="104"/>
    <x v="3"/>
    <x v="3"/>
    <x v="1"/>
    <x v="1"/>
    <x v="1"/>
    <x v="0"/>
    <x v="0"/>
    <n v="13.294"/>
    <n v="58.6"/>
    <n v="51.7"/>
    <n v="40.200000000000003"/>
    <n v="52.3"/>
    <n v="46.2"/>
    <n v="47.8"/>
    <n v="43.1"/>
    <n v="45.6"/>
    <n v="41"/>
    <n v="43.3"/>
    <n v="39.200000000000003"/>
    <n v="44.7"/>
    <n v="46.141666666666673"/>
    <n v="1.6431888036511204"/>
    <n v="39.200000000000003"/>
    <n v="42.575000000000003"/>
    <n v="45.150000000000006"/>
  </r>
  <r>
    <n v="105"/>
    <x v="4"/>
    <x v="4"/>
    <x v="1"/>
    <x v="2"/>
    <x v="1"/>
    <x v="1"/>
    <x v="0"/>
    <n v="13.273999999999999"/>
    <n v="49.7"/>
    <n v="38.700000000000003"/>
    <n v="35.200000000000003"/>
    <n v="37.9"/>
    <n v="33.799999999999997"/>
    <n v="44.9"/>
    <n v="30.6"/>
    <n v="44.8"/>
    <n v="31.2"/>
    <n v="41.9"/>
    <n v="33.299999999999997"/>
    <n v="47.1"/>
    <n v="39.091666666666669"/>
    <n v="1.8739222491767293"/>
    <n v="30.6"/>
    <n v="33.674999999999997"/>
    <n v="38.299999999999997"/>
  </r>
  <r>
    <n v="106"/>
    <x v="5"/>
    <x v="5"/>
    <x v="1"/>
    <x v="1"/>
    <x v="0"/>
    <x v="1"/>
    <x v="0"/>
    <n v="13.253"/>
    <n v="56.9"/>
    <n v="39.299999999999997"/>
    <n v="35.299999999999997"/>
    <n v="50.3"/>
    <n v="34.299999999999997"/>
    <n v="42"/>
    <n v="33.700000000000003"/>
    <n v="43.6"/>
    <n v="38.5"/>
    <n v="46.1"/>
    <n v="39.299999999999997"/>
    <n v="48.4"/>
    <n v="42.308333333333337"/>
    <n v="2.0412213490847919"/>
    <n v="33.700000000000003"/>
    <n v="37.700000000000003"/>
    <n v="40.65"/>
  </r>
  <r>
    <n v="107"/>
    <x v="3"/>
    <x v="3"/>
    <x v="1"/>
    <x v="1"/>
    <x v="1"/>
    <x v="1"/>
    <x v="0"/>
    <n v="13.231999999999999"/>
    <n v="51.1"/>
    <n v="36.799999999999997"/>
    <n v="35.9"/>
    <n v="44.2"/>
    <n v="34.200000000000003"/>
    <n v="43"/>
    <n v="41.5"/>
    <n v="42.8"/>
    <n v="32.6"/>
    <n v="44.9"/>
    <n v="34.200000000000003"/>
    <n v="44.7"/>
    <n v="40.491666666666667"/>
    <n v="1.6335246486593997"/>
    <n v="32.6"/>
    <n v="35.475000000000001"/>
    <n v="42.15"/>
  </r>
  <r>
    <n v="108"/>
    <x v="6"/>
    <x v="6"/>
    <x v="0"/>
    <x v="1"/>
    <x v="0"/>
    <x v="1"/>
    <x v="0"/>
    <n v="13.208"/>
    <n v="58.6"/>
    <n v="58.8"/>
    <n v="37.700000000000003"/>
    <n v="50.3"/>
    <n v="36.200000000000003"/>
    <n v="55.3"/>
    <n v="37"/>
    <n v="56.1"/>
    <n v="35.200000000000003"/>
    <n v="54.9"/>
    <n v="34.799999999999997"/>
    <n v="55.8"/>
    <n v="47.55833333333333"/>
    <n v="2.9691713550001739"/>
    <n v="34.799999999999997"/>
    <n v="36.799999999999997"/>
    <n v="52.599999999999994"/>
  </r>
  <r>
    <n v="201"/>
    <x v="4"/>
    <x v="4"/>
    <x v="1"/>
    <x v="2"/>
    <x v="1"/>
    <x v="0"/>
    <x v="0"/>
    <n v="13.39"/>
    <n v="54.5"/>
    <n v="43.5"/>
    <n v="34.9"/>
    <n v="48.1"/>
    <n v="35.799999999999997"/>
    <n v="43.5"/>
    <n v="35.799999999999997"/>
    <n v="45.9"/>
    <n v="40.9"/>
    <n v="36.200000000000003"/>
    <n v="39.9"/>
    <n v="34.1"/>
    <n v="41.091666666666661"/>
    <n v="1.8095478396103248"/>
    <n v="34.1"/>
    <n v="35.799999999999997"/>
    <n v="40.4"/>
  </r>
  <r>
    <n v="202"/>
    <x v="5"/>
    <x v="5"/>
    <x v="1"/>
    <x v="1"/>
    <x v="0"/>
    <x v="0"/>
    <x v="0"/>
    <n v="13.412000000000001"/>
    <n v="59.3"/>
    <n v="48.4"/>
    <n v="46.6"/>
    <n v="59.3"/>
    <n v="37.5"/>
    <n v="56.7"/>
    <n v="37.700000000000003"/>
    <n v="55.6"/>
    <n v="47.3"/>
    <n v="49.5"/>
    <n v="39.5"/>
    <n v="58.7"/>
    <n v="49.675000000000004"/>
    <n v="2.4043875614082166"/>
    <n v="37.5"/>
    <n v="44.825000000000003"/>
    <n v="48.95"/>
  </r>
  <r>
    <n v="203"/>
    <x v="6"/>
    <x v="6"/>
    <x v="0"/>
    <x v="1"/>
    <x v="0"/>
    <x v="0"/>
    <x v="0"/>
    <n v="13.433"/>
    <n v="48.1"/>
    <n v="33.799999999999997"/>
    <n v="54.6"/>
    <n v="37.6"/>
    <n v="43.3"/>
    <n v="41.6"/>
    <n v="41.6"/>
    <n v="44.4"/>
    <n v="42.4"/>
    <n v="49.1"/>
    <n v="44.3"/>
    <n v="36.1"/>
    <n v="43.074999999999996"/>
    <n v="1.6677477554347329"/>
    <n v="33.799999999999997"/>
    <n v="40.6"/>
    <n v="42.849999999999994"/>
  </r>
  <r>
    <n v="204"/>
    <x v="7"/>
    <x v="7"/>
    <x v="1"/>
    <x v="2"/>
    <x v="0"/>
    <x v="0"/>
    <x v="0"/>
    <n v="13.46"/>
    <n v="42.9"/>
    <n v="38.9"/>
    <n v="40.9"/>
    <n v="42.4"/>
    <n v="39.1"/>
    <n v="38.200000000000003"/>
    <n v="37.5"/>
    <n v="41.9"/>
    <n v="37.799999999999997"/>
    <n v="42.2"/>
    <n v="37.9"/>
    <n v="40.4"/>
    <n v="40.008333333333326"/>
    <n v="0.57963655453533292"/>
    <n v="37.5"/>
    <n v="38.125"/>
    <n v="39.75"/>
  </r>
  <r>
    <n v="205"/>
    <x v="0"/>
    <x v="0"/>
    <x v="0"/>
    <x v="0"/>
    <x v="0"/>
    <x v="1"/>
    <x v="0"/>
    <n v="13.48"/>
    <n v="58.1"/>
    <n v="45.6"/>
    <n v="33.799999999999997"/>
    <n v="48.1"/>
    <n v="33.799999999999997"/>
    <n v="37.799999999999997"/>
    <n v="38.4"/>
    <n v="38.5"/>
    <n v="40.700000000000003"/>
    <n v="49.6"/>
    <n v="40.1"/>
    <n v="51.5"/>
    <n v="43"/>
    <n v="2.1812215093216243"/>
    <n v="33.799999999999997"/>
    <n v="38.25"/>
    <n v="40.400000000000006"/>
  </r>
  <r>
    <n v="206"/>
    <x v="8"/>
    <x v="8"/>
    <x v="1"/>
    <x v="0"/>
    <x v="1"/>
    <x v="1"/>
    <x v="0"/>
    <n v="13.505000000000001"/>
    <n v="55.9"/>
    <n v="42.1"/>
    <n v="53.2"/>
    <n v="51.1"/>
    <n v="37.1"/>
    <n v="49.7"/>
    <n v="40.200000000000003"/>
    <n v="49.4"/>
    <n v="37.700000000000003"/>
    <n v="45.3"/>
    <n v="41.8"/>
    <n v="53.9"/>
    <n v="46.449999999999996"/>
    <n v="1.8993021046817506"/>
    <n v="37.1"/>
    <n v="41.4"/>
    <n v="47.349999999999994"/>
  </r>
  <r>
    <n v="207"/>
    <x v="1"/>
    <x v="1"/>
    <x v="0"/>
    <x v="1"/>
    <x v="1"/>
    <x v="1"/>
    <x v="0"/>
    <n v="13.529"/>
    <n v="57.1"/>
    <n v="33.4"/>
    <n v="41.2"/>
    <n v="39.6"/>
    <n v="38.9"/>
    <n v="38.200000000000003"/>
    <n v="36.799999999999997"/>
    <n v="46.8"/>
    <n v="34.9"/>
    <n v="45.1"/>
    <n v="36.4"/>
    <n v="56.9"/>
    <n v="42.108333333333327"/>
    <n v="2.2958281774126812"/>
    <n v="33.4"/>
    <n v="36.699999999999996"/>
    <n v="39.25"/>
  </r>
  <r>
    <n v="208"/>
    <x v="9"/>
    <x v="9"/>
    <x v="0"/>
    <x v="0"/>
    <x v="1"/>
    <x v="1"/>
    <x v="0"/>
    <n v="13.555"/>
    <n v="57.2"/>
    <n v="40.200000000000003"/>
    <n v="45.1"/>
    <n v="59.1"/>
    <n v="35.6"/>
    <n v="51.3"/>
    <n v="39.299999999999997"/>
    <n v="48.1"/>
    <n v="35.5"/>
    <n v="50.7"/>
    <n v="34.299999999999997"/>
    <n v="57"/>
    <n v="46.116666666666674"/>
    <n v="2.621468283156577"/>
    <n v="34.299999999999997"/>
    <n v="38.375"/>
    <n v="46.6"/>
  </r>
  <r>
    <n v="301"/>
    <x v="3"/>
    <x v="3"/>
    <x v="1"/>
    <x v="1"/>
    <x v="1"/>
    <x v="2"/>
    <x v="0"/>
    <n v="13.718999999999999"/>
    <n v="54.8"/>
    <n v="51.8"/>
    <n v="41.3"/>
    <n v="52.1"/>
    <n v="40.4"/>
    <n v="50.3"/>
    <n v="46.2"/>
    <n v="52.9"/>
    <n v="37.4"/>
    <n v="49.4"/>
    <n v="38.200000000000003"/>
    <n v="52.9"/>
    <n v="47.30833333333333"/>
    <n v="1.828455977765479"/>
    <n v="37.4"/>
    <n v="41.074999999999996"/>
    <n v="49.849999999999994"/>
  </r>
  <r>
    <n v="302"/>
    <x v="1"/>
    <x v="1"/>
    <x v="0"/>
    <x v="1"/>
    <x v="1"/>
    <x v="2"/>
    <x v="0"/>
    <n v="13.743"/>
    <n v="54.3"/>
    <n v="37.1"/>
    <n v="54.4"/>
    <n v="40.5"/>
    <n v="50.4"/>
    <n v="35.299999999999997"/>
    <n v="47.9"/>
    <n v="34.5"/>
    <n v="49"/>
    <n v="36.9"/>
    <n v="36.5"/>
    <n v="33.299999999999997"/>
    <n v="42.508333333333333"/>
    <n v="2.3284621772988152"/>
    <n v="33.299999999999997"/>
    <n v="36.200000000000003"/>
    <n v="38.799999999999997"/>
  </r>
  <r>
    <n v="303"/>
    <x v="8"/>
    <x v="8"/>
    <x v="1"/>
    <x v="0"/>
    <x v="1"/>
    <x v="2"/>
    <x v="0"/>
    <n v="13.773"/>
    <n v="40.9"/>
    <n v="30.3"/>
    <n v="46.7"/>
    <n v="30.4"/>
    <n v="40.5"/>
    <n v="34.1"/>
    <n v="49"/>
    <n v="36.4"/>
    <n v="47.8"/>
    <n v="32"/>
    <n v="47.5"/>
    <n v="31.1"/>
    <n v="38.891666666666666"/>
    <n v="2.1435759676981139"/>
    <n v="30.3"/>
    <n v="31.774999999999999"/>
    <n v="38.450000000000003"/>
  </r>
  <r>
    <n v="304"/>
    <x v="9"/>
    <x v="9"/>
    <x v="0"/>
    <x v="0"/>
    <x v="1"/>
    <x v="2"/>
    <x v="0"/>
    <n v="13.795"/>
    <n v="61.1"/>
    <n v="48"/>
    <n v="36.299999999999997"/>
    <n v="48.8"/>
    <n v="33.1"/>
    <n v="47.2"/>
    <n v="33.5"/>
    <n v="46.6"/>
    <n v="33.700000000000003"/>
    <n v="42.8"/>
    <n v="37.1"/>
    <n v="46.9"/>
    <n v="42.925000000000004"/>
    <n v="2.4409425961246556"/>
    <n v="33.1"/>
    <n v="35.65"/>
    <n v="44.7"/>
  </r>
  <r>
    <n v="305"/>
    <x v="7"/>
    <x v="7"/>
    <x v="1"/>
    <x v="2"/>
    <x v="0"/>
    <x v="3"/>
    <x v="0"/>
    <n v="13.816000000000001"/>
    <n v="43.3"/>
    <n v="36"/>
    <n v="40.700000000000003"/>
    <n v="35.9"/>
    <n v="36.9"/>
    <n v="33.200000000000003"/>
    <n v="41.3"/>
    <n v="33.200000000000003"/>
    <n v="36.700000000000003"/>
    <n v="39.9"/>
    <n v="38.200000000000003"/>
    <n v="35.9"/>
    <n v="37.599999999999994"/>
    <n v="0.91204066894969327"/>
    <n v="33.200000000000003"/>
    <n v="35.9"/>
    <n v="36.799999999999997"/>
  </r>
  <r>
    <n v="306"/>
    <x v="1"/>
    <x v="1"/>
    <x v="0"/>
    <x v="1"/>
    <x v="1"/>
    <x v="3"/>
    <x v="0"/>
    <n v="13.837"/>
    <n v="55.7"/>
    <n v="34.6"/>
    <n v="57.7"/>
    <n v="41.1"/>
    <n v="53.5"/>
    <n v="32.700000000000003"/>
    <n v="49.3"/>
    <n v="35.1"/>
    <n v="48.2"/>
    <n v="35.799999999999997"/>
    <n v="43.4"/>
    <n v="48.1"/>
    <n v="44.6"/>
    <n v="2.5291033265494836"/>
    <n v="32.700000000000003"/>
    <n v="35.625"/>
    <n v="45.75"/>
  </r>
  <r>
    <n v="307"/>
    <x v="5"/>
    <x v="5"/>
    <x v="1"/>
    <x v="1"/>
    <x v="0"/>
    <x v="3"/>
    <x v="0"/>
    <n v="13.86"/>
    <n v="57.5"/>
    <n v="32.9"/>
    <n v="54.8"/>
    <n v="37.6"/>
    <n v="55.1"/>
    <n v="34.299999999999997"/>
    <n v="54.9"/>
    <n v="33.5"/>
    <n v="54.3"/>
    <n v="37.799999999999997"/>
    <n v="54.3"/>
    <n v="34.299999999999997"/>
    <n v="45.108333333333327"/>
    <n v="3.0641984055682339"/>
    <n v="32.9"/>
    <n v="34.299999999999997"/>
    <n v="46.05"/>
  </r>
  <r>
    <n v="308"/>
    <x v="2"/>
    <x v="2"/>
    <x v="0"/>
    <x v="2"/>
    <x v="0"/>
    <x v="3"/>
    <x v="0"/>
    <n v="13.881"/>
    <n v="52"/>
    <n v="39.1"/>
    <n v="57.2"/>
    <n v="40"/>
    <n v="53.7"/>
    <n v="41.5"/>
    <n v="50.5"/>
    <n v="37.4"/>
    <n v="46.5"/>
    <n v="36.1"/>
    <n v="43.1"/>
    <n v="37.1"/>
    <n v="44.516666666666673"/>
    <n v="2.0930561001520713"/>
    <n v="36.1"/>
    <n v="38.674999999999997"/>
    <n v="42.3"/>
  </r>
  <r>
    <n v="401"/>
    <x v="10"/>
    <x v="10"/>
    <x v="1"/>
    <x v="0"/>
    <x v="0"/>
    <x v="2"/>
    <x v="0"/>
    <n v="14.118"/>
    <n v="57.8"/>
    <n v="36.200000000000003"/>
    <n v="57.3"/>
    <n v="39.4"/>
    <n v="50.3"/>
    <n v="36.4"/>
    <n v="48.5"/>
    <n v="37.200000000000003"/>
    <n v="48"/>
    <n v="38.799999999999997"/>
    <n v="51.6"/>
    <n v="36.5"/>
    <n v="44.833333333333336"/>
    <n v="2.4026290314208456"/>
    <m/>
    <m/>
    <m/>
  </r>
  <r>
    <n v="402"/>
    <x v="5"/>
    <x v="5"/>
    <x v="1"/>
    <x v="1"/>
    <x v="0"/>
    <x v="2"/>
    <x v="0"/>
    <n v="14.093999999999999"/>
    <n v="51.3"/>
    <n v="31.3"/>
    <n v="50.9"/>
    <n v="33.700000000000003"/>
    <n v="49.1"/>
    <n v="37.799999999999997"/>
    <n v="48.2"/>
    <n v="36.5"/>
    <n v="49.1"/>
    <n v="33.6"/>
    <n v="51.3"/>
    <n v="29.9"/>
    <n v="41.891666666666666"/>
    <n v="2.5219478502926993"/>
    <m/>
    <m/>
    <m/>
  </r>
  <r>
    <n v="403"/>
    <x v="11"/>
    <x v="11"/>
    <x v="0"/>
    <x v="2"/>
    <x v="1"/>
    <x v="2"/>
    <x v="0"/>
    <n v="14.067"/>
    <n v="47.3"/>
    <n v="35"/>
    <n v="44.6"/>
    <n v="38.700000000000003"/>
    <n v="42"/>
    <n v="46.9"/>
    <n v="35.4"/>
    <n v="52.1"/>
    <n v="40.700000000000003"/>
    <n v="45"/>
    <n v="37.5"/>
    <n v="46"/>
    <n v="42.6"/>
    <n v="1.524894432510983"/>
    <n v="35"/>
    <n v="38.400000000000006"/>
    <n v="43.3"/>
  </r>
  <r>
    <n v="404"/>
    <x v="6"/>
    <x v="6"/>
    <x v="0"/>
    <x v="1"/>
    <x v="0"/>
    <x v="2"/>
    <x v="0"/>
    <n v="14.034000000000001"/>
    <n v="59.6"/>
    <n v="39.5"/>
    <n v="40.700000000000003"/>
    <n v="50.6"/>
    <n v="35.9"/>
    <n v="35.299999999999997"/>
    <n v="35.5"/>
    <n v="36.6"/>
    <n v="47.5"/>
    <n v="43.3"/>
    <n v="53.2"/>
    <n v="38.6"/>
    <n v="43.025000000000006"/>
    <n v="2.3053010386471966"/>
    <n v="35.299999999999997"/>
    <n v="36.424999999999997"/>
    <n v="40.1"/>
  </r>
  <r>
    <n v="405"/>
    <x v="11"/>
    <x v="11"/>
    <x v="0"/>
    <x v="2"/>
    <x v="1"/>
    <x v="3"/>
    <x v="0"/>
    <n v="13.988"/>
    <n v="49.7"/>
    <n v="39.1"/>
    <n v="46.1"/>
    <n v="38.5"/>
    <n v="50.7"/>
    <n v="34"/>
    <n v="52.2"/>
    <n v="34.9"/>
    <n v="38.6"/>
    <n v="43.1"/>
    <n v="47.5"/>
    <n v="47.4"/>
    <n v="43.483333333333341"/>
    <n v="1.8188338477322594"/>
    <n v="34"/>
    <n v="38.575000000000003"/>
    <n v="44.6"/>
  </r>
  <r>
    <n v="406"/>
    <x v="6"/>
    <x v="6"/>
    <x v="0"/>
    <x v="1"/>
    <x v="0"/>
    <x v="3"/>
    <x v="0"/>
    <n v="13.965999999999999"/>
    <n v="58"/>
    <n v="37.799999999999997"/>
    <n v="53.4"/>
    <n v="36.200000000000003"/>
    <n v="50.3"/>
    <n v="37"/>
    <n v="49"/>
    <n v="45.1"/>
    <n v="53"/>
    <n v="37.200000000000003"/>
    <n v="46"/>
    <n v="36.200000000000003"/>
    <n v="44.933333333333337"/>
    <n v="2.269973078646029"/>
    <n v="36.200000000000003"/>
    <n v="37.150000000000006"/>
    <n v="45.55"/>
  </r>
  <r>
    <n v="407"/>
    <x v="10"/>
    <x v="10"/>
    <x v="1"/>
    <x v="0"/>
    <x v="0"/>
    <x v="3"/>
    <x v="0"/>
    <n v="13.946"/>
    <n v="50.2"/>
    <n v="33.1"/>
    <n v="47.3"/>
    <n v="34"/>
    <n v="40.5"/>
    <n v="36.5"/>
    <n v="43.4"/>
    <n v="43"/>
    <n v="46.3"/>
    <n v="42.8"/>
    <n v="38.1"/>
    <n v="36.700000000000003"/>
    <n v="40.991666666666667"/>
    <n v="1.5672528722757282"/>
    <n v="33.1"/>
    <n v="36.650000000000006"/>
    <n v="41.65"/>
  </r>
  <r>
    <n v="408"/>
    <x v="3"/>
    <x v="3"/>
    <x v="1"/>
    <x v="1"/>
    <x v="1"/>
    <x v="3"/>
    <x v="0"/>
    <n v="13.923999999999999"/>
    <n v="58.8"/>
    <n v="35.6"/>
    <n v="56.9"/>
    <n v="43.2"/>
    <n v="44.4"/>
    <n v="52.2"/>
    <n v="47.7"/>
    <n v="48.5"/>
    <n v="45.9"/>
    <n v="53.1"/>
    <n v="39.6"/>
    <n v="52.8"/>
    <n v="48.225000000000001"/>
    <n v="1.9981099023372633"/>
    <n v="35.6"/>
    <n v="44.1"/>
    <n v="48.1"/>
  </r>
  <r>
    <n v="901"/>
    <x v="12"/>
    <x v="12"/>
    <x v="2"/>
    <x v="3"/>
    <x v="1"/>
    <x v="0"/>
    <x v="0"/>
    <n v="13.698"/>
    <n v="38.200000000000003"/>
    <n v="43"/>
    <n v="41"/>
    <n v="39.9"/>
    <n v="42.7"/>
    <n v="39.799999999999997"/>
    <n v="42.5"/>
    <n v="38.9"/>
    <n v="41"/>
    <n v="41.6"/>
    <n v="40.4"/>
    <n v="40.299999999999997"/>
    <n v="40.774999999999999"/>
    <n v="0.4320712974273942"/>
    <n v="38.200000000000003"/>
    <n v="39.875"/>
    <n v="40.700000000000003"/>
  </r>
  <r>
    <n v="902"/>
    <x v="13"/>
    <x v="13"/>
    <x v="3"/>
    <x v="1"/>
    <x v="0"/>
    <x v="0"/>
    <x v="0"/>
    <n v="13.678000000000001"/>
    <n v="59.6"/>
    <n v="35.6"/>
    <n v="55.2"/>
    <n v="38.1"/>
    <n v="49.1"/>
    <n v="42.8"/>
    <n v="46.7"/>
    <n v="45"/>
    <n v="41.9"/>
    <n v="40.700000000000003"/>
    <n v="50"/>
    <n v="44.4"/>
    <n v="45.758333333333326"/>
    <n v="1.9929215014925294"/>
    <n v="35.6"/>
    <n v="41.6"/>
    <n v="44.7"/>
  </r>
  <r>
    <n v="903"/>
    <x v="14"/>
    <x v="14"/>
    <x v="4"/>
    <x v="3"/>
    <x v="1"/>
    <x v="0"/>
    <x v="0"/>
    <n v="13.667"/>
    <n v="65.900000000000006"/>
    <n v="67.8"/>
    <n v="64"/>
    <n v="66.099999999999994"/>
    <n v="65.2"/>
    <n v="68.099999999999994"/>
    <n v="64.7"/>
    <n v="64.900000000000006"/>
    <n v="65.5"/>
    <n v="67.599999999999994"/>
    <n v="64.900000000000006"/>
    <n v="67.400000000000006"/>
    <n v="66.008333333333326"/>
    <n v="0.40065445198972316"/>
    <n v="64"/>
    <n v="64.900000000000006"/>
    <n v="65.7"/>
  </r>
  <r>
    <n v="904"/>
    <x v="15"/>
    <x v="15"/>
    <x v="5"/>
    <x v="1"/>
    <x v="0"/>
    <x v="0"/>
    <x v="0"/>
    <n v="13.648"/>
    <n v="68.2"/>
    <n v="51.9"/>
    <n v="55.8"/>
    <n v="62.7"/>
    <n v="48.7"/>
    <n v="62.1"/>
    <n v="50.4"/>
    <n v="67.599999999999994"/>
    <n v="57.5"/>
    <n v="62.6"/>
    <n v="53.2"/>
    <n v="62.6"/>
    <n v="58.608333333333341"/>
    <n v="1.9120217101806078"/>
    <n v="48.7"/>
    <n v="52.875"/>
    <n v="59.8"/>
  </r>
  <r>
    <n v="905"/>
    <x v="12"/>
    <x v="12"/>
    <x v="2"/>
    <x v="3"/>
    <x v="1"/>
    <x v="1"/>
    <x v="0"/>
    <n v="13.638"/>
    <n v="52.8"/>
    <n v="53.7"/>
    <n v="50.7"/>
    <n v="53.3"/>
    <n v="53.1"/>
    <n v="51.3"/>
    <n v="54.8"/>
    <n v="54.3"/>
    <n v="55.4"/>
    <n v="50.7"/>
    <n v="52.9"/>
    <n v="52.7"/>
    <n v="52.975000000000001"/>
    <n v="0.4341702291483498"/>
    <n v="50.7"/>
    <n v="52.35"/>
    <n v="53"/>
  </r>
  <r>
    <n v="906"/>
    <x v="13"/>
    <x v="13"/>
    <x v="3"/>
    <x v="1"/>
    <x v="0"/>
    <x v="1"/>
    <x v="0"/>
    <n v="13.618"/>
    <n v="50.3"/>
    <n v="42.3"/>
    <n v="37.299999999999997"/>
    <n v="46.7"/>
    <n v="30.1"/>
    <n v="46.5"/>
    <n v="31.3"/>
    <n v="52.9"/>
    <n v="31.2"/>
    <n v="46.4"/>
    <n v="35.200000000000003"/>
    <n v="37.200000000000003"/>
    <n v="40.616666666666653"/>
    <n v="2.2873775288736358"/>
    <n v="30.1"/>
    <n v="34.225000000000001"/>
    <n v="39.799999999999997"/>
  </r>
  <r>
    <n v="907"/>
    <x v="14"/>
    <x v="14"/>
    <x v="4"/>
    <x v="3"/>
    <x v="1"/>
    <x v="1"/>
    <x v="0"/>
    <n v="13.606999999999999"/>
    <n v="64.900000000000006"/>
    <n v="67.900000000000006"/>
    <n v="64"/>
    <n v="66.400000000000006"/>
    <n v="66.599999999999994"/>
    <n v="67.400000000000006"/>
    <n v="66.2"/>
    <n v="67.099999999999994"/>
    <n v="65.099999999999994"/>
    <n v="66.2"/>
    <n v="64"/>
    <n v="65.900000000000006"/>
    <n v="65.974999999999994"/>
    <n v="0.36309381874682184"/>
    <n v="64"/>
    <n v="65.05"/>
    <n v="66.2"/>
  </r>
  <r>
    <n v="908"/>
    <x v="15"/>
    <x v="15"/>
    <x v="5"/>
    <x v="1"/>
    <x v="0"/>
    <x v="1"/>
    <x v="0"/>
    <n v="13.584"/>
    <n v="65.900000000000006"/>
    <n v="60"/>
    <n v="47.2"/>
    <n v="64.3"/>
    <n v="50.1"/>
    <n v="60.3"/>
    <n v="48.4"/>
    <n v="64"/>
    <n v="52.3"/>
    <n v="64.7"/>
    <n v="55.4"/>
    <n v="64.3"/>
    <n v="58.075000000000003"/>
    <n v="2.0270191953165853"/>
    <n v="47.2"/>
    <n v="51.75"/>
    <n v="60.15"/>
  </r>
  <r>
    <n v="101"/>
    <x v="0"/>
    <x v="0"/>
    <x v="0"/>
    <x v="0"/>
    <x v="0"/>
    <x v="0"/>
    <x v="1"/>
    <n v="13.362"/>
    <n v="32"/>
    <n v="32.200000000000003"/>
    <n v="34.200000000000003"/>
    <n v="33.9"/>
    <n v="35.1"/>
    <n v="35.700000000000003"/>
    <n v="35.9"/>
    <n v="34.1"/>
    <n v="35.1"/>
    <n v="33.1"/>
    <n v="33.799999999999997"/>
    <n v="32.1"/>
    <n v="33.933333333333344"/>
    <n v="0.39530067829763932"/>
    <n v="32"/>
    <n v="32.875"/>
    <n v="34"/>
  </r>
  <r>
    <n v="102"/>
    <x v="1"/>
    <x v="1"/>
    <x v="0"/>
    <x v="1"/>
    <x v="1"/>
    <x v="0"/>
    <x v="1"/>
    <n v="13.340999999999999"/>
    <n v="31.5"/>
    <n v="31.6"/>
    <n v="32.799999999999997"/>
    <n v="31.8"/>
    <n v="31.5"/>
    <n v="30.7"/>
    <n v="30.7"/>
    <n v="29.5"/>
    <n v="31.7"/>
    <n v="31.6"/>
    <n v="32.1"/>
    <n v="29.8"/>
    <n v="31.274999999999999"/>
    <n v="0.27195281453466347"/>
    <n v="29.5"/>
    <n v="30.7"/>
    <n v="31.55"/>
  </r>
  <r>
    <n v="103"/>
    <x v="2"/>
    <x v="2"/>
    <x v="0"/>
    <x v="2"/>
    <x v="0"/>
    <x v="0"/>
    <x v="1"/>
    <n v="13.321"/>
    <n v="33.799999999999997"/>
    <n v="33"/>
    <n v="34"/>
    <n v="32.9"/>
    <n v="33.5"/>
    <n v="33.299999999999997"/>
    <n v="34"/>
    <n v="32.299999999999997"/>
    <n v="32.6"/>
    <n v="34"/>
    <n v="31.7"/>
    <n v="31.9"/>
    <n v="33.083333333333336"/>
    <n v="0.23767603789588726"/>
    <n v="31.7"/>
    <n v="32.524999999999999"/>
    <n v="33.15"/>
  </r>
  <r>
    <n v="104"/>
    <x v="3"/>
    <x v="3"/>
    <x v="1"/>
    <x v="1"/>
    <x v="1"/>
    <x v="0"/>
    <x v="1"/>
    <n v="13.298999999999999"/>
    <n v="31.6"/>
    <n v="31.4"/>
    <n v="31.7"/>
    <n v="30.6"/>
    <n v="30.8"/>
    <n v="29.5"/>
    <n v="31.7"/>
    <n v="32.1"/>
    <n v="30.5"/>
    <n v="29.9"/>
    <n v="29.6"/>
    <n v="30.1"/>
    <n v="30.791666666666668"/>
    <n v="0.25921160576958657"/>
    <n v="29.5"/>
    <n v="30.05"/>
    <n v="30.7"/>
  </r>
  <r>
    <n v="105"/>
    <x v="4"/>
    <x v="4"/>
    <x v="1"/>
    <x v="2"/>
    <x v="1"/>
    <x v="1"/>
    <x v="1"/>
    <n v="13.279"/>
    <n v="31.4"/>
    <n v="31.3"/>
    <n v="30.1"/>
    <n v="31.1"/>
    <n v="30.6"/>
    <n v="31.7"/>
    <n v="30.3"/>
    <n v="31.2"/>
    <n v="31.7"/>
    <n v="31.3"/>
    <n v="32.4"/>
    <n v="31.3"/>
    <n v="31.2"/>
    <n v="0.18257418583512333"/>
    <n v="30.1"/>
    <n v="30.975000000000001"/>
    <n v="31.3"/>
  </r>
  <r>
    <n v="106"/>
    <x v="5"/>
    <x v="5"/>
    <x v="1"/>
    <x v="1"/>
    <x v="0"/>
    <x v="1"/>
    <x v="1"/>
    <n v="13.257999999999999"/>
    <n v="30.6"/>
    <n v="31.6"/>
    <n v="31.3"/>
    <n v="29.5"/>
    <n v="30.3"/>
    <n v="30.5"/>
    <n v="31.3"/>
    <n v="30"/>
    <n v="31.9"/>
    <n v="32.1"/>
    <n v="31.9"/>
    <n v="32.5"/>
    <n v="31.125"/>
    <n v="0.26943403083074025"/>
    <n v="29.5"/>
    <n v="30.45"/>
    <n v="31.3"/>
  </r>
  <r>
    <n v="107"/>
    <x v="3"/>
    <x v="3"/>
    <x v="1"/>
    <x v="1"/>
    <x v="1"/>
    <x v="1"/>
    <x v="1"/>
    <n v="13.237"/>
    <n v="30.7"/>
    <n v="29.8"/>
    <n v="29.6"/>
    <n v="29.2"/>
    <n v="27.8"/>
    <n v="27.3"/>
    <n v="27.5"/>
    <n v="30.4"/>
    <n v="29.3"/>
    <n v="30.2"/>
    <n v="28.9"/>
    <n v="29"/>
    <n v="29.141666666666666"/>
    <n v="0.32297347985067898"/>
    <n v="27.3"/>
    <n v="28.625"/>
    <n v="29.25"/>
  </r>
  <r>
    <n v="108"/>
    <x v="6"/>
    <x v="6"/>
    <x v="0"/>
    <x v="1"/>
    <x v="0"/>
    <x v="1"/>
    <x v="1"/>
    <n v="13.215999999999999"/>
    <n v="32.700000000000003"/>
    <n v="31.8"/>
    <n v="31.5"/>
    <n v="32.299999999999997"/>
    <n v="32.1"/>
    <n v="32.9"/>
    <n v="31.7"/>
    <n v="32.200000000000003"/>
    <n v="32"/>
    <n v="32"/>
    <n v="31"/>
    <n v="33.799999999999997"/>
    <n v="32.166666666666664"/>
    <n v="0.20828787382809863"/>
    <n v="31"/>
    <n v="31.774999999999999"/>
    <n v="32.049999999999997"/>
  </r>
  <r>
    <n v="201"/>
    <x v="4"/>
    <x v="4"/>
    <x v="1"/>
    <x v="2"/>
    <x v="1"/>
    <x v="0"/>
    <x v="1"/>
    <n v="13.397"/>
    <n v="31.1"/>
    <n v="31.3"/>
    <n v="31.1"/>
    <n v="32"/>
    <n v="30.3"/>
    <n v="32.9"/>
    <n v="30.5"/>
    <n v="31.6"/>
    <n v="30.6"/>
    <n v="31.1"/>
    <n v="31.4"/>
    <n v="31.9"/>
    <n v="31.316666666666666"/>
    <n v="0.20883273476901945"/>
    <n v="30.3"/>
    <n v="30.975000000000001"/>
    <n v="31.2"/>
  </r>
  <r>
    <n v="202"/>
    <x v="5"/>
    <x v="5"/>
    <x v="1"/>
    <x v="1"/>
    <x v="0"/>
    <x v="0"/>
    <x v="1"/>
    <n v="13.420999999999999"/>
    <n v="32.200000000000003"/>
    <n v="30.6"/>
    <n v="31.8"/>
    <n v="30.6"/>
    <n v="30.2"/>
    <n v="32.200000000000003"/>
    <n v="31.7"/>
    <n v="31.4"/>
    <n v="32.1"/>
    <n v="31.6"/>
    <n v="32.6"/>
    <n v="30.8"/>
    <n v="31.483333333333338"/>
    <n v="0.22184943479111913"/>
    <n v="30.2"/>
    <n v="30.75"/>
    <n v="31.65"/>
  </r>
  <r>
    <n v="203"/>
    <x v="6"/>
    <x v="6"/>
    <x v="0"/>
    <x v="1"/>
    <x v="0"/>
    <x v="0"/>
    <x v="1"/>
    <n v="13.443"/>
    <n v="32"/>
    <n v="31.9"/>
    <n v="32.700000000000003"/>
    <n v="32.9"/>
    <n v="31.3"/>
    <n v="32.9"/>
    <n v="33.1"/>
    <n v="33.1"/>
    <n v="33.299999999999997"/>
    <n v="33.6"/>
    <n v="32.200000000000003"/>
    <n v="32.9"/>
    <n v="32.658333333333339"/>
    <n v="0.19324122675339975"/>
    <n v="31.3"/>
    <n v="32.15"/>
    <n v="32.9"/>
  </r>
  <r>
    <n v="204"/>
    <x v="7"/>
    <x v="7"/>
    <x v="1"/>
    <x v="2"/>
    <x v="0"/>
    <x v="0"/>
    <x v="1"/>
    <n v="13.464"/>
    <n v="34"/>
    <n v="33.200000000000003"/>
    <n v="31.9"/>
    <n v="31.8"/>
    <n v="32.4"/>
    <n v="32.200000000000003"/>
    <n v="32"/>
    <n v="31.2"/>
    <n v="33.6"/>
    <n v="32.6"/>
    <n v="33.299999999999997"/>
    <n v="32"/>
    <n v="32.516666666666673"/>
    <n v="0.24209731743885668"/>
    <n v="31.2"/>
    <n v="31.975000000000001"/>
    <n v="32.299999999999997"/>
  </r>
  <r>
    <n v="205"/>
    <x v="0"/>
    <x v="0"/>
    <x v="0"/>
    <x v="0"/>
    <x v="0"/>
    <x v="1"/>
    <x v="1"/>
    <n v="13.487"/>
    <n v="30.4"/>
    <n v="30.3"/>
    <n v="31.5"/>
    <n v="31.1"/>
    <n v="32.4"/>
    <n v="31.8"/>
    <n v="32.4"/>
    <n v="31.5"/>
    <n v="31.4"/>
    <n v="32"/>
    <n v="31.4"/>
    <n v="30.2"/>
    <n v="31.366666666666664"/>
    <n v="0.21788700620908863"/>
    <n v="30.2"/>
    <n v="30.925000000000001"/>
    <n v="31.45"/>
  </r>
  <r>
    <n v="206"/>
    <x v="8"/>
    <x v="8"/>
    <x v="1"/>
    <x v="0"/>
    <x v="1"/>
    <x v="1"/>
    <x v="1"/>
    <n v="13.510999999999999"/>
    <n v="32.200000000000003"/>
    <n v="30.9"/>
    <n v="30.6"/>
    <n v="29.5"/>
    <n v="30.1"/>
    <n v="30.2"/>
    <n v="29.8"/>
    <n v="30.7"/>
    <n v="30.3"/>
    <n v="30"/>
    <n v="31.2"/>
    <n v="30.6"/>
    <n v="30.508333333333336"/>
    <n v="0.20650714762495434"/>
    <n v="29.5"/>
    <n v="30.074999999999999"/>
    <n v="30.45"/>
  </r>
  <r>
    <n v="207"/>
    <x v="1"/>
    <x v="1"/>
    <x v="0"/>
    <x v="1"/>
    <x v="1"/>
    <x v="1"/>
    <x v="1"/>
    <n v="13.535"/>
    <n v="31.7"/>
    <n v="31.7"/>
    <n v="30.7"/>
    <n v="32.4"/>
    <n v="30.6"/>
    <n v="30.9"/>
    <n v="32.5"/>
    <n v="31.4"/>
    <n v="31.5"/>
    <n v="30"/>
    <n v="30.9"/>
    <n v="29.6"/>
    <n v="31.158333333333331"/>
    <n v="0.25419460849888748"/>
    <n v="29.6"/>
    <n v="30.675000000000001"/>
    <n v="31.15"/>
  </r>
  <r>
    <n v="208"/>
    <x v="9"/>
    <x v="9"/>
    <x v="0"/>
    <x v="0"/>
    <x v="1"/>
    <x v="1"/>
    <x v="1"/>
    <n v="13.56"/>
    <n v="31.9"/>
    <n v="31.3"/>
    <n v="30.7"/>
    <n v="30.9"/>
    <n v="30.9"/>
    <n v="31.3"/>
    <n v="30.4"/>
    <n v="31.1"/>
    <n v="30.4"/>
    <n v="29.9"/>
    <n v="30.7"/>
    <n v="28.7"/>
    <n v="30.683333333333334"/>
    <n v="0.23381983913204338"/>
    <n v="28.7"/>
    <n v="30.4"/>
    <n v="30.8"/>
  </r>
  <r>
    <n v="301"/>
    <x v="3"/>
    <x v="3"/>
    <x v="1"/>
    <x v="1"/>
    <x v="1"/>
    <x v="2"/>
    <x v="1"/>
    <n v="13.725"/>
    <n v="31.3"/>
    <n v="31.5"/>
    <n v="31"/>
    <n v="31.2"/>
    <n v="32.799999999999997"/>
    <n v="29.6"/>
    <n v="31"/>
    <n v="31.9"/>
    <n v="29"/>
    <n v="32.799999999999997"/>
    <n v="30.9"/>
    <n v="31.1"/>
    <n v="31.175000000000001"/>
    <n v="0.3172144385111868"/>
    <n v="29"/>
    <n v="30.975000000000001"/>
    <n v="31.15"/>
  </r>
  <r>
    <n v="302"/>
    <x v="1"/>
    <x v="1"/>
    <x v="0"/>
    <x v="1"/>
    <x v="1"/>
    <x v="2"/>
    <x v="1"/>
    <n v="13.747999999999999"/>
    <n v="28.7"/>
    <n v="30"/>
    <n v="29"/>
    <n v="30.7"/>
    <n v="30.9"/>
    <n v="31.5"/>
    <n v="31.7"/>
    <n v="32.6"/>
    <n v="31.8"/>
    <n v="32.299999999999997"/>
    <n v="31.4"/>
    <n v="32.700000000000003"/>
    <n v="31.108333333333331"/>
    <n v="0.3786855922500964"/>
    <n v="28.7"/>
    <n v="30.524999999999999"/>
    <n v="31.45"/>
  </r>
  <r>
    <n v="303"/>
    <x v="8"/>
    <x v="8"/>
    <x v="1"/>
    <x v="0"/>
    <x v="1"/>
    <x v="2"/>
    <x v="1"/>
    <n v="13.779"/>
    <n v="27.9"/>
    <n v="29.8"/>
    <n v="29.2"/>
    <n v="27.9"/>
    <n v="29.6"/>
    <n v="29"/>
    <n v="29.5"/>
    <n v="28.4"/>
    <n v="29.1"/>
    <n v="28.2"/>
    <n v="31.4"/>
    <n v="30.8"/>
    <n v="29.233333333333334"/>
    <n v="0.31462660248281271"/>
    <n v="27.9"/>
    <n v="28.35"/>
    <n v="29.15"/>
  </r>
  <r>
    <n v="304"/>
    <x v="9"/>
    <x v="9"/>
    <x v="0"/>
    <x v="0"/>
    <x v="1"/>
    <x v="2"/>
    <x v="1"/>
    <n v="13.801"/>
    <n v="32.799999999999997"/>
    <n v="31.6"/>
    <n v="29.9"/>
    <n v="28"/>
    <n v="30.7"/>
    <n v="30.8"/>
    <n v="30.4"/>
    <n v="30.2"/>
    <n v="32.4"/>
    <n v="31.1"/>
    <n v="30.4"/>
    <n v="31.7"/>
    <n v="30.833333333333332"/>
    <n v="0.36334584354329047"/>
    <n v="28"/>
    <n v="30.35"/>
    <n v="30.75"/>
  </r>
  <r>
    <n v="305"/>
    <x v="7"/>
    <x v="7"/>
    <x v="1"/>
    <x v="2"/>
    <x v="0"/>
    <x v="3"/>
    <x v="1"/>
    <n v="13.821999999999999"/>
    <n v="32"/>
    <n v="33.700000000000003"/>
    <n v="34.1"/>
    <n v="31.7"/>
    <n v="33.6"/>
    <n v="31.9"/>
    <n v="33.4"/>
    <n v="32.4"/>
    <n v="31.8"/>
    <n v="31.5"/>
    <n v="32.299999999999997"/>
    <n v="32.9"/>
    <n v="32.608333333333334"/>
    <n v="0.25862642220512666"/>
    <n v="31.5"/>
    <n v="31.875"/>
    <n v="32.35"/>
  </r>
  <r>
    <n v="306"/>
    <x v="1"/>
    <x v="1"/>
    <x v="0"/>
    <x v="1"/>
    <x v="1"/>
    <x v="3"/>
    <x v="1"/>
    <n v="13.843"/>
    <n v="32.6"/>
    <n v="32.799999999999997"/>
    <n v="30.9"/>
    <n v="29.9"/>
    <n v="29"/>
    <n v="30.9"/>
    <n v="31.7"/>
    <n v="30.8"/>
    <n v="31"/>
    <n v="30.3"/>
    <n v="29.5"/>
    <n v="31.6"/>
    <n v="30.916666666666671"/>
    <n v="0.33230903227157921"/>
    <n v="29"/>
    <n v="30.2"/>
    <n v="30.9"/>
  </r>
  <r>
    <n v="307"/>
    <x v="5"/>
    <x v="5"/>
    <x v="1"/>
    <x v="1"/>
    <x v="0"/>
    <x v="3"/>
    <x v="1"/>
    <n v="13.866"/>
    <n v="29.8"/>
    <n v="30.1"/>
    <n v="31.2"/>
    <n v="27.6"/>
    <n v="28.7"/>
    <n v="29.3"/>
    <n v="30.3"/>
    <n v="29.6"/>
    <n v="31.1"/>
    <n v="32.5"/>
    <n v="27.7"/>
    <n v="29.8"/>
    <n v="29.808333333333337"/>
    <n v="0.40851881996135281"/>
    <n v="27.6"/>
    <n v="29.15"/>
    <n v="29.8"/>
  </r>
  <r>
    <n v="308"/>
    <x v="2"/>
    <x v="2"/>
    <x v="0"/>
    <x v="2"/>
    <x v="0"/>
    <x v="3"/>
    <x v="1"/>
    <n v="13.885999999999999"/>
    <n v="33.1"/>
    <n v="32.4"/>
    <n v="33"/>
    <n v="34.1"/>
    <n v="33"/>
    <n v="33.9"/>
    <n v="35.299999999999997"/>
    <n v="36"/>
    <n v="41.3"/>
    <n v="36.700000000000003"/>
    <n v="36.1"/>
    <n v="38.200000000000003"/>
    <n v="35.258333333333333"/>
    <n v="0.75231544936517658"/>
    <n v="32.4"/>
    <n v="33.075000000000003"/>
    <n v="34.700000000000003"/>
  </r>
  <r>
    <n v="401"/>
    <x v="10"/>
    <x v="10"/>
    <x v="1"/>
    <x v="0"/>
    <x v="0"/>
    <x v="2"/>
    <x v="1"/>
    <n v="14.124000000000001"/>
    <n v="29.8"/>
    <n v="30.8"/>
    <n v="32"/>
    <n v="29.8"/>
    <n v="30"/>
    <n v="28.5"/>
    <n v="30.3"/>
    <n v="30.9"/>
    <n v="30.9"/>
    <n v="32.200000000000003"/>
    <n v="30.7"/>
    <n v="27.6"/>
    <n v="30.291666666666668"/>
    <n v="0.37688080531401458"/>
    <m/>
    <m/>
    <m/>
  </r>
  <r>
    <n v="402"/>
    <x v="5"/>
    <x v="5"/>
    <x v="1"/>
    <x v="1"/>
    <x v="0"/>
    <x v="2"/>
    <x v="1"/>
    <n v="14.099"/>
    <n v="29.1"/>
    <n v="28.6"/>
    <n v="29.4"/>
    <n v="28.9"/>
    <n v="27.9"/>
    <n v="27.6"/>
    <n v="28.6"/>
    <n v="28.9"/>
    <n v="28.9"/>
    <n v="27.5"/>
    <n v="27"/>
    <n v="28"/>
    <n v="28.366666666666664"/>
    <n v="0.21543941471825437"/>
    <m/>
    <m/>
    <m/>
  </r>
  <r>
    <n v="403"/>
    <x v="11"/>
    <x v="11"/>
    <x v="0"/>
    <x v="2"/>
    <x v="1"/>
    <x v="2"/>
    <x v="1"/>
    <n v="14.073"/>
    <n v="33"/>
    <n v="33.4"/>
    <n v="32.9"/>
    <n v="33.700000000000003"/>
    <n v="36.9"/>
    <n v="31.9"/>
    <n v="32"/>
    <n v="32.6"/>
    <n v="32.5"/>
    <n v="32.299999999999997"/>
    <n v="31.9"/>
    <n v="32.799999999999997"/>
    <n v="32.991666666666667"/>
    <n v="0.39147319528448471"/>
    <n v="31.9"/>
    <n v="32.225000000000001"/>
    <n v="32.700000000000003"/>
  </r>
  <r>
    <n v="404"/>
    <x v="6"/>
    <x v="6"/>
    <x v="0"/>
    <x v="1"/>
    <x v="0"/>
    <x v="2"/>
    <x v="1"/>
    <n v="14.039"/>
    <n v="29.2"/>
    <n v="30.5"/>
    <n v="30.2"/>
    <n v="31.2"/>
    <n v="30.8"/>
    <n v="31.2"/>
    <n v="29.8"/>
    <n v="30.8"/>
    <n v="30.4"/>
    <n v="31.9"/>
    <n v="31.7"/>
    <n v="31.8"/>
    <n v="30.791666666666668"/>
    <n v="0.23851127072452288"/>
    <n v="29.2"/>
    <n v="30.35"/>
    <n v="30.8"/>
  </r>
  <r>
    <n v="405"/>
    <x v="11"/>
    <x v="11"/>
    <x v="0"/>
    <x v="2"/>
    <x v="1"/>
    <x v="3"/>
    <x v="1"/>
    <n v="14.015000000000001"/>
    <n v="34.5"/>
    <n v="32.700000000000003"/>
    <n v="32.6"/>
    <n v="32.700000000000003"/>
    <n v="30.1"/>
    <n v="30.8"/>
    <n v="32.700000000000003"/>
    <n v="30.5"/>
    <n v="31.4"/>
    <n v="31.1"/>
    <n v="31.3"/>
    <n v="31.8"/>
    <n v="31.85"/>
    <n v="0.35685919470917521"/>
    <n v="30.1"/>
    <n v="31.024999999999999"/>
    <n v="31.6"/>
  </r>
  <r>
    <n v="406"/>
    <x v="6"/>
    <x v="6"/>
    <x v="0"/>
    <x v="1"/>
    <x v="0"/>
    <x v="3"/>
    <x v="1"/>
    <n v="13.972"/>
    <n v="31.5"/>
    <n v="31"/>
    <n v="31.4"/>
    <n v="32.1"/>
    <n v="32.6"/>
    <n v="33.299999999999997"/>
    <n v="33.4"/>
    <n v="31.4"/>
    <n v="32.9"/>
    <n v="32.200000000000003"/>
    <n v="32.799999999999997"/>
    <n v="31.4"/>
    <n v="32.166666666666664"/>
    <n v="0.23847156406731379"/>
    <n v="31"/>
    <n v="31.4"/>
    <n v="32.15"/>
  </r>
  <r>
    <n v="407"/>
    <x v="10"/>
    <x v="10"/>
    <x v="1"/>
    <x v="0"/>
    <x v="0"/>
    <x v="3"/>
    <x v="1"/>
    <n v="13.951000000000001"/>
    <n v="30.4"/>
    <n v="32.799999999999997"/>
    <n v="32.200000000000003"/>
    <n v="32.5"/>
    <n v="29.8"/>
    <n v="30.6"/>
    <n v="30.8"/>
    <n v="30.7"/>
    <n v="29.6"/>
    <n v="29"/>
    <n v="29.3"/>
    <n v="32.200000000000003"/>
    <n v="30.824999999999999"/>
    <n v="0.3788189381205328"/>
    <n v="29"/>
    <n v="29.75"/>
    <n v="30.65"/>
  </r>
  <r>
    <n v="408"/>
    <x v="3"/>
    <x v="3"/>
    <x v="1"/>
    <x v="1"/>
    <x v="1"/>
    <x v="3"/>
    <x v="1"/>
    <n v="13.929"/>
    <n v="30.9"/>
    <n v="30.3"/>
    <n v="30.9"/>
    <n v="30.5"/>
    <n v="30.4"/>
    <n v="30.8"/>
    <n v="30.1"/>
    <n v="29.2"/>
    <n v="31.1"/>
    <n v="30.1"/>
    <n v="31.7"/>
    <n v="32.200000000000003"/>
    <n v="30.683333333333334"/>
    <n v="0.22624515174226162"/>
    <n v="29.2"/>
    <n v="30.25"/>
    <n v="30.65"/>
  </r>
  <r>
    <n v="902"/>
    <x v="13"/>
    <x v="13"/>
    <x v="3"/>
    <x v="1"/>
    <x v="0"/>
    <x v="0"/>
    <x v="1"/>
    <n v="13.682"/>
    <n v="28.3"/>
    <n v="28.6"/>
    <n v="29.2"/>
    <n v="29.3"/>
    <n v="30"/>
    <n v="30.5"/>
    <n v="29.7"/>
    <n v="30.6"/>
    <n v="28.7"/>
    <n v="27"/>
    <n v="27.1"/>
    <n v="30.2"/>
    <n v="29.1"/>
    <n v="0.34924160257578102"/>
    <n v="27"/>
    <n v="28.524999999999999"/>
    <n v="29.25"/>
  </r>
  <r>
    <n v="904"/>
    <x v="15"/>
    <x v="15"/>
    <x v="5"/>
    <x v="1"/>
    <x v="0"/>
    <x v="0"/>
    <x v="1"/>
    <n v="13.653"/>
    <n v="37.700000000000003"/>
    <n v="38.4"/>
    <n v="36.9"/>
    <n v="34.700000000000003"/>
    <n v="36.5"/>
    <n v="35.799999999999997"/>
    <n v="35.200000000000003"/>
    <n v="34.6"/>
    <n v="35.9"/>
    <n v="40.6"/>
    <n v="37.700000000000003"/>
    <n v="35.1"/>
    <n v="36.591666666666669"/>
    <n v="0.51278478168061714"/>
    <n v="34.6"/>
    <n v="35.174999999999997"/>
    <n v="36.200000000000003"/>
  </r>
  <r>
    <n v="906"/>
    <x v="13"/>
    <x v="13"/>
    <x v="3"/>
    <x v="1"/>
    <x v="0"/>
    <x v="1"/>
    <x v="1"/>
    <n v="13.622999999999999"/>
    <n v="28.1"/>
    <n v="29.1"/>
    <n v="28.6"/>
    <n v="28.3"/>
    <n v="28.6"/>
    <n v="30.5"/>
    <n v="30"/>
    <n v="28.7"/>
    <n v="27.7"/>
    <n v="28.5"/>
    <n v="30.7"/>
    <n v="28.9"/>
    <n v="28.975000000000001"/>
    <n v="0.27250938265745678"/>
    <n v="27.7"/>
    <n v="28.45"/>
    <n v="28.65"/>
  </r>
  <r>
    <n v="908"/>
    <x v="15"/>
    <x v="15"/>
    <x v="5"/>
    <x v="1"/>
    <x v="0"/>
    <x v="1"/>
    <x v="1"/>
    <n v="13.590999999999999"/>
    <n v="34.799999999999997"/>
    <n v="39.6"/>
    <n v="33.299999999999997"/>
    <n v="37.1"/>
    <n v="34.5"/>
    <n v="34.5"/>
    <n v="36.4"/>
    <n v="34.4"/>
    <n v="38.1"/>
    <n v="35.799999999999997"/>
    <n v="36.1"/>
    <n v="37.5"/>
    <n v="36.00833333333334"/>
    <n v="0.52821287222463176"/>
    <n v="33.299999999999997"/>
    <n v="34.5"/>
    <n v="35.95000000000000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25"/>
    <n v="56.9"/>
    <n v="48.6"/>
    <n v="31"/>
    <n v="43"/>
    <n v="44.6"/>
    <n v="32.700000000000003"/>
    <n v="46"/>
    <n v="39"/>
    <n v="37.799999999999997"/>
    <n v="38"/>
    <n v="33.700000000000003"/>
    <n v="50.2"/>
    <n v="41.791666666666664"/>
    <n v="2.2614509398913265"/>
    <n v="31"/>
    <n v="36.774999999999999"/>
    <n v="41"/>
  </r>
  <r>
    <n v="102"/>
    <x v="1"/>
    <x v="1"/>
    <x v="0"/>
    <x v="1"/>
    <x v="1"/>
    <x v="0"/>
    <x v="0"/>
    <n v="13.233000000000001"/>
    <n v="55.8"/>
    <n v="48"/>
    <n v="36.299999999999997"/>
    <n v="41.5"/>
    <n v="44.6"/>
    <n v="38.6"/>
    <n v="47.9"/>
    <n v="35.700000000000003"/>
    <n v="48.3"/>
    <n v="46.1"/>
    <n v="37.1"/>
    <n v="50.8"/>
    <n v="44.225000000000001"/>
    <n v="1.8474849816915158"/>
    <n v="35.700000000000003"/>
    <n v="38.225000000000001"/>
    <n v="45.35"/>
  </r>
  <r>
    <n v="103"/>
    <x v="2"/>
    <x v="2"/>
    <x v="0"/>
    <x v="2"/>
    <x v="0"/>
    <x v="0"/>
    <x v="0"/>
    <n v="13.217000000000001"/>
    <n v="46.8"/>
    <n v="32.6"/>
    <n v="34.799999999999997"/>
    <n v="41.7"/>
    <n v="33.9"/>
    <n v="37.799999999999997"/>
    <n v="33.4"/>
    <n v="36.4"/>
    <n v="32.1"/>
    <n v="39.5"/>
    <n v="32.9"/>
    <n v="36.299999999999997"/>
    <n v="36.516666666666666"/>
    <n v="1.2632829605372791"/>
    <n v="32.1"/>
    <n v="33.274999999999999"/>
    <n v="35.549999999999997"/>
  </r>
  <r>
    <n v="104"/>
    <x v="3"/>
    <x v="3"/>
    <x v="1"/>
    <x v="1"/>
    <x v="1"/>
    <x v="0"/>
    <x v="0"/>
    <n v="13.2"/>
    <n v="51.9"/>
    <n v="48.3"/>
    <n v="38.1"/>
    <n v="50.8"/>
    <n v="38.9"/>
    <n v="45.6"/>
    <n v="36"/>
    <n v="47.9"/>
    <n v="30.9"/>
    <n v="46.7"/>
    <n v="28.8"/>
    <n v="52.3"/>
    <n v="43.016666666666659"/>
    <n v="2.3628383462490814"/>
    <n v="28.8"/>
    <n v="37.575000000000003"/>
    <n v="46.150000000000006"/>
  </r>
  <r>
    <n v="105"/>
    <x v="4"/>
    <x v="4"/>
    <x v="1"/>
    <x v="2"/>
    <x v="1"/>
    <x v="1"/>
    <x v="0"/>
    <n v="13.183"/>
    <n v="50.4"/>
    <n v="35.799999999999997"/>
    <n v="35.5"/>
    <n v="38"/>
    <n v="31.7"/>
    <n v="36.4"/>
    <n v="28.6"/>
    <n v="44.5"/>
    <n v="27.8"/>
    <n v="37.200000000000003"/>
    <n v="32"/>
    <n v="42.1"/>
    <n v="36.666666666666664"/>
    <n v="1.8947028764159808"/>
    <n v="27.8"/>
    <n v="31.925000000000001"/>
    <n v="36.099999999999994"/>
  </r>
  <r>
    <n v="106"/>
    <x v="5"/>
    <x v="5"/>
    <x v="1"/>
    <x v="1"/>
    <x v="0"/>
    <x v="1"/>
    <x v="0"/>
    <n v="13.166"/>
    <n v="52.9"/>
    <n v="48.5"/>
    <n v="41.8"/>
    <n v="38.299999999999997"/>
    <n v="43"/>
    <n v="32.5"/>
    <n v="39.1"/>
    <n v="33.4"/>
    <n v="39.4"/>
    <n v="34.6"/>
    <n v="34.700000000000003"/>
    <n v="35.5"/>
    <n v="39.475000000000001"/>
    <n v="1.8026968433685462"/>
    <n v="32.5"/>
    <n v="34.675000000000004"/>
    <n v="38.700000000000003"/>
  </r>
  <r>
    <n v="107"/>
    <x v="3"/>
    <x v="3"/>
    <x v="1"/>
    <x v="1"/>
    <x v="1"/>
    <x v="1"/>
    <x v="0"/>
    <n v="13.147"/>
    <n v="50.6"/>
    <n v="45"/>
    <n v="33.4"/>
    <n v="40.200000000000003"/>
    <n v="35"/>
    <n v="34.700000000000003"/>
    <n v="43.7"/>
    <n v="38.4"/>
    <n v="31.2"/>
    <n v="43.8"/>
    <n v="33.200000000000003"/>
    <n v="47.6"/>
    <n v="39.733333333333327"/>
    <n v="1.836759883241929"/>
    <n v="31.2"/>
    <n v="34.375"/>
    <n v="39.299999999999997"/>
  </r>
  <r>
    <n v="108"/>
    <x v="6"/>
    <x v="6"/>
    <x v="0"/>
    <x v="1"/>
    <x v="0"/>
    <x v="1"/>
    <x v="0"/>
    <n v="13.129"/>
    <n v="53.6"/>
    <n v="55.8"/>
    <n v="35.5"/>
    <n v="45.5"/>
    <n v="39.5"/>
    <n v="47.7"/>
    <n v="35.799999999999997"/>
    <n v="45.6"/>
    <n v="37.200000000000003"/>
    <n v="38.700000000000003"/>
    <n v="37.9"/>
    <n v="48.2"/>
    <n v="43.416666666666664"/>
    <n v="2.0127183989657773"/>
    <n v="35.5"/>
    <n v="37.725000000000001"/>
    <n v="42.5"/>
  </r>
  <r>
    <n v="201"/>
    <x v="4"/>
    <x v="4"/>
    <x v="1"/>
    <x v="2"/>
    <x v="1"/>
    <x v="0"/>
    <x v="0"/>
    <n v="13.278"/>
    <n v="52.1"/>
    <n v="37.6"/>
    <n v="31.2"/>
    <n v="38"/>
    <n v="32.799999999999997"/>
    <n v="35.700000000000003"/>
    <n v="29.6"/>
    <n v="40.9"/>
    <n v="32.5"/>
    <n v="36.1"/>
    <n v="31.8"/>
    <n v="38"/>
    <n v="36.358333333333334"/>
    <n v="1.7330765398358166"/>
    <n v="29.6"/>
    <n v="32.325000000000003"/>
    <n v="35.900000000000006"/>
  </r>
  <r>
    <n v="202"/>
    <x v="5"/>
    <x v="5"/>
    <x v="1"/>
    <x v="1"/>
    <x v="0"/>
    <x v="0"/>
    <x v="0"/>
    <n v="13.295999999999999"/>
    <n v="53.8"/>
    <n v="44.4"/>
    <n v="42.3"/>
    <n v="49.9"/>
    <n v="40"/>
    <n v="43.7"/>
    <n v="35.5"/>
    <n v="52.2"/>
    <n v="40.6"/>
    <n v="52"/>
    <n v="33.700000000000003"/>
    <n v="53.3"/>
    <n v="45.116666666666667"/>
    <n v="2.0275688283102369"/>
    <n v="33.700000000000003"/>
    <n v="40.450000000000003"/>
    <n v="44.05"/>
  </r>
  <r>
    <n v="203"/>
    <x v="6"/>
    <x v="6"/>
    <x v="0"/>
    <x v="1"/>
    <x v="0"/>
    <x v="0"/>
    <x v="0"/>
    <n v="13.316000000000001"/>
    <n v="57.4"/>
    <n v="41.8"/>
    <n v="43.4"/>
    <n v="36"/>
    <n v="48.1"/>
    <n v="36.1"/>
    <n v="44.4"/>
    <n v="37.700000000000003"/>
    <n v="38.9"/>
    <n v="37.1"/>
    <n v="45.9"/>
    <n v="39.5"/>
    <n v="42.191666666666663"/>
    <n v="1.7966070013143618"/>
    <n v="36"/>
    <n v="37.550000000000004"/>
    <n v="40.65"/>
  </r>
  <r>
    <n v="204"/>
    <x v="7"/>
    <x v="7"/>
    <x v="1"/>
    <x v="2"/>
    <x v="0"/>
    <x v="0"/>
    <x v="0"/>
    <n v="13.333"/>
    <n v="44.3"/>
    <n v="39.299999999999997"/>
    <n v="30.7"/>
    <n v="42.3"/>
    <n v="30.1"/>
    <n v="42.4"/>
    <n v="32.799999999999997"/>
    <n v="35.200000000000003"/>
    <n v="32.200000000000003"/>
    <n v="36.200000000000003"/>
    <n v="31.6"/>
    <n v="38.9"/>
    <n v="36.333333333333329"/>
    <n v="1.4437080484962879"/>
    <n v="30.1"/>
    <n v="32.050000000000004"/>
    <n v="35.700000000000003"/>
  </r>
  <r>
    <n v="205"/>
    <x v="0"/>
    <x v="0"/>
    <x v="0"/>
    <x v="0"/>
    <x v="0"/>
    <x v="1"/>
    <x v="0"/>
    <n v="13.352"/>
    <n v="56.8"/>
    <n v="48.8"/>
    <n v="30.8"/>
    <n v="50.8"/>
    <n v="38"/>
    <n v="32.4"/>
    <n v="47.5"/>
    <n v="35.1"/>
    <n v="45.5"/>
    <n v="35.5"/>
    <n v="49.2"/>
    <n v="35.5"/>
    <n v="42.158333333333331"/>
    <n v="2.4656260601897628"/>
    <n v="30.8"/>
    <n v="35.4"/>
    <n v="41.75"/>
  </r>
  <r>
    <n v="206"/>
    <x v="8"/>
    <x v="8"/>
    <x v="1"/>
    <x v="0"/>
    <x v="1"/>
    <x v="1"/>
    <x v="0"/>
    <n v="13.382"/>
    <n v="41.2"/>
    <n v="40.700000000000003"/>
    <n v="36.6"/>
    <n v="40.200000000000003"/>
    <n v="34.9"/>
    <n v="34.1"/>
    <n v="35.200000000000003"/>
    <n v="32.1"/>
    <n v="35.6"/>
    <n v="30.3"/>
    <n v="36.4"/>
    <n v="39.299999999999997"/>
    <n v="36.383333333333333"/>
    <n v="0.99138969903541396"/>
    <n v="30.3"/>
    <n v="34.700000000000003"/>
    <n v="36"/>
  </r>
  <r>
    <n v="207"/>
    <x v="1"/>
    <x v="1"/>
    <x v="0"/>
    <x v="1"/>
    <x v="1"/>
    <x v="1"/>
    <x v="0"/>
    <n v="13.401999999999999"/>
    <n v="51"/>
    <n v="50.4"/>
    <n v="29.1"/>
    <n v="36.799999999999997"/>
    <n v="29.3"/>
    <n v="42.3"/>
    <n v="30"/>
    <n v="42.5"/>
    <n v="29"/>
    <n v="41.7"/>
    <n v="32"/>
    <n v="51.7"/>
    <n v="38.81666666666667"/>
    <n v="2.5998494517408455"/>
    <n v="29"/>
    <n v="29.824999999999999"/>
    <n v="39.25"/>
  </r>
  <r>
    <n v="208"/>
    <x v="9"/>
    <x v="9"/>
    <x v="0"/>
    <x v="0"/>
    <x v="1"/>
    <x v="1"/>
    <x v="0"/>
    <n v="13.420999999999999"/>
    <n v="57.3"/>
    <n v="51.3"/>
    <n v="38.200000000000003"/>
    <n v="45.4"/>
    <n v="34.4"/>
    <n v="41.1"/>
    <n v="32.799999999999997"/>
    <n v="51.6"/>
    <n v="33.799999999999997"/>
    <n v="46.4"/>
    <n v="36.700000000000003"/>
    <n v="56.4"/>
    <n v="43.783333333333339"/>
    <n v="2.5611264488245462"/>
    <n v="32.799999999999997"/>
    <n v="36.125"/>
    <n v="43.25"/>
  </r>
  <r>
    <n v="301"/>
    <x v="3"/>
    <x v="3"/>
    <x v="1"/>
    <x v="1"/>
    <x v="1"/>
    <x v="2"/>
    <x v="0"/>
    <n v="13.596"/>
    <n v="53.2"/>
    <n v="48.3"/>
    <n v="37.700000000000003"/>
    <n v="46.6"/>
    <n v="45.2"/>
    <n v="41.7"/>
    <n v="40.9"/>
    <n v="41.2"/>
    <n v="33.5"/>
    <n v="47.9"/>
    <n v="30.9"/>
    <n v="53.4"/>
    <n v="43.374999999999993"/>
    <n v="2.0495795947343973"/>
    <n v="30.9"/>
    <n v="40.1"/>
    <n v="43.45"/>
  </r>
  <r>
    <n v="302"/>
    <x v="1"/>
    <x v="1"/>
    <x v="0"/>
    <x v="1"/>
    <x v="1"/>
    <x v="2"/>
    <x v="0"/>
    <n v="13.616"/>
    <n v="55.1"/>
    <n v="53.6"/>
    <n v="33.299999999999997"/>
    <n v="53.8"/>
    <n v="34"/>
    <n v="46.6"/>
    <n v="31.7"/>
    <n v="49.5"/>
    <n v="30.2"/>
    <n v="50.4"/>
    <n v="30.3"/>
    <n v="51.4"/>
    <n v="43.324999999999996"/>
    <n v="2.9931519061573479"/>
    <n v="30.2"/>
    <n v="32.9"/>
    <n v="48.05"/>
  </r>
  <r>
    <n v="303"/>
    <x v="8"/>
    <x v="8"/>
    <x v="1"/>
    <x v="0"/>
    <x v="1"/>
    <x v="2"/>
    <x v="0"/>
    <n v="13.638999999999999"/>
    <n v="36.700000000000003"/>
    <n v="31.4"/>
    <n v="30.7"/>
    <n v="29.8"/>
    <n v="29.9"/>
    <n v="30.4"/>
    <n v="30.7"/>
    <n v="33.4"/>
    <n v="32.6"/>
    <n v="35.200000000000003"/>
    <n v="28.2"/>
    <n v="36.9"/>
    <n v="32.158333333333331"/>
    <n v="0.81811482610138397"/>
    <n v="28.2"/>
    <n v="30.274999999999999"/>
    <n v="31.049999999999997"/>
  </r>
  <r>
    <n v="304"/>
    <x v="9"/>
    <x v="9"/>
    <x v="0"/>
    <x v="0"/>
    <x v="1"/>
    <x v="2"/>
    <x v="0"/>
    <n v="13.67"/>
    <n v="57.2"/>
    <n v="57.3"/>
    <n v="33.4"/>
    <n v="39.299999999999997"/>
    <n v="32.700000000000003"/>
    <n v="36.200000000000003"/>
    <n v="47.3"/>
    <n v="34.299999999999997"/>
    <n v="40.6"/>
    <n v="36.200000000000003"/>
    <n v="29.9"/>
    <n v="38.700000000000003"/>
    <n v="40.258333333333333"/>
    <n v="2.6261926102749218"/>
    <n v="29.9"/>
    <n v="34.074999999999996"/>
    <n v="37.450000000000003"/>
  </r>
  <r>
    <n v="305"/>
    <x v="7"/>
    <x v="7"/>
    <x v="1"/>
    <x v="2"/>
    <x v="0"/>
    <x v="3"/>
    <x v="0"/>
    <n v="13.693"/>
    <n v="47.8"/>
    <n v="32.299999999999997"/>
    <n v="38.4"/>
    <n v="29.7"/>
    <n v="37.6"/>
    <n v="29.4"/>
    <n v="34.6"/>
    <n v="30.8"/>
    <n v="32.9"/>
    <n v="29"/>
    <n v="42.6"/>
    <n v="33.299999999999997"/>
    <n v="34.866666666666667"/>
    <n v="1.6686654681045112"/>
    <n v="29"/>
    <n v="30.524999999999999"/>
    <n v="33.099999999999994"/>
  </r>
  <r>
    <n v="306"/>
    <x v="1"/>
    <x v="1"/>
    <x v="0"/>
    <x v="1"/>
    <x v="1"/>
    <x v="3"/>
    <x v="0"/>
    <n v="13.712"/>
    <n v="55.1"/>
    <n v="53.8"/>
    <n v="29.7"/>
    <n v="57.1"/>
    <n v="34"/>
    <n v="45.8"/>
    <n v="29"/>
    <n v="52"/>
    <n v="29.7"/>
    <n v="52.1"/>
    <n v="29.8"/>
    <n v="50.8"/>
    <n v="43.241666666666667"/>
    <n v="3.3695035677276439"/>
    <n v="29"/>
    <n v="29.774999999999999"/>
    <n v="48.3"/>
  </r>
  <r>
    <n v="307"/>
    <x v="5"/>
    <x v="5"/>
    <x v="1"/>
    <x v="1"/>
    <x v="0"/>
    <x v="3"/>
    <x v="0"/>
    <n v="13.731999999999999"/>
    <n v="53.2"/>
    <n v="51.3"/>
    <n v="36.799999999999997"/>
    <n v="52.8"/>
    <n v="39.9"/>
    <n v="43.9"/>
    <n v="39.200000000000003"/>
    <n v="49"/>
    <n v="37.6"/>
    <n v="50.8"/>
    <n v="34.5"/>
    <n v="48"/>
    <n v="44.75"/>
    <n v="1.9824418673887347"/>
    <n v="34.5"/>
    <n v="38.800000000000004"/>
    <n v="45.95"/>
  </r>
  <r>
    <n v="308"/>
    <x v="2"/>
    <x v="2"/>
    <x v="0"/>
    <x v="2"/>
    <x v="0"/>
    <x v="3"/>
    <x v="0"/>
    <n v="13.753"/>
    <n v="53.1"/>
    <n v="52.2"/>
    <n v="33.700000000000003"/>
    <n v="43.5"/>
    <n v="34.1"/>
    <n v="45.6"/>
    <n v="32.299999999999997"/>
    <n v="47.5"/>
    <n v="31"/>
    <n v="48"/>
    <n v="30.3"/>
    <n v="39.4"/>
    <n v="40.891666666666666"/>
    <n v="2.4371014307653232"/>
    <n v="30.3"/>
    <n v="33.35"/>
    <n v="41.45"/>
  </r>
  <r>
    <n v="403"/>
    <x v="10"/>
    <x v="10"/>
    <x v="0"/>
    <x v="2"/>
    <x v="1"/>
    <x v="2"/>
    <x v="0"/>
    <n v="13.898"/>
    <n v="34.700000000000003"/>
    <n v="43.1"/>
    <n v="30.1"/>
    <n v="46"/>
    <n v="31.4"/>
    <n v="48.8"/>
    <n v="30.4"/>
    <n v="49.7"/>
    <n v="33"/>
    <n v="50.3"/>
    <n v="31"/>
    <n v="47.1"/>
    <n v="39.633333333333333"/>
    <n v="2.4529615166203071"/>
    <n v="30.1"/>
    <n v="31.299999999999997"/>
    <n v="38.900000000000006"/>
  </r>
  <r>
    <n v="404"/>
    <x v="6"/>
    <x v="6"/>
    <x v="0"/>
    <x v="1"/>
    <x v="0"/>
    <x v="2"/>
    <x v="0"/>
    <n v="13.875999999999999"/>
    <n v="56.7"/>
    <n v="52.7"/>
    <n v="31.6"/>
    <n v="48"/>
    <n v="33.9"/>
    <n v="35.9"/>
    <n v="32.799999999999997"/>
    <n v="44.5"/>
    <n v="31"/>
    <n v="46.8"/>
    <n v="32.200000000000003"/>
    <n v="43.9"/>
    <n v="40.833333333333336"/>
    <n v="2.6050746901795629"/>
    <n v="31"/>
    <n v="32.65"/>
    <n v="39.9"/>
  </r>
  <r>
    <n v="405"/>
    <x v="10"/>
    <x v="10"/>
    <x v="0"/>
    <x v="2"/>
    <x v="1"/>
    <x v="3"/>
    <x v="0"/>
    <n v="13.851000000000001"/>
    <n v="52.8"/>
    <n v="52.9"/>
    <n v="34"/>
    <n v="36.5"/>
    <n v="45.4"/>
    <n v="35.6"/>
    <n v="33.700000000000003"/>
    <n v="40.299999999999997"/>
    <n v="34.200000000000003"/>
    <n v="33.299999999999997"/>
    <n v="38.299999999999997"/>
    <n v="41.8"/>
    <n v="39.9"/>
    <n v="2.0437265428178457"/>
    <n v="33.299999999999997"/>
    <n v="34.150000000000006"/>
    <n v="37.4"/>
  </r>
  <r>
    <n v="406"/>
    <x v="6"/>
    <x v="6"/>
    <x v="0"/>
    <x v="1"/>
    <x v="0"/>
    <x v="3"/>
    <x v="0"/>
    <n v="13.83"/>
    <n v="58.1"/>
    <n v="57.3"/>
    <n v="36.1"/>
    <n v="42.4"/>
    <n v="35.6"/>
    <n v="36.700000000000003"/>
    <n v="39.1"/>
    <n v="38.299999999999997"/>
    <n v="33.799999999999997"/>
    <n v="49.6"/>
    <n v="32.700000000000003"/>
    <n v="43.3"/>
    <n v="41.916666666666671"/>
    <n v="2.5113630650394598"/>
    <n v="32.700000000000003"/>
    <n v="35.975000000000001"/>
    <n v="38.700000000000003"/>
  </r>
  <r>
    <n v="407"/>
    <x v="11"/>
    <x v="11"/>
    <x v="1"/>
    <x v="0"/>
    <x v="0"/>
    <x v="3"/>
    <x v="0"/>
    <n v="13.805999999999999"/>
    <n v="42"/>
    <n v="42.6"/>
    <n v="29.3"/>
    <n v="39.799999999999997"/>
    <n v="28.6"/>
    <n v="38.9"/>
    <n v="28.1"/>
    <n v="40.700000000000003"/>
    <n v="33"/>
    <n v="44.6"/>
    <n v="35.200000000000003"/>
    <n v="44.3"/>
    <n v="37.258333333333333"/>
    <n v="1.7838695738662165"/>
    <n v="28.1"/>
    <n v="32.075000000000003"/>
    <n v="39.349999999999994"/>
  </r>
  <r>
    <n v="408"/>
    <x v="3"/>
    <x v="3"/>
    <x v="1"/>
    <x v="1"/>
    <x v="1"/>
    <x v="3"/>
    <x v="0"/>
    <n v="13.785"/>
    <n v="53"/>
    <n v="54.2"/>
    <n v="36.1"/>
    <n v="52.8"/>
    <n v="37.700000000000003"/>
    <n v="38.200000000000003"/>
    <n v="43.6"/>
    <n v="42.4"/>
    <n v="39"/>
    <n v="44.8"/>
    <n v="41.9"/>
    <n v="44.8"/>
    <n v="44.041666666666664"/>
    <n v="1.8082495442115922"/>
    <n v="36.1"/>
    <n v="38.799999999999997"/>
    <n v="43"/>
  </r>
  <r>
    <n v="901"/>
    <x v="12"/>
    <x v="12"/>
    <x v="2"/>
    <x v="3"/>
    <x v="1"/>
    <x v="0"/>
    <x v="0"/>
    <n v="13.574"/>
    <n v="35.6"/>
    <n v="38.799999999999997"/>
    <n v="35"/>
    <n v="43.2"/>
    <n v="35.1"/>
    <n v="38.1"/>
    <n v="33.799999999999997"/>
    <n v="37.4"/>
    <n v="35.299999999999997"/>
    <n v="38"/>
    <n v="34.700000000000003"/>
    <n v="39.5"/>
    <n v="37.041666666666664"/>
    <n v="0.77003131905348376"/>
    <n v="33.799999999999997"/>
    <n v="35.075000000000003"/>
    <n v="36.5"/>
  </r>
  <r>
    <n v="902"/>
    <x v="13"/>
    <x v="13"/>
    <x v="3"/>
    <x v="1"/>
    <x v="0"/>
    <x v="0"/>
    <x v="0"/>
    <n v="13.551"/>
    <n v="54.5"/>
    <n v="54.4"/>
    <n v="31.4"/>
    <n v="47.1"/>
    <n v="33.4"/>
    <n v="48.7"/>
    <n v="40.6"/>
    <n v="44.5"/>
    <n v="37.6"/>
    <n v="43"/>
    <n v="33.299999999999997"/>
    <n v="49.6"/>
    <n v="43.174999999999997"/>
    <n v="2.3235984697199332"/>
    <n v="31.4"/>
    <n v="36.549999999999997"/>
    <n v="43.75"/>
  </r>
  <r>
    <n v="903"/>
    <x v="14"/>
    <x v="14"/>
    <x v="4"/>
    <x v="3"/>
    <x v="1"/>
    <x v="0"/>
    <x v="0"/>
    <n v="13.539"/>
    <n v="61"/>
    <n v="61"/>
    <n v="62.8"/>
    <n v="63.9"/>
    <n v="62"/>
    <n v="62.9"/>
    <n v="61.5"/>
    <n v="64.5"/>
    <n v="62.5"/>
    <n v="63.1"/>
    <n v="62.4"/>
    <n v="63.6"/>
    <n v="62.6"/>
    <n v="0.31885210782846241"/>
    <n v="61"/>
    <n v="61.875"/>
    <n v="62.65"/>
  </r>
  <r>
    <n v="904"/>
    <x v="15"/>
    <x v="15"/>
    <x v="5"/>
    <x v="1"/>
    <x v="0"/>
    <x v="0"/>
    <x v="0"/>
    <n v="13.518000000000001"/>
    <n v="63.6"/>
    <n v="61.5"/>
    <n v="45.1"/>
    <n v="62.7"/>
    <n v="45.5"/>
    <n v="58.4"/>
    <n v="53.3"/>
    <n v="65"/>
    <n v="51.9"/>
    <n v="60.4"/>
    <n v="41.9"/>
    <n v="63.6"/>
    <n v="56.075000000000003"/>
    <n v="2.3815619079108865"/>
    <n v="41.9"/>
    <n v="50.3"/>
    <n v="59.4"/>
  </r>
  <r>
    <n v="905"/>
    <x v="12"/>
    <x v="12"/>
    <x v="2"/>
    <x v="3"/>
    <x v="1"/>
    <x v="1"/>
    <x v="0"/>
    <n v="13.506"/>
    <n v="35.799999999999997"/>
    <n v="35.700000000000003"/>
    <n v="36.799999999999997"/>
    <n v="35.9"/>
    <n v="36.1"/>
    <n v="36.299999999999997"/>
    <n v="36.1"/>
    <n v="36"/>
    <n v="35.5"/>
    <n v="36.200000000000003"/>
    <n v="35.9"/>
    <n v="37.200000000000003"/>
    <n v="36.125"/>
    <n v="0.13602862889425416"/>
    <n v="35.5"/>
    <n v="35.875"/>
    <n v="36.049999999999997"/>
  </r>
  <r>
    <n v="906"/>
    <x v="13"/>
    <x v="13"/>
    <x v="3"/>
    <x v="1"/>
    <x v="0"/>
    <x v="1"/>
    <x v="0"/>
    <n v="13.484"/>
    <n v="52.4"/>
    <n v="44.2"/>
    <n v="35.799999999999997"/>
    <n v="33"/>
    <n v="36.299999999999997"/>
    <n v="32.299999999999997"/>
    <n v="44.6"/>
    <n v="36.9"/>
    <n v="31.1"/>
    <n v="35.4"/>
    <n v="34.9"/>
    <n v="34.4"/>
    <n v="37.608333333333327"/>
    <n v="1.806740675550002"/>
    <n v="31.1"/>
    <n v="34.049999999999997"/>
    <n v="35.6"/>
  </r>
  <r>
    <n v="907"/>
    <x v="14"/>
    <x v="14"/>
    <x v="4"/>
    <x v="3"/>
    <x v="1"/>
    <x v="1"/>
    <x v="0"/>
    <n v="13.472"/>
    <n v="62"/>
    <n v="62.8"/>
    <n v="60.1"/>
    <n v="63.8"/>
    <n v="61.8"/>
    <n v="64.599999999999994"/>
    <n v="61.6"/>
    <n v="63.4"/>
    <n v="62.5"/>
    <n v="64.7"/>
    <n v="62.8"/>
    <n v="63.8"/>
    <n v="62.825000000000003"/>
    <n v="0.38595120589696608"/>
    <n v="60.1"/>
    <n v="61.95"/>
    <n v="62.8"/>
  </r>
  <r>
    <n v="908"/>
    <x v="15"/>
    <x v="15"/>
    <x v="5"/>
    <x v="1"/>
    <x v="0"/>
    <x v="1"/>
    <x v="0"/>
    <n v="13.449"/>
    <n v="63.5"/>
    <n v="63"/>
    <n v="50.7"/>
    <n v="56.5"/>
    <n v="60.4"/>
    <n v="49.6"/>
    <n v="55.6"/>
    <n v="55.2"/>
    <n v="52.2"/>
    <n v="56"/>
    <n v="58.3"/>
    <n v="61.8"/>
    <n v="56.9"/>
    <n v="1.3437847951802535"/>
    <n v="49.6"/>
    <n v="54.45"/>
    <n v="56.25"/>
  </r>
  <r>
    <n v="101"/>
    <x v="0"/>
    <x v="0"/>
    <x v="0"/>
    <x v="0"/>
    <x v="0"/>
    <x v="0"/>
    <x v="1"/>
    <n v="13.256"/>
    <n v="28.5"/>
    <n v="28.1"/>
    <n v="26.8"/>
    <n v="29.2"/>
    <n v="29.4"/>
    <n v="30.2"/>
    <n v="31.5"/>
    <n v="28.3"/>
    <n v="31.9"/>
    <n v="28.2"/>
    <n v="31"/>
    <n v="28.8"/>
    <n v="29.324999999999999"/>
    <n v="0.4446866448649347"/>
    <n v="26.8"/>
    <n v="28.274999999999999"/>
    <n v="29"/>
  </r>
  <r>
    <n v="102"/>
    <x v="1"/>
    <x v="1"/>
    <x v="0"/>
    <x v="1"/>
    <x v="1"/>
    <x v="0"/>
    <x v="1"/>
    <n v="13.239000000000001"/>
    <n v="28.3"/>
    <n v="27.1"/>
    <n v="27.1"/>
    <n v="28.8"/>
    <n v="27.2"/>
    <n v="27.6"/>
    <n v="27.5"/>
    <n v="28.3"/>
    <n v="27.5"/>
    <n v="27"/>
    <n v="30"/>
    <n v="27.1"/>
    <n v="27.791666666666668"/>
    <n v="0.261539247107901"/>
    <n v="27"/>
    <n v="27.1"/>
    <n v="27.5"/>
  </r>
  <r>
    <n v="103"/>
    <x v="2"/>
    <x v="2"/>
    <x v="0"/>
    <x v="2"/>
    <x v="0"/>
    <x v="0"/>
    <x v="1"/>
    <n v="13.222"/>
    <n v="29.7"/>
    <n v="30.8"/>
    <n v="29.3"/>
    <n v="29.2"/>
    <n v="29.6"/>
    <n v="27.7"/>
    <n v="27.7"/>
    <n v="29.9"/>
    <n v="26.7"/>
    <n v="27.3"/>
    <n v="29.2"/>
    <n v="26.6"/>
    <n v="28.641666666666666"/>
    <n v="0.3974270150898575"/>
    <n v="26.6"/>
    <n v="27.6"/>
    <n v="29.2"/>
  </r>
  <r>
    <n v="104"/>
    <x v="3"/>
    <x v="3"/>
    <x v="1"/>
    <x v="1"/>
    <x v="1"/>
    <x v="0"/>
    <x v="1"/>
    <n v="13.205"/>
    <n v="30.7"/>
    <n v="26"/>
    <n v="29.2"/>
    <n v="26.2"/>
    <n v="26.4"/>
    <n v="25.2"/>
    <n v="27.4"/>
    <n v="27.2"/>
    <n v="29.8"/>
    <n v="26"/>
    <n v="27.5"/>
    <n v="27.4"/>
    <n v="27.416666666666668"/>
    <n v="0.48567873989276994"/>
    <n v="25.2"/>
    <n v="26.15"/>
    <n v="27.3"/>
  </r>
  <r>
    <n v="105"/>
    <x v="4"/>
    <x v="4"/>
    <x v="1"/>
    <x v="2"/>
    <x v="1"/>
    <x v="1"/>
    <x v="1"/>
    <n v="13.189"/>
    <n v="26.8"/>
    <n v="28.6"/>
    <n v="26.4"/>
    <n v="26.9"/>
    <n v="27.5"/>
    <n v="27.1"/>
    <n v="27.3"/>
    <n v="26"/>
    <n v="26.6"/>
    <n v="26.2"/>
    <n v="26.3"/>
    <n v="25.3"/>
    <n v="26.75"/>
    <n v="0.24230584229872307"/>
    <n v="25.3"/>
    <n v="26.274999999999999"/>
    <n v="26.7"/>
  </r>
  <r>
    <n v="106"/>
    <x v="5"/>
    <x v="5"/>
    <x v="1"/>
    <x v="1"/>
    <x v="0"/>
    <x v="1"/>
    <x v="1"/>
    <n v="13.170999999999999"/>
    <n v="27.9"/>
    <n v="28.2"/>
    <n v="28"/>
    <n v="27.7"/>
    <n v="27.6"/>
    <n v="27.5"/>
    <n v="26.6"/>
    <n v="27.6"/>
    <n v="29.6"/>
    <n v="29.2"/>
    <n v="28.6"/>
    <n v="26"/>
    <n v="27.875"/>
    <n v="0.28660103195063735"/>
    <n v="26"/>
    <n v="27.574999999999999"/>
    <n v="27.8"/>
  </r>
  <r>
    <n v="107"/>
    <x v="3"/>
    <x v="3"/>
    <x v="1"/>
    <x v="1"/>
    <x v="1"/>
    <x v="1"/>
    <x v="1"/>
    <n v="13.153"/>
    <n v="28.8"/>
    <n v="28.5"/>
    <n v="27.9"/>
    <n v="27.1"/>
    <n v="27"/>
    <n v="26.7"/>
    <n v="26.9"/>
    <n v="27.1"/>
    <n v="26.3"/>
    <n v="28.7"/>
    <n v="25.9"/>
    <n v="26.5"/>
    <n v="27.283333333333331"/>
    <n v="0.27929384258351886"/>
    <n v="25.9"/>
    <n v="26.65"/>
    <n v="27.05"/>
  </r>
  <r>
    <n v="108"/>
    <x v="6"/>
    <x v="6"/>
    <x v="0"/>
    <x v="1"/>
    <x v="0"/>
    <x v="1"/>
    <x v="1"/>
    <n v="13.135"/>
    <n v="29.7"/>
    <n v="29.5"/>
    <n v="29.7"/>
    <n v="30.4"/>
    <n v="29.1"/>
    <n v="28.6"/>
    <n v="31.1"/>
    <n v="30.4"/>
    <n v="29.1"/>
    <n v="28.8"/>
    <n v="29.6"/>
    <n v="29.5"/>
    <n v="29.625"/>
    <n v="0.20784791934423016"/>
    <n v="28.6"/>
    <n v="29.1"/>
    <n v="29.55"/>
  </r>
  <r>
    <n v="201"/>
    <x v="4"/>
    <x v="4"/>
    <x v="1"/>
    <x v="2"/>
    <x v="1"/>
    <x v="0"/>
    <x v="1"/>
    <n v="13.282999999999999"/>
    <n v="28.1"/>
    <n v="28.8"/>
    <n v="29.1"/>
    <n v="27.6"/>
    <n v="27.4"/>
    <n v="28"/>
    <n v="28.3"/>
    <n v="27.7"/>
    <n v="29.2"/>
    <n v="28.3"/>
    <n v="25.5"/>
    <n v="28"/>
    <n v="28"/>
    <n v="0.27988092706244638"/>
    <n v="25.5"/>
    <n v="27.675000000000001"/>
    <n v="28.05"/>
  </r>
  <r>
    <n v="202"/>
    <x v="5"/>
    <x v="5"/>
    <x v="1"/>
    <x v="1"/>
    <x v="0"/>
    <x v="0"/>
    <x v="1"/>
    <n v="13.301"/>
    <n v="28.8"/>
    <n v="26.6"/>
    <n v="30.4"/>
    <n v="28.3"/>
    <n v="32.299999999999997"/>
    <n v="29.7"/>
    <n v="28.5"/>
    <n v="28.6"/>
    <n v="28.7"/>
    <n v="28.5"/>
    <n v="28.5"/>
    <n v="29.1"/>
    <n v="29"/>
    <n v="0.39542842128964151"/>
    <n v="26.6"/>
    <n v="28.5"/>
    <n v="28.65"/>
  </r>
  <r>
    <n v="203"/>
    <x v="6"/>
    <x v="6"/>
    <x v="0"/>
    <x v="1"/>
    <x v="0"/>
    <x v="0"/>
    <x v="1"/>
    <n v="13.321"/>
    <n v="28.9"/>
    <n v="28.4"/>
    <n v="30.1"/>
    <n v="31.1"/>
    <n v="29.3"/>
    <n v="29.8"/>
    <n v="30.5"/>
    <n v="28.9"/>
    <n v="28.5"/>
    <n v="29.8"/>
    <n v="30.1"/>
    <n v="28.1"/>
    <n v="29.458333333333339"/>
    <n v="0.26641797115343507"/>
    <n v="28.1"/>
    <n v="28.8"/>
    <n v="29.55"/>
  </r>
  <r>
    <n v="204"/>
    <x v="7"/>
    <x v="7"/>
    <x v="1"/>
    <x v="2"/>
    <x v="0"/>
    <x v="0"/>
    <x v="1"/>
    <n v="13.337999999999999"/>
    <n v="29.2"/>
    <n v="27.7"/>
    <n v="26.5"/>
    <n v="27.6"/>
    <n v="28"/>
    <n v="28.9"/>
    <n v="28.4"/>
    <n v="30.1"/>
    <n v="28.9"/>
    <n v="29.2"/>
    <n v="30"/>
    <n v="29.2"/>
    <n v="28.641666666666666"/>
    <n v="0.30237903500090302"/>
    <n v="26.5"/>
    <n v="27.925000000000001"/>
    <n v="28.9"/>
  </r>
  <r>
    <n v="205"/>
    <x v="0"/>
    <x v="0"/>
    <x v="0"/>
    <x v="0"/>
    <x v="0"/>
    <x v="1"/>
    <x v="1"/>
    <n v="13.358000000000001"/>
    <n v="28"/>
    <n v="28.2"/>
    <n v="28.6"/>
    <n v="27.3"/>
    <n v="30.1"/>
    <n v="27.5"/>
    <n v="30.7"/>
    <n v="26.6"/>
    <n v="27.4"/>
    <n v="28.5"/>
    <n v="26.2"/>
    <n v="28.7"/>
    <n v="28.15"/>
    <n v="0.37809330257829921"/>
    <n v="26.2"/>
    <n v="27.375"/>
    <n v="28.1"/>
  </r>
  <r>
    <n v="206"/>
    <x v="8"/>
    <x v="8"/>
    <x v="1"/>
    <x v="0"/>
    <x v="1"/>
    <x v="1"/>
    <x v="1"/>
    <n v="13.388"/>
    <n v="27.6"/>
    <n v="28.2"/>
    <n v="27.1"/>
    <n v="27.6"/>
    <n v="28.6"/>
    <n v="26.5"/>
    <n v="28.9"/>
    <n v="28.8"/>
    <n v="28.5"/>
    <n v="28.3"/>
    <n v="28"/>
    <n v="27.5"/>
    <n v="27.966666666666669"/>
    <n v="0.20973769091392175"/>
    <n v="26.5"/>
    <n v="27.574999999999999"/>
    <n v="28.1"/>
  </r>
  <r>
    <n v="207"/>
    <x v="1"/>
    <x v="1"/>
    <x v="0"/>
    <x v="1"/>
    <x v="1"/>
    <x v="1"/>
    <x v="1"/>
    <n v="13.407"/>
    <n v="27"/>
    <n v="27.4"/>
    <n v="27.9"/>
    <n v="27.4"/>
    <n v="26.5"/>
    <n v="27.6"/>
    <n v="25.4"/>
    <n v="27.1"/>
    <n v="27.6"/>
    <n v="28.5"/>
    <n v="28.2"/>
    <n v="27.4"/>
    <n v="27.333333333333329"/>
    <n v="0.23333333333338963"/>
    <n v="25.4"/>
    <n v="27.074999999999999"/>
    <n v="27.4"/>
  </r>
  <r>
    <n v="208"/>
    <x v="9"/>
    <x v="9"/>
    <x v="0"/>
    <x v="0"/>
    <x v="1"/>
    <x v="1"/>
    <x v="1"/>
    <n v="13.426"/>
    <n v="27.6"/>
    <n v="27.4"/>
    <n v="25.8"/>
    <n v="27.9"/>
    <n v="27.9"/>
    <n v="28.1"/>
    <n v="25.6"/>
    <n v="28.7"/>
    <n v="27.9"/>
    <n v="28.8"/>
    <n v="28.7"/>
    <n v="28.3"/>
    <n v="27.725000000000001"/>
    <n v="0.30103986446980285"/>
    <n v="25.6"/>
    <n v="27.55"/>
    <n v="27.9"/>
  </r>
  <r>
    <n v="301"/>
    <x v="3"/>
    <x v="3"/>
    <x v="1"/>
    <x v="1"/>
    <x v="1"/>
    <x v="2"/>
    <x v="1"/>
    <n v="13.602"/>
    <n v="26.7"/>
    <n v="29.1"/>
    <n v="26.8"/>
    <n v="28"/>
    <n v="27.7"/>
    <n v="28.2"/>
    <n v="30.7"/>
    <n v="27.3"/>
    <n v="29.6"/>
    <n v="28.3"/>
    <n v="28.3"/>
    <n v="28.2"/>
    <n v="28.241666666666664"/>
    <n v="0.32947578504239866"/>
    <n v="26.7"/>
    <n v="27.6"/>
    <n v="28.2"/>
  </r>
  <r>
    <n v="302"/>
    <x v="1"/>
    <x v="1"/>
    <x v="0"/>
    <x v="1"/>
    <x v="1"/>
    <x v="2"/>
    <x v="1"/>
    <n v="13.621"/>
    <n v="27.8"/>
    <n v="27.8"/>
    <n v="28.6"/>
    <n v="27.1"/>
    <n v="28.7"/>
    <n v="28"/>
    <n v="30.3"/>
    <n v="29.5"/>
    <n v="30.6"/>
    <n v="29.2"/>
    <n v="30.1"/>
    <n v="29.2"/>
    <n v="28.908333333333335"/>
    <n v="0.31896098681670226"/>
    <n v="27.1"/>
    <n v="27.95"/>
    <n v="28.95"/>
  </r>
  <r>
    <n v="303"/>
    <x v="8"/>
    <x v="8"/>
    <x v="1"/>
    <x v="0"/>
    <x v="1"/>
    <x v="2"/>
    <x v="1"/>
    <n v="13.645"/>
    <n v="29.5"/>
    <n v="27.1"/>
    <n v="27.2"/>
    <n v="27.4"/>
    <n v="27.5"/>
    <n v="26.6"/>
    <n v="28.5"/>
    <n v="26.5"/>
    <n v="26.3"/>
    <n v="28.6"/>
    <n v="27"/>
    <n v="25.9"/>
    <n v="27.341666666666665"/>
    <n v="0.30437674356005751"/>
    <n v="25.9"/>
    <n v="26.574999999999999"/>
    <n v="27.15"/>
  </r>
  <r>
    <n v="304"/>
    <x v="9"/>
    <x v="9"/>
    <x v="0"/>
    <x v="0"/>
    <x v="1"/>
    <x v="2"/>
    <x v="1"/>
    <n v="13.675000000000001"/>
    <n v="26.2"/>
    <n v="27.5"/>
    <n v="28.3"/>
    <n v="25.8"/>
    <n v="29.3"/>
    <n v="27.4"/>
    <n v="26.2"/>
    <n v="27.1"/>
    <n v="28.4"/>
    <n v="25.8"/>
    <n v="27.8"/>
    <n v="28.3"/>
    <n v="27.341666666666669"/>
    <n v="0.33085251070284216"/>
    <n v="25.8"/>
    <n v="26.2"/>
    <n v="27.45"/>
  </r>
  <r>
    <n v="305"/>
    <x v="7"/>
    <x v="7"/>
    <x v="1"/>
    <x v="2"/>
    <x v="0"/>
    <x v="3"/>
    <x v="1"/>
    <n v="13.698"/>
    <n v="29.1"/>
    <n v="27.5"/>
    <n v="29.8"/>
    <n v="28.6"/>
    <n v="27.7"/>
    <n v="28.8"/>
    <n v="27.9"/>
    <n v="27.3"/>
    <n v="26.9"/>
    <n v="27.3"/>
    <n v="27.4"/>
    <n v="29.9"/>
    <n v="28.183333333333334"/>
    <n v="0.2958893459564062"/>
    <n v="26.9"/>
    <n v="27.375"/>
    <n v="27.8"/>
  </r>
  <r>
    <n v="306"/>
    <x v="1"/>
    <x v="1"/>
    <x v="0"/>
    <x v="1"/>
    <x v="1"/>
    <x v="3"/>
    <x v="1"/>
    <n v="13.718"/>
    <n v="30.3"/>
    <n v="28.9"/>
    <n v="27.2"/>
    <n v="27.7"/>
    <n v="27.3"/>
    <n v="29"/>
    <n v="28.2"/>
    <n v="28.3"/>
    <n v="28.9"/>
    <n v="30.8"/>
    <n v="27.9"/>
    <n v="26.6"/>
    <n v="28.425000000000001"/>
    <n v="0.35783968816247308"/>
    <n v="26.6"/>
    <n v="27.6"/>
    <n v="28.25"/>
  </r>
  <r>
    <n v="307"/>
    <x v="5"/>
    <x v="5"/>
    <x v="1"/>
    <x v="1"/>
    <x v="0"/>
    <x v="3"/>
    <x v="1"/>
    <n v="13.738"/>
    <n v="28.9"/>
    <n v="30.3"/>
    <n v="28.3"/>
    <n v="29.1"/>
    <n v="26.8"/>
    <n v="27.6"/>
    <n v="26.4"/>
    <n v="28.5"/>
    <n v="29.1"/>
    <n v="27.9"/>
    <n v="28.6"/>
    <n v="28.4"/>
    <n v="28.324999999999999"/>
    <n v="0.30503973909025567"/>
    <n v="26.4"/>
    <n v="27.824999999999999"/>
    <n v="28.45"/>
  </r>
  <r>
    <n v="308"/>
    <x v="2"/>
    <x v="2"/>
    <x v="0"/>
    <x v="2"/>
    <x v="0"/>
    <x v="3"/>
    <x v="1"/>
    <n v="13.759"/>
    <n v="29.5"/>
    <n v="27.3"/>
    <n v="29.5"/>
    <n v="28.8"/>
    <n v="29.2"/>
    <n v="29.5"/>
    <n v="28.4"/>
    <n v="30.5"/>
    <n v="30.1"/>
    <n v="30.6"/>
    <n v="29.5"/>
    <n v="29.5"/>
    <n v="29.366666666666671"/>
    <n v="0.26092299262579621"/>
    <n v="27.3"/>
    <n v="29.1"/>
    <n v="29.5"/>
  </r>
  <r>
    <n v="403"/>
    <x v="10"/>
    <x v="10"/>
    <x v="0"/>
    <x v="2"/>
    <x v="1"/>
    <x v="2"/>
    <x v="1"/>
    <n v="13.904"/>
    <n v="30.3"/>
    <n v="29.8"/>
    <n v="30.2"/>
    <n v="30.3"/>
    <n v="28.9"/>
    <n v="30.6"/>
    <n v="28.5"/>
    <n v="29.8"/>
    <n v="27.7"/>
    <n v="28.5"/>
    <n v="29.1"/>
    <n v="27.9"/>
    <n v="29.3"/>
    <n v="0.28867513459478905"/>
    <n v="27.7"/>
    <n v="28.5"/>
    <n v="29.45"/>
  </r>
  <r>
    <n v="404"/>
    <x v="6"/>
    <x v="6"/>
    <x v="0"/>
    <x v="1"/>
    <x v="0"/>
    <x v="2"/>
    <x v="1"/>
    <n v="13.881"/>
    <n v="28.4"/>
    <n v="30.6"/>
    <n v="27.9"/>
    <n v="29.7"/>
    <n v="29.1"/>
    <n v="28.8"/>
    <n v="27.6"/>
    <n v="29.4"/>
    <n v="29.4"/>
    <n v="28.3"/>
    <n v="29.2"/>
    <n v="28.6"/>
    <n v="28.916666666666671"/>
    <n v="0.23926444522209769"/>
    <n v="27.6"/>
    <n v="28.375"/>
    <n v="28.95"/>
  </r>
  <r>
    <n v="405"/>
    <x v="10"/>
    <x v="10"/>
    <x v="0"/>
    <x v="2"/>
    <x v="1"/>
    <x v="3"/>
    <x v="1"/>
    <n v="13.856"/>
    <n v="29.4"/>
    <n v="31"/>
    <n v="30"/>
    <n v="31.1"/>
    <n v="27.4"/>
    <n v="28.7"/>
    <n v="29"/>
    <n v="29.8"/>
    <n v="28.3"/>
    <n v="29.3"/>
    <n v="28"/>
    <n v="29.9"/>
    <n v="29.324999999999999"/>
    <n v="0.32546586657135745"/>
    <n v="27.4"/>
    <n v="28.6"/>
    <n v="29.35"/>
  </r>
  <r>
    <n v="406"/>
    <x v="6"/>
    <x v="6"/>
    <x v="0"/>
    <x v="1"/>
    <x v="0"/>
    <x v="3"/>
    <x v="1"/>
    <n v="13.836"/>
    <n v="28.8"/>
    <n v="28"/>
    <n v="27.8"/>
    <n v="29.3"/>
    <n v="30.4"/>
    <n v="30.4"/>
    <n v="30.5"/>
    <n v="30.7"/>
    <n v="30.8"/>
    <n v="31.1"/>
    <n v="30.1"/>
    <n v="29.2"/>
    <n v="29.758333333333336"/>
    <n v="0.32132734497122289"/>
    <n v="27.8"/>
    <n v="29.1"/>
    <n v="30.25"/>
  </r>
  <r>
    <n v="407"/>
    <x v="11"/>
    <x v="11"/>
    <x v="1"/>
    <x v="0"/>
    <x v="0"/>
    <x v="3"/>
    <x v="1"/>
    <n v="13.811999999999999"/>
    <n v="29.7"/>
    <n v="26.6"/>
    <n v="27.6"/>
    <n v="29.3"/>
    <n v="27.9"/>
    <n v="26.9"/>
    <n v="27.1"/>
    <n v="25.9"/>
    <n v="28.4"/>
    <n v="27.6"/>
    <n v="26.3"/>
    <n v="27.5"/>
    <n v="27.566666666666666"/>
    <n v="0.32967691561110635"/>
    <n v="25.9"/>
    <n v="26.824999999999999"/>
    <n v="27.55"/>
  </r>
  <r>
    <n v="408"/>
    <x v="3"/>
    <x v="3"/>
    <x v="1"/>
    <x v="1"/>
    <x v="1"/>
    <x v="3"/>
    <x v="1"/>
    <n v="13.79"/>
    <n v="30.1"/>
    <n v="31.2"/>
    <n v="29.7"/>
    <n v="28.4"/>
    <n v="27"/>
    <n v="29.5"/>
    <n v="28.3"/>
    <n v="26.7"/>
    <n v="29.1"/>
    <n v="29.1"/>
    <n v="30.8"/>
    <n v="28.3"/>
    <n v="29.016666666666669"/>
    <n v="0.39577950192171074"/>
    <n v="26.7"/>
    <n v="28.3"/>
    <n v="29.1"/>
  </r>
  <r>
    <n v="902"/>
    <x v="13"/>
    <x v="13"/>
    <x v="3"/>
    <x v="1"/>
    <x v="0"/>
    <x v="0"/>
    <x v="1"/>
    <n v="13.555999999999999"/>
    <n v="28.3"/>
    <n v="27.1"/>
    <n v="26.7"/>
    <n v="26.9"/>
    <n v="28.3"/>
    <n v="27.9"/>
    <n v="28.1"/>
    <n v="26.1"/>
    <n v="27.2"/>
    <n v="27.6"/>
    <n v="26.5"/>
    <n v="28.9"/>
    <n v="27.466666666666665"/>
    <n v="0.24566956537909376"/>
    <n v="26.1"/>
    <n v="26.85"/>
    <n v="27.4"/>
  </r>
  <r>
    <n v="904"/>
    <x v="15"/>
    <x v="15"/>
    <x v="5"/>
    <x v="1"/>
    <x v="0"/>
    <x v="0"/>
    <x v="1"/>
    <n v="13.525"/>
    <n v="32.5"/>
    <n v="46.2"/>
    <n v="34.4"/>
    <n v="34.1"/>
    <n v="34.4"/>
    <n v="35.9"/>
    <n v="32.700000000000003"/>
    <n v="31.3"/>
    <n v="31.2"/>
    <n v="33.799999999999997"/>
    <n v="33.200000000000003"/>
    <n v="34.6"/>
    <n v="34.524999999999999"/>
    <n v="1.1334530908206624"/>
    <n v="31.2"/>
    <n v="32.65"/>
    <n v="33.950000000000003"/>
  </r>
  <r>
    <n v="906"/>
    <x v="13"/>
    <x v="13"/>
    <x v="3"/>
    <x v="1"/>
    <x v="0"/>
    <x v="1"/>
    <x v="1"/>
    <n v="13.489000000000001"/>
    <n v="27.8"/>
    <n v="26.3"/>
    <n v="26.4"/>
    <n v="25.6"/>
    <n v="25.6"/>
    <n v="26.3"/>
    <n v="27.7"/>
    <n v="27.1"/>
    <n v="26.4"/>
    <n v="26.4"/>
    <n v="28.3"/>
    <n v="29"/>
    <n v="26.908333333333331"/>
    <n v="0.31029270964135064"/>
    <n v="25.6"/>
    <n v="26.3"/>
    <n v="26.4"/>
  </r>
  <r>
    <n v="908"/>
    <x v="15"/>
    <x v="15"/>
    <x v="5"/>
    <x v="1"/>
    <x v="0"/>
    <x v="1"/>
    <x v="1"/>
    <n v="13.454000000000001"/>
    <n v="34.5"/>
    <n v="35.5"/>
    <n v="32.299999999999997"/>
    <n v="32.1"/>
    <n v="28.7"/>
    <n v="34.200000000000003"/>
    <n v="31.7"/>
    <n v="34.6"/>
    <n v="31.1"/>
    <n v="36"/>
    <n v="30.4"/>
    <n v="32.9"/>
    <n v="32.833333333333336"/>
    <n v="0.63381162163309346"/>
    <n v="28.7"/>
    <n v="31.55"/>
    <n v="32.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27"/>
    <n v="38.700000000000003"/>
    <n v="33"/>
    <n v="31.2"/>
    <n v="35.9"/>
    <n v="29.9"/>
    <n v="36.1"/>
    <n v="30.2"/>
    <n v="37.700000000000003"/>
    <n v="30.1"/>
    <n v="37.5"/>
    <n v="29.4"/>
    <n v="39.299999999999997"/>
    <n v="34.083333333333336"/>
    <n v="1.1027399301446219"/>
    <n v="29.4"/>
    <n v="30.175000000000001"/>
    <n v="34.450000000000003"/>
  </r>
  <r>
    <n v="102"/>
    <x v="1"/>
    <x v="1"/>
    <x v="0"/>
    <x v="1"/>
    <x v="1"/>
    <x v="0"/>
    <x v="0"/>
    <n v="13.247999999999999"/>
    <n v="37.5"/>
    <n v="37.299999999999997"/>
    <n v="29.6"/>
    <n v="37.200000000000003"/>
    <n v="31"/>
    <n v="37.299999999999997"/>
    <n v="32.700000000000003"/>
    <n v="33.1"/>
    <n v="33.5"/>
    <n v="31.6"/>
    <n v="32.4"/>
    <n v="33.799999999999997"/>
    <n v="33.916666666666671"/>
    <n v="0.79609209659599456"/>
    <n v="29.6"/>
    <n v="32.200000000000003"/>
    <n v="33.299999999999997"/>
  </r>
  <r>
    <n v="103"/>
    <x v="2"/>
    <x v="2"/>
    <x v="0"/>
    <x v="2"/>
    <x v="0"/>
    <x v="0"/>
    <x v="0"/>
    <n v="13.212"/>
    <n v="37.200000000000003"/>
    <n v="33.799999999999997"/>
    <n v="28.4"/>
    <n v="36"/>
    <n v="28.5"/>
    <n v="34"/>
    <n v="31.2"/>
    <n v="37.200000000000003"/>
    <n v="29.1"/>
    <n v="36.1"/>
    <n v="29.3"/>
    <n v="34.700000000000003"/>
    <n v="32.958333333333336"/>
    <n v="0.99980743095351221"/>
    <n v="28.4"/>
    <n v="29.25"/>
    <n v="33.9"/>
  </r>
  <r>
    <n v="104"/>
    <x v="3"/>
    <x v="3"/>
    <x v="1"/>
    <x v="1"/>
    <x v="1"/>
    <x v="0"/>
    <x v="0"/>
    <n v="13.180999999999999"/>
    <n v="61.8"/>
    <n v="42.8"/>
    <n v="56.7"/>
    <n v="45.5"/>
    <n v="52.9"/>
    <n v="53.3"/>
    <n v="54"/>
    <n v="40.9"/>
    <n v="50.6"/>
    <n v="43.1"/>
    <n v="53"/>
    <n v="46.6"/>
    <n v="50.1"/>
    <n v="1.8314177320018756"/>
    <n v="40.9"/>
    <n v="44.9"/>
    <n v="51.75"/>
  </r>
  <r>
    <n v="105"/>
    <x v="4"/>
    <x v="4"/>
    <x v="1"/>
    <x v="2"/>
    <x v="1"/>
    <x v="1"/>
    <x v="0"/>
    <n v="13.16"/>
    <n v="37.5"/>
    <n v="28.5"/>
    <n v="36.700000000000003"/>
    <n v="29.8"/>
    <n v="38"/>
    <n v="29.5"/>
    <n v="34.799999999999997"/>
    <n v="30.5"/>
    <n v="32.200000000000003"/>
    <n v="31.5"/>
    <n v="34.200000000000003"/>
    <n v="29.9"/>
    <n v="32.758333333333333"/>
    <n v="0.97082114051389423"/>
    <n v="28.5"/>
    <n v="29.875"/>
    <n v="31.85"/>
  </r>
  <r>
    <n v="106"/>
    <x v="5"/>
    <x v="5"/>
    <x v="1"/>
    <x v="1"/>
    <x v="0"/>
    <x v="1"/>
    <x v="0"/>
    <n v="13.141"/>
    <n v="58.8"/>
    <n v="42.3"/>
    <n v="42"/>
    <n v="54.3"/>
    <n v="41.3"/>
    <n v="49.8"/>
    <n v="41.7"/>
    <n v="49.3"/>
    <n v="39.200000000000003"/>
    <n v="55"/>
    <n v="50.3"/>
    <n v="56.7"/>
    <n v="48.391666666666673"/>
    <n v="1.9846172951178251"/>
    <n v="39.200000000000003"/>
    <n v="41.924999999999997"/>
    <n v="49.55"/>
  </r>
  <r>
    <n v="107"/>
    <x v="3"/>
    <x v="3"/>
    <x v="1"/>
    <x v="1"/>
    <x v="1"/>
    <x v="1"/>
    <x v="0"/>
    <n v="13.122"/>
    <n v="59.7"/>
    <n v="46.9"/>
    <n v="37.799999999999997"/>
    <n v="57.5"/>
    <n v="35"/>
    <n v="51.8"/>
    <n v="42.8"/>
    <n v="54.4"/>
    <n v="41.7"/>
    <n v="52.3"/>
    <n v="43.3"/>
    <n v="54.2"/>
    <n v="48.116666666666667"/>
    <n v="2.3067369493584189"/>
    <n v="35"/>
    <n v="42.524999999999999"/>
    <n v="49.349999999999994"/>
  </r>
  <r>
    <n v="108"/>
    <x v="6"/>
    <x v="6"/>
    <x v="0"/>
    <x v="1"/>
    <x v="0"/>
    <x v="1"/>
    <x v="0"/>
    <n v="13.103"/>
    <n v="38.700000000000003"/>
    <n v="33.4"/>
    <n v="36.200000000000003"/>
    <n v="32.6"/>
    <n v="36.700000000000003"/>
    <n v="31.3"/>
    <n v="38"/>
    <n v="31.1"/>
    <n v="37.299999999999997"/>
    <n v="29.6"/>
    <n v="37.1"/>
    <n v="30.1"/>
    <n v="34.341666666666676"/>
    <n v="0.96101732186741662"/>
    <n v="29.6"/>
    <n v="31.25"/>
    <n v="34.799999999999997"/>
  </r>
  <r>
    <n v="201"/>
    <x v="4"/>
    <x v="4"/>
    <x v="1"/>
    <x v="2"/>
    <x v="1"/>
    <x v="0"/>
    <x v="0"/>
    <n v="13.3"/>
    <n v="37.5"/>
    <n v="34.5"/>
    <n v="30.5"/>
    <n v="35.700000000000003"/>
    <n v="30.3"/>
    <n v="36.5"/>
    <n v="30.5"/>
    <n v="37.6"/>
    <n v="30.9"/>
    <n v="37.5"/>
    <n v="30"/>
    <n v="36.299999999999997"/>
    <n v="33.983333333333334"/>
    <n v="0.93718092213194337"/>
    <n v="30"/>
    <n v="30.5"/>
    <n v="35.1"/>
  </r>
  <r>
    <n v="202"/>
    <x v="5"/>
    <x v="5"/>
    <x v="1"/>
    <x v="1"/>
    <x v="0"/>
    <x v="0"/>
    <x v="0"/>
    <n v="13.32"/>
    <n v="60.4"/>
    <n v="42.1"/>
    <n v="60.2"/>
    <n v="48.2"/>
    <n v="59.1"/>
    <n v="46.6"/>
    <n v="59.4"/>
    <n v="49.9"/>
    <n v="60.7"/>
    <n v="44"/>
    <n v="60.9"/>
    <n v="40.299999999999997"/>
    <n v="52.649999999999984"/>
    <n v="2.367248114660522"/>
    <n v="40.299999999999997"/>
    <n v="45.95"/>
    <n v="54.5"/>
  </r>
  <r>
    <n v="203"/>
    <x v="6"/>
    <x v="6"/>
    <x v="0"/>
    <x v="1"/>
    <x v="0"/>
    <x v="0"/>
    <x v="0"/>
    <n v="13.340999999999999"/>
    <n v="39.5"/>
    <n v="29.8"/>
    <n v="39"/>
    <n v="29.7"/>
    <n v="35.9"/>
    <n v="30.7"/>
    <n v="35.799999999999997"/>
    <n v="33.6"/>
    <n v="34.700000000000003"/>
    <n v="33.5"/>
    <n v="33.299999999999997"/>
    <n v="34.4"/>
    <n v="34.158333333333331"/>
    <n v="0.91440147118487036"/>
    <n v="29.7"/>
    <n v="32.65"/>
    <n v="34"/>
  </r>
  <r>
    <n v="204"/>
    <x v="7"/>
    <x v="7"/>
    <x v="1"/>
    <x v="2"/>
    <x v="0"/>
    <x v="0"/>
    <x v="0"/>
    <n v="13.363"/>
    <n v="32.1"/>
    <n v="28.8"/>
    <n v="34.700000000000003"/>
    <n v="28.6"/>
    <n v="35.1"/>
    <n v="28.6"/>
    <n v="35.1"/>
    <n v="31.3"/>
    <n v="33.4"/>
    <n v="31.7"/>
    <n v="31.8"/>
    <n v="29.9"/>
    <n v="31.758333333333329"/>
    <n v="0.70801240501603679"/>
    <n v="28.6"/>
    <n v="29.625"/>
    <n v="31.75"/>
  </r>
  <r>
    <n v="205"/>
    <x v="0"/>
    <x v="0"/>
    <x v="0"/>
    <x v="0"/>
    <x v="0"/>
    <x v="1"/>
    <x v="0"/>
    <n v="13.385"/>
    <n v="39.6"/>
    <n v="29.3"/>
    <n v="37.799999999999997"/>
    <n v="35.1"/>
    <n v="29.8"/>
    <n v="36.4"/>
    <n v="28.7"/>
    <n v="38.700000000000003"/>
    <n v="29.7"/>
    <n v="38.799999999999997"/>
    <n v="30.3"/>
    <n v="31.8"/>
    <n v="33.833333333333336"/>
    <n v="1.238298767819707"/>
    <n v="28.7"/>
    <n v="29.774999999999999"/>
    <n v="33.450000000000003"/>
  </r>
  <r>
    <n v="206"/>
    <x v="8"/>
    <x v="8"/>
    <x v="1"/>
    <x v="0"/>
    <x v="1"/>
    <x v="1"/>
    <x v="0"/>
    <n v="13.413"/>
    <n v="60.4"/>
    <n v="44.4"/>
    <n v="59.8"/>
    <n v="42.9"/>
    <n v="58.3"/>
    <n v="38.799999999999997"/>
    <n v="59.4"/>
    <n v="35.700000000000003"/>
    <n v="56.5"/>
    <n v="39.9"/>
    <n v="58.7"/>
    <n v="47.2"/>
    <n v="50.166666666666664"/>
    <n v="2.7532441837500605"/>
    <n v="35.700000000000003"/>
    <n v="42.15"/>
    <n v="51.85"/>
  </r>
  <r>
    <n v="207"/>
    <x v="1"/>
    <x v="1"/>
    <x v="0"/>
    <x v="1"/>
    <x v="1"/>
    <x v="1"/>
    <x v="0"/>
    <n v="13.436"/>
    <n v="38.700000000000003"/>
    <n v="30.1"/>
    <n v="37.4"/>
    <n v="32.1"/>
    <n v="37.1"/>
    <n v="32.5"/>
    <n v="39.5"/>
    <n v="31.1"/>
    <n v="38.200000000000003"/>
    <n v="30.9"/>
    <n v="39.9"/>
    <n v="34.1"/>
    <n v="35.133333333333333"/>
    <n v="1.0647473262172866"/>
    <n v="30.1"/>
    <n v="31.85"/>
    <n v="35.6"/>
  </r>
  <r>
    <n v="208"/>
    <x v="9"/>
    <x v="9"/>
    <x v="0"/>
    <x v="0"/>
    <x v="1"/>
    <x v="1"/>
    <x v="0"/>
    <n v="13.46"/>
    <n v="40.200000000000003"/>
    <n v="31.6"/>
    <n v="40.700000000000003"/>
    <n v="33.9"/>
    <n v="36.700000000000003"/>
    <n v="33.1"/>
    <n v="37.4"/>
    <n v="34.200000000000003"/>
    <n v="37.5"/>
    <n v="30.1"/>
    <n v="41.5"/>
    <n v="36.6"/>
    <n v="36.125000000000007"/>
    <n v="1.048384399199459"/>
    <n v="30.1"/>
    <n v="33.700000000000003"/>
    <n v="36.650000000000006"/>
  </r>
  <r>
    <n v="301"/>
    <x v="3"/>
    <x v="3"/>
    <x v="1"/>
    <x v="1"/>
    <x v="1"/>
    <x v="2"/>
    <x v="0"/>
    <n v="13.651999999999999"/>
    <n v="61.1"/>
    <n v="58.9"/>
    <n v="51.3"/>
    <n v="60.9"/>
    <n v="45.7"/>
    <n v="59.6"/>
    <n v="45.6"/>
    <n v="59.7"/>
    <n v="41.9"/>
    <n v="58.7"/>
    <n v="43.2"/>
    <n v="59.7"/>
    <n v="53.858333333333348"/>
    <n v="2.2190790586832936"/>
    <n v="41.9"/>
    <n v="45.675000000000004"/>
    <n v="58.8"/>
  </r>
  <r>
    <n v="302"/>
    <x v="1"/>
    <x v="1"/>
    <x v="0"/>
    <x v="1"/>
    <x v="1"/>
    <x v="2"/>
    <x v="0"/>
    <n v="13.672000000000001"/>
    <n v="39.700000000000003"/>
    <n v="31.5"/>
    <n v="36.4"/>
    <n v="36.4"/>
    <n v="30.7"/>
    <n v="33.6"/>
    <n v="32"/>
    <n v="34.5"/>
    <n v="32.1"/>
    <n v="33.5"/>
    <n v="32.9"/>
    <n v="33"/>
    <n v="33.858333333333327"/>
    <n v="0.7354094235200066"/>
    <n v="30.7"/>
    <n v="32.075000000000003"/>
    <n v="33.25"/>
  </r>
  <r>
    <n v="303"/>
    <x v="8"/>
    <x v="8"/>
    <x v="1"/>
    <x v="0"/>
    <x v="1"/>
    <x v="2"/>
    <x v="0"/>
    <n v="13.701000000000001"/>
    <n v="58.3"/>
    <n v="37.799999999999997"/>
    <n v="44.1"/>
    <n v="50.8"/>
    <n v="33.9"/>
    <n v="53.7"/>
    <n v="42.3"/>
    <n v="55.1"/>
    <n v="49.6"/>
    <n v="49"/>
    <n v="45.4"/>
    <n v="50.6"/>
    <n v="47.550000000000011"/>
    <n v="2.0634444577702866"/>
    <n v="33.9"/>
    <n v="43.65"/>
    <n v="49.3"/>
  </r>
  <r>
    <n v="304"/>
    <x v="9"/>
    <x v="9"/>
    <x v="0"/>
    <x v="0"/>
    <x v="1"/>
    <x v="2"/>
    <x v="0"/>
    <n v="13.722"/>
    <n v="40.5"/>
    <n v="29.7"/>
    <n v="39.1"/>
    <n v="31"/>
    <n v="34.799999999999997"/>
    <n v="30.8"/>
    <n v="31.6"/>
    <n v="33.200000000000003"/>
    <n v="30.5"/>
    <n v="34.1"/>
    <n v="32.700000000000003"/>
    <n v="33.9"/>
    <n v="33.491666666666667"/>
    <n v="0.96879011810055493"/>
    <n v="29.7"/>
    <n v="30.95"/>
    <n v="32.950000000000003"/>
  </r>
  <r>
    <n v="305"/>
    <x v="7"/>
    <x v="7"/>
    <x v="1"/>
    <x v="2"/>
    <x v="0"/>
    <x v="3"/>
    <x v="0"/>
    <n v="13.74"/>
    <n v="36.6"/>
    <n v="29.1"/>
    <n v="35.4"/>
    <n v="28.1"/>
    <n v="33.6"/>
    <n v="29.6"/>
    <n v="33.5"/>
    <n v="29.2"/>
    <n v="32.4"/>
    <n v="29.6"/>
    <n v="33.200000000000003"/>
    <n v="28.8"/>
    <n v="31.591666666666665"/>
    <n v="0.82732302266913815"/>
    <n v="28.1"/>
    <n v="29.175000000000001"/>
    <n v="31"/>
  </r>
  <r>
    <n v="306"/>
    <x v="1"/>
    <x v="1"/>
    <x v="0"/>
    <x v="1"/>
    <x v="1"/>
    <x v="3"/>
    <x v="0"/>
    <n v="13.76"/>
    <n v="39.6"/>
    <n v="29"/>
    <n v="39.1"/>
    <n v="31.8"/>
    <n v="37.9"/>
    <n v="29.9"/>
    <n v="37.6"/>
    <n v="29.8"/>
    <n v="36.200000000000003"/>
    <n v="30.4"/>
    <n v="36.9"/>
    <n v="29.4"/>
    <n v="33.966666666666661"/>
    <n v="1.2222268135818537"/>
    <n v="29"/>
    <n v="29.875"/>
    <n v="34"/>
  </r>
  <r>
    <n v="307"/>
    <x v="5"/>
    <x v="5"/>
    <x v="1"/>
    <x v="1"/>
    <x v="0"/>
    <x v="3"/>
    <x v="0"/>
    <n v="13.776999999999999"/>
    <n v="60.5"/>
    <n v="37"/>
    <n v="59.9"/>
    <n v="47.7"/>
    <n v="53.7"/>
    <n v="46.7"/>
    <n v="52.5"/>
    <n v="47.9"/>
    <n v="53.9"/>
    <n v="48.5"/>
    <n v="51.2"/>
    <n v="45.8"/>
    <n v="50.441666666666663"/>
    <n v="1.8504486897872576"/>
    <n v="37"/>
    <n v="47.45"/>
    <n v="49.85"/>
  </r>
  <r>
    <n v="308"/>
    <x v="2"/>
    <x v="2"/>
    <x v="0"/>
    <x v="2"/>
    <x v="0"/>
    <x v="3"/>
    <x v="0"/>
    <n v="13.795999999999999"/>
    <n v="37.1"/>
    <n v="29.6"/>
    <n v="35.299999999999997"/>
    <n v="30.8"/>
    <n v="36.6"/>
    <n v="29.6"/>
    <n v="34.1"/>
    <n v="30.2"/>
    <n v="32.6"/>
    <n v="32.5"/>
    <n v="28.3"/>
    <n v="30.6"/>
    <n v="32.275000000000006"/>
    <n v="0.84397373576825985"/>
    <n v="28.3"/>
    <n v="30.05"/>
    <n v="31.65"/>
  </r>
  <r>
    <n v="403"/>
    <x v="10"/>
    <x v="10"/>
    <x v="0"/>
    <x v="2"/>
    <x v="1"/>
    <x v="2"/>
    <x v="0"/>
    <n v="13.936"/>
    <n v="35.1"/>
    <n v="32.700000000000003"/>
    <n v="29.6"/>
    <n v="37.5"/>
    <n v="32.700000000000003"/>
    <n v="37.299999999999997"/>
    <n v="30"/>
    <n v="35.799999999999997"/>
    <n v="35.9"/>
    <n v="34.1"/>
    <n v="33"/>
    <n v="31.7"/>
    <n v="33.783333333333339"/>
    <n v="0.7571711040498379"/>
    <n v="29.6"/>
    <n v="32.450000000000003"/>
    <n v="33.549999999999997"/>
  </r>
  <r>
    <n v="404"/>
    <x v="6"/>
    <x v="6"/>
    <x v="0"/>
    <x v="1"/>
    <x v="0"/>
    <x v="2"/>
    <x v="0"/>
    <n v="13.91"/>
    <n v="40.4"/>
    <n v="35.799999999999997"/>
    <n v="29.9"/>
    <n v="39.200000000000003"/>
    <n v="31.2"/>
    <n v="32.1"/>
    <n v="34.9"/>
    <n v="32.700000000000003"/>
    <n v="33.700000000000003"/>
    <n v="38.4"/>
    <n v="32.700000000000003"/>
    <n v="38"/>
    <n v="34.916666666666664"/>
    <n v="0.98878815739371928"/>
    <n v="29.9"/>
    <n v="32.550000000000004"/>
    <n v="34.299999999999997"/>
  </r>
  <r>
    <n v="405"/>
    <x v="10"/>
    <x v="10"/>
    <x v="0"/>
    <x v="2"/>
    <x v="1"/>
    <x v="3"/>
    <x v="0"/>
    <n v="13.885999999999999"/>
    <n v="37.799999999999997"/>
    <n v="28.9"/>
    <n v="37.299999999999997"/>
    <n v="29.8"/>
    <n v="37.9"/>
    <n v="31.4"/>
    <n v="31.5"/>
    <n v="38"/>
    <n v="31.3"/>
    <n v="30.6"/>
    <n v="37.9"/>
    <n v="33.200000000000003"/>
    <n v="33.800000000000004"/>
    <n v="1.0567961874544127"/>
    <n v="28.9"/>
    <n v="31.125"/>
    <n v="32.35"/>
  </r>
  <r>
    <n v="406"/>
    <x v="6"/>
    <x v="6"/>
    <x v="0"/>
    <x v="1"/>
    <x v="0"/>
    <x v="3"/>
    <x v="0"/>
    <n v="13.866"/>
    <n v="36.799999999999997"/>
    <n v="30.9"/>
    <n v="37.700000000000003"/>
    <n v="30.4"/>
    <n v="34.4"/>
    <n v="29.1"/>
    <n v="35.1"/>
    <n v="35.299999999999997"/>
    <n v="37.4"/>
    <n v="31.2"/>
    <n v="34"/>
    <n v="29.6"/>
    <n v="33.491666666666667"/>
    <n v="0.89961762359731523"/>
    <n v="29.1"/>
    <n v="30.774999999999999"/>
    <n v="34.200000000000003"/>
  </r>
  <r>
    <n v="407"/>
    <x v="11"/>
    <x v="11"/>
    <x v="1"/>
    <x v="0"/>
    <x v="0"/>
    <x v="3"/>
    <x v="0"/>
    <n v="13.842000000000001"/>
    <n v="59"/>
    <n v="39.799999999999997"/>
    <n v="52.7"/>
    <n v="40.299999999999997"/>
    <n v="47.5"/>
    <n v="35.9"/>
    <n v="55.3"/>
    <n v="37"/>
    <n v="57.5"/>
    <n v="39.700000000000003"/>
    <n v="51"/>
    <n v="34.4"/>
    <n v="45.841666666666669"/>
    <n v="2.5933615231777805"/>
    <n v="34.4"/>
    <n v="39.025000000000006"/>
    <n v="43.9"/>
  </r>
  <r>
    <n v="408"/>
    <x v="3"/>
    <x v="3"/>
    <x v="1"/>
    <x v="1"/>
    <x v="1"/>
    <x v="3"/>
    <x v="0"/>
    <n v="13.821"/>
    <n v="60.2"/>
    <n v="39.799999999999997"/>
    <n v="59.3"/>
    <n v="44.9"/>
    <n v="56.7"/>
    <n v="45.1"/>
    <n v="53.1"/>
    <n v="42.9"/>
    <n v="59"/>
    <n v="49.4"/>
    <n v="51.7"/>
    <n v="47.3"/>
    <n v="50.783333333333331"/>
    <n v="2.0107225195200544"/>
    <n v="39.799999999999997"/>
    <n v="45.05"/>
    <n v="50.55"/>
  </r>
  <r>
    <n v="901"/>
    <x v="12"/>
    <x v="12"/>
    <x v="2"/>
    <x v="3"/>
    <x v="1"/>
    <x v="0"/>
    <x v="0"/>
    <n v="13.632999999999999"/>
    <n v="41.6"/>
    <n v="47.5"/>
    <n v="45.8"/>
    <n v="45.8"/>
    <n v="40.799999999999997"/>
    <n v="47.6"/>
    <n v="41.9"/>
    <n v="45.7"/>
    <n v="45.3"/>
    <n v="48.8"/>
    <n v="38.799999999999997"/>
    <n v="45.3"/>
    <n v="44.574999999999996"/>
    <n v="0.88968201673918612"/>
    <n v="38.799999999999997"/>
    <n v="41.825000000000003"/>
    <n v="45.5"/>
  </r>
  <r>
    <n v="902"/>
    <x v="13"/>
    <x v="13"/>
    <x v="3"/>
    <x v="1"/>
    <x v="0"/>
    <x v="0"/>
    <x v="0"/>
    <n v="13.611000000000001"/>
    <n v="63.1"/>
    <n v="58.3"/>
    <n v="52.6"/>
    <n v="52.6"/>
    <n v="51.8"/>
    <n v="53.6"/>
    <n v="56.1"/>
    <n v="54.9"/>
    <n v="49"/>
    <n v="55.6"/>
    <n v="49.6"/>
    <n v="56"/>
    <n v="54.433333333333337"/>
    <n v="1.1150032839558219"/>
    <n v="49"/>
    <n v="52.4"/>
    <n v="54.25"/>
  </r>
  <r>
    <n v="903"/>
    <x v="14"/>
    <x v="14"/>
    <x v="4"/>
    <x v="3"/>
    <x v="1"/>
    <x v="0"/>
    <x v="0"/>
    <n v="13.6"/>
    <n v="62.4"/>
    <n v="65.900000000000006"/>
    <n v="61.5"/>
    <n v="65.3"/>
    <n v="62.9"/>
    <n v="63.4"/>
    <n v="64.099999999999994"/>
    <n v="62.8"/>
    <n v="63.9"/>
    <n v="65.3"/>
    <n v="63.2"/>
    <n v="65.400000000000006"/>
    <n v="63.841666666666669"/>
    <n v="0.40008679613858433"/>
    <n v="61.5"/>
    <n v="62.875"/>
    <n v="63.65"/>
  </r>
  <r>
    <n v="904"/>
    <x v="15"/>
    <x v="15"/>
    <x v="5"/>
    <x v="1"/>
    <x v="0"/>
    <x v="0"/>
    <x v="0"/>
    <n v="13.574"/>
    <n v="65.900000000000006"/>
    <n v="54"/>
    <n v="47.7"/>
    <n v="63.2"/>
    <n v="40.4"/>
    <n v="57.9"/>
    <n v="53.3"/>
    <n v="61.7"/>
    <n v="51.4"/>
    <n v="63.1"/>
    <n v="42.1"/>
    <n v="62.9"/>
    <n v="55.3"/>
    <n v="2.4863262420322556"/>
    <n v="40.4"/>
    <n v="50.475000000000001"/>
    <n v="55.95"/>
  </r>
  <r>
    <n v="905"/>
    <x v="12"/>
    <x v="12"/>
    <x v="2"/>
    <x v="3"/>
    <x v="1"/>
    <x v="1"/>
    <x v="0"/>
    <n v="13.563000000000001"/>
    <n v="43.8"/>
    <n v="44.3"/>
    <n v="38.9"/>
    <n v="43.9"/>
    <n v="42.1"/>
    <n v="40.4"/>
    <n v="43.8"/>
    <n v="46"/>
    <n v="45.4"/>
    <n v="39.200000000000003"/>
    <n v="44.9"/>
    <n v="40.6"/>
    <n v="42.774999999999999"/>
    <n v="0.70776269349481846"/>
    <n v="38.9"/>
    <n v="40.549999999999997"/>
    <n v="43.8"/>
  </r>
  <r>
    <n v="906"/>
    <x v="13"/>
    <x v="13"/>
    <x v="3"/>
    <x v="1"/>
    <x v="0"/>
    <x v="1"/>
    <x v="0"/>
    <n v="13.54"/>
    <n v="63"/>
    <n v="38.299999999999997"/>
    <n v="48.6"/>
    <n v="56.8"/>
    <n v="38.200000000000003"/>
    <n v="50.8"/>
    <n v="45"/>
    <n v="57.4"/>
    <n v="39.299999999999997"/>
    <n v="54.2"/>
    <n v="36.200000000000003"/>
    <n v="59.1"/>
    <n v="48.908333333333331"/>
    <n v="2.7035458852283929"/>
    <n v="36.200000000000003"/>
    <n v="39.049999999999997"/>
    <n v="49.7"/>
  </r>
  <r>
    <n v="907"/>
    <x v="14"/>
    <x v="14"/>
    <x v="4"/>
    <x v="3"/>
    <x v="1"/>
    <x v="1"/>
    <x v="0"/>
    <n v="13.528"/>
    <n v="63.8"/>
    <n v="66.5"/>
    <n v="64.2"/>
    <n v="65.400000000000006"/>
    <n v="64.8"/>
    <n v="65.5"/>
    <n v="66.8"/>
    <n v="63.7"/>
    <n v="65.8"/>
    <n v="64.7"/>
    <n v="66.900000000000006"/>
    <n v="63.3"/>
    <n v="65.11666666666666"/>
    <n v="0.35650520276147551"/>
    <n v="63.3"/>
    <n v="64.099999999999994"/>
    <n v="65.099999999999994"/>
  </r>
  <r>
    <n v="908"/>
    <x v="15"/>
    <x v="15"/>
    <x v="5"/>
    <x v="1"/>
    <x v="0"/>
    <x v="1"/>
    <x v="0"/>
    <n v="13.505000000000001"/>
    <n v="65.5"/>
    <n v="40.6"/>
    <n v="62.2"/>
    <n v="49.2"/>
    <n v="63.2"/>
    <n v="38.799999999999997"/>
    <n v="67.099999999999994"/>
    <n v="39.6"/>
    <n v="61.7"/>
    <n v="44.2"/>
    <n v="63.8"/>
    <n v="50"/>
    <n v="53.825000000000003"/>
    <n v="3.2142468131364117"/>
    <n v="38.799999999999997"/>
    <n v="43.3"/>
    <n v="55.85"/>
  </r>
  <r>
    <n v="101"/>
    <x v="0"/>
    <x v="0"/>
    <x v="0"/>
    <x v="0"/>
    <x v="0"/>
    <x v="0"/>
    <x v="1"/>
    <n v="13.276999999999999"/>
    <n v="27.8"/>
    <n v="26.7"/>
    <n v="26.9"/>
    <n v="30"/>
    <n v="27.5"/>
    <n v="27.7"/>
    <n v="28.3"/>
    <n v="32.299999999999997"/>
    <n v="29.2"/>
    <n v="29.3"/>
    <n v="30.8"/>
    <n v="30.2"/>
    <n v="28.891666666666666"/>
    <n v="0.4933586705205294"/>
    <n v="26.7"/>
    <n v="27.65"/>
    <n v="28.75"/>
  </r>
  <r>
    <n v="102"/>
    <x v="1"/>
    <x v="1"/>
    <x v="0"/>
    <x v="1"/>
    <x v="1"/>
    <x v="0"/>
    <x v="1"/>
    <n v="13.254"/>
    <n v="26.1"/>
    <n v="31.6"/>
    <n v="28.6"/>
    <n v="30.7"/>
    <n v="29.6"/>
    <n v="28.8"/>
    <n v="26.8"/>
    <n v="28.6"/>
    <n v="26.2"/>
    <n v="26.6"/>
    <n v="27.9"/>
    <n v="28.1"/>
    <n v="28.3"/>
    <n v="0.50271987500719484"/>
    <n v="26.1"/>
    <n v="26.75"/>
    <n v="28.35"/>
  </r>
  <r>
    <n v="103"/>
    <x v="2"/>
    <x v="2"/>
    <x v="0"/>
    <x v="2"/>
    <x v="0"/>
    <x v="0"/>
    <x v="1"/>
    <n v="13.215999999999999"/>
    <n v="26.4"/>
    <n v="26.6"/>
    <n v="27.9"/>
    <n v="26.4"/>
    <n v="27.4"/>
    <n v="28"/>
    <n v="27.5"/>
    <n v="26.9"/>
    <n v="27.5"/>
    <n v="26.9"/>
    <n v="28.1"/>
    <n v="27.3"/>
    <n v="27.241666666666671"/>
    <n v="0.17340543372235542"/>
    <n v="26.4"/>
    <n v="26.824999999999999"/>
    <n v="27.35"/>
  </r>
  <r>
    <n v="104"/>
    <x v="3"/>
    <x v="3"/>
    <x v="1"/>
    <x v="1"/>
    <x v="1"/>
    <x v="0"/>
    <x v="1"/>
    <n v="13.193"/>
    <n v="33.700000000000003"/>
    <n v="34.700000000000003"/>
    <n v="34.9"/>
    <n v="35.700000000000003"/>
    <n v="33.9"/>
    <n v="34.200000000000003"/>
    <n v="34.6"/>
    <n v="35.299999999999997"/>
    <n v="36.4"/>
    <n v="36.200000000000003"/>
    <n v="34.299999999999997"/>
    <n v="35.9"/>
    <n v="34.983333333333327"/>
    <n v="0.26222628827534039"/>
    <n v="33.700000000000003"/>
    <n v="34.274999999999999"/>
    <n v="34.799999999999997"/>
  </r>
  <r>
    <n v="105"/>
    <x v="4"/>
    <x v="4"/>
    <x v="1"/>
    <x v="2"/>
    <x v="1"/>
    <x v="1"/>
    <x v="1"/>
    <n v="13.166"/>
    <n v="30.3"/>
    <n v="28.1"/>
    <n v="29.3"/>
    <n v="26.9"/>
    <n v="28.8"/>
    <n v="29"/>
    <n v="28.6"/>
    <n v="29.1"/>
    <n v="27.3"/>
    <n v="27.2"/>
    <n v="26.9"/>
    <n v="27.5"/>
    <n v="28.25"/>
    <n v="0.31682611615650536"/>
    <n v="26.9"/>
    <n v="27.274999999999999"/>
    <n v="28.35"/>
  </r>
  <r>
    <n v="106"/>
    <x v="5"/>
    <x v="5"/>
    <x v="1"/>
    <x v="1"/>
    <x v="0"/>
    <x v="1"/>
    <x v="1"/>
    <n v="13.146000000000001"/>
    <n v="33.200000000000003"/>
    <n v="32"/>
    <n v="30.2"/>
    <n v="32"/>
    <n v="33.5"/>
    <n v="32"/>
    <n v="32.1"/>
    <n v="31.3"/>
    <n v="32.6"/>
    <n v="32.9"/>
    <n v="30.6"/>
    <n v="31.2"/>
    <n v="31.966666666666669"/>
    <n v="0.29111419537266381"/>
    <n v="30.2"/>
    <n v="31.274999999999999"/>
    <n v="32"/>
  </r>
  <r>
    <n v="107"/>
    <x v="3"/>
    <x v="3"/>
    <x v="1"/>
    <x v="1"/>
    <x v="1"/>
    <x v="1"/>
    <x v="1"/>
    <n v="13.127000000000001"/>
    <n v="34.1"/>
    <n v="31.8"/>
    <n v="31.1"/>
    <n v="33.5"/>
    <n v="29.9"/>
    <n v="29.9"/>
    <n v="28.1"/>
    <n v="30.8"/>
    <n v="30.1"/>
    <n v="32.6"/>
    <n v="34.6"/>
    <n v="32.299999999999997"/>
    <n v="31.566666666666674"/>
    <n v="0.56102359553537196"/>
    <n v="28.1"/>
    <n v="30.05"/>
    <n v="31.45"/>
  </r>
  <r>
    <n v="108"/>
    <x v="6"/>
    <x v="6"/>
    <x v="0"/>
    <x v="1"/>
    <x v="0"/>
    <x v="1"/>
    <x v="1"/>
    <n v="13.11"/>
    <n v="29.8"/>
    <n v="28.5"/>
    <n v="27.9"/>
    <n v="28.8"/>
    <n v="28.7"/>
    <n v="28.8"/>
    <n v="28.7"/>
    <n v="28.1"/>
    <n v="27.9"/>
    <n v="29"/>
    <n v="29.8"/>
    <n v="29.6"/>
    <n v="28.8"/>
    <n v="0.19266865889710597"/>
    <n v="27.9"/>
    <n v="28.4"/>
    <n v="28.75"/>
  </r>
  <r>
    <n v="201"/>
    <x v="4"/>
    <x v="4"/>
    <x v="1"/>
    <x v="2"/>
    <x v="1"/>
    <x v="0"/>
    <x v="1"/>
    <n v="13.305"/>
    <n v="29.3"/>
    <n v="29"/>
    <n v="31.9"/>
    <n v="28.2"/>
    <n v="28.3"/>
    <n v="30.2"/>
    <n v="28.8"/>
    <n v="31.6"/>
    <n v="29.6"/>
    <n v="27.8"/>
    <n v="29.1"/>
    <n v="27.5"/>
    <n v="29.274999999999999"/>
    <n v="0.39907563648556282"/>
    <n v="27.5"/>
    <n v="28.274999999999999"/>
    <n v="29.05"/>
  </r>
  <r>
    <n v="202"/>
    <x v="5"/>
    <x v="5"/>
    <x v="1"/>
    <x v="1"/>
    <x v="0"/>
    <x v="0"/>
    <x v="1"/>
    <n v="13.326000000000001"/>
    <n v="32.9"/>
    <n v="34.299999999999997"/>
    <n v="32.5"/>
    <n v="33.9"/>
    <n v="33.200000000000003"/>
    <n v="37.200000000000003"/>
    <n v="33.1"/>
    <n v="33.1"/>
    <n v="36.4"/>
    <n v="36.700000000000003"/>
    <n v="34.700000000000003"/>
    <n v="34.799999999999997"/>
    <n v="34.4"/>
    <n v="0.46319051646753967"/>
    <n v="32.5"/>
    <n v="33.1"/>
    <n v="34.1"/>
  </r>
  <r>
    <n v="203"/>
    <x v="6"/>
    <x v="6"/>
    <x v="0"/>
    <x v="1"/>
    <x v="0"/>
    <x v="0"/>
    <x v="1"/>
    <n v="13.347"/>
    <n v="27.6"/>
    <n v="27.3"/>
    <n v="25.9"/>
    <n v="29.6"/>
    <n v="25.9"/>
    <n v="26.1"/>
    <n v="25"/>
    <n v="29.5"/>
    <n v="29.1"/>
    <n v="26.7"/>
    <n v="31.3"/>
    <n v="26.6"/>
    <n v="27.55"/>
    <n v="0.55192500588505622"/>
    <n v="25"/>
    <n v="26.05"/>
    <n v="27"/>
  </r>
  <r>
    <n v="204"/>
    <x v="7"/>
    <x v="7"/>
    <x v="1"/>
    <x v="2"/>
    <x v="0"/>
    <x v="0"/>
    <x v="1"/>
    <n v="13.369"/>
    <n v="27"/>
    <n v="27.1"/>
    <n v="32.1"/>
    <n v="25.7"/>
    <n v="27.9"/>
    <n v="28.2"/>
    <n v="29.6"/>
    <n v="27.5"/>
    <n v="31.4"/>
    <n v="28.5"/>
    <n v="28.4"/>
    <n v="29.6"/>
    <n v="28.583333333333332"/>
    <n v="0.53098441073579028"/>
    <n v="25.7"/>
    <n v="27.4"/>
    <n v="28.3"/>
  </r>
  <r>
    <n v="205"/>
    <x v="0"/>
    <x v="0"/>
    <x v="0"/>
    <x v="0"/>
    <x v="0"/>
    <x v="1"/>
    <x v="1"/>
    <n v="13.39"/>
    <n v="27.6"/>
    <n v="29.1"/>
    <n v="29.5"/>
    <n v="25.6"/>
    <n v="26.4"/>
    <n v="28.7"/>
    <n v="28.6"/>
    <n v="28.6"/>
    <n v="30.1"/>
    <n v="27.5"/>
    <n v="28.5"/>
    <n v="27"/>
    <n v="28.1"/>
    <n v="0.37879393934546046"/>
    <n v="25.6"/>
    <n v="27.375"/>
    <n v="28.55"/>
  </r>
  <r>
    <n v="206"/>
    <x v="8"/>
    <x v="8"/>
    <x v="1"/>
    <x v="0"/>
    <x v="1"/>
    <x v="1"/>
    <x v="1"/>
    <n v="13.419"/>
    <n v="32.299999999999997"/>
    <n v="32.799999999999997"/>
    <n v="31.9"/>
    <n v="31.4"/>
    <n v="31.9"/>
    <n v="31.7"/>
    <n v="30.4"/>
    <n v="31.8"/>
    <n v="33.6"/>
    <n v="30"/>
    <n v="31.7"/>
    <n v="31.8"/>
    <n v="31.774999999999999"/>
    <n v="0.2736191225817528"/>
    <n v="30"/>
    <n v="31.625"/>
    <n v="31.8"/>
  </r>
  <r>
    <n v="207"/>
    <x v="1"/>
    <x v="1"/>
    <x v="0"/>
    <x v="1"/>
    <x v="1"/>
    <x v="1"/>
    <x v="1"/>
    <n v="13.442"/>
    <n v="32.5"/>
    <n v="32.200000000000003"/>
    <n v="31.7"/>
    <n v="28.7"/>
    <n v="30.3"/>
    <n v="30"/>
    <n v="33"/>
    <n v="32.1"/>
    <n v="28.4"/>
    <n v="32.1"/>
    <n v="29"/>
    <n v="28.9"/>
    <n v="30.741666666666664"/>
    <n v="0.49043245192277868"/>
    <n v="28.4"/>
    <n v="28.975000000000001"/>
    <n v="31"/>
  </r>
  <r>
    <n v="208"/>
    <x v="9"/>
    <x v="9"/>
    <x v="0"/>
    <x v="0"/>
    <x v="1"/>
    <x v="1"/>
    <x v="1"/>
    <n v="13.465"/>
    <n v="30.4"/>
    <n v="31.2"/>
    <n v="32.299999999999997"/>
    <n v="30.6"/>
    <n v="29.5"/>
    <n v="30.7"/>
    <n v="29.9"/>
    <n v="31.8"/>
    <n v="29.8"/>
    <n v="30.3"/>
    <n v="29.6"/>
    <n v="32.1"/>
    <n v="30.683333333333337"/>
    <n v="0.27983581044619144"/>
    <n v="29.5"/>
    <n v="29.875"/>
    <n v="30.5"/>
  </r>
  <r>
    <n v="301"/>
    <x v="3"/>
    <x v="3"/>
    <x v="1"/>
    <x v="1"/>
    <x v="1"/>
    <x v="2"/>
    <x v="1"/>
    <n v="13.657"/>
    <n v="33.200000000000003"/>
    <n v="34.1"/>
    <n v="34.9"/>
    <n v="34.4"/>
    <n v="35.9"/>
    <n v="33.5"/>
    <n v="32.4"/>
    <n v="33.4"/>
    <n v="34.200000000000003"/>
    <n v="33.700000000000003"/>
    <n v="32.9"/>
    <n v="33.6"/>
    <n v="33.85"/>
    <n v="0.27010099121354475"/>
    <n v="32.4"/>
    <n v="33.35"/>
    <n v="33.65"/>
  </r>
  <r>
    <n v="302"/>
    <x v="1"/>
    <x v="1"/>
    <x v="0"/>
    <x v="1"/>
    <x v="1"/>
    <x v="2"/>
    <x v="1"/>
    <n v="13.680999999999999"/>
    <n v="28.7"/>
    <n v="30.9"/>
    <n v="28.3"/>
    <n v="31.1"/>
    <n v="28.2"/>
    <n v="28.2"/>
    <n v="27.2"/>
    <n v="26.9"/>
    <n v="27.6"/>
    <n v="28.4"/>
    <n v="27.4"/>
    <n v="28"/>
    <n v="28.408333333333328"/>
    <n v="0.38147606726901906"/>
    <n v="26.9"/>
    <n v="27.55"/>
    <n v="28.2"/>
  </r>
  <r>
    <n v="303"/>
    <x v="8"/>
    <x v="8"/>
    <x v="1"/>
    <x v="0"/>
    <x v="1"/>
    <x v="2"/>
    <x v="1"/>
    <n v="13.706"/>
    <n v="30.9"/>
    <n v="30"/>
    <n v="28.3"/>
    <n v="29.2"/>
    <n v="28.1"/>
    <n v="28.1"/>
    <n v="28.4"/>
    <n v="29.6"/>
    <n v="29.4"/>
    <n v="30.1"/>
    <n v="29.8"/>
    <n v="29.5"/>
    <n v="29.283333333333335"/>
    <n v="0.25785635340218255"/>
    <n v="28.1"/>
    <n v="28.375"/>
    <n v="29.45"/>
  </r>
  <r>
    <n v="304"/>
    <x v="9"/>
    <x v="9"/>
    <x v="0"/>
    <x v="0"/>
    <x v="1"/>
    <x v="2"/>
    <x v="1"/>
    <n v="13.727"/>
    <n v="26.3"/>
    <n v="27.5"/>
    <n v="27.1"/>
    <n v="27.5"/>
    <n v="27"/>
    <n v="26.8"/>
    <n v="28.6"/>
    <n v="28.6"/>
    <n v="27.9"/>
    <n v="27.8"/>
    <n v="28.8"/>
    <n v="29"/>
    <n v="27.741666666666671"/>
    <n v="0.24998737341851004"/>
    <n v="26.3"/>
    <n v="27.074999999999999"/>
    <n v="27.65"/>
  </r>
  <r>
    <n v="305"/>
    <x v="7"/>
    <x v="7"/>
    <x v="1"/>
    <x v="2"/>
    <x v="0"/>
    <x v="3"/>
    <x v="1"/>
    <n v="13.746"/>
    <n v="27.2"/>
    <n v="28.2"/>
    <n v="27.8"/>
    <n v="28.3"/>
    <n v="29"/>
    <n v="27.3"/>
    <n v="29.7"/>
    <n v="29.4"/>
    <n v="27.2"/>
    <n v="26.7"/>
    <n v="25.8"/>
    <n v="27.3"/>
    <n v="27.824999999999999"/>
    <n v="0.33077617627010675"/>
    <n v="25.8"/>
    <n v="27.2"/>
    <n v="27.55"/>
  </r>
  <r>
    <n v="306"/>
    <x v="1"/>
    <x v="1"/>
    <x v="0"/>
    <x v="1"/>
    <x v="1"/>
    <x v="3"/>
    <x v="1"/>
    <n v="13.765000000000001"/>
    <n v="28.5"/>
    <n v="28.3"/>
    <n v="27.8"/>
    <n v="28.2"/>
    <n v="28.9"/>
    <n v="27.2"/>
    <n v="28.4"/>
    <n v="26.9"/>
    <n v="28.4"/>
    <n v="29.2"/>
    <n v="26.9"/>
    <n v="27.6"/>
    <n v="28.024999999999999"/>
    <n v="0.21676862402947519"/>
    <n v="26.9"/>
    <n v="27.5"/>
    <n v="28.25"/>
  </r>
  <r>
    <n v="307"/>
    <x v="5"/>
    <x v="5"/>
    <x v="1"/>
    <x v="1"/>
    <x v="0"/>
    <x v="3"/>
    <x v="1"/>
    <n v="13.782"/>
    <n v="31.3"/>
    <n v="31.8"/>
    <n v="32.9"/>
    <n v="32.1"/>
    <n v="32.4"/>
    <n v="32.5"/>
    <n v="30.6"/>
    <n v="33.700000000000003"/>
    <n v="31.7"/>
    <n v="32.9"/>
    <n v="30.7"/>
    <n v="31.3"/>
    <n v="31.991666666666664"/>
    <n v="0.27092947011684448"/>
    <n v="30.6"/>
    <n v="31.3"/>
    <n v="31.95"/>
  </r>
  <r>
    <n v="308"/>
    <x v="2"/>
    <x v="2"/>
    <x v="0"/>
    <x v="2"/>
    <x v="0"/>
    <x v="3"/>
    <x v="1"/>
    <n v="13.801"/>
    <n v="28"/>
    <n v="27.7"/>
    <n v="29"/>
    <n v="27.8"/>
    <n v="29.3"/>
    <n v="26.9"/>
    <n v="28.9"/>
    <n v="30.2"/>
    <n v="28.3"/>
    <n v="27.3"/>
    <n v="28.5"/>
    <n v="27.9"/>
    <n v="28.316666666666666"/>
    <n v="0.26567048778665786"/>
    <n v="26.9"/>
    <n v="27.774999999999999"/>
    <n v="28.15"/>
  </r>
  <r>
    <n v="403"/>
    <x v="10"/>
    <x v="10"/>
    <x v="0"/>
    <x v="2"/>
    <x v="1"/>
    <x v="2"/>
    <x v="1"/>
    <n v="13.942"/>
    <n v="30.3"/>
    <n v="29.9"/>
    <n v="28.2"/>
    <n v="29.7"/>
    <n v="28.4"/>
    <n v="30.1"/>
    <n v="28.6"/>
    <n v="27.9"/>
    <n v="29"/>
    <n v="30.3"/>
    <n v="30"/>
    <n v="29.1"/>
    <n v="29.291666666666671"/>
    <n v="0.24998737341842736"/>
    <n v="27.9"/>
    <n v="28.55"/>
    <n v="29.4"/>
  </r>
  <r>
    <n v="404"/>
    <x v="6"/>
    <x v="6"/>
    <x v="0"/>
    <x v="1"/>
    <x v="0"/>
    <x v="2"/>
    <x v="1"/>
    <n v="13.916"/>
    <n v="27.1"/>
    <n v="27.8"/>
    <n v="27.8"/>
    <n v="27.5"/>
    <n v="28.3"/>
    <n v="26.3"/>
    <n v="26.7"/>
    <n v="26"/>
    <n v="27.2"/>
    <n v="25.3"/>
    <n v="26.7"/>
    <n v="24.8"/>
    <n v="26.791666666666668"/>
    <n v="0.30337953361120318"/>
    <n v="24.8"/>
    <n v="26.225000000000001"/>
    <n v="26.9"/>
  </r>
  <r>
    <n v="405"/>
    <x v="10"/>
    <x v="10"/>
    <x v="0"/>
    <x v="2"/>
    <x v="1"/>
    <x v="3"/>
    <x v="1"/>
    <n v="13.893000000000001"/>
    <n v="30"/>
    <n v="30.3"/>
    <n v="29.5"/>
    <n v="29.2"/>
    <n v="29.3"/>
    <n v="31.6"/>
    <n v="29.8"/>
    <n v="30.3"/>
    <n v="28.7"/>
    <n v="30.1"/>
    <n v="28"/>
    <n v="28.7"/>
    <n v="29.625"/>
    <n v="0.2733421099847036"/>
    <n v="28"/>
    <n v="29.074999999999999"/>
    <n v="29.65"/>
  </r>
  <r>
    <n v="406"/>
    <x v="6"/>
    <x v="6"/>
    <x v="0"/>
    <x v="1"/>
    <x v="0"/>
    <x v="3"/>
    <x v="1"/>
    <n v="13.871"/>
    <n v="28.8"/>
    <n v="28.7"/>
    <n v="26.7"/>
    <n v="29.5"/>
    <n v="29.7"/>
    <n v="28.6"/>
    <n v="30.4"/>
    <n v="28.8"/>
    <n v="28.6"/>
    <n v="30.1"/>
    <n v="30"/>
    <n v="29.3"/>
    <n v="29.1"/>
    <n v="0.28417877429102106"/>
    <n v="26.7"/>
    <n v="28.675000000000001"/>
    <n v="29.05"/>
  </r>
  <r>
    <n v="407"/>
    <x v="11"/>
    <x v="11"/>
    <x v="1"/>
    <x v="0"/>
    <x v="0"/>
    <x v="3"/>
    <x v="1"/>
    <n v="13.848000000000001"/>
    <n v="28"/>
    <n v="28.5"/>
    <n v="27.2"/>
    <n v="28.4"/>
    <n v="28.8"/>
    <n v="29.2"/>
    <n v="26.4"/>
    <n v="26.4"/>
    <n v="28.5"/>
    <n v="27.4"/>
    <n v="28.6"/>
    <n v="29.6"/>
    <n v="28.083333333333339"/>
    <n v="0.29767618499148352"/>
    <n v="26.4"/>
    <n v="27.35"/>
    <n v="28.45"/>
  </r>
  <r>
    <n v="408"/>
    <x v="3"/>
    <x v="3"/>
    <x v="1"/>
    <x v="1"/>
    <x v="1"/>
    <x v="3"/>
    <x v="1"/>
    <n v="13.824999999999999"/>
    <n v="32.200000000000003"/>
    <n v="32.1"/>
    <n v="31.3"/>
    <n v="32"/>
    <n v="30.3"/>
    <n v="31.1"/>
    <n v="32.5"/>
    <n v="32.5"/>
    <n v="32.5"/>
    <n v="32.299999999999997"/>
    <n v="31.7"/>
    <n v="31.5"/>
    <n v="31.833333333333332"/>
    <n v="0.19630423718130927"/>
    <n v="30.3"/>
    <n v="31.45"/>
    <n v="32.049999999999997"/>
  </r>
  <r>
    <n v="902"/>
    <x v="13"/>
    <x v="13"/>
    <x v="3"/>
    <x v="1"/>
    <x v="0"/>
    <x v="0"/>
    <x v="1"/>
    <n v="13.617000000000001"/>
    <n v="31"/>
    <n v="29"/>
    <n v="30"/>
    <n v="32.1"/>
    <n v="29.1"/>
    <n v="33.299999999999997"/>
    <n v="31.1"/>
    <n v="32.6"/>
    <n v="30.7"/>
    <n v="32.4"/>
    <n v="29.1"/>
    <n v="30.9"/>
    <n v="30.941666666666663"/>
    <n v="0.42021969963296385"/>
    <n v="29"/>
    <n v="29.774999999999999"/>
    <n v="30.95"/>
  </r>
  <r>
    <n v="904"/>
    <x v="15"/>
    <x v="15"/>
    <x v="5"/>
    <x v="1"/>
    <x v="0"/>
    <x v="0"/>
    <x v="1"/>
    <n v="13.58"/>
    <n v="31.3"/>
    <n v="35"/>
    <n v="33"/>
    <n v="34.299999999999997"/>
    <n v="30.9"/>
    <n v="30.1"/>
    <n v="31.7"/>
    <n v="31"/>
    <n v="29.5"/>
    <n v="33.5"/>
    <n v="32.1"/>
    <n v="33.200000000000003"/>
    <n v="32.133333333333333"/>
    <n v="0.48793524988547932"/>
    <n v="29.5"/>
    <n v="30.975000000000001"/>
    <n v="31.9"/>
  </r>
  <r>
    <n v="906"/>
    <x v="13"/>
    <x v="13"/>
    <x v="3"/>
    <x v="1"/>
    <x v="0"/>
    <x v="1"/>
    <x v="1"/>
    <n v="13.547000000000001"/>
    <n v="29.9"/>
    <n v="29.9"/>
    <n v="28.1"/>
    <n v="30.3"/>
    <n v="29.9"/>
    <n v="31"/>
    <n v="31.5"/>
    <n v="28.8"/>
    <n v="29.1"/>
    <n v="29"/>
    <n v="29.6"/>
    <n v="29.2"/>
    <n v="29.691666666666666"/>
    <n v="0.27371139781332382"/>
    <n v="28.1"/>
    <n v="29.074999999999999"/>
    <n v="29.75"/>
  </r>
  <r>
    <n v="908"/>
    <x v="15"/>
    <x v="15"/>
    <x v="5"/>
    <x v="1"/>
    <x v="0"/>
    <x v="1"/>
    <x v="1"/>
    <n v="13.510999999999999"/>
    <n v="33.5"/>
    <n v="34.700000000000003"/>
    <n v="32.5"/>
    <n v="34.200000000000003"/>
    <n v="32.1"/>
    <n v="30.8"/>
    <n v="32.700000000000003"/>
    <n v="32.4"/>
    <n v="33"/>
    <n v="35.6"/>
    <n v="33.799999999999997"/>
    <n v="30.2"/>
    <n v="32.958333333333336"/>
    <n v="0.4450839780027554"/>
    <n v="30.2"/>
    <n v="32.325000000000003"/>
    <n v="32.8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54"/>
    <n v="42.1"/>
    <n v="35.799999999999997"/>
    <n v="38.9"/>
    <n v="32"/>
    <n v="32.299999999999997"/>
    <n v="37.200000000000003"/>
    <n v="31.6"/>
    <n v="38.799999999999997"/>
    <n v="31.5"/>
    <n v="40.200000000000003"/>
    <n v="34.299999999999997"/>
    <n v="38.1"/>
    <n v="36.06666666666667"/>
    <n v="1.0628957967493762"/>
    <n v="31.5"/>
    <n v="32.224999999999994"/>
    <n v="36.5"/>
  </r>
  <r>
    <n v="102"/>
    <x v="1"/>
    <x v="1"/>
    <x v="0"/>
    <x v="1"/>
    <x v="1"/>
    <x v="0"/>
    <x v="0"/>
    <n v="13.138"/>
    <n v="40.6"/>
    <n v="35.200000000000003"/>
    <n v="39.700000000000003"/>
    <n v="31.2"/>
    <n v="39.6"/>
    <n v="31.8"/>
    <n v="36.700000000000003"/>
    <n v="39.4"/>
    <n v="32.200000000000003"/>
    <n v="39.799999999999997"/>
    <n v="32.1"/>
    <n v="33.200000000000003"/>
    <n v="35.958333333333336"/>
    <n v="1.0769245164547978"/>
    <n v="31.2"/>
    <n v="32.175000000000004"/>
    <n v="35.950000000000003"/>
  </r>
  <r>
    <n v="103"/>
    <x v="2"/>
    <x v="2"/>
    <x v="0"/>
    <x v="2"/>
    <x v="0"/>
    <x v="0"/>
    <x v="0"/>
    <n v="13.121"/>
    <n v="40.799999999999997"/>
    <n v="33.200000000000003"/>
    <n v="39"/>
    <n v="30.9"/>
    <n v="41"/>
    <n v="31.7"/>
    <n v="37.299999999999997"/>
    <n v="32"/>
    <n v="34.700000000000003"/>
    <n v="32.4"/>
    <n v="35.1"/>
    <n v="32.1"/>
    <n v="35.016666666666666"/>
    <n v="1.052186276091823"/>
    <n v="30.9"/>
    <n v="32.075000000000003"/>
    <n v="33.950000000000003"/>
  </r>
  <r>
    <n v="104"/>
    <x v="3"/>
    <x v="3"/>
    <x v="1"/>
    <x v="1"/>
    <x v="1"/>
    <x v="0"/>
    <x v="0"/>
    <n v="13.103"/>
    <n v="63.5"/>
    <n v="62.2"/>
    <n v="50.6"/>
    <n v="50.6"/>
    <n v="55.5"/>
    <n v="40.9"/>
    <n v="57.1"/>
    <n v="49.3"/>
    <n v="42.1"/>
    <n v="57"/>
    <n v="43.3"/>
    <n v="51.4"/>
    <n v="51.958333333333321"/>
    <n v="2.1461896585588986"/>
    <n v="40.9"/>
    <n v="47.8"/>
    <n v="51"/>
  </r>
  <r>
    <n v="105"/>
    <x v="4"/>
    <x v="4"/>
    <x v="1"/>
    <x v="2"/>
    <x v="1"/>
    <x v="1"/>
    <x v="0"/>
    <n v="13.087999999999999"/>
    <n v="39.700000000000003"/>
    <n v="34.9"/>
    <n v="35.799999999999997"/>
    <n v="31.2"/>
    <n v="40.299999999999997"/>
    <n v="32.1"/>
    <n v="38.5"/>
    <n v="32.1"/>
    <n v="36.299999999999997"/>
    <n v="35.200000000000003"/>
    <n v="36.700000000000003"/>
    <n v="33.799999999999997"/>
    <n v="35.549999999999997"/>
    <n v="0.85621612961102966"/>
    <n v="31.2"/>
    <n v="33.375"/>
    <n v="35.5"/>
  </r>
  <r>
    <n v="106"/>
    <x v="5"/>
    <x v="5"/>
    <x v="1"/>
    <x v="1"/>
    <x v="0"/>
    <x v="1"/>
    <x v="0"/>
    <n v="13.071999999999999"/>
    <n v="60.3"/>
    <n v="58.9"/>
    <n v="45.3"/>
    <n v="43.5"/>
    <n v="54"/>
    <n v="45.2"/>
    <n v="42.7"/>
    <n v="48.9"/>
    <n v="52.4"/>
    <n v="48"/>
    <n v="50.9"/>
    <n v="55.9"/>
    <n v="50.499999999999993"/>
    <n v="1.7090667309702052"/>
    <n v="42.7"/>
    <n v="45.274999999999999"/>
    <n v="49.9"/>
  </r>
  <r>
    <n v="107"/>
    <x v="3"/>
    <x v="3"/>
    <x v="1"/>
    <x v="1"/>
    <x v="1"/>
    <x v="1"/>
    <x v="0"/>
    <n v="13.055999999999999"/>
    <n v="59.8"/>
    <n v="55.8"/>
    <n v="53.2"/>
    <n v="36.6"/>
    <n v="55.4"/>
    <n v="41.1"/>
    <n v="54"/>
    <n v="40.799999999999997"/>
    <n v="58.1"/>
    <n v="38.9"/>
    <n v="33.1"/>
    <n v="55.7"/>
    <n v="48.541666666666679"/>
    <n v="2.7659854491754707"/>
    <n v="33.1"/>
    <n v="40.324999999999996"/>
    <n v="53.6"/>
  </r>
  <r>
    <n v="108"/>
    <x v="6"/>
    <x v="6"/>
    <x v="0"/>
    <x v="1"/>
    <x v="0"/>
    <x v="1"/>
    <x v="0"/>
    <n v="13.04"/>
    <n v="40.9"/>
    <n v="39.4"/>
    <n v="30.9"/>
    <n v="40"/>
    <n v="30.8"/>
    <n v="40"/>
    <n v="30.4"/>
    <n v="39"/>
    <n v="31.4"/>
    <n v="34.9"/>
    <n v="36.200000000000003"/>
    <n v="36.700000000000003"/>
    <n v="35.883333333333326"/>
    <n v="1.1797427386057355"/>
    <n v="30.4"/>
    <n v="31.274999999999999"/>
    <n v="36.450000000000003"/>
  </r>
  <r>
    <n v="201"/>
    <x v="4"/>
    <x v="4"/>
    <x v="1"/>
    <x v="2"/>
    <x v="1"/>
    <x v="0"/>
    <x v="0"/>
    <n v="13.178000000000001"/>
    <n v="38.1"/>
    <n v="37.200000000000003"/>
    <n v="31.9"/>
    <n v="34.5"/>
    <n v="32.6"/>
    <n v="32.1"/>
    <n v="36.200000000000003"/>
    <n v="31.1"/>
    <n v="36.9"/>
    <n v="31.1"/>
    <n v="35.1"/>
    <n v="34"/>
    <n v="34.233333333333341"/>
    <n v="0.71724782637831985"/>
    <n v="31.1"/>
    <n v="32.049999999999997"/>
    <n v="34.25"/>
  </r>
  <r>
    <n v="202"/>
    <x v="5"/>
    <x v="5"/>
    <x v="1"/>
    <x v="1"/>
    <x v="0"/>
    <x v="0"/>
    <x v="0"/>
    <n v="13.193"/>
    <n v="61.1"/>
    <n v="56.5"/>
    <n v="58.3"/>
    <n v="44.8"/>
    <n v="59.6"/>
    <n v="48.7"/>
    <n v="54.1"/>
    <n v="59.6"/>
    <n v="41.3"/>
    <n v="58.8"/>
    <n v="51.8"/>
    <n v="48"/>
    <n v="53.550000000000004"/>
    <n v="1.8936696777645206"/>
    <n v="41.3"/>
    <n v="48.525000000000006"/>
    <n v="55.3"/>
  </r>
  <r>
    <n v="203"/>
    <x v="6"/>
    <x v="6"/>
    <x v="0"/>
    <x v="1"/>
    <x v="0"/>
    <x v="0"/>
    <x v="0"/>
    <n v="13.209"/>
    <n v="39"/>
    <n v="39.5"/>
    <n v="32.700000000000003"/>
    <n v="38.299999999999997"/>
    <n v="39.5"/>
    <n v="30.7"/>
    <n v="38.700000000000003"/>
    <n v="31.5"/>
    <n v="39.5"/>
    <n v="30.5"/>
    <n v="40.299999999999997"/>
    <n v="32.200000000000003"/>
    <n v="36.033333333333331"/>
    <n v="1.1701031638883101"/>
    <n v="30.5"/>
    <n v="32.025000000000006"/>
    <n v="38.5"/>
  </r>
  <r>
    <n v="204"/>
    <x v="7"/>
    <x v="7"/>
    <x v="1"/>
    <x v="2"/>
    <x v="0"/>
    <x v="0"/>
    <x v="0"/>
    <n v="13.224"/>
    <n v="38.1"/>
    <n v="37.4"/>
    <n v="31.7"/>
    <n v="33.799999999999997"/>
    <n v="35.700000000000003"/>
    <n v="30.9"/>
    <n v="38.1"/>
    <n v="32.6"/>
    <n v="34.1"/>
    <n v="36.4"/>
    <n v="34.4"/>
    <n v="33.6"/>
    <n v="34.733333333333334"/>
    <n v="0.6996030620605016"/>
    <n v="30.9"/>
    <n v="33.35"/>
    <n v="34.25"/>
  </r>
  <r>
    <n v="205"/>
    <x v="0"/>
    <x v="0"/>
    <x v="0"/>
    <x v="0"/>
    <x v="0"/>
    <x v="1"/>
    <x v="0"/>
    <n v="13.24"/>
    <n v="40.6"/>
    <n v="38.4"/>
    <n v="36.6"/>
    <n v="33.1"/>
    <n v="39.1"/>
    <n v="30.8"/>
    <n v="38.700000000000003"/>
    <n v="34.5"/>
    <n v="40.299999999999997"/>
    <n v="34.200000000000003"/>
    <n v="39.6"/>
    <n v="36.200000000000003"/>
    <n v="36.841666666666669"/>
    <n v="0.90499107088624242"/>
    <n v="30.8"/>
    <n v="34.424999999999997"/>
    <n v="37.5"/>
  </r>
  <r>
    <n v="206"/>
    <x v="8"/>
    <x v="8"/>
    <x v="1"/>
    <x v="0"/>
    <x v="1"/>
    <x v="1"/>
    <x v="0"/>
    <n v="13.254"/>
    <n v="59.9"/>
    <n v="58.9"/>
    <n v="58.8"/>
    <n v="44"/>
    <n v="57.8"/>
    <n v="37.200000000000003"/>
    <n v="59.7"/>
    <n v="43.3"/>
    <n v="46.6"/>
    <n v="55.3"/>
    <n v="52.5"/>
    <n v="51.6"/>
    <n v="52.133333333333333"/>
    <n v="2.2159317533158576"/>
    <n v="37.200000000000003"/>
    <n v="45.95"/>
    <n v="53.9"/>
  </r>
  <r>
    <n v="207"/>
    <x v="1"/>
    <x v="1"/>
    <x v="0"/>
    <x v="1"/>
    <x v="1"/>
    <x v="1"/>
    <x v="0"/>
    <n v="13.271000000000001"/>
    <n v="39.799999999999997"/>
    <n v="39.5"/>
    <n v="29"/>
    <n v="36.6"/>
    <n v="37.5"/>
    <n v="30.7"/>
    <n v="38.299999999999997"/>
    <n v="29.4"/>
    <n v="35.1"/>
    <n v="31.8"/>
    <n v="40"/>
    <n v="30.8"/>
    <n v="34.875"/>
    <n v="1.2356525082773546"/>
    <n v="29"/>
    <n v="30.774999999999999"/>
    <n v="35.85"/>
  </r>
  <r>
    <n v="208"/>
    <x v="9"/>
    <x v="9"/>
    <x v="0"/>
    <x v="0"/>
    <x v="1"/>
    <x v="1"/>
    <x v="0"/>
    <n v="13.286"/>
    <n v="39.799999999999997"/>
    <n v="40.1"/>
    <n v="32"/>
    <n v="40.6"/>
    <n v="33.700000000000003"/>
    <n v="31.8"/>
    <n v="37.1"/>
    <n v="31.8"/>
    <n v="38.799999999999997"/>
    <n v="33.1"/>
    <n v="40.700000000000003"/>
    <n v="38.9"/>
    <n v="36.533333333333331"/>
    <n v="1.0784622423065269"/>
    <n v="31.8"/>
    <n v="32.825000000000003"/>
    <n v="37.950000000000003"/>
  </r>
  <r>
    <n v="301"/>
    <x v="3"/>
    <x v="3"/>
    <x v="1"/>
    <x v="1"/>
    <x v="1"/>
    <x v="2"/>
    <x v="0"/>
    <n v="13.412000000000001"/>
    <n v="60"/>
    <n v="57.3"/>
    <n v="48.4"/>
    <n v="53.8"/>
    <n v="59.2"/>
    <n v="36.700000000000003"/>
    <n v="58.9"/>
    <n v="37.700000000000003"/>
    <n v="57"/>
    <n v="49.2"/>
    <n v="53.2"/>
    <n v="53.2"/>
    <n v="52.050000000000004"/>
    <n v="2.2730469472147639"/>
    <n v="36.700000000000003"/>
    <n v="49"/>
    <n v="53.5"/>
  </r>
  <r>
    <n v="302"/>
    <x v="1"/>
    <x v="1"/>
    <x v="0"/>
    <x v="1"/>
    <x v="1"/>
    <x v="2"/>
    <x v="0"/>
    <n v="13.429"/>
    <n v="38.1"/>
    <n v="40.200000000000003"/>
    <n v="32.6"/>
    <n v="37.700000000000003"/>
    <n v="35.299999999999997"/>
    <n v="31.3"/>
    <n v="38.5"/>
    <n v="29.5"/>
    <n v="34.700000000000003"/>
    <n v="38"/>
    <n v="30.8"/>
    <n v="35.4"/>
    <n v="35.175000000000004"/>
    <n v="1.001901601047632"/>
    <n v="29.5"/>
    <n v="32.274999999999999"/>
    <n v="35.349999999999994"/>
  </r>
  <r>
    <n v="303"/>
    <x v="8"/>
    <x v="8"/>
    <x v="1"/>
    <x v="0"/>
    <x v="1"/>
    <x v="2"/>
    <x v="0"/>
    <n v="13.445"/>
    <n v="55.7"/>
    <n v="53.5"/>
    <n v="41.3"/>
    <n v="44.4"/>
    <n v="51.8"/>
    <n v="34.1"/>
    <n v="56.7"/>
    <n v="42.7"/>
    <n v="55.1"/>
    <n v="46.3"/>
    <n v="39"/>
    <n v="51.3"/>
    <n v="47.658333333333331"/>
    <n v="2.1366377698608505"/>
    <n v="34.1"/>
    <n v="42.35"/>
    <n v="48.8"/>
  </r>
  <r>
    <n v="304"/>
    <x v="9"/>
    <x v="9"/>
    <x v="0"/>
    <x v="0"/>
    <x v="1"/>
    <x v="2"/>
    <x v="0"/>
    <n v="13.462999999999999"/>
    <n v="40.799999999999997"/>
    <n v="40.1"/>
    <n v="35.1"/>
    <n v="30.9"/>
    <n v="37.9"/>
    <n v="29.5"/>
    <n v="37.9"/>
    <n v="33.1"/>
    <n v="33.700000000000003"/>
    <n v="37.299999999999997"/>
    <n v="33.1"/>
    <n v="36.4"/>
    <n v="35.483333333333334"/>
    <n v="1.0183790844258036"/>
    <n v="29.5"/>
    <n v="33.1"/>
    <n v="35.75"/>
  </r>
  <r>
    <n v="305"/>
    <x v="7"/>
    <x v="7"/>
    <x v="1"/>
    <x v="2"/>
    <x v="0"/>
    <x v="3"/>
    <x v="0"/>
    <n v="13.48"/>
    <n v="38"/>
    <n v="36.1"/>
    <n v="35.799999999999997"/>
    <n v="29.4"/>
    <n v="36.700000000000003"/>
    <n v="28.9"/>
    <n v="35"/>
    <n v="31.8"/>
    <n v="29.4"/>
    <n v="37.700000000000003"/>
    <n v="29"/>
    <n v="37.700000000000003"/>
    <n v="33.791666666666664"/>
    <n v="1.0904862922271954"/>
    <n v="28.9"/>
    <n v="29.4"/>
    <n v="35.4"/>
  </r>
  <r>
    <n v="306"/>
    <x v="1"/>
    <x v="1"/>
    <x v="0"/>
    <x v="1"/>
    <x v="1"/>
    <x v="3"/>
    <x v="0"/>
    <n v="13.496"/>
    <n v="40.200000000000003"/>
    <n v="34"/>
    <n v="32"/>
    <n v="34.9"/>
    <n v="39.4"/>
    <n v="28.8"/>
    <n v="38.700000000000003"/>
    <n v="30.5"/>
    <n v="36.200000000000003"/>
    <n v="35"/>
    <n v="34.299999999999997"/>
    <n v="35.5"/>
    <n v="34.958333333333336"/>
    <n v="0.99601161710802644"/>
    <n v="28.8"/>
    <n v="33.5"/>
    <n v="34.950000000000003"/>
  </r>
  <r>
    <n v="307"/>
    <x v="5"/>
    <x v="5"/>
    <x v="1"/>
    <x v="1"/>
    <x v="0"/>
    <x v="3"/>
    <x v="0"/>
    <n v="13.513"/>
    <n v="57.5"/>
    <n v="59.3"/>
    <n v="36.799999999999997"/>
    <n v="54"/>
    <n v="53.6"/>
    <n v="40"/>
    <n v="59.1"/>
    <n v="43.5"/>
    <n v="51.7"/>
    <n v="52.1"/>
    <n v="48.2"/>
    <n v="50.8"/>
    <n v="50.550000000000004"/>
    <n v="2.0935507028621285"/>
    <n v="36.799999999999997"/>
    <n v="47.025000000000006"/>
    <n v="51.900000000000006"/>
  </r>
  <r>
    <n v="308"/>
    <x v="2"/>
    <x v="2"/>
    <x v="0"/>
    <x v="2"/>
    <x v="0"/>
    <x v="3"/>
    <x v="0"/>
    <n v="13.53"/>
    <n v="35.299999999999997"/>
    <n v="36.299999999999997"/>
    <n v="33.1"/>
    <n v="32.1"/>
    <n v="37.9"/>
    <n v="30.9"/>
    <n v="37.9"/>
    <n v="30.7"/>
    <n v="30.8"/>
    <n v="36.700000000000003"/>
    <n v="28.8"/>
    <n v="33"/>
    <n v="33.625"/>
    <n v="0.89697513563052"/>
    <n v="28.8"/>
    <n v="30.875"/>
    <n v="33.049999999999997"/>
  </r>
  <r>
    <n v="403"/>
    <x v="10"/>
    <x v="10"/>
    <x v="0"/>
    <x v="2"/>
    <x v="1"/>
    <x v="2"/>
    <x v="0"/>
    <n v="13.64"/>
    <n v="37.1"/>
    <n v="35.6"/>
    <n v="34.9"/>
    <n v="30.5"/>
    <n v="39"/>
    <n v="30.7"/>
    <n v="37.6"/>
    <n v="33.1"/>
    <n v="35.200000000000003"/>
    <n v="32.1"/>
    <n v="35.1"/>
    <n v="30.3"/>
    <n v="34.266666666666673"/>
    <n v="0.84381289514927149"/>
    <n v="30.3"/>
    <n v="31.75"/>
    <n v="35"/>
  </r>
  <r>
    <n v="404"/>
    <x v="6"/>
    <x v="6"/>
    <x v="0"/>
    <x v="1"/>
    <x v="0"/>
    <x v="2"/>
    <x v="0"/>
    <n v="13.622999999999999"/>
    <n v="40.700000000000003"/>
    <n v="36.799999999999997"/>
    <n v="36.5"/>
    <n v="33.4"/>
    <n v="38.200000000000003"/>
    <n v="29.6"/>
    <n v="38.4"/>
    <n v="32.9"/>
    <n v="36.700000000000003"/>
    <n v="33.700000000000003"/>
    <n v="38.1"/>
    <n v="34.700000000000003"/>
    <n v="35.80833333333333"/>
    <n v="0.88055236911126566"/>
    <n v="29.6"/>
    <n v="33.625"/>
    <n v="36.6"/>
  </r>
  <r>
    <n v="405"/>
    <x v="10"/>
    <x v="10"/>
    <x v="0"/>
    <x v="2"/>
    <x v="1"/>
    <x v="3"/>
    <x v="0"/>
    <n v="13.606999999999999"/>
    <n v="39.799999999999997"/>
    <n v="36.200000000000003"/>
    <n v="34.1"/>
    <n v="30.6"/>
    <n v="37.6"/>
    <n v="29.3"/>
    <n v="38.6"/>
    <n v="31.4"/>
    <n v="31.6"/>
    <n v="36.1"/>
    <n v="33.1"/>
    <n v="37.700000000000003"/>
    <n v="34.675000000000004"/>
    <n v="1.0008424481708422"/>
    <n v="29.3"/>
    <n v="31.55"/>
    <n v="35.1"/>
  </r>
  <r>
    <n v="406"/>
    <x v="6"/>
    <x v="6"/>
    <x v="0"/>
    <x v="1"/>
    <x v="0"/>
    <x v="3"/>
    <x v="0"/>
    <n v="13.59"/>
    <n v="40.700000000000003"/>
    <n v="35.6"/>
    <n v="35.799999999999997"/>
    <n v="29.8"/>
    <n v="34.9"/>
    <n v="32"/>
    <n v="34.5"/>
    <n v="37.6"/>
    <n v="29.3"/>
    <n v="38.5"/>
    <n v="28.3"/>
    <n v="34.6"/>
    <n v="34.300000000000004"/>
    <n v="1.1025452646517633"/>
    <n v="28.3"/>
    <n v="31.45"/>
    <n v="34.75"/>
  </r>
  <r>
    <n v="407"/>
    <x v="11"/>
    <x v="11"/>
    <x v="1"/>
    <x v="0"/>
    <x v="0"/>
    <x v="3"/>
    <x v="0"/>
    <n v="13.573"/>
    <n v="59.1"/>
    <n v="51.3"/>
    <n v="48.7"/>
    <n v="33.200000000000003"/>
    <n v="54.5"/>
    <n v="32.1"/>
    <n v="55.9"/>
    <n v="40.6"/>
    <n v="44"/>
    <n v="56.9"/>
    <n v="39.299999999999997"/>
    <n v="46.5"/>
    <n v="46.841666666666669"/>
    <n v="2.6441891216611371"/>
    <n v="32.1"/>
    <n v="40.274999999999999"/>
    <n v="47.6"/>
  </r>
  <r>
    <n v="408"/>
    <x v="3"/>
    <x v="3"/>
    <x v="1"/>
    <x v="1"/>
    <x v="1"/>
    <x v="3"/>
    <x v="0"/>
    <n v="13.555"/>
    <n v="61.1"/>
    <n v="52.1"/>
    <n v="56.6"/>
    <n v="40.1"/>
    <n v="57"/>
    <n v="41.3"/>
    <n v="57.8"/>
    <n v="42.1"/>
    <n v="53"/>
    <n v="53.2"/>
    <n v="54.2"/>
    <n v="40.5"/>
    <n v="50.750000000000007"/>
    <n v="2.1976399186675568"/>
    <n v="40.1"/>
    <n v="41.9"/>
    <n v="53.1"/>
  </r>
  <r>
    <n v="901"/>
    <x v="12"/>
    <x v="12"/>
    <x v="2"/>
    <x v="3"/>
    <x v="1"/>
    <x v="0"/>
    <x v="0"/>
    <n v="13.397"/>
    <n v="37.200000000000003"/>
    <n v="35.5"/>
    <n v="41.1"/>
    <n v="36.200000000000003"/>
    <n v="37.299999999999997"/>
    <n v="40.799999999999997"/>
    <n v="36.5"/>
    <n v="41.2"/>
    <n v="37.1"/>
    <n v="37.799999999999997"/>
    <n v="39.700000000000003"/>
    <n v="38.4"/>
    <n v="38.233333333333334"/>
    <n v="0.57608045173282152"/>
    <n v="35.5"/>
    <n v="36.950000000000003"/>
    <n v="37.549999999999997"/>
  </r>
  <r>
    <n v="902"/>
    <x v="13"/>
    <x v="13"/>
    <x v="3"/>
    <x v="1"/>
    <x v="0"/>
    <x v="0"/>
    <x v="0"/>
    <n v="13.378"/>
    <n v="63.1"/>
    <n v="56.7"/>
    <n v="47.8"/>
    <n v="41.8"/>
    <n v="59.3"/>
    <n v="38.200000000000003"/>
    <n v="62.3"/>
    <n v="40.200000000000003"/>
    <n v="49.7"/>
    <n v="45.4"/>
    <n v="51.4"/>
    <n v="43.2"/>
    <n v="49.924999999999997"/>
    <n v="2.5091084073829824"/>
    <n v="38.200000000000003"/>
    <n v="42.85"/>
    <n v="48.75"/>
  </r>
  <r>
    <n v="903"/>
    <x v="14"/>
    <x v="14"/>
    <x v="4"/>
    <x v="3"/>
    <x v="1"/>
    <x v="0"/>
    <x v="0"/>
    <n v="13.372"/>
    <n v="61.6"/>
    <n v="64.900000000000006"/>
    <n v="63.8"/>
    <n v="62.8"/>
    <n v="66.099999999999994"/>
    <n v="66.400000000000006"/>
    <n v="62.5"/>
    <n v="66.2"/>
    <n v="63.7"/>
    <n v="64.2"/>
    <n v="61.9"/>
    <n v="66.599999999999994"/>
    <n v="64.224999999999994"/>
    <n v="0.52225110064136726"/>
    <n v="61.6"/>
    <n v="62.725000000000001"/>
    <n v="64"/>
  </r>
  <r>
    <n v="904"/>
    <x v="15"/>
    <x v="15"/>
    <x v="5"/>
    <x v="1"/>
    <x v="0"/>
    <x v="0"/>
    <x v="0"/>
    <n v="13.353999999999999"/>
    <n v="67.099999999999994"/>
    <n v="63.3"/>
    <n v="55.8"/>
    <n v="41.3"/>
    <n v="56.1"/>
    <n v="39.799999999999997"/>
    <n v="63.3"/>
    <n v="53.7"/>
    <n v="47.3"/>
    <n v="57.8"/>
    <n v="55.4"/>
    <n v="58.2"/>
    <n v="54.924999999999997"/>
    <n v="2.4369667248819313"/>
    <n v="39.799999999999997"/>
    <n v="52.1"/>
    <n v="55.95"/>
  </r>
  <r>
    <n v="905"/>
    <x v="12"/>
    <x v="12"/>
    <x v="2"/>
    <x v="3"/>
    <x v="1"/>
    <x v="1"/>
    <x v="0"/>
    <n v="13.348000000000001"/>
    <n v="35.6"/>
    <n v="40.700000000000003"/>
    <n v="37"/>
    <n v="38.700000000000003"/>
    <n v="39.700000000000003"/>
    <n v="37.6"/>
    <n v="38.299999999999997"/>
    <n v="37"/>
    <n v="40.5"/>
    <n v="36.6"/>
    <n v="40.700000000000003"/>
    <n v="37.9"/>
    <n v="38.358333333333327"/>
    <n v="0.49733506986454079"/>
    <n v="35.6"/>
    <n v="37"/>
    <n v="38.1"/>
  </r>
  <r>
    <n v="906"/>
    <x v="13"/>
    <x v="13"/>
    <x v="3"/>
    <x v="1"/>
    <x v="0"/>
    <x v="1"/>
    <x v="0"/>
    <n v="13.331"/>
    <n v="61.4"/>
    <n v="54.4"/>
    <n v="54.6"/>
    <n v="39.299999999999997"/>
    <n v="44.5"/>
    <n v="44.9"/>
    <n v="43.4"/>
    <n v="54.2"/>
    <n v="34"/>
    <n v="48.6"/>
    <n v="53.5"/>
    <n v="48.8"/>
    <n v="48.466666666666661"/>
    <n v="2.2119966756144467"/>
    <n v="34"/>
    <n v="44.225000000000001"/>
    <n v="48.7"/>
  </r>
  <r>
    <n v="907"/>
    <x v="14"/>
    <x v="14"/>
    <x v="4"/>
    <x v="3"/>
    <x v="1"/>
    <x v="1"/>
    <x v="0"/>
    <n v="13.323"/>
    <n v="62.8"/>
    <n v="64.599999999999994"/>
    <n v="63.5"/>
    <n v="64"/>
    <n v="65.2"/>
    <n v="65.5"/>
    <n v="65.8"/>
    <n v="63.4"/>
    <n v="64.400000000000006"/>
    <n v="63.6"/>
    <n v="66.400000000000006"/>
    <n v="62.7"/>
    <n v="64.325000000000003"/>
    <n v="0.34643749709569627"/>
    <n v="62.7"/>
    <n v="63.475000000000001"/>
    <n v="64.2"/>
  </r>
  <r>
    <n v="908"/>
    <x v="15"/>
    <x v="15"/>
    <x v="5"/>
    <x v="1"/>
    <x v="0"/>
    <x v="1"/>
    <x v="0"/>
    <n v="13.307"/>
    <n v="64.400000000000006"/>
    <n v="56.1"/>
    <n v="59.4"/>
    <n v="51.3"/>
    <n v="61.4"/>
    <n v="44.2"/>
    <n v="49.4"/>
    <n v="59.6"/>
    <n v="41.9"/>
    <n v="60.8"/>
    <n v="57.2"/>
    <n v="49.4"/>
    <n v="54.591666666666661"/>
    <n v="2.0820101858880276"/>
    <n v="41.9"/>
    <n v="49.4"/>
    <n v="56.65"/>
  </r>
  <r>
    <n v="101"/>
    <x v="0"/>
    <x v="0"/>
    <x v="0"/>
    <x v="0"/>
    <x v="0"/>
    <x v="0"/>
    <x v="1"/>
    <n v="13.159000000000001"/>
    <n v="29.9"/>
    <n v="30.7"/>
    <n v="30.1"/>
    <n v="28.8"/>
    <n v="30.6"/>
    <n v="30.1"/>
    <n v="31.3"/>
    <n v="32.200000000000003"/>
    <n v="30.3"/>
    <n v="31.9"/>
    <n v="30.3"/>
    <n v="30.7"/>
    <n v="30.574999999999999"/>
    <n v="0.26346323991763126"/>
    <n v="28.8"/>
    <n v="30.1"/>
    <n v="30.45"/>
  </r>
  <r>
    <n v="102"/>
    <x v="1"/>
    <x v="1"/>
    <x v="0"/>
    <x v="1"/>
    <x v="1"/>
    <x v="0"/>
    <x v="1"/>
    <n v="13.141999999999999"/>
    <n v="32.1"/>
    <n v="31.2"/>
    <n v="30.4"/>
    <n v="31.1"/>
    <n v="29.3"/>
    <n v="29.8"/>
    <n v="29.1"/>
    <n v="28.4"/>
    <n v="29.6"/>
    <n v="29.1"/>
    <n v="31.3"/>
    <n v="31"/>
    <n v="30.2"/>
    <n v="0.32914029430216235"/>
    <n v="28.4"/>
    <n v="29.25"/>
    <n v="30.1"/>
  </r>
  <r>
    <n v="103"/>
    <x v="2"/>
    <x v="2"/>
    <x v="0"/>
    <x v="2"/>
    <x v="0"/>
    <x v="0"/>
    <x v="1"/>
    <n v="13.125999999999999"/>
    <n v="29.4"/>
    <n v="29.5"/>
    <n v="30.2"/>
    <n v="29.2"/>
    <n v="30"/>
    <n v="29.5"/>
    <n v="29.1"/>
    <n v="29.6"/>
    <n v="30.1"/>
    <n v="30.3"/>
    <n v="29"/>
    <n v="29.4"/>
    <n v="29.608333333333334"/>
    <n v="0.12700413577928538"/>
    <n v="29"/>
    <n v="29.35"/>
    <n v="29.5"/>
  </r>
  <r>
    <n v="104"/>
    <x v="3"/>
    <x v="3"/>
    <x v="1"/>
    <x v="1"/>
    <x v="1"/>
    <x v="0"/>
    <x v="1"/>
    <n v="13.108000000000001"/>
    <n v="31"/>
    <n v="31.7"/>
    <n v="34"/>
    <n v="33.200000000000003"/>
    <n v="34"/>
    <n v="32.4"/>
    <n v="34.5"/>
    <n v="33.299999999999997"/>
    <n v="34.9"/>
    <n v="35"/>
    <n v="35.1"/>
    <n v="33.4"/>
    <n v="33.541666666666664"/>
    <n v="0.38028265670406114"/>
    <n v="31"/>
    <n v="33"/>
    <n v="33.700000000000003"/>
  </r>
  <r>
    <n v="105"/>
    <x v="4"/>
    <x v="4"/>
    <x v="1"/>
    <x v="2"/>
    <x v="1"/>
    <x v="1"/>
    <x v="1"/>
    <n v="13.093"/>
    <n v="30.7"/>
    <n v="29.9"/>
    <n v="31.7"/>
    <n v="31.4"/>
    <n v="32.1"/>
    <n v="31.5"/>
    <n v="29.5"/>
    <n v="30.6"/>
    <n v="30.2"/>
    <n v="29.8"/>
    <n v="30.6"/>
    <n v="31.2"/>
    <n v="30.766666666666666"/>
    <n v="0.23751661292248452"/>
    <n v="29.5"/>
    <n v="30.125"/>
    <n v="30.65"/>
  </r>
  <r>
    <n v="106"/>
    <x v="5"/>
    <x v="5"/>
    <x v="1"/>
    <x v="1"/>
    <x v="0"/>
    <x v="1"/>
    <x v="1"/>
    <n v="13.077"/>
    <n v="30.6"/>
    <n v="31.1"/>
    <n v="31.1"/>
    <n v="30.5"/>
    <n v="31.1"/>
    <n v="30.4"/>
    <n v="30.3"/>
    <n v="28.7"/>
    <n v="31.4"/>
    <n v="31.7"/>
    <n v="30.6"/>
    <n v="30.7"/>
    <n v="30.683333333333334"/>
    <n v="0.21806078292646955"/>
    <n v="28.7"/>
    <n v="30.475000000000001"/>
    <n v="30.65"/>
  </r>
  <r>
    <n v="107"/>
    <x v="3"/>
    <x v="3"/>
    <x v="1"/>
    <x v="1"/>
    <x v="1"/>
    <x v="1"/>
    <x v="1"/>
    <n v="13.061"/>
    <n v="31.8"/>
    <n v="31.2"/>
    <n v="30.9"/>
    <n v="31.2"/>
    <n v="32"/>
    <n v="29.3"/>
    <n v="30.9"/>
    <n v="31.6"/>
    <n v="31.8"/>
    <n v="31.6"/>
    <n v="29.8"/>
    <n v="30.1"/>
    <n v="31.016666666666676"/>
    <n v="0.24979789810753364"/>
    <n v="29.3"/>
    <n v="30.7"/>
    <n v="31.2"/>
  </r>
  <r>
    <n v="108"/>
    <x v="6"/>
    <x v="6"/>
    <x v="0"/>
    <x v="1"/>
    <x v="0"/>
    <x v="1"/>
    <x v="1"/>
    <n v="13.045999999999999"/>
    <n v="30.1"/>
    <n v="29.3"/>
    <n v="30"/>
    <n v="28.6"/>
    <n v="30.5"/>
    <n v="30.2"/>
    <n v="31.3"/>
    <n v="30.2"/>
    <n v="31.3"/>
    <n v="31"/>
    <n v="34.4"/>
    <n v="30.3"/>
    <n v="30.6"/>
    <n v="0.41102237644610329"/>
    <n v="28.6"/>
    <n v="30.074999999999999"/>
    <n v="30.25"/>
  </r>
  <r>
    <n v="201"/>
    <x v="4"/>
    <x v="4"/>
    <x v="1"/>
    <x v="2"/>
    <x v="1"/>
    <x v="0"/>
    <x v="1"/>
    <n v="13.183"/>
    <n v="29.7"/>
    <n v="29.7"/>
    <n v="28.7"/>
    <n v="28.7"/>
    <n v="28.6"/>
    <n v="28.8"/>
    <n v="29.6"/>
    <n v="29"/>
    <n v="29.7"/>
    <n v="30.7"/>
    <n v="28.2"/>
    <n v="28.5"/>
    <n v="29.158333333333331"/>
    <n v="0.20760478673374519"/>
    <n v="28.2"/>
    <n v="28.675000000000001"/>
    <n v="28.9"/>
  </r>
  <r>
    <n v="202"/>
    <x v="5"/>
    <x v="5"/>
    <x v="1"/>
    <x v="1"/>
    <x v="0"/>
    <x v="0"/>
    <x v="1"/>
    <n v="13.198"/>
    <n v="31.9"/>
    <n v="32.200000000000003"/>
    <n v="31"/>
    <n v="32.6"/>
    <n v="32.6"/>
    <n v="33.700000000000003"/>
    <n v="33.200000000000003"/>
    <n v="33.5"/>
    <n v="33.4"/>
    <n v="33"/>
    <n v="32.799999999999997"/>
    <n v="35.200000000000003"/>
    <n v="32.924999999999997"/>
    <n v="0.30053613709003729"/>
    <n v="31"/>
    <n v="32.5"/>
    <n v="32.9"/>
  </r>
  <r>
    <n v="203"/>
    <x v="6"/>
    <x v="6"/>
    <x v="0"/>
    <x v="1"/>
    <x v="0"/>
    <x v="0"/>
    <x v="1"/>
    <n v="13.214"/>
    <n v="31.3"/>
    <n v="30.1"/>
    <n v="31.2"/>
    <n v="29.1"/>
    <n v="32.200000000000003"/>
    <n v="31.8"/>
    <n v="30"/>
    <n v="29.6"/>
    <n v="31.2"/>
    <n v="30.1"/>
    <n v="29.9"/>
    <n v="29.8"/>
    <n v="30.524999999999999"/>
    <n v="0.28045552772282284"/>
    <n v="29.1"/>
    <n v="29.875"/>
    <n v="30.1"/>
  </r>
  <r>
    <n v="204"/>
    <x v="7"/>
    <x v="7"/>
    <x v="1"/>
    <x v="2"/>
    <x v="0"/>
    <x v="0"/>
    <x v="1"/>
    <n v="13.228999999999999"/>
    <n v="28.8"/>
    <n v="30.1"/>
    <n v="29.6"/>
    <n v="29.3"/>
    <n v="29"/>
    <n v="28.2"/>
    <n v="29.1"/>
    <n v="28.5"/>
    <n v="28.8"/>
    <n v="28.6"/>
    <n v="29.3"/>
    <n v="30.4"/>
    <n v="29.141666666666666"/>
    <n v="0.18686339741350802"/>
    <n v="28.2"/>
    <n v="28.75"/>
    <n v="29.05"/>
  </r>
  <r>
    <n v="205"/>
    <x v="0"/>
    <x v="0"/>
    <x v="0"/>
    <x v="0"/>
    <x v="0"/>
    <x v="1"/>
    <x v="1"/>
    <n v="13.244"/>
    <n v="33"/>
    <n v="33.200000000000003"/>
    <n v="30.8"/>
    <n v="32.700000000000003"/>
    <n v="30.5"/>
    <n v="29.8"/>
    <n v="30.9"/>
    <n v="30.8"/>
    <n v="29.9"/>
    <n v="28.7"/>
    <n v="28.8"/>
    <n v="28"/>
    <n v="30.591666666666669"/>
    <n v="0.49120419955102901"/>
    <n v="28"/>
    <n v="29.55"/>
    <n v="30.65"/>
  </r>
  <r>
    <n v="206"/>
    <x v="8"/>
    <x v="8"/>
    <x v="1"/>
    <x v="0"/>
    <x v="1"/>
    <x v="1"/>
    <x v="1"/>
    <n v="13.259"/>
    <n v="29.7"/>
    <n v="30.6"/>
    <n v="30.2"/>
    <n v="28.8"/>
    <n v="31.4"/>
    <n v="28.8"/>
    <n v="28.8"/>
    <n v="29.9"/>
    <n v="28.6"/>
    <n v="28.6"/>
    <n v="30.8"/>
    <n v="31"/>
    <n v="29.766666666666669"/>
    <n v="0.29754890948437107"/>
    <n v="28.6"/>
    <n v="28.8"/>
    <n v="29.8"/>
  </r>
  <r>
    <n v="207"/>
    <x v="1"/>
    <x v="1"/>
    <x v="0"/>
    <x v="1"/>
    <x v="1"/>
    <x v="1"/>
    <x v="1"/>
    <n v="13.275"/>
    <n v="27.6"/>
    <n v="28.9"/>
    <n v="27.6"/>
    <n v="28.1"/>
    <n v="26"/>
    <n v="28.2"/>
    <n v="28.5"/>
    <n v="27.7"/>
    <n v="27.5"/>
    <n v="26.6"/>
    <n v="26.7"/>
    <n v="27.4"/>
    <n v="27.566666666666663"/>
    <n v="0.23878903245378677"/>
    <n v="26"/>
    <n v="27.225000000000001"/>
    <n v="27.6"/>
  </r>
  <r>
    <n v="208"/>
    <x v="9"/>
    <x v="9"/>
    <x v="0"/>
    <x v="0"/>
    <x v="1"/>
    <x v="1"/>
    <x v="1"/>
    <n v="13.291"/>
    <n v="28.4"/>
    <n v="29.1"/>
    <n v="29.7"/>
    <n v="28.8"/>
    <n v="29"/>
    <n v="28.5"/>
    <n v="28.7"/>
    <n v="29.6"/>
    <n v="28.1"/>
    <n v="29.2"/>
    <n v="29.5"/>
    <n v="29.8"/>
    <n v="29.033333333333331"/>
    <n v="0.15875144157464616"/>
    <n v="28.1"/>
    <n v="28.65"/>
    <n v="29.05"/>
  </r>
  <r>
    <n v="301"/>
    <x v="3"/>
    <x v="3"/>
    <x v="1"/>
    <x v="1"/>
    <x v="1"/>
    <x v="2"/>
    <x v="1"/>
    <n v="13.417"/>
    <n v="34.799999999999997"/>
    <n v="32.799999999999997"/>
    <n v="33.799999999999997"/>
    <n v="32.299999999999997"/>
    <n v="32.1"/>
    <n v="31.7"/>
    <n v="32.4"/>
    <n v="31.4"/>
    <n v="31.8"/>
    <n v="31.7"/>
    <n v="31.4"/>
    <n v="31.4"/>
    <n v="32.299999999999997"/>
    <n v="0.3040135563165921"/>
    <n v="31.4"/>
    <n v="31.625"/>
    <n v="31.95"/>
  </r>
  <r>
    <n v="302"/>
    <x v="1"/>
    <x v="1"/>
    <x v="0"/>
    <x v="1"/>
    <x v="1"/>
    <x v="2"/>
    <x v="1"/>
    <n v="13.433999999999999"/>
    <n v="29.8"/>
    <n v="26.8"/>
    <n v="28.4"/>
    <n v="27.7"/>
    <n v="28"/>
    <n v="27.7"/>
    <n v="27.2"/>
    <n v="26.4"/>
    <n v="27.9"/>
    <n v="28.3"/>
    <n v="28.6"/>
    <n v="27.9"/>
    <n v="27.891666666666666"/>
    <n v="0.25449246382045843"/>
    <n v="26.4"/>
    <n v="27.574999999999999"/>
    <n v="27.9"/>
  </r>
  <r>
    <n v="303"/>
    <x v="8"/>
    <x v="8"/>
    <x v="1"/>
    <x v="0"/>
    <x v="1"/>
    <x v="2"/>
    <x v="1"/>
    <n v="13.451000000000001"/>
    <n v="30.9"/>
    <n v="30.6"/>
    <n v="30.9"/>
    <n v="30"/>
    <n v="29.8"/>
    <n v="30.2"/>
    <n v="29.9"/>
    <n v="30.5"/>
    <n v="31.3"/>
    <n v="30"/>
    <n v="30"/>
    <n v="29.7"/>
    <n v="30.316666666666666"/>
    <n v="0.14813657362194635"/>
    <n v="29.7"/>
    <n v="29.975000000000001"/>
    <n v="30.1"/>
  </r>
  <r>
    <n v="304"/>
    <x v="9"/>
    <x v="9"/>
    <x v="0"/>
    <x v="0"/>
    <x v="1"/>
    <x v="2"/>
    <x v="1"/>
    <n v="13.468"/>
    <n v="26.7"/>
    <n v="26.7"/>
    <n v="27.5"/>
    <n v="28.1"/>
    <n v="28.5"/>
    <n v="28.4"/>
    <n v="27.3"/>
    <n v="27.4"/>
    <n v="29.1"/>
    <n v="27.2"/>
    <n v="28.6"/>
    <n v="28.2"/>
    <n v="27.808333333333337"/>
    <n v="0.22544848680352353"/>
    <n v="26.7"/>
    <n v="27.274999999999999"/>
    <n v="27.8"/>
  </r>
  <r>
    <n v="305"/>
    <x v="7"/>
    <x v="7"/>
    <x v="1"/>
    <x v="2"/>
    <x v="0"/>
    <x v="3"/>
    <x v="1"/>
    <n v="13.484"/>
    <n v="27.9"/>
    <n v="27.5"/>
    <n v="27.7"/>
    <n v="27.6"/>
    <n v="29.9"/>
    <n v="28.6"/>
    <n v="28.4"/>
    <n v="28.4"/>
    <n v="27.6"/>
    <n v="28.9"/>
    <n v="28.2"/>
    <n v="29.6"/>
    <n v="28.358333333333334"/>
    <n v="0.22745573439926564"/>
    <n v="27.5"/>
    <n v="27.675000000000001"/>
    <n v="28.3"/>
  </r>
  <r>
    <n v="306"/>
    <x v="1"/>
    <x v="1"/>
    <x v="0"/>
    <x v="1"/>
    <x v="1"/>
    <x v="3"/>
    <x v="1"/>
    <n v="13.500999999999999"/>
    <n v="28.1"/>
    <n v="28.2"/>
    <n v="28.8"/>
    <n v="29.5"/>
    <n v="28.9"/>
    <n v="29.8"/>
    <n v="28.2"/>
    <n v="28.1"/>
    <n v="31.1"/>
    <n v="32.1"/>
    <n v="30.5"/>
    <n v="29"/>
    <n v="29.358333333333334"/>
    <n v="0.37506733402217474"/>
    <n v="28.1"/>
    <n v="28.2"/>
    <n v="28.95"/>
  </r>
  <r>
    <n v="307"/>
    <x v="5"/>
    <x v="5"/>
    <x v="1"/>
    <x v="1"/>
    <x v="0"/>
    <x v="3"/>
    <x v="1"/>
    <n v="13.518000000000001"/>
    <n v="31.8"/>
    <n v="32.6"/>
    <n v="31.3"/>
    <n v="32.299999999999997"/>
    <n v="31"/>
    <n v="30.8"/>
    <n v="30.9"/>
    <n v="31.1"/>
    <n v="30.4"/>
    <n v="32.700000000000003"/>
    <n v="31.6"/>
    <n v="30.2"/>
    <n v="31.391666666666666"/>
    <n v="0.23755647919623787"/>
    <n v="30.2"/>
    <n v="30.875"/>
    <n v="31.2"/>
  </r>
  <r>
    <n v="308"/>
    <x v="2"/>
    <x v="2"/>
    <x v="0"/>
    <x v="2"/>
    <x v="0"/>
    <x v="3"/>
    <x v="1"/>
    <n v="13.536"/>
    <n v="28.1"/>
    <n v="28.1"/>
    <n v="28"/>
    <n v="28.9"/>
    <n v="28.7"/>
    <n v="30.5"/>
    <n v="29.2"/>
    <n v="29.4"/>
    <n v="29.7"/>
    <n v="30.2"/>
    <n v="29.9"/>
    <n v="29.1"/>
    <n v="29.15"/>
    <n v="0.24073750321578535"/>
    <n v="28"/>
    <n v="28.55"/>
    <n v="29.15"/>
  </r>
  <r>
    <n v="403"/>
    <x v="10"/>
    <x v="10"/>
    <x v="0"/>
    <x v="2"/>
    <x v="1"/>
    <x v="2"/>
    <x v="1"/>
    <n v="13.645"/>
    <n v="31"/>
    <n v="31.6"/>
    <n v="32.200000000000003"/>
    <n v="29.7"/>
    <n v="31.6"/>
    <n v="32.6"/>
    <n v="31.9"/>
    <n v="30.9"/>
    <n v="30.5"/>
    <n v="31.5"/>
    <n v="30.1"/>
    <n v="30.6"/>
    <n v="31.183333333333337"/>
    <n v="0.25070607362708808"/>
    <n v="29.7"/>
    <n v="30.574999999999999"/>
    <n v="31.25"/>
  </r>
  <r>
    <n v="404"/>
    <x v="6"/>
    <x v="6"/>
    <x v="0"/>
    <x v="1"/>
    <x v="0"/>
    <x v="2"/>
    <x v="1"/>
    <n v="13.628"/>
    <n v="29"/>
    <n v="29"/>
    <n v="30.2"/>
    <n v="30.7"/>
    <n v="30"/>
    <n v="31"/>
    <n v="29.9"/>
    <n v="29.7"/>
    <n v="30"/>
    <n v="29.8"/>
    <n v="29.9"/>
    <n v="29.8"/>
    <n v="29.916666666666668"/>
    <n v="0.16598344812212232"/>
    <n v="29"/>
    <n v="29.774999999999999"/>
    <n v="29.9"/>
  </r>
  <r>
    <n v="405"/>
    <x v="10"/>
    <x v="10"/>
    <x v="0"/>
    <x v="2"/>
    <x v="1"/>
    <x v="3"/>
    <x v="1"/>
    <n v="13.612"/>
    <n v="31.2"/>
    <n v="31"/>
    <n v="29.6"/>
    <n v="28.8"/>
    <n v="28.2"/>
    <n v="28.5"/>
    <n v="28.2"/>
    <n v="30"/>
    <n v="29.1"/>
    <n v="28.6"/>
    <n v="28.8"/>
    <n v="28"/>
    <n v="29.166666666666671"/>
    <n v="0.3095288044884662"/>
    <n v="28"/>
    <n v="28.425000000000001"/>
    <n v="28.8"/>
  </r>
  <r>
    <n v="406"/>
    <x v="6"/>
    <x v="6"/>
    <x v="0"/>
    <x v="1"/>
    <x v="0"/>
    <x v="3"/>
    <x v="1"/>
    <n v="13.595000000000001"/>
    <n v="27.1"/>
    <n v="27.8"/>
    <n v="28"/>
    <n v="27.3"/>
    <n v="29.8"/>
    <n v="28"/>
    <n v="28.4"/>
    <n v="29"/>
    <n v="29.3"/>
    <n v="29"/>
    <n v="31"/>
    <n v="29.9"/>
    <n v="28.716666666666669"/>
    <n v="0.33571121548439364"/>
    <n v="27.1"/>
    <n v="27.95"/>
    <n v="28.7"/>
  </r>
  <r>
    <n v="407"/>
    <x v="11"/>
    <x v="11"/>
    <x v="1"/>
    <x v="0"/>
    <x v="0"/>
    <x v="3"/>
    <x v="1"/>
    <n v="13.577"/>
    <n v="30.1"/>
    <n v="29.6"/>
    <n v="28.5"/>
    <n v="30.5"/>
    <n v="29.7"/>
    <n v="28.7"/>
    <n v="29.4"/>
    <n v="29.6"/>
    <n v="29.2"/>
    <n v="28.3"/>
    <n v="29.1"/>
    <n v="29.2"/>
    <n v="29.324999999999999"/>
    <n v="0.18427786989572659"/>
    <n v="28.3"/>
    <n v="29"/>
    <n v="29.3"/>
  </r>
  <r>
    <n v="408"/>
    <x v="3"/>
    <x v="3"/>
    <x v="1"/>
    <x v="1"/>
    <x v="1"/>
    <x v="3"/>
    <x v="1"/>
    <n v="13.56"/>
    <n v="34"/>
    <n v="32.9"/>
    <n v="32.200000000000003"/>
    <n v="32.200000000000003"/>
    <n v="31.2"/>
    <n v="29.9"/>
    <n v="32.1"/>
    <n v="32.700000000000003"/>
    <n v="32.6"/>
    <n v="33.4"/>
    <n v="31.9"/>
    <n v="32.200000000000003"/>
    <n v="32.274999999999999"/>
    <n v="0.30028395652360357"/>
    <n v="29.9"/>
    <n v="32.049999999999997"/>
    <n v="32.200000000000003"/>
  </r>
  <r>
    <n v="902"/>
    <x v="13"/>
    <x v="13"/>
    <x v="3"/>
    <x v="1"/>
    <x v="0"/>
    <x v="0"/>
    <x v="1"/>
    <n v="13.384"/>
    <n v="28.6"/>
    <n v="29.7"/>
    <n v="30.1"/>
    <n v="31.6"/>
    <n v="30.6"/>
    <n v="29.6"/>
    <n v="30.9"/>
    <n v="32.9"/>
    <n v="31.7"/>
    <n v="31.7"/>
    <n v="30.6"/>
    <n v="31.9"/>
    <n v="30.824999999999999"/>
    <n v="0.34752915726816774"/>
    <n v="28.6"/>
    <n v="30"/>
    <n v="30.75"/>
  </r>
  <r>
    <n v="904"/>
    <x v="15"/>
    <x v="15"/>
    <x v="5"/>
    <x v="1"/>
    <x v="0"/>
    <x v="0"/>
    <x v="1"/>
    <n v="13.359"/>
    <n v="30.3"/>
    <n v="30.2"/>
    <n v="31.7"/>
    <n v="34.1"/>
    <n v="29.5"/>
    <n v="33.6"/>
    <n v="30.4"/>
    <n v="33"/>
    <n v="30.7"/>
    <n v="32.299999999999997"/>
    <n v="32.200000000000003"/>
    <n v="31.5"/>
    <n v="31.625"/>
    <n v="0.42088021041045554"/>
    <n v="29.5"/>
    <n v="30.375"/>
    <n v="31.6"/>
  </r>
  <r>
    <n v="906"/>
    <x v="13"/>
    <x v="13"/>
    <x v="3"/>
    <x v="1"/>
    <x v="0"/>
    <x v="1"/>
    <x v="1"/>
    <n v="13.336"/>
    <n v="28.5"/>
    <n v="29.4"/>
    <n v="28.2"/>
    <n v="28.8"/>
    <n v="29.4"/>
    <n v="30.8"/>
    <n v="29.8"/>
    <n v="29.6"/>
    <n v="29.3"/>
    <n v="31.2"/>
    <n v="29.5"/>
    <n v="29.7"/>
    <n v="29.516666666666666"/>
    <n v="0.24551533104430279"/>
    <n v="28.2"/>
    <n v="29.175000000000001"/>
    <n v="29.45"/>
  </r>
  <r>
    <n v="908"/>
    <x v="15"/>
    <x v="15"/>
    <x v="5"/>
    <x v="1"/>
    <x v="0"/>
    <x v="1"/>
    <x v="1"/>
    <n v="13.313000000000001"/>
    <n v="29.6"/>
    <n v="32.6"/>
    <n v="30.4"/>
    <n v="32.4"/>
    <n v="29.9"/>
    <n v="30.1"/>
    <n v="31.2"/>
    <n v="32"/>
    <n v="30.5"/>
    <n v="32.799999999999997"/>
    <n v="30.1"/>
    <n v="32.5"/>
    <n v="31.175000000000001"/>
    <n v="0.34905174575139569"/>
    <n v="29.6"/>
    <n v="30.1"/>
    <n v="30.8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099"/>
    <n v="58.4"/>
    <n v="45.9"/>
    <n v="51.7"/>
    <n v="36.5"/>
    <n v="47.8"/>
    <n v="46.7"/>
    <n v="47.8"/>
    <n v="56.2"/>
    <n v="33.200000000000003"/>
    <n v="56.9"/>
    <n v="56.2"/>
    <n v="46.5"/>
    <n v="48.65"/>
    <n v="2.2866377328322463"/>
    <n v="33.200000000000003"/>
    <n v="46.35"/>
    <n v="47.8"/>
  </r>
  <r>
    <n v="102"/>
    <x v="1"/>
    <x v="1"/>
    <x v="0"/>
    <x v="1"/>
    <x v="1"/>
    <x v="0"/>
    <x v="0"/>
    <n v="13.08"/>
    <n v="58.5"/>
    <n v="51.6"/>
    <n v="55.3"/>
    <n v="48.6"/>
    <n v="46.3"/>
    <n v="44.3"/>
    <n v="55.2"/>
    <n v="42.3"/>
    <n v="43.4"/>
    <n v="57.2"/>
    <n v="37.6"/>
    <n v="47.2"/>
    <n v="48.958333333333336"/>
    <n v="1.9096032561659497"/>
    <n v="37.6"/>
    <n v="44.074999999999996"/>
    <n v="47.900000000000006"/>
  </r>
  <r>
    <n v="103"/>
    <x v="2"/>
    <x v="2"/>
    <x v="0"/>
    <x v="2"/>
    <x v="0"/>
    <x v="0"/>
    <x v="0"/>
    <n v="13.061"/>
    <n v="56.9"/>
    <n v="33.5"/>
    <n v="50.4"/>
    <n v="34.799999999999997"/>
    <n v="49.2"/>
    <n v="38.4"/>
    <n v="50"/>
    <n v="34.799999999999997"/>
    <n v="45.6"/>
    <n v="41"/>
    <n v="40.5"/>
    <n v="41"/>
    <n v="43.008333333333333"/>
    <n v="2.1361058570031655"/>
    <n v="33.5"/>
    <n v="37.5"/>
    <n v="41"/>
  </r>
  <r>
    <n v="104"/>
    <x v="3"/>
    <x v="3"/>
    <x v="1"/>
    <x v="1"/>
    <x v="1"/>
    <x v="0"/>
    <x v="0"/>
    <n v="13.041"/>
    <n v="58"/>
    <n v="48.7"/>
    <n v="56.7"/>
    <n v="39.4"/>
    <n v="55.3"/>
    <n v="44.7"/>
    <n v="42.3"/>
    <n v="52.6"/>
    <n v="33.1"/>
    <n v="53.5"/>
    <n v="48.9"/>
    <n v="42.4"/>
    <n v="47.966666666666669"/>
    <n v="2.2231336514755977"/>
    <n v="33.1"/>
    <n v="42.375"/>
    <n v="48.8"/>
  </r>
  <r>
    <n v="105"/>
    <x v="4"/>
    <x v="4"/>
    <x v="1"/>
    <x v="2"/>
    <x v="1"/>
    <x v="1"/>
    <x v="0"/>
    <n v="13.022"/>
    <n v="56.5"/>
    <n v="49.8"/>
    <n v="44.8"/>
    <n v="34.1"/>
    <n v="45.2"/>
    <n v="35"/>
    <n v="46.5"/>
    <n v="34.700000000000003"/>
    <n v="50.8"/>
    <n v="48.4"/>
    <n v="43.7"/>
    <n v="37.1"/>
    <n v="43.883333333333326"/>
    <n v="2.0904846956211722"/>
    <n v="34.1"/>
    <n v="36.575000000000003"/>
    <n v="45"/>
  </r>
  <r>
    <n v="106"/>
    <x v="5"/>
    <x v="5"/>
    <x v="1"/>
    <x v="1"/>
    <x v="0"/>
    <x v="1"/>
    <x v="0"/>
    <n v="13.002000000000001"/>
    <n v="56.8"/>
    <n v="35"/>
    <n v="56.6"/>
    <n v="45.5"/>
    <n v="43.2"/>
    <n v="43.7"/>
    <n v="41.2"/>
    <n v="54.9"/>
    <n v="39.1"/>
    <n v="58.1"/>
    <n v="49.3"/>
    <n v="44.8"/>
    <n v="47.349999999999994"/>
    <n v="2.2192511704572433"/>
    <n v="35"/>
    <n v="42.7"/>
    <n v="45.15"/>
  </r>
  <r>
    <n v="107"/>
    <x v="3"/>
    <x v="3"/>
    <x v="1"/>
    <x v="1"/>
    <x v="1"/>
    <x v="1"/>
    <x v="0"/>
    <n v="12.981"/>
    <n v="54.7"/>
    <n v="40.200000000000003"/>
    <n v="49.3"/>
    <n v="53.1"/>
    <n v="38.700000000000003"/>
    <n v="57.2"/>
    <n v="36.6"/>
    <n v="52.4"/>
    <n v="32.799999999999997"/>
    <n v="56.3"/>
    <n v="43.5"/>
    <n v="41.1"/>
    <n v="46.324999999999996"/>
    <n v="2.4433002085480351"/>
    <n v="32.799999999999997"/>
    <n v="39.825000000000003"/>
    <n v="46.4"/>
  </r>
  <r>
    <n v="108"/>
    <x v="6"/>
    <x v="6"/>
    <x v="0"/>
    <x v="1"/>
    <x v="0"/>
    <x v="1"/>
    <x v="0"/>
    <n v="12.962999999999999"/>
    <n v="60.5"/>
    <n v="43.6"/>
    <n v="59"/>
    <n v="44.8"/>
    <n v="49.8"/>
    <n v="53.3"/>
    <n v="41.6"/>
    <n v="55.3"/>
    <n v="34.4"/>
    <n v="58.8"/>
    <n v="38.5"/>
    <n v="53.3"/>
    <n v="49.408333333333331"/>
    <n v="2.505401991979356"/>
    <n v="34.4"/>
    <n v="43.1"/>
    <n v="51.55"/>
  </r>
  <r>
    <n v="201"/>
    <x v="4"/>
    <x v="4"/>
    <x v="1"/>
    <x v="2"/>
    <x v="1"/>
    <x v="0"/>
    <x v="0"/>
    <n v="13.128"/>
    <n v="58.3"/>
    <n v="47.7"/>
    <n v="49"/>
    <n v="37.799999999999997"/>
    <n v="52.3"/>
    <n v="38.700000000000003"/>
    <n v="47.6"/>
    <n v="48.9"/>
    <n v="34.799999999999997"/>
    <n v="54.4"/>
    <n v="42.9"/>
    <n v="40.700000000000003"/>
    <n v="46.091666666666669"/>
    <n v="2.074318374110327"/>
    <n v="34.799999999999997"/>
    <n v="40.200000000000003"/>
    <n v="47.650000000000006"/>
  </r>
  <r>
    <n v="202"/>
    <x v="5"/>
    <x v="5"/>
    <x v="1"/>
    <x v="1"/>
    <x v="0"/>
    <x v="0"/>
    <x v="0"/>
    <n v="13.148"/>
    <n v="58.7"/>
    <n v="53.3"/>
    <n v="54.2"/>
    <n v="45.7"/>
    <n v="57.2"/>
    <n v="53.1"/>
    <n v="54.6"/>
    <n v="57.6"/>
    <n v="38.5"/>
    <n v="57.8"/>
    <n v="51.4"/>
    <n v="37.799999999999997"/>
    <n v="51.658333333333331"/>
    <n v="2.0852460916223561"/>
    <n v="37.799999999999997"/>
    <n v="49.975000000000001"/>
    <n v="53.75"/>
  </r>
  <r>
    <n v="203"/>
    <x v="6"/>
    <x v="6"/>
    <x v="0"/>
    <x v="1"/>
    <x v="0"/>
    <x v="0"/>
    <x v="0"/>
    <n v="13.167999999999999"/>
    <n v="59.1"/>
    <n v="47"/>
    <n v="52.9"/>
    <n v="38.5"/>
    <n v="53.6"/>
    <n v="32.6"/>
    <n v="56.7"/>
    <n v="40.1"/>
    <n v="49.3"/>
    <n v="56.9"/>
    <n v="45.1"/>
    <n v="45.6"/>
    <n v="48.116666666666667"/>
    <n v="2.3677067710203121"/>
    <n v="32.6"/>
    <n v="43.85"/>
    <n v="48.15"/>
  </r>
  <r>
    <n v="204"/>
    <x v="7"/>
    <x v="7"/>
    <x v="1"/>
    <x v="2"/>
    <x v="0"/>
    <x v="0"/>
    <x v="0"/>
    <n v="13.186999999999999"/>
    <n v="54.9"/>
    <n v="43.4"/>
    <n v="46.7"/>
    <n v="37.6"/>
    <n v="50.9"/>
    <n v="31.5"/>
    <n v="43.7"/>
    <n v="43.6"/>
    <n v="33.4"/>
    <n v="54.8"/>
    <n v="36"/>
    <n v="54.8"/>
    <n v="44.274999999999999"/>
    <n v="2.4312711789215551"/>
    <n v="31.5"/>
    <n v="37.200000000000003"/>
    <n v="43.650000000000006"/>
  </r>
  <r>
    <n v="205"/>
    <x v="0"/>
    <x v="0"/>
    <x v="0"/>
    <x v="0"/>
    <x v="0"/>
    <x v="1"/>
    <x v="0"/>
    <n v="13.206"/>
    <n v="60.1"/>
    <n v="38.4"/>
    <n v="59.3"/>
    <n v="50.3"/>
    <n v="38.700000000000003"/>
    <n v="58.1"/>
    <n v="39.700000000000003"/>
    <n v="58.9"/>
    <n v="40.700000000000003"/>
    <n v="61.1"/>
    <n v="44"/>
    <n v="49.6"/>
    <n v="49.908333333333331"/>
    <n v="2.6791975939588286"/>
    <n v="38.4"/>
    <n v="40.450000000000003"/>
    <n v="49.95"/>
  </r>
  <r>
    <n v="206"/>
    <x v="8"/>
    <x v="8"/>
    <x v="1"/>
    <x v="0"/>
    <x v="1"/>
    <x v="1"/>
    <x v="0"/>
    <n v="13.224"/>
    <n v="55.7"/>
    <n v="51.4"/>
    <n v="56.3"/>
    <n v="40.4"/>
    <n v="53.7"/>
    <n v="50.4"/>
    <n v="50.7"/>
    <n v="50.1"/>
    <n v="35.9"/>
    <n v="51.4"/>
    <n v="48.3"/>
    <n v="53"/>
    <n v="49.774999999999999"/>
    <n v="1.7248243213133303"/>
    <n v="35.9"/>
    <n v="49.65"/>
    <n v="51.05"/>
  </r>
  <r>
    <n v="207"/>
    <x v="1"/>
    <x v="1"/>
    <x v="0"/>
    <x v="1"/>
    <x v="1"/>
    <x v="1"/>
    <x v="0"/>
    <n v="13.243"/>
    <n v="56.7"/>
    <n v="56.3"/>
    <n v="42"/>
    <n v="44.2"/>
    <n v="54.2"/>
    <n v="38.200000000000003"/>
    <n v="56.3"/>
    <n v="43.2"/>
    <n v="46.3"/>
    <n v="54.3"/>
    <n v="52.8"/>
    <n v="51.1"/>
    <n v="49.633333333333333"/>
    <n v="1.8761797635222635"/>
    <n v="38.200000000000003"/>
    <n v="43.95"/>
    <n v="51.95"/>
  </r>
  <r>
    <n v="208"/>
    <x v="9"/>
    <x v="9"/>
    <x v="0"/>
    <x v="0"/>
    <x v="1"/>
    <x v="1"/>
    <x v="0"/>
    <n v="13.263999999999999"/>
    <n v="60.6"/>
    <n v="57.2"/>
    <n v="57.3"/>
    <n v="44.5"/>
    <n v="56.4"/>
    <n v="42.9"/>
    <n v="48.1"/>
    <n v="57.9"/>
    <n v="39.799999999999997"/>
    <n v="60.7"/>
    <n v="49.7"/>
    <n v="56.4"/>
    <n v="52.625"/>
    <n v="2.0998241268345339"/>
    <n v="39.799999999999997"/>
    <n v="47.2"/>
    <n v="56.4"/>
  </r>
  <r>
    <n v="301"/>
    <x v="3"/>
    <x v="3"/>
    <x v="1"/>
    <x v="1"/>
    <x v="1"/>
    <x v="2"/>
    <x v="0"/>
    <n v="13.441000000000001"/>
    <n v="51.1"/>
    <n v="57.9"/>
    <n v="37.700000000000003"/>
    <n v="57.5"/>
    <n v="47"/>
    <n v="51.5"/>
    <n v="55.7"/>
    <n v="37.700000000000003"/>
    <n v="54.8"/>
    <n v="41.7"/>
    <n v="58.3"/>
    <n v="38.299999999999997"/>
    <n v="49.099999999999994"/>
    <n v="2.3902896996985392"/>
    <n v="37.700000000000003"/>
    <n v="40.85"/>
    <n v="51.3"/>
  </r>
  <r>
    <n v="302"/>
    <x v="1"/>
    <x v="1"/>
    <x v="0"/>
    <x v="1"/>
    <x v="1"/>
    <x v="2"/>
    <x v="0"/>
    <n v="13.46"/>
    <n v="59.5"/>
    <n v="46"/>
    <n v="58.6"/>
    <n v="48.4"/>
    <n v="38.200000000000003"/>
    <n v="54.6"/>
    <n v="34.299999999999997"/>
    <n v="42.2"/>
    <n v="53.5"/>
    <n v="44.5"/>
    <n v="30.5"/>
    <n v="51.3"/>
    <n v="46.800000000000004"/>
    <n v="2.6856239047148271"/>
    <n v="30.5"/>
    <n v="41.2"/>
    <n v="47.2"/>
  </r>
  <r>
    <n v="303"/>
    <x v="8"/>
    <x v="8"/>
    <x v="1"/>
    <x v="0"/>
    <x v="1"/>
    <x v="2"/>
    <x v="0"/>
    <n v="13.478999999999999"/>
    <n v="51.8"/>
    <n v="34.1"/>
    <n v="43.1"/>
    <n v="49.4"/>
    <n v="39.799999999999997"/>
    <n v="50.7"/>
    <n v="51.4"/>
    <n v="35.9"/>
    <n v="53.2"/>
    <n v="36.6"/>
    <n v="44.8"/>
    <n v="39.700000000000003"/>
    <n v="44.208333333333336"/>
    <n v="2.0032722599473987"/>
    <n v="34.1"/>
    <n v="38.925000000000004"/>
    <n v="43.95"/>
  </r>
  <r>
    <n v="304"/>
    <x v="9"/>
    <x v="9"/>
    <x v="0"/>
    <x v="0"/>
    <x v="1"/>
    <x v="2"/>
    <x v="0"/>
    <n v="13.499000000000001"/>
    <n v="60"/>
    <n v="52.6"/>
    <n v="56.5"/>
    <n v="38.9"/>
    <n v="56.2"/>
    <n v="34.799999999999997"/>
    <n v="57.9"/>
    <n v="39.4"/>
    <n v="57.3"/>
    <n v="41.1"/>
    <n v="56.9"/>
    <n v="47.5"/>
    <n v="49.925000000000004"/>
    <n v="2.6151691816180511"/>
    <n v="34.799999999999997"/>
    <n v="40.674999999999997"/>
    <n v="54.400000000000006"/>
  </r>
  <r>
    <n v="305"/>
    <x v="7"/>
    <x v="7"/>
    <x v="1"/>
    <x v="2"/>
    <x v="0"/>
    <x v="3"/>
    <x v="0"/>
    <n v="13.52"/>
    <n v="43.3"/>
    <n v="42.5"/>
    <n v="52.5"/>
    <n v="36.6"/>
    <n v="35.9"/>
    <n v="48.7"/>
    <n v="32.799999999999997"/>
    <n v="35.700000000000003"/>
    <n v="46.4"/>
    <n v="42.3"/>
    <n v="34.700000000000003"/>
    <n v="52.5"/>
    <n v="41.991666666666667"/>
    <n v="2.0052377752659605"/>
    <n v="32.799999999999997"/>
    <n v="35.85"/>
    <n v="42.4"/>
  </r>
  <r>
    <n v="306"/>
    <x v="1"/>
    <x v="1"/>
    <x v="0"/>
    <x v="1"/>
    <x v="1"/>
    <x v="3"/>
    <x v="0"/>
    <n v="13.542999999999999"/>
    <n v="58.4"/>
    <n v="36.6"/>
    <n v="59.9"/>
    <n v="55.9"/>
    <n v="32.4"/>
    <n v="55.1"/>
    <n v="34.1"/>
    <n v="55.2"/>
    <n v="43.5"/>
    <n v="52.8"/>
    <n v="34.200000000000003"/>
    <n v="57.1"/>
    <n v="47.933333333333337"/>
    <n v="3.1351461551483353"/>
    <n v="32.4"/>
    <n v="36"/>
    <n v="53.95"/>
  </r>
  <r>
    <n v="307"/>
    <x v="5"/>
    <x v="5"/>
    <x v="1"/>
    <x v="1"/>
    <x v="0"/>
    <x v="3"/>
    <x v="0"/>
    <n v="13.56"/>
    <n v="58.1"/>
    <n v="37.5"/>
    <n v="52"/>
    <n v="55.5"/>
    <n v="36.700000000000003"/>
    <n v="58.8"/>
    <n v="38.200000000000003"/>
    <n v="52.8"/>
    <n v="50.4"/>
    <n v="49.9"/>
    <n v="42.5"/>
    <n v="58.3"/>
    <n v="49.224999999999994"/>
    <n v="2.4240313591831004"/>
    <n v="36.700000000000003"/>
    <n v="41.424999999999997"/>
    <n v="51.2"/>
  </r>
  <r>
    <n v="308"/>
    <x v="2"/>
    <x v="2"/>
    <x v="0"/>
    <x v="2"/>
    <x v="0"/>
    <x v="3"/>
    <x v="0"/>
    <n v="13.577"/>
    <n v="54.5"/>
    <n v="46.9"/>
    <n v="49.4"/>
    <n v="41.2"/>
    <n v="54.3"/>
    <n v="36.1"/>
    <n v="49.9"/>
    <n v="41.1"/>
    <n v="36.799999999999997"/>
    <n v="53.9"/>
    <n v="32.700000000000003"/>
    <n v="45.7"/>
    <n v="45.208333333333336"/>
    <n v="2.1851585593024936"/>
    <n v="32.700000000000003"/>
    <n v="40.024999999999999"/>
    <n v="46.3"/>
  </r>
  <r>
    <n v="403"/>
    <x v="10"/>
    <x v="10"/>
    <x v="0"/>
    <x v="2"/>
    <x v="1"/>
    <x v="2"/>
    <x v="0"/>
    <n v="13.707000000000001"/>
    <n v="58.9"/>
    <n v="37"/>
    <n v="51.5"/>
    <n v="47.4"/>
    <n v="37.5"/>
    <n v="47.8"/>
    <n v="41.4"/>
    <n v="50.3"/>
    <n v="39.1"/>
    <n v="50.7"/>
    <n v="33.700000000000003"/>
    <n v="54.3"/>
    <n v="45.800000000000004"/>
    <n v="2.2766269573714197"/>
    <n v="33.700000000000003"/>
    <n v="38.700000000000003"/>
    <n v="47.599999999999994"/>
  </r>
  <r>
    <n v="404"/>
    <x v="6"/>
    <x v="6"/>
    <x v="0"/>
    <x v="1"/>
    <x v="0"/>
    <x v="2"/>
    <x v="0"/>
    <n v="13.686"/>
    <n v="61.2"/>
    <n v="60.1"/>
    <n v="39.9"/>
    <n v="42.2"/>
    <n v="53.5"/>
    <n v="55.1"/>
    <n v="37.200000000000003"/>
    <n v="59.6"/>
    <n v="36.5"/>
    <n v="60.2"/>
    <n v="42"/>
    <n v="39.799999999999997"/>
    <n v="48.941666666666663"/>
    <n v="2.91995377540555"/>
    <n v="36.5"/>
    <n v="39.875"/>
    <n v="47.85"/>
  </r>
  <r>
    <n v="405"/>
    <x v="10"/>
    <x v="10"/>
    <x v="0"/>
    <x v="2"/>
    <x v="1"/>
    <x v="3"/>
    <x v="0"/>
    <n v="13.664999999999999"/>
    <n v="58.1"/>
    <n v="42"/>
    <n v="48.3"/>
    <n v="36.200000000000003"/>
    <n v="52.3"/>
    <n v="33.5"/>
    <n v="50.6"/>
    <n v="36.1"/>
    <n v="37"/>
    <n v="55.2"/>
    <n v="40.9"/>
    <n v="39.799999999999997"/>
    <n v="44.166666666666664"/>
    <n v="2.4130432606519521"/>
    <n v="33.5"/>
    <n v="36.799999999999997"/>
    <n v="41.45"/>
  </r>
  <r>
    <n v="406"/>
    <x v="6"/>
    <x v="6"/>
    <x v="0"/>
    <x v="1"/>
    <x v="0"/>
    <x v="3"/>
    <x v="0"/>
    <n v="13.646000000000001"/>
    <n v="60.3"/>
    <n v="55.1"/>
    <n v="54"/>
    <n v="38.5"/>
    <n v="53.8"/>
    <n v="36.700000000000003"/>
    <n v="57.8"/>
    <n v="43"/>
    <n v="50.1"/>
    <n v="52.2"/>
    <n v="46.3"/>
    <n v="37.4"/>
    <n v="48.766666666666659"/>
    <n v="2.3686184866612763"/>
    <n v="36.700000000000003"/>
    <n v="41.875"/>
    <n v="51.150000000000006"/>
  </r>
  <r>
    <n v="407"/>
    <x v="11"/>
    <x v="11"/>
    <x v="1"/>
    <x v="0"/>
    <x v="0"/>
    <x v="3"/>
    <x v="0"/>
    <n v="13.627000000000001"/>
    <n v="57.5"/>
    <n v="36.299999999999997"/>
    <n v="54.5"/>
    <n v="38.700000000000003"/>
    <n v="48.4"/>
    <n v="33.4"/>
    <n v="51.3"/>
    <n v="51.8"/>
    <n v="43"/>
    <n v="54.2"/>
    <n v="49.5"/>
    <n v="37.6"/>
    <n v="46.35"/>
    <n v="2.3608389623310972"/>
    <n v="33.4"/>
    <n v="38.425000000000004"/>
    <n v="48.95"/>
  </r>
  <r>
    <n v="408"/>
    <x v="3"/>
    <x v="3"/>
    <x v="1"/>
    <x v="1"/>
    <x v="1"/>
    <x v="3"/>
    <x v="0"/>
    <n v="13.606999999999999"/>
    <n v="59.7"/>
    <n v="56.5"/>
    <n v="54.7"/>
    <n v="40.5"/>
    <n v="54.8"/>
    <n v="36.4"/>
    <n v="56.8"/>
    <n v="40.1"/>
    <n v="52"/>
    <n v="44"/>
    <n v="53.3"/>
    <n v="37.1"/>
    <n v="48.824999999999996"/>
    <n v="2.4643864870542824"/>
    <n v="36.4"/>
    <n v="40.4"/>
    <n v="52.65"/>
  </r>
  <r>
    <n v="901"/>
    <x v="12"/>
    <x v="12"/>
    <x v="2"/>
    <x v="3"/>
    <x v="1"/>
    <x v="0"/>
    <x v="0"/>
    <n v="13.417999999999999"/>
    <n v="55.8"/>
    <n v="56.1"/>
    <n v="56.7"/>
    <n v="55.2"/>
    <n v="57.1"/>
    <n v="57"/>
    <n v="57.2"/>
    <n v="55.9"/>
    <n v="56.5"/>
    <n v="56.8"/>
    <n v="56.2"/>
    <n v="54.6"/>
    <n v="56.258333333333333"/>
    <n v="0.22911500795180725"/>
    <n v="54.6"/>
    <n v="55.875"/>
    <n v="56.35"/>
  </r>
  <r>
    <n v="902"/>
    <x v="13"/>
    <x v="13"/>
    <x v="3"/>
    <x v="1"/>
    <x v="0"/>
    <x v="0"/>
    <x v="0"/>
    <n v="13.395"/>
    <n v="57.6"/>
    <n v="40.5"/>
    <n v="48"/>
    <n v="35.700000000000003"/>
    <n v="39.1"/>
    <n v="51.4"/>
    <n v="35.5"/>
    <n v="42.4"/>
    <n v="44.6"/>
    <n v="48.9"/>
    <n v="50.9"/>
    <n v="40.200000000000003"/>
    <n v="44.566666666666663"/>
    <n v="1.9814416749203498"/>
    <n v="35.5"/>
    <n v="39.924999999999997"/>
    <n v="43.5"/>
  </r>
  <r>
    <n v="903"/>
    <x v="14"/>
    <x v="14"/>
    <x v="4"/>
    <x v="3"/>
    <x v="1"/>
    <x v="0"/>
    <x v="0"/>
    <n v="13.385999999999999"/>
    <n v="63.1"/>
    <n v="64.5"/>
    <n v="65"/>
    <n v="66.099999999999994"/>
    <n v="62.2"/>
    <n v="64.900000000000006"/>
    <n v="65"/>
    <n v="62.5"/>
    <n v="65.8"/>
    <n v="64.5"/>
    <n v="66.400000000000006"/>
    <n v="64.8"/>
    <n v="64.566666666666649"/>
    <n v="0.38736353087325159"/>
    <n v="62.2"/>
    <n v="64.150000000000006"/>
    <n v="64.849999999999994"/>
  </r>
  <r>
    <n v="904"/>
    <x v="15"/>
    <x v="15"/>
    <x v="5"/>
    <x v="1"/>
    <x v="0"/>
    <x v="0"/>
    <x v="0"/>
    <n v="13.358000000000001"/>
    <n v="66.3"/>
    <n v="46.8"/>
    <n v="59.3"/>
    <n v="51.5"/>
    <n v="42"/>
    <n v="66.900000000000006"/>
    <n v="43.5"/>
    <n v="62.8"/>
    <n v="43.1"/>
    <n v="59.3"/>
    <n v="45.8"/>
    <n v="62.5"/>
    <n v="54.15"/>
    <n v="2.7820991638645509"/>
    <n v="42"/>
    <n v="45.225000000000001"/>
    <n v="55.4"/>
  </r>
  <r>
    <n v="905"/>
    <x v="12"/>
    <x v="12"/>
    <x v="2"/>
    <x v="3"/>
    <x v="1"/>
    <x v="1"/>
    <x v="0"/>
    <n v="13.346"/>
    <n v="60.7"/>
    <n v="58.8"/>
    <n v="57.6"/>
    <n v="57.9"/>
    <n v="56.7"/>
    <n v="57.4"/>
    <n v="60.6"/>
    <n v="57.9"/>
    <n v="56.9"/>
    <n v="58.5"/>
    <n v="59.5"/>
    <n v="58.2"/>
    <n v="58.391666666666673"/>
    <n v="0.37768399756962523"/>
    <n v="56.7"/>
    <n v="57.55"/>
    <n v="58.05"/>
  </r>
  <r>
    <n v="906"/>
    <x v="13"/>
    <x v="13"/>
    <x v="3"/>
    <x v="1"/>
    <x v="0"/>
    <x v="1"/>
    <x v="0"/>
    <n v="13.32"/>
    <n v="60.8"/>
    <n v="57.7"/>
    <n v="44.7"/>
    <n v="35"/>
    <n v="54.5"/>
    <n v="37.9"/>
    <n v="40.700000000000003"/>
    <n v="54.9"/>
    <n v="36.4"/>
    <n v="58.7"/>
    <n v="39.200000000000003"/>
    <n v="53.2"/>
    <n v="47.80833333333333"/>
    <n v="2.8016082592653642"/>
    <n v="35"/>
    <n v="38.875"/>
    <n v="48.95"/>
  </r>
  <r>
    <n v="907"/>
    <x v="14"/>
    <x v="14"/>
    <x v="4"/>
    <x v="3"/>
    <x v="1"/>
    <x v="1"/>
    <x v="0"/>
    <n v="13.308999999999999"/>
    <n v="65.7"/>
    <n v="65.599999999999994"/>
    <n v="65"/>
    <n v="63.2"/>
    <n v="64.3"/>
    <n v="64.8"/>
    <n v="64.7"/>
    <n v="64.099999999999994"/>
    <n v="66.099999999999994"/>
    <n v="65.900000000000006"/>
    <n v="63"/>
    <n v="63"/>
    <n v="64.61666666666666"/>
    <n v="0.32306142893995876"/>
    <n v="63"/>
    <n v="63.875"/>
    <n v="64.75"/>
  </r>
  <r>
    <n v="908"/>
    <x v="15"/>
    <x v="15"/>
    <x v="5"/>
    <x v="1"/>
    <x v="0"/>
    <x v="1"/>
    <x v="0"/>
    <n v="13.289"/>
    <n v="68.7"/>
    <n v="65.8"/>
    <n v="61.4"/>
    <n v="44.3"/>
    <n v="45.1"/>
    <n v="65.400000000000006"/>
    <n v="45.4"/>
    <n v="59.5"/>
    <n v="39.9"/>
    <n v="63.7"/>
    <n v="41.4"/>
    <n v="65"/>
    <n v="55.466666666666669"/>
    <n v="3.2150294153264145"/>
    <n v="39.9"/>
    <n v="44.9"/>
    <n v="60.45"/>
  </r>
  <r>
    <n v="101"/>
    <x v="0"/>
    <x v="0"/>
    <x v="0"/>
    <x v="0"/>
    <x v="0"/>
    <x v="0"/>
    <x v="1"/>
    <n v="13.103999999999999"/>
    <n v="27.3"/>
    <n v="27.7"/>
    <n v="28.5"/>
    <n v="28.1"/>
    <n v="28.3"/>
    <n v="29.1"/>
    <n v="29.3"/>
    <n v="29.3"/>
    <n v="28.6"/>
    <n v="30.6"/>
    <n v="29.3"/>
    <n v="30.2"/>
    <n v="28.858333333333338"/>
    <n v="0.27973427145461999"/>
    <n v="27.3"/>
    <n v="28.25"/>
    <n v="28.85"/>
  </r>
  <r>
    <n v="102"/>
    <x v="1"/>
    <x v="1"/>
    <x v="0"/>
    <x v="1"/>
    <x v="1"/>
    <x v="0"/>
    <x v="1"/>
    <n v="13.084"/>
    <n v="29.9"/>
    <n v="30.2"/>
    <n v="30.3"/>
    <n v="30.2"/>
    <n v="29.3"/>
    <n v="30.6"/>
    <n v="29.6"/>
    <n v="30.1"/>
    <n v="30.1"/>
    <n v="28.7"/>
    <n v="29.8"/>
    <n v="29.6"/>
    <n v="29.866666666666671"/>
    <n v="0.14788065075827567"/>
    <n v="28.7"/>
    <n v="29.6"/>
    <n v="30"/>
  </r>
  <r>
    <n v="103"/>
    <x v="2"/>
    <x v="2"/>
    <x v="0"/>
    <x v="2"/>
    <x v="0"/>
    <x v="0"/>
    <x v="1"/>
    <n v="13.066000000000001"/>
    <n v="30.8"/>
    <n v="30.3"/>
    <n v="29.6"/>
    <n v="29.7"/>
    <n v="28.2"/>
    <n v="30.3"/>
    <n v="27.8"/>
    <n v="28.9"/>
    <n v="30.9"/>
    <n v="29.5"/>
    <n v="27.2"/>
    <n v="27.9"/>
    <n v="29.258333333333329"/>
    <n v="0.35959959494815757"/>
    <n v="27.2"/>
    <n v="28.125"/>
    <n v="29.55"/>
  </r>
  <r>
    <n v="104"/>
    <x v="3"/>
    <x v="3"/>
    <x v="1"/>
    <x v="1"/>
    <x v="1"/>
    <x v="0"/>
    <x v="1"/>
    <n v="13.045999999999999"/>
    <n v="29"/>
    <n v="27.5"/>
    <n v="28.4"/>
    <n v="28.6"/>
    <n v="28.6"/>
    <n v="27.8"/>
    <n v="27.8"/>
    <n v="27.8"/>
    <n v="28"/>
    <n v="29"/>
    <n v="28.5"/>
    <n v="29.4"/>
    <n v="28.366666666666664"/>
    <n v="0.17070856493282793"/>
    <n v="27.5"/>
    <n v="27.8"/>
    <n v="28.45"/>
  </r>
  <r>
    <n v="105"/>
    <x v="4"/>
    <x v="4"/>
    <x v="1"/>
    <x v="2"/>
    <x v="1"/>
    <x v="1"/>
    <x v="1"/>
    <n v="13.026999999999999"/>
    <n v="30.6"/>
    <n v="28.9"/>
    <n v="28.6"/>
    <n v="28.2"/>
    <n v="27.8"/>
    <n v="27.7"/>
    <n v="28.5"/>
    <n v="29.1"/>
    <n v="30"/>
    <n v="28.8"/>
    <n v="27.7"/>
    <n v="28.3"/>
    <n v="28.683333333333334"/>
    <n v="0.25785635340226271"/>
    <n v="27.7"/>
    <n v="28.1"/>
    <n v="28.55"/>
  </r>
  <r>
    <n v="106"/>
    <x v="5"/>
    <x v="5"/>
    <x v="1"/>
    <x v="1"/>
    <x v="0"/>
    <x v="1"/>
    <x v="1"/>
    <n v="13.007"/>
    <n v="26.7"/>
    <n v="28.3"/>
    <n v="27.6"/>
    <n v="29"/>
    <n v="26.8"/>
    <n v="28.7"/>
    <n v="27.3"/>
    <n v="27.8"/>
    <n v="28.2"/>
    <n v="27.1"/>
    <n v="28.1"/>
    <n v="27.8"/>
    <n v="27.783333333333335"/>
    <n v="0.20846965237073567"/>
    <n v="26.7"/>
    <n v="27.25"/>
    <n v="27.8"/>
  </r>
  <r>
    <n v="107"/>
    <x v="3"/>
    <x v="3"/>
    <x v="1"/>
    <x v="1"/>
    <x v="1"/>
    <x v="1"/>
    <x v="1"/>
    <n v="12.986000000000001"/>
    <n v="30"/>
    <n v="29.4"/>
    <n v="28.8"/>
    <n v="30.3"/>
    <n v="28.9"/>
    <n v="28.5"/>
    <n v="27.8"/>
    <n v="29"/>
    <n v="28.1"/>
    <n v="28.2"/>
    <n v="28.3"/>
    <n v="28.6"/>
    <n v="28.824999999999999"/>
    <n v="0.21885549404276186"/>
    <n v="27.8"/>
    <n v="28.274999999999999"/>
    <n v="28.7"/>
  </r>
  <r>
    <n v="108"/>
    <x v="6"/>
    <x v="6"/>
    <x v="0"/>
    <x v="1"/>
    <x v="0"/>
    <x v="1"/>
    <x v="1"/>
    <n v="12.967000000000001"/>
    <n v="30"/>
    <n v="29.4"/>
    <n v="29.3"/>
    <n v="31.3"/>
    <n v="30.7"/>
    <n v="30.6"/>
    <n v="29.7"/>
    <n v="30"/>
    <n v="29.6"/>
    <n v="30.5"/>
    <n v="29.2"/>
    <n v="30.5"/>
    <n v="30.066666666666663"/>
    <n v="0.18923023227826505"/>
    <n v="29.2"/>
    <n v="29.55"/>
    <n v="30"/>
  </r>
  <r>
    <n v="201"/>
    <x v="4"/>
    <x v="4"/>
    <x v="1"/>
    <x v="2"/>
    <x v="1"/>
    <x v="0"/>
    <x v="1"/>
    <n v="13.134"/>
    <n v="31.7"/>
    <n v="30.2"/>
    <n v="31.6"/>
    <n v="32.4"/>
    <n v="31"/>
    <n v="28.8"/>
    <n v="28.6"/>
    <n v="32.5"/>
    <n v="31.5"/>
    <n v="29.9"/>
    <n v="31.6"/>
    <n v="29.9"/>
    <n v="30.808333333333334"/>
    <n v="0.3782852726114983"/>
    <n v="28.6"/>
    <n v="29.9"/>
    <n v="31.25"/>
  </r>
  <r>
    <n v="202"/>
    <x v="5"/>
    <x v="5"/>
    <x v="1"/>
    <x v="1"/>
    <x v="0"/>
    <x v="0"/>
    <x v="1"/>
    <n v="13.153"/>
    <n v="27.9"/>
    <n v="29.3"/>
    <n v="31.5"/>
    <n v="30.8"/>
    <n v="29.9"/>
    <n v="31.9"/>
    <n v="32.299999999999997"/>
    <n v="30.4"/>
    <n v="31.2"/>
    <n v="31"/>
    <n v="30.1"/>
    <n v="31.3"/>
    <n v="30.63333333333334"/>
    <n v="0.35018032872538685"/>
    <n v="27.9"/>
    <n v="30.05"/>
    <n v="30.9"/>
  </r>
  <r>
    <n v="203"/>
    <x v="6"/>
    <x v="6"/>
    <x v="0"/>
    <x v="1"/>
    <x v="0"/>
    <x v="0"/>
    <x v="1"/>
    <n v="13.173999999999999"/>
    <n v="28.6"/>
    <n v="29.3"/>
    <n v="29.4"/>
    <n v="31.4"/>
    <n v="27.9"/>
    <n v="29.4"/>
    <n v="27.4"/>
    <n v="29.1"/>
    <n v="28"/>
    <n v="29.1"/>
    <n v="30.4"/>
    <n v="29.3"/>
    <n v="29.108333333333334"/>
    <n v="0.31417480497455236"/>
    <n v="27.4"/>
    <n v="28.45"/>
    <n v="29.2"/>
  </r>
  <r>
    <n v="204"/>
    <x v="7"/>
    <x v="7"/>
    <x v="1"/>
    <x v="2"/>
    <x v="0"/>
    <x v="0"/>
    <x v="1"/>
    <n v="13.192"/>
    <n v="29.4"/>
    <n v="28.8"/>
    <n v="29"/>
    <n v="30.2"/>
    <n v="28.6"/>
    <n v="28.9"/>
    <n v="30.5"/>
    <n v="29.7"/>
    <n v="31.4"/>
    <n v="29.4"/>
    <n v="30.5"/>
    <n v="29.7"/>
    <n v="29.675000000000001"/>
    <n v="0.24218856915700834"/>
    <n v="28.6"/>
    <n v="28.975000000000001"/>
    <n v="29.55"/>
  </r>
  <r>
    <n v="205"/>
    <x v="0"/>
    <x v="0"/>
    <x v="0"/>
    <x v="0"/>
    <x v="0"/>
    <x v="1"/>
    <x v="1"/>
    <n v="13.211"/>
    <n v="27.1"/>
    <n v="26.2"/>
    <n v="28.3"/>
    <n v="27.2"/>
    <n v="26.7"/>
    <n v="26.9"/>
    <n v="27.7"/>
    <n v="29.6"/>
    <n v="28.9"/>
    <n v="29.9"/>
    <n v="32.1"/>
    <n v="30.6"/>
    <n v="28.433333333333337"/>
    <n v="0.52271629325313951"/>
    <n v="26.2"/>
    <n v="27.05"/>
    <n v="28"/>
  </r>
  <r>
    <n v="206"/>
    <x v="8"/>
    <x v="8"/>
    <x v="1"/>
    <x v="0"/>
    <x v="1"/>
    <x v="1"/>
    <x v="1"/>
    <n v="13.231"/>
    <n v="29.1"/>
    <n v="28.6"/>
    <n v="29.6"/>
    <n v="29.2"/>
    <n v="31.1"/>
    <n v="28.9"/>
    <n v="30.7"/>
    <n v="30.2"/>
    <n v="31.1"/>
    <n v="31"/>
    <n v="30.4"/>
    <n v="29.9"/>
    <n v="29.983333333333331"/>
    <n v="0.25961315432583454"/>
    <n v="28.6"/>
    <n v="29.175000000000001"/>
    <n v="30.05"/>
  </r>
  <r>
    <n v="207"/>
    <x v="1"/>
    <x v="1"/>
    <x v="0"/>
    <x v="1"/>
    <x v="1"/>
    <x v="1"/>
    <x v="1"/>
    <n v="13.249000000000001"/>
    <n v="29.3"/>
    <n v="31.6"/>
    <n v="31.6"/>
    <n v="30.9"/>
    <n v="30.6"/>
    <n v="29.7"/>
    <n v="30"/>
    <n v="28.5"/>
    <n v="29.3"/>
    <n v="29.4"/>
    <n v="28.9"/>
    <n v="29.8"/>
    <n v="29.966666666666665"/>
    <n v="0.29137431235271838"/>
    <n v="28.5"/>
    <n v="29.3"/>
    <n v="29.75"/>
  </r>
  <r>
    <n v="208"/>
    <x v="9"/>
    <x v="9"/>
    <x v="0"/>
    <x v="0"/>
    <x v="1"/>
    <x v="1"/>
    <x v="1"/>
    <n v="13.269"/>
    <n v="27.7"/>
    <n v="28.8"/>
    <n v="29.6"/>
    <n v="30.8"/>
    <n v="28.3"/>
    <n v="28.7"/>
    <n v="28.3"/>
    <n v="27.7"/>
    <n v="29.1"/>
    <n v="29.7"/>
    <n v="29.3"/>
    <n v="29.7"/>
    <n v="28.975000000000001"/>
    <n v="0.26346323991760512"/>
    <n v="27.7"/>
    <n v="28.3"/>
    <n v="28.95"/>
  </r>
  <r>
    <n v="301"/>
    <x v="3"/>
    <x v="3"/>
    <x v="1"/>
    <x v="1"/>
    <x v="1"/>
    <x v="2"/>
    <x v="1"/>
    <n v="13.446"/>
    <n v="29.8"/>
    <n v="30"/>
    <n v="29.4"/>
    <n v="31.1"/>
    <n v="30.4"/>
    <n v="30.1"/>
    <n v="29.5"/>
    <n v="29.2"/>
    <n v="28.8"/>
    <n v="28.5"/>
    <n v="28.5"/>
    <n v="27.2"/>
    <n v="29.375"/>
    <n v="0.29851272750903196"/>
    <n v="27.2"/>
    <n v="28.725000000000001"/>
    <n v="29.45"/>
  </r>
  <r>
    <n v="302"/>
    <x v="1"/>
    <x v="1"/>
    <x v="0"/>
    <x v="1"/>
    <x v="1"/>
    <x v="2"/>
    <x v="1"/>
    <n v="13.465"/>
    <n v="30.1"/>
    <n v="28.8"/>
    <n v="28.3"/>
    <n v="31.4"/>
    <n v="30.9"/>
    <n v="30"/>
    <n v="28.4"/>
    <n v="30.1"/>
    <n v="29.4"/>
    <n v="31"/>
    <n v="30.1"/>
    <n v="29.4"/>
    <n v="29.824999999999999"/>
    <n v="0.28923226485011538"/>
    <n v="28.3"/>
    <n v="29.25"/>
    <n v="30.05"/>
  </r>
  <r>
    <n v="303"/>
    <x v="8"/>
    <x v="8"/>
    <x v="1"/>
    <x v="0"/>
    <x v="1"/>
    <x v="2"/>
    <x v="1"/>
    <n v="13.484"/>
    <n v="27.6"/>
    <n v="28.6"/>
    <n v="29.4"/>
    <n v="27.9"/>
    <n v="28"/>
    <n v="29.7"/>
    <n v="28.8"/>
    <n v="27.7"/>
    <n v="27"/>
    <n v="27.4"/>
    <n v="27"/>
    <n v="29"/>
    <n v="28.175000000000001"/>
    <n v="0.26259918760985101"/>
    <n v="27"/>
    <n v="27.55"/>
    <n v="27.95"/>
  </r>
  <r>
    <n v="304"/>
    <x v="9"/>
    <x v="9"/>
    <x v="0"/>
    <x v="0"/>
    <x v="1"/>
    <x v="2"/>
    <x v="1"/>
    <n v="13.504"/>
    <n v="28.2"/>
    <n v="28.6"/>
    <n v="29.2"/>
    <n v="27.9"/>
    <n v="29.1"/>
    <n v="29.7"/>
    <n v="30.7"/>
    <n v="29.9"/>
    <n v="27.9"/>
    <n v="28"/>
    <n v="28.7"/>
    <n v="28"/>
    <n v="28.824999999999999"/>
    <n v="0.26375062832038909"/>
    <n v="27.9"/>
    <n v="28"/>
    <n v="28.65"/>
  </r>
  <r>
    <n v="305"/>
    <x v="7"/>
    <x v="7"/>
    <x v="1"/>
    <x v="2"/>
    <x v="0"/>
    <x v="3"/>
    <x v="1"/>
    <n v="13.526"/>
    <n v="30.5"/>
    <n v="30"/>
    <n v="29.9"/>
    <n v="29"/>
    <n v="29.4"/>
    <n v="28.6"/>
    <n v="30.3"/>
    <n v="31.9"/>
    <n v="28.7"/>
    <n v="29.4"/>
    <n v="29"/>
    <n v="34.200000000000003"/>
    <n v="30.074999999999999"/>
    <n v="0.45976360856159215"/>
    <n v="28.6"/>
    <n v="29"/>
    <n v="29.65"/>
  </r>
  <r>
    <n v="306"/>
    <x v="1"/>
    <x v="1"/>
    <x v="0"/>
    <x v="1"/>
    <x v="1"/>
    <x v="3"/>
    <x v="1"/>
    <n v="13.547000000000001"/>
    <n v="28.5"/>
    <n v="30.3"/>
    <n v="28.3"/>
    <n v="29"/>
    <n v="29"/>
    <n v="28.8"/>
    <n v="27.3"/>
    <n v="28.7"/>
    <n v="27"/>
    <n v="28.1"/>
    <n v="28.8"/>
    <n v="30"/>
    <n v="28.65"/>
    <n v="0.27289136477671189"/>
    <n v="27"/>
    <n v="28.25"/>
    <n v="28.75"/>
  </r>
  <r>
    <n v="307"/>
    <x v="5"/>
    <x v="5"/>
    <x v="1"/>
    <x v="1"/>
    <x v="0"/>
    <x v="3"/>
    <x v="1"/>
    <n v="13.565"/>
    <n v="27.6"/>
    <n v="29.1"/>
    <n v="29.6"/>
    <n v="30.2"/>
    <n v="27.8"/>
    <n v="28.2"/>
    <n v="28.1"/>
    <n v="28.8"/>
    <n v="29.5"/>
    <n v="27.7"/>
    <n v="28.3"/>
    <n v="32.299999999999997"/>
    <n v="28.933333333333334"/>
    <n v="0.38892496225188472"/>
    <n v="27.6"/>
    <n v="28.024999999999999"/>
    <n v="28.55"/>
  </r>
  <r>
    <n v="308"/>
    <x v="2"/>
    <x v="2"/>
    <x v="0"/>
    <x v="2"/>
    <x v="0"/>
    <x v="3"/>
    <x v="1"/>
    <n v="13.582000000000001"/>
    <n v="28"/>
    <n v="30.4"/>
    <n v="29.2"/>
    <n v="30.3"/>
    <n v="31.6"/>
    <n v="28.7"/>
    <n v="30.3"/>
    <n v="30.6"/>
    <n v="30"/>
    <n v="30.9"/>
    <n v="31.1"/>
    <n v="30"/>
    <n v="30.091666666666669"/>
    <n v="0.29528064035023216"/>
    <n v="28"/>
    <n v="29.8"/>
    <n v="30.3"/>
  </r>
  <r>
    <n v="403"/>
    <x v="10"/>
    <x v="10"/>
    <x v="0"/>
    <x v="2"/>
    <x v="1"/>
    <x v="2"/>
    <x v="1"/>
    <n v="13.711"/>
    <n v="29.3"/>
    <n v="29.6"/>
    <n v="29.5"/>
    <n v="31.1"/>
    <n v="29.6"/>
    <n v="29.7"/>
    <n v="29.7"/>
    <n v="29.9"/>
    <n v="27.5"/>
    <n v="29.9"/>
    <n v="29.5"/>
    <n v="28.6"/>
    <n v="29.491666666666664"/>
    <n v="0.2435402814461719"/>
    <n v="27.5"/>
    <n v="29.45"/>
    <n v="29.6"/>
  </r>
  <r>
    <n v="404"/>
    <x v="6"/>
    <x v="6"/>
    <x v="0"/>
    <x v="1"/>
    <x v="0"/>
    <x v="2"/>
    <x v="1"/>
    <n v="13.691000000000001"/>
    <n v="30.9"/>
    <n v="30.7"/>
    <n v="31.1"/>
    <n v="30.8"/>
    <n v="30.5"/>
    <n v="30.6"/>
    <n v="31.5"/>
    <n v="31.8"/>
    <n v="30.9"/>
    <n v="31.4"/>
    <n v="32.200000000000003"/>
    <n v="31.8"/>
    <n v="31.183333333333334"/>
    <n v="0.15803400733623948"/>
    <n v="30.5"/>
    <n v="30.774999999999999"/>
    <n v="31"/>
  </r>
  <r>
    <n v="405"/>
    <x v="10"/>
    <x v="10"/>
    <x v="0"/>
    <x v="2"/>
    <x v="1"/>
    <x v="3"/>
    <x v="1"/>
    <n v="13.670999999999999"/>
    <n v="33.200000000000003"/>
    <n v="31.8"/>
    <n v="30.7"/>
    <n v="31"/>
    <n v="28.7"/>
    <n v="30.4"/>
    <n v="31.6"/>
    <n v="30.9"/>
    <n v="31.2"/>
    <n v="32.299999999999997"/>
    <n v="31.4"/>
    <n v="35"/>
    <n v="31.516666666666666"/>
    <n v="0.44616774487367017"/>
    <n v="28.7"/>
    <n v="30.85"/>
    <n v="31.3"/>
  </r>
  <r>
    <n v="406"/>
    <x v="6"/>
    <x v="6"/>
    <x v="0"/>
    <x v="1"/>
    <x v="0"/>
    <x v="3"/>
    <x v="1"/>
    <n v="13.65"/>
    <n v="30.3"/>
    <n v="30.5"/>
    <n v="29"/>
    <n v="29.3"/>
    <n v="28.9"/>
    <n v="29.6"/>
    <n v="28.7"/>
    <n v="30.4"/>
    <n v="30.4"/>
    <n v="30.9"/>
    <n v="31.9"/>
    <n v="30.2"/>
    <n v="30.008333333333326"/>
    <n v="0.27064970464844301"/>
    <n v="28.7"/>
    <n v="29.225000000000001"/>
    <n v="30.25"/>
  </r>
  <r>
    <n v="407"/>
    <x v="11"/>
    <x v="11"/>
    <x v="1"/>
    <x v="0"/>
    <x v="0"/>
    <x v="3"/>
    <x v="1"/>
    <n v="13.632"/>
    <n v="29.1"/>
    <n v="28.7"/>
    <n v="26.7"/>
    <n v="28.5"/>
    <n v="35.1"/>
    <n v="27.6"/>
    <n v="28.4"/>
    <n v="29.1"/>
    <n v="26.8"/>
    <n v="28.5"/>
    <n v="27.3"/>
    <n v="28.2"/>
    <n v="28.666666666666668"/>
    <n v="0.63045598377265888"/>
    <n v="26.7"/>
    <n v="27.524999999999999"/>
    <n v="28.45"/>
  </r>
  <r>
    <n v="408"/>
    <x v="3"/>
    <x v="3"/>
    <x v="1"/>
    <x v="1"/>
    <x v="1"/>
    <x v="3"/>
    <x v="1"/>
    <n v="13.612"/>
    <n v="30.6"/>
    <n v="28.8"/>
    <n v="29.8"/>
    <n v="28.6"/>
    <n v="27.9"/>
    <n v="28.3"/>
    <n v="29.4"/>
    <n v="28.7"/>
    <n v="30.3"/>
    <n v="30.6"/>
    <n v="31.7"/>
    <n v="32.4"/>
    <n v="29.758333333333336"/>
    <n v="0.40404363950723915"/>
    <n v="27.9"/>
    <n v="28.675000000000001"/>
    <n v="29.6"/>
  </r>
  <r>
    <n v="902"/>
    <x v="13"/>
    <x v="13"/>
    <x v="3"/>
    <x v="1"/>
    <x v="0"/>
    <x v="0"/>
    <x v="1"/>
    <n v="13.401"/>
    <n v="26.8"/>
    <n v="29.4"/>
    <n v="28.3"/>
    <n v="30.3"/>
    <n v="27.5"/>
    <n v="28.8"/>
    <n v="27.5"/>
    <n v="28"/>
    <n v="29"/>
    <n v="29.9"/>
    <n v="29.6"/>
    <n v="27.7"/>
    <n v="28.566666666666666"/>
    <n v="0.31774139793169903"/>
    <n v="26.8"/>
    <n v="27.65"/>
    <n v="28.55"/>
  </r>
  <r>
    <n v="904"/>
    <x v="15"/>
    <x v="15"/>
    <x v="5"/>
    <x v="1"/>
    <x v="0"/>
    <x v="0"/>
    <x v="1"/>
    <n v="13.364000000000001"/>
    <n v="33.6"/>
    <n v="31.9"/>
    <n v="33.200000000000003"/>
    <n v="37.5"/>
    <n v="32.700000000000003"/>
    <n v="39.9"/>
    <n v="33.6"/>
    <n v="31.8"/>
    <n v="34.6"/>
    <n v="34.799999999999997"/>
    <n v="29.9"/>
    <n v="31.8"/>
    <n v="33.774999999999999"/>
    <n v="0.78336154043346629"/>
    <n v="29.9"/>
    <n v="31.875"/>
    <n v="33.4"/>
  </r>
  <r>
    <n v="906"/>
    <x v="13"/>
    <x v="13"/>
    <x v="3"/>
    <x v="1"/>
    <x v="0"/>
    <x v="1"/>
    <x v="1"/>
    <n v="13.326000000000001"/>
    <n v="27.7"/>
    <n v="27"/>
    <n v="28.5"/>
    <n v="28.9"/>
    <n v="28.7"/>
    <n v="29.2"/>
    <n v="28.5"/>
    <n v="30"/>
    <n v="29.8"/>
    <n v="29.3"/>
    <n v="27.8"/>
    <n v="28.8"/>
    <n v="28.683333333333334"/>
    <n v="0.25130970068140107"/>
    <n v="27"/>
    <n v="28.324999999999999"/>
    <n v="28.75"/>
  </r>
  <r>
    <n v="908"/>
    <x v="15"/>
    <x v="15"/>
    <x v="5"/>
    <x v="1"/>
    <x v="0"/>
    <x v="1"/>
    <x v="1"/>
    <n v="13.295999999999999"/>
    <n v="31.4"/>
    <n v="32.200000000000003"/>
    <n v="33.700000000000003"/>
    <n v="31.9"/>
    <n v="31.8"/>
    <n v="33"/>
    <n v="33.9"/>
    <n v="32.1"/>
    <n v="33.799999999999997"/>
    <n v="33.6"/>
    <n v="37"/>
    <n v="33"/>
    <n v="33.116666666666674"/>
    <n v="0.43342073710598711"/>
    <n v="31.4"/>
    <n v="32.049999999999997"/>
    <n v="3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64"/>
    <n v="52.5"/>
    <n v="47.3"/>
    <n v="45.9"/>
    <n v="49.8"/>
    <n v="44.6"/>
    <n v="50.8"/>
    <n v="42.7"/>
    <n v="52"/>
    <n v="45.4"/>
    <n v="51.3"/>
    <n v="42.7"/>
    <n v="52.6"/>
    <n v="48.133333333333333"/>
    <n v="1.0960212708987866"/>
    <n v="42.7"/>
    <n v="45.2"/>
    <n v="48.55"/>
  </r>
  <r>
    <n v="102"/>
    <x v="1"/>
    <x v="1"/>
    <x v="0"/>
    <x v="1"/>
    <x v="1"/>
    <x v="0"/>
    <x v="0"/>
    <n v="13.148999999999999"/>
    <n v="52.1"/>
    <n v="48.7"/>
    <n v="50.1"/>
    <n v="53.3"/>
    <n v="46.7"/>
    <n v="51.6"/>
    <n v="45.8"/>
    <n v="52.3"/>
    <n v="36.799999999999997"/>
    <n v="51.7"/>
    <n v="36.700000000000003"/>
    <n v="53.5"/>
    <n v="48.275000000000006"/>
    <n v="1.7054780277184036"/>
    <n v="36.700000000000003"/>
    <n v="46.475000000000001"/>
    <n v="50.85"/>
  </r>
  <r>
    <n v="103"/>
    <x v="2"/>
    <x v="2"/>
    <x v="0"/>
    <x v="2"/>
    <x v="0"/>
    <x v="0"/>
    <x v="0"/>
    <n v="13.134"/>
    <n v="50.9"/>
    <n v="40.5"/>
    <n v="49.3"/>
    <n v="37.6"/>
    <n v="47"/>
    <n v="37.700000000000003"/>
    <n v="51.4"/>
    <n v="37.4"/>
    <n v="40.299999999999997"/>
    <n v="44.4"/>
    <n v="38.700000000000003"/>
    <n v="36.4"/>
    <n v="42.633333333333326"/>
    <n v="1.6357897422371019"/>
    <n v="36.4"/>
    <n v="37.675000000000004"/>
    <n v="40.4"/>
  </r>
  <r>
    <n v="104"/>
    <x v="3"/>
    <x v="3"/>
    <x v="1"/>
    <x v="1"/>
    <x v="1"/>
    <x v="0"/>
    <x v="0"/>
    <n v="13.118"/>
    <n v="45.2"/>
    <n v="45.4"/>
    <n v="43.1"/>
    <n v="42.1"/>
    <n v="41.6"/>
    <n v="39.799999999999997"/>
    <n v="42.9"/>
    <n v="40.700000000000003"/>
    <n v="41.4"/>
    <n v="39.799999999999997"/>
    <n v="37.6"/>
    <n v="40.700000000000003"/>
    <n v="41.691666666666663"/>
    <n v="0.6491787741509063"/>
    <n v="37.6"/>
    <n v="40.475000000000001"/>
    <n v="41.5"/>
  </r>
  <r>
    <n v="105"/>
    <x v="4"/>
    <x v="4"/>
    <x v="1"/>
    <x v="2"/>
    <x v="1"/>
    <x v="1"/>
    <x v="0"/>
    <n v="13.103"/>
    <n v="51.1"/>
    <n v="41.6"/>
    <n v="48.4"/>
    <n v="36.9"/>
    <n v="47.5"/>
    <n v="41.9"/>
    <n v="48.4"/>
    <n v="40.9"/>
    <n v="46.8"/>
    <n v="40"/>
    <n v="46.5"/>
    <n v="45.7"/>
    <n v="44.641666666666659"/>
    <n v="1.2297116152032044"/>
    <n v="36.9"/>
    <n v="41.424999999999997"/>
    <n v="46.1"/>
  </r>
  <r>
    <n v="106"/>
    <x v="5"/>
    <x v="5"/>
    <x v="1"/>
    <x v="1"/>
    <x v="0"/>
    <x v="1"/>
    <x v="0"/>
    <n v="13.086"/>
    <n v="42.9"/>
    <n v="42.5"/>
    <n v="42.6"/>
    <n v="41.4"/>
    <n v="37.6"/>
    <n v="37.4"/>
    <n v="33.6"/>
    <n v="33.1"/>
    <n v="37.5"/>
    <n v="43.1"/>
    <n v="42.5"/>
    <n v="41.9"/>
    <n v="39.675000000000004"/>
    <n v="1.062167951679847"/>
    <n v="33.1"/>
    <n v="37.475000000000001"/>
    <n v="41.65"/>
  </r>
  <r>
    <n v="107"/>
    <x v="3"/>
    <x v="3"/>
    <x v="1"/>
    <x v="1"/>
    <x v="1"/>
    <x v="1"/>
    <x v="0"/>
    <n v="13.067"/>
    <n v="44.4"/>
    <n v="41.8"/>
    <n v="42.5"/>
    <n v="41.6"/>
    <n v="41.7"/>
    <n v="39.200000000000003"/>
    <n v="41.4"/>
    <n v="40.5"/>
    <n v="39.700000000000003"/>
    <n v="41.8"/>
    <n v="40.9"/>
    <n v="40"/>
    <n v="41.291666666666664"/>
    <n v="0.40141007773231896"/>
    <n v="39.200000000000003"/>
    <n v="40.375"/>
    <n v="41.5"/>
  </r>
  <r>
    <n v="108"/>
    <x v="6"/>
    <x v="6"/>
    <x v="0"/>
    <x v="1"/>
    <x v="0"/>
    <x v="1"/>
    <x v="0"/>
    <n v="13.052"/>
    <n v="55.2"/>
    <n v="55.2"/>
    <n v="46.1"/>
    <n v="51"/>
    <n v="47.1"/>
    <n v="46.2"/>
    <n v="51.3"/>
    <n v="43.3"/>
    <n v="50.7"/>
    <n v="45"/>
    <n v="46.7"/>
    <n v="50.4"/>
    <n v="49.016666666666673"/>
    <n v="1.116870175937644"/>
    <n v="43.3"/>
    <n v="46.175000000000004"/>
    <n v="48.75"/>
  </r>
  <r>
    <n v="201"/>
    <x v="4"/>
    <x v="4"/>
    <x v="1"/>
    <x v="2"/>
    <x v="1"/>
    <x v="0"/>
    <x v="0"/>
    <n v="13.188000000000001"/>
    <n v="51.2"/>
    <n v="43.7"/>
    <n v="44.1"/>
    <n v="42.1"/>
    <n v="38.6"/>
    <n v="39.9"/>
    <n v="42.4"/>
    <n v="46.1"/>
    <n v="42.4"/>
    <n v="40.299999999999997"/>
    <n v="44.2"/>
    <n v="38"/>
    <n v="42.75"/>
    <n v="1.0372968950521542"/>
    <n v="38"/>
    <n v="40.199999999999996"/>
    <n v="42.4"/>
  </r>
  <r>
    <n v="202"/>
    <x v="5"/>
    <x v="5"/>
    <x v="1"/>
    <x v="1"/>
    <x v="0"/>
    <x v="0"/>
    <x v="0"/>
    <n v="13.202"/>
    <n v="47.4"/>
    <n v="43.6"/>
    <n v="45.8"/>
    <n v="48.1"/>
    <n v="45.7"/>
    <n v="45.1"/>
    <n v="45.4"/>
    <n v="45.4"/>
    <n v="46.1"/>
    <n v="37.1"/>
    <n v="44.4"/>
    <n v="42.3"/>
    <n v="44.699999999999996"/>
    <n v="0.82103039474244399"/>
    <n v="37.1"/>
    <n v="44.2"/>
    <n v="45.4"/>
  </r>
  <r>
    <n v="203"/>
    <x v="6"/>
    <x v="6"/>
    <x v="0"/>
    <x v="1"/>
    <x v="0"/>
    <x v="0"/>
    <x v="0"/>
    <n v="13.217000000000001"/>
    <n v="54.1"/>
    <n v="42.8"/>
    <n v="44.5"/>
    <n v="55"/>
    <n v="43.4"/>
    <n v="45.7"/>
    <n v="39.200000000000003"/>
    <n v="47.5"/>
    <n v="42"/>
    <n v="46.5"/>
    <n v="42.4"/>
    <n v="50.2"/>
    <n v="46.108333333333327"/>
    <n v="1.4065570652404407"/>
    <n v="39.200000000000003"/>
    <n v="42.699999999999996"/>
    <n v="45.1"/>
  </r>
  <r>
    <n v="204"/>
    <x v="7"/>
    <x v="7"/>
    <x v="1"/>
    <x v="2"/>
    <x v="0"/>
    <x v="0"/>
    <x v="0"/>
    <n v="13.231"/>
    <n v="49.7"/>
    <n v="38.299999999999997"/>
    <n v="48.9"/>
    <n v="38.6"/>
    <n v="49.7"/>
    <n v="37.700000000000003"/>
    <n v="44.5"/>
    <n v="40.299999999999997"/>
    <n v="49.9"/>
    <n v="35.6"/>
    <n v="51.8"/>
    <n v="38.700000000000003"/>
    <n v="43.641666666666673"/>
    <n v="1.7343000654937697"/>
    <n v="35.6"/>
    <n v="38.524999999999999"/>
    <n v="42.4"/>
  </r>
  <r>
    <n v="205"/>
    <x v="0"/>
    <x v="0"/>
    <x v="0"/>
    <x v="0"/>
    <x v="0"/>
    <x v="1"/>
    <x v="0"/>
    <n v="13.246"/>
    <n v="53.8"/>
    <n v="47.9"/>
    <n v="42.7"/>
    <n v="52.1"/>
    <n v="50.2"/>
    <n v="40.299999999999997"/>
    <n v="52.1"/>
    <n v="44.9"/>
    <n v="52.5"/>
    <n v="47.5"/>
    <n v="53.5"/>
    <n v="43.1"/>
    <n v="48.383333333333333"/>
    <n v="1.3542768020480944"/>
    <n v="40.299999999999997"/>
    <n v="44.45"/>
    <n v="49.05"/>
  </r>
  <r>
    <n v="206"/>
    <x v="8"/>
    <x v="8"/>
    <x v="1"/>
    <x v="0"/>
    <x v="1"/>
    <x v="1"/>
    <x v="0"/>
    <n v="13.26"/>
    <n v="34.799999999999997"/>
    <n v="39.4"/>
    <n v="38.1"/>
    <n v="38.9"/>
    <n v="35"/>
    <n v="35.799999999999997"/>
    <n v="34"/>
    <n v="33.4"/>
    <n v="34"/>
    <n v="34"/>
    <n v="33.200000000000003"/>
    <n v="37.4"/>
    <n v="35.666666666666664"/>
    <n v="0.64011520427772384"/>
    <n v="33.200000000000003"/>
    <n v="34"/>
    <n v="34.9"/>
  </r>
  <r>
    <n v="207"/>
    <x v="1"/>
    <x v="1"/>
    <x v="0"/>
    <x v="1"/>
    <x v="1"/>
    <x v="1"/>
    <x v="0"/>
    <n v="13.276999999999999"/>
    <n v="53.6"/>
    <n v="45.3"/>
    <n v="38.6"/>
    <n v="54.4"/>
    <n v="37.299999999999997"/>
    <n v="50.8"/>
    <n v="48"/>
    <n v="52.5"/>
    <n v="40.200000000000003"/>
    <n v="49.6"/>
    <n v="45.6"/>
    <n v="51.7"/>
    <n v="47.300000000000004"/>
    <n v="1.7134052573041649"/>
    <n v="37.299999999999997"/>
    <n v="44.024999999999999"/>
    <n v="48.8"/>
  </r>
  <r>
    <n v="208"/>
    <x v="9"/>
    <x v="9"/>
    <x v="0"/>
    <x v="0"/>
    <x v="1"/>
    <x v="1"/>
    <x v="0"/>
    <n v="13.292"/>
    <n v="54.7"/>
    <n v="51.2"/>
    <n v="51"/>
    <n v="48.1"/>
    <n v="50.6"/>
    <n v="41"/>
    <n v="47.2"/>
    <n v="50.8"/>
    <n v="51.1"/>
    <n v="50.2"/>
    <n v="49.9"/>
    <n v="55"/>
    <n v="50.06666666666667"/>
    <n v="1.0451426851503052"/>
    <n v="41"/>
    <n v="49.45"/>
    <n v="50.7"/>
  </r>
  <r>
    <n v="301"/>
    <x v="3"/>
    <x v="3"/>
    <x v="1"/>
    <x v="1"/>
    <x v="1"/>
    <x v="2"/>
    <x v="0"/>
    <n v="13.435"/>
    <n v="46.4"/>
    <n v="46"/>
    <n v="35.6"/>
    <n v="41.8"/>
    <n v="44.4"/>
    <n v="46.4"/>
    <n v="44.4"/>
    <n v="41.7"/>
    <n v="41.3"/>
    <n v="41.6"/>
    <n v="39.4"/>
    <n v="46.6"/>
    <n v="42.966666666666669"/>
    <n v="0.97190326658363724"/>
    <n v="35.6"/>
    <n v="41.524999999999999"/>
    <n v="43.099999999999994"/>
  </r>
  <r>
    <n v="302"/>
    <x v="1"/>
    <x v="1"/>
    <x v="0"/>
    <x v="1"/>
    <x v="1"/>
    <x v="2"/>
    <x v="0"/>
    <n v="13.45"/>
    <n v="53.3"/>
    <n v="42.6"/>
    <n v="50.2"/>
    <n v="53.4"/>
    <n v="44.1"/>
    <n v="44.2"/>
    <n v="42.1"/>
    <n v="47.7"/>
    <n v="38.4"/>
    <n v="46.5"/>
    <n v="42"/>
    <n v="41.8"/>
    <n v="45.524999999999999"/>
    <n v="1.37934574961094"/>
    <n v="38.4"/>
    <n v="42.075000000000003"/>
    <n v="44.150000000000006"/>
  </r>
  <r>
    <n v="303"/>
    <x v="8"/>
    <x v="8"/>
    <x v="1"/>
    <x v="0"/>
    <x v="1"/>
    <x v="2"/>
    <x v="0"/>
    <n v="13.467000000000001"/>
    <n v="33.700000000000003"/>
    <n v="34"/>
    <n v="33"/>
    <n v="33.9"/>
    <n v="32"/>
    <n v="32.299999999999997"/>
    <n v="32.700000000000003"/>
    <n v="32.700000000000003"/>
    <n v="33.200000000000003"/>
    <n v="31.9"/>
    <n v="32.6"/>
    <n v="33.9"/>
    <n v="32.99166666666666"/>
    <n v="0.21653550808740396"/>
    <n v="31.9"/>
    <n v="32.524999999999999"/>
    <n v="32.85"/>
  </r>
  <r>
    <n v="304"/>
    <x v="9"/>
    <x v="9"/>
    <x v="0"/>
    <x v="0"/>
    <x v="1"/>
    <x v="2"/>
    <x v="0"/>
    <n v="13.483000000000001"/>
    <n v="53.7"/>
    <n v="52.8"/>
    <n v="50.7"/>
    <n v="51.4"/>
    <n v="40.799999999999997"/>
    <n v="44.1"/>
    <n v="47.2"/>
    <n v="45.1"/>
    <n v="45.7"/>
    <n v="48.1"/>
    <n v="46.4"/>
    <n v="41.4"/>
    <n v="47.283333333333331"/>
    <n v="1.2177247371034103"/>
    <n v="40.799999999999997"/>
    <n v="44.85"/>
    <n v="46.8"/>
  </r>
  <r>
    <n v="305"/>
    <x v="7"/>
    <x v="7"/>
    <x v="1"/>
    <x v="2"/>
    <x v="0"/>
    <x v="3"/>
    <x v="0"/>
    <n v="13.499000000000001"/>
    <n v="52.7"/>
    <n v="40"/>
    <n v="47.9"/>
    <n v="36.1"/>
    <n v="39.5"/>
    <n v="40.9"/>
    <n v="44"/>
    <n v="39.700000000000003"/>
    <n v="39.299999999999997"/>
    <n v="35"/>
    <n v="49.5"/>
    <n v="35.700000000000003"/>
    <n v="41.691666666666663"/>
    <n v="1.6421280692928961"/>
    <n v="35"/>
    <n v="38.5"/>
    <n v="39.85"/>
  </r>
  <r>
    <n v="306"/>
    <x v="1"/>
    <x v="1"/>
    <x v="0"/>
    <x v="1"/>
    <x v="1"/>
    <x v="3"/>
    <x v="0"/>
    <n v="13.513999999999999"/>
    <n v="54.8"/>
    <n v="40.9"/>
    <n v="50.2"/>
    <n v="52.6"/>
    <n v="49.9"/>
    <n v="38"/>
    <n v="41.8"/>
    <n v="49"/>
    <n v="48.6"/>
    <n v="41.2"/>
    <n v="43.7"/>
    <n v="41.7"/>
    <n v="46.033333333333331"/>
    <n v="1.5668600783256064"/>
    <n v="38"/>
    <n v="41.575000000000003"/>
    <n v="46.150000000000006"/>
  </r>
  <r>
    <n v="307"/>
    <x v="5"/>
    <x v="5"/>
    <x v="1"/>
    <x v="1"/>
    <x v="0"/>
    <x v="3"/>
    <x v="0"/>
    <n v="13.528"/>
    <n v="47"/>
    <n v="43.5"/>
    <n v="38.9"/>
    <n v="43"/>
    <n v="44.7"/>
    <n v="41.4"/>
    <n v="43.9"/>
    <n v="42.9"/>
    <n v="45.8"/>
    <n v="39.6"/>
    <n v="47.1"/>
    <n v="36"/>
    <n v="42.816666666666663"/>
    <n v="0.9697573371361059"/>
    <n v="36"/>
    <n v="40.950000000000003"/>
    <n v="43.25"/>
  </r>
  <r>
    <n v="308"/>
    <x v="2"/>
    <x v="2"/>
    <x v="0"/>
    <x v="2"/>
    <x v="0"/>
    <x v="3"/>
    <x v="0"/>
    <n v="13.542999999999999"/>
    <n v="50.7"/>
    <n v="43.1"/>
    <n v="42.6"/>
    <n v="38.299999999999997"/>
    <n v="40.9"/>
    <n v="43.1"/>
    <n v="40.5"/>
    <n v="47.5"/>
    <n v="38.4"/>
    <n v="46.4"/>
    <n v="37.6"/>
    <n v="42"/>
    <n v="42.591666666666661"/>
    <n v="1.1459717547244628"/>
    <n v="37.6"/>
    <n v="39.975000000000001"/>
    <n v="42.3"/>
  </r>
  <r>
    <n v="403"/>
    <x v="10"/>
    <x v="10"/>
    <x v="0"/>
    <x v="2"/>
    <x v="1"/>
    <x v="2"/>
    <x v="0"/>
    <n v="13.648999999999999"/>
    <n v="51"/>
    <n v="38.4"/>
    <n v="46.7"/>
    <n v="41.9"/>
    <n v="45.2"/>
    <n v="48.5"/>
    <n v="36.5"/>
    <n v="52.5"/>
    <n v="42.2"/>
    <n v="44.6"/>
    <n v="43"/>
    <n v="37.200000000000003"/>
    <n v="43.975000000000001"/>
    <n v="1.4900744846137544"/>
    <n v="36.5"/>
    <n v="41.024999999999999"/>
    <n v="43.8"/>
  </r>
  <r>
    <n v="404"/>
    <x v="6"/>
    <x v="6"/>
    <x v="0"/>
    <x v="1"/>
    <x v="0"/>
    <x v="2"/>
    <x v="0"/>
    <n v="13.634"/>
    <n v="53.3"/>
    <n v="46.9"/>
    <n v="53.1"/>
    <n v="44.7"/>
    <n v="43.2"/>
    <n v="47.4"/>
    <n v="35.9"/>
    <n v="52.5"/>
    <n v="37.299999999999997"/>
    <n v="53.1"/>
    <n v="46.5"/>
    <n v="41.8"/>
    <n v="46.30833333333333"/>
    <n v="1.747528919140501"/>
    <n v="35.9"/>
    <n v="42.85"/>
    <n v="46.7"/>
  </r>
  <r>
    <n v="405"/>
    <x v="10"/>
    <x v="10"/>
    <x v="0"/>
    <x v="2"/>
    <x v="1"/>
    <x v="3"/>
    <x v="0"/>
    <n v="13.619"/>
    <n v="53.1"/>
    <n v="38.9"/>
    <n v="45.4"/>
    <n v="44.2"/>
    <n v="42.4"/>
    <n v="46.3"/>
    <n v="38.9"/>
    <n v="51.5"/>
    <n v="37"/>
    <n v="46.5"/>
    <n v="40.299999999999997"/>
    <n v="48.9"/>
    <n v="44.449999999999996"/>
    <n v="1.4859187546614128"/>
    <n v="37"/>
    <n v="39.949999999999996"/>
    <n v="44.8"/>
  </r>
  <r>
    <n v="406"/>
    <x v="6"/>
    <x v="6"/>
    <x v="0"/>
    <x v="1"/>
    <x v="0"/>
    <x v="3"/>
    <x v="0"/>
    <n v="13.603"/>
    <n v="54.3"/>
    <n v="44.7"/>
    <n v="42.7"/>
    <n v="50.4"/>
    <n v="41.7"/>
    <n v="51.2"/>
    <n v="37.299999999999997"/>
    <n v="52.8"/>
    <n v="37.9"/>
    <n v="46.3"/>
    <n v="46.8"/>
    <n v="40.700000000000003"/>
    <n v="45.56666666666667"/>
    <n v="1.6525156824696186"/>
    <n v="37.299999999999997"/>
    <n v="41.45"/>
    <n v="45.5"/>
  </r>
  <r>
    <n v="407"/>
    <x v="11"/>
    <x v="11"/>
    <x v="1"/>
    <x v="0"/>
    <x v="0"/>
    <x v="3"/>
    <x v="0"/>
    <n v="13.587999999999999"/>
    <n v="33.4"/>
    <n v="35.4"/>
    <n v="32.700000000000003"/>
    <n v="33.299999999999997"/>
    <n v="31.6"/>
    <n v="32.299999999999997"/>
    <n v="31"/>
    <n v="33"/>
    <n v="32.200000000000003"/>
    <n v="31.9"/>
    <n v="33.700000000000003"/>
    <n v="34.200000000000003"/>
    <n v="32.891666666666659"/>
    <n v="0.35020737002559771"/>
    <n v="31"/>
    <n v="32.125"/>
    <n v="32.85"/>
  </r>
  <r>
    <n v="408"/>
    <x v="3"/>
    <x v="3"/>
    <x v="1"/>
    <x v="1"/>
    <x v="1"/>
    <x v="3"/>
    <x v="0"/>
    <n v="13.571999999999999"/>
    <n v="48.5"/>
    <n v="47.8"/>
    <n v="43.3"/>
    <n v="48.8"/>
    <n v="43.7"/>
    <n v="46"/>
    <n v="40.9"/>
    <n v="44"/>
    <n v="40"/>
    <n v="50.4"/>
    <n v="42.3"/>
    <n v="46.9"/>
    <n v="45.216666666666661"/>
    <n v="0.96301557095358237"/>
    <n v="40"/>
    <n v="43.05"/>
    <n v="45"/>
  </r>
  <r>
    <n v="901"/>
    <x v="12"/>
    <x v="12"/>
    <x v="2"/>
    <x v="3"/>
    <x v="1"/>
    <x v="0"/>
    <x v="0"/>
    <n v="13.414999999999999"/>
    <n v="46.6"/>
    <n v="48.9"/>
    <n v="47.9"/>
    <n v="47.9"/>
    <n v="47.2"/>
    <n v="48.6"/>
    <n v="47.2"/>
    <n v="47.3"/>
    <n v="48.4"/>
    <n v="48.7"/>
    <n v="45.8"/>
    <n v="46.9"/>
    <n v="47.616666666666667"/>
    <n v="0.27326126174733223"/>
    <n v="45.8"/>
    <n v="47.125"/>
    <n v="47.599999999999994"/>
  </r>
  <r>
    <n v="902"/>
    <x v="13"/>
    <x v="13"/>
    <x v="3"/>
    <x v="1"/>
    <x v="0"/>
    <x v="0"/>
    <x v="0"/>
    <n v="13.398999999999999"/>
    <n v="47.4"/>
    <n v="42.5"/>
    <n v="38"/>
    <n v="43.6"/>
    <n v="35.6"/>
    <n v="43.2"/>
    <n v="37.700000000000003"/>
    <n v="46.3"/>
    <n v="38.4"/>
    <n v="43.8"/>
    <n v="39.9"/>
    <n v="43.6"/>
    <n v="41.666666666666664"/>
    <n v="1.0631095993367783"/>
    <n v="35.6"/>
    <n v="38.299999999999997"/>
    <n v="42.85"/>
  </r>
  <r>
    <n v="903"/>
    <x v="14"/>
    <x v="14"/>
    <x v="4"/>
    <x v="3"/>
    <x v="1"/>
    <x v="0"/>
    <x v="0"/>
    <n v="13.391"/>
    <n v="58.3"/>
    <n v="58.3"/>
    <n v="59.8"/>
    <n v="60.2"/>
    <n v="61.4"/>
    <n v="59.5"/>
    <n v="62.1"/>
    <n v="61.2"/>
    <n v="62.1"/>
    <n v="58.9"/>
    <n v="61.5"/>
    <n v="59.9"/>
    <n v="60.266666666666659"/>
    <n v="0.39835520416702447"/>
    <n v="58.3"/>
    <n v="59.35"/>
    <n v="60.05"/>
  </r>
  <r>
    <n v="904"/>
    <x v="15"/>
    <x v="15"/>
    <x v="5"/>
    <x v="1"/>
    <x v="0"/>
    <x v="0"/>
    <x v="0"/>
    <n v="13.375"/>
    <n v="63.4"/>
    <n v="55.1"/>
    <n v="56.8"/>
    <n v="57.6"/>
    <n v="50"/>
    <n v="49.5"/>
    <n v="45.2"/>
    <n v="62.7"/>
    <n v="54.7"/>
    <n v="60.2"/>
    <n v="41.9"/>
    <n v="57"/>
    <n v="54.508333333333326"/>
    <n v="1.9286303168284873"/>
    <n v="41.9"/>
    <n v="49.875"/>
    <n v="55.95"/>
  </r>
  <r>
    <n v="905"/>
    <x v="12"/>
    <x v="12"/>
    <x v="2"/>
    <x v="3"/>
    <x v="1"/>
    <x v="1"/>
    <x v="0"/>
    <n v="13.36"/>
    <n v="50.3"/>
    <n v="48.2"/>
    <n v="46.6"/>
    <n v="47.9"/>
    <n v="47.1"/>
    <n v="46.3"/>
    <n v="46.4"/>
    <n v="48.5"/>
    <n v="46.1"/>
    <n v="46.5"/>
    <n v="46.6"/>
    <n v="46.2"/>
    <n v="47.225000000000001"/>
    <n v="0.36579614292902546"/>
    <n v="46.1"/>
    <n v="46.375"/>
    <n v="46.6"/>
  </r>
  <r>
    <n v="906"/>
    <x v="13"/>
    <x v="13"/>
    <x v="3"/>
    <x v="1"/>
    <x v="0"/>
    <x v="1"/>
    <x v="0"/>
    <n v="13.343999999999999"/>
    <n v="47.6"/>
    <n v="40.799999999999997"/>
    <n v="40.700000000000003"/>
    <n v="42.2"/>
    <n v="34.1"/>
    <n v="39.9"/>
    <n v="39"/>
    <n v="39.200000000000003"/>
    <n v="37.700000000000003"/>
    <n v="40.5"/>
    <n v="38.700000000000003"/>
    <n v="42.8"/>
    <n v="40.266666666666666"/>
    <n v="0.9309764614195104"/>
    <n v="34.1"/>
    <n v="38.924999999999997"/>
    <n v="40.200000000000003"/>
  </r>
  <r>
    <n v="907"/>
    <x v="14"/>
    <x v="14"/>
    <x v="4"/>
    <x v="3"/>
    <x v="1"/>
    <x v="1"/>
    <x v="0"/>
    <n v="13.336"/>
    <n v="59.8"/>
    <n v="60.9"/>
    <n v="61.1"/>
    <n v="60.4"/>
    <n v="60.9"/>
    <n v="59.6"/>
    <n v="61.7"/>
    <n v="61.4"/>
    <n v="61"/>
    <n v="59.6"/>
    <n v="61.2"/>
    <n v="60.6"/>
    <n v="60.683333333333337"/>
    <n v="0.20219752318905673"/>
    <n v="59.6"/>
    <n v="60.25"/>
    <n v="60.9"/>
  </r>
  <r>
    <n v="908"/>
    <x v="15"/>
    <x v="15"/>
    <x v="5"/>
    <x v="1"/>
    <x v="0"/>
    <x v="1"/>
    <x v="0"/>
    <n v="13.32"/>
    <n v="61.9"/>
    <n v="51.2"/>
    <n v="55.8"/>
    <n v="57.7"/>
    <n v="55.1"/>
    <n v="55.6"/>
    <n v="45.4"/>
    <n v="62.3"/>
    <n v="43.4"/>
    <n v="59.8"/>
    <n v="48.9"/>
    <n v="57.2"/>
    <n v="54.524999999999999"/>
    <n v="1.768286492967764"/>
    <n v="43.4"/>
    <n v="50.625"/>
    <n v="55.7"/>
  </r>
  <r>
    <n v="101"/>
    <x v="0"/>
    <x v="0"/>
    <x v="0"/>
    <x v="0"/>
    <x v="0"/>
    <x v="0"/>
    <x v="1"/>
    <n v="13.169"/>
    <n v="33.6"/>
    <n v="33.1"/>
    <n v="33.1"/>
    <n v="35.4"/>
    <n v="33.6"/>
    <n v="34"/>
    <n v="33.799999999999997"/>
    <n v="34.200000000000003"/>
    <n v="32.4"/>
    <n v="32.5"/>
    <n v="32.9"/>
    <n v="33.6"/>
    <n v="33.516666666666666"/>
    <n v="0.23607694345765476"/>
    <n v="32.4"/>
    <n v="33.049999999999997"/>
    <n v="33.6"/>
  </r>
  <r>
    <n v="102"/>
    <x v="1"/>
    <x v="1"/>
    <x v="0"/>
    <x v="1"/>
    <x v="1"/>
    <x v="0"/>
    <x v="1"/>
    <n v="13.154"/>
    <n v="31"/>
    <n v="33"/>
    <n v="30.7"/>
    <n v="32.6"/>
    <n v="32"/>
    <n v="32.799999999999997"/>
    <n v="31.4"/>
    <n v="31.7"/>
    <n v="32.700000000000003"/>
    <n v="31.7"/>
    <n v="31.6"/>
    <n v="31.5"/>
    <n v="31.891666666666669"/>
    <n v="0.21300815652800253"/>
    <n v="30.7"/>
    <n v="31.475000000000001"/>
    <n v="31.7"/>
  </r>
  <r>
    <n v="103"/>
    <x v="2"/>
    <x v="2"/>
    <x v="0"/>
    <x v="2"/>
    <x v="0"/>
    <x v="0"/>
    <x v="1"/>
    <n v="13.138999999999999"/>
    <n v="32.299999999999997"/>
    <n v="33.799999999999997"/>
    <n v="31.7"/>
    <n v="32.700000000000003"/>
    <n v="31.6"/>
    <n v="32.9"/>
    <n v="31.2"/>
    <n v="31.6"/>
    <n v="31.8"/>
    <n v="30.7"/>
    <n v="31.5"/>
    <n v="32.5"/>
    <n v="32.024999999999999"/>
    <n v="0.24467820549120797"/>
    <n v="30.7"/>
    <n v="31.574999999999999"/>
    <n v="31.75"/>
  </r>
  <r>
    <n v="104"/>
    <x v="3"/>
    <x v="3"/>
    <x v="1"/>
    <x v="1"/>
    <x v="1"/>
    <x v="0"/>
    <x v="1"/>
    <n v="13.122999999999999"/>
    <n v="32.200000000000003"/>
    <n v="30.8"/>
    <n v="30.9"/>
    <n v="30.5"/>
    <n v="30.9"/>
    <n v="29.8"/>
    <n v="31.5"/>
    <n v="31.9"/>
    <n v="31.1"/>
    <n v="31.9"/>
    <n v="31.3"/>
    <n v="31.3"/>
    <n v="31.175000000000001"/>
    <n v="0.19232429998214054"/>
    <n v="29.8"/>
    <n v="30.875"/>
    <n v="31.2"/>
  </r>
  <r>
    <n v="105"/>
    <x v="4"/>
    <x v="4"/>
    <x v="1"/>
    <x v="2"/>
    <x v="1"/>
    <x v="1"/>
    <x v="1"/>
    <n v="13.106999999999999"/>
    <n v="33.200000000000003"/>
    <n v="31.4"/>
    <n v="36.1"/>
    <n v="33.799999999999997"/>
    <n v="31.5"/>
    <n v="31.8"/>
    <n v="32.299999999999997"/>
    <n v="30.8"/>
    <n v="32.200000000000003"/>
    <n v="32.799999999999997"/>
    <n v="32.799999999999997"/>
    <n v="36"/>
    <n v="32.891666666666673"/>
    <n v="0.48810988785954035"/>
    <n v="30.8"/>
    <n v="31.725000000000001"/>
    <n v="32.549999999999997"/>
  </r>
  <r>
    <n v="106"/>
    <x v="5"/>
    <x v="5"/>
    <x v="1"/>
    <x v="1"/>
    <x v="0"/>
    <x v="1"/>
    <x v="1"/>
    <n v="13.090999999999999"/>
    <n v="32.1"/>
    <n v="32.6"/>
    <n v="31.4"/>
    <n v="34"/>
    <n v="31.7"/>
    <n v="30.9"/>
    <n v="32.4"/>
    <n v="30.6"/>
    <n v="34.9"/>
    <n v="30.7"/>
    <n v="32.9"/>
    <n v="31.6"/>
    <n v="32.15"/>
    <n v="0.37889392454965432"/>
    <n v="30.6"/>
    <n v="31.274999999999999"/>
    <n v="31.9"/>
  </r>
  <r>
    <n v="107"/>
    <x v="3"/>
    <x v="3"/>
    <x v="1"/>
    <x v="1"/>
    <x v="1"/>
    <x v="1"/>
    <x v="1"/>
    <n v="13.071999999999999"/>
    <n v="32.9"/>
    <n v="31.8"/>
    <n v="30.2"/>
    <n v="30.8"/>
    <n v="30.7"/>
    <n v="33.4"/>
    <n v="33"/>
    <n v="31.2"/>
    <n v="32.9"/>
    <n v="32"/>
    <n v="32.6"/>
    <n v="30.7"/>
    <n v="31.85"/>
    <n v="0.31873328833196574"/>
    <n v="30.2"/>
    <n v="30.774999999999999"/>
    <n v="31.9"/>
  </r>
  <r>
    <n v="108"/>
    <x v="6"/>
    <x v="6"/>
    <x v="0"/>
    <x v="1"/>
    <x v="0"/>
    <x v="1"/>
    <x v="1"/>
    <n v="13.057"/>
    <n v="31.1"/>
    <n v="31.3"/>
    <n v="31.3"/>
    <n v="32.299999999999997"/>
    <n v="34"/>
    <n v="32.6"/>
    <n v="32.299999999999997"/>
    <n v="33.700000000000003"/>
    <n v="32.799999999999997"/>
    <n v="32.799999999999997"/>
    <n v="32.1"/>
    <n v="32.700000000000003"/>
    <n v="32.416666666666664"/>
    <n v="0.25990479997590316"/>
    <n v="31.1"/>
    <n v="31.9"/>
    <n v="32.450000000000003"/>
  </r>
  <r>
    <n v="201"/>
    <x v="4"/>
    <x v="4"/>
    <x v="1"/>
    <x v="2"/>
    <x v="1"/>
    <x v="0"/>
    <x v="1"/>
    <n v="13.192"/>
    <n v="33.5"/>
    <n v="34"/>
    <n v="34.299999999999997"/>
    <n v="35.9"/>
    <n v="33.200000000000003"/>
    <n v="35.299999999999997"/>
    <n v="33.1"/>
    <n v="33.799999999999997"/>
    <n v="34.5"/>
    <n v="33.799999999999997"/>
    <n v="31.5"/>
    <n v="33.9"/>
    <n v="33.9"/>
    <n v="0.32051095570556781"/>
    <n v="31.5"/>
    <n v="33.424999999999997"/>
    <n v="33.85"/>
  </r>
  <r>
    <n v="202"/>
    <x v="5"/>
    <x v="5"/>
    <x v="1"/>
    <x v="1"/>
    <x v="0"/>
    <x v="0"/>
    <x v="1"/>
    <n v="13.207000000000001"/>
    <n v="31.3"/>
    <n v="32.299999999999997"/>
    <n v="38.200000000000003"/>
    <n v="30.3"/>
    <n v="31.5"/>
    <n v="32.9"/>
    <n v="37.1"/>
    <n v="32.700000000000003"/>
    <n v="33.4"/>
    <n v="33.799999999999997"/>
    <n v="31.9"/>
    <n v="32.9"/>
    <n v="33.191666666666663"/>
    <n v="0.66542972369120179"/>
    <n v="30.3"/>
    <n v="31.8"/>
    <n v="32.799999999999997"/>
  </r>
  <r>
    <n v="203"/>
    <x v="6"/>
    <x v="6"/>
    <x v="0"/>
    <x v="1"/>
    <x v="0"/>
    <x v="0"/>
    <x v="1"/>
    <n v="13.222"/>
    <n v="32.1"/>
    <n v="30.9"/>
    <n v="31.3"/>
    <n v="31.9"/>
    <n v="32.9"/>
    <n v="30.7"/>
    <n v="31.8"/>
    <n v="31.8"/>
    <n v="32.299999999999997"/>
    <n v="32.1"/>
    <n v="31.8"/>
    <n v="32.200000000000003"/>
    <n v="31.816666666666666"/>
    <n v="0.17573798218887945"/>
    <n v="30.7"/>
    <n v="31.675000000000001"/>
    <n v="31.85"/>
  </r>
  <r>
    <n v="204"/>
    <x v="7"/>
    <x v="7"/>
    <x v="1"/>
    <x v="2"/>
    <x v="0"/>
    <x v="0"/>
    <x v="1"/>
    <n v="13.236000000000001"/>
    <n v="34.9"/>
    <n v="33.799999999999997"/>
    <n v="34"/>
    <n v="33.6"/>
    <n v="32.9"/>
    <n v="33.200000000000003"/>
    <n v="31.5"/>
    <n v="32.6"/>
    <n v="33"/>
    <n v="33.700000000000003"/>
    <n v="32.200000000000003"/>
    <n v="33.9"/>
    <n v="33.274999999999999"/>
    <n v="0.26259918760985101"/>
    <n v="31.5"/>
    <n v="32.825000000000003"/>
    <n v="33.4"/>
  </r>
  <r>
    <n v="205"/>
    <x v="0"/>
    <x v="0"/>
    <x v="0"/>
    <x v="0"/>
    <x v="0"/>
    <x v="1"/>
    <x v="1"/>
    <n v="13.250999999999999"/>
    <n v="34.6"/>
    <n v="31.5"/>
    <n v="34.9"/>
    <n v="36.4"/>
    <n v="31.8"/>
    <n v="33.5"/>
    <n v="33.1"/>
    <n v="30.7"/>
    <n v="32.1"/>
    <n v="33.4"/>
    <n v="31.9"/>
    <n v="31"/>
    <n v="32.908333333333331"/>
    <n v="0.50037233611330056"/>
    <n v="30.7"/>
    <n v="31.725000000000001"/>
    <n v="32.6"/>
  </r>
  <r>
    <n v="206"/>
    <x v="8"/>
    <x v="8"/>
    <x v="1"/>
    <x v="0"/>
    <x v="1"/>
    <x v="1"/>
    <x v="1"/>
    <n v="13.265000000000001"/>
    <n v="33"/>
    <n v="33"/>
    <n v="30.9"/>
    <n v="32.4"/>
    <n v="33.799999999999997"/>
    <n v="33.4"/>
    <n v="32.299999999999997"/>
    <n v="34"/>
    <n v="33.200000000000003"/>
    <n v="33"/>
    <n v="32.1"/>
    <n v="33.700000000000003"/>
    <n v="32.9"/>
    <n v="0.25045413298102648"/>
    <n v="30.9"/>
    <n v="32.375"/>
    <n v="33"/>
  </r>
  <r>
    <n v="207"/>
    <x v="1"/>
    <x v="1"/>
    <x v="0"/>
    <x v="1"/>
    <x v="1"/>
    <x v="1"/>
    <x v="1"/>
    <n v="13.282"/>
    <n v="31.9"/>
    <n v="31.3"/>
    <n v="32.700000000000003"/>
    <n v="32.700000000000003"/>
    <n v="32.799999999999997"/>
    <n v="31.5"/>
    <n v="31"/>
    <n v="32.6"/>
    <n v="30.1"/>
    <n v="33.299999999999997"/>
    <n v="30.3"/>
    <n v="32.200000000000003"/>
    <n v="31.866666666666674"/>
    <n v="0.29831174799168153"/>
    <n v="30.1"/>
    <n v="31.225000000000001"/>
    <n v="32.049999999999997"/>
  </r>
  <r>
    <n v="208"/>
    <x v="9"/>
    <x v="9"/>
    <x v="0"/>
    <x v="0"/>
    <x v="1"/>
    <x v="1"/>
    <x v="1"/>
    <n v="13.295999999999999"/>
    <n v="34.1"/>
    <n v="32.4"/>
    <n v="34.6"/>
    <n v="31.8"/>
    <n v="31.8"/>
    <n v="33.9"/>
    <n v="33.799999999999997"/>
    <n v="33.4"/>
    <n v="33"/>
    <n v="33"/>
    <n v="33.200000000000003"/>
    <n v="34.9"/>
    <n v="33.325000000000003"/>
    <n v="0.28870793672375955"/>
    <n v="31.8"/>
    <n v="32.85"/>
    <n v="33.299999999999997"/>
  </r>
  <r>
    <n v="301"/>
    <x v="3"/>
    <x v="3"/>
    <x v="1"/>
    <x v="1"/>
    <x v="1"/>
    <x v="2"/>
    <x v="1"/>
    <n v="13.44"/>
    <n v="32.5"/>
    <n v="31.8"/>
    <n v="32"/>
    <n v="31.3"/>
    <n v="30.9"/>
    <n v="32.6"/>
    <n v="31.8"/>
    <n v="31.5"/>
    <n v="31.4"/>
    <n v="31.3"/>
    <n v="31"/>
    <n v="31.5"/>
    <n v="31.633333333333336"/>
    <n v="0.15390538875184806"/>
    <n v="30.9"/>
    <n v="31.3"/>
    <n v="31.5"/>
  </r>
  <r>
    <n v="302"/>
    <x v="1"/>
    <x v="1"/>
    <x v="0"/>
    <x v="1"/>
    <x v="1"/>
    <x v="2"/>
    <x v="1"/>
    <n v="13.455"/>
    <n v="30.1"/>
    <n v="29.8"/>
    <n v="31.1"/>
    <n v="31.9"/>
    <n v="29.6"/>
    <n v="29.8"/>
    <n v="31.6"/>
    <n v="30.1"/>
    <n v="32.799999999999997"/>
    <n v="32"/>
    <n v="32.200000000000003"/>
    <n v="32.299999999999997"/>
    <n v="31.108333333333334"/>
    <n v="0.3356265812181437"/>
    <n v="29.6"/>
    <n v="30.024999999999999"/>
    <n v="31.35"/>
  </r>
  <r>
    <n v="303"/>
    <x v="8"/>
    <x v="8"/>
    <x v="1"/>
    <x v="0"/>
    <x v="1"/>
    <x v="2"/>
    <x v="1"/>
    <n v="13.472"/>
    <n v="30.1"/>
    <n v="31.5"/>
    <n v="27.2"/>
    <n v="27.9"/>
    <n v="33"/>
    <n v="31.8"/>
    <n v="30.2"/>
    <n v="31.4"/>
    <n v="30.7"/>
    <n v="29.7"/>
    <n v="30.8"/>
    <n v="31.1"/>
    <n v="30.45"/>
    <n v="0.46669372215942284"/>
    <n v="27.2"/>
    <n v="30"/>
    <n v="30.75"/>
  </r>
  <r>
    <n v="304"/>
    <x v="9"/>
    <x v="9"/>
    <x v="0"/>
    <x v="0"/>
    <x v="1"/>
    <x v="2"/>
    <x v="1"/>
    <n v="13.487"/>
    <n v="30.9"/>
    <n v="33.1"/>
    <n v="34.799999999999997"/>
    <n v="30"/>
    <n v="30.1"/>
    <n v="31.3"/>
    <n v="33.5"/>
    <n v="32.1"/>
    <n v="31.4"/>
    <n v="33.1"/>
    <n v="31.7"/>
    <n v="32.700000000000003"/>
    <n v="32.05833333333333"/>
    <n v="0.41495862030526848"/>
    <n v="30"/>
    <n v="31.2"/>
    <n v="31.9"/>
  </r>
  <r>
    <n v="305"/>
    <x v="7"/>
    <x v="7"/>
    <x v="1"/>
    <x v="2"/>
    <x v="0"/>
    <x v="3"/>
    <x v="1"/>
    <n v="13.504"/>
    <n v="32.5"/>
    <n v="32.6"/>
    <n v="31.6"/>
    <n v="31.2"/>
    <n v="31.1"/>
    <n v="32"/>
    <n v="32.200000000000003"/>
    <n v="31.8"/>
    <n v="33.299999999999997"/>
    <n v="31.8"/>
    <n v="31.6"/>
    <n v="35.9"/>
    <n v="32.299999999999997"/>
    <n v="0.37254245232974836"/>
    <n v="31.1"/>
    <n v="31.6"/>
    <n v="31.9"/>
  </r>
  <r>
    <n v="306"/>
    <x v="1"/>
    <x v="1"/>
    <x v="0"/>
    <x v="1"/>
    <x v="1"/>
    <x v="3"/>
    <x v="1"/>
    <n v="13.518000000000001"/>
    <n v="32.9"/>
    <n v="32.1"/>
    <n v="30.2"/>
    <n v="31.8"/>
    <n v="31.7"/>
    <n v="32.1"/>
    <n v="30.5"/>
    <n v="30.6"/>
    <n v="33.299999999999997"/>
    <n v="31.4"/>
    <n v="33.5"/>
    <n v="30.3"/>
    <n v="31.7"/>
    <n v="0.33166247903554497"/>
    <n v="30.2"/>
    <n v="30.574999999999999"/>
    <n v="31.75"/>
  </r>
  <r>
    <n v="307"/>
    <x v="5"/>
    <x v="5"/>
    <x v="1"/>
    <x v="1"/>
    <x v="0"/>
    <x v="3"/>
    <x v="1"/>
    <n v="13.532999999999999"/>
    <n v="31.6"/>
    <n v="32.1"/>
    <n v="31.4"/>
    <n v="31.2"/>
    <n v="31.6"/>
    <n v="32.700000000000003"/>
    <n v="34"/>
    <n v="31.9"/>
    <n v="31.9"/>
    <n v="32.299999999999997"/>
    <n v="31"/>
    <n v="31.1"/>
    <n v="31.9"/>
    <n v="0.24026500520730232"/>
    <n v="31"/>
    <n v="31.35"/>
    <n v="31.75"/>
  </r>
  <r>
    <n v="308"/>
    <x v="2"/>
    <x v="2"/>
    <x v="0"/>
    <x v="2"/>
    <x v="0"/>
    <x v="3"/>
    <x v="1"/>
    <n v="13.547000000000001"/>
    <n v="35.1"/>
    <n v="32.5"/>
    <n v="33.6"/>
    <n v="32.5"/>
    <n v="34"/>
    <n v="32.4"/>
    <n v="32.299999999999997"/>
    <n v="35.5"/>
    <n v="32.6"/>
    <n v="32.200000000000003"/>
    <n v="32.5"/>
    <n v="35"/>
    <n v="33.35"/>
    <n v="0.35834214224552241"/>
    <n v="32.200000000000003"/>
    <n v="32.475000000000001"/>
    <n v="32.549999999999997"/>
  </r>
  <r>
    <n v="403"/>
    <x v="10"/>
    <x v="10"/>
    <x v="0"/>
    <x v="2"/>
    <x v="1"/>
    <x v="2"/>
    <x v="1"/>
    <n v="13.654"/>
    <n v="32.1"/>
    <n v="32.5"/>
    <n v="32.200000000000003"/>
    <n v="33.9"/>
    <n v="37.5"/>
    <n v="32.1"/>
    <n v="32.799999999999997"/>
    <n v="33.6"/>
    <n v="34.200000000000003"/>
    <n v="34"/>
    <n v="31.6"/>
    <n v="35.799999999999997"/>
    <n v="33.524999999999999"/>
    <n v="0.49926081724520599"/>
    <n v="31.6"/>
    <n v="32.174999999999997"/>
    <n v="33.200000000000003"/>
  </r>
  <r>
    <n v="404"/>
    <x v="6"/>
    <x v="6"/>
    <x v="0"/>
    <x v="1"/>
    <x v="0"/>
    <x v="2"/>
    <x v="1"/>
    <n v="13.638"/>
    <n v="32.299999999999997"/>
    <n v="33"/>
    <n v="33.1"/>
    <n v="36.200000000000003"/>
    <n v="34.1"/>
    <n v="32.200000000000003"/>
    <n v="33.6"/>
    <n v="33.200000000000003"/>
    <n v="32.1"/>
    <n v="32.4"/>
    <n v="33.5"/>
    <n v="32.799999999999997"/>
    <n v="33.208333333333336"/>
    <n v="0.3248445626741554"/>
    <n v="32.1"/>
    <n v="32.375"/>
    <n v="33.049999999999997"/>
  </r>
  <r>
    <n v="405"/>
    <x v="10"/>
    <x v="10"/>
    <x v="0"/>
    <x v="2"/>
    <x v="1"/>
    <x v="3"/>
    <x v="1"/>
    <n v="13.622999999999999"/>
    <n v="32.5"/>
    <n v="34.200000000000003"/>
    <n v="34.299999999999997"/>
    <n v="33.700000000000003"/>
    <n v="32.700000000000003"/>
    <n v="33.1"/>
    <n v="38.799999999999997"/>
    <n v="34.200000000000003"/>
    <n v="32.299999999999997"/>
    <n v="32.700000000000003"/>
    <n v="33.200000000000003"/>
    <n v="31.4"/>
    <n v="33.591666666666661"/>
    <n v="0.53674924077709929"/>
    <n v="31.4"/>
    <n v="32.65"/>
    <n v="33.15"/>
  </r>
  <r>
    <n v="406"/>
    <x v="6"/>
    <x v="6"/>
    <x v="0"/>
    <x v="1"/>
    <x v="0"/>
    <x v="3"/>
    <x v="1"/>
    <n v="13.606999999999999"/>
    <n v="32.700000000000003"/>
    <n v="31.2"/>
    <n v="33.700000000000003"/>
    <n v="32.700000000000003"/>
    <n v="31.1"/>
    <n v="31.5"/>
    <n v="31.4"/>
    <n v="33.299999999999997"/>
    <n v="32.9"/>
    <n v="33.1"/>
    <n v="33"/>
    <n v="31.3"/>
    <n v="32.325000000000003"/>
    <n v="0.27334210998472885"/>
    <n v="31.1"/>
    <n v="31.375"/>
    <n v="32.700000000000003"/>
  </r>
  <r>
    <n v="407"/>
    <x v="11"/>
    <x v="11"/>
    <x v="1"/>
    <x v="0"/>
    <x v="0"/>
    <x v="3"/>
    <x v="1"/>
    <n v="13.592000000000001"/>
    <n v="32.200000000000003"/>
    <n v="33.6"/>
    <n v="33.299999999999997"/>
    <n v="33.200000000000003"/>
    <n v="31.8"/>
    <n v="31"/>
    <n v="31.8"/>
    <n v="32.6"/>
    <n v="32.700000000000003"/>
    <n v="31.3"/>
    <n v="32.799999999999997"/>
    <n v="32.4"/>
    <n v="32.391666666666673"/>
    <n v="0.23207180619866899"/>
    <n v="31"/>
    <n v="31.8"/>
    <n v="32.5"/>
  </r>
  <r>
    <n v="408"/>
    <x v="3"/>
    <x v="3"/>
    <x v="1"/>
    <x v="1"/>
    <x v="1"/>
    <x v="3"/>
    <x v="1"/>
    <n v="13.577"/>
    <n v="35.299999999999997"/>
    <n v="34.5"/>
    <n v="31.6"/>
    <n v="33.799999999999997"/>
    <n v="32.700000000000003"/>
    <n v="32.700000000000003"/>
    <n v="34"/>
    <n v="35.799999999999997"/>
    <n v="33"/>
    <n v="33.299999999999997"/>
    <n v="34.9"/>
    <n v="32.299999999999997"/>
    <n v="33.658333333333331"/>
    <n v="0.37080141163253794"/>
    <n v="31.6"/>
    <n v="32.700000000000003"/>
    <n v="33.549999999999997"/>
  </r>
  <r>
    <n v="902"/>
    <x v="13"/>
    <x v="13"/>
    <x v="3"/>
    <x v="1"/>
    <x v="0"/>
    <x v="0"/>
    <x v="1"/>
    <n v="13.404"/>
    <n v="31.4"/>
    <n v="31.3"/>
    <n v="31.3"/>
    <n v="31.9"/>
    <n v="32.200000000000003"/>
    <n v="32.700000000000003"/>
    <n v="31.8"/>
    <n v="32.200000000000003"/>
    <n v="33.9"/>
    <n v="31.8"/>
    <n v="32"/>
    <n v="32.299999999999997"/>
    <n v="32.06666666666667"/>
    <n v="0.20682789409979518"/>
    <n v="31.3"/>
    <n v="31.7"/>
    <n v="31.95"/>
  </r>
  <r>
    <n v="904"/>
    <x v="15"/>
    <x v="15"/>
    <x v="5"/>
    <x v="1"/>
    <x v="0"/>
    <x v="0"/>
    <x v="1"/>
    <n v="13.38"/>
    <n v="35.9"/>
    <n v="35.700000000000003"/>
    <n v="35.700000000000003"/>
    <n v="34.9"/>
    <n v="35.200000000000003"/>
    <n v="38.799999999999997"/>
    <n v="34.6"/>
    <n v="35.6"/>
    <n v="32.4"/>
    <n v="35.5"/>
    <n v="34.4"/>
    <n v="34.4"/>
    <n v="35.258333333333326"/>
    <n v="0.42398869577086429"/>
    <n v="32.4"/>
    <n v="34.549999999999997"/>
    <n v="35.35"/>
  </r>
  <r>
    <n v="906"/>
    <x v="13"/>
    <x v="13"/>
    <x v="3"/>
    <x v="1"/>
    <x v="0"/>
    <x v="1"/>
    <x v="1"/>
    <n v="13.349"/>
    <n v="31.7"/>
    <n v="31.8"/>
    <n v="30.8"/>
    <n v="30.1"/>
    <n v="32.4"/>
    <n v="31.7"/>
    <n v="30.9"/>
    <n v="31.3"/>
    <n v="32.799999999999997"/>
    <n v="30.9"/>
    <n v="31.1"/>
    <n v="30.7"/>
    <n v="31.35"/>
    <n v="0.22036471146852205"/>
    <n v="30.1"/>
    <n v="30.875"/>
    <n v="31.2"/>
  </r>
  <r>
    <n v="908"/>
    <x v="15"/>
    <x v="15"/>
    <x v="5"/>
    <x v="1"/>
    <x v="0"/>
    <x v="1"/>
    <x v="1"/>
    <n v="13.324999999999999"/>
    <n v="33.6"/>
    <n v="35.799999999999997"/>
    <n v="34.700000000000003"/>
    <n v="36.1"/>
    <n v="34.4"/>
    <n v="35.6"/>
    <n v="35.6"/>
    <n v="35.4"/>
    <n v="35.200000000000003"/>
    <n v="35.5"/>
    <n v="32.9"/>
    <n v="35.6"/>
    <n v="35.033333333333331"/>
    <n v="0.2777979790634616"/>
    <n v="32.9"/>
    <n v="34.625"/>
    <n v="35.45000000000000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03999999999999"/>
    <n v="50"/>
    <n v="38"/>
    <n v="49.4"/>
    <n v="40.799999999999997"/>
    <n v="46.6"/>
    <n v="42.1"/>
    <n v="46.9"/>
    <n v="47.4"/>
    <n v="42.9"/>
    <n v="49.5"/>
    <n v="52.6"/>
    <n v="48.1"/>
    <n v="46.191666666666663"/>
    <n v="1.2502398759737052"/>
    <n v="38"/>
    <n v="42.7"/>
    <n v="47.15"/>
  </r>
  <r>
    <n v="102"/>
    <x v="1"/>
    <x v="1"/>
    <x v="0"/>
    <x v="1"/>
    <x v="1"/>
    <x v="0"/>
    <x v="0"/>
    <n v="13.086"/>
    <n v="49.6"/>
    <n v="39.6"/>
    <n v="50.8"/>
    <n v="38.299999999999997"/>
    <n v="48.6"/>
    <n v="43.1"/>
    <n v="50.3"/>
    <n v="42.7"/>
    <n v="41.6"/>
    <n v="48"/>
    <n v="43.6"/>
    <n v="40.299999999999997"/>
    <n v="44.708333333333336"/>
    <n v="1.2979855215453868"/>
    <n v="38.299999999999997"/>
    <n v="41.274999999999999"/>
    <n v="43.35"/>
  </r>
  <r>
    <n v="103"/>
    <x v="2"/>
    <x v="2"/>
    <x v="0"/>
    <x v="2"/>
    <x v="0"/>
    <x v="0"/>
    <x v="0"/>
    <n v="13.066000000000001"/>
    <n v="47.5"/>
    <n v="37.1"/>
    <n v="47.1"/>
    <n v="36.1"/>
    <n v="43.7"/>
    <n v="38.4"/>
    <n v="45.8"/>
    <n v="40.6"/>
    <n v="36.200000000000003"/>
    <n v="44.6"/>
    <n v="35.4"/>
    <n v="41.2"/>
    <n v="41.141666666666666"/>
    <n v="1.3000267091273281"/>
    <n v="35.4"/>
    <n v="36.875"/>
    <n v="40.900000000000006"/>
  </r>
  <r>
    <n v="104"/>
    <x v="3"/>
    <x v="3"/>
    <x v="1"/>
    <x v="1"/>
    <x v="1"/>
    <x v="0"/>
    <x v="0"/>
    <n v="13.048999999999999"/>
    <n v="33.700000000000003"/>
    <n v="33.1"/>
    <n v="34.200000000000003"/>
    <n v="31.6"/>
    <n v="32.299999999999997"/>
    <n v="32.1"/>
    <n v="32.1"/>
    <n v="32.4"/>
    <n v="31.7"/>
    <n v="33.700000000000003"/>
    <n v="33.6"/>
    <n v="31.5"/>
    <n v="32.666666666666664"/>
    <n v="0.2728450923957379"/>
    <n v="31.5"/>
    <n v="32"/>
    <n v="32.349999999999994"/>
  </r>
  <r>
    <n v="105"/>
    <x v="4"/>
    <x v="4"/>
    <x v="1"/>
    <x v="2"/>
    <x v="1"/>
    <x v="1"/>
    <x v="0"/>
    <n v="13.031000000000001"/>
    <n v="46.3"/>
    <n v="39.200000000000003"/>
    <n v="45.6"/>
    <n v="37"/>
    <n v="47.2"/>
    <n v="34.799999999999997"/>
    <n v="45.8"/>
    <n v="36.299999999999997"/>
    <n v="35.6"/>
    <n v="46.8"/>
    <n v="42.8"/>
    <n v="39.9"/>
    <n v="41.44166666666667"/>
    <n v="1.3910132743050605"/>
    <n v="34.799999999999997"/>
    <n v="36.825000000000003"/>
    <n v="41.349999999999994"/>
  </r>
  <r>
    <n v="106"/>
    <x v="5"/>
    <x v="5"/>
    <x v="1"/>
    <x v="1"/>
    <x v="0"/>
    <x v="1"/>
    <x v="0"/>
    <n v="13.010999999999999"/>
    <n v="34.4"/>
    <n v="33.299999999999997"/>
    <n v="35.1"/>
    <n v="33"/>
    <n v="33.9"/>
    <n v="32.200000000000003"/>
    <n v="33.6"/>
    <n v="32.4"/>
    <n v="32.5"/>
    <n v="33.700000000000003"/>
    <n v="34.700000000000003"/>
    <n v="33.299999999999997"/>
    <n v="33.508333333333333"/>
    <n v="0.2647063362378595"/>
    <n v="32.200000000000003"/>
    <n v="32.875"/>
    <n v="33.450000000000003"/>
  </r>
  <r>
    <n v="107"/>
    <x v="3"/>
    <x v="3"/>
    <x v="1"/>
    <x v="1"/>
    <x v="1"/>
    <x v="1"/>
    <x v="0"/>
    <n v="12.993"/>
    <n v="34.1"/>
    <n v="32.799999999999997"/>
    <n v="34.5"/>
    <n v="33.299999999999997"/>
    <n v="33.799999999999997"/>
    <n v="34.799999999999997"/>
    <n v="32.4"/>
    <n v="33.700000000000003"/>
    <n v="32.200000000000003"/>
    <n v="33.799999999999997"/>
    <n v="33.799999999999997"/>
    <n v="33.299999999999997"/>
    <n v="33.541666666666671"/>
    <n v="0.22712242504773336"/>
    <n v="32.200000000000003"/>
    <n v="33.174999999999997"/>
    <n v="33.75"/>
  </r>
  <r>
    <n v="108"/>
    <x v="6"/>
    <x v="6"/>
    <x v="0"/>
    <x v="1"/>
    <x v="0"/>
    <x v="1"/>
    <x v="0"/>
    <n v="12.976000000000001"/>
    <n v="50.6"/>
    <n v="44.8"/>
    <n v="42.4"/>
    <n v="53.1"/>
    <n v="40.1"/>
    <n v="48.8"/>
    <n v="46.9"/>
    <n v="40.9"/>
    <n v="48.6"/>
    <n v="37.200000000000003"/>
    <n v="51.6"/>
    <n v="36.4"/>
    <n v="45.116666666666667"/>
    <n v="1.6371553920681512"/>
    <n v="36.4"/>
    <n v="40.700000000000003"/>
    <n v="45.849999999999994"/>
  </r>
  <r>
    <n v="201"/>
    <x v="4"/>
    <x v="4"/>
    <x v="1"/>
    <x v="2"/>
    <x v="1"/>
    <x v="0"/>
    <x v="0"/>
    <n v="13.132"/>
    <n v="49.2"/>
    <n v="41.4"/>
    <n v="41.4"/>
    <n v="39.6"/>
    <n v="38.799999999999997"/>
    <n v="36.1"/>
    <n v="48.2"/>
    <n v="39.799999999999997"/>
    <n v="38.6"/>
    <n v="41.3"/>
    <n v="44.2"/>
    <n v="34.299999999999997"/>
    <n v="41.075000000000003"/>
    <n v="1.2689846215367968"/>
    <n v="34.299999999999997"/>
    <n v="38.75"/>
    <n v="40.549999999999997"/>
  </r>
  <r>
    <n v="202"/>
    <x v="5"/>
    <x v="5"/>
    <x v="1"/>
    <x v="1"/>
    <x v="0"/>
    <x v="0"/>
    <x v="0"/>
    <n v="13.148"/>
    <n v="34.6"/>
    <n v="34.700000000000003"/>
    <n v="34.299999999999997"/>
    <n v="36.700000000000003"/>
    <n v="34.200000000000003"/>
    <n v="34.5"/>
    <n v="34.1"/>
    <n v="36.200000000000003"/>
    <n v="33.299999999999997"/>
    <n v="33.299999999999997"/>
    <n v="34.4"/>
    <n v="31.6"/>
    <n v="34.325000000000003"/>
    <n v="0.37941841459439396"/>
    <n v="31.6"/>
    <n v="33.9"/>
    <n v="34.349999999999994"/>
  </r>
  <r>
    <n v="203"/>
    <x v="6"/>
    <x v="6"/>
    <x v="0"/>
    <x v="1"/>
    <x v="0"/>
    <x v="0"/>
    <x v="0"/>
    <n v="13.166"/>
    <n v="49.7"/>
    <n v="35.700000000000003"/>
    <n v="50.6"/>
    <n v="41.3"/>
    <n v="47.3"/>
    <n v="42.6"/>
    <n v="49.4"/>
    <n v="44.3"/>
    <n v="45.2"/>
    <n v="46.2"/>
    <n v="49.5"/>
    <n v="44.8"/>
    <n v="45.550000000000004"/>
    <n v="1.2391040262539603"/>
    <n v="35.700000000000003"/>
    <n v="43.875"/>
    <n v="45.7"/>
  </r>
  <r>
    <n v="204"/>
    <x v="7"/>
    <x v="7"/>
    <x v="1"/>
    <x v="2"/>
    <x v="0"/>
    <x v="0"/>
    <x v="0"/>
    <n v="13.182"/>
    <n v="46.3"/>
    <n v="36.700000000000003"/>
    <n v="47.5"/>
    <n v="34.9"/>
    <n v="44.7"/>
    <n v="32.5"/>
    <n v="45.7"/>
    <n v="35.799999999999997"/>
    <n v="42.3"/>
    <n v="42.1"/>
    <n v="41.1"/>
    <n v="40.799999999999997"/>
    <n v="40.866666666666674"/>
    <n v="1.413802809389737"/>
    <n v="32.5"/>
    <n v="36.475000000000001"/>
    <n v="41.6"/>
  </r>
  <r>
    <n v="205"/>
    <x v="0"/>
    <x v="0"/>
    <x v="0"/>
    <x v="0"/>
    <x v="0"/>
    <x v="1"/>
    <x v="0"/>
    <n v="13.2"/>
    <n v="49.8"/>
    <n v="47.1"/>
    <n v="50.2"/>
    <n v="39.4"/>
    <n v="48.2"/>
    <n v="37.5"/>
    <n v="44.2"/>
    <n v="46"/>
    <n v="48.9"/>
    <n v="41.8"/>
    <n v="52.2"/>
    <n v="43.5"/>
    <n v="45.733333333333327"/>
    <n v="1.3115647220789635"/>
    <n v="37.5"/>
    <n v="43.075000000000003"/>
    <n v="46.55"/>
  </r>
  <r>
    <n v="206"/>
    <x v="8"/>
    <x v="8"/>
    <x v="1"/>
    <x v="0"/>
    <x v="1"/>
    <x v="1"/>
    <x v="0"/>
    <n v="13.218"/>
    <n v="58.3"/>
    <n v="55.6"/>
    <n v="59.4"/>
    <n v="48.3"/>
    <n v="57.6"/>
    <n v="50.1"/>
    <n v="58.4"/>
    <n v="52.1"/>
    <n v="51"/>
    <n v="54.7"/>
    <n v="57.5"/>
    <n v="55.9"/>
    <n v="54.908333333333339"/>
    <n v="1.0634747459876255"/>
    <n v="48.3"/>
    <n v="51.825000000000003"/>
    <n v="55.75"/>
  </r>
  <r>
    <n v="207"/>
    <x v="1"/>
    <x v="1"/>
    <x v="0"/>
    <x v="1"/>
    <x v="1"/>
    <x v="1"/>
    <x v="0"/>
    <n v="13.238"/>
    <n v="48.3"/>
    <n v="44.9"/>
    <n v="46"/>
    <n v="36.700000000000003"/>
    <n v="48.4"/>
    <n v="38"/>
    <n v="45.5"/>
    <n v="37.6"/>
    <n v="47.5"/>
    <n v="46.1"/>
    <n v="48.5"/>
    <n v="44.8"/>
    <n v="44.358333333333327"/>
    <n v="1.2648187277793768"/>
    <n v="36.700000000000003"/>
    <n v="43.099999999999994"/>
    <n v="45.75"/>
  </r>
  <r>
    <n v="208"/>
    <x v="9"/>
    <x v="9"/>
    <x v="0"/>
    <x v="0"/>
    <x v="1"/>
    <x v="1"/>
    <x v="0"/>
    <n v="13.256"/>
    <n v="49.7"/>
    <n v="47.7"/>
    <n v="50.2"/>
    <n v="42.5"/>
    <n v="49.3"/>
    <n v="37.1"/>
    <n v="50.9"/>
    <n v="43.5"/>
    <n v="46.6"/>
    <n v="43.7"/>
    <n v="52.9"/>
    <n v="50.8"/>
    <n v="47.074999999999996"/>
    <n v="1.3178911644032503"/>
    <n v="37.1"/>
    <n v="43.650000000000006"/>
    <n v="48.5"/>
  </r>
  <r>
    <n v="301"/>
    <x v="3"/>
    <x v="3"/>
    <x v="1"/>
    <x v="1"/>
    <x v="1"/>
    <x v="2"/>
    <x v="0"/>
    <n v="13.407"/>
    <n v="33.700000000000003"/>
    <n v="31.6"/>
    <n v="34.4"/>
    <n v="32.6"/>
    <n v="33.299999999999997"/>
    <n v="32.200000000000003"/>
    <n v="32.799999999999997"/>
    <n v="30.8"/>
    <n v="32.9"/>
    <n v="30.2"/>
    <n v="33.6"/>
    <n v="32"/>
    <n v="32.508333333333333"/>
    <n v="0.35343730602882401"/>
    <n v="30.2"/>
    <n v="31.9"/>
    <n v="32.700000000000003"/>
  </r>
  <r>
    <n v="302"/>
    <x v="1"/>
    <x v="1"/>
    <x v="0"/>
    <x v="1"/>
    <x v="1"/>
    <x v="2"/>
    <x v="0"/>
    <n v="13.425000000000001"/>
    <n v="50"/>
    <n v="37.1"/>
    <n v="51.3"/>
    <n v="36.200000000000003"/>
    <n v="48.1"/>
    <n v="34.9"/>
    <n v="47.8"/>
    <n v="37.5"/>
    <n v="41"/>
    <n v="43.7"/>
    <n v="39.299999999999997"/>
    <n v="40.200000000000003"/>
    <n v="42.258333333333333"/>
    <n v="1.6589271055155372"/>
    <n v="34.9"/>
    <n v="37.4"/>
    <n v="40.6"/>
  </r>
  <r>
    <n v="303"/>
    <x v="8"/>
    <x v="8"/>
    <x v="1"/>
    <x v="0"/>
    <x v="1"/>
    <x v="2"/>
    <x v="0"/>
    <n v="13.442"/>
    <n v="58.5"/>
    <n v="41"/>
    <n v="56.5"/>
    <n v="47.7"/>
    <n v="57.5"/>
    <n v="44.2"/>
    <n v="57.5"/>
    <n v="56.2"/>
    <n v="57.7"/>
    <n v="55.8"/>
    <n v="56.8"/>
    <n v="50.4"/>
    <n v="53.316666666666656"/>
    <n v="1.7248115107091648"/>
    <n v="41"/>
    <n v="49.725000000000001"/>
    <n v="56.35"/>
  </r>
  <r>
    <n v="304"/>
    <x v="9"/>
    <x v="9"/>
    <x v="0"/>
    <x v="0"/>
    <x v="1"/>
    <x v="2"/>
    <x v="0"/>
    <n v="13.461"/>
    <n v="48.9"/>
    <n v="49.1"/>
    <n v="50.2"/>
    <n v="40.1"/>
    <n v="45.8"/>
    <n v="36.5"/>
    <n v="48.9"/>
    <n v="42.8"/>
    <n v="38.5"/>
    <n v="48.7"/>
    <n v="38.700000000000003"/>
    <n v="44.9"/>
    <n v="44.42499999999999"/>
    <n v="1.4240427406762577"/>
    <n v="36.5"/>
    <n v="39.75"/>
    <n v="45.349999999999994"/>
  </r>
  <r>
    <n v="305"/>
    <x v="7"/>
    <x v="7"/>
    <x v="1"/>
    <x v="2"/>
    <x v="0"/>
    <x v="3"/>
    <x v="0"/>
    <n v="13.48"/>
    <n v="45.5"/>
    <n v="38.299999999999997"/>
    <n v="45.1"/>
    <n v="32.5"/>
    <n v="42.3"/>
    <n v="32.799999999999997"/>
    <n v="42.9"/>
    <n v="32.799999999999997"/>
    <n v="38.4"/>
    <n v="38.4"/>
    <n v="38.6"/>
    <n v="43.4"/>
    <n v="39.249999999999993"/>
    <n v="1.3614553265019829"/>
    <n v="32.5"/>
    <n v="36.924999999999997"/>
    <n v="38.5"/>
  </r>
  <r>
    <n v="306"/>
    <x v="1"/>
    <x v="1"/>
    <x v="0"/>
    <x v="1"/>
    <x v="1"/>
    <x v="3"/>
    <x v="0"/>
    <n v="13.497"/>
    <n v="49.1"/>
    <n v="41.9"/>
    <n v="47.4"/>
    <n v="46.7"/>
    <n v="47.7"/>
    <n v="34.700000000000003"/>
    <n v="46.8"/>
    <n v="36.200000000000003"/>
    <n v="44.8"/>
    <n v="44.6"/>
    <n v="45.7"/>
    <n v="45.7"/>
    <n v="44.275000000000006"/>
    <n v="1.3026851639454664"/>
    <n v="34.700000000000003"/>
    <n v="43.924999999999997"/>
    <n v="45.7"/>
  </r>
  <r>
    <n v="307"/>
    <x v="5"/>
    <x v="5"/>
    <x v="1"/>
    <x v="1"/>
    <x v="0"/>
    <x v="3"/>
    <x v="0"/>
    <n v="13.515000000000001"/>
    <n v="31.7"/>
    <n v="32.299999999999997"/>
    <n v="31.7"/>
    <n v="31.9"/>
    <n v="32.200000000000003"/>
    <n v="32.200000000000003"/>
    <n v="31.1"/>
    <n v="32.5"/>
    <n v="32.700000000000003"/>
    <n v="31.6"/>
    <n v="33.200000000000003"/>
    <n v="32.200000000000003"/>
    <n v="32.108333333333334"/>
    <n v="0.1607078722465636"/>
    <n v="31.1"/>
    <n v="31.7"/>
    <n v="32.200000000000003"/>
  </r>
  <r>
    <n v="308"/>
    <x v="2"/>
    <x v="2"/>
    <x v="0"/>
    <x v="2"/>
    <x v="0"/>
    <x v="3"/>
    <x v="0"/>
    <n v="13.532999999999999"/>
    <n v="47.8"/>
    <n v="37.9"/>
    <n v="48"/>
    <n v="36.799999999999997"/>
    <n v="47.3"/>
    <n v="35.799999999999997"/>
    <n v="47"/>
    <n v="36.4"/>
    <n v="47"/>
    <n v="36.299999999999997"/>
    <n v="47.4"/>
    <n v="34.5"/>
    <n v="41.85"/>
    <n v="1.6944874973831585"/>
    <n v="34.5"/>
    <n v="36.375"/>
    <n v="42.45"/>
  </r>
  <r>
    <n v="403"/>
    <x v="10"/>
    <x v="10"/>
    <x v="0"/>
    <x v="2"/>
    <x v="1"/>
    <x v="2"/>
    <x v="0"/>
    <n v="13.659000000000001"/>
    <n v="48.2"/>
    <n v="40.200000000000003"/>
    <n v="44.6"/>
    <n v="37.6"/>
    <n v="46.7"/>
    <n v="40.799999999999997"/>
    <n v="41.6"/>
    <n v="42.8"/>
    <n v="48.2"/>
    <n v="35.299999999999997"/>
    <n v="47.2"/>
    <n v="36.200000000000003"/>
    <n v="42.45"/>
    <n v="1.3306127547225259"/>
    <n v="35.299999999999997"/>
    <n v="39.550000000000004"/>
    <n v="42.2"/>
  </r>
  <r>
    <n v="404"/>
    <x v="6"/>
    <x v="6"/>
    <x v="0"/>
    <x v="1"/>
    <x v="0"/>
    <x v="2"/>
    <x v="0"/>
    <n v="13.634"/>
    <n v="49.7"/>
    <n v="44.2"/>
    <n v="50.8"/>
    <n v="41.8"/>
    <n v="48"/>
    <n v="35.700000000000003"/>
    <n v="49.1"/>
    <n v="41.6"/>
    <n v="45.9"/>
    <n v="49.4"/>
    <n v="46.5"/>
    <n v="41.5"/>
    <n v="45.35"/>
    <n v="1.3017179790452631"/>
    <n v="35.700000000000003"/>
    <n v="41.75"/>
    <n v="46.2"/>
  </r>
  <r>
    <n v="405"/>
    <x v="10"/>
    <x v="10"/>
    <x v="0"/>
    <x v="2"/>
    <x v="1"/>
    <x v="3"/>
    <x v="0"/>
    <n v="13.614000000000001"/>
    <n v="49.2"/>
    <n v="37.799999999999997"/>
    <n v="48.2"/>
    <n v="35.799999999999997"/>
    <n v="47.4"/>
    <n v="35.200000000000003"/>
    <n v="42.3"/>
    <n v="38.5"/>
    <n v="40.299999999999997"/>
    <n v="42.9"/>
    <n v="48.3"/>
    <n v="36.5"/>
    <n v="41.866666666666667"/>
    <n v="1.5263510326092948"/>
    <n v="35.200000000000003"/>
    <n v="37.474999999999994"/>
    <n v="41.3"/>
  </r>
  <r>
    <n v="406"/>
    <x v="6"/>
    <x v="6"/>
    <x v="0"/>
    <x v="1"/>
    <x v="0"/>
    <x v="3"/>
    <x v="0"/>
    <n v="13.596"/>
    <n v="50.8"/>
    <n v="37.799999999999997"/>
    <n v="48.3"/>
    <n v="37.4"/>
    <n v="46.5"/>
    <n v="39"/>
    <n v="48.7"/>
    <n v="37.4"/>
    <n v="48"/>
    <n v="43.2"/>
    <n v="47.5"/>
    <n v="36.5"/>
    <n v="43.42499999999999"/>
    <n v="1.5686379442051295"/>
    <n v="36.5"/>
    <n v="37.699999999999996"/>
    <n v="44.85"/>
  </r>
  <r>
    <n v="407"/>
    <x v="11"/>
    <x v="11"/>
    <x v="1"/>
    <x v="0"/>
    <x v="0"/>
    <x v="3"/>
    <x v="0"/>
    <n v="13.577999999999999"/>
    <n v="31.8"/>
    <n v="32.299999999999997"/>
    <n v="31.1"/>
    <n v="29.9"/>
    <n v="31.9"/>
    <n v="30.9"/>
    <n v="31.5"/>
    <n v="29.7"/>
    <n v="33.200000000000003"/>
    <n v="30.7"/>
    <n v="32.200000000000003"/>
    <n v="30"/>
    <n v="31.266666666666666"/>
    <n v="0.31172378345536178"/>
    <n v="29.7"/>
    <n v="30.524999999999999"/>
    <n v="31.3"/>
  </r>
  <r>
    <n v="408"/>
    <x v="3"/>
    <x v="3"/>
    <x v="1"/>
    <x v="1"/>
    <x v="1"/>
    <x v="3"/>
    <x v="0"/>
    <n v="13.561"/>
    <n v="32.4"/>
    <n v="32.700000000000003"/>
    <n v="32.6"/>
    <n v="33.9"/>
    <n v="30.7"/>
    <n v="32.6"/>
    <n v="30.4"/>
    <n v="32.4"/>
    <n v="31"/>
    <n v="31.9"/>
    <n v="31"/>
    <n v="32.1"/>
    <n v="31.974999999999998"/>
    <n v="0.29390912840124045"/>
    <n v="30.4"/>
    <n v="31"/>
    <n v="32.25"/>
  </r>
  <r>
    <n v="901"/>
    <x v="12"/>
    <x v="12"/>
    <x v="2"/>
    <x v="3"/>
    <x v="1"/>
    <x v="0"/>
    <x v="0"/>
    <n v="13.391999999999999"/>
    <n v="30.7"/>
    <n v="33.700000000000003"/>
    <n v="34"/>
    <n v="31.5"/>
    <n v="32.5"/>
    <n v="35.5"/>
    <n v="31.4"/>
    <n v="35.799999999999997"/>
    <n v="31.8"/>
    <n v="34.6"/>
    <n v="32.700000000000003"/>
    <n v="32.200000000000003"/>
    <n v="33.033333333333339"/>
    <n v="0.48184200436627489"/>
    <n v="30.7"/>
    <n v="31.725000000000001"/>
    <n v="32.6"/>
  </r>
  <r>
    <n v="902"/>
    <x v="13"/>
    <x v="13"/>
    <x v="3"/>
    <x v="1"/>
    <x v="0"/>
    <x v="0"/>
    <x v="0"/>
    <n v="13.374000000000001"/>
    <n v="36.799999999999997"/>
    <n v="33.299999999999997"/>
    <n v="31.6"/>
    <n v="34.200000000000003"/>
    <n v="31.8"/>
    <n v="32.6"/>
    <n v="32.6"/>
    <n v="33"/>
    <n v="33.200000000000003"/>
    <n v="31.3"/>
    <n v="33.700000000000003"/>
    <n v="31.2"/>
    <n v="32.941666666666663"/>
    <n v="0.44644357839138521"/>
    <n v="31.2"/>
    <n v="31.75"/>
    <n v="32.799999999999997"/>
  </r>
  <r>
    <n v="903"/>
    <x v="14"/>
    <x v="14"/>
    <x v="4"/>
    <x v="3"/>
    <x v="1"/>
    <x v="0"/>
    <x v="0"/>
    <n v="13.366"/>
    <n v="59.5"/>
    <n v="60.9"/>
    <n v="60.1"/>
    <n v="59.4"/>
    <n v="59.3"/>
    <n v="60.6"/>
    <n v="60.7"/>
    <n v="58.6"/>
    <n v="60.3"/>
    <n v="60.5"/>
    <n v="60.4"/>
    <n v="59.3"/>
    <n v="59.966666666666661"/>
    <n v="0.20792383998081271"/>
    <n v="58.6"/>
    <n v="59.375"/>
    <n v="60.2"/>
  </r>
  <r>
    <n v="904"/>
    <x v="15"/>
    <x v="15"/>
    <x v="5"/>
    <x v="1"/>
    <x v="0"/>
    <x v="0"/>
    <x v="0"/>
    <n v="13.35"/>
    <n v="62"/>
    <n v="47.3"/>
    <n v="59.1"/>
    <n v="40.9"/>
    <n v="58.8"/>
    <n v="52.7"/>
    <n v="61.3"/>
    <n v="48.9"/>
    <n v="57.9"/>
    <n v="41.7"/>
    <n v="58.5"/>
    <n v="45.8"/>
    <n v="52.908333333333331"/>
    <n v="2.2194545580735636"/>
    <n v="40.9"/>
    <n v="46.924999999999997"/>
    <n v="55.3"/>
  </r>
  <r>
    <n v="905"/>
    <x v="12"/>
    <x v="12"/>
    <x v="2"/>
    <x v="3"/>
    <x v="1"/>
    <x v="1"/>
    <x v="0"/>
    <n v="13.343"/>
    <n v="30.9"/>
    <n v="33.700000000000003"/>
    <n v="31.9"/>
    <n v="31.2"/>
    <n v="35.200000000000003"/>
    <n v="31"/>
    <n v="33.4"/>
    <n v="30.9"/>
    <n v="33"/>
    <n v="30.5"/>
    <n v="33.6"/>
    <n v="30.6"/>
    <n v="32.158333333333339"/>
    <n v="0.44915043260703869"/>
    <n v="30.5"/>
    <n v="30.9"/>
    <n v="31.55"/>
  </r>
  <r>
    <n v="906"/>
    <x v="13"/>
    <x v="13"/>
    <x v="3"/>
    <x v="1"/>
    <x v="0"/>
    <x v="1"/>
    <x v="0"/>
    <n v="13.324999999999999"/>
    <n v="33.700000000000003"/>
    <n v="31.8"/>
    <n v="31.4"/>
    <n v="31.2"/>
    <n v="31"/>
    <n v="31"/>
    <n v="33"/>
    <n v="30"/>
    <n v="31.6"/>
    <n v="29.6"/>
    <n v="32.299999999999997"/>
    <n v="30.6"/>
    <n v="31.433333333333337"/>
    <n v="0.33762390168629142"/>
    <n v="29.6"/>
    <n v="30.9"/>
    <n v="31.3"/>
  </r>
  <r>
    <n v="907"/>
    <x v="14"/>
    <x v="14"/>
    <x v="4"/>
    <x v="3"/>
    <x v="1"/>
    <x v="1"/>
    <x v="0"/>
    <n v="13.318"/>
    <n v="58.1"/>
    <n v="59.5"/>
    <n v="57.7"/>
    <n v="60.1"/>
    <n v="59.9"/>
    <n v="58.3"/>
    <n v="60.4"/>
    <n v="58.5"/>
    <n v="59.6"/>
    <n v="59.5"/>
    <n v="57.8"/>
    <n v="57.1"/>
    <n v="58.875"/>
    <n v="0.31312815654980264"/>
    <n v="57.1"/>
    <n v="58.024999999999999"/>
    <n v="59"/>
  </r>
  <r>
    <n v="908"/>
    <x v="15"/>
    <x v="15"/>
    <x v="5"/>
    <x v="1"/>
    <x v="0"/>
    <x v="1"/>
    <x v="0"/>
    <n v="13.28"/>
    <n v="61.6"/>
    <n v="54.6"/>
    <n v="54.5"/>
    <n v="51.7"/>
    <n v="58.4"/>
    <n v="43.9"/>
    <n v="61.4"/>
    <n v="43.1"/>
    <n v="58.8"/>
    <n v="45.7"/>
    <n v="59.3"/>
    <n v="43.4"/>
    <n v="53.033333333333324"/>
    <n v="2.09575087192438"/>
    <n v="43.1"/>
    <n v="45.25"/>
    <n v="54.55"/>
  </r>
  <r>
    <n v="101"/>
    <x v="0"/>
    <x v="0"/>
    <x v="0"/>
    <x v="0"/>
    <x v="0"/>
    <x v="0"/>
    <x v="1"/>
    <n v="13.109"/>
    <n v="32.6"/>
    <n v="32"/>
    <n v="32.299999999999997"/>
    <n v="32.1"/>
    <n v="30.6"/>
    <n v="32.700000000000003"/>
    <n v="30.6"/>
    <n v="35.799999999999997"/>
    <n v="29"/>
    <n v="30.8"/>
    <n v="31"/>
    <n v="30.7"/>
    <n v="31.683333333333334"/>
    <n v="0.48645802916737568"/>
    <n v="29"/>
    <n v="30.675000000000001"/>
    <n v="31.5"/>
  </r>
  <r>
    <n v="102"/>
    <x v="1"/>
    <x v="1"/>
    <x v="0"/>
    <x v="1"/>
    <x v="1"/>
    <x v="0"/>
    <x v="1"/>
    <n v="13.090999999999999"/>
    <n v="30.3"/>
    <n v="32.200000000000003"/>
    <n v="30.6"/>
    <n v="30.4"/>
    <n v="29.2"/>
    <n v="30.6"/>
    <n v="31.7"/>
    <n v="29.3"/>
    <n v="30.9"/>
    <n v="31.9"/>
    <n v="30.9"/>
    <n v="30.7"/>
    <n v="30.725000000000001"/>
    <n v="0.26461092077611414"/>
    <n v="29.2"/>
    <n v="30.375"/>
    <n v="30.65"/>
  </r>
  <r>
    <n v="103"/>
    <x v="2"/>
    <x v="2"/>
    <x v="0"/>
    <x v="2"/>
    <x v="0"/>
    <x v="0"/>
    <x v="1"/>
    <n v="13.071"/>
    <n v="31.5"/>
    <n v="30.3"/>
    <n v="32.1"/>
    <n v="31.4"/>
    <n v="30.3"/>
    <n v="31.6"/>
    <n v="30.4"/>
    <n v="30.2"/>
    <n v="31.5"/>
    <n v="31.1"/>
    <n v="30.3"/>
    <n v="29.9"/>
    <n v="30.883333333333336"/>
    <n v="0.20883273476901945"/>
    <n v="29.9"/>
    <n v="30.3"/>
    <n v="30.75"/>
  </r>
  <r>
    <n v="104"/>
    <x v="3"/>
    <x v="3"/>
    <x v="1"/>
    <x v="1"/>
    <x v="1"/>
    <x v="0"/>
    <x v="1"/>
    <n v="13.053000000000001"/>
    <n v="31.8"/>
    <n v="30.1"/>
    <n v="30.2"/>
    <n v="31.1"/>
    <n v="31.3"/>
    <n v="32"/>
    <n v="31"/>
    <n v="32.1"/>
    <n v="31.1"/>
    <n v="31.6"/>
    <n v="31.2"/>
    <n v="30.9"/>
    <n v="31.2"/>
    <n v="0.18132508893914537"/>
    <n v="30.1"/>
    <n v="30.975000000000001"/>
    <n v="31.15"/>
  </r>
  <r>
    <n v="105"/>
    <x v="4"/>
    <x v="4"/>
    <x v="1"/>
    <x v="2"/>
    <x v="1"/>
    <x v="1"/>
    <x v="1"/>
    <n v="13.036"/>
    <n v="32.299999999999997"/>
    <n v="31.7"/>
    <n v="32.5"/>
    <n v="30.7"/>
    <n v="30.4"/>
    <n v="31.2"/>
    <n v="30.2"/>
    <n v="31.2"/>
    <n v="30.1"/>
    <n v="30.9"/>
    <n v="30.1"/>
    <n v="31.1"/>
    <n v="31.033333333333331"/>
    <n v="0.23398178293932695"/>
    <n v="30.1"/>
    <n v="30.35"/>
    <n v="31"/>
  </r>
  <r>
    <n v="106"/>
    <x v="5"/>
    <x v="5"/>
    <x v="1"/>
    <x v="1"/>
    <x v="0"/>
    <x v="1"/>
    <x v="1"/>
    <n v="13.016"/>
    <n v="32.799999999999997"/>
    <n v="32.299999999999997"/>
    <n v="31.5"/>
    <n v="31.6"/>
    <n v="31.7"/>
    <n v="31.8"/>
    <n v="31.7"/>
    <n v="31.8"/>
    <n v="33.6"/>
    <n v="30.9"/>
    <n v="31.4"/>
    <n v="31.3"/>
    <n v="31.866666666666664"/>
    <n v="0.20973769091392175"/>
    <n v="30.9"/>
    <n v="31.475000000000001"/>
    <n v="31.7"/>
  </r>
  <r>
    <n v="107"/>
    <x v="3"/>
    <x v="3"/>
    <x v="1"/>
    <x v="1"/>
    <x v="1"/>
    <x v="1"/>
    <x v="1"/>
    <n v="12.997999999999999"/>
    <n v="33.299999999999997"/>
    <n v="33.200000000000003"/>
    <n v="32.1"/>
    <n v="32.299999999999997"/>
    <n v="32.4"/>
    <n v="33.200000000000003"/>
    <n v="31.9"/>
    <n v="32.5"/>
    <n v="33.1"/>
    <n v="32.1"/>
    <n v="31.6"/>
    <n v="30"/>
    <n v="32.308333333333337"/>
    <n v="0.26584865064633234"/>
    <n v="30"/>
    <n v="32.049999999999997"/>
    <n v="32.35"/>
  </r>
  <r>
    <n v="108"/>
    <x v="6"/>
    <x v="6"/>
    <x v="0"/>
    <x v="1"/>
    <x v="0"/>
    <x v="1"/>
    <x v="1"/>
    <n v="12.981999999999999"/>
    <n v="31.2"/>
    <n v="31.3"/>
    <n v="31.9"/>
    <n v="30.9"/>
    <n v="32.5"/>
    <n v="30.8"/>
    <n v="31.6"/>
    <n v="32.4"/>
    <n v="31.8"/>
    <n v="30.6"/>
    <n v="31.7"/>
    <n v="31.8"/>
    <n v="31.541666666666671"/>
    <n v="0.17340543372231568"/>
    <n v="30.6"/>
    <n v="31.125"/>
    <n v="31.65"/>
  </r>
  <r>
    <n v="201"/>
    <x v="4"/>
    <x v="4"/>
    <x v="1"/>
    <x v="2"/>
    <x v="1"/>
    <x v="0"/>
    <x v="1"/>
    <n v="13.137"/>
    <n v="29.9"/>
    <n v="29.9"/>
    <n v="30.6"/>
    <n v="30.9"/>
    <n v="31.1"/>
    <n v="31.8"/>
    <n v="31.4"/>
    <n v="31.6"/>
    <n v="29.9"/>
    <n v="30.5"/>
    <n v="31"/>
    <n v="32"/>
    <n v="30.883333333333336"/>
    <n v="0.21420513155344661"/>
    <n v="29.9"/>
    <n v="30.35"/>
    <n v="30.95"/>
  </r>
  <r>
    <n v="202"/>
    <x v="5"/>
    <x v="5"/>
    <x v="1"/>
    <x v="1"/>
    <x v="0"/>
    <x v="0"/>
    <x v="1"/>
    <n v="13.153"/>
    <n v="30.6"/>
    <n v="31.2"/>
    <n v="31"/>
    <n v="30.1"/>
    <n v="30.8"/>
    <n v="30.4"/>
    <n v="30"/>
    <n v="32.4"/>
    <n v="30.6"/>
    <n v="31.5"/>
    <n v="31.5"/>
    <n v="32.299999999999997"/>
    <n v="31.033333333333335"/>
    <n v="0.22540647907293007"/>
    <n v="30"/>
    <n v="30.55"/>
    <n v="30.9"/>
  </r>
  <r>
    <n v="203"/>
    <x v="6"/>
    <x v="6"/>
    <x v="0"/>
    <x v="1"/>
    <x v="0"/>
    <x v="0"/>
    <x v="1"/>
    <n v="13.17"/>
    <n v="30.5"/>
    <n v="32"/>
    <n v="30.7"/>
    <n v="31.4"/>
    <n v="30.9"/>
    <n v="30.2"/>
    <n v="29.2"/>
    <n v="31.4"/>
    <n v="30.1"/>
    <n v="31.6"/>
    <n v="30.1"/>
    <n v="31.3"/>
    <n v="30.783333333333335"/>
    <n v="0.23121331267811326"/>
    <n v="29.2"/>
    <n v="30.175000000000001"/>
    <n v="30.8"/>
  </r>
  <r>
    <n v="204"/>
    <x v="7"/>
    <x v="7"/>
    <x v="1"/>
    <x v="2"/>
    <x v="0"/>
    <x v="0"/>
    <x v="1"/>
    <n v="13.186999999999999"/>
    <n v="29.7"/>
    <n v="29.1"/>
    <n v="30.4"/>
    <n v="29.8"/>
    <n v="31.1"/>
    <n v="30.9"/>
    <n v="32"/>
    <n v="31.1"/>
    <n v="31.7"/>
    <n v="30.6"/>
    <n v="30.9"/>
    <n v="31.3"/>
    <n v="30.716666666666669"/>
    <n v="0.24489742235215362"/>
    <n v="29.1"/>
    <n v="30.25"/>
    <n v="30.9"/>
  </r>
  <r>
    <n v="205"/>
    <x v="0"/>
    <x v="0"/>
    <x v="0"/>
    <x v="0"/>
    <x v="0"/>
    <x v="1"/>
    <x v="1"/>
    <n v="13.205"/>
    <n v="30.7"/>
    <n v="29.8"/>
    <n v="31.1"/>
    <n v="30.7"/>
    <n v="31.1"/>
    <n v="30.5"/>
    <n v="30.2"/>
    <n v="31.9"/>
    <n v="30.5"/>
    <n v="30.9"/>
    <n v="32.299999999999997"/>
    <n v="32.1"/>
    <n v="30.983333333333334"/>
    <n v="0.22184943479115019"/>
    <n v="29.8"/>
    <n v="30.5"/>
    <n v="30.8"/>
  </r>
  <r>
    <n v="206"/>
    <x v="8"/>
    <x v="8"/>
    <x v="1"/>
    <x v="0"/>
    <x v="1"/>
    <x v="1"/>
    <x v="1"/>
    <n v="13.224"/>
    <n v="33.4"/>
    <n v="34.6"/>
    <n v="32.9"/>
    <n v="33.799999999999997"/>
    <n v="34"/>
    <n v="33.5"/>
    <n v="38.200000000000003"/>
    <n v="32.200000000000003"/>
    <n v="32.799999999999997"/>
    <n v="33.299999999999997"/>
    <n v="34.5"/>
    <n v="33.299999999999997"/>
    <n v="33.875"/>
    <n v="0.4402349579279316"/>
    <n v="32.200000000000003"/>
    <n v="33.200000000000003"/>
    <n v="33.450000000000003"/>
  </r>
  <r>
    <n v="207"/>
    <x v="1"/>
    <x v="1"/>
    <x v="0"/>
    <x v="1"/>
    <x v="1"/>
    <x v="1"/>
    <x v="1"/>
    <n v="13.243"/>
    <n v="31.8"/>
    <n v="31.8"/>
    <n v="30.2"/>
    <n v="31.8"/>
    <n v="31.4"/>
    <n v="29.9"/>
    <n v="30.2"/>
    <n v="30.9"/>
    <n v="30"/>
    <n v="31"/>
    <n v="29.2"/>
    <n v="31.2"/>
    <n v="30.783333333333331"/>
    <n v="0.25070607362714309"/>
    <n v="29.2"/>
    <n v="30.15"/>
    <n v="30.95"/>
  </r>
  <r>
    <n v="208"/>
    <x v="9"/>
    <x v="9"/>
    <x v="0"/>
    <x v="0"/>
    <x v="1"/>
    <x v="1"/>
    <x v="1"/>
    <n v="13.260999999999999"/>
    <n v="30.9"/>
    <n v="32.299999999999997"/>
    <n v="31.6"/>
    <n v="31.9"/>
    <n v="30.6"/>
    <n v="32.200000000000003"/>
    <n v="31.3"/>
    <n v="30.7"/>
    <n v="31.5"/>
    <n v="31"/>
    <n v="31.8"/>
    <n v="30.3"/>
    <n v="31.341666666666669"/>
    <n v="0.18726837545197886"/>
    <n v="30.3"/>
    <n v="30.85"/>
    <n v="31.4"/>
  </r>
  <r>
    <n v="301"/>
    <x v="3"/>
    <x v="3"/>
    <x v="1"/>
    <x v="1"/>
    <x v="1"/>
    <x v="2"/>
    <x v="1"/>
    <n v="13.412000000000001"/>
    <n v="30.9"/>
    <n v="29.9"/>
    <n v="30.1"/>
    <n v="29.7"/>
    <n v="30.7"/>
    <n v="29.2"/>
    <n v="30.9"/>
    <n v="30.4"/>
    <n v="30.6"/>
    <n v="31.5"/>
    <n v="30.9"/>
    <n v="31.6"/>
    <n v="30.533333333333335"/>
    <n v="0.20572610996957702"/>
    <n v="29.2"/>
    <n v="30.05"/>
    <n v="30.65"/>
  </r>
  <r>
    <n v="302"/>
    <x v="1"/>
    <x v="1"/>
    <x v="0"/>
    <x v="1"/>
    <x v="1"/>
    <x v="2"/>
    <x v="1"/>
    <n v="13.43"/>
    <n v="30.2"/>
    <n v="31.5"/>
    <n v="30.6"/>
    <n v="30.1"/>
    <n v="32.1"/>
    <n v="32.6"/>
    <n v="32"/>
    <n v="31.8"/>
    <n v="31.8"/>
    <n v="30.9"/>
    <n v="31.7"/>
    <n v="32.6"/>
    <n v="31.491666666666664"/>
    <n v="0.24724492007941151"/>
    <n v="30.1"/>
    <n v="30.824999999999999"/>
    <n v="31.75"/>
  </r>
  <r>
    <n v="303"/>
    <x v="8"/>
    <x v="8"/>
    <x v="1"/>
    <x v="0"/>
    <x v="1"/>
    <x v="2"/>
    <x v="1"/>
    <n v="13.446999999999999"/>
    <n v="33.1"/>
    <n v="32.700000000000003"/>
    <n v="32.700000000000003"/>
    <n v="33.1"/>
    <n v="33.6"/>
    <n v="33.4"/>
    <n v="31.5"/>
    <n v="33.4"/>
    <n v="34.4"/>
    <n v="34.700000000000003"/>
    <n v="33.700000000000003"/>
    <n v="35.200000000000003"/>
    <n v="33.458333333333329"/>
    <n v="0.28589527997357977"/>
    <n v="31.5"/>
    <n v="33"/>
    <n v="33.4"/>
  </r>
  <r>
    <n v="304"/>
    <x v="9"/>
    <x v="9"/>
    <x v="0"/>
    <x v="0"/>
    <x v="1"/>
    <x v="2"/>
    <x v="1"/>
    <n v="13.465999999999999"/>
    <n v="32"/>
    <n v="31.9"/>
    <n v="31.1"/>
    <n v="30.7"/>
    <n v="30.9"/>
    <n v="30.6"/>
    <n v="29.9"/>
    <n v="30.2"/>
    <n v="30.9"/>
    <n v="29.6"/>
    <n v="30.7"/>
    <n v="30.4"/>
    <n v="30.741666666666664"/>
    <n v="0.20503448835293148"/>
    <n v="29.6"/>
    <n v="30.35"/>
    <n v="30.7"/>
  </r>
  <r>
    <n v="305"/>
    <x v="7"/>
    <x v="7"/>
    <x v="1"/>
    <x v="2"/>
    <x v="0"/>
    <x v="3"/>
    <x v="1"/>
    <n v="13.484999999999999"/>
    <n v="30.9"/>
    <n v="32.9"/>
    <n v="30.3"/>
    <n v="30.7"/>
    <n v="30.4"/>
    <n v="30.1"/>
    <n v="30.7"/>
    <n v="30.8"/>
    <n v="29"/>
    <n v="31"/>
    <n v="30.6"/>
    <n v="30.4"/>
    <n v="30.65"/>
    <n v="0.25450486689403273"/>
    <n v="29"/>
    <n v="30.375"/>
    <n v="30.65"/>
  </r>
  <r>
    <n v="306"/>
    <x v="1"/>
    <x v="1"/>
    <x v="0"/>
    <x v="1"/>
    <x v="1"/>
    <x v="3"/>
    <x v="1"/>
    <n v="13.502000000000001"/>
    <n v="30.8"/>
    <n v="30.1"/>
    <n v="30.1"/>
    <n v="31.1"/>
    <n v="30.6"/>
    <n v="30.6"/>
    <n v="29.5"/>
    <n v="30.7"/>
    <n v="30.4"/>
    <n v="30"/>
    <n v="30"/>
    <n v="30.3"/>
    <n v="30.35"/>
    <n v="0.12643120059879562"/>
    <n v="29.5"/>
    <n v="30.074999999999999"/>
    <n v="30.35"/>
  </r>
  <r>
    <n v="307"/>
    <x v="5"/>
    <x v="5"/>
    <x v="1"/>
    <x v="1"/>
    <x v="0"/>
    <x v="3"/>
    <x v="1"/>
    <n v="13.519"/>
    <n v="31.4"/>
    <n v="31.2"/>
    <n v="30.4"/>
    <n v="31.3"/>
    <n v="32.6"/>
    <n v="29.8"/>
    <n v="30.6"/>
    <n v="30.3"/>
    <n v="30"/>
    <n v="30.9"/>
    <n v="30.6"/>
    <n v="30.7"/>
    <n v="30.816666666666666"/>
    <n v="0.21596623379919347"/>
    <n v="29.8"/>
    <n v="30.375"/>
    <n v="30.65"/>
  </r>
  <r>
    <n v="308"/>
    <x v="2"/>
    <x v="2"/>
    <x v="0"/>
    <x v="2"/>
    <x v="0"/>
    <x v="3"/>
    <x v="1"/>
    <n v="13.539"/>
    <n v="30.1"/>
    <n v="29.9"/>
    <n v="33.299999999999997"/>
    <n v="31.9"/>
    <n v="28.7"/>
    <n v="30.6"/>
    <n v="31.7"/>
    <n v="30.7"/>
    <n v="31.1"/>
    <n v="33.700000000000003"/>
    <n v="33"/>
    <n v="31.1"/>
    <n v="31.316666666666663"/>
    <n v="0.42867543230591615"/>
    <n v="28.7"/>
    <n v="30.475000000000001"/>
    <n v="31.1"/>
  </r>
  <r>
    <n v="403"/>
    <x v="10"/>
    <x v="10"/>
    <x v="0"/>
    <x v="2"/>
    <x v="1"/>
    <x v="2"/>
    <x v="1"/>
    <n v="13.664999999999999"/>
    <n v="30.5"/>
    <n v="32.799999999999997"/>
    <n v="31.7"/>
    <n v="33.6"/>
    <n v="32.299999999999997"/>
    <n v="31.8"/>
    <n v="32.1"/>
    <n v="33.5"/>
    <n v="34.1"/>
    <n v="33"/>
    <n v="32"/>
    <n v="30.1"/>
    <n v="32.291666666666664"/>
    <n v="0.3473838007888479"/>
    <n v="30.1"/>
    <n v="31.774999999999999"/>
    <n v="32.200000000000003"/>
  </r>
  <r>
    <n v="404"/>
    <x v="6"/>
    <x v="6"/>
    <x v="0"/>
    <x v="1"/>
    <x v="0"/>
    <x v="2"/>
    <x v="1"/>
    <n v="13.638999999999999"/>
    <n v="32.1"/>
    <n v="32.9"/>
    <n v="32.200000000000003"/>
    <n v="32.299999999999997"/>
    <n v="32.1"/>
    <n v="31.6"/>
    <n v="33.5"/>
    <n v="33.299999999999997"/>
    <n v="32.9"/>
    <n v="33.700000000000003"/>
    <n v="32.299999999999997"/>
    <n v="33.4"/>
    <n v="32.691666666666663"/>
    <n v="0.19596626693847552"/>
    <n v="31.6"/>
    <n v="32.174999999999997"/>
    <n v="32.6"/>
  </r>
  <r>
    <n v="405"/>
    <x v="10"/>
    <x v="10"/>
    <x v="0"/>
    <x v="2"/>
    <x v="1"/>
    <x v="3"/>
    <x v="1"/>
    <n v="13.62"/>
    <n v="33.700000000000003"/>
    <n v="33.200000000000003"/>
    <n v="32.5"/>
    <n v="33.299999999999997"/>
    <n v="31.3"/>
    <n v="31.1"/>
    <n v="31.9"/>
    <n v="33.1"/>
    <n v="32.299999999999997"/>
    <n v="32.6"/>
    <n v="32.700000000000003"/>
    <n v="33.9"/>
    <n v="32.633333333333333"/>
    <n v="0.25415735203992357"/>
    <n v="31.1"/>
    <n v="32.200000000000003"/>
    <n v="32.65"/>
  </r>
  <r>
    <n v="406"/>
    <x v="6"/>
    <x v="6"/>
    <x v="0"/>
    <x v="1"/>
    <x v="0"/>
    <x v="3"/>
    <x v="1"/>
    <n v="13.601000000000001"/>
    <n v="30"/>
    <n v="30.6"/>
    <n v="29.6"/>
    <n v="33"/>
    <n v="33.700000000000003"/>
    <n v="31.7"/>
    <n v="33.299999999999997"/>
    <n v="31"/>
    <n v="34"/>
    <n v="32.5"/>
    <n v="32.200000000000003"/>
    <n v="31.6"/>
    <n v="31.933333333333334"/>
    <n v="0.41548316768104809"/>
    <n v="29.6"/>
    <n v="30.9"/>
    <n v="31.95"/>
  </r>
  <r>
    <n v="407"/>
    <x v="11"/>
    <x v="11"/>
    <x v="1"/>
    <x v="0"/>
    <x v="0"/>
    <x v="3"/>
    <x v="1"/>
    <n v="13.583"/>
    <n v="29.8"/>
    <n v="30.9"/>
    <n v="31.8"/>
    <n v="33"/>
    <n v="31.2"/>
    <n v="32.299999999999997"/>
    <n v="33.4"/>
    <n v="30.4"/>
    <n v="29.3"/>
    <n v="31.9"/>
    <n v="30.9"/>
    <n v="31.4"/>
    <n v="31.358333333333331"/>
    <n v="0.35107159188157711"/>
    <n v="29.3"/>
    <n v="30.774999999999999"/>
    <n v="31.3"/>
  </r>
  <r>
    <n v="408"/>
    <x v="3"/>
    <x v="3"/>
    <x v="1"/>
    <x v="1"/>
    <x v="1"/>
    <x v="3"/>
    <x v="1"/>
    <n v="13.566000000000001"/>
    <n v="30.9"/>
    <n v="31.7"/>
    <n v="31.9"/>
    <n v="32.1"/>
    <n v="32.200000000000003"/>
    <n v="31.9"/>
    <n v="30.8"/>
    <n v="30.9"/>
    <n v="31.8"/>
    <n v="32"/>
    <n v="29.6"/>
    <n v="30.7"/>
    <n v="31.375"/>
    <n v="0.22734468557804505"/>
    <n v="29.6"/>
    <n v="30.875"/>
    <n v="31.75"/>
  </r>
  <r>
    <n v="902"/>
    <x v="13"/>
    <x v="13"/>
    <x v="3"/>
    <x v="1"/>
    <x v="0"/>
    <x v="0"/>
    <x v="1"/>
    <n v="13.379"/>
    <n v="29.8"/>
    <n v="30.8"/>
    <n v="30.2"/>
    <n v="30"/>
    <n v="31.1"/>
    <n v="28.9"/>
    <n v="30.1"/>
    <n v="29.7"/>
    <n v="29.6"/>
    <n v="30.4"/>
    <n v="30.2"/>
    <n v="30.4"/>
    <n v="30.1"/>
    <n v="0.16605950010706491"/>
    <n v="28.9"/>
    <n v="29.774999999999999"/>
    <n v="30.15"/>
  </r>
  <r>
    <n v="904"/>
    <x v="15"/>
    <x v="15"/>
    <x v="5"/>
    <x v="1"/>
    <x v="0"/>
    <x v="0"/>
    <x v="1"/>
    <n v="13.355"/>
    <n v="32.1"/>
    <n v="32.9"/>
    <n v="33.4"/>
    <n v="34.5"/>
    <n v="33"/>
    <n v="35"/>
    <n v="33.1"/>
    <n v="34.5"/>
    <n v="32.5"/>
    <n v="34.9"/>
    <n v="33.799999999999997"/>
    <n v="32.9"/>
    <n v="33.549999999999997"/>
    <n v="0.28028664980805973"/>
    <n v="32.1"/>
    <n v="32.9"/>
    <n v="33.25"/>
  </r>
  <r>
    <n v="906"/>
    <x v="13"/>
    <x v="13"/>
    <x v="3"/>
    <x v="1"/>
    <x v="0"/>
    <x v="1"/>
    <x v="1"/>
    <n v="13.331"/>
    <n v="30.1"/>
    <n v="29.2"/>
    <n v="29.3"/>
    <n v="29.8"/>
    <n v="30.1"/>
    <n v="30.7"/>
    <n v="30.7"/>
    <n v="30.5"/>
    <n v="30.9"/>
    <n v="31.4"/>
    <n v="32.200000000000003"/>
    <n v="29.3"/>
    <n v="30.35"/>
    <n v="0.26184080289486611"/>
    <n v="29.2"/>
    <n v="29.675000000000001"/>
    <n v="30.3"/>
  </r>
  <r>
    <n v="908"/>
    <x v="15"/>
    <x v="15"/>
    <x v="5"/>
    <x v="1"/>
    <x v="0"/>
    <x v="1"/>
    <x v="1"/>
    <n v="13.285"/>
    <n v="32.700000000000003"/>
    <n v="35"/>
    <n v="34.9"/>
    <n v="33"/>
    <n v="34"/>
    <n v="33.700000000000003"/>
    <n v="32.6"/>
    <n v="34.5"/>
    <n v="33"/>
    <n v="35.4"/>
    <n v="32.700000000000003"/>
    <n v="35.1"/>
    <n v="33.883333333333333"/>
    <n v="0.30768769421564396"/>
    <n v="32.6"/>
    <n v="32.924999999999997"/>
    <n v="33.85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202999999999999"/>
    <n v="37.799999999999997"/>
    <n v="39.700000000000003"/>
    <n v="41.2"/>
    <n v="36.299999999999997"/>
    <n v="36.700000000000003"/>
    <n v="36.9"/>
    <n v="40.700000000000003"/>
    <n v="40.4"/>
    <n v="38.799999999999997"/>
    <n v="38"/>
    <n v="37.6"/>
    <n v="45.8"/>
    <n v="39.158333333333339"/>
    <n v="0.76648136759393337"/>
    <n v="36.299999999999997"/>
    <n v="37.424999999999997"/>
    <n v="38.4"/>
  </r>
  <r>
    <n v="102"/>
    <x v="1"/>
    <x v="1"/>
    <x v="0"/>
    <x v="1"/>
    <x v="1"/>
    <x v="0"/>
    <x v="0"/>
    <n v="13.186999999999999"/>
    <n v="39.799999999999997"/>
    <n v="36.5"/>
    <n v="42.5"/>
    <n v="40.700000000000003"/>
    <n v="37.4"/>
    <n v="39.299999999999997"/>
    <n v="40.700000000000003"/>
    <n v="38.4"/>
    <n v="36.9"/>
    <n v="38.799999999999997"/>
    <n v="37.9"/>
    <n v="38.299999999999997"/>
    <n v="38.93333333333333"/>
    <n v="0.50771820705763437"/>
    <n v="36.5"/>
    <n v="37.774999999999999"/>
    <n v="38.599999999999994"/>
  </r>
  <r>
    <n v="103"/>
    <x v="2"/>
    <x v="2"/>
    <x v="0"/>
    <x v="2"/>
    <x v="0"/>
    <x v="0"/>
    <x v="0"/>
    <n v="13.170999999999999"/>
    <n v="38.1"/>
    <n v="33.799999999999997"/>
    <n v="38.6"/>
    <n v="32"/>
    <n v="35.1"/>
    <n v="34.1"/>
    <n v="34.700000000000003"/>
    <n v="37.5"/>
    <n v="31.7"/>
    <n v="35.6"/>
    <n v="32.4"/>
    <n v="31.8"/>
    <n v="34.616666666666667"/>
    <n v="0.7106157523407306"/>
    <n v="31.7"/>
    <n v="32.299999999999997"/>
    <n v="34.400000000000006"/>
  </r>
  <r>
    <n v="104"/>
    <x v="3"/>
    <x v="3"/>
    <x v="1"/>
    <x v="1"/>
    <x v="1"/>
    <x v="0"/>
    <x v="0"/>
    <n v="13.156000000000001"/>
    <n v="37.700000000000003"/>
    <n v="37.9"/>
    <n v="36.4"/>
    <n v="36.799999999999997"/>
    <n v="36.1"/>
    <n v="35.5"/>
    <n v="35.299999999999997"/>
    <n v="33.4"/>
    <n v="32.6"/>
    <n v="35.200000000000003"/>
    <n v="34.700000000000003"/>
    <n v="35.9"/>
    <n v="35.624999999999993"/>
    <n v="0.45245542221410479"/>
    <n v="32.6"/>
    <n v="35.075000000000003"/>
    <n v="35.700000000000003"/>
  </r>
  <r>
    <n v="105"/>
    <x v="4"/>
    <x v="4"/>
    <x v="1"/>
    <x v="2"/>
    <x v="1"/>
    <x v="1"/>
    <x v="0"/>
    <n v="13.141"/>
    <n v="37.700000000000003"/>
    <n v="33.799999999999997"/>
    <n v="37.1"/>
    <n v="31.7"/>
    <n v="37.799999999999997"/>
    <n v="35.4"/>
    <n v="33.9"/>
    <n v="35.4"/>
    <n v="33.5"/>
    <n v="34.200000000000003"/>
    <n v="38.700000000000003"/>
    <n v="35.9"/>
    <n v="35.42499999999999"/>
    <n v="0.60692031826864257"/>
    <n v="31.7"/>
    <n v="33.875"/>
    <n v="35.4"/>
  </r>
  <r>
    <n v="106"/>
    <x v="5"/>
    <x v="5"/>
    <x v="1"/>
    <x v="1"/>
    <x v="0"/>
    <x v="1"/>
    <x v="0"/>
    <n v="13.125"/>
    <n v="37.700000000000003"/>
    <n v="34.4"/>
    <n v="33.4"/>
    <n v="37.1"/>
    <n v="34.9"/>
    <n v="34.200000000000003"/>
    <n v="33.6"/>
    <n v="35.200000000000003"/>
    <n v="33.299999999999997"/>
    <n v="36.200000000000003"/>
    <n v="35.9"/>
    <n v="36.299999999999997"/>
    <n v="35.18333333333333"/>
    <n v="0.4236982440607967"/>
    <n v="33.299999999999997"/>
    <n v="34.050000000000004"/>
    <n v="35.049999999999997"/>
  </r>
  <r>
    <n v="107"/>
    <x v="3"/>
    <x v="3"/>
    <x v="1"/>
    <x v="1"/>
    <x v="1"/>
    <x v="1"/>
    <x v="0"/>
    <n v="13.109"/>
    <n v="35.9"/>
    <n v="33.5"/>
    <n v="34.299999999999997"/>
    <n v="34.700000000000003"/>
    <n v="35.200000000000003"/>
    <n v="34.1"/>
    <n v="36.4"/>
    <n v="33.5"/>
    <n v="35.9"/>
    <n v="33"/>
    <n v="36.6"/>
    <n v="34.9"/>
    <n v="34.833333333333336"/>
    <n v="0.34538808504769009"/>
    <n v="33"/>
    <n v="33.950000000000003"/>
    <n v="34.799999999999997"/>
  </r>
  <r>
    <n v="108"/>
    <x v="6"/>
    <x v="6"/>
    <x v="0"/>
    <x v="1"/>
    <x v="0"/>
    <x v="1"/>
    <x v="0"/>
    <n v="13.081"/>
    <n v="42"/>
    <n v="43.7"/>
    <n v="43.3"/>
    <n v="44.8"/>
    <n v="42.7"/>
    <n v="38.4"/>
    <n v="44.6"/>
    <n v="39.700000000000003"/>
    <n v="41.6"/>
    <n v="41.5"/>
    <n v="38.299999999999997"/>
    <n v="37.1"/>
    <n v="41.475000000000001"/>
    <n v="0.74224526290371273"/>
    <n v="37.1"/>
    <n v="39.375"/>
    <n v="41.8"/>
  </r>
  <r>
    <n v="201"/>
    <x v="4"/>
    <x v="4"/>
    <x v="1"/>
    <x v="2"/>
    <x v="1"/>
    <x v="0"/>
    <x v="0"/>
    <n v="13.231"/>
    <n v="40.6"/>
    <n v="37.5"/>
    <n v="35.9"/>
    <n v="33.299999999999997"/>
    <n v="36.6"/>
    <n v="33.6"/>
    <n v="38.5"/>
    <n v="37.4"/>
    <n v="33.1"/>
    <n v="34.6"/>
    <n v="36.5"/>
    <n v="38.4"/>
    <n v="36.333333333333336"/>
    <n v="0.67468660888001641"/>
    <n v="33.1"/>
    <n v="34.35"/>
    <n v="36.549999999999997"/>
  </r>
  <r>
    <n v="202"/>
    <x v="5"/>
    <x v="5"/>
    <x v="1"/>
    <x v="1"/>
    <x v="0"/>
    <x v="0"/>
    <x v="0"/>
    <n v="13.247"/>
    <n v="38.700000000000003"/>
    <n v="37.4"/>
    <n v="38.200000000000003"/>
    <n v="41.4"/>
    <n v="37.4"/>
    <n v="37.700000000000003"/>
    <n v="35.9"/>
    <n v="36.1"/>
    <n v="36.5"/>
    <n v="35.799999999999997"/>
    <n v="37.1"/>
    <n v="37.799999999999997"/>
    <n v="37.500000000000007"/>
    <n v="0.44261618916287709"/>
    <n v="35.799999999999997"/>
    <n v="36.4"/>
    <n v="37.4"/>
  </r>
  <r>
    <n v="203"/>
    <x v="6"/>
    <x v="6"/>
    <x v="0"/>
    <x v="1"/>
    <x v="0"/>
    <x v="0"/>
    <x v="0"/>
    <n v="13.263"/>
    <n v="40.799999999999997"/>
    <n v="36.9"/>
    <n v="38.700000000000003"/>
    <n v="40.9"/>
    <n v="36.6"/>
    <n v="35.4"/>
    <n v="37.4"/>
    <n v="36.200000000000003"/>
    <n v="37.6"/>
    <n v="39.4"/>
    <n v="40.9"/>
    <n v="42.2"/>
    <n v="38.583333333333329"/>
    <n v="0.64171093904731258"/>
    <n v="35.4"/>
    <n v="36.825000000000003"/>
    <n v="38.150000000000006"/>
  </r>
  <r>
    <n v="204"/>
    <x v="7"/>
    <x v="7"/>
    <x v="1"/>
    <x v="2"/>
    <x v="0"/>
    <x v="0"/>
    <x v="0"/>
    <n v="13.279"/>
    <n v="38.200000000000003"/>
    <n v="34.200000000000003"/>
    <n v="39.1"/>
    <n v="35.5"/>
    <n v="35.200000000000003"/>
    <n v="37.1"/>
    <n v="31.5"/>
    <n v="37.4"/>
    <n v="33.200000000000003"/>
    <n v="36.700000000000003"/>
    <n v="33.4"/>
    <n v="35.5"/>
    <n v="35.583333333333329"/>
    <n v="0.6470016314594077"/>
    <n v="31.5"/>
    <n v="34"/>
    <n v="35.5"/>
  </r>
  <r>
    <n v="205"/>
    <x v="0"/>
    <x v="0"/>
    <x v="0"/>
    <x v="0"/>
    <x v="0"/>
    <x v="1"/>
    <x v="0"/>
    <n v="13.295"/>
    <n v="39.1"/>
    <n v="37.299999999999997"/>
    <n v="40.299999999999997"/>
    <n v="40.9"/>
    <n v="38.6"/>
    <n v="34.200000000000003"/>
    <n v="37.799999999999997"/>
    <n v="38.9"/>
    <n v="39.1"/>
    <n v="41.4"/>
    <n v="41.4"/>
    <n v="42.8"/>
    <n v="39.316666666666663"/>
    <n v="0.6606738219347833"/>
    <n v="34.200000000000003"/>
    <n v="38.4"/>
    <n v="39.1"/>
  </r>
  <r>
    <n v="206"/>
    <x v="8"/>
    <x v="8"/>
    <x v="1"/>
    <x v="0"/>
    <x v="1"/>
    <x v="1"/>
    <x v="0"/>
    <n v="13.311"/>
    <n v="61.8"/>
    <n v="61.7"/>
    <n v="60.2"/>
    <n v="59.8"/>
    <n v="46.7"/>
    <n v="57.4"/>
    <n v="57.5"/>
    <n v="53"/>
    <n v="55.5"/>
    <n v="51"/>
    <n v="58.1"/>
    <n v="60.4"/>
    <n v="56.92499999999999"/>
    <n v="1.3389913096330075"/>
    <n v="46.7"/>
    <n v="54.875"/>
    <n v="57.8"/>
  </r>
  <r>
    <n v="207"/>
    <x v="1"/>
    <x v="1"/>
    <x v="0"/>
    <x v="1"/>
    <x v="1"/>
    <x v="1"/>
    <x v="0"/>
    <n v="13.327"/>
    <n v="40.9"/>
    <n v="37.6"/>
    <n v="35.200000000000003"/>
    <n v="39.1"/>
    <n v="34.1"/>
    <n v="40.4"/>
    <n v="37.299999999999997"/>
    <n v="40.4"/>
    <n v="36.299999999999997"/>
    <n v="37"/>
    <n v="41.1"/>
    <n v="44.6"/>
    <n v="38.666666666666671"/>
    <n v="0.85531611499235871"/>
    <n v="34.1"/>
    <n v="36.825000000000003"/>
    <n v="38.35"/>
  </r>
  <r>
    <n v="208"/>
    <x v="9"/>
    <x v="9"/>
    <x v="0"/>
    <x v="0"/>
    <x v="1"/>
    <x v="1"/>
    <x v="0"/>
    <n v="13.342000000000001"/>
    <n v="40.700000000000003"/>
    <n v="44.3"/>
    <n v="42.7"/>
    <n v="46.7"/>
    <n v="36.5"/>
    <n v="40.200000000000003"/>
    <n v="41.7"/>
    <n v="41.3"/>
    <n v="39.6"/>
    <n v="43.2"/>
    <n v="41.9"/>
    <n v="47.6"/>
    <n v="42.2"/>
    <n v="0.87784170589353383"/>
    <n v="36.5"/>
    <n v="40.575000000000003"/>
    <n v="41.8"/>
  </r>
  <r>
    <n v="301"/>
    <x v="3"/>
    <x v="3"/>
    <x v="1"/>
    <x v="1"/>
    <x v="1"/>
    <x v="2"/>
    <x v="0"/>
    <n v="13.481999999999999"/>
    <n v="34.9"/>
    <n v="34.200000000000003"/>
    <n v="34.799999999999997"/>
    <n v="37.299999999999997"/>
    <n v="34.9"/>
    <n v="35.299999999999997"/>
    <n v="33.6"/>
    <n v="34"/>
    <n v="32.6"/>
    <n v="35.4"/>
    <n v="32"/>
    <n v="37"/>
    <n v="34.666666666666664"/>
    <n v="0.44912934853689346"/>
    <n v="32"/>
    <n v="33.9"/>
    <n v="34.849999999999994"/>
  </r>
  <r>
    <n v="302"/>
    <x v="1"/>
    <x v="1"/>
    <x v="0"/>
    <x v="1"/>
    <x v="1"/>
    <x v="2"/>
    <x v="0"/>
    <n v="13.497"/>
    <n v="37.6"/>
    <n v="36.299999999999997"/>
    <n v="39.200000000000003"/>
    <n v="39.4"/>
    <n v="35.9"/>
    <n v="35"/>
    <n v="35.9"/>
    <n v="32.1"/>
    <n v="35.4"/>
    <n v="36.4"/>
    <n v="34.299999999999997"/>
    <n v="35.200000000000003"/>
    <n v="36.05833333333333"/>
    <n v="0.58185418528124"/>
    <n v="32.1"/>
    <n v="35.150000000000006"/>
    <n v="35.9"/>
  </r>
  <r>
    <n v="303"/>
    <x v="8"/>
    <x v="8"/>
    <x v="1"/>
    <x v="0"/>
    <x v="1"/>
    <x v="2"/>
    <x v="0"/>
    <n v="13.512"/>
    <n v="59.6"/>
    <n v="48.4"/>
    <n v="50.6"/>
    <n v="50.2"/>
    <n v="46.2"/>
    <n v="55.8"/>
    <n v="54.9"/>
    <n v="58.4"/>
    <n v="59"/>
    <n v="54"/>
    <n v="57.7"/>
    <n v="54"/>
    <n v="54.066666666666663"/>
    <n v="1.2661282747339653"/>
    <n v="46.2"/>
    <n v="50.5"/>
    <n v="54.45"/>
  </r>
  <r>
    <n v="304"/>
    <x v="9"/>
    <x v="9"/>
    <x v="0"/>
    <x v="0"/>
    <x v="1"/>
    <x v="2"/>
    <x v="0"/>
    <n v="13.528"/>
    <n v="38.1"/>
    <n v="41.1"/>
    <n v="43.3"/>
    <n v="41.2"/>
    <n v="34.1"/>
    <n v="35.200000000000003"/>
    <n v="37.700000000000003"/>
    <n v="37.1"/>
    <n v="35.299999999999997"/>
    <n v="35.700000000000003"/>
    <n v="35.4"/>
    <n v="39.1"/>
    <n v="37.774999999999999"/>
    <n v="0.83413219285166906"/>
    <n v="34.1"/>
    <n v="35.375"/>
    <n v="37.400000000000006"/>
  </r>
  <r>
    <n v="305"/>
    <x v="7"/>
    <x v="7"/>
    <x v="1"/>
    <x v="2"/>
    <x v="0"/>
    <x v="3"/>
    <x v="0"/>
    <n v="13.545999999999999"/>
    <n v="37"/>
    <n v="35.4"/>
    <n v="34.1"/>
    <n v="31.3"/>
    <n v="32.799999999999997"/>
    <n v="32.200000000000003"/>
    <n v="29.1"/>
    <n v="33.799999999999997"/>
    <n v="29.2"/>
    <n v="33.200000000000003"/>
    <n v="30.7"/>
    <n v="37.700000000000003"/>
    <n v="33.041666666666664"/>
    <n v="0.7988114592785861"/>
    <n v="29.1"/>
    <n v="31.15"/>
    <n v="33"/>
  </r>
  <r>
    <n v="306"/>
    <x v="1"/>
    <x v="1"/>
    <x v="0"/>
    <x v="1"/>
    <x v="1"/>
    <x v="3"/>
    <x v="0"/>
    <n v="13.561999999999999"/>
    <n v="40.6"/>
    <n v="40.299999999999997"/>
    <n v="37.1"/>
    <n v="45.6"/>
    <n v="36.6"/>
    <n v="36.6"/>
    <n v="33.6"/>
    <n v="35.5"/>
    <n v="31.3"/>
    <n v="38.200000000000003"/>
    <n v="32.200000000000003"/>
    <n v="38.299999999999997"/>
    <n v="37.158333333333331"/>
    <n v="1.1358789370333364"/>
    <n v="31.3"/>
    <n v="35.024999999999999"/>
    <n v="36.85"/>
  </r>
  <r>
    <n v="307"/>
    <x v="5"/>
    <x v="5"/>
    <x v="1"/>
    <x v="1"/>
    <x v="0"/>
    <x v="3"/>
    <x v="0"/>
    <n v="13.576000000000001"/>
    <n v="36.200000000000003"/>
    <n v="35.1"/>
    <n v="33.799999999999997"/>
    <n v="37.6"/>
    <n v="34.4"/>
    <n v="36.6"/>
    <n v="31.9"/>
    <n v="37.200000000000003"/>
    <n v="33.200000000000003"/>
    <n v="36.5"/>
    <n v="32.9"/>
    <n v="35.700000000000003"/>
    <n v="35.091666666666661"/>
    <n v="0.53164386765975635"/>
    <n v="31.9"/>
    <n v="33.65"/>
    <n v="35.400000000000006"/>
  </r>
  <r>
    <n v="308"/>
    <x v="2"/>
    <x v="2"/>
    <x v="0"/>
    <x v="2"/>
    <x v="0"/>
    <x v="3"/>
    <x v="0"/>
    <n v="13.590999999999999"/>
    <n v="40.9"/>
    <n v="36.1"/>
    <n v="36.6"/>
    <n v="38.4"/>
    <n v="34.799999999999997"/>
    <n v="42.4"/>
    <n v="37.299999999999997"/>
    <n v="38.799999999999997"/>
    <n v="32.9"/>
    <n v="40.4"/>
    <n v="36.200000000000003"/>
    <n v="33.6"/>
    <n v="37.366666666666667"/>
    <n v="0.84578575026631886"/>
    <n v="32.9"/>
    <n v="35.774999999999999"/>
    <n v="36.950000000000003"/>
  </r>
  <r>
    <n v="403"/>
    <x v="10"/>
    <x v="10"/>
    <x v="0"/>
    <x v="2"/>
    <x v="1"/>
    <x v="2"/>
    <x v="0"/>
    <n v="13.699"/>
    <n v="38.700000000000003"/>
    <n v="36"/>
    <n v="35.299999999999997"/>
    <n v="36.5"/>
    <n v="40.200000000000003"/>
    <n v="40.6"/>
    <n v="35.4"/>
    <n v="40.1"/>
    <n v="41.6"/>
    <n v="36.4"/>
    <n v="36.1"/>
    <n v="36.1"/>
    <n v="37.750000000000007"/>
    <n v="0.66736705633312421"/>
    <n v="35.299999999999997"/>
    <n v="36.075000000000003"/>
    <n v="36.450000000000003"/>
  </r>
  <r>
    <n v="404"/>
    <x v="6"/>
    <x v="6"/>
    <x v="0"/>
    <x v="1"/>
    <x v="0"/>
    <x v="2"/>
    <x v="0"/>
    <n v="13.683"/>
    <n v="40.9"/>
    <n v="44.1"/>
    <n v="35.6"/>
    <n v="44.6"/>
    <n v="33.6"/>
    <n v="36.9"/>
    <n v="34"/>
    <n v="38.700000000000003"/>
    <n v="33"/>
    <n v="42.6"/>
    <n v="37.6"/>
    <n v="38.799999999999997"/>
    <n v="38.366666666666667"/>
    <n v="1.159109724545238"/>
    <n v="33"/>
    <n v="35.200000000000003"/>
    <n v="38.150000000000006"/>
  </r>
  <r>
    <n v="405"/>
    <x v="10"/>
    <x v="10"/>
    <x v="0"/>
    <x v="2"/>
    <x v="1"/>
    <x v="3"/>
    <x v="0"/>
    <n v="13.667999999999999"/>
    <n v="38"/>
    <n v="32.6"/>
    <n v="37.6"/>
    <n v="31.4"/>
    <n v="38.4"/>
    <n v="34.700000000000003"/>
    <n v="31.7"/>
    <n v="38.200000000000003"/>
    <n v="31.6"/>
    <n v="32.9"/>
    <n v="38"/>
    <n v="40.200000000000003"/>
    <n v="35.441666666666663"/>
    <n v="0.94118383974760678"/>
    <n v="31.4"/>
    <n v="32.375"/>
    <n v="36.150000000000006"/>
  </r>
  <r>
    <n v="406"/>
    <x v="6"/>
    <x v="6"/>
    <x v="0"/>
    <x v="1"/>
    <x v="0"/>
    <x v="3"/>
    <x v="0"/>
    <n v="13.651999999999999"/>
    <n v="40.6"/>
    <n v="33.6"/>
    <n v="38.9"/>
    <n v="43"/>
    <n v="33.700000000000003"/>
    <n v="35.5"/>
    <n v="34.5"/>
    <n v="38"/>
    <n v="33.1"/>
    <n v="38"/>
    <n v="32.9"/>
    <n v="38.799999999999997"/>
    <n v="36.716666666666669"/>
    <n v="0.95273397136977678"/>
    <n v="32.9"/>
    <n v="33.675000000000004"/>
    <n v="36.75"/>
  </r>
  <r>
    <n v="407"/>
    <x v="11"/>
    <x v="11"/>
    <x v="1"/>
    <x v="0"/>
    <x v="0"/>
    <x v="3"/>
    <x v="0"/>
    <n v="13.635999999999999"/>
    <n v="61"/>
    <n v="49"/>
    <n v="48.3"/>
    <n v="58.1"/>
    <n v="47.8"/>
    <n v="55.8"/>
    <n v="46.4"/>
    <n v="60.7"/>
    <n v="44"/>
    <n v="61"/>
    <n v="47.6"/>
    <n v="60.8"/>
    <n v="53.374999999999993"/>
    <n v="1.9445777371341315"/>
    <n v="44"/>
    <n v="47.75"/>
    <n v="52.4"/>
  </r>
  <r>
    <n v="408"/>
    <x v="3"/>
    <x v="3"/>
    <x v="1"/>
    <x v="1"/>
    <x v="1"/>
    <x v="3"/>
    <x v="0"/>
    <n v="13.618"/>
    <n v="35.700000000000003"/>
    <n v="34.4"/>
    <n v="34"/>
    <n v="37.700000000000003"/>
    <n v="32.799999999999997"/>
    <n v="35"/>
    <n v="34"/>
    <n v="34.700000000000003"/>
    <n v="31.4"/>
    <n v="36.4"/>
    <n v="33.299999999999997"/>
    <n v="34.9"/>
    <n v="34.524999999999999"/>
    <n v="0.47817915369692676"/>
    <n v="31.4"/>
    <n v="33.825000000000003"/>
    <n v="34.549999999999997"/>
  </r>
  <r>
    <n v="901"/>
    <x v="12"/>
    <x v="12"/>
    <x v="2"/>
    <x v="3"/>
    <x v="1"/>
    <x v="0"/>
    <x v="0"/>
    <n v="13.461"/>
    <n v="33.4"/>
    <n v="38.700000000000003"/>
    <n v="34.700000000000003"/>
    <n v="37.4"/>
    <n v="33.6"/>
    <n v="35.6"/>
    <n v="33.9"/>
    <n v="35.299999999999997"/>
    <n v="34.799999999999997"/>
    <n v="35"/>
    <n v="36.9"/>
    <n v="34.5"/>
    <n v="35.316666666666663"/>
    <n v="0.46398036356917843"/>
    <n v="33.4"/>
    <n v="34.35"/>
    <n v="34.9"/>
  </r>
  <r>
    <n v="902"/>
    <x v="13"/>
    <x v="13"/>
    <x v="3"/>
    <x v="1"/>
    <x v="0"/>
    <x v="0"/>
    <x v="0"/>
    <n v="13.445"/>
    <n v="38.6"/>
    <n v="36.1"/>
    <n v="33.6"/>
    <n v="37.9"/>
    <n v="32.799999999999997"/>
    <n v="38.4"/>
    <n v="32.799999999999997"/>
    <n v="37.799999999999997"/>
    <n v="33"/>
    <n v="38.5"/>
    <n v="32.6"/>
    <n v="39.200000000000003"/>
    <n v="35.94166666666667"/>
    <n v="0.79118805309075657"/>
    <n v="32.6"/>
    <n v="32.950000000000003"/>
    <n v="36.950000000000003"/>
  </r>
  <r>
    <n v="903"/>
    <x v="14"/>
    <x v="14"/>
    <x v="4"/>
    <x v="3"/>
    <x v="1"/>
    <x v="0"/>
    <x v="0"/>
    <n v="13.435"/>
    <n v="61.2"/>
    <n v="62.9"/>
    <n v="62.7"/>
    <n v="63.5"/>
    <n v="62.2"/>
    <n v="62.6"/>
    <n v="63.1"/>
    <n v="64.2"/>
    <n v="62.1"/>
    <n v="63.1"/>
    <n v="63.5"/>
    <n v="63.8"/>
    <n v="62.908333333333331"/>
    <n v="0.23755647919638292"/>
    <n v="61.2"/>
    <n v="62.5"/>
    <n v="63"/>
  </r>
  <r>
    <n v="904"/>
    <x v="15"/>
    <x v="15"/>
    <x v="5"/>
    <x v="1"/>
    <x v="0"/>
    <x v="0"/>
    <x v="0"/>
    <n v="13.419"/>
    <n v="64.400000000000006"/>
    <n v="52.1"/>
    <n v="56.3"/>
    <n v="57.7"/>
    <n v="46.5"/>
    <n v="58.3"/>
    <n v="56.4"/>
    <n v="64.099999999999994"/>
    <n v="50.7"/>
    <n v="56.8"/>
    <n v="51.1"/>
    <n v="54"/>
    <n v="55.7"/>
    <n v="1.521860902336549"/>
    <n v="46.5"/>
    <n v="51.85"/>
    <n v="56.349999999999994"/>
  </r>
  <r>
    <n v="905"/>
    <x v="12"/>
    <x v="12"/>
    <x v="2"/>
    <x v="3"/>
    <x v="1"/>
    <x v="1"/>
    <x v="0"/>
    <n v="13.411"/>
    <n v="33.700000000000003"/>
    <n v="37.4"/>
    <n v="33.4"/>
    <n v="36.6"/>
    <n v="34.9"/>
    <n v="34.5"/>
    <n v="34.9"/>
    <n v="34.4"/>
    <n v="36.299999999999997"/>
    <n v="33.5"/>
    <n v="38.9"/>
    <n v="33.6"/>
    <n v="35.174999999999997"/>
    <n v="0.50708988504519148"/>
    <n v="33.4"/>
    <n v="33.674999999999997"/>
    <n v="34.700000000000003"/>
  </r>
  <r>
    <n v="906"/>
    <x v="13"/>
    <x v="13"/>
    <x v="3"/>
    <x v="1"/>
    <x v="0"/>
    <x v="1"/>
    <x v="0"/>
    <n v="13.394"/>
    <n v="38.5"/>
    <n v="38.700000000000003"/>
    <n v="34.1"/>
    <n v="38"/>
    <n v="32.799999999999997"/>
    <n v="36.5"/>
    <n v="33.4"/>
    <n v="37.799999999999997"/>
    <n v="32.200000000000003"/>
    <n v="37.799999999999997"/>
    <n v="33.5"/>
    <n v="37.9"/>
    <n v="35.93333333333333"/>
    <n v="0.72366212329158497"/>
    <n v="32.200000000000003"/>
    <n v="33.475000000000001"/>
    <n v="37.15"/>
  </r>
  <r>
    <n v="907"/>
    <x v="14"/>
    <x v="14"/>
    <x v="4"/>
    <x v="3"/>
    <x v="1"/>
    <x v="1"/>
    <x v="0"/>
    <n v="13.385"/>
    <n v="61"/>
    <n v="63.2"/>
    <n v="63.3"/>
    <n v="63.8"/>
    <n v="62.8"/>
    <n v="62"/>
    <n v="63.8"/>
    <n v="63.9"/>
    <n v="64.599999999999994"/>
    <n v="61.5"/>
    <n v="62.3"/>
    <n v="63.3"/>
    <n v="62.958333333333321"/>
    <n v="0.30931457296828552"/>
    <n v="61"/>
    <n v="62.225000000000001"/>
    <n v="63.25"/>
  </r>
  <r>
    <n v="908"/>
    <x v="15"/>
    <x v="15"/>
    <x v="5"/>
    <x v="1"/>
    <x v="0"/>
    <x v="1"/>
    <x v="0"/>
    <n v="13.368"/>
    <n v="63.3"/>
    <n v="55.8"/>
    <n v="45.9"/>
    <n v="58.9"/>
    <n v="44.3"/>
    <n v="60.6"/>
    <n v="39.799999999999997"/>
    <n v="61.9"/>
    <n v="44.4"/>
    <n v="60.9"/>
    <n v="54.8"/>
    <n v="57.2"/>
    <n v="53.983333333333327"/>
    <n v="2.3543909118191584"/>
    <n v="39.799999999999997"/>
    <n v="45.524999999999999"/>
    <n v="56.5"/>
  </r>
  <r>
    <n v="101"/>
    <x v="0"/>
    <x v="0"/>
    <x v="0"/>
    <x v="0"/>
    <x v="0"/>
    <x v="0"/>
    <x v="1"/>
    <n v="13.208"/>
    <n v="30.6"/>
    <n v="30.8"/>
    <n v="30.4"/>
    <n v="32.5"/>
    <n v="31.6"/>
    <n v="31.6"/>
    <n v="33.4"/>
    <n v="29.7"/>
    <n v="30.2"/>
    <n v="29.3"/>
    <n v="29.5"/>
    <n v="31.2"/>
    <n v="30.9"/>
    <n v="0.35547663265486046"/>
    <n v="29.3"/>
    <n v="30.074999999999999"/>
    <n v="30.7"/>
  </r>
  <r>
    <n v="102"/>
    <x v="1"/>
    <x v="1"/>
    <x v="0"/>
    <x v="1"/>
    <x v="1"/>
    <x v="0"/>
    <x v="1"/>
    <n v="13.192"/>
    <n v="29"/>
    <n v="29.6"/>
    <n v="30.2"/>
    <n v="30"/>
    <n v="32.200000000000003"/>
    <n v="30.6"/>
    <n v="30.1"/>
    <n v="29.1"/>
    <n v="31.2"/>
    <n v="31.3"/>
    <n v="32.799999999999997"/>
    <n v="29.7"/>
    <n v="30.483333333333334"/>
    <n v="0.34241418596119277"/>
    <n v="29"/>
    <n v="29.675000000000001"/>
    <n v="30.15"/>
  </r>
  <r>
    <n v="103"/>
    <x v="2"/>
    <x v="2"/>
    <x v="0"/>
    <x v="2"/>
    <x v="0"/>
    <x v="0"/>
    <x v="1"/>
    <n v="13.176"/>
    <n v="29.5"/>
    <n v="29.7"/>
    <n v="29.9"/>
    <n v="30.1"/>
    <n v="29.6"/>
    <n v="29.1"/>
    <n v="29.4"/>
    <n v="31.4"/>
    <n v="30.4"/>
    <n v="30.4"/>
    <n v="28.9"/>
    <n v="30"/>
    <n v="29.86666666666666"/>
    <n v="0.19397490205257908"/>
    <n v="28.9"/>
    <n v="29.475000000000001"/>
    <n v="29.8"/>
  </r>
  <r>
    <n v="104"/>
    <x v="3"/>
    <x v="3"/>
    <x v="1"/>
    <x v="1"/>
    <x v="1"/>
    <x v="0"/>
    <x v="1"/>
    <n v="13.16"/>
    <n v="28.8"/>
    <n v="30"/>
    <n v="30.3"/>
    <n v="30.1"/>
    <n v="31.4"/>
    <n v="30.6"/>
    <n v="30.7"/>
    <n v="30.7"/>
    <n v="30.8"/>
    <n v="31.7"/>
    <n v="31.7"/>
    <n v="31.6"/>
    <n v="30.7"/>
    <n v="0.24525805828046757"/>
    <n v="28.8"/>
    <n v="30.25"/>
    <n v="30.7"/>
  </r>
  <r>
    <n v="105"/>
    <x v="4"/>
    <x v="4"/>
    <x v="1"/>
    <x v="2"/>
    <x v="1"/>
    <x v="1"/>
    <x v="1"/>
    <n v="13.145"/>
    <n v="29.9"/>
    <n v="29.5"/>
    <n v="29.6"/>
    <n v="29.9"/>
    <n v="29.2"/>
    <n v="31.9"/>
    <n v="29.9"/>
    <n v="29.4"/>
    <n v="29.8"/>
    <n v="30.4"/>
    <n v="30.7"/>
    <n v="30.8"/>
    <n v="30.083333333333332"/>
    <n v="0.21840792156423616"/>
    <n v="29.2"/>
    <n v="29.574999999999999"/>
    <n v="29.9"/>
  </r>
  <r>
    <n v="106"/>
    <x v="5"/>
    <x v="5"/>
    <x v="1"/>
    <x v="1"/>
    <x v="0"/>
    <x v="1"/>
    <x v="1"/>
    <n v="13.129"/>
    <n v="31"/>
    <n v="30.1"/>
    <n v="31"/>
    <n v="30.5"/>
    <n v="31.6"/>
    <n v="30.6"/>
    <n v="30.9"/>
    <n v="29.8"/>
    <n v="31"/>
    <n v="30.9"/>
    <n v="30.9"/>
    <n v="31.8"/>
    <n v="30.841666666666665"/>
    <n v="0.16023577955781088"/>
    <n v="29.8"/>
    <n v="30.574999999999999"/>
    <n v="30.9"/>
  </r>
  <r>
    <n v="107"/>
    <x v="3"/>
    <x v="3"/>
    <x v="1"/>
    <x v="1"/>
    <x v="1"/>
    <x v="1"/>
    <x v="1"/>
    <n v="13.114000000000001"/>
    <n v="31.2"/>
    <n v="31.1"/>
    <n v="30.1"/>
    <n v="29.9"/>
    <n v="30.8"/>
    <n v="31.1"/>
    <n v="31"/>
    <n v="29.8"/>
    <n v="30.1"/>
    <n v="31"/>
    <n v="33"/>
    <n v="30.1"/>
    <n v="30.766666666666669"/>
    <n v="0.25415735203989648"/>
    <n v="29.8"/>
    <n v="30.1"/>
    <n v="30.9"/>
  </r>
  <r>
    <n v="108"/>
    <x v="6"/>
    <x v="6"/>
    <x v="0"/>
    <x v="1"/>
    <x v="0"/>
    <x v="1"/>
    <x v="1"/>
    <n v="13.086"/>
    <n v="31.4"/>
    <n v="30.3"/>
    <n v="31.1"/>
    <n v="29.7"/>
    <n v="29.5"/>
    <n v="31.4"/>
    <n v="30.8"/>
    <n v="30.3"/>
    <n v="31.4"/>
    <n v="31.3"/>
    <n v="29.5"/>
    <n v="30.7"/>
    <n v="30.616666666666671"/>
    <n v="0.21526352184789044"/>
    <n v="29.5"/>
    <n v="30.15"/>
    <n v="30.75"/>
  </r>
  <r>
    <n v="201"/>
    <x v="4"/>
    <x v="4"/>
    <x v="1"/>
    <x v="2"/>
    <x v="1"/>
    <x v="0"/>
    <x v="1"/>
    <n v="13.234999999999999"/>
    <n v="30.6"/>
    <n v="32.5"/>
    <n v="28.4"/>
    <n v="29.9"/>
    <n v="29.8"/>
    <n v="30.1"/>
    <n v="30.2"/>
    <n v="30.8"/>
    <n v="30.1"/>
    <n v="28.8"/>
    <n v="29.3"/>
    <n v="30"/>
    <n v="30.041666666666671"/>
    <n v="0.2993574769232758"/>
    <n v="28.4"/>
    <n v="29.675000000000001"/>
    <n v="30.05"/>
  </r>
  <r>
    <n v="202"/>
    <x v="5"/>
    <x v="5"/>
    <x v="1"/>
    <x v="1"/>
    <x v="0"/>
    <x v="0"/>
    <x v="1"/>
    <n v="13.250999999999999"/>
    <n v="31.6"/>
    <n v="31.7"/>
    <n v="31.7"/>
    <n v="30.9"/>
    <n v="31.5"/>
    <n v="31.2"/>
    <n v="32.299999999999997"/>
    <n v="32.799999999999997"/>
    <n v="32.9"/>
    <n v="33.299999999999997"/>
    <n v="32.799999999999997"/>
    <n v="32.5"/>
    <n v="32.1"/>
    <n v="0.22087978356536539"/>
    <n v="30.9"/>
    <n v="31.574999999999999"/>
    <n v="32"/>
  </r>
  <r>
    <n v="203"/>
    <x v="6"/>
    <x v="6"/>
    <x v="0"/>
    <x v="1"/>
    <x v="0"/>
    <x v="0"/>
    <x v="1"/>
    <n v="13.266999999999999"/>
    <n v="30.8"/>
    <n v="29"/>
    <n v="29.9"/>
    <n v="30.4"/>
    <n v="30.3"/>
    <n v="30.8"/>
    <n v="30.8"/>
    <n v="30.7"/>
    <n v="30.8"/>
    <n v="30"/>
    <n v="29.3"/>
    <n v="31.3"/>
    <n v="30.341666666666669"/>
    <n v="0.19635247115653767"/>
    <n v="29"/>
    <n v="29.975000000000001"/>
    <n v="30.55"/>
  </r>
  <r>
    <n v="204"/>
    <x v="7"/>
    <x v="7"/>
    <x v="1"/>
    <x v="2"/>
    <x v="0"/>
    <x v="0"/>
    <x v="1"/>
    <n v="13.284000000000001"/>
    <n v="29.8"/>
    <n v="30.6"/>
    <n v="30.7"/>
    <n v="30.5"/>
    <n v="31"/>
    <n v="30.9"/>
    <n v="29.3"/>
    <n v="30.3"/>
    <n v="30.8"/>
    <n v="29.3"/>
    <n v="29.2"/>
    <n v="29.4"/>
    <n v="30.15"/>
    <n v="0.20207259421635812"/>
    <n v="29.2"/>
    <n v="29.375"/>
    <n v="30.4"/>
  </r>
  <r>
    <n v="205"/>
    <x v="0"/>
    <x v="0"/>
    <x v="0"/>
    <x v="0"/>
    <x v="0"/>
    <x v="1"/>
    <x v="1"/>
    <n v="13.298999999999999"/>
    <n v="30"/>
    <n v="29.8"/>
    <n v="29.9"/>
    <n v="30.9"/>
    <n v="31"/>
    <n v="30.6"/>
    <n v="31.5"/>
    <n v="29.5"/>
    <n v="29.2"/>
    <n v="29.3"/>
    <n v="29.7"/>
    <n v="30.5"/>
    <n v="30.158333333333331"/>
    <n v="0.21122239225492476"/>
    <n v="29.2"/>
    <n v="29.65"/>
    <n v="29.95"/>
  </r>
  <r>
    <n v="206"/>
    <x v="8"/>
    <x v="8"/>
    <x v="1"/>
    <x v="0"/>
    <x v="1"/>
    <x v="1"/>
    <x v="1"/>
    <n v="13.315"/>
    <n v="32.1"/>
    <n v="33"/>
    <n v="32.700000000000003"/>
    <n v="33.200000000000003"/>
    <n v="32.1"/>
    <n v="33"/>
    <n v="34"/>
    <n v="31.8"/>
    <n v="31.9"/>
    <n v="31.7"/>
    <n v="31.6"/>
    <n v="32.4"/>
    <n v="32.458333333333329"/>
    <n v="0.21122239225502262"/>
    <n v="31.6"/>
    <n v="31.875"/>
    <n v="32.25"/>
  </r>
  <r>
    <n v="207"/>
    <x v="1"/>
    <x v="1"/>
    <x v="0"/>
    <x v="1"/>
    <x v="1"/>
    <x v="1"/>
    <x v="1"/>
    <n v="13.332000000000001"/>
    <n v="28.4"/>
    <n v="29.3"/>
    <n v="29.4"/>
    <n v="30"/>
    <n v="29.6"/>
    <n v="28.9"/>
    <n v="29.3"/>
    <n v="29.2"/>
    <n v="28.6"/>
    <n v="28.7"/>
    <n v="29"/>
    <n v="29.4"/>
    <n v="29.15"/>
    <n v="0.13055824196687893"/>
    <n v="28.4"/>
    <n v="28.85"/>
    <n v="29.25"/>
  </r>
  <r>
    <n v="208"/>
    <x v="9"/>
    <x v="9"/>
    <x v="0"/>
    <x v="0"/>
    <x v="1"/>
    <x v="1"/>
    <x v="1"/>
    <n v="13.347"/>
    <n v="32.6"/>
    <n v="36.700000000000003"/>
    <n v="30.8"/>
    <n v="28.4"/>
    <n v="28.8"/>
    <n v="28.9"/>
    <n v="30.7"/>
    <n v="29"/>
    <n v="30.5"/>
    <n v="30.5"/>
    <n v="29.7"/>
    <n v="30.9"/>
    <n v="30.625"/>
    <n v="0.64960652426192544"/>
    <n v="28.4"/>
    <n v="28.975000000000001"/>
    <n v="30.5"/>
  </r>
  <r>
    <n v="301"/>
    <x v="3"/>
    <x v="3"/>
    <x v="1"/>
    <x v="1"/>
    <x v="1"/>
    <x v="2"/>
    <x v="1"/>
    <n v="13.486000000000001"/>
    <n v="30"/>
    <n v="29.5"/>
    <n v="29.3"/>
    <n v="28.9"/>
    <n v="28.8"/>
    <n v="30.7"/>
    <n v="31.5"/>
    <n v="32"/>
    <n v="30.6"/>
    <n v="30.2"/>
    <n v="29.3"/>
    <n v="29.6"/>
    <n v="30.033333333333335"/>
    <n v="0.29085384576439971"/>
    <n v="28.8"/>
    <n v="29.3"/>
    <n v="29.8"/>
  </r>
  <r>
    <n v="302"/>
    <x v="1"/>
    <x v="1"/>
    <x v="0"/>
    <x v="1"/>
    <x v="1"/>
    <x v="2"/>
    <x v="1"/>
    <n v="13.500999999999999"/>
    <n v="30"/>
    <n v="30"/>
    <n v="28.5"/>
    <n v="29.7"/>
    <n v="30"/>
    <n v="29"/>
    <n v="30.1"/>
    <n v="28.4"/>
    <n v="29.3"/>
    <n v="29.6"/>
    <n v="31.2"/>
    <n v="29.1"/>
    <n v="29.574999999999999"/>
    <n v="0.22432558859157237"/>
    <n v="28.4"/>
    <n v="29.074999999999999"/>
    <n v="29.65"/>
  </r>
  <r>
    <n v="303"/>
    <x v="8"/>
    <x v="8"/>
    <x v="1"/>
    <x v="0"/>
    <x v="1"/>
    <x v="2"/>
    <x v="1"/>
    <n v="13.516999999999999"/>
    <n v="32.200000000000003"/>
    <n v="31.3"/>
    <n v="33.799999999999997"/>
    <n v="31.8"/>
    <n v="31.8"/>
    <n v="34.299999999999997"/>
    <n v="31"/>
    <n v="31.6"/>
    <n v="31.6"/>
    <n v="30.5"/>
    <n v="32.1"/>
    <n v="32.6"/>
    <n v="32.049999999999997"/>
    <n v="0.31442588373667574"/>
    <n v="30.5"/>
    <n v="31.524999999999999"/>
    <n v="31.8"/>
  </r>
  <r>
    <n v="304"/>
    <x v="9"/>
    <x v="9"/>
    <x v="0"/>
    <x v="0"/>
    <x v="1"/>
    <x v="2"/>
    <x v="1"/>
    <n v="13.532999999999999"/>
    <n v="30.6"/>
    <n v="29.7"/>
    <n v="30.2"/>
    <n v="30.3"/>
    <n v="29.2"/>
    <n v="30.4"/>
    <n v="29.9"/>
    <n v="30.6"/>
    <n v="30"/>
    <n v="31.9"/>
    <n v="29.5"/>
    <n v="34.1"/>
    <n v="30.533333333333331"/>
    <n v="0.37946000973740207"/>
    <n v="29.2"/>
    <n v="29.85"/>
    <n v="30.25"/>
  </r>
  <r>
    <n v="305"/>
    <x v="7"/>
    <x v="7"/>
    <x v="1"/>
    <x v="2"/>
    <x v="0"/>
    <x v="3"/>
    <x v="1"/>
    <n v="13.551"/>
    <n v="28.8"/>
    <n v="29.2"/>
    <n v="27"/>
    <n v="30.8"/>
    <n v="27.8"/>
    <n v="30.6"/>
    <n v="28.3"/>
    <n v="28.8"/>
    <n v="29.8"/>
    <n v="29.3"/>
    <n v="29.2"/>
    <n v="29.4"/>
    <n v="29.083333333333332"/>
    <n v="0.31014007913662028"/>
    <n v="27"/>
    <n v="28.675000000000001"/>
    <n v="29.2"/>
  </r>
  <r>
    <n v="306"/>
    <x v="1"/>
    <x v="1"/>
    <x v="0"/>
    <x v="1"/>
    <x v="1"/>
    <x v="3"/>
    <x v="1"/>
    <n v="13.566000000000001"/>
    <n v="29.9"/>
    <n v="30.2"/>
    <n v="29.1"/>
    <n v="29.3"/>
    <n v="29.8"/>
    <n v="29.3"/>
    <n v="29.5"/>
    <n v="29.6"/>
    <n v="31.1"/>
    <n v="28.6"/>
    <n v="29.6"/>
    <n v="29.7"/>
    <n v="29.641666666666669"/>
    <n v="0.17772055581605542"/>
    <n v="28.6"/>
    <n v="29.3"/>
    <n v="29.6"/>
  </r>
  <r>
    <n v="307"/>
    <x v="5"/>
    <x v="5"/>
    <x v="1"/>
    <x v="1"/>
    <x v="0"/>
    <x v="3"/>
    <x v="1"/>
    <n v="13.581"/>
    <n v="31.2"/>
    <n v="31.2"/>
    <n v="30.8"/>
    <n v="31.1"/>
    <n v="30.4"/>
    <n v="30.9"/>
    <n v="32.200000000000003"/>
    <n v="30.9"/>
    <n v="31.5"/>
    <n v="30.9"/>
    <n v="30.2"/>
    <n v="30.6"/>
    <n v="30.991666666666671"/>
    <n v="0.15098581778338499"/>
    <n v="30.2"/>
    <n v="30.75"/>
    <n v="30.9"/>
  </r>
  <r>
    <n v="308"/>
    <x v="2"/>
    <x v="2"/>
    <x v="0"/>
    <x v="2"/>
    <x v="0"/>
    <x v="3"/>
    <x v="1"/>
    <n v="13.596"/>
    <n v="29.2"/>
    <n v="28.7"/>
    <n v="30.4"/>
    <n v="31.1"/>
    <n v="29.8"/>
    <n v="31.1"/>
    <n v="29.9"/>
    <n v="30.8"/>
    <n v="31.1"/>
    <n v="33.299999999999997"/>
    <n v="32.4"/>
    <n v="32.200000000000003"/>
    <n v="30.833333333333332"/>
    <n v="0.38892496225188472"/>
    <n v="28.7"/>
    <n v="29.875"/>
    <n v="30.95"/>
  </r>
  <r>
    <n v="403"/>
    <x v="10"/>
    <x v="10"/>
    <x v="0"/>
    <x v="2"/>
    <x v="1"/>
    <x v="2"/>
    <x v="1"/>
    <n v="13.704000000000001"/>
    <n v="31.9"/>
    <n v="33.200000000000003"/>
    <n v="29.4"/>
    <n v="32.5"/>
    <n v="32"/>
    <n v="29.9"/>
    <n v="31.1"/>
    <n v="33.5"/>
    <n v="30.7"/>
    <n v="29.2"/>
    <n v="28.9"/>
    <n v="34.5"/>
    <n v="31.4"/>
    <n v="0.52943652150474485"/>
    <n v="28.9"/>
    <n v="29.774999999999999"/>
    <n v="31.5"/>
  </r>
  <r>
    <n v="404"/>
    <x v="6"/>
    <x v="6"/>
    <x v="0"/>
    <x v="1"/>
    <x v="0"/>
    <x v="2"/>
    <x v="1"/>
    <n v="13.688000000000001"/>
    <n v="30.1"/>
    <n v="29"/>
    <n v="28.6"/>
    <n v="30.1"/>
    <n v="28.6"/>
    <n v="29.7"/>
    <n v="30.6"/>
    <n v="28"/>
    <n v="31.3"/>
    <n v="29.4"/>
    <n v="29.4"/>
    <n v="30.8"/>
    <n v="29.633333333333329"/>
    <n v="0.2863916933506237"/>
    <n v="28"/>
    <n v="28.9"/>
    <n v="29.55"/>
  </r>
  <r>
    <n v="405"/>
    <x v="10"/>
    <x v="10"/>
    <x v="0"/>
    <x v="2"/>
    <x v="1"/>
    <x v="3"/>
    <x v="1"/>
    <n v="13.672000000000001"/>
    <n v="29.6"/>
    <n v="31.1"/>
    <n v="29.3"/>
    <n v="29.3"/>
    <n v="28.5"/>
    <n v="30.8"/>
    <n v="28.3"/>
    <n v="29.6"/>
    <n v="28.6"/>
    <n v="28.6"/>
    <n v="28.6"/>
    <n v="29.9"/>
    <n v="29.35"/>
    <n v="0.26270734956440778"/>
    <n v="28.3"/>
    <n v="28.6"/>
    <n v="29.3"/>
  </r>
  <r>
    <n v="406"/>
    <x v="6"/>
    <x v="6"/>
    <x v="0"/>
    <x v="1"/>
    <x v="0"/>
    <x v="3"/>
    <x v="1"/>
    <n v="13.657"/>
    <n v="28.4"/>
    <n v="29.3"/>
    <n v="29.7"/>
    <n v="29.8"/>
    <n v="32.4"/>
    <n v="28.5"/>
    <n v="28.5"/>
    <n v="28.8"/>
    <n v="29.1"/>
    <n v="30.1"/>
    <n v="29.4"/>
    <n v="28.4"/>
    <n v="29.366666666666664"/>
    <n v="0.32341298612758951"/>
    <n v="28.4"/>
    <n v="28.5"/>
    <n v="29.2"/>
  </r>
  <r>
    <n v="407"/>
    <x v="11"/>
    <x v="11"/>
    <x v="1"/>
    <x v="0"/>
    <x v="0"/>
    <x v="3"/>
    <x v="1"/>
    <n v="13.641"/>
    <n v="33.799999999999997"/>
    <n v="35"/>
    <n v="36"/>
    <n v="34.299999999999997"/>
    <n v="34.700000000000003"/>
    <n v="35.700000000000003"/>
    <n v="32.9"/>
    <n v="35.1"/>
    <n v="32.700000000000003"/>
    <n v="33.200000000000003"/>
    <n v="34.9"/>
    <n v="33"/>
    <n v="34.274999999999999"/>
    <n v="0.32755406678393872"/>
    <n v="32.700000000000003"/>
    <n v="33.15"/>
    <n v="34.5"/>
  </r>
  <r>
    <n v="408"/>
    <x v="3"/>
    <x v="3"/>
    <x v="1"/>
    <x v="1"/>
    <x v="1"/>
    <x v="3"/>
    <x v="1"/>
    <n v="13.622"/>
    <n v="32"/>
    <n v="29.8"/>
    <n v="29"/>
    <n v="29.8"/>
    <n v="31.2"/>
    <n v="30.1"/>
    <n v="30.6"/>
    <n v="30.2"/>
    <n v="30.4"/>
    <n v="31.3"/>
    <n v="29.5"/>
    <n v="29.7"/>
    <n v="30.3"/>
    <n v="0.24679767200912794"/>
    <n v="29"/>
    <n v="29.774999999999999"/>
    <n v="30.15"/>
  </r>
  <r>
    <n v="902"/>
    <x v="13"/>
    <x v="13"/>
    <x v="3"/>
    <x v="1"/>
    <x v="0"/>
    <x v="0"/>
    <x v="1"/>
    <n v="13.449"/>
    <n v="31.2"/>
    <n v="31.6"/>
    <n v="31"/>
    <n v="31.4"/>
    <n v="31.6"/>
    <n v="32.200000000000003"/>
    <n v="30.7"/>
    <n v="31.4"/>
    <n v="31.9"/>
    <n v="31.3"/>
    <n v="30"/>
    <n v="32"/>
    <n v="31.358333333333334"/>
    <n v="0.17340543372239514"/>
    <n v="30"/>
    <n v="31.15"/>
    <n v="31.4"/>
  </r>
  <r>
    <n v="904"/>
    <x v="15"/>
    <x v="15"/>
    <x v="5"/>
    <x v="1"/>
    <x v="0"/>
    <x v="0"/>
    <x v="1"/>
    <n v="13.423999999999999"/>
    <n v="30.7"/>
    <n v="32.6"/>
    <n v="32.5"/>
    <n v="32.6"/>
    <n v="34.799999999999997"/>
    <n v="33.4"/>
    <n v="32.1"/>
    <n v="33.4"/>
    <n v="31.4"/>
    <n v="34.200000000000003"/>
    <n v="32.6"/>
    <n v="33.1"/>
    <n v="32.783333333333331"/>
    <n v="0.32376416157944671"/>
    <n v="30.7"/>
    <n v="32.4"/>
    <n v="32.6"/>
  </r>
  <r>
    <n v="906"/>
    <x v="13"/>
    <x v="13"/>
    <x v="3"/>
    <x v="1"/>
    <x v="0"/>
    <x v="1"/>
    <x v="1"/>
    <n v="13.398"/>
    <n v="32.200000000000003"/>
    <n v="30.4"/>
    <n v="31.2"/>
    <n v="30.7"/>
    <n v="31"/>
    <n v="30.5"/>
    <n v="31.3"/>
    <n v="30.8"/>
    <n v="30.6"/>
    <n v="30.6"/>
    <n v="31"/>
    <n v="31.5"/>
    <n v="30.983333333333338"/>
    <n v="0.14762428422486698"/>
    <n v="30.4"/>
    <n v="30.6"/>
    <n v="30.9"/>
  </r>
  <r>
    <n v="908"/>
    <x v="15"/>
    <x v="15"/>
    <x v="5"/>
    <x v="1"/>
    <x v="0"/>
    <x v="1"/>
    <x v="1"/>
    <n v="13.372999999999999"/>
    <n v="31.1"/>
    <n v="33"/>
    <n v="33.200000000000003"/>
    <n v="31.7"/>
    <n v="33.299999999999997"/>
    <n v="32.5"/>
    <n v="31.9"/>
    <n v="32.700000000000003"/>
    <n v="32.6"/>
    <n v="32.5"/>
    <n v="34.299999999999997"/>
    <n v="32.1"/>
    <n v="32.575000000000003"/>
    <n v="0.24187556279775696"/>
    <n v="31.1"/>
    <n v="32.049999999999997"/>
    <n v="32.549999999999997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01000000000001"/>
    <n v="37.200000000000003"/>
    <n v="35.299999999999997"/>
    <n v="37.200000000000003"/>
    <n v="32.6"/>
    <n v="36.700000000000003"/>
    <n v="34.700000000000003"/>
    <n v="36.4"/>
    <n v="37.299999999999997"/>
    <n v="33.200000000000003"/>
    <n v="38"/>
    <n v="39.200000000000003"/>
    <n v="36.9"/>
    <n v="36.224999999999994"/>
    <n v="0.55896617233802748"/>
    <n v="32.6"/>
    <n v="35.15"/>
    <n v="36.799999999999997"/>
  </r>
  <r>
    <n v="102"/>
    <x v="1"/>
    <x v="1"/>
    <x v="0"/>
    <x v="1"/>
    <x v="1"/>
    <x v="0"/>
    <x v="0"/>
    <n v="13.082000000000001"/>
    <n v="37.9"/>
    <n v="36.799999999999997"/>
    <n v="38.299999999999997"/>
    <n v="34.299999999999997"/>
    <n v="38.799999999999997"/>
    <n v="35.200000000000003"/>
    <n v="33.799999999999997"/>
    <n v="36.700000000000003"/>
    <n v="33.200000000000003"/>
    <n v="37.299999999999997"/>
    <n v="35.299999999999997"/>
    <n v="31.5"/>
    <n v="35.758333333333333"/>
    <n v="0.65022820391898728"/>
    <n v="31.5"/>
    <n v="34.174999999999997"/>
    <n v="36"/>
  </r>
  <r>
    <n v="103"/>
    <x v="2"/>
    <x v="2"/>
    <x v="0"/>
    <x v="2"/>
    <x v="0"/>
    <x v="0"/>
    <x v="0"/>
    <n v="13.065"/>
    <n v="38.700000000000003"/>
    <n v="38.700000000000003"/>
    <n v="33.9"/>
    <n v="34.299999999999997"/>
    <n v="38.299999999999997"/>
    <n v="34.6"/>
    <n v="39.200000000000003"/>
    <n v="32.5"/>
    <n v="37.5"/>
    <n v="32"/>
    <n v="34.5"/>
    <n v="34.1"/>
    <n v="35.69166666666667"/>
    <n v="0.75171101125658857"/>
    <n v="32"/>
    <n v="34.049999999999997"/>
    <n v="34.549999999999997"/>
  </r>
  <r>
    <n v="104"/>
    <x v="3"/>
    <x v="3"/>
    <x v="1"/>
    <x v="1"/>
    <x v="1"/>
    <x v="0"/>
    <x v="0"/>
    <n v="13.047000000000001"/>
    <n v="63"/>
    <n v="60.4"/>
    <n v="60.9"/>
    <n v="55.7"/>
    <n v="54.9"/>
    <n v="47.1"/>
    <n v="62.9"/>
    <n v="42.5"/>
    <n v="59.8"/>
    <n v="49.3"/>
    <n v="62"/>
    <n v="46.9"/>
    <n v="55.449999999999996"/>
    <n v="2.0911972792173534"/>
    <n v="42.5"/>
    <n v="48.75"/>
    <n v="57.75"/>
  </r>
  <r>
    <n v="105"/>
    <x v="4"/>
    <x v="4"/>
    <x v="1"/>
    <x v="2"/>
    <x v="1"/>
    <x v="1"/>
    <x v="0"/>
    <n v="13.03"/>
    <n v="39"/>
    <n v="33.200000000000003"/>
    <n v="38.5"/>
    <n v="31.9"/>
    <n v="36.700000000000003"/>
    <n v="33.5"/>
    <n v="37"/>
    <n v="35.1"/>
    <n v="34.200000000000003"/>
    <n v="36.5"/>
    <n v="36.200000000000003"/>
    <n v="36.1"/>
    <n v="35.658333333333339"/>
    <n v="0.6190729057439428"/>
    <n v="31.9"/>
    <n v="34.025000000000006"/>
    <n v="36.150000000000006"/>
  </r>
  <r>
    <n v="106"/>
    <x v="5"/>
    <x v="5"/>
    <x v="1"/>
    <x v="1"/>
    <x v="0"/>
    <x v="1"/>
    <x v="0"/>
    <n v="13.012"/>
    <n v="63.6"/>
    <n v="54.5"/>
    <n v="65.599999999999994"/>
    <n v="47.9"/>
    <n v="61"/>
    <n v="50.9"/>
    <n v="55.2"/>
    <n v="56.9"/>
    <n v="56"/>
    <n v="63.4"/>
    <n v="61.6"/>
    <n v="57.5"/>
    <n v="57.841666666666669"/>
    <n v="1.5519029537241389"/>
    <n v="47.9"/>
    <n v="55.025000000000006"/>
    <n v="57.2"/>
  </r>
  <r>
    <n v="107"/>
    <x v="3"/>
    <x v="3"/>
    <x v="1"/>
    <x v="1"/>
    <x v="1"/>
    <x v="1"/>
    <x v="0"/>
    <n v="12.994"/>
    <n v="63.3"/>
    <n v="50.2"/>
    <n v="59.5"/>
    <n v="54.6"/>
    <n v="62.4"/>
    <n v="47.1"/>
    <n v="61.1"/>
    <n v="55.5"/>
    <n v="54.5"/>
    <n v="61.1"/>
    <n v="56.1"/>
    <n v="55.5"/>
    <n v="56.741666666666674"/>
    <n v="1.4288402975698642"/>
    <n v="47.1"/>
    <n v="54.575000000000003"/>
    <n v="55.8"/>
  </r>
  <r>
    <n v="108"/>
    <x v="6"/>
    <x v="6"/>
    <x v="0"/>
    <x v="1"/>
    <x v="0"/>
    <x v="1"/>
    <x v="0"/>
    <n v="12.978"/>
    <n v="37.4"/>
    <n v="33.6"/>
    <n v="38.6"/>
    <n v="36.1"/>
    <n v="37.1"/>
    <n v="35.1"/>
    <n v="37.1"/>
    <n v="35.4"/>
    <n v="35.700000000000003"/>
    <n v="36.799999999999997"/>
    <n v="37.9"/>
    <n v="33.200000000000003"/>
    <n v="36.166666666666664"/>
    <n v="0.47614826652757031"/>
    <n v="33.200000000000003"/>
    <n v="35.325000000000003"/>
    <n v="36.450000000000003"/>
  </r>
  <r>
    <n v="201"/>
    <x v="4"/>
    <x v="4"/>
    <x v="1"/>
    <x v="2"/>
    <x v="1"/>
    <x v="0"/>
    <x v="0"/>
    <n v="13.128"/>
    <n v="38.299999999999997"/>
    <n v="34.9"/>
    <n v="33.700000000000003"/>
    <n v="34.200000000000003"/>
    <n v="37.4"/>
    <n v="32.5"/>
    <n v="38.299999999999997"/>
    <n v="33.4"/>
    <n v="35.5"/>
    <n v="32.299999999999997"/>
    <n v="35.799999999999997"/>
    <n v="32.700000000000003"/>
    <n v="34.916666666666664"/>
    <n v="0.62810843173786191"/>
    <n v="32.299999999999997"/>
    <n v="33.225000000000001"/>
    <n v="34.549999999999997"/>
  </r>
  <r>
    <n v="202"/>
    <x v="5"/>
    <x v="5"/>
    <x v="1"/>
    <x v="1"/>
    <x v="0"/>
    <x v="0"/>
    <x v="0"/>
    <n v="13.145"/>
    <n v="64.3"/>
    <n v="64.400000000000006"/>
    <n v="62.6"/>
    <n v="60.4"/>
    <n v="63"/>
    <n v="49.7"/>
    <n v="63.2"/>
    <n v="61"/>
    <n v="46.7"/>
    <n v="63.6"/>
    <n v="60.5"/>
    <n v="51.1"/>
    <n v="59.208333333333336"/>
    <n v="1.8109288732135209"/>
    <n v="46.7"/>
    <n v="58.075000000000003"/>
    <n v="61.8"/>
  </r>
  <r>
    <n v="203"/>
    <x v="6"/>
    <x v="6"/>
    <x v="0"/>
    <x v="1"/>
    <x v="0"/>
    <x v="0"/>
    <x v="0"/>
    <n v="13.163"/>
    <n v="37.700000000000003"/>
    <n v="35.700000000000003"/>
    <n v="36.9"/>
    <n v="38.1"/>
    <n v="37.5"/>
    <n v="31.8"/>
    <n v="38.299999999999997"/>
    <n v="33.700000000000003"/>
    <n v="37.1"/>
    <n v="34.6"/>
    <n v="38.299999999999997"/>
    <n v="34.1"/>
    <n v="36.150000000000006"/>
    <n v="0.61834333896989502"/>
    <n v="31.8"/>
    <n v="34.475000000000001"/>
    <n v="37"/>
  </r>
  <r>
    <n v="204"/>
    <x v="7"/>
    <x v="7"/>
    <x v="1"/>
    <x v="2"/>
    <x v="0"/>
    <x v="0"/>
    <x v="0"/>
    <n v="13.18"/>
    <n v="35.6"/>
    <n v="34.4"/>
    <n v="36.799999999999997"/>
    <n v="32.4"/>
    <n v="34.9"/>
    <n v="30.8"/>
    <n v="36.4"/>
    <n v="32.799999999999997"/>
    <n v="33.200000000000003"/>
    <n v="37.799999999999997"/>
    <n v="32.4"/>
    <n v="33.200000000000003"/>
    <n v="34.225000000000001"/>
    <n v="0.60953596358959938"/>
    <n v="30.8"/>
    <n v="32.699999999999996"/>
    <n v="33.799999999999997"/>
  </r>
  <r>
    <n v="205"/>
    <x v="0"/>
    <x v="0"/>
    <x v="0"/>
    <x v="0"/>
    <x v="0"/>
    <x v="1"/>
    <x v="0"/>
    <n v="13.196999999999999"/>
    <n v="37.200000000000003"/>
    <n v="34"/>
    <n v="36"/>
    <n v="36.1"/>
    <n v="37.299999999999997"/>
    <n v="32.799999999999997"/>
    <n v="37.700000000000003"/>
    <n v="37.1"/>
    <n v="36.6"/>
    <n v="37.700000000000003"/>
    <n v="37.799999999999997"/>
    <n v="32.799999999999997"/>
    <n v="36.091666666666676"/>
    <n v="0.53731351004862138"/>
    <n v="32.799999999999997"/>
    <n v="35.5"/>
    <n v="36.85"/>
  </r>
  <r>
    <n v="206"/>
    <x v="8"/>
    <x v="8"/>
    <x v="1"/>
    <x v="0"/>
    <x v="1"/>
    <x v="1"/>
    <x v="0"/>
    <n v="13.215"/>
    <n v="62"/>
    <n v="60.4"/>
    <n v="62.6"/>
    <n v="50.8"/>
    <n v="60.4"/>
    <n v="53.5"/>
    <n v="60.8"/>
    <n v="58.3"/>
    <n v="44.7"/>
    <n v="61.3"/>
    <n v="61.5"/>
    <n v="57.3"/>
    <n v="57.79999999999999"/>
    <n v="1.5781174054723053"/>
    <n v="44.7"/>
    <n v="56.349999999999994"/>
    <n v="60.4"/>
  </r>
  <r>
    <n v="207"/>
    <x v="1"/>
    <x v="1"/>
    <x v="0"/>
    <x v="1"/>
    <x v="1"/>
    <x v="1"/>
    <x v="0"/>
    <n v="13.233000000000001"/>
    <n v="35.700000000000003"/>
    <n v="36.200000000000003"/>
    <n v="31.3"/>
    <n v="37.9"/>
    <n v="37.799999999999997"/>
    <n v="33.200000000000003"/>
    <n v="34.9"/>
    <n v="34.1"/>
    <n v="34.799999999999997"/>
    <n v="32.5"/>
    <n v="38.700000000000003"/>
    <n v="34.299999999999997"/>
    <n v="35.116666666666667"/>
    <n v="0.65271383740147615"/>
    <n v="31.3"/>
    <n v="33.875"/>
    <n v="34.849999999999994"/>
  </r>
  <r>
    <n v="208"/>
    <x v="9"/>
    <x v="9"/>
    <x v="0"/>
    <x v="0"/>
    <x v="1"/>
    <x v="1"/>
    <x v="0"/>
    <n v="13.33"/>
    <n v="37.9"/>
    <n v="36.4"/>
    <n v="38.6"/>
    <n v="34.299999999999997"/>
    <n v="34.9"/>
    <n v="36.299999999999997"/>
    <n v="33.4"/>
    <n v="37.6"/>
    <n v="33.1"/>
    <n v="38"/>
    <n v="38.9"/>
    <n v="38.5"/>
    <n v="36.491666666666667"/>
    <n v="0.60433513847531584"/>
    <n v="33.1"/>
    <n v="34.75"/>
    <n v="37"/>
  </r>
  <r>
    <n v="301"/>
    <x v="3"/>
    <x v="3"/>
    <x v="1"/>
    <x v="1"/>
    <x v="1"/>
    <x v="2"/>
    <x v="0"/>
    <n v="13.446"/>
    <n v="63.3"/>
    <n v="52"/>
    <n v="63.9"/>
    <n v="52.7"/>
    <n v="62.4"/>
    <n v="50.5"/>
    <n v="63.5"/>
    <n v="53.2"/>
    <n v="57.3"/>
    <n v="51.3"/>
    <n v="63.9"/>
    <n v="56.3"/>
    <n v="57.524999999999984"/>
    <n v="1.596071170661987"/>
    <n v="50.5"/>
    <n v="52.525000000000006"/>
    <n v="56.8"/>
  </r>
  <r>
    <n v="302"/>
    <x v="1"/>
    <x v="1"/>
    <x v="0"/>
    <x v="1"/>
    <x v="1"/>
    <x v="2"/>
    <x v="0"/>
    <n v="13.462999999999999"/>
    <n v="37.700000000000003"/>
    <n v="33.1"/>
    <n v="39.1"/>
    <n v="32.700000000000003"/>
    <n v="38.299999999999997"/>
    <n v="31.4"/>
    <n v="37.4"/>
    <n v="33.1"/>
    <n v="33.5"/>
    <n v="34.799999999999997"/>
    <n v="35.1"/>
    <n v="32.5"/>
    <n v="34.891666666666673"/>
    <n v="0.75191254461368451"/>
    <n v="31.4"/>
    <n v="33"/>
    <n v="34.15"/>
  </r>
  <r>
    <n v="303"/>
    <x v="8"/>
    <x v="8"/>
    <x v="1"/>
    <x v="0"/>
    <x v="1"/>
    <x v="2"/>
    <x v="0"/>
    <n v="13.48"/>
    <n v="61.8"/>
    <n v="61.2"/>
    <n v="49.1"/>
    <n v="51.2"/>
    <n v="55.9"/>
    <n v="45.6"/>
    <n v="61.1"/>
    <n v="60.8"/>
    <n v="56.8"/>
    <n v="56.1"/>
    <n v="56.1"/>
    <n v="46.6"/>
    <n v="55.19166666666667"/>
    <n v="1.6736124208888412"/>
    <n v="45.6"/>
    <n v="50.675000000000004"/>
    <n v="56.1"/>
  </r>
  <r>
    <n v="304"/>
    <x v="9"/>
    <x v="9"/>
    <x v="0"/>
    <x v="0"/>
    <x v="1"/>
    <x v="2"/>
    <x v="0"/>
    <n v="13.497"/>
    <n v="38.5"/>
    <n v="38.4"/>
    <n v="34.799999999999997"/>
    <n v="38.1"/>
    <n v="32.799999999999997"/>
    <n v="33.5"/>
    <n v="37.799999999999997"/>
    <n v="32.299999999999997"/>
    <n v="38"/>
    <n v="32.9"/>
    <n v="39"/>
    <n v="35.6"/>
    <n v="35.975000000000001"/>
    <n v="0.7489512870026992"/>
    <n v="32.299999999999997"/>
    <n v="33.35"/>
    <n v="36.700000000000003"/>
  </r>
  <r>
    <n v="305"/>
    <x v="7"/>
    <x v="7"/>
    <x v="1"/>
    <x v="2"/>
    <x v="0"/>
    <x v="3"/>
    <x v="0"/>
    <n v="13.513"/>
    <n v="36.6"/>
    <n v="38.799999999999997"/>
    <n v="32.700000000000003"/>
    <n v="35"/>
    <n v="34"/>
    <n v="31.5"/>
    <n v="36.200000000000003"/>
    <n v="31.5"/>
    <n v="35.1"/>
    <n v="37.200000000000003"/>
    <n v="32.6"/>
    <n v="35.1"/>
    <n v="34.69166666666667"/>
    <n v="0.66690810022174618"/>
    <n v="31.5"/>
    <n v="32.675000000000004"/>
    <n v="35.049999999999997"/>
  </r>
  <r>
    <n v="306"/>
    <x v="1"/>
    <x v="1"/>
    <x v="0"/>
    <x v="1"/>
    <x v="1"/>
    <x v="3"/>
    <x v="0"/>
    <n v="13.529"/>
    <n v="38.799999999999997"/>
    <n v="36.799999999999997"/>
    <n v="38.6"/>
    <n v="35.799999999999997"/>
    <n v="38.6"/>
    <n v="32.6"/>
    <n v="35.799999999999997"/>
    <n v="38.4"/>
    <n v="32.1"/>
    <n v="39.700000000000003"/>
    <n v="36.299999999999997"/>
    <n v="33.6"/>
    <n v="36.425000000000004"/>
    <n v="0.73845918620932793"/>
    <n v="32.1"/>
    <n v="35.25"/>
    <n v="36.549999999999997"/>
  </r>
  <r>
    <n v="307"/>
    <x v="5"/>
    <x v="5"/>
    <x v="1"/>
    <x v="1"/>
    <x v="0"/>
    <x v="3"/>
    <x v="0"/>
    <n v="13.545999999999999"/>
    <n v="62.5"/>
    <n v="62.6"/>
    <n v="45.1"/>
    <n v="61.8"/>
    <n v="61.3"/>
    <n v="42.3"/>
    <n v="62.4"/>
    <n v="54"/>
    <n v="53"/>
    <n v="61.1"/>
    <n v="61.4"/>
    <n v="49.6"/>
    <n v="56.425000000000004"/>
    <n v="2.1354910371380584"/>
    <n v="42.3"/>
    <n v="52.15"/>
    <n v="61.2"/>
  </r>
  <r>
    <n v="308"/>
    <x v="2"/>
    <x v="2"/>
    <x v="0"/>
    <x v="2"/>
    <x v="0"/>
    <x v="3"/>
    <x v="0"/>
    <n v="13.561999999999999"/>
    <n v="34.1"/>
    <n v="36.700000000000003"/>
    <n v="31.6"/>
    <n v="34.4"/>
    <n v="37.299999999999997"/>
    <n v="31.2"/>
    <n v="37.4"/>
    <n v="31.1"/>
    <n v="34"/>
    <n v="34.9"/>
    <n v="34.799999999999997"/>
    <n v="30.6"/>
    <n v="34.008333333333333"/>
    <n v="0.70134700845060538"/>
    <n v="30.6"/>
    <n v="31.5"/>
    <n v="34.25"/>
  </r>
  <r>
    <n v="403"/>
    <x v="10"/>
    <x v="10"/>
    <x v="0"/>
    <x v="2"/>
    <x v="1"/>
    <x v="2"/>
    <x v="0"/>
    <n v="13.667999999999999"/>
    <n v="38.299999999999997"/>
    <n v="37.700000000000003"/>
    <n v="33.200000000000003"/>
    <n v="33.700000000000003"/>
    <n v="38.299999999999997"/>
    <n v="31.1"/>
    <n v="37.9"/>
    <n v="36.700000000000003"/>
    <n v="37.4"/>
    <n v="32.700000000000003"/>
    <n v="35.299999999999997"/>
    <n v="30.9"/>
    <n v="35.266666666666659"/>
    <n v="0.81466979119573923"/>
    <n v="30.9"/>
    <n v="33.075000000000003"/>
    <n v="36"/>
  </r>
  <r>
    <n v="404"/>
    <x v="6"/>
    <x v="6"/>
    <x v="0"/>
    <x v="1"/>
    <x v="0"/>
    <x v="2"/>
    <x v="0"/>
    <n v="13.651999999999999"/>
    <n v="38.6"/>
    <n v="36.700000000000003"/>
    <n v="37.299999999999997"/>
    <n v="36.1"/>
    <n v="37.6"/>
    <n v="32.799999999999997"/>
    <n v="34.6"/>
    <n v="37.5"/>
    <n v="32.5"/>
    <n v="38.200000000000003"/>
    <n v="34.5"/>
    <n v="35"/>
    <n v="35.950000000000003"/>
    <n v="0.59205599653266971"/>
    <n v="32.5"/>
    <n v="34.575000000000003"/>
    <n v="36.400000000000006"/>
  </r>
  <r>
    <n v="405"/>
    <x v="10"/>
    <x v="10"/>
    <x v="0"/>
    <x v="2"/>
    <x v="1"/>
    <x v="3"/>
    <x v="0"/>
    <n v="13.635999999999999"/>
    <n v="38.9"/>
    <n v="35.6"/>
    <n v="37.6"/>
    <n v="31.6"/>
    <n v="38.5"/>
    <n v="31.5"/>
    <n v="38.1"/>
    <n v="32.799999999999997"/>
    <n v="31.4"/>
    <n v="37.799999999999997"/>
    <n v="35.6"/>
    <n v="32.299999999999997"/>
    <n v="35.141666666666666"/>
    <n v="0.87494227803838409"/>
    <n v="31.4"/>
    <n v="32.125"/>
    <n v="35.6"/>
  </r>
  <r>
    <n v="406"/>
    <x v="6"/>
    <x v="6"/>
    <x v="0"/>
    <x v="1"/>
    <x v="0"/>
    <x v="3"/>
    <x v="0"/>
    <n v="13.619"/>
    <n v="38.299999999999997"/>
    <n v="38.200000000000003"/>
    <n v="33.5"/>
    <n v="36.4"/>
    <n v="35.6"/>
    <n v="30.9"/>
    <n v="37.1"/>
    <n v="30.9"/>
    <n v="37.6"/>
    <n v="33.700000000000003"/>
    <n v="36.799999999999997"/>
    <n v="29.8"/>
    <n v="34.9"/>
    <n v="0.88051293590896862"/>
    <n v="29.8"/>
    <n v="32.85"/>
    <n v="36"/>
  </r>
  <r>
    <n v="407"/>
    <x v="11"/>
    <x v="11"/>
    <x v="1"/>
    <x v="0"/>
    <x v="0"/>
    <x v="3"/>
    <x v="0"/>
    <n v="13.602"/>
    <n v="63.1"/>
    <n v="42.3"/>
    <n v="59.5"/>
    <n v="58.5"/>
    <n v="45"/>
    <n v="54.1"/>
    <n v="56.4"/>
    <n v="61.5"/>
    <n v="48"/>
    <n v="62.3"/>
    <n v="49.1"/>
    <n v="45.1"/>
    <n v="53.741666666666667"/>
    <n v="2.1681740094728421"/>
    <n v="42.3"/>
    <n v="47.274999999999999"/>
    <n v="55.25"/>
  </r>
  <r>
    <n v="408"/>
    <x v="3"/>
    <x v="3"/>
    <x v="1"/>
    <x v="1"/>
    <x v="1"/>
    <x v="3"/>
    <x v="0"/>
    <n v="13.585000000000001"/>
    <n v="61.5"/>
    <n v="58.3"/>
    <n v="60.8"/>
    <n v="51.6"/>
    <n v="60.6"/>
    <n v="51.8"/>
    <n v="55"/>
    <n v="54.2"/>
    <n v="58.8"/>
    <n v="57.5"/>
    <n v="62.5"/>
    <n v="42.6"/>
    <n v="56.266666666666673"/>
    <n v="1.6330550164855495"/>
    <n v="42.6"/>
    <n v="53.6"/>
    <n v="57.9"/>
  </r>
  <r>
    <n v="901"/>
    <x v="12"/>
    <x v="12"/>
    <x v="2"/>
    <x v="3"/>
    <x v="1"/>
    <x v="0"/>
    <x v="0"/>
    <n v="13.432"/>
    <n v="51.1"/>
    <n v="53"/>
    <n v="49.6"/>
    <n v="46.9"/>
    <n v="53.1"/>
    <n v="51.4"/>
    <n v="54.1"/>
    <n v="52"/>
    <n v="54.1"/>
    <n v="53.1"/>
    <n v="53.2"/>
    <n v="51.3"/>
    <n v="51.908333333333331"/>
    <n v="0.59676632822661713"/>
    <n v="46.9"/>
    <n v="51.25"/>
    <n v="52.5"/>
  </r>
  <r>
    <n v="902"/>
    <x v="13"/>
    <x v="13"/>
    <x v="3"/>
    <x v="1"/>
    <x v="0"/>
    <x v="0"/>
    <x v="0"/>
    <n v="13.416"/>
    <n v="65.400000000000006"/>
    <n v="59.7"/>
    <n v="52.2"/>
    <n v="54.8"/>
    <n v="59.4"/>
    <n v="46.8"/>
    <n v="64.2"/>
    <n v="53"/>
    <n v="57.1"/>
    <n v="54.8"/>
    <n v="63.2"/>
    <n v="43"/>
    <n v="56.133333333333333"/>
    <n v="1.9726283548257584"/>
    <n v="43"/>
    <n v="52.8"/>
    <n v="55.95"/>
  </r>
  <r>
    <n v="903"/>
    <x v="14"/>
    <x v="14"/>
    <x v="4"/>
    <x v="3"/>
    <x v="1"/>
    <x v="0"/>
    <x v="0"/>
    <n v="13.409000000000001"/>
    <n v="63"/>
    <n v="64.5"/>
    <n v="64.099999999999994"/>
    <n v="61.3"/>
    <n v="64.7"/>
    <n v="63.6"/>
    <n v="64.900000000000006"/>
    <n v="61.1"/>
    <n v="64.099999999999994"/>
    <n v="63.3"/>
    <n v="64.2"/>
    <n v="62.7"/>
    <n v="63.458333333333343"/>
    <n v="0.3602310566030526"/>
    <n v="61.1"/>
    <n v="62.924999999999997"/>
    <n v="63.849999999999994"/>
  </r>
  <r>
    <n v="904"/>
    <x v="15"/>
    <x v="15"/>
    <x v="5"/>
    <x v="1"/>
    <x v="0"/>
    <x v="0"/>
    <x v="0"/>
    <n v="13.394"/>
    <n v="66.2"/>
    <n v="61.3"/>
    <n v="57.4"/>
    <n v="51.1"/>
    <n v="60"/>
    <n v="46.5"/>
    <n v="64.2"/>
    <n v="56.9"/>
    <n v="45.7"/>
    <n v="57.9"/>
    <n v="59.1"/>
    <n v="49.3"/>
    <n v="56.3"/>
    <n v="1.937508553255811"/>
    <n v="45.7"/>
    <n v="50.65"/>
    <n v="57.65"/>
  </r>
  <r>
    <n v="905"/>
    <x v="12"/>
    <x v="12"/>
    <x v="2"/>
    <x v="3"/>
    <x v="1"/>
    <x v="1"/>
    <x v="0"/>
    <n v="13.388"/>
    <n v="50.3"/>
    <n v="52.9"/>
    <n v="52.2"/>
    <n v="51.7"/>
    <n v="51.1"/>
    <n v="54.3"/>
    <n v="51.3"/>
    <n v="51.9"/>
    <n v="53.6"/>
    <n v="51.6"/>
    <n v="51.5"/>
    <n v="52.9"/>
    <n v="52.108333333333327"/>
    <n v="0.32647296359669092"/>
    <n v="50.3"/>
    <n v="51.45"/>
    <n v="51.8"/>
  </r>
  <r>
    <n v="906"/>
    <x v="13"/>
    <x v="13"/>
    <x v="3"/>
    <x v="1"/>
    <x v="0"/>
    <x v="1"/>
    <x v="0"/>
    <n v="13.372999999999999"/>
    <n v="65.7"/>
    <n v="59"/>
    <n v="55.9"/>
    <n v="53.1"/>
    <n v="56.9"/>
    <n v="43.9"/>
    <n v="63"/>
    <n v="50.5"/>
    <n v="48.4"/>
    <n v="52.4"/>
    <n v="60"/>
    <n v="46.4"/>
    <n v="54.6"/>
    <n v="1.933241899614305"/>
    <n v="43.9"/>
    <n v="49.975000000000001"/>
    <n v="54.5"/>
  </r>
  <r>
    <n v="907"/>
    <x v="14"/>
    <x v="14"/>
    <x v="4"/>
    <x v="3"/>
    <x v="1"/>
    <x v="1"/>
    <x v="0"/>
    <n v="13.365"/>
    <n v="63.2"/>
    <n v="65.400000000000006"/>
    <n v="64.5"/>
    <n v="64.900000000000006"/>
    <n v="64.400000000000006"/>
    <n v="64.2"/>
    <n v="65.8"/>
    <n v="62.7"/>
    <n v="66.099999999999994"/>
    <n v="64.5"/>
    <n v="65.5"/>
    <n v="62.2"/>
    <n v="64.45"/>
    <n v="0.35366051175620777"/>
    <n v="62.2"/>
    <n v="63.95"/>
    <n v="64.5"/>
  </r>
  <r>
    <n v="908"/>
    <x v="15"/>
    <x v="15"/>
    <x v="5"/>
    <x v="1"/>
    <x v="0"/>
    <x v="1"/>
    <x v="0"/>
    <n v="13.35"/>
    <n v="64.900000000000006"/>
    <n v="57.6"/>
    <n v="49.6"/>
    <n v="57.6"/>
    <n v="59.4"/>
    <n v="38.6"/>
    <n v="65.599999999999994"/>
    <n v="47.5"/>
    <n v="58.2"/>
    <n v="56.6"/>
    <n v="62.9"/>
    <n v="45.7"/>
    <n v="55.35"/>
    <n v="2.3960984701777019"/>
    <n v="38.6"/>
    <n v="49.075000000000003"/>
    <n v="57.6"/>
  </r>
  <r>
    <n v="101"/>
    <x v="0"/>
    <x v="0"/>
    <x v="0"/>
    <x v="0"/>
    <x v="0"/>
    <x v="0"/>
    <x v="1"/>
    <n v="13.106"/>
    <n v="29.2"/>
    <n v="31.1"/>
    <n v="30.9"/>
    <n v="30.7"/>
    <n v="31.3"/>
    <n v="30.7"/>
    <n v="32.200000000000003"/>
    <n v="30.1"/>
    <n v="31"/>
    <n v="29.7"/>
    <n v="29.8"/>
    <n v="30.7"/>
    <n v="30.61666666666666"/>
    <n v="0.23414361473947326"/>
    <n v="29.2"/>
    <n v="30.024999999999999"/>
    <n v="30.7"/>
  </r>
  <r>
    <n v="102"/>
    <x v="1"/>
    <x v="1"/>
    <x v="0"/>
    <x v="1"/>
    <x v="1"/>
    <x v="0"/>
    <x v="1"/>
    <n v="13.087"/>
    <n v="29.2"/>
    <n v="29.6"/>
    <n v="30"/>
    <n v="31.3"/>
    <n v="29.6"/>
    <n v="31"/>
    <n v="30.4"/>
    <n v="29.9"/>
    <n v="31.7"/>
    <n v="30.1"/>
    <n v="30.8"/>
    <n v="30.4"/>
    <n v="30.333333333333332"/>
    <n v="0.21649177090292737"/>
    <n v="29.2"/>
    <n v="29.824999999999999"/>
    <n v="30.25"/>
  </r>
  <r>
    <n v="103"/>
    <x v="2"/>
    <x v="2"/>
    <x v="0"/>
    <x v="2"/>
    <x v="0"/>
    <x v="0"/>
    <x v="1"/>
    <n v="13.07"/>
    <n v="30.6"/>
    <n v="31.6"/>
    <n v="31.3"/>
    <n v="29.9"/>
    <n v="34.1"/>
    <n v="29.6"/>
    <n v="29.9"/>
    <n v="31"/>
    <n v="31"/>
    <n v="30.5"/>
    <n v="30.8"/>
    <n v="31.7"/>
    <n v="31"/>
    <n v="0.34134315800253778"/>
    <n v="29.6"/>
    <n v="30.35"/>
    <n v="30.9"/>
  </r>
  <r>
    <n v="104"/>
    <x v="3"/>
    <x v="3"/>
    <x v="1"/>
    <x v="1"/>
    <x v="1"/>
    <x v="0"/>
    <x v="1"/>
    <n v="13.052"/>
    <n v="32.700000000000003"/>
    <n v="33.6"/>
    <n v="33.200000000000003"/>
    <n v="32.9"/>
    <n v="33.1"/>
    <n v="34.200000000000003"/>
    <n v="31.7"/>
    <n v="34.5"/>
    <n v="32.9"/>
    <n v="32.9"/>
    <n v="33.9"/>
    <n v="35.6"/>
    <n v="33.43333333333333"/>
    <n v="0.29163419732695606"/>
    <n v="31.7"/>
    <n v="32.9"/>
    <n v="33.15"/>
  </r>
  <r>
    <n v="105"/>
    <x v="4"/>
    <x v="4"/>
    <x v="1"/>
    <x v="2"/>
    <x v="1"/>
    <x v="1"/>
    <x v="1"/>
    <n v="13.034000000000001"/>
    <n v="29.1"/>
    <n v="30.7"/>
    <n v="31.6"/>
    <n v="29.7"/>
    <n v="30.9"/>
    <n v="29.4"/>
    <n v="29.8"/>
    <n v="30.5"/>
    <n v="31.1"/>
    <n v="30.7"/>
    <n v="29.5"/>
    <n v="28.9"/>
    <n v="30.158333333333331"/>
    <n v="0.2502902355670118"/>
    <n v="28.9"/>
    <n v="29.475000000000001"/>
    <n v="30.15"/>
  </r>
  <r>
    <n v="106"/>
    <x v="5"/>
    <x v="5"/>
    <x v="1"/>
    <x v="1"/>
    <x v="0"/>
    <x v="1"/>
    <x v="1"/>
    <n v="13.016"/>
    <n v="31.8"/>
    <n v="31.9"/>
    <n v="32.700000000000003"/>
    <n v="31.5"/>
    <n v="32.5"/>
    <n v="33.700000000000003"/>
    <n v="31.5"/>
    <n v="34"/>
    <n v="33.4"/>
    <n v="34"/>
    <n v="32.700000000000003"/>
    <n v="31.1"/>
    <n v="32.56666666666667"/>
    <n v="0.29627314724386938"/>
    <n v="31.1"/>
    <n v="31.725000000000001"/>
    <n v="32.6"/>
  </r>
  <r>
    <n v="107"/>
    <x v="3"/>
    <x v="3"/>
    <x v="1"/>
    <x v="1"/>
    <x v="1"/>
    <x v="1"/>
    <x v="1"/>
    <n v="12.997999999999999"/>
    <n v="33"/>
    <n v="36"/>
    <n v="33"/>
    <n v="34.9"/>
    <n v="32.799999999999997"/>
    <n v="32.1"/>
    <n v="32.9"/>
    <n v="31.9"/>
    <n v="33.4"/>
    <n v="35.200000000000003"/>
    <n v="33.5"/>
    <n v="32.6"/>
    <n v="33.441666666666663"/>
    <n v="0.36669249220349487"/>
    <n v="31.9"/>
    <n v="32.75"/>
    <n v="33"/>
  </r>
  <r>
    <n v="108"/>
    <x v="6"/>
    <x v="6"/>
    <x v="0"/>
    <x v="1"/>
    <x v="0"/>
    <x v="1"/>
    <x v="1"/>
    <n v="12.983000000000001"/>
    <n v="30.6"/>
    <n v="31.7"/>
    <n v="29.6"/>
    <n v="31.4"/>
    <n v="30.1"/>
    <n v="30.8"/>
    <n v="30.6"/>
    <n v="30.9"/>
    <n v="32"/>
    <n v="30"/>
    <n v="32.799999999999997"/>
    <n v="30.9"/>
    <n v="30.95"/>
    <n v="0.26126150837343726"/>
    <n v="29.6"/>
    <n v="30.475000000000001"/>
    <n v="30.85"/>
  </r>
  <r>
    <n v="201"/>
    <x v="4"/>
    <x v="4"/>
    <x v="1"/>
    <x v="2"/>
    <x v="1"/>
    <x v="0"/>
    <x v="1"/>
    <n v="13.132999999999999"/>
    <n v="31"/>
    <n v="30"/>
    <n v="30.5"/>
    <n v="29.9"/>
    <n v="30.4"/>
    <n v="31"/>
    <n v="30.9"/>
    <n v="29.5"/>
    <n v="30.8"/>
    <n v="29.7"/>
    <n v="32.1"/>
    <n v="32.799999999999997"/>
    <n v="30.716666666666669"/>
    <n v="0.27929384258344486"/>
    <n v="29.5"/>
    <n v="29.975000000000001"/>
    <n v="30.65"/>
  </r>
  <r>
    <n v="202"/>
    <x v="5"/>
    <x v="5"/>
    <x v="1"/>
    <x v="1"/>
    <x v="0"/>
    <x v="0"/>
    <x v="1"/>
    <n v="13.15"/>
    <n v="32.1"/>
    <n v="34.799999999999997"/>
    <n v="33.6"/>
    <n v="33.799999999999997"/>
    <n v="35.1"/>
    <n v="34.799999999999997"/>
    <n v="33.4"/>
    <n v="35.299999999999997"/>
    <n v="33.799999999999997"/>
    <n v="34.299999999999997"/>
    <n v="35.799999999999997"/>
    <n v="36.1"/>
    <n v="34.408333333333339"/>
    <n v="0.32716836860263027"/>
    <n v="32.1"/>
    <n v="33.75"/>
    <n v="34.549999999999997"/>
  </r>
  <r>
    <n v="203"/>
    <x v="6"/>
    <x v="6"/>
    <x v="0"/>
    <x v="1"/>
    <x v="0"/>
    <x v="0"/>
    <x v="1"/>
    <n v="13.167999999999999"/>
    <n v="31.4"/>
    <n v="29"/>
    <n v="31.6"/>
    <n v="30.8"/>
    <n v="30.2"/>
    <n v="30.8"/>
    <n v="30.8"/>
    <n v="30.8"/>
    <n v="29.9"/>
    <n v="30.6"/>
    <n v="29.8"/>
    <n v="30.1"/>
    <n v="30.483333333333338"/>
    <n v="0.20846965237076873"/>
    <n v="29"/>
    <n v="30.05"/>
    <n v="30.7"/>
  </r>
  <r>
    <n v="204"/>
    <x v="7"/>
    <x v="7"/>
    <x v="1"/>
    <x v="2"/>
    <x v="0"/>
    <x v="0"/>
    <x v="1"/>
    <n v="13.185"/>
    <n v="30"/>
    <n v="30.2"/>
    <n v="29.7"/>
    <n v="29.6"/>
    <n v="30.7"/>
    <n v="29.3"/>
    <n v="29.3"/>
    <n v="30.6"/>
    <n v="30.3"/>
    <n v="29.6"/>
    <n v="29.5"/>
    <n v="28.3"/>
    <n v="29.758333333333336"/>
    <n v="0.19087451586857238"/>
    <n v="28.3"/>
    <n v="29.45"/>
    <n v="29.65"/>
  </r>
  <r>
    <n v="205"/>
    <x v="0"/>
    <x v="0"/>
    <x v="0"/>
    <x v="0"/>
    <x v="0"/>
    <x v="1"/>
    <x v="1"/>
    <n v="13.202"/>
    <n v="28"/>
    <n v="28.8"/>
    <n v="29.7"/>
    <n v="28.7"/>
    <n v="27.9"/>
    <n v="28.1"/>
    <n v="28.9"/>
    <n v="28.1"/>
    <n v="28.4"/>
    <n v="28.7"/>
    <n v="28.5"/>
    <n v="27.9"/>
    <n v="28.475000000000001"/>
    <n v="0.15231794896128084"/>
    <n v="27.9"/>
    <n v="28.074999999999999"/>
    <n v="28.45"/>
  </r>
  <r>
    <n v="206"/>
    <x v="8"/>
    <x v="8"/>
    <x v="1"/>
    <x v="0"/>
    <x v="1"/>
    <x v="1"/>
    <x v="1"/>
    <n v="13.22"/>
    <n v="31.3"/>
    <n v="33"/>
    <n v="30.6"/>
    <n v="33"/>
    <n v="29.8"/>
    <n v="30.6"/>
    <n v="31.5"/>
    <n v="30.7"/>
    <n v="30.4"/>
    <n v="30.6"/>
    <n v="29.1"/>
    <n v="31.2"/>
    <n v="30.983333333333334"/>
    <n v="0.329791792291175"/>
    <n v="29.1"/>
    <n v="30.55"/>
    <n v="30.65"/>
  </r>
  <r>
    <n v="207"/>
    <x v="1"/>
    <x v="1"/>
    <x v="0"/>
    <x v="1"/>
    <x v="1"/>
    <x v="1"/>
    <x v="1"/>
    <n v="13.238"/>
    <n v="29.1"/>
    <n v="28.8"/>
    <n v="29.8"/>
    <n v="29.3"/>
    <n v="28.8"/>
    <n v="30"/>
    <n v="30.8"/>
    <n v="29.9"/>
    <n v="29.2"/>
    <n v="30.6"/>
    <n v="30"/>
    <n v="30.7"/>
    <n v="29.75"/>
    <n v="0.20615528128082691"/>
    <n v="28.8"/>
    <n v="29.175000000000001"/>
    <n v="29.85"/>
  </r>
  <r>
    <n v="208"/>
    <x v="9"/>
    <x v="9"/>
    <x v="0"/>
    <x v="0"/>
    <x v="1"/>
    <x v="1"/>
    <x v="1"/>
    <n v="13.336"/>
    <n v="30.1"/>
    <n v="28.2"/>
    <n v="29.9"/>
    <n v="29.8"/>
    <n v="29.8"/>
    <n v="27.7"/>
    <n v="28"/>
    <n v="29.2"/>
    <n v="30.2"/>
    <n v="29.6"/>
    <n v="28.6"/>
    <n v="28.8"/>
    <n v="29.158333333333335"/>
    <n v="0.25179908216228425"/>
    <n v="27.7"/>
    <n v="28.5"/>
    <n v="29.4"/>
  </r>
  <r>
    <n v="301"/>
    <x v="3"/>
    <x v="3"/>
    <x v="1"/>
    <x v="1"/>
    <x v="1"/>
    <x v="2"/>
    <x v="1"/>
    <n v="13.451000000000001"/>
    <n v="32.299999999999997"/>
    <n v="32.5"/>
    <n v="32"/>
    <n v="33.700000000000003"/>
    <n v="32.299999999999997"/>
    <n v="31.6"/>
    <n v="32.5"/>
    <n v="33.200000000000003"/>
    <n v="34.700000000000003"/>
    <n v="31.9"/>
    <n v="33.6"/>
    <n v="32.299999999999997"/>
    <n v="32.716666666666669"/>
    <n v="0.26048711168415062"/>
    <n v="31.6"/>
    <n v="32.225000000000001"/>
    <n v="32.4"/>
  </r>
  <r>
    <n v="302"/>
    <x v="1"/>
    <x v="1"/>
    <x v="0"/>
    <x v="1"/>
    <x v="1"/>
    <x v="2"/>
    <x v="1"/>
    <n v="13.468"/>
    <n v="29"/>
    <n v="29.3"/>
    <n v="29.7"/>
    <n v="29.7"/>
    <n v="29.7"/>
    <n v="29.8"/>
    <n v="29.9"/>
    <n v="30"/>
    <n v="30.6"/>
    <n v="28.6"/>
    <n v="31"/>
    <n v="31.4"/>
    <n v="29.891666666666669"/>
    <n v="0.22944542274837101"/>
    <n v="28.6"/>
    <n v="29.6"/>
    <n v="29.75"/>
  </r>
  <r>
    <n v="303"/>
    <x v="8"/>
    <x v="8"/>
    <x v="1"/>
    <x v="0"/>
    <x v="1"/>
    <x v="2"/>
    <x v="1"/>
    <n v="13.484"/>
    <n v="33.299999999999997"/>
    <n v="31.5"/>
    <n v="31.3"/>
    <n v="30.6"/>
    <n v="30"/>
    <n v="31.8"/>
    <n v="31.3"/>
    <n v="31.7"/>
    <n v="32"/>
    <n v="31.7"/>
    <n v="31.1"/>
    <n v="32.6"/>
    <n v="31.574999999999999"/>
    <n v="0.24775507211269884"/>
    <n v="30"/>
    <n v="31.25"/>
    <n v="31.6"/>
  </r>
  <r>
    <n v="304"/>
    <x v="9"/>
    <x v="9"/>
    <x v="0"/>
    <x v="0"/>
    <x v="1"/>
    <x v="2"/>
    <x v="1"/>
    <n v="13.502000000000001"/>
    <n v="28.7"/>
    <n v="29.2"/>
    <n v="29.9"/>
    <n v="30.1"/>
    <n v="30.6"/>
    <n v="30.3"/>
    <n v="30"/>
    <n v="30.9"/>
    <n v="30.2"/>
    <n v="30.3"/>
    <n v="29.5"/>
    <n v="29.4"/>
    <n v="29.925000000000001"/>
    <n v="0.18011990955520954"/>
    <n v="28.7"/>
    <n v="29.475000000000001"/>
    <n v="30.05"/>
  </r>
  <r>
    <n v="305"/>
    <x v="7"/>
    <x v="7"/>
    <x v="1"/>
    <x v="2"/>
    <x v="0"/>
    <x v="3"/>
    <x v="1"/>
    <n v="13.518000000000001"/>
    <n v="29.9"/>
    <n v="29.1"/>
    <n v="30"/>
    <n v="30.3"/>
    <n v="30"/>
    <n v="30.6"/>
    <n v="30.1"/>
    <n v="29.1"/>
    <n v="30.4"/>
    <n v="29.9"/>
    <n v="28.6"/>
    <n v="29.6"/>
    <n v="29.8"/>
    <n v="0.17188791273807413"/>
    <n v="28.6"/>
    <n v="29.475000000000001"/>
    <n v="29.95"/>
  </r>
  <r>
    <n v="306"/>
    <x v="1"/>
    <x v="1"/>
    <x v="0"/>
    <x v="1"/>
    <x v="1"/>
    <x v="3"/>
    <x v="1"/>
    <n v="13.534000000000001"/>
    <n v="28.7"/>
    <n v="29.2"/>
    <n v="28.1"/>
    <n v="28"/>
    <n v="29.8"/>
    <n v="29"/>
    <n v="28.3"/>
    <n v="29.2"/>
    <n v="28.2"/>
    <n v="28.7"/>
    <n v="28.7"/>
    <n v="27.9"/>
    <n v="28.65"/>
    <n v="0.16674240703269944"/>
    <n v="27.9"/>
    <n v="28.175000000000001"/>
    <n v="28.7"/>
  </r>
  <r>
    <n v="307"/>
    <x v="5"/>
    <x v="5"/>
    <x v="1"/>
    <x v="1"/>
    <x v="0"/>
    <x v="3"/>
    <x v="1"/>
    <n v="13.551"/>
    <n v="32.6"/>
    <n v="32.299999999999997"/>
    <n v="30.6"/>
    <n v="32.700000000000003"/>
    <n v="29.8"/>
    <n v="31.4"/>
    <n v="31.8"/>
    <n v="31.3"/>
    <n v="31"/>
    <n v="31.2"/>
    <n v="30.6"/>
    <n v="30.8"/>
    <n v="31.341666666666669"/>
    <n v="0.25329894104660905"/>
    <n v="29.8"/>
    <n v="30.75"/>
    <n v="31.25"/>
  </r>
  <r>
    <n v="308"/>
    <x v="2"/>
    <x v="2"/>
    <x v="0"/>
    <x v="2"/>
    <x v="0"/>
    <x v="3"/>
    <x v="1"/>
    <n v="13.567"/>
    <n v="27.3"/>
    <n v="28.2"/>
    <n v="29.3"/>
    <n v="28.1"/>
    <n v="28.8"/>
    <n v="29.6"/>
    <n v="28.3"/>
    <n v="27.6"/>
    <n v="27.9"/>
    <n v="29"/>
    <n v="28"/>
    <n v="28.7"/>
    <n v="28.4"/>
    <n v="0.19962085273960359"/>
    <n v="27.3"/>
    <n v="27.975000000000001"/>
    <n v="28.25"/>
  </r>
  <r>
    <n v="403"/>
    <x v="10"/>
    <x v="10"/>
    <x v="0"/>
    <x v="2"/>
    <x v="1"/>
    <x v="2"/>
    <x v="1"/>
    <n v="13.673"/>
    <n v="29.5"/>
    <n v="28.3"/>
    <n v="29.5"/>
    <n v="29.6"/>
    <n v="29.7"/>
    <n v="28.5"/>
    <n v="29.6"/>
    <n v="29.5"/>
    <n v="29.7"/>
    <n v="29"/>
    <n v="31.2"/>
    <n v="29.9"/>
    <n v="29.5"/>
    <n v="0.21033883198889575"/>
    <n v="28.3"/>
    <n v="29.375"/>
    <n v="29.55"/>
  </r>
  <r>
    <n v="404"/>
    <x v="6"/>
    <x v="6"/>
    <x v="0"/>
    <x v="1"/>
    <x v="0"/>
    <x v="2"/>
    <x v="1"/>
    <n v="13.656000000000001"/>
    <n v="30.6"/>
    <n v="28.7"/>
    <n v="29.2"/>
    <n v="30.6"/>
    <n v="30.2"/>
    <n v="30.2"/>
    <n v="29.3"/>
    <n v="31.1"/>
    <n v="30.5"/>
    <n v="30.6"/>
    <n v="29.6"/>
    <n v="31.6"/>
    <n v="30.183333333333337"/>
    <n v="0.24241003746257911"/>
    <n v="28.7"/>
    <n v="29.524999999999999"/>
    <n v="30.35"/>
  </r>
  <r>
    <n v="405"/>
    <x v="10"/>
    <x v="10"/>
    <x v="0"/>
    <x v="2"/>
    <x v="1"/>
    <x v="3"/>
    <x v="1"/>
    <n v="13.64"/>
    <n v="30.7"/>
    <n v="31.4"/>
    <n v="32.1"/>
    <n v="30.8"/>
    <n v="30.7"/>
    <n v="30.4"/>
    <n v="30.5"/>
    <n v="30.2"/>
    <n v="29.9"/>
    <n v="30.9"/>
    <n v="30.1"/>
    <n v="30"/>
    <n v="30.641666666666666"/>
    <n v="0.18109863934252884"/>
    <n v="29.9"/>
    <n v="30.175000000000001"/>
    <n v="30.6"/>
  </r>
  <r>
    <n v="406"/>
    <x v="6"/>
    <x v="6"/>
    <x v="0"/>
    <x v="1"/>
    <x v="0"/>
    <x v="3"/>
    <x v="1"/>
    <n v="13.622999999999999"/>
    <n v="28.8"/>
    <n v="28.8"/>
    <n v="29.7"/>
    <n v="28.8"/>
    <n v="28.9"/>
    <n v="29.6"/>
    <n v="29.1"/>
    <n v="29.7"/>
    <n v="30.2"/>
    <n v="28.8"/>
    <n v="28.3"/>
    <n v="28.3"/>
    <n v="29.083333333333332"/>
    <n v="0.17093031245849052"/>
    <n v="28.3"/>
    <n v="28.8"/>
    <n v="28.85"/>
  </r>
  <r>
    <n v="407"/>
    <x v="11"/>
    <x v="11"/>
    <x v="1"/>
    <x v="0"/>
    <x v="0"/>
    <x v="3"/>
    <x v="1"/>
    <n v="13.606999999999999"/>
    <n v="30.7"/>
    <n v="30.3"/>
    <n v="30.2"/>
    <n v="32.1"/>
    <n v="31.3"/>
    <n v="32"/>
    <n v="31"/>
    <n v="31.6"/>
    <n v="33"/>
    <n v="31.7"/>
    <n v="32.200000000000003"/>
    <n v="32.1"/>
    <n v="31.516666666666669"/>
    <n v="0.24334578631470699"/>
    <n v="30.2"/>
    <n v="30.925000000000001"/>
    <n v="31.65"/>
  </r>
  <r>
    <n v="408"/>
    <x v="3"/>
    <x v="3"/>
    <x v="1"/>
    <x v="1"/>
    <x v="1"/>
    <x v="3"/>
    <x v="1"/>
    <n v="13.59"/>
    <n v="32.5"/>
    <n v="30.2"/>
    <n v="31.4"/>
    <n v="32.6"/>
    <n v="31.7"/>
    <n v="31.7"/>
    <n v="32.6"/>
    <n v="31.7"/>
    <n v="30.7"/>
    <n v="33.1"/>
    <n v="31"/>
    <n v="30.9"/>
    <n v="31.675000000000001"/>
    <n v="0.25646932594668853"/>
    <n v="30.2"/>
    <n v="30.975000000000001"/>
    <n v="31.7"/>
  </r>
  <r>
    <n v="902"/>
    <x v="13"/>
    <x v="13"/>
    <x v="3"/>
    <x v="1"/>
    <x v="0"/>
    <x v="0"/>
    <x v="1"/>
    <n v="13.420999999999999"/>
    <n v="31.9"/>
    <n v="34"/>
    <n v="31.6"/>
    <n v="33.5"/>
    <n v="31.8"/>
    <n v="30.5"/>
    <n v="31.6"/>
    <n v="32.1"/>
    <n v="30.9"/>
    <n v="32.9"/>
    <n v="32"/>
    <n v="33"/>
    <n v="32.15"/>
    <n v="0.29682665076791181"/>
    <n v="30.5"/>
    <n v="31.6"/>
    <n v="31.95"/>
  </r>
  <r>
    <n v="904"/>
    <x v="15"/>
    <x v="15"/>
    <x v="5"/>
    <x v="1"/>
    <x v="0"/>
    <x v="0"/>
    <x v="1"/>
    <n v="13.398999999999999"/>
    <n v="29.6"/>
    <n v="30.8"/>
    <n v="30.8"/>
    <n v="29.7"/>
    <n v="31"/>
    <n v="30.3"/>
    <n v="29.6"/>
    <n v="31.1"/>
    <n v="31.1"/>
    <n v="31.5"/>
    <n v="30.3"/>
    <n v="31.1"/>
    <n v="30.574999999999999"/>
    <n v="0.19034458386320227"/>
    <n v="29.6"/>
    <n v="30.15"/>
    <n v="30.8"/>
  </r>
  <r>
    <n v="906"/>
    <x v="13"/>
    <x v="13"/>
    <x v="3"/>
    <x v="1"/>
    <x v="0"/>
    <x v="1"/>
    <x v="1"/>
    <n v="13.377000000000001"/>
    <n v="28.7"/>
    <n v="30.2"/>
    <n v="30.6"/>
    <n v="31.4"/>
    <n v="31.1"/>
    <n v="31.8"/>
    <n v="31.8"/>
    <n v="32.200000000000003"/>
    <n v="31.7"/>
    <n v="31.1"/>
    <n v="30.8"/>
    <n v="31.7"/>
    <n v="31.091666666666669"/>
    <n v="0.27398803704619712"/>
    <n v="28.7"/>
    <n v="30.75"/>
    <n v="31.25"/>
  </r>
  <r>
    <n v="908"/>
    <x v="15"/>
    <x v="15"/>
    <x v="5"/>
    <x v="1"/>
    <x v="0"/>
    <x v="1"/>
    <x v="1"/>
    <n v="13.355"/>
    <n v="28.8"/>
    <n v="30.1"/>
    <n v="30"/>
    <n v="31.3"/>
    <n v="30.3"/>
    <n v="31"/>
    <n v="31.5"/>
    <n v="30"/>
    <n v="29.9"/>
    <n v="31.1"/>
    <n v="29.8"/>
    <n v="32.1"/>
    <n v="30.491666666666671"/>
    <n v="0.26470633623780743"/>
    <n v="28.8"/>
    <n v="29.975000000000001"/>
    <n v="30.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44"/>
    <n v="32"/>
    <n v="33.4"/>
    <n v="31.8"/>
    <n v="32.799999999999997"/>
    <n v="33.200000000000003"/>
    <n v="32.6"/>
    <n v="32"/>
    <n v="30.9"/>
    <n v="33.1"/>
    <n v="32.5"/>
    <n v="32"/>
    <n v="37.6"/>
    <n v="32.825000000000003"/>
    <n v="0.47912878638148249"/>
    <n v="30.9"/>
    <n v="32"/>
    <n v="32.549999999999997"/>
  </r>
  <r>
    <n v="102"/>
    <x v="1"/>
    <x v="1"/>
    <x v="0"/>
    <x v="1"/>
    <x v="1"/>
    <x v="0"/>
    <x v="0"/>
    <n v="13.128"/>
    <n v="34.4"/>
    <n v="35.6"/>
    <n v="34.5"/>
    <n v="36.200000000000003"/>
    <n v="33"/>
    <n v="37.5"/>
    <n v="34"/>
    <n v="33.1"/>
    <n v="33.799999999999997"/>
    <n v="34.200000000000003"/>
    <n v="31.9"/>
    <n v="34.799999999999997"/>
    <n v="34.416666666666664"/>
    <n v="0.43446821087695442"/>
    <n v="31.9"/>
    <n v="33.625"/>
    <n v="34.299999999999997"/>
  </r>
  <r>
    <n v="103"/>
    <x v="2"/>
    <x v="2"/>
    <x v="0"/>
    <x v="2"/>
    <x v="0"/>
    <x v="0"/>
    <x v="0"/>
    <n v="13.113"/>
    <n v="36.1"/>
    <n v="34.1"/>
    <n v="35.799999999999997"/>
    <n v="34.4"/>
    <n v="34.700000000000003"/>
    <n v="35.5"/>
    <n v="35.9"/>
    <n v="36.1"/>
    <n v="33.9"/>
    <n v="35.9"/>
    <n v="34.5"/>
    <n v="34.299999999999997"/>
    <n v="35.1"/>
    <n v="0.24649051859567597"/>
    <n v="33.9"/>
    <n v="34.375"/>
    <n v="35.1"/>
  </r>
  <r>
    <n v="104"/>
    <x v="3"/>
    <x v="3"/>
    <x v="1"/>
    <x v="1"/>
    <x v="1"/>
    <x v="0"/>
    <x v="0"/>
    <n v="13.097"/>
    <n v="62.6"/>
    <n v="58.4"/>
    <n v="56.8"/>
    <n v="57.2"/>
    <n v="47.5"/>
    <n v="57.8"/>
    <n v="49.5"/>
    <n v="55.3"/>
    <n v="45.3"/>
    <n v="55.7"/>
    <n v="47.2"/>
    <n v="53.6"/>
    <n v="53.908333333333339"/>
    <n v="1.5445632084995533"/>
    <n v="45.3"/>
    <n v="49"/>
    <n v="55.5"/>
  </r>
  <r>
    <n v="105"/>
    <x v="4"/>
    <x v="4"/>
    <x v="1"/>
    <x v="2"/>
    <x v="1"/>
    <x v="1"/>
    <x v="0"/>
    <n v="13.083"/>
    <n v="40.299999999999997"/>
    <n v="37.799999999999997"/>
    <n v="35.4"/>
    <n v="35.9"/>
    <n v="33.1"/>
    <n v="36.799999999999997"/>
    <n v="35.5"/>
    <n v="37.1"/>
    <n v="34.6"/>
    <n v="38.1"/>
    <n v="35.200000000000003"/>
    <n v="38.5"/>
    <n v="36.525000000000006"/>
    <n v="0.56784080675673576"/>
    <n v="33.1"/>
    <n v="35.35"/>
    <n v="36.349999999999994"/>
  </r>
  <r>
    <n v="106"/>
    <x v="5"/>
    <x v="5"/>
    <x v="1"/>
    <x v="1"/>
    <x v="0"/>
    <x v="1"/>
    <x v="0"/>
    <n v="13.067"/>
    <n v="62.6"/>
    <n v="55.8"/>
    <n v="63.7"/>
    <n v="62"/>
    <n v="58.3"/>
    <n v="52.7"/>
    <n v="56.3"/>
    <n v="56.9"/>
    <n v="54.2"/>
    <n v="58.9"/>
    <n v="58.5"/>
    <n v="53.1"/>
    <n v="57.75"/>
    <n v="1.0499999999999958"/>
    <n v="52.7"/>
    <n v="55.4"/>
    <n v="57.599999999999994"/>
  </r>
  <r>
    <n v="107"/>
    <x v="3"/>
    <x v="3"/>
    <x v="1"/>
    <x v="1"/>
    <x v="1"/>
    <x v="1"/>
    <x v="0"/>
    <n v="13.052"/>
    <n v="63.8"/>
    <n v="58"/>
    <n v="54.9"/>
    <n v="62.2"/>
    <n v="42.1"/>
    <n v="62.4"/>
    <n v="56.7"/>
    <n v="62.8"/>
    <n v="51.5"/>
    <n v="62"/>
    <n v="52.5"/>
    <n v="63.7"/>
    <n v="57.716666666666669"/>
    <n v="1.9025833049628289"/>
    <n v="42.1"/>
    <n v="54.3"/>
    <n v="60"/>
  </r>
  <r>
    <n v="108"/>
    <x v="6"/>
    <x v="6"/>
    <x v="0"/>
    <x v="1"/>
    <x v="0"/>
    <x v="1"/>
    <x v="0"/>
    <n v="13.037000000000001"/>
    <n v="39.5"/>
    <n v="38.5"/>
    <n v="39"/>
    <n v="35.9"/>
    <n v="38.799999999999997"/>
    <n v="34.9"/>
    <n v="39.9"/>
    <n v="32.6"/>
    <n v="39.299999999999997"/>
    <n v="36.4"/>
    <n v="39.700000000000003"/>
    <n v="33.799999999999997"/>
    <n v="37.358333333333334"/>
    <n v="0.73220902104866126"/>
    <n v="32.6"/>
    <n v="35.65"/>
    <n v="38.65"/>
  </r>
  <r>
    <n v="201"/>
    <x v="4"/>
    <x v="4"/>
    <x v="1"/>
    <x v="2"/>
    <x v="1"/>
    <x v="0"/>
    <x v="0"/>
    <n v="13.173"/>
    <n v="30.4"/>
    <n v="32.6"/>
    <n v="31.9"/>
    <n v="31.9"/>
    <n v="36.5"/>
    <n v="33"/>
    <n v="31.8"/>
    <n v="37.9"/>
    <n v="31"/>
    <n v="31.8"/>
    <n v="30.9"/>
    <n v="35.6"/>
    <n v="32.94166666666667"/>
    <n v="0.69418126326098406"/>
    <n v="30.4"/>
    <n v="31.6"/>
    <n v="31.9"/>
  </r>
  <r>
    <n v="202"/>
    <x v="5"/>
    <x v="5"/>
    <x v="1"/>
    <x v="1"/>
    <x v="0"/>
    <x v="0"/>
    <x v="0"/>
    <n v="13.186999999999999"/>
    <n v="62.6"/>
    <n v="59.4"/>
    <n v="52"/>
    <n v="62.6"/>
    <n v="55.1"/>
    <n v="60.1"/>
    <n v="57.1"/>
    <n v="61"/>
    <n v="57.2"/>
    <n v="53.7"/>
    <n v="57.5"/>
    <n v="58.1"/>
    <n v="58.033333333333339"/>
    <n v="0.96250409942715964"/>
    <n v="52"/>
    <n v="56.6"/>
    <n v="57.8"/>
  </r>
  <r>
    <n v="203"/>
    <x v="6"/>
    <x v="6"/>
    <x v="0"/>
    <x v="1"/>
    <x v="0"/>
    <x v="0"/>
    <x v="0"/>
    <n v="13.202"/>
    <n v="38.200000000000003"/>
    <n v="36.9"/>
    <n v="34.9"/>
    <n v="38.799999999999997"/>
    <n v="36"/>
    <n v="35"/>
    <n v="36.700000000000003"/>
    <n v="36.1"/>
    <n v="35.9"/>
    <n v="38.1"/>
    <n v="34.200000000000003"/>
    <n v="39.200000000000003"/>
    <n v="36.666666666666664"/>
    <n v="0.46682897610292456"/>
    <n v="34.200000000000003"/>
    <n v="35.674999999999997"/>
    <n v="36.400000000000006"/>
  </r>
  <r>
    <n v="204"/>
    <x v="7"/>
    <x v="7"/>
    <x v="1"/>
    <x v="2"/>
    <x v="0"/>
    <x v="0"/>
    <x v="0"/>
    <n v="13.218"/>
    <n v="38.6"/>
    <n v="37.700000000000003"/>
    <n v="35.700000000000003"/>
    <n v="36.6"/>
    <n v="35.5"/>
    <n v="35.200000000000003"/>
    <n v="34.799999999999997"/>
    <n v="37.299999999999997"/>
    <n v="37.5"/>
    <n v="35.1"/>
    <n v="38.200000000000003"/>
    <n v="35.1"/>
    <n v="36.44166666666667"/>
    <n v="0.39398091273042857"/>
    <n v="34.799999999999997"/>
    <n v="35.175000000000004"/>
    <n v="36.150000000000006"/>
  </r>
  <r>
    <n v="205"/>
    <x v="0"/>
    <x v="0"/>
    <x v="0"/>
    <x v="0"/>
    <x v="0"/>
    <x v="1"/>
    <x v="0"/>
    <n v="13.231999999999999"/>
    <n v="38"/>
    <n v="36.299999999999997"/>
    <n v="35.200000000000003"/>
    <n v="37.1"/>
    <n v="37.4"/>
    <n v="33.1"/>
    <n v="35.9"/>
    <n v="36.6"/>
    <n v="37.200000000000003"/>
    <n v="37.1"/>
    <n v="37"/>
    <n v="37"/>
    <n v="36.491666666666667"/>
    <n v="0.37365077142951597"/>
    <n v="33.1"/>
    <n v="36.199999999999996"/>
    <n v="37"/>
  </r>
  <r>
    <n v="206"/>
    <x v="8"/>
    <x v="8"/>
    <x v="1"/>
    <x v="0"/>
    <x v="1"/>
    <x v="1"/>
    <x v="0"/>
    <n v="13.246"/>
    <n v="61.6"/>
    <n v="60.3"/>
    <n v="61.7"/>
    <n v="59.2"/>
    <n v="56.3"/>
    <n v="56.6"/>
    <n v="59.2"/>
    <n v="54.8"/>
    <n v="55.7"/>
    <n v="58.7"/>
    <n v="51.2"/>
    <n v="59"/>
    <n v="57.858333333333348"/>
    <n v="0.88201373703763652"/>
    <n v="51.2"/>
    <n v="56.15"/>
    <n v="58.85"/>
  </r>
  <r>
    <n v="207"/>
    <x v="1"/>
    <x v="1"/>
    <x v="0"/>
    <x v="1"/>
    <x v="1"/>
    <x v="1"/>
    <x v="0"/>
    <n v="13.263"/>
    <n v="36.9"/>
    <n v="33.799999999999997"/>
    <n v="35.799999999999997"/>
    <n v="36.4"/>
    <n v="37.4"/>
    <n v="35.1"/>
    <n v="36"/>
    <n v="36.200000000000003"/>
    <n v="36.200000000000003"/>
    <n v="32.799999999999997"/>
    <n v="35.9"/>
    <n v="37.4"/>
    <n v="35.824999999999996"/>
    <n v="0.39449334595155316"/>
    <n v="32.799999999999997"/>
    <n v="35.625"/>
    <n v="36.1"/>
  </r>
  <r>
    <n v="208"/>
    <x v="9"/>
    <x v="9"/>
    <x v="0"/>
    <x v="0"/>
    <x v="1"/>
    <x v="1"/>
    <x v="0"/>
    <n v="13.278"/>
    <n v="37.799999999999997"/>
    <n v="37.799999999999997"/>
    <n v="38"/>
    <n v="39.1"/>
    <n v="34.700000000000003"/>
    <n v="36.200000000000003"/>
    <n v="33.9"/>
    <n v="37.700000000000003"/>
    <n v="35.9"/>
    <n v="36.799999999999997"/>
    <n v="34.299999999999997"/>
    <n v="38.9"/>
    <n v="36.758333333333326"/>
    <n v="0.5087802307798035"/>
    <n v="33.9"/>
    <n v="35.6"/>
    <n v="37.25"/>
  </r>
  <r>
    <n v="301"/>
    <x v="3"/>
    <x v="3"/>
    <x v="1"/>
    <x v="1"/>
    <x v="1"/>
    <x v="2"/>
    <x v="0"/>
    <n v="13.41"/>
    <n v="61.4"/>
    <n v="60.9"/>
    <n v="50.6"/>
    <n v="62.3"/>
    <n v="49.2"/>
    <n v="60.5"/>
    <n v="55.2"/>
    <n v="57.6"/>
    <n v="42"/>
    <n v="58"/>
    <n v="45.7"/>
    <n v="59.8"/>
    <n v="55.266666666666673"/>
    <n v="1.9574772467942299"/>
    <n v="42"/>
    <n v="50.25"/>
    <n v="57.8"/>
  </r>
  <r>
    <n v="302"/>
    <x v="1"/>
    <x v="1"/>
    <x v="0"/>
    <x v="1"/>
    <x v="1"/>
    <x v="2"/>
    <x v="0"/>
    <n v="13.427"/>
    <n v="32.9"/>
    <n v="34"/>
    <n v="32.799999999999997"/>
    <n v="36.5"/>
    <n v="33.4"/>
    <n v="34.700000000000003"/>
    <n v="32.799999999999997"/>
    <n v="32.700000000000003"/>
    <n v="32.700000000000003"/>
    <n v="34.799999999999997"/>
    <n v="32.200000000000003"/>
    <n v="33.1"/>
    <n v="33.550000000000004"/>
    <n v="0.35707142142714171"/>
    <n v="32.200000000000003"/>
    <n v="32.774999999999999"/>
    <n v="33"/>
  </r>
  <r>
    <n v="303"/>
    <x v="8"/>
    <x v="8"/>
    <x v="1"/>
    <x v="0"/>
    <x v="1"/>
    <x v="2"/>
    <x v="0"/>
    <n v="13.442"/>
    <n v="60"/>
    <n v="50.8"/>
    <n v="53.3"/>
    <n v="57.8"/>
    <n v="45.5"/>
    <n v="56.8"/>
    <n v="56.7"/>
    <n v="54.4"/>
    <n v="55.9"/>
    <n v="53.1"/>
    <n v="46.2"/>
    <n v="58.3"/>
    <n v="54.066666666666663"/>
    <n v="1.3268973455609094"/>
    <n v="45.5"/>
    <n v="52.524999999999999"/>
    <n v="55.15"/>
  </r>
  <r>
    <n v="304"/>
    <x v="9"/>
    <x v="9"/>
    <x v="0"/>
    <x v="0"/>
    <x v="1"/>
    <x v="2"/>
    <x v="0"/>
    <n v="13.458"/>
    <n v="37.299999999999997"/>
    <n v="36.700000000000003"/>
    <n v="35.4"/>
    <n v="35.4"/>
    <n v="35.6"/>
    <n v="35.200000000000003"/>
    <n v="35.700000000000003"/>
    <n v="35.299999999999997"/>
    <n v="34.6"/>
    <n v="34.9"/>
    <n v="33.5"/>
    <n v="36.6"/>
    <n v="35.516666666666673"/>
    <n v="0.29202359113222431"/>
    <n v="33.5"/>
    <n v="35.125"/>
    <n v="35.4"/>
  </r>
  <r>
    <n v="305"/>
    <x v="7"/>
    <x v="7"/>
    <x v="1"/>
    <x v="2"/>
    <x v="0"/>
    <x v="3"/>
    <x v="0"/>
    <n v="13.474"/>
    <n v="37.4"/>
    <n v="35.1"/>
    <n v="34.200000000000003"/>
    <n v="37.1"/>
    <n v="31.9"/>
    <n v="37.6"/>
    <n v="33.4"/>
    <n v="39.200000000000003"/>
    <n v="32.700000000000003"/>
    <n v="36.299999999999997"/>
    <n v="35"/>
    <n v="33.799999999999997"/>
    <n v="35.308333333333337"/>
    <n v="0.64355291432433048"/>
    <n v="31.9"/>
    <n v="33.699999999999996"/>
    <n v="35.049999999999997"/>
  </r>
  <r>
    <n v="306"/>
    <x v="1"/>
    <x v="1"/>
    <x v="0"/>
    <x v="1"/>
    <x v="1"/>
    <x v="3"/>
    <x v="0"/>
    <n v="13.49"/>
    <n v="37.6"/>
    <n v="34.700000000000003"/>
    <n v="31.9"/>
    <n v="39.299999999999997"/>
    <n v="36.200000000000003"/>
    <n v="37.200000000000003"/>
    <n v="34.6"/>
    <n v="38.299999999999997"/>
    <n v="32.1"/>
    <n v="38.200000000000003"/>
    <n v="31.4"/>
    <n v="39"/>
    <n v="35.874999999999993"/>
    <n v="0.82893917238551851"/>
    <n v="31.4"/>
    <n v="33.975000000000001"/>
    <n v="36.700000000000003"/>
  </r>
  <r>
    <n v="307"/>
    <x v="5"/>
    <x v="5"/>
    <x v="1"/>
    <x v="1"/>
    <x v="0"/>
    <x v="3"/>
    <x v="0"/>
    <n v="13.506"/>
    <n v="60.7"/>
    <n v="61"/>
    <n v="43.2"/>
    <n v="61.4"/>
    <n v="50.3"/>
    <n v="60.5"/>
    <n v="51.9"/>
    <n v="61.5"/>
    <n v="57.1"/>
    <n v="57.1"/>
    <n v="58.5"/>
    <n v="56.2"/>
    <n v="56.616666666666674"/>
    <n v="1.614415802647611"/>
    <n v="43.2"/>
    <n v="55.125"/>
    <n v="57.8"/>
  </r>
  <r>
    <n v="308"/>
    <x v="2"/>
    <x v="2"/>
    <x v="0"/>
    <x v="2"/>
    <x v="0"/>
    <x v="3"/>
    <x v="0"/>
    <n v="13.52"/>
    <n v="37.200000000000003"/>
    <n v="34.200000000000003"/>
    <n v="34.1"/>
    <n v="35.1"/>
    <n v="34"/>
    <n v="34.5"/>
    <n v="33.299999999999997"/>
    <n v="36.700000000000003"/>
    <n v="34.4"/>
    <n v="34.700000000000003"/>
    <n v="35.1"/>
    <n v="32.799999999999997"/>
    <n v="34.674999999999997"/>
    <n v="0.36267628942229835"/>
    <n v="32.799999999999997"/>
    <n v="34.075000000000003"/>
    <n v="34.450000000000003"/>
  </r>
  <r>
    <n v="403"/>
    <x v="10"/>
    <x v="10"/>
    <x v="0"/>
    <x v="2"/>
    <x v="1"/>
    <x v="2"/>
    <x v="0"/>
    <n v="13.622999999999999"/>
    <n v="35.299999999999997"/>
    <n v="33.5"/>
    <n v="33.700000000000003"/>
    <n v="34.5"/>
    <n v="34.200000000000003"/>
    <n v="35.200000000000003"/>
    <n v="32.200000000000003"/>
    <n v="35.200000000000003"/>
    <n v="36"/>
    <n v="35.1"/>
    <n v="35.1"/>
    <n v="35.299999999999997"/>
    <n v="34.608333333333334"/>
    <n v="0.30287969742310927"/>
    <n v="32.200000000000003"/>
    <n v="34.075000000000003"/>
    <n v="35.1"/>
  </r>
  <r>
    <n v="404"/>
    <x v="6"/>
    <x v="6"/>
    <x v="0"/>
    <x v="1"/>
    <x v="0"/>
    <x v="2"/>
    <x v="0"/>
    <n v="13.608000000000001"/>
    <n v="35.700000000000003"/>
    <n v="35.799999999999997"/>
    <n v="32.6"/>
    <n v="36.4"/>
    <n v="34.700000000000003"/>
    <n v="35"/>
    <n v="33.6"/>
    <n v="35.200000000000003"/>
    <n v="34.200000000000003"/>
    <n v="35.9"/>
    <n v="33.200000000000003"/>
    <n v="34.799999999999997"/>
    <n v="34.758333333333333"/>
    <n v="0.33675328918631081"/>
    <n v="32.6"/>
    <n v="34.050000000000004"/>
    <n v="34.9"/>
  </r>
  <r>
    <n v="405"/>
    <x v="10"/>
    <x v="10"/>
    <x v="0"/>
    <x v="2"/>
    <x v="1"/>
    <x v="3"/>
    <x v="0"/>
    <n v="13.593"/>
    <n v="36.299999999999997"/>
    <n v="32.4"/>
    <n v="35.4"/>
    <n v="33.9"/>
    <n v="33.799999999999997"/>
    <n v="35.1"/>
    <n v="33.9"/>
    <n v="37.299999999999997"/>
    <n v="34.4"/>
    <n v="32.799999999999997"/>
    <n v="35.799999999999997"/>
    <n v="35"/>
    <n v="34.675000000000004"/>
    <n v="0.4114138593148523"/>
    <n v="32.4"/>
    <n v="33.875"/>
    <n v="34.700000000000003"/>
  </r>
  <r>
    <n v="406"/>
    <x v="6"/>
    <x v="6"/>
    <x v="0"/>
    <x v="1"/>
    <x v="0"/>
    <x v="3"/>
    <x v="0"/>
    <n v="13.577999999999999"/>
    <n v="36.799999999999997"/>
    <n v="33.700000000000003"/>
    <n v="34"/>
    <n v="35.6"/>
    <n v="33.799999999999997"/>
    <n v="34.1"/>
    <n v="35.299999999999997"/>
    <n v="36.700000000000003"/>
    <n v="36.4"/>
    <n v="35.4"/>
    <n v="32.5"/>
    <n v="33.799999999999997"/>
    <n v="34.841666666666661"/>
    <n v="0.3991389090115291"/>
    <n v="32.5"/>
    <n v="33.799999999999997"/>
    <n v="34.700000000000003"/>
  </r>
  <r>
    <n v="407"/>
    <x v="11"/>
    <x v="11"/>
    <x v="1"/>
    <x v="0"/>
    <x v="0"/>
    <x v="3"/>
    <x v="0"/>
    <n v="13.561999999999999"/>
    <n v="61.3"/>
    <n v="56.8"/>
    <n v="50.3"/>
    <n v="60.1"/>
    <n v="46.2"/>
    <n v="57.8"/>
    <n v="50.5"/>
    <n v="59.4"/>
    <n v="49.5"/>
    <n v="58.8"/>
    <n v="49.3"/>
    <n v="58.8"/>
    <n v="54.899999999999984"/>
    <n v="1.5260862996369327"/>
    <n v="46.2"/>
    <n v="50.099999999999994"/>
    <n v="57.3"/>
  </r>
  <r>
    <n v="408"/>
    <x v="3"/>
    <x v="3"/>
    <x v="1"/>
    <x v="1"/>
    <x v="1"/>
    <x v="3"/>
    <x v="0"/>
    <n v="13.545999999999999"/>
    <n v="60.3"/>
    <n v="57.5"/>
    <n v="56.7"/>
    <n v="59.6"/>
    <n v="52.8"/>
    <n v="51.4"/>
    <n v="57.1"/>
    <n v="52.9"/>
    <n v="56.5"/>
    <n v="56.5"/>
    <n v="57.5"/>
    <n v="56.8"/>
    <n v="56.29999999999999"/>
    <n v="0.77224583933074398"/>
    <n v="51.4"/>
    <n v="55.6"/>
    <n v="56.75"/>
  </r>
  <r>
    <n v="901"/>
    <x v="12"/>
    <x v="12"/>
    <x v="2"/>
    <x v="3"/>
    <x v="1"/>
    <x v="0"/>
    <x v="0"/>
    <n v="13.39"/>
    <n v="39.700000000000003"/>
    <n v="45.1"/>
    <n v="45.1"/>
    <n v="41.6"/>
    <n v="41.7"/>
    <n v="41.1"/>
    <n v="42.4"/>
    <n v="36.299999999999997"/>
    <n v="41.2"/>
    <n v="38.9"/>
    <n v="36.200000000000003"/>
    <n v="36.1"/>
    <n v="40.449999999999996"/>
    <n v="0.90491084442814873"/>
    <n v="36.1"/>
    <n v="38.25"/>
    <n v="41.150000000000006"/>
  </r>
  <r>
    <n v="902"/>
    <x v="13"/>
    <x v="13"/>
    <x v="3"/>
    <x v="1"/>
    <x v="0"/>
    <x v="0"/>
    <x v="0"/>
    <n v="13.375"/>
    <n v="65.2"/>
    <n v="52.1"/>
    <n v="54.6"/>
    <n v="60.4"/>
    <n v="56.2"/>
    <n v="54.6"/>
    <n v="60.3"/>
    <n v="55.3"/>
    <n v="57.3"/>
    <n v="56.1"/>
    <n v="49.1"/>
    <n v="61.7"/>
    <n v="56.908333333333339"/>
    <n v="1.2734145420716383"/>
    <n v="49.1"/>
    <n v="54.6"/>
    <n v="56.150000000000006"/>
  </r>
  <r>
    <n v="903"/>
    <x v="14"/>
    <x v="14"/>
    <x v="4"/>
    <x v="3"/>
    <x v="1"/>
    <x v="0"/>
    <x v="0"/>
    <n v="13.367000000000001"/>
    <n v="59.3"/>
    <n v="59.3"/>
    <n v="60.2"/>
    <n v="59.8"/>
    <n v="61.9"/>
    <n v="60.2"/>
    <n v="62.4"/>
    <n v="60.4"/>
    <n v="61.5"/>
    <n v="59.6"/>
    <n v="62.2"/>
    <n v="59.9"/>
    <n v="60.558333333333337"/>
    <n v="0.32739984203673667"/>
    <n v="59.3"/>
    <n v="59.75"/>
    <n v="60.2"/>
  </r>
  <r>
    <n v="904"/>
    <x v="15"/>
    <x v="15"/>
    <x v="5"/>
    <x v="1"/>
    <x v="0"/>
    <x v="0"/>
    <x v="0"/>
    <n v="13.352"/>
    <n v="64.3"/>
    <n v="56.4"/>
    <n v="56.1"/>
    <n v="56"/>
    <n v="46.4"/>
    <n v="58.9"/>
    <n v="49.6"/>
    <n v="60.3"/>
    <n v="55.2"/>
    <n v="56.8"/>
    <n v="54.3"/>
    <n v="53.3"/>
    <n v="55.633333333333326"/>
    <n v="1.3453811746306537"/>
    <n v="46.4"/>
    <n v="54.05"/>
    <n v="56.05"/>
  </r>
  <r>
    <n v="905"/>
    <x v="12"/>
    <x v="12"/>
    <x v="2"/>
    <x v="3"/>
    <x v="1"/>
    <x v="1"/>
    <x v="0"/>
    <n v="13.343999999999999"/>
    <n v="48.7"/>
    <n v="40.4"/>
    <n v="38.200000000000003"/>
    <n v="41.6"/>
    <n v="38.799999999999997"/>
    <n v="38.299999999999997"/>
    <n v="40.700000000000003"/>
    <n v="43"/>
    <n v="41.1"/>
    <n v="38.299999999999997"/>
    <n v="41.9"/>
    <n v="36"/>
    <n v="40.583333333333336"/>
    <n v="0.93377965518876871"/>
    <n v="36"/>
    <n v="38.299999999999997"/>
    <n v="40.549999999999997"/>
  </r>
  <r>
    <n v="906"/>
    <x v="13"/>
    <x v="13"/>
    <x v="3"/>
    <x v="1"/>
    <x v="0"/>
    <x v="1"/>
    <x v="0"/>
    <n v="13.327999999999999"/>
    <n v="63"/>
    <n v="61.3"/>
    <n v="51.4"/>
    <n v="60.8"/>
    <n v="40.799999999999997"/>
    <n v="56.2"/>
    <n v="45.5"/>
    <n v="56.4"/>
    <n v="43.9"/>
    <n v="59.2"/>
    <n v="46.4"/>
    <n v="58.4"/>
    <n v="53.608333333333327"/>
    <n v="2.2168589002997892"/>
    <n v="40.799999999999997"/>
    <n v="46.174999999999997"/>
    <n v="56.3"/>
  </r>
  <r>
    <n v="907"/>
    <x v="14"/>
    <x v="14"/>
    <x v="4"/>
    <x v="3"/>
    <x v="1"/>
    <x v="1"/>
    <x v="0"/>
    <n v="13.32"/>
    <n v="61.9"/>
    <n v="60.4"/>
    <n v="63.4"/>
    <n v="61.4"/>
    <n v="64"/>
    <n v="60.6"/>
    <n v="63.6"/>
    <n v="61.8"/>
    <n v="64.400000000000006"/>
    <n v="60.4"/>
    <n v="63.7"/>
    <n v="62.5"/>
    <n v="62.341666666666676"/>
    <n v="0.42201865773281877"/>
    <n v="60.4"/>
    <n v="61.2"/>
    <n v="62.2"/>
  </r>
  <r>
    <n v="908"/>
    <x v="15"/>
    <x v="15"/>
    <x v="5"/>
    <x v="1"/>
    <x v="0"/>
    <x v="1"/>
    <x v="0"/>
    <n v="13.303000000000001"/>
    <n v="63.9"/>
    <n v="52.3"/>
    <n v="54.5"/>
    <n v="59.9"/>
    <n v="51.8"/>
    <n v="59.6"/>
    <n v="53"/>
    <n v="62.2"/>
    <n v="43.9"/>
    <n v="61.6"/>
    <n v="50.6"/>
    <n v="62"/>
    <n v="56.274999999999999"/>
    <n v="1.7701705533306022"/>
    <n v="43.9"/>
    <n v="52.174999999999997"/>
    <n v="57.05"/>
  </r>
  <r>
    <n v="101"/>
    <x v="0"/>
    <x v="0"/>
    <x v="0"/>
    <x v="0"/>
    <x v="0"/>
    <x v="0"/>
    <x v="1"/>
    <n v="13.148999999999999"/>
    <n v="31.1"/>
    <n v="32"/>
    <n v="31.1"/>
    <n v="31.3"/>
    <n v="33.6"/>
    <n v="32.799999999999997"/>
    <n v="30.4"/>
    <n v="29.6"/>
    <n v="31.2"/>
    <n v="30.9"/>
    <n v="32.9"/>
    <n v="30.8"/>
    <n v="31.475000000000001"/>
    <n v="0.33054706720281429"/>
    <n v="29.6"/>
    <n v="30.875"/>
    <n v="31.15"/>
  </r>
  <r>
    <n v="102"/>
    <x v="1"/>
    <x v="1"/>
    <x v="0"/>
    <x v="1"/>
    <x v="1"/>
    <x v="0"/>
    <x v="1"/>
    <n v="13.132999999999999"/>
    <n v="29.8"/>
    <n v="29.7"/>
    <n v="29.1"/>
    <n v="30.1"/>
    <n v="29.8"/>
    <n v="30.2"/>
    <n v="30.7"/>
    <n v="28.5"/>
    <n v="30.7"/>
    <n v="31.1"/>
    <n v="32"/>
    <n v="31.7"/>
    <n v="30.283333333333331"/>
    <n v="0.29383393922144135"/>
    <n v="28.5"/>
    <n v="29.774999999999999"/>
    <n v="30.15"/>
  </r>
  <r>
    <n v="103"/>
    <x v="2"/>
    <x v="2"/>
    <x v="0"/>
    <x v="2"/>
    <x v="0"/>
    <x v="0"/>
    <x v="1"/>
    <n v="13.118"/>
    <n v="30.7"/>
    <n v="30.2"/>
    <n v="30.6"/>
    <n v="29.7"/>
    <n v="31.5"/>
    <n v="28.8"/>
    <n v="28.8"/>
    <n v="30.2"/>
    <n v="29"/>
    <n v="29.7"/>
    <n v="29.3"/>
    <n v="29.6"/>
    <n v="29.841666666666669"/>
    <n v="0.23977841201549591"/>
    <n v="28.8"/>
    <n v="29.225000000000001"/>
    <n v="29.7"/>
  </r>
  <r>
    <n v="104"/>
    <x v="3"/>
    <x v="3"/>
    <x v="1"/>
    <x v="1"/>
    <x v="1"/>
    <x v="0"/>
    <x v="1"/>
    <n v="13.101000000000001"/>
    <n v="30.2"/>
    <n v="30.9"/>
    <n v="31.4"/>
    <n v="29.6"/>
    <n v="30.7"/>
    <n v="31.2"/>
    <n v="32.299999999999997"/>
    <n v="32.299999999999997"/>
    <n v="35.299999999999997"/>
    <n v="35.200000000000003"/>
    <n v="34.700000000000003"/>
    <n v="33.700000000000003"/>
    <n v="32.291666666666664"/>
    <n v="0.573196556976173"/>
    <n v="29.6"/>
    <n v="30.85"/>
    <n v="31.85"/>
  </r>
  <r>
    <n v="105"/>
    <x v="4"/>
    <x v="4"/>
    <x v="1"/>
    <x v="2"/>
    <x v="1"/>
    <x v="1"/>
    <x v="1"/>
    <n v="13.087"/>
    <n v="28.5"/>
    <n v="29"/>
    <n v="28.5"/>
    <n v="27.8"/>
    <n v="28.4"/>
    <n v="29.7"/>
    <n v="27.7"/>
    <n v="29.3"/>
    <n v="27.4"/>
    <n v="28.9"/>
    <n v="29.3"/>
    <n v="29.8"/>
    <n v="28.691666666666663"/>
    <n v="0.22578426728529677"/>
    <n v="27.4"/>
    <n v="28.25"/>
    <n v="28.7"/>
  </r>
  <r>
    <n v="106"/>
    <x v="5"/>
    <x v="5"/>
    <x v="1"/>
    <x v="1"/>
    <x v="0"/>
    <x v="1"/>
    <x v="1"/>
    <n v="13.071999999999999"/>
    <n v="33.700000000000003"/>
    <n v="32.200000000000003"/>
    <n v="30.6"/>
    <n v="30"/>
    <n v="32"/>
    <n v="30.6"/>
    <n v="30.3"/>
    <n v="29.6"/>
    <n v="30.8"/>
    <n v="32"/>
    <n v="30.4"/>
    <n v="30.3"/>
    <n v="31.041666666666668"/>
    <n v="0.34122291952341893"/>
    <n v="29.6"/>
    <n v="30.3"/>
    <n v="30.6"/>
  </r>
  <r>
    <n v="107"/>
    <x v="3"/>
    <x v="3"/>
    <x v="1"/>
    <x v="1"/>
    <x v="1"/>
    <x v="1"/>
    <x v="1"/>
    <n v="13.057"/>
    <n v="32.799999999999997"/>
    <n v="31.1"/>
    <n v="31.6"/>
    <n v="30.3"/>
    <n v="30.8"/>
    <n v="31.2"/>
    <n v="31.5"/>
    <n v="30.6"/>
    <n v="32.799999999999997"/>
    <n v="30.4"/>
    <n v="32"/>
    <n v="32.200000000000003"/>
    <n v="31.441666666666663"/>
    <n v="0.25059273168175189"/>
    <n v="30.3"/>
    <n v="30.75"/>
    <n v="31.35"/>
  </r>
  <r>
    <n v="108"/>
    <x v="6"/>
    <x v="6"/>
    <x v="0"/>
    <x v="1"/>
    <x v="0"/>
    <x v="1"/>
    <x v="1"/>
    <n v="13.041"/>
    <n v="28.5"/>
    <n v="30.2"/>
    <n v="28.3"/>
    <n v="29.3"/>
    <n v="29.8"/>
    <n v="29.2"/>
    <n v="28.4"/>
    <n v="29.9"/>
    <n v="30.8"/>
    <n v="28.3"/>
    <n v="29"/>
    <n v="30.2"/>
    <n v="29.324999999999999"/>
    <n v="0.24652893370056203"/>
    <n v="28.3"/>
    <n v="28.475000000000001"/>
    <n v="29.25"/>
  </r>
  <r>
    <n v="201"/>
    <x v="4"/>
    <x v="4"/>
    <x v="1"/>
    <x v="2"/>
    <x v="1"/>
    <x v="0"/>
    <x v="1"/>
    <n v="13.177"/>
    <n v="32.6"/>
    <n v="32"/>
    <n v="32.700000000000003"/>
    <n v="31.8"/>
    <n v="32.299999999999997"/>
    <n v="32.9"/>
    <n v="30.3"/>
    <n v="31.9"/>
    <n v="31.1"/>
    <n v="31.6"/>
    <n v="30"/>
    <n v="35.1"/>
    <n v="32.024999999999999"/>
    <n v="0.38200527522929351"/>
    <n v="30"/>
    <n v="31.475000000000001"/>
    <n v="31.95"/>
  </r>
  <r>
    <n v="202"/>
    <x v="5"/>
    <x v="5"/>
    <x v="1"/>
    <x v="1"/>
    <x v="0"/>
    <x v="0"/>
    <x v="1"/>
    <n v="13.192"/>
    <n v="35.1"/>
    <n v="38.799999999999997"/>
    <n v="36.1"/>
    <n v="31.9"/>
    <n v="37.6"/>
    <n v="36.9"/>
    <n v="36.6"/>
    <n v="39.299999999999997"/>
    <n v="36.799999999999997"/>
    <n v="34.1"/>
    <n v="36"/>
    <n v="35.1"/>
    <n v="36.19166666666667"/>
    <n v="0.58198437099355083"/>
    <n v="31.9"/>
    <n v="35.1"/>
    <n v="36.35"/>
  </r>
  <r>
    <n v="203"/>
    <x v="6"/>
    <x v="6"/>
    <x v="0"/>
    <x v="1"/>
    <x v="0"/>
    <x v="0"/>
    <x v="1"/>
    <n v="13.208"/>
    <n v="30.1"/>
    <n v="29.7"/>
    <n v="30.6"/>
    <n v="29.5"/>
    <n v="29.8"/>
    <n v="29"/>
    <n v="29.9"/>
    <n v="30.3"/>
    <n v="30.8"/>
    <n v="30.7"/>
    <n v="33.299999999999997"/>
    <n v="31.2"/>
    <n v="30.408333333333335"/>
    <n v="0.31753270729485694"/>
    <n v="29"/>
    <n v="29.774999999999999"/>
    <n v="30.2"/>
  </r>
  <r>
    <n v="204"/>
    <x v="7"/>
    <x v="7"/>
    <x v="1"/>
    <x v="2"/>
    <x v="0"/>
    <x v="0"/>
    <x v="1"/>
    <n v="13.222"/>
    <n v="31.4"/>
    <n v="31.8"/>
    <n v="31.3"/>
    <n v="29.5"/>
    <n v="32.4"/>
    <n v="30.6"/>
    <n v="30.3"/>
    <n v="30.4"/>
    <n v="32.1"/>
    <n v="31.6"/>
    <n v="31"/>
    <n v="30.4"/>
    <n v="31.066666666666666"/>
    <n v="0.24597774392217625"/>
    <n v="29.5"/>
    <n v="30.4"/>
    <n v="31.15"/>
  </r>
  <r>
    <n v="205"/>
    <x v="0"/>
    <x v="0"/>
    <x v="0"/>
    <x v="0"/>
    <x v="0"/>
    <x v="1"/>
    <x v="1"/>
    <n v="13.236000000000001"/>
    <n v="27.8"/>
    <n v="28.3"/>
    <n v="28.7"/>
    <n v="30.4"/>
    <n v="29.7"/>
    <n v="28.8"/>
    <n v="29.3"/>
    <n v="29.4"/>
    <n v="28.1"/>
    <n v="32.1"/>
    <n v="28.8"/>
    <n v="29.8"/>
    <n v="29.266666666666669"/>
    <n v="0.33717483400581877"/>
    <n v="27.8"/>
    <n v="28.6"/>
    <n v="29.05"/>
  </r>
  <r>
    <n v="206"/>
    <x v="8"/>
    <x v="8"/>
    <x v="1"/>
    <x v="0"/>
    <x v="1"/>
    <x v="1"/>
    <x v="1"/>
    <n v="13.250999999999999"/>
    <n v="33.799999999999997"/>
    <n v="32.1"/>
    <n v="32.4"/>
    <n v="33"/>
    <n v="31.4"/>
    <n v="32.1"/>
    <n v="31.3"/>
    <n v="31.8"/>
    <n v="30.8"/>
    <n v="30.8"/>
    <n v="32.299999999999997"/>
    <n v="35.5"/>
    <n v="32.274999999999999"/>
    <n v="0.38555843011175889"/>
    <n v="30.8"/>
    <n v="31.375"/>
    <n v="32.1"/>
  </r>
  <r>
    <n v="207"/>
    <x v="1"/>
    <x v="1"/>
    <x v="0"/>
    <x v="1"/>
    <x v="1"/>
    <x v="1"/>
    <x v="1"/>
    <n v="13.268000000000001"/>
    <n v="28.7"/>
    <n v="28.4"/>
    <n v="29.4"/>
    <n v="27.4"/>
    <n v="27.8"/>
    <n v="28.7"/>
    <n v="27.8"/>
    <n v="29.1"/>
    <n v="28.1"/>
    <n v="28.8"/>
    <n v="27.8"/>
    <n v="28.6"/>
    <n v="28.383333333333336"/>
    <n v="0.17487369179156009"/>
    <n v="27.4"/>
    <n v="27.8"/>
    <n v="28.5"/>
  </r>
  <r>
    <n v="208"/>
    <x v="9"/>
    <x v="9"/>
    <x v="0"/>
    <x v="0"/>
    <x v="1"/>
    <x v="1"/>
    <x v="1"/>
    <n v="13.282"/>
    <n v="30"/>
    <n v="28.8"/>
    <n v="31.5"/>
    <n v="28.9"/>
    <n v="28.1"/>
    <n v="28.9"/>
    <n v="30.1"/>
    <n v="31.1"/>
    <n v="29.4"/>
    <n v="29.1"/>
    <n v="27.6"/>
    <n v="28.6"/>
    <n v="29.341666666666669"/>
    <n v="0.33290692423262491"/>
    <n v="27.6"/>
    <n v="28.75"/>
    <n v="29"/>
  </r>
  <r>
    <n v="301"/>
    <x v="3"/>
    <x v="3"/>
    <x v="1"/>
    <x v="1"/>
    <x v="1"/>
    <x v="2"/>
    <x v="1"/>
    <n v="13.414999999999999"/>
    <n v="36.5"/>
    <n v="34.9"/>
    <n v="34"/>
    <n v="33.700000000000003"/>
    <n v="33.200000000000003"/>
    <n v="33.1"/>
    <n v="33.200000000000003"/>
    <n v="37.200000000000003"/>
    <n v="36.700000000000003"/>
    <n v="35"/>
    <n v="34.5"/>
    <n v="32.4"/>
    <n v="34.533333333333331"/>
    <n v="0.45366075519940008"/>
    <n v="32.4"/>
    <n v="33.200000000000003"/>
    <n v="34.25"/>
  </r>
  <r>
    <n v="302"/>
    <x v="1"/>
    <x v="1"/>
    <x v="0"/>
    <x v="1"/>
    <x v="1"/>
    <x v="2"/>
    <x v="1"/>
    <n v="13.430999999999999"/>
    <n v="30.3"/>
    <n v="31"/>
    <n v="30.5"/>
    <n v="30.7"/>
    <n v="31"/>
    <n v="31"/>
    <n v="30.3"/>
    <n v="31.2"/>
    <n v="32"/>
    <n v="31.7"/>
    <n v="31.3"/>
    <n v="32.1"/>
    <n v="31.091666666666669"/>
    <n v="0.1751442407003389"/>
    <n v="30.3"/>
    <n v="30.65"/>
    <n v="31"/>
  </r>
  <r>
    <n v="303"/>
    <x v="8"/>
    <x v="8"/>
    <x v="1"/>
    <x v="0"/>
    <x v="1"/>
    <x v="2"/>
    <x v="1"/>
    <n v="13.446"/>
    <n v="32.1"/>
    <n v="31.3"/>
    <n v="34.1"/>
    <n v="35.4"/>
    <n v="31.2"/>
    <n v="33.4"/>
    <n v="34.799999999999997"/>
    <n v="32.6"/>
    <n v="34.9"/>
    <n v="32.6"/>
    <n v="34.1"/>
    <n v="33.4"/>
    <n v="33.325000000000003"/>
    <n v="0.40210148726480693"/>
    <n v="31.2"/>
    <n v="32.475000000000001"/>
    <n v="33.4"/>
  </r>
  <r>
    <n v="304"/>
    <x v="9"/>
    <x v="9"/>
    <x v="0"/>
    <x v="0"/>
    <x v="1"/>
    <x v="2"/>
    <x v="1"/>
    <n v="13.462"/>
    <n v="31.7"/>
    <n v="29.6"/>
    <n v="29.6"/>
    <n v="29.8"/>
    <n v="30.9"/>
    <n v="30.6"/>
    <n v="29"/>
    <n v="29.7"/>
    <n v="30.6"/>
    <n v="30.4"/>
    <n v="30.6"/>
    <n v="28.9"/>
    <n v="30.116666666666664"/>
    <n v="0.23735708086845933"/>
    <n v="28.9"/>
    <n v="29.6"/>
    <n v="30.1"/>
  </r>
  <r>
    <n v="305"/>
    <x v="7"/>
    <x v="7"/>
    <x v="1"/>
    <x v="2"/>
    <x v="0"/>
    <x v="3"/>
    <x v="1"/>
    <n v="13.478999999999999"/>
    <n v="30.5"/>
    <n v="29.6"/>
    <n v="32.4"/>
    <n v="30.1"/>
    <n v="31.8"/>
    <n v="30.6"/>
    <n v="31.9"/>
    <n v="31.2"/>
    <n v="30"/>
    <n v="30.2"/>
    <n v="32.799999999999997"/>
    <n v="30.2"/>
    <n v="30.941666666666666"/>
    <n v="0.30287969742310927"/>
    <n v="29.6"/>
    <n v="30.175000000000001"/>
    <n v="30.55"/>
  </r>
  <r>
    <n v="306"/>
    <x v="1"/>
    <x v="1"/>
    <x v="0"/>
    <x v="1"/>
    <x v="1"/>
    <x v="3"/>
    <x v="1"/>
    <n v="13.494999999999999"/>
    <n v="28.9"/>
    <n v="28.4"/>
    <n v="29.9"/>
    <n v="28.8"/>
    <n v="28"/>
    <n v="29.4"/>
    <n v="29.8"/>
    <n v="29.1"/>
    <n v="30"/>
    <n v="31.6"/>
    <n v="30.4"/>
    <n v="28.8"/>
    <n v="29.425000000000001"/>
    <n v="0.28367848851909977"/>
    <n v="28"/>
    <n v="28.8"/>
    <n v="29.25"/>
  </r>
  <r>
    <n v="307"/>
    <x v="5"/>
    <x v="5"/>
    <x v="1"/>
    <x v="1"/>
    <x v="0"/>
    <x v="3"/>
    <x v="1"/>
    <n v="13.51"/>
    <n v="35.1"/>
    <n v="33.4"/>
    <n v="35.1"/>
    <n v="35.299999999999997"/>
    <n v="34.299999999999997"/>
    <n v="34.1"/>
    <n v="34.4"/>
    <n v="33.200000000000003"/>
    <n v="35.5"/>
    <n v="34.700000000000003"/>
    <n v="32.9"/>
    <n v="32.700000000000003"/>
    <n v="34.225000000000001"/>
    <n v="0.28072552107327298"/>
    <n v="32.700000000000003"/>
    <n v="33.35"/>
    <n v="34.35"/>
  </r>
  <r>
    <n v="308"/>
    <x v="2"/>
    <x v="2"/>
    <x v="0"/>
    <x v="2"/>
    <x v="0"/>
    <x v="3"/>
    <x v="1"/>
    <n v="13.525"/>
    <n v="30.2"/>
    <n v="30.3"/>
    <n v="30.7"/>
    <n v="30.1"/>
    <n v="30.8"/>
    <n v="32.200000000000003"/>
    <n v="30.2"/>
    <n v="30.3"/>
    <n v="29.5"/>
    <n v="32.299999999999997"/>
    <n v="31.1"/>
    <n v="30"/>
    <n v="30.641666666666669"/>
    <n v="0.24693832297464191"/>
    <n v="29.5"/>
    <n v="30.175000000000001"/>
    <n v="30.3"/>
  </r>
  <r>
    <n v="403"/>
    <x v="10"/>
    <x v="10"/>
    <x v="0"/>
    <x v="2"/>
    <x v="1"/>
    <x v="2"/>
    <x v="1"/>
    <n v="13.628"/>
    <n v="29.2"/>
    <n v="32.200000000000003"/>
    <n v="30.8"/>
    <n v="31"/>
    <n v="32.299999999999997"/>
    <n v="30.1"/>
    <n v="30.4"/>
    <n v="32.299999999999997"/>
    <n v="30"/>
    <n v="30"/>
    <n v="29.9"/>
    <n v="33.4"/>
    <n v="30.966666666666665"/>
    <n v="0.37159226052329647"/>
    <n v="29.2"/>
    <n v="30"/>
    <n v="30.6"/>
  </r>
  <r>
    <n v="404"/>
    <x v="6"/>
    <x v="6"/>
    <x v="0"/>
    <x v="1"/>
    <x v="0"/>
    <x v="2"/>
    <x v="1"/>
    <n v="13.612"/>
    <n v="30.7"/>
    <n v="32.200000000000003"/>
    <n v="29.2"/>
    <n v="30.6"/>
    <n v="31.1"/>
    <n v="30.5"/>
    <n v="31.6"/>
    <n v="31.6"/>
    <n v="33.299999999999997"/>
    <n v="30.2"/>
    <n v="31.6"/>
    <n v="31.4"/>
    <n v="31.166666666666668"/>
    <n v="0.3018461712712241"/>
    <n v="29.2"/>
    <n v="30.574999999999999"/>
    <n v="31.25"/>
  </r>
  <r>
    <n v="405"/>
    <x v="10"/>
    <x v="10"/>
    <x v="0"/>
    <x v="2"/>
    <x v="1"/>
    <x v="3"/>
    <x v="1"/>
    <n v="13.598000000000001"/>
    <n v="31.3"/>
    <n v="31.5"/>
    <n v="32"/>
    <n v="30.5"/>
    <n v="30.4"/>
    <n v="31.4"/>
    <n v="30.7"/>
    <n v="31.7"/>
    <n v="31"/>
    <n v="30.1"/>
    <n v="31.2"/>
    <n v="32.6"/>
    <n v="31.2"/>
    <n v="0.20633893858349581"/>
    <n v="30.1"/>
    <n v="30.65"/>
    <n v="31.25"/>
  </r>
  <r>
    <n v="406"/>
    <x v="6"/>
    <x v="6"/>
    <x v="0"/>
    <x v="1"/>
    <x v="0"/>
    <x v="3"/>
    <x v="1"/>
    <n v="13.582000000000001"/>
    <n v="28.6"/>
    <n v="28.9"/>
    <n v="29.1"/>
    <n v="30.7"/>
    <n v="29.3"/>
    <n v="29.1"/>
    <n v="28.6"/>
    <n v="30.7"/>
    <n v="31.6"/>
    <n v="29.3"/>
    <n v="30.1"/>
    <n v="31.3"/>
    <n v="29.774999999999999"/>
    <n v="0.30603153927383253"/>
    <n v="28.6"/>
    <n v="29.05"/>
    <n v="29.3"/>
  </r>
  <r>
    <n v="407"/>
    <x v="11"/>
    <x v="11"/>
    <x v="1"/>
    <x v="0"/>
    <x v="0"/>
    <x v="3"/>
    <x v="1"/>
    <n v="13.567"/>
    <n v="32.799999999999997"/>
    <n v="31.7"/>
    <n v="33.299999999999997"/>
    <n v="33.6"/>
    <n v="33.299999999999997"/>
    <n v="31.7"/>
    <n v="33.799999999999997"/>
    <n v="32.6"/>
    <n v="31.9"/>
    <n v="33.4"/>
    <n v="34.9"/>
    <n v="32.299999999999997"/>
    <n v="32.941666666666663"/>
    <n v="0.27783206540223704"/>
    <n v="31.7"/>
    <n v="32.200000000000003"/>
    <n v="33.049999999999997"/>
  </r>
  <r>
    <n v="408"/>
    <x v="3"/>
    <x v="3"/>
    <x v="1"/>
    <x v="1"/>
    <x v="1"/>
    <x v="3"/>
    <x v="1"/>
    <n v="13.551"/>
    <n v="31.8"/>
    <n v="31.6"/>
    <n v="33.6"/>
    <n v="33.700000000000003"/>
    <n v="34.700000000000003"/>
    <n v="33.5"/>
    <n v="34.5"/>
    <n v="33.5"/>
    <n v="33.9"/>
    <n v="33.799999999999997"/>
    <n v="35.200000000000003"/>
    <n v="32.4"/>
    <n v="33.516666666666659"/>
    <n v="0.31786058820716456"/>
    <n v="31.6"/>
    <n v="33.225000000000001"/>
    <n v="33.65"/>
  </r>
  <r>
    <n v="902"/>
    <x v="13"/>
    <x v="13"/>
    <x v="3"/>
    <x v="1"/>
    <x v="0"/>
    <x v="0"/>
    <x v="1"/>
    <n v="13.38"/>
    <n v="34.700000000000003"/>
    <n v="33.4"/>
    <n v="31.9"/>
    <n v="36.9"/>
    <n v="33.6"/>
    <n v="32.700000000000003"/>
    <n v="33"/>
    <n v="33.700000000000003"/>
    <n v="32.799999999999997"/>
    <n v="33.299999999999997"/>
    <n v="33.799999999999997"/>
    <n v="34.200000000000003"/>
    <n v="33.666666666666664"/>
    <n v="0.36188340105562133"/>
    <n v="31.9"/>
    <n v="32.950000000000003"/>
    <n v="33.5"/>
  </r>
  <r>
    <n v="904"/>
    <x v="15"/>
    <x v="15"/>
    <x v="5"/>
    <x v="1"/>
    <x v="0"/>
    <x v="0"/>
    <x v="1"/>
    <n v="13.356999999999999"/>
    <n v="30.9"/>
    <n v="31.1"/>
    <n v="32.799999999999997"/>
    <n v="31.9"/>
    <n v="32.9"/>
    <n v="32.6"/>
    <n v="33.299999999999997"/>
    <n v="34.200000000000003"/>
    <n v="33.1"/>
    <n v="31"/>
    <n v="31.9"/>
    <n v="31.2"/>
    <n v="32.241666666666667"/>
    <n v="0.30808753511450765"/>
    <n v="30.9"/>
    <n v="31.175000000000001"/>
    <n v="32.25"/>
  </r>
  <r>
    <n v="906"/>
    <x v="13"/>
    <x v="13"/>
    <x v="3"/>
    <x v="1"/>
    <x v="0"/>
    <x v="1"/>
    <x v="1"/>
    <n v="13.333"/>
    <n v="30.6"/>
    <n v="32"/>
    <n v="32.9"/>
    <n v="31.3"/>
    <n v="32"/>
    <n v="31.9"/>
    <n v="33.1"/>
    <n v="32.299999999999997"/>
    <n v="32.200000000000003"/>
    <n v="31.9"/>
    <n v="32.700000000000003"/>
    <n v="33.9"/>
    <n v="32.233333333333327"/>
    <n v="0.24720661623656298"/>
    <n v="30.6"/>
    <n v="31.9"/>
    <n v="32.1"/>
  </r>
  <r>
    <n v="908"/>
    <x v="15"/>
    <x v="15"/>
    <x v="5"/>
    <x v="1"/>
    <x v="0"/>
    <x v="1"/>
    <x v="1"/>
    <n v="13.308"/>
    <n v="31.8"/>
    <n v="30.3"/>
    <n v="32.299999999999997"/>
    <n v="33"/>
    <n v="30.7"/>
    <n v="31.6"/>
    <n v="33.299999999999997"/>
    <n v="31"/>
    <n v="32.200000000000003"/>
    <n v="35.299999999999997"/>
    <n v="33"/>
    <n v="34.5"/>
    <n v="32.416666666666664"/>
    <n v="0.43219547578951251"/>
    <n v="30.3"/>
    <n v="31.45"/>
    <n v="32.25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77"/>
    <n v="57.6"/>
    <n v="56.3"/>
    <n v="50.9"/>
    <n v="53.6"/>
    <n v="49.2"/>
    <n v="56.5"/>
    <n v="55.9"/>
    <n v="59.3"/>
    <n v="50.1"/>
    <n v="56.8"/>
    <n v="44.9"/>
    <n v="57.7"/>
    <n v="54.06666666666667"/>
    <n v="1.2568197800782399"/>
    <n v="44.9"/>
    <n v="50.7"/>
    <n v="56.099999999999994"/>
  </r>
  <r>
    <n v="102"/>
    <x v="1"/>
    <x v="1"/>
    <x v="0"/>
    <x v="1"/>
    <x v="1"/>
    <x v="0"/>
    <x v="0"/>
    <n v="13.161"/>
    <n v="57"/>
    <n v="53.8"/>
    <n v="57.8"/>
    <n v="56.2"/>
    <n v="44.7"/>
    <n v="57.7"/>
    <n v="49.6"/>
    <n v="58.2"/>
    <n v="48.1"/>
    <n v="56.1"/>
    <n v="44.7"/>
    <n v="61.1"/>
    <n v="53.750000000000007"/>
    <n v="1.6069687255352529"/>
    <n v="44.7"/>
    <n v="49.225000000000001"/>
    <n v="56.150000000000006"/>
  </r>
  <r>
    <n v="103"/>
    <x v="2"/>
    <x v="2"/>
    <x v="0"/>
    <x v="2"/>
    <x v="0"/>
    <x v="0"/>
    <x v="0"/>
    <n v="13.146000000000001"/>
    <n v="55.7"/>
    <n v="54.6"/>
    <n v="55.8"/>
    <n v="46.5"/>
    <n v="50.2"/>
    <n v="47.1"/>
    <n v="43.7"/>
    <n v="54.3"/>
    <n v="48.2"/>
    <n v="45.8"/>
    <n v="55"/>
    <n v="45.6"/>
    <n v="50.208333333333343"/>
    <n v="1.3225582609228521"/>
    <n v="43.7"/>
    <n v="46.325000000000003"/>
    <n v="49.2"/>
  </r>
  <r>
    <n v="104"/>
    <x v="3"/>
    <x v="3"/>
    <x v="1"/>
    <x v="1"/>
    <x v="1"/>
    <x v="0"/>
    <x v="0"/>
    <n v="13.131"/>
    <n v="56.9"/>
    <n v="55"/>
    <n v="58"/>
    <n v="48.4"/>
    <n v="48"/>
    <n v="55.6"/>
    <n v="53.9"/>
    <n v="50.3"/>
    <n v="53.3"/>
    <n v="46.4"/>
    <n v="55.7"/>
    <n v="43.6"/>
    <n v="52.091666666666676"/>
    <n v="1.3332267949859624"/>
    <n v="43.6"/>
    <n v="48.3"/>
    <n v="53.599999999999994"/>
  </r>
  <r>
    <n v="105"/>
    <x v="4"/>
    <x v="4"/>
    <x v="1"/>
    <x v="2"/>
    <x v="1"/>
    <x v="1"/>
    <x v="0"/>
    <n v="13.115"/>
    <n v="57"/>
    <n v="55.8"/>
    <n v="52.5"/>
    <n v="47.9"/>
    <n v="55.7"/>
    <n v="53.5"/>
    <n v="54.2"/>
    <n v="51.6"/>
    <n v="48.3"/>
    <n v="48.4"/>
    <n v="50.8"/>
    <n v="53.5"/>
    <n v="52.433333333333337"/>
    <n v="0.89411657206676942"/>
    <n v="47.9"/>
    <n v="50.199999999999996"/>
    <n v="53"/>
  </r>
  <r>
    <n v="106"/>
    <x v="5"/>
    <x v="5"/>
    <x v="1"/>
    <x v="1"/>
    <x v="0"/>
    <x v="1"/>
    <x v="0"/>
    <n v="13.099"/>
    <n v="57.4"/>
    <n v="52.4"/>
    <n v="57"/>
    <n v="58.9"/>
    <n v="54.6"/>
    <n v="54.9"/>
    <n v="54.3"/>
    <n v="58.3"/>
    <n v="44.5"/>
    <n v="57.5"/>
    <n v="52.2"/>
    <n v="58.6"/>
    <n v="55.050000000000004"/>
    <n v="1.1695311155770685"/>
    <n v="44.5"/>
    <n v="53.824999999999996"/>
    <n v="55.95"/>
  </r>
  <r>
    <n v="107"/>
    <x v="3"/>
    <x v="3"/>
    <x v="1"/>
    <x v="1"/>
    <x v="1"/>
    <x v="1"/>
    <x v="0"/>
    <n v="13.082000000000001"/>
    <n v="57.1"/>
    <n v="56.3"/>
    <n v="50.8"/>
    <n v="48.4"/>
    <n v="49"/>
    <n v="51.4"/>
    <n v="55.7"/>
    <n v="52.4"/>
    <n v="54.5"/>
    <n v="53.1"/>
    <n v="56.1"/>
    <n v="55.6"/>
    <n v="53.366666666666667"/>
    <n v="0.85690893874024132"/>
    <n v="48.4"/>
    <n v="51.25"/>
    <n v="53.8"/>
  </r>
  <r>
    <n v="108"/>
    <x v="6"/>
    <x v="6"/>
    <x v="0"/>
    <x v="1"/>
    <x v="0"/>
    <x v="1"/>
    <x v="0"/>
    <n v="13.065"/>
    <n v="58"/>
    <n v="55.5"/>
    <n v="57.5"/>
    <n v="57.1"/>
    <n v="55.8"/>
    <n v="57"/>
    <n v="54.6"/>
    <n v="55.3"/>
    <n v="52.2"/>
    <n v="55.4"/>
    <n v="49.1"/>
    <n v="54"/>
    <n v="55.125"/>
    <n v="0.71996685529771243"/>
    <n v="49.1"/>
    <n v="54.45"/>
    <n v="55.45"/>
  </r>
  <r>
    <n v="201"/>
    <x v="4"/>
    <x v="4"/>
    <x v="1"/>
    <x v="2"/>
    <x v="1"/>
    <x v="0"/>
    <x v="0"/>
    <n v="13.201000000000001"/>
    <n v="57.5"/>
    <n v="51.9"/>
    <n v="46.8"/>
    <n v="50.6"/>
    <n v="48.2"/>
    <n v="49.7"/>
    <n v="48.5"/>
    <n v="57"/>
    <n v="45.6"/>
    <n v="52.5"/>
    <n v="47.6"/>
    <n v="48"/>
    <n v="50.324999999999996"/>
    <n v="1.098009562799906"/>
    <n v="45.6"/>
    <n v="47.9"/>
    <n v="49.1"/>
  </r>
  <r>
    <n v="202"/>
    <x v="5"/>
    <x v="5"/>
    <x v="1"/>
    <x v="1"/>
    <x v="0"/>
    <x v="0"/>
    <x v="0"/>
    <n v="13.215"/>
    <n v="58.3"/>
    <n v="53.9"/>
    <n v="54"/>
    <n v="57"/>
    <n v="51.5"/>
    <n v="55.7"/>
    <n v="53.8"/>
    <n v="57.3"/>
    <n v="57.1"/>
    <n v="46.7"/>
    <n v="54.3"/>
    <n v="54.2"/>
    <n v="54.483333333333341"/>
    <n v="0.9036821422056408"/>
    <n v="46.7"/>
    <n v="53.875"/>
    <n v="54.25"/>
  </r>
  <r>
    <n v="203"/>
    <x v="6"/>
    <x v="6"/>
    <x v="0"/>
    <x v="1"/>
    <x v="0"/>
    <x v="0"/>
    <x v="0"/>
    <n v="13.23"/>
    <n v="58"/>
    <n v="57.3"/>
    <n v="54.7"/>
    <n v="59"/>
    <n v="56"/>
    <n v="49.9"/>
    <n v="57.1"/>
    <n v="54.8"/>
    <n v="49.9"/>
    <n v="56.8"/>
    <n v="50.8"/>
    <n v="60.1"/>
    <n v="55.366666666666667"/>
    <n v="1.0042586088928134"/>
    <n v="49.9"/>
    <n v="53.725000000000001"/>
    <n v="56.4"/>
  </r>
  <r>
    <n v="204"/>
    <x v="7"/>
    <x v="7"/>
    <x v="1"/>
    <x v="2"/>
    <x v="0"/>
    <x v="0"/>
    <x v="0"/>
    <n v="13.246"/>
    <n v="57.7"/>
    <n v="42.2"/>
    <n v="47.7"/>
    <n v="44.3"/>
    <n v="51.2"/>
    <n v="39.299999999999997"/>
    <n v="45.8"/>
    <n v="51.5"/>
    <n v="50.9"/>
    <n v="51.3"/>
    <n v="55"/>
    <n v="46"/>
    <n v="48.57500000000001"/>
    <n v="1.5395357919013839"/>
    <n v="39.299999999999997"/>
    <n v="45.424999999999997"/>
    <n v="49.3"/>
  </r>
  <r>
    <n v="205"/>
    <x v="0"/>
    <x v="0"/>
    <x v="0"/>
    <x v="0"/>
    <x v="0"/>
    <x v="1"/>
    <x v="0"/>
    <n v="13.26"/>
    <n v="57.4"/>
    <n v="55.8"/>
    <n v="54"/>
    <n v="58.3"/>
    <n v="50.7"/>
    <n v="57.4"/>
    <n v="51.6"/>
    <n v="57.3"/>
    <n v="55.4"/>
    <n v="58.4"/>
    <n v="56.6"/>
    <n v="57.7"/>
    <n v="55.883333333333333"/>
    <n v="0.73647741981609571"/>
    <n v="50.7"/>
    <n v="55.05"/>
    <n v="56.95"/>
  </r>
  <r>
    <n v="206"/>
    <x v="8"/>
    <x v="8"/>
    <x v="1"/>
    <x v="0"/>
    <x v="1"/>
    <x v="1"/>
    <x v="0"/>
    <n v="13.276"/>
    <n v="56.8"/>
    <n v="57.2"/>
    <n v="56.7"/>
    <n v="53.8"/>
    <n v="55.5"/>
    <n v="53.8"/>
    <n v="55.5"/>
    <n v="54.3"/>
    <n v="53.4"/>
    <n v="51.3"/>
    <n v="55.8"/>
    <n v="55.6"/>
    <n v="54.974999999999994"/>
    <n v="0.49300024586634161"/>
    <n v="51.3"/>
    <n v="53.8"/>
    <n v="55.5"/>
  </r>
  <r>
    <n v="207"/>
    <x v="1"/>
    <x v="1"/>
    <x v="0"/>
    <x v="1"/>
    <x v="1"/>
    <x v="1"/>
    <x v="0"/>
    <n v="13.291"/>
    <n v="58.3"/>
    <n v="50.6"/>
    <n v="51.2"/>
    <n v="54.3"/>
    <n v="47.2"/>
    <n v="57"/>
    <n v="54.7"/>
    <n v="57.1"/>
    <n v="54.8"/>
    <n v="54.4"/>
    <n v="48.1"/>
    <n v="59.4"/>
    <n v="53.925000000000004"/>
    <n v="1.1282276930091377"/>
    <n v="47.2"/>
    <n v="51.050000000000004"/>
    <n v="54.55"/>
  </r>
  <r>
    <n v="208"/>
    <x v="9"/>
    <x v="9"/>
    <x v="0"/>
    <x v="0"/>
    <x v="1"/>
    <x v="1"/>
    <x v="0"/>
    <n v="13.305999999999999"/>
    <n v="56.2"/>
    <n v="56.7"/>
    <n v="56.9"/>
    <n v="57.8"/>
    <n v="54.2"/>
    <n v="54.8"/>
    <n v="54.3"/>
    <n v="57.5"/>
    <n v="55.3"/>
    <n v="56.8"/>
    <n v="47.6"/>
    <n v="57.7"/>
    <n v="55.483333333333341"/>
    <n v="0.8061161407162577"/>
    <n v="47.6"/>
    <n v="54.674999999999997"/>
    <n v="56.45"/>
  </r>
  <r>
    <n v="301"/>
    <x v="3"/>
    <x v="3"/>
    <x v="1"/>
    <x v="1"/>
    <x v="1"/>
    <x v="2"/>
    <x v="0"/>
    <n v="13.432"/>
    <n v="55"/>
    <n v="53.1"/>
    <n v="50.8"/>
    <n v="57.2"/>
    <n v="52.1"/>
    <n v="57.4"/>
    <n v="52.5"/>
    <n v="57.1"/>
    <n v="50.8"/>
    <n v="56"/>
    <n v="48.5"/>
    <n v="58.7"/>
    <n v="54.1"/>
    <n v="0.93654749592380426"/>
    <n v="48.5"/>
    <n v="51.774999999999999"/>
    <n v="54.05"/>
  </r>
  <r>
    <n v="302"/>
    <x v="1"/>
    <x v="1"/>
    <x v="0"/>
    <x v="1"/>
    <x v="1"/>
    <x v="2"/>
    <x v="0"/>
    <n v="13.446"/>
    <n v="57.8"/>
    <n v="48.8"/>
    <n v="51.8"/>
    <n v="59.9"/>
    <n v="48"/>
    <n v="50.9"/>
    <n v="50.3"/>
    <n v="55.9"/>
    <n v="53.4"/>
    <n v="45.3"/>
    <n v="56.4"/>
    <n v="49.1"/>
    <n v="52.29999999999999"/>
    <n v="1.2767738700144311"/>
    <n v="45.3"/>
    <n v="49.024999999999999"/>
    <n v="51.349999999999994"/>
  </r>
  <r>
    <n v="303"/>
    <x v="8"/>
    <x v="8"/>
    <x v="1"/>
    <x v="0"/>
    <x v="1"/>
    <x v="2"/>
    <x v="0"/>
    <n v="13.461"/>
    <n v="53"/>
    <n v="52"/>
    <n v="53.3"/>
    <n v="46.8"/>
    <n v="53.4"/>
    <n v="54"/>
    <n v="56.2"/>
    <n v="55.7"/>
    <n v="55.8"/>
    <n v="55"/>
    <n v="52.9"/>
    <n v="52.8"/>
    <n v="53.408333333333331"/>
    <n v="0.71831645905791219"/>
    <n v="46.8"/>
    <n v="52.875"/>
    <n v="53.349999999999994"/>
  </r>
  <r>
    <n v="304"/>
    <x v="9"/>
    <x v="9"/>
    <x v="0"/>
    <x v="0"/>
    <x v="1"/>
    <x v="2"/>
    <x v="0"/>
    <n v="13.476000000000001"/>
    <n v="57.6"/>
    <n v="59.3"/>
    <n v="50.2"/>
    <n v="57.8"/>
    <n v="47"/>
    <n v="54.5"/>
    <n v="53.6"/>
    <n v="55.9"/>
    <n v="49.2"/>
    <n v="55.1"/>
    <n v="49.3"/>
    <n v="56.2"/>
    <n v="53.808333333333337"/>
    <n v="1.1470950353837277"/>
    <n v="47"/>
    <n v="49.975000000000001"/>
    <n v="54.8"/>
  </r>
  <r>
    <n v="305"/>
    <x v="7"/>
    <x v="7"/>
    <x v="1"/>
    <x v="2"/>
    <x v="0"/>
    <x v="3"/>
    <x v="0"/>
    <n v="13.491"/>
    <n v="57.6"/>
    <n v="52"/>
    <n v="55.5"/>
    <n v="38.4"/>
    <n v="39.799999999999997"/>
    <n v="50.8"/>
    <n v="36.5"/>
    <n v="45"/>
    <n v="39"/>
    <n v="45.3"/>
    <n v="50.4"/>
    <n v="45.8"/>
    <n v="46.341666666666669"/>
    <n v="2.0203306935031953"/>
    <n v="36.5"/>
    <n v="39.599999999999994"/>
    <n v="45.55"/>
  </r>
  <r>
    <n v="306"/>
    <x v="1"/>
    <x v="1"/>
    <x v="0"/>
    <x v="1"/>
    <x v="1"/>
    <x v="3"/>
    <x v="0"/>
    <n v="13.505000000000001"/>
    <n v="58"/>
    <n v="56.4"/>
    <n v="51.9"/>
    <n v="58.1"/>
    <n v="53.3"/>
    <n v="53.7"/>
    <n v="48.4"/>
    <n v="52.7"/>
    <n v="53.6"/>
    <n v="53"/>
    <n v="55"/>
    <n v="51.2"/>
    <n v="53.774999999999999"/>
    <n v="0.80717661692414544"/>
    <n v="48.4"/>
    <n v="52.5"/>
    <n v="53.45"/>
  </r>
  <r>
    <n v="307"/>
    <x v="5"/>
    <x v="5"/>
    <x v="1"/>
    <x v="1"/>
    <x v="0"/>
    <x v="3"/>
    <x v="0"/>
    <n v="13.521000000000001"/>
    <n v="57"/>
    <n v="49.4"/>
    <n v="55.8"/>
    <n v="57.1"/>
    <n v="55"/>
    <n v="53"/>
    <n v="53.2"/>
    <n v="57.5"/>
    <n v="54.5"/>
    <n v="56.3"/>
    <n v="49.3"/>
    <n v="58.2"/>
    <n v="54.691666666666663"/>
    <n v="0.85912731738361237"/>
    <n v="49.3"/>
    <n v="53.150000000000006"/>
    <n v="55.4"/>
  </r>
  <r>
    <n v="308"/>
    <x v="2"/>
    <x v="2"/>
    <x v="0"/>
    <x v="2"/>
    <x v="0"/>
    <x v="3"/>
    <x v="0"/>
    <n v="13.535"/>
    <n v="57.1"/>
    <n v="52.8"/>
    <n v="50.9"/>
    <n v="51.8"/>
    <n v="45.8"/>
    <n v="55.7"/>
    <n v="44.9"/>
    <n v="54"/>
    <n v="40.799999999999997"/>
    <n v="51.7"/>
    <n v="49.7"/>
    <n v="46.8"/>
    <n v="50.166666666666664"/>
    <n v="1.3816071742135534"/>
    <n v="40.799999999999997"/>
    <n v="46.55"/>
    <n v="51.3"/>
  </r>
  <r>
    <n v="403"/>
    <x v="10"/>
    <x v="10"/>
    <x v="0"/>
    <x v="2"/>
    <x v="1"/>
    <x v="2"/>
    <x v="0"/>
    <n v="13.638999999999999"/>
    <n v="56.2"/>
    <n v="48"/>
    <n v="52"/>
    <n v="48.9"/>
    <n v="53.8"/>
    <n v="49.7"/>
    <n v="51.4"/>
    <n v="54.8"/>
    <n v="54"/>
    <n v="47.3"/>
    <n v="46.6"/>
    <n v="44.9"/>
    <n v="50.633333333333326"/>
    <n v="1.0416575757179416"/>
    <n v="44.9"/>
    <n v="47.825000000000003"/>
    <n v="50.55"/>
  </r>
  <r>
    <n v="404"/>
    <x v="6"/>
    <x v="6"/>
    <x v="0"/>
    <x v="1"/>
    <x v="0"/>
    <x v="2"/>
    <x v="0"/>
    <n v="13.624000000000001"/>
    <n v="57.7"/>
    <n v="50.8"/>
    <n v="53.9"/>
    <n v="55"/>
    <n v="52.9"/>
    <n v="52.4"/>
    <n v="51.2"/>
    <n v="55.7"/>
    <n v="52.4"/>
    <n v="57.2"/>
    <n v="53.4"/>
    <n v="55.5"/>
    <n v="54.008333333333326"/>
    <n v="0.64461150307693216"/>
    <n v="50.8"/>
    <n v="52.4"/>
    <n v="53.65"/>
  </r>
  <r>
    <n v="405"/>
    <x v="10"/>
    <x v="10"/>
    <x v="0"/>
    <x v="2"/>
    <x v="1"/>
    <x v="3"/>
    <x v="0"/>
    <n v="13.609"/>
    <n v="57.2"/>
    <n v="41.2"/>
    <n v="51.5"/>
    <n v="49"/>
    <n v="50.3"/>
    <n v="51.7"/>
    <n v="41.6"/>
    <n v="59.1"/>
    <n v="41.8"/>
    <n v="49.4"/>
    <n v="44.7"/>
    <n v="49.7"/>
    <n v="48.933333333333337"/>
    <n v="1.6765012871025708"/>
    <n v="41.2"/>
    <n v="43.975000000000001"/>
    <n v="49.55"/>
  </r>
  <r>
    <n v="406"/>
    <x v="6"/>
    <x v="6"/>
    <x v="0"/>
    <x v="1"/>
    <x v="0"/>
    <x v="3"/>
    <x v="0"/>
    <n v="13.595000000000001"/>
    <n v="58"/>
    <n v="52.7"/>
    <n v="51.5"/>
    <n v="55.1"/>
    <n v="46.5"/>
    <n v="55.9"/>
    <n v="52"/>
    <n v="54.1"/>
    <n v="53.5"/>
    <n v="55"/>
    <n v="50.3"/>
    <n v="51.4"/>
    <n v="52.999999999999993"/>
    <n v="0.8647998542315164"/>
    <n v="46.5"/>
    <n v="51.475000000000001"/>
    <n v="53.1"/>
  </r>
  <r>
    <n v="407"/>
    <x v="11"/>
    <x v="11"/>
    <x v="1"/>
    <x v="0"/>
    <x v="0"/>
    <x v="3"/>
    <x v="0"/>
    <n v="13.579000000000001"/>
    <n v="58.2"/>
    <n v="50.3"/>
    <n v="56.2"/>
    <n v="56.2"/>
    <n v="54.1"/>
    <n v="57.4"/>
    <n v="49.4"/>
    <n v="57.8"/>
    <n v="51.5"/>
    <n v="58.4"/>
    <n v="55.1"/>
    <n v="54.7"/>
    <n v="54.94166666666667"/>
    <n v="0.89124175658842153"/>
    <n v="49.4"/>
    <n v="53.45"/>
    <n v="55.650000000000006"/>
  </r>
  <r>
    <n v="408"/>
    <x v="3"/>
    <x v="3"/>
    <x v="1"/>
    <x v="1"/>
    <x v="1"/>
    <x v="3"/>
    <x v="0"/>
    <n v="13.564"/>
    <n v="57.3"/>
    <n v="52.1"/>
    <n v="57.2"/>
    <n v="59.8"/>
    <n v="51.4"/>
    <n v="55.9"/>
    <n v="53.1"/>
    <n v="58.4"/>
    <n v="45.4"/>
    <n v="57.8"/>
    <n v="52.5"/>
    <n v="55.2"/>
    <n v="54.675000000000004"/>
    <n v="1.153198779154075"/>
    <n v="45.4"/>
    <n v="52.4"/>
    <n v="55.55"/>
  </r>
  <r>
    <n v="901"/>
    <x v="12"/>
    <x v="12"/>
    <x v="2"/>
    <x v="3"/>
    <x v="1"/>
    <x v="0"/>
    <x v="0"/>
    <n v="13.414999999999999"/>
    <n v="33.299999999999997"/>
    <n v="37"/>
    <n v="35.9"/>
    <n v="36.5"/>
    <n v="32.200000000000003"/>
    <n v="35.6"/>
    <n v="32.6"/>
    <n v="34.799999999999997"/>
    <n v="34.5"/>
    <n v="33.9"/>
    <n v="32.4"/>
    <n v="35.200000000000003"/>
    <n v="34.49166666666666"/>
    <n v="0.46959981888733793"/>
    <n v="32.200000000000003"/>
    <n v="33.125"/>
    <n v="34.65"/>
  </r>
  <r>
    <n v="902"/>
    <x v="13"/>
    <x v="13"/>
    <x v="3"/>
    <x v="1"/>
    <x v="0"/>
    <x v="0"/>
    <x v="0"/>
    <n v="13.4"/>
    <n v="58.4"/>
    <n v="44.4"/>
    <n v="52.8"/>
    <n v="53.6"/>
    <n v="47.8"/>
    <n v="49.8"/>
    <n v="56"/>
    <n v="48.5"/>
    <n v="51.7"/>
    <n v="54.4"/>
    <n v="52.1"/>
    <n v="52"/>
    <n v="51.791666666666664"/>
    <n v="1.0940235949295718"/>
    <n v="44.4"/>
    <n v="49.474999999999994"/>
    <n v="52.05"/>
  </r>
  <r>
    <n v="903"/>
    <x v="14"/>
    <x v="14"/>
    <x v="4"/>
    <x v="3"/>
    <x v="1"/>
    <x v="0"/>
    <x v="0"/>
    <n v="13.391"/>
    <n v="58.6"/>
    <n v="61.2"/>
    <n v="60.4"/>
    <n v="61.8"/>
    <n v="57.8"/>
    <n v="59"/>
    <n v="59"/>
    <n v="62.9"/>
    <n v="58.5"/>
    <n v="60.4"/>
    <n v="59.3"/>
    <n v="62.6"/>
    <n v="60.125"/>
    <n v="0.48867864510515663"/>
    <n v="57.8"/>
    <n v="58.9"/>
    <n v="59.85"/>
  </r>
  <r>
    <n v="904"/>
    <x v="15"/>
    <x v="15"/>
    <x v="5"/>
    <x v="1"/>
    <x v="0"/>
    <x v="0"/>
    <x v="0"/>
    <n v="13.377000000000001"/>
    <n v="58"/>
    <n v="52.7"/>
    <n v="49.8"/>
    <n v="54.1"/>
    <n v="46.3"/>
    <n v="48.6"/>
    <n v="54.8"/>
    <n v="59.3"/>
    <n v="52.2"/>
    <n v="53.5"/>
    <n v="54.5"/>
    <n v="46.5"/>
    <n v="52.524999999999999"/>
    <n v="1.1883350333618798"/>
    <n v="46.3"/>
    <n v="49.5"/>
    <n v="53.1"/>
  </r>
  <r>
    <n v="905"/>
    <x v="12"/>
    <x v="12"/>
    <x v="2"/>
    <x v="3"/>
    <x v="1"/>
    <x v="1"/>
    <x v="0"/>
    <n v="13.368"/>
    <n v="33.799999999999997"/>
    <n v="36.200000000000003"/>
    <n v="33.1"/>
    <n v="36.9"/>
    <n v="32.1"/>
    <n v="35.9"/>
    <n v="32.9"/>
    <n v="34.5"/>
    <n v="32.799999999999997"/>
    <n v="33"/>
    <n v="34.799999999999997"/>
    <n v="35.9"/>
    <n v="34.325000000000003"/>
    <n v="0.46222862636394413"/>
    <n v="32.1"/>
    <n v="32.975000000000001"/>
    <n v="34.15"/>
  </r>
  <r>
    <n v="906"/>
    <x v="13"/>
    <x v="13"/>
    <x v="3"/>
    <x v="1"/>
    <x v="0"/>
    <x v="1"/>
    <x v="0"/>
    <n v="13.353"/>
    <n v="57.3"/>
    <n v="57.7"/>
    <n v="49"/>
    <n v="57.2"/>
    <n v="45.2"/>
    <n v="53.7"/>
    <n v="54.2"/>
    <n v="54.6"/>
    <n v="48.6"/>
    <n v="56.4"/>
    <n v="45.2"/>
    <n v="56.9"/>
    <n v="53"/>
    <n v="1.366592754838007"/>
    <n v="45.2"/>
    <n v="48.9"/>
    <n v="54.4"/>
  </r>
  <r>
    <n v="907"/>
    <x v="14"/>
    <x v="14"/>
    <x v="4"/>
    <x v="3"/>
    <x v="1"/>
    <x v="1"/>
    <x v="0"/>
    <n v="13.343999999999999"/>
    <n v="59"/>
    <n v="61.8"/>
    <n v="60"/>
    <n v="60.5"/>
    <n v="59.4"/>
    <n v="61.4"/>
    <n v="60.3"/>
    <n v="62.9"/>
    <n v="59.6"/>
    <n v="61.7"/>
    <n v="60.3"/>
    <n v="62.7"/>
    <n v="60.8"/>
    <n v="0.36988941836468392"/>
    <n v="59"/>
    <n v="59.9"/>
    <n v="60.4"/>
  </r>
  <r>
    <n v="908"/>
    <x v="15"/>
    <x v="15"/>
    <x v="5"/>
    <x v="1"/>
    <x v="0"/>
    <x v="1"/>
    <x v="0"/>
    <n v="13.329000000000001"/>
    <n v="57.6"/>
    <n v="52.9"/>
    <n v="50.3"/>
    <n v="57.4"/>
    <n v="49.8"/>
    <n v="56.1"/>
    <n v="43.2"/>
    <n v="58.9"/>
    <n v="41.2"/>
    <n v="57.9"/>
    <n v="53.6"/>
    <n v="57.1"/>
    <n v="53"/>
    <n v="1.6943310112718806"/>
    <n v="41.2"/>
    <n v="50.174999999999997"/>
    <n v="54.85"/>
  </r>
  <r>
    <n v="101"/>
    <x v="0"/>
    <x v="0"/>
    <x v="0"/>
    <x v="0"/>
    <x v="0"/>
    <x v="0"/>
    <x v="1"/>
    <n v="13.180999999999999"/>
    <n v="30"/>
    <n v="31.3"/>
    <n v="30"/>
    <n v="31.7"/>
    <n v="33.4"/>
    <n v="32.799999999999997"/>
    <n v="33.9"/>
    <n v="31.9"/>
    <n v="35.200000000000003"/>
    <n v="29.3"/>
    <n v="34.4"/>
    <n v="28.7"/>
    <n v="31.883333333333329"/>
    <n v="0.60813093353590608"/>
    <n v="28.7"/>
    <n v="30"/>
    <n v="31.8"/>
  </r>
  <r>
    <n v="102"/>
    <x v="1"/>
    <x v="1"/>
    <x v="0"/>
    <x v="1"/>
    <x v="1"/>
    <x v="0"/>
    <x v="1"/>
    <n v="13.164999999999999"/>
    <n v="30.2"/>
    <n v="29.5"/>
    <n v="28.9"/>
    <n v="31.8"/>
    <n v="33.4"/>
    <n v="29.5"/>
    <n v="33.9"/>
    <n v="31.3"/>
    <n v="29.3"/>
    <n v="31.6"/>
    <n v="29"/>
    <n v="28.4"/>
    <n v="30.566666666666666"/>
    <n v="0.52372982471203966"/>
    <n v="28.4"/>
    <n v="29.225000000000001"/>
    <n v="29.85"/>
  </r>
  <r>
    <n v="103"/>
    <x v="2"/>
    <x v="2"/>
    <x v="0"/>
    <x v="2"/>
    <x v="0"/>
    <x v="0"/>
    <x v="1"/>
    <n v="13.151"/>
    <n v="29.2"/>
    <n v="30.1"/>
    <n v="32.700000000000003"/>
    <n v="30.3"/>
    <n v="31.4"/>
    <n v="33.200000000000003"/>
    <n v="31.1"/>
    <n v="30.4"/>
    <n v="29.3"/>
    <n v="29.4"/>
    <n v="29.1"/>
    <n v="30.7"/>
    <n v="30.574999999999999"/>
    <n v="0.38712714221873784"/>
    <n v="29.1"/>
    <n v="29.375"/>
    <n v="30.35"/>
  </r>
  <r>
    <n v="104"/>
    <x v="3"/>
    <x v="3"/>
    <x v="1"/>
    <x v="1"/>
    <x v="1"/>
    <x v="0"/>
    <x v="1"/>
    <n v="13.135"/>
    <n v="28"/>
    <n v="30.3"/>
    <n v="29.3"/>
    <n v="28.4"/>
    <n v="29.1"/>
    <n v="28.6"/>
    <n v="30.4"/>
    <n v="30.2"/>
    <n v="30.7"/>
    <n v="30.1"/>
    <n v="31.9"/>
    <n v="30.5"/>
    <n v="29.791666666666668"/>
    <n v="0.32507769079174825"/>
    <n v="28"/>
    <n v="28.975000000000001"/>
    <n v="30.15"/>
  </r>
  <r>
    <n v="105"/>
    <x v="4"/>
    <x v="4"/>
    <x v="1"/>
    <x v="2"/>
    <x v="1"/>
    <x v="1"/>
    <x v="1"/>
    <n v="13.12"/>
    <n v="28.1"/>
    <n v="28.7"/>
    <n v="33.799999999999997"/>
    <n v="32.9"/>
    <n v="30.9"/>
    <n v="30.4"/>
    <n v="32.299999999999997"/>
    <n v="27.7"/>
    <n v="30.4"/>
    <n v="27.7"/>
    <n v="28.2"/>
    <n v="28.3"/>
    <n v="29.95"/>
    <n v="0.6231031822720553"/>
    <n v="27.7"/>
    <n v="28.175000000000001"/>
    <n v="29.55"/>
  </r>
  <r>
    <n v="106"/>
    <x v="5"/>
    <x v="5"/>
    <x v="1"/>
    <x v="1"/>
    <x v="0"/>
    <x v="1"/>
    <x v="1"/>
    <n v="13.103999999999999"/>
    <n v="29"/>
    <n v="30.7"/>
    <n v="32.1"/>
    <n v="29.3"/>
    <n v="30.4"/>
    <n v="28"/>
    <n v="30.7"/>
    <n v="28.7"/>
    <n v="33.299999999999997"/>
    <n v="33.9"/>
    <n v="28.9"/>
    <n v="32.200000000000003"/>
    <n v="30.6"/>
    <n v="0.55432186252460858"/>
    <n v="28"/>
    <n v="28.975000000000001"/>
    <n v="30.55"/>
  </r>
  <r>
    <n v="107"/>
    <x v="3"/>
    <x v="3"/>
    <x v="1"/>
    <x v="1"/>
    <x v="1"/>
    <x v="1"/>
    <x v="1"/>
    <n v="13.087"/>
    <n v="32.700000000000003"/>
    <n v="29.8"/>
    <n v="29.3"/>
    <n v="29.3"/>
    <n v="28.2"/>
    <n v="36.700000000000003"/>
    <n v="29.1"/>
    <n v="30.3"/>
    <n v="30"/>
    <n v="28.4"/>
    <n v="30.6"/>
    <n v="28.3"/>
    <n v="30.225000000000001"/>
    <n v="0.68833626824527316"/>
    <n v="28.2"/>
    <n v="28.925000000000001"/>
    <n v="29.55"/>
  </r>
  <r>
    <n v="108"/>
    <x v="6"/>
    <x v="6"/>
    <x v="0"/>
    <x v="1"/>
    <x v="0"/>
    <x v="1"/>
    <x v="1"/>
    <n v="13.07"/>
    <n v="28.3"/>
    <n v="30.6"/>
    <n v="34.799999999999997"/>
    <n v="29.9"/>
    <n v="29.9"/>
    <n v="30.5"/>
    <n v="30"/>
    <n v="29.1"/>
    <n v="34.1"/>
    <n v="29.8"/>
    <n v="30.2"/>
    <n v="30.6"/>
    <n v="30.65"/>
    <n v="0.54737666384422545"/>
    <n v="28.3"/>
    <n v="29.875"/>
    <n v="30.1"/>
  </r>
  <r>
    <n v="201"/>
    <x v="4"/>
    <x v="4"/>
    <x v="1"/>
    <x v="2"/>
    <x v="1"/>
    <x v="0"/>
    <x v="1"/>
    <n v="13.205"/>
    <n v="31.1"/>
    <n v="35.200000000000003"/>
    <n v="32.200000000000003"/>
    <n v="29.5"/>
    <n v="31.7"/>
    <n v="33.1"/>
    <n v="29.4"/>
    <n v="29.4"/>
    <n v="32.799999999999997"/>
    <n v="29.5"/>
    <n v="31.3"/>
    <n v="29.5"/>
    <n v="31.225000000000001"/>
    <n v="0.54064005277695626"/>
    <n v="29.4"/>
    <n v="29.5"/>
    <n v="31.2"/>
  </r>
  <r>
    <n v="202"/>
    <x v="5"/>
    <x v="5"/>
    <x v="1"/>
    <x v="1"/>
    <x v="0"/>
    <x v="0"/>
    <x v="1"/>
    <n v="13.22"/>
    <n v="32.799999999999997"/>
    <n v="30.3"/>
    <n v="31.6"/>
    <n v="30.1"/>
    <n v="32"/>
    <n v="34.6"/>
    <n v="37.700000000000003"/>
    <n v="32.5"/>
    <n v="33"/>
    <n v="31.3"/>
    <n v="33.799999999999997"/>
    <n v="30"/>
    <n v="32.475000000000001"/>
    <n v="0.63259027383091337"/>
    <n v="30"/>
    <n v="31.05"/>
    <n v="32.25"/>
  </r>
  <r>
    <n v="203"/>
    <x v="6"/>
    <x v="6"/>
    <x v="0"/>
    <x v="1"/>
    <x v="0"/>
    <x v="0"/>
    <x v="1"/>
    <n v="13.234999999999999"/>
    <n v="34.6"/>
    <n v="32.5"/>
    <n v="33"/>
    <n v="30.4"/>
    <n v="31.2"/>
    <n v="30.4"/>
    <n v="31.6"/>
    <n v="29.6"/>
    <n v="32.299999999999997"/>
    <n v="31"/>
    <n v="31.1"/>
    <n v="28.5"/>
    <n v="31.35"/>
    <n v="0.46685602218942723"/>
    <n v="28.5"/>
    <n v="30.4"/>
    <n v="31.15"/>
  </r>
  <r>
    <n v="204"/>
    <x v="7"/>
    <x v="7"/>
    <x v="1"/>
    <x v="2"/>
    <x v="0"/>
    <x v="0"/>
    <x v="1"/>
    <n v="13.25"/>
    <n v="30.4"/>
    <n v="32.1"/>
    <n v="33.299999999999997"/>
    <n v="28.3"/>
    <n v="30.7"/>
    <n v="30.6"/>
    <n v="30.6"/>
    <n v="29.5"/>
    <n v="29.3"/>
    <n v="31"/>
    <n v="29.7"/>
    <n v="30.5"/>
    <n v="30.5"/>
    <n v="0.37578201289064433"/>
    <n v="28.3"/>
    <n v="29.65"/>
    <n v="30.55"/>
  </r>
  <r>
    <n v="205"/>
    <x v="0"/>
    <x v="0"/>
    <x v="0"/>
    <x v="0"/>
    <x v="0"/>
    <x v="1"/>
    <x v="1"/>
    <n v="13.265000000000001"/>
    <n v="35.4"/>
    <n v="32.4"/>
    <n v="31.8"/>
    <n v="31.6"/>
    <n v="30.4"/>
    <n v="31.7"/>
    <n v="29.6"/>
    <n v="34.200000000000003"/>
    <n v="31.5"/>
    <n v="32.5"/>
    <n v="32.299999999999997"/>
    <n v="30.7"/>
    <n v="32.008333333333333"/>
    <n v="0.45601341243787619"/>
    <n v="29.6"/>
    <n v="31.3"/>
    <n v="31.75"/>
  </r>
  <r>
    <n v="206"/>
    <x v="8"/>
    <x v="8"/>
    <x v="1"/>
    <x v="0"/>
    <x v="1"/>
    <x v="1"/>
    <x v="1"/>
    <n v="13.28"/>
    <n v="30.7"/>
    <n v="35"/>
    <n v="31"/>
    <n v="29"/>
    <n v="30.7"/>
    <n v="32.1"/>
    <n v="32.799999999999997"/>
    <n v="29.9"/>
    <n v="33.299999999999997"/>
    <n v="35.6"/>
    <n v="31.9"/>
    <n v="29.6"/>
    <n v="31.8"/>
    <n v="0.59911550968020699"/>
    <n v="29"/>
    <n v="30.5"/>
    <n v="31.45"/>
  </r>
  <r>
    <n v="207"/>
    <x v="1"/>
    <x v="1"/>
    <x v="0"/>
    <x v="1"/>
    <x v="1"/>
    <x v="1"/>
    <x v="1"/>
    <n v="13.295"/>
    <n v="31.1"/>
    <n v="30.4"/>
    <n v="29.9"/>
    <n v="29.5"/>
    <n v="30.2"/>
    <n v="29.7"/>
    <n v="32.1"/>
    <n v="30.6"/>
    <n v="30.6"/>
    <n v="28.6"/>
    <n v="30.4"/>
    <n v="32.4"/>
    <n v="30.458333333333329"/>
    <n v="0.30462553598107506"/>
    <n v="28.6"/>
    <n v="29.85"/>
    <n v="30.4"/>
  </r>
  <r>
    <n v="208"/>
    <x v="9"/>
    <x v="9"/>
    <x v="0"/>
    <x v="0"/>
    <x v="1"/>
    <x v="1"/>
    <x v="1"/>
    <n v="13.311"/>
    <n v="30.1"/>
    <n v="29.1"/>
    <n v="30.1"/>
    <n v="30.5"/>
    <n v="29.1"/>
    <n v="31.4"/>
    <n v="34"/>
    <n v="41"/>
    <n v="34.6"/>
    <n v="30.1"/>
    <n v="31.4"/>
    <n v="30.2"/>
    <n v="31.8"/>
    <n v="0.97366847696240266"/>
    <n v="29.1"/>
    <n v="30.1"/>
    <n v="30.35"/>
  </r>
  <r>
    <n v="301"/>
    <x v="3"/>
    <x v="3"/>
    <x v="1"/>
    <x v="1"/>
    <x v="1"/>
    <x v="2"/>
    <x v="1"/>
    <n v="13.436999999999999"/>
    <n v="29.7"/>
    <n v="29.7"/>
    <n v="33.6"/>
    <n v="28"/>
    <n v="29.1"/>
    <n v="29.9"/>
    <n v="29.3"/>
    <n v="28.6"/>
    <n v="30.1"/>
    <n v="29.9"/>
    <n v="29.2"/>
    <n v="29.9"/>
    <n v="29.75"/>
    <n v="0.39244764175005381"/>
    <n v="28"/>
    <n v="29.175000000000001"/>
    <n v="29.7"/>
  </r>
  <r>
    <n v="302"/>
    <x v="1"/>
    <x v="1"/>
    <x v="0"/>
    <x v="1"/>
    <x v="1"/>
    <x v="2"/>
    <x v="1"/>
    <n v="13.451000000000001"/>
    <n v="30.1"/>
    <n v="30.1"/>
    <n v="31.2"/>
    <n v="31.9"/>
    <n v="31.7"/>
    <n v="29.7"/>
    <n v="29.4"/>
    <n v="32.6"/>
    <n v="32.5"/>
    <n v="29.9"/>
    <n v="28.8"/>
    <n v="30.7"/>
    <n v="30.716666666666665"/>
    <n v="0.36094013046183399"/>
    <n v="28.8"/>
    <n v="29.85"/>
    <n v="30.4"/>
  </r>
  <r>
    <n v="303"/>
    <x v="8"/>
    <x v="8"/>
    <x v="1"/>
    <x v="0"/>
    <x v="1"/>
    <x v="2"/>
    <x v="1"/>
    <n v="13.465"/>
    <n v="30.3"/>
    <n v="33.200000000000003"/>
    <n v="31.3"/>
    <n v="29.9"/>
    <n v="33.5"/>
    <n v="33.799999999999997"/>
    <n v="36.299999999999997"/>
    <n v="33.1"/>
    <n v="30.7"/>
    <n v="28.7"/>
    <n v="30.5"/>
    <n v="31.3"/>
    <n v="31.883333333333336"/>
    <n v="0.61284648002645503"/>
    <n v="28.7"/>
    <n v="30.45"/>
    <n v="31.3"/>
  </r>
  <r>
    <n v="304"/>
    <x v="9"/>
    <x v="9"/>
    <x v="0"/>
    <x v="0"/>
    <x v="1"/>
    <x v="2"/>
    <x v="1"/>
    <n v="13.48"/>
    <n v="29"/>
    <n v="31.9"/>
    <n v="30.4"/>
    <n v="28.6"/>
    <n v="32.700000000000003"/>
    <n v="30.7"/>
    <n v="36.200000000000003"/>
    <n v="32.200000000000003"/>
    <n v="37.299999999999997"/>
    <n v="30.7"/>
    <n v="32.299999999999997"/>
    <n v="32.299999999999997"/>
    <n v="32.024999999999999"/>
    <n v="0.74336713471182159"/>
    <n v="28.6"/>
    <n v="30.625"/>
    <n v="32.049999999999997"/>
  </r>
  <r>
    <n v="305"/>
    <x v="7"/>
    <x v="7"/>
    <x v="1"/>
    <x v="2"/>
    <x v="0"/>
    <x v="3"/>
    <x v="1"/>
    <n v="13.496"/>
    <n v="32.1"/>
    <n v="30.1"/>
    <n v="31.9"/>
    <n v="30.9"/>
    <n v="34.1"/>
    <n v="33.200000000000003"/>
    <n v="32.700000000000003"/>
    <n v="30.1"/>
    <n v="29.8"/>
    <n v="28.8"/>
    <n v="30.6"/>
    <n v="30.4"/>
    <n v="31.225000000000001"/>
    <n v="0.45379293769629825"/>
    <n v="28.8"/>
    <n v="30.1"/>
    <n v="30.75"/>
  </r>
  <r>
    <n v="306"/>
    <x v="1"/>
    <x v="1"/>
    <x v="0"/>
    <x v="1"/>
    <x v="1"/>
    <x v="3"/>
    <x v="1"/>
    <n v="13.51"/>
    <n v="30.1"/>
    <n v="30.7"/>
    <n v="29.8"/>
    <n v="28.3"/>
    <n v="29.7"/>
    <n v="29"/>
    <n v="29.8"/>
    <n v="28.6"/>
    <n v="28.8"/>
    <n v="28.4"/>
    <n v="29.7"/>
    <n v="29.5"/>
    <n v="29.366666666666664"/>
    <n v="0.21402822432586768"/>
    <n v="28.3"/>
    <n v="28.75"/>
    <n v="29.6"/>
  </r>
  <r>
    <n v="307"/>
    <x v="5"/>
    <x v="5"/>
    <x v="1"/>
    <x v="1"/>
    <x v="0"/>
    <x v="3"/>
    <x v="1"/>
    <n v="13.525"/>
    <n v="28.2"/>
    <n v="29"/>
    <n v="29.8"/>
    <n v="28.9"/>
    <n v="29"/>
    <n v="30.3"/>
    <n v="32.4"/>
    <n v="30.2"/>
    <n v="34.200000000000003"/>
    <n v="29.2"/>
    <n v="28.6"/>
    <n v="31.2"/>
    <n v="30.083333333333332"/>
    <n v="0.50734504028223382"/>
    <n v="28.2"/>
    <n v="28.975000000000001"/>
    <n v="29.5"/>
  </r>
  <r>
    <n v="308"/>
    <x v="2"/>
    <x v="2"/>
    <x v="0"/>
    <x v="2"/>
    <x v="0"/>
    <x v="3"/>
    <x v="1"/>
    <n v="13.54"/>
    <n v="28.4"/>
    <n v="28.8"/>
    <n v="29.2"/>
    <n v="32.9"/>
    <n v="28.3"/>
    <n v="30.3"/>
    <n v="29.9"/>
    <n v="32.700000000000003"/>
    <n v="30.5"/>
    <n v="28.6"/>
    <n v="30.3"/>
    <n v="31.7"/>
    <n v="30.13333333333334"/>
    <n v="0.46308146631495406"/>
    <n v="28.3"/>
    <n v="28.75"/>
    <n v="30.1"/>
  </r>
  <r>
    <n v="403"/>
    <x v="10"/>
    <x v="10"/>
    <x v="0"/>
    <x v="2"/>
    <x v="1"/>
    <x v="2"/>
    <x v="1"/>
    <n v="13.643000000000001"/>
    <n v="29.3"/>
    <n v="30.3"/>
    <n v="31.6"/>
    <n v="30.7"/>
    <n v="31.7"/>
    <n v="35.299999999999997"/>
    <n v="31.8"/>
    <n v="28"/>
    <n v="30.5"/>
    <n v="36"/>
    <n v="30.8"/>
    <n v="29.5"/>
    <n v="31.291666666666668"/>
    <n v="0.66838320678418073"/>
    <n v="28"/>
    <n v="30.1"/>
    <n v="30.75"/>
  </r>
  <r>
    <n v="404"/>
    <x v="6"/>
    <x v="6"/>
    <x v="0"/>
    <x v="1"/>
    <x v="0"/>
    <x v="2"/>
    <x v="1"/>
    <n v="13.628"/>
    <n v="29.8"/>
    <n v="29.2"/>
    <n v="34.1"/>
    <n v="28.5"/>
    <n v="30.6"/>
    <n v="29"/>
    <n v="31.8"/>
    <n v="28.1"/>
    <n v="30.8"/>
    <n v="28.9"/>
    <n v="30.6"/>
    <n v="28"/>
    <n v="29.95"/>
    <n v="0.50848855056983711"/>
    <n v="28"/>
    <n v="28.8"/>
    <n v="29.5"/>
  </r>
  <r>
    <n v="405"/>
    <x v="10"/>
    <x v="10"/>
    <x v="0"/>
    <x v="2"/>
    <x v="1"/>
    <x v="3"/>
    <x v="1"/>
    <n v="13.614000000000001"/>
    <n v="28.3"/>
    <n v="29.3"/>
    <n v="31"/>
    <n v="29.1"/>
    <n v="29.1"/>
    <n v="34.700000000000003"/>
    <n v="30.6"/>
    <n v="31.9"/>
    <n v="29.3"/>
    <n v="29.1"/>
    <n v="27.5"/>
    <n v="30"/>
    <n v="29.991666666666671"/>
    <n v="0.54778594765148347"/>
    <n v="27.5"/>
    <n v="29.1"/>
    <n v="29.3"/>
  </r>
  <r>
    <n v="406"/>
    <x v="6"/>
    <x v="6"/>
    <x v="0"/>
    <x v="1"/>
    <x v="0"/>
    <x v="3"/>
    <x v="1"/>
    <n v="13.599"/>
    <n v="29"/>
    <n v="29.8"/>
    <n v="28.4"/>
    <n v="27.7"/>
    <n v="29.6"/>
    <n v="31.4"/>
    <n v="32.5"/>
    <n v="31.8"/>
    <n v="30.1"/>
    <n v="28.5"/>
    <n v="29.9"/>
    <n v="32.5"/>
    <n v="30.1"/>
    <n v="0.46790960017871508"/>
    <n v="27.7"/>
    <n v="28.875"/>
    <n v="29.85"/>
  </r>
  <r>
    <n v="407"/>
    <x v="11"/>
    <x v="11"/>
    <x v="1"/>
    <x v="0"/>
    <x v="0"/>
    <x v="3"/>
    <x v="1"/>
    <n v="13.584"/>
    <n v="29.5"/>
    <n v="29.5"/>
    <n v="30.9"/>
    <n v="28.7"/>
    <n v="29.8"/>
    <n v="31.9"/>
    <n v="33.6"/>
    <n v="29.7"/>
    <n v="34.1"/>
    <n v="29.9"/>
    <n v="31.6"/>
    <n v="29.7"/>
    <n v="30.741666666666664"/>
    <n v="0.49672538802755134"/>
    <n v="28.7"/>
    <n v="29.65"/>
    <n v="29.85"/>
  </r>
  <r>
    <n v="408"/>
    <x v="3"/>
    <x v="3"/>
    <x v="1"/>
    <x v="1"/>
    <x v="1"/>
    <x v="3"/>
    <x v="1"/>
    <n v="13.569000000000001"/>
    <n v="29.6"/>
    <n v="30.7"/>
    <n v="28.2"/>
    <n v="28.6"/>
    <n v="28.1"/>
    <n v="29.1"/>
    <n v="32.5"/>
    <n v="29.8"/>
    <n v="29.6"/>
    <n v="30.8"/>
    <n v="33"/>
    <n v="30.3"/>
    <n v="30.024999999999999"/>
    <n v="0.44757342380548432"/>
    <n v="28.1"/>
    <n v="28.975000000000001"/>
    <n v="29.7"/>
  </r>
  <r>
    <n v="902"/>
    <x v="13"/>
    <x v="13"/>
    <x v="3"/>
    <x v="1"/>
    <x v="0"/>
    <x v="0"/>
    <x v="1"/>
    <n v="13.404"/>
    <n v="31.8"/>
    <n v="31.8"/>
    <n v="30.7"/>
    <n v="30.8"/>
    <n v="30.1"/>
    <n v="29.5"/>
    <n v="32.9"/>
    <n v="30.7"/>
    <n v="29.9"/>
    <n v="29.8"/>
    <n v="30.7"/>
    <n v="29.2"/>
    <n v="30.658333333333331"/>
    <n v="0.3107806235266643"/>
    <n v="29.2"/>
    <n v="29.875"/>
    <n v="30.7"/>
  </r>
  <r>
    <n v="904"/>
    <x v="15"/>
    <x v="15"/>
    <x v="5"/>
    <x v="1"/>
    <x v="0"/>
    <x v="0"/>
    <x v="1"/>
    <n v="13.381"/>
    <n v="29.4"/>
    <n v="29.4"/>
    <n v="28"/>
    <n v="30"/>
    <n v="31.6"/>
    <n v="29.3"/>
    <n v="32.200000000000003"/>
    <n v="31.1"/>
    <n v="30.9"/>
    <n v="28.6"/>
    <n v="32.799999999999997"/>
    <n v="33.9"/>
    <n v="30.6"/>
    <n v="0.51727725406762437"/>
    <n v="28"/>
    <n v="29.375"/>
    <n v="30.45"/>
  </r>
  <r>
    <n v="906"/>
    <x v="13"/>
    <x v="13"/>
    <x v="3"/>
    <x v="1"/>
    <x v="0"/>
    <x v="1"/>
    <x v="1"/>
    <n v="13.356999999999999"/>
    <n v="28.9"/>
    <n v="33.4"/>
    <n v="34.700000000000003"/>
    <n v="30.3"/>
    <n v="33.4"/>
    <n v="30.4"/>
    <n v="31.5"/>
    <n v="31.1"/>
    <n v="29.9"/>
    <n v="29"/>
    <n v="29.6"/>
    <n v="29.7"/>
    <n v="30.991666666666664"/>
    <n v="0.54764763241789804"/>
    <n v="28.9"/>
    <n v="29.675000000000001"/>
    <n v="30.35"/>
  </r>
  <r>
    <n v="908"/>
    <x v="15"/>
    <x v="15"/>
    <x v="5"/>
    <x v="1"/>
    <x v="0"/>
    <x v="1"/>
    <x v="1"/>
    <n v="13.334"/>
    <n v="28.6"/>
    <n v="30.3"/>
    <n v="30.2"/>
    <n v="30.8"/>
    <n v="30.4"/>
    <n v="30.4"/>
    <n v="30.8"/>
    <n v="34.4"/>
    <n v="30.8"/>
    <n v="31.7"/>
    <n v="32.4"/>
    <n v="29.4"/>
    <n v="30.85"/>
    <n v="0.42666785037716781"/>
    <n v="28.6"/>
    <n v="30.274999999999999"/>
    <n v="30.6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095000000000001"/>
    <n v="61.5"/>
    <n v="46.7"/>
    <n v="61.8"/>
    <n v="48.9"/>
    <n v="60.6"/>
    <n v="42.6"/>
    <n v="61.7"/>
    <n v="52.1"/>
    <n v="59"/>
    <n v="43.3"/>
    <n v="63.1"/>
    <n v="56.8"/>
    <n v="54.841666666666669"/>
    <n v="2.2266450620436049"/>
    <n v="42.6"/>
    <n v="48.35"/>
    <n v="57.9"/>
  </r>
  <r>
    <n v="102"/>
    <x v="1"/>
    <x v="1"/>
    <x v="0"/>
    <x v="1"/>
    <x v="1"/>
    <x v="0"/>
    <x v="0"/>
    <n v="13.077"/>
    <n v="62.4"/>
    <n v="53.6"/>
    <n v="61.9"/>
    <n v="49.7"/>
    <n v="60.8"/>
    <n v="51"/>
    <n v="62.2"/>
    <n v="48.7"/>
    <n v="60"/>
    <n v="50.6"/>
    <n v="64.099999999999994"/>
    <n v="46.9"/>
    <n v="55.991666666666667"/>
    <n v="1.8557224490965138"/>
    <n v="46.9"/>
    <n v="50.375"/>
    <n v="56.8"/>
  </r>
  <r>
    <n v="103"/>
    <x v="2"/>
    <x v="2"/>
    <x v="0"/>
    <x v="2"/>
    <x v="0"/>
    <x v="0"/>
    <x v="0"/>
    <n v="13.058"/>
    <n v="61.6"/>
    <n v="46.6"/>
    <n v="61"/>
    <n v="39.700000000000003"/>
    <n v="58.4"/>
    <n v="49.1"/>
    <n v="55.9"/>
    <n v="45.9"/>
    <n v="52"/>
    <n v="47.8"/>
    <n v="43.1"/>
    <n v="42.2"/>
    <n v="50.274999999999999"/>
    <n v="2.1542461593679527"/>
    <n v="39.700000000000003"/>
    <n v="45.2"/>
    <n v="48.45"/>
  </r>
  <r>
    <n v="104"/>
    <x v="3"/>
    <x v="3"/>
    <x v="1"/>
    <x v="1"/>
    <x v="1"/>
    <x v="0"/>
    <x v="0"/>
    <n v="13.038"/>
    <n v="61.9"/>
    <n v="54.8"/>
    <n v="59.5"/>
    <n v="58.3"/>
    <n v="57"/>
    <n v="50"/>
    <n v="57.1"/>
    <n v="57.2"/>
    <n v="50.2"/>
    <n v="58.3"/>
    <n v="61.8"/>
    <n v="44.9"/>
    <n v="55.916666666666657"/>
    <n v="1.4800098962268442"/>
    <n v="44.9"/>
    <n v="53.65"/>
    <n v="57.150000000000006"/>
  </r>
  <r>
    <n v="105"/>
    <x v="4"/>
    <x v="4"/>
    <x v="1"/>
    <x v="2"/>
    <x v="1"/>
    <x v="1"/>
    <x v="0"/>
    <n v="13.016"/>
    <n v="62"/>
    <n v="55.8"/>
    <n v="58.1"/>
    <n v="42.2"/>
    <n v="57.2"/>
    <n v="41.1"/>
    <n v="59.9"/>
    <n v="44.2"/>
    <n v="50.2"/>
    <n v="60"/>
    <n v="46.1"/>
    <n v="47.4"/>
    <n v="52.016666666666673"/>
    <n v="2.2019217960589583"/>
    <n v="41.1"/>
    <n v="45.625"/>
    <n v="53"/>
  </r>
  <r>
    <n v="106"/>
    <x v="5"/>
    <x v="5"/>
    <x v="1"/>
    <x v="1"/>
    <x v="0"/>
    <x v="1"/>
    <x v="0"/>
    <n v="12.997"/>
    <n v="62.3"/>
    <n v="50.2"/>
    <n v="64"/>
    <n v="49.7"/>
    <n v="61.8"/>
    <n v="43.9"/>
    <n v="61.5"/>
    <n v="46.9"/>
    <n v="60.5"/>
    <n v="56"/>
    <n v="61.8"/>
    <n v="51.5"/>
    <n v="55.841666666666661"/>
    <n v="2.0300193435909946"/>
    <n v="43.9"/>
    <n v="50.075000000000003"/>
    <n v="58.25"/>
  </r>
  <r>
    <n v="107"/>
    <x v="3"/>
    <x v="3"/>
    <x v="1"/>
    <x v="1"/>
    <x v="1"/>
    <x v="1"/>
    <x v="0"/>
    <n v="12.978999999999999"/>
    <n v="62"/>
    <n v="48.2"/>
    <n v="61.1"/>
    <n v="56.9"/>
    <n v="55.6"/>
    <n v="61.2"/>
    <n v="45.8"/>
    <n v="60"/>
    <n v="41.6"/>
    <n v="62"/>
    <n v="55.8"/>
    <n v="40.700000000000003"/>
    <n v="54.241666666666674"/>
    <n v="2.3213259773089296"/>
    <n v="40.700000000000003"/>
    <n v="47.6"/>
    <n v="56.349999999999994"/>
  </r>
  <r>
    <n v="108"/>
    <x v="6"/>
    <x v="6"/>
    <x v="0"/>
    <x v="1"/>
    <x v="0"/>
    <x v="1"/>
    <x v="0"/>
    <n v="12.958"/>
    <n v="63.6"/>
    <n v="53.5"/>
    <n v="62.3"/>
    <n v="52.5"/>
    <n v="61.6"/>
    <n v="48.3"/>
    <n v="61.4"/>
    <n v="59.4"/>
    <n v="55.9"/>
    <n v="61.8"/>
    <n v="61.3"/>
    <n v="48"/>
    <n v="57.466666666666661"/>
    <n v="1.6219298892543632"/>
    <n v="48"/>
    <n v="53.25"/>
    <n v="60.349999999999994"/>
  </r>
  <r>
    <n v="201"/>
    <x v="4"/>
    <x v="4"/>
    <x v="1"/>
    <x v="2"/>
    <x v="1"/>
    <x v="0"/>
    <x v="0"/>
    <n v="13.124000000000001"/>
    <n v="61"/>
    <n v="45.6"/>
    <n v="60.2"/>
    <n v="43.9"/>
    <n v="58.4"/>
    <n v="41"/>
    <n v="60.5"/>
    <n v="42.1"/>
    <n v="54.6"/>
    <n v="47.6"/>
    <n v="55.4"/>
    <n v="40.700000000000003"/>
    <n v="50.916666666666679"/>
    <n v="2.365017564587633"/>
    <n v="40.700000000000003"/>
    <n v="43.45"/>
    <n v="51.1"/>
  </r>
  <r>
    <n v="202"/>
    <x v="5"/>
    <x v="5"/>
    <x v="1"/>
    <x v="1"/>
    <x v="0"/>
    <x v="0"/>
    <x v="0"/>
    <n v="13.141999999999999"/>
    <n v="62.1"/>
    <n v="44"/>
    <n v="62.7"/>
    <n v="51"/>
    <n v="62.1"/>
    <n v="52.1"/>
    <n v="61.6"/>
    <n v="58.5"/>
    <n v="58.1"/>
    <n v="57.4"/>
    <n v="61.9"/>
    <n v="41.9"/>
    <n v="56.116666666666667"/>
    <n v="2.0979005859875515"/>
    <n v="41.9"/>
    <n v="51.825000000000003"/>
    <n v="58.3"/>
  </r>
  <r>
    <n v="203"/>
    <x v="6"/>
    <x v="6"/>
    <x v="0"/>
    <x v="1"/>
    <x v="0"/>
    <x v="0"/>
    <x v="0"/>
    <n v="13.16"/>
    <n v="62"/>
    <n v="41.2"/>
    <n v="66.599999999999994"/>
    <n v="58.8"/>
    <n v="44"/>
    <n v="61.8"/>
    <n v="54.9"/>
    <n v="60.6"/>
    <n v="41.9"/>
    <n v="62.2"/>
    <n v="54.7"/>
    <n v="50.4"/>
    <n v="54.925000000000004"/>
    <n v="2.5101045794946404"/>
    <n v="41.2"/>
    <n v="48.8"/>
    <n v="56.849999999999994"/>
  </r>
  <r>
    <n v="204"/>
    <x v="7"/>
    <x v="7"/>
    <x v="1"/>
    <x v="2"/>
    <x v="0"/>
    <x v="0"/>
    <x v="0"/>
    <n v="13.178000000000001"/>
    <n v="59.6"/>
    <n v="54.6"/>
    <n v="57.2"/>
    <n v="48.5"/>
    <n v="58.9"/>
    <n v="37.5"/>
    <n v="58.9"/>
    <n v="50.2"/>
    <n v="48.7"/>
    <n v="59.5"/>
    <n v="49.9"/>
    <n v="52.6"/>
    <n v="53.008333333333326"/>
    <n v="1.8914263630574477"/>
    <n v="37.5"/>
    <n v="49.6"/>
    <n v="53.6"/>
  </r>
  <r>
    <n v="205"/>
    <x v="0"/>
    <x v="0"/>
    <x v="0"/>
    <x v="0"/>
    <x v="0"/>
    <x v="1"/>
    <x v="0"/>
    <n v="13.195"/>
    <n v="62.4"/>
    <n v="50.6"/>
    <n v="62.8"/>
    <n v="57.5"/>
    <n v="61"/>
    <n v="53.3"/>
    <n v="62.5"/>
    <n v="60.3"/>
    <n v="58.7"/>
    <n v="62.2"/>
    <n v="62.8"/>
    <n v="50.7"/>
    <n v="58.733333333333341"/>
    <n v="1.3541369460607653"/>
    <n v="50.6"/>
    <n v="56.45"/>
    <n v="60.65"/>
  </r>
  <r>
    <n v="206"/>
    <x v="8"/>
    <x v="8"/>
    <x v="1"/>
    <x v="0"/>
    <x v="1"/>
    <x v="1"/>
    <x v="0"/>
    <n v="13.215999999999999"/>
    <n v="61.9"/>
    <n v="61.9"/>
    <n v="62.1"/>
    <n v="61.6"/>
    <n v="60.7"/>
    <n v="53.8"/>
    <n v="62.2"/>
    <n v="49.6"/>
    <n v="55.4"/>
    <n v="59.5"/>
    <n v="63.2"/>
    <n v="54.5"/>
    <n v="58.866666666666674"/>
    <n v="1.2691164507863157"/>
    <n v="49.6"/>
    <n v="55.174999999999997"/>
    <n v="61.150000000000006"/>
  </r>
  <r>
    <n v="207"/>
    <x v="1"/>
    <x v="1"/>
    <x v="0"/>
    <x v="1"/>
    <x v="1"/>
    <x v="1"/>
    <x v="0"/>
    <n v="13.234"/>
    <n v="62.4"/>
    <n v="50.1"/>
    <n v="58.6"/>
    <n v="56.8"/>
    <n v="46.5"/>
    <n v="61.3"/>
    <n v="50.2"/>
    <n v="62"/>
    <n v="53.9"/>
    <n v="60.9"/>
    <n v="48.3"/>
    <n v="49.5"/>
    <n v="55.041666666666657"/>
    <n v="1.7190756119484845"/>
    <n v="46.5"/>
    <n v="49.95"/>
    <n v="55.349999999999994"/>
  </r>
  <r>
    <n v="208"/>
    <x v="9"/>
    <x v="9"/>
    <x v="0"/>
    <x v="0"/>
    <x v="1"/>
    <x v="1"/>
    <x v="0"/>
    <n v="13.250999999999999"/>
    <n v="61.6"/>
    <n v="61.5"/>
    <n v="56.3"/>
    <n v="63.7"/>
    <n v="59"/>
    <n v="51.5"/>
    <n v="61"/>
    <n v="50.1"/>
    <n v="61"/>
    <n v="53.4"/>
    <n v="61.4"/>
    <n v="50.4"/>
    <n v="57.574999999999996"/>
    <n v="1.4369646565738767"/>
    <n v="50.1"/>
    <n v="52.924999999999997"/>
    <n v="60"/>
  </r>
  <r>
    <n v="301"/>
    <x v="3"/>
    <x v="3"/>
    <x v="1"/>
    <x v="1"/>
    <x v="1"/>
    <x v="2"/>
    <x v="0"/>
    <n v="13.393000000000001"/>
    <n v="61.2"/>
    <n v="53.1"/>
    <n v="61.2"/>
    <n v="46.6"/>
    <n v="59.8"/>
    <n v="49"/>
    <n v="61.4"/>
    <n v="48.9"/>
    <n v="50.9"/>
    <n v="50"/>
    <n v="62"/>
    <n v="49.5"/>
    <n v="54.466666666666661"/>
    <n v="1.7535821922711756"/>
    <n v="46.6"/>
    <n v="49.375"/>
    <n v="52"/>
  </r>
  <r>
    <n v="302"/>
    <x v="1"/>
    <x v="1"/>
    <x v="0"/>
    <x v="1"/>
    <x v="1"/>
    <x v="2"/>
    <x v="0"/>
    <n v="13.412000000000001"/>
    <n v="61.2"/>
    <n v="45.3"/>
    <n v="62"/>
    <n v="47.2"/>
    <n v="59.9"/>
    <n v="47.7"/>
    <n v="57.7"/>
    <n v="56.7"/>
    <n v="43.5"/>
    <n v="60.3"/>
    <n v="52.6"/>
    <n v="43.7"/>
    <n v="53.15"/>
    <n v="2.1008115315061331"/>
    <n v="43.5"/>
    <n v="46.725000000000001"/>
    <n v="54.650000000000006"/>
  </r>
  <r>
    <n v="303"/>
    <x v="8"/>
    <x v="8"/>
    <x v="1"/>
    <x v="0"/>
    <x v="1"/>
    <x v="2"/>
    <x v="0"/>
    <n v="13.429"/>
    <n v="60.8"/>
    <n v="44.9"/>
    <n v="60.9"/>
    <n v="45.3"/>
    <n v="60"/>
    <n v="50.7"/>
    <n v="61.6"/>
    <n v="61.1"/>
    <n v="60.5"/>
    <n v="56"/>
    <n v="59"/>
    <n v="50.8"/>
    <n v="55.966666666666661"/>
    <n v="1.8308936935747393"/>
    <n v="44.9"/>
    <n v="50.774999999999999"/>
    <n v="59.5"/>
  </r>
  <r>
    <n v="304"/>
    <x v="9"/>
    <x v="9"/>
    <x v="0"/>
    <x v="0"/>
    <x v="1"/>
    <x v="2"/>
    <x v="0"/>
    <n v="13.446"/>
    <n v="61.7"/>
    <n v="54.4"/>
    <n v="61.2"/>
    <n v="45.9"/>
    <n v="60.2"/>
    <n v="42.4"/>
    <n v="61"/>
    <n v="50.6"/>
    <n v="54.1"/>
    <n v="57.7"/>
    <n v="59.5"/>
    <n v="55.1"/>
    <n v="55.31666666666667"/>
    <n v="1.8149561032062442"/>
    <n v="42.4"/>
    <n v="53.225000000000001"/>
    <n v="56.400000000000006"/>
  </r>
  <r>
    <n v="305"/>
    <x v="7"/>
    <x v="7"/>
    <x v="1"/>
    <x v="2"/>
    <x v="0"/>
    <x v="3"/>
    <x v="0"/>
    <n v="13.465999999999999"/>
    <n v="53.5"/>
    <n v="55.2"/>
    <n v="56.2"/>
    <n v="40.9"/>
    <n v="58.6"/>
    <n v="41.5"/>
    <n v="59.1"/>
    <n v="41.9"/>
    <n v="51.4"/>
    <n v="51.5"/>
    <n v="55.6"/>
    <n v="41.3"/>
    <n v="50.55833333333333"/>
    <n v="2.0646541398432272"/>
    <n v="40.9"/>
    <n v="41.8"/>
    <n v="52.5"/>
  </r>
  <r>
    <n v="306"/>
    <x v="1"/>
    <x v="1"/>
    <x v="0"/>
    <x v="1"/>
    <x v="1"/>
    <x v="3"/>
    <x v="0"/>
    <n v="13.483000000000001"/>
    <n v="60.2"/>
    <n v="56"/>
    <n v="58.1"/>
    <n v="60.9"/>
    <n v="56.1"/>
    <n v="43.1"/>
    <n v="59.3"/>
    <n v="41.9"/>
    <n v="59.5"/>
    <n v="37.5"/>
    <n v="60.5"/>
    <n v="50.7"/>
    <n v="53.650000000000006"/>
    <n v="2.3975208154687753"/>
    <n v="37.5"/>
    <n v="48.800000000000004"/>
    <n v="57.1"/>
  </r>
  <r>
    <n v="307"/>
    <x v="5"/>
    <x v="5"/>
    <x v="1"/>
    <x v="1"/>
    <x v="0"/>
    <x v="3"/>
    <x v="0"/>
    <n v="13.5"/>
    <n v="61.3"/>
    <n v="44.2"/>
    <n v="61.3"/>
    <n v="50.2"/>
    <n v="59.9"/>
    <n v="52.5"/>
    <n v="61.9"/>
    <n v="53.9"/>
    <n v="61.1"/>
    <n v="50.1"/>
    <n v="62.4"/>
    <n v="42"/>
    <n v="55.066666666666663"/>
    <n v="2.1017068580493725"/>
    <n v="42"/>
    <n v="50.175000000000004"/>
    <n v="56.9"/>
  </r>
  <r>
    <n v="308"/>
    <x v="2"/>
    <x v="2"/>
    <x v="0"/>
    <x v="2"/>
    <x v="0"/>
    <x v="3"/>
    <x v="0"/>
    <n v="13.516999999999999"/>
    <n v="62"/>
    <n v="48.9"/>
    <n v="62.8"/>
    <n v="47.7"/>
    <n v="62.7"/>
    <n v="44.8"/>
    <n v="62.2"/>
    <n v="45.1"/>
    <n v="54.5"/>
    <n v="57.2"/>
    <n v="48.8"/>
    <n v="51.9"/>
    <n v="54.04999999999999"/>
    <n v="2.05203151372814"/>
    <n v="44.8"/>
    <n v="48.524999999999999"/>
    <n v="53.2"/>
  </r>
  <r>
    <n v="403"/>
    <x v="10"/>
    <x v="10"/>
    <x v="0"/>
    <x v="2"/>
    <x v="1"/>
    <x v="2"/>
    <x v="0"/>
    <n v="13.635"/>
    <n v="60.8"/>
    <n v="57.3"/>
    <n v="47.4"/>
    <n v="51.4"/>
    <n v="57.2"/>
    <n v="44.4"/>
    <n v="55.9"/>
    <n v="55.4"/>
    <n v="57.7"/>
    <n v="43.5"/>
    <n v="52.8"/>
    <n v="40.5"/>
    <n v="52.024999999999999"/>
    <n v="1.8994466897685647"/>
    <n v="40.5"/>
    <n v="46.65"/>
    <n v="54.099999999999994"/>
  </r>
  <r>
    <n v="404"/>
    <x v="6"/>
    <x v="6"/>
    <x v="0"/>
    <x v="1"/>
    <x v="0"/>
    <x v="2"/>
    <x v="0"/>
    <n v="13.617000000000001"/>
    <n v="62.5"/>
    <n v="62.8"/>
    <n v="60.6"/>
    <n v="44.9"/>
    <n v="59.9"/>
    <n v="51.7"/>
    <n v="55.8"/>
    <n v="57"/>
    <n v="51.6"/>
    <n v="52.8"/>
    <n v="62.3"/>
    <n v="44.4"/>
    <n v="55.524999999999999"/>
    <n v="1.8844308279835063"/>
    <n v="44.4"/>
    <n v="51.675000000000004"/>
    <n v="56.4"/>
  </r>
  <r>
    <n v="405"/>
    <x v="10"/>
    <x v="10"/>
    <x v="0"/>
    <x v="2"/>
    <x v="1"/>
    <x v="3"/>
    <x v="0"/>
    <n v="13.599"/>
    <n v="60.9"/>
    <n v="44.8"/>
    <n v="59.7"/>
    <n v="42"/>
    <n v="59.9"/>
    <n v="42.7"/>
    <n v="61.5"/>
    <n v="43.9"/>
    <n v="45.5"/>
    <n v="59.8"/>
    <n v="52.1"/>
    <n v="47.5"/>
    <n v="51.691666666666663"/>
    <n v="2.3311285579168133"/>
    <n v="42"/>
    <n v="44.574999999999996"/>
    <n v="49.8"/>
  </r>
  <r>
    <n v="406"/>
    <x v="6"/>
    <x v="6"/>
    <x v="0"/>
    <x v="1"/>
    <x v="0"/>
    <x v="3"/>
    <x v="0"/>
    <n v="13.58"/>
    <n v="62.9"/>
    <n v="45.9"/>
    <n v="61.9"/>
    <n v="38.9"/>
    <n v="60"/>
    <n v="49"/>
    <n v="59.5"/>
    <n v="58.2"/>
    <n v="47.9"/>
    <n v="61.5"/>
    <n v="49.6"/>
    <n v="41.7"/>
    <n v="53.083333333333343"/>
    <n v="2.458991950808568"/>
    <n v="38.9"/>
    <n v="47.4"/>
    <n v="53.900000000000006"/>
  </r>
  <r>
    <n v="407"/>
    <x v="11"/>
    <x v="11"/>
    <x v="1"/>
    <x v="0"/>
    <x v="0"/>
    <x v="3"/>
    <x v="0"/>
    <n v="13.563000000000001"/>
    <n v="63"/>
    <n v="56"/>
    <n v="57.4"/>
    <n v="58.4"/>
    <n v="56.8"/>
    <n v="57.6"/>
    <n v="61"/>
    <n v="60.9"/>
    <n v="55.4"/>
    <n v="61.6"/>
    <n v="60.3"/>
    <n v="40.1"/>
    <n v="57.375"/>
    <n v="1.7172531360673975"/>
    <n v="40.1"/>
    <n v="56.599999999999994"/>
    <n v="58"/>
  </r>
  <r>
    <n v="408"/>
    <x v="3"/>
    <x v="3"/>
    <x v="1"/>
    <x v="1"/>
    <x v="1"/>
    <x v="3"/>
    <x v="0"/>
    <n v="13.545999999999999"/>
    <n v="61.5"/>
    <n v="46.9"/>
    <n v="62.2"/>
    <n v="42.2"/>
    <n v="59.8"/>
    <n v="44.2"/>
    <n v="60.2"/>
    <n v="41.8"/>
    <n v="60.1"/>
    <n v="51.9"/>
    <n v="62.4"/>
    <n v="45.2"/>
    <n v="53.20000000000001"/>
    <n v="2.480285907273208"/>
    <n v="41.8"/>
    <n v="44.95"/>
    <n v="55.849999999999994"/>
  </r>
  <r>
    <n v="901"/>
    <x v="12"/>
    <x v="12"/>
    <x v="2"/>
    <x v="3"/>
    <x v="1"/>
    <x v="0"/>
    <x v="0"/>
    <n v="13.377000000000001"/>
    <n v="36.299999999999997"/>
    <n v="40.700000000000003"/>
    <n v="36.4"/>
    <n v="38.6"/>
    <n v="37.6"/>
    <n v="38.700000000000003"/>
    <n v="39.4"/>
    <n v="36.700000000000003"/>
    <n v="40.1"/>
    <n v="37.5"/>
    <n v="40.4"/>
    <n v="36.9"/>
    <n v="38.274999999999999"/>
    <n v="0.46157257546812713"/>
    <n v="36.299999999999997"/>
    <n v="36.85"/>
    <n v="38.1"/>
  </r>
  <r>
    <n v="902"/>
    <x v="13"/>
    <x v="13"/>
    <x v="3"/>
    <x v="1"/>
    <x v="0"/>
    <x v="0"/>
    <x v="0"/>
    <n v="13.36"/>
    <n v="64.3"/>
    <n v="44.3"/>
    <n v="61.6"/>
    <n v="43.3"/>
    <n v="61.2"/>
    <n v="50.1"/>
    <n v="62.6"/>
    <n v="48.6"/>
    <n v="60.9"/>
    <n v="40.799999999999997"/>
    <n v="62.8"/>
    <n v="41.1"/>
    <n v="53.466666666666669"/>
    <n v="2.7591262707200834"/>
    <n v="40.799999999999997"/>
    <n v="44.05"/>
    <n v="55.5"/>
  </r>
  <r>
    <n v="903"/>
    <x v="14"/>
    <x v="14"/>
    <x v="4"/>
    <x v="3"/>
    <x v="1"/>
    <x v="0"/>
    <x v="0"/>
    <n v="13.353"/>
    <n v="64.400000000000006"/>
    <n v="67.3"/>
    <n v="65.400000000000006"/>
    <n v="66.8"/>
    <n v="63.7"/>
    <n v="66.900000000000006"/>
    <n v="66.5"/>
    <n v="63.9"/>
    <n v="66.5"/>
    <n v="65.599999999999994"/>
    <n v="65.5"/>
    <n v="65.599999999999994"/>
    <n v="65.674999999999997"/>
    <n v="0.34336238476685588"/>
    <n v="63.7"/>
    <n v="65.150000000000006"/>
    <n v="65.599999999999994"/>
  </r>
  <r>
    <n v="904"/>
    <x v="15"/>
    <x v="15"/>
    <x v="5"/>
    <x v="1"/>
    <x v="0"/>
    <x v="0"/>
    <x v="0"/>
    <n v="13.335000000000001"/>
    <n v="64.3"/>
    <n v="52"/>
    <n v="60.9"/>
    <n v="44.8"/>
    <n v="54.9"/>
    <n v="53.9"/>
    <n v="60.1"/>
    <n v="50"/>
    <n v="59.6"/>
    <n v="43.2"/>
    <n v="61.2"/>
    <n v="42.1"/>
    <n v="53.916666666666679"/>
    <n v="2.1980305693593776"/>
    <n v="42.1"/>
    <n v="48.7"/>
    <n v="54.4"/>
  </r>
  <r>
    <n v="905"/>
    <x v="12"/>
    <x v="12"/>
    <x v="2"/>
    <x v="3"/>
    <x v="1"/>
    <x v="1"/>
    <x v="0"/>
    <n v="13.327"/>
    <n v="36.9"/>
    <n v="39.9"/>
    <n v="37.6"/>
    <n v="41.3"/>
    <n v="36.799999999999997"/>
    <n v="40.1"/>
    <n v="38.9"/>
    <n v="38"/>
    <n v="38.700000000000003"/>
    <n v="38.200000000000003"/>
    <n v="38.299999999999997"/>
    <n v="37.200000000000003"/>
    <n v="38.491666666666667"/>
    <n v="0.39780807260068357"/>
    <n v="36.799999999999997"/>
    <n v="37.5"/>
    <n v="38.25"/>
  </r>
  <r>
    <n v="906"/>
    <x v="13"/>
    <x v="13"/>
    <x v="3"/>
    <x v="1"/>
    <x v="0"/>
    <x v="1"/>
    <x v="0"/>
    <n v="13.305"/>
    <n v="62.7"/>
    <n v="46.8"/>
    <n v="61.9"/>
    <n v="47.8"/>
    <n v="60.6"/>
    <n v="45.1"/>
    <n v="63.9"/>
    <n v="53.2"/>
    <n v="54.7"/>
    <n v="56.7"/>
    <n v="61.9"/>
    <n v="49.8"/>
    <n v="55.424999999999997"/>
    <n v="1.9718905326430678"/>
    <n v="45.1"/>
    <n v="49.3"/>
    <n v="55.7"/>
  </r>
  <r>
    <n v="907"/>
    <x v="14"/>
    <x v="14"/>
    <x v="4"/>
    <x v="3"/>
    <x v="1"/>
    <x v="1"/>
    <x v="0"/>
    <n v="13.295999999999999"/>
    <n v="64.8"/>
    <n v="68.8"/>
    <n v="66.5"/>
    <n v="67.599999999999994"/>
    <n v="65.2"/>
    <n v="67.8"/>
    <n v="67.5"/>
    <n v="69.2"/>
    <n v="64.5"/>
    <n v="66.5"/>
    <n v="69"/>
    <n v="65.5"/>
    <n v="66.908333333333331"/>
    <n v="0.4791814885718656"/>
    <n v="64.5"/>
    <n v="65.424999999999997"/>
    <n v="67"/>
  </r>
  <r>
    <n v="908"/>
    <x v="15"/>
    <x v="15"/>
    <x v="5"/>
    <x v="1"/>
    <x v="0"/>
    <x v="1"/>
    <x v="0"/>
    <n v="13.279"/>
    <n v="62.8"/>
    <n v="47.4"/>
    <n v="60.1"/>
    <n v="49.9"/>
    <n v="58"/>
    <n v="46.2"/>
    <n v="53.4"/>
    <n v="56.1"/>
    <n v="49.7"/>
    <n v="60.5"/>
    <n v="59.4"/>
    <n v="40.299999999999997"/>
    <n v="53.65"/>
    <n v="2.008976069664584"/>
    <n v="40.299999999999997"/>
    <n v="49.125"/>
    <n v="54.75"/>
  </r>
  <r>
    <n v="101"/>
    <x v="0"/>
    <x v="0"/>
    <x v="0"/>
    <x v="0"/>
    <x v="0"/>
    <x v="0"/>
    <x v="1"/>
    <n v="13.101000000000001"/>
    <n v="29.3"/>
    <n v="31.1"/>
    <n v="30.1"/>
    <n v="31.1"/>
    <n v="30.9"/>
    <n v="33.4"/>
    <n v="29.1"/>
    <n v="29.1"/>
    <n v="29.2"/>
    <n v="30.9"/>
    <n v="30.6"/>
    <n v="31.5"/>
    <n v="30.524999999999999"/>
    <n v="0.36579614292910084"/>
    <n v="29.1"/>
    <n v="29.274999999999999"/>
    <n v="30.75"/>
  </r>
  <r>
    <n v="102"/>
    <x v="1"/>
    <x v="1"/>
    <x v="0"/>
    <x v="1"/>
    <x v="1"/>
    <x v="0"/>
    <x v="1"/>
    <n v="13.082000000000001"/>
    <n v="30.3"/>
    <n v="31.1"/>
    <n v="29.5"/>
    <n v="32.1"/>
    <n v="30.8"/>
    <n v="30.1"/>
    <n v="30.6"/>
    <n v="31.1"/>
    <n v="30.3"/>
    <n v="30.5"/>
    <n v="30.8"/>
    <n v="31.4"/>
    <n v="30.716666666666665"/>
    <n v="0.19377952691272848"/>
    <n v="29.5"/>
    <n v="30.3"/>
    <n v="30.7"/>
  </r>
  <r>
    <n v="103"/>
    <x v="2"/>
    <x v="2"/>
    <x v="0"/>
    <x v="2"/>
    <x v="0"/>
    <x v="0"/>
    <x v="1"/>
    <n v="13.063000000000001"/>
    <n v="29.8"/>
    <n v="30.6"/>
    <n v="30.9"/>
    <n v="33"/>
    <n v="29.1"/>
    <n v="29.9"/>
    <n v="29.6"/>
    <n v="30.6"/>
    <n v="29.3"/>
    <n v="29.1"/>
    <n v="29.7"/>
    <n v="30.6"/>
    <n v="30.183333333333337"/>
    <n v="0.31257322374447288"/>
    <n v="29.1"/>
    <n v="29.524999999999999"/>
    <n v="29.85"/>
  </r>
  <r>
    <n v="104"/>
    <x v="3"/>
    <x v="3"/>
    <x v="1"/>
    <x v="1"/>
    <x v="1"/>
    <x v="0"/>
    <x v="1"/>
    <n v="13.042999999999999"/>
    <n v="29.2"/>
    <n v="31.6"/>
    <n v="30.6"/>
    <n v="32.299999999999997"/>
    <n v="29.6"/>
    <n v="29.7"/>
    <n v="30.6"/>
    <n v="30.4"/>
    <n v="30.1"/>
    <n v="30.1"/>
    <n v="30.6"/>
    <n v="31.3"/>
    <n v="30.50833333333334"/>
    <n v="0.25508713108353875"/>
    <n v="29.2"/>
    <n v="30"/>
    <n v="30.5"/>
  </r>
  <r>
    <n v="105"/>
    <x v="4"/>
    <x v="4"/>
    <x v="1"/>
    <x v="2"/>
    <x v="1"/>
    <x v="1"/>
    <x v="1"/>
    <n v="13.022"/>
    <n v="30"/>
    <n v="31.1"/>
    <n v="29.3"/>
    <n v="29.6"/>
    <n v="28.8"/>
    <n v="30.2"/>
    <n v="29"/>
    <n v="31.5"/>
    <n v="30.5"/>
    <n v="31.2"/>
    <n v="31.7"/>
    <n v="31.1"/>
    <n v="30.333333333333332"/>
    <n v="0.28928682771056874"/>
    <n v="28.8"/>
    <n v="29.524999999999999"/>
    <n v="30.35"/>
  </r>
  <r>
    <n v="106"/>
    <x v="5"/>
    <x v="5"/>
    <x v="1"/>
    <x v="1"/>
    <x v="0"/>
    <x v="1"/>
    <x v="1"/>
    <n v="13.002000000000001"/>
    <n v="31.7"/>
    <n v="30.2"/>
    <n v="30.8"/>
    <n v="29.1"/>
    <n v="30.2"/>
    <n v="30.7"/>
    <n v="30"/>
    <n v="29.4"/>
    <n v="28.6"/>
    <n v="31.6"/>
    <n v="29.4"/>
    <n v="31.6"/>
    <n v="30.274999999999999"/>
    <n v="0.29901986353395216"/>
    <n v="28.6"/>
    <n v="29.4"/>
    <n v="30.2"/>
  </r>
  <r>
    <n v="107"/>
    <x v="3"/>
    <x v="3"/>
    <x v="1"/>
    <x v="1"/>
    <x v="1"/>
    <x v="1"/>
    <x v="1"/>
    <n v="12.984"/>
    <n v="33.799999999999997"/>
    <n v="32.6"/>
    <n v="30.4"/>
    <n v="33"/>
    <n v="28.7"/>
    <n v="30.8"/>
    <n v="30"/>
    <n v="31.3"/>
    <n v="28.1"/>
    <n v="28.5"/>
    <n v="28.9"/>
    <n v="29.6"/>
    <n v="30.475000000000001"/>
    <n v="0.54287743468565963"/>
    <n v="28.1"/>
    <n v="28.85"/>
    <n v="30.2"/>
  </r>
  <r>
    <n v="108"/>
    <x v="6"/>
    <x v="6"/>
    <x v="0"/>
    <x v="1"/>
    <x v="0"/>
    <x v="1"/>
    <x v="1"/>
    <n v="12.962999999999999"/>
    <n v="33.700000000000003"/>
    <n v="30.7"/>
    <n v="31"/>
    <n v="30.5"/>
    <n v="28.8"/>
    <n v="30.2"/>
    <n v="30.2"/>
    <n v="31.2"/>
    <n v="29.6"/>
    <n v="30.8"/>
    <n v="29.6"/>
    <n v="30.3"/>
    <n v="30.55"/>
    <n v="0.34608196611888009"/>
    <n v="28.8"/>
    <n v="30.05"/>
    <n v="30.4"/>
  </r>
  <r>
    <n v="201"/>
    <x v="4"/>
    <x v="4"/>
    <x v="1"/>
    <x v="2"/>
    <x v="1"/>
    <x v="0"/>
    <x v="1"/>
    <n v="13.129"/>
    <n v="32.799999999999997"/>
    <n v="31.3"/>
    <n v="31.7"/>
    <n v="29.9"/>
    <n v="29"/>
    <n v="30.2"/>
    <n v="29.6"/>
    <n v="29.7"/>
    <n v="28.5"/>
    <n v="28.2"/>
    <n v="27.8"/>
    <n v="29"/>
    <n v="29.808333333333326"/>
    <n v="0.43177897216991878"/>
    <n v="27.8"/>
    <n v="28.875"/>
    <n v="29.65"/>
  </r>
  <r>
    <n v="202"/>
    <x v="5"/>
    <x v="5"/>
    <x v="1"/>
    <x v="1"/>
    <x v="0"/>
    <x v="0"/>
    <x v="1"/>
    <n v="13.147"/>
    <n v="31.8"/>
    <n v="30.7"/>
    <n v="31.3"/>
    <n v="31.3"/>
    <n v="31.4"/>
    <n v="32.9"/>
    <n v="28.5"/>
    <n v="29.3"/>
    <n v="30.8"/>
    <n v="30.6"/>
    <n v="31.2"/>
    <n v="33"/>
    <n v="31.066666666666666"/>
    <n v="0.36934285076895418"/>
    <n v="28.5"/>
    <n v="30.675000000000001"/>
    <n v="31.25"/>
  </r>
  <r>
    <n v="203"/>
    <x v="6"/>
    <x v="6"/>
    <x v="0"/>
    <x v="1"/>
    <x v="0"/>
    <x v="0"/>
    <x v="1"/>
    <n v="13.164999999999999"/>
    <n v="29.6"/>
    <n v="31.1"/>
    <n v="29.3"/>
    <n v="30.5"/>
    <n v="29"/>
    <n v="28.5"/>
    <n v="29.2"/>
    <n v="31.1"/>
    <n v="28.2"/>
    <n v="31.2"/>
    <n v="29.1"/>
    <n v="31.3"/>
    <n v="29.841666666666669"/>
    <n v="0.32670492973187737"/>
    <n v="28.2"/>
    <n v="29.074999999999999"/>
    <n v="29.45"/>
  </r>
  <r>
    <n v="204"/>
    <x v="7"/>
    <x v="7"/>
    <x v="1"/>
    <x v="2"/>
    <x v="0"/>
    <x v="0"/>
    <x v="1"/>
    <n v="13.183"/>
    <n v="33.799999999999997"/>
    <n v="31.4"/>
    <n v="31.9"/>
    <n v="32.1"/>
    <n v="32.4"/>
    <n v="31.7"/>
    <n v="30.8"/>
    <n v="33"/>
    <n v="34.9"/>
    <n v="34.700000000000003"/>
    <n v="34"/>
    <n v="33.799999999999997"/>
    <n v="32.875"/>
    <n v="0.38985719996382828"/>
    <n v="30.8"/>
    <n v="31.85"/>
    <n v="32.700000000000003"/>
  </r>
  <r>
    <n v="205"/>
    <x v="0"/>
    <x v="0"/>
    <x v="0"/>
    <x v="0"/>
    <x v="0"/>
    <x v="1"/>
    <x v="1"/>
    <n v="13.201000000000001"/>
    <n v="33.5"/>
    <n v="30"/>
    <n v="30"/>
    <n v="32.299999999999997"/>
    <n v="29.5"/>
    <n v="29.7"/>
    <n v="30.5"/>
    <n v="30.2"/>
    <n v="30.8"/>
    <n v="31"/>
    <n v="31.1"/>
    <n v="30.8"/>
    <n v="30.783333333333335"/>
    <n v="0.32910193072674337"/>
    <n v="29.5"/>
    <n v="30"/>
    <n v="30.65"/>
  </r>
  <r>
    <n v="206"/>
    <x v="8"/>
    <x v="8"/>
    <x v="1"/>
    <x v="0"/>
    <x v="1"/>
    <x v="1"/>
    <x v="1"/>
    <n v="13.221"/>
    <n v="31.1"/>
    <n v="30.7"/>
    <n v="31.8"/>
    <n v="31.4"/>
    <n v="31"/>
    <n v="31.1"/>
    <n v="31.9"/>
    <n v="31.9"/>
    <n v="30.4"/>
    <n v="34"/>
    <n v="31.7"/>
    <n v="34.9"/>
    <n v="31.824999999999999"/>
    <n v="0.3835885184871361"/>
    <n v="30.4"/>
    <n v="31.074999999999999"/>
    <n v="31.55"/>
  </r>
  <r>
    <n v="207"/>
    <x v="1"/>
    <x v="1"/>
    <x v="0"/>
    <x v="1"/>
    <x v="1"/>
    <x v="1"/>
    <x v="1"/>
    <n v="13.239000000000001"/>
    <n v="30.7"/>
    <n v="31"/>
    <n v="29.9"/>
    <n v="31.1"/>
    <n v="30.4"/>
    <n v="30.7"/>
    <n v="29.6"/>
    <n v="29.7"/>
    <n v="29.5"/>
    <n v="28.7"/>
    <n v="31.7"/>
    <n v="30.4"/>
    <n v="30.283333333333328"/>
    <n v="0.24052761869186859"/>
    <n v="28.7"/>
    <n v="29.675000000000001"/>
    <n v="30.4"/>
  </r>
  <r>
    <n v="208"/>
    <x v="9"/>
    <x v="9"/>
    <x v="0"/>
    <x v="0"/>
    <x v="1"/>
    <x v="1"/>
    <x v="1"/>
    <n v="13.256"/>
    <n v="31.4"/>
    <n v="31.3"/>
    <n v="31.4"/>
    <n v="30.6"/>
    <n v="29.7"/>
    <n v="29.4"/>
    <n v="30"/>
    <n v="31.6"/>
    <n v="31.2"/>
    <n v="30.5"/>
    <n v="30.6"/>
    <n v="29.8"/>
    <n v="30.625"/>
    <n v="0.2198915021716035"/>
    <n v="29.4"/>
    <n v="29.95"/>
    <n v="30.6"/>
  </r>
  <r>
    <n v="301"/>
    <x v="3"/>
    <x v="3"/>
    <x v="1"/>
    <x v="1"/>
    <x v="1"/>
    <x v="2"/>
    <x v="1"/>
    <n v="13.398999999999999"/>
    <n v="33.9"/>
    <n v="29.4"/>
    <n v="30"/>
    <n v="29.1"/>
    <n v="29.2"/>
    <n v="28"/>
    <n v="28.8"/>
    <n v="29.1"/>
    <n v="30"/>
    <n v="29.3"/>
    <n v="28.9"/>
    <n v="30.4"/>
    <n v="29.675000000000001"/>
    <n v="0.42517821575372772"/>
    <n v="28"/>
    <n v="29.05"/>
    <n v="29.25"/>
  </r>
  <r>
    <n v="302"/>
    <x v="1"/>
    <x v="1"/>
    <x v="0"/>
    <x v="1"/>
    <x v="1"/>
    <x v="2"/>
    <x v="1"/>
    <n v="13.416"/>
    <n v="28.9"/>
    <n v="29.4"/>
    <n v="29.1"/>
    <n v="29.6"/>
    <n v="28.7"/>
    <n v="28.8"/>
    <n v="28.7"/>
    <n v="27.9"/>
    <n v="29.1"/>
    <n v="29.4"/>
    <n v="30.2"/>
    <n v="29.9"/>
    <n v="29.141666666666662"/>
    <n v="0.1772937697949489"/>
    <n v="27.9"/>
    <n v="28.774999999999999"/>
    <n v="29.1"/>
  </r>
  <r>
    <n v="303"/>
    <x v="8"/>
    <x v="8"/>
    <x v="1"/>
    <x v="0"/>
    <x v="1"/>
    <x v="2"/>
    <x v="1"/>
    <n v="13.433999999999999"/>
    <n v="32.299999999999997"/>
    <n v="29.9"/>
    <n v="28.5"/>
    <n v="28.8"/>
    <n v="29.1"/>
    <n v="29.3"/>
    <n v="29.2"/>
    <n v="28.7"/>
    <n v="29.2"/>
    <n v="29.9"/>
    <n v="28.3"/>
    <n v="28.4"/>
    <n v="29.3"/>
    <n v="0.31188575997106438"/>
    <n v="28.3"/>
    <n v="28.65"/>
    <n v="29.15"/>
  </r>
  <r>
    <n v="304"/>
    <x v="9"/>
    <x v="9"/>
    <x v="0"/>
    <x v="0"/>
    <x v="1"/>
    <x v="2"/>
    <x v="1"/>
    <n v="13.451000000000001"/>
    <n v="33.9"/>
    <n v="33"/>
    <n v="29.1"/>
    <n v="30.1"/>
    <n v="29.2"/>
    <n v="28.7"/>
    <n v="29.7"/>
    <n v="29.7"/>
    <n v="30.4"/>
    <n v="32.299999999999997"/>
    <n v="31.3"/>
    <n v="32.299999999999997"/>
    <n v="30.808333333333334"/>
    <n v="0.49335867052051535"/>
    <n v="28.7"/>
    <n v="29.574999999999999"/>
    <n v="30.25"/>
  </r>
  <r>
    <n v="305"/>
    <x v="7"/>
    <x v="7"/>
    <x v="1"/>
    <x v="2"/>
    <x v="0"/>
    <x v="3"/>
    <x v="1"/>
    <n v="13.471"/>
    <n v="35.299999999999997"/>
    <n v="32.1"/>
    <n v="32.700000000000003"/>
    <n v="31.9"/>
    <n v="32.1"/>
    <n v="33.299999999999997"/>
    <n v="32.799999999999997"/>
    <n v="33.4"/>
    <n v="31.2"/>
    <n v="31.3"/>
    <n v="28.8"/>
    <n v="31.5"/>
    <n v="32.200000000000003"/>
    <n v="0.45092497528229064"/>
    <n v="28.8"/>
    <n v="31.45"/>
    <n v="32.1"/>
  </r>
  <r>
    <n v="306"/>
    <x v="1"/>
    <x v="1"/>
    <x v="0"/>
    <x v="1"/>
    <x v="1"/>
    <x v="3"/>
    <x v="1"/>
    <n v="13.487"/>
    <n v="30.3"/>
    <n v="28.8"/>
    <n v="28.8"/>
    <n v="28.1"/>
    <n v="28.2"/>
    <n v="28.7"/>
    <n v="27.7"/>
    <n v="28.6"/>
    <n v="27.5"/>
    <n v="28.5"/>
    <n v="31"/>
    <n v="28.7"/>
    <n v="28.74166666666666"/>
    <n v="0.28800734768971453"/>
    <n v="27.5"/>
    <n v="28.175000000000001"/>
    <n v="28.65"/>
  </r>
  <r>
    <n v="307"/>
    <x v="5"/>
    <x v="5"/>
    <x v="1"/>
    <x v="1"/>
    <x v="0"/>
    <x v="3"/>
    <x v="1"/>
    <n v="13.505000000000001"/>
    <n v="32.5"/>
    <n v="32.299999999999997"/>
    <n v="30.8"/>
    <n v="30.4"/>
    <n v="30.2"/>
    <n v="29.8"/>
    <n v="29.3"/>
    <n v="29.9"/>
    <n v="29"/>
    <n v="28.1"/>
    <n v="28.2"/>
    <n v="30.5"/>
    <n v="30.083333333333339"/>
    <n v="0.39826010484491448"/>
    <n v="28.1"/>
    <n v="29.225000000000001"/>
    <n v="30.05"/>
  </r>
  <r>
    <n v="308"/>
    <x v="2"/>
    <x v="2"/>
    <x v="0"/>
    <x v="2"/>
    <x v="0"/>
    <x v="3"/>
    <x v="1"/>
    <n v="13.522"/>
    <n v="32.5"/>
    <n v="30.2"/>
    <n v="31.6"/>
    <n v="33.1"/>
    <n v="32.700000000000003"/>
    <n v="33.9"/>
    <n v="31.1"/>
    <n v="35.9"/>
    <n v="32.1"/>
    <n v="32.6"/>
    <n v="33.5"/>
    <n v="31.7"/>
    <n v="32.575000000000003"/>
    <n v="0.42392913215640238"/>
    <n v="30.2"/>
    <n v="31.675000000000001"/>
    <n v="32.549999999999997"/>
  </r>
  <r>
    <n v="403"/>
    <x v="10"/>
    <x v="10"/>
    <x v="0"/>
    <x v="2"/>
    <x v="1"/>
    <x v="2"/>
    <x v="1"/>
    <n v="13.64"/>
    <n v="29.8"/>
    <n v="28.9"/>
    <n v="33"/>
    <n v="30.7"/>
    <n v="30"/>
    <n v="29"/>
    <n v="30.5"/>
    <n v="30.2"/>
    <n v="28.7"/>
    <n v="28.8"/>
    <n v="29.1"/>
    <n v="29.2"/>
    <n v="29.824999999999999"/>
    <n v="0.35078375450441984"/>
    <n v="28.7"/>
    <n v="28.975000000000001"/>
    <n v="29.5"/>
  </r>
  <r>
    <n v="404"/>
    <x v="6"/>
    <x v="6"/>
    <x v="0"/>
    <x v="1"/>
    <x v="0"/>
    <x v="2"/>
    <x v="1"/>
    <n v="13.622"/>
    <n v="29.1"/>
    <n v="33.4"/>
    <n v="29.9"/>
    <n v="29.7"/>
    <n v="32"/>
    <n v="29.9"/>
    <n v="29.9"/>
    <n v="30.2"/>
    <n v="28.8"/>
    <n v="29.1"/>
    <n v="29.7"/>
    <n v="30"/>
    <n v="30.141666666666669"/>
    <n v="0.37567279713206464"/>
    <n v="28.8"/>
    <n v="29.55"/>
    <n v="29.9"/>
  </r>
  <r>
    <n v="405"/>
    <x v="10"/>
    <x v="10"/>
    <x v="0"/>
    <x v="2"/>
    <x v="1"/>
    <x v="3"/>
    <x v="1"/>
    <n v="13.603999999999999"/>
    <n v="34.9"/>
    <n v="37.1"/>
    <n v="34.299999999999997"/>
    <n v="33.799999999999997"/>
    <n v="30"/>
    <n v="31.9"/>
    <n v="28"/>
    <n v="30.6"/>
    <n v="30.6"/>
    <n v="31.3"/>
    <n v="31.5"/>
    <n v="30.8"/>
    <n v="32.06666666666667"/>
    <n v="0.72303373211609778"/>
    <n v="28"/>
    <n v="30.6"/>
    <n v="31.4"/>
  </r>
  <r>
    <n v="406"/>
    <x v="6"/>
    <x v="6"/>
    <x v="0"/>
    <x v="1"/>
    <x v="0"/>
    <x v="3"/>
    <x v="1"/>
    <n v="13.585000000000001"/>
    <n v="31"/>
    <n v="31"/>
    <n v="30.9"/>
    <n v="32.799999999999997"/>
    <n v="29.7"/>
    <n v="30.3"/>
    <n v="28.7"/>
    <n v="29.7"/>
    <n v="29.5"/>
    <n v="32.5"/>
    <n v="32.799999999999997"/>
    <n v="32.9"/>
    <n v="30.983333333333334"/>
    <n v="0.42423430728165307"/>
    <n v="28.7"/>
    <n v="29.7"/>
    <n v="30.95"/>
  </r>
  <r>
    <n v="407"/>
    <x v="11"/>
    <x v="11"/>
    <x v="1"/>
    <x v="0"/>
    <x v="0"/>
    <x v="3"/>
    <x v="1"/>
    <n v="13.568"/>
    <n v="29.6"/>
    <n v="30.2"/>
    <n v="29.3"/>
    <n v="30.8"/>
    <n v="29.7"/>
    <n v="28.6"/>
    <n v="28.5"/>
    <n v="29.9"/>
    <n v="31.6"/>
    <n v="28.8"/>
    <n v="32.200000000000003"/>
    <n v="28.1"/>
    <n v="29.774999999999999"/>
    <n v="0.36392744032045204"/>
    <n v="28.1"/>
    <n v="28.75"/>
    <n v="29.65"/>
  </r>
  <r>
    <n v="408"/>
    <x v="3"/>
    <x v="3"/>
    <x v="1"/>
    <x v="1"/>
    <x v="1"/>
    <x v="3"/>
    <x v="1"/>
    <n v="13.551"/>
    <n v="30.3"/>
    <n v="30.1"/>
    <n v="28.5"/>
    <n v="30.2"/>
    <n v="28.3"/>
    <n v="28.1"/>
    <n v="29.6"/>
    <n v="32.6"/>
    <n v="30.3"/>
    <n v="29.8"/>
    <n v="29.3"/>
    <n v="30.9"/>
    <n v="29.833333333333332"/>
    <n v="0.35788379130775905"/>
    <n v="28.1"/>
    <n v="29.1"/>
    <n v="29.95"/>
  </r>
  <r>
    <n v="902"/>
    <x v="13"/>
    <x v="13"/>
    <x v="3"/>
    <x v="1"/>
    <x v="0"/>
    <x v="0"/>
    <x v="1"/>
    <n v="13.365"/>
    <n v="28.2"/>
    <n v="28.3"/>
    <n v="28.3"/>
    <n v="29.8"/>
    <n v="29.1"/>
    <n v="30.6"/>
    <n v="31.1"/>
    <n v="29.6"/>
    <n v="29.6"/>
    <n v="30"/>
    <n v="30"/>
    <n v="31.7"/>
    <n v="29.691666666666663"/>
    <n v="0.31990963054770966"/>
    <n v="28.2"/>
    <n v="28.9"/>
    <n v="29.7"/>
  </r>
  <r>
    <n v="904"/>
    <x v="15"/>
    <x v="15"/>
    <x v="5"/>
    <x v="1"/>
    <x v="0"/>
    <x v="0"/>
    <x v="1"/>
    <n v="13.34"/>
    <n v="29.1"/>
    <n v="31.7"/>
    <n v="29.3"/>
    <n v="27.9"/>
    <n v="29.4"/>
    <n v="31.1"/>
    <n v="28.6"/>
    <n v="29.1"/>
    <n v="28.8"/>
    <n v="30.7"/>
    <n v="28.9"/>
    <n v="28.3"/>
    <n v="29.408333333333331"/>
    <n v="0.33449607809752913"/>
    <n v="27.9"/>
    <n v="28.75"/>
    <n v="29.1"/>
  </r>
  <r>
    <n v="906"/>
    <x v="13"/>
    <x v="13"/>
    <x v="3"/>
    <x v="1"/>
    <x v="0"/>
    <x v="1"/>
    <x v="1"/>
    <n v="13.311"/>
    <n v="29.8"/>
    <n v="29.7"/>
    <n v="30.6"/>
    <n v="28.8"/>
    <n v="29.6"/>
    <n v="30.7"/>
    <n v="30.8"/>
    <n v="30.1"/>
    <n v="29.4"/>
    <n v="28.8"/>
    <n v="31"/>
    <n v="29.2"/>
    <n v="29.875"/>
    <n v="0.22160741974232054"/>
    <n v="28.8"/>
    <n v="29.35"/>
    <n v="29.75"/>
  </r>
  <r>
    <n v="908"/>
    <x v="15"/>
    <x v="15"/>
    <x v="5"/>
    <x v="1"/>
    <x v="0"/>
    <x v="1"/>
    <x v="1"/>
    <n v="13.284000000000001"/>
    <n v="27.6"/>
    <n v="30.2"/>
    <n v="30.6"/>
    <n v="31.2"/>
    <n v="30.1"/>
    <n v="30.7"/>
    <n v="29.6"/>
    <n v="29.1"/>
    <n v="28.4"/>
    <n v="30.2"/>
    <n v="28.5"/>
    <n v="29.5"/>
    <n v="29.641666666666666"/>
    <n v="0.309314572968241"/>
    <n v="27.6"/>
    <n v="28.95"/>
    <n v="29.85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01"/>
    <x v="0"/>
    <x v="0"/>
    <x v="0"/>
    <x v="0"/>
    <x v="0"/>
    <x v="0"/>
    <x v="0"/>
    <n v="13.159000000000001"/>
    <n v="61.9"/>
    <n v="60.3"/>
    <n v="56.4"/>
    <n v="58.8"/>
    <n v="53.5"/>
    <n v="57.3"/>
    <n v="62.6"/>
    <n v="57.1"/>
    <n v="61"/>
    <n v="49.7"/>
    <n v="60.4"/>
    <n v="57.4"/>
    <n v="58.033333333333339"/>
    <n v="1.067447630773686"/>
    <n v="49.7"/>
    <n v="56.924999999999997"/>
    <n v="58.099999999999994"/>
  </r>
  <r>
    <n v="102"/>
    <x v="1"/>
    <x v="1"/>
    <x v="0"/>
    <x v="1"/>
    <x v="1"/>
    <x v="0"/>
    <x v="0"/>
    <n v="13.144"/>
    <n v="61.6"/>
    <n v="54.8"/>
    <n v="48.2"/>
    <n v="62.3"/>
    <n v="51.7"/>
    <n v="61"/>
    <n v="56.6"/>
    <n v="58.9"/>
    <n v="50.8"/>
    <n v="57.1"/>
    <n v="48.4"/>
    <n v="63.9"/>
    <n v="56.274999999999999"/>
    <n v="1.5885539927490016"/>
    <n v="48.2"/>
    <n v="51.475000000000001"/>
    <n v="56.85"/>
  </r>
  <r>
    <n v="103"/>
    <x v="2"/>
    <x v="2"/>
    <x v="0"/>
    <x v="2"/>
    <x v="0"/>
    <x v="0"/>
    <x v="0"/>
    <n v="13.125"/>
    <n v="60.7"/>
    <n v="50.5"/>
    <n v="54.3"/>
    <n v="48.2"/>
    <n v="54.6"/>
    <n v="54.6"/>
    <n v="55.5"/>
    <n v="58.4"/>
    <n v="51.7"/>
    <n v="54.9"/>
    <n v="41.7"/>
    <n v="50.5"/>
    <n v="52.966666666666669"/>
    <n v="1.4302645089830595"/>
    <n v="41.7"/>
    <n v="50.5"/>
    <n v="54.45"/>
  </r>
  <r>
    <n v="104"/>
    <x v="3"/>
    <x v="3"/>
    <x v="1"/>
    <x v="1"/>
    <x v="1"/>
    <x v="0"/>
    <x v="0"/>
    <n v="13.108000000000001"/>
    <n v="61"/>
    <n v="61.3"/>
    <n v="55.6"/>
    <n v="61.1"/>
    <n v="51.5"/>
    <n v="59.3"/>
    <n v="56.2"/>
    <n v="57.5"/>
    <n v="51.2"/>
    <n v="55"/>
    <n v="52.5"/>
    <n v="52.3"/>
    <n v="56.208333333333336"/>
    <n v="1.1083333333333441"/>
    <n v="51.2"/>
    <n v="52.45"/>
    <n v="55.900000000000006"/>
  </r>
  <r>
    <n v="105"/>
    <x v="4"/>
    <x v="4"/>
    <x v="1"/>
    <x v="2"/>
    <x v="1"/>
    <x v="1"/>
    <x v="0"/>
    <n v="13.093999999999999"/>
    <n v="61.3"/>
    <n v="48.9"/>
    <n v="59.5"/>
    <n v="49.8"/>
    <n v="51.4"/>
    <n v="57.8"/>
    <n v="53.1"/>
    <n v="55.7"/>
    <n v="50"/>
    <n v="57.2"/>
    <n v="51.6"/>
    <n v="56.8"/>
    <n v="54.425000000000004"/>
    <n v="1.198997371544106"/>
    <n v="48.9"/>
    <n v="51.05"/>
    <n v="54.400000000000006"/>
  </r>
  <r>
    <n v="106"/>
    <x v="5"/>
    <x v="5"/>
    <x v="1"/>
    <x v="1"/>
    <x v="0"/>
    <x v="1"/>
    <x v="0"/>
    <n v="13.077999999999999"/>
    <n v="61.7"/>
    <n v="59.6"/>
    <n v="59.3"/>
    <n v="60.2"/>
    <n v="57.9"/>
    <n v="58.1"/>
    <n v="50.2"/>
    <n v="61.4"/>
    <n v="44.2"/>
    <n v="60.9"/>
    <n v="53.7"/>
    <n v="62.4"/>
    <n v="57.466666666666669"/>
    <n v="1.5775092245484297"/>
    <n v="44.2"/>
    <n v="56.85"/>
    <n v="59.45"/>
  </r>
  <r>
    <n v="107"/>
    <x v="3"/>
    <x v="3"/>
    <x v="1"/>
    <x v="1"/>
    <x v="1"/>
    <x v="1"/>
    <x v="0"/>
    <n v="13.061999999999999"/>
    <n v="60.8"/>
    <n v="55.1"/>
    <n v="50.9"/>
    <n v="60.6"/>
    <n v="52.8"/>
    <n v="57"/>
    <n v="58.2"/>
    <n v="53"/>
    <n v="56.7"/>
    <n v="58"/>
    <n v="57.4"/>
    <n v="57.8"/>
    <n v="56.524999999999984"/>
    <n v="0.88112574344285732"/>
    <n v="50.9"/>
    <n v="54.575000000000003"/>
    <n v="57.2"/>
  </r>
  <r>
    <n v="108"/>
    <x v="6"/>
    <x v="6"/>
    <x v="0"/>
    <x v="1"/>
    <x v="0"/>
    <x v="1"/>
    <x v="0"/>
    <n v="13.045"/>
    <n v="61.3"/>
    <n v="60.9"/>
    <n v="50.9"/>
    <n v="61.9"/>
    <n v="57.6"/>
    <n v="58"/>
    <n v="60.1"/>
    <n v="58.7"/>
    <n v="49.9"/>
    <n v="57.9"/>
    <n v="58.9"/>
    <n v="50.8"/>
    <n v="57.241666666666667"/>
    <n v="1.2350597049323067"/>
    <n v="49.9"/>
    <n v="55.924999999999997"/>
    <n v="58.35"/>
  </r>
  <r>
    <n v="201"/>
    <x v="4"/>
    <x v="4"/>
    <x v="1"/>
    <x v="2"/>
    <x v="1"/>
    <x v="0"/>
    <x v="0"/>
    <n v="13.189"/>
    <n v="60.8"/>
    <n v="48.3"/>
    <n v="55.5"/>
    <n v="51.3"/>
    <n v="53.6"/>
    <n v="51.7"/>
    <n v="48.4"/>
    <n v="58.3"/>
    <n v="42.4"/>
    <n v="50"/>
    <n v="45.9"/>
    <n v="48.9"/>
    <n v="51.258333333333326"/>
    <n v="1.4963317942167349"/>
    <n v="42.4"/>
    <n v="48.375"/>
    <n v="50.65"/>
  </r>
  <r>
    <n v="202"/>
    <x v="5"/>
    <x v="5"/>
    <x v="1"/>
    <x v="1"/>
    <x v="0"/>
    <x v="0"/>
    <x v="0"/>
    <n v="13.204000000000001"/>
    <n v="61.5"/>
    <n v="47"/>
    <n v="55.2"/>
    <n v="61.7"/>
    <n v="59.5"/>
    <n v="60.5"/>
    <n v="59.5"/>
    <n v="59.9"/>
    <n v="58.8"/>
    <n v="56.6"/>
    <n v="51.2"/>
    <n v="59.1"/>
    <n v="57.541666666666664"/>
    <n v="1.2811842493599526"/>
    <n v="47"/>
    <n v="56.25"/>
    <n v="59.3"/>
  </r>
  <r>
    <n v="203"/>
    <x v="6"/>
    <x v="6"/>
    <x v="0"/>
    <x v="1"/>
    <x v="0"/>
    <x v="0"/>
    <x v="0"/>
    <n v="13.218"/>
    <n v="60.5"/>
    <n v="54.5"/>
    <n v="54.3"/>
    <n v="65.3"/>
    <n v="50"/>
    <n v="58"/>
    <n v="50.2"/>
    <n v="58.8"/>
    <n v="50.3"/>
    <n v="59.4"/>
    <n v="46.7"/>
    <n v="61.9"/>
    <n v="55.82500000000001"/>
    <n v="1.6476394960945933"/>
    <n v="46.7"/>
    <n v="50.274999999999999"/>
    <n v="56.25"/>
  </r>
  <r>
    <n v="204"/>
    <x v="7"/>
    <x v="7"/>
    <x v="1"/>
    <x v="2"/>
    <x v="0"/>
    <x v="0"/>
    <x v="0"/>
    <n v="13.233000000000001"/>
    <n v="60.8"/>
    <n v="53.2"/>
    <n v="53.6"/>
    <n v="51.6"/>
    <n v="55.5"/>
    <n v="43.8"/>
    <n v="53.1"/>
    <n v="54.3"/>
    <n v="55.9"/>
    <n v="46.6"/>
    <n v="59.4"/>
    <n v="46.4"/>
    <n v="52.849999999999994"/>
    <n v="1.4807092894961122"/>
    <n v="43.8"/>
    <n v="50.35"/>
    <n v="53.400000000000006"/>
  </r>
  <r>
    <n v="205"/>
    <x v="0"/>
    <x v="0"/>
    <x v="0"/>
    <x v="0"/>
    <x v="0"/>
    <x v="1"/>
    <x v="0"/>
    <n v="13.249000000000001"/>
    <n v="60.5"/>
    <n v="57.2"/>
    <n v="54.5"/>
    <n v="61.7"/>
    <n v="58.8"/>
    <n v="56.8"/>
    <n v="59.2"/>
    <n v="59.3"/>
    <n v="59.7"/>
    <n v="60.8"/>
    <n v="55"/>
    <n v="61.7"/>
    <n v="58.766666666666673"/>
    <n v="0.69851935759093986"/>
    <n v="54.5"/>
    <n v="57.1"/>
    <n v="59.25"/>
  </r>
  <r>
    <n v="206"/>
    <x v="8"/>
    <x v="8"/>
    <x v="1"/>
    <x v="0"/>
    <x v="1"/>
    <x v="1"/>
    <x v="0"/>
    <n v="13.263999999999999"/>
    <n v="61.1"/>
    <n v="61"/>
    <n v="62"/>
    <n v="62.4"/>
    <n v="58.1"/>
    <n v="59.8"/>
    <n v="61.2"/>
    <n v="60.9"/>
    <n v="60.2"/>
    <n v="48.2"/>
    <n v="60.5"/>
    <n v="57.5"/>
    <n v="59.408333333333339"/>
    <n v="1.0990669826371424"/>
    <n v="48.2"/>
    <n v="59.375"/>
    <n v="60.7"/>
  </r>
  <r>
    <n v="207"/>
    <x v="1"/>
    <x v="1"/>
    <x v="0"/>
    <x v="1"/>
    <x v="1"/>
    <x v="1"/>
    <x v="0"/>
    <n v="13.281000000000001"/>
    <n v="61.1"/>
    <n v="54.1"/>
    <n v="49"/>
    <n v="55"/>
    <n v="55"/>
    <n v="59.6"/>
    <n v="56.8"/>
    <n v="59.8"/>
    <n v="53.6"/>
    <n v="59.8"/>
    <n v="48.4"/>
    <n v="61.3"/>
    <n v="56.125"/>
    <n v="1.2748217344183648"/>
    <n v="48.4"/>
    <n v="53.975000000000001"/>
    <n v="55.9"/>
  </r>
  <r>
    <n v="208"/>
    <x v="9"/>
    <x v="9"/>
    <x v="0"/>
    <x v="0"/>
    <x v="1"/>
    <x v="1"/>
    <x v="0"/>
    <n v="13.295999999999999"/>
    <n v="60.4"/>
    <n v="60.9"/>
    <n v="59.8"/>
    <n v="63.1"/>
    <n v="53.2"/>
    <n v="59.8"/>
    <n v="53.8"/>
    <n v="61.4"/>
    <n v="54.6"/>
    <n v="59.8"/>
    <n v="47.9"/>
    <n v="61.6"/>
    <n v="58.024999999999999"/>
    <n v="1.316165516440357"/>
    <n v="47.9"/>
    <n v="54.4"/>
    <n v="59.8"/>
  </r>
  <r>
    <n v="301"/>
    <x v="3"/>
    <x v="3"/>
    <x v="1"/>
    <x v="1"/>
    <x v="1"/>
    <x v="2"/>
    <x v="0"/>
    <n v="13.433"/>
    <n v="59.9"/>
    <n v="52.4"/>
    <n v="51"/>
    <n v="60.7"/>
    <n v="49.1"/>
    <n v="59.5"/>
    <n v="55.5"/>
    <n v="58.1"/>
    <n v="44.4"/>
    <n v="56.1"/>
    <n v="51.9"/>
    <n v="59.6"/>
    <n v="54.85"/>
    <n v="1.4777388541999299"/>
    <n v="44.4"/>
    <n v="51.674999999999997"/>
    <n v="55.8"/>
  </r>
  <r>
    <n v="302"/>
    <x v="1"/>
    <x v="1"/>
    <x v="0"/>
    <x v="1"/>
    <x v="1"/>
    <x v="2"/>
    <x v="0"/>
    <n v="13.449"/>
    <n v="60.1"/>
    <n v="52.6"/>
    <n v="48.7"/>
    <n v="61.2"/>
    <n v="56.9"/>
    <n v="55.4"/>
    <n v="56.6"/>
    <n v="53.7"/>
    <n v="52.1"/>
    <n v="50.6"/>
    <n v="55.2"/>
    <n v="46.9"/>
    <n v="54.166666666666664"/>
    <n v="1.2401327722987179"/>
    <n v="46.9"/>
    <n v="51.725000000000001"/>
    <n v="54.45"/>
  </r>
  <r>
    <n v="303"/>
    <x v="8"/>
    <x v="8"/>
    <x v="1"/>
    <x v="0"/>
    <x v="1"/>
    <x v="2"/>
    <x v="0"/>
    <n v="13.462999999999999"/>
    <n v="57.3"/>
    <n v="52.1"/>
    <n v="49.7"/>
    <n v="55.7"/>
    <n v="44.9"/>
    <n v="58.3"/>
    <n v="59.3"/>
    <n v="58.8"/>
    <n v="58.5"/>
    <n v="57.1"/>
    <n v="53.1"/>
    <n v="55.4"/>
    <n v="55.016666666666673"/>
    <n v="1.2569101926244288"/>
    <n v="44.9"/>
    <n v="52.85"/>
    <n v="56.400000000000006"/>
  </r>
  <r>
    <n v="304"/>
    <x v="9"/>
    <x v="9"/>
    <x v="0"/>
    <x v="0"/>
    <x v="1"/>
    <x v="2"/>
    <x v="0"/>
    <n v="13.478"/>
    <n v="60.7"/>
    <n v="59.4"/>
    <n v="57.3"/>
    <n v="56.9"/>
    <n v="56"/>
    <n v="54"/>
    <n v="54.6"/>
    <n v="55.6"/>
    <n v="52.8"/>
    <n v="56.8"/>
    <n v="53.9"/>
    <n v="59.1"/>
    <n v="56.425000000000004"/>
    <n v="0.70174295993486424"/>
    <n v="52.8"/>
    <n v="54.45"/>
    <n v="56.4"/>
  </r>
  <r>
    <n v="305"/>
    <x v="7"/>
    <x v="7"/>
    <x v="1"/>
    <x v="2"/>
    <x v="0"/>
    <x v="3"/>
    <x v="0"/>
    <n v="13.494"/>
    <n v="60.3"/>
    <n v="52.8"/>
    <n v="52.1"/>
    <n v="43.4"/>
    <n v="53.2"/>
    <n v="45.6"/>
    <n v="51.9"/>
    <n v="44.9"/>
    <n v="50.2"/>
    <n v="43.1"/>
    <n v="58.5"/>
    <n v="43.2"/>
    <n v="49.933333333333337"/>
    <n v="1.7127124213900591"/>
    <n v="43.1"/>
    <n v="44.524999999999999"/>
    <n v="51.05"/>
  </r>
  <r>
    <n v="306"/>
    <x v="1"/>
    <x v="1"/>
    <x v="0"/>
    <x v="1"/>
    <x v="1"/>
    <x v="3"/>
    <x v="0"/>
    <n v="13.509"/>
    <n v="59.7"/>
    <n v="53"/>
    <n v="52.8"/>
    <n v="61.7"/>
    <n v="55.5"/>
    <n v="57.3"/>
    <n v="52.2"/>
    <n v="54.7"/>
    <n v="52.4"/>
    <n v="51.3"/>
    <n v="53.6"/>
    <n v="56.5"/>
    <n v="55.05833333333333"/>
    <n v="0.92895006987634776"/>
    <n v="51.3"/>
    <n v="52.699999999999996"/>
    <n v="54.150000000000006"/>
  </r>
  <r>
    <n v="307"/>
    <x v="5"/>
    <x v="5"/>
    <x v="1"/>
    <x v="1"/>
    <x v="0"/>
    <x v="3"/>
    <x v="0"/>
    <n v="13.525"/>
    <n v="60.3"/>
    <n v="60.7"/>
    <n v="46.5"/>
    <n v="60.6"/>
    <n v="53"/>
    <n v="57"/>
    <n v="43.5"/>
    <n v="60.1"/>
    <n v="52.2"/>
    <n v="59.1"/>
    <n v="54.2"/>
    <n v="60"/>
    <n v="55.6"/>
    <n v="1.6886878535320415"/>
    <n v="43.5"/>
    <n v="52.8"/>
    <n v="58.05"/>
  </r>
  <r>
    <n v="308"/>
    <x v="2"/>
    <x v="2"/>
    <x v="0"/>
    <x v="2"/>
    <x v="0"/>
    <x v="3"/>
    <x v="0"/>
    <n v="13.539"/>
    <n v="60.9"/>
    <n v="58.9"/>
    <n v="48.4"/>
    <n v="53.9"/>
    <n v="45.5"/>
    <n v="59.6"/>
    <n v="43.8"/>
    <n v="58.1"/>
    <n v="43.2"/>
    <n v="58.3"/>
    <n v="49.7"/>
    <n v="50.8"/>
    <n v="52.591666666666669"/>
    <n v="1.8819500819923689"/>
    <n v="43.2"/>
    <n v="47.674999999999997"/>
    <n v="52.349999999999994"/>
  </r>
  <r>
    <n v="403"/>
    <x v="10"/>
    <x v="10"/>
    <x v="0"/>
    <x v="2"/>
    <x v="1"/>
    <x v="2"/>
    <x v="0"/>
    <n v="13.645"/>
    <n v="60.1"/>
    <n v="49.7"/>
    <n v="54"/>
    <n v="56"/>
    <n v="57.3"/>
    <n v="53.8"/>
    <n v="49.9"/>
    <n v="58.5"/>
    <n v="52.9"/>
    <n v="51.6"/>
    <n v="48.6"/>
    <n v="46.7"/>
    <n v="53.258333333333333"/>
    <n v="1.2013539289593973"/>
    <n v="46.7"/>
    <n v="49.85"/>
    <n v="53.349999999999994"/>
  </r>
  <r>
    <n v="404"/>
    <x v="6"/>
    <x v="6"/>
    <x v="0"/>
    <x v="1"/>
    <x v="0"/>
    <x v="2"/>
    <x v="0"/>
    <n v="13.63"/>
    <n v="60.8"/>
    <n v="58.9"/>
    <n v="56.9"/>
    <n v="61.4"/>
    <n v="53"/>
    <n v="58.3"/>
    <n v="49.8"/>
    <n v="59.1"/>
    <n v="49.8"/>
    <n v="60.5"/>
    <n v="48.9"/>
    <n v="57.2"/>
    <n v="56.216666666666669"/>
    <n v="1.3306886650273619"/>
    <n v="48.9"/>
    <n v="52.2"/>
    <n v="57.75"/>
  </r>
  <r>
    <n v="405"/>
    <x v="10"/>
    <x v="10"/>
    <x v="0"/>
    <x v="2"/>
    <x v="1"/>
    <x v="3"/>
    <x v="0"/>
    <n v="13.613"/>
    <n v="59.7"/>
    <n v="51"/>
    <n v="52.7"/>
    <n v="54.3"/>
    <n v="48.7"/>
    <n v="59.1"/>
    <n v="46.3"/>
    <n v="60.3"/>
    <n v="50.7"/>
    <n v="45.3"/>
    <n v="57.3"/>
    <n v="55.8"/>
    <n v="53.43333333333333"/>
    <n v="1.4903900919768371"/>
    <n v="45.3"/>
    <n v="50.2"/>
    <n v="53.5"/>
  </r>
  <r>
    <n v="406"/>
    <x v="6"/>
    <x v="6"/>
    <x v="0"/>
    <x v="1"/>
    <x v="0"/>
    <x v="3"/>
    <x v="0"/>
    <n v="13.597"/>
    <n v="61.7"/>
    <n v="57"/>
    <n v="52.9"/>
    <n v="61.7"/>
    <n v="42.9"/>
    <n v="60.4"/>
    <n v="50.6"/>
    <n v="58.8"/>
    <n v="50.9"/>
    <n v="59.2"/>
    <n v="56.4"/>
    <n v="52.4"/>
    <n v="55.408333333333331"/>
    <n v="1.6253884539588264"/>
    <n v="42.9"/>
    <n v="52.024999999999999"/>
    <n v="56.7"/>
  </r>
  <r>
    <n v="407"/>
    <x v="11"/>
    <x v="11"/>
    <x v="1"/>
    <x v="0"/>
    <x v="0"/>
    <x v="3"/>
    <x v="0"/>
    <n v="13.582000000000001"/>
    <n v="61.1"/>
    <n v="59.3"/>
    <n v="40.6"/>
    <n v="61.4"/>
    <n v="48.7"/>
    <n v="59.8"/>
    <n v="45.2"/>
    <n v="60"/>
    <n v="51"/>
    <n v="61"/>
    <n v="52.5"/>
    <n v="56.3"/>
    <n v="54.741666666666667"/>
    <n v="2.0355350102068481"/>
    <n v="40.6"/>
    <n v="50.424999999999997"/>
    <n v="57.8"/>
  </r>
  <r>
    <n v="408"/>
    <x v="3"/>
    <x v="3"/>
    <x v="1"/>
    <x v="1"/>
    <x v="1"/>
    <x v="3"/>
    <x v="0"/>
    <n v="13.568"/>
    <n v="60"/>
    <n v="59.8"/>
    <n v="56.7"/>
    <n v="61.1"/>
    <n v="46.7"/>
    <n v="58.1"/>
    <n v="55.9"/>
    <n v="60"/>
    <n v="43.2"/>
    <n v="59.9"/>
    <n v="47.2"/>
    <n v="59"/>
    <n v="55.633333333333333"/>
    <n v="1.800098201586112"/>
    <n v="43.2"/>
    <n v="53.725000000000001"/>
    <n v="58.55"/>
  </r>
  <r>
    <n v="901"/>
    <x v="12"/>
    <x v="12"/>
    <x v="2"/>
    <x v="3"/>
    <x v="1"/>
    <x v="0"/>
    <x v="0"/>
    <n v="13.414999999999999"/>
    <n v="33.299999999999997"/>
    <n v="35.700000000000003"/>
    <n v="34.299999999999997"/>
    <n v="35"/>
    <n v="33.299999999999997"/>
    <n v="35.5"/>
    <n v="34.9"/>
    <n v="33.1"/>
    <n v="35.6"/>
    <n v="33.6"/>
    <n v="35"/>
    <n v="35"/>
    <n v="34.525000000000006"/>
    <n v="0.2785582469963358"/>
    <n v="33.1"/>
    <n v="33.524999999999999"/>
    <n v="34.950000000000003"/>
  </r>
  <r>
    <n v="902"/>
    <x v="13"/>
    <x v="13"/>
    <x v="3"/>
    <x v="1"/>
    <x v="0"/>
    <x v="0"/>
    <x v="0"/>
    <n v="13.4"/>
    <n v="62.5"/>
    <n v="54.3"/>
    <n v="57.4"/>
    <n v="55.6"/>
    <n v="52.5"/>
    <n v="59.4"/>
    <n v="52.6"/>
    <n v="63.2"/>
    <n v="51.8"/>
    <n v="59.8"/>
    <n v="46.7"/>
    <n v="58.7"/>
    <n v="56.208333333333336"/>
    <n v="1.402943784556713"/>
    <n v="46.7"/>
    <n v="52.575000000000003"/>
    <n v="56.5"/>
  </r>
  <r>
    <n v="903"/>
    <x v="14"/>
    <x v="14"/>
    <x v="4"/>
    <x v="3"/>
    <x v="1"/>
    <x v="0"/>
    <x v="0"/>
    <n v="13.39"/>
    <n v="61.9"/>
    <n v="64.099999999999994"/>
    <n v="64.2"/>
    <n v="65"/>
    <n v="65.599999999999994"/>
    <n v="64.099999999999994"/>
    <n v="65.099999999999994"/>
    <n v="65.099999999999994"/>
    <n v="65.400000000000006"/>
    <n v="62.6"/>
    <n v="65.599999999999994"/>
    <n v="64.599999999999994"/>
    <n v="64.441666666666677"/>
    <n v="0.33652824937312892"/>
    <n v="61.9"/>
    <n v="64.099999999999994"/>
    <n v="64.8"/>
  </r>
  <r>
    <n v="904"/>
    <x v="15"/>
    <x v="15"/>
    <x v="5"/>
    <x v="1"/>
    <x v="0"/>
    <x v="0"/>
    <x v="0"/>
    <n v="13.375"/>
    <n v="61.8"/>
    <n v="60.7"/>
    <n v="57.5"/>
    <n v="59.6"/>
    <n v="46.4"/>
    <n v="56.4"/>
    <n v="55.3"/>
    <n v="62.5"/>
    <n v="52.4"/>
    <n v="53.1"/>
    <n v="55.5"/>
    <n v="53.8"/>
    <n v="56.25"/>
    <n v="1.3249070865078734"/>
    <n v="46.4"/>
    <n v="53.625"/>
    <n v="55.95"/>
  </r>
  <r>
    <n v="905"/>
    <x v="12"/>
    <x v="12"/>
    <x v="2"/>
    <x v="3"/>
    <x v="1"/>
    <x v="1"/>
    <x v="0"/>
    <n v="13.366"/>
    <n v="35.6"/>
    <n v="37.6"/>
    <n v="35.299999999999997"/>
    <n v="38.700000000000003"/>
    <n v="34.9"/>
    <n v="35.299999999999997"/>
    <n v="35.9"/>
    <n v="34.799999999999997"/>
    <n v="36.299999999999997"/>
    <n v="34.4"/>
    <n v="36.5"/>
    <n v="35.9"/>
    <n v="35.93333333333333"/>
    <n v="0.35362480830751841"/>
    <n v="34.4"/>
    <n v="35.200000000000003"/>
    <n v="35.75"/>
  </r>
  <r>
    <n v="906"/>
    <x v="13"/>
    <x v="13"/>
    <x v="3"/>
    <x v="1"/>
    <x v="0"/>
    <x v="1"/>
    <x v="0"/>
    <n v="13.349"/>
    <n v="62.4"/>
    <n v="60.8"/>
    <n v="55"/>
    <n v="56"/>
    <n v="56.5"/>
    <n v="57.3"/>
    <n v="54.9"/>
    <n v="61.3"/>
    <n v="41.7"/>
    <n v="58.9"/>
    <n v="44.4"/>
    <n v="58.2"/>
    <n v="55.616666666666667"/>
    <n v="1.8397477319381872"/>
    <n v="41.7"/>
    <n v="54.975000000000001"/>
    <n v="56.9"/>
  </r>
  <r>
    <n v="907"/>
    <x v="14"/>
    <x v="14"/>
    <x v="4"/>
    <x v="3"/>
    <x v="1"/>
    <x v="1"/>
    <x v="0"/>
    <n v="13.34"/>
    <n v="62.9"/>
    <n v="64.7"/>
    <n v="65.400000000000006"/>
    <n v="64.599999999999994"/>
    <n v="66.5"/>
    <n v="63.5"/>
    <n v="66.3"/>
    <n v="65.8"/>
    <n v="67.7"/>
    <n v="63"/>
    <n v="66.099999999999994"/>
    <n v="63.7"/>
    <n v="65.01666666666668"/>
    <n v="0.44241645904297716"/>
    <n v="62.9"/>
    <n v="63.65"/>
    <n v="65.05"/>
  </r>
  <r>
    <n v="908"/>
    <x v="15"/>
    <x v="15"/>
    <x v="5"/>
    <x v="1"/>
    <x v="0"/>
    <x v="1"/>
    <x v="0"/>
    <n v="13.324"/>
    <n v="61.7"/>
    <n v="50.6"/>
    <n v="51.5"/>
    <n v="56.4"/>
    <n v="51"/>
    <n v="55.3"/>
    <n v="48.4"/>
    <n v="50.7"/>
    <n v="53.5"/>
    <n v="61"/>
    <n v="54.5"/>
    <n v="60.1"/>
    <n v="54.558333333333337"/>
    <n v="1.2873780220732003"/>
    <n v="48.4"/>
    <n v="50.924999999999997"/>
    <n v="54"/>
  </r>
  <r>
    <n v="101"/>
    <x v="0"/>
    <x v="0"/>
    <x v="0"/>
    <x v="0"/>
    <x v="0"/>
    <x v="0"/>
    <x v="1"/>
    <n v="13.163"/>
    <n v="36.1"/>
    <n v="32.6"/>
    <n v="35.700000000000003"/>
    <n v="32.6"/>
    <n v="34.1"/>
    <n v="33.299999999999997"/>
    <n v="34.799999999999997"/>
    <n v="32.9"/>
    <n v="37.299999999999997"/>
    <n v="33.6"/>
    <n v="34.5"/>
    <n v="31.6"/>
    <n v="34.091666666666669"/>
    <n v="0.48091742082871342"/>
    <n v="31.6"/>
    <n v="32.825000000000003"/>
    <n v="33.85"/>
  </r>
  <r>
    <n v="102"/>
    <x v="1"/>
    <x v="1"/>
    <x v="0"/>
    <x v="1"/>
    <x v="1"/>
    <x v="0"/>
    <x v="1"/>
    <n v="13.148"/>
    <n v="40.6"/>
    <n v="33.200000000000003"/>
    <n v="33.9"/>
    <n v="33.5"/>
    <n v="40.1"/>
    <n v="33.6"/>
    <n v="32.700000000000003"/>
    <n v="33.200000000000003"/>
    <n v="36.9"/>
    <n v="35.799999999999997"/>
    <n v="32.700000000000003"/>
    <n v="35.1"/>
    <n v="35.108333333333334"/>
    <n v="0.7975776140947487"/>
    <n v="32.700000000000003"/>
    <n v="33.200000000000003"/>
    <n v="33.75"/>
  </r>
  <r>
    <n v="103"/>
    <x v="2"/>
    <x v="2"/>
    <x v="0"/>
    <x v="2"/>
    <x v="0"/>
    <x v="0"/>
    <x v="1"/>
    <n v="13.13"/>
    <n v="34.700000000000003"/>
    <n v="33.6"/>
    <n v="33.9"/>
    <n v="35.4"/>
    <n v="32.9"/>
    <n v="32.1"/>
    <n v="33.9"/>
    <n v="31.8"/>
    <n v="32.9"/>
    <n v="34.5"/>
    <n v="34.299999999999997"/>
    <n v="38.1"/>
    <n v="34.008333333333333"/>
    <n v="0.48186165708183559"/>
    <n v="31.8"/>
    <n v="32.9"/>
    <n v="33.9"/>
  </r>
  <r>
    <n v="104"/>
    <x v="3"/>
    <x v="3"/>
    <x v="1"/>
    <x v="1"/>
    <x v="1"/>
    <x v="0"/>
    <x v="1"/>
    <n v="13.113"/>
    <n v="34.6"/>
    <n v="33.700000000000003"/>
    <n v="33.9"/>
    <n v="32.5"/>
    <n v="34.9"/>
    <n v="32.299999999999997"/>
    <n v="33.200000000000003"/>
    <n v="32.6"/>
    <n v="33"/>
    <n v="31.6"/>
    <n v="33.700000000000003"/>
    <n v="33.1"/>
    <n v="33.25833333333334"/>
    <n v="0.27619117592083681"/>
    <n v="31.6"/>
    <n v="32.575000000000003"/>
    <n v="33.15"/>
  </r>
  <r>
    <n v="105"/>
    <x v="4"/>
    <x v="4"/>
    <x v="1"/>
    <x v="2"/>
    <x v="1"/>
    <x v="1"/>
    <x v="1"/>
    <n v="13.098000000000001"/>
    <n v="33.6"/>
    <n v="32.299999999999997"/>
    <n v="33.799999999999997"/>
    <n v="32"/>
    <n v="33"/>
    <n v="36.1"/>
    <n v="31.1"/>
    <n v="32.299999999999997"/>
    <n v="33.5"/>
    <n v="32.6"/>
    <n v="33.4"/>
    <n v="35.9"/>
    <n v="33.299999999999997"/>
    <n v="0.42728884560184849"/>
    <n v="31.1"/>
    <n v="32.299999999999997"/>
    <n v="33.200000000000003"/>
  </r>
  <r>
    <n v="106"/>
    <x v="5"/>
    <x v="5"/>
    <x v="1"/>
    <x v="1"/>
    <x v="0"/>
    <x v="1"/>
    <x v="1"/>
    <n v="13.083"/>
    <n v="42.2"/>
    <n v="34.700000000000003"/>
    <n v="34.6"/>
    <n v="37.299999999999997"/>
    <n v="38.1"/>
    <n v="32.200000000000003"/>
    <n v="36.9"/>
    <n v="32.5"/>
    <n v="32.299999999999997"/>
    <n v="32.5"/>
    <n v="31.8"/>
    <n v="33.4"/>
    <n v="34.875"/>
    <n v="0.91636014158784773"/>
    <n v="31.8"/>
    <n v="32.450000000000003"/>
    <n v="34"/>
  </r>
  <r>
    <n v="107"/>
    <x v="3"/>
    <x v="3"/>
    <x v="1"/>
    <x v="1"/>
    <x v="1"/>
    <x v="1"/>
    <x v="1"/>
    <n v="13.067"/>
    <n v="31.7"/>
    <n v="30.7"/>
    <n v="34.700000000000003"/>
    <n v="35.4"/>
    <n v="33.200000000000003"/>
    <n v="33.700000000000003"/>
    <n v="33.4"/>
    <n v="32.799999999999997"/>
    <n v="32.5"/>
    <n v="33.299999999999997"/>
    <n v="34.799999999999997"/>
    <n v="32.4"/>
    <n v="33.216666666666661"/>
    <n v="0.38667842197389651"/>
    <n v="30.7"/>
    <n v="32.475000000000001"/>
    <n v="33.25"/>
  </r>
  <r>
    <n v="108"/>
    <x v="6"/>
    <x v="6"/>
    <x v="0"/>
    <x v="1"/>
    <x v="0"/>
    <x v="1"/>
    <x v="1"/>
    <n v="13.05"/>
    <n v="35.200000000000003"/>
    <n v="32.700000000000003"/>
    <n v="32.1"/>
    <n v="31.3"/>
    <n v="32.799999999999997"/>
    <n v="32.9"/>
    <n v="32"/>
    <n v="33.200000000000003"/>
    <n v="33.799999999999997"/>
    <n v="33.4"/>
    <n v="33"/>
    <n v="32.1"/>
    <n v="32.875"/>
    <n v="0.2905389453891456"/>
    <n v="31.3"/>
    <n v="32.1"/>
    <n v="32.85"/>
  </r>
  <r>
    <n v="201"/>
    <x v="4"/>
    <x v="4"/>
    <x v="1"/>
    <x v="2"/>
    <x v="1"/>
    <x v="0"/>
    <x v="1"/>
    <n v="13.194000000000001"/>
    <n v="30.5"/>
    <n v="35"/>
    <n v="31.8"/>
    <n v="30.6"/>
    <n v="32"/>
    <n v="32.299999999999997"/>
    <n v="33.200000000000003"/>
    <n v="31.7"/>
    <n v="34.6"/>
    <n v="34.299999999999997"/>
    <n v="33.799999999999997"/>
    <n v="32.1"/>
    <n v="32.658333333333339"/>
    <n v="0.43492568737124199"/>
    <n v="30.5"/>
    <n v="31.774999999999999"/>
    <n v="32.200000000000003"/>
  </r>
  <r>
    <n v="202"/>
    <x v="5"/>
    <x v="5"/>
    <x v="1"/>
    <x v="1"/>
    <x v="0"/>
    <x v="0"/>
    <x v="1"/>
    <n v="13.208"/>
    <n v="37"/>
    <n v="33"/>
    <n v="32.200000000000003"/>
    <n v="35.6"/>
    <n v="34.1"/>
    <n v="33"/>
    <n v="33.200000000000003"/>
    <n v="32.200000000000003"/>
    <n v="34.6"/>
    <n v="32.1"/>
    <n v="32.9"/>
    <n v="32.1"/>
    <n v="33.5"/>
    <n v="0.44789067930247195"/>
    <n v="32.1"/>
    <n v="32.200000000000003"/>
    <n v="33"/>
  </r>
  <r>
    <n v="203"/>
    <x v="6"/>
    <x v="6"/>
    <x v="0"/>
    <x v="1"/>
    <x v="0"/>
    <x v="0"/>
    <x v="1"/>
    <n v="13.223000000000001"/>
    <n v="31"/>
    <n v="33.299999999999997"/>
    <n v="30.4"/>
    <n v="30.7"/>
    <n v="30.6"/>
    <n v="29.9"/>
    <n v="31.4"/>
    <n v="30.5"/>
    <n v="32.9"/>
    <n v="33.700000000000003"/>
    <n v="30.2"/>
    <n v="32.9"/>
    <n v="31.458333333333329"/>
    <n v="0.39069835169886724"/>
    <n v="29.9"/>
    <n v="30.475000000000001"/>
    <n v="30.85"/>
  </r>
  <r>
    <n v="204"/>
    <x v="7"/>
    <x v="7"/>
    <x v="1"/>
    <x v="2"/>
    <x v="0"/>
    <x v="0"/>
    <x v="1"/>
    <n v="13.237"/>
    <n v="38.200000000000003"/>
    <n v="33.1"/>
    <n v="32.200000000000003"/>
    <n v="32.5"/>
    <n v="32.1"/>
    <n v="33.1"/>
    <n v="31.7"/>
    <n v="32.6"/>
    <n v="33.1"/>
    <n v="36.200000000000003"/>
    <n v="33.1"/>
    <n v="32.799999999999997"/>
    <n v="33.391666666666673"/>
    <n v="0.54403909358934688"/>
    <n v="31.7"/>
    <n v="32.424999999999997"/>
    <n v="32.950000000000003"/>
  </r>
  <r>
    <n v="205"/>
    <x v="0"/>
    <x v="0"/>
    <x v="0"/>
    <x v="0"/>
    <x v="0"/>
    <x v="1"/>
    <x v="1"/>
    <n v="13.254"/>
    <n v="31.3"/>
    <n v="30.8"/>
    <n v="36.5"/>
    <n v="30.7"/>
    <n v="34.5"/>
    <n v="33.4"/>
    <n v="33.9"/>
    <n v="31.6"/>
    <n v="34.4"/>
    <n v="33.1"/>
    <n v="31.2"/>
    <n v="39"/>
    <n v="33.366666666666667"/>
    <n v="0.72846178050505594"/>
    <n v="30.7"/>
    <n v="31.274999999999999"/>
    <n v="33.25"/>
  </r>
  <r>
    <n v="206"/>
    <x v="8"/>
    <x v="8"/>
    <x v="1"/>
    <x v="0"/>
    <x v="1"/>
    <x v="1"/>
    <x v="1"/>
    <n v="13.269"/>
    <n v="37.6"/>
    <n v="32.9"/>
    <n v="32.799999999999997"/>
    <n v="30.8"/>
    <n v="38.4"/>
    <n v="34.4"/>
    <n v="33.4"/>
    <n v="34.5"/>
    <n v="32.6"/>
    <n v="31.4"/>
    <n v="32.9"/>
    <n v="34.200000000000003"/>
    <n v="33.825000000000003"/>
    <n v="0.64890642272562127"/>
    <n v="30.8"/>
    <n v="32.75"/>
    <n v="33.15"/>
  </r>
  <r>
    <n v="207"/>
    <x v="1"/>
    <x v="1"/>
    <x v="0"/>
    <x v="1"/>
    <x v="1"/>
    <x v="1"/>
    <x v="1"/>
    <n v="13.286"/>
    <n v="34.200000000000003"/>
    <n v="36"/>
    <n v="30.6"/>
    <n v="31.7"/>
    <n v="32.700000000000003"/>
    <n v="32.1"/>
    <n v="32.200000000000003"/>
    <n v="31.1"/>
    <n v="32"/>
    <n v="32"/>
    <n v="30.3"/>
    <n v="31.5"/>
    <n v="32.200000000000003"/>
    <n v="0.45142870842234023"/>
    <n v="30.3"/>
    <n v="31.4"/>
    <n v="32"/>
  </r>
  <r>
    <n v="208"/>
    <x v="9"/>
    <x v="9"/>
    <x v="0"/>
    <x v="0"/>
    <x v="1"/>
    <x v="1"/>
    <x v="1"/>
    <n v="13.301"/>
    <n v="39.4"/>
    <n v="31.8"/>
    <n v="33.4"/>
    <n v="32"/>
    <n v="30.4"/>
    <n v="35.700000000000003"/>
    <n v="33.700000000000003"/>
    <n v="33.200000000000003"/>
    <n v="35.4"/>
    <n v="37.5"/>
    <n v="40.5"/>
    <n v="36.700000000000003"/>
    <n v="34.975000000000001"/>
    <n v="0.90152438243302579"/>
    <n v="30.4"/>
    <n v="32.9"/>
    <n v="34.549999999999997"/>
  </r>
  <r>
    <n v="301"/>
    <x v="3"/>
    <x v="3"/>
    <x v="1"/>
    <x v="1"/>
    <x v="1"/>
    <x v="2"/>
    <x v="1"/>
    <n v="13.436999999999999"/>
    <n v="31.7"/>
    <n v="31.6"/>
    <n v="32.4"/>
    <n v="30.1"/>
    <n v="32.200000000000003"/>
    <n v="30.9"/>
    <n v="31.4"/>
    <n v="30.7"/>
    <n v="36.799999999999997"/>
    <n v="36.5"/>
    <n v="31.1"/>
    <n v="34.9"/>
    <n v="32.524999999999999"/>
    <n v="0.65437050481800041"/>
    <n v="30.1"/>
    <n v="31.05"/>
    <n v="31.65"/>
  </r>
  <r>
    <n v="302"/>
    <x v="1"/>
    <x v="1"/>
    <x v="0"/>
    <x v="1"/>
    <x v="1"/>
    <x v="2"/>
    <x v="1"/>
    <n v="13.452999999999999"/>
    <n v="30"/>
    <n v="30.1"/>
    <n v="31.8"/>
    <n v="30.8"/>
    <n v="31.6"/>
    <n v="30.7"/>
    <n v="32.5"/>
    <n v="31.3"/>
    <n v="33.5"/>
    <n v="33.200000000000003"/>
    <n v="33.4"/>
    <n v="30.7"/>
    <n v="31.633333333333329"/>
    <n v="0.36313728377668436"/>
    <n v="30"/>
    <n v="30.7"/>
    <n v="31.45"/>
  </r>
  <r>
    <n v="303"/>
    <x v="8"/>
    <x v="8"/>
    <x v="1"/>
    <x v="0"/>
    <x v="1"/>
    <x v="2"/>
    <x v="1"/>
    <n v="13.468"/>
    <n v="33.5"/>
    <n v="30.1"/>
    <n v="32.299999999999997"/>
    <n v="31.5"/>
    <n v="31.4"/>
    <n v="35.200000000000003"/>
    <n v="31"/>
    <n v="31.3"/>
    <n v="31.3"/>
    <n v="30.7"/>
    <n v="32.6"/>
    <n v="31"/>
    <n v="31.824999999999999"/>
    <n v="0.40323032744288251"/>
    <n v="30.1"/>
    <n v="31"/>
    <n v="31.35"/>
  </r>
  <r>
    <n v="304"/>
    <x v="9"/>
    <x v="9"/>
    <x v="0"/>
    <x v="0"/>
    <x v="1"/>
    <x v="2"/>
    <x v="1"/>
    <n v="13.483000000000001"/>
    <n v="35.799999999999997"/>
    <n v="33.1"/>
    <n v="31.9"/>
    <n v="30.6"/>
    <n v="36.6"/>
    <n v="30.8"/>
    <n v="37.200000000000003"/>
    <n v="32.299999999999997"/>
    <n v="31.9"/>
    <n v="30.5"/>
    <n v="31.4"/>
    <n v="32.700000000000003"/>
    <n v="32.9"/>
    <n v="0.67834468756786259"/>
    <n v="30.5"/>
    <n v="31.25"/>
    <n v="32.1"/>
  </r>
  <r>
    <n v="305"/>
    <x v="7"/>
    <x v="7"/>
    <x v="1"/>
    <x v="2"/>
    <x v="0"/>
    <x v="3"/>
    <x v="1"/>
    <n v="13.499000000000001"/>
    <n v="35.6"/>
    <n v="36"/>
    <n v="37.6"/>
    <n v="31.8"/>
    <n v="33.700000000000003"/>
    <n v="34.4"/>
    <n v="33.6"/>
    <n v="35.200000000000003"/>
    <n v="33.200000000000003"/>
    <n v="34"/>
    <n v="33.9"/>
    <n v="33"/>
    <n v="34.333333333333329"/>
    <n v="0.44828517258508244"/>
    <n v="31.8"/>
    <n v="33.5"/>
    <n v="33.950000000000003"/>
  </r>
  <r>
    <n v="306"/>
    <x v="1"/>
    <x v="1"/>
    <x v="0"/>
    <x v="1"/>
    <x v="1"/>
    <x v="3"/>
    <x v="1"/>
    <n v="13.513"/>
    <n v="34.4"/>
    <n v="31.2"/>
    <n v="29.9"/>
    <n v="29.8"/>
    <n v="30.9"/>
    <n v="29.8"/>
    <n v="32.5"/>
    <n v="32.4"/>
    <n v="30"/>
    <n v="32.5"/>
    <n v="31.8"/>
    <n v="32.6"/>
    <n v="31.483333333333334"/>
    <n v="0.42244478450986583"/>
    <n v="29.8"/>
    <n v="29.975000000000001"/>
    <n v="31.5"/>
  </r>
  <r>
    <n v="307"/>
    <x v="5"/>
    <x v="5"/>
    <x v="1"/>
    <x v="1"/>
    <x v="0"/>
    <x v="3"/>
    <x v="1"/>
    <n v="13.529"/>
    <n v="31"/>
    <n v="31"/>
    <n v="32.299999999999997"/>
    <n v="31.3"/>
    <n v="33.799999999999997"/>
    <n v="33"/>
    <n v="32.6"/>
    <n v="31"/>
    <n v="33.4"/>
    <n v="31.4"/>
    <n v="31.6"/>
    <n v="31"/>
    <n v="31.95"/>
    <n v="0.29682665076786541"/>
    <n v="31"/>
    <n v="31"/>
    <n v="31.5"/>
  </r>
  <r>
    <n v="308"/>
    <x v="2"/>
    <x v="2"/>
    <x v="0"/>
    <x v="2"/>
    <x v="0"/>
    <x v="3"/>
    <x v="1"/>
    <n v="13.544"/>
    <n v="34.700000000000003"/>
    <n v="31.9"/>
    <n v="35.299999999999997"/>
    <n v="31.5"/>
    <n v="34.1"/>
    <n v="39.200000000000003"/>
    <n v="33.200000000000003"/>
    <n v="35.299999999999997"/>
    <n v="33.5"/>
    <n v="32.9"/>
    <n v="34.799999999999997"/>
    <n v="35.9"/>
    <n v="34.358333333333327"/>
    <n v="0.59281791539063899"/>
    <n v="31.5"/>
    <n v="33.125"/>
    <n v="34.4"/>
  </r>
  <r>
    <n v="403"/>
    <x v="10"/>
    <x v="10"/>
    <x v="0"/>
    <x v="2"/>
    <x v="1"/>
    <x v="2"/>
    <x v="1"/>
    <n v="13.65"/>
    <n v="31"/>
    <n v="30.4"/>
    <n v="31.8"/>
    <n v="33.200000000000003"/>
    <n v="34.200000000000003"/>
    <n v="33.799999999999997"/>
    <n v="30.2"/>
    <n v="30.3"/>
    <n v="29.3"/>
    <n v="29.6"/>
    <n v="32.9"/>
    <n v="28.8"/>
    <n v="31.291666666666671"/>
    <n v="0.53178634541674874"/>
    <n v="28.8"/>
    <n v="30.05"/>
    <n v="30.7"/>
  </r>
  <r>
    <n v="404"/>
    <x v="6"/>
    <x v="6"/>
    <x v="0"/>
    <x v="1"/>
    <x v="0"/>
    <x v="2"/>
    <x v="1"/>
    <n v="13.634"/>
    <n v="30.3"/>
    <n v="32.799999999999997"/>
    <n v="30.2"/>
    <n v="30.6"/>
    <n v="33.5"/>
    <n v="30.8"/>
    <n v="31.9"/>
    <n v="30.7"/>
    <n v="31.6"/>
    <n v="31.1"/>
    <n v="31"/>
    <n v="32.1"/>
    <n v="31.38333333333334"/>
    <n v="0.29563320161806933"/>
    <n v="30.2"/>
    <n v="30.675000000000001"/>
    <n v="31.05"/>
  </r>
  <r>
    <n v="405"/>
    <x v="10"/>
    <x v="10"/>
    <x v="0"/>
    <x v="2"/>
    <x v="1"/>
    <x v="3"/>
    <x v="1"/>
    <n v="13.618"/>
    <n v="31"/>
    <n v="32.200000000000003"/>
    <n v="30.3"/>
    <n v="31.2"/>
    <n v="31.6"/>
    <n v="32.299999999999997"/>
    <n v="30.5"/>
    <n v="32"/>
    <n v="32.200000000000003"/>
    <n v="33.700000000000003"/>
    <n v="31.9"/>
    <n v="31.1"/>
    <n v="31.666666666666668"/>
    <n v="0.26808335805996542"/>
    <n v="30.3"/>
    <n v="31.074999999999999"/>
    <n v="31.75"/>
  </r>
  <r>
    <n v="406"/>
    <x v="6"/>
    <x v="6"/>
    <x v="0"/>
    <x v="1"/>
    <x v="0"/>
    <x v="3"/>
    <x v="1"/>
    <n v="13.602"/>
    <n v="30.2"/>
    <n v="30.5"/>
    <n v="31.8"/>
    <n v="31.7"/>
    <n v="31.4"/>
    <n v="31"/>
    <n v="31.7"/>
    <n v="31"/>
    <n v="31.2"/>
    <n v="30.6"/>
    <n v="32.200000000000003"/>
    <n v="33"/>
    <n v="31.358333333333334"/>
    <n v="0.22645433459434527"/>
    <n v="30.2"/>
    <n v="30.9"/>
    <n v="31.3"/>
  </r>
  <r>
    <n v="407"/>
    <x v="11"/>
    <x v="11"/>
    <x v="1"/>
    <x v="0"/>
    <x v="0"/>
    <x v="3"/>
    <x v="1"/>
    <n v="13.587"/>
    <n v="31.1"/>
    <n v="30.1"/>
    <n v="31.8"/>
    <n v="34"/>
    <n v="32.6"/>
    <n v="30.6"/>
    <n v="31"/>
    <n v="30.4"/>
    <n v="31.8"/>
    <n v="30.8"/>
    <n v="32.799999999999997"/>
    <n v="30.9"/>
    <n v="31.491666666666664"/>
    <n v="0.33222353129705462"/>
    <n v="30.1"/>
    <n v="30.75"/>
    <n v="31.05"/>
  </r>
  <r>
    <n v="408"/>
    <x v="3"/>
    <x v="3"/>
    <x v="1"/>
    <x v="1"/>
    <x v="1"/>
    <x v="3"/>
    <x v="1"/>
    <n v="13.571999999999999"/>
    <n v="30.9"/>
    <n v="31.2"/>
    <n v="30.4"/>
    <n v="32.6"/>
    <n v="31.5"/>
    <n v="31.1"/>
    <n v="32.700000000000003"/>
    <n v="34.5"/>
    <n v="32.700000000000003"/>
    <n v="31"/>
    <n v="32.700000000000003"/>
    <n v="32.799999999999997"/>
    <n v="32.008333333333333"/>
    <n v="0.33921887395083811"/>
    <n v="30.4"/>
    <n v="31.074999999999999"/>
    <n v="32.049999999999997"/>
  </r>
  <r>
    <n v="902"/>
    <x v="13"/>
    <x v="13"/>
    <x v="3"/>
    <x v="1"/>
    <x v="0"/>
    <x v="0"/>
    <x v="1"/>
    <n v="13.404"/>
    <n v="34.5"/>
    <n v="30.3"/>
    <n v="32.6"/>
    <n v="30.6"/>
    <n v="31.1"/>
    <n v="30.8"/>
    <n v="31.1"/>
    <n v="30.4"/>
    <n v="32"/>
    <n v="30.4"/>
    <n v="29.8"/>
    <n v="31"/>
    <n v="31.216666666666665"/>
    <n v="0.37046926289167803"/>
    <n v="29.8"/>
    <n v="30.4"/>
    <n v="30.9"/>
  </r>
  <r>
    <n v="904"/>
    <x v="15"/>
    <x v="15"/>
    <x v="5"/>
    <x v="1"/>
    <x v="0"/>
    <x v="0"/>
    <x v="1"/>
    <n v="13.38"/>
    <n v="30.3"/>
    <n v="30"/>
    <n v="35.6"/>
    <n v="31.3"/>
    <n v="30.9"/>
    <n v="34.4"/>
    <n v="30.4"/>
    <n v="30.3"/>
    <n v="30.7"/>
    <n v="30.8"/>
    <n v="35.1"/>
    <n v="32.1"/>
    <n v="31.824999999999999"/>
    <n v="0.58479794490370296"/>
    <n v="30"/>
    <n v="30.375"/>
    <n v="30.85"/>
  </r>
  <r>
    <n v="906"/>
    <x v="13"/>
    <x v="13"/>
    <x v="3"/>
    <x v="1"/>
    <x v="0"/>
    <x v="1"/>
    <x v="1"/>
    <n v="13.353"/>
    <n v="41.9"/>
    <n v="29.7"/>
    <n v="31"/>
    <n v="30.3"/>
    <n v="29.8"/>
    <n v="30.4"/>
    <n v="32.700000000000003"/>
    <n v="30"/>
    <n v="32.6"/>
    <n v="31.7"/>
    <n v="31.7"/>
    <n v="31.5"/>
    <n v="31.941666666666666"/>
    <n v="0.95278366756136623"/>
    <n v="29.7"/>
    <n v="30.225000000000001"/>
    <n v="31.25"/>
  </r>
  <r>
    <n v="908"/>
    <x v="15"/>
    <x v="15"/>
    <x v="5"/>
    <x v="1"/>
    <x v="0"/>
    <x v="1"/>
    <x v="1"/>
    <n v="13.329000000000001"/>
    <n v="31.4"/>
    <n v="29.5"/>
    <n v="33.6"/>
    <n v="30"/>
    <n v="31.3"/>
    <n v="29.8"/>
    <n v="30.8"/>
    <n v="29.5"/>
    <n v="30.6"/>
    <n v="32.1"/>
    <n v="30.8"/>
    <n v="29.9"/>
    <n v="30.774999999999999"/>
    <n v="0.34818251048270205"/>
    <n v="29.5"/>
    <n v="29.875"/>
    <n v="30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4FD74-2F42-4B27-A28E-02018E9A6667}" name="PivotTable2" cacheId="200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E9:AM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22879-7C25-4692-AC0E-EE09B28B472E}" name="PivotTable1" cacheId="201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E9:AM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4EBD8-FD68-4202-B4CB-6FC692BF948A}" name="PivotTable1" cacheId="219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E9:AM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2C242-C081-475A-94E1-087C110240A9}" name="PivotTable3" cacheId="218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E9:AM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7E7B8-8EE7-488E-B992-3D89A2A9CFA8}" name="PivotTable3" cacheId="217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E2B18-B568-4FA9-8777-370D731E6249}" name="PivotTable3" cacheId="216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818C0-06F3-419D-A377-126AA53F29FA}" name="PivotTable3" cacheId="215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9AF45A-3C69-4EA8-B9AA-F7E96612BC35}" name="PivotTable3" cacheId="214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C5583-1F54-4AC8-B57F-282768EA300E}" name="PivotTable3" cacheId="213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AE15D-1666-4BA9-A638-ECA97747851B}" name="PivotTable3" cacheId="212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493ED-6D2F-48E4-AC26-F749F05C1A7D}" name="PivotTable3" cacheId="211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B3925-22CC-4DFC-9180-7162FA2E2E30}" name="PivotTable3" cacheId="210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983F8-6F28-4D4E-B4DA-16367F313ECB}" name="PivotTable3" cacheId="209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CCBFF-32BB-4C97-9A89-5C4E65218376}" name="PivotTable3" cacheId="208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0"/>
        <item x="0"/>
        <item x="9"/>
        <item x="6"/>
        <item x="1"/>
        <item x="7"/>
        <item x="4"/>
        <item x="11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A297B-FBD9-4584-8D6E-3A35CAE01D66}" name="PivotTable3" cacheId="207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3AC74-E324-4D0C-8684-247888395FC8}" name="PivotTable3" cacheId="206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F9:AN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17">
        <item x="13"/>
        <item x="15"/>
        <item x="14"/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x="12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n="Canopy Composite" x="0"/>
        <item n="Foliage Only" x="1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6D607-A1AC-4B46-B228-89DFDF56023E}" name="PivotTable3" cacheId="205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G9:AO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20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m="1" x="16"/>
        <item m="1" x="17"/>
        <item x="15"/>
        <item x="13"/>
        <item x="14"/>
        <item x="12"/>
        <item h="1" m="1" x="18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n="Canopy Composite" x="0"/>
        <item n="Foliage Only" x="1"/>
        <item m="1" x="2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2B9E0-E64E-4ED8-8FFD-C96FB29606A6}" name="PivotTable3" cacheId="204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G9:AO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20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m="1" x="16"/>
        <item m="1" x="17"/>
        <item x="15"/>
        <item x="13"/>
        <item x="14"/>
        <item x="12"/>
        <item h="1" m="1" x="18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n="Canopy Composite" x="0"/>
        <item n="Foliage Only" x="1"/>
        <item m="1" x="2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A5047-3ACB-482A-9BF7-3D10B22617AF}" name="PivotTable3" cacheId="203" autoFormatId="4107" applyNumberFormats="1" applyBorderFormats="1" applyFontFormats="1" applyPatternFormats="1" applyAlignmentFormats="1" applyWidthHeightFormats="1" dataCaption="Data" showItems="0" showMultipleLabel="0" showMemberPropertyTips="0" useAutoFormatting="1" rowGrandTotals="0" colGrandTotals="0" itemPrintTitles="1" indent="0" compact="0" compactData="0" gridDropZones="1">
  <location ref="AG9:AO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20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m="1" x="16"/>
        <item m="1" x="17"/>
        <item x="15"/>
        <item x="13"/>
        <item x="14"/>
        <item x="12"/>
        <item h="1" m="1" x="18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n="Canopy Composite" x="0"/>
        <item n="Foliage Only" x="1"/>
        <item m="1" x="2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C8B75-2C29-4AEF-B805-4131515614C8}" name="PivotTable3" cacheId="202" autoFormatId="4107" applyNumberFormats="1" applyBorderFormats="1" applyFontFormats="1" applyPatternFormats="1" applyAlignmentFormats="1" applyWidthHeightFormats="1" dataCaption="Data" updatedVersion="1" showItems="0" showMultipleLabel="0" showMemberPropertyTips="0" useAutoFormatting="1" rowGrandTotals="0" colGrandTotals="0" itemPrintTitles="1" indent="0" compact="0" compactData="0" gridDropZones="1">
  <location ref="AG9:AO27" firstHeaderRow="1" firstDataRow="3" firstDataCol="1" rowPageCount="1" colPageCount="1"/>
  <pivotFields count="26">
    <pivotField compact="0" outline="0" subtotalTop="0" showAll="0" includeNewItemsInFilter="1"/>
    <pivotField axis="axisRow" compact="0" outline="0" subtotalTop="0" showAll="0" includeNewItemsInFilter="1">
      <items count="20">
        <item x="2"/>
        <item x="11"/>
        <item x="0"/>
        <item x="9"/>
        <item x="6"/>
        <item x="1"/>
        <item x="7"/>
        <item x="4"/>
        <item x="10"/>
        <item x="8"/>
        <item x="5"/>
        <item x="3"/>
        <item m="1" x="17"/>
        <item m="1" x="16"/>
        <item x="15"/>
        <item x="13"/>
        <item x="14"/>
        <item x="12"/>
        <item h="1" m="1" x="18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7">
        <item x="0"/>
        <item x="1"/>
        <item x="5"/>
        <item x="3"/>
        <item x="4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4">
        <item n="Canopy Composite" x="0"/>
        <item n="Foliage Only" x="1"/>
        <item m="1" x="2"/>
        <item t="default"/>
      </items>
    </pivotField>
    <pivotField compact="0" numFmtId="165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compact="0" numFmtId="164" outline="0" subtotalTop="0" showAll="0" includeNewItemsInFilter="1"/>
    <pivotField dataField="1" compact="0" numFmtId="2" outline="0" subtotalTop="0" showAll="0" includeNewItemsInFilter="1"/>
    <pivotField compact="0" numFmtId="165" outline="0" subtotalTop="0" showAll="0" includeNewItemsInFilter="1"/>
    <pivotField dataField="1" compact="0" numFmtId="164" outline="0" subtotalTop="0" showAll="0" includeNewItemsInFilter="1"/>
    <pivotField dataField="1" compact="0" numFmtId="2" outline="0" subtotalTop="0" showAll="0" includeNewItemsInFilter="1"/>
    <pivotField dataField="1" compact="0" numFmtId="164" outline="0" subtotalTop="0" showAll="0" includeNewItemsInFilter="1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</rowItems>
  <colFields count="2">
    <field x="7"/>
    <field x="-2"/>
  </colFields>
  <colItems count="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</colItems>
  <pageFields count="1">
    <pageField fld="3" hier="0"/>
  </pageFields>
  <dataFields count="4">
    <dataField name="Minimum " fld="23" subtotal="average" baseField="0" baseItem="0" numFmtId="164"/>
    <dataField name="Quartile1 " fld="24" subtotal="average" baseField="0" baseItem="0" numFmtId="2"/>
    <dataField name="Median " fld="25" subtotal="average" baseField="0" baseItem="0" numFmtId="2"/>
    <dataField name="Mean " fld="21" subtotal="average" baseField="0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961F-B956-49F4-A5BF-55FFE4D714FD}">
  <dimension ref="A1:U41"/>
  <sheetViews>
    <sheetView workbookViewId="0">
      <selection activeCell="D26" sqref="D26:D27"/>
    </sheetView>
  </sheetViews>
  <sheetFormatPr defaultRowHeight="15" x14ac:dyDescent="0.25"/>
  <sheetData>
    <row r="1" spans="1:21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</row>
    <row r="2" spans="1:21" x14ac:dyDescent="0.25">
      <c r="A2" t="s">
        <v>1</v>
      </c>
      <c r="B2">
        <v>54.06666666666667</v>
      </c>
      <c r="C2">
        <v>53.75</v>
      </c>
      <c r="D2">
        <v>58.033333333333339</v>
      </c>
      <c r="E2">
        <v>54.841666666666669</v>
      </c>
      <c r="F2">
        <v>56.833333333333336</v>
      </c>
      <c r="G2">
        <v>32.825000000000003</v>
      </c>
      <c r="H2">
        <v>36.224999999999994</v>
      </c>
      <c r="I2">
        <v>39.158333333333339</v>
      </c>
      <c r="J2">
        <v>46.191666666666663</v>
      </c>
      <c r="K2">
        <v>48.133333333333333</v>
      </c>
      <c r="L2">
        <v>48.65</v>
      </c>
      <c r="M2">
        <v>36.06666666666667</v>
      </c>
      <c r="N2">
        <v>34.083333333333336</v>
      </c>
      <c r="O2">
        <v>41.791666666666664</v>
      </c>
      <c r="P2">
        <v>45.1</v>
      </c>
      <c r="Q2">
        <v>45.666666666666664</v>
      </c>
      <c r="R2">
        <v>34.377490217121775</v>
      </c>
      <c r="S2">
        <v>33.142660343224271</v>
      </c>
      <c r="T2">
        <v>32.514649903593401</v>
      </c>
      <c r="U2">
        <v>31.554326065288077</v>
      </c>
    </row>
    <row r="3" spans="1:21" x14ac:dyDescent="0.25">
      <c r="A3" t="s">
        <v>2</v>
      </c>
      <c r="B3">
        <v>53.750000000000007</v>
      </c>
      <c r="C3">
        <v>54.416666666666664</v>
      </c>
      <c r="D3">
        <v>56.274999999999999</v>
      </c>
      <c r="E3">
        <v>55.991666666666667</v>
      </c>
      <c r="F3">
        <v>57.949999999999996</v>
      </c>
      <c r="G3">
        <v>34.416666666666664</v>
      </c>
      <c r="H3">
        <v>35.758333333333333</v>
      </c>
      <c r="I3">
        <v>38.93333333333333</v>
      </c>
      <c r="J3">
        <v>44.708333333333336</v>
      </c>
      <c r="K3">
        <v>48.275000000000006</v>
      </c>
      <c r="L3">
        <v>48.958333333333336</v>
      </c>
      <c r="M3">
        <v>35.958333333333336</v>
      </c>
      <c r="N3">
        <v>33.916666666666671</v>
      </c>
      <c r="O3">
        <v>44.225000000000001</v>
      </c>
      <c r="P3">
        <v>44.425000000000004</v>
      </c>
      <c r="Q3">
        <v>46.624999999999993</v>
      </c>
      <c r="R3">
        <v>34.704565242285703</v>
      </c>
      <c r="S3">
        <v>32.804696074446376</v>
      </c>
      <c r="T3">
        <v>32.375133469827482</v>
      </c>
      <c r="U3">
        <v>30.829518616816401</v>
      </c>
    </row>
    <row r="4" spans="1:21" x14ac:dyDescent="0.25">
      <c r="A4" t="s">
        <v>3</v>
      </c>
      <c r="B4">
        <v>50.208333333333343</v>
      </c>
      <c r="C4">
        <v>50.79999999999999</v>
      </c>
      <c r="D4">
        <v>52.966666666666669</v>
      </c>
      <c r="E4">
        <v>50.274999999999999</v>
      </c>
      <c r="F4">
        <v>53.191666666666663</v>
      </c>
      <c r="G4">
        <v>35.1</v>
      </c>
      <c r="H4">
        <v>35.69166666666667</v>
      </c>
      <c r="I4">
        <v>34.616666666666667</v>
      </c>
      <c r="J4">
        <v>41.141666666666666</v>
      </c>
      <c r="K4">
        <v>42.633333333333326</v>
      </c>
      <c r="L4">
        <v>43.008333333333333</v>
      </c>
      <c r="M4">
        <v>35.016666666666666</v>
      </c>
      <c r="N4">
        <v>32.958333333333336</v>
      </c>
      <c r="O4">
        <v>36.516666666666666</v>
      </c>
      <c r="P4">
        <v>41.616666666666667</v>
      </c>
      <c r="Q4">
        <v>43.25</v>
      </c>
      <c r="R4">
        <v>33.704462546452056</v>
      </c>
      <c r="S4">
        <v>31.949252107552486</v>
      </c>
      <c r="T4">
        <v>30.630059660210488</v>
      </c>
      <c r="U4">
        <v>30.68396325416413</v>
      </c>
    </row>
    <row r="5" spans="1:21" x14ac:dyDescent="0.25">
      <c r="A5" t="s">
        <v>4</v>
      </c>
      <c r="B5">
        <v>52.091666666666676</v>
      </c>
      <c r="C5">
        <v>53.808333333333337</v>
      </c>
      <c r="D5">
        <v>56.208333333333336</v>
      </c>
      <c r="E5">
        <v>55.916666666666657</v>
      </c>
      <c r="F5">
        <v>55.491666666666667</v>
      </c>
      <c r="G5">
        <v>53.908333333333339</v>
      </c>
      <c r="H5">
        <v>55.449999999999996</v>
      </c>
      <c r="I5">
        <v>35.624999999999993</v>
      </c>
      <c r="J5">
        <v>32.666666666666664</v>
      </c>
      <c r="K5">
        <v>41.691666666666663</v>
      </c>
      <c r="L5">
        <v>47.966666666666669</v>
      </c>
      <c r="M5">
        <v>51.958333333333321</v>
      </c>
      <c r="N5">
        <v>50.1</v>
      </c>
      <c r="O5">
        <v>43.016666666666659</v>
      </c>
      <c r="P5">
        <v>46.141666666666673</v>
      </c>
      <c r="Q5">
        <v>48.033333333333339</v>
      </c>
      <c r="R5">
        <v>36.602929998891589</v>
      </c>
      <c r="S5">
        <v>37.886409117607073</v>
      </c>
      <c r="T5">
        <v>38.689306601447974</v>
      </c>
      <c r="U5">
        <v>39.179949876358684</v>
      </c>
    </row>
    <row r="6" spans="1:21" x14ac:dyDescent="0.25">
      <c r="A6" t="s">
        <v>5</v>
      </c>
      <c r="B6">
        <v>52.433333333333337</v>
      </c>
      <c r="C6">
        <v>50.491666666666667</v>
      </c>
      <c r="D6">
        <v>54.425000000000004</v>
      </c>
      <c r="E6">
        <v>52.016666666666673</v>
      </c>
      <c r="F6">
        <v>53.48333333333332</v>
      </c>
      <c r="G6">
        <v>36.525000000000006</v>
      </c>
      <c r="H6">
        <v>35.658333333333339</v>
      </c>
      <c r="I6">
        <v>35.42499999999999</v>
      </c>
      <c r="J6">
        <v>41.44166666666667</v>
      </c>
      <c r="K6">
        <v>44.641666666666659</v>
      </c>
      <c r="L6">
        <v>43.883333333333326</v>
      </c>
      <c r="M6">
        <v>35.549999999999997</v>
      </c>
      <c r="N6">
        <v>32.758333333333333</v>
      </c>
      <c r="O6">
        <v>36.666666666666664</v>
      </c>
      <c r="P6">
        <v>39.091666666666669</v>
      </c>
      <c r="Q6">
        <v>33.266666666666673</v>
      </c>
      <c r="R6">
        <v>34.451558850043881</v>
      </c>
      <c r="S6">
        <v>35.319382047696173</v>
      </c>
      <c r="T6">
        <v>38.911255743549667</v>
      </c>
      <c r="U6">
        <v>39.79455179551897</v>
      </c>
    </row>
    <row r="7" spans="1:21" x14ac:dyDescent="0.25">
      <c r="A7" t="s">
        <v>6</v>
      </c>
      <c r="B7">
        <v>55.050000000000004</v>
      </c>
      <c r="C7">
        <v>53.341666666666669</v>
      </c>
      <c r="D7">
        <v>57.466666666666669</v>
      </c>
      <c r="E7">
        <v>55.841666666666661</v>
      </c>
      <c r="F7">
        <v>55.633333333333333</v>
      </c>
      <c r="G7">
        <v>57.75</v>
      </c>
      <c r="H7">
        <v>57.841666666666669</v>
      </c>
      <c r="I7">
        <v>35.18333333333333</v>
      </c>
      <c r="J7">
        <v>33.508333333333333</v>
      </c>
      <c r="K7">
        <v>39.675000000000004</v>
      </c>
      <c r="L7">
        <v>47.349999999999994</v>
      </c>
      <c r="M7">
        <v>50.499999999999993</v>
      </c>
      <c r="N7">
        <v>48.391666666666673</v>
      </c>
      <c r="O7">
        <v>39.475000000000001</v>
      </c>
      <c r="P7">
        <v>42.308333333333337</v>
      </c>
      <c r="Q7">
        <v>47.033333333333331</v>
      </c>
      <c r="R7">
        <v>34.085356429432032</v>
      </c>
      <c r="S7">
        <v>33.786817406709581</v>
      </c>
      <c r="T7">
        <v>35.124494183592219</v>
      </c>
      <c r="U7">
        <v>36.91283167851612</v>
      </c>
    </row>
    <row r="8" spans="1:21" x14ac:dyDescent="0.25">
      <c r="A8" t="s">
        <v>7</v>
      </c>
      <c r="B8">
        <v>53.366666666666667</v>
      </c>
      <c r="C8">
        <v>53.833333333333336</v>
      </c>
      <c r="D8">
        <v>56.524999999999984</v>
      </c>
      <c r="E8">
        <v>54.241666666666674</v>
      </c>
      <c r="F8">
        <v>54.074999999999996</v>
      </c>
      <c r="G8">
        <v>57.716666666666669</v>
      </c>
      <c r="H8">
        <v>56.741666666666674</v>
      </c>
      <c r="I8">
        <v>34.833333333333336</v>
      </c>
      <c r="J8">
        <v>33.541666666666671</v>
      </c>
      <c r="K8">
        <v>41.291666666666664</v>
      </c>
      <c r="L8">
        <v>46.324999999999996</v>
      </c>
      <c r="M8">
        <v>48.541666666666679</v>
      </c>
      <c r="N8">
        <v>48.116666666666667</v>
      </c>
      <c r="O8">
        <v>39.733333333333327</v>
      </c>
      <c r="P8">
        <v>40.491666666666667</v>
      </c>
      <c r="Q8">
        <v>43.558333333333337</v>
      </c>
      <c r="R8">
        <v>33.641112133332548</v>
      </c>
      <c r="S8">
        <v>33.705631997183865</v>
      </c>
      <c r="T8">
        <v>35.576541743095582</v>
      </c>
      <c r="U8">
        <v>38.273680254249228</v>
      </c>
    </row>
    <row r="9" spans="1:21" x14ac:dyDescent="0.25">
      <c r="A9" t="s">
        <v>8</v>
      </c>
      <c r="B9">
        <v>55.125</v>
      </c>
      <c r="C9">
        <v>54.633333333333333</v>
      </c>
      <c r="D9">
        <v>57.241666666666667</v>
      </c>
      <c r="E9">
        <v>57.466666666666661</v>
      </c>
      <c r="F9">
        <v>56.633333333333326</v>
      </c>
      <c r="G9">
        <v>37.358333333333334</v>
      </c>
      <c r="H9">
        <v>36.166666666666664</v>
      </c>
      <c r="I9">
        <v>41.475000000000001</v>
      </c>
      <c r="J9">
        <v>45.116666666666667</v>
      </c>
      <c r="K9">
        <v>49.016666666666673</v>
      </c>
      <c r="L9">
        <v>49.408333333333331</v>
      </c>
      <c r="M9">
        <v>35.883333333333326</v>
      </c>
      <c r="N9">
        <v>34.341666666666676</v>
      </c>
      <c r="O9">
        <v>43.416666666666664</v>
      </c>
      <c r="P9">
        <v>47.55833333333333</v>
      </c>
      <c r="Q9">
        <v>50.533333333333339</v>
      </c>
      <c r="R9">
        <v>34.607821865364279</v>
      </c>
      <c r="S9">
        <v>32.180929304252466</v>
      </c>
      <c r="T9">
        <v>31.975884851192017</v>
      </c>
      <c r="U9">
        <v>31.910201250073186</v>
      </c>
    </row>
    <row r="10" spans="1:21" x14ac:dyDescent="0.25">
      <c r="A10" t="s">
        <v>9</v>
      </c>
      <c r="B10">
        <v>50.324999999999996</v>
      </c>
      <c r="C10">
        <v>49.891666666666659</v>
      </c>
      <c r="D10">
        <v>51.258333333333326</v>
      </c>
      <c r="E10">
        <v>50.916666666666679</v>
      </c>
      <c r="F10">
        <v>51.983333333333341</v>
      </c>
      <c r="G10">
        <v>32.94166666666667</v>
      </c>
      <c r="H10">
        <v>34.916666666666664</v>
      </c>
      <c r="I10">
        <v>36.333333333333336</v>
      </c>
      <c r="J10">
        <v>41.075000000000003</v>
      </c>
      <c r="K10">
        <v>42.75</v>
      </c>
      <c r="L10">
        <v>46.091666666666669</v>
      </c>
      <c r="M10">
        <v>34.233333333333341</v>
      </c>
      <c r="N10">
        <v>33.983333333333334</v>
      </c>
      <c r="O10">
        <v>36.358333333333334</v>
      </c>
      <c r="P10">
        <v>41.091666666666661</v>
      </c>
      <c r="Q10">
        <v>34.275000000000006</v>
      </c>
      <c r="R10">
        <v>34.277814648851916</v>
      </c>
      <c r="S10">
        <v>38.241297217670798</v>
      </c>
      <c r="T10">
        <v>41.988071210391624</v>
      </c>
      <c r="U10">
        <v>38.258981747124785</v>
      </c>
    </row>
    <row r="11" spans="1:21" x14ac:dyDescent="0.25">
      <c r="A11" t="s">
        <v>10</v>
      </c>
      <c r="B11">
        <v>54.483333333333341</v>
      </c>
      <c r="C11">
        <v>55.233333333333341</v>
      </c>
      <c r="D11">
        <v>57.541666666666664</v>
      </c>
      <c r="E11">
        <v>56.116666666666667</v>
      </c>
      <c r="F11">
        <v>57.308333333333337</v>
      </c>
      <c r="G11">
        <v>58.033333333333339</v>
      </c>
      <c r="H11">
        <v>59.208333333333336</v>
      </c>
      <c r="I11">
        <v>37.500000000000007</v>
      </c>
      <c r="J11">
        <v>34.325000000000003</v>
      </c>
      <c r="K11">
        <v>44.699999999999996</v>
      </c>
      <c r="L11">
        <v>51.658333333333331</v>
      </c>
      <c r="M11">
        <v>53.550000000000004</v>
      </c>
      <c r="N11">
        <v>52.649999999999984</v>
      </c>
      <c r="O11">
        <v>45.116666666666667</v>
      </c>
      <c r="P11">
        <v>49.675000000000004</v>
      </c>
      <c r="Q11">
        <v>51.216666666666661</v>
      </c>
      <c r="R11">
        <v>34.672612177269393</v>
      </c>
      <c r="S11">
        <v>35.944861889453712</v>
      </c>
      <c r="T11">
        <v>37.255059021584422</v>
      </c>
      <c r="U11">
        <v>33.804595467655389</v>
      </c>
    </row>
    <row r="12" spans="1:21" x14ac:dyDescent="0.25">
      <c r="A12" t="s">
        <v>11</v>
      </c>
      <c r="B12">
        <v>55.366666666666667</v>
      </c>
      <c r="C12">
        <v>52.166666666666664</v>
      </c>
      <c r="D12">
        <v>55.82500000000001</v>
      </c>
      <c r="E12">
        <v>54.925000000000004</v>
      </c>
      <c r="F12">
        <v>55.650000000000006</v>
      </c>
      <c r="G12">
        <v>36.666666666666664</v>
      </c>
      <c r="H12">
        <v>36.150000000000006</v>
      </c>
      <c r="I12">
        <v>38.583333333333329</v>
      </c>
      <c r="J12">
        <v>45.550000000000004</v>
      </c>
      <c r="K12">
        <v>46.108333333333327</v>
      </c>
      <c r="L12">
        <v>48.116666666666667</v>
      </c>
      <c r="M12">
        <v>36.033333333333331</v>
      </c>
      <c r="N12">
        <v>34.158333333333331</v>
      </c>
      <c r="O12">
        <v>42.191666666666663</v>
      </c>
      <c r="P12">
        <v>43.074999999999996</v>
      </c>
      <c r="Q12">
        <v>46.25</v>
      </c>
      <c r="R12">
        <v>35.132965881417341</v>
      </c>
      <c r="S12">
        <v>33.143139386654155</v>
      </c>
      <c r="T12">
        <v>31.677622125502268</v>
      </c>
      <c r="U12">
        <v>30.957807658664894</v>
      </c>
    </row>
    <row r="13" spans="1:21" x14ac:dyDescent="0.25">
      <c r="A13" t="s">
        <v>12</v>
      </c>
      <c r="B13">
        <v>48.57500000000001</v>
      </c>
      <c r="C13">
        <v>49.925000000000004</v>
      </c>
      <c r="D13">
        <v>52.849999999999994</v>
      </c>
      <c r="E13">
        <v>53.008333333333326</v>
      </c>
      <c r="F13">
        <v>52.741666666666667</v>
      </c>
      <c r="G13">
        <v>36.44166666666667</v>
      </c>
      <c r="H13">
        <v>34.225000000000001</v>
      </c>
      <c r="I13">
        <v>35.583333333333329</v>
      </c>
      <c r="J13">
        <v>40.866666666666674</v>
      </c>
      <c r="K13">
        <v>43.641666666666673</v>
      </c>
      <c r="L13">
        <v>44.274999999999999</v>
      </c>
      <c r="M13">
        <v>34.733333333333334</v>
      </c>
      <c r="N13">
        <v>31.758333333333329</v>
      </c>
      <c r="O13">
        <v>36.333333333333329</v>
      </c>
      <c r="P13">
        <v>40.008333333333326</v>
      </c>
      <c r="Q13">
        <v>34.366666666666667</v>
      </c>
      <c r="R13">
        <v>33.178214076374992</v>
      </c>
      <c r="S13">
        <v>37.166473053177846</v>
      </c>
      <c r="T13">
        <v>40.139591946019323</v>
      </c>
      <c r="U13">
        <v>37.905815648086538</v>
      </c>
    </row>
    <row r="14" spans="1:21" x14ac:dyDescent="0.25">
      <c r="A14" t="s">
        <v>13</v>
      </c>
      <c r="B14">
        <v>55.883333333333333</v>
      </c>
      <c r="C14">
        <v>57.366666666666667</v>
      </c>
      <c r="D14">
        <v>58.766666666666673</v>
      </c>
      <c r="E14">
        <v>58.733333333333341</v>
      </c>
      <c r="F14">
        <v>58.175000000000004</v>
      </c>
      <c r="G14">
        <v>36.491666666666667</v>
      </c>
      <c r="H14">
        <v>36.091666666666676</v>
      </c>
      <c r="I14">
        <v>39.316666666666663</v>
      </c>
      <c r="J14">
        <v>45.733333333333327</v>
      </c>
      <c r="K14">
        <v>48.383333333333333</v>
      </c>
      <c r="L14">
        <v>49.908333333333331</v>
      </c>
      <c r="M14">
        <v>36.841666666666669</v>
      </c>
      <c r="N14">
        <v>33.833333333333336</v>
      </c>
      <c r="O14">
        <v>42.158333333333331</v>
      </c>
      <c r="P14">
        <v>43</v>
      </c>
      <c r="Q14">
        <v>45.300000000000004</v>
      </c>
      <c r="R14">
        <v>32.144432727167285</v>
      </c>
      <c r="S14">
        <v>30.756571054500387</v>
      </c>
      <c r="T14">
        <v>31.646238489970614</v>
      </c>
      <c r="U14">
        <v>31.394688611689521</v>
      </c>
    </row>
    <row r="15" spans="1:21" x14ac:dyDescent="0.25">
      <c r="A15" t="s">
        <v>14</v>
      </c>
      <c r="B15">
        <v>54.974999999999994</v>
      </c>
      <c r="C15">
        <v>57.291666666666664</v>
      </c>
      <c r="D15">
        <v>59.408333333333339</v>
      </c>
      <c r="E15">
        <v>58.866666666666674</v>
      </c>
      <c r="F15">
        <v>58.625</v>
      </c>
      <c r="G15">
        <v>57.858333333333348</v>
      </c>
      <c r="H15">
        <v>57.79999999999999</v>
      </c>
      <c r="I15">
        <v>56.92499999999999</v>
      </c>
      <c r="J15">
        <v>54.908333333333339</v>
      </c>
      <c r="K15">
        <v>35.666666666666664</v>
      </c>
      <c r="L15">
        <v>49.774999999999999</v>
      </c>
      <c r="M15">
        <v>52.133333333333333</v>
      </c>
      <c r="N15">
        <v>50.166666666666664</v>
      </c>
      <c r="O15">
        <v>36.383333333333333</v>
      </c>
      <c r="P15">
        <v>46.449999999999996</v>
      </c>
      <c r="Q15">
        <v>47.925000000000004</v>
      </c>
      <c r="R15">
        <v>33.710029099723748</v>
      </c>
      <c r="S15">
        <v>35.027420479595222</v>
      </c>
      <c r="T15">
        <v>37.314657725021441</v>
      </c>
      <c r="U15">
        <v>36.932461138124772</v>
      </c>
    </row>
    <row r="16" spans="1:21" x14ac:dyDescent="0.25">
      <c r="A16" t="s">
        <v>15</v>
      </c>
      <c r="B16">
        <v>53.925000000000004</v>
      </c>
      <c r="C16">
        <v>54.974999999999994</v>
      </c>
      <c r="D16">
        <v>56.125</v>
      </c>
      <c r="E16">
        <v>55.041666666666657</v>
      </c>
      <c r="F16">
        <v>55.949999999999996</v>
      </c>
      <c r="G16">
        <v>35.824999999999996</v>
      </c>
      <c r="H16">
        <v>35.116666666666667</v>
      </c>
      <c r="I16">
        <v>38.666666666666671</v>
      </c>
      <c r="J16">
        <v>44.358333333333327</v>
      </c>
      <c r="K16">
        <v>47.300000000000004</v>
      </c>
      <c r="L16">
        <v>49.633333333333333</v>
      </c>
      <c r="M16">
        <v>34.875</v>
      </c>
      <c r="N16">
        <v>35.133333333333333</v>
      </c>
      <c r="O16">
        <v>38.81666666666667</v>
      </c>
      <c r="P16">
        <v>42.108333333333327</v>
      </c>
      <c r="Q16">
        <v>44.408333333333331</v>
      </c>
      <c r="R16">
        <v>32.671153195917917</v>
      </c>
      <c r="S16">
        <v>31.860541325556497</v>
      </c>
      <c r="T16">
        <v>34.159868126713228</v>
      </c>
      <c r="U16">
        <v>30.990635469242537</v>
      </c>
    </row>
    <row r="17" spans="1:21" x14ac:dyDescent="0.25">
      <c r="A17" t="s">
        <v>16</v>
      </c>
      <c r="B17">
        <v>55.483333333333341</v>
      </c>
      <c r="C17">
        <v>55.125</v>
      </c>
      <c r="D17">
        <v>58.024999999999999</v>
      </c>
      <c r="E17">
        <v>57.574999999999996</v>
      </c>
      <c r="F17">
        <v>58.225000000000001</v>
      </c>
      <c r="G17">
        <v>36.758333333333326</v>
      </c>
      <c r="H17">
        <v>36.491666666666667</v>
      </c>
      <c r="I17">
        <v>42.2</v>
      </c>
      <c r="J17">
        <v>47.074999999999996</v>
      </c>
      <c r="K17">
        <v>50.06666666666667</v>
      </c>
      <c r="L17">
        <v>52.625</v>
      </c>
      <c r="M17">
        <v>36.533333333333331</v>
      </c>
      <c r="N17">
        <v>36.125000000000007</v>
      </c>
      <c r="O17">
        <v>43.783333333333339</v>
      </c>
      <c r="P17">
        <v>46.116666666666674</v>
      </c>
      <c r="Q17">
        <v>46.69166666666667</v>
      </c>
      <c r="R17">
        <v>33.246759620340768</v>
      </c>
      <c r="S17">
        <v>30.997351649086728</v>
      </c>
      <c r="T17">
        <v>33.735619994492232</v>
      </c>
      <c r="U17">
        <v>31.604515300879836</v>
      </c>
    </row>
    <row r="18" spans="1:21" x14ac:dyDescent="0.25">
      <c r="A18" t="s">
        <v>17</v>
      </c>
      <c r="B18">
        <v>54.1</v>
      </c>
      <c r="C18">
        <v>52.708333333333336</v>
      </c>
      <c r="D18">
        <v>54.85</v>
      </c>
      <c r="E18">
        <v>54.466666666666661</v>
      </c>
      <c r="F18">
        <v>56.058333333333337</v>
      </c>
      <c r="G18">
        <v>55.266666666666673</v>
      </c>
      <c r="H18">
        <v>57.524999999999984</v>
      </c>
      <c r="I18">
        <v>34.666666666666664</v>
      </c>
      <c r="J18">
        <v>32.508333333333333</v>
      </c>
      <c r="K18">
        <v>42.966666666666669</v>
      </c>
      <c r="L18">
        <v>49.099999999999994</v>
      </c>
      <c r="M18">
        <v>52.050000000000004</v>
      </c>
      <c r="N18">
        <v>53.858333333333348</v>
      </c>
      <c r="O18">
        <v>43.374999999999993</v>
      </c>
      <c r="P18">
        <v>47.30833333333333</v>
      </c>
      <c r="Q18">
        <v>48.283333333333331</v>
      </c>
      <c r="R18">
        <v>34.069206325564181</v>
      </c>
      <c r="S18">
        <v>34.791660846606732</v>
      </c>
      <c r="T18">
        <v>38.296387319426579</v>
      </c>
      <c r="U18">
        <v>36.490085652110203</v>
      </c>
    </row>
    <row r="19" spans="1:21" x14ac:dyDescent="0.25">
      <c r="A19" t="s">
        <v>18</v>
      </c>
      <c r="B19">
        <v>52.29999999999999</v>
      </c>
      <c r="C19">
        <v>50.983333333333327</v>
      </c>
      <c r="D19">
        <v>54.166666666666664</v>
      </c>
      <c r="E19">
        <v>53.15</v>
      </c>
      <c r="F19">
        <v>54.291666666666664</v>
      </c>
      <c r="G19">
        <v>33.550000000000004</v>
      </c>
      <c r="H19">
        <v>34.891666666666673</v>
      </c>
      <c r="I19">
        <v>36.05833333333333</v>
      </c>
      <c r="J19">
        <v>42.258333333333333</v>
      </c>
      <c r="K19">
        <v>45.524999999999999</v>
      </c>
      <c r="L19">
        <v>46.800000000000004</v>
      </c>
      <c r="M19">
        <v>35.175000000000004</v>
      </c>
      <c r="N19">
        <v>33.858333333333327</v>
      </c>
      <c r="O19">
        <v>43.324999999999996</v>
      </c>
      <c r="P19">
        <v>42.508333333333333</v>
      </c>
      <c r="Q19">
        <v>44.625</v>
      </c>
      <c r="R19">
        <v>34.193427397577906</v>
      </c>
      <c r="S19">
        <v>31.352060926700577</v>
      </c>
      <c r="T19">
        <v>30.90464024174689</v>
      </c>
      <c r="U19">
        <v>31.426350515095894</v>
      </c>
    </row>
    <row r="20" spans="1:21" x14ac:dyDescent="0.25">
      <c r="A20" t="s">
        <v>19</v>
      </c>
      <c r="B20">
        <v>53.408333333333331</v>
      </c>
      <c r="C20">
        <v>54.416666666666679</v>
      </c>
      <c r="D20">
        <v>55.016666666666673</v>
      </c>
      <c r="E20">
        <v>55.966666666666661</v>
      </c>
      <c r="F20">
        <v>54.224999999999994</v>
      </c>
      <c r="G20">
        <v>54.066666666666663</v>
      </c>
      <c r="H20">
        <v>55.19166666666667</v>
      </c>
      <c r="I20">
        <v>54.066666666666663</v>
      </c>
      <c r="J20">
        <v>53.316666666666656</v>
      </c>
      <c r="K20">
        <v>32.99166666666666</v>
      </c>
      <c r="L20">
        <v>44.208333333333336</v>
      </c>
      <c r="M20">
        <v>47.658333333333331</v>
      </c>
      <c r="N20">
        <v>47.550000000000011</v>
      </c>
      <c r="O20">
        <v>32.158333333333331</v>
      </c>
      <c r="P20">
        <v>38.891666666666666</v>
      </c>
      <c r="Q20">
        <v>40.00833333333334</v>
      </c>
      <c r="R20">
        <v>33.11213224746222</v>
      </c>
      <c r="S20">
        <v>31.160116974492198</v>
      </c>
      <c r="T20">
        <v>32.159021285279557</v>
      </c>
      <c r="U20">
        <v>33.797869675027641</v>
      </c>
    </row>
    <row r="21" spans="1:21" x14ac:dyDescent="0.25">
      <c r="A21" t="s">
        <v>20</v>
      </c>
      <c r="B21">
        <v>53.808333333333337</v>
      </c>
      <c r="C21">
        <v>54.308333333333337</v>
      </c>
      <c r="D21">
        <v>56.425000000000004</v>
      </c>
      <c r="E21">
        <v>55.31666666666667</v>
      </c>
      <c r="F21">
        <v>55.06666666666667</v>
      </c>
      <c r="G21">
        <v>35.516666666666673</v>
      </c>
      <c r="H21">
        <v>35.975000000000001</v>
      </c>
      <c r="I21">
        <v>37.774999999999999</v>
      </c>
      <c r="J21">
        <v>44.42499999999999</v>
      </c>
      <c r="K21">
        <v>47.283333333333331</v>
      </c>
      <c r="L21">
        <v>49.925000000000004</v>
      </c>
      <c r="M21">
        <v>35.483333333333334</v>
      </c>
      <c r="N21">
        <v>33.491666666666667</v>
      </c>
      <c r="O21">
        <v>40.258333333333333</v>
      </c>
      <c r="P21">
        <v>42.925000000000004</v>
      </c>
      <c r="Q21">
        <v>45.491666666666667</v>
      </c>
      <c r="R21">
        <v>34.353004970747733</v>
      </c>
      <c r="S21">
        <v>30.973518042672463</v>
      </c>
      <c r="T21">
        <v>31.14574841750219</v>
      </c>
      <c r="U21">
        <v>30.432783026528202</v>
      </c>
    </row>
    <row r="22" spans="1:21" x14ac:dyDescent="0.25">
      <c r="A22" t="s">
        <v>21</v>
      </c>
      <c r="B22">
        <v>46.341666666666669</v>
      </c>
      <c r="C22">
        <v>46.741666666666674</v>
      </c>
      <c r="D22">
        <v>49.933333333333337</v>
      </c>
      <c r="E22">
        <v>50.55833333333333</v>
      </c>
      <c r="F22">
        <v>53.341666666666669</v>
      </c>
      <c r="G22">
        <v>35.308333333333337</v>
      </c>
      <c r="H22">
        <v>34.69166666666667</v>
      </c>
      <c r="I22">
        <v>33.041666666666664</v>
      </c>
      <c r="J22">
        <v>39.249999999999993</v>
      </c>
      <c r="K22">
        <v>41.691666666666663</v>
      </c>
      <c r="L22">
        <v>41.991666666666667</v>
      </c>
      <c r="M22">
        <v>33.791666666666664</v>
      </c>
      <c r="N22">
        <v>31.591666666666665</v>
      </c>
      <c r="O22">
        <v>34.866666666666667</v>
      </c>
      <c r="P22">
        <v>37.599999999999994</v>
      </c>
      <c r="Q22">
        <v>33.450000000000003</v>
      </c>
      <c r="R22">
        <v>32.192776236602718</v>
      </c>
      <c r="S22">
        <v>32.519016856265985</v>
      </c>
      <c r="T22">
        <v>35.618471378841072</v>
      </c>
      <c r="U22">
        <v>34.807561856933866</v>
      </c>
    </row>
    <row r="23" spans="1:21" x14ac:dyDescent="0.25">
      <c r="A23" t="s">
        <v>22</v>
      </c>
      <c r="B23">
        <v>53.774999999999999</v>
      </c>
      <c r="C23">
        <v>53.166666666666657</v>
      </c>
      <c r="D23">
        <v>55.05833333333333</v>
      </c>
      <c r="E23">
        <v>53.650000000000006</v>
      </c>
      <c r="F23">
        <v>54.500000000000007</v>
      </c>
      <c r="G23">
        <v>35.874999999999993</v>
      </c>
      <c r="H23">
        <v>36.425000000000004</v>
      </c>
      <c r="I23">
        <v>37.158333333333331</v>
      </c>
      <c r="J23">
        <v>44.275000000000006</v>
      </c>
      <c r="K23">
        <v>46.033333333333331</v>
      </c>
      <c r="L23">
        <v>47.933333333333337</v>
      </c>
      <c r="M23">
        <v>34.958333333333336</v>
      </c>
      <c r="N23">
        <v>33.966666666666661</v>
      </c>
      <c r="O23">
        <v>43.241666666666667</v>
      </c>
      <c r="P23">
        <v>44.6</v>
      </c>
      <c r="Q23">
        <v>46.633333333333333</v>
      </c>
      <c r="R23">
        <v>34.924629158189099</v>
      </c>
      <c r="S23">
        <v>32.001228761590369</v>
      </c>
      <c r="T23">
        <v>32.108810915418829</v>
      </c>
      <c r="U23">
        <v>31.036957133613598</v>
      </c>
    </row>
    <row r="24" spans="1:21" x14ac:dyDescent="0.25">
      <c r="A24" t="s">
        <v>23</v>
      </c>
      <c r="B24">
        <v>54.691666666666663</v>
      </c>
      <c r="C24">
        <v>54.475000000000001</v>
      </c>
      <c r="D24">
        <v>55.6</v>
      </c>
      <c r="E24">
        <v>55.066666666666663</v>
      </c>
      <c r="F24">
        <v>55.616666666666653</v>
      </c>
      <c r="G24">
        <v>56.616666666666674</v>
      </c>
      <c r="H24">
        <v>56.425000000000004</v>
      </c>
      <c r="I24">
        <v>35.091666666666661</v>
      </c>
      <c r="J24">
        <v>32.108333333333334</v>
      </c>
      <c r="K24">
        <v>42.816666666666663</v>
      </c>
      <c r="L24">
        <v>49.224999999999994</v>
      </c>
      <c r="M24">
        <v>50.550000000000004</v>
      </c>
      <c r="N24">
        <v>50.441666666666663</v>
      </c>
      <c r="O24">
        <v>44.75</v>
      </c>
      <c r="P24">
        <v>45.108333333333327</v>
      </c>
      <c r="Q24">
        <v>48.133333333333333</v>
      </c>
      <c r="R24">
        <v>33.068334178572918</v>
      </c>
      <c r="S24">
        <v>33.984057066012369</v>
      </c>
      <c r="T24">
        <v>35.431171116826228</v>
      </c>
      <c r="U24">
        <v>33.874521783860239</v>
      </c>
    </row>
    <row r="25" spans="1:21" x14ac:dyDescent="0.25">
      <c r="A25" t="s">
        <v>24</v>
      </c>
      <c r="B25">
        <v>50.166666666666664</v>
      </c>
      <c r="C25">
        <v>49.741666666666653</v>
      </c>
      <c r="D25">
        <v>52.591666666666669</v>
      </c>
      <c r="E25">
        <v>54.04999999999999</v>
      </c>
      <c r="F25">
        <v>55.475000000000001</v>
      </c>
      <c r="G25">
        <v>34.674999999999997</v>
      </c>
      <c r="H25">
        <v>34.008333333333333</v>
      </c>
      <c r="I25">
        <v>37.366666666666667</v>
      </c>
      <c r="J25">
        <v>41.85</v>
      </c>
      <c r="K25">
        <v>42.591666666666661</v>
      </c>
      <c r="L25">
        <v>45.208333333333336</v>
      </c>
      <c r="M25">
        <v>33.625</v>
      </c>
      <c r="N25">
        <v>32.275000000000006</v>
      </c>
      <c r="O25">
        <v>40.891666666666666</v>
      </c>
      <c r="P25">
        <v>44.516666666666673</v>
      </c>
      <c r="Q25">
        <v>47.975000000000001</v>
      </c>
      <c r="R25">
        <v>33.640071459056543</v>
      </c>
      <c r="S25">
        <v>33.551315284267936</v>
      </c>
      <c r="T25">
        <v>30.758926372077383</v>
      </c>
      <c r="U25">
        <v>31.136162652869526</v>
      </c>
    </row>
    <row r="26" spans="1:21" x14ac:dyDescent="0.25">
      <c r="A26" t="s">
        <v>25</v>
      </c>
      <c r="P26">
        <v>44.833333333333336</v>
      </c>
      <c r="Q26">
        <v>49.133333333333347</v>
      </c>
      <c r="R26">
        <v>34.675321263016251</v>
      </c>
      <c r="S26">
        <v>33.671883273187682</v>
      </c>
      <c r="T26">
        <v>38.560623807127648</v>
      </c>
      <c r="U26">
        <v>34.718167733574653</v>
      </c>
    </row>
    <row r="27" spans="1:21" x14ac:dyDescent="0.25">
      <c r="A27" t="s">
        <v>26</v>
      </c>
      <c r="P27">
        <v>41.891666666666666</v>
      </c>
      <c r="Q27">
        <v>44.008333333333333</v>
      </c>
      <c r="R27">
        <v>32.991780696328824</v>
      </c>
      <c r="S27">
        <v>31.813330072229249</v>
      </c>
      <c r="T27">
        <v>37.183684254073214</v>
      </c>
      <c r="U27">
        <v>33.14276506021816</v>
      </c>
    </row>
    <row r="28" spans="1:21" x14ac:dyDescent="0.25">
      <c r="A28" t="s">
        <v>27</v>
      </c>
      <c r="B28">
        <v>50.633333333333326</v>
      </c>
      <c r="C28">
        <v>51.074999999999996</v>
      </c>
      <c r="D28">
        <v>53.258333333333333</v>
      </c>
      <c r="E28">
        <v>52.024999999999999</v>
      </c>
      <c r="F28">
        <v>53.541666666666664</v>
      </c>
      <c r="G28">
        <v>34.608333333333334</v>
      </c>
      <c r="H28">
        <v>35.266666666666659</v>
      </c>
      <c r="I28">
        <v>37.750000000000007</v>
      </c>
      <c r="J28">
        <v>42.45</v>
      </c>
      <c r="K28">
        <v>43.975000000000001</v>
      </c>
      <c r="L28">
        <v>45.800000000000004</v>
      </c>
      <c r="M28">
        <v>34.266666666666673</v>
      </c>
      <c r="N28">
        <v>33.783333333333339</v>
      </c>
      <c r="O28">
        <v>39.633333333333333</v>
      </c>
      <c r="P28">
        <v>42.6</v>
      </c>
      <c r="Q28">
        <v>44.383333333333333</v>
      </c>
      <c r="R28">
        <v>35.37874120823588</v>
      </c>
      <c r="S28">
        <v>29.849294474132126</v>
      </c>
      <c r="T28">
        <v>30.151807556849437</v>
      </c>
      <c r="U28">
        <v>30.36738101660049</v>
      </c>
    </row>
    <row r="29" spans="1:21" x14ac:dyDescent="0.25">
      <c r="A29" t="s">
        <v>28</v>
      </c>
      <c r="B29">
        <v>54.008333333333326</v>
      </c>
      <c r="C29">
        <v>52.491666666666674</v>
      </c>
      <c r="D29">
        <v>56.216666666666669</v>
      </c>
      <c r="E29">
        <v>55.524999999999999</v>
      </c>
      <c r="F29">
        <v>55.1</v>
      </c>
      <c r="G29">
        <v>34.758333333333333</v>
      </c>
      <c r="H29">
        <v>35.950000000000003</v>
      </c>
      <c r="I29">
        <v>38.366666666666667</v>
      </c>
      <c r="J29">
        <v>45.35</v>
      </c>
      <c r="K29">
        <v>46.30833333333333</v>
      </c>
      <c r="L29">
        <v>48.941666666666663</v>
      </c>
      <c r="M29">
        <v>35.80833333333333</v>
      </c>
      <c r="N29">
        <v>34.916666666666664</v>
      </c>
      <c r="O29">
        <v>40.833333333333336</v>
      </c>
      <c r="P29">
        <v>43.025000000000006</v>
      </c>
      <c r="Q29">
        <v>47</v>
      </c>
      <c r="R29">
        <v>33.878157434349774</v>
      </c>
      <c r="S29">
        <v>30.254591016069906</v>
      </c>
      <c r="T29">
        <v>29.730044273950423</v>
      </c>
      <c r="U29">
        <v>29.784257837182228</v>
      </c>
    </row>
    <row r="30" spans="1:21" x14ac:dyDescent="0.25">
      <c r="A30" t="s">
        <v>29</v>
      </c>
      <c r="B30">
        <v>48.933333333333337</v>
      </c>
      <c r="C30">
        <v>49.70000000000001</v>
      </c>
      <c r="D30">
        <v>53.43333333333333</v>
      </c>
      <c r="E30">
        <v>51.691666666666663</v>
      </c>
      <c r="F30">
        <v>52.691666666666663</v>
      </c>
      <c r="G30">
        <v>34.675000000000004</v>
      </c>
      <c r="H30">
        <v>35.141666666666666</v>
      </c>
      <c r="I30">
        <v>35.441666666666663</v>
      </c>
      <c r="J30">
        <v>41.866666666666667</v>
      </c>
      <c r="K30">
        <v>44.449999999999996</v>
      </c>
      <c r="L30">
        <v>44.166666666666664</v>
      </c>
      <c r="M30">
        <v>34.675000000000004</v>
      </c>
      <c r="N30">
        <v>33.800000000000004</v>
      </c>
      <c r="O30">
        <v>39.9</v>
      </c>
      <c r="P30">
        <v>43.483333333333341</v>
      </c>
      <c r="Q30">
        <v>48.050000000000004</v>
      </c>
      <c r="R30">
        <v>36.863851174861018</v>
      </c>
      <c r="S30">
        <v>31.345159015164786</v>
      </c>
      <c r="T30">
        <v>31.041324683471416</v>
      </c>
      <c r="U30">
        <v>32.260306779430692</v>
      </c>
    </row>
    <row r="31" spans="1:21" x14ac:dyDescent="0.25">
      <c r="A31" t="s">
        <v>30</v>
      </c>
      <c r="B31">
        <v>52.999999999999993</v>
      </c>
      <c r="C31">
        <v>52.091666666666669</v>
      </c>
      <c r="D31">
        <v>55.408333333333331</v>
      </c>
      <c r="E31">
        <v>53.083333333333343</v>
      </c>
      <c r="F31">
        <v>54.524999999999984</v>
      </c>
      <c r="G31">
        <v>34.841666666666661</v>
      </c>
      <c r="H31">
        <v>34.9</v>
      </c>
      <c r="I31">
        <v>36.716666666666669</v>
      </c>
      <c r="J31">
        <v>43.42499999999999</v>
      </c>
      <c r="K31">
        <v>45.56666666666667</v>
      </c>
      <c r="L31">
        <v>48.766666666666659</v>
      </c>
      <c r="M31">
        <v>34.300000000000004</v>
      </c>
      <c r="N31">
        <v>33.491666666666667</v>
      </c>
      <c r="O31">
        <v>41.916666666666671</v>
      </c>
      <c r="P31">
        <v>44.933333333333337</v>
      </c>
      <c r="Q31">
        <v>47.625</v>
      </c>
      <c r="R31">
        <v>32.904982565674224</v>
      </c>
      <c r="S31">
        <v>32.719324506946947</v>
      </c>
      <c r="T31">
        <v>31.048811309781907</v>
      </c>
      <c r="U31">
        <v>31.675854090727224</v>
      </c>
    </row>
    <row r="32" spans="1:21" x14ac:dyDescent="0.25">
      <c r="A32" t="s">
        <v>31</v>
      </c>
      <c r="B32">
        <v>54.94166666666667</v>
      </c>
      <c r="C32">
        <v>53.625</v>
      </c>
      <c r="D32">
        <v>54.741666666666667</v>
      </c>
      <c r="E32">
        <v>57.375</v>
      </c>
      <c r="F32">
        <v>54.458333333333336</v>
      </c>
      <c r="G32">
        <v>54.899999999999984</v>
      </c>
      <c r="H32">
        <v>53.741666666666667</v>
      </c>
      <c r="I32">
        <v>53.374999999999993</v>
      </c>
      <c r="J32">
        <v>31.266666666666666</v>
      </c>
      <c r="K32">
        <v>32.891666666666659</v>
      </c>
      <c r="L32">
        <v>46.35</v>
      </c>
      <c r="M32">
        <v>46.841666666666669</v>
      </c>
      <c r="N32">
        <v>45.841666666666669</v>
      </c>
      <c r="O32">
        <v>37.258333333333333</v>
      </c>
      <c r="P32">
        <v>40.991666666666667</v>
      </c>
      <c r="Q32">
        <v>43.466666666666669</v>
      </c>
      <c r="R32">
        <v>32.789709906907774</v>
      </c>
      <c r="S32">
        <v>33.223237954046674</v>
      </c>
      <c r="T32">
        <v>33.47918085626204</v>
      </c>
      <c r="U32">
        <v>33.986654054025671</v>
      </c>
    </row>
    <row r="33" spans="1:21" x14ac:dyDescent="0.25">
      <c r="A33" t="s">
        <v>32</v>
      </c>
      <c r="B33">
        <v>54.675000000000004</v>
      </c>
      <c r="C33">
        <v>53.533333333333331</v>
      </c>
      <c r="D33">
        <v>55.633333333333333</v>
      </c>
      <c r="E33">
        <v>53.20000000000001</v>
      </c>
      <c r="F33">
        <v>55.416666666666664</v>
      </c>
      <c r="G33">
        <v>56.29999999999999</v>
      </c>
      <c r="H33">
        <v>56.266666666666673</v>
      </c>
      <c r="I33">
        <v>34.524999999999999</v>
      </c>
      <c r="J33">
        <v>31.974999999999998</v>
      </c>
      <c r="K33">
        <v>45.216666666666661</v>
      </c>
      <c r="L33">
        <v>48.824999999999996</v>
      </c>
      <c r="M33">
        <v>50.750000000000007</v>
      </c>
      <c r="N33">
        <v>50.783333333333331</v>
      </c>
      <c r="O33">
        <v>44.041666666666664</v>
      </c>
      <c r="P33">
        <v>48.224999999999994</v>
      </c>
      <c r="Q33">
        <v>48.274999999999999</v>
      </c>
      <c r="R33">
        <v>35.798414967003247</v>
      </c>
      <c r="S33">
        <v>39.090152829639337</v>
      </c>
      <c r="T33">
        <v>40.676579835122077</v>
      </c>
      <c r="U33">
        <v>38.754733467084534</v>
      </c>
    </row>
    <row r="34" spans="1:21" x14ac:dyDescent="0.25">
      <c r="A34" t="s">
        <v>33</v>
      </c>
      <c r="B34">
        <v>34.49166666666666</v>
      </c>
      <c r="C34">
        <v>49.366666666666667</v>
      </c>
      <c r="D34">
        <v>34.525000000000006</v>
      </c>
      <c r="E34">
        <v>38.274999999999999</v>
      </c>
      <c r="F34">
        <v>35.18333333333333</v>
      </c>
      <c r="G34">
        <v>40.449999999999996</v>
      </c>
      <c r="H34">
        <v>51.908333333333331</v>
      </c>
      <c r="I34">
        <v>35.316666666666663</v>
      </c>
      <c r="J34">
        <v>33.033333333333339</v>
      </c>
      <c r="K34">
        <v>47.616666666666667</v>
      </c>
      <c r="L34">
        <v>56.258333333333333</v>
      </c>
      <c r="M34">
        <v>38.233333333333334</v>
      </c>
      <c r="N34">
        <v>44.574999999999996</v>
      </c>
      <c r="O34">
        <v>37.041666666666664</v>
      </c>
      <c r="P34">
        <v>40.774999999999999</v>
      </c>
      <c r="Q34">
        <v>52.133333333333326</v>
      </c>
      <c r="R34">
        <v>40.145501302202923</v>
      </c>
      <c r="S34">
        <v>40.072080808044795</v>
      </c>
      <c r="T34">
        <v>38.540424918034361</v>
      </c>
      <c r="U34">
        <v>37.261996732904663</v>
      </c>
    </row>
    <row r="35" spans="1:21" x14ac:dyDescent="0.25">
      <c r="A35" t="s">
        <v>34</v>
      </c>
      <c r="B35">
        <v>51.791666666666664</v>
      </c>
      <c r="C35">
        <v>54.033333333333331</v>
      </c>
      <c r="D35">
        <v>56.208333333333336</v>
      </c>
      <c r="E35">
        <v>53.466666666666669</v>
      </c>
      <c r="F35">
        <v>55.791666666666664</v>
      </c>
      <c r="G35">
        <v>56.908333333333339</v>
      </c>
      <c r="H35">
        <v>56.133333333333333</v>
      </c>
      <c r="I35">
        <v>35.94166666666667</v>
      </c>
      <c r="J35">
        <v>32.941666666666663</v>
      </c>
      <c r="K35">
        <v>41.666666666666664</v>
      </c>
      <c r="L35">
        <v>44.566666666666663</v>
      </c>
      <c r="M35">
        <v>49.925000000000004</v>
      </c>
      <c r="N35">
        <v>54.433333333333337</v>
      </c>
      <c r="O35">
        <v>43.175000000000004</v>
      </c>
      <c r="P35">
        <v>45.758333333333326</v>
      </c>
      <c r="Q35">
        <v>47.141666666666673</v>
      </c>
      <c r="R35">
        <v>45.409702037895556</v>
      </c>
      <c r="S35">
        <v>45.590722739668173</v>
      </c>
      <c r="T35">
        <v>47.708810225755826</v>
      </c>
      <c r="U35">
        <v>47.756915608315474</v>
      </c>
    </row>
    <row r="36" spans="1:21" x14ac:dyDescent="0.25">
      <c r="A36" t="s">
        <v>35</v>
      </c>
      <c r="B36">
        <v>60.125</v>
      </c>
      <c r="C36">
        <v>62.566666666666663</v>
      </c>
      <c r="D36">
        <v>64.441666666666677</v>
      </c>
      <c r="E36">
        <v>65.674999999999997</v>
      </c>
      <c r="F36">
        <v>63.550000000000004</v>
      </c>
      <c r="G36">
        <v>60.558333333333337</v>
      </c>
      <c r="H36">
        <v>63.458333333333343</v>
      </c>
      <c r="I36">
        <v>62.908333333333331</v>
      </c>
      <c r="J36">
        <v>59.966666666666661</v>
      </c>
      <c r="K36">
        <v>60.266666666666659</v>
      </c>
      <c r="L36">
        <v>64.566666666666649</v>
      </c>
      <c r="M36">
        <v>64.225000000000009</v>
      </c>
      <c r="N36">
        <v>63.841666666666669</v>
      </c>
      <c r="O36">
        <v>62.6</v>
      </c>
      <c r="P36">
        <v>66.008333333333326</v>
      </c>
      <c r="Q36">
        <v>67.350000000000009</v>
      </c>
      <c r="R36">
        <v>60.606113692119301</v>
      </c>
      <c r="S36">
        <v>58.729783563830786</v>
      </c>
      <c r="T36">
        <v>58.588364646327513</v>
      </c>
      <c r="U36">
        <v>58.012450336393762</v>
      </c>
    </row>
    <row r="37" spans="1:21" x14ac:dyDescent="0.25">
      <c r="A37" t="s">
        <v>36</v>
      </c>
      <c r="B37">
        <v>52.524999999999999</v>
      </c>
      <c r="C37">
        <v>52.783333333333331</v>
      </c>
      <c r="D37">
        <v>56.25</v>
      </c>
      <c r="E37">
        <v>53.916666666666679</v>
      </c>
      <c r="F37">
        <v>55.54999999999999</v>
      </c>
      <c r="G37">
        <v>55.633333333333326</v>
      </c>
      <c r="H37">
        <v>56.29999999999999</v>
      </c>
      <c r="I37">
        <v>55.699999999999996</v>
      </c>
      <c r="J37">
        <v>52.908333333333331</v>
      </c>
      <c r="K37">
        <v>54.508333333333326</v>
      </c>
      <c r="L37">
        <v>54.15</v>
      </c>
      <c r="M37">
        <v>54.925000000000004</v>
      </c>
      <c r="N37">
        <v>55.29999999999999</v>
      </c>
      <c r="O37">
        <v>56.074999999999996</v>
      </c>
      <c r="P37">
        <v>58.608333333333341</v>
      </c>
      <c r="Q37">
        <v>60.68333333333333</v>
      </c>
      <c r="R37">
        <v>55.18428331055037</v>
      </c>
      <c r="S37">
        <v>56.07409212681398</v>
      </c>
      <c r="T37">
        <v>57.346448038374838</v>
      </c>
      <c r="U37">
        <v>56.224440114851241</v>
      </c>
    </row>
    <row r="38" spans="1:21" x14ac:dyDescent="0.25">
      <c r="A38" t="s">
        <v>37</v>
      </c>
      <c r="B38">
        <v>34.324999999999996</v>
      </c>
      <c r="C38">
        <v>36.1</v>
      </c>
      <c r="D38">
        <v>35.93333333333333</v>
      </c>
      <c r="E38">
        <v>38.491666666666667</v>
      </c>
      <c r="F38">
        <v>38.300000000000004</v>
      </c>
      <c r="G38">
        <v>40.583333333333336</v>
      </c>
      <c r="H38">
        <v>52.108333333333327</v>
      </c>
      <c r="I38">
        <v>35.175000000000004</v>
      </c>
      <c r="J38">
        <v>32.158333333333339</v>
      </c>
      <c r="K38">
        <v>47.225000000000001</v>
      </c>
      <c r="L38">
        <v>58.391666666666673</v>
      </c>
      <c r="M38">
        <v>38.358333333333327</v>
      </c>
      <c r="N38">
        <v>42.774999999999999</v>
      </c>
      <c r="O38">
        <v>36.124999999999993</v>
      </c>
      <c r="P38">
        <v>52.975000000000001</v>
      </c>
      <c r="Q38">
        <v>56.166666666666679</v>
      </c>
      <c r="R38">
        <v>39.812540760073183</v>
      </c>
      <c r="S38">
        <v>39.206223872470886</v>
      </c>
      <c r="T38">
        <v>38.160799468133426</v>
      </c>
      <c r="U38">
        <v>37.708343511825127</v>
      </c>
    </row>
    <row r="39" spans="1:21" x14ac:dyDescent="0.25">
      <c r="A39" t="s">
        <v>38</v>
      </c>
      <c r="B39">
        <v>53</v>
      </c>
      <c r="C39">
        <v>53.474999999999994</v>
      </c>
      <c r="D39">
        <v>55.616666666666667</v>
      </c>
      <c r="E39">
        <v>55.42499999999999</v>
      </c>
      <c r="F39">
        <v>56.091666666666661</v>
      </c>
      <c r="G39">
        <v>53.608333333333327</v>
      </c>
      <c r="H39">
        <v>54.599999999999994</v>
      </c>
      <c r="I39">
        <v>35.93333333333333</v>
      </c>
      <c r="J39">
        <v>31.433333333333337</v>
      </c>
      <c r="K39">
        <v>40.266666666666666</v>
      </c>
      <c r="L39">
        <v>47.80833333333333</v>
      </c>
      <c r="M39">
        <v>48.466666666666661</v>
      </c>
      <c r="N39">
        <v>48.908333333333331</v>
      </c>
      <c r="O39">
        <v>37.608333333333327</v>
      </c>
      <c r="P39">
        <v>40.616666666666653</v>
      </c>
      <c r="Q39">
        <v>40.633333333333333</v>
      </c>
      <c r="R39">
        <v>44.622517860441199</v>
      </c>
      <c r="S39">
        <v>43.973342560082251</v>
      </c>
      <c r="T39">
        <v>45.966647720251153</v>
      </c>
      <c r="U39">
        <v>48.44902129794108</v>
      </c>
    </row>
    <row r="40" spans="1:21" x14ac:dyDescent="0.25">
      <c r="A40" t="s">
        <v>39</v>
      </c>
      <c r="B40">
        <v>60.800000000000004</v>
      </c>
      <c r="C40">
        <v>63.125</v>
      </c>
      <c r="D40">
        <v>65.01666666666668</v>
      </c>
      <c r="E40">
        <v>66.908333333333331</v>
      </c>
      <c r="F40">
        <v>64.00833333333334</v>
      </c>
      <c r="G40">
        <v>62.341666666666676</v>
      </c>
      <c r="H40">
        <v>64.45</v>
      </c>
      <c r="I40">
        <v>62.958333333333321</v>
      </c>
      <c r="J40">
        <v>58.875</v>
      </c>
      <c r="K40">
        <v>60.683333333333337</v>
      </c>
      <c r="L40">
        <v>64.61666666666666</v>
      </c>
      <c r="M40">
        <v>64.325000000000003</v>
      </c>
      <c r="N40">
        <v>65.11666666666666</v>
      </c>
      <c r="O40">
        <v>62.824999999999996</v>
      </c>
      <c r="P40">
        <v>65.975000000000009</v>
      </c>
      <c r="Q40">
        <v>66.566666666666677</v>
      </c>
      <c r="R40">
        <v>60.64032384765455</v>
      </c>
      <c r="S40">
        <v>58.31651581516072</v>
      </c>
      <c r="T40">
        <v>58.867625337616481</v>
      </c>
      <c r="U40">
        <v>57.863794085182441</v>
      </c>
    </row>
    <row r="41" spans="1:21" x14ac:dyDescent="0.25">
      <c r="A41" t="s">
        <v>40</v>
      </c>
      <c r="B41">
        <v>53</v>
      </c>
      <c r="C41">
        <v>53.050000000000004</v>
      </c>
      <c r="D41">
        <v>54.558333333333337</v>
      </c>
      <c r="E41">
        <v>53.649999999999984</v>
      </c>
      <c r="F41">
        <v>55.583333333333343</v>
      </c>
      <c r="G41">
        <v>56.274999999999999</v>
      </c>
      <c r="H41">
        <v>55.349999999999994</v>
      </c>
      <c r="I41">
        <v>53.983333333333327</v>
      </c>
      <c r="J41">
        <v>53.033333333333324</v>
      </c>
      <c r="K41">
        <v>54.524999999999999</v>
      </c>
      <c r="L41">
        <v>55.466666666666669</v>
      </c>
      <c r="M41">
        <v>54.591666666666661</v>
      </c>
      <c r="N41">
        <v>53.824999999999996</v>
      </c>
      <c r="O41">
        <v>56.9</v>
      </c>
      <c r="P41">
        <v>58.074999999999996</v>
      </c>
      <c r="Q41">
        <v>60.525000000000006</v>
      </c>
      <c r="R41">
        <v>56.937513570131877</v>
      </c>
      <c r="S41">
        <v>55.62868462708505</v>
      </c>
      <c r="T41">
        <v>57.624940851224714</v>
      </c>
      <c r="U41">
        <v>57.159981141373216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1390-408D-4D0F-8754-BE2A01BA08F9}">
  <dimension ref="A1:U41"/>
  <sheetViews>
    <sheetView tabSelected="1" workbookViewId="0">
      <selection sqref="A1:A1048576"/>
    </sheetView>
  </sheetViews>
  <sheetFormatPr defaultRowHeight="15" x14ac:dyDescent="0.25"/>
  <sheetData>
    <row r="1" spans="1:21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</row>
    <row r="2" spans="1:21" x14ac:dyDescent="0.25">
      <c r="A2" t="s">
        <v>1</v>
      </c>
      <c r="B2">
        <v>31.883333333333329</v>
      </c>
      <c r="C2">
        <v>29.733333333333334</v>
      </c>
      <c r="D2">
        <v>34.091666666666669</v>
      </c>
      <c r="E2">
        <v>30.525000000000002</v>
      </c>
      <c r="F2">
        <v>31.608333333333334</v>
      </c>
      <c r="G2">
        <v>31.474999999999994</v>
      </c>
      <c r="H2">
        <v>30.61666666666666</v>
      </c>
      <c r="I2">
        <v>30.900000000000002</v>
      </c>
      <c r="J2">
        <v>31.683333333333334</v>
      </c>
      <c r="K2">
        <v>33.516666666666666</v>
      </c>
      <c r="L2">
        <v>28.858333333333338</v>
      </c>
      <c r="M2">
        <v>30.574999999999999</v>
      </c>
      <c r="N2">
        <v>28.891666666666666</v>
      </c>
      <c r="O2">
        <v>29.324999999999999</v>
      </c>
      <c r="P2">
        <v>33.933333333333344</v>
      </c>
      <c r="Q2">
        <v>32.708333333333336</v>
      </c>
      <c r="R2">
        <v>33.162543392878113</v>
      </c>
      <c r="S2">
        <v>32.389332952665761</v>
      </c>
      <c r="T2">
        <v>32.487892723305556</v>
      </c>
      <c r="U2">
        <v>33.239786328073201</v>
      </c>
    </row>
    <row r="3" spans="1:21" x14ac:dyDescent="0.25">
      <c r="A3" t="s">
        <v>2</v>
      </c>
      <c r="B3">
        <v>30.566666666666666</v>
      </c>
      <c r="C3">
        <v>28.033333333333335</v>
      </c>
      <c r="D3">
        <v>35.108333333333334</v>
      </c>
      <c r="E3">
        <v>30.716666666666665</v>
      </c>
      <c r="F3">
        <v>31.458333333333332</v>
      </c>
      <c r="G3">
        <v>30.283333333333331</v>
      </c>
      <c r="H3">
        <v>30.333333333333332</v>
      </c>
      <c r="I3">
        <v>30.483333333333334</v>
      </c>
      <c r="J3">
        <v>30.724999999999994</v>
      </c>
      <c r="K3">
        <v>31.891666666666669</v>
      </c>
      <c r="L3">
        <v>29.866666666666671</v>
      </c>
      <c r="M3">
        <v>30.200000000000003</v>
      </c>
      <c r="N3">
        <v>28.300000000000008</v>
      </c>
      <c r="O3">
        <v>27.791666666666668</v>
      </c>
      <c r="P3">
        <v>31.275000000000002</v>
      </c>
      <c r="Q3">
        <v>30.75</v>
      </c>
      <c r="R3">
        <v>32.537628327403752</v>
      </c>
      <c r="S3">
        <v>30.78040818329281</v>
      </c>
      <c r="T3">
        <v>31.477085520240859</v>
      </c>
      <c r="U3">
        <v>31.007068559140691</v>
      </c>
    </row>
    <row r="4" spans="1:21" x14ac:dyDescent="0.25">
      <c r="A4" t="s">
        <v>3</v>
      </c>
      <c r="B4">
        <v>30.574999999999999</v>
      </c>
      <c r="C4">
        <v>28.375</v>
      </c>
      <c r="D4">
        <v>34.008333333333333</v>
      </c>
      <c r="E4">
        <v>30.183333333333337</v>
      </c>
      <c r="F4">
        <v>31.900000000000006</v>
      </c>
      <c r="G4">
        <v>29.841666666666669</v>
      </c>
      <c r="H4">
        <v>31</v>
      </c>
      <c r="I4">
        <v>29.86666666666666</v>
      </c>
      <c r="J4">
        <v>30.883333333333336</v>
      </c>
      <c r="K4">
        <v>32.024999999999999</v>
      </c>
      <c r="L4">
        <v>29.258333333333329</v>
      </c>
      <c r="M4">
        <v>29.608333333333334</v>
      </c>
      <c r="N4">
        <v>27.241666666666671</v>
      </c>
      <c r="O4">
        <v>28.641666666666666</v>
      </c>
      <c r="P4">
        <v>33.083333333333336</v>
      </c>
      <c r="Q4">
        <v>35.108333333333334</v>
      </c>
      <c r="R4">
        <v>32.545002237613097</v>
      </c>
      <c r="S4">
        <v>32.117429378531661</v>
      </c>
      <c r="T4">
        <v>31.258067373710158</v>
      </c>
      <c r="U4">
        <v>32.974962734042577</v>
      </c>
    </row>
    <row r="5" spans="1:21" x14ac:dyDescent="0.25">
      <c r="A5" t="s">
        <v>4</v>
      </c>
      <c r="B5">
        <v>29.791666666666668</v>
      </c>
      <c r="C5">
        <v>28.283333333333331</v>
      </c>
      <c r="D5">
        <v>33.25833333333334</v>
      </c>
      <c r="E5">
        <v>30.50833333333334</v>
      </c>
      <c r="F5">
        <v>32.266666666666666</v>
      </c>
      <c r="G5">
        <v>32.291666666666664</v>
      </c>
      <c r="H5">
        <v>33.43333333333333</v>
      </c>
      <c r="I5">
        <v>30.7</v>
      </c>
      <c r="J5">
        <v>31.200000000000003</v>
      </c>
      <c r="K5">
        <v>31.175000000000001</v>
      </c>
      <c r="L5">
        <v>28.366666666666664</v>
      </c>
      <c r="M5">
        <v>33.541666666666664</v>
      </c>
      <c r="N5">
        <v>34.983333333333327</v>
      </c>
      <c r="O5">
        <v>27.416666666666668</v>
      </c>
      <c r="P5">
        <v>30.791666666666668</v>
      </c>
      <c r="Q5">
        <v>31.258333333333336</v>
      </c>
      <c r="R5">
        <v>33.825469259923402</v>
      </c>
      <c r="S5">
        <v>32.709780811790459</v>
      </c>
      <c r="T5">
        <v>34.101917519314426</v>
      </c>
      <c r="U5">
        <v>37.851672354538586</v>
      </c>
    </row>
    <row r="6" spans="1:21" x14ac:dyDescent="0.25">
      <c r="A6" t="s">
        <v>5</v>
      </c>
      <c r="B6">
        <v>29.95</v>
      </c>
      <c r="C6">
        <v>27.541666666666668</v>
      </c>
      <c r="D6">
        <v>33.299999999999997</v>
      </c>
      <c r="E6">
        <v>30.333333333333332</v>
      </c>
      <c r="F6">
        <v>30.349999999999998</v>
      </c>
      <c r="G6">
        <v>28.691666666666663</v>
      </c>
      <c r="H6">
        <v>30.158333333333331</v>
      </c>
      <c r="I6">
        <v>30.083333333333332</v>
      </c>
      <c r="J6">
        <v>31.033333333333331</v>
      </c>
      <c r="K6">
        <v>32.891666666666673</v>
      </c>
      <c r="L6">
        <v>28.683333333333334</v>
      </c>
      <c r="M6">
        <v>30.766666666666666</v>
      </c>
      <c r="N6">
        <v>28.249999999999996</v>
      </c>
      <c r="O6">
        <v>26.750000000000004</v>
      </c>
      <c r="P6">
        <v>31.2</v>
      </c>
      <c r="Q6">
        <v>31.016666666666666</v>
      </c>
      <c r="R6">
        <v>33.207882313742282</v>
      </c>
      <c r="S6">
        <v>34.623672588270828</v>
      </c>
      <c r="T6">
        <v>37.884537139495734</v>
      </c>
      <c r="U6">
        <v>40.936605707264043</v>
      </c>
    </row>
    <row r="7" spans="1:21" x14ac:dyDescent="0.25">
      <c r="A7" t="s">
        <v>6</v>
      </c>
      <c r="B7">
        <v>30.599999999999994</v>
      </c>
      <c r="C7">
        <v>29.25</v>
      </c>
      <c r="D7">
        <v>34.875</v>
      </c>
      <c r="E7">
        <v>30.275000000000002</v>
      </c>
      <c r="F7">
        <v>30.141666666666669</v>
      </c>
      <c r="G7">
        <v>31.041666666666668</v>
      </c>
      <c r="H7">
        <v>32.56666666666667</v>
      </c>
      <c r="I7">
        <v>30.841666666666665</v>
      </c>
      <c r="J7">
        <v>31.866666666666664</v>
      </c>
      <c r="K7">
        <v>32.15</v>
      </c>
      <c r="L7">
        <v>27.783333333333335</v>
      </c>
      <c r="M7">
        <v>30.683333333333334</v>
      </c>
      <c r="N7">
        <v>31.966666666666669</v>
      </c>
      <c r="O7">
        <v>27.875</v>
      </c>
      <c r="P7">
        <v>31.125</v>
      </c>
      <c r="Q7">
        <v>31.333333333333332</v>
      </c>
      <c r="R7">
        <v>32.320737697282247</v>
      </c>
      <c r="S7">
        <v>32.254592863686078</v>
      </c>
      <c r="T7">
        <v>35.069347389209504</v>
      </c>
      <c r="U7">
        <v>36.725230818580165</v>
      </c>
    </row>
    <row r="8" spans="1:21" x14ac:dyDescent="0.25">
      <c r="A8" t="s">
        <v>7</v>
      </c>
      <c r="B8">
        <v>30.224999999999998</v>
      </c>
      <c r="C8">
        <v>28.458333333333329</v>
      </c>
      <c r="D8">
        <v>33.216666666666661</v>
      </c>
      <c r="E8">
        <v>30.475000000000005</v>
      </c>
      <c r="F8">
        <v>30.191666666666674</v>
      </c>
      <c r="G8">
        <v>31.441666666666663</v>
      </c>
      <c r="H8">
        <v>33.441666666666663</v>
      </c>
      <c r="I8">
        <v>30.766666666666669</v>
      </c>
      <c r="J8">
        <v>32.308333333333337</v>
      </c>
      <c r="K8">
        <v>31.849999999999998</v>
      </c>
      <c r="L8">
        <v>28.825000000000003</v>
      </c>
      <c r="M8">
        <v>31.016666666666676</v>
      </c>
      <c r="N8">
        <v>31.566666666666674</v>
      </c>
      <c r="O8">
        <v>27.283333333333331</v>
      </c>
      <c r="P8">
        <v>29.141666666666666</v>
      </c>
      <c r="Q8">
        <v>32.833333333333336</v>
      </c>
      <c r="R8">
        <v>32.088764620816754</v>
      </c>
      <c r="S8">
        <v>31.825064686601834</v>
      </c>
      <c r="T8">
        <v>34.16369500211453</v>
      </c>
      <c r="U8">
        <v>37.649566718277022</v>
      </c>
    </row>
    <row r="9" spans="1:21" x14ac:dyDescent="0.25">
      <c r="A9" t="s">
        <v>8</v>
      </c>
      <c r="B9">
        <v>30.650000000000002</v>
      </c>
      <c r="C9">
        <v>29.5</v>
      </c>
      <c r="D9">
        <v>32.875000000000007</v>
      </c>
      <c r="E9">
        <v>30.55</v>
      </c>
      <c r="F9">
        <v>30.091666666666665</v>
      </c>
      <c r="G9">
        <v>29.324999999999999</v>
      </c>
      <c r="H9">
        <v>30.950000000000003</v>
      </c>
      <c r="I9">
        <v>30.616666666666671</v>
      </c>
      <c r="J9">
        <v>31.541666666666671</v>
      </c>
      <c r="K9">
        <v>32.416666666666664</v>
      </c>
      <c r="L9">
        <v>30.066666666666663</v>
      </c>
      <c r="M9">
        <v>30.599999999999998</v>
      </c>
      <c r="N9">
        <v>28.8</v>
      </c>
      <c r="O9">
        <v>29.625000000000004</v>
      </c>
      <c r="P9">
        <v>32.166666666666664</v>
      </c>
      <c r="Q9">
        <v>35.225000000000001</v>
      </c>
      <c r="R9">
        <v>32.054527858974744</v>
      </c>
      <c r="S9">
        <v>31.054988764829218</v>
      </c>
      <c r="T9">
        <v>32.103007985869255</v>
      </c>
      <c r="U9">
        <v>33.505156267659878</v>
      </c>
    </row>
    <row r="10" spans="1:21" x14ac:dyDescent="0.25">
      <c r="A10" t="s">
        <v>9</v>
      </c>
      <c r="B10">
        <v>31.224999999999998</v>
      </c>
      <c r="C10">
        <v>28.224999999999998</v>
      </c>
      <c r="D10">
        <v>32.658333333333339</v>
      </c>
      <c r="E10">
        <v>29.808333333333326</v>
      </c>
      <c r="F10">
        <v>31.566666666666663</v>
      </c>
      <c r="G10">
        <v>32.025000000000006</v>
      </c>
      <c r="H10">
        <v>30.716666666666669</v>
      </c>
      <c r="I10">
        <v>30.041666666666671</v>
      </c>
      <c r="J10">
        <v>30.883333333333336</v>
      </c>
      <c r="K10">
        <v>33.9</v>
      </c>
      <c r="L10">
        <v>30.808333333333334</v>
      </c>
      <c r="M10">
        <v>29.158333333333331</v>
      </c>
      <c r="N10">
        <v>29.275000000000002</v>
      </c>
      <c r="O10">
        <v>28</v>
      </c>
      <c r="P10">
        <v>31.316666666666666</v>
      </c>
      <c r="Q10">
        <v>30.483333333333331</v>
      </c>
      <c r="R10">
        <v>33.942287865761379</v>
      </c>
      <c r="S10">
        <v>37.179435027868955</v>
      </c>
      <c r="T10">
        <v>39.873207938463402</v>
      </c>
      <c r="U10">
        <v>37.816351077164107</v>
      </c>
    </row>
    <row r="11" spans="1:21" x14ac:dyDescent="0.25">
      <c r="A11" t="s">
        <v>10</v>
      </c>
      <c r="B11">
        <v>32.475000000000001</v>
      </c>
      <c r="C11">
        <v>29.908333333333331</v>
      </c>
      <c r="D11">
        <v>33.500000000000007</v>
      </c>
      <c r="E11">
        <v>31.066666666666666</v>
      </c>
      <c r="F11">
        <v>32.75</v>
      </c>
      <c r="G11">
        <v>36.19166666666667</v>
      </c>
      <c r="H11">
        <v>34.408333333333339</v>
      </c>
      <c r="I11">
        <v>32.1</v>
      </c>
      <c r="J11">
        <v>31.033333333333335</v>
      </c>
      <c r="K11">
        <v>33.191666666666663</v>
      </c>
      <c r="L11">
        <v>30.63333333333334</v>
      </c>
      <c r="M11">
        <v>32.924999999999997</v>
      </c>
      <c r="N11">
        <v>34.4</v>
      </c>
      <c r="O11">
        <v>29</v>
      </c>
      <c r="P11">
        <v>31.483333333333338</v>
      </c>
      <c r="Q11">
        <v>30.916666666666668</v>
      </c>
      <c r="R11">
        <v>32.314008382276349</v>
      </c>
      <c r="S11">
        <v>34.757049516902235</v>
      </c>
      <c r="T11">
        <v>34.86953287147108</v>
      </c>
      <c r="U11">
        <v>34.255901755026429</v>
      </c>
    </row>
    <row r="12" spans="1:21" x14ac:dyDescent="0.25">
      <c r="A12" t="s">
        <v>11</v>
      </c>
      <c r="B12">
        <v>31.349999999999998</v>
      </c>
      <c r="C12">
        <v>28.983333333333334</v>
      </c>
      <c r="D12">
        <v>31.458333333333329</v>
      </c>
      <c r="E12">
        <v>29.841666666666669</v>
      </c>
      <c r="F12">
        <v>31.733333333333334</v>
      </c>
      <c r="G12">
        <v>30.408333333333335</v>
      </c>
      <c r="H12">
        <v>30.483333333333338</v>
      </c>
      <c r="I12">
        <v>30.341666666666669</v>
      </c>
      <c r="J12">
        <v>30.783333333333335</v>
      </c>
      <c r="K12">
        <v>31.816666666666666</v>
      </c>
      <c r="L12">
        <v>29.108333333333334</v>
      </c>
      <c r="M12">
        <v>30.525000000000006</v>
      </c>
      <c r="N12">
        <v>27.55</v>
      </c>
      <c r="O12">
        <v>29.458333333333339</v>
      </c>
      <c r="P12">
        <v>32.658333333333339</v>
      </c>
      <c r="Q12">
        <v>33.633333333333333</v>
      </c>
      <c r="R12">
        <v>33.409535512880709</v>
      </c>
      <c r="S12">
        <v>32.855142443643878</v>
      </c>
      <c r="T12">
        <v>32.456653505278496</v>
      </c>
      <c r="U12">
        <v>33.108267642392235</v>
      </c>
    </row>
    <row r="13" spans="1:21" x14ac:dyDescent="0.25">
      <c r="A13" t="s">
        <v>12</v>
      </c>
      <c r="B13">
        <v>30.499999999999996</v>
      </c>
      <c r="C13">
        <v>29.683333333333334</v>
      </c>
      <c r="D13">
        <v>33.391666666666673</v>
      </c>
      <c r="E13">
        <v>32.875</v>
      </c>
      <c r="F13">
        <v>32.80833333333333</v>
      </c>
      <c r="G13">
        <v>31.066666666666666</v>
      </c>
      <c r="H13">
        <v>29.758333333333336</v>
      </c>
      <c r="I13">
        <v>30.150000000000002</v>
      </c>
      <c r="J13">
        <v>30.716666666666669</v>
      </c>
      <c r="K13">
        <v>33.274999999999999</v>
      </c>
      <c r="L13">
        <v>29.674999999999997</v>
      </c>
      <c r="M13">
        <v>29.141666666666666</v>
      </c>
      <c r="N13">
        <v>28.583333333333332</v>
      </c>
      <c r="O13">
        <v>28.641666666666666</v>
      </c>
      <c r="P13">
        <v>32.516666666666673</v>
      </c>
      <c r="Q13">
        <v>30.066666666666666</v>
      </c>
      <c r="R13">
        <v>32.5286587798875</v>
      </c>
      <c r="S13">
        <v>35.737853479733253</v>
      </c>
      <c r="T13">
        <v>38.05245375449099</v>
      </c>
      <c r="U13">
        <v>38.624646816596538</v>
      </c>
    </row>
    <row r="14" spans="1:21" x14ac:dyDescent="0.25">
      <c r="A14" t="s">
        <v>13</v>
      </c>
      <c r="B14">
        <v>32.008333333333333</v>
      </c>
      <c r="C14">
        <v>28.091666666666665</v>
      </c>
      <c r="D14">
        <v>33.366666666666667</v>
      </c>
      <c r="E14">
        <v>30.783333333333335</v>
      </c>
      <c r="F14">
        <v>31.116666666666671</v>
      </c>
      <c r="G14">
        <v>29.266666666666669</v>
      </c>
      <c r="H14">
        <v>28.474999999999994</v>
      </c>
      <c r="I14">
        <v>30.158333333333331</v>
      </c>
      <c r="J14">
        <v>30.983333333333334</v>
      </c>
      <c r="K14">
        <v>32.908333333333331</v>
      </c>
      <c r="L14">
        <v>28.433333333333337</v>
      </c>
      <c r="M14">
        <v>30.591666666666669</v>
      </c>
      <c r="N14">
        <v>28.099999999999998</v>
      </c>
      <c r="O14">
        <v>28.149999999999995</v>
      </c>
      <c r="P14">
        <v>31.366666666666664</v>
      </c>
      <c r="Q14">
        <v>30.099999999999998</v>
      </c>
      <c r="R14">
        <v>31.412110473359817</v>
      </c>
      <c r="S14">
        <v>30.504982230997797</v>
      </c>
      <c r="T14">
        <v>31.097809981555276</v>
      </c>
      <c r="U14">
        <v>32.870352313969256</v>
      </c>
    </row>
    <row r="15" spans="1:21" x14ac:dyDescent="0.25">
      <c r="A15" t="s">
        <v>14</v>
      </c>
      <c r="B15">
        <v>31.8</v>
      </c>
      <c r="C15">
        <v>27.941666666666666</v>
      </c>
      <c r="D15">
        <v>33.824999999999996</v>
      </c>
      <c r="E15">
        <v>31.824999999999999</v>
      </c>
      <c r="F15">
        <v>30.483333333333331</v>
      </c>
      <c r="G15">
        <v>32.275000000000006</v>
      </c>
      <c r="H15">
        <v>30.983333333333334</v>
      </c>
      <c r="I15">
        <v>32.458333333333329</v>
      </c>
      <c r="J15">
        <v>33.875</v>
      </c>
      <c r="K15">
        <v>32.9</v>
      </c>
      <c r="L15">
        <v>29.983333333333331</v>
      </c>
      <c r="M15">
        <v>29.766666666666669</v>
      </c>
      <c r="N15">
        <v>31.775000000000002</v>
      </c>
      <c r="O15">
        <v>27.966666666666669</v>
      </c>
      <c r="P15">
        <v>30.508333333333336</v>
      </c>
      <c r="Q15">
        <v>29.575000000000003</v>
      </c>
      <c r="R15">
        <v>31.677267120597211</v>
      </c>
      <c r="S15">
        <v>31.206952906074736</v>
      </c>
      <c r="T15">
        <v>33.624368318867035</v>
      </c>
      <c r="U15">
        <v>35.715047453391044</v>
      </c>
    </row>
    <row r="16" spans="1:21" x14ac:dyDescent="0.25">
      <c r="A16" t="s">
        <v>15</v>
      </c>
      <c r="B16">
        <v>30.458333333333329</v>
      </c>
      <c r="C16">
        <v>28.191666666666666</v>
      </c>
      <c r="D16">
        <v>32.200000000000003</v>
      </c>
      <c r="E16">
        <v>30.283333333333328</v>
      </c>
      <c r="F16">
        <v>30.808333333333337</v>
      </c>
      <c r="G16">
        <v>28.383333333333336</v>
      </c>
      <c r="H16">
        <v>29.750000000000004</v>
      </c>
      <c r="I16">
        <v>29.149999999999995</v>
      </c>
      <c r="J16">
        <v>30.783333333333331</v>
      </c>
      <c r="K16">
        <v>31.866666666666674</v>
      </c>
      <c r="L16">
        <v>29.966666666666665</v>
      </c>
      <c r="M16">
        <v>27.566666666666663</v>
      </c>
      <c r="N16">
        <v>30.741666666666664</v>
      </c>
      <c r="O16">
        <v>27.333333333333329</v>
      </c>
      <c r="P16">
        <v>31.158333333333331</v>
      </c>
      <c r="Q16">
        <v>30.641666666666666</v>
      </c>
      <c r="R16">
        <v>32.000571628410427</v>
      </c>
      <c r="S16">
        <v>30.836382736543346</v>
      </c>
      <c r="T16">
        <v>33.56999292530157</v>
      </c>
      <c r="U16">
        <v>32.686114948235883</v>
      </c>
    </row>
    <row r="17" spans="1:21" x14ac:dyDescent="0.25">
      <c r="A17" t="s">
        <v>16</v>
      </c>
      <c r="B17">
        <v>31.8</v>
      </c>
      <c r="C17">
        <v>29.033333333333331</v>
      </c>
      <c r="D17">
        <v>34.974999999999994</v>
      </c>
      <c r="E17">
        <v>30.625</v>
      </c>
      <c r="F17">
        <v>30.425000000000001</v>
      </c>
      <c r="G17">
        <v>29.341666666666669</v>
      </c>
      <c r="H17">
        <v>29.158333333333335</v>
      </c>
      <c r="I17">
        <v>30.624999999999996</v>
      </c>
      <c r="J17">
        <v>31.341666666666669</v>
      </c>
      <c r="K17">
        <v>33.324999999999996</v>
      </c>
      <c r="L17">
        <v>28.974999999999998</v>
      </c>
      <c r="M17">
        <v>29.033333333333331</v>
      </c>
      <c r="N17">
        <v>30.683333333333337</v>
      </c>
      <c r="O17">
        <v>27.724999999999998</v>
      </c>
      <c r="P17">
        <v>30.683333333333334</v>
      </c>
      <c r="Q17">
        <v>32.49166666666666</v>
      </c>
      <c r="R17">
        <v>31.774559988511754</v>
      </c>
      <c r="S17">
        <v>30.20467300359655</v>
      </c>
      <c r="T17">
        <v>33.727171758943804</v>
      </c>
      <c r="U17">
        <v>33.903594739318343</v>
      </c>
    </row>
    <row r="18" spans="1:21" x14ac:dyDescent="0.25">
      <c r="A18" t="s">
        <v>17</v>
      </c>
      <c r="B18">
        <v>29.749999999999996</v>
      </c>
      <c r="C18">
        <v>29.250000000000004</v>
      </c>
      <c r="D18">
        <v>32.524999999999999</v>
      </c>
      <c r="E18">
        <v>29.674999999999997</v>
      </c>
      <c r="F18">
        <v>31.041666666666668</v>
      </c>
      <c r="G18">
        <v>34.533333333333331</v>
      </c>
      <c r="H18">
        <v>32.716666666666669</v>
      </c>
      <c r="I18">
        <v>30.033333333333335</v>
      </c>
      <c r="J18">
        <v>30.533333333333335</v>
      </c>
      <c r="K18">
        <v>31.633333333333336</v>
      </c>
      <c r="L18">
        <v>29.374999999999996</v>
      </c>
      <c r="M18">
        <v>32.29999999999999</v>
      </c>
      <c r="N18">
        <v>33.85</v>
      </c>
      <c r="O18">
        <v>28.241666666666664</v>
      </c>
      <c r="P18">
        <v>31.175000000000001</v>
      </c>
      <c r="Q18">
        <v>30.975000000000005</v>
      </c>
      <c r="R18">
        <v>31.757276055817172</v>
      </c>
      <c r="S18">
        <v>31.562637882439162</v>
      </c>
      <c r="T18">
        <v>34.60413512980022</v>
      </c>
      <c r="U18">
        <v>36.064207035741795</v>
      </c>
    </row>
    <row r="19" spans="1:21" x14ac:dyDescent="0.25">
      <c r="A19" t="s">
        <v>18</v>
      </c>
      <c r="B19">
        <v>30.716666666666665</v>
      </c>
      <c r="C19">
        <v>27.933333333333337</v>
      </c>
      <c r="D19">
        <v>31.633333333333329</v>
      </c>
      <c r="E19">
        <v>29.141666666666662</v>
      </c>
      <c r="F19">
        <v>32.141666666666673</v>
      </c>
      <c r="G19">
        <v>31.091666666666669</v>
      </c>
      <c r="H19">
        <v>29.891666666666669</v>
      </c>
      <c r="I19">
        <v>29.575000000000003</v>
      </c>
      <c r="J19">
        <v>31.491666666666664</v>
      </c>
      <c r="K19">
        <v>31.108333333333334</v>
      </c>
      <c r="L19">
        <v>29.824999999999999</v>
      </c>
      <c r="M19">
        <v>27.891666666666666</v>
      </c>
      <c r="N19">
        <v>28.408333333333328</v>
      </c>
      <c r="O19">
        <v>28.908333333333335</v>
      </c>
      <c r="P19">
        <v>31.108333333333331</v>
      </c>
      <c r="Q19">
        <v>33.55833333333333</v>
      </c>
      <c r="R19">
        <v>33.088407834770948</v>
      </c>
      <c r="S19">
        <v>30.796769252909218</v>
      </c>
      <c r="T19">
        <v>30.264126513057395</v>
      </c>
      <c r="U19">
        <v>32.219981775408066</v>
      </c>
    </row>
    <row r="20" spans="1:21" x14ac:dyDescent="0.25">
      <c r="A20" t="s">
        <v>19</v>
      </c>
      <c r="B20">
        <v>31.883333333333336</v>
      </c>
      <c r="C20">
        <v>27.783333333333331</v>
      </c>
      <c r="D20">
        <v>31.825000000000003</v>
      </c>
      <c r="E20">
        <v>29.299999999999997</v>
      </c>
      <c r="F20">
        <v>30.908333333333331</v>
      </c>
      <c r="G20">
        <v>33.325000000000003</v>
      </c>
      <c r="H20">
        <v>31.575000000000003</v>
      </c>
      <c r="I20">
        <v>32.050000000000004</v>
      </c>
      <c r="J20">
        <v>33.458333333333329</v>
      </c>
      <c r="K20">
        <v>30.450000000000003</v>
      </c>
      <c r="L20">
        <v>28.174999999999997</v>
      </c>
      <c r="M20">
        <v>30.316666666666666</v>
      </c>
      <c r="N20">
        <v>29.283333333333335</v>
      </c>
      <c r="O20">
        <v>27.341666666666665</v>
      </c>
      <c r="P20">
        <v>29.233333333333334</v>
      </c>
      <c r="Q20">
        <v>30.141666666666662</v>
      </c>
      <c r="R20">
        <v>32.470327755647311</v>
      </c>
      <c r="S20">
        <v>30.246731017674346</v>
      </c>
      <c r="T20">
        <v>31.498058955588448</v>
      </c>
      <c r="U20">
        <v>35.015216811517412</v>
      </c>
    </row>
    <row r="21" spans="1:21" x14ac:dyDescent="0.25">
      <c r="A21" t="s">
        <v>20</v>
      </c>
      <c r="B21">
        <v>32.024999999999999</v>
      </c>
      <c r="C21">
        <v>28.083333333333332</v>
      </c>
      <c r="D21">
        <v>32.9</v>
      </c>
      <c r="E21">
        <v>30.808333333333334</v>
      </c>
      <c r="F21">
        <v>31.25</v>
      </c>
      <c r="G21">
        <v>30.116666666666664</v>
      </c>
      <c r="H21">
        <v>29.925000000000001</v>
      </c>
      <c r="I21">
        <v>30.533333333333331</v>
      </c>
      <c r="J21">
        <v>30.741666666666664</v>
      </c>
      <c r="K21">
        <v>32.05833333333333</v>
      </c>
      <c r="L21">
        <v>28.824999999999999</v>
      </c>
      <c r="M21">
        <v>27.808333333333337</v>
      </c>
      <c r="N21">
        <v>27.741666666666671</v>
      </c>
      <c r="O21">
        <v>27.341666666666669</v>
      </c>
      <c r="P21">
        <v>30.833333333333332</v>
      </c>
      <c r="Q21">
        <v>32.216666666666669</v>
      </c>
      <c r="R21">
        <v>33.153806322320492</v>
      </c>
      <c r="S21">
        <v>31.100398133256601</v>
      </c>
      <c r="T21">
        <v>30.329517955850619</v>
      </c>
      <c r="U21">
        <v>31.461409563767941</v>
      </c>
    </row>
    <row r="22" spans="1:21" x14ac:dyDescent="0.25">
      <c r="A22" t="s">
        <v>21</v>
      </c>
      <c r="B22">
        <v>31.224999999999998</v>
      </c>
      <c r="C22">
        <v>28.05</v>
      </c>
      <c r="D22">
        <v>34.333333333333329</v>
      </c>
      <c r="E22">
        <v>32.199999999999996</v>
      </c>
      <c r="F22">
        <v>35.208333333333329</v>
      </c>
      <c r="G22">
        <v>30.941666666666666</v>
      </c>
      <c r="H22">
        <v>29.8</v>
      </c>
      <c r="I22">
        <v>29.083333333333332</v>
      </c>
      <c r="J22">
        <v>30.649999999999995</v>
      </c>
      <c r="K22">
        <v>32.300000000000004</v>
      </c>
      <c r="L22">
        <v>30.074999999999999</v>
      </c>
      <c r="M22">
        <v>28.358333333333334</v>
      </c>
      <c r="N22">
        <v>27.825000000000003</v>
      </c>
      <c r="O22">
        <v>28.183333333333334</v>
      </c>
      <c r="P22">
        <v>32.608333333333334</v>
      </c>
      <c r="Q22">
        <v>30.791666666666668</v>
      </c>
      <c r="R22">
        <v>31.927542097045784</v>
      </c>
      <c r="S22">
        <v>32.708149950701952</v>
      </c>
      <c r="T22">
        <v>34.777812405807133</v>
      </c>
      <c r="U22">
        <v>36.395714785350712</v>
      </c>
    </row>
    <row r="23" spans="1:21" x14ac:dyDescent="0.25">
      <c r="A23" t="s">
        <v>22</v>
      </c>
      <c r="B23">
        <v>29.366666666666664</v>
      </c>
      <c r="C23">
        <v>28.308333333333337</v>
      </c>
      <c r="D23">
        <v>31.483333333333334</v>
      </c>
      <c r="E23">
        <v>28.74166666666666</v>
      </c>
      <c r="F23">
        <v>31.033333333333331</v>
      </c>
      <c r="G23">
        <v>29.425000000000001</v>
      </c>
      <c r="H23">
        <v>28.649999999999995</v>
      </c>
      <c r="I23">
        <v>29.641666666666669</v>
      </c>
      <c r="J23">
        <v>30.349999999999998</v>
      </c>
      <c r="K23">
        <v>31.7</v>
      </c>
      <c r="L23">
        <v>28.650000000000002</v>
      </c>
      <c r="M23">
        <v>29.358333333333334</v>
      </c>
      <c r="N23">
        <v>28.025000000000002</v>
      </c>
      <c r="O23">
        <v>28.425000000000001</v>
      </c>
      <c r="P23">
        <v>30.916666666666671</v>
      </c>
      <c r="Q23">
        <v>34.016666666666666</v>
      </c>
      <c r="R23">
        <v>31.573340041887111</v>
      </c>
      <c r="S23">
        <v>31.457375822406078</v>
      </c>
      <c r="T23">
        <v>30.944686977894804</v>
      </c>
      <c r="U23">
        <v>32.61511625635157</v>
      </c>
    </row>
    <row r="24" spans="1:21" x14ac:dyDescent="0.25">
      <c r="A24" t="s">
        <v>23</v>
      </c>
      <c r="B24">
        <v>30.083333333333332</v>
      </c>
      <c r="C24">
        <v>29.066666666666674</v>
      </c>
      <c r="D24">
        <v>31.95</v>
      </c>
      <c r="E24">
        <v>30.083333333333339</v>
      </c>
      <c r="F24">
        <v>31.916666666666661</v>
      </c>
      <c r="G24">
        <v>34.224999999999994</v>
      </c>
      <c r="H24">
        <v>31.341666666666669</v>
      </c>
      <c r="I24">
        <v>30.991666666666671</v>
      </c>
      <c r="J24">
        <v>30.816666666666666</v>
      </c>
      <c r="K24">
        <v>31.900000000000002</v>
      </c>
      <c r="L24">
        <v>28.933333333333334</v>
      </c>
      <c r="M24">
        <v>31.391666666666666</v>
      </c>
      <c r="N24">
        <v>31.991666666666664</v>
      </c>
      <c r="O24">
        <v>28.324999999999999</v>
      </c>
      <c r="P24">
        <v>29.808333333333337</v>
      </c>
      <c r="Q24">
        <v>31.275000000000002</v>
      </c>
      <c r="R24">
        <v>31.694304486820513</v>
      </c>
      <c r="S24">
        <v>34.291013021003288</v>
      </c>
      <c r="T24">
        <v>32.545410078190578</v>
      </c>
      <c r="U24">
        <v>34.118271366295147</v>
      </c>
    </row>
    <row r="25" spans="1:21" x14ac:dyDescent="0.25">
      <c r="A25" t="s">
        <v>24</v>
      </c>
      <c r="B25">
        <v>30.13333333333334</v>
      </c>
      <c r="C25">
        <v>28.724999999999998</v>
      </c>
      <c r="D25">
        <v>34.358333333333327</v>
      </c>
      <c r="E25">
        <v>32.575000000000003</v>
      </c>
      <c r="F25">
        <v>35.766666666666659</v>
      </c>
      <c r="G25">
        <v>30.641666666666669</v>
      </c>
      <c r="H25">
        <v>28.400000000000002</v>
      </c>
      <c r="I25">
        <v>30.833333333333332</v>
      </c>
      <c r="J25">
        <v>31.316666666666663</v>
      </c>
      <c r="K25">
        <v>33.35</v>
      </c>
      <c r="L25">
        <v>30.091666666666669</v>
      </c>
      <c r="M25">
        <v>29.149999999999995</v>
      </c>
      <c r="N25">
        <v>28.316666666666666</v>
      </c>
      <c r="O25">
        <v>29.366666666666671</v>
      </c>
      <c r="P25">
        <v>35.258333333333333</v>
      </c>
      <c r="Q25">
        <v>37.475000000000001</v>
      </c>
      <c r="R25">
        <v>32.496827802329399</v>
      </c>
      <c r="S25">
        <v>34.392918254649011</v>
      </c>
      <c r="T25">
        <v>31.506616384859871</v>
      </c>
      <c r="U25">
        <v>32.507423755387443</v>
      </c>
    </row>
    <row r="26" spans="1:21" x14ac:dyDescent="0.25">
      <c r="A26" t="s">
        <v>25</v>
      </c>
      <c r="P26">
        <v>30.291666666666668</v>
      </c>
      <c r="Q26">
        <v>31.399999999999995</v>
      </c>
      <c r="R26">
        <v>33.273361815989524</v>
      </c>
      <c r="S26">
        <v>33.749749029767287</v>
      </c>
      <c r="T26">
        <v>36.233661158213117</v>
      </c>
      <c r="U26">
        <v>35.708596029318748</v>
      </c>
    </row>
    <row r="27" spans="1:21" x14ac:dyDescent="0.25">
      <c r="A27" t="s">
        <v>26</v>
      </c>
      <c r="P27">
        <v>28.366666666666664</v>
      </c>
      <c r="Q27">
        <v>30.224999999999994</v>
      </c>
      <c r="R27">
        <v>31.371820693118796</v>
      </c>
      <c r="S27">
        <v>32.072324507344653</v>
      </c>
      <c r="T27">
        <v>36.049777979955472</v>
      </c>
      <c r="U27">
        <v>35.071649273928855</v>
      </c>
    </row>
    <row r="28" spans="1:21" x14ac:dyDescent="0.25">
      <c r="A28" t="s">
        <v>27</v>
      </c>
      <c r="B28">
        <v>31.291666666666668</v>
      </c>
      <c r="C28">
        <v>28.966666666666665</v>
      </c>
      <c r="D28">
        <v>31.291666666666671</v>
      </c>
      <c r="E28">
        <v>29.825000000000003</v>
      </c>
      <c r="F28">
        <v>33.624999999999993</v>
      </c>
      <c r="G28">
        <v>30.966666666666665</v>
      </c>
      <c r="H28">
        <v>29.499999999999996</v>
      </c>
      <c r="I28">
        <v>31.399999999999995</v>
      </c>
      <c r="J28">
        <v>32.291666666666664</v>
      </c>
      <c r="K28">
        <v>33.524999999999999</v>
      </c>
      <c r="L28">
        <v>29.491666666666664</v>
      </c>
      <c r="M28">
        <v>31.183333333333337</v>
      </c>
      <c r="N28">
        <v>29.291666666666671</v>
      </c>
      <c r="O28">
        <v>29.3</v>
      </c>
      <c r="P28">
        <v>32.991666666666667</v>
      </c>
      <c r="Q28">
        <v>34.158333333333331</v>
      </c>
      <c r="R28">
        <v>33.255369885284601</v>
      </c>
      <c r="S28">
        <v>29.808370665822139</v>
      </c>
      <c r="T28">
        <v>29.998219599271724</v>
      </c>
      <c r="U28">
        <v>32.614827044401274</v>
      </c>
    </row>
    <row r="29" spans="1:21" x14ac:dyDescent="0.25">
      <c r="A29" t="s">
        <v>28</v>
      </c>
      <c r="B29">
        <v>29.95</v>
      </c>
      <c r="C29">
        <v>28.575000000000003</v>
      </c>
      <c r="D29">
        <v>31.38333333333334</v>
      </c>
      <c r="E29">
        <v>30.141666666666669</v>
      </c>
      <c r="F29">
        <v>33.608333333333327</v>
      </c>
      <c r="G29">
        <v>31.166666666666668</v>
      </c>
      <c r="H29">
        <v>30.183333333333337</v>
      </c>
      <c r="I29">
        <v>29.633333333333329</v>
      </c>
      <c r="J29">
        <v>32.691666666666663</v>
      </c>
      <c r="K29">
        <v>33.208333333333336</v>
      </c>
      <c r="L29">
        <v>31.183333333333334</v>
      </c>
      <c r="M29">
        <v>29.916666666666668</v>
      </c>
      <c r="N29">
        <v>26.791666666666668</v>
      </c>
      <c r="O29">
        <v>28.916666666666671</v>
      </c>
      <c r="P29">
        <v>30.791666666666668</v>
      </c>
      <c r="Q29">
        <v>32.991666666666667</v>
      </c>
      <c r="R29">
        <v>33.327561090646945</v>
      </c>
      <c r="S29">
        <v>29.296114277577701</v>
      </c>
      <c r="T29">
        <v>29.835172483613395</v>
      </c>
      <c r="U29">
        <v>31.381925462893946</v>
      </c>
    </row>
    <row r="30" spans="1:21" x14ac:dyDescent="0.25">
      <c r="A30" t="s">
        <v>29</v>
      </c>
      <c r="B30">
        <v>29.991666666666671</v>
      </c>
      <c r="C30">
        <v>29.141666666666666</v>
      </c>
      <c r="D30">
        <v>31.666666666666668</v>
      </c>
      <c r="E30">
        <v>32.06666666666667</v>
      </c>
      <c r="F30">
        <v>34.949999999999996</v>
      </c>
      <c r="G30">
        <v>31.200000000000003</v>
      </c>
      <c r="H30">
        <v>30.641666666666666</v>
      </c>
      <c r="I30">
        <v>29.350000000000005</v>
      </c>
      <c r="J30">
        <v>32.633333333333333</v>
      </c>
      <c r="K30">
        <v>33.591666666666661</v>
      </c>
      <c r="L30">
        <v>31.516666666666666</v>
      </c>
      <c r="M30">
        <v>29.166666666666671</v>
      </c>
      <c r="N30">
        <v>29.625000000000004</v>
      </c>
      <c r="O30">
        <v>29.324999999999999</v>
      </c>
      <c r="P30">
        <v>31.850000000000005</v>
      </c>
      <c r="Q30">
        <v>35.449999999999996</v>
      </c>
      <c r="R30">
        <v>36.41098290124615</v>
      </c>
      <c r="S30">
        <v>30.763863950012041</v>
      </c>
      <c r="T30">
        <v>30.248508665232947</v>
      </c>
      <c r="U30">
        <v>32.786935666349144</v>
      </c>
    </row>
    <row r="31" spans="1:21" x14ac:dyDescent="0.25">
      <c r="A31" t="s">
        <v>30</v>
      </c>
      <c r="B31">
        <v>30.099999999999998</v>
      </c>
      <c r="C31">
        <v>28.141666666666666</v>
      </c>
      <c r="D31">
        <v>31.358333333333334</v>
      </c>
      <c r="E31">
        <v>30.983333333333334</v>
      </c>
      <c r="F31">
        <v>32.616666666666667</v>
      </c>
      <c r="G31">
        <v>29.775000000000002</v>
      </c>
      <c r="H31">
        <v>29.083333333333332</v>
      </c>
      <c r="I31">
        <v>29.366666666666664</v>
      </c>
      <c r="J31">
        <v>31.933333333333334</v>
      </c>
      <c r="K31">
        <v>32.325000000000003</v>
      </c>
      <c r="L31">
        <v>30.008333333333326</v>
      </c>
      <c r="M31">
        <v>28.716666666666669</v>
      </c>
      <c r="N31">
        <v>29.100000000000005</v>
      </c>
      <c r="O31">
        <v>29.758333333333336</v>
      </c>
      <c r="P31">
        <v>32.166666666666664</v>
      </c>
      <c r="Q31">
        <v>34.258333333333333</v>
      </c>
      <c r="R31">
        <v>32.816983304066746</v>
      </c>
      <c r="S31">
        <v>31.410113683066058</v>
      </c>
      <c r="T31">
        <v>30.191139250230691</v>
      </c>
      <c r="U31">
        <v>32.988550119327805</v>
      </c>
    </row>
    <row r="32" spans="1:21" x14ac:dyDescent="0.25">
      <c r="A32" t="s">
        <v>31</v>
      </c>
      <c r="B32">
        <v>30.741666666666664</v>
      </c>
      <c r="C32">
        <v>28.333333333333332</v>
      </c>
      <c r="D32">
        <v>31.491666666666664</v>
      </c>
      <c r="E32">
        <v>29.775000000000002</v>
      </c>
      <c r="F32">
        <v>31.349999999999998</v>
      </c>
      <c r="G32">
        <v>32.941666666666663</v>
      </c>
      <c r="H32">
        <v>31.516666666666669</v>
      </c>
      <c r="I32">
        <v>34.274999999999999</v>
      </c>
      <c r="J32">
        <v>31.358333333333331</v>
      </c>
      <c r="K32">
        <v>32.391666666666673</v>
      </c>
      <c r="L32">
        <v>28.666666666666668</v>
      </c>
      <c r="M32">
        <v>29.325000000000003</v>
      </c>
      <c r="N32">
        <v>28.083333333333339</v>
      </c>
      <c r="O32">
        <v>27.566666666666666</v>
      </c>
      <c r="P32">
        <v>30.825000000000003</v>
      </c>
      <c r="Q32">
        <v>29.841666666666669</v>
      </c>
      <c r="R32">
        <v>30.200708357323482</v>
      </c>
      <c r="S32">
        <v>32.555432020529985</v>
      </c>
      <c r="T32">
        <v>32.348101544043111</v>
      </c>
      <c r="U32">
        <v>34.544814516358549</v>
      </c>
    </row>
    <row r="33" spans="1:21" x14ac:dyDescent="0.25">
      <c r="A33" t="s">
        <v>32</v>
      </c>
      <c r="B33">
        <v>30.025000000000002</v>
      </c>
      <c r="C33">
        <v>28.124999999999996</v>
      </c>
      <c r="D33">
        <v>32.008333333333333</v>
      </c>
      <c r="E33">
        <v>29.833333333333332</v>
      </c>
      <c r="F33">
        <v>31.691666666666674</v>
      </c>
      <c r="G33">
        <v>33.516666666666659</v>
      </c>
      <c r="H33">
        <v>31.674999999999997</v>
      </c>
      <c r="I33">
        <v>30.299999999999997</v>
      </c>
      <c r="J33">
        <v>31.375000000000004</v>
      </c>
      <c r="K33">
        <v>33.658333333333331</v>
      </c>
      <c r="L33">
        <v>29.758333333333336</v>
      </c>
      <c r="M33">
        <v>32.274999999999999</v>
      </c>
      <c r="N33">
        <v>31.833333333333332</v>
      </c>
      <c r="O33">
        <v>29.016666666666669</v>
      </c>
      <c r="P33">
        <v>30.683333333333334</v>
      </c>
      <c r="Q33">
        <v>31.791666666666671</v>
      </c>
      <c r="R33">
        <v>30.944455256225371</v>
      </c>
      <c r="S33">
        <v>32.100712548721006</v>
      </c>
      <c r="T33">
        <v>32.864072091587687</v>
      </c>
      <c r="U33">
        <v>35.240821428267942</v>
      </c>
    </row>
    <row r="34" spans="1:21" x14ac:dyDescent="0.25">
      <c r="A34" t="s">
        <v>33</v>
      </c>
    </row>
    <row r="35" spans="1:21" x14ac:dyDescent="0.25">
      <c r="A35" t="s">
        <v>34</v>
      </c>
      <c r="B35">
        <v>30.658333333333331</v>
      </c>
      <c r="C35">
        <v>28.158333333333335</v>
      </c>
      <c r="D35">
        <v>31.216666666666665</v>
      </c>
      <c r="E35">
        <v>29.691666666666663</v>
      </c>
      <c r="F35">
        <v>31.216666666666665</v>
      </c>
      <c r="G35">
        <v>33.666666666666664</v>
      </c>
      <c r="H35">
        <v>32.15</v>
      </c>
      <c r="I35">
        <v>31.358333333333334</v>
      </c>
      <c r="J35">
        <v>30.099999999999994</v>
      </c>
      <c r="K35">
        <v>32.06666666666667</v>
      </c>
      <c r="L35">
        <v>28.566666666666666</v>
      </c>
      <c r="M35">
        <v>30.824999999999999</v>
      </c>
      <c r="N35">
        <v>30.941666666666663</v>
      </c>
      <c r="O35">
        <v>27.466666666666665</v>
      </c>
      <c r="P35">
        <v>29.099999999999998</v>
      </c>
      <c r="Q35">
        <v>30.933333333333334</v>
      </c>
      <c r="R35">
        <v>41.401904255754069</v>
      </c>
      <c r="S35">
        <v>43.440976849962965</v>
      </c>
      <c r="T35">
        <v>44.576303438726519</v>
      </c>
      <c r="U35">
        <v>44.762129219131104</v>
      </c>
    </row>
    <row r="36" spans="1:21" x14ac:dyDescent="0.25">
      <c r="A36" t="s">
        <v>35</v>
      </c>
    </row>
    <row r="37" spans="1:21" x14ac:dyDescent="0.25">
      <c r="A37" t="s">
        <v>36</v>
      </c>
      <c r="B37">
        <v>30.600000000000005</v>
      </c>
      <c r="C37">
        <v>27.55</v>
      </c>
      <c r="D37">
        <v>31.825000000000006</v>
      </c>
      <c r="E37">
        <v>29.408333333333331</v>
      </c>
      <c r="F37">
        <v>30.608333333333334</v>
      </c>
      <c r="G37">
        <v>32.241666666666667</v>
      </c>
      <c r="H37">
        <v>30.575000000000003</v>
      </c>
      <c r="I37">
        <v>32.783333333333331</v>
      </c>
      <c r="J37">
        <v>33.549999999999997</v>
      </c>
      <c r="K37">
        <v>35.258333333333326</v>
      </c>
      <c r="L37">
        <v>33.774999999999999</v>
      </c>
      <c r="M37">
        <v>31.625</v>
      </c>
      <c r="N37">
        <v>32.133333333333333</v>
      </c>
      <c r="O37">
        <v>33.463636363636368</v>
      </c>
      <c r="P37">
        <v>36.591666666666669</v>
      </c>
      <c r="Q37">
        <v>36.125</v>
      </c>
      <c r="R37">
        <v>43.867437833322974</v>
      </c>
      <c r="S37">
        <v>43.726809103122783</v>
      </c>
      <c r="T37">
        <v>45.198079311377292</v>
      </c>
      <c r="U37">
        <v>43.122411313025992</v>
      </c>
    </row>
    <row r="38" spans="1:21" x14ac:dyDescent="0.25">
      <c r="A38" t="s">
        <v>37</v>
      </c>
    </row>
    <row r="39" spans="1:21" x14ac:dyDescent="0.25">
      <c r="A39" t="s">
        <v>38</v>
      </c>
      <c r="B39">
        <v>30.991666666666664</v>
      </c>
      <c r="C39">
        <v>28.25</v>
      </c>
      <c r="D39">
        <v>31.941666666666666</v>
      </c>
      <c r="E39">
        <v>29.875</v>
      </c>
      <c r="F39">
        <v>30.958333333333339</v>
      </c>
      <c r="G39">
        <v>32.233333333333327</v>
      </c>
      <c r="H39">
        <v>31.091666666666669</v>
      </c>
      <c r="I39">
        <v>30.983333333333338</v>
      </c>
      <c r="J39">
        <v>30.349999999999994</v>
      </c>
      <c r="K39">
        <v>31.349999999999998</v>
      </c>
      <c r="L39">
        <v>28.683333333333334</v>
      </c>
      <c r="M39">
        <v>29.516666666666666</v>
      </c>
      <c r="N39">
        <v>29.691666666666666</v>
      </c>
      <c r="O39">
        <v>26.908333333333331</v>
      </c>
      <c r="P39">
        <v>28.974999999999998</v>
      </c>
      <c r="Q39">
        <v>29.116666666666664</v>
      </c>
      <c r="R39">
        <v>43.092266161174798</v>
      </c>
      <c r="S39">
        <v>43.170042306764223</v>
      </c>
      <c r="T39">
        <v>45.170415307183568</v>
      </c>
      <c r="U39">
        <v>44.14344052246782</v>
      </c>
    </row>
    <row r="40" spans="1:21" x14ac:dyDescent="0.25">
      <c r="A40" t="s">
        <v>39</v>
      </c>
    </row>
    <row r="41" spans="1:21" x14ac:dyDescent="0.25">
      <c r="A41" t="s">
        <v>40</v>
      </c>
      <c r="B41">
        <v>30.849999999999998</v>
      </c>
      <c r="C41">
        <v>27.241666666666664</v>
      </c>
      <c r="D41">
        <v>30.775000000000006</v>
      </c>
      <c r="E41">
        <v>29.641666666666666</v>
      </c>
      <c r="F41">
        <v>30.783333333333335</v>
      </c>
      <c r="G41">
        <v>32.416666666666664</v>
      </c>
      <c r="H41">
        <v>30.491666666666671</v>
      </c>
      <c r="I41">
        <v>32.57500000000001</v>
      </c>
      <c r="J41">
        <v>33.883333333333333</v>
      </c>
      <c r="K41">
        <v>35.033333333333331</v>
      </c>
      <c r="L41">
        <v>33.116666666666674</v>
      </c>
      <c r="M41">
        <v>31.175000000000001</v>
      </c>
      <c r="N41">
        <v>32.958333333333336</v>
      </c>
      <c r="O41">
        <v>32.833333333333336</v>
      </c>
      <c r="P41">
        <v>36.00833333333334</v>
      </c>
      <c r="Q41">
        <v>36.574999999999996</v>
      </c>
      <c r="R41">
        <v>44.00657542296603</v>
      </c>
      <c r="S41">
        <v>42.288895481475933</v>
      </c>
      <c r="T41">
        <v>43.549552314432809</v>
      </c>
      <c r="U41">
        <v>44.363243782387315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867F-D2E1-4F4F-9F22-C2CCD12ECCEE}">
  <dimension ref="A2:AM81"/>
  <sheetViews>
    <sheetView topLeftCell="A31" workbookViewId="0">
      <selection activeCell="A72" sqref="A72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0" width="9.140625" style="1"/>
    <col min="31" max="31" width="11.28515625" style="1" customWidth="1"/>
    <col min="32" max="34" width="18.28515625" style="1" customWidth="1"/>
    <col min="35" max="39" width="18.28515625" style="1" bestFit="1" customWidth="1"/>
    <col min="40" max="16384" width="9.140625" style="1"/>
  </cols>
  <sheetData>
    <row r="2" spans="1:39" x14ac:dyDescent="0.2">
      <c r="H2" s="32" t="s">
        <v>118</v>
      </c>
      <c r="I2" s="38"/>
    </row>
    <row r="3" spans="1:39" x14ac:dyDescent="0.2">
      <c r="H3" s="33" t="s">
        <v>117</v>
      </c>
      <c r="I3" s="32">
        <v>0</v>
      </c>
    </row>
    <row r="4" spans="1:39" x14ac:dyDescent="0.2">
      <c r="H4" s="33" t="s">
        <v>116</v>
      </c>
      <c r="I4" s="32">
        <v>1</v>
      </c>
      <c r="N4" s="37" t="s">
        <v>115</v>
      </c>
      <c r="O4" s="36">
        <v>36.1</v>
      </c>
    </row>
    <row r="5" spans="1:39" x14ac:dyDescent="0.2">
      <c r="H5" s="33" t="s">
        <v>114</v>
      </c>
      <c r="I5" s="32">
        <v>0</v>
      </c>
      <c r="N5" s="35" t="s">
        <v>113</v>
      </c>
      <c r="O5" s="34"/>
    </row>
    <row r="6" spans="1:39" x14ac:dyDescent="0.2">
      <c r="H6" s="33" t="s">
        <v>112</v>
      </c>
      <c r="I6" s="32">
        <v>0</v>
      </c>
    </row>
    <row r="7" spans="1:39" x14ac:dyDescent="0.2">
      <c r="H7" s="33" t="s">
        <v>111</v>
      </c>
      <c r="I7" s="32">
        <v>0</v>
      </c>
      <c r="AE7" s="31" t="s">
        <v>107</v>
      </c>
      <c r="AF7" s="30" t="s">
        <v>110</v>
      </c>
    </row>
    <row r="9" spans="1:39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89</v>
      </c>
      <c r="X9" s="26" t="s">
        <v>88</v>
      </c>
      <c r="Y9" s="26" t="s">
        <v>87</v>
      </c>
      <c r="Z9" s="26" t="s">
        <v>86</v>
      </c>
      <c r="AA9" s="26"/>
      <c r="AB9" s="26"/>
      <c r="AC9" s="26"/>
      <c r="AE9" s="25"/>
      <c r="AF9" s="25" t="s">
        <v>85</v>
      </c>
      <c r="AG9" s="25" t="s">
        <v>84</v>
      </c>
      <c r="AH9" s="25"/>
      <c r="AI9" s="25"/>
      <c r="AJ9" s="25"/>
      <c r="AK9" s="25"/>
      <c r="AL9" s="25"/>
      <c r="AM9" s="25"/>
    </row>
    <row r="10" spans="1:39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13.177</v>
      </c>
      <c r="J10" s="2">
        <v>57.6</v>
      </c>
      <c r="K10" s="2">
        <v>56.3</v>
      </c>
      <c r="L10" s="2">
        <v>50.9</v>
      </c>
      <c r="M10" s="2">
        <v>53.6</v>
      </c>
      <c r="N10" s="2">
        <v>49.2</v>
      </c>
      <c r="O10" s="2">
        <v>56.5</v>
      </c>
      <c r="P10" s="2">
        <v>55.9</v>
      </c>
      <c r="Q10" s="2">
        <v>59.3</v>
      </c>
      <c r="R10" s="2">
        <v>50.1</v>
      </c>
      <c r="S10" s="2">
        <v>56.8</v>
      </c>
      <c r="T10" s="2">
        <v>44.9</v>
      </c>
      <c r="U10" s="2">
        <v>57.7</v>
      </c>
      <c r="V10" s="5">
        <f t="shared" ref="V10:V41" si="0">AVERAGE(J10:U10)</f>
        <v>54.06666666666667</v>
      </c>
      <c r="W10" s="4">
        <f t="shared" ref="W10:W41" si="1">STDEV(J10:U10)/SQRT(COUNT(J10:U10))</f>
        <v>1.2568197800782575</v>
      </c>
      <c r="X10" s="2">
        <f t="shared" ref="X10:X41" si="2">MIN(J10:U10)</f>
        <v>44.9</v>
      </c>
      <c r="Y10" s="3">
        <f t="shared" ref="Y10:Y41" si="3">QUARTILE(J10:U10,1)</f>
        <v>50.7</v>
      </c>
      <c r="Z10" s="2">
        <f t="shared" ref="Z10:Z41" si="4">MEDIAN(J10:U10)</f>
        <v>56.099999999999994</v>
      </c>
      <c r="AA10" s="2"/>
      <c r="AB10" s="2"/>
      <c r="AC10" s="2"/>
      <c r="AE10" s="25"/>
      <c r="AF10" s="24" t="s">
        <v>83</v>
      </c>
      <c r="AG10" s="23"/>
      <c r="AH10" s="23"/>
      <c r="AI10" s="23"/>
      <c r="AJ10" s="24" t="s">
        <v>82</v>
      </c>
      <c r="AK10" s="23"/>
      <c r="AL10" s="23"/>
      <c r="AM10" s="22"/>
    </row>
    <row r="11" spans="1:39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13.161</v>
      </c>
      <c r="J11" s="2">
        <v>57</v>
      </c>
      <c r="K11" s="2">
        <v>53.8</v>
      </c>
      <c r="L11" s="2">
        <v>57.8</v>
      </c>
      <c r="M11" s="2">
        <v>56.2</v>
      </c>
      <c r="N11" s="2">
        <v>44.7</v>
      </c>
      <c r="O11" s="2">
        <v>57.7</v>
      </c>
      <c r="P11" s="2">
        <v>49.6</v>
      </c>
      <c r="Q11" s="2">
        <v>58.2</v>
      </c>
      <c r="R11" s="2">
        <v>48.1</v>
      </c>
      <c r="S11" s="2">
        <v>56.1</v>
      </c>
      <c r="T11" s="2">
        <v>44.7</v>
      </c>
      <c r="U11" s="2">
        <v>61.1</v>
      </c>
      <c r="V11" s="5">
        <f t="shared" si="0"/>
        <v>53.750000000000007</v>
      </c>
      <c r="W11" s="4">
        <f t="shared" si="1"/>
        <v>1.6069687255352809</v>
      </c>
      <c r="X11" s="2">
        <f t="shared" si="2"/>
        <v>44.7</v>
      </c>
      <c r="Y11" s="3">
        <f t="shared" si="3"/>
        <v>49.225000000000001</v>
      </c>
      <c r="Z11" s="2">
        <f t="shared" si="4"/>
        <v>56.150000000000006</v>
      </c>
      <c r="AE11" s="21" t="s">
        <v>81</v>
      </c>
      <c r="AF11" s="20" t="s">
        <v>80</v>
      </c>
      <c r="AG11" s="19" t="s">
        <v>79</v>
      </c>
      <c r="AH11" s="19" t="s">
        <v>78</v>
      </c>
      <c r="AI11" s="19" t="s">
        <v>77</v>
      </c>
      <c r="AJ11" s="20" t="s">
        <v>80</v>
      </c>
      <c r="AK11" s="19" t="s">
        <v>79</v>
      </c>
      <c r="AL11" s="19" t="s">
        <v>78</v>
      </c>
      <c r="AM11" s="18" t="s">
        <v>77</v>
      </c>
    </row>
    <row r="12" spans="1:39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13.146000000000001</v>
      </c>
      <c r="J12" s="2">
        <v>55.7</v>
      </c>
      <c r="K12" s="2">
        <v>54.6</v>
      </c>
      <c r="L12" s="2">
        <v>55.8</v>
      </c>
      <c r="M12" s="2">
        <v>46.5</v>
      </c>
      <c r="N12" s="2">
        <v>50.2</v>
      </c>
      <c r="O12" s="2">
        <v>47.1</v>
      </c>
      <c r="P12" s="2">
        <v>43.7</v>
      </c>
      <c r="Q12" s="2">
        <v>54.3</v>
      </c>
      <c r="R12" s="2">
        <v>48.2</v>
      </c>
      <c r="S12" s="2">
        <v>45.8</v>
      </c>
      <c r="T12" s="2">
        <v>55</v>
      </c>
      <c r="U12" s="2">
        <v>45.6</v>
      </c>
      <c r="V12" s="5">
        <f t="shared" si="0"/>
        <v>50.208333333333343</v>
      </c>
      <c r="W12" s="4">
        <f t="shared" si="1"/>
        <v>1.3225582609228801</v>
      </c>
      <c r="X12" s="2">
        <f t="shared" si="2"/>
        <v>43.7</v>
      </c>
      <c r="Y12" s="3">
        <f t="shared" si="3"/>
        <v>46.325000000000003</v>
      </c>
      <c r="Z12" s="2">
        <f t="shared" si="4"/>
        <v>49.2</v>
      </c>
      <c r="AE12" s="17" t="s">
        <v>76</v>
      </c>
      <c r="AF12" s="16">
        <v>44.8</v>
      </c>
      <c r="AG12" s="15">
        <v>49.1875</v>
      </c>
      <c r="AH12" s="15">
        <v>53.225000000000001</v>
      </c>
      <c r="AI12" s="15">
        <v>52.395833333333329</v>
      </c>
      <c r="AJ12" s="16">
        <v>29.05</v>
      </c>
      <c r="AK12" s="15">
        <v>29.774999999999999</v>
      </c>
      <c r="AL12" s="15">
        <v>30.524999999999999</v>
      </c>
      <c r="AM12" s="14">
        <v>30.824999999999999</v>
      </c>
    </row>
    <row r="13" spans="1:39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13.131</v>
      </c>
      <c r="J13" s="2">
        <v>56.9</v>
      </c>
      <c r="K13" s="2">
        <v>55</v>
      </c>
      <c r="L13" s="2">
        <v>58</v>
      </c>
      <c r="M13" s="2">
        <v>48.4</v>
      </c>
      <c r="N13" s="2">
        <v>48</v>
      </c>
      <c r="O13" s="2">
        <v>55.6</v>
      </c>
      <c r="P13" s="2">
        <v>53.9</v>
      </c>
      <c r="Q13" s="2">
        <v>50.3</v>
      </c>
      <c r="R13" s="2">
        <v>53.3</v>
      </c>
      <c r="S13" s="2">
        <v>46.4</v>
      </c>
      <c r="T13" s="2">
        <v>55.7</v>
      </c>
      <c r="U13" s="2">
        <v>43.6</v>
      </c>
      <c r="V13" s="5">
        <f t="shared" si="0"/>
        <v>52.091666666666676</v>
      </c>
      <c r="W13" s="4">
        <f t="shared" si="1"/>
        <v>1.333226794986017</v>
      </c>
      <c r="X13" s="2">
        <f t="shared" si="2"/>
        <v>43.6</v>
      </c>
      <c r="Y13" s="3">
        <f t="shared" si="3"/>
        <v>48.3</v>
      </c>
      <c r="Z13" s="2">
        <f t="shared" si="4"/>
        <v>53.599999999999994</v>
      </c>
      <c r="AE13" s="13" t="s">
        <v>75</v>
      </c>
      <c r="AF13" s="12">
        <v>43.75</v>
      </c>
      <c r="AG13" s="11">
        <v>49.837499999999999</v>
      </c>
      <c r="AH13" s="11">
        <v>53.975000000000001</v>
      </c>
      <c r="AI13" s="11">
        <v>52.762500000000003</v>
      </c>
      <c r="AJ13" s="12">
        <v>28.3</v>
      </c>
      <c r="AK13" s="11">
        <v>29.824999999999999</v>
      </c>
      <c r="AL13" s="11">
        <v>30.524999999999999</v>
      </c>
      <c r="AM13" s="10">
        <v>30.725000000000001</v>
      </c>
    </row>
    <row r="14" spans="1:39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13.115</v>
      </c>
      <c r="J14" s="2">
        <v>57</v>
      </c>
      <c r="K14" s="2">
        <v>55.8</v>
      </c>
      <c r="L14" s="2">
        <v>52.5</v>
      </c>
      <c r="M14" s="2">
        <v>47.9</v>
      </c>
      <c r="N14" s="2">
        <v>55.7</v>
      </c>
      <c r="O14" s="2">
        <v>53.5</v>
      </c>
      <c r="P14" s="2">
        <v>54.2</v>
      </c>
      <c r="Q14" s="2">
        <v>51.6</v>
      </c>
      <c r="R14" s="2">
        <v>48.3</v>
      </c>
      <c r="S14" s="2">
        <v>48.4</v>
      </c>
      <c r="T14" s="2">
        <v>50.8</v>
      </c>
      <c r="U14" s="2">
        <v>53.5</v>
      </c>
      <c r="V14" s="5">
        <f t="shared" si="0"/>
        <v>52.433333333333337</v>
      </c>
      <c r="W14" s="4">
        <f t="shared" si="1"/>
        <v>0.89411657206677764</v>
      </c>
      <c r="X14" s="2">
        <f t="shared" si="2"/>
        <v>47.9</v>
      </c>
      <c r="Y14" s="3">
        <f t="shared" si="3"/>
        <v>50.199999999999996</v>
      </c>
      <c r="Z14" s="2">
        <f t="shared" si="4"/>
        <v>53</v>
      </c>
      <c r="AE14" s="13" t="s">
        <v>74</v>
      </c>
      <c r="AF14" s="12">
        <v>58.4</v>
      </c>
      <c r="AG14" s="11">
        <v>59.4</v>
      </c>
      <c r="AH14" s="11">
        <v>60.125</v>
      </c>
      <c r="AI14" s="11">
        <v>60.462499999999999</v>
      </c>
      <c r="AJ14" s="12"/>
      <c r="AK14" s="11"/>
      <c r="AL14" s="11"/>
      <c r="AM14" s="10"/>
    </row>
    <row r="15" spans="1:39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13.099</v>
      </c>
      <c r="J15" s="2">
        <v>57.4</v>
      </c>
      <c r="K15" s="2">
        <v>52.4</v>
      </c>
      <c r="L15" s="2">
        <v>57</v>
      </c>
      <c r="M15" s="2">
        <v>58.9</v>
      </c>
      <c r="N15" s="2">
        <v>54.6</v>
      </c>
      <c r="O15" s="2">
        <v>54.9</v>
      </c>
      <c r="P15" s="2">
        <v>54.3</v>
      </c>
      <c r="Q15" s="2">
        <v>58.3</v>
      </c>
      <c r="R15" s="2">
        <v>44.5</v>
      </c>
      <c r="S15" s="2">
        <v>57.5</v>
      </c>
      <c r="T15" s="2">
        <v>52.2</v>
      </c>
      <c r="U15" s="2">
        <v>58.6</v>
      </c>
      <c r="V15" s="5">
        <f t="shared" si="0"/>
        <v>55.050000000000004</v>
      </c>
      <c r="W15" s="4">
        <f t="shared" si="1"/>
        <v>1.1695311155771062</v>
      </c>
      <c r="X15" s="2">
        <f t="shared" si="2"/>
        <v>44.5</v>
      </c>
      <c r="Y15" s="3">
        <f t="shared" si="3"/>
        <v>53.824999999999996</v>
      </c>
      <c r="Z15" s="2">
        <f t="shared" si="4"/>
        <v>55.95</v>
      </c>
      <c r="AE15" s="13" t="s">
        <v>73</v>
      </c>
      <c r="AF15" s="12">
        <v>42.25</v>
      </c>
      <c r="AG15" s="11">
        <v>46.4375</v>
      </c>
      <c r="AH15" s="11">
        <v>50.25</v>
      </c>
      <c r="AI15" s="11">
        <v>50.1875</v>
      </c>
      <c r="AJ15" s="12">
        <v>28.7</v>
      </c>
      <c r="AK15" s="11">
        <v>29.0625</v>
      </c>
      <c r="AL15" s="11">
        <v>30.225000000000001</v>
      </c>
      <c r="AM15" s="10">
        <v>30.354166666666671</v>
      </c>
    </row>
    <row r="16" spans="1:39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13.082000000000001</v>
      </c>
      <c r="J16" s="2">
        <v>57.1</v>
      </c>
      <c r="K16" s="2">
        <v>56.3</v>
      </c>
      <c r="L16" s="2">
        <v>50.8</v>
      </c>
      <c r="M16" s="2">
        <v>48.4</v>
      </c>
      <c r="N16" s="2">
        <v>49</v>
      </c>
      <c r="O16" s="2">
        <v>51.4</v>
      </c>
      <c r="P16" s="2">
        <v>55.7</v>
      </c>
      <c r="Q16" s="2">
        <v>52.4</v>
      </c>
      <c r="R16" s="2">
        <v>54.5</v>
      </c>
      <c r="S16" s="2">
        <v>53.1</v>
      </c>
      <c r="T16" s="2">
        <v>56.1</v>
      </c>
      <c r="U16" s="2">
        <v>55.6</v>
      </c>
      <c r="V16" s="5">
        <f t="shared" si="0"/>
        <v>53.366666666666667</v>
      </c>
      <c r="W16" s="4">
        <f t="shared" si="1"/>
        <v>0.8569089387402431</v>
      </c>
      <c r="X16" s="2">
        <f t="shared" si="2"/>
        <v>48.4</v>
      </c>
      <c r="Y16" s="3">
        <f t="shared" si="3"/>
        <v>51.25</v>
      </c>
      <c r="Z16" s="2">
        <f t="shared" si="4"/>
        <v>53.8</v>
      </c>
      <c r="AE16" s="13" t="s">
        <v>72</v>
      </c>
      <c r="AF16" s="12">
        <v>43.05</v>
      </c>
      <c r="AG16" s="11">
        <v>45.9</v>
      </c>
      <c r="AH16" s="11">
        <v>50.05</v>
      </c>
      <c r="AI16" s="11">
        <v>49.783333333333331</v>
      </c>
      <c r="AJ16" s="12">
        <v>27.75</v>
      </c>
      <c r="AK16" s="11">
        <v>29.6</v>
      </c>
      <c r="AL16" s="11">
        <v>30.024999999999999</v>
      </c>
      <c r="AM16" s="10">
        <v>30.641666666666669</v>
      </c>
    </row>
    <row r="17" spans="1:39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13.065</v>
      </c>
      <c r="J17" s="2">
        <v>58</v>
      </c>
      <c r="K17" s="2">
        <v>55.5</v>
      </c>
      <c r="L17" s="2">
        <v>57.5</v>
      </c>
      <c r="M17" s="2">
        <v>57.1</v>
      </c>
      <c r="N17" s="2">
        <v>55.8</v>
      </c>
      <c r="O17" s="2">
        <v>57</v>
      </c>
      <c r="P17" s="2">
        <v>54.6</v>
      </c>
      <c r="Q17" s="2">
        <v>55.3</v>
      </c>
      <c r="R17" s="2">
        <v>52.2</v>
      </c>
      <c r="S17" s="2">
        <v>55.4</v>
      </c>
      <c r="T17" s="2">
        <v>49.1</v>
      </c>
      <c r="U17" s="2">
        <v>54</v>
      </c>
      <c r="V17" s="5">
        <f t="shared" si="0"/>
        <v>55.125</v>
      </c>
      <c r="W17" s="4">
        <f t="shared" si="1"/>
        <v>0.71996685529770932</v>
      </c>
      <c r="X17" s="2">
        <f t="shared" si="2"/>
        <v>49.1</v>
      </c>
      <c r="Y17" s="3">
        <f t="shared" si="3"/>
        <v>54.45</v>
      </c>
      <c r="Z17" s="2">
        <f t="shared" si="4"/>
        <v>55.45</v>
      </c>
      <c r="AE17" s="13" t="s">
        <v>71</v>
      </c>
      <c r="AF17" s="12">
        <v>47.8</v>
      </c>
      <c r="AG17" s="11">
        <v>52.875</v>
      </c>
      <c r="AH17" s="11">
        <v>56.524999999999999</v>
      </c>
      <c r="AI17" s="11">
        <v>54.975000000000001</v>
      </c>
      <c r="AJ17" s="12">
        <v>29.15</v>
      </c>
      <c r="AK17" s="11">
        <v>30.65</v>
      </c>
      <c r="AL17" s="11">
        <v>31.774999999999999</v>
      </c>
      <c r="AM17" s="10">
        <v>31.945833333333333</v>
      </c>
    </row>
    <row r="18" spans="1:39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13.201000000000001</v>
      </c>
      <c r="J18" s="2">
        <v>57.5</v>
      </c>
      <c r="K18" s="2">
        <v>51.9</v>
      </c>
      <c r="L18" s="2">
        <v>46.8</v>
      </c>
      <c r="M18" s="2">
        <v>50.6</v>
      </c>
      <c r="N18" s="2">
        <v>48.2</v>
      </c>
      <c r="O18" s="2">
        <v>49.7</v>
      </c>
      <c r="P18" s="2">
        <v>48.5</v>
      </c>
      <c r="Q18" s="2">
        <v>57</v>
      </c>
      <c r="R18" s="2">
        <v>45.6</v>
      </c>
      <c r="S18" s="2">
        <v>52.5</v>
      </c>
      <c r="T18" s="2">
        <v>47.6</v>
      </c>
      <c r="U18" s="2">
        <v>48</v>
      </c>
      <c r="V18" s="5">
        <f t="shared" si="0"/>
        <v>50.324999999999996</v>
      </c>
      <c r="W18" s="4">
        <f t="shared" si="1"/>
        <v>1.0980095627998874</v>
      </c>
      <c r="X18" s="2">
        <f t="shared" si="2"/>
        <v>45.6</v>
      </c>
      <c r="Y18" s="3">
        <f t="shared" si="3"/>
        <v>47.9</v>
      </c>
      <c r="Z18" s="2">
        <f t="shared" si="4"/>
        <v>49.1</v>
      </c>
      <c r="AE18" s="13" t="s">
        <v>70</v>
      </c>
      <c r="AF18" s="12">
        <v>47.3</v>
      </c>
      <c r="AG18" s="11">
        <v>52.325000000000003</v>
      </c>
      <c r="AH18" s="11">
        <v>55.625</v>
      </c>
      <c r="AI18" s="11">
        <v>54.645833333333343</v>
      </c>
      <c r="AJ18" s="12">
        <v>28.85</v>
      </c>
      <c r="AK18" s="11">
        <v>30.362500000000001</v>
      </c>
      <c r="AL18" s="11">
        <v>31.2</v>
      </c>
      <c r="AM18" s="10">
        <v>31.912500000000001</v>
      </c>
    </row>
    <row r="19" spans="1:39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13.215</v>
      </c>
      <c r="J19" s="2">
        <v>58.3</v>
      </c>
      <c r="K19" s="2">
        <v>53.9</v>
      </c>
      <c r="L19" s="2">
        <v>54</v>
      </c>
      <c r="M19" s="2">
        <v>57</v>
      </c>
      <c r="N19" s="2">
        <v>51.5</v>
      </c>
      <c r="O19" s="2">
        <v>55.7</v>
      </c>
      <c r="P19" s="2">
        <v>53.8</v>
      </c>
      <c r="Q19" s="2">
        <v>57.3</v>
      </c>
      <c r="R19" s="2">
        <v>57.1</v>
      </c>
      <c r="S19" s="2">
        <v>46.7</v>
      </c>
      <c r="T19" s="2">
        <v>54.3</v>
      </c>
      <c r="U19" s="2">
        <v>54.2</v>
      </c>
      <c r="V19" s="5">
        <f t="shared" si="0"/>
        <v>54.483333333333341</v>
      </c>
      <c r="W19" s="4">
        <f t="shared" si="1"/>
        <v>0.90368214220566168</v>
      </c>
      <c r="X19" s="2">
        <f t="shared" si="2"/>
        <v>46.7</v>
      </c>
      <c r="Y19" s="3">
        <f t="shared" si="3"/>
        <v>53.875</v>
      </c>
      <c r="Z19" s="2">
        <f t="shared" si="4"/>
        <v>54.25</v>
      </c>
      <c r="AE19" s="13" t="s">
        <v>69</v>
      </c>
      <c r="AF19" s="12">
        <v>49.075000000000003</v>
      </c>
      <c r="AG19" s="11">
        <v>53.012500000000003</v>
      </c>
      <c r="AH19" s="11">
        <v>54.65</v>
      </c>
      <c r="AI19" s="11">
        <v>54.375</v>
      </c>
      <c r="AJ19" s="12">
        <v>28.125</v>
      </c>
      <c r="AK19" s="11">
        <v>29.487500000000001</v>
      </c>
      <c r="AL19" s="11">
        <v>30.15</v>
      </c>
      <c r="AM19" s="10">
        <v>30.512499999999999</v>
      </c>
    </row>
    <row r="20" spans="1:39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13.23</v>
      </c>
      <c r="J20" s="2">
        <v>58</v>
      </c>
      <c r="K20" s="2">
        <v>57.3</v>
      </c>
      <c r="L20" s="2">
        <v>54.7</v>
      </c>
      <c r="M20" s="2">
        <v>59</v>
      </c>
      <c r="N20" s="2">
        <v>56</v>
      </c>
      <c r="O20" s="2">
        <v>49.9</v>
      </c>
      <c r="P20" s="2">
        <v>57.1</v>
      </c>
      <c r="Q20" s="2">
        <v>54.8</v>
      </c>
      <c r="R20" s="2">
        <v>49.9</v>
      </c>
      <c r="S20" s="2">
        <v>56.8</v>
      </c>
      <c r="T20" s="2">
        <v>50.8</v>
      </c>
      <c r="U20" s="2">
        <v>60.1</v>
      </c>
      <c r="V20" s="5">
        <f t="shared" si="0"/>
        <v>55.366666666666667</v>
      </c>
      <c r="W20" s="4">
        <f t="shared" si="1"/>
        <v>1.004258608892826</v>
      </c>
      <c r="X20" s="2">
        <f t="shared" si="2"/>
        <v>49.9</v>
      </c>
      <c r="Y20" s="3">
        <f t="shared" si="3"/>
        <v>53.725000000000001</v>
      </c>
      <c r="Z20" s="2">
        <f t="shared" si="4"/>
        <v>56.4</v>
      </c>
      <c r="AE20" s="13" t="s">
        <v>68</v>
      </c>
      <c r="AF20" s="12">
        <v>46.4</v>
      </c>
      <c r="AG20" s="11">
        <v>50.45</v>
      </c>
      <c r="AH20" s="11">
        <v>53.875</v>
      </c>
      <c r="AI20" s="11">
        <v>53.4375</v>
      </c>
      <c r="AJ20" s="12">
        <v>28.524999999999999</v>
      </c>
      <c r="AK20" s="11">
        <v>29.418749999999999</v>
      </c>
      <c r="AL20" s="11">
        <v>30.0625</v>
      </c>
      <c r="AM20" s="10">
        <v>30.27708333333333</v>
      </c>
    </row>
    <row r="21" spans="1:39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13.246</v>
      </c>
      <c r="J21" s="2">
        <v>57.7</v>
      </c>
      <c r="K21" s="2">
        <v>42.2</v>
      </c>
      <c r="L21" s="2">
        <v>47.7</v>
      </c>
      <c r="M21" s="2">
        <v>44.3</v>
      </c>
      <c r="N21" s="2">
        <v>51.2</v>
      </c>
      <c r="O21" s="2">
        <v>39.299999999999997</v>
      </c>
      <c r="P21" s="2">
        <v>45.8</v>
      </c>
      <c r="Q21" s="2">
        <v>51.5</v>
      </c>
      <c r="R21" s="2">
        <v>50.9</v>
      </c>
      <c r="S21" s="2">
        <v>51.3</v>
      </c>
      <c r="T21" s="2">
        <v>55</v>
      </c>
      <c r="U21" s="2">
        <v>46</v>
      </c>
      <c r="V21" s="5">
        <f t="shared" si="0"/>
        <v>48.57500000000001</v>
      </c>
      <c r="W21" s="4">
        <f t="shared" si="1"/>
        <v>1.5395357919013839</v>
      </c>
      <c r="X21" s="2">
        <f t="shared" si="2"/>
        <v>39.299999999999997</v>
      </c>
      <c r="Y21" s="3">
        <f t="shared" si="3"/>
        <v>45.424999999999997</v>
      </c>
      <c r="Z21" s="2">
        <f t="shared" si="4"/>
        <v>49.3</v>
      </c>
      <c r="AE21" s="13" t="s">
        <v>67</v>
      </c>
      <c r="AF21" s="12">
        <v>37.9</v>
      </c>
      <c r="AG21" s="11">
        <v>42.512500000000003</v>
      </c>
      <c r="AH21" s="11">
        <v>47.424999999999997</v>
      </c>
      <c r="AI21" s="11">
        <v>47.458333333333343</v>
      </c>
      <c r="AJ21" s="12">
        <v>28.55</v>
      </c>
      <c r="AK21" s="11">
        <v>29.875</v>
      </c>
      <c r="AL21" s="11">
        <v>30.65</v>
      </c>
      <c r="AM21" s="10">
        <v>30.862500000000001</v>
      </c>
    </row>
    <row r="22" spans="1:39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13.26</v>
      </c>
      <c r="J22" s="2">
        <v>57.4</v>
      </c>
      <c r="K22" s="2">
        <v>55.8</v>
      </c>
      <c r="L22" s="2">
        <v>54</v>
      </c>
      <c r="M22" s="2">
        <v>58.3</v>
      </c>
      <c r="N22" s="2">
        <v>50.7</v>
      </c>
      <c r="O22" s="2">
        <v>57.4</v>
      </c>
      <c r="P22" s="2">
        <v>51.6</v>
      </c>
      <c r="Q22" s="2">
        <v>57.3</v>
      </c>
      <c r="R22" s="2">
        <v>55.4</v>
      </c>
      <c r="S22" s="2">
        <v>58.4</v>
      </c>
      <c r="T22" s="2">
        <v>56.6</v>
      </c>
      <c r="U22" s="2">
        <v>57.7</v>
      </c>
      <c r="V22" s="5">
        <f t="shared" si="0"/>
        <v>55.883333333333333</v>
      </c>
      <c r="W22" s="4">
        <f t="shared" si="1"/>
        <v>0.73647741981610637</v>
      </c>
      <c r="X22" s="2">
        <f t="shared" si="2"/>
        <v>50.7</v>
      </c>
      <c r="Y22" s="3">
        <f t="shared" si="3"/>
        <v>55.05</v>
      </c>
      <c r="Z22" s="2">
        <f t="shared" si="4"/>
        <v>56.95</v>
      </c>
      <c r="AE22" s="13" t="s">
        <v>66</v>
      </c>
      <c r="AF22" s="12">
        <v>46.75</v>
      </c>
      <c r="AG22" s="11">
        <v>49.05</v>
      </c>
      <c r="AH22" s="11">
        <v>51.05</v>
      </c>
      <c r="AI22" s="11">
        <v>51.379166666666663</v>
      </c>
      <c r="AJ22" s="12">
        <v>28.55</v>
      </c>
      <c r="AK22" s="11">
        <v>28.837499999999999</v>
      </c>
      <c r="AL22" s="11">
        <v>30.375</v>
      </c>
      <c r="AM22" s="10">
        <v>30.587499999999999</v>
      </c>
    </row>
    <row r="23" spans="1:39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13.276</v>
      </c>
      <c r="J23" s="2">
        <v>56.8</v>
      </c>
      <c r="K23" s="2">
        <v>57.2</v>
      </c>
      <c r="L23" s="2">
        <v>56.7</v>
      </c>
      <c r="M23" s="2">
        <v>53.8</v>
      </c>
      <c r="N23" s="2">
        <v>55.5</v>
      </c>
      <c r="O23" s="2">
        <v>53.8</v>
      </c>
      <c r="P23" s="2">
        <v>55.5</v>
      </c>
      <c r="Q23" s="2">
        <v>54.3</v>
      </c>
      <c r="R23" s="2">
        <v>53.4</v>
      </c>
      <c r="S23" s="2">
        <v>51.3</v>
      </c>
      <c r="T23" s="2">
        <v>55.8</v>
      </c>
      <c r="U23" s="2">
        <v>55.6</v>
      </c>
      <c r="V23" s="5">
        <f t="shared" si="0"/>
        <v>54.974999999999994</v>
      </c>
      <c r="W23" s="4">
        <f t="shared" si="1"/>
        <v>0.49300024586631075</v>
      </c>
      <c r="X23" s="2">
        <f t="shared" si="2"/>
        <v>51.3</v>
      </c>
      <c r="Y23" s="3">
        <f t="shared" si="3"/>
        <v>53.8</v>
      </c>
      <c r="Z23" s="2">
        <f t="shared" si="4"/>
        <v>55.5</v>
      </c>
      <c r="AE23" s="13" t="s">
        <v>65</v>
      </c>
      <c r="AF23" s="12">
        <v>49.4</v>
      </c>
      <c r="AG23" s="11">
        <v>53.45</v>
      </c>
      <c r="AH23" s="11">
        <v>55.65</v>
      </c>
      <c r="AI23" s="11">
        <v>54.94166666666667</v>
      </c>
      <c r="AJ23" s="12">
        <v>28.7</v>
      </c>
      <c r="AK23" s="11">
        <v>29.65</v>
      </c>
      <c r="AL23" s="11">
        <v>29.85</v>
      </c>
      <c r="AM23" s="10">
        <v>30.741666666666664</v>
      </c>
    </row>
    <row r="24" spans="1:39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13.291</v>
      </c>
      <c r="J24" s="2">
        <v>58.3</v>
      </c>
      <c r="K24" s="2">
        <v>50.6</v>
      </c>
      <c r="L24" s="2">
        <v>51.2</v>
      </c>
      <c r="M24" s="2">
        <v>54.3</v>
      </c>
      <c r="N24" s="2">
        <v>47.2</v>
      </c>
      <c r="O24" s="2">
        <v>57</v>
      </c>
      <c r="P24" s="2">
        <v>54.7</v>
      </c>
      <c r="Q24" s="2">
        <v>57.1</v>
      </c>
      <c r="R24" s="2">
        <v>54.8</v>
      </c>
      <c r="S24" s="2">
        <v>54.4</v>
      </c>
      <c r="T24" s="2">
        <v>48.1</v>
      </c>
      <c r="U24" s="2">
        <v>59.4</v>
      </c>
      <c r="V24" s="5">
        <f t="shared" si="0"/>
        <v>53.925000000000004</v>
      </c>
      <c r="W24" s="4">
        <f t="shared" si="1"/>
        <v>1.1282276930091399</v>
      </c>
      <c r="X24" s="2">
        <f t="shared" si="2"/>
        <v>47.2</v>
      </c>
      <c r="Y24" s="3">
        <f t="shared" si="3"/>
        <v>51.050000000000004</v>
      </c>
      <c r="Z24" s="2">
        <f t="shared" si="4"/>
        <v>54.55</v>
      </c>
      <c r="AE24" s="13" t="s">
        <v>64</v>
      </c>
      <c r="AF24" s="12">
        <v>49.05</v>
      </c>
      <c r="AG24" s="11">
        <v>53.337499999999999</v>
      </c>
      <c r="AH24" s="11">
        <v>54.424999999999997</v>
      </c>
      <c r="AI24" s="11">
        <v>54.191666666666663</v>
      </c>
      <c r="AJ24" s="12">
        <v>28.85</v>
      </c>
      <c r="AK24" s="11">
        <v>30.475000000000001</v>
      </c>
      <c r="AL24" s="11">
        <v>31.375</v>
      </c>
      <c r="AM24" s="10">
        <v>31.841666666666669</v>
      </c>
    </row>
    <row r="25" spans="1:39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13.305999999999999</v>
      </c>
      <c r="J25" s="2">
        <v>56.2</v>
      </c>
      <c r="K25" s="2">
        <v>56.7</v>
      </c>
      <c r="L25" s="2">
        <v>56.9</v>
      </c>
      <c r="M25" s="2">
        <v>57.8</v>
      </c>
      <c r="N25" s="2">
        <v>54.2</v>
      </c>
      <c r="O25" s="2">
        <v>54.8</v>
      </c>
      <c r="P25" s="2">
        <v>54.3</v>
      </c>
      <c r="Q25" s="2">
        <v>57.5</v>
      </c>
      <c r="R25" s="2">
        <v>55.3</v>
      </c>
      <c r="S25" s="2">
        <v>56.8</v>
      </c>
      <c r="T25" s="2">
        <v>47.6</v>
      </c>
      <c r="U25" s="2">
        <v>57.7</v>
      </c>
      <c r="V25" s="5">
        <f t="shared" si="0"/>
        <v>55.483333333333341</v>
      </c>
      <c r="W25" s="4">
        <f t="shared" si="1"/>
        <v>0.80611614071623228</v>
      </c>
      <c r="X25" s="2">
        <f t="shared" si="2"/>
        <v>47.6</v>
      </c>
      <c r="Y25" s="3">
        <f t="shared" si="3"/>
        <v>54.674999999999997</v>
      </c>
      <c r="Z25" s="2">
        <f t="shared" si="4"/>
        <v>56.45</v>
      </c>
      <c r="AE25" s="13" t="s">
        <v>63</v>
      </c>
      <c r="AF25" s="12">
        <v>46.833333333333336</v>
      </c>
      <c r="AG25" s="11">
        <v>53.616666666666667</v>
      </c>
      <c r="AH25" s="11">
        <v>55.2</v>
      </c>
      <c r="AI25" s="11">
        <v>54.741666666666674</v>
      </c>
      <c r="AJ25" s="12">
        <v>28.733333333333334</v>
      </c>
      <c r="AK25" s="11">
        <v>29.666666666666668</v>
      </c>
      <c r="AL25" s="11">
        <v>30.766666666666666</v>
      </c>
      <c r="AM25" s="10">
        <v>31.052777777777777</v>
      </c>
    </row>
    <row r="26" spans="1:39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13.432</v>
      </c>
      <c r="J26" s="2">
        <v>55</v>
      </c>
      <c r="K26" s="2">
        <v>53.1</v>
      </c>
      <c r="L26" s="2">
        <v>50.8</v>
      </c>
      <c r="M26" s="2">
        <v>57.2</v>
      </c>
      <c r="N26" s="2">
        <v>52.1</v>
      </c>
      <c r="O26" s="2">
        <v>57.4</v>
      </c>
      <c r="P26" s="2">
        <v>52.5</v>
      </c>
      <c r="Q26" s="2">
        <v>57.1</v>
      </c>
      <c r="R26" s="2">
        <v>50.8</v>
      </c>
      <c r="S26" s="2">
        <v>56</v>
      </c>
      <c r="T26" s="2">
        <v>48.5</v>
      </c>
      <c r="U26" s="2">
        <v>58.7</v>
      </c>
      <c r="V26" s="5">
        <f t="shared" si="0"/>
        <v>54.1</v>
      </c>
      <c r="W26" s="4">
        <f t="shared" si="1"/>
        <v>0.93654749592383879</v>
      </c>
      <c r="X26" s="2">
        <f t="shared" si="2"/>
        <v>48.5</v>
      </c>
      <c r="Y26" s="3">
        <f t="shared" si="3"/>
        <v>51.774999999999999</v>
      </c>
      <c r="Z26" s="2">
        <f t="shared" si="4"/>
        <v>54.05</v>
      </c>
      <c r="AE26" s="13" t="s">
        <v>62</v>
      </c>
      <c r="AF26" s="12">
        <v>46.475000000000001</v>
      </c>
      <c r="AG26" s="11">
        <v>50.931249999999999</v>
      </c>
      <c r="AH26" s="11">
        <v>54.25</v>
      </c>
      <c r="AI26" s="11">
        <v>53.558333333333337</v>
      </c>
      <c r="AJ26" s="12">
        <v>28.074999999999999</v>
      </c>
      <c r="AK26" s="11">
        <v>29.012499999999999</v>
      </c>
      <c r="AL26" s="11">
        <v>29.774999999999999</v>
      </c>
      <c r="AM26" s="10">
        <v>29.947916666666664</v>
      </c>
    </row>
    <row r="27" spans="1:39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13.446</v>
      </c>
      <c r="J27" s="2">
        <v>57.8</v>
      </c>
      <c r="K27" s="2">
        <v>48.8</v>
      </c>
      <c r="L27" s="2">
        <v>51.8</v>
      </c>
      <c r="M27" s="2">
        <v>59.9</v>
      </c>
      <c r="N27" s="2">
        <v>48</v>
      </c>
      <c r="O27" s="2">
        <v>50.9</v>
      </c>
      <c r="P27" s="2">
        <v>50.3</v>
      </c>
      <c r="Q27" s="2">
        <v>55.9</v>
      </c>
      <c r="R27" s="2">
        <v>53.4</v>
      </c>
      <c r="S27" s="2">
        <v>45.3</v>
      </c>
      <c r="T27" s="2">
        <v>56.4</v>
      </c>
      <c r="U27" s="2">
        <v>49.1</v>
      </c>
      <c r="V27" s="5">
        <f t="shared" si="0"/>
        <v>52.29999999999999</v>
      </c>
      <c r="W27" s="4">
        <f t="shared" si="1"/>
        <v>1.2767738700143871</v>
      </c>
      <c r="X27" s="2">
        <f t="shared" si="2"/>
        <v>45.3</v>
      </c>
      <c r="Y27" s="3">
        <f t="shared" si="3"/>
        <v>49.024999999999999</v>
      </c>
      <c r="Z27" s="2">
        <f t="shared" si="4"/>
        <v>51.349999999999994</v>
      </c>
      <c r="AE27" s="9" t="s">
        <v>61</v>
      </c>
      <c r="AF27" s="8">
        <v>32.15</v>
      </c>
      <c r="AG27" s="7">
        <v>33.049999999999997</v>
      </c>
      <c r="AH27" s="7">
        <v>34.4</v>
      </c>
      <c r="AI27" s="7">
        <v>34.408333333333331</v>
      </c>
      <c r="AJ27" s="8"/>
      <c r="AK27" s="7"/>
      <c r="AL27" s="7"/>
      <c r="AM27" s="6"/>
    </row>
    <row r="28" spans="1:39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13.461</v>
      </c>
      <c r="J28" s="2">
        <v>53</v>
      </c>
      <c r="K28" s="2">
        <v>52</v>
      </c>
      <c r="L28" s="2">
        <v>53.3</v>
      </c>
      <c r="M28" s="2">
        <v>46.8</v>
      </c>
      <c r="N28" s="2">
        <v>53.4</v>
      </c>
      <c r="O28" s="2">
        <v>54</v>
      </c>
      <c r="P28" s="2">
        <v>56.2</v>
      </c>
      <c r="Q28" s="2">
        <v>55.7</v>
      </c>
      <c r="R28" s="2">
        <v>55.8</v>
      </c>
      <c r="S28" s="2">
        <v>55</v>
      </c>
      <c r="T28" s="2">
        <v>52.9</v>
      </c>
      <c r="U28" s="2">
        <v>52.8</v>
      </c>
      <c r="V28" s="5">
        <f t="shared" si="0"/>
        <v>53.408333333333331</v>
      </c>
      <c r="W28" s="4">
        <f t="shared" si="1"/>
        <v>0.71831645905793895</v>
      </c>
      <c r="X28" s="2">
        <f t="shared" si="2"/>
        <v>46.8</v>
      </c>
      <c r="Y28" s="3">
        <f t="shared" si="3"/>
        <v>52.875</v>
      </c>
      <c r="Z28" s="2">
        <f t="shared" si="4"/>
        <v>53.349999999999994</v>
      </c>
      <c r="AH28" s="2"/>
    </row>
    <row r="29" spans="1:39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13.476000000000001</v>
      </c>
      <c r="J29" s="2">
        <v>57.6</v>
      </c>
      <c r="K29" s="2">
        <v>59.3</v>
      </c>
      <c r="L29" s="2">
        <v>50.2</v>
      </c>
      <c r="M29" s="2">
        <v>57.8</v>
      </c>
      <c r="N29" s="2">
        <v>47</v>
      </c>
      <c r="O29" s="2">
        <v>54.5</v>
      </c>
      <c r="P29" s="2">
        <v>53.6</v>
      </c>
      <c r="Q29" s="2">
        <v>55.9</v>
      </c>
      <c r="R29" s="2">
        <v>49.2</v>
      </c>
      <c r="S29" s="2">
        <v>55.1</v>
      </c>
      <c r="T29" s="2">
        <v>49.3</v>
      </c>
      <c r="U29" s="2">
        <v>56.2</v>
      </c>
      <c r="V29" s="5">
        <f t="shared" si="0"/>
        <v>53.808333333333337</v>
      </c>
      <c r="W29" s="4">
        <f t="shared" si="1"/>
        <v>1.1470950353837384</v>
      </c>
      <c r="X29" s="2">
        <f t="shared" si="2"/>
        <v>47</v>
      </c>
      <c r="Y29" s="3">
        <f t="shared" si="3"/>
        <v>49.975000000000001</v>
      </c>
      <c r="Z29" s="2">
        <f t="shared" si="4"/>
        <v>54.8</v>
      </c>
      <c r="AH29" s="3"/>
    </row>
    <row r="30" spans="1:39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13.491</v>
      </c>
      <c r="J30" s="2">
        <v>57.6</v>
      </c>
      <c r="K30" s="2">
        <v>52</v>
      </c>
      <c r="L30" s="2">
        <v>55.5</v>
      </c>
      <c r="M30" s="2">
        <v>38.4</v>
      </c>
      <c r="N30" s="2">
        <v>39.799999999999997</v>
      </c>
      <c r="O30" s="2">
        <v>50.8</v>
      </c>
      <c r="P30" s="2">
        <v>36.5</v>
      </c>
      <c r="Q30" s="2">
        <v>45</v>
      </c>
      <c r="R30" s="2">
        <v>39</v>
      </c>
      <c r="S30" s="2">
        <v>45.3</v>
      </c>
      <c r="T30" s="2">
        <v>50.4</v>
      </c>
      <c r="U30" s="2">
        <v>45.8</v>
      </c>
      <c r="V30" s="5">
        <f t="shared" si="0"/>
        <v>46.341666666666669</v>
      </c>
      <c r="W30" s="4">
        <f t="shared" si="1"/>
        <v>2.0203306935031953</v>
      </c>
      <c r="X30" s="2">
        <f t="shared" si="2"/>
        <v>36.5</v>
      </c>
      <c r="Y30" s="3">
        <f t="shared" si="3"/>
        <v>39.599999999999994</v>
      </c>
      <c r="Z30" s="2">
        <f t="shared" si="4"/>
        <v>45.55</v>
      </c>
      <c r="AH30" s="2"/>
    </row>
    <row r="31" spans="1:39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13.505000000000001</v>
      </c>
      <c r="J31" s="2">
        <v>58</v>
      </c>
      <c r="K31" s="2">
        <v>56.4</v>
      </c>
      <c r="L31" s="2">
        <v>51.9</v>
      </c>
      <c r="M31" s="2">
        <v>58.1</v>
      </c>
      <c r="N31" s="2">
        <v>53.3</v>
      </c>
      <c r="O31" s="2">
        <v>53.7</v>
      </c>
      <c r="P31" s="2">
        <v>48.4</v>
      </c>
      <c r="Q31" s="2">
        <v>52.7</v>
      </c>
      <c r="R31" s="2">
        <v>53.6</v>
      </c>
      <c r="S31" s="2">
        <v>53</v>
      </c>
      <c r="T31" s="2">
        <v>55</v>
      </c>
      <c r="U31" s="2">
        <v>51.2</v>
      </c>
      <c r="V31" s="5">
        <f t="shared" si="0"/>
        <v>53.774999999999999</v>
      </c>
      <c r="W31" s="4">
        <f t="shared" si="1"/>
        <v>0.80717661692413445</v>
      </c>
      <c r="X31" s="2">
        <f t="shared" si="2"/>
        <v>48.4</v>
      </c>
      <c r="Y31" s="3">
        <f t="shared" si="3"/>
        <v>52.5</v>
      </c>
      <c r="Z31" s="2">
        <f t="shared" si="4"/>
        <v>53.45</v>
      </c>
      <c r="AH31" s="3"/>
    </row>
    <row r="32" spans="1:39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13.521000000000001</v>
      </c>
      <c r="J32" s="2">
        <v>57</v>
      </c>
      <c r="K32" s="2">
        <v>49.4</v>
      </c>
      <c r="L32" s="2">
        <v>55.8</v>
      </c>
      <c r="M32" s="2">
        <v>57.1</v>
      </c>
      <c r="N32" s="2">
        <v>55</v>
      </c>
      <c r="O32" s="2">
        <v>53</v>
      </c>
      <c r="P32" s="2">
        <v>53.2</v>
      </c>
      <c r="Q32" s="2">
        <v>57.5</v>
      </c>
      <c r="R32" s="2">
        <v>54.5</v>
      </c>
      <c r="S32" s="2">
        <v>56.3</v>
      </c>
      <c r="T32" s="2">
        <v>49.3</v>
      </c>
      <c r="U32" s="2">
        <v>58.2</v>
      </c>
      <c r="V32" s="5">
        <f t="shared" si="0"/>
        <v>54.691666666666663</v>
      </c>
      <c r="W32" s="4">
        <f t="shared" si="1"/>
        <v>0.85912731738360404</v>
      </c>
      <c r="X32" s="2">
        <f t="shared" si="2"/>
        <v>49.3</v>
      </c>
      <c r="Y32" s="3">
        <f t="shared" si="3"/>
        <v>53.150000000000006</v>
      </c>
      <c r="Z32" s="2">
        <f t="shared" si="4"/>
        <v>55.4</v>
      </c>
      <c r="AH32" s="2"/>
    </row>
    <row r="33" spans="1:34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13.535</v>
      </c>
      <c r="J33" s="2">
        <v>57.1</v>
      </c>
      <c r="K33" s="2">
        <v>52.8</v>
      </c>
      <c r="L33" s="2">
        <v>50.9</v>
      </c>
      <c r="M33" s="2">
        <v>51.8</v>
      </c>
      <c r="N33" s="2">
        <v>45.8</v>
      </c>
      <c r="O33" s="2">
        <v>55.7</v>
      </c>
      <c r="P33" s="2">
        <v>44.9</v>
      </c>
      <c r="Q33" s="2">
        <v>54</v>
      </c>
      <c r="R33" s="2">
        <v>40.799999999999997</v>
      </c>
      <c r="S33" s="2">
        <v>51.7</v>
      </c>
      <c r="T33" s="2">
        <v>49.7</v>
      </c>
      <c r="U33" s="2">
        <v>46.8</v>
      </c>
      <c r="V33" s="5">
        <f t="shared" si="0"/>
        <v>50.166666666666664</v>
      </c>
      <c r="W33" s="4">
        <f t="shared" si="1"/>
        <v>1.3816071742135625</v>
      </c>
      <c r="X33" s="2">
        <f t="shared" si="2"/>
        <v>40.799999999999997</v>
      </c>
      <c r="Y33" s="3">
        <f t="shared" si="3"/>
        <v>46.55</v>
      </c>
      <c r="Z33" s="2">
        <f t="shared" si="4"/>
        <v>51.3</v>
      </c>
      <c r="AH33" s="3"/>
    </row>
    <row r="34" spans="1:34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13.638999999999999</v>
      </c>
      <c r="J34" s="2">
        <v>56.2</v>
      </c>
      <c r="K34" s="2">
        <v>48</v>
      </c>
      <c r="L34" s="2">
        <v>52</v>
      </c>
      <c r="M34" s="2">
        <v>48.9</v>
      </c>
      <c r="N34" s="2">
        <v>53.8</v>
      </c>
      <c r="O34" s="2">
        <v>49.7</v>
      </c>
      <c r="P34" s="2">
        <v>51.4</v>
      </c>
      <c r="Q34" s="2">
        <v>54.8</v>
      </c>
      <c r="R34" s="2">
        <v>54</v>
      </c>
      <c r="S34" s="2">
        <v>47.3</v>
      </c>
      <c r="T34" s="2">
        <v>46.6</v>
      </c>
      <c r="U34" s="2">
        <v>44.9</v>
      </c>
      <c r="V34" s="5">
        <f t="shared" si="0"/>
        <v>50.633333333333326</v>
      </c>
      <c r="W34" s="4">
        <f t="shared" si="1"/>
        <v>1.0416575757179063</v>
      </c>
      <c r="X34" s="2">
        <f t="shared" si="2"/>
        <v>44.9</v>
      </c>
      <c r="Y34" s="3">
        <f t="shared" si="3"/>
        <v>47.825000000000003</v>
      </c>
      <c r="Z34" s="2">
        <f t="shared" si="4"/>
        <v>50.55</v>
      </c>
      <c r="AH34" s="2"/>
    </row>
    <row r="35" spans="1:34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13.624000000000001</v>
      </c>
      <c r="J35" s="2">
        <v>57.7</v>
      </c>
      <c r="K35" s="2">
        <v>50.8</v>
      </c>
      <c r="L35" s="2">
        <v>53.9</v>
      </c>
      <c r="M35" s="2">
        <v>55</v>
      </c>
      <c r="N35" s="2">
        <v>52.9</v>
      </c>
      <c r="O35" s="2">
        <v>52.4</v>
      </c>
      <c r="P35" s="2">
        <v>51.2</v>
      </c>
      <c r="Q35" s="2">
        <v>55.7</v>
      </c>
      <c r="R35" s="2">
        <v>52.4</v>
      </c>
      <c r="S35" s="2">
        <v>57.2</v>
      </c>
      <c r="T35" s="2">
        <v>53.4</v>
      </c>
      <c r="U35" s="2">
        <v>55.5</v>
      </c>
      <c r="V35" s="5">
        <f t="shared" si="0"/>
        <v>54.008333333333326</v>
      </c>
      <c r="W35" s="4">
        <f t="shared" si="1"/>
        <v>0.64461150307684578</v>
      </c>
      <c r="X35" s="2">
        <f t="shared" si="2"/>
        <v>50.8</v>
      </c>
      <c r="Y35" s="3">
        <f t="shared" si="3"/>
        <v>52.4</v>
      </c>
      <c r="Z35" s="2">
        <f t="shared" si="4"/>
        <v>53.65</v>
      </c>
      <c r="AH35" s="3"/>
    </row>
    <row r="36" spans="1:34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13.609</v>
      </c>
      <c r="J36" s="2">
        <v>57.2</v>
      </c>
      <c r="K36" s="2">
        <v>41.2</v>
      </c>
      <c r="L36" s="2">
        <v>51.5</v>
      </c>
      <c r="M36" s="2">
        <v>49</v>
      </c>
      <c r="N36" s="2">
        <v>50.3</v>
      </c>
      <c r="O36" s="2">
        <v>51.7</v>
      </c>
      <c r="P36" s="2">
        <v>41.6</v>
      </c>
      <c r="Q36" s="2">
        <v>59.1</v>
      </c>
      <c r="R36" s="2">
        <v>41.8</v>
      </c>
      <c r="S36" s="2">
        <v>49.4</v>
      </c>
      <c r="T36" s="2">
        <v>44.7</v>
      </c>
      <c r="U36" s="2">
        <v>49.7</v>
      </c>
      <c r="V36" s="5">
        <f t="shared" si="0"/>
        <v>48.933333333333337</v>
      </c>
      <c r="W36" s="4">
        <f t="shared" si="1"/>
        <v>1.6765012871025708</v>
      </c>
      <c r="X36" s="2">
        <f t="shared" si="2"/>
        <v>41.2</v>
      </c>
      <c r="Y36" s="3">
        <f t="shared" si="3"/>
        <v>43.975000000000001</v>
      </c>
      <c r="Z36" s="2">
        <f t="shared" si="4"/>
        <v>49.55</v>
      </c>
      <c r="AH36" s="2"/>
    </row>
    <row r="37" spans="1:34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13.595000000000001</v>
      </c>
      <c r="J37" s="2">
        <v>58</v>
      </c>
      <c r="K37" s="2">
        <v>52.7</v>
      </c>
      <c r="L37" s="2">
        <v>51.5</v>
      </c>
      <c r="M37" s="2">
        <v>55.1</v>
      </c>
      <c r="N37" s="2">
        <v>46.5</v>
      </c>
      <c r="O37" s="2">
        <v>55.9</v>
      </c>
      <c r="P37" s="2">
        <v>52</v>
      </c>
      <c r="Q37" s="2">
        <v>54.1</v>
      </c>
      <c r="R37" s="2">
        <v>53.5</v>
      </c>
      <c r="S37" s="2">
        <v>55</v>
      </c>
      <c r="T37" s="2">
        <v>50.3</v>
      </c>
      <c r="U37" s="2">
        <v>51.4</v>
      </c>
      <c r="V37" s="5">
        <f t="shared" si="0"/>
        <v>52.999999999999993</v>
      </c>
      <c r="W37" s="4">
        <f t="shared" si="1"/>
        <v>0.86479985423147943</v>
      </c>
      <c r="X37" s="2">
        <f t="shared" si="2"/>
        <v>46.5</v>
      </c>
      <c r="Y37" s="3">
        <f t="shared" si="3"/>
        <v>51.475000000000001</v>
      </c>
      <c r="Z37" s="2">
        <f t="shared" si="4"/>
        <v>53.1</v>
      </c>
      <c r="AH37" s="3"/>
    </row>
    <row r="38" spans="1:34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13.579000000000001</v>
      </c>
      <c r="J38" s="2">
        <v>58.2</v>
      </c>
      <c r="K38" s="2">
        <v>50.3</v>
      </c>
      <c r="L38" s="2">
        <v>56.2</v>
      </c>
      <c r="M38" s="2">
        <v>56.2</v>
      </c>
      <c r="N38" s="2">
        <v>54.1</v>
      </c>
      <c r="O38" s="2">
        <v>57.4</v>
      </c>
      <c r="P38" s="2">
        <v>49.4</v>
      </c>
      <c r="Q38" s="2">
        <v>57.8</v>
      </c>
      <c r="R38" s="2">
        <v>51.5</v>
      </c>
      <c r="S38" s="2">
        <v>58.4</v>
      </c>
      <c r="T38" s="2">
        <v>55.1</v>
      </c>
      <c r="U38" s="2">
        <v>54.7</v>
      </c>
      <c r="V38" s="5">
        <f t="shared" si="0"/>
        <v>54.94166666666667</v>
      </c>
      <c r="W38" s="4">
        <f t="shared" si="1"/>
        <v>0.89124175658845162</v>
      </c>
      <c r="X38" s="2">
        <f t="shared" si="2"/>
        <v>49.4</v>
      </c>
      <c r="Y38" s="3">
        <f t="shared" si="3"/>
        <v>53.45</v>
      </c>
      <c r="Z38" s="2">
        <f t="shared" si="4"/>
        <v>55.650000000000006</v>
      </c>
      <c r="AH38" s="2"/>
    </row>
    <row r="39" spans="1:34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13.564</v>
      </c>
      <c r="J39" s="2">
        <v>57.3</v>
      </c>
      <c r="K39" s="2">
        <v>52.1</v>
      </c>
      <c r="L39" s="2">
        <v>57.2</v>
      </c>
      <c r="M39" s="2">
        <v>59.8</v>
      </c>
      <c r="N39" s="2">
        <v>51.4</v>
      </c>
      <c r="O39" s="2">
        <v>55.9</v>
      </c>
      <c r="P39" s="2">
        <v>53.1</v>
      </c>
      <c r="Q39" s="2">
        <v>58.4</v>
      </c>
      <c r="R39" s="2">
        <v>45.4</v>
      </c>
      <c r="S39" s="2">
        <v>57.8</v>
      </c>
      <c r="T39" s="2">
        <v>52.5</v>
      </c>
      <c r="U39" s="2">
        <v>55.2</v>
      </c>
      <c r="V39" s="5">
        <f t="shared" si="0"/>
        <v>54.675000000000004</v>
      </c>
      <c r="W39" s="4">
        <f t="shared" si="1"/>
        <v>1.1531987791540641</v>
      </c>
      <c r="X39" s="2">
        <f t="shared" si="2"/>
        <v>45.4</v>
      </c>
      <c r="Y39" s="3">
        <f t="shared" si="3"/>
        <v>52.4</v>
      </c>
      <c r="Z39" s="2">
        <f t="shared" si="4"/>
        <v>55.55</v>
      </c>
      <c r="AH39" s="3"/>
    </row>
    <row r="40" spans="1:34" x14ac:dyDescent="0.2">
      <c r="A40" s="1">
        <v>901</v>
      </c>
      <c r="B40" s="1" t="s">
        <v>61</v>
      </c>
      <c r="C40" s="1">
        <v>32</v>
      </c>
      <c r="D40" s="1">
        <v>9</v>
      </c>
      <c r="E40" s="1">
        <v>0</v>
      </c>
      <c r="F40" s="1">
        <v>1</v>
      </c>
      <c r="G40" s="1">
        <v>1</v>
      </c>
      <c r="H40" s="1">
        <v>1</v>
      </c>
      <c r="I40" s="4">
        <v>13.414999999999999</v>
      </c>
      <c r="J40" s="2">
        <v>33.299999999999997</v>
      </c>
      <c r="K40" s="2">
        <v>37</v>
      </c>
      <c r="L40" s="2">
        <v>35.9</v>
      </c>
      <c r="M40" s="2">
        <v>36.5</v>
      </c>
      <c r="N40" s="2">
        <v>32.200000000000003</v>
      </c>
      <c r="O40" s="2">
        <v>35.6</v>
      </c>
      <c r="P40" s="2">
        <v>32.6</v>
      </c>
      <c r="Q40" s="2">
        <v>34.799999999999997</v>
      </c>
      <c r="R40" s="2">
        <v>34.5</v>
      </c>
      <c r="S40" s="2">
        <v>33.9</v>
      </c>
      <c r="T40" s="2">
        <v>32.4</v>
      </c>
      <c r="U40" s="2">
        <v>35.200000000000003</v>
      </c>
      <c r="V40" s="5">
        <f t="shared" si="0"/>
        <v>34.49166666666666</v>
      </c>
      <c r="W40" s="4">
        <f t="shared" si="1"/>
        <v>0.46959981888730529</v>
      </c>
      <c r="X40" s="2">
        <f t="shared" si="2"/>
        <v>32.200000000000003</v>
      </c>
      <c r="Y40" s="3">
        <f t="shared" si="3"/>
        <v>33.125</v>
      </c>
      <c r="Z40" s="2">
        <f t="shared" si="4"/>
        <v>34.65</v>
      </c>
      <c r="AH40" s="2"/>
    </row>
    <row r="41" spans="1:34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13.4</v>
      </c>
      <c r="J41" s="2">
        <v>58.4</v>
      </c>
      <c r="K41" s="2">
        <v>44.4</v>
      </c>
      <c r="L41" s="2">
        <v>52.8</v>
      </c>
      <c r="M41" s="2">
        <v>53.6</v>
      </c>
      <c r="N41" s="2">
        <v>47.8</v>
      </c>
      <c r="O41" s="2">
        <v>49.8</v>
      </c>
      <c r="P41" s="2">
        <v>56</v>
      </c>
      <c r="Q41" s="2">
        <v>48.5</v>
      </c>
      <c r="R41" s="2">
        <v>51.7</v>
      </c>
      <c r="S41" s="2">
        <v>54.4</v>
      </c>
      <c r="T41" s="2">
        <v>52.1</v>
      </c>
      <c r="U41" s="2">
        <v>52</v>
      </c>
      <c r="V41" s="5">
        <f t="shared" si="0"/>
        <v>51.791666666666664</v>
      </c>
      <c r="W41" s="4">
        <f t="shared" si="1"/>
        <v>1.0940235949295731</v>
      </c>
      <c r="X41" s="2">
        <f t="shared" si="2"/>
        <v>44.4</v>
      </c>
      <c r="Y41" s="3">
        <f t="shared" si="3"/>
        <v>49.474999999999994</v>
      </c>
      <c r="Z41" s="2">
        <f t="shared" si="4"/>
        <v>52.05</v>
      </c>
      <c r="AH41" s="3"/>
    </row>
    <row r="42" spans="1:34" x14ac:dyDescent="0.2">
      <c r="A42" s="1">
        <v>903</v>
      </c>
      <c r="B42" s="1" t="s">
        <v>74</v>
      </c>
      <c r="C42" s="1">
        <v>31</v>
      </c>
      <c r="D42" s="1">
        <v>8</v>
      </c>
      <c r="E42" s="1">
        <v>0</v>
      </c>
      <c r="F42" s="1">
        <v>1</v>
      </c>
      <c r="G42" s="1">
        <v>1</v>
      </c>
      <c r="H42" s="1">
        <v>1</v>
      </c>
      <c r="I42" s="4">
        <v>13.391</v>
      </c>
      <c r="J42" s="2">
        <v>58.6</v>
      </c>
      <c r="K42" s="2">
        <v>61.2</v>
      </c>
      <c r="L42" s="2">
        <v>60.4</v>
      </c>
      <c r="M42" s="2">
        <v>61.8</v>
      </c>
      <c r="N42" s="2">
        <v>57.8</v>
      </c>
      <c r="O42" s="2">
        <v>59</v>
      </c>
      <c r="P42" s="2">
        <v>59</v>
      </c>
      <c r="Q42" s="2">
        <v>62.9</v>
      </c>
      <c r="R42" s="2">
        <v>58.5</v>
      </c>
      <c r="S42" s="2">
        <v>60.4</v>
      </c>
      <c r="T42" s="2">
        <v>59.3</v>
      </c>
      <c r="U42" s="2">
        <v>62.6</v>
      </c>
      <c r="V42" s="5">
        <f t="shared" ref="V42:V73" si="5">AVERAGE(J42:U42)</f>
        <v>60.125</v>
      </c>
      <c r="W42" s="4">
        <f t="shared" ref="W42:W73" si="6">STDEV(J42:U42)/SQRT(COUNT(J42:U42))</f>
        <v>0.48867864510516346</v>
      </c>
      <c r="X42" s="2">
        <f t="shared" ref="X42:X73" si="7">MIN(J42:U42)</f>
        <v>57.8</v>
      </c>
      <c r="Y42" s="3">
        <f t="shared" ref="Y42:Y73" si="8">QUARTILE(J42:U42,1)</f>
        <v>58.9</v>
      </c>
      <c r="Z42" s="2">
        <f t="shared" ref="Z42:Z73" si="9">MEDIAN(J42:U42)</f>
        <v>59.849999999999994</v>
      </c>
      <c r="AH42" s="2"/>
    </row>
    <row r="43" spans="1:34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13.377000000000001</v>
      </c>
      <c r="J43" s="2">
        <v>58</v>
      </c>
      <c r="K43" s="2">
        <v>52.7</v>
      </c>
      <c r="L43" s="2">
        <v>49.8</v>
      </c>
      <c r="M43" s="2">
        <v>54.1</v>
      </c>
      <c r="N43" s="2">
        <v>46.3</v>
      </c>
      <c r="O43" s="2">
        <v>48.6</v>
      </c>
      <c r="P43" s="2">
        <v>54.8</v>
      </c>
      <c r="Q43" s="2">
        <v>59.3</v>
      </c>
      <c r="R43" s="2">
        <v>52.2</v>
      </c>
      <c r="S43" s="2">
        <v>53.5</v>
      </c>
      <c r="T43" s="2">
        <v>54.5</v>
      </c>
      <c r="U43" s="2">
        <v>46.5</v>
      </c>
      <c r="V43" s="5">
        <f t="shared" si="5"/>
        <v>52.524999999999999</v>
      </c>
      <c r="W43" s="4">
        <f t="shared" si="6"/>
        <v>1.1883350333618679</v>
      </c>
      <c r="X43" s="2">
        <f t="shared" si="7"/>
        <v>46.3</v>
      </c>
      <c r="Y43" s="3">
        <f t="shared" si="8"/>
        <v>49.5</v>
      </c>
      <c r="Z43" s="2">
        <f t="shared" si="9"/>
        <v>53.1</v>
      </c>
      <c r="AH43" s="3"/>
    </row>
    <row r="44" spans="1:34" x14ac:dyDescent="0.2">
      <c r="A44" s="1">
        <v>905</v>
      </c>
      <c r="B44" s="1" t="s">
        <v>61</v>
      </c>
      <c r="C44" s="1">
        <v>32</v>
      </c>
      <c r="D44" s="1">
        <v>9</v>
      </c>
      <c r="E44" s="1">
        <v>0</v>
      </c>
      <c r="F44" s="1">
        <v>1</v>
      </c>
      <c r="G44" s="1">
        <v>2</v>
      </c>
      <c r="H44" s="1">
        <v>1</v>
      </c>
      <c r="I44" s="4">
        <v>13.368</v>
      </c>
      <c r="J44" s="2">
        <v>33.799999999999997</v>
      </c>
      <c r="K44" s="2">
        <v>36.200000000000003</v>
      </c>
      <c r="L44" s="2">
        <v>33.1</v>
      </c>
      <c r="M44" s="2">
        <v>36.9</v>
      </c>
      <c r="N44" s="2">
        <v>32.1</v>
      </c>
      <c r="O44" s="2">
        <v>35.9</v>
      </c>
      <c r="P44" s="2">
        <v>32.9</v>
      </c>
      <c r="Q44" s="2">
        <v>34.5</v>
      </c>
      <c r="R44" s="2">
        <v>32.799999999999997</v>
      </c>
      <c r="S44" s="2">
        <v>33</v>
      </c>
      <c r="T44" s="2">
        <v>34.799999999999997</v>
      </c>
      <c r="U44" s="2">
        <v>35.9</v>
      </c>
      <c r="V44" s="5">
        <f t="shared" si="5"/>
        <v>34.324999999999996</v>
      </c>
      <c r="W44" s="4">
        <f t="shared" si="6"/>
        <v>0.4622286263639489</v>
      </c>
      <c r="X44" s="2">
        <f t="shared" si="7"/>
        <v>32.1</v>
      </c>
      <c r="Y44" s="3">
        <f t="shared" si="8"/>
        <v>32.975000000000001</v>
      </c>
      <c r="Z44" s="2">
        <f t="shared" si="9"/>
        <v>34.15</v>
      </c>
      <c r="AH44" s="2"/>
    </row>
    <row r="45" spans="1:34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13.353</v>
      </c>
      <c r="J45" s="2">
        <v>57.3</v>
      </c>
      <c r="K45" s="2">
        <v>57.7</v>
      </c>
      <c r="L45" s="2">
        <v>49</v>
      </c>
      <c r="M45" s="2">
        <v>57.2</v>
      </c>
      <c r="N45" s="2">
        <v>45.2</v>
      </c>
      <c r="O45" s="2">
        <v>53.7</v>
      </c>
      <c r="P45" s="2">
        <v>54.2</v>
      </c>
      <c r="Q45" s="2">
        <v>54.6</v>
      </c>
      <c r="R45" s="2">
        <v>48.6</v>
      </c>
      <c r="S45" s="2">
        <v>56.4</v>
      </c>
      <c r="T45" s="2">
        <v>45.2</v>
      </c>
      <c r="U45" s="2">
        <v>56.9</v>
      </c>
      <c r="V45" s="5">
        <f t="shared" si="5"/>
        <v>53</v>
      </c>
      <c r="W45" s="4">
        <f t="shared" si="6"/>
        <v>1.3665927548380159</v>
      </c>
      <c r="X45" s="2">
        <f t="shared" si="7"/>
        <v>45.2</v>
      </c>
      <c r="Y45" s="3">
        <f t="shared" si="8"/>
        <v>48.9</v>
      </c>
      <c r="Z45" s="2">
        <f t="shared" si="9"/>
        <v>54.400000000000006</v>
      </c>
      <c r="AH45" s="3"/>
    </row>
    <row r="46" spans="1:34" x14ac:dyDescent="0.2">
      <c r="A46" s="1">
        <v>907</v>
      </c>
      <c r="B46" s="1" t="s">
        <v>74</v>
      </c>
      <c r="C46" s="1">
        <v>31</v>
      </c>
      <c r="D46" s="1">
        <v>8</v>
      </c>
      <c r="E46" s="1">
        <v>0</v>
      </c>
      <c r="F46" s="1">
        <v>1</v>
      </c>
      <c r="G46" s="1">
        <v>2</v>
      </c>
      <c r="H46" s="1">
        <v>1</v>
      </c>
      <c r="I46" s="4">
        <v>13.343999999999999</v>
      </c>
      <c r="J46" s="2">
        <v>59</v>
      </c>
      <c r="K46" s="2">
        <v>61.8</v>
      </c>
      <c r="L46" s="2">
        <v>60</v>
      </c>
      <c r="M46" s="2">
        <v>60.5</v>
      </c>
      <c r="N46" s="2">
        <v>59.4</v>
      </c>
      <c r="O46" s="2">
        <v>61.4</v>
      </c>
      <c r="P46" s="2">
        <v>60.3</v>
      </c>
      <c r="Q46" s="2">
        <v>62.9</v>
      </c>
      <c r="R46" s="2">
        <v>59.6</v>
      </c>
      <c r="S46" s="2">
        <v>61.7</v>
      </c>
      <c r="T46" s="2">
        <v>60.3</v>
      </c>
      <c r="U46" s="2">
        <v>62.7</v>
      </c>
      <c r="V46" s="5">
        <f t="shared" si="5"/>
        <v>60.800000000000004</v>
      </c>
      <c r="W46" s="4">
        <f t="shared" si="6"/>
        <v>0.3698894183647079</v>
      </c>
      <c r="X46" s="2">
        <f t="shared" si="7"/>
        <v>59</v>
      </c>
      <c r="Y46" s="3">
        <f t="shared" si="8"/>
        <v>59.9</v>
      </c>
      <c r="Z46" s="2">
        <f t="shared" si="9"/>
        <v>60.4</v>
      </c>
      <c r="AH46" s="2"/>
    </row>
    <row r="47" spans="1:34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13.329000000000001</v>
      </c>
      <c r="J47" s="2">
        <v>57.6</v>
      </c>
      <c r="K47" s="2">
        <v>52.9</v>
      </c>
      <c r="L47" s="2">
        <v>50.3</v>
      </c>
      <c r="M47" s="2">
        <v>57.4</v>
      </c>
      <c r="N47" s="2">
        <v>49.8</v>
      </c>
      <c r="O47" s="2">
        <v>56.1</v>
      </c>
      <c r="P47" s="2">
        <v>43.2</v>
      </c>
      <c r="Q47" s="2">
        <v>58.9</v>
      </c>
      <c r="R47" s="2">
        <v>41.2</v>
      </c>
      <c r="S47" s="2">
        <v>57.9</v>
      </c>
      <c r="T47" s="2">
        <v>53.6</v>
      </c>
      <c r="U47" s="2">
        <v>57.1</v>
      </c>
      <c r="V47" s="5">
        <f t="shared" si="5"/>
        <v>53</v>
      </c>
      <c r="W47" s="4">
        <f t="shared" si="6"/>
        <v>1.6943310112718806</v>
      </c>
      <c r="X47" s="2">
        <f t="shared" si="7"/>
        <v>41.2</v>
      </c>
      <c r="Y47" s="3">
        <f t="shared" si="8"/>
        <v>50.174999999999997</v>
      </c>
      <c r="Z47" s="2">
        <f t="shared" si="9"/>
        <v>54.85</v>
      </c>
      <c r="AH47" s="3"/>
    </row>
    <row r="48" spans="1:34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13.180999999999999</v>
      </c>
      <c r="J48" s="2">
        <v>30</v>
      </c>
      <c r="K48" s="2">
        <v>31.3</v>
      </c>
      <c r="L48" s="2">
        <v>30</v>
      </c>
      <c r="M48" s="2">
        <v>31.7</v>
      </c>
      <c r="N48" s="2">
        <v>33.4</v>
      </c>
      <c r="O48" s="2">
        <v>32.799999999999997</v>
      </c>
      <c r="P48" s="2">
        <v>33.9</v>
      </c>
      <c r="Q48" s="2">
        <v>31.9</v>
      </c>
      <c r="R48" s="2">
        <v>35.200000000000003</v>
      </c>
      <c r="S48" s="2">
        <v>29.3</v>
      </c>
      <c r="T48" s="2">
        <v>34.4</v>
      </c>
      <c r="U48" s="2">
        <v>28.7</v>
      </c>
      <c r="V48" s="5">
        <f t="shared" si="5"/>
        <v>31.883333333333329</v>
      </c>
      <c r="W48" s="4">
        <f t="shared" si="6"/>
        <v>0.60813093353588943</v>
      </c>
      <c r="X48" s="2">
        <f t="shared" si="7"/>
        <v>28.7</v>
      </c>
      <c r="Y48" s="3">
        <f t="shared" si="8"/>
        <v>30</v>
      </c>
      <c r="Z48" s="2">
        <f t="shared" si="9"/>
        <v>31.799999999999997</v>
      </c>
      <c r="AH48" s="2"/>
    </row>
    <row r="49" spans="1:34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13.164999999999999</v>
      </c>
      <c r="J49" s="2">
        <v>30.2</v>
      </c>
      <c r="K49" s="2">
        <v>29.5</v>
      </c>
      <c r="L49" s="2">
        <v>28.9</v>
      </c>
      <c r="M49" s="2">
        <v>31.8</v>
      </c>
      <c r="N49" s="2">
        <v>33.4</v>
      </c>
      <c r="O49" s="2">
        <v>29.5</v>
      </c>
      <c r="P49" s="2">
        <v>33.9</v>
      </c>
      <c r="Q49" s="2">
        <v>31.3</v>
      </c>
      <c r="R49" s="2">
        <v>29.3</v>
      </c>
      <c r="S49" s="2">
        <v>31.6</v>
      </c>
      <c r="T49" s="2">
        <v>29</v>
      </c>
      <c r="U49" s="2">
        <v>28.4</v>
      </c>
      <c r="V49" s="5">
        <f t="shared" si="5"/>
        <v>30.566666666666666</v>
      </c>
      <c r="W49" s="4">
        <f t="shared" si="6"/>
        <v>0.52372982471206408</v>
      </c>
      <c r="X49" s="2">
        <f t="shared" si="7"/>
        <v>28.4</v>
      </c>
      <c r="Y49" s="3">
        <f t="shared" si="8"/>
        <v>29.225000000000001</v>
      </c>
      <c r="Z49" s="2">
        <f t="shared" si="9"/>
        <v>29.85</v>
      </c>
      <c r="AH49" s="3"/>
    </row>
    <row r="50" spans="1:34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13.151</v>
      </c>
      <c r="J50" s="2">
        <v>29.2</v>
      </c>
      <c r="K50" s="2">
        <v>30.1</v>
      </c>
      <c r="L50" s="2">
        <v>32.700000000000003</v>
      </c>
      <c r="M50" s="2">
        <v>30.3</v>
      </c>
      <c r="N50" s="2">
        <v>31.4</v>
      </c>
      <c r="O50" s="2">
        <v>33.200000000000003</v>
      </c>
      <c r="P50" s="2">
        <v>31.1</v>
      </c>
      <c r="Q50" s="2">
        <v>30.4</v>
      </c>
      <c r="R50" s="2">
        <v>29.3</v>
      </c>
      <c r="S50" s="2">
        <v>29.4</v>
      </c>
      <c r="T50" s="2">
        <v>29.1</v>
      </c>
      <c r="U50" s="2">
        <v>30.7</v>
      </c>
      <c r="V50" s="5">
        <f t="shared" si="5"/>
        <v>30.574999999999999</v>
      </c>
      <c r="W50" s="4">
        <f t="shared" si="6"/>
        <v>0.38712714221870886</v>
      </c>
      <c r="X50" s="2">
        <f t="shared" si="7"/>
        <v>29.1</v>
      </c>
      <c r="Y50" s="3">
        <f t="shared" si="8"/>
        <v>29.375</v>
      </c>
      <c r="Z50" s="2">
        <f t="shared" si="9"/>
        <v>30.35</v>
      </c>
      <c r="AH50" s="2"/>
    </row>
    <row r="51" spans="1:34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13.135</v>
      </c>
      <c r="J51" s="2">
        <v>28</v>
      </c>
      <c r="K51" s="2">
        <v>30.3</v>
      </c>
      <c r="L51" s="2">
        <v>29.3</v>
      </c>
      <c r="M51" s="2">
        <v>28.4</v>
      </c>
      <c r="N51" s="2">
        <v>29.1</v>
      </c>
      <c r="O51" s="2">
        <v>28.6</v>
      </c>
      <c r="P51" s="2">
        <v>30.4</v>
      </c>
      <c r="Q51" s="2">
        <v>30.2</v>
      </c>
      <c r="R51" s="2">
        <v>30.7</v>
      </c>
      <c r="S51" s="2">
        <v>30.1</v>
      </c>
      <c r="T51" s="2">
        <v>31.9</v>
      </c>
      <c r="U51" s="2">
        <v>30.5</v>
      </c>
      <c r="V51" s="5">
        <f t="shared" si="5"/>
        <v>29.791666666666668</v>
      </c>
      <c r="W51" s="4">
        <f t="shared" si="6"/>
        <v>0.32507769079176285</v>
      </c>
      <c r="X51" s="2">
        <f t="shared" si="7"/>
        <v>28</v>
      </c>
      <c r="Y51" s="3">
        <f t="shared" si="8"/>
        <v>28.975000000000001</v>
      </c>
      <c r="Z51" s="2">
        <f t="shared" si="9"/>
        <v>30.15</v>
      </c>
      <c r="AH51" s="3"/>
    </row>
    <row r="52" spans="1:34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13.12</v>
      </c>
      <c r="J52" s="2">
        <v>28.1</v>
      </c>
      <c r="K52" s="2">
        <v>28.7</v>
      </c>
      <c r="L52" s="2">
        <v>33.799999999999997</v>
      </c>
      <c r="M52" s="2">
        <v>32.9</v>
      </c>
      <c r="N52" s="2">
        <v>30.9</v>
      </c>
      <c r="O52" s="2">
        <v>30.4</v>
      </c>
      <c r="P52" s="2">
        <v>32.299999999999997</v>
      </c>
      <c r="Q52" s="2">
        <v>27.7</v>
      </c>
      <c r="R52" s="2">
        <v>30.4</v>
      </c>
      <c r="S52" s="2">
        <v>27.7</v>
      </c>
      <c r="T52" s="2">
        <v>28.2</v>
      </c>
      <c r="U52" s="2">
        <v>28.3</v>
      </c>
      <c r="V52" s="5">
        <f t="shared" si="5"/>
        <v>29.95</v>
      </c>
      <c r="W52" s="4">
        <f t="shared" si="6"/>
        <v>0.62310318227206607</v>
      </c>
      <c r="X52" s="2">
        <f t="shared" si="7"/>
        <v>27.7</v>
      </c>
      <c r="Y52" s="3">
        <f t="shared" si="8"/>
        <v>28.175000000000001</v>
      </c>
      <c r="Z52" s="2">
        <f t="shared" si="9"/>
        <v>29.549999999999997</v>
      </c>
      <c r="AH52" s="2"/>
    </row>
    <row r="53" spans="1:34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13.103999999999999</v>
      </c>
      <c r="J53" s="2">
        <v>29</v>
      </c>
      <c r="K53" s="2">
        <v>30.7</v>
      </c>
      <c r="L53" s="2">
        <v>32.1</v>
      </c>
      <c r="M53" s="2">
        <v>29.3</v>
      </c>
      <c r="N53" s="2">
        <v>30.4</v>
      </c>
      <c r="O53" s="2">
        <v>28</v>
      </c>
      <c r="P53" s="2">
        <v>30.7</v>
      </c>
      <c r="Q53" s="2">
        <v>28.7</v>
      </c>
      <c r="R53" s="2">
        <v>33.299999999999997</v>
      </c>
      <c r="S53" s="2">
        <v>33.9</v>
      </c>
      <c r="T53" s="2">
        <v>28.9</v>
      </c>
      <c r="U53" s="2">
        <v>32.200000000000003</v>
      </c>
      <c r="V53" s="5">
        <f t="shared" si="5"/>
        <v>30.599999999999994</v>
      </c>
      <c r="W53" s="4">
        <f t="shared" si="6"/>
        <v>0.55432186252458715</v>
      </c>
      <c r="X53" s="2">
        <f t="shared" si="7"/>
        <v>28</v>
      </c>
      <c r="Y53" s="3">
        <f t="shared" si="8"/>
        <v>28.975000000000001</v>
      </c>
      <c r="Z53" s="2">
        <f t="shared" si="9"/>
        <v>30.549999999999997</v>
      </c>
      <c r="AH53" s="3"/>
    </row>
    <row r="54" spans="1:34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13.087</v>
      </c>
      <c r="J54" s="2">
        <v>32.700000000000003</v>
      </c>
      <c r="K54" s="2">
        <v>29.8</v>
      </c>
      <c r="L54" s="2">
        <v>29.3</v>
      </c>
      <c r="M54" s="2">
        <v>29.3</v>
      </c>
      <c r="N54" s="2">
        <v>28.2</v>
      </c>
      <c r="O54" s="2">
        <v>36.700000000000003</v>
      </c>
      <c r="P54" s="2">
        <v>29.1</v>
      </c>
      <c r="Q54" s="2">
        <v>30.3</v>
      </c>
      <c r="R54" s="2">
        <v>30</v>
      </c>
      <c r="S54" s="2">
        <v>28.4</v>
      </c>
      <c r="T54" s="2">
        <v>30.6</v>
      </c>
      <c r="U54" s="2">
        <v>28.3</v>
      </c>
      <c r="V54" s="5">
        <f t="shared" si="5"/>
        <v>30.224999999999998</v>
      </c>
      <c r="W54" s="4">
        <f t="shared" si="6"/>
        <v>0.68833626824526584</v>
      </c>
      <c r="X54" s="2">
        <f t="shared" si="7"/>
        <v>28.2</v>
      </c>
      <c r="Y54" s="3">
        <f t="shared" si="8"/>
        <v>28.925000000000001</v>
      </c>
      <c r="Z54" s="2">
        <f t="shared" si="9"/>
        <v>29.55</v>
      </c>
      <c r="AH54" s="2"/>
    </row>
    <row r="55" spans="1:34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13.07</v>
      </c>
      <c r="J55" s="2">
        <v>28.3</v>
      </c>
      <c r="K55" s="2">
        <v>30.6</v>
      </c>
      <c r="L55" s="2">
        <v>34.799999999999997</v>
      </c>
      <c r="M55" s="2">
        <v>29.9</v>
      </c>
      <c r="N55" s="2">
        <v>29.9</v>
      </c>
      <c r="O55" s="2">
        <v>30.5</v>
      </c>
      <c r="P55" s="2">
        <v>30</v>
      </c>
      <c r="Q55" s="2">
        <v>29.1</v>
      </c>
      <c r="R55" s="2">
        <v>34.1</v>
      </c>
      <c r="S55" s="2">
        <v>29.8</v>
      </c>
      <c r="T55" s="2">
        <v>30.2</v>
      </c>
      <c r="U55" s="2">
        <v>30.6</v>
      </c>
      <c r="V55" s="5">
        <f t="shared" si="5"/>
        <v>30.650000000000002</v>
      </c>
      <c r="W55" s="4">
        <f t="shared" si="6"/>
        <v>0.54737666384420514</v>
      </c>
      <c r="X55" s="2">
        <f t="shared" si="7"/>
        <v>28.3</v>
      </c>
      <c r="Y55" s="3">
        <f t="shared" si="8"/>
        <v>29.875</v>
      </c>
      <c r="Z55" s="2">
        <f t="shared" si="9"/>
        <v>30.1</v>
      </c>
      <c r="AH55" s="3"/>
    </row>
    <row r="56" spans="1:34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13.205</v>
      </c>
      <c r="J56" s="2">
        <v>31.1</v>
      </c>
      <c r="K56" s="2">
        <v>35.200000000000003</v>
      </c>
      <c r="L56" s="2">
        <v>32.200000000000003</v>
      </c>
      <c r="M56" s="2">
        <v>29.5</v>
      </c>
      <c r="N56" s="2">
        <v>31.7</v>
      </c>
      <c r="O56" s="2">
        <v>33.1</v>
      </c>
      <c r="P56" s="2">
        <v>29.4</v>
      </c>
      <c r="Q56" s="2">
        <v>29.4</v>
      </c>
      <c r="R56" s="2">
        <v>32.799999999999997</v>
      </c>
      <c r="S56" s="2">
        <v>29.5</v>
      </c>
      <c r="T56" s="2">
        <v>31.3</v>
      </c>
      <c r="U56" s="2">
        <v>29.5</v>
      </c>
      <c r="V56" s="5">
        <f t="shared" si="5"/>
        <v>31.224999999999998</v>
      </c>
      <c r="W56" s="4">
        <f t="shared" si="6"/>
        <v>0.54064005277695337</v>
      </c>
      <c r="X56" s="2">
        <f t="shared" si="7"/>
        <v>29.4</v>
      </c>
      <c r="Y56" s="3">
        <f t="shared" si="8"/>
        <v>29.5</v>
      </c>
      <c r="Z56" s="2">
        <f t="shared" si="9"/>
        <v>31.200000000000003</v>
      </c>
      <c r="AH56" s="2"/>
    </row>
    <row r="57" spans="1:34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13.22</v>
      </c>
      <c r="J57" s="2">
        <v>32.799999999999997</v>
      </c>
      <c r="K57" s="2">
        <v>30.3</v>
      </c>
      <c r="L57" s="2">
        <v>31.6</v>
      </c>
      <c r="M57" s="2">
        <v>30.1</v>
      </c>
      <c r="N57" s="2">
        <v>32</v>
      </c>
      <c r="O57" s="2">
        <v>34.6</v>
      </c>
      <c r="P57" s="2">
        <v>37.700000000000003</v>
      </c>
      <c r="Q57" s="2">
        <v>32.5</v>
      </c>
      <c r="R57" s="2">
        <v>33</v>
      </c>
      <c r="S57" s="2">
        <v>31.3</v>
      </c>
      <c r="T57" s="2">
        <v>33.799999999999997</v>
      </c>
      <c r="U57" s="2">
        <v>30</v>
      </c>
      <c r="V57" s="5">
        <f t="shared" si="5"/>
        <v>32.475000000000001</v>
      </c>
      <c r="W57" s="4">
        <f t="shared" si="6"/>
        <v>0.63259027383090127</v>
      </c>
      <c r="X57" s="2">
        <f t="shared" si="7"/>
        <v>30</v>
      </c>
      <c r="Y57" s="3">
        <f t="shared" si="8"/>
        <v>31.05</v>
      </c>
      <c r="Z57" s="2">
        <f t="shared" si="9"/>
        <v>32.25</v>
      </c>
      <c r="AH57" s="3"/>
    </row>
    <row r="58" spans="1:34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13.234999999999999</v>
      </c>
      <c r="J58" s="2">
        <v>34.6</v>
      </c>
      <c r="K58" s="2">
        <v>32.5</v>
      </c>
      <c r="L58" s="2">
        <v>33</v>
      </c>
      <c r="M58" s="2">
        <v>30.4</v>
      </c>
      <c r="N58" s="2">
        <v>31.2</v>
      </c>
      <c r="O58" s="2">
        <v>30.4</v>
      </c>
      <c r="P58" s="2">
        <v>31.6</v>
      </c>
      <c r="Q58" s="2">
        <v>29.6</v>
      </c>
      <c r="R58" s="2">
        <v>32.299999999999997</v>
      </c>
      <c r="S58" s="2">
        <v>31</v>
      </c>
      <c r="T58" s="2">
        <v>31.1</v>
      </c>
      <c r="U58" s="2">
        <v>28.5</v>
      </c>
      <c r="V58" s="5">
        <f t="shared" si="5"/>
        <v>31.349999999999998</v>
      </c>
      <c r="W58" s="4">
        <f t="shared" si="6"/>
        <v>0.46685602218943856</v>
      </c>
      <c r="X58" s="2">
        <f t="shared" si="7"/>
        <v>28.5</v>
      </c>
      <c r="Y58" s="3">
        <f t="shared" si="8"/>
        <v>30.4</v>
      </c>
      <c r="Z58" s="2">
        <f t="shared" si="9"/>
        <v>31.15</v>
      </c>
      <c r="AH58" s="2"/>
    </row>
    <row r="59" spans="1:34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13.25</v>
      </c>
      <c r="J59" s="2">
        <v>30.4</v>
      </c>
      <c r="K59" s="2">
        <v>32.1</v>
      </c>
      <c r="L59" s="2">
        <v>33.299999999999997</v>
      </c>
      <c r="M59" s="2">
        <v>28.3</v>
      </c>
      <c r="N59" s="2">
        <v>30.7</v>
      </c>
      <c r="O59" s="2">
        <v>30.6</v>
      </c>
      <c r="P59" s="2">
        <v>30.6</v>
      </c>
      <c r="Q59" s="2">
        <v>29.5</v>
      </c>
      <c r="R59" s="2">
        <v>29.3</v>
      </c>
      <c r="S59" s="2">
        <v>31</v>
      </c>
      <c r="T59" s="2">
        <v>29.7</v>
      </c>
      <c r="U59" s="2">
        <v>30.5</v>
      </c>
      <c r="V59" s="5">
        <f t="shared" si="5"/>
        <v>30.499999999999996</v>
      </c>
      <c r="W59" s="4">
        <f t="shared" si="6"/>
        <v>0.37578201289061336</v>
      </c>
      <c r="X59" s="2">
        <f t="shared" si="7"/>
        <v>28.3</v>
      </c>
      <c r="Y59" s="3">
        <f t="shared" si="8"/>
        <v>29.65</v>
      </c>
      <c r="Z59" s="2">
        <f t="shared" si="9"/>
        <v>30.55</v>
      </c>
      <c r="AH59" s="3"/>
    </row>
    <row r="60" spans="1:34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13.265000000000001</v>
      </c>
      <c r="J60" s="2">
        <v>35.4</v>
      </c>
      <c r="K60" s="2">
        <v>32.4</v>
      </c>
      <c r="L60" s="2">
        <v>31.8</v>
      </c>
      <c r="M60" s="2">
        <v>31.6</v>
      </c>
      <c r="N60" s="2">
        <v>30.4</v>
      </c>
      <c r="O60" s="2">
        <v>31.7</v>
      </c>
      <c r="P60" s="2">
        <v>29.6</v>
      </c>
      <c r="Q60" s="2">
        <v>34.200000000000003</v>
      </c>
      <c r="R60" s="2">
        <v>31.5</v>
      </c>
      <c r="S60" s="2">
        <v>32.5</v>
      </c>
      <c r="T60" s="2">
        <v>32.299999999999997</v>
      </c>
      <c r="U60" s="2">
        <v>30.7</v>
      </c>
      <c r="V60" s="5">
        <f t="shared" si="5"/>
        <v>32.008333333333333</v>
      </c>
      <c r="W60" s="4">
        <f t="shared" si="6"/>
        <v>0.45601341243787158</v>
      </c>
      <c r="X60" s="2">
        <f t="shared" si="7"/>
        <v>29.6</v>
      </c>
      <c r="Y60" s="3">
        <f t="shared" si="8"/>
        <v>31.3</v>
      </c>
      <c r="Z60" s="2">
        <f t="shared" si="9"/>
        <v>31.75</v>
      </c>
      <c r="AH60" s="2"/>
    </row>
    <row r="61" spans="1:34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13.28</v>
      </c>
      <c r="J61" s="2">
        <v>30.7</v>
      </c>
      <c r="K61" s="2">
        <v>35</v>
      </c>
      <c r="L61" s="2">
        <v>31</v>
      </c>
      <c r="M61" s="2">
        <v>29</v>
      </c>
      <c r="N61" s="2">
        <v>30.7</v>
      </c>
      <c r="O61" s="2">
        <v>32.1</v>
      </c>
      <c r="P61" s="2">
        <v>32.799999999999997</v>
      </c>
      <c r="Q61" s="2">
        <v>29.9</v>
      </c>
      <c r="R61" s="2">
        <v>33.299999999999997</v>
      </c>
      <c r="S61" s="2">
        <v>35.6</v>
      </c>
      <c r="T61" s="2">
        <v>31.9</v>
      </c>
      <c r="U61" s="2">
        <v>29.6</v>
      </c>
      <c r="V61" s="5">
        <f t="shared" si="5"/>
        <v>31.8</v>
      </c>
      <c r="W61" s="4">
        <f t="shared" si="6"/>
        <v>0.59911550968022342</v>
      </c>
      <c r="X61" s="2">
        <f t="shared" si="7"/>
        <v>29</v>
      </c>
      <c r="Y61" s="3">
        <f t="shared" si="8"/>
        <v>30.5</v>
      </c>
      <c r="Z61" s="2">
        <f t="shared" si="9"/>
        <v>31.45</v>
      </c>
      <c r="AH61" s="3"/>
    </row>
    <row r="62" spans="1:34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13.295</v>
      </c>
      <c r="J62" s="2">
        <v>31.1</v>
      </c>
      <c r="K62" s="2">
        <v>30.4</v>
      </c>
      <c r="L62" s="2">
        <v>29.9</v>
      </c>
      <c r="M62" s="2">
        <v>29.5</v>
      </c>
      <c r="N62" s="2">
        <v>30.2</v>
      </c>
      <c r="O62" s="2">
        <v>29.7</v>
      </c>
      <c r="P62" s="2">
        <v>32.1</v>
      </c>
      <c r="Q62" s="2">
        <v>30.6</v>
      </c>
      <c r="R62" s="2">
        <v>30.6</v>
      </c>
      <c r="S62" s="2">
        <v>28.6</v>
      </c>
      <c r="T62" s="2">
        <v>30.4</v>
      </c>
      <c r="U62" s="2">
        <v>32.4</v>
      </c>
      <c r="V62" s="5">
        <f t="shared" si="5"/>
        <v>30.458333333333329</v>
      </c>
      <c r="W62" s="4">
        <f t="shared" si="6"/>
        <v>0.30462553598100928</v>
      </c>
      <c r="X62" s="2">
        <f t="shared" si="7"/>
        <v>28.6</v>
      </c>
      <c r="Y62" s="3">
        <f t="shared" si="8"/>
        <v>29.849999999999998</v>
      </c>
      <c r="Z62" s="2">
        <f t="shared" si="9"/>
        <v>30.4</v>
      </c>
      <c r="AH62" s="2"/>
    </row>
    <row r="63" spans="1:34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13.311</v>
      </c>
      <c r="J63" s="2">
        <v>30.1</v>
      </c>
      <c r="K63" s="2">
        <v>29.1</v>
      </c>
      <c r="L63" s="2">
        <v>30.1</v>
      </c>
      <c r="M63" s="2">
        <v>30.5</v>
      </c>
      <c r="N63" s="2">
        <v>29.1</v>
      </c>
      <c r="O63" s="2">
        <v>31.4</v>
      </c>
      <c r="P63" s="2">
        <v>34</v>
      </c>
      <c r="Q63" s="2">
        <v>41</v>
      </c>
      <c r="R63" s="2">
        <v>34.6</v>
      </c>
      <c r="S63" s="2">
        <v>30.1</v>
      </c>
      <c r="T63" s="2">
        <v>31.4</v>
      </c>
      <c r="U63" s="2">
        <v>30.2</v>
      </c>
      <c r="V63" s="5">
        <f t="shared" si="5"/>
        <v>31.8</v>
      </c>
      <c r="W63" s="4">
        <f t="shared" si="6"/>
        <v>0.97366847696240266</v>
      </c>
      <c r="X63" s="2">
        <f t="shared" si="7"/>
        <v>29.1</v>
      </c>
      <c r="Y63" s="3">
        <f t="shared" si="8"/>
        <v>30.1</v>
      </c>
      <c r="Z63" s="2">
        <f t="shared" si="9"/>
        <v>30.35</v>
      </c>
      <c r="AH63" s="3"/>
    </row>
    <row r="64" spans="1:34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13.436999999999999</v>
      </c>
      <c r="J64" s="2">
        <v>29.7</v>
      </c>
      <c r="K64" s="2">
        <v>29.7</v>
      </c>
      <c r="L64" s="2">
        <v>33.6</v>
      </c>
      <c r="M64" s="2">
        <v>28</v>
      </c>
      <c r="N64" s="2">
        <v>29.1</v>
      </c>
      <c r="O64" s="2">
        <v>29.9</v>
      </c>
      <c r="P64" s="2">
        <v>29.3</v>
      </c>
      <c r="Q64" s="2">
        <v>28.6</v>
      </c>
      <c r="R64" s="2">
        <v>30.1</v>
      </c>
      <c r="S64" s="2">
        <v>29.9</v>
      </c>
      <c r="T64" s="2">
        <v>29.2</v>
      </c>
      <c r="U64" s="2">
        <v>29.9</v>
      </c>
      <c r="V64" s="5">
        <f t="shared" si="5"/>
        <v>29.749999999999996</v>
      </c>
      <c r="W64" s="4">
        <f t="shared" si="6"/>
        <v>0.39244764175001939</v>
      </c>
      <c r="X64" s="2">
        <f t="shared" si="7"/>
        <v>28</v>
      </c>
      <c r="Y64" s="3">
        <f t="shared" si="8"/>
        <v>29.175000000000001</v>
      </c>
      <c r="Z64" s="2">
        <f t="shared" si="9"/>
        <v>29.7</v>
      </c>
      <c r="AH64" s="2"/>
    </row>
    <row r="65" spans="1:34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13.451000000000001</v>
      </c>
      <c r="J65" s="2">
        <v>30.1</v>
      </c>
      <c r="K65" s="2">
        <v>30.1</v>
      </c>
      <c r="L65" s="2">
        <v>31.2</v>
      </c>
      <c r="M65" s="2">
        <v>31.9</v>
      </c>
      <c r="N65" s="2">
        <v>31.7</v>
      </c>
      <c r="O65" s="2">
        <v>29.7</v>
      </c>
      <c r="P65" s="2">
        <v>29.4</v>
      </c>
      <c r="Q65" s="2">
        <v>32.6</v>
      </c>
      <c r="R65" s="2">
        <v>32.5</v>
      </c>
      <c r="S65" s="2">
        <v>29.9</v>
      </c>
      <c r="T65" s="2">
        <v>28.8</v>
      </c>
      <c r="U65" s="2">
        <v>30.7</v>
      </c>
      <c r="V65" s="5">
        <f t="shared" si="5"/>
        <v>30.716666666666665</v>
      </c>
      <c r="W65" s="4">
        <f t="shared" si="6"/>
        <v>0.36094013046179529</v>
      </c>
      <c r="X65" s="2">
        <f t="shared" si="7"/>
        <v>28.8</v>
      </c>
      <c r="Y65" s="3">
        <f t="shared" si="8"/>
        <v>29.849999999999998</v>
      </c>
      <c r="Z65" s="2">
        <f t="shared" si="9"/>
        <v>30.4</v>
      </c>
      <c r="AH65" s="3"/>
    </row>
    <row r="66" spans="1:34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13.465</v>
      </c>
      <c r="J66" s="2">
        <v>30.3</v>
      </c>
      <c r="K66" s="2">
        <v>33.200000000000003</v>
      </c>
      <c r="L66" s="2">
        <v>31.3</v>
      </c>
      <c r="M66" s="2">
        <v>29.9</v>
      </c>
      <c r="N66" s="2">
        <v>33.5</v>
      </c>
      <c r="O66" s="2">
        <v>33.799999999999997</v>
      </c>
      <c r="P66" s="2">
        <v>36.299999999999997</v>
      </c>
      <c r="Q66" s="2">
        <v>33.1</v>
      </c>
      <c r="R66" s="2">
        <v>30.7</v>
      </c>
      <c r="S66" s="2">
        <v>28.7</v>
      </c>
      <c r="T66" s="2">
        <v>30.5</v>
      </c>
      <c r="U66" s="2">
        <v>31.3</v>
      </c>
      <c r="V66" s="5">
        <f t="shared" si="5"/>
        <v>31.883333333333336</v>
      </c>
      <c r="W66" s="4">
        <f t="shared" si="6"/>
        <v>0.61284648002644837</v>
      </c>
      <c r="X66" s="2">
        <f t="shared" si="7"/>
        <v>28.7</v>
      </c>
      <c r="Y66" s="3">
        <f t="shared" si="8"/>
        <v>30.45</v>
      </c>
      <c r="Z66" s="2">
        <f t="shared" si="9"/>
        <v>31.3</v>
      </c>
      <c r="AH66" s="2"/>
    </row>
    <row r="67" spans="1:34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13.48</v>
      </c>
      <c r="J67" s="2">
        <v>29</v>
      </c>
      <c r="K67" s="2">
        <v>31.9</v>
      </c>
      <c r="L67" s="2">
        <v>30.4</v>
      </c>
      <c r="M67" s="2">
        <v>28.6</v>
      </c>
      <c r="N67" s="2">
        <v>32.700000000000003</v>
      </c>
      <c r="O67" s="2">
        <v>30.7</v>
      </c>
      <c r="P67" s="2">
        <v>36.200000000000003</v>
      </c>
      <c r="Q67" s="2">
        <v>32.200000000000003</v>
      </c>
      <c r="R67" s="2">
        <v>37.299999999999997</v>
      </c>
      <c r="S67" s="2">
        <v>30.7</v>
      </c>
      <c r="T67" s="2">
        <v>32.299999999999997</v>
      </c>
      <c r="U67" s="2">
        <v>32.299999999999997</v>
      </c>
      <c r="V67" s="5">
        <f t="shared" si="5"/>
        <v>32.024999999999999</v>
      </c>
      <c r="W67" s="4">
        <f t="shared" si="6"/>
        <v>0.74336713471184412</v>
      </c>
      <c r="X67" s="2">
        <f t="shared" si="7"/>
        <v>28.6</v>
      </c>
      <c r="Y67" s="3">
        <f t="shared" si="8"/>
        <v>30.625</v>
      </c>
      <c r="Z67" s="2">
        <f t="shared" si="9"/>
        <v>32.049999999999997</v>
      </c>
      <c r="AH67" s="3"/>
    </row>
    <row r="68" spans="1:34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13.496</v>
      </c>
      <c r="J68" s="2">
        <v>32.1</v>
      </c>
      <c r="K68" s="2">
        <v>30.1</v>
      </c>
      <c r="L68" s="2">
        <v>31.9</v>
      </c>
      <c r="M68" s="2">
        <v>30.9</v>
      </c>
      <c r="N68" s="2">
        <v>34.1</v>
      </c>
      <c r="O68" s="2">
        <v>33.200000000000003</v>
      </c>
      <c r="P68" s="2">
        <v>32.700000000000003</v>
      </c>
      <c r="Q68" s="2">
        <v>30.1</v>
      </c>
      <c r="R68" s="2">
        <v>29.8</v>
      </c>
      <c r="S68" s="2">
        <v>28.8</v>
      </c>
      <c r="T68" s="2">
        <v>30.6</v>
      </c>
      <c r="U68" s="2">
        <v>30.4</v>
      </c>
      <c r="V68" s="5">
        <f t="shared" si="5"/>
        <v>31.224999999999998</v>
      </c>
      <c r="W68" s="4">
        <f t="shared" si="6"/>
        <v>0.4537929376962917</v>
      </c>
      <c r="X68" s="2">
        <f t="shared" si="7"/>
        <v>28.8</v>
      </c>
      <c r="Y68" s="3">
        <f t="shared" si="8"/>
        <v>30.1</v>
      </c>
      <c r="Z68" s="2">
        <f t="shared" si="9"/>
        <v>30.75</v>
      </c>
      <c r="AH68" s="2"/>
    </row>
    <row r="69" spans="1:34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13.51</v>
      </c>
      <c r="J69" s="2">
        <v>30.1</v>
      </c>
      <c r="K69" s="2">
        <v>30.7</v>
      </c>
      <c r="L69" s="2">
        <v>29.8</v>
      </c>
      <c r="M69" s="2">
        <v>28.3</v>
      </c>
      <c r="N69" s="2">
        <v>29.7</v>
      </c>
      <c r="O69" s="2">
        <v>29</v>
      </c>
      <c r="P69" s="2">
        <v>29.8</v>
      </c>
      <c r="Q69" s="2">
        <v>28.6</v>
      </c>
      <c r="R69" s="2">
        <v>28.8</v>
      </c>
      <c r="S69" s="2">
        <v>28.4</v>
      </c>
      <c r="T69" s="2">
        <v>29.7</v>
      </c>
      <c r="U69" s="2">
        <v>29.5</v>
      </c>
      <c r="V69" s="5">
        <f t="shared" si="5"/>
        <v>29.366666666666664</v>
      </c>
      <c r="W69" s="4">
        <f t="shared" si="6"/>
        <v>0.21402822432586038</v>
      </c>
      <c r="X69" s="2">
        <f t="shared" si="7"/>
        <v>28.3</v>
      </c>
      <c r="Y69" s="3">
        <f t="shared" si="8"/>
        <v>28.75</v>
      </c>
      <c r="Z69" s="2">
        <f t="shared" si="9"/>
        <v>29.6</v>
      </c>
      <c r="AH69" s="3"/>
    </row>
    <row r="70" spans="1:34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13.525</v>
      </c>
      <c r="J70" s="2">
        <v>28.2</v>
      </c>
      <c r="K70" s="2">
        <v>29</v>
      </c>
      <c r="L70" s="2">
        <v>29.8</v>
      </c>
      <c r="M70" s="2">
        <v>28.9</v>
      </c>
      <c r="N70" s="2">
        <v>29</v>
      </c>
      <c r="O70" s="2">
        <v>30.3</v>
      </c>
      <c r="P70" s="2">
        <v>32.4</v>
      </c>
      <c r="Q70" s="2">
        <v>30.2</v>
      </c>
      <c r="R70" s="2">
        <v>34.200000000000003</v>
      </c>
      <c r="S70" s="2">
        <v>29.2</v>
      </c>
      <c r="T70" s="2">
        <v>28.6</v>
      </c>
      <c r="U70" s="2">
        <v>31.2</v>
      </c>
      <c r="V70" s="5">
        <f t="shared" si="5"/>
        <v>30.083333333333332</v>
      </c>
      <c r="W70" s="4">
        <f t="shared" si="6"/>
        <v>0.50734504028224225</v>
      </c>
      <c r="X70" s="2">
        <f t="shared" si="7"/>
        <v>28.2</v>
      </c>
      <c r="Y70" s="3">
        <f t="shared" si="8"/>
        <v>28.975000000000001</v>
      </c>
      <c r="Z70" s="2">
        <f t="shared" si="9"/>
        <v>29.5</v>
      </c>
      <c r="AH70" s="2"/>
    </row>
    <row r="71" spans="1:34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13.54</v>
      </c>
      <c r="J71" s="2">
        <v>28.4</v>
      </c>
      <c r="K71" s="2">
        <v>28.8</v>
      </c>
      <c r="L71" s="2">
        <v>29.2</v>
      </c>
      <c r="M71" s="2">
        <v>32.9</v>
      </c>
      <c r="N71" s="2">
        <v>28.3</v>
      </c>
      <c r="O71" s="2">
        <v>30.3</v>
      </c>
      <c r="P71" s="2">
        <v>29.9</v>
      </c>
      <c r="Q71" s="2">
        <v>32.700000000000003</v>
      </c>
      <c r="R71" s="2">
        <v>30.5</v>
      </c>
      <c r="S71" s="2">
        <v>28.6</v>
      </c>
      <c r="T71" s="2">
        <v>30.3</v>
      </c>
      <c r="U71" s="2">
        <v>31.7</v>
      </c>
      <c r="V71" s="5">
        <f t="shared" si="5"/>
        <v>30.13333333333334</v>
      </c>
      <c r="W71" s="4">
        <f t="shared" si="6"/>
        <v>0.46308146631499353</v>
      </c>
      <c r="X71" s="2">
        <f t="shared" si="7"/>
        <v>28.3</v>
      </c>
      <c r="Y71" s="3">
        <f t="shared" si="8"/>
        <v>28.75</v>
      </c>
      <c r="Z71" s="2">
        <f t="shared" si="9"/>
        <v>30.1</v>
      </c>
      <c r="AH71" s="3"/>
    </row>
    <row r="72" spans="1:34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13.643000000000001</v>
      </c>
      <c r="J72" s="2">
        <v>29.3</v>
      </c>
      <c r="K72" s="2">
        <v>30.3</v>
      </c>
      <c r="L72" s="2">
        <v>31.6</v>
      </c>
      <c r="M72" s="2">
        <v>30.7</v>
      </c>
      <c r="N72" s="2">
        <v>31.7</v>
      </c>
      <c r="O72" s="2">
        <v>35.299999999999997</v>
      </c>
      <c r="P72" s="2">
        <v>31.8</v>
      </c>
      <c r="Q72" s="2">
        <v>28</v>
      </c>
      <c r="R72" s="2">
        <v>30.5</v>
      </c>
      <c r="S72" s="2">
        <v>36</v>
      </c>
      <c r="T72" s="2">
        <v>30.8</v>
      </c>
      <c r="U72" s="2">
        <v>29.5</v>
      </c>
      <c r="V72" s="5">
        <f t="shared" si="5"/>
        <v>31.291666666666668</v>
      </c>
      <c r="W72" s="4">
        <f t="shared" si="6"/>
        <v>0.66838320678418528</v>
      </c>
      <c r="X72" s="2">
        <f t="shared" si="7"/>
        <v>28</v>
      </c>
      <c r="Y72" s="3">
        <f t="shared" si="8"/>
        <v>30.1</v>
      </c>
      <c r="Z72" s="2">
        <f t="shared" si="9"/>
        <v>30.75</v>
      </c>
      <c r="AH72" s="2"/>
    </row>
    <row r="73" spans="1:34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13.628</v>
      </c>
      <c r="J73" s="2">
        <v>29.8</v>
      </c>
      <c r="K73" s="2">
        <v>29.2</v>
      </c>
      <c r="L73" s="2">
        <v>34.1</v>
      </c>
      <c r="M73" s="2">
        <v>28.5</v>
      </c>
      <c r="N73" s="2">
        <v>30.6</v>
      </c>
      <c r="O73" s="2">
        <v>29</v>
      </c>
      <c r="P73" s="2">
        <v>31.8</v>
      </c>
      <c r="Q73" s="2">
        <v>28.1</v>
      </c>
      <c r="R73" s="2">
        <v>30.8</v>
      </c>
      <c r="S73" s="2">
        <v>28.9</v>
      </c>
      <c r="T73" s="2">
        <v>30.6</v>
      </c>
      <c r="U73" s="2">
        <v>28</v>
      </c>
      <c r="V73" s="5">
        <f t="shared" si="5"/>
        <v>29.95</v>
      </c>
      <c r="W73" s="4">
        <f t="shared" si="6"/>
        <v>0.50848855056982967</v>
      </c>
      <c r="X73" s="2">
        <f t="shared" si="7"/>
        <v>28</v>
      </c>
      <c r="Y73" s="3">
        <f t="shared" si="8"/>
        <v>28.799999999999997</v>
      </c>
      <c r="Z73" s="2">
        <f t="shared" si="9"/>
        <v>29.5</v>
      </c>
      <c r="AH73" s="3"/>
    </row>
    <row r="74" spans="1:34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13.614000000000001</v>
      </c>
      <c r="J74" s="2">
        <v>28.3</v>
      </c>
      <c r="K74" s="2">
        <v>29.3</v>
      </c>
      <c r="L74" s="2">
        <v>31</v>
      </c>
      <c r="M74" s="2">
        <v>29.1</v>
      </c>
      <c r="N74" s="2">
        <v>29.1</v>
      </c>
      <c r="O74" s="2">
        <v>34.700000000000003</v>
      </c>
      <c r="P74" s="2">
        <v>30.6</v>
      </c>
      <c r="Q74" s="2">
        <v>31.9</v>
      </c>
      <c r="R74" s="2">
        <v>29.3</v>
      </c>
      <c r="S74" s="2">
        <v>29.1</v>
      </c>
      <c r="T74" s="2">
        <v>27.5</v>
      </c>
      <c r="U74" s="2">
        <v>30</v>
      </c>
      <c r="V74" s="5">
        <f t="shared" ref="V74:V81" si="10">AVERAGE(J74:U74)</f>
        <v>29.991666666666671</v>
      </c>
      <c r="W74" s="4">
        <f t="shared" ref="W74:W81" si="11">STDEV(J74:U74)/SQRT(COUNT(J74:U74))</f>
        <v>0.54778594765149324</v>
      </c>
      <c r="X74" s="2">
        <f t="shared" ref="X74:X81" si="12">MIN(J74:U74)</f>
        <v>27.5</v>
      </c>
      <c r="Y74" s="3">
        <f t="shared" ref="Y74:Y81" si="13">QUARTILE(J74:U74,1)</f>
        <v>29.1</v>
      </c>
      <c r="Z74" s="2">
        <f t="shared" ref="Z74:Z81" si="14">MEDIAN(J74:U74)</f>
        <v>29.3</v>
      </c>
      <c r="AH74" s="2"/>
    </row>
    <row r="75" spans="1:34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13.599</v>
      </c>
      <c r="J75" s="2">
        <v>29</v>
      </c>
      <c r="K75" s="2">
        <v>29.8</v>
      </c>
      <c r="L75" s="2">
        <v>28.4</v>
      </c>
      <c r="M75" s="2">
        <v>27.7</v>
      </c>
      <c r="N75" s="2">
        <v>29.6</v>
      </c>
      <c r="O75" s="2">
        <v>31.4</v>
      </c>
      <c r="P75" s="2">
        <v>32.5</v>
      </c>
      <c r="Q75" s="2">
        <v>31.8</v>
      </c>
      <c r="R75" s="2">
        <v>30.1</v>
      </c>
      <c r="S75" s="2">
        <v>28.5</v>
      </c>
      <c r="T75" s="2">
        <v>29.9</v>
      </c>
      <c r="U75" s="2">
        <v>32.5</v>
      </c>
      <c r="V75" s="5">
        <f t="shared" si="10"/>
        <v>30.099999999999998</v>
      </c>
      <c r="W75" s="4">
        <f t="shared" si="11"/>
        <v>0.46790960017870331</v>
      </c>
      <c r="X75" s="2">
        <f t="shared" si="12"/>
        <v>27.7</v>
      </c>
      <c r="Y75" s="3">
        <f t="shared" si="13"/>
        <v>28.875</v>
      </c>
      <c r="Z75" s="2">
        <f t="shared" si="14"/>
        <v>29.85</v>
      </c>
      <c r="AH75" s="3"/>
    </row>
    <row r="76" spans="1:34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13.584</v>
      </c>
      <c r="J76" s="2">
        <v>29.5</v>
      </c>
      <c r="K76" s="2">
        <v>29.5</v>
      </c>
      <c r="L76" s="2">
        <v>30.9</v>
      </c>
      <c r="M76" s="2">
        <v>28.7</v>
      </c>
      <c r="N76" s="2">
        <v>29.8</v>
      </c>
      <c r="O76" s="2">
        <v>31.9</v>
      </c>
      <c r="P76" s="2">
        <v>33.6</v>
      </c>
      <c r="Q76" s="2">
        <v>29.7</v>
      </c>
      <c r="R76" s="2">
        <v>34.1</v>
      </c>
      <c r="S76" s="2">
        <v>29.9</v>
      </c>
      <c r="T76" s="2">
        <v>31.6</v>
      </c>
      <c r="U76" s="2">
        <v>29.7</v>
      </c>
      <c r="V76" s="5">
        <f t="shared" si="10"/>
        <v>30.741666666666664</v>
      </c>
      <c r="W76" s="4">
        <f t="shared" si="11"/>
        <v>0.49672538802754113</v>
      </c>
      <c r="X76" s="2">
        <f t="shared" si="12"/>
        <v>28.7</v>
      </c>
      <c r="Y76" s="3">
        <f t="shared" si="13"/>
        <v>29.65</v>
      </c>
      <c r="Z76" s="2">
        <f t="shared" si="14"/>
        <v>29.85</v>
      </c>
    </row>
    <row r="77" spans="1:34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13.569000000000001</v>
      </c>
      <c r="J77" s="2">
        <v>29.6</v>
      </c>
      <c r="K77" s="2">
        <v>30.7</v>
      </c>
      <c r="L77" s="2">
        <v>28.2</v>
      </c>
      <c r="M77" s="2">
        <v>28.6</v>
      </c>
      <c r="N77" s="2">
        <v>28.1</v>
      </c>
      <c r="O77" s="2">
        <v>29.1</v>
      </c>
      <c r="P77" s="2">
        <v>32.5</v>
      </c>
      <c r="Q77" s="2">
        <v>29.8</v>
      </c>
      <c r="R77" s="2">
        <v>29.6</v>
      </c>
      <c r="S77" s="2">
        <v>30.8</v>
      </c>
      <c r="T77" s="2">
        <v>33</v>
      </c>
      <c r="U77" s="2">
        <v>30.3</v>
      </c>
      <c r="V77" s="5">
        <f t="shared" si="10"/>
        <v>30.025000000000002</v>
      </c>
      <c r="W77" s="4">
        <f t="shared" si="11"/>
        <v>0.44757342380549092</v>
      </c>
      <c r="X77" s="2">
        <f t="shared" si="12"/>
        <v>28.1</v>
      </c>
      <c r="Y77" s="3">
        <f t="shared" si="13"/>
        <v>28.975000000000001</v>
      </c>
      <c r="Z77" s="2">
        <f t="shared" si="14"/>
        <v>29.700000000000003</v>
      </c>
    </row>
    <row r="78" spans="1:34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13.404</v>
      </c>
      <c r="J78" s="2">
        <v>31.8</v>
      </c>
      <c r="K78" s="2">
        <v>31.8</v>
      </c>
      <c r="L78" s="2">
        <v>30.7</v>
      </c>
      <c r="M78" s="2">
        <v>30.8</v>
      </c>
      <c r="N78" s="2">
        <v>30.1</v>
      </c>
      <c r="O78" s="2">
        <v>29.5</v>
      </c>
      <c r="P78" s="2">
        <v>32.9</v>
      </c>
      <c r="Q78" s="2">
        <v>30.7</v>
      </c>
      <c r="R78" s="2">
        <v>29.9</v>
      </c>
      <c r="S78" s="2">
        <v>29.8</v>
      </c>
      <c r="T78" s="2">
        <v>30.7</v>
      </c>
      <c r="U78" s="2">
        <v>29.2</v>
      </c>
      <c r="V78" s="5">
        <f t="shared" si="10"/>
        <v>30.658333333333331</v>
      </c>
      <c r="W78" s="4">
        <f t="shared" si="11"/>
        <v>0.31078062352662195</v>
      </c>
      <c r="X78" s="2">
        <f t="shared" si="12"/>
        <v>29.2</v>
      </c>
      <c r="Y78" s="3">
        <f t="shared" si="13"/>
        <v>29.875</v>
      </c>
      <c r="Z78" s="2">
        <f t="shared" si="14"/>
        <v>30.7</v>
      </c>
    </row>
    <row r="79" spans="1:34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13.381</v>
      </c>
      <c r="J79" s="2">
        <v>29.4</v>
      </c>
      <c r="K79" s="2">
        <v>29.4</v>
      </c>
      <c r="L79" s="2">
        <v>28</v>
      </c>
      <c r="M79" s="2">
        <v>30</v>
      </c>
      <c r="N79" s="2">
        <v>31.6</v>
      </c>
      <c r="O79" s="2">
        <v>29.3</v>
      </c>
      <c r="P79" s="2">
        <v>32.200000000000003</v>
      </c>
      <c r="Q79" s="2">
        <v>31.1</v>
      </c>
      <c r="R79" s="2">
        <v>30.9</v>
      </c>
      <c r="S79" s="2">
        <v>28.6</v>
      </c>
      <c r="T79" s="2">
        <v>32.799999999999997</v>
      </c>
      <c r="U79" s="2">
        <v>33.9</v>
      </c>
      <c r="V79" s="5">
        <f t="shared" si="10"/>
        <v>30.600000000000005</v>
      </c>
      <c r="W79" s="4">
        <f t="shared" si="11"/>
        <v>0.5172772540676398</v>
      </c>
      <c r="X79" s="2">
        <f t="shared" si="12"/>
        <v>28</v>
      </c>
      <c r="Y79" s="3">
        <f t="shared" si="13"/>
        <v>29.375</v>
      </c>
      <c r="Z79" s="2">
        <f t="shared" si="14"/>
        <v>30.45</v>
      </c>
    </row>
    <row r="80" spans="1:34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13.356999999999999</v>
      </c>
      <c r="J80" s="2">
        <v>28.9</v>
      </c>
      <c r="K80" s="2">
        <v>33.4</v>
      </c>
      <c r="L80" s="2">
        <v>34.700000000000003</v>
      </c>
      <c r="M80" s="2">
        <v>30.3</v>
      </c>
      <c r="N80" s="2">
        <v>33.4</v>
      </c>
      <c r="O80" s="2">
        <v>30.4</v>
      </c>
      <c r="P80" s="2">
        <v>31.5</v>
      </c>
      <c r="Q80" s="2">
        <v>31.1</v>
      </c>
      <c r="R80" s="2">
        <v>29.9</v>
      </c>
      <c r="S80" s="2">
        <v>29</v>
      </c>
      <c r="T80" s="2">
        <v>29.6</v>
      </c>
      <c r="U80" s="2">
        <v>29.7</v>
      </c>
      <c r="V80" s="5">
        <f t="shared" si="10"/>
        <v>30.991666666666664</v>
      </c>
      <c r="W80" s="4">
        <f t="shared" si="11"/>
        <v>0.54764763241789827</v>
      </c>
      <c r="X80" s="2">
        <f t="shared" si="12"/>
        <v>28.9</v>
      </c>
      <c r="Y80" s="3">
        <f t="shared" si="13"/>
        <v>29.675000000000001</v>
      </c>
      <c r="Z80" s="2">
        <f t="shared" si="14"/>
        <v>30.35</v>
      </c>
    </row>
    <row r="81" spans="1:26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13.334</v>
      </c>
      <c r="J81" s="2">
        <v>28.6</v>
      </c>
      <c r="K81" s="2">
        <v>30.3</v>
      </c>
      <c r="L81" s="2">
        <v>30.2</v>
      </c>
      <c r="M81" s="2">
        <v>30.8</v>
      </c>
      <c r="N81" s="2">
        <v>30.4</v>
      </c>
      <c r="O81" s="2">
        <v>30.4</v>
      </c>
      <c r="P81" s="2">
        <v>30.8</v>
      </c>
      <c r="Q81" s="2">
        <v>34.4</v>
      </c>
      <c r="R81" s="2">
        <v>30.8</v>
      </c>
      <c r="S81" s="2">
        <v>31.7</v>
      </c>
      <c r="T81" s="2">
        <v>32.4</v>
      </c>
      <c r="U81" s="2">
        <v>29.4</v>
      </c>
      <c r="V81" s="5">
        <f t="shared" si="10"/>
        <v>30.849999999999998</v>
      </c>
      <c r="W81" s="4">
        <f t="shared" si="11"/>
        <v>0.42666785037714583</v>
      </c>
      <c r="X81" s="2">
        <f t="shared" si="12"/>
        <v>28.6</v>
      </c>
      <c r="Y81" s="3">
        <f t="shared" si="13"/>
        <v>30.274999999999999</v>
      </c>
      <c r="Z81" s="2">
        <f t="shared" si="14"/>
        <v>30.6</v>
      </c>
    </row>
  </sheetData>
  <pageMargins left="0.75" right="0.75" top="1" bottom="1" header="0.5" footer="0.5"/>
  <pageSetup orientation="portrait" verticalDpi="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9C0D-0609-449B-BAB6-0CD4FD65555F}">
  <dimension ref="A2:AM81"/>
  <sheetViews>
    <sheetView topLeftCell="A30" workbookViewId="0">
      <selection activeCell="V81" sqref="V81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0" width="9.140625" style="1"/>
    <col min="31" max="31" width="11.28515625" style="1" customWidth="1"/>
    <col min="32" max="34" width="18.28515625" style="1" customWidth="1"/>
    <col min="35" max="39" width="18.28515625" style="1" bestFit="1" customWidth="1"/>
    <col min="40" max="16384" width="9.140625" style="1"/>
  </cols>
  <sheetData>
    <row r="2" spans="1:39" x14ac:dyDescent="0.2">
      <c r="H2" s="32" t="s">
        <v>118</v>
      </c>
      <c r="I2" s="38"/>
    </row>
    <row r="3" spans="1:39" x14ac:dyDescent="0.2">
      <c r="H3" s="33" t="s">
        <v>117</v>
      </c>
      <c r="I3" s="32">
        <v>0</v>
      </c>
    </row>
    <row r="4" spans="1:39" x14ac:dyDescent="0.2">
      <c r="H4" s="33" t="s">
        <v>116</v>
      </c>
      <c r="I4" s="32">
        <v>1</v>
      </c>
      <c r="N4" s="37" t="s">
        <v>115</v>
      </c>
      <c r="O4" s="36">
        <v>37.200000000000003</v>
      </c>
    </row>
    <row r="5" spans="1:39" x14ac:dyDescent="0.2">
      <c r="H5" s="33" t="s">
        <v>114</v>
      </c>
      <c r="I5" s="32">
        <v>0</v>
      </c>
      <c r="N5" s="35" t="s">
        <v>113</v>
      </c>
      <c r="O5" s="34"/>
    </row>
    <row r="6" spans="1:39" x14ac:dyDescent="0.2">
      <c r="H6" s="33" t="s">
        <v>112</v>
      </c>
      <c r="I6" s="32">
        <v>0</v>
      </c>
    </row>
    <row r="7" spans="1:39" x14ac:dyDescent="0.2">
      <c r="H7" s="33" t="s">
        <v>111</v>
      </c>
      <c r="I7" s="32">
        <v>0</v>
      </c>
      <c r="AE7" s="31" t="s">
        <v>107</v>
      </c>
      <c r="AF7" s="30" t="s">
        <v>110</v>
      </c>
    </row>
    <row r="9" spans="1:39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89</v>
      </c>
      <c r="X9" s="26" t="s">
        <v>88</v>
      </c>
      <c r="Y9" s="26" t="s">
        <v>87</v>
      </c>
      <c r="Z9" s="26" t="s">
        <v>86</v>
      </c>
      <c r="AA9" s="26"/>
      <c r="AB9" s="26"/>
      <c r="AC9" s="26"/>
      <c r="AE9" s="25"/>
      <c r="AF9" s="25" t="s">
        <v>85</v>
      </c>
      <c r="AG9" s="25" t="s">
        <v>84</v>
      </c>
      <c r="AH9" s="25"/>
      <c r="AI9" s="25"/>
      <c r="AJ9" s="25"/>
      <c r="AK9" s="25"/>
      <c r="AL9" s="25"/>
      <c r="AM9" s="25"/>
    </row>
    <row r="10" spans="1:39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13.103999999999999</v>
      </c>
      <c r="J10" s="2">
        <v>58.7</v>
      </c>
      <c r="K10" s="2">
        <v>48.7</v>
      </c>
      <c r="L10" s="2">
        <v>59.3</v>
      </c>
      <c r="M10" s="2">
        <v>51.3</v>
      </c>
      <c r="N10" s="2">
        <v>57</v>
      </c>
      <c r="O10" s="2">
        <v>48.1</v>
      </c>
      <c r="P10" s="2">
        <v>56.2</v>
      </c>
      <c r="Q10" s="2">
        <v>57.3</v>
      </c>
      <c r="R10" s="2">
        <v>48.5</v>
      </c>
      <c r="S10" s="2">
        <v>51.4</v>
      </c>
      <c r="T10" s="2">
        <v>59.8</v>
      </c>
      <c r="U10" s="2">
        <v>48.7</v>
      </c>
      <c r="V10" s="5">
        <f t="shared" ref="V10:V41" si="0">AVERAGE(J10:U10)</f>
        <v>53.75</v>
      </c>
      <c r="W10" s="4">
        <f t="shared" ref="W10:W41" si="1">STDEV(J10:U10)/SQRT(COUNT(J10:U10))</f>
        <v>1.3570522867932939</v>
      </c>
      <c r="X10" s="2">
        <f t="shared" ref="X10:X41" si="2">MIN(J10:U10)</f>
        <v>48.1</v>
      </c>
      <c r="Y10" s="3">
        <f t="shared" ref="Y10:Y41" si="3">QUARTILE(J10:U10,1)</f>
        <v>48.7</v>
      </c>
      <c r="Z10" s="2">
        <f t="shared" ref="Z10:Z41" si="4">MEDIAN(J10:U10)</f>
        <v>53.8</v>
      </c>
      <c r="AA10" s="2"/>
      <c r="AB10" s="2"/>
      <c r="AC10" s="2"/>
      <c r="AE10" s="25"/>
      <c r="AF10" s="24" t="s">
        <v>83</v>
      </c>
      <c r="AG10" s="23"/>
      <c r="AH10" s="23"/>
      <c r="AI10" s="23"/>
      <c r="AJ10" s="24" t="s">
        <v>82</v>
      </c>
      <c r="AK10" s="23"/>
      <c r="AL10" s="23"/>
      <c r="AM10" s="22"/>
    </row>
    <row r="11" spans="1:39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13.084</v>
      </c>
      <c r="J11" s="2">
        <v>59.3</v>
      </c>
      <c r="K11" s="2">
        <v>49.1</v>
      </c>
      <c r="L11" s="2">
        <v>59.9</v>
      </c>
      <c r="M11" s="2">
        <v>44.4</v>
      </c>
      <c r="N11" s="2">
        <v>58.9</v>
      </c>
      <c r="O11" s="2">
        <v>54.9</v>
      </c>
      <c r="P11" s="2">
        <v>59.1</v>
      </c>
      <c r="Q11" s="2">
        <v>56.6</v>
      </c>
      <c r="R11" s="2">
        <v>49.7</v>
      </c>
      <c r="S11" s="2">
        <v>58.4</v>
      </c>
      <c r="T11" s="2">
        <v>60.8</v>
      </c>
      <c r="U11" s="2">
        <v>41.9</v>
      </c>
      <c r="V11" s="5">
        <f t="shared" si="0"/>
        <v>54.416666666666664</v>
      </c>
      <c r="W11" s="4">
        <f t="shared" si="1"/>
        <v>1.877047703391709</v>
      </c>
      <c r="X11" s="2">
        <f t="shared" si="2"/>
        <v>41.9</v>
      </c>
      <c r="Y11" s="3">
        <f t="shared" si="3"/>
        <v>49.550000000000004</v>
      </c>
      <c r="Z11" s="2">
        <f t="shared" si="4"/>
        <v>57.5</v>
      </c>
      <c r="AE11" s="21" t="s">
        <v>81</v>
      </c>
      <c r="AF11" s="20" t="s">
        <v>80</v>
      </c>
      <c r="AG11" s="19" t="s">
        <v>79</v>
      </c>
      <c r="AH11" s="19" t="s">
        <v>78</v>
      </c>
      <c r="AI11" s="19" t="s">
        <v>77</v>
      </c>
      <c r="AJ11" s="20" t="s">
        <v>80</v>
      </c>
      <c r="AK11" s="19" t="s">
        <v>79</v>
      </c>
      <c r="AL11" s="19" t="s">
        <v>78</v>
      </c>
      <c r="AM11" s="18" t="s">
        <v>77</v>
      </c>
    </row>
    <row r="12" spans="1:39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13.057</v>
      </c>
      <c r="J12" s="2">
        <v>59.4</v>
      </c>
      <c r="K12" s="2">
        <v>52.9</v>
      </c>
      <c r="L12" s="2">
        <v>58.3</v>
      </c>
      <c r="M12" s="2">
        <v>47.5</v>
      </c>
      <c r="N12" s="2">
        <v>53.3</v>
      </c>
      <c r="O12" s="2">
        <v>49.9</v>
      </c>
      <c r="P12" s="2">
        <v>52.7</v>
      </c>
      <c r="Q12" s="2">
        <v>52.6</v>
      </c>
      <c r="R12" s="2">
        <v>45.2</v>
      </c>
      <c r="S12" s="2">
        <v>54.8</v>
      </c>
      <c r="T12" s="2">
        <v>45.6</v>
      </c>
      <c r="U12" s="2">
        <v>37.4</v>
      </c>
      <c r="V12" s="5">
        <f t="shared" si="0"/>
        <v>50.79999999999999</v>
      </c>
      <c r="W12" s="4">
        <f t="shared" si="1"/>
        <v>1.7696515664578523</v>
      </c>
      <c r="X12" s="2">
        <f t="shared" si="2"/>
        <v>37.4</v>
      </c>
      <c r="Y12" s="3">
        <f t="shared" si="3"/>
        <v>47.024999999999999</v>
      </c>
      <c r="Z12" s="2">
        <f t="shared" si="4"/>
        <v>52.650000000000006</v>
      </c>
      <c r="AE12" s="17" t="s">
        <v>76</v>
      </c>
      <c r="AF12" s="16">
        <v>41.05</v>
      </c>
      <c r="AG12" s="15">
        <v>51.05</v>
      </c>
      <c r="AH12" s="15">
        <v>55.35</v>
      </c>
      <c r="AI12" s="15">
        <v>53.754166666666663</v>
      </c>
      <c r="AJ12" s="16">
        <v>27</v>
      </c>
      <c r="AK12" s="15">
        <v>27.5</v>
      </c>
      <c r="AL12" s="15">
        <v>28.2</v>
      </c>
      <c r="AM12" s="14">
        <v>28.204166666666666</v>
      </c>
    </row>
    <row r="13" spans="1:39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13.038</v>
      </c>
      <c r="J13" s="2">
        <v>59.3</v>
      </c>
      <c r="K13" s="2">
        <v>57.6</v>
      </c>
      <c r="L13" s="2">
        <v>50.4</v>
      </c>
      <c r="M13" s="2">
        <v>53.1</v>
      </c>
      <c r="N13" s="2">
        <v>57.8</v>
      </c>
      <c r="O13" s="2">
        <v>46.2</v>
      </c>
      <c r="P13" s="2">
        <v>58.2</v>
      </c>
      <c r="Q13" s="2">
        <v>50.6</v>
      </c>
      <c r="R13" s="2">
        <v>53</v>
      </c>
      <c r="S13" s="2">
        <v>54.8</v>
      </c>
      <c r="T13" s="2">
        <v>58.2</v>
      </c>
      <c r="U13" s="2">
        <v>46.5</v>
      </c>
      <c r="V13" s="5">
        <f t="shared" si="0"/>
        <v>53.808333333333337</v>
      </c>
      <c r="W13" s="4">
        <f t="shared" si="1"/>
        <v>1.3325447478604631</v>
      </c>
      <c r="X13" s="2">
        <f t="shared" si="2"/>
        <v>46.2</v>
      </c>
      <c r="Y13" s="3">
        <f t="shared" si="3"/>
        <v>50.55</v>
      </c>
      <c r="Z13" s="2">
        <f t="shared" si="4"/>
        <v>53.95</v>
      </c>
      <c r="AE13" s="13" t="s">
        <v>75</v>
      </c>
      <c r="AF13" s="12">
        <v>41.85</v>
      </c>
      <c r="AG13" s="11">
        <v>48.25</v>
      </c>
      <c r="AH13" s="11">
        <v>54.075000000000003</v>
      </c>
      <c r="AI13" s="11">
        <v>52.916666666666664</v>
      </c>
      <c r="AJ13" s="12">
        <v>26.35</v>
      </c>
      <c r="AK13" s="11">
        <v>27.087499999999999</v>
      </c>
      <c r="AL13" s="11">
        <v>27.4</v>
      </c>
      <c r="AM13" s="10">
        <v>27.395833333333332</v>
      </c>
    </row>
    <row r="14" spans="1:39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13.02</v>
      </c>
      <c r="J14" s="2">
        <v>59.2</v>
      </c>
      <c r="K14" s="2">
        <v>48.5</v>
      </c>
      <c r="L14" s="2">
        <v>54.6</v>
      </c>
      <c r="M14" s="2">
        <v>47.6</v>
      </c>
      <c r="N14" s="2">
        <v>48.5</v>
      </c>
      <c r="O14" s="2">
        <v>48.2</v>
      </c>
      <c r="P14" s="2">
        <v>54.3</v>
      </c>
      <c r="Q14" s="2">
        <v>54.3</v>
      </c>
      <c r="R14" s="2">
        <v>44.3</v>
      </c>
      <c r="S14" s="2">
        <v>58.4</v>
      </c>
      <c r="T14" s="2">
        <v>45.3</v>
      </c>
      <c r="U14" s="2">
        <v>42.7</v>
      </c>
      <c r="V14" s="5">
        <f t="shared" si="0"/>
        <v>50.491666666666667</v>
      </c>
      <c r="W14" s="4">
        <f t="shared" si="1"/>
        <v>1.5854670630703127</v>
      </c>
      <c r="X14" s="2">
        <f t="shared" si="2"/>
        <v>42.7</v>
      </c>
      <c r="Y14" s="3">
        <f t="shared" si="3"/>
        <v>47.024999999999999</v>
      </c>
      <c r="Z14" s="2">
        <f t="shared" si="4"/>
        <v>48.5</v>
      </c>
      <c r="AE14" s="13" t="s">
        <v>74</v>
      </c>
      <c r="AF14" s="12">
        <v>60.4</v>
      </c>
      <c r="AG14" s="11">
        <v>62.087499999999999</v>
      </c>
      <c r="AH14" s="11">
        <v>62.95</v>
      </c>
      <c r="AI14" s="11">
        <v>62.845833333333331</v>
      </c>
      <c r="AJ14" s="12"/>
      <c r="AK14" s="11"/>
      <c r="AL14" s="11"/>
      <c r="AM14" s="10"/>
    </row>
    <row r="15" spans="1:39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13.000999999999999</v>
      </c>
      <c r="J15" s="2">
        <v>59.9</v>
      </c>
      <c r="K15" s="2">
        <v>45.1</v>
      </c>
      <c r="L15" s="2">
        <v>60.7</v>
      </c>
      <c r="M15" s="2">
        <v>48.3</v>
      </c>
      <c r="N15" s="2">
        <v>58.3</v>
      </c>
      <c r="O15" s="2">
        <v>48.8</v>
      </c>
      <c r="P15" s="2">
        <v>59.3</v>
      </c>
      <c r="Q15" s="2">
        <v>47.3</v>
      </c>
      <c r="R15" s="2">
        <v>58.5</v>
      </c>
      <c r="S15" s="2">
        <v>45.4</v>
      </c>
      <c r="T15" s="2">
        <v>59.9</v>
      </c>
      <c r="U15" s="2">
        <v>48.6</v>
      </c>
      <c r="V15" s="5">
        <f t="shared" si="0"/>
        <v>53.341666666666669</v>
      </c>
      <c r="W15" s="4">
        <f t="shared" si="1"/>
        <v>1.872628129424291</v>
      </c>
      <c r="X15" s="2">
        <f t="shared" si="2"/>
        <v>45.1</v>
      </c>
      <c r="Y15" s="3">
        <f t="shared" si="3"/>
        <v>48.05</v>
      </c>
      <c r="Z15" s="2">
        <f t="shared" si="4"/>
        <v>53.55</v>
      </c>
      <c r="AE15" s="13" t="s">
        <v>73</v>
      </c>
      <c r="AF15" s="12">
        <v>38.299999999999997</v>
      </c>
      <c r="AG15" s="11">
        <v>46.0625</v>
      </c>
      <c r="AH15" s="11">
        <v>51.774999999999999</v>
      </c>
      <c r="AI15" s="11">
        <v>50.270833333333321</v>
      </c>
      <c r="AJ15" s="12">
        <v>27.1</v>
      </c>
      <c r="AK15" s="11">
        <v>28.2</v>
      </c>
      <c r="AL15" s="11">
        <v>28.55</v>
      </c>
      <c r="AM15" s="10">
        <v>28.55</v>
      </c>
    </row>
    <row r="16" spans="1:39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12.983000000000001</v>
      </c>
      <c r="J16" s="2">
        <v>58.9</v>
      </c>
      <c r="K16" s="2">
        <v>57</v>
      </c>
      <c r="L16" s="2">
        <v>58.5</v>
      </c>
      <c r="M16" s="2">
        <v>45.6</v>
      </c>
      <c r="N16" s="2">
        <v>58.5</v>
      </c>
      <c r="O16" s="2">
        <v>50.8</v>
      </c>
      <c r="P16" s="2">
        <v>57.9</v>
      </c>
      <c r="Q16" s="2">
        <v>54.3</v>
      </c>
      <c r="R16" s="2">
        <v>52.3</v>
      </c>
      <c r="S16" s="2">
        <v>51.8</v>
      </c>
      <c r="T16" s="2">
        <v>59.6</v>
      </c>
      <c r="U16" s="2">
        <v>40.799999999999997</v>
      </c>
      <c r="V16" s="5">
        <f t="shared" si="0"/>
        <v>53.833333333333336</v>
      </c>
      <c r="W16" s="4">
        <f t="shared" si="1"/>
        <v>1.702508547272334</v>
      </c>
      <c r="X16" s="2">
        <f t="shared" si="2"/>
        <v>40.799999999999997</v>
      </c>
      <c r="Y16" s="3">
        <f t="shared" si="3"/>
        <v>51.55</v>
      </c>
      <c r="Z16" s="2">
        <f t="shared" si="4"/>
        <v>55.65</v>
      </c>
      <c r="AE16" s="13" t="s">
        <v>72</v>
      </c>
      <c r="AF16" s="12">
        <v>37.950000000000003</v>
      </c>
      <c r="AG16" s="11">
        <v>44.6875</v>
      </c>
      <c r="AH16" s="11">
        <v>53.274999999999999</v>
      </c>
      <c r="AI16" s="11">
        <v>50.387500000000003</v>
      </c>
      <c r="AJ16" s="12">
        <v>27</v>
      </c>
      <c r="AK16" s="11">
        <v>27.774999999999999</v>
      </c>
      <c r="AL16" s="11">
        <v>28.675000000000001</v>
      </c>
      <c r="AM16" s="10">
        <v>29.054166666666667</v>
      </c>
    </row>
    <row r="17" spans="1:39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12.965</v>
      </c>
      <c r="J17" s="2">
        <v>60</v>
      </c>
      <c r="K17" s="2">
        <v>56.7</v>
      </c>
      <c r="L17" s="2">
        <v>58.2</v>
      </c>
      <c r="M17" s="2">
        <v>51.5</v>
      </c>
      <c r="N17" s="2">
        <v>57.2</v>
      </c>
      <c r="O17" s="2">
        <v>55.8</v>
      </c>
      <c r="P17" s="2">
        <v>57.9</v>
      </c>
      <c r="Q17" s="2">
        <v>56.1</v>
      </c>
      <c r="R17" s="2">
        <v>47.1</v>
      </c>
      <c r="S17" s="2">
        <v>51.6</v>
      </c>
      <c r="T17" s="2">
        <v>57.6</v>
      </c>
      <c r="U17" s="2">
        <v>45.9</v>
      </c>
      <c r="V17" s="5">
        <f t="shared" si="0"/>
        <v>54.633333333333333</v>
      </c>
      <c r="W17" s="4">
        <f t="shared" si="1"/>
        <v>1.3125462954798122</v>
      </c>
      <c r="X17" s="2">
        <f t="shared" si="2"/>
        <v>45.9</v>
      </c>
      <c r="Y17" s="3">
        <f t="shared" si="3"/>
        <v>51.575000000000003</v>
      </c>
      <c r="Z17" s="2">
        <f t="shared" si="4"/>
        <v>56.400000000000006</v>
      </c>
      <c r="AE17" s="13" t="s">
        <v>71</v>
      </c>
      <c r="AF17" s="12">
        <v>47.6</v>
      </c>
      <c r="AG17" s="11">
        <v>52.987499999999997</v>
      </c>
      <c r="AH17" s="11">
        <v>56.325000000000003</v>
      </c>
      <c r="AI17" s="11">
        <v>55.558333333333337</v>
      </c>
      <c r="AJ17" s="12">
        <v>27.75</v>
      </c>
      <c r="AK17" s="11">
        <v>28.45</v>
      </c>
      <c r="AL17" s="11">
        <v>29</v>
      </c>
      <c r="AM17" s="10">
        <v>28.912500000000001</v>
      </c>
    </row>
    <row r="18" spans="1:39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13.134</v>
      </c>
      <c r="J18" s="2">
        <v>58.2</v>
      </c>
      <c r="K18" s="2">
        <v>52</v>
      </c>
      <c r="L18" s="2">
        <v>55.4</v>
      </c>
      <c r="M18" s="2">
        <v>45.4</v>
      </c>
      <c r="N18" s="2">
        <v>55.9</v>
      </c>
      <c r="O18" s="2">
        <v>40</v>
      </c>
      <c r="P18" s="2">
        <v>57.4</v>
      </c>
      <c r="Q18" s="2">
        <v>41.7</v>
      </c>
      <c r="R18" s="2">
        <v>49.3</v>
      </c>
      <c r="S18" s="2">
        <v>49.4</v>
      </c>
      <c r="T18" s="2">
        <v>55.9</v>
      </c>
      <c r="U18" s="2">
        <v>38.1</v>
      </c>
      <c r="V18" s="5">
        <f t="shared" si="0"/>
        <v>49.891666666666659</v>
      </c>
      <c r="W18" s="4">
        <f t="shared" si="1"/>
        <v>2.0544651421238678</v>
      </c>
      <c r="X18" s="2">
        <f t="shared" si="2"/>
        <v>38.1</v>
      </c>
      <c r="Y18" s="3">
        <f t="shared" si="3"/>
        <v>44.475000000000001</v>
      </c>
      <c r="Z18" s="2">
        <f t="shared" si="4"/>
        <v>50.7</v>
      </c>
      <c r="AE18" s="13" t="s">
        <v>70</v>
      </c>
      <c r="AF18" s="12">
        <v>45.6</v>
      </c>
      <c r="AG18" s="11">
        <v>51.3125</v>
      </c>
      <c r="AH18" s="11">
        <v>56.15</v>
      </c>
      <c r="AI18" s="11">
        <v>54.716666666666669</v>
      </c>
      <c r="AJ18" s="12">
        <v>26.85</v>
      </c>
      <c r="AK18" s="11">
        <v>27.975000000000001</v>
      </c>
      <c r="AL18" s="11">
        <v>28.625</v>
      </c>
      <c r="AM18" s="10">
        <v>28.55833333333333</v>
      </c>
    </row>
    <row r="19" spans="1:39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13.153</v>
      </c>
      <c r="J19" s="2">
        <v>60.2</v>
      </c>
      <c r="K19" s="2">
        <v>57.5</v>
      </c>
      <c r="L19" s="2">
        <v>52.2</v>
      </c>
      <c r="M19" s="2">
        <v>54.7</v>
      </c>
      <c r="N19" s="2">
        <v>58.9</v>
      </c>
      <c r="O19" s="2">
        <v>51</v>
      </c>
      <c r="P19" s="2">
        <v>58.9</v>
      </c>
      <c r="Q19" s="2">
        <v>58</v>
      </c>
      <c r="R19" s="2">
        <v>57.3</v>
      </c>
      <c r="S19" s="2">
        <v>58.9</v>
      </c>
      <c r="T19" s="2">
        <v>56.5</v>
      </c>
      <c r="U19" s="2">
        <v>38.700000000000003</v>
      </c>
      <c r="V19" s="5">
        <f t="shared" si="0"/>
        <v>55.233333333333341</v>
      </c>
      <c r="W19" s="4">
        <f t="shared" si="1"/>
        <v>1.7065530265195907</v>
      </c>
      <c r="X19" s="2">
        <f t="shared" si="2"/>
        <v>38.700000000000003</v>
      </c>
      <c r="Y19" s="3">
        <f t="shared" si="3"/>
        <v>54.075000000000003</v>
      </c>
      <c r="Z19" s="2">
        <f t="shared" si="4"/>
        <v>57.4</v>
      </c>
      <c r="AE19" s="13" t="s">
        <v>69</v>
      </c>
      <c r="AF19" s="12">
        <v>42.25</v>
      </c>
      <c r="AG19" s="11">
        <v>46.65</v>
      </c>
      <c r="AH19" s="11">
        <v>54.637500000000003</v>
      </c>
      <c r="AI19" s="11">
        <v>52.845833333333339</v>
      </c>
      <c r="AJ19" s="12">
        <v>27.175000000000001</v>
      </c>
      <c r="AK19" s="11">
        <v>28.112500000000001</v>
      </c>
      <c r="AL19" s="11">
        <v>28.537500000000001</v>
      </c>
      <c r="AM19" s="10">
        <v>28.8</v>
      </c>
    </row>
    <row r="20" spans="1:39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13.173</v>
      </c>
      <c r="J20" s="2">
        <v>59</v>
      </c>
      <c r="K20" s="2">
        <v>41.5</v>
      </c>
      <c r="L20" s="2">
        <v>62.6</v>
      </c>
      <c r="M20" s="2">
        <v>48.9</v>
      </c>
      <c r="N20" s="2">
        <v>45.1</v>
      </c>
      <c r="O20" s="2">
        <v>57.1</v>
      </c>
      <c r="P20" s="2">
        <v>47.1</v>
      </c>
      <c r="Q20" s="2">
        <v>58.5</v>
      </c>
      <c r="R20" s="2">
        <v>44</v>
      </c>
      <c r="S20" s="2">
        <v>59.8</v>
      </c>
      <c r="T20" s="2">
        <v>58.4</v>
      </c>
      <c r="U20" s="2">
        <v>44</v>
      </c>
      <c r="V20" s="5">
        <f t="shared" si="0"/>
        <v>52.166666666666664</v>
      </c>
      <c r="W20" s="4">
        <f t="shared" si="1"/>
        <v>2.2200304848211947</v>
      </c>
      <c r="X20" s="2">
        <f t="shared" si="2"/>
        <v>41.5</v>
      </c>
      <c r="Y20" s="3">
        <f t="shared" si="3"/>
        <v>44.825000000000003</v>
      </c>
      <c r="Z20" s="2">
        <f t="shared" si="4"/>
        <v>53</v>
      </c>
      <c r="AE20" s="13" t="s">
        <v>68</v>
      </c>
      <c r="AF20" s="12">
        <v>42.2</v>
      </c>
      <c r="AG20" s="11">
        <v>49.043750000000003</v>
      </c>
      <c r="AH20" s="11">
        <v>55.725000000000001</v>
      </c>
      <c r="AI20" s="11">
        <v>53.385416666666657</v>
      </c>
      <c r="AJ20" s="12">
        <v>26.85</v>
      </c>
      <c r="AK20" s="11">
        <v>27.443750000000001</v>
      </c>
      <c r="AL20" s="11">
        <v>28.012499999999999</v>
      </c>
      <c r="AM20" s="10">
        <v>28.116666666666667</v>
      </c>
    </row>
    <row r="21" spans="1:39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13.189</v>
      </c>
      <c r="J21" s="2">
        <v>55.8</v>
      </c>
      <c r="K21" s="2">
        <v>48.5</v>
      </c>
      <c r="L21" s="2">
        <v>56.9</v>
      </c>
      <c r="M21" s="2">
        <v>40.299999999999997</v>
      </c>
      <c r="N21" s="2">
        <v>56.3</v>
      </c>
      <c r="O21" s="2">
        <v>35.700000000000003</v>
      </c>
      <c r="P21" s="2">
        <v>56.2</v>
      </c>
      <c r="Q21" s="2">
        <v>42.9</v>
      </c>
      <c r="R21" s="2">
        <v>56.9</v>
      </c>
      <c r="S21" s="2">
        <v>48.8</v>
      </c>
      <c r="T21" s="2">
        <v>56.6</v>
      </c>
      <c r="U21" s="2">
        <v>44.2</v>
      </c>
      <c r="V21" s="5">
        <f t="shared" si="0"/>
        <v>49.925000000000004</v>
      </c>
      <c r="W21" s="4">
        <f t="shared" si="1"/>
        <v>2.1964201245746042</v>
      </c>
      <c r="X21" s="2">
        <f t="shared" si="2"/>
        <v>35.700000000000003</v>
      </c>
      <c r="Y21" s="3">
        <f t="shared" si="3"/>
        <v>43.875</v>
      </c>
      <c r="Z21" s="2">
        <f t="shared" si="4"/>
        <v>52.3</v>
      </c>
      <c r="AE21" s="13" t="s">
        <v>67</v>
      </c>
      <c r="AF21" s="12">
        <v>37.1</v>
      </c>
      <c r="AG21" s="11">
        <v>42.075000000000003</v>
      </c>
      <c r="AH21" s="11">
        <v>48.35</v>
      </c>
      <c r="AI21" s="11">
        <v>48.333333333333343</v>
      </c>
      <c r="AJ21" s="12">
        <v>28.1</v>
      </c>
      <c r="AK21" s="11">
        <v>28.5</v>
      </c>
      <c r="AL21" s="11">
        <v>28.675000000000001</v>
      </c>
      <c r="AM21" s="10">
        <v>28.866666666666667</v>
      </c>
    </row>
    <row r="22" spans="1:39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13.209</v>
      </c>
      <c r="J22" s="2">
        <v>59.9</v>
      </c>
      <c r="K22" s="2">
        <v>56.6</v>
      </c>
      <c r="L22" s="2">
        <v>58.9</v>
      </c>
      <c r="M22" s="2">
        <v>57.5</v>
      </c>
      <c r="N22" s="2">
        <v>58.9</v>
      </c>
      <c r="O22" s="2">
        <v>47.1</v>
      </c>
      <c r="P22" s="2">
        <v>59.9</v>
      </c>
      <c r="Q22" s="2">
        <v>58.3</v>
      </c>
      <c r="R22" s="2">
        <v>58.8</v>
      </c>
      <c r="S22" s="2">
        <v>59.7</v>
      </c>
      <c r="T22" s="2">
        <v>59.9</v>
      </c>
      <c r="U22" s="2">
        <v>52.9</v>
      </c>
      <c r="V22" s="5">
        <f t="shared" si="0"/>
        <v>57.366666666666667</v>
      </c>
      <c r="W22" s="4">
        <f t="shared" si="1"/>
        <v>1.0950531558519949</v>
      </c>
      <c r="X22" s="2">
        <f t="shared" si="2"/>
        <v>47.1</v>
      </c>
      <c r="Y22" s="3">
        <f t="shared" si="3"/>
        <v>57.274999999999999</v>
      </c>
      <c r="Z22" s="2">
        <f t="shared" si="4"/>
        <v>58.849999999999994</v>
      </c>
      <c r="AE22" s="13" t="s">
        <v>66</v>
      </c>
      <c r="AF22" s="12">
        <v>40.4</v>
      </c>
      <c r="AG22" s="11">
        <v>45.75</v>
      </c>
      <c r="AH22" s="11">
        <v>49.6</v>
      </c>
      <c r="AI22" s="11">
        <v>50.191666666666663</v>
      </c>
      <c r="AJ22" s="12">
        <v>26.25</v>
      </c>
      <c r="AK22" s="11">
        <v>27.012499999999999</v>
      </c>
      <c r="AL22" s="11">
        <v>28.024999999999999</v>
      </c>
      <c r="AM22" s="10">
        <v>27.883333333333333</v>
      </c>
    </row>
    <row r="23" spans="1:39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13.228</v>
      </c>
      <c r="J23" s="2">
        <v>58.9</v>
      </c>
      <c r="K23" s="2">
        <v>59.2</v>
      </c>
      <c r="L23" s="2">
        <v>59.2</v>
      </c>
      <c r="M23" s="2">
        <v>55.1</v>
      </c>
      <c r="N23" s="2">
        <v>57.4</v>
      </c>
      <c r="O23" s="2">
        <v>53.5</v>
      </c>
      <c r="P23" s="2">
        <v>58.8</v>
      </c>
      <c r="Q23" s="2">
        <v>57.8</v>
      </c>
      <c r="R23" s="2">
        <v>56.7</v>
      </c>
      <c r="S23" s="2">
        <v>53.6</v>
      </c>
      <c r="T23" s="2">
        <v>58.9</v>
      </c>
      <c r="U23" s="2">
        <v>58.4</v>
      </c>
      <c r="V23" s="5">
        <f t="shared" si="0"/>
        <v>57.291666666666664</v>
      </c>
      <c r="W23" s="4">
        <f t="shared" si="1"/>
        <v>0.61168648304123363</v>
      </c>
      <c r="X23" s="2">
        <f t="shared" si="2"/>
        <v>53.5</v>
      </c>
      <c r="Y23" s="3">
        <f t="shared" si="3"/>
        <v>56.300000000000004</v>
      </c>
      <c r="Z23" s="2">
        <f t="shared" si="4"/>
        <v>58.099999999999994</v>
      </c>
      <c r="AE23" s="13" t="s">
        <v>65</v>
      </c>
      <c r="AF23" s="12">
        <v>40.299999999999997</v>
      </c>
      <c r="AG23" s="11">
        <v>49.774999999999999</v>
      </c>
      <c r="AH23" s="11">
        <v>56.55</v>
      </c>
      <c r="AI23" s="11">
        <v>53.625</v>
      </c>
      <c r="AJ23" s="12">
        <v>26.7</v>
      </c>
      <c r="AK23" s="11">
        <v>27.824999999999999</v>
      </c>
      <c r="AL23" s="11">
        <v>28.15</v>
      </c>
      <c r="AM23" s="10">
        <v>28.333333333333332</v>
      </c>
    </row>
    <row r="24" spans="1:39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13.249000000000001</v>
      </c>
      <c r="J24" s="2">
        <v>59.2</v>
      </c>
      <c r="K24" s="2">
        <v>55.3</v>
      </c>
      <c r="L24" s="2">
        <v>57.5</v>
      </c>
      <c r="M24" s="2">
        <v>45.2</v>
      </c>
      <c r="N24" s="2">
        <v>57.9</v>
      </c>
      <c r="O24" s="2">
        <v>56.1</v>
      </c>
      <c r="P24" s="2">
        <v>57.4</v>
      </c>
      <c r="Q24" s="2">
        <v>57.5</v>
      </c>
      <c r="R24" s="2">
        <v>46.4</v>
      </c>
      <c r="S24" s="2">
        <v>57.8</v>
      </c>
      <c r="T24" s="2">
        <v>60</v>
      </c>
      <c r="U24" s="2">
        <v>49.4</v>
      </c>
      <c r="V24" s="5">
        <f t="shared" si="0"/>
        <v>54.974999999999994</v>
      </c>
      <c r="W24" s="4">
        <f t="shared" si="1"/>
        <v>1.4559244173688788</v>
      </c>
      <c r="X24" s="2">
        <f t="shared" si="2"/>
        <v>45.2</v>
      </c>
      <c r="Y24" s="3">
        <f t="shared" si="3"/>
        <v>53.824999999999996</v>
      </c>
      <c r="Z24" s="2">
        <f t="shared" si="4"/>
        <v>57.45</v>
      </c>
      <c r="AE24" s="13" t="s">
        <v>64</v>
      </c>
      <c r="AF24" s="12">
        <v>49.85</v>
      </c>
      <c r="AG24" s="11">
        <v>54.487499999999997</v>
      </c>
      <c r="AH24" s="11">
        <v>56.85</v>
      </c>
      <c r="AI24" s="11">
        <v>55.854166666666671</v>
      </c>
      <c r="AJ24" s="12">
        <v>26.2</v>
      </c>
      <c r="AK24" s="11">
        <v>27.524999999999999</v>
      </c>
      <c r="AL24" s="11">
        <v>27.85</v>
      </c>
      <c r="AM24" s="10">
        <v>27.862500000000001</v>
      </c>
    </row>
    <row r="25" spans="1:39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13.269</v>
      </c>
      <c r="J25" s="2">
        <v>57.9</v>
      </c>
      <c r="K25" s="2">
        <v>58.3</v>
      </c>
      <c r="L25" s="2">
        <v>58.4</v>
      </c>
      <c r="M25" s="2">
        <v>51.5</v>
      </c>
      <c r="N25" s="2">
        <v>57.7</v>
      </c>
      <c r="O25" s="2">
        <v>52.1</v>
      </c>
      <c r="P25" s="2">
        <v>58.8</v>
      </c>
      <c r="Q25" s="2">
        <v>54.8</v>
      </c>
      <c r="R25" s="2">
        <v>58</v>
      </c>
      <c r="S25" s="2">
        <v>56.7</v>
      </c>
      <c r="T25" s="2">
        <v>46</v>
      </c>
      <c r="U25" s="2">
        <v>51.3</v>
      </c>
      <c r="V25" s="5">
        <f t="shared" si="0"/>
        <v>55.125</v>
      </c>
      <c r="W25" s="4">
        <f t="shared" si="1"/>
        <v>1.1667180724605495</v>
      </c>
      <c r="X25" s="2">
        <f t="shared" si="2"/>
        <v>46</v>
      </c>
      <c r="Y25" s="3">
        <f t="shared" si="3"/>
        <v>51.95</v>
      </c>
      <c r="Z25" s="2">
        <f t="shared" si="4"/>
        <v>57.2</v>
      </c>
      <c r="AE25" s="13" t="s">
        <v>63</v>
      </c>
      <c r="AF25" s="12">
        <v>43.5</v>
      </c>
      <c r="AG25" s="11">
        <v>51.024999999999999</v>
      </c>
      <c r="AH25" s="11">
        <v>55.416666666666664</v>
      </c>
      <c r="AI25" s="11">
        <v>54.35</v>
      </c>
      <c r="AJ25" s="12">
        <v>27.866666666666664</v>
      </c>
      <c r="AK25" s="11">
        <v>28.491666666666664</v>
      </c>
      <c r="AL25" s="11">
        <v>29.066666666666663</v>
      </c>
      <c r="AM25" s="10">
        <v>29.408333333333335</v>
      </c>
    </row>
    <row r="26" spans="1:39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13.472</v>
      </c>
      <c r="J26" s="2">
        <v>58.2</v>
      </c>
      <c r="K26" s="2">
        <v>40.6</v>
      </c>
      <c r="L26" s="2">
        <v>59</v>
      </c>
      <c r="M26" s="2">
        <v>51</v>
      </c>
      <c r="N26" s="2">
        <v>55.2</v>
      </c>
      <c r="O26" s="2">
        <v>57.1</v>
      </c>
      <c r="P26" s="2">
        <v>46.3</v>
      </c>
      <c r="Q26" s="2">
        <v>57.2</v>
      </c>
      <c r="R26" s="2">
        <v>45.5</v>
      </c>
      <c r="S26" s="2">
        <v>57.6</v>
      </c>
      <c r="T26" s="2">
        <v>59.5</v>
      </c>
      <c r="U26" s="2">
        <v>45.3</v>
      </c>
      <c r="V26" s="5">
        <f t="shared" si="0"/>
        <v>52.708333333333336</v>
      </c>
      <c r="W26" s="4">
        <f t="shared" si="1"/>
        <v>1.9126951607032843</v>
      </c>
      <c r="X26" s="2">
        <f t="shared" si="2"/>
        <v>40.6</v>
      </c>
      <c r="Y26" s="3">
        <f t="shared" si="3"/>
        <v>46.099999999999994</v>
      </c>
      <c r="Z26" s="2">
        <f t="shared" si="4"/>
        <v>56.150000000000006</v>
      </c>
      <c r="AE26" s="13" t="s">
        <v>62</v>
      </c>
      <c r="AF26" s="12">
        <v>43.274999999999999</v>
      </c>
      <c r="AG26" s="11">
        <v>49.206249999999997</v>
      </c>
      <c r="AH26" s="11">
        <v>55.137500000000003</v>
      </c>
      <c r="AI26" s="11">
        <v>53.470833333333339</v>
      </c>
      <c r="AJ26" s="12">
        <v>27.25</v>
      </c>
      <c r="AK26" s="11">
        <v>27.8</v>
      </c>
      <c r="AL26" s="11">
        <v>28.35</v>
      </c>
      <c r="AM26" s="10">
        <v>28.529166666666665</v>
      </c>
    </row>
    <row r="27" spans="1:39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13.492000000000001</v>
      </c>
      <c r="J27" s="2">
        <v>58.2</v>
      </c>
      <c r="K27" s="2">
        <v>45.8</v>
      </c>
      <c r="L27" s="2">
        <v>59.4</v>
      </c>
      <c r="M27" s="2">
        <v>51.3</v>
      </c>
      <c r="N27" s="2">
        <v>57.6</v>
      </c>
      <c r="O27" s="2">
        <v>56</v>
      </c>
      <c r="P27" s="2">
        <v>38.6</v>
      </c>
      <c r="Q27" s="2">
        <v>56.9</v>
      </c>
      <c r="R27" s="2">
        <v>42.2</v>
      </c>
      <c r="S27" s="2">
        <v>57.6</v>
      </c>
      <c r="T27" s="2">
        <v>50.4</v>
      </c>
      <c r="U27" s="2">
        <v>37.799999999999997</v>
      </c>
      <c r="V27" s="5">
        <f t="shared" si="0"/>
        <v>50.983333333333327</v>
      </c>
      <c r="W27" s="4">
        <f t="shared" si="1"/>
        <v>2.30653988966727</v>
      </c>
      <c r="X27" s="2">
        <f t="shared" si="2"/>
        <v>37.799999999999997</v>
      </c>
      <c r="Y27" s="3">
        <f t="shared" si="3"/>
        <v>44.9</v>
      </c>
      <c r="Z27" s="2">
        <f t="shared" si="4"/>
        <v>53.65</v>
      </c>
      <c r="AE27" s="9" t="s">
        <v>61</v>
      </c>
      <c r="AF27" s="8">
        <v>31.45</v>
      </c>
      <c r="AG27" s="7">
        <v>38.412500000000001</v>
      </c>
      <c r="AH27" s="7">
        <v>46.125</v>
      </c>
      <c r="AI27" s="7">
        <v>42.733333333333334</v>
      </c>
      <c r="AJ27" s="8"/>
      <c r="AK27" s="7"/>
      <c r="AL27" s="7"/>
      <c r="AM27" s="6"/>
    </row>
    <row r="28" spans="1:39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13.509</v>
      </c>
      <c r="J28" s="2">
        <v>58.1</v>
      </c>
      <c r="K28" s="2">
        <v>57</v>
      </c>
      <c r="L28" s="2">
        <v>52.6</v>
      </c>
      <c r="M28" s="2">
        <v>48.6</v>
      </c>
      <c r="N28" s="2">
        <v>55.5</v>
      </c>
      <c r="O28" s="2">
        <v>46.2</v>
      </c>
      <c r="P28" s="2">
        <v>57.8</v>
      </c>
      <c r="Q28" s="2">
        <v>54.6</v>
      </c>
      <c r="R28" s="2">
        <v>56</v>
      </c>
      <c r="S28" s="2">
        <v>52.7</v>
      </c>
      <c r="T28" s="2">
        <v>58.2</v>
      </c>
      <c r="U28" s="2">
        <v>55.7</v>
      </c>
      <c r="V28" s="5">
        <f t="shared" si="0"/>
        <v>54.416666666666679</v>
      </c>
      <c r="W28" s="4">
        <f t="shared" si="1"/>
        <v>1.0973682935629092</v>
      </c>
      <c r="X28" s="2">
        <f t="shared" si="2"/>
        <v>46.2</v>
      </c>
      <c r="Y28" s="3">
        <f t="shared" si="3"/>
        <v>52.675000000000004</v>
      </c>
      <c r="Z28" s="2">
        <f t="shared" si="4"/>
        <v>55.6</v>
      </c>
      <c r="AH28" s="2"/>
    </row>
    <row r="29" spans="1:39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13.526999999999999</v>
      </c>
      <c r="J29" s="2">
        <v>59.4</v>
      </c>
      <c r="K29" s="2">
        <v>54.6</v>
      </c>
      <c r="L29" s="2">
        <v>58.5</v>
      </c>
      <c r="M29" s="2">
        <v>50.7</v>
      </c>
      <c r="N29" s="2">
        <v>57.6</v>
      </c>
      <c r="O29" s="2">
        <v>45.2</v>
      </c>
      <c r="P29" s="2">
        <v>58.9</v>
      </c>
      <c r="Q29" s="2">
        <v>50.6</v>
      </c>
      <c r="R29" s="2">
        <v>55.6</v>
      </c>
      <c r="S29" s="2">
        <v>48.1</v>
      </c>
      <c r="T29" s="2">
        <v>58.5</v>
      </c>
      <c r="U29" s="2">
        <v>54</v>
      </c>
      <c r="V29" s="5">
        <f t="shared" si="0"/>
        <v>54.308333333333337</v>
      </c>
      <c r="W29" s="4">
        <f t="shared" si="1"/>
        <v>1.3571057847902317</v>
      </c>
      <c r="X29" s="2">
        <f t="shared" si="2"/>
        <v>45.2</v>
      </c>
      <c r="Y29" s="3">
        <f t="shared" si="3"/>
        <v>50.675000000000004</v>
      </c>
      <c r="Z29" s="2">
        <f t="shared" si="4"/>
        <v>55.1</v>
      </c>
      <c r="AH29" s="3"/>
    </row>
    <row r="30" spans="1:39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13.548</v>
      </c>
      <c r="J30" s="2">
        <v>59.1</v>
      </c>
      <c r="K30" s="2">
        <v>42.5</v>
      </c>
      <c r="L30" s="2">
        <v>43.7</v>
      </c>
      <c r="M30" s="2">
        <v>45.1</v>
      </c>
      <c r="N30" s="2">
        <v>39.1</v>
      </c>
      <c r="O30" s="2">
        <v>55.6</v>
      </c>
      <c r="P30" s="2">
        <v>38.5</v>
      </c>
      <c r="Q30" s="2">
        <v>53.8</v>
      </c>
      <c r="R30" s="2">
        <v>39.299999999999997</v>
      </c>
      <c r="S30" s="2">
        <v>58</v>
      </c>
      <c r="T30" s="2">
        <v>40.6</v>
      </c>
      <c r="U30" s="2">
        <v>45.6</v>
      </c>
      <c r="V30" s="5">
        <f t="shared" si="0"/>
        <v>46.741666666666674</v>
      </c>
      <c r="W30" s="4">
        <f t="shared" si="1"/>
        <v>2.2334054149380673</v>
      </c>
      <c r="X30" s="2">
        <f t="shared" si="2"/>
        <v>38.5</v>
      </c>
      <c r="Y30" s="3">
        <f t="shared" si="3"/>
        <v>40.274999999999999</v>
      </c>
      <c r="Z30" s="2">
        <f t="shared" si="4"/>
        <v>44.400000000000006</v>
      </c>
      <c r="AH30" s="2"/>
    </row>
    <row r="31" spans="1:39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13.569000000000001</v>
      </c>
      <c r="J31" s="2">
        <v>58.8</v>
      </c>
      <c r="K31" s="2">
        <v>52</v>
      </c>
      <c r="L31" s="2">
        <v>58.9</v>
      </c>
      <c r="M31" s="2">
        <v>47.9</v>
      </c>
      <c r="N31" s="2">
        <v>57.8</v>
      </c>
      <c r="O31" s="2">
        <v>46.2</v>
      </c>
      <c r="P31" s="2">
        <v>52.7</v>
      </c>
      <c r="Q31" s="2">
        <v>56.6</v>
      </c>
      <c r="R31" s="2">
        <v>43.9</v>
      </c>
      <c r="S31" s="2">
        <v>55.9</v>
      </c>
      <c r="T31" s="2">
        <v>59.4</v>
      </c>
      <c r="U31" s="2">
        <v>47.9</v>
      </c>
      <c r="V31" s="5">
        <f t="shared" si="0"/>
        <v>53.166666666666657</v>
      </c>
      <c r="W31" s="4">
        <f t="shared" si="1"/>
        <v>1.5946089733153319</v>
      </c>
      <c r="X31" s="2">
        <f t="shared" si="2"/>
        <v>43.9</v>
      </c>
      <c r="Y31" s="3">
        <f t="shared" si="3"/>
        <v>47.9</v>
      </c>
      <c r="Z31" s="2">
        <f t="shared" si="4"/>
        <v>54.3</v>
      </c>
      <c r="AH31" s="3"/>
    </row>
    <row r="32" spans="1:39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13.587</v>
      </c>
      <c r="J32" s="2">
        <v>59</v>
      </c>
      <c r="K32" s="2">
        <v>51.9</v>
      </c>
      <c r="L32" s="2">
        <v>56.9</v>
      </c>
      <c r="M32" s="2">
        <v>53.7</v>
      </c>
      <c r="N32" s="2">
        <v>58.1</v>
      </c>
      <c r="O32" s="2">
        <v>47.9</v>
      </c>
      <c r="P32" s="2">
        <v>59.7</v>
      </c>
      <c r="Q32" s="2">
        <v>52.8</v>
      </c>
      <c r="R32" s="2">
        <v>58.6</v>
      </c>
      <c r="S32" s="2">
        <v>48.1</v>
      </c>
      <c r="T32" s="2">
        <v>60.3</v>
      </c>
      <c r="U32" s="2">
        <v>46.7</v>
      </c>
      <c r="V32" s="5">
        <f t="shared" si="0"/>
        <v>54.475000000000001</v>
      </c>
      <c r="W32" s="4">
        <f t="shared" si="1"/>
        <v>1.435751571741287</v>
      </c>
      <c r="X32" s="2">
        <f t="shared" si="2"/>
        <v>46.7</v>
      </c>
      <c r="Y32" s="3">
        <f t="shared" si="3"/>
        <v>50.95</v>
      </c>
      <c r="Z32" s="2">
        <f t="shared" si="4"/>
        <v>55.3</v>
      </c>
      <c r="AH32" s="2"/>
    </row>
    <row r="33" spans="1:34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13.61</v>
      </c>
      <c r="J33" s="2">
        <v>54.3</v>
      </c>
      <c r="K33" s="2">
        <v>46.7</v>
      </c>
      <c r="L33" s="2">
        <v>57.1</v>
      </c>
      <c r="M33" s="2">
        <v>43.6</v>
      </c>
      <c r="N33" s="2">
        <v>59</v>
      </c>
      <c r="O33" s="2">
        <v>39.200000000000003</v>
      </c>
      <c r="P33" s="2">
        <v>56.4</v>
      </c>
      <c r="Q33" s="2">
        <v>45.6</v>
      </c>
      <c r="R33" s="2">
        <v>49.8</v>
      </c>
      <c r="S33" s="2">
        <v>52.9</v>
      </c>
      <c r="T33" s="2">
        <v>52</v>
      </c>
      <c r="U33" s="2">
        <v>40.299999999999997</v>
      </c>
      <c r="V33" s="5">
        <f t="shared" si="0"/>
        <v>49.741666666666653</v>
      </c>
      <c r="W33" s="4">
        <f t="shared" si="1"/>
        <v>1.9157425308335598</v>
      </c>
      <c r="X33" s="2">
        <f t="shared" si="2"/>
        <v>39.200000000000003</v>
      </c>
      <c r="Y33" s="3">
        <f t="shared" si="3"/>
        <v>45.1</v>
      </c>
      <c r="Z33" s="2">
        <f t="shared" si="4"/>
        <v>50.9</v>
      </c>
      <c r="AH33" s="3"/>
    </row>
    <row r="34" spans="1:34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13.741</v>
      </c>
      <c r="J34" s="2">
        <v>55.7</v>
      </c>
      <c r="K34" s="2">
        <v>50.4</v>
      </c>
      <c r="L34" s="2">
        <v>56.6</v>
      </c>
      <c r="M34" s="2">
        <v>48.2</v>
      </c>
      <c r="N34" s="2">
        <v>57.6</v>
      </c>
      <c r="O34" s="2">
        <v>39.6</v>
      </c>
      <c r="P34" s="2">
        <v>56</v>
      </c>
      <c r="Q34" s="2">
        <v>54.1</v>
      </c>
      <c r="R34" s="2">
        <v>50.3</v>
      </c>
      <c r="S34" s="2">
        <v>46.6</v>
      </c>
      <c r="T34" s="2">
        <v>57.9</v>
      </c>
      <c r="U34" s="2">
        <v>39.9</v>
      </c>
      <c r="V34" s="5">
        <f t="shared" si="0"/>
        <v>51.074999999999996</v>
      </c>
      <c r="W34" s="4">
        <f t="shared" si="1"/>
        <v>1.8675508593131374</v>
      </c>
      <c r="X34" s="2">
        <f t="shared" si="2"/>
        <v>39.6</v>
      </c>
      <c r="Y34" s="3">
        <f t="shared" si="3"/>
        <v>47.800000000000004</v>
      </c>
      <c r="Z34" s="2">
        <f t="shared" si="4"/>
        <v>52.25</v>
      </c>
      <c r="AH34" s="2"/>
    </row>
    <row r="35" spans="1:34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13.721</v>
      </c>
      <c r="J35" s="2">
        <v>59.4</v>
      </c>
      <c r="K35" s="2">
        <v>42.7</v>
      </c>
      <c r="L35" s="2">
        <v>58.7</v>
      </c>
      <c r="M35" s="2">
        <v>41.8</v>
      </c>
      <c r="N35" s="2">
        <v>58.1</v>
      </c>
      <c r="O35" s="2">
        <v>43.4</v>
      </c>
      <c r="P35" s="2">
        <v>56.3</v>
      </c>
      <c r="Q35" s="2">
        <v>55</v>
      </c>
      <c r="R35" s="2">
        <v>54.2</v>
      </c>
      <c r="S35" s="2">
        <v>54.6</v>
      </c>
      <c r="T35" s="2">
        <v>60.1</v>
      </c>
      <c r="U35" s="2">
        <v>45.6</v>
      </c>
      <c r="V35" s="5">
        <f t="shared" si="0"/>
        <v>52.491666666666674</v>
      </c>
      <c r="W35" s="4">
        <f t="shared" si="1"/>
        <v>2.0302805573156752</v>
      </c>
      <c r="X35" s="2">
        <f t="shared" si="2"/>
        <v>41.8</v>
      </c>
      <c r="Y35" s="3">
        <f t="shared" si="3"/>
        <v>45.05</v>
      </c>
      <c r="Z35" s="2">
        <f t="shared" si="4"/>
        <v>54.8</v>
      </c>
      <c r="AH35" s="3"/>
    </row>
    <row r="36" spans="1:34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13.701000000000001</v>
      </c>
      <c r="J36" s="2">
        <v>58.4</v>
      </c>
      <c r="K36" s="2">
        <v>43.4</v>
      </c>
      <c r="L36" s="2">
        <v>57.9</v>
      </c>
      <c r="M36" s="2">
        <v>39.700000000000003</v>
      </c>
      <c r="N36" s="2">
        <v>58.4</v>
      </c>
      <c r="O36" s="2">
        <v>36.299999999999997</v>
      </c>
      <c r="P36" s="2">
        <v>54.9</v>
      </c>
      <c r="Q36" s="2">
        <v>54.1</v>
      </c>
      <c r="R36" s="2">
        <v>39</v>
      </c>
      <c r="S36" s="2">
        <v>57.6</v>
      </c>
      <c r="T36" s="2">
        <v>54.5</v>
      </c>
      <c r="U36" s="2">
        <v>42.2</v>
      </c>
      <c r="V36" s="5">
        <f t="shared" si="0"/>
        <v>49.70000000000001</v>
      </c>
      <c r="W36" s="4">
        <f t="shared" si="1"/>
        <v>2.5233155197321433</v>
      </c>
      <c r="X36" s="2">
        <f t="shared" si="2"/>
        <v>36.299999999999997</v>
      </c>
      <c r="Y36" s="3">
        <f t="shared" si="3"/>
        <v>41.575000000000003</v>
      </c>
      <c r="Z36" s="2">
        <f t="shared" si="4"/>
        <v>54.3</v>
      </c>
      <c r="AH36" s="2"/>
    </row>
    <row r="37" spans="1:34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13.682</v>
      </c>
      <c r="J37" s="2">
        <v>60.5</v>
      </c>
      <c r="K37" s="2">
        <v>49.5</v>
      </c>
      <c r="L37" s="2">
        <v>59.3</v>
      </c>
      <c r="M37" s="2">
        <v>39.799999999999997</v>
      </c>
      <c r="N37" s="2">
        <v>57.2</v>
      </c>
      <c r="O37" s="2">
        <v>51.5</v>
      </c>
      <c r="P37" s="2">
        <v>58.6</v>
      </c>
      <c r="Q37" s="2">
        <v>42.3</v>
      </c>
      <c r="R37" s="2">
        <v>58.8</v>
      </c>
      <c r="S37" s="2">
        <v>46.1</v>
      </c>
      <c r="T37" s="2">
        <v>59.9</v>
      </c>
      <c r="U37" s="2">
        <v>41.6</v>
      </c>
      <c r="V37" s="5">
        <f t="shared" si="0"/>
        <v>52.091666666666669</v>
      </c>
      <c r="W37" s="4">
        <f t="shared" si="1"/>
        <v>2.2980379751765407</v>
      </c>
      <c r="X37" s="2">
        <f t="shared" si="2"/>
        <v>39.799999999999997</v>
      </c>
      <c r="Y37" s="3">
        <f t="shared" si="3"/>
        <v>45.15</v>
      </c>
      <c r="Z37" s="2">
        <f t="shared" si="4"/>
        <v>54.35</v>
      </c>
      <c r="AH37" s="3"/>
    </row>
    <row r="38" spans="1:34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13.664</v>
      </c>
      <c r="J38" s="2">
        <v>59.8</v>
      </c>
      <c r="K38" s="2">
        <v>55.1</v>
      </c>
      <c r="L38" s="2">
        <v>58.2</v>
      </c>
      <c r="M38" s="2">
        <v>46.7</v>
      </c>
      <c r="N38" s="2">
        <v>58.3</v>
      </c>
      <c r="O38" s="2">
        <v>52.1</v>
      </c>
      <c r="P38" s="2">
        <v>58</v>
      </c>
      <c r="Q38" s="2">
        <v>45.7</v>
      </c>
      <c r="R38" s="2">
        <v>59.4</v>
      </c>
      <c r="S38" s="2">
        <v>50.8</v>
      </c>
      <c r="T38" s="2">
        <v>59.1</v>
      </c>
      <c r="U38" s="2">
        <v>40.299999999999997</v>
      </c>
      <c r="V38" s="5">
        <f t="shared" si="0"/>
        <v>53.625</v>
      </c>
      <c r="W38" s="4">
        <f t="shared" si="1"/>
        <v>1.8752424085725707</v>
      </c>
      <c r="X38" s="2">
        <f t="shared" si="2"/>
        <v>40.299999999999997</v>
      </c>
      <c r="Y38" s="3">
        <f t="shared" si="3"/>
        <v>49.774999999999999</v>
      </c>
      <c r="Z38" s="2">
        <f t="shared" si="4"/>
        <v>56.55</v>
      </c>
      <c r="AH38" s="2"/>
    </row>
    <row r="39" spans="1:34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13.638</v>
      </c>
      <c r="J39" s="2">
        <v>58.6</v>
      </c>
      <c r="K39" s="2">
        <v>47.5</v>
      </c>
      <c r="L39" s="2">
        <v>59.4</v>
      </c>
      <c r="M39" s="2">
        <v>45.5</v>
      </c>
      <c r="N39" s="2">
        <v>57.8</v>
      </c>
      <c r="O39" s="2">
        <v>52.8</v>
      </c>
      <c r="P39" s="2">
        <v>55.8</v>
      </c>
      <c r="Q39" s="2">
        <v>56.6</v>
      </c>
      <c r="R39" s="2">
        <v>47.2</v>
      </c>
      <c r="S39" s="2">
        <v>58.4</v>
      </c>
      <c r="T39" s="2">
        <v>53.8</v>
      </c>
      <c r="U39" s="2">
        <v>49</v>
      </c>
      <c r="V39" s="5">
        <f t="shared" si="0"/>
        <v>53.533333333333331</v>
      </c>
      <c r="W39" s="4">
        <f t="shared" si="1"/>
        <v>1.4531227259132851</v>
      </c>
      <c r="X39" s="2">
        <f t="shared" si="2"/>
        <v>45.5</v>
      </c>
      <c r="Y39" s="3">
        <f t="shared" si="3"/>
        <v>48.625</v>
      </c>
      <c r="Z39" s="2">
        <f t="shared" si="4"/>
        <v>54.8</v>
      </c>
      <c r="AH39" s="3"/>
    </row>
    <row r="40" spans="1:34" x14ac:dyDescent="0.2">
      <c r="A40" s="1">
        <v>901</v>
      </c>
      <c r="B40" s="1" t="s">
        <v>61</v>
      </c>
      <c r="C40" s="1">
        <v>32</v>
      </c>
      <c r="D40" s="1">
        <v>9</v>
      </c>
      <c r="E40" s="1">
        <v>0</v>
      </c>
      <c r="F40" s="1">
        <v>1</v>
      </c>
      <c r="G40" s="1">
        <v>1</v>
      </c>
      <c r="H40" s="1">
        <v>1</v>
      </c>
      <c r="I40" s="4">
        <v>13.401999999999999</v>
      </c>
      <c r="J40" s="2">
        <v>27.7</v>
      </c>
      <c r="K40" s="2">
        <v>30.1</v>
      </c>
      <c r="L40" s="2">
        <v>32.4</v>
      </c>
      <c r="M40" s="2">
        <v>44.3</v>
      </c>
      <c r="N40" s="2">
        <v>59.1</v>
      </c>
      <c r="O40" s="2">
        <v>58.9</v>
      </c>
      <c r="P40" s="2">
        <v>54.6</v>
      </c>
      <c r="Q40" s="2">
        <v>56.9</v>
      </c>
      <c r="R40" s="2">
        <v>55.9</v>
      </c>
      <c r="S40" s="2">
        <v>58.4</v>
      </c>
      <c r="T40" s="2">
        <v>57.5</v>
      </c>
      <c r="U40" s="2">
        <v>56.6</v>
      </c>
      <c r="V40" s="5">
        <f t="shared" si="0"/>
        <v>49.366666666666667</v>
      </c>
      <c r="W40" s="4">
        <f t="shared" si="1"/>
        <v>3.5533879124809507</v>
      </c>
      <c r="X40" s="2">
        <f t="shared" si="2"/>
        <v>27.7</v>
      </c>
      <c r="Y40" s="3">
        <f t="shared" si="3"/>
        <v>41.324999999999996</v>
      </c>
      <c r="Z40" s="2">
        <f t="shared" si="4"/>
        <v>56.25</v>
      </c>
      <c r="AH40" s="2"/>
    </row>
    <row r="41" spans="1:34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13.385999999999999</v>
      </c>
      <c r="J41" s="2">
        <v>61</v>
      </c>
      <c r="K41" s="2">
        <v>59.3</v>
      </c>
      <c r="L41" s="2">
        <v>46.1</v>
      </c>
      <c r="M41" s="2">
        <v>57.4</v>
      </c>
      <c r="N41" s="2">
        <v>50.2</v>
      </c>
      <c r="O41" s="2">
        <v>54.7</v>
      </c>
      <c r="P41" s="2">
        <v>59.7</v>
      </c>
      <c r="Q41" s="2">
        <v>51.8</v>
      </c>
      <c r="R41" s="2">
        <v>56.7</v>
      </c>
      <c r="S41" s="2">
        <v>51.3</v>
      </c>
      <c r="T41" s="2">
        <v>59.1</v>
      </c>
      <c r="U41" s="2">
        <v>41.1</v>
      </c>
      <c r="V41" s="5">
        <f t="shared" si="0"/>
        <v>54.033333333333331</v>
      </c>
      <c r="W41" s="4">
        <f t="shared" si="1"/>
        <v>1.7630609287213732</v>
      </c>
      <c r="X41" s="2">
        <f t="shared" si="2"/>
        <v>41.1</v>
      </c>
      <c r="Y41" s="3">
        <f t="shared" si="3"/>
        <v>51.024999999999999</v>
      </c>
      <c r="Z41" s="2">
        <f t="shared" si="4"/>
        <v>55.7</v>
      </c>
      <c r="AH41" s="3"/>
    </row>
    <row r="42" spans="1:34" x14ac:dyDescent="0.2">
      <c r="A42" s="1">
        <v>903</v>
      </c>
      <c r="B42" s="1" t="s">
        <v>74</v>
      </c>
      <c r="C42" s="1">
        <v>31</v>
      </c>
      <c r="D42" s="1">
        <v>8</v>
      </c>
      <c r="E42" s="1">
        <v>0</v>
      </c>
      <c r="F42" s="1">
        <v>1</v>
      </c>
      <c r="G42" s="1">
        <v>1</v>
      </c>
      <c r="H42" s="1">
        <v>1</v>
      </c>
      <c r="I42" s="4">
        <v>13.374000000000001</v>
      </c>
      <c r="J42" s="2">
        <v>60.6</v>
      </c>
      <c r="K42" s="2">
        <v>63.3</v>
      </c>
      <c r="L42" s="2">
        <v>62.2</v>
      </c>
      <c r="M42" s="2">
        <v>63.9</v>
      </c>
      <c r="N42" s="2">
        <v>60.4</v>
      </c>
      <c r="O42" s="2">
        <v>64.099999999999994</v>
      </c>
      <c r="P42" s="2">
        <v>63</v>
      </c>
      <c r="Q42" s="2">
        <v>61.2</v>
      </c>
      <c r="R42" s="2">
        <v>63.1</v>
      </c>
      <c r="S42" s="2">
        <v>62.1</v>
      </c>
      <c r="T42" s="2">
        <v>62.3</v>
      </c>
      <c r="U42" s="2">
        <v>64.599999999999994</v>
      </c>
      <c r="V42" s="5">
        <f t="shared" ref="V42:V73" si="5">AVERAGE(J42:U42)</f>
        <v>62.566666666666663</v>
      </c>
      <c r="W42" s="4">
        <f t="shared" ref="W42:W73" si="6">STDEV(J42:U42)/SQRT(COUNT(J42:U42))</f>
        <v>0.39048014991129454</v>
      </c>
      <c r="X42" s="2">
        <f t="shared" ref="X42:X73" si="7">MIN(J42:U42)</f>
        <v>60.4</v>
      </c>
      <c r="Y42" s="3">
        <f t="shared" ref="Y42:Y73" si="8">QUARTILE(J42:U42,1)</f>
        <v>61.875</v>
      </c>
      <c r="Z42" s="2">
        <f t="shared" ref="Z42:Z73" si="9">MEDIAN(J42:U42)</f>
        <v>62.65</v>
      </c>
      <c r="AH42" s="2"/>
    </row>
    <row r="43" spans="1:34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13.353999999999999</v>
      </c>
      <c r="J43" s="2">
        <v>60.2</v>
      </c>
      <c r="K43" s="2">
        <v>58.1</v>
      </c>
      <c r="L43" s="2">
        <v>56.9</v>
      </c>
      <c r="M43" s="2">
        <v>47.6</v>
      </c>
      <c r="N43" s="2">
        <v>54.2</v>
      </c>
      <c r="O43" s="2">
        <v>48</v>
      </c>
      <c r="P43" s="2">
        <v>61.9</v>
      </c>
      <c r="Q43" s="2">
        <v>44.8</v>
      </c>
      <c r="R43" s="2">
        <v>54.1</v>
      </c>
      <c r="S43" s="2">
        <v>45.3</v>
      </c>
      <c r="T43" s="2">
        <v>58.3</v>
      </c>
      <c r="U43" s="2">
        <v>44</v>
      </c>
      <c r="V43" s="5">
        <f t="shared" si="5"/>
        <v>52.783333333333331</v>
      </c>
      <c r="W43" s="4">
        <f t="shared" si="6"/>
        <v>1.8751498256637826</v>
      </c>
      <c r="X43" s="2">
        <f t="shared" si="7"/>
        <v>44</v>
      </c>
      <c r="Y43" s="3">
        <f t="shared" si="8"/>
        <v>47.024999999999999</v>
      </c>
      <c r="Z43" s="2">
        <f t="shared" si="9"/>
        <v>54.150000000000006</v>
      </c>
      <c r="AH43" s="3"/>
    </row>
    <row r="44" spans="1:34" x14ac:dyDescent="0.2">
      <c r="A44" s="1">
        <v>905</v>
      </c>
      <c r="B44" s="1" t="s">
        <v>61</v>
      </c>
      <c r="C44" s="1">
        <v>32</v>
      </c>
      <c r="D44" s="1">
        <v>9</v>
      </c>
      <c r="E44" s="1">
        <v>0</v>
      </c>
      <c r="F44" s="1">
        <v>1</v>
      </c>
      <c r="G44" s="1">
        <v>2</v>
      </c>
      <c r="H44" s="1">
        <v>1</v>
      </c>
      <c r="I44" s="4">
        <v>13.347</v>
      </c>
      <c r="J44" s="2">
        <v>35.299999999999997</v>
      </c>
      <c r="K44" s="2">
        <v>38</v>
      </c>
      <c r="L44" s="2">
        <v>35.5</v>
      </c>
      <c r="M44" s="2">
        <v>35.9</v>
      </c>
      <c r="N44" s="2">
        <v>36.4</v>
      </c>
      <c r="O44" s="2">
        <v>35.700000000000003</v>
      </c>
      <c r="P44" s="2">
        <v>35.200000000000003</v>
      </c>
      <c r="Q44" s="2">
        <v>35.5</v>
      </c>
      <c r="R44" s="2">
        <v>36.1</v>
      </c>
      <c r="S44" s="2">
        <v>36.1</v>
      </c>
      <c r="T44" s="2">
        <v>37.299999999999997</v>
      </c>
      <c r="U44" s="2">
        <v>36.200000000000003</v>
      </c>
      <c r="V44" s="5">
        <f t="shared" si="5"/>
        <v>36.1</v>
      </c>
      <c r="W44" s="4">
        <f t="shared" si="6"/>
        <v>0.23868325657594189</v>
      </c>
      <c r="X44" s="2">
        <f t="shared" si="7"/>
        <v>35.200000000000003</v>
      </c>
      <c r="Y44" s="3">
        <f t="shared" si="8"/>
        <v>35.5</v>
      </c>
      <c r="Z44" s="2">
        <f t="shared" si="9"/>
        <v>36</v>
      </c>
      <c r="AH44" s="2"/>
    </row>
    <row r="45" spans="1:34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13.327999999999999</v>
      </c>
      <c r="J45" s="2">
        <v>60.6</v>
      </c>
      <c r="K45" s="2">
        <v>51.5</v>
      </c>
      <c r="L45" s="2">
        <v>59.1</v>
      </c>
      <c r="M45" s="2">
        <v>41</v>
      </c>
      <c r="N45" s="2">
        <v>57.2</v>
      </c>
      <c r="O45" s="2">
        <v>41.1</v>
      </c>
      <c r="P45" s="2">
        <v>59.3</v>
      </c>
      <c r="Q45" s="2">
        <v>52.7</v>
      </c>
      <c r="R45" s="2">
        <v>57.6</v>
      </c>
      <c r="S45" s="2">
        <v>52.8</v>
      </c>
      <c r="T45" s="2">
        <v>59</v>
      </c>
      <c r="U45" s="2">
        <v>49.8</v>
      </c>
      <c r="V45" s="5">
        <f t="shared" si="5"/>
        <v>53.474999999999994</v>
      </c>
      <c r="W45" s="4">
        <f t="shared" si="6"/>
        <v>1.955920499406876</v>
      </c>
      <c r="X45" s="2">
        <f t="shared" si="7"/>
        <v>41</v>
      </c>
      <c r="Y45" s="3">
        <f t="shared" si="8"/>
        <v>51.075000000000003</v>
      </c>
      <c r="Z45" s="2">
        <f t="shared" si="9"/>
        <v>55</v>
      </c>
      <c r="AH45" s="3"/>
    </row>
    <row r="46" spans="1:34" x14ac:dyDescent="0.2">
      <c r="A46" s="1">
        <v>907</v>
      </c>
      <c r="B46" s="1" t="s">
        <v>74</v>
      </c>
      <c r="C46" s="1">
        <v>31</v>
      </c>
      <c r="D46" s="1">
        <v>8</v>
      </c>
      <c r="E46" s="1">
        <v>0</v>
      </c>
      <c r="F46" s="1">
        <v>1</v>
      </c>
      <c r="G46" s="1">
        <v>2</v>
      </c>
      <c r="H46" s="1">
        <v>1</v>
      </c>
      <c r="I46" s="4">
        <v>13.318</v>
      </c>
      <c r="J46" s="2">
        <v>60.6</v>
      </c>
      <c r="K46" s="2">
        <v>64.7</v>
      </c>
      <c r="L46" s="2">
        <v>63.1</v>
      </c>
      <c r="M46" s="2">
        <v>61.7</v>
      </c>
      <c r="N46" s="2">
        <v>64.5</v>
      </c>
      <c r="O46" s="2">
        <v>63.4</v>
      </c>
      <c r="P46" s="2">
        <v>65.599999999999994</v>
      </c>
      <c r="Q46" s="2">
        <v>60.4</v>
      </c>
      <c r="R46" s="2">
        <v>64.099999999999994</v>
      </c>
      <c r="S46" s="2">
        <v>62.8</v>
      </c>
      <c r="T46" s="2">
        <v>64.099999999999994</v>
      </c>
      <c r="U46" s="2">
        <v>62.5</v>
      </c>
      <c r="V46" s="5">
        <f t="shared" si="5"/>
        <v>63.125</v>
      </c>
      <c r="W46" s="4">
        <f t="shared" si="6"/>
        <v>0.4671196394669756</v>
      </c>
      <c r="X46" s="2">
        <f t="shared" si="7"/>
        <v>60.4</v>
      </c>
      <c r="Y46" s="3">
        <f t="shared" si="8"/>
        <v>62.3</v>
      </c>
      <c r="Z46" s="2">
        <f t="shared" si="9"/>
        <v>63.25</v>
      </c>
      <c r="AH46" s="2"/>
    </row>
    <row r="47" spans="1:34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13.298999999999999</v>
      </c>
      <c r="J47" s="2">
        <v>59.1</v>
      </c>
      <c r="K47" s="2">
        <v>44.7</v>
      </c>
      <c r="L47" s="2">
        <v>58.4</v>
      </c>
      <c r="M47" s="2">
        <v>51.8</v>
      </c>
      <c r="N47" s="2">
        <v>49.1</v>
      </c>
      <c r="O47" s="2">
        <v>59.1</v>
      </c>
      <c r="P47" s="2">
        <v>39.700000000000003</v>
      </c>
      <c r="Q47" s="2">
        <v>57.5</v>
      </c>
      <c r="R47" s="2">
        <v>54.6</v>
      </c>
      <c r="S47" s="2">
        <v>59.6</v>
      </c>
      <c r="T47" s="2">
        <v>53.4</v>
      </c>
      <c r="U47" s="2">
        <v>49.6</v>
      </c>
      <c r="V47" s="5">
        <f t="shared" si="5"/>
        <v>53.050000000000004</v>
      </c>
      <c r="W47" s="4">
        <f t="shared" si="6"/>
        <v>1.834166477358766</v>
      </c>
      <c r="X47" s="2">
        <f t="shared" si="7"/>
        <v>39.700000000000003</v>
      </c>
      <c r="Y47" s="3">
        <f t="shared" si="8"/>
        <v>49.475000000000001</v>
      </c>
      <c r="Z47" s="2">
        <f t="shared" si="9"/>
        <v>54</v>
      </c>
      <c r="AH47" s="3"/>
    </row>
    <row r="48" spans="1:34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13.109</v>
      </c>
      <c r="J48" s="2">
        <v>28.6</v>
      </c>
      <c r="K48" s="2">
        <v>30.6</v>
      </c>
      <c r="L48" s="2">
        <v>29.3</v>
      </c>
      <c r="M48" s="2">
        <v>30</v>
      </c>
      <c r="N48" s="2">
        <v>29</v>
      </c>
      <c r="O48" s="2">
        <v>29.9</v>
      </c>
      <c r="P48" s="2">
        <v>29.9</v>
      </c>
      <c r="Q48" s="2">
        <v>29.3</v>
      </c>
      <c r="R48" s="2">
        <v>30.4</v>
      </c>
      <c r="S48" s="2">
        <v>29.5</v>
      </c>
      <c r="T48" s="2">
        <v>30.3</v>
      </c>
      <c r="U48" s="2">
        <v>30</v>
      </c>
      <c r="V48" s="5">
        <f t="shared" si="5"/>
        <v>29.733333333333334</v>
      </c>
      <c r="W48" s="4">
        <f t="shared" si="6"/>
        <v>0.17335081496925539</v>
      </c>
      <c r="X48" s="2">
        <f t="shared" si="7"/>
        <v>28.6</v>
      </c>
      <c r="Y48" s="3">
        <f t="shared" si="8"/>
        <v>29.3</v>
      </c>
      <c r="Z48" s="2">
        <f t="shared" si="9"/>
        <v>29.9</v>
      </c>
      <c r="AH48" s="2"/>
    </row>
    <row r="49" spans="1:34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13.089</v>
      </c>
      <c r="J49" s="2">
        <v>26.7</v>
      </c>
      <c r="K49" s="2">
        <v>28.6</v>
      </c>
      <c r="L49" s="2">
        <v>27.6</v>
      </c>
      <c r="M49" s="2">
        <v>26.8</v>
      </c>
      <c r="N49" s="2">
        <v>28.6</v>
      </c>
      <c r="O49" s="2">
        <v>27.6</v>
      </c>
      <c r="P49" s="2">
        <v>28.3</v>
      </c>
      <c r="Q49" s="2">
        <v>26.9</v>
      </c>
      <c r="R49" s="2">
        <v>27.1</v>
      </c>
      <c r="S49" s="2">
        <v>32.700000000000003</v>
      </c>
      <c r="T49" s="2">
        <v>27.6</v>
      </c>
      <c r="U49" s="2">
        <v>27.9</v>
      </c>
      <c r="V49" s="5">
        <f t="shared" si="5"/>
        <v>28.033333333333335</v>
      </c>
      <c r="W49" s="4">
        <f t="shared" si="6"/>
        <v>0.46487752269937865</v>
      </c>
      <c r="X49" s="2">
        <f t="shared" si="7"/>
        <v>26.7</v>
      </c>
      <c r="Y49" s="3">
        <f t="shared" si="8"/>
        <v>27.05</v>
      </c>
      <c r="Z49" s="2">
        <f t="shared" si="9"/>
        <v>27.6</v>
      </c>
      <c r="AH49" s="3"/>
    </row>
    <row r="50" spans="1:34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13.065</v>
      </c>
      <c r="J50" s="2">
        <v>26.6</v>
      </c>
      <c r="K50" s="2">
        <v>28.4</v>
      </c>
      <c r="L50" s="2">
        <v>28.7</v>
      </c>
      <c r="M50" s="2">
        <v>28.9</v>
      </c>
      <c r="N50" s="2">
        <v>27.9</v>
      </c>
      <c r="O50" s="2">
        <v>28.5</v>
      </c>
      <c r="P50" s="2">
        <v>28.4</v>
      </c>
      <c r="Q50" s="2">
        <v>28.3</v>
      </c>
      <c r="R50" s="2">
        <v>29.4</v>
      </c>
      <c r="S50" s="2">
        <v>28</v>
      </c>
      <c r="T50" s="2">
        <v>28.7</v>
      </c>
      <c r="U50" s="2">
        <v>28.7</v>
      </c>
      <c r="V50" s="5">
        <f t="shared" si="5"/>
        <v>28.375</v>
      </c>
      <c r="W50" s="4">
        <f t="shared" si="6"/>
        <v>0.19814480471706436</v>
      </c>
      <c r="X50" s="2">
        <f t="shared" si="7"/>
        <v>26.6</v>
      </c>
      <c r="Y50" s="3">
        <f t="shared" si="8"/>
        <v>28.225000000000001</v>
      </c>
      <c r="Z50" s="2">
        <f t="shared" si="9"/>
        <v>28.45</v>
      </c>
      <c r="AH50" s="2"/>
    </row>
    <row r="51" spans="1:34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13.042999999999999</v>
      </c>
      <c r="J51" s="2">
        <v>27.3</v>
      </c>
      <c r="K51" s="2">
        <v>28</v>
      </c>
      <c r="L51" s="2">
        <v>28.5</v>
      </c>
      <c r="M51" s="2">
        <v>28.9</v>
      </c>
      <c r="N51" s="2">
        <v>28.6</v>
      </c>
      <c r="O51" s="2">
        <v>27.7</v>
      </c>
      <c r="P51" s="2">
        <v>27.6</v>
      </c>
      <c r="Q51" s="2">
        <v>28.4</v>
      </c>
      <c r="R51" s="2">
        <v>28.7</v>
      </c>
      <c r="S51" s="2">
        <v>27.8</v>
      </c>
      <c r="T51" s="2">
        <v>28.8</v>
      </c>
      <c r="U51" s="2">
        <v>29.1</v>
      </c>
      <c r="V51" s="5">
        <f t="shared" si="5"/>
        <v>28.283333333333331</v>
      </c>
      <c r="W51" s="4">
        <f t="shared" si="6"/>
        <v>0.16825005440736354</v>
      </c>
      <c r="X51" s="2">
        <f t="shared" si="7"/>
        <v>27.3</v>
      </c>
      <c r="Y51" s="3">
        <f t="shared" si="8"/>
        <v>27.774999999999999</v>
      </c>
      <c r="Z51" s="2">
        <f t="shared" si="9"/>
        <v>28.45</v>
      </c>
      <c r="AH51" s="3"/>
    </row>
    <row r="52" spans="1:34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13.025</v>
      </c>
      <c r="J52" s="2">
        <v>26.5</v>
      </c>
      <c r="K52" s="2">
        <v>26</v>
      </c>
      <c r="L52" s="2">
        <v>26.7</v>
      </c>
      <c r="M52" s="2">
        <v>28.3</v>
      </c>
      <c r="N52" s="2">
        <v>26.8</v>
      </c>
      <c r="O52" s="2">
        <v>27.6</v>
      </c>
      <c r="P52" s="2">
        <v>26.1</v>
      </c>
      <c r="Q52" s="2">
        <v>28.1</v>
      </c>
      <c r="R52" s="2">
        <v>29.2</v>
      </c>
      <c r="S52" s="2">
        <v>28.5</v>
      </c>
      <c r="T52" s="2">
        <v>28.6</v>
      </c>
      <c r="U52" s="2">
        <v>28.1</v>
      </c>
      <c r="V52" s="5">
        <f t="shared" si="5"/>
        <v>27.541666666666668</v>
      </c>
      <c r="W52" s="4">
        <f t="shared" si="6"/>
        <v>0.31126777260523825</v>
      </c>
      <c r="X52" s="2">
        <f t="shared" si="7"/>
        <v>26</v>
      </c>
      <c r="Y52" s="3">
        <f t="shared" si="8"/>
        <v>26.65</v>
      </c>
      <c r="Z52" s="2">
        <f t="shared" si="9"/>
        <v>27.85</v>
      </c>
      <c r="AH52" s="2"/>
    </row>
    <row r="53" spans="1:34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13.006</v>
      </c>
      <c r="J53" s="2">
        <v>31.8</v>
      </c>
      <c r="K53" s="2">
        <v>30.1</v>
      </c>
      <c r="L53" s="2">
        <v>28.8</v>
      </c>
      <c r="M53" s="2">
        <v>27.8</v>
      </c>
      <c r="N53" s="2">
        <v>29.3</v>
      </c>
      <c r="O53" s="2">
        <v>28</v>
      </c>
      <c r="P53" s="2">
        <v>30.5</v>
      </c>
      <c r="Q53" s="2">
        <v>27.8</v>
      </c>
      <c r="R53" s="2">
        <v>27.9</v>
      </c>
      <c r="S53" s="2">
        <v>28</v>
      </c>
      <c r="T53" s="2">
        <v>32</v>
      </c>
      <c r="U53" s="2">
        <v>29</v>
      </c>
      <c r="V53" s="5">
        <f t="shared" si="5"/>
        <v>29.25</v>
      </c>
      <c r="W53" s="4">
        <f t="shared" si="6"/>
        <v>0.44184530406837275</v>
      </c>
      <c r="X53" s="2">
        <f t="shared" si="7"/>
        <v>27.8</v>
      </c>
      <c r="Y53" s="3">
        <f t="shared" si="8"/>
        <v>27.975000000000001</v>
      </c>
      <c r="Z53" s="2">
        <f t="shared" si="9"/>
        <v>28.9</v>
      </c>
      <c r="AH53" s="3"/>
    </row>
    <row r="54" spans="1:34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12.988</v>
      </c>
      <c r="J54" s="2">
        <v>32.700000000000003</v>
      </c>
      <c r="K54" s="2">
        <v>28.7</v>
      </c>
      <c r="L54" s="2">
        <v>28.9</v>
      </c>
      <c r="M54" s="2">
        <v>30.6</v>
      </c>
      <c r="N54" s="2">
        <v>27.1</v>
      </c>
      <c r="O54" s="2">
        <v>29.5</v>
      </c>
      <c r="P54" s="2">
        <v>27.2</v>
      </c>
      <c r="Q54" s="2">
        <v>27.7</v>
      </c>
      <c r="R54" s="2">
        <v>27</v>
      </c>
      <c r="S54" s="2">
        <v>28</v>
      </c>
      <c r="T54" s="2">
        <v>26.7</v>
      </c>
      <c r="U54" s="2">
        <v>27.4</v>
      </c>
      <c r="V54" s="5">
        <f t="shared" si="5"/>
        <v>28.458333333333329</v>
      </c>
      <c r="W54" s="4">
        <f t="shared" si="6"/>
        <v>0.51100885560335518</v>
      </c>
      <c r="X54" s="2">
        <f t="shared" si="7"/>
        <v>26.7</v>
      </c>
      <c r="Y54" s="3">
        <f t="shared" si="8"/>
        <v>27.175000000000001</v>
      </c>
      <c r="Z54" s="2">
        <f t="shared" si="9"/>
        <v>27.85</v>
      </c>
      <c r="AH54" s="2"/>
    </row>
    <row r="55" spans="1:34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12.97</v>
      </c>
      <c r="J55" s="2">
        <v>30.2</v>
      </c>
      <c r="K55" s="2">
        <v>31.8</v>
      </c>
      <c r="L55" s="2">
        <v>32.200000000000003</v>
      </c>
      <c r="M55" s="2">
        <v>31.9</v>
      </c>
      <c r="N55" s="2">
        <v>27.2</v>
      </c>
      <c r="O55" s="2">
        <v>29</v>
      </c>
      <c r="P55" s="2">
        <v>29.1</v>
      </c>
      <c r="Q55" s="2">
        <v>28.3</v>
      </c>
      <c r="R55" s="2">
        <v>28</v>
      </c>
      <c r="S55" s="2">
        <v>29</v>
      </c>
      <c r="T55" s="2">
        <v>28.1</v>
      </c>
      <c r="U55" s="2">
        <v>29.2</v>
      </c>
      <c r="V55" s="5">
        <f t="shared" si="5"/>
        <v>29.5</v>
      </c>
      <c r="W55" s="4">
        <f t="shared" si="6"/>
        <v>0.48084521544060443</v>
      </c>
      <c r="X55" s="2">
        <f t="shared" si="7"/>
        <v>27.2</v>
      </c>
      <c r="Y55" s="3">
        <f t="shared" si="8"/>
        <v>28.25</v>
      </c>
      <c r="Z55" s="2">
        <f t="shared" si="9"/>
        <v>29.05</v>
      </c>
      <c r="AH55" s="3"/>
    </row>
    <row r="56" spans="1:34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13.138999999999999</v>
      </c>
      <c r="J56" s="2">
        <v>30.9</v>
      </c>
      <c r="K56" s="2">
        <v>28.6</v>
      </c>
      <c r="L56" s="2">
        <v>27.7</v>
      </c>
      <c r="M56" s="2">
        <v>27.8</v>
      </c>
      <c r="N56" s="2">
        <v>27</v>
      </c>
      <c r="O56" s="2">
        <v>29.7</v>
      </c>
      <c r="P56" s="2">
        <v>28.8</v>
      </c>
      <c r="Q56" s="2">
        <v>28.7</v>
      </c>
      <c r="R56" s="2">
        <v>26.5</v>
      </c>
      <c r="S56" s="2">
        <v>26.7</v>
      </c>
      <c r="T56" s="2">
        <v>27.5</v>
      </c>
      <c r="U56" s="2">
        <v>28.8</v>
      </c>
      <c r="V56" s="5">
        <f t="shared" si="5"/>
        <v>28.224999999999998</v>
      </c>
      <c r="W56" s="4">
        <f t="shared" si="6"/>
        <v>0.37073330281778272</v>
      </c>
      <c r="X56" s="2">
        <f t="shared" si="7"/>
        <v>26.5</v>
      </c>
      <c r="Y56" s="3">
        <f t="shared" si="8"/>
        <v>27.375</v>
      </c>
      <c r="Z56" s="2">
        <f t="shared" si="9"/>
        <v>28.200000000000003</v>
      </c>
      <c r="AH56" s="2"/>
    </row>
    <row r="57" spans="1:34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13.157999999999999</v>
      </c>
      <c r="J57" s="2">
        <v>31.6</v>
      </c>
      <c r="K57" s="2">
        <v>29.2</v>
      </c>
      <c r="L57" s="2">
        <v>28</v>
      </c>
      <c r="M57" s="2">
        <v>29.7</v>
      </c>
      <c r="N57" s="2">
        <v>29.5</v>
      </c>
      <c r="O57" s="2">
        <v>30.4</v>
      </c>
      <c r="P57" s="2">
        <v>31.7</v>
      </c>
      <c r="Q57" s="2">
        <v>28.7</v>
      </c>
      <c r="R57" s="2">
        <v>29.3</v>
      </c>
      <c r="S57" s="2">
        <v>29.6</v>
      </c>
      <c r="T57" s="2">
        <v>29.9</v>
      </c>
      <c r="U57" s="2">
        <v>31.3</v>
      </c>
      <c r="V57" s="5">
        <f t="shared" si="5"/>
        <v>29.908333333333331</v>
      </c>
      <c r="W57" s="4">
        <f t="shared" si="6"/>
        <v>0.33176715395657308</v>
      </c>
      <c r="X57" s="2">
        <f t="shared" si="7"/>
        <v>28</v>
      </c>
      <c r="Y57" s="3">
        <f t="shared" si="8"/>
        <v>29.274999999999999</v>
      </c>
      <c r="Z57" s="2">
        <f t="shared" si="9"/>
        <v>29.65</v>
      </c>
      <c r="AH57" s="3"/>
    </row>
    <row r="58" spans="1:34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13.177</v>
      </c>
      <c r="J58" s="2">
        <v>27.7</v>
      </c>
      <c r="K58" s="2">
        <v>29.5</v>
      </c>
      <c r="L58" s="2">
        <v>28.4</v>
      </c>
      <c r="M58" s="2">
        <v>29</v>
      </c>
      <c r="N58" s="2">
        <v>28.7</v>
      </c>
      <c r="O58" s="2">
        <v>28.1</v>
      </c>
      <c r="P58" s="2">
        <v>28.8</v>
      </c>
      <c r="Q58" s="2">
        <v>30.4</v>
      </c>
      <c r="R58" s="2">
        <v>28.9</v>
      </c>
      <c r="S58" s="2">
        <v>29</v>
      </c>
      <c r="T58" s="2">
        <v>30.2</v>
      </c>
      <c r="U58" s="2">
        <v>29.1</v>
      </c>
      <c r="V58" s="5">
        <f t="shared" si="5"/>
        <v>28.983333333333334</v>
      </c>
      <c r="W58" s="4">
        <f t="shared" si="6"/>
        <v>0.22456467426844523</v>
      </c>
      <c r="X58" s="2">
        <f t="shared" si="7"/>
        <v>27.7</v>
      </c>
      <c r="Y58" s="3">
        <f t="shared" si="8"/>
        <v>28.625</v>
      </c>
      <c r="Z58" s="2">
        <f t="shared" si="9"/>
        <v>28.95</v>
      </c>
      <c r="AH58" s="2"/>
    </row>
    <row r="59" spans="1:34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13.194000000000001</v>
      </c>
      <c r="J59" s="2">
        <v>30.2</v>
      </c>
      <c r="K59" s="2">
        <v>30</v>
      </c>
      <c r="L59" s="2">
        <v>29.4</v>
      </c>
      <c r="M59" s="2">
        <v>29.7</v>
      </c>
      <c r="N59" s="2">
        <v>29.1</v>
      </c>
      <c r="O59" s="2">
        <v>31</v>
      </c>
      <c r="P59" s="2">
        <v>29.3</v>
      </c>
      <c r="Q59" s="2">
        <v>29.3</v>
      </c>
      <c r="R59" s="2">
        <v>29.6</v>
      </c>
      <c r="S59" s="2">
        <v>29.9</v>
      </c>
      <c r="T59" s="2">
        <v>29.4</v>
      </c>
      <c r="U59" s="2">
        <v>29.3</v>
      </c>
      <c r="V59" s="5">
        <f t="shared" si="5"/>
        <v>29.683333333333334</v>
      </c>
      <c r="W59" s="4">
        <f t="shared" si="6"/>
        <v>0.15316525702520117</v>
      </c>
      <c r="X59" s="2">
        <f t="shared" si="7"/>
        <v>29.1</v>
      </c>
      <c r="Y59" s="3">
        <f t="shared" si="8"/>
        <v>29.3</v>
      </c>
      <c r="Z59" s="2">
        <f t="shared" si="9"/>
        <v>29.5</v>
      </c>
      <c r="AH59" s="3"/>
    </row>
    <row r="60" spans="1:34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13.214</v>
      </c>
      <c r="J60" s="2">
        <v>29.1</v>
      </c>
      <c r="K60" s="2">
        <v>28.1</v>
      </c>
      <c r="L60" s="2">
        <v>27.6</v>
      </c>
      <c r="M60" s="2">
        <v>29.7</v>
      </c>
      <c r="N60" s="2">
        <v>28.1</v>
      </c>
      <c r="O60" s="2">
        <v>28.1</v>
      </c>
      <c r="P60" s="2">
        <v>27.6</v>
      </c>
      <c r="Q60" s="2">
        <v>26.9</v>
      </c>
      <c r="R60" s="2">
        <v>26.9</v>
      </c>
      <c r="S60" s="2">
        <v>28.9</v>
      </c>
      <c r="T60" s="2">
        <v>28.2</v>
      </c>
      <c r="U60" s="2">
        <v>27.9</v>
      </c>
      <c r="V60" s="5">
        <f t="shared" si="5"/>
        <v>28.091666666666665</v>
      </c>
      <c r="W60" s="4">
        <f t="shared" si="6"/>
        <v>0.24040947812371541</v>
      </c>
      <c r="X60" s="2">
        <f t="shared" si="7"/>
        <v>26.9</v>
      </c>
      <c r="Y60" s="3">
        <f t="shared" si="8"/>
        <v>27.6</v>
      </c>
      <c r="Z60" s="2">
        <f t="shared" si="9"/>
        <v>28.1</v>
      </c>
      <c r="AH60" s="2"/>
    </row>
    <row r="61" spans="1:34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13.234</v>
      </c>
      <c r="J61" s="2">
        <v>25.9</v>
      </c>
      <c r="K61" s="2">
        <v>29.2</v>
      </c>
      <c r="L61" s="2">
        <v>27.9</v>
      </c>
      <c r="M61" s="2">
        <v>26.7</v>
      </c>
      <c r="N61" s="2">
        <v>29.3</v>
      </c>
      <c r="O61" s="2">
        <v>26.5</v>
      </c>
      <c r="P61" s="2">
        <v>27.8</v>
      </c>
      <c r="Q61" s="2">
        <v>28.4</v>
      </c>
      <c r="R61" s="2">
        <v>27.8</v>
      </c>
      <c r="S61" s="2">
        <v>28.1</v>
      </c>
      <c r="T61" s="2">
        <v>29.7</v>
      </c>
      <c r="U61" s="2">
        <v>28</v>
      </c>
      <c r="V61" s="5">
        <f t="shared" si="5"/>
        <v>27.941666666666666</v>
      </c>
      <c r="W61" s="4">
        <f t="shared" si="6"/>
        <v>0.33245148503050775</v>
      </c>
      <c r="X61" s="2">
        <f t="shared" si="7"/>
        <v>25.9</v>
      </c>
      <c r="Y61" s="3">
        <f t="shared" si="8"/>
        <v>27.524999999999999</v>
      </c>
      <c r="Z61" s="2">
        <f t="shared" si="9"/>
        <v>27.95</v>
      </c>
      <c r="AH61" s="3"/>
    </row>
    <row r="62" spans="1:34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13.255000000000001</v>
      </c>
      <c r="J62" s="2">
        <v>28.3</v>
      </c>
      <c r="K62" s="2">
        <v>28.5</v>
      </c>
      <c r="L62" s="2">
        <v>28.3</v>
      </c>
      <c r="M62" s="2">
        <v>29.5</v>
      </c>
      <c r="N62" s="2">
        <v>27</v>
      </c>
      <c r="O62" s="2">
        <v>27.6</v>
      </c>
      <c r="P62" s="2">
        <v>29.1</v>
      </c>
      <c r="Q62" s="2">
        <v>27.8</v>
      </c>
      <c r="R62" s="2">
        <v>27.8</v>
      </c>
      <c r="S62" s="2">
        <v>28.3</v>
      </c>
      <c r="T62" s="2">
        <v>27.5</v>
      </c>
      <c r="U62" s="2">
        <v>28.6</v>
      </c>
      <c r="V62" s="5">
        <f t="shared" si="5"/>
        <v>28.191666666666666</v>
      </c>
      <c r="W62" s="4">
        <f t="shared" si="6"/>
        <v>0.20205697266370248</v>
      </c>
      <c r="X62" s="2">
        <f t="shared" si="7"/>
        <v>27</v>
      </c>
      <c r="Y62" s="3">
        <f t="shared" si="8"/>
        <v>27.75</v>
      </c>
      <c r="Z62" s="2">
        <f t="shared" si="9"/>
        <v>28.3</v>
      </c>
      <c r="AH62" s="2"/>
    </row>
    <row r="63" spans="1:34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13.278</v>
      </c>
      <c r="J63" s="2">
        <v>28.5</v>
      </c>
      <c r="K63" s="2">
        <v>29.5</v>
      </c>
      <c r="L63" s="2">
        <v>27.7</v>
      </c>
      <c r="M63" s="2">
        <v>30.2</v>
      </c>
      <c r="N63" s="2">
        <v>28.8</v>
      </c>
      <c r="O63" s="2">
        <v>29.9</v>
      </c>
      <c r="P63" s="2">
        <v>29.1</v>
      </c>
      <c r="Q63" s="2">
        <v>30.3</v>
      </c>
      <c r="R63" s="2">
        <v>30.5</v>
      </c>
      <c r="S63" s="2">
        <v>28</v>
      </c>
      <c r="T63" s="2">
        <v>27.4</v>
      </c>
      <c r="U63" s="2">
        <v>28.5</v>
      </c>
      <c r="V63" s="5">
        <f t="shared" si="5"/>
        <v>29.033333333333331</v>
      </c>
      <c r="W63" s="4">
        <f t="shared" si="6"/>
        <v>0.30434563020727384</v>
      </c>
      <c r="X63" s="2">
        <f t="shared" si="7"/>
        <v>27.4</v>
      </c>
      <c r="Y63" s="3">
        <f t="shared" si="8"/>
        <v>28.375</v>
      </c>
      <c r="Z63" s="2">
        <f t="shared" si="9"/>
        <v>28.950000000000003</v>
      </c>
      <c r="AH63" s="3"/>
    </row>
    <row r="64" spans="1:34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13.477</v>
      </c>
      <c r="J64" s="2">
        <v>30.8</v>
      </c>
      <c r="K64" s="2">
        <v>29.3</v>
      </c>
      <c r="L64" s="2">
        <v>28.9</v>
      </c>
      <c r="M64" s="2">
        <v>28.6</v>
      </c>
      <c r="N64" s="2">
        <v>28.3</v>
      </c>
      <c r="O64" s="2">
        <v>28.9</v>
      </c>
      <c r="P64" s="2">
        <v>29.4</v>
      </c>
      <c r="Q64" s="2">
        <v>30.4</v>
      </c>
      <c r="R64" s="2">
        <v>29.2</v>
      </c>
      <c r="S64" s="2">
        <v>29.1</v>
      </c>
      <c r="T64" s="2">
        <v>29</v>
      </c>
      <c r="U64" s="2">
        <v>29.1</v>
      </c>
      <c r="V64" s="5">
        <f t="shared" si="5"/>
        <v>29.250000000000004</v>
      </c>
      <c r="W64" s="4">
        <f t="shared" si="6"/>
        <v>0.20282101379384634</v>
      </c>
      <c r="X64" s="2">
        <f t="shared" si="7"/>
        <v>28.3</v>
      </c>
      <c r="Y64" s="3">
        <f t="shared" si="8"/>
        <v>28.9</v>
      </c>
      <c r="Z64" s="2">
        <f t="shared" si="9"/>
        <v>29.1</v>
      </c>
      <c r="AH64" s="2"/>
    </row>
    <row r="65" spans="1:34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13.496</v>
      </c>
      <c r="J65" s="2">
        <v>26.7</v>
      </c>
      <c r="K65" s="2">
        <v>27.3</v>
      </c>
      <c r="L65" s="2">
        <v>27.1</v>
      </c>
      <c r="M65" s="2">
        <v>28</v>
      </c>
      <c r="N65" s="2">
        <v>28.5</v>
      </c>
      <c r="O65" s="2">
        <v>28.4</v>
      </c>
      <c r="P65" s="2">
        <v>28.2</v>
      </c>
      <c r="Q65" s="2">
        <v>28.8</v>
      </c>
      <c r="R65" s="2">
        <v>27.6</v>
      </c>
      <c r="S65" s="2">
        <v>28</v>
      </c>
      <c r="T65" s="2">
        <v>28.3</v>
      </c>
      <c r="U65" s="2">
        <v>28.3</v>
      </c>
      <c r="V65" s="5">
        <f t="shared" si="5"/>
        <v>27.933333333333337</v>
      </c>
      <c r="W65" s="4">
        <f t="shared" si="6"/>
        <v>0.18188130217481971</v>
      </c>
      <c r="X65" s="2">
        <f t="shared" si="7"/>
        <v>26.7</v>
      </c>
      <c r="Y65" s="3">
        <f t="shared" si="8"/>
        <v>27.525000000000002</v>
      </c>
      <c r="Z65" s="2">
        <f t="shared" si="9"/>
        <v>28.1</v>
      </c>
      <c r="AH65" s="3"/>
    </row>
    <row r="66" spans="1:34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13.515000000000001</v>
      </c>
      <c r="J66" s="2">
        <v>26.5</v>
      </c>
      <c r="K66" s="2">
        <v>27.6</v>
      </c>
      <c r="L66" s="2">
        <v>27.8</v>
      </c>
      <c r="M66" s="2">
        <v>27.6</v>
      </c>
      <c r="N66" s="2">
        <v>27.3</v>
      </c>
      <c r="O66" s="2">
        <v>27.1</v>
      </c>
      <c r="P66" s="2">
        <v>28.1</v>
      </c>
      <c r="Q66" s="2">
        <v>27.8</v>
      </c>
      <c r="R66" s="2">
        <v>28.1</v>
      </c>
      <c r="S66" s="2">
        <v>29.3</v>
      </c>
      <c r="T66" s="2">
        <v>27.7</v>
      </c>
      <c r="U66" s="2">
        <v>28.5</v>
      </c>
      <c r="V66" s="5">
        <f t="shared" si="5"/>
        <v>27.783333333333331</v>
      </c>
      <c r="W66" s="4">
        <f t="shared" si="6"/>
        <v>0.20294548205581889</v>
      </c>
      <c r="X66" s="2">
        <f t="shared" si="7"/>
        <v>26.5</v>
      </c>
      <c r="Y66" s="3">
        <f t="shared" si="8"/>
        <v>27.525000000000002</v>
      </c>
      <c r="Z66" s="2">
        <f t="shared" si="9"/>
        <v>27.75</v>
      </c>
      <c r="AH66" s="2"/>
    </row>
    <row r="67" spans="1:34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13.532999999999999</v>
      </c>
      <c r="J67" s="2">
        <v>27.6</v>
      </c>
      <c r="K67" s="2">
        <v>27.1</v>
      </c>
      <c r="L67" s="2">
        <v>27.5</v>
      </c>
      <c r="M67" s="2">
        <v>26.3</v>
      </c>
      <c r="N67" s="2">
        <v>28.3</v>
      </c>
      <c r="O67" s="2">
        <v>27.9</v>
      </c>
      <c r="P67" s="2">
        <v>28.6</v>
      </c>
      <c r="Q67" s="2">
        <v>28.7</v>
      </c>
      <c r="R67" s="2">
        <v>28.3</v>
      </c>
      <c r="S67" s="2">
        <v>28.7</v>
      </c>
      <c r="T67" s="2">
        <v>29.4</v>
      </c>
      <c r="U67" s="2">
        <v>28.6</v>
      </c>
      <c r="V67" s="5">
        <f t="shared" si="5"/>
        <v>28.083333333333332</v>
      </c>
      <c r="W67" s="4">
        <f t="shared" si="6"/>
        <v>0.24427795064581068</v>
      </c>
      <c r="X67" s="2">
        <f t="shared" si="7"/>
        <v>26.3</v>
      </c>
      <c r="Y67" s="3">
        <f t="shared" si="8"/>
        <v>27.575000000000003</v>
      </c>
      <c r="Z67" s="2">
        <f t="shared" si="9"/>
        <v>28.3</v>
      </c>
      <c r="AH67" s="3"/>
    </row>
    <row r="68" spans="1:34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13.554</v>
      </c>
      <c r="J68" s="2">
        <v>27.1</v>
      </c>
      <c r="K68" s="2">
        <v>27.7</v>
      </c>
      <c r="L68" s="2">
        <v>27.7</v>
      </c>
      <c r="M68" s="2">
        <v>29</v>
      </c>
      <c r="N68" s="2">
        <v>27.9</v>
      </c>
      <c r="O68" s="2">
        <v>27.7</v>
      </c>
      <c r="P68" s="2">
        <v>28.4</v>
      </c>
      <c r="Q68" s="2">
        <v>28.8</v>
      </c>
      <c r="R68" s="2">
        <v>28.8</v>
      </c>
      <c r="S68" s="2">
        <v>28.5</v>
      </c>
      <c r="T68" s="2">
        <v>27.2</v>
      </c>
      <c r="U68" s="2">
        <v>27.8</v>
      </c>
      <c r="V68" s="5">
        <f t="shared" si="5"/>
        <v>28.05</v>
      </c>
      <c r="W68" s="4">
        <f t="shared" si="6"/>
        <v>0.18319554050414566</v>
      </c>
      <c r="X68" s="2">
        <f t="shared" si="7"/>
        <v>27.1</v>
      </c>
      <c r="Y68" s="3">
        <f t="shared" si="8"/>
        <v>27.7</v>
      </c>
      <c r="Z68" s="2">
        <f t="shared" si="9"/>
        <v>27.85</v>
      </c>
      <c r="AH68" s="2"/>
    </row>
    <row r="69" spans="1:34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13.574</v>
      </c>
      <c r="J69" s="2">
        <v>27</v>
      </c>
      <c r="K69" s="2">
        <v>30.5</v>
      </c>
      <c r="L69" s="2">
        <v>27.3</v>
      </c>
      <c r="M69" s="2">
        <v>27.7</v>
      </c>
      <c r="N69" s="2">
        <v>27.5</v>
      </c>
      <c r="O69" s="2">
        <v>27.3</v>
      </c>
      <c r="P69" s="2">
        <v>29</v>
      </c>
      <c r="Q69" s="2">
        <v>28.4</v>
      </c>
      <c r="R69" s="2">
        <v>29.7</v>
      </c>
      <c r="S69" s="2">
        <v>28.9</v>
      </c>
      <c r="T69" s="2">
        <v>27.6</v>
      </c>
      <c r="U69" s="2">
        <v>28.8</v>
      </c>
      <c r="V69" s="5">
        <f t="shared" si="5"/>
        <v>28.308333333333337</v>
      </c>
      <c r="W69" s="4">
        <f t="shared" si="6"/>
        <v>0.31489736984508698</v>
      </c>
      <c r="X69" s="2">
        <f t="shared" si="7"/>
        <v>27</v>
      </c>
      <c r="Y69" s="3">
        <f t="shared" si="8"/>
        <v>27.45</v>
      </c>
      <c r="Z69" s="2">
        <f t="shared" si="9"/>
        <v>28.049999999999997</v>
      </c>
      <c r="AH69" s="3"/>
    </row>
    <row r="70" spans="1:34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13.593999999999999</v>
      </c>
      <c r="J70" s="2">
        <v>31.1</v>
      </c>
      <c r="K70" s="2">
        <v>30.2</v>
      </c>
      <c r="L70" s="2">
        <v>31.1</v>
      </c>
      <c r="M70" s="2">
        <v>29.7</v>
      </c>
      <c r="N70" s="2">
        <v>28.7</v>
      </c>
      <c r="O70" s="2">
        <v>28</v>
      </c>
      <c r="P70" s="2">
        <v>28.3</v>
      </c>
      <c r="Q70" s="2">
        <v>27.9</v>
      </c>
      <c r="R70" s="2">
        <v>29.1</v>
      </c>
      <c r="S70" s="2">
        <v>27.8</v>
      </c>
      <c r="T70" s="2">
        <v>28.6</v>
      </c>
      <c r="U70" s="2">
        <v>28.3</v>
      </c>
      <c r="V70" s="5">
        <f t="shared" si="5"/>
        <v>29.066666666666674</v>
      </c>
      <c r="W70" s="4">
        <f t="shared" si="6"/>
        <v>0.34362888132519964</v>
      </c>
      <c r="X70" s="2">
        <f t="shared" si="7"/>
        <v>27.8</v>
      </c>
      <c r="Y70" s="3">
        <f t="shared" si="8"/>
        <v>28.225000000000001</v>
      </c>
      <c r="Z70" s="2">
        <f t="shared" si="9"/>
        <v>28.65</v>
      </c>
      <c r="AH70" s="2"/>
    </row>
    <row r="71" spans="1:34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13.615</v>
      </c>
      <c r="J71" s="2">
        <v>28.6</v>
      </c>
      <c r="K71" s="2">
        <v>28.1</v>
      </c>
      <c r="L71" s="2">
        <v>27.6</v>
      </c>
      <c r="M71" s="2">
        <v>28.7</v>
      </c>
      <c r="N71" s="2">
        <v>28.2</v>
      </c>
      <c r="O71" s="2">
        <v>28.9</v>
      </c>
      <c r="P71" s="2">
        <v>29.4</v>
      </c>
      <c r="Q71" s="2">
        <v>29.1</v>
      </c>
      <c r="R71" s="2">
        <v>28.5</v>
      </c>
      <c r="S71" s="2">
        <v>30.9</v>
      </c>
      <c r="T71" s="2">
        <v>27.8</v>
      </c>
      <c r="U71" s="2">
        <v>28.9</v>
      </c>
      <c r="V71" s="5">
        <f t="shared" si="5"/>
        <v>28.724999999999998</v>
      </c>
      <c r="W71" s="4">
        <f t="shared" si="6"/>
        <v>0.24988633779817121</v>
      </c>
      <c r="X71" s="2">
        <f t="shared" si="7"/>
        <v>27.6</v>
      </c>
      <c r="Y71" s="3">
        <f t="shared" si="8"/>
        <v>28.175000000000001</v>
      </c>
      <c r="Z71" s="2">
        <f t="shared" si="9"/>
        <v>28.65</v>
      </c>
      <c r="AH71" s="3"/>
    </row>
    <row r="72" spans="1:34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13.746</v>
      </c>
      <c r="J72" s="2">
        <v>33.700000000000003</v>
      </c>
      <c r="K72" s="2">
        <v>29.2</v>
      </c>
      <c r="L72" s="2">
        <v>28.9</v>
      </c>
      <c r="M72" s="2">
        <v>28.6</v>
      </c>
      <c r="N72" s="2">
        <v>28.5</v>
      </c>
      <c r="O72" s="2">
        <v>28</v>
      </c>
      <c r="P72" s="2">
        <v>27.4</v>
      </c>
      <c r="Q72" s="2">
        <v>29.2</v>
      </c>
      <c r="R72" s="2">
        <v>27.9</v>
      </c>
      <c r="S72" s="2">
        <v>29</v>
      </c>
      <c r="T72" s="2">
        <v>28</v>
      </c>
      <c r="U72" s="2">
        <v>29.2</v>
      </c>
      <c r="V72" s="5">
        <f t="shared" si="5"/>
        <v>28.966666666666665</v>
      </c>
      <c r="W72" s="4">
        <f t="shared" si="6"/>
        <v>0.46373538257340824</v>
      </c>
      <c r="X72" s="2">
        <f t="shared" si="7"/>
        <v>27.4</v>
      </c>
      <c r="Y72" s="3">
        <f t="shared" si="8"/>
        <v>28</v>
      </c>
      <c r="Z72" s="2">
        <f t="shared" si="9"/>
        <v>28.75</v>
      </c>
      <c r="AH72" s="2"/>
    </row>
    <row r="73" spans="1:34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13.726000000000001</v>
      </c>
      <c r="J73" s="2">
        <v>28.5</v>
      </c>
      <c r="K73" s="2">
        <v>28.3</v>
      </c>
      <c r="L73" s="2">
        <v>27.8</v>
      </c>
      <c r="M73" s="2">
        <v>29.7</v>
      </c>
      <c r="N73" s="2">
        <v>30.2</v>
      </c>
      <c r="O73" s="2">
        <v>28.3</v>
      </c>
      <c r="P73" s="2">
        <v>29.8</v>
      </c>
      <c r="Q73" s="2">
        <v>28.4</v>
      </c>
      <c r="R73" s="2">
        <v>27.8</v>
      </c>
      <c r="S73" s="2">
        <v>27.2</v>
      </c>
      <c r="T73" s="2">
        <v>28.8</v>
      </c>
      <c r="U73" s="2">
        <v>28.1</v>
      </c>
      <c r="V73" s="5">
        <f t="shared" si="5"/>
        <v>28.575000000000003</v>
      </c>
      <c r="W73" s="4">
        <f t="shared" si="6"/>
        <v>0.26057192341602586</v>
      </c>
      <c r="X73" s="2">
        <f t="shared" si="7"/>
        <v>27.2</v>
      </c>
      <c r="Y73" s="3">
        <f t="shared" si="8"/>
        <v>28.025000000000002</v>
      </c>
      <c r="Z73" s="2">
        <f t="shared" si="9"/>
        <v>28.35</v>
      </c>
      <c r="AH73" s="3"/>
    </row>
    <row r="74" spans="1:34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13.706</v>
      </c>
      <c r="J74" s="2">
        <v>32.700000000000003</v>
      </c>
      <c r="K74" s="2">
        <v>33.4</v>
      </c>
      <c r="L74" s="2">
        <v>29.6</v>
      </c>
      <c r="M74" s="2">
        <v>29.3</v>
      </c>
      <c r="N74" s="2">
        <v>28.4</v>
      </c>
      <c r="O74" s="2">
        <v>27.4</v>
      </c>
      <c r="P74" s="2">
        <v>26.6</v>
      </c>
      <c r="Q74" s="2">
        <v>28.8</v>
      </c>
      <c r="R74" s="2">
        <v>27.6</v>
      </c>
      <c r="S74" s="2">
        <v>27.2</v>
      </c>
      <c r="T74" s="2">
        <v>30.3</v>
      </c>
      <c r="U74" s="2">
        <v>28.4</v>
      </c>
      <c r="V74" s="5">
        <f t="shared" ref="V74:V81" si="10">AVERAGE(J74:U74)</f>
        <v>29.141666666666666</v>
      </c>
      <c r="W74" s="4">
        <f t="shared" ref="W74:W81" si="11">STDEV(J74:U74)/SQRT(COUNT(J74:U74))</f>
        <v>0.61069487661452715</v>
      </c>
      <c r="X74" s="2">
        <f t="shared" ref="X74:X81" si="12">MIN(J74:U74)</f>
        <v>26.6</v>
      </c>
      <c r="Y74" s="3">
        <f t="shared" ref="Y74:Y81" si="13">QUARTILE(J74:U74,1)</f>
        <v>27.55</v>
      </c>
      <c r="Z74" s="2">
        <f t="shared" ref="Z74:Z81" si="14">MEDIAN(J74:U74)</f>
        <v>28.6</v>
      </c>
      <c r="AH74" s="2"/>
    </row>
    <row r="75" spans="1:34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13.686999999999999</v>
      </c>
      <c r="J75" s="2">
        <v>27.6</v>
      </c>
      <c r="K75" s="2">
        <v>28.5</v>
      </c>
      <c r="L75" s="2">
        <v>28.6</v>
      </c>
      <c r="M75" s="2">
        <v>26.6</v>
      </c>
      <c r="N75" s="2">
        <v>27.8</v>
      </c>
      <c r="O75" s="2">
        <v>27.7</v>
      </c>
      <c r="P75" s="2">
        <v>27.8</v>
      </c>
      <c r="Q75" s="2">
        <v>27.4</v>
      </c>
      <c r="R75" s="2">
        <v>28.3</v>
      </c>
      <c r="S75" s="2">
        <v>27.3</v>
      </c>
      <c r="T75" s="2">
        <v>30.7</v>
      </c>
      <c r="U75" s="2">
        <v>29.4</v>
      </c>
      <c r="V75" s="5">
        <f t="shared" si="10"/>
        <v>28.141666666666666</v>
      </c>
      <c r="W75" s="4">
        <f t="shared" si="11"/>
        <v>0.31199707004581256</v>
      </c>
      <c r="X75" s="2">
        <f t="shared" si="12"/>
        <v>26.6</v>
      </c>
      <c r="Y75" s="3">
        <f t="shared" si="13"/>
        <v>27.55</v>
      </c>
      <c r="Z75" s="2">
        <f t="shared" si="14"/>
        <v>27.8</v>
      </c>
      <c r="AH75" s="3"/>
    </row>
    <row r="76" spans="1:34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13.669</v>
      </c>
      <c r="J76" s="2">
        <v>27.6</v>
      </c>
      <c r="K76" s="2">
        <v>29.9</v>
      </c>
      <c r="L76" s="2">
        <v>28.3</v>
      </c>
      <c r="M76" s="2">
        <v>30.2</v>
      </c>
      <c r="N76" s="2">
        <v>29.5</v>
      </c>
      <c r="O76" s="2">
        <v>28.1</v>
      </c>
      <c r="P76" s="2">
        <v>27.9</v>
      </c>
      <c r="Q76" s="2">
        <v>28.2</v>
      </c>
      <c r="R76" s="2">
        <v>28.6</v>
      </c>
      <c r="S76" s="2">
        <v>27.9</v>
      </c>
      <c r="T76" s="2">
        <v>26.7</v>
      </c>
      <c r="U76" s="2">
        <v>27.1</v>
      </c>
      <c r="V76" s="5">
        <f t="shared" si="10"/>
        <v>28.333333333333332</v>
      </c>
      <c r="W76" s="4">
        <f t="shared" si="11"/>
        <v>0.30830261927285829</v>
      </c>
      <c r="X76" s="2">
        <f t="shared" si="12"/>
        <v>26.7</v>
      </c>
      <c r="Y76" s="3">
        <f t="shared" si="13"/>
        <v>27.824999999999999</v>
      </c>
      <c r="Z76" s="2">
        <f t="shared" si="14"/>
        <v>28.15</v>
      </c>
    </row>
    <row r="77" spans="1:34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13.65</v>
      </c>
      <c r="J77" s="2">
        <v>27.1</v>
      </c>
      <c r="K77" s="2">
        <v>28.3</v>
      </c>
      <c r="L77" s="2">
        <v>29.1</v>
      </c>
      <c r="M77" s="2">
        <v>27.5</v>
      </c>
      <c r="N77" s="2">
        <v>27.4</v>
      </c>
      <c r="O77" s="2">
        <v>26.7</v>
      </c>
      <c r="P77" s="2">
        <v>27.2</v>
      </c>
      <c r="Q77" s="2">
        <v>30.2</v>
      </c>
      <c r="R77" s="2">
        <v>28.9</v>
      </c>
      <c r="S77" s="2">
        <v>27.7</v>
      </c>
      <c r="T77" s="2">
        <v>28.4</v>
      </c>
      <c r="U77" s="2">
        <v>29</v>
      </c>
      <c r="V77" s="5">
        <f t="shared" si="10"/>
        <v>28.124999999999996</v>
      </c>
      <c r="W77" s="4">
        <f t="shared" si="11"/>
        <v>0.29851272750897651</v>
      </c>
      <c r="X77" s="2">
        <f t="shared" si="12"/>
        <v>26.7</v>
      </c>
      <c r="Y77" s="3">
        <f t="shared" si="13"/>
        <v>27.349999999999998</v>
      </c>
      <c r="Z77" s="2">
        <f t="shared" si="14"/>
        <v>28</v>
      </c>
    </row>
    <row r="78" spans="1:34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13.391</v>
      </c>
      <c r="J78" s="2">
        <v>27.3</v>
      </c>
      <c r="K78" s="2">
        <v>28.1</v>
      </c>
      <c r="L78" s="2">
        <v>27.9</v>
      </c>
      <c r="M78" s="2">
        <v>27.6</v>
      </c>
      <c r="N78" s="2">
        <v>28.7</v>
      </c>
      <c r="O78" s="2">
        <v>28.3</v>
      </c>
      <c r="P78" s="2">
        <v>30.4</v>
      </c>
      <c r="Q78" s="2">
        <v>28</v>
      </c>
      <c r="R78" s="2">
        <v>27.5</v>
      </c>
      <c r="S78" s="2">
        <v>28.3</v>
      </c>
      <c r="T78" s="2">
        <v>27.5</v>
      </c>
      <c r="U78" s="2">
        <v>28.3</v>
      </c>
      <c r="V78" s="5">
        <f t="shared" si="10"/>
        <v>28.158333333333335</v>
      </c>
      <c r="W78" s="4">
        <f t="shared" si="11"/>
        <v>0.23659783463407966</v>
      </c>
      <c r="X78" s="2">
        <f t="shared" si="12"/>
        <v>27.3</v>
      </c>
      <c r="Y78" s="3">
        <f t="shared" si="13"/>
        <v>27.575000000000003</v>
      </c>
      <c r="Z78" s="2">
        <f t="shared" si="14"/>
        <v>28.05</v>
      </c>
    </row>
    <row r="79" spans="1:34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13.36</v>
      </c>
      <c r="J79" s="2">
        <v>26.8</v>
      </c>
      <c r="K79" s="2">
        <v>27.1</v>
      </c>
      <c r="L79" s="2">
        <v>27.9</v>
      </c>
      <c r="M79" s="2">
        <v>27.4</v>
      </c>
      <c r="N79" s="2">
        <v>27.7</v>
      </c>
      <c r="O79" s="2">
        <v>27.6</v>
      </c>
      <c r="P79" s="2">
        <v>27.1</v>
      </c>
      <c r="Q79" s="2">
        <v>27.9</v>
      </c>
      <c r="R79" s="2">
        <v>27.6</v>
      </c>
      <c r="S79" s="2">
        <v>27.5</v>
      </c>
      <c r="T79" s="2">
        <v>28</v>
      </c>
      <c r="U79" s="2">
        <v>28</v>
      </c>
      <c r="V79" s="5">
        <f t="shared" si="10"/>
        <v>27.55</v>
      </c>
      <c r="W79" s="4">
        <f t="shared" si="11"/>
        <v>0.11247895426040871</v>
      </c>
      <c r="X79" s="2">
        <f t="shared" si="12"/>
        <v>26.8</v>
      </c>
      <c r="Y79" s="3">
        <f t="shared" si="13"/>
        <v>27.324999999999999</v>
      </c>
      <c r="Z79" s="2">
        <f t="shared" si="14"/>
        <v>27.6</v>
      </c>
    </row>
    <row r="80" spans="1:34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13.333</v>
      </c>
      <c r="J80" s="2">
        <v>27.5</v>
      </c>
      <c r="K80" s="2">
        <v>29.6</v>
      </c>
      <c r="L80" s="2">
        <v>26.7</v>
      </c>
      <c r="M80" s="2">
        <v>27.7</v>
      </c>
      <c r="N80" s="2">
        <v>30</v>
      </c>
      <c r="O80" s="2">
        <v>28.4</v>
      </c>
      <c r="P80" s="2">
        <v>28.7</v>
      </c>
      <c r="Q80" s="2">
        <v>28.8</v>
      </c>
      <c r="R80" s="2">
        <v>28.3</v>
      </c>
      <c r="S80" s="2">
        <v>29.3</v>
      </c>
      <c r="T80" s="2">
        <v>26.8</v>
      </c>
      <c r="U80" s="2">
        <v>27.2</v>
      </c>
      <c r="V80" s="5">
        <f t="shared" si="10"/>
        <v>28.25</v>
      </c>
      <c r="W80" s="4">
        <f t="shared" si="11"/>
        <v>0.31370223287233862</v>
      </c>
      <c r="X80" s="2">
        <f t="shared" si="12"/>
        <v>26.7</v>
      </c>
      <c r="Y80" s="3">
        <f t="shared" si="13"/>
        <v>27.425000000000001</v>
      </c>
      <c r="Z80" s="2">
        <f t="shared" si="14"/>
        <v>28.35</v>
      </c>
    </row>
    <row r="81" spans="1:26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13.304</v>
      </c>
      <c r="J81" s="2">
        <v>25.9</v>
      </c>
      <c r="K81" s="2">
        <v>28.6</v>
      </c>
      <c r="L81" s="2">
        <v>27.1</v>
      </c>
      <c r="M81" s="2">
        <v>27.7</v>
      </c>
      <c r="N81" s="2">
        <v>27.7</v>
      </c>
      <c r="O81" s="2">
        <v>27.3</v>
      </c>
      <c r="P81" s="2">
        <v>26.7</v>
      </c>
      <c r="Q81" s="2">
        <v>26.6</v>
      </c>
      <c r="R81" s="2">
        <v>27.2</v>
      </c>
      <c r="S81" s="2">
        <v>27.2</v>
      </c>
      <c r="T81" s="2">
        <v>26.9</v>
      </c>
      <c r="U81" s="2">
        <v>28</v>
      </c>
      <c r="V81" s="5">
        <f t="shared" si="10"/>
        <v>27.241666666666664</v>
      </c>
      <c r="W81" s="4">
        <f t="shared" si="11"/>
        <v>0.20392301478645322</v>
      </c>
      <c r="X81" s="2">
        <f t="shared" si="12"/>
        <v>25.9</v>
      </c>
      <c r="Y81" s="3">
        <f t="shared" si="13"/>
        <v>26.849999999999998</v>
      </c>
      <c r="Z81" s="2">
        <f t="shared" si="14"/>
        <v>27.2</v>
      </c>
    </row>
  </sheetData>
  <pageMargins left="0.75" right="0.75" top="1" bottom="1" header="0.5" footer="0.5"/>
  <pageSetup orientation="portrait" verticalDpi="0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DA6C-7A47-460E-BF38-9A0FEDB421EA}">
  <dimension ref="A2:AM81"/>
  <sheetViews>
    <sheetView topLeftCell="A32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0" width="9.140625" style="1"/>
    <col min="31" max="31" width="11.28515625" style="1" customWidth="1"/>
    <col min="32" max="39" width="18.28515625" style="1" customWidth="1"/>
    <col min="40" max="16384" width="9.140625" style="1"/>
  </cols>
  <sheetData>
    <row r="2" spans="1:39" x14ac:dyDescent="0.2">
      <c r="H2" s="32" t="s">
        <v>118</v>
      </c>
      <c r="I2" s="38"/>
    </row>
    <row r="3" spans="1:39" x14ac:dyDescent="0.2">
      <c r="H3" s="33" t="s">
        <v>117</v>
      </c>
      <c r="I3" s="32">
        <v>0</v>
      </c>
    </row>
    <row r="4" spans="1:39" x14ac:dyDescent="0.2">
      <c r="H4" s="33" t="s">
        <v>116</v>
      </c>
      <c r="I4" s="32">
        <v>1</v>
      </c>
      <c r="N4" s="37" t="s">
        <v>115</v>
      </c>
      <c r="O4" s="36">
        <v>39.25</v>
      </c>
    </row>
    <row r="5" spans="1:39" x14ac:dyDescent="0.2">
      <c r="H5" s="33" t="s">
        <v>114</v>
      </c>
      <c r="I5" s="32">
        <v>0</v>
      </c>
      <c r="N5" s="35" t="s">
        <v>113</v>
      </c>
      <c r="O5" s="34"/>
    </row>
    <row r="6" spans="1:39" x14ac:dyDescent="0.2">
      <c r="H6" s="33" t="s">
        <v>112</v>
      </c>
      <c r="I6" s="32">
        <v>0</v>
      </c>
    </row>
    <row r="7" spans="1:39" x14ac:dyDescent="0.2">
      <c r="H7" s="33" t="s">
        <v>111</v>
      </c>
      <c r="I7" s="32">
        <v>0</v>
      </c>
      <c r="AE7" s="31" t="s">
        <v>107</v>
      </c>
      <c r="AF7" s="30" t="s">
        <v>110</v>
      </c>
    </row>
    <row r="9" spans="1:39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89</v>
      </c>
      <c r="X9" s="26" t="s">
        <v>88</v>
      </c>
      <c r="Y9" s="26" t="s">
        <v>87</v>
      </c>
      <c r="Z9" s="26" t="s">
        <v>86</v>
      </c>
      <c r="AA9" s="26"/>
      <c r="AB9" s="26"/>
      <c r="AC9" s="26"/>
      <c r="AE9" s="25"/>
      <c r="AF9" s="25" t="s">
        <v>85</v>
      </c>
      <c r="AG9" s="25" t="s">
        <v>84</v>
      </c>
      <c r="AH9" s="25"/>
      <c r="AI9" s="25"/>
      <c r="AJ9" s="25"/>
      <c r="AK9" s="25"/>
      <c r="AL9" s="25"/>
      <c r="AM9" s="25"/>
    </row>
    <row r="10" spans="1:39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13.159000000000001</v>
      </c>
      <c r="J10" s="2">
        <v>61.9</v>
      </c>
      <c r="K10" s="2">
        <v>60.3</v>
      </c>
      <c r="L10" s="2">
        <v>56.4</v>
      </c>
      <c r="M10" s="2">
        <v>58.8</v>
      </c>
      <c r="N10" s="2">
        <v>53.5</v>
      </c>
      <c r="O10" s="2">
        <v>57.3</v>
      </c>
      <c r="P10" s="2">
        <v>62.6</v>
      </c>
      <c r="Q10" s="2">
        <v>57.1</v>
      </c>
      <c r="R10" s="2">
        <v>61</v>
      </c>
      <c r="S10" s="2">
        <v>49.7</v>
      </c>
      <c r="T10" s="2">
        <v>60.4</v>
      </c>
      <c r="U10" s="2">
        <v>57.4</v>
      </c>
      <c r="V10" s="5">
        <f t="shared" ref="V10:V41" si="0">AVERAGE(J10:U10)</f>
        <v>58.033333333333339</v>
      </c>
      <c r="W10" s="4">
        <f t="shared" ref="W10:W41" si="1">STDEV(J10:U10)/SQRT(COUNT(J10:U10))</f>
        <v>1.0674476307737275</v>
      </c>
      <c r="X10" s="2">
        <f t="shared" ref="X10:X41" si="2">MIN(J10:U10)</f>
        <v>49.7</v>
      </c>
      <c r="Y10" s="3">
        <f t="shared" ref="Y10:Y41" si="3">QUARTILE(J10:U10,1)</f>
        <v>56.924999999999997</v>
      </c>
      <c r="Z10" s="2">
        <f t="shared" ref="Z10:Z41" si="4">MEDIAN(J10:U10)</f>
        <v>58.099999999999994</v>
      </c>
      <c r="AA10" s="2"/>
      <c r="AB10" s="2"/>
      <c r="AC10" s="2"/>
      <c r="AE10" s="25"/>
      <c r="AF10" s="24" t="s">
        <v>83</v>
      </c>
      <c r="AG10" s="23"/>
      <c r="AH10" s="23"/>
      <c r="AI10" s="23"/>
      <c r="AJ10" s="24" t="s">
        <v>82</v>
      </c>
      <c r="AK10" s="23"/>
      <c r="AL10" s="23"/>
      <c r="AM10" s="22"/>
    </row>
    <row r="11" spans="1:39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13.144</v>
      </c>
      <c r="J11" s="2">
        <v>61.6</v>
      </c>
      <c r="K11" s="2">
        <v>54.8</v>
      </c>
      <c r="L11" s="2">
        <v>48.2</v>
      </c>
      <c r="M11" s="2">
        <v>62.3</v>
      </c>
      <c r="N11" s="2">
        <v>51.7</v>
      </c>
      <c r="O11" s="2">
        <v>61</v>
      </c>
      <c r="P11" s="2">
        <v>56.6</v>
      </c>
      <c r="Q11" s="2">
        <v>58.9</v>
      </c>
      <c r="R11" s="2">
        <v>50.8</v>
      </c>
      <c r="S11" s="2">
        <v>57.1</v>
      </c>
      <c r="T11" s="2">
        <v>48.4</v>
      </c>
      <c r="U11" s="2">
        <v>63.9</v>
      </c>
      <c r="V11" s="5">
        <f t="shared" si="0"/>
        <v>56.274999999999999</v>
      </c>
      <c r="W11" s="4">
        <f t="shared" si="1"/>
        <v>1.5885539927489993</v>
      </c>
      <c r="X11" s="2">
        <f t="shared" si="2"/>
        <v>48.2</v>
      </c>
      <c r="Y11" s="3">
        <f t="shared" si="3"/>
        <v>51.475000000000001</v>
      </c>
      <c r="Z11" s="2">
        <f t="shared" si="4"/>
        <v>56.85</v>
      </c>
      <c r="AE11" s="21" t="s">
        <v>81</v>
      </c>
      <c r="AF11" s="20" t="s">
        <v>80</v>
      </c>
      <c r="AG11" s="19" t="s">
        <v>79</v>
      </c>
      <c r="AH11" s="19" t="s">
        <v>78</v>
      </c>
      <c r="AI11" s="19" t="s">
        <v>77</v>
      </c>
      <c r="AJ11" s="20" t="s">
        <v>80</v>
      </c>
      <c r="AK11" s="19" t="s">
        <v>79</v>
      </c>
      <c r="AL11" s="19" t="s">
        <v>78</v>
      </c>
      <c r="AM11" s="18" t="s">
        <v>77</v>
      </c>
    </row>
    <row r="12" spans="1:39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13.125</v>
      </c>
      <c r="J12" s="2">
        <v>60.7</v>
      </c>
      <c r="K12" s="2">
        <v>50.5</v>
      </c>
      <c r="L12" s="2">
        <v>54.3</v>
      </c>
      <c r="M12" s="2">
        <v>48.2</v>
      </c>
      <c r="N12" s="2">
        <v>54.6</v>
      </c>
      <c r="O12" s="2">
        <v>54.6</v>
      </c>
      <c r="P12" s="2">
        <v>55.5</v>
      </c>
      <c r="Q12" s="2">
        <v>58.4</v>
      </c>
      <c r="R12" s="2">
        <v>51.7</v>
      </c>
      <c r="S12" s="2">
        <v>54.9</v>
      </c>
      <c r="T12" s="2">
        <v>41.7</v>
      </c>
      <c r="U12" s="2">
        <v>50.5</v>
      </c>
      <c r="V12" s="5">
        <f t="shared" si="0"/>
        <v>52.966666666666669</v>
      </c>
      <c r="W12" s="4">
        <f t="shared" si="1"/>
        <v>1.4302645089830641</v>
      </c>
      <c r="X12" s="2">
        <f t="shared" si="2"/>
        <v>41.7</v>
      </c>
      <c r="Y12" s="3">
        <f t="shared" si="3"/>
        <v>50.5</v>
      </c>
      <c r="Z12" s="2">
        <f t="shared" si="4"/>
        <v>54.45</v>
      </c>
      <c r="AE12" s="17" t="s">
        <v>76</v>
      </c>
      <c r="AF12" s="16">
        <v>44.2</v>
      </c>
      <c r="AG12" s="15">
        <v>53.774999999999999</v>
      </c>
      <c r="AH12" s="15">
        <v>56.7</v>
      </c>
      <c r="AI12" s="15">
        <v>55.912500000000001</v>
      </c>
      <c r="AJ12" s="16">
        <v>29.75</v>
      </c>
      <c r="AK12" s="15">
        <v>30.3125</v>
      </c>
      <c r="AL12" s="15">
        <v>31.074999999999999</v>
      </c>
      <c r="AM12" s="14">
        <v>31.579166666666666</v>
      </c>
    </row>
    <row r="13" spans="1:39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13.108000000000001</v>
      </c>
      <c r="J13" s="2">
        <v>61</v>
      </c>
      <c r="K13" s="2">
        <v>61.3</v>
      </c>
      <c r="L13" s="2">
        <v>55.6</v>
      </c>
      <c r="M13" s="2">
        <v>61.1</v>
      </c>
      <c r="N13" s="2">
        <v>51.5</v>
      </c>
      <c r="O13" s="2">
        <v>59.3</v>
      </c>
      <c r="P13" s="2">
        <v>56.2</v>
      </c>
      <c r="Q13" s="2">
        <v>57.5</v>
      </c>
      <c r="R13" s="2">
        <v>51.2</v>
      </c>
      <c r="S13" s="2">
        <v>55</v>
      </c>
      <c r="T13" s="2">
        <v>52.5</v>
      </c>
      <c r="U13" s="2">
        <v>52.3</v>
      </c>
      <c r="V13" s="5">
        <f t="shared" si="0"/>
        <v>56.208333333333336</v>
      </c>
      <c r="W13" s="4">
        <f t="shared" si="1"/>
        <v>1.1083333333333332</v>
      </c>
      <c r="X13" s="2">
        <f t="shared" si="2"/>
        <v>51.2</v>
      </c>
      <c r="Y13" s="3">
        <f t="shared" si="3"/>
        <v>52.45</v>
      </c>
      <c r="Z13" s="2">
        <f t="shared" si="4"/>
        <v>55.900000000000006</v>
      </c>
      <c r="AE13" s="13" t="s">
        <v>75</v>
      </c>
      <c r="AF13" s="12">
        <v>47.4</v>
      </c>
      <c r="AG13" s="11">
        <v>52.274999999999999</v>
      </c>
      <c r="AH13" s="11">
        <v>54.975000000000001</v>
      </c>
      <c r="AI13" s="11">
        <v>55.404166666666669</v>
      </c>
      <c r="AJ13" s="12">
        <v>29.75</v>
      </c>
      <c r="AK13" s="11">
        <v>30.125</v>
      </c>
      <c r="AL13" s="11">
        <v>30.774999999999999</v>
      </c>
      <c r="AM13" s="10">
        <v>31.3</v>
      </c>
    </row>
    <row r="14" spans="1:39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13.093999999999999</v>
      </c>
      <c r="J14" s="2">
        <v>61.3</v>
      </c>
      <c r="K14" s="2">
        <v>48.9</v>
      </c>
      <c r="L14" s="2">
        <v>59.5</v>
      </c>
      <c r="M14" s="2">
        <v>49.8</v>
      </c>
      <c r="N14" s="2">
        <v>51.4</v>
      </c>
      <c r="O14" s="2">
        <v>57.8</v>
      </c>
      <c r="P14" s="2">
        <v>53.1</v>
      </c>
      <c r="Q14" s="2">
        <v>55.7</v>
      </c>
      <c r="R14" s="2">
        <v>50</v>
      </c>
      <c r="S14" s="2">
        <v>57.2</v>
      </c>
      <c r="T14" s="2">
        <v>51.6</v>
      </c>
      <c r="U14" s="2">
        <v>56.8</v>
      </c>
      <c r="V14" s="5">
        <f t="shared" si="0"/>
        <v>54.425000000000004</v>
      </c>
      <c r="W14" s="4">
        <f t="shared" si="1"/>
        <v>1.1989973715441151</v>
      </c>
      <c r="X14" s="2">
        <f t="shared" si="2"/>
        <v>48.9</v>
      </c>
      <c r="Y14" s="3">
        <f t="shared" si="3"/>
        <v>51.05</v>
      </c>
      <c r="Z14" s="2">
        <f t="shared" si="4"/>
        <v>54.400000000000006</v>
      </c>
      <c r="AE14" s="13" t="s">
        <v>74</v>
      </c>
      <c r="AF14" s="12">
        <v>62.4</v>
      </c>
      <c r="AG14" s="11">
        <v>63.875</v>
      </c>
      <c r="AH14" s="11">
        <v>64.924999999999997</v>
      </c>
      <c r="AI14" s="11">
        <v>64.729166666666686</v>
      </c>
      <c r="AJ14" s="12"/>
      <c r="AK14" s="11"/>
      <c r="AL14" s="11"/>
      <c r="AM14" s="10"/>
    </row>
    <row r="15" spans="1:39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13.077999999999999</v>
      </c>
      <c r="J15" s="2">
        <v>61.7</v>
      </c>
      <c r="K15" s="2">
        <v>59.6</v>
      </c>
      <c r="L15" s="2">
        <v>59.3</v>
      </c>
      <c r="M15" s="2">
        <v>60.2</v>
      </c>
      <c r="N15" s="2">
        <v>57.9</v>
      </c>
      <c r="O15" s="2">
        <v>58.1</v>
      </c>
      <c r="P15" s="2">
        <v>50.2</v>
      </c>
      <c r="Q15" s="2">
        <v>61.4</v>
      </c>
      <c r="R15" s="2">
        <v>44.2</v>
      </c>
      <c r="S15" s="2">
        <v>60.9</v>
      </c>
      <c r="T15" s="2">
        <v>53.7</v>
      </c>
      <c r="U15" s="2">
        <v>62.4</v>
      </c>
      <c r="V15" s="5">
        <f t="shared" si="0"/>
        <v>57.466666666666669</v>
      </c>
      <c r="W15" s="4">
        <f t="shared" si="1"/>
        <v>1.5775092245484186</v>
      </c>
      <c r="X15" s="2">
        <f t="shared" si="2"/>
        <v>44.2</v>
      </c>
      <c r="Y15" s="3">
        <f t="shared" si="3"/>
        <v>56.85</v>
      </c>
      <c r="Z15" s="2">
        <f t="shared" si="4"/>
        <v>59.45</v>
      </c>
      <c r="AE15" s="13" t="s">
        <v>73</v>
      </c>
      <c r="AF15" s="12">
        <v>42.45</v>
      </c>
      <c r="AG15" s="11">
        <v>49.087499999999999</v>
      </c>
      <c r="AH15" s="11">
        <v>53.4</v>
      </c>
      <c r="AI15" s="11">
        <v>52.779166666666669</v>
      </c>
      <c r="AJ15" s="12">
        <v>31.65</v>
      </c>
      <c r="AK15" s="11">
        <v>33.012500000000003</v>
      </c>
      <c r="AL15" s="11">
        <v>34.15</v>
      </c>
      <c r="AM15" s="10">
        <v>34.18333333333333</v>
      </c>
    </row>
    <row r="16" spans="1:39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13.061999999999999</v>
      </c>
      <c r="J16" s="2">
        <v>60.8</v>
      </c>
      <c r="K16" s="2">
        <v>55.1</v>
      </c>
      <c r="L16" s="2">
        <v>50.9</v>
      </c>
      <c r="M16" s="2">
        <v>60.6</v>
      </c>
      <c r="N16" s="2">
        <v>52.8</v>
      </c>
      <c r="O16" s="2">
        <v>57</v>
      </c>
      <c r="P16" s="2">
        <v>58.2</v>
      </c>
      <c r="Q16" s="2">
        <v>53</v>
      </c>
      <c r="R16" s="2">
        <v>56.7</v>
      </c>
      <c r="S16" s="2">
        <v>58</v>
      </c>
      <c r="T16" s="2">
        <v>57.4</v>
      </c>
      <c r="U16" s="2">
        <v>57.8</v>
      </c>
      <c r="V16" s="5">
        <f t="shared" si="0"/>
        <v>56.524999999999984</v>
      </c>
      <c r="W16" s="4">
        <f t="shared" si="1"/>
        <v>0.88112574344277095</v>
      </c>
      <c r="X16" s="2">
        <f t="shared" si="2"/>
        <v>50.9</v>
      </c>
      <c r="Y16" s="3">
        <f t="shared" si="3"/>
        <v>54.575000000000003</v>
      </c>
      <c r="Z16" s="2">
        <f t="shared" si="4"/>
        <v>57.2</v>
      </c>
      <c r="AE16" s="13" t="s">
        <v>72</v>
      </c>
      <c r="AF16" s="12">
        <v>46</v>
      </c>
      <c r="AG16" s="11">
        <v>50.024999999999999</v>
      </c>
      <c r="AH16" s="11">
        <v>53.424999999999997</v>
      </c>
      <c r="AI16" s="11">
        <v>53.345833333333331</v>
      </c>
      <c r="AJ16" s="12">
        <v>29.55</v>
      </c>
      <c r="AK16" s="11">
        <v>30.5625</v>
      </c>
      <c r="AL16" s="11">
        <v>31.225000000000001</v>
      </c>
      <c r="AM16" s="10">
        <v>31.479166666666671</v>
      </c>
    </row>
    <row r="17" spans="1:39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13.045</v>
      </c>
      <c r="J17" s="2">
        <v>61.3</v>
      </c>
      <c r="K17" s="2">
        <v>60.9</v>
      </c>
      <c r="L17" s="2">
        <v>50.9</v>
      </c>
      <c r="M17" s="2">
        <v>61.9</v>
      </c>
      <c r="N17" s="2">
        <v>57.6</v>
      </c>
      <c r="O17" s="2">
        <v>58</v>
      </c>
      <c r="P17" s="2">
        <v>60.1</v>
      </c>
      <c r="Q17" s="2">
        <v>58.7</v>
      </c>
      <c r="R17" s="2">
        <v>49.9</v>
      </c>
      <c r="S17" s="2">
        <v>57.9</v>
      </c>
      <c r="T17" s="2">
        <v>58.9</v>
      </c>
      <c r="U17" s="2">
        <v>50.8</v>
      </c>
      <c r="V17" s="5">
        <f t="shared" si="0"/>
        <v>57.241666666666667</v>
      </c>
      <c r="W17" s="4">
        <f t="shared" si="1"/>
        <v>1.2350597049323062</v>
      </c>
      <c r="X17" s="2">
        <f t="shared" si="2"/>
        <v>49.9</v>
      </c>
      <c r="Y17" s="3">
        <f t="shared" si="3"/>
        <v>55.924999999999997</v>
      </c>
      <c r="Z17" s="2">
        <f t="shared" si="4"/>
        <v>58.35</v>
      </c>
      <c r="AE17" s="13" t="s">
        <v>71</v>
      </c>
      <c r="AF17" s="12">
        <v>52.1</v>
      </c>
      <c r="AG17" s="11">
        <v>57.012500000000003</v>
      </c>
      <c r="AH17" s="11">
        <v>58.674999999999997</v>
      </c>
      <c r="AI17" s="11">
        <v>58.4</v>
      </c>
      <c r="AJ17" s="12">
        <v>31.15</v>
      </c>
      <c r="AK17" s="11">
        <v>32.049999999999997</v>
      </c>
      <c r="AL17" s="11">
        <v>33.549999999999997</v>
      </c>
      <c r="AM17" s="10">
        <v>33.729166666666671</v>
      </c>
    </row>
    <row r="18" spans="1:39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13.189</v>
      </c>
      <c r="J18" s="2">
        <v>60.8</v>
      </c>
      <c r="K18" s="2">
        <v>48.3</v>
      </c>
      <c r="L18" s="2">
        <v>55.5</v>
      </c>
      <c r="M18" s="2">
        <v>51.3</v>
      </c>
      <c r="N18" s="2">
        <v>53.6</v>
      </c>
      <c r="O18" s="2">
        <v>51.7</v>
      </c>
      <c r="P18" s="2">
        <v>48.4</v>
      </c>
      <c r="Q18" s="2">
        <v>58.3</v>
      </c>
      <c r="R18" s="2">
        <v>42.4</v>
      </c>
      <c r="S18" s="2">
        <v>50</v>
      </c>
      <c r="T18" s="2">
        <v>45.9</v>
      </c>
      <c r="U18" s="2">
        <v>48.9</v>
      </c>
      <c r="V18" s="5">
        <f t="shared" si="0"/>
        <v>51.258333333333326</v>
      </c>
      <c r="W18" s="4">
        <f t="shared" si="1"/>
        <v>1.4963317942167236</v>
      </c>
      <c r="X18" s="2">
        <f t="shared" si="2"/>
        <v>42.4</v>
      </c>
      <c r="Y18" s="3">
        <f t="shared" si="3"/>
        <v>48.375</v>
      </c>
      <c r="Z18" s="2">
        <f t="shared" si="4"/>
        <v>50.65</v>
      </c>
      <c r="AE18" s="13" t="s">
        <v>70</v>
      </c>
      <c r="AF18" s="12">
        <v>50.35</v>
      </c>
      <c r="AG18" s="11">
        <v>54.424999999999997</v>
      </c>
      <c r="AH18" s="11">
        <v>58.1</v>
      </c>
      <c r="AI18" s="11">
        <v>57.225000000000001</v>
      </c>
      <c r="AJ18" s="12">
        <v>30.45</v>
      </c>
      <c r="AK18" s="11">
        <v>32.075000000000003</v>
      </c>
      <c r="AL18" s="11">
        <v>33.325000000000003</v>
      </c>
      <c r="AM18" s="10">
        <v>33.9375</v>
      </c>
    </row>
    <row r="19" spans="1:39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13.204000000000001</v>
      </c>
      <c r="J19" s="2">
        <v>61.5</v>
      </c>
      <c r="K19" s="2">
        <v>47</v>
      </c>
      <c r="L19" s="2">
        <v>55.2</v>
      </c>
      <c r="M19" s="2">
        <v>61.7</v>
      </c>
      <c r="N19" s="2">
        <v>59.5</v>
      </c>
      <c r="O19" s="2">
        <v>60.5</v>
      </c>
      <c r="P19" s="2">
        <v>59.5</v>
      </c>
      <c r="Q19" s="2">
        <v>59.9</v>
      </c>
      <c r="R19" s="2">
        <v>58.8</v>
      </c>
      <c r="S19" s="2">
        <v>56.6</v>
      </c>
      <c r="T19" s="2">
        <v>51.2</v>
      </c>
      <c r="U19" s="2">
        <v>59.1</v>
      </c>
      <c r="V19" s="5">
        <f t="shared" si="0"/>
        <v>57.541666666666664</v>
      </c>
      <c r="W19" s="4">
        <f t="shared" si="1"/>
        <v>1.2811842493599741</v>
      </c>
      <c r="X19" s="2">
        <f t="shared" si="2"/>
        <v>47</v>
      </c>
      <c r="Y19" s="3">
        <f t="shared" si="3"/>
        <v>56.25</v>
      </c>
      <c r="Z19" s="2">
        <f t="shared" si="4"/>
        <v>59.3</v>
      </c>
      <c r="AE19" s="13" t="s">
        <v>69</v>
      </c>
      <c r="AF19" s="12">
        <v>47.1</v>
      </c>
      <c r="AG19" s="11">
        <v>52.606250000000003</v>
      </c>
      <c r="AH19" s="11">
        <v>57.262500000000003</v>
      </c>
      <c r="AI19" s="11">
        <v>56.172916666666673</v>
      </c>
      <c r="AJ19" s="12">
        <v>30.4</v>
      </c>
      <c r="AK19" s="11">
        <v>31.037500000000001</v>
      </c>
      <c r="AL19" s="11">
        <v>31.512499999999999</v>
      </c>
      <c r="AM19" s="10">
        <v>31.768750000000001</v>
      </c>
    </row>
    <row r="20" spans="1:39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13.218</v>
      </c>
      <c r="J20" s="2">
        <v>60.5</v>
      </c>
      <c r="K20" s="2">
        <v>54.5</v>
      </c>
      <c r="L20" s="2">
        <v>54.3</v>
      </c>
      <c r="M20" s="2">
        <v>65.3</v>
      </c>
      <c r="N20" s="2">
        <v>50</v>
      </c>
      <c r="O20" s="2">
        <v>58</v>
      </c>
      <c r="P20" s="2">
        <v>50.2</v>
      </c>
      <c r="Q20" s="2">
        <v>58.8</v>
      </c>
      <c r="R20" s="2">
        <v>50.3</v>
      </c>
      <c r="S20" s="2">
        <v>59.4</v>
      </c>
      <c r="T20" s="2">
        <v>46.7</v>
      </c>
      <c r="U20" s="2">
        <v>61.9</v>
      </c>
      <c r="V20" s="5">
        <f t="shared" si="0"/>
        <v>55.82500000000001</v>
      </c>
      <c r="W20" s="4">
        <f t="shared" si="1"/>
        <v>1.6476394960946126</v>
      </c>
      <c r="X20" s="2">
        <f t="shared" si="2"/>
        <v>46.7</v>
      </c>
      <c r="Y20" s="3">
        <f t="shared" si="3"/>
        <v>50.274999999999999</v>
      </c>
      <c r="Z20" s="2">
        <f t="shared" si="4"/>
        <v>56.25</v>
      </c>
      <c r="AE20" s="13" t="s">
        <v>68</v>
      </c>
      <c r="AF20" s="12">
        <v>48.7</v>
      </c>
      <c r="AG20" s="11">
        <v>52.46875</v>
      </c>
      <c r="AH20" s="11">
        <v>55.337499999999999</v>
      </c>
      <c r="AI20" s="11">
        <v>55.40625</v>
      </c>
      <c r="AJ20" s="12">
        <v>30.7</v>
      </c>
      <c r="AK20" s="11">
        <v>31.318750000000001</v>
      </c>
      <c r="AL20" s="11">
        <v>32.174999999999997</v>
      </c>
      <c r="AM20" s="10">
        <v>32.606250000000003</v>
      </c>
    </row>
    <row r="21" spans="1:39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13.233000000000001</v>
      </c>
      <c r="J21" s="2">
        <v>60.8</v>
      </c>
      <c r="K21" s="2">
        <v>53.2</v>
      </c>
      <c r="L21" s="2">
        <v>53.6</v>
      </c>
      <c r="M21" s="2">
        <v>51.6</v>
      </c>
      <c r="N21" s="2">
        <v>55.5</v>
      </c>
      <c r="O21" s="2">
        <v>43.8</v>
      </c>
      <c r="P21" s="2">
        <v>53.1</v>
      </c>
      <c r="Q21" s="2">
        <v>54.3</v>
      </c>
      <c r="R21" s="2">
        <v>55.9</v>
      </c>
      <c r="S21" s="2">
        <v>46.6</v>
      </c>
      <c r="T21" s="2">
        <v>59.4</v>
      </c>
      <c r="U21" s="2">
        <v>46.4</v>
      </c>
      <c r="V21" s="5">
        <f t="shared" si="0"/>
        <v>52.849999999999994</v>
      </c>
      <c r="W21" s="4">
        <f t="shared" si="1"/>
        <v>1.4807092894960849</v>
      </c>
      <c r="X21" s="2">
        <f t="shared" si="2"/>
        <v>43.8</v>
      </c>
      <c r="Y21" s="3">
        <f t="shared" si="3"/>
        <v>50.35</v>
      </c>
      <c r="Z21" s="2">
        <f t="shared" si="4"/>
        <v>53.400000000000006</v>
      </c>
      <c r="AE21" s="13" t="s">
        <v>67</v>
      </c>
      <c r="AF21" s="12">
        <v>43.45</v>
      </c>
      <c r="AG21" s="11">
        <v>47.4375</v>
      </c>
      <c r="AH21" s="11">
        <v>52.225000000000001</v>
      </c>
      <c r="AI21" s="11">
        <v>51.391666666666666</v>
      </c>
      <c r="AJ21" s="12">
        <v>31.75</v>
      </c>
      <c r="AK21" s="11">
        <v>32.962499999999999</v>
      </c>
      <c r="AL21" s="11">
        <v>33.450000000000003</v>
      </c>
      <c r="AM21" s="10">
        <v>33.862499999999997</v>
      </c>
    </row>
    <row r="22" spans="1:39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13.249000000000001</v>
      </c>
      <c r="J22" s="2">
        <v>60.5</v>
      </c>
      <c r="K22" s="2">
        <v>57.2</v>
      </c>
      <c r="L22" s="2">
        <v>54.5</v>
      </c>
      <c r="M22" s="2">
        <v>61.7</v>
      </c>
      <c r="N22" s="2">
        <v>58.8</v>
      </c>
      <c r="O22" s="2">
        <v>56.8</v>
      </c>
      <c r="P22" s="2">
        <v>59.2</v>
      </c>
      <c r="Q22" s="2">
        <v>59.3</v>
      </c>
      <c r="R22" s="2">
        <v>59.7</v>
      </c>
      <c r="S22" s="2">
        <v>60.8</v>
      </c>
      <c r="T22" s="2">
        <v>55</v>
      </c>
      <c r="U22" s="2">
        <v>61.7</v>
      </c>
      <c r="V22" s="5">
        <f t="shared" si="0"/>
        <v>58.766666666666673</v>
      </c>
      <c r="W22" s="4">
        <f t="shared" si="1"/>
        <v>0.69851935759096417</v>
      </c>
      <c r="X22" s="2">
        <f t="shared" si="2"/>
        <v>54.5</v>
      </c>
      <c r="Y22" s="3">
        <f t="shared" si="3"/>
        <v>57.1</v>
      </c>
      <c r="Z22" s="2">
        <f t="shared" si="4"/>
        <v>59.25</v>
      </c>
      <c r="AE22" s="13" t="s">
        <v>66</v>
      </c>
      <c r="AF22" s="12">
        <v>45.65</v>
      </c>
      <c r="AG22" s="11">
        <v>49.712499999999999</v>
      </c>
      <c r="AH22" s="11">
        <v>52.524999999999999</v>
      </c>
      <c r="AI22" s="11">
        <v>52.841666666666669</v>
      </c>
      <c r="AJ22" s="12">
        <v>30.8</v>
      </c>
      <c r="AK22" s="11">
        <v>32.037500000000001</v>
      </c>
      <c r="AL22" s="11">
        <v>32.700000000000003</v>
      </c>
      <c r="AM22" s="10">
        <v>32.979166666666671</v>
      </c>
    </row>
    <row r="23" spans="1:39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13.263999999999999</v>
      </c>
      <c r="J23" s="2">
        <v>61.1</v>
      </c>
      <c r="K23" s="2">
        <v>61</v>
      </c>
      <c r="L23" s="2">
        <v>62</v>
      </c>
      <c r="M23" s="2">
        <v>62.4</v>
      </c>
      <c r="N23" s="2">
        <v>58.1</v>
      </c>
      <c r="O23" s="2">
        <v>59.8</v>
      </c>
      <c r="P23" s="2">
        <v>61.2</v>
      </c>
      <c r="Q23" s="2">
        <v>60.9</v>
      </c>
      <c r="R23" s="2">
        <v>60.2</v>
      </c>
      <c r="S23" s="2">
        <v>48.2</v>
      </c>
      <c r="T23" s="2">
        <v>60.5</v>
      </c>
      <c r="U23" s="2">
        <v>57.5</v>
      </c>
      <c r="V23" s="5">
        <f t="shared" si="0"/>
        <v>59.408333333333339</v>
      </c>
      <c r="W23" s="4">
        <f t="shared" si="1"/>
        <v>1.0990669826371968</v>
      </c>
      <c r="X23" s="2">
        <f t="shared" si="2"/>
        <v>48.2</v>
      </c>
      <c r="Y23" s="3">
        <f t="shared" si="3"/>
        <v>59.375</v>
      </c>
      <c r="Z23" s="2">
        <f t="shared" si="4"/>
        <v>60.7</v>
      </c>
      <c r="AE23" s="13" t="s">
        <v>65</v>
      </c>
      <c r="AF23" s="12">
        <v>40.6</v>
      </c>
      <c r="AG23" s="11">
        <v>50.424999999999997</v>
      </c>
      <c r="AH23" s="11">
        <v>57.8</v>
      </c>
      <c r="AI23" s="11">
        <v>54.741666666666667</v>
      </c>
      <c r="AJ23" s="12">
        <v>30.1</v>
      </c>
      <c r="AK23" s="11">
        <v>30.75</v>
      </c>
      <c r="AL23" s="11">
        <v>31.05</v>
      </c>
      <c r="AM23" s="10">
        <v>31.491666666666664</v>
      </c>
    </row>
    <row r="24" spans="1:39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13.281000000000001</v>
      </c>
      <c r="J24" s="2">
        <v>61.1</v>
      </c>
      <c r="K24" s="2">
        <v>54.1</v>
      </c>
      <c r="L24" s="2">
        <v>49</v>
      </c>
      <c r="M24" s="2">
        <v>55</v>
      </c>
      <c r="N24" s="2">
        <v>55</v>
      </c>
      <c r="O24" s="2">
        <v>59.6</v>
      </c>
      <c r="P24" s="2">
        <v>56.8</v>
      </c>
      <c r="Q24" s="2">
        <v>59.8</v>
      </c>
      <c r="R24" s="2">
        <v>53.6</v>
      </c>
      <c r="S24" s="2">
        <v>59.8</v>
      </c>
      <c r="T24" s="2">
        <v>48.4</v>
      </c>
      <c r="U24" s="2">
        <v>61.3</v>
      </c>
      <c r="V24" s="5">
        <f t="shared" si="0"/>
        <v>56.125</v>
      </c>
      <c r="W24" s="4">
        <f t="shared" si="1"/>
        <v>1.2748217344183674</v>
      </c>
      <c r="X24" s="2">
        <f t="shared" si="2"/>
        <v>48.4</v>
      </c>
      <c r="Y24" s="3">
        <f t="shared" si="3"/>
        <v>53.975000000000001</v>
      </c>
      <c r="Z24" s="2">
        <f t="shared" si="4"/>
        <v>55.9</v>
      </c>
      <c r="AE24" s="13" t="s">
        <v>64</v>
      </c>
      <c r="AF24" s="12">
        <v>46.55</v>
      </c>
      <c r="AG24" s="11">
        <v>56.112499999999997</v>
      </c>
      <c r="AH24" s="11">
        <v>58.55</v>
      </c>
      <c r="AI24" s="11">
        <v>57.212499999999999</v>
      </c>
      <c r="AJ24" s="12">
        <v>30.45</v>
      </c>
      <c r="AK24" s="11">
        <v>31.875</v>
      </c>
      <c r="AL24" s="11">
        <v>32.25</v>
      </c>
      <c r="AM24" s="10">
        <v>32.825000000000003</v>
      </c>
    </row>
    <row r="25" spans="1:39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13.295999999999999</v>
      </c>
      <c r="J25" s="2">
        <v>60.4</v>
      </c>
      <c r="K25" s="2">
        <v>60.9</v>
      </c>
      <c r="L25" s="2">
        <v>59.8</v>
      </c>
      <c r="M25" s="2">
        <v>63.1</v>
      </c>
      <c r="N25" s="2">
        <v>53.2</v>
      </c>
      <c r="O25" s="2">
        <v>59.8</v>
      </c>
      <c r="P25" s="2">
        <v>53.8</v>
      </c>
      <c r="Q25" s="2">
        <v>61.4</v>
      </c>
      <c r="R25" s="2">
        <v>54.6</v>
      </c>
      <c r="S25" s="2">
        <v>59.8</v>
      </c>
      <c r="T25" s="2">
        <v>47.9</v>
      </c>
      <c r="U25" s="2">
        <v>61.6</v>
      </c>
      <c r="V25" s="5">
        <f t="shared" si="0"/>
        <v>58.024999999999999</v>
      </c>
      <c r="W25" s="4">
        <f t="shared" si="1"/>
        <v>1.3161655164403401</v>
      </c>
      <c r="X25" s="2">
        <f t="shared" si="2"/>
        <v>47.9</v>
      </c>
      <c r="Y25" s="3">
        <f t="shared" si="3"/>
        <v>54.4</v>
      </c>
      <c r="Z25" s="2">
        <f t="shared" si="4"/>
        <v>59.8</v>
      </c>
      <c r="AE25" s="13" t="s">
        <v>63</v>
      </c>
      <c r="AF25" s="12">
        <v>44.9</v>
      </c>
      <c r="AG25" s="11">
        <v>55.3</v>
      </c>
      <c r="AH25" s="11">
        <v>58.933333333333337</v>
      </c>
      <c r="AI25" s="11">
        <v>56.86944444444444</v>
      </c>
      <c r="AJ25" s="12">
        <v>31.633333333333336</v>
      </c>
      <c r="AK25" s="11">
        <v>31.883333333333336</v>
      </c>
      <c r="AL25" s="11">
        <v>32.833333333333336</v>
      </c>
      <c r="AM25" s="10">
        <v>33.44166666666667</v>
      </c>
    </row>
    <row r="26" spans="1:39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13.433</v>
      </c>
      <c r="J26" s="2">
        <v>59.9</v>
      </c>
      <c r="K26" s="2">
        <v>52.4</v>
      </c>
      <c r="L26" s="2">
        <v>51</v>
      </c>
      <c r="M26" s="2">
        <v>60.7</v>
      </c>
      <c r="N26" s="2">
        <v>49.1</v>
      </c>
      <c r="O26" s="2">
        <v>59.5</v>
      </c>
      <c r="P26" s="2">
        <v>55.5</v>
      </c>
      <c r="Q26" s="2">
        <v>58.1</v>
      </c>
      <c r="R26" s="2">
        <v>44.4</v>
      </c>
      <c r="S26" s="2">
        <v>56.1</v>
      </c>
      <c r="T26" s="2">
        <v>51.9</v>
      </c>
      <c r="U26" s="2">
        <v>59.6</v>
      </c>
      <c r="V26" s="5">
        <f t="shared" si="0"/>
        <v>54.85</v>
      </c>
      <c r="W26" s="4">
        <f t="shared" si="1"/>
        <v>1.4777388541999301</v>
      </c>
      <c r="X26" s="2">
        <f t="shared" si="2"/>
        <v>44.4</v>
      </c>
      <c r="Y26" s="3">
        <f t="shared" si="3"/>
        <v>51.674999999999997</v>
      </c>
      <c r="Z26" s="2">
        <f t="shared" si="4"/>
        <v>55.8</v>
      </c>
      <c r="AE26" s="13" t="s">
        <v>62</v>
      </c>
      <c r="AF26" s="12">
        <v>47.424999999999997</v>
      </c>
      <c r="AG26" s="11">
        <v>53.106250000000003</v>
      </c>
      <c r="AH26" s="11">
        <v>56.862499999999997</v>
      </c>
      <c r="AI26" s="11">
        <v>55.80416666666666</v>
      </c>
      <c r="AJ26" s="12">
        <v>30.7</v>
      </c>
      <c r="AK26" s="11">
        <v>31.793749999999999</v>
      </c>
      <c r="AL26" s="11">
        <v>32.524999999999999</v>
      </c>
      <c r="AM26" s="10">
        <v>32.752083333333331</v>
      </c>
    </row>
    <row r="27" spans="1:39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13.449</v>
      </c>
      <c r="J27" s="2">
        <v>60.1</v>
      </c>
      <c r="K27" s="2">
        <v>52.6</v>
      </c>
      <c r="L27" s="2">
        <v>48.7</v>
      </c>
      <c r="M27" s="2">
        <v>61.2</v>
      </c>
      <c r="N27" s="2">
        <v>56.9</v>
      </c>
      <c r="O27" s="2">
        <v>55.4</v>
      </c>
      <c r="P27" s="2">
        <v>56.6</v>
      </c>
      <c r="Q27" s="2">
        <v>53.7</v>
      </c>
      <c r="R27" s="2">
        <v>52.1</v>
      </c>
      <c r="S27" s="2">
        <v>50.6</v>
      </c>
      <c r="T27" s="2">
        <v>55.2</v>
      </c>
      <c r="U27" s="2">
        <v>46.9</v>
      </c>
      <c r="V27" s="5">
        <f t="shared" si="0"/>
        <v>54.166666666666664</v>
      </c>
      <c r="W27" s="4">
        <f t="shared" si="1"/>
        <v>1.2401327722987137</v>
      </c>
      <c r="X27" s="2">
        <f t="shared" si="2"/>
        <v>46.9</v>
      </c>
      <c r="Y27" s="3">
        <f t="shared" si="3"/>
        <v>51.725000000000001</v>
      </c>
      <c r="Z27" s="2">
        <f t="shared" si="4"/>
        <v>54.45</v>
      </c>
      <c r="AE27" s="9" t="s">
        <v>61</v>
      </c>
      <c r="AF27" s="8">
        <v>33.75</v>
      </c>
      <c r="AG27" s="7">
        <v>34.362499999999997</v>
      </c>
      <c r="AH27" s="7">
        <v>35.35</v>
      </c>
      <c r="AI27" s="7">
        <v>35.229166666666671</v>
      </c>
      <c r="AJ27" s="8"/>
      <c r="AK27" s="7"/>
      <c r="AL27" s="7"/>
      <c r="AM27" s="6"/>
    </row>
    <row r="28" spans="1:39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13.462999999999999</v>
      </c>
      <c r="J28" s="2">
        <v>57.3</v>
      </c>
      <c r="K28" s="2">
        <v>52.1</v>
      </c>
      <c r="L28" s="2">
        <v>49.7</v>
      </c>
      <c r="M28" s="2">
        <v>55.7</v>
      </c>
      <c r="N28" s="2">
        <v>44.9</v>
      </c>
      <c r="O28" s="2">
        <v>58.3</v>
      </c>
      <c r="P28" s="2">
        <v>59.3</v>
      </c>
      <c r="Q28" s="2">
        <v>58.8</v>
      </c>
      <c r="R28" s="2">
        <v>58.5</v>
      </c>
      <c r="S28" s="2">
        <v>57.1</v>
      </c>
      <c r="T28" s="2">
        <v>53.1</v>
      </c>
      <c r="U28" s="2">
        <v>55.4</v>
      </c>
      <c r="V28" s="5">
        <f t="shared" si="0"/>
        <v>55.016666666666673</v>
      </c>
      <c r="W28" s="4">
        <f t="shared" si="1"/>
        <v>1.2569101926244501</v>
      </c>
      <c r="X28" s="2">
        <f t="shared" si="2"/>
        <v>44.9</v>
      </c>
      <c r="Y28" s="3">
        <f t="shared" si="3"/>
        <v>52.85</v>
      </c>
      <c r="Z28" s="2">
        <f t="shared" si="4"/>
        <v>56.400000000000006</v>
      </c>
    </row>
    <row r="29" spans="1:39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13.478</v>
      </c>
      <c r="J29" s="2">
        <v>60.7</v>
      </c>
      <c r="K29" s="2">
        <v>59.4</v>
      </c>
      <c r="L29" s="2">
        <v>57.3</v>
      </c>
      <c r="M29" s="2">
        <v>56.9</v>
      </c>
      <c r="N29" s="2">
        <v>56</v>
      </c>
      <c r="O29" s="2">
        <v>54</v>
      </c>
      <c r="P29" s="2">
        <v>54.6</v>
      </c>
      <c r="Q29" s="2">
        <v>55.6</v>
      </c>
      <c r="R29" s="2">
        <v>52.8</v>
      </c>
      <c r="S29" s="2">
        <v>56.8</v>
      </c>
      <c r="T29" s="2">
        <v>53.9</v>
      </c>
      <c r="U29" s="2">
        <v>59.1</v>
      </c>
      <c r="V29" s="5">
        <f t="shared" si="0"/>
        <v>56.425000000000004</v>
      </c>
      <c r="W29" s="4">
        <f t="shared" si="1"/>
        <v>0.701742959934891</v>
      </c>
      <c r="X29" s="2">
        <f t="shared" si="2"/>
        <v>52.8</v>
      </c>
      <c r="Y29" s="3">
        <f t="shared" si="3"/>
        <v>54.45</v>
      </c>
      <c r="Z29" s="2">
        <f t="shared" si="4"/>
        <v>56.4</v>
      </c>
    </row>
    <row r="30" spans="1:39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13.494</v>
      </c>
      <c r="J30" s="2">
        <v>60.3</v>
      </c>
      <c r="K30" s="2">
        <v>52.8</v>
      </c>
      <c r="L30" s="2">
        <v>52.1</v>
      </c>
      <c r="M30" s="2">
        <v>43.4</v>
      </c>
      <c r="N30" s="2">
        <v>53.2</v>
      </c>
      <c r="O30" s="2">
        <v>45.6</v>
      </c>
      <c r="P30" s="2">
        <v>51.9</v>
      </c>
      <c r="Q30" s="2">
        <v>44.9</v>
      </c>
      <c r="R30" s="2">
        <v>50.2</v>
      </c>
      <c r="S30" s="2">
        <v>43.1</v>
      </c>
      <c r="T30" s="2">
        <v>58.5</v>
      </c>
      <c r="U30" s="2">
        <v>43.2</v>
      </c>
      <c r="V30" s="5">
        <f t="shared" si="0"/>
        <v>49.933333333333337</v>
      </c>
      <c r="W30" s="4">
        <f t="shared" si="1"/>
        <v>1.7127124213900591</v>
      </c>
      <c r="X30" s="2">
        <f t="shared" si="2"/>
        <v>43.1</v>
      </c>
      <c r="Y30" s="3">
        <f t="shared" si="3"/>
        <v>44.524999999999999</v>
      </c>
      <c r="Z30" s="2">
        <f t="shared" si="4"/>
        <v>51.05</v>
      </c>
    </row>
    <row r="31" spans="1:39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13.509</v>
      </c>
      <c r="J31" s="2">
        <v>59.7</v>
      </c>
      <c r="K31" s="2">
        <v>53</v>
      </c>
      <c r="L31" s="2">
        <v>52.8</v>
      </c>
      <c r="M31" s="2">
        <v>61.7</v>
      </c>
      <c r="N31" s="2">
        <v>55.5</v>
      </c>
      <c r="O31" s="2">
        <v>57.3</v>
      </c>
      <c r="P31" s="2">
        <v>52.2</v>
      </c>
      <c r="Q31" s="2">
        <v>54.7</v>
      </c>
      <c r="R31" s="2">
        <v>52.4</v>
      </c>
      <c r="S31" s="2">
        <v>51.3</v>
      </c>
      <c r="T31" s="2">
        <v>53.6</v>
      </c>
      <c r="U31" s="2">
        <v>56.5</v>
      </c>
      <c r="V31" s="5">
        <f t="shared" si="0"/>
        <v>55.05833333333333</v>
      </c>
      <c r="W31" s="4">
        <f t="shared" si="1"/>
        <v>0.92895006987632711</v>
      </c>
      <c r="X31" s="2">
        <f t="shared" si="2"/>
        <v>51.3</v>
      </c>
      <c r="Y31" s="3">
        <f t="shared" si="3"/>
        <v>52.699999999999996</v>
      </c>
      <c r="Z31" s="2">
        <f t="shared" si="4"/>
        <v>54.150000000000006</v>
      </c>
    </row>
    <row r="32" spans="1:39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13.525</v>
      </c>
      <c r="J32" s="2">
        <v>60.3</v>
      </c>
      <c r="K32" s="2">
        <v>60.7</v>
      </c>
      <c r="L32" s="2">
        <v>46.5</v>
      </c>
      <c r="M32" s="2">
        <v>60.6</v>
      </c>
      <c r="N32" s="2">
        <v>53</v>
      </c>
      <c r="O32" s="2">
        <v>57</v>
      </c>
      <c r="P32" s="2">
        <v>43.5</v>
      </c>
      <c r="Q32" s="2">
        <v>60.1</v>
      </c>
      <c r="R32" s="2">
        <v>52.2</v>
      </c>
      <c r="S32" s="2">
        <v>59.1</v>
      </c>
      <c r="T32" s="2">
        <v>54.2</v>
      </c>
      <c r="U32" s="2">
        <v>60</v>
      </c>
      <c r="V32" s="5">
        <f t="shared" si="0"/>
        <v>55.6</v>
      </c>
      <c r="W32" s="4">
        <f t="shared" si="1"/>
        <v>1.6886878535320415</v>
      </c>
      <c r="X32" s="2">
        <f t="shared" si="2"/>
        <v>43.5</v>
      </c>
      <c r="Y32" s="3">
        <f t="shared" si="3"/>
        <v>52.8</v>
      </c>
      <c r="Z32" s="2">
        <f t="shared" si="4"/>
        <v>58.05</v>
      </c>
    </row>
    <row r="33" spans="1:26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13.539</v>
      </c>
      <c r="J33" s="2">
        <v>60.9</v>
      </c>
      <c r="K33" s="2">
        <v>58.9</v>
      </c>
      <c r="L33" s="2">
        <v>48.4</v>
      </c>
      <c r="M33" s="2">
        <v>53.9</v>
      </c>
      <c r="N33" s="2">
        <v>45.5</v>
      </c>
      <c r="O33" s="2">
        <v>59.6</v>
      </c>
      <c r="P33" s="2">
        <v>43.8</v>
      </c>
      <c r="Q33" s="2">
        <v>58.1</v>
      </c>
      <c r="R33" s="2">
        <v>43.2</v>
      </c>
      <c r="S33" s="2">
        <v>58.3</v>
      </c>
      <c r="T33" s="2">
        <v>49.7</v>
      </c>
      <c r="U33" s="2">
        <v>50.8</v>
      </c>
      <c r="V33" s="5">
        <f t="shared" si="0"/>
        <v>52.591666666666669</v>
      </c>
      <c r="W33" s="4">
        <f t="shared" si="1"/>
        <v>1.8819500819923689</v>
      </c>
      <c r="X33" s="2">
        <f t="shared" si="2"/>
        <v>43.2</v>
      </c>
      <c r="Y33" s="3">
        <f t="shared" si="3"/>
        <v>47.674999999999997</v>
      </c>
      <c r="Z33" s="2">
        <f t="shared" si="4"/>
        <v>52.349999999999994</v>
      </c>
    </row>
    <row r="34" spans="1:26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13.645</v>
      </c>
      <c r="J34" s="2">
        <v>60.1</v>
      </c>
      <c r="K34" s="2">
        <v>49.7</v>
      </c>
      <c r="L34" s="2">
        <v>54</v>
      </c>
      <c r="M34" s="2">
        <v>56</v>
      </c>
      <c r="N34" s="2">
        <v>57.3</v>
      </c>
      <c r="O34" s="2">
        <v>53.8</v>
      </c>
      <c r="P34" s="2">
        <v>49.9</v>
      </c>
      <c r="Q34" s="2">
        <v>58.5</v>
      </c>
      <c r="R34" s="2">
        <v>52.9</v>
      </c>
      <c r="S34" s="2">
        <v>51.6</v>
      </c>
      <c r="T34" s="2">
        <v>48.6</v>
      </c>
      <c r="U34" s="2">
        <v>46.7</v>
      </c>
      <c r="V34" s="5">
        <f t="shared" si="0"/>
        <v>53.258333333333333</v>
      </c>
      <c r="W34" s="4">
        <f t="shared" si="1"/>
        <v>1.2013539289594313</v>
      </c>
      <c r="X34" s="2">
        <f t="shared" si="2"/>
        <v>46.7</v>
      </c>
      <c r="Y34" s="3">
        <f t="shared" si="3"/>
        <v>49.85</v>
      </c>
      <c r="Z34" s="2">
        <f t="shared" si="4"/>
        <v>53.349999999999994</v>
      </c>
    </row>
    <row r="35" spans="1:26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13.63</v>
      </c>
      <c r="J35" s="2">
        <v>60.8</v>
      </c>
      <c r="K35" s="2">
        <v>58.9</v>
      </c>
      <c r="L35" s="2">
        <v>56.9</v>
      </c>
      <c r="M35" s="2">
        <v>61.4</v>
      </c>
      <c r="N35" s="2">
        <v>53</v>
      </c>
      <c r="O35" s="2">
        <v>58.3</v>
      </c>
      <c r="P35" s="2">
        <v>49.8</v>
      </c>
      <c r="Q35" s="2">
        <v>59.1</v>
      </c>
      <c r="R35" s="2">
        <v>49.8</v>
      </c>
      <c r="S35" s="2">
        <v>60.5</v>
      </c>
      <c r="T35" s="2">
        <v>48.9</v>
      </c>
      <c r="U35" s="2">
        <v>57.2</v>
      </c>
      <c r="V35" s="5">
        <f t="shared" si="0"/>
        <v>56.216666666666669</v>
      </c>
      <c r="W35" s="4">
        <f t="shared" si="1"/>
        <v>1.3306886650273699</v>
      </c>
      <c r="X35" s="2">
        <f t="shared" si="2"/>
        <v>48.9</v>
      </c>
      <c r="Y35" s="3">
        <f t="shared" si="3"/>
        <v>52.2</v>
      </c>
      <c r="Z35" s="2">
        <f t="shared" si="4"/>
        <v>57.75</v>
      </c>
    </row>
    <row r="36" spans="1:26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13.613</v>
      </c>
      <c r="J36" s="2">
        <v>59.7</v>
      </c>
      <c r="K36" s="2">
        <v>51</v>
      </c>
      <c r="L36" s="2">
        <v>52.7</v>
      </c>
      <c r="M36" s="2">
        <v>54.3</v>
      </c>
      <c r="N36" s="2">
        <v>48.7</v>
      </c>
      <c r="O36" s="2">
        <v>59.1</v>
      </c>
      <c r="P36" s="2">
        <v>46.3</v>
      </c>
      <c r="Q36" s="2">
        <v>60.3</v>
      </c>
      <c r="R36" s="2">
        <v>50.7</v>
      </c>
      <c r="S36" s="2">
        <v>45.3</v>
      </c>
      <c r="T36" s="2">
        <v>57.3</v>
      </c>
      <c r="U36" s="2">
        <v>55.8</v>
      </c>
      <c r="V36" s="5">
        <f t="shared" si="0"/>
        <v>53.43333333333333</v>
      </c>
      <c r="W36" s="4">
        <f t="shared" si="1"/>
        <v>1.4903900919768043</v>
      </c>
      <c r="X36" s="2">
        <f t="shared" si="2"/>
        <v>45.3</v>
      </c>
      <c r="Y36" s="3">
        <f t="shared" si="3"/>
        <v>50.2</v>
      </c>
      <c r="Z36" s="2">
        <f t="shared" si="4"/>
        <v>53.5</v>
      </c>
    </row>
    <row r="37" spans="1:26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13.597</v>
      </c>
      <c r="J37" s="2">
        <v>61.7</v>
      </c>
      <c r="K37" s="2">
        <v>57</v>
      </c>
      <c r="L37" s="2">
        <v>52.9</v>
      </c>
      <c r="M37" s="2">
        <v>61.7</v>
      </c>
      <c r="N37" s="2">
        <v>42.9</v>
      </c>
      <c r="O37" s="2">
        <v>60.4</v>
      </c>
      <c r="P37" s="2">
        <v>50.6</v>
      </c>
      <c r="Q37" s="2">
        <v>58.8</v>
      </c>
      <c r="R37" s="2">
        <v>50.9</v>
      </c>
      <c r="S37" s="2">
        <v>59.2</v>
      </c>
      <c r="T37" s="2">
        <v>56.4</v>
      </c>
      <c r="U37" s="2">
        <v>52.4</v>
      </c>
      <c r="V37" s="5">
        <f t="shared" si="0"/>
        <v>55.408333333333331</v>
      </c>
      <c r="W37" s="4">
        <f t="shared" si="1"/>
        <v>1.625388453958815</v>
      </c>
      <c r="X37" s="2">
        <f t="shared" si="2"/>
        <v>42.9</v>
      </c>
      <c r="Y37" s="3">
        <f t="shared" si="3"/>
        <v>52.024999999999999</v>
      </c>
      <c r="Z37" s="2">
        <f t="shared" si="4"/>
        <v>56.7</v>
      </c>
    </row>
    <row r="38" spans="1:26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13.582000000000001</v>
      </c>
      <c r="J38" s="2">
        <v>61.1</v>
      </c>
      <c r="K38" s="2">
        <v>59.3</v>
      </c>
      <c r="L38" s="2">
        <v>40.6</v>
      </c>
      <c r="M38" s="2">
        <v>61.4</v>
      </c>
      <c r="N38" s="2">
        <v>48.7</v>
      </c>
      <c r="O38" s="2">
        <v>59.8</v>
      </c>
      <c r="P38" s="2">
        <v>45.2</v>
      </c>
      <c r="Q38" s="2">
        <v>60</v>
      </c>
      <c r="R38" s="2">
        <v>51</v>
      </c>
      <c r="S38" s="2">
        <v>61</v>
      </c>
      <c r="T38" s="2">
        <v>52.5</v>
      </c>
      <c r="U38" s="2">
        <v>56.3</v>
      </c>
      <c r="V38" s="5">
        <f t="shared" si="0"/>
        <v>54.741666666666667</v>
      </c>
      <c r="W38" s="4">
        <f t="shared" si="1"/>
        <v>2.0355350102068481</v>
      </c>
      <c r="X38" s="2">
        <f t="shared" si="2"/>
        <v>40.6</v>
      </c>
      <c r="Y38" s="3">
        <f t="shared" si="3"/>
        <v>50.424999999999997</v>
      </c>
      <c r="Z38" s="2">
        <f t="shared" si="4"/>
        <v>57.8</v>
      </c>
    </row>
    <row r="39" spans="1:26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13.568</v>
      </c>
      <c r="J39" s="2">
        <v>60</v>
      </c>
      <c r="K39" s="2">
        <v>59.8</v>
      </c>
      <c r="L39" s="2">
        <v>56.7</v>
      </c>
      <c r="M39" s="2">
        <v>61.1</v>
      </c>
      <c r="N39" s="2">
        <v>46.7</v>
      </c>
      <c r="O39" s="2">
        <v>58.1</v>
      </c>
      <c r="P39" s="2">
        <v>55.9</v>
      </c>
      <c r="Q39" s="2">
        <v>60</v>
      </c>
      <c r="R39" s="2">
        <v>43.2</v>
      </c>
      <c r="S39" s="2">
        <v>59.9</v>
      </c>
      <c r="T39" s="2">
        <v>47.2</v>
      </c>
      <c r="U39" s="2">
        <v>59</v>
      </c>
      <c r="V39" s="5">
        <f t="shared" si="0"/>
        <v>55.633333333333333</v>
      </c>
      <c r="W39" s="4">
        <f t="shared" si="1"/>
        <v>1.800098201586112</v>
      </c>
      <c r="X39" s="2">
        <f t="shared" si="2"/>
        <v>43.2</v>
      </c>
      <c r="Y39" s="3">
        <f t="shared" si="3"/>
        <v>53.725000000000001</v>
      </c>
      <c r="Z39" s="2">
        <f t="shared" si="4"/>
        <v>58.55</v>
      </c>
    </row>
    <row r="40" spans="1:26" x14ac:dyDescent="0.2">
      <c r="A40" s="1">
        <v>901</v>
      </c>
      <c r="B40" s="1" t="s">
        <v>61</v>
      </c>
      <c r="C40" s="1">
        <v>32</v>
      </c>
      <c r="D40" s="1">
        <v>9</v>
      </c>
      <c r="E40" s="1">
        <v>0</v>
      </c>
      <c r="F40" s="1">
        <v>1</v>
      </c>
      <c r="G40" s="1">
        <v>1</v>
      </c>
      <c r="H40" s="1">
        <v>1</v>
      </c>
      <c r="I40" s="4">
        <v>13.414999999999999</v>
      </c>
      <c r="J40" s="2">
        <v>33.299999999999997</v>
      </c>
      <c r="K40" s="2">
        <v>35.700000000000003</v>
      </c>
      <c r="L40" s="2">
        <v>34.299999999999997</v>
      </c>
      <c r="M40" s="2">
        <v>35</v>
      </c>
      <c r="N40" s="2">
        <v>33.299999999999997</v>
      </c>
      <c r="O40" s="2">
        <v>35.5</v>
      </c>
      <c r="P40" s="2">
        <v>34.9</v>
      </c>
      <c r="Q40" s="2">
        <v>33.1</v>
      </c>
      <c r="R40" s="2">
        <v>35.6</v>
      </c>
      <c r="S40" s="2">
        <v>33.6</v>
      </c>
      <c r="T40" s="2">
        <v>35</v>
      </c>
      <c r="U40" s="2">
        <v>35</v>
      </c>
      <c r="V40" s="5">
        <f t="shared" si="0"/>
        <v>34.525000000000006</v>
      </c>
      <c r="W40" s="4">
        <f t="shared" si="1"/>
        <v>0.27855824699638149</v>
      </c>
      <c r="X40" s="2">
        <f t="shared" si="2"/>
        <v>33.1</v>
      </c>
      <c r="Y40" s="3">
        <f t="shared" si="3"/>
        <v>33.524999999999999</v>
      </c>
      <c r="Z40" s="2">
        <f t="shared" si="4"/>
        <v>34.950000000000003</v>
      </c>
    </row>
    <row r="41" spans="1:26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13.4</v>
      </c>
      <c r="J41" s="2">
        <v>62.5</v>
      </c>
      <c r="K41" s="2">
        <v>54.3</v>
      </c>
      <c r="L41" s="2">
        <v>57.4</v>
      </c>
      <c r="M41" s="2">
        <v>55.6</v>
      </c>
      <c r="N41" s="2">
        <v>52.5</v>
      </c>
      <c r="O41" s="2">
        <v>59.4</v>
      </c>
      <c r="P41" s="2">
        <v>52.6</v>
      </c>
      <c r="Q41" s="2">
        <v>63.2</v>
      </c>
      <c r="R41" s="2">
        <v>51.8</v>
      </c>
      <c r="S41" s="2">
        <v>59.8</v>
      </c>
      <c r="T41" s="2">
        <v>46.7</v>
      </c>
      <c r="U41" s="2">
        <v>58.7</v>
      </c>
      <c r="V41" s="5">
        <f t="shared" si="0"/>
        <v>56.208333333333336</v>
      </c>
      <c r="W41" s="4">
        <f t="shared" si="1"/>
        <v>1.402943784556695</v>
      </c>
      <c r="X41" s="2">
        <f t="shared" si="2"/>
        <v>46.7</v>
      </c>
      <c r="Y41" s="3">
        <f t="shared" si="3"/>
        <v>52.575000000000003</v>
      </c>
      <c r="Z41" s="2">
        <f t="shared" si="4"/>
        <v>56.5</v>
      </c>
    </row>
    <row r="42" spans="1:26" x14ac:dyDescent="0.2">
      <c r="A42" s="1">
        <v>903</v>
      </c>
      <c r="B42" s="1" t="s">
        <v>74</v>
      </c>
      <c r="C42" s="1">
        <v>31</v>
      </c>
      <c r="D42" s="1">
        <v>8</v>
      </c>
      <c r="E42" s="1">
        <v>0</v>
      </c>
      <c r="F42" s="1">
        <v>1</v>
      </c>
      <c r="G42" s="1">
        <v>1</v>
      </c>
      <c r="H42" s="1">
        <v>1</v>
      </c>
      <c r="I42" s="4">
        <v>13.39</v>
      </c>
      <c r="J42" s="2">
        <v>61.9</v>
      </c>
      <c r="K42" s="2">
        <v>64.099999999999994</v>
      </c>
      <c r="L42" s="2">
        <v>64.2</v>
      </c>
      <c r="M42" s="2">
        <v>65</v>
      </c>
      <c r="N42" s="2">
        <v>65.599999999999994</v>
      </c>
      <c r="O42" s="2">
        <v>64.099999999999994</v>
      </c>
      <c r="P42" s="2">
        <v>65.099999999999994</v>
      </c>
      <c r="Q42" s="2">
        <v>65.099999999999994</v>
      </c>
      <c r="R42" s="2">
        <v>65.400000000000006</v>
      </c>
      <c r="S42" s="2">
        <v>62.6</v>
      </c>
      <c r="T42" s="2">
        <v>65.599999999999994</v>
      </c>
      <c r="U42" s="2">
        <v>64.599999999999994</v>
      </c>
      <c r="V42" s="5">
        <f t="shared" ref="V42:V73" si="5">AVERAGE(J42:U42)</f>
        <v>64.441666666666677</v>
      </c>
      <c r="W42" s="4">
        <f t="shared" ref="W42:W73" si="6">STDEV(J42:U42)/SQRT(COUNT(J42:U42))</f>
        <v>0.33652824937330666</v>
      </c>
      <c r="X42" s="2">
        <f t="shared" ref="X42:X73" si="7">MIN(J42:U42)</f>
        <v>61.9</v>
      </c>
      <c r="Y42" s="3">
        <f t="shared" ref="Y42:Y73" si="8">QUARTILE(J42:U42,1)</f>
        <v>64.099999999999994</v>
      </c>
      <c r="Z42" s="2">
        <f t="shared" ref="Z42:Z73" si="9">MEDIAN(J42:U42)</f>
        <v>64.8</v>
      </c>
    </row>
    <row r="43" spans="1:26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13.375</v>
      </c>
      <c r="J43" s="2">
        <v>61.8</v>
      </c>
      <c r="K43" s="2">
        <v>60.7</v>
      </c>
      <c r="L43" s="2">
        <v>57.5</v>
      </c>
      <c r="M43" s="2">
        <v>59.6</v>
      </c>
      <c r="N43" s="2">
        <v>46.4</v>
      </c>
      <c r="O43" s="2">
        <v>56.4</v>
      </c>
      <c r="P43" s="2">
        <v>55.3</v>
      </c>
      <c r="Q43" s="2">
        <v>62.5</v>
      </c>
      <c r="R43" s="2">
        <v>52.4</v>
      </c>
      <c r="S43" s="2">
        <v>53.1</v>
      </c>
      <c r="T43" s="2">
        <v>55.5</v>
      </c>
      <c r="U43" s="2">
        <v>53.8</v>
      </c>
      <c r="V43" s="5">
        <f t="shared" si="5"/>
        <v>56.25</v>
      </c>
      <c r="W43" s="4">
        <f t="shared" si="6"/>
        <v>1.324907086507876</v>
      </c>
      <c r="X43" s="2">
        <f t="shared" si="7"/>
        <v>46.4</v>
      </c>
      <c r="Y43" s="3">
        <f t="shared" si="8"/>
        <v>53.625</v>
      </c>
      <c r="Z43" s="2">
        <f t="shared" si="9"/>
        <v>55.95</v>
      </c>
    </row>
    <row r="44" spans="1:26" x14ac:dyDescent="0.2">
      <c r="A44" s="1">
        <v>905</v>
      </c>
      <c r="B44" s="1" t="s">
        <v>61</v>
      </c>
      <c r="C44" s="1">
        <v>32</v>
      </c>
      <c r="D44" s="1">
        <v>9</v>
      </c>
      <c r="E44" s="1">
        <v>0</v>
      </c>
      <c r="F44" s="1">
        <v>1</v>
      </c>
      <c r="G44" s="1">
        <v>2</v>
      </c>
      <c r="H44" s="1">
        <v>1</v>
      </c>
      <c r="I44" s="4">
        <v>13.366</v>
      </c>
      <c r="J44" s="2">
        <v>35.6</v>
      </c>
      <c r="K44" s="2">
        <v>37.6</v>
      </c>
      <c r="L44" s="2">
        <v>35.299999999999997</v>
      </c>
      <c r="M44" s="2">
        <v>38.700000000000003</v>
      </c>
      <c r="N44" s="2">
        <v>34.9</v>
      </c>
      <c r="O44" s="2">
        <v>35.299999999999997</v>
      </c>
      <c r="P44" s="2">
        <v>35.9</v>
      </c>
      <c r="Q44" s="2">
        <v>34.799999999999997</v>
      </c>
      <c r="R44" s="2">
        <v>36.299999999999997</v>
      </c>
      <c r="S44" s="2">
        <v>34.4</v>
      </c>
      <c r="T44" s="2">
        <v>36.5</v>
      </c>
      <c r="U44" s="2">
        <v>35.9</v>
      </c>
      <c r="V44" s="5">
        <f t="shared" si="5"/>
        <v>35.93333333333333</v>
      </c>
      <c r="W44" s="4">
        <f t="shared" si="6"/>
        <v>0.35362480830748477</v>
      </c>
      <c r="X44" s="2">
        <f t="shared" si="7"/>
        <v>34.4</v>
      </c>
      <c r="Y44" s="3">
        <f t="shared" si="8"/>
        <v>35.199999999999996</v>
      </c>
      <c r="Z44" s="2">
        <f t="shared" si="9"/>
        <v>35.75</v>
      </c>
    </row>
    <row r="45" spans="1:26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13.349</v>
      </c>
      <c r="J45" s="2">
        <v>62.4</v>
      </c>
      <c r="K45" s="2">
        <v>60.8</v>
      </c>
      <c r="L45" s="2">
        <v>55</v>
      </c>
      <c r="M45" s="2">
        <v>56</v>
      </c>
      <c r="N45" s="2">
        <v>56.5</v>
      </c>
      <c r="O45" s="2">
        <v>57.3</v>
      </c>
      <c r="P45" s="2">
        <v>54.9</v>
      </c>
      <c r="Q45" s="2">
        <v>61.3</v>
      </c>
      <c r="R45" s="2">
        <v>41.7</v>
      </c>
      <c r="S45" s="2">
        <v>58.9</v>
      </c>
      <c r="T45" s="2">
        <v>44.4</v>
      </c>
      <c r="U45" s="2">
        <v>58.2</v>
      </c>
      <c r="V45" s="5">
        <f t="shared" si="5"/>
        <v>55.616666666666667</v>
      </c>
      <c r="W45" s="4">
        <f t="shared" si="6"/>
        <v>1.8397477319381872</v>
      </c>
      <c r="X45" s="2">
        <f t="shared" si="7"/>
        <v>41.7</v>
      </c>
      <c r="Y45" s="3">
        <f t="shared" si="8"/>
        <v>54.975000000000001</v>
      </c>
      <c r="Z45" s="2">
        <f t="shared" si="9"/>
        <v>56.9</v>
      </c>
    </row>
    <row r="46" spans="1:26" x14ac:dyDescent="0.2">
      <c r="A46" s="1">
        <v>907</v>
      </c>
      <c r="B46" s="1" t="s">
        <v>74</v>
      </c>
      <c r="C46" s="1">
        <v>31</v>
      </c>
      <c r="D46" s="1">
        <v>8</v>
      </c>
      <c r="E46" s="1">
        <v>0</v>
      </c>
      <c r="F46" s="1">
        <v>1</v>
      </c>
      <c r="G46" s="1">
        <v>2</v>
      </c>
      <c r="H46" s="1">
        <v>1</v>
      </c>
      <c r="I46" s="4">
        <v>13.34</v>
      </c>
      <c r="J46" s="2">
        <v>62.9</v>
      </c>
      <c r="K46" s="2">
        <v>64.7</v>
      </c>
      <c r="L46" s="2">
        <v>65.400000000000006</v>
      </c>
      <c r="M46" s="2">
        <v>64.599999999999994</v>
      </c>
      <c r="N46" s="2">
        <v>66.5</v>
      </c>
      <c r="O46" s="2">
        <v>63.5</v>
      </c>
      <c r="P46" s="2">
        <v>66.3</v>
      </c>
      <c r="Q46" s="2">
        <v>65.8</v>
      </c>
      <c r="R46" s="2">
        <v>67.7</v>
      </c>
      <c r="S46" s="2">
        <v>63</v>
      </c>
      <c r="T46" s="2">
        <v>66.099999999999994</v>
      </c>
      <c r="U46" s="2">
        <v>63.7</v>
      </c>
      <c r="V46" s="5">
        <f t="shared" si="5"/>
        <v>65.01666666666668</v>
      </c>
      <c r="W46" s="4">
        <f t="shared" si="6"/>
        <v>0.44241645904319976</v>
      </c>
      <c r="X46" s="2">
        <f t="shared" si="7"/>
        <v>62.9</v>
      </c>
      <c r="Y46" s="3">
        <f t="shared" si="8"/>
        <v>63.650000000000006</v>
      </c>
      <c r="Z46" s="2">
        <f t="shared" si="9"/>
        <v>65.050000000000011</v>
      </c>
    </row>
    <row r="47" spans="1:26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13.324</v>
      </c>
      <c r="J47" s="2">
        <v>61.7</v>
      </c>
      <c r="K47" s="2">
        <v>50.6</v>
      </c>
      <c r="L47" s="2">
        <v>51.5</v>
      </c>
      <c r="M47" s="2">
        <v>56.4</v>
      </c>
      <c r="N47" s="2">
        <v>51</v>
      </c>
      <c r="O47" s="2">
        <v>55.3</v>
      </c>
      <c r="P47" s="2">
        <v>48.4</v>
      </c>
      <c r="Q47" s="2">
        <v>50.7</v>
      </c>
      <c r="R47" s="2">
        <v>53.5</v>
      </c>
      <c r="S47" s="2">
        <v>61</v>
      </c>
      <c r="T47" s="2">
        <v>54.5</v>
      </c>
      <c r="U47" s="2">
        <v>60.1</v>
      </c>
      <c r="V47" s="5">
        <f t="shared" si="5"/>
        <v>54.558333333333337</v>
      </c>
      <c r="W47" s="4">
        <f t="shared" si="6"/>
        <v>1.2873780220732263</v>
      </c>
      <c r="X47" s="2">
        <f t="shared" si="7"/>
        <v>48.4</v>
      </c>
      <c r="Y47" s="3">
        <f t="shared" si="8"/>
        <v>50.924999999999997</v>
      </c>
      <c r="Z47" s="2">
        <f t="shared" si="9"/>
        <v>54</v>
      </c>
    </row>
    <row r="48" spans="1:26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13.163</v>
      </c>
      <c r="J48" s="2">
        <v>36.1</v>
      </c>
      <c r="K48" s="2">
        <v>32.6</v>
      </c>
      <c r="L48" s="2">
        <v>35.700000000000003</v>
      </c>
      <c r="M48" s="2">
        <v>32.6</v>
      </c>
      <c r="N48" s="2">
        <v>34.1</v>
      </c>
      <c r="O48" s="2">
        <v>33.299999999999997</v>
      </c>
      <c r="P48" s="2">
        <v>34.799999999999997</v>
      </c>
      <c r="Q48" s="2">
        <v>32.9</v>
      </c>
      <c r="R48" s="2">
        <v>37.299999999999997</v>
      </c>
      <c r="S48" s="2">
        <v>33.6</v>
      </c>
      <c r="T48" s="2">
        <v>34.5</v>
      </c>
      <c r="U48" s="2">
        <v>31.6</v>
      </c>
      <c r="V48" s="5">
        <f t="shared" si="5"/>
        <v>34.091666666666669</v>
      </c>
      <c r="W48" s="4">
        <f t="shared" si="6"/>
        <v>0.48091742082873812</v>
      </c>
      <c r="X48" s="2">
        <f t="shared" si="7"/>
        <v>31.6</v>
      </c>
      <c r="Y48" s="3">
        <f t="shared" si="8"/>
        <v>32.825000000000003</v>
      </c>
      <c r="Z48" s="2">
        <f t="shared" si="9"/>
        <v>33.85</v>
      </c>
    </row>
    <row r="49" spans="1:26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13.148</v>
      </c>
      <c r="J49" s="2">
        <v>40.6</v>
      </c>
      <c r="K49" s="2">
        <v>33.200000000000003</v>
      </c>
      <c r="L49" s="2">
        <v>33.9</v>
      </c>
      <c r="M49" s="2">
        <v>33.5</v>
      </c>
      <c r="N49" s="2">
        <v>40.1</v>
      </c>
      <c r="O49" s="2">
        <v>33.6</v>
      </c>
      <c r="P49" s="2">
        <v>32.700000000000003</v>
      </c>
      <c r="Q49" s="2">
        <v>33.200000000000003</v>
      </c>
      <c r="R49" s="2">
        <v>36.9</v>
      </c>
      <c r="S49" s="2">
        <v>35.799999999999997</v>
      </c>
      <c r="T49" s="2">
        <v>32.700000000000003</v>
      </c>
      <c r="U49" s="2">
        <v>35.1</v>
      </c>
      <c r="V49" s="5">
        <f t="shared" si="5"/>
        <v>35.108333333333334</v>
      </c>
      <c r="W49" s="4">
        <f t="shared" si="6"/>
        <v>0.79757761409473515</v>
      </c>
      <c r="X49" s="2">
        <f t="shared" si="7"/>
        <v>32.700000000000003</v>
      </c>
      <c r="Y49" s="3">
        <f t="shared" si="8"/>
        <v>33.200000000000003</v>
      </c>
      <c r="Z49" s="2">
        <f t="shared" si="9"/>
        <v>33.75</v>
      </c>
    </row>
    <row r="50" spans="1:26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13.13</v>
      </c>
      <c r="J50" s="2">
        <v>34.700000000000003</v>
      </c>
      <c r="K50" s="2">
        <v>33.6</v>
      </c>
      <c r="L50" s="2">
        <v>33.9</v>
      </c>
      <c r="M50" s="2">
        <v>35.4</v>
      </c>
      <c r="N50" s="2">
        <v>32.9</v>
      </c>
      <c r="O50" s="2">
        <v>32.1</v>
      </c>
      <c r="P50" s="2">
        <v>33.9</v>
      </c>
      <c r="Q50" s="2">
        <v>31.8</v>
      </c>
      <c r="R50" s="2">
        <v>32.9</v>
      </c>
      <c r="S50" s="2">
        <v>34.5</v>
      </c>
      <c r="T50" s="2">
        <v>34.299999999999997</v>
      </c>
      <c r="U50" s="2">
        <v>38.1</v>
      </c>
      <c r="V50" s="5">
        <f t="shared" si="5"/>
        <v>34.008333333333333</v>
      </c>
      <c r="W50" s="4">
        <f t="shared" si="6"/>
        <v>0.48186165708183992</v>
      </c>
      <c r="X50" s="2">
        <f t="shared" si="7"/>
        <v>31.8</v>
      </c>
      <c r="Y50" s="3">
        <f t="shared" si="8"/>
        <v>32.9</v>
      </c>
      <c r="Z50" s="2">
        <f t="shared" si="9"/>
        <v>33.9</v>
      </c>
    </row>
    <row r="51" spans="1:26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13.113</v>
      </c>
      <c r="J51" s="2">
        <v>34.6</v>
      </c>
      <c r="K51" s="2">
        <v>33.700000000000003</v>
      </c>
      <c r="L51" s="2">
        <v>33.9</v>
      </c>
      <c r="M51" s="2">
        <v>32.5</v>
      </c>
      <c r="N51" s="2">
        <v>34.9</v>
      </c>
      <c r="O51" s="2">
        <v>32.299999999999997</v>
      </c>
      <c r="P51" s="2">
        <v>33.200000000000003</v>
      </c>
      <c r="Q51" s="2">
        <v>32.6</v>
      </c>
      <c r="R51" s="2">
        <v>33</v>
      </c>
      <c r="S51" s="2">
        <v>31.6</v>
      </c>
      <c r="T51" s="2">
        <v>33.700000000000003</v>
      </c>
      <c r="U51" s="2">
        <v>33.1</v>
      </c>
      <c r="V51" s="5">
        <f t="shared" si="5"/>
        <v>33.25833333333334</v>
      </c>
      <c r="W51" s="4">
        <f t="shared" si="6"/>
        <v>0.27619117592089298</v>
      </c>
      <c r="X51" s="2">
        <f t="shared" si="7"/>
        <v>31.6</v>
      </c>
      <c r="Y51" s="3">
        <f t="shared" si="8"/>
        <v>32.575000000000003</v>
      </c>
      <c r="Z51" s="2">
        <f t="shared" si="9"/>
        <v>33.150000000000006</v>
      </c>
    </row>
    <row r="52" spans="1:26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13.098000000000001</v>
      </c>
      <c r="J52" s="2">
        <v>33.6</v>
      </c>
      <c r="K52" s="2">
        <v>32.299999999999997</v>
      </c>
      <c r="L52" s="2">
        <v>33.799999999999997</v>
      </c>
      <c r="M52" s="2">
        <v>32</v>
      </c>
      <c r="N52" s="2">
        <v>33</v>
      </c>
      <c r="O52" s="2">
        <v>36.1</v>
      </c>
      <c r="P52" s="2">
        <v>31.1</v>
      </c>
      <c r="Q52" s="2">
        <v>32.299999999999997</v>
      </c>
      <c r="R52" s="2">
        <v>33.5</v>
      </c>
      <c r="S52" s="2">
        <v>32.6</v>
      </c>
      <c r="T52" s="2">
        <v>33.4</v>
      </c>
      <c r="U52" s="2">
        <v>35.9</v>
      </c>
      <c r="V52" s="5">
        <f t="shared" si="5"/>
        <v>33.299999999999997</v>
      </c>
      <c r="W52" s="4">
        <f t="shared" si="6"/>
        <v>0.42728884560184538</v>
      </c>
      <c r="X52" s="2">
        <f t="shared" si="7"/>
        <v>31.1</v>
      </c>
      <c r="Y52" s="3">
        <f t="shared" si="8"/>
        <v>32.299999999999997</v>
      </c>
      <c r="Z52" s="2">
        <f t="shared" si="9"/>
        <v>33.200000000000003</v>
      </c>
    </row>
    <row r="53" spans="1:26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13.083</v>
      </c>
      <c r="J53" s="2">
        <v>42.2</v>
      </c>
      <c r="K53" s="2">
        <v>34.700000000000003</v>
      </c>
      <c r="L53" s="2">
        <v>34.6</v>
      </c>
      <c r="M53" s="2">
        <v>37.299999999999997</v>
      </c>
      <c r="N53" s="2">
        <v>38.1</v>
      </c>
      <c r="O53" s="2">
        <v>32.200000000000003</v>
      </c>
      <c r="P53" s="2">
        <v>36.9</v>
      </c>
      <c r="Q53" s="2">
        <v>32.5</v>
      </c>
      <c r="R53" s="2">
        <v>32.299999999999997</v>
      </c>
      <c r="S53" s="2">
        <v>32.5</v>
      </c>
      <c r="T53" s="2">
        <v>31.8</v>
      </c>
      <c r="U53" s="2">
        <v>33.4</v>
      </c>
      <c r="V53" s="5">
        <f t="shared" si="5"/>
        <v>34.875</v>
      </c>
      <c r="W53" s="4">
        <f t="shared" si="6"/>
        <v>0.91636014158785262</v>
      </c>
      <c r="X53" s="2">
        <f t="shared" si="7"/>
        <v>31.8</v>
      </c>
      <c r="Y53" s="3">
        <f t="shared" si="8"/>
        <v>32.450000000000003</v>
      </c>
      <c r="Z53" s="2">
        <f t="shared" si="9"/>
        <v>34</v>
      </c>
    </row>
    <row r="54" spans="1:26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13.067</v>
      </c>
      <c r="J54" s="2">
        <v>31.7</v>
      </c>
      <c r="K54" s="2">
        <v>30.7</v>
      </c>
      <c r="L54" s="2">
        <v>34.700000000000003</v>
      </c>
      <c r="M54" s="2">
        <v>35.4</v>
      </c>
      <c r="N54" s="2">
        <v>33.200000000000003</v>
      </c>
      <c r="O54" s="2">
        <v>33.700000000000003</v>
      </c>
      <c r="P54" s="2">
        <v>33.4</v>
      </c>
      <c r="Q54" s="2">
        <v>32.799999999999997</v>
      </c>
      <c r="R54" s="2">
        <v>32.5</v>
      </c>
      <c r="S54" s="2">
        <v>33.299999999999997</v>
      </c>
      <c r="T54" s="2">
        <v>34.799999999999997</v>
      </c>
      <c r="U54" s="2">
        <v>32.4</v>
      </c>
      <c r="V54" s="5">
        <f t="shared" si="5"/>
        <v>33.216666666666661</v>
      </c>
      <c r="W54" s="4">
        <f t="shared" si="6"/>
        <v>0.38667842197386976</v>
      </c>
      <c r="X54" s="2">
        <f t="shared" si="7"/>
        <v>30.7</v>
      </c>
      <c r="Y54" s="3">
        <f t="shared" si="8"/>
        <v>32.475000000000001</v>
      </c>
      <c r="Z54" s="2">
        <f t="shared" si="9"/>
        <v>33.25</v>
      </c>
    </row>
    <row r="55" spans="1:26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13.05</v>
      </c>
      <c r="J55" s="2">
        <v>35.200000000000003</v>
      </c>
      <c r="K55" s="2">
        <v>32.700000000000003</v>
      </c>
      <c r="L55" s="2">
        <v>32.1</v>
      </c>
      <c r="M55" s="2">
        <v>31.3</v>
      </c>
      <c r="N55" s="2">
        <v>32.799999999999997</v>
      </c>
      <c r="O55" s="2">
        <v>32.9</v>
      </c>
      <c r="P55" s="2">
        <v>32</v>
      </c>
      <c r="Q55" s="2">
        <v>33.200000000000003</v>
      </c>
      <c r="R55" s="2">
        <v>33.799999999999997</v>
      </c>
      <c r="S55" s="2">
        <v>33.4</v>
      </c>
      <c r="T55" s="2">
        <v>33</v>
      </c>
      <c r="U55" s="2">
        <v>32.1</v>
      </c>
      <c r="V55" s="5">
        <f t="shared" si="5"/>
        <v>32.875000000000007</v>
      </c>
      <c r="W55" s="4">
        <f t="shared" si="6"/>
        <v>0.29053894538921771</v>
      </c>
      <c r="X55" s="2">
        <f t="shared" si="7"/>
        <v>31.3</v>
      </c>
      <c r="Y55" s="3">
        <f t="shared" si="8"/>
        <v>32.1</v>
      </c>
      <c r="Z55" s="2">
        <f t="shared" si="9"/>
        <v>32.849999999999994</v>
      </c>
    </row>
    <row r="56" spans="1:26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13.194000000000001</v>
      </c>
      <c r="J56" s="2">
        <v>30.5</v>
      </c>
      <c r="K56" s="2">
        <v>35</v>
      </c>
      <c r="L56" s="2">
        <v>31.8</v>
      </c>
      <c r="M56" s="2">
        <v>30.6</v>
      </c>
      <c r="N56" s="2">
        <v>32</v>
      </c>
      <c r="O56" s="2">
        <v>32.299999999999997</v>
      </c>
      <c r="P56" s="2">
        <v>33.200000000000003</v>
      </c>
      <c r="Q56" s="2">
        <v>31.7</v>
      </c>
      <c r="R56" s="2">
        <v>34.6</v>
      </c>
      <c r="S56" s="2">
        <v>34.299999999999997</v>
      </c>
      <c r="T56" s="2">
        <v>33.799999999999997</v>
      </c>
      <c r="U56" s="2">
        <v>32.1</v>
      </c>
      <c r="V56" s="5">
        <f t="shared" si="5"/>
        <v>32.658333333333339</v>
      </c>
      <c r="W56" s="4">
        <f t="shared" si="6"/>
        <v>0.43492568737124904</v>
      </c>
      <c r="X56" s="2">
        <f t="shared" si="7"/>
        <v>30.5</v>
      </c>
      <c r="Y56" s="3">
        <f t="shared" si="8"/>
        <v>31.774999999999999</v>
      </c>
      <c r="Z56" s="2">
        <f t="shared" si="9"/>
        <v>32.200000000000003</v>
      </c>
    </row>
    <row r="57" spans="1:26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13.208</v>
      </c>
      <c r="J57" s="2">
        <v>37</v>
      </c>
      <c r="K57" s="2">
        <v>33</v>
      </c>
      <c r="L57" s="2">
        <v>32.200000000000003</v>
      </c>
      <c r="M57" s="2">
        <v>35.6</v>
      </c>
      <c r="N57" s="2">
        <v>34.1</v>
      </c>
      <c r="O57" s="2">
        <v>33</v>
      </c>
      <c r="P57" s="2">
        <v>33.200000000000003</v>
      </c>
      <c r="Q57" s="2">
        <v>32.200000000000003</v>
      </c>
      <c r="R57" s="2">
        <v>34.6</v>
      </c>
      <c r="S57" s="2">
        <v>32.1</v>
      </c>
      <c r="T57" s="2">
        <v>32.9</v>
      </c>
      <c r="U57" s="2">
        <v>32.1</v>
      </c>
      <c r="V57" s="5">
        <f t="shared" si="5"/>
        <v>33.500000000000007</v>
      </c>
      <c r="W57" s="4">
        <f t="shared" si="6"/>
        <v>0.44789067930250626</v>
      </c>
      <c r="X57" s="2">
        <f t="shared" si="7"/>
        <v>32.1</v>
      </c>
      <c r="Y57" s="3">
        <f t="shared" si="8"/>
        <v>32.200000000000003</v>
      </c>
      <c r="Z57" s="2">
        <f t="shared" si="9"/>
        <v>33</v>
      </c>
    </row>
    <row r="58" spans="1:26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13.223000000000001</v>
      </c>
      <c r="J58" s="2">
        <v>31</v>
      </c>
      <c r="K58" s="2">
        <v>33.299999999999997</v>
      </c>
      <c r="L58" s="2">
        <v>30.4</v>
      </c>
      <c r="M58" s="2">
        <v>30.7</v>
      </c>
      <c r="N58" s="2">
        <v>30.6</v>
      </c>
      <c r="O58" s="2">
        <v>29.9</v>
      </c>
      <c r="P58" s="2">
        <v>31.4</v>
      </c>
      <c r="Q58" s="2">
        <v>30.5</v>
      </c>
      <c r="R58" s="2">
        <v>32.9</v>
      </c>
      <c r="S58" s="2">
        <v>33.700000000000003</v>
      </c>
      <c r="T58" s="2">
        <v>30.2</v>
      </c>
      <c r="U58" s="2">
        <v>32.9</v>
      </c>
      <c r="V58" s="5">
        <f t="shared" si="5"/>
        <v>31.458333333333329</v>
      </c>
      <c r="W58" s="4">
        <f t="shared" si="6"/>
        <v>0.39069835169885481</v>
      </c>
      <c r="X58" s="2">
        <f t="shared" si="7"/>
        <v>29.9</v>
      </c>
      <c r="Y58" s="3">
        <f t="shared" si="8"/>
        <v>30.475000000000001</v>
      </c>
      <c r="Z58" s="2">
        <f t="shared" si="9"/>
        <v>30.85</v>
      </c>
    </row>
    <row r="59" spans="1:26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13.237</v>
      </c>
      <c r="J59" s="2">
        <v>38.200000000000003</v>
      </c>
      <c r="K59" s="2">
        <v>33.1</v>
      </c>
      <c r="L59" s="2">
        <v>32.200000000000003</v>
      </c>
      <c r="M59" s="2">
        <v>32.5</v>
      </c>
      <c r="N59" s="2">
        <v>32.1</v>
      </c>
      <c r="O59" s="2">
        <v>33.1</v>
      </c>
      <c r="P59" s="2">
        <v>31.7</v>
      </c>
      <c r="Q59" s="2">
        <v>32.6</v>
      </c>
      <c r="R59" s="2">
        <v>33.1</v>
      </c>
      <c r="S59" s="2">
        <v>36.200000000000003</v>
      </c>
      <c r="T59" s="2">
        <v>33.1</v>
      </c>
      <c r="U59" s="2">
        <v>32.799999999999997</v>
      </c>
      <c r="V59" s="5">
        <f t="shared" si="5"/>
        <v>33.391666666666673</v>
      </c>
      <c r="W59" s="4">
        <f t="shared" si="6"/>
        <v>0.54403909358936298</v>
      </c>
      <c r="X59" s="2">
        <f t="shared" si="7"/>
        <v>31.7</v>
      </c>
      <c r="Y59" s="3">
        <f t="shared" si="8"/>
        <v>32.424999999999997</v>
      </c>
      <c r="Z59" s="2">
        <f t="shared" si="9"/>
        <v>32.950000000000003</v>
      </c>
    </row>
    <row r="60" spans="1:26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13.254</v>
      </c>
      <c r="J60" s="2">
        <v>31.3</v>
      </c>
      <c r="K60" s="2">
        <v>30.8</v>
      </c>
      <c r="L60" s="2">
        <v>36.5</v>
      </c>
      <c r="M60" s="2">
        <v>30.7</v>
      </c>
      <c r="N60" s="2">
        <v>34.5</v>
      </c>
      <c r="O60" s="2">
        <v>33.4</v>
      </c>
      <c r="P60" s="2">
        <v>33.9</v>
      </c>
      <c r="Q60" s="2">
        <v>31.6</v>
      </c>
      <c r="R60" s="2">
        <v>34.4</v>
      </c>
      <c r="S60" s="2">
        <v>33.1</v>
      </c>
      <c r="T60" s="2">
        <v>31.2</v>
      </c>
      <c r="U60" s="2">
        <v>39</v>
      </c>
      <c r="V60" s="5">
        <f t="shared" si="5"/>
        <v>33.366666666666667</v>
      </c>
      <c r="W60" s="4">
        <f t="shared" si="6"/>
        <v>0.72846178050503485</v>
      </c>
      <c r="X60" s="2">
        <f t="shared" si="7"/>
        <v>30.7</v>
      </c>
      <c r="Y60" s="3">
        <f t="shared" si="8"/>
        <v>31.274999999999999</v>
      </c>
      <c r="Z60" s="2">
        <f t="shared" si="9"/>
        <v>33.25</v>
      </c>
    </row>
    <row r="61" spans="1:26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13.269</v>
      </c>
      <c r="J61" s="2">
        <v>37.6</v>
      </c>
      <c r="K61" s="2">
        <v>32.9</v>
      </c>
      <c r="L61" s="2">
        <v>32.799999999999997</v>
      </c>
      <c r="M61" s="2">
        <v>30.8</v>
      </c>
      <c r="N61" s="2">
        <v>38.4</v>
      </c>
      <c r="O61" s="2">
        <v>34.4</v>
      </c>
      <c r="P61" s="2">
        <v>33.4</v>
      </c>
      <c r="Q61" s="2">
        <v>34.5</v>
      </c>
      <c r="R61" s="2">
        <v>32.6</v>
      </c>
      <c r="S61" s="2">
        <v>31.4</v>
      </c>
      <c r="T61" s="2">
        <v>32.9</v>
      </c>
      <c r="U61" s="2">
        <v>34.200000000000003</v>
      </c>
      <c r="V61" s="5">
        <f t="shared" si="5"/>
        <v>33.824999999999996</v>
      </c>
      <c r="W61" s="4">
        <f t="shared" si="6"/>
        <v>0.64890642272560817</v>
      </c>
      <c r="X61" s="2">
        <f t="shared" si="7"/>
        <v>30.8</v>
      </c>
      <c r="Y61" s="3">
        <f t="shared" si="8"/>
        <v>32.75</v>
      </c>
      <c r="Z61" s="2">
        <f t="shared" si="9"/>
        <v>33.15</v>
      </c>
    </row>
    <row r="62" spans="1:26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13.286</v>
      </c>
      <c r="J62" s="2">
        <v>34.200000000000003</v>
      </c>
      <c r="K62" s="2">
        <v>36</v>
      </c>
      <c r="L62" s="2">
        <v>30.6</v>
      </c>
      <c r="M62" s="2">
        <v>31.7</v>
      </c>
      <c r="N62" s="2">
        <v>32.700000000000003</v>
      </c>
      <c r="O62" s="2">
        <v>32.1</v>
      </c>
      <c r="P62" s="2">
        <v>32.200000000000003</v>
      </c>
      <c r="Q62" s="2">
        <v>31.1</v>
      </c>
      <c r="R62" s="2">
        <v>32</v>
      </c>
      <c r="S62" s="2">
        <v>32</v>
      </c>
      <c r="T62" s="2">
        <v>30.3</v>
      </c>
      <c r="U62" s="2">
        <v>31.5</v>
      </c>
      <c r="V62" s="5">
        <f t="shared" si="5"/>
        <v>32.200000000000003</v>
      </c>
      <c r="W62" s="4">
        <f t="shared" si="6"/>
        <v>0.4514287084223586</v>
      </c>
      <c r="X62" s="2">
        <f t="shared" si="7"/>
        <v>30.3</v>
      </c>
      <c r="Y62" s="3">
        <f t="shared" si="8"/>
        <v>31.4</v>
      </c>
      <c r="Z62" s="2">
        <f t="shared" si="9"/>
        <v>32</v>
      </c>
    </row>
    <row r="63" spans="1:26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13.301</v>
      </c>
      <c r="J63" s="2">
        <v>39.4</v>
      </c>
      <c r="K63" s="2">
        <v>31.8</v>
      </c>
      <c r="L63" s="2">
        <v>33.4</v>
      </c>
      <c r="M63" s="2">
        <v>32</v>
      </c>
      <c r="N63" s="2">
        <v>30.4</v>
      </c>
      <c r="O63" s="2">
        <v>35.700000000000003</v>
      </c>
      <c r="P63" s="2">
        <v>33.700000000000003</v>
      </c>
      <c r="Q63" s="2">
        <v>33.200000000000003</v>
      </c>
      <c r="R63" s="2">
        <v>35.4</v>
      </c>
      <c r="S63" s="2">
        <v>37.5</v>
      </c>
      <c r="T63" s="2">
        <v>40.5</v>
      </c>
      <c r="U63" s="2">
        <v>36.700000000000003</v>
      </c>
      <c r="V63" s="5">
        <f t="shared" si="5"/>
        <v>34.974999999999994</v>
      </c>
      <c r="W63" s="4">
        <f t="shared" si="6"/>
        <v>0.90152438243300559</v>
      </c>
      <c r="X63" s="2">
        <f t="shared" si="7"/>
        <v>30.4</v>
      </c>
      <c r="Y63" s="3">
        <f t="shared" si="8"/>
        <v>32.900000000000006</v>
      </c>
      <c r="Z63" s="2">
        <f t="shared" si="9"/>
        <v>34.549999999999997</v>
      </c>
    </row>
    <row r="64" spans="1:26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13.436999999999999</v>
      </c>
      <c r="J64" s="2">
        <v>31.7</v>
      </c>
      <c r="K64" s="2">
        <v>31.6</v>
      </c>
      <c r="L64" s="2">
        <v>32.4</v>
      </c>
      <c r="M64" s="2">
        <v>30.1</v>
      </c>
      <c r="N64" s="2">
        <v>32.200000000000003</v>
      </c>
      <c r="O64" s="2">
        <v>30.9</v>
      </c>
      <c r="P64" s="2">
        <v>31.4</v>
      </c>
      <c r="Q64" s="2">
        <v>30.7</v>
      </c>
      <c r="R64" s="2">
        <v>36.799999999999997</v>
      </c>
      <c r="S64" s="2">
        <v>36.5</v>
      </c>
      <c r="T64" s="2">
        <v>31.1</v>
      </c>
      <c r="U64" s="2">
        <v>34.9</v>
      </c>
      <c r="V64" s="5">
        <f t="shared" si="5"/>
        <v>32.524999999999999</v>
      </c>
      <c r="W64" s="4">
        <f t="shared" si="6"/>
        <v>0.65437050481799486</v>
      </c>
      <c r="X64" s="2">
        <f t="shared" si="7"/>
        <v>30.1</v>
      </c>
      <c r="Y64" s="3">
        <f t="shared" si="8"/>
        <v>31.05</v>
      </c>
      <c r="Z64" s="2">
        <f t="shared" si="9"/>
        <v>31.65</v>
      </c>
    </row>
    <row r="65" spans="1:26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13.452999999999999</v>
      </c>
      <c r="J65" s="2">
        <v>30</v>
      </c>
      <c r="K65" s="2">
        <v>30.1</v>
      </c>
      <c r="L65" s="2">
        <v>31.8</v>
      </c>
      <c r="M65" s="2">
        <v>30.8</v>
      </c>
      <c r="N65" s="2">
        <v>31.6</v>
      </c>
      <c r="O65" s="2">
        <v>30.7</v>
      </c>
      <c r="P65" s="2">
        <v>32.5</v>
      </c>
      <c r="Q65" s="2">
        <v>31.3</v>
      </c>
      <c r="R65" s="2">
        <v>33.5</v>
      </c>
      <c r="S65" s="2">
        <v>33.200000000000003</v>
      </c>
      <c r="T65" s="2">
        <v>33.4</v>
      </c>
      <c r="U65" s="2">
        <v>30.7</v>
      </c>
      <c r="V65" s="5">
        <f t="shared" si="5"/>
        <v>31.633333333333329</v>
      </c>
      <c r="W65" s="4">
        <f t="shared" si="6"/>
        <v>0.363137283776655</v>
      </c>
      <c r="X65" s="2">
        <f t="shared" si="7"/>
        <v>30</v>
      </c>
      <c r="Y65" s="3">
        <f t="shared" si="8"/>
        <v>30.7</v>
      </c>
      <c r="Z65" s="2">
        <f t="shared" si="9"/>
        <v>31.450000000000003</v>
      </c>
    </row>
    <row r="66" spans="1:26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13.468</v>
      </c>
      <c r="J66" s="2">
        <v>33.5</v>
      </c>
      <c r="K66" s="2">
        <v>30.1</v>
      </c>
      <c r="L66" s="2">
        <v>32.299999999999997</v>
      </c>
      <c r="M66" s="2">
        <v>31.5</v>
      </c>
      <c r="N66" s="2">
        <v>31.4</v>
      </c>
      <c r="O66" s="2">
        <v>35.200000000000003</v>
      </c>
      <c r="P66" s="2">
        <v>31</v>
      </c>
      <c r="Q66" s="2">
        <v>31.3</v>
      </c>
      <c r="R66" s="2">
        <v>31.3</v>
      </c>
      <c r="S66" s="2">
        <v>30.7</v>
      </c>
      <c r="T66" s="2">
        <v>32.6</v>
      </c>
      <c r="U66" s="2">
        <v>31</v>
      </c>
      <c r="V66" s="5">
        <f t="shared" si="5"/>
        <v>31.825000000000003</v>
      </c>
      <c r="W66" s="4">
        <f t="shared" si="6"/>
        <v>0.40323032744288606</v>
      </c>
      <c r="X66" s="2">
        <f t="shared" si="7"/>
        <v>30.1</v>
      </c>
      <c r="Y66" s="3">
        <f t="shared" si="8"/>
        <v>31</v>
      </c>
      <c r="Z66" s="2">
        <f t="shared" si="9"/>
        <v>31.35</v>
      </c>
    </row>
    <row r="67" spans="1:26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13.483000000000001</v>
      </c>
      <c r="J67" s="2">
        <v>35.799999999999997</v>
      </c>
      <c r="K67" s="2">
        <v>33.1</v>
      </c>
      <c r="L67" s="2">
        <v>31.9</v>
      </c>
      <c r="M67" s="2">
        <v>30.6</v>
      </c>
      <c r="N67" s="2">
        <v>36.6</v>
      </c>
      <c r="O67" s="2">
        <v>30.8</v>
      </c>
      <c r="P67" s="2">
        <v>37.200000000000003</v>
      </c>
      <c r="Q67" s="2">
        <v>32.299999999999997</v>
      </c>
      <c r="R67" s="2">
        <v>31.9</v>
      </c>
      <c r="S67" s="2">
        <v>30.5</v>
      </c>
      <c r="T67" s="2">
        <v>31.4</v>
      </c>
      <c r="U67" s="2">
        <v>32.700000000000003</v>
      </c>
      <c r="V67" s="5">
        <f t="shared" si="5"/>
        <v>32.9</v>
      </c>
      <c r="W67" s="4">
        <f t="shared" si="6"/>
        <v>0.67834468756784361</v>
      </c>
      <c r="X67" s="2">
        <f t="shared" si="7"/>
        <v>30.5</v>
      </c>
      <c r="Y67" s="3">
        <f t="shared" si="8"/>
        <v>31.25</v>
      </c>
      <c r="Z67" s="2">
        <f t="shared" si="9"/>
        <v>32.099999999999994</v>
      </c>
    </row>
    <row r="68" spans="1:26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13.499000000000001</v>
      </c>
      <c r="J68" s="2">
        <v>35.6</v>
      </c>
      <c r="K68" s="2">
        <v>36</v>
      </c>
      <c r="L68" s="2">
        <v>37.6</v>
      </c>
      <c r="M68" s="2">
        <v>31.8</v>
      </c>
      <c r="N68" s="2">
        <v>33.700000000000003</v>
      </c>
      <c r="O68" s="2">
        <v>34.4</v>
      </c>
      <c r="P68" s="2">
        <v>33.6</v>
      </c>
      <c r="Q68" s="2">
        <v>35.200000000000003</v>
      </c>
      <c r="R68" s="2">
        <v>33.200000000000003</v>
      </c>
      <c r="S68" s="2">
        <v>34</v>
      </c>
      <c r="T68" s="2">
        <v>33.9</v>
      </c>
      <c r="U68" s="2">
        <v>33</v>
      </c>
      <c r="V68" s="5">
        <f t="shared" si="5"/>
        <v>34.333333333333329</v>
      </c>
      <c r="W68" s="4">
        <f t="shared" si="6"/>
        <v>0.44828517258503658</v>
      </c>
      <c r="X68" s="2">
        <f t="shared" si="7"/>
        <v>31.8</v>
      </c>
      <c r="Y68" s="3">
        <f t="shared" si="8"/>
        <v>33.5</v>
      </c>
      <c r="Z68" s="2">
        <f t="shared" si="9"/>
        <v>33.950000000000003</v>
      </c>
    </row>
    <row r="69" spans="1:26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13.513</v>
      </c>
      <c r="J69" s="2">
        <v>34.4</v>
      </c>
      <c r="K69" s="2">
        <v>31.2</v>
      </c>
      <c r="L69" s="2">
        <v>29.9</v>
      </c>
      <c r="M69" s="2">
        <v>29.8</v>
      </c>
      <c r="N69" s="2">
        <v>30.9</v>
      </c>
      <c r="O69" s="2">
        <v>29.8</v>
      </c>
      <c r="P69" s="2">
        <v>32.5</v>
      </c>
      <c r="Q69" s="2">
        <v>32.4</v>
      </c>
      <c r="R69" s="2">
        <v>30</v>
      </c>
      <c r="S69" s="2">
        <v>32.5</v>
      </c>
      <c r="T69" s="2">
        <v>31.8</v>
      </c>
      <c r="U69" s="2">
        <v>32.6</v>
      </c>
      <c r="V69" s="5">
        <f t="shared" si="5"/>
        <v>31.483333333333334</v>
      </c>
      <c r="W69" s="4">
        <f t="shared" si="6"/>
        <v>0.42244478450987649</v>
      </c>
      <c r="X69" s="2">
        <f t="shared" si="7"/>
        <v>29.8</v>
      </c>
      <c r="Y69" s="3">
        <f t="shared" si="8"/>
        <v>29.975000000000001</v>
      </c>
      <c r="Z69" s="2">
        <f t="shared" si="9"/>
        <v>31.5</v>
      </c>
    </row>
    <row r="70" spans="1:26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13.529</v>
      </c>
      <c r="J70" s="2">
        <v>31</v>
      </c>
      <c r="K70" s="2">
        <v>31</v>
      </c>
      <c r="L70" s="2">
        <v>32.299999999999997</v>
      </c>
      <c r="M70" s="2">
        <v>31.3</v>
      </c>
      <c r="N70" s="2">
        <v>33.799999999999997</v>
      </c>
      <c r="O70" s="2">
        <v>33</v>
      </c>
      <c r="P70" s="2">
        <v>32.6</v>
      </c>
      <c r="Q70" s="2">
        <v>31</v>
      </c>
      <c r="R70" s="2">
        <v>33.4</v>
      </c>
      <c r="S70" s="2">
        <v>31.4</v>
      </c>
      <c r="T70" s="2">
        <v>31.6</v>
      </c>
      <c r="U70" s="2">
        <v>31</v>
      </c>
      <c r="V70" s="5">
        <f t="shared" si="5"/>
        <v>31.95</v>
      </c>
      <c r="W70" s="4">
        <f t="shared" si="6"/>
        <v>0.29682665076785225</v>
      </c>
      <c r="X70" s="2">
        <f t="shared" si="7"/>
        <v>31</v>
      </c>
      <c r="Y70" s="3">
        <f t="shared" si="8"/>
        <v>31</v>
      </c>
      <c r="Z70" s="2">
        <f t="shared" si="9"/>
        <v>31.5</v>
      </c>
    </row>
    <row r="71" spans="1:26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13.544</v>
      </c>
      <c r="J71" s="2">
        <v>34.700000000000003</v>
      </c>
      <c r="K71" s="2">
        <v>31.9</v>
      </c>
      <c r="L71" s="2">
        <v>35.299999999999997</v>
      </c>
      <c r="M71" s="2">
        <v>31.5</v>
      </c>
      <c r="N71" s="2">
        <v>34.1</v>
      </c>
      <c r="O71" s="2">
        <v>39.200000000000003</v>
      </c>
      <c r="P71" s="2">
        <v>33.200000000000003</v>
      </c>
      <c r="Q71" s="2">
        <v>35.299999999999997</v>
      </c>
      <c r="R71" s="2">
        <v>33.5</v>
      </c>
      <c r="S71" s="2">
        <v>32.9</v>
      </c>
      <c r="T71" s="2">
        <v>34.799999999999997</v>
      </c>
      <c r="U71" s="2">
        <v>35.9</v>
      </c>
      <c r="V71" s="5">
        <f t="shared" si="5"/>
        <v>34.358333333333327</v>
      </c>
      <c r="W71" s="4">
        <f t="shared" si="6"/>
        <v>0.59281791539062068</v>
      </c>
      <c r="X71" s="2">
        <f t="shared" si="7"/>
        <v>31.5</v>
      </c>
      <c r="Y71" s="3">
        <f t="shared" si="8"/>
        <v>33.125</v>
      </c>
      <c r="Z71" s="2">
        <f t="shared" si="9"/>
        <v>34.400000000000006</v>
      </c>
    </row>
    <row r="72" spans="1:26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13.65</v>
      </c>
      <c r="J72" s="2">
        <v>31</v>
      </c>
      <c r="K72" s="2">
        <v>30.4</v>
      </c>
      <c r="L72" s="2">
        <v>31.8</v>
      </c>
      <c r="M72" s="2">
        <v>33.200000000000003</v>
      </c>
      <c r="N72" s="2">
        <v>34.200000000000003</v>
      </c>
      <c r="O72" s="2">
        <v>33.799999999999997</v>
      </c>
      <c r="P72" s="2">
        <v>30.2</v>
      </c>
      <c r="Q72" s="2">
        <v>30.3</v>
      </c>
      <c r="R72" s="2">
        <v>29.3</v>
      </c>
      <c r="S72" s="2">
        <v>29.6</v>
      </c>
      <c r="T72" s="2">
        <v>32.9</v>
      </c>
      <c r="U72" s="2">
        <v>28.8</v>
      </c>
      <c r="V72" s="5">
        <f t="shared" si="5"/>
        <v>31.291666666666671</v>
      </c>
      <c r="W72" s="4">
        <f t="shared" si="6"/>
        <v>0.5317863454167634</v>
      </c>
      <c r="X72" s="2">
        <f t="shared" si="7"/>
        <v>28.8</v>
      </c>
      <c r="Y72" s="3">
        <f t="shared" si="8"/>
        <v>30.05</v>
      </c>
      <c r="Z72" s="2">
        <f t="shared" si="9"/>
        <v>30.7</v>
      </c>
    </row>
    <row r="73" spans="1:26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13.634</v>
      </c>
      <c r="J73" s="2">
        <v>30.3</v>
      </c>
      <c r="K73" s="2">
        <v>32.799999999999997</v>
      </c>
      <c r="L73" s="2">
        <v>30.2</v>
      </c>
      <c r="M73" s="2">
        <v>30.6</v>
      </c>
      <c r="N73" s="2">
        <v>33.5</v>
      </c>
      <c r="O73" s="2">
        <v>30.8</v>
      </c>
      <c r="P73" s="2">
        <v>31.9</v>
      </c>
      <c r="Q73" s="2">
        <v>30.7</v>
      </c>
      <c r="R73" s="2">
        <v>31.6</v>
      </c>
      <c r="S73" s="2">
        <v>31.1</v>
      </c>
      <c r="T73" s="2">
        <v>31</v>
      </c>
      <c r="U73" s="2">
        <v>32.1</v>
      </c>
      <c r="V73" s="5">
        <f t="shared" si="5"/>
        <v>31.38333333333334</v>
      </c>
      <c r="W73" s="4">
        <f t="shared" si="6"/>
        <v>0.29563320161813661</v>
      </c>
      <c r="X73" s="2">
        <f t="shared" si="7"/>
        <v>30.2</v>
      </c>
      <c r="Y73" s="3">
        <f t="shared" si="8"/>
        <v>30.675000000000001</v>
      </c>
      <c r="Z73" s="2">
        <f t="shared" si="9"/>
        <v>31.05</v>
      </c>
    </row>
    <row r="74" spans="1:26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13.618</v>
      </c>
      <c r="J74" s="2">
        <v>31</v>
      </c>
      <c r="K74" s="2">
        <v>32.200000000000003</v>
      </c>
      <c r="L74" s="2">
        <v>30.3</v>
      </c>
      <c r="M74" s="2">
        <v>31.2</v>
      </c>
      <c r="N74" s="2">
        <v>31.6</v>
      </c>
      <c r="O74" s="2">
        <v>32.299999999999997</v>
      </c>
      <c r="P74" s="2">
        <v>30.5</v>
      </c>
      <c r="Q74" s="2">
        <v>32</v>
      </c>
      <c r="R74" s="2">
        <v>32.200000000000003</v>
      </c>
      <c r="S74" s="2">
        <v>33.700000000000003</v>
      </c>
      <c r="T74" s="2">
        <v>31.9</v>
      </c>
      <c r="U74" s="2">
        <v>31.1</v>
      </c>
      <c r="V74" s="5">
        <f t="shared" ref="V74:V81" si="10">AVERAGE(J74:U74)</f>
        <v>31.666666666666668</v>
      </c>
      <c r="W74" s="4">
        <f t="shared" ref="W74:W81" si="11">STDEV(J74:U74)/SQRT(COUNT(J74:U74))</f>
        <v>0.26808335805992689</v>
      </c>
      <c r="X74" s="2">
        <f t="shared" ref="X74:X81" si="12">MIN(J74:U74)</f>
        <v>30.3</v>
      </c>
      <c r="Y74" s="3">
        <f t="shared" ref="Y74:Y81" si="13">QUARTILE(J74:U74,1)</f>
        <v>31.075000000000003</v>
      </c>
      <c r="Z74" s="2">
        <f t="shared" ref="Z74:Z81" si="14">MEDIAN(J74:U74)</f>
        <v>31.75</v>
      </c>
    </row>
    <row r="75" spans="1:26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13.602</v>
      </c>
      <c r="J75" s="2">
        <v>30.2</v>
      </c>
      <c r="K75" s="2">
        <v>30.5</v>
      </c>
      <c r="L75" s="2">
        <v>31.8</v>
      </c>
      <c r="M75" s="2">
        <v>31.7</v>
      </c>
      <c r="N75" s="2">
        <v>31.4</v>
      </c>
      <c r="O75" s="2">
        <v>31</v>
      </c>
      <c r="P75" s="2">
        <v>31.7</v>
      </c>
      <c r="Q75" s="2">
        <v>31</v>
      </c>
      <c r="R75" s="2">
        <v>31.2</v>
      </c>
      <c r="S75" s="2">
        <v>30.6</v>
      </c>
      <c r="T75" s="2">
        <v>32.200000000000003</v>
      </c>
      <c r="U75" s="2">
        <v>33</v>
      </c>
      <c r="V75" s="5">
        <f t="shared" si="10"/>
        <v>31.358333333333334</v>
      </c>
      <c r="W75" s="4">
        <f t="shared" si="11"/>
        <v>0.22645433459434089</v>
      </c>
      <c r="X75" s="2">
        <f t="shared" si="12"/>
        <v>30.2</v>
      </c>
      <c r="Y75" s="3">
        <f t="shared" si="13"/>
        <v>30.9</v>
      </c>
      <c r="Z75" s="2">
        <f t="shared" si="14"/>
        <v>31.299999999999997</v>
      </c>
    </row>
    <row r="76" spans="1:26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13.587</v>
      </c>
      <c r="J76" s="2">
        <v>31.1</v>
      </c>
      <c r="K76" s="2">
        <v>30.1</v>
      </c>
      <c r="L76" s="2">
        <v>31.8</v>
      </c>
      <c r="M76" s="2">
        <v>34</v>
      </c>
      <c r="N76" s="2">
        <v>32.6</v>
      </c>
      <c r="O76" s="2">
        <v>30.6</v>
      </c>
      <c r="P76" s="2">
        <v>31</v>
      </c>
      <c r="Q76" s="2">
        <v>30.4</v>
      </c>
      <c r="R76" s="2">
        <v>31.8</v>
      </c>
      <c r="S76" s="2">
        <v>30.8</v>
      </c>
      <c r="T76" s="2">
        <v>32.799999999999997</v>
      </c>
      <c r="U76" s="2">
        <v>30.9</v>
      </c>
      <c r="V76" s="5">
        <f t="shared" si="10"/>
        <v>31.491666666666664</v>
      </c>
      <c r="W76" s="4">
        <f t="shared" si="11"/>
        <v>0.33222353129703902</v>
      </c>
      <c r="X76" s="2">
        <f t="shared" si="12"/>
        <v>30.1</v>
      </c>
      <c r="Y76" s="3">
        <f t="shared" si="13"/>
        <v>30.75</v>
      </c>
      <c r="Z76" s="2">
        <f t="shared" si="14"/>
        <v>31.05</v>
      </c>
    </row>
    <row r="77" spans="1:26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13.571999999999999</v>
      </c>
      <c r="J77" s="2">
        <v>30.9</v>
      </c>
      <c r="K77" s="2">
        <v>31.2</v>
      </c>
      <c r="L77" s="2">
        <v>30.4</v>
      </c>
      <c r="M77" s="2">
        <v>32.6</v>
      </c>
      <c r="N77" s="2">
        <v>31.5</v>
      </c>
      <c r="O77" s="2">
        <v>31.1</v>
      </c>
      <c r="P77" s="2">
        <v>32.700000000000003</v>
      </c>
      <c r="Q77" s="2">
        <v>34.5</v>
      </c>
      <c r="R77" s="2">
        <v>32.700000000000003</v>
      </c>
      <c r="S77" s="2">
        <v>31</v>
      </c>
      <c r="T77" s="2">
        <v>32.700000000000003</v>
      </c>
      <c r="U77" s="2">
        <v>32.799999999999997</v>
      </c>
      <c r="V77" s="5">
        <f t="shared" si="10"/>
        <v>32.008333333333333</v>
      </c>
      <c r="W77" s="4">
        <f t="shared" si="11"/>
        <v>0.33921887395079386</v>
      </c>
      <c r="X77" s="2">
        <f t="shared" si="12"/>
        <v>30.4</v>
      </c>
      <c r="Y77" s="3">
        <f t="shared" si="13"/>
        <v>31.075000000000003</v>
      </c>
      <c r="Z77" s="2">
        <f t="shared" si="14"/>
        <v>32.049999999999997</v>
      </c>
    </row>
    <row r="78" spans="1:26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13.404</v>
      </c>
      <c r="J78" s="2">
        <v>34.5</v>
      </c>
      <c r="K78" s="2">
        <v>30.3</v>
      </c>
      <c r="L78" s="2">
        <v>32.6</v>
      </c>
      <c r="M78" s="2">
        <v>30.6</v>
      </c>
      <c r="N78" s="2">
        <v>31.1</v>
      </c>
      <c r="O78" s="2">
        <v>30.8</v>
      </c>
      <c r="P78" s="2">
        <v>31.1</v>
      </c>
      <c r="Q78" s="2">
        <v>30.4</v>
      </c>
      <c r="R78" s="2">
        <v>32</v>
      </c>
      <c r="S78" s="2">
        <v>30.4</v>
      </c>
      <c r="T78" s="2">
        <v>29.8</v>
      </c>
      <c r="U78" s="2">
        <v>31</v>
      </c>
      <c r="V78" s="5">
        <f t="shared" si="10"/>
        <v>31.216666666666665</v>
      </c>
      <c r="W78" s="4">
        <f t="shared" si="11"/>
        <v>0.37046926289163956</v>
      </c>
      <c r="X78" s="2">
        <f t="shared" si="12"/>
        <v>29.8</v>
      </c>
      <c r="Y78" s="3">
        <f t="shared" si="13"/>
        <v>30.4</v>
      </c>
      <c r="Z78" s="2">
        <f t="shared" si="14"/>
        <v>30.9</v>
      </c>
    </row>
    <row r="79" spans="1:26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13.38</v>
      </c>
      <c r="J79" s="2">
        <v>30.3</v>
      </c>
      <c r="K79" s="2">
        <v>30</v>
      </c>
      <c r="L79" s="2">
        <v>35.6</v>
      </c>
      <c r="M79" s="2">
        <v>31.3</v>
      </c>
      <c r="N79" s="2">
        <v>30.9</v>
      </c>
      <c r="O79" s="2">
        <v>34.4</v>
      </c>
      <c r="P79" s="2">
        <v>30.4</v>
      </c>
      <c r="Q79" s="2">
        <v>30.3</v>
      </c>
      <c r="R79" s="2">
        <v>30.7</v>
      </c>
      <c r="S79" s="2">
        <v>30.8</v>
      </c>
      <c r="T79" s="2">
        <v>35.1</v>
      </c>
      <c r="U79" s="2">
        <v>32.1</v>
      </c>
      <c r="V79" s="5">
        <f t="shared" si="10"/>
        <v>31.825000000000006</v>
      </c>
      <c r="W79" s="4">
        <f t="shared" si="11"/>
        <v>0.58479794490373882</v>
      </c>
      <c r="X79" s="2">
        <f t="shared" si="12"/>
        <v>30</v>
      </c>
      <c r="Y79" s="3">
        <f t="shared" si="13"/>
        <v>30.375</v>
      </c>
      <c r="Z79" s="2">
        <f t="shared" si="14"/>
        <v>30.85</v>
      </c>
    </row>
    <row r="80" spans="1:26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13.353</v>
      </c>
      <c r="J80" s="2">
        <v>41.9</v>
      </c>
      <c r="K80" s="2">
        <v>29.7</v>
      </c>
      <c r="L80" s="2">
        <v>31</v>
      </c>
      <c r="M80" s="2">
        <v>30.3</v>
      </c>
      <c r="N80" s="2">
        <v>29.8</v>
      </c>
      <c r="O80" s="2">
        <v>30.4</v>
      </c>
      <c r="P80" s="2">
        <v>32.700000000000003</v>
      </c>
      <c r="Q80" s="2">
        <v>30</v>
      </c>
      <c r="R80" s="2">
        <v>32.6</v>
      </c>
      <c r="S80" s="2">
        <v>31.7</v>
      </c>
      <c r="T80" s="2">
        <v>31.7</v>
      </c>
      <c r="U80" s="2">
        <v>31.5</v>
      </c>
      <c r="V80" s="5">
        <f t="shared" si="10"/>
        <v>31.941666666666666</v>
      </c>
      <c r="W80" s="4">
        <f t="shared" si="11"/>
        <v>0.95278366756138144</v>
      </c>
      <c r="X80" s="2">
        <f t="shared" si="12"/>
        <v>29.7</v>
      </c>
      <c r="Y80" s="3">
        <f t="shared" si="13"/>
        <v>30.225000000000001</v>
      </c>
      <c r="Z80" s="2">
        <f t="shared" si="14"/>
        <v>31.25</v>
      </c>
    </row>
    <row r="81" spans="1:26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13.329000000000001</v>
      </c>
      <c r="J81" s="2">
        <v>31.4</v>
      </c>
      <c r="K81" s="2">
        <v>29.5</v>
      </c>
      <c r="L81" s="2">
        <v>33.6</v>
      </c>
      <c r="M81" s="2">
        <v>30</v>
      </c>
      <c r="N81" s="2">
        <v>31.3</v>
      </c>
      <c r="O81" s="2">
        <v>29.8</v>
      </c>
      <c r="P81" s="2">
        <v>30.8</v>
      </c>
      <c r="Q81" s="2">
        <v>29.5</v>
      </c>
      <c r="R81" s="2">
        <v>30.6</v>
      </c>
      <c r="S81" s="2">
        <v>32.1</v>
      </c>
      <c r="T81" s="2">
        <v>30.8</v>
      </c>
      <c r="U81" s="2">
        <v>29.9</v>
      </c>
      <c r="V81" s="5">
        <f t="shared" si="10"/>
        <v>30.775000000000006</v>
      </c>
      <c r="W81" s="4">
        <f t="shared" si="11"/>
        <v>0.34818251048273624</v>
      </c>
      <c r="X81" s="2">
        <f t="shared" si="12"/>
        <v>29.5</v>
      </c>
      <c r="Y81" s="3">
        <f t="shared" si="13"/>
        <v>29.875</v>
      </c>
      <c r="Z81" s="2">
        <f t="shared" si="14"/>
        <v>30.700000000000003</v>
      </c>
    </row>
  </sheetData>
  <pageMargins left="0.75" right="0.75" top="1" bottom="1" header="0.5" footer="0.5"/>
  <pageSetup orientation="portrait" verticalDpi="0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3DE5-CB87-428A-A3EA-A400054C469F}">
  <dimension ref="A2:AM87"/>
  <sheetViews>
    <sheetView topLeftCell="A16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0" width="9.140625" style="1"/>
    <col min="31" max="31" width="11.28515625" style="1" customWidth="1"/>
    <col min="32" max="37" width="18.28515625" style="1" customWidth="1"/>
    <col min="38" max="39" width="18.28515625" style="1" bestFit="1" customWidth="1"/>
    <col min="40" max="16384" width="9.140625" style="1"/>
  </cols>
  <sheetData>
    <row r="2" spans="1:39" x14ac:dyDescent="0.2">
      <c r="H2" s="32" t="s">
        <v>118</v>
      </c>
      <c r="I2" s="38"/>
    </row>
    <row r="3" spans="1:39" x14ac:dyDescent="0.2">
      <c r="H3" s="33" t="s">
        <v>117</v>
      </c>
      <c r="I3" s="32">
        <v>0</v>
      </c>
    </row>
    <row r="4" spans="1:39" x14ac:dyDescent="0.2">
      <c r="H4" s="33" t="s">
        <v>116</v>
      </c>
      <c r="I4" s="32">
        <v>1</v>
      </c>
      <c r="N4" s="37" t="s">
        <v>115</v>
      </c>
      <c r="O4" s="36">
        <v>40.5</v>
      </c>
    </row>
    <row r="5" spans="1:39" x14ac:dyDescent="0.2">
      <c r="H5" s="33" t="s">
        <v>114</v>
      </c>
      <c r="I5" s="32">
        <v>0</v>
      </c>
      <c r="N5" s="35" t="s">
        <v>113</v>
      </c>
      <c r="O5" s="34"/>
    </row>
    <row r="6" spans="1:39" x14ac:dyDescent="0.2">
      <c r="H6" s="33" t="s">
        <v>112</v>
      </c>
      <c r="I6" s="32">
        <v>0</v>
      </c>
    </row>
    <row r="7" spans="1:39" x14ac:dyDescent="0.2">
      <c r="H7" s="33" t="s">
        <v>111</v>
      </c>
      <c r="I7" s="32">
        <v>0</v>
      </c>
      <c r="AE7" s="31" t="s">
        <v>107</v>
      </c>
      <c r="AF7" s="30" t="s">
        <v>110</v>
      </c>
    </row>
    <row r="9" spans="1:39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89</v>
      </c>
      <c r="X9" s="26" t="s">
        <v>88</v>
      </c>
      <c r="Y9" s="26" t="s">
        <v>87</v>
      </c>
      <c r="Z9" s="26" t="s">
        <v>86</v>
      </c>
      <c r="AA9" s="26"/>
      <c r="AB9" s="26"/>
      <c r="AC9" s="26"/>
      <c r="AE9" s="25"/>
      <c r="AF9" s="25" t="s">
        <v>85</v>
      </c>
      <c r="AG9" s="25" t="s">
        <v>84</v>
      </c>
      <c r="AH9" s="25"/>
      <c r="AI9" s="25"/>
      <c r="AJ9" s="25"/>
      <c r="AK9" s="25"/>
      <c r="AL9" s="25"/>
      <c r="AM9" s="25"/>
    </row>
    <row r="10" spans="1:39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13.095000000000001</v>
      </c>
      <c r="J10" s="2">
        <v>61.5</v>
      </c>
      <c r="K10" s="2">
        <v>46.7</v>
      </c>
      <c r="L10" s="2">
        <v>61.8</v>
      </c>
      <c r="M10" s="2">
        <v>48.9</v>
      </c>
      <c r="N10" s="2">
        <v>60.6</v>
      </c>
      <c r="O10" s="2">
        <v>42.6</v>
      </c>
      <c r="P10" s="2">
        <v>61.7</v>
      </c>
      <c r="Q10" s="2">
        <v>52.1</v>
      </c>
      <c r="R10" s="2">
        <v>59</v>
      </c>
      <c r="S10" s="2">
        <v>43.3</v>
      </c>
      <c r="T10" s="2">
        <v>63.1</v>
      </c>
      <c r="U10" s="2">
        <v>56.8</v>
      </c>
      <c r="V10" s="5">
        <f t="shared" ref="V10:V41" si="0">AVERAGE(J10:U10)</f>
        <v>54.841666666666669</v>
      </c>
      <c r="W10" s="4">
        <f t="shared" ref="W10:W41" si="1">STDEV(J10:U10)/SQRT(COUNT(J10:U10))</f>
        <v>2.2266450620436049</v>
      </c>
      <c r="X10" s="2">
        <f t="shared" ref="X10:X41" si="2">MIN(J10:U10)</f>
        <v>42.6</v>
      </c>
      <c r="Y10" s="3">
        <f t="shared" ref="Y10:Y41" si="3">QUARTILE(J10:U10,1)</f>
        <v>48.35</v>
      </c>
      <c r="Z10" s="2">
        <f t="shared" ref="Z10:Z41" si="4">MEDIAN(J10:U10)</f>
        <v>57.9</v>
      </c>
      <c r="AA10" s="2"/>
      <c r="AB10" s="2"/>
      <c r="AC10" s="2"/>
      <c r="AE10" s="25"/>
      <c r="AF10" s="24" t="s">
        <v>83</v>
      </c>
      <c r="AG10" s="23"/>
      <c r="AH10" s="23"/>
      <c r="AI10" s="23"/>
      <c r="AJ10" s="24" t="s">
        <v>82</v>
      </c>
      <c r="AK10" s="23"/>
      <c r="AL10" s="23"/>
      <c r="AM10" s="22"/>
    </row>
    <row r="11" spans="1:39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13.077</v>
      </c>
      <c r="J11" s="2">
        <v>62.4</v>
      </c>
      <c r="K11" s="2">
        <v>53.6</v>
      </c>
      <c r="L11" s="2">
        <v>61.9</v>
      </c>
      <c r="M11" s="2">
        <v>49.7</v>
      </c>
      <c r="N11" s="2">
        <v>60.8</v>
      </c>
      <c r="O11" s="2">
        <v>51</v>
      </c>
      <c r="P11" s="2">
        <v>62.2</v>
      </c>
      <c r="Q11" s="2">
        <v>48.7</v>
      </c>
      <c r="R11" s="2">
        <v>60</v>
      </c>
      <c r="S11" s="2">
        <v>50.6</v>
      </c>
      <c r="T11" s="2">
        <v>64.099999999999994</v>
      </c>
      <c r="U11" s="2">
        <v>46.9</v>
      </c>
      <c r="V11" s="5">
        <f t="shared" si="0"/>
        <v>55.991666666666667</v>
      </c>
      <c r="W11" s="4">
        <f t="shared" si="1"/>
        <v>1.8557224490965138</v>
      </c>
      <c r="X11" s="2">
        <f t="shared" si="2"/>
        <v>46.9</v>
      </c>
      <c r="Y11" s="3">
        <f t="shared" si="3"/>
        <v>50.375</v>
      </c>
      <c r="Z11" s="2">
        <f t="shared" si="4"/>
        <v>56.8</v>
      </c>
      <c r="AE11" s="21" t="s">
        <v>81</v>
      </c>
      <c r="AF11" s="20" t="s">
        <v>80</v>
      </c>
      <c r="AG11" s="19" t="s">
        <v>79</v>
      </c>
      <c r="AH11" s="19" t="s">
        <v>78</v>
      </c>
      <c r="AI11" s="19" t="s">
        <v>77</v>
      </c>
      <c r="AJ11" s="20" t="s">
        <v>80</v>
      </c>
      <c r="AK11" s="19" t="s">
        <v>79</v>
      </c>
      <c r="AL11" s="19" t="s">
        <v>78</v>
      </c>
      <c r="AM11" s="18" t="s">
        <v>77</v>
      </c>
    </row>
    <row r="12" spans="1:39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13.058</v>
      </c>
      <c r="J12" s="2">
        <v>61.6</v>
      </c>
      <c r="K12" s="2">
        <v>46.6</v>
      </c>
      <c r="L12" s="2">
        <v>61</v>
      </c>
      <c r="M12" s="2">
        <v>39.700000000000003</v>
      </c>
      <c r="N12" s="2">
        <v>58.4</v>
      </c>
      <c r="O12" s="2">
        <v>49.1</v>
      </c>
      <c r="P12" s="2">
        <v>55.9</v>
      </c>
      <c r="Q12" s="2">
        <v>45.9</v>
      </c>
      <c r="R12" s="2">
        <v>52</v>
      </c>
      <c r="S12" s="2">
        <v>47.8</v>
      </c>
      <c r="T12" s="2">
        <v>43.1</v>
      </c>
      <c r="U12" s="2">
        <v>42.2</v>
      </c>
      <c r="V12" s="5">
        <f t="shared" si="0"/>
        <v>50.274999999999999</v>
      </c>
      <c r="W12" s="4">
        <f t="shared" si="1"/>
        <v>2.1542461593679527</v>
      </c>
      <c r="X12" s="2">
        <f t="shared" si="2"/>
        <v>39.700000000000003</v>
      </c>
      <c r="Y12" s="3">
        <f t="shared" si="3"/>
        <v>45.2</v>
      </c>
      <c r="Z12" s="2">
        <f t="shared" si="4"/>
        <v>48.45</v>
      </c>
      <c r="AE12" s="17" t="s">
        <v>76</v>
      </c>
      <c r="AF12" s="16">
        <v>42.95</v>
      </c>
      <c r="AG12" s="15">
        <v>46.674999999999997</v>
      </c>
      <c r="AH12" s="15">
        <v>55.6</v>
      </c>
      <c r="AI12" s="15">
        <v>54.445833333333333</v>
      </c>
      <c r="AJ12" s="16">
        <v>28.5</v>
      </c>
      <c r="AK12" s="15">
        <v>29.125</v>
      </c>
      <c r="AL12" s="15">
        <v>29.725000000000001</v>
      </c>
      <c r="AM12" s="14">
        <v>29.783333333333331</v>
      </c>
    </row>
    <row r="13" spans="1:39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13.038</v>
      </c>
      <c r="J13" s="2">
        <v>61.9</v>
      </c>
      <c r="K13" s="2">
        <v>54.8</v>
      </c>
      <c r="L13" s="2">
        <v>59.5</v>
      </c>
      <c r="M13" s="2">
        <v>58.3</v>
      </c>
      <c r="N13" s="2">
        <v>57</v>
      </c>
      <c r="O13" s="2">
        <v>50</v>
      </c>
      <c r="P13" s="2">
        <v>57.1</v>
      </c>
      <c r="Q13" s="2">
        <v>57.2</v>
      </c>
      <c r="R13" s="2">
        <v>50.2</v>
      </c>
      <c r="S13" s="2">
        <v>58.3</v>
      </c>
      <c r="T13" s="2">
        <v>61.8</v>
      </c>
      <c r="U13" s="2">
        <v>44.9</v>
      </c>
      <c r="V13" s="5">
        <f t="shared" si="0"/>
        <v>55.916666666666657</v>
      </c>
      <c r="W13" s="4">
        <f t="shared" si="1"/>
        <v>1.4800098962268098</v>
      </c>
      <c r="X13" s="2">
        <f t="shared" si="2"/>
        <v>44.9</v>
      </c>
      <c r="Y13" s="3">
        <f t="shared" si="3"/>
        <v>53.65</v>
      </c>
      <c r="Z13" s="2">
        <f t="shared" si="4"/>
        <v>57.150000000000006</v>
      </c>
      <c r="AE13" s="13" t="s">
        <v>75</v>
      </c>
      <c r="AF13" s="12">
        <v>41.2</v>
      </c>
      <c r="AG13" s="11">
        <v>48.912500000000001</v>
      </c>
      <c r="AH13" s="11">
        <v>54.575000000000003</v>
      </c>
      <c r="AI13" s="11">
        <v>53.783333333333339</v>
      </c>
      <c r="AJ13" s="12">
        <v>27.75</v>
      </c>
      <c r="AK13" s="11">
        <v>28.85</v>
      </c>
      <c r="AL13" s="11">
        <v>29.475000000000001</v>
      </c>
      <c r="AM13" s="10">
        <v>29.524999999999999</v>
      </c>
    </row>
    <row r="14" spans="1:39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13.016</v>
      </c>
      <c r="J14" s="2">
        <v>62</v>
      </c>
      <c r="K14" s="2">
        <v>55.8</v>
      </c>
      <c r="L14" s="2">
        <v>58.1</v>
      </c>
      <c r="M14" s="2">
        <v>42.2</v>
      </c>
      <c r="N14" s="2">
        <v>57.2</v>
      </c>
      <c r="O14" s="2">
        <v>41.1</v>
      </c>
      <c r="P14" s="2">
        <v>59.9</v>
      </c>
      <c r="Q14" s="2">
        <v>44.2</v>
      </c>
      <c r="R14" s="2">
        <v>50.2</v>
      </c>
      <c r="S14" s="2">
        <v>60</v>
      </c>
      <c r="T14" s="2">
        <v>46.1</v>
      </c>
      <c r="U14" s="2">
        <v>47.4</v>
      </c>
      <c r="V14" s="5">
        <f t="shared" si="0"/>
        <v>52.016666666666673</v>
      </c>
      <c r="W14" s="4">
        <f t="shared" si="1"/>
        <v>2.2019217960589583</v>
      </c>
      <c r="X14" s="2">
        <f t="shared" si="2"/>
        <v>41.1</v>
      </c>
      <c r="Y14" s="3">
        <f t="shared" si="3"/>
        <v>45.625</v>
      </c>
      <c r="Z14" s="2">
        <f t="shared" si="4"/>
        <v>53</v>
      </c>
      <c r="AE14" s="13" t="s">
        <v>74</v>
      </c>
      <c r="AF14" s="12">
        <v>64.099999999999994</v>
      </c>
      <c r="AG14" s="11">
        <v>65.287499999999994</v>
      </c>
      <c r="AH14" s="11">
        <v>66.3</v>
      </c>
      <c r="AI14" s="11">
        <v>66.291666666666657</v>
      </c>
      <c r="AJ14" s="12"/>
      <c r="AK14" s="11"/>
      <c r="AL14" s="11"/>
      <c r="AM14" s="10"/>
    </row>
    <row r="15" spans="1:39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12.997</v>
      </c>
      <c r="J15" s="2">
        <v>62.3</v>
      </c>
      <c r="K15" s="2">
        <v>50.2</v>
      </c>
      <c r="L15" s="2">
        <v>64</v>
      </c>
      <c r="M15" s="2">
        <v>49.7</v>
      </c>
      <c r="N15" s="2">
        <v>61.8</v>
      </c>
      <c r="O15" s="2">
        <v>43.9</v>
      </c>
      <c r="P15" s="2">
        <v>61.5</v>
      </c>
      <c r="Q15" s="2">
        <v>46.9</v>
      </c>
      <c r="R15" s="2">
        <v>60.5</v>
      </c>
      <c r="S15" s="2">
        <v>56</v>
      </c>
      <c r="T15" s="2">
        <v>61.8</v>
      </c>
      <c r="U15" s="2">
        <v>51.5</v>
      </c>
      <c r="V15" s="5">
        <f t="shared" si="0"/>
        <v>55.841666666666661</v>
      </c>
      <c r="W15" s="4">
        <f t="shared" si="1"/>
        <v>2.0300193435909946</v>
      </c>
      <c r="X15" s="2">
        <f t="shared" si="2"/>
        <v>43.9</v>
      </c>
      <c r="Y15" s="3">
        <f t="shared" si="3"/>
        <v>50.075000000000003</v>
      </c>
      <c r="Z15" s="2">
        <f t="shared" si="4"/>
        <v>58.25</v>
      </c>
      <c r="AE15" s="13" t="s">
        <v>73</v>
      </c>
      <c r="AF15" s="12">
        <v>42.25</v>
      </c>
      <c r="AG15" s="11">
        <v>46.862499999999997</v>
      </c>
      <c r="AH15" s="11">
        <v>50.825000000000003</v>
      </c>
      <c r="AI15" s="11">
        <v>52.162500000000001</v>
      </c>
      <c r="AJ15" s="12">
        <v>29.65</v>
      </c>
      <c r="AK15" s="11">
        <v>30.6</v>
      </c>
      <c r="AL15" s="11">
        <v>31.2</v>
      </c>
      <c r="AM15" s="10">
        <v>31.37916666666667</v>
      </c>
    </row>
    <row r="16" spans="1:39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12.978999999999999</v>
      </c>
      <c r="J16" s="2">
        <v>62</v>
      </c>
      <c r="K16" s="2">
        <v>48.2</v>
      </c>
      <c r="L16" s="2">
        <v>61.1</v>
      </c>
      <c r="M16" s="2">
        <v>56.9</v>
      </c>
      <c r="N16" s="2">
        <v>55.6</v>
      </c>
      <c r="O16" s="2">
        <v>61.2</v>
      </c>
      <c r="P16" s="2">
        <v>45.8</v>
      </c>
      <c r="Q16" s="2">
        <v>60</v>
      </c>
      <c r="R16" s="2">
        <v>41.6</v>
      </c>
      <c r="S16" s="2">
        <v>62</v>
      </c>
      <c r="T16" s="2">
        <v>55.8</v>
      </c>
      <c r="U16" s="2">
        <v>40.700000000000003</v>
      </c>
      <c r="V16" s="5">
        <f t="shared" si="0"/>
        <v>54.241666666666674</v>
      </c>
      <c r="W16" s="4">
        <f t="shared" si="1"/>
        <v>2.3213259773089296</v>
      </c>
      <c r="X16" s="2">
        <f t="shared" si="2"/>
        <v>40.700000000000003</v>
      </c>
      <c r="Y16" s="3">
        <f t="shared" si="3"/>
        <v>47.6</v>
      </c>
      <c r="Z16" s="2">
        <f t="shared" si="4"/>
        <v>56.349999999999994</v>
      </c>
      <c r="AE16" s="13" t="s">
        <v>72</v>
      </c>
      <c r="AF16" s="12">
        <v>41.25</v>
      </c>
      <c r="AG16" s="11">
        <v>45.612499999999997</v>
      </c>
      <c r="AH16" s="11">
        <v>51.95</v>
      </c>
      <c r="AI16" s="11">
        <v>51.858333333333334</v>
      </c>
      <c r="AJ16" s="12">
        <v>28.35</v>
      </c>
      <c r="AK16" s="11">
        <v>29.787500000000001</v>
      </c>
      <c r="AL16" s="11">
        <v>30.45</v>
      </c>
      <c r="AM16" s="10">
        <v>30.945833333333333</v>
      </c>
    </row>
    <row r="17" spans="1:39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12.958</v>
      </c>
      <c r="J17" s="2">
        <v>63.6</v>
      </c>
      <c r="K17" s="2">
        <v>53.5</v>
      </c>
      <c r="L17" s="2">
        <v>62.3</v>
      </c>
      <c r="M17" s="2">
        <v>52.5</v>
      </c>
      <c r="N17" s="2">
        <v>61.6</v>
      </c>
      <c r="O17" s="2">
        <v>48.3</v>
      </c>
      <c r="P17" s="2">
        <v>61.4</v>
      </c>
      <c r="Q17" s="2">
        <v>59.4</v>
      </c>
      <c r="R17" s="2">
        <v>55.9</v>
      </c>
      <c r="S17" s="2">
        <v>61.8</v>
      </c>
      <c r="T17" s="2">
        <v>61.3</v>
      </c>
      <c r="U17" s="2">
        <v>48</v>
      </c>
      <c r="V17" s="5">
        <f t="shared" si="0"/>
        <v>57.466666666666661</v>
      </c>
      <c r="W17" s="4">
        <f t="shared" si="1"/>
        <v>1.6219298892543306</v>
      </c>
      <c r="X17" s="2">
        <f t="shared" si="2"/>
        <v>48</v>
      </c>
      <c r="Y17" s="3">
        <f t="shared" si="3"/>
        <v>53.25</v>
      </c>
      <c r="Z17" s="2">
        <f t="shared" si="4"/>
        <v>60.349999999999994</v>
      </c>
      <c r="AE17" s="13" t="s">
        <v>71</v>
      </c>
      <c r="AF17" s="12">
        <v>46.6</v>
      </c>
      <c r="AG17" s="11">
        <v>52.4</v>
      </c>
      <c r="AH17" s="11">
        <v>59.274999999999999</v>
      </c>
      <c r="AI17" s="11">
        <v>56.787500000000001</v>
      </c>
      <c r="AJ17" s="12">
        <v>29.3</v>
      </c>
      <c r="AK17" s="11">
        <v>29.637499999999999</v>
      </c>
      <c r="AL17" s="11">
        <v>30.7</v>
      </c>
      <c r="AM17" s="10">
        <v>30.654166666666669</v>
      </c>
    </row>
    <row r="18" spans="1:39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13.124000000000001</v>
      </c>
      <c r="J18" s="2">
        <v>61</v>
      </c>
      <c r="K18" s="2">
        <v>45.6</v>
      </c>
      <c r="L18" s="2">
        <v>60.2</v>
      </c>
      <c r="M18" s="2">
        <v>43.9</v>
      </c>
      <c r="N18" s="2">
        <v>58.4</v>
      </c>
      <c r="O18" s="2">
        <v>41</v>
      </c>
      <c r="P18" s="2">
        <v>60.5</v>
      </c>
      <c r="Q18" s="2">
        <v>42.1</v>
      </c>
      <c r="R18" s="2">
        <v>54.6</v>
      </c>
      <c r="S18" s="2">
        <v>47.6</v>
      </c>
      <c r="T18" s="2">
        <v>55.4</v>
      </c>
      <c r="U18" s="2">
        <v>40.700000000000003</v>
      </c>
      <c r="V18" s="5">
        <f t="shared" si="0"/>
        <v>50.916666666666679</v>
      </c>
      <c r="W18" s="4">
        <f t="shared" si="1"/>
        <v>2.365017564587633</v>
      </c>
      <c r="X18" s="2">
        <f t="shared" si="2"/>
        <v>40.700000000000003</v>
      </c>
      <c r="Y18" s="3">
        <f t="shared" si="3"/>
        <v>43.45</v>
      </c>
      <c r="Z18" s="2">
        <f t="shared" si="4"/>
        <v>51.1</v>
      </c>
      <c r="AE18" s="13" t="s">
        <v>70</v>
      </c>
      <c r="AF18" s="12">
        <v>46.25</v>
      </c>
      <c r="AG18" s="11">
        <v>53.075000000000003</v>
      </c>
      <c r="AH18" s="11">
        <v>58.2</v>
      </c>
      <c r="AI18" s="11">
        <v>56.445833333333333</v>
      </c>
      <c r="AJ18" s="12">
        <v>29.05</v>
      </c>
      <c r="AK18" s="11">
        <v>29.762499999999999</v>
      </c>
      <c r="AL18" s="11">
        <v>30.425000000000001</v>
      </c>
      <c r="AM18" s="10">
        <v>30.716666666666669</v>
      </c>
    </row>
    <row r="19" spans="1:39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13.141999999999999</v>
      </c>
      <c r="J19" s="2">
        <v>62.1</v>
      </c>
      <c r="K19" s="2">
        <v>44</v>
      </c>
      <c r="L19" s="2">
        <v>62.7</v>
      </c>
      <c r="M19" s="2">
        <v>51</v>
      </c>
      <c r="N19" s="2">
        <v>62.1</v>
      </c>
      <c r="O19" s="2">
        <v>52.1</v>
      </c>
      <c r="P19" s="2">
        <v>61.6</v>
      </c>
      <c r="Q19" s="2">
        <v>58.5</v>
      </c>
      <c r="R19" s="2">
        <v>58.1</v>
      </c>
      <c r="S19" s="2">
        <v>57.4</v>
      </c>
      <c r="T19" s="2">
        <v>61.9</v>
      </c>
      <c r="U19" s="2">
        <v>41.9</v>
      </c>
      <c r="V19" s="5">
        <f t="shared" si="0"/>
        <v>56.116666666666667</v>
      </c>
      <c r="W19" s="4">
        <f t="shared" si="1"/>
        <v>2.0979005859875515</v>
      </c>
      <c r="X19" s="2">
        <f t="shared" si="2"/>
        <v>41.9</v>
      </c>
      <c r="Y19" s="3">
        <f t="shared" si="3"/>
        <v>51.825000000000003</v>
      </c>
      <c r="Z19" s="2">
        <f t="shared" si="4"/>
        <v>58.3</v>
      </c>
      <c r="AE19" s="13" t="s">
        <v>69</v>
      </c>
      <c r="AF19" s="12">
        <v>43.125</v>
      </c>
      <c r="AG19" s="11">
        <v>50.28125</v>
      </c>
      <c r="AH19" s="11">
        <v>56.875</v>
      </c>
      <c r="AI19" s="11">
        <v>55.25</v>
      </c>
      <c r="AJ19" s="12">
        <v>28.625</v>
      </c>
      <c r="AK19" s="11">
        <v>29.59375</v>
      </c>
      <c r="AL19" s="11">
        <v>30.175000000000001</v>
      </c>
      <c r="AM19" s="10">
        <v>30.379166666666666</v>
      </c>
    </row>
    <row r="20" spans="1:39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13.16</v>
      </c>
      <c r="J20" s="2">
        <v>62</v>
      </c>
      <c r="K20" s="2">
        <v>41.2</v>
      </c>
      <c r="L20" s="2">
        <v>66.599999999999994</v>
      </c>
      <c r="M20" s="2">
        <v>58.8</v>
      </c>
      <c r="N20" s="2">
        <v>44</v>
      </c>
      <c r="O20" s="2">
        <v>61.8</v>
      </c>
      <c r="P20" s="2">
        <v>54.9</v>
      </c>
      <c r="Q20" s="2">
        <v>60.6</v>
      </c>
      <c r="R20" s="2">
        <v>41.9</v>
      </c>
      <c r="S20" s="2">
        <v>62.2</v>
      </c>
      <c r="T20" s="2">
        <v>54.7</v>
      </c>
      <c r="U20" s="2">
        <v>50.4</v>
      </c>
      <c r="V20" s="5">
        <f t="shared" si="0"/>
        <v>54.925000000000004</v>
      </c>
      <c r="W20" s="4">
        <f t="shared" si="1"/>
        <v>2.5101045794946404</v>
      </c>
      <c r="X20" s="2">
        <f t="shared" si="2"/>
        <v>41.2</v>
      </c>
      <c r="Y20" s="3">
        <f t="shared" si="3"/>
        <v>48.8</v>
      </c>
      <c r="Z20" s="2">
        <f t="shared" si="4"/>
        <v>56.849999999999994</v>
      </c>
      <c r="AE20" s="13" t="s">
        <v>68</v>
      </c>
      <c r="AF20" s="12">
        <v>43.6</v>
      </c>
      <c r="AG20" s="11">
        <v>48.962499999999999</v>
      </c>
      <c r="AH20" s="11">
        <v>55.975000000000001</v>
      </c>
      <c r="AI20" s="11">
        <v>54.458333333333336</v>
      </c>
      <c r="AJ20" s="12">
        <v>28.4</v>
      </c>
      <c r="AK20" s="11">
        <v>29.231249999999999</v>
      </c>
      <c r="AL20" s="11">
        <v>29.712499999999999</v>
      </c>
      <c r="AM20" s="10">
        <v>29.720833333333328</v>
      </c>
    </row>
    <row r="21" spans="1:39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13.178000000000001</v>
      </c>
      <c r="J21" s="2">
        <v>59.6</v>
      </c>
      <c r="K21" s="2">
        <v>54.6</v>
      </c>
      <c r="L21" s="2">
        <v>57.2</v>
      </c>
      <c r="M21" s="2">
        <v>48.5</v>
      </c>
      <c r="N21" s="2">
        <v>58.9</v>
      </c>
      <c r="O21" s="2">
        <v>37.5</v>
      </c>
      <c r="P21" s="2">
        <v>58.9</v>
      </c>
      <c r="Q21" s="2">
        <v>50.2</v>
      </c>
      <c r="R21" s="2">
        <v>48.7</v>
      </c>
      <c r="S21" s="2">
        <v>59.5</v>
      </c>
      <c r="T21" s="2">
        <v>49.9</v>
      </c>
      <c r="U21" s="2">
        <v>52.6</v>
      </c>
      <c r="V21" s="5">
        <f t="shared" si="0"/>
        <v>53.008333333333326</v>
      </c>
      <c r="W21" s="4">
        <f t="shared" si="1"/>
        <v>1.8914263630574477</v>
      </c>
      <c r="X21" s="2">
        <f t="shared" si="2"/>
        <v>37.5</v>
      </c>
      <c r="Y21" s="3">
        <f t="shared" si="3"/>
        <v>49.6</v>
      </c>
      <c r="Z21" s="2">
        <f t="shared" si="4"/>
        <v>53.6</v>
      </c>
      <c r="AE21" s="13" t="s">
        <v>67</v>
      </c>
      <c r="AF21" s="12">
        <v>39.200000000000003</v>
      </c>
      <c r="AG21" s="11">
        <v>45.7</v>
      </c>
      <c r="AH21" s="11">
        <v>53.05</v>
      </c>
      <c r="AI21" s="11">
        <v>51.783333333333331</v>
      </c>
      <c r="AJ21" s="12">
        <v>29.8</v>
      </c>
      <c r="AK21" s="11">
        <v>31.65</v>
      </c>
      <c r="AL21" s="11">
        <v>32.4</v>
      </c>
      <c r="AM21" s="10">
        <v>32.537500000000001</v>
      </c>
    </row>
    <row r="22" spans="1:39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13.195</v>
      </c>
      <c r="J22" s="2">
        <v>62.4</v>
      </c>
      <c r="K22" s="2">
        <v>50.6</v>
      </c>
      <c r="L22" s="2">
        <v>62.8</v>
      </c>
      <c r="M22" s="2">
        <v>57.5</v>
      </c>
      <c r="N22" s="2">
        <v>61</v>
      </c>
      <c r="O22" s="2">
        <v>53.3</v>
      </c>
      <c r="P22" s="2">
        <v>62.5</v>
      </c>
      <c r="Q22" s="2">
        <v>60.3</v>
      </c>
      <c r="R22" s="2">
        <v>58.7</v>
      </c>
      <c r="S22" s="2">
        <v>62.2</v>
      </c>
      <c r="T22" s="2">
        <v>62.8</v>
      </c>
      <c r="U22" s="2">
        <v>50.7</v>
      </c>
      <c r="V22" s="5">
        <f t="shared" si="0"/>
        <v>58.733333333333341</v>
      </c>
      <c r="W22" s="4">
        <f t="shared" si="1"/>
        <v>1.3541369460607993</v>
      </c>
      <c r="X22" s="2">
        <f t="shared" si="2"/>
        <v>50.6</v>
      </c>
      <c r="Y22" s="3">
        <f t="shared" si="3"/>
        <v>56.45</v>
      </c>
      <c r="Z22" s="2">
        <f t="shared" si="4"/>
        <v>60.65</v>
      </c>
      <c r="AE22" s="13" t="s">
        <v>66</v>
      </c>
      <c r="AF22" s="12">
        <v>40.9</v>
      </c>
      <c r="AG22" s="11">
        <v>44.537500000000001</v>
      </c>
      <c r="AH22" s="11">
        <v>52.05</v>
      </c>
      <c r="AI22" s="11">
        <v>51.466666666666676</v>
      </c>
      <c r="AJ22" s="12">
        <v>28.3</v>
      </c>
      <c r="AK22" s="11">
        <v>29.2</v>
      </c>
      <c r="AL22" s="11">
        <v>30</v>
      </c>
      <c r="AM22" s="10">
        <v>30.070833333333329</v>
      </c>
    </row>
    <row r="23" spans="1:39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13.215999999999999</v>
      </c>
      <c r="J23" s="2">
        <v>61.9</v>
      </c>
      <c r="K23" s="2">
        <v>61.9</v>
      </c>
      <c r="L23" s="2">
        <v>62.1</v>
      </c>
      <c r="M23" s="2">
        <v>61.6</v>
      </c>
      <c r="N23" s="2">
        <v>60.7</v>
      </c>
      <c r="O23" s="2">
        <v>53.8</v>
      </c>
      <c r="P23" s="2">
        <v>62.2</v>
      </c>
      <c r="Q23" s="2">
        <v>49.6</v>
      </c>
      <c r="R23" s="2">
        <v>55.4</v>
      </c>
      <c r="S23" s="2">
        <v>59.5</v>
      </c>
      <c r="T23" s="2">
        <v>63.2</v>
      </c>
      <c r="U23" s="2">
        <v>54.5</v>
      </c>
      <c r="V23" s="5">
        <f t="shared" si="0"/>
        <v>58.866666666666674</v>
      </c>
      <c r="W23" s="4">
        <f t="shared" si="1"/>
        <v>1.2691164507863595</v>
      </c>
      <c r="X23" s="2">
        <f t="shared" si="2"/>
        <v>49.6</v>
      </c>
      <c r="Y23" s="3">
        <f t="shared" si="3"/>
        <v>55.174999999999997</v>
      </c>
      <c r="Z23" s="2">
        <f t="shared" si="4"/>
        <v>61.150000000000006</v>
      </c>
      <c r="AE23" s="13" t="s">
        <v>65</v>
      </c>
      <c r="AF23" s="12">
        <v>40.1</v>
      </c>
      <c r="AG23" s="11">
        <v>56.6</v>
      </c>
      <c r="AH23" s="11">
        <v>58</v>
      </c>
      <c r="AI23" s="11">
        <v>57.375</v>
      </c>
      <c r="AJ23" s="12">
        <v>28.1</v>
      </c>
      <c r="AK23" s="11">
        <v>28.75</v>
      </c>
      <c r="AL23" s="11">
        <v>29.65</v>
      </c>
      <c r="AM23" s="10">
        <v>29.774999999999999</v>
      </c>
    </row>
    <row r="24" spans="1:39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13.234</v>
      </c>
      <c r="J24" s="2">
        <v>62.4</v>
      </c>
      <c r="K24" s="2">
        <v>50.1</v>
      </c>
      <c r="L24" s="2">
        <v>58.6</v>
      </c>
      <c r="M24" s="2">
        <v>56.8</v>
      </c>
      <c r="N24" s="2">
        <v>46.5</v>
      </c>
      <c r="O24" s="2">
        <v>61.3</v>
      </c>
      <c r="P24" s="2">
        <v>50.2</v>
      </c>
      <c r="Q24" s="2">
        <v>62</v>
      </c>
      <c r="R24" s="2">
        <v>53.9</v>
      </c>
      <c r="S24" s="2">
        <v>60.9</v>
      </c>
      <c r="T24" s="2">
        <v>48.3</v>
      </c>
      <c r="U24" s="2">
        <v>49.5</v>
      </c>
      <c r="V24" s="5">
        <f t="shared" si="0"/>
        <v>55.041666666666657</v>
      </c>
      <c r="W24" s="4">
        <f t="shared" si="1"/>
        <v>1.7190756119484845</v>
      </c>
      <c r="X24" s="2">
        <f t="shared" si="2"/>
        <v>46.5</v>
      </c>
      <c r="Y24" s="3">
        <f t="shared" si="3"/>
        <v>49.95</v>
      </c>
      <c r="Z24" s="2">
        <f t="shared" si="4"/>
        <v>55.349999999999994</v>
      </c>
      <c r="AE24" s="13" t="s">
        <v>64</v>
      </c>
      <c r="AF24" s="12">
        <v>47.25</v>
      </c>
      <c r="AG24" s="11">
        <v>52.975000000000001</v>
      </c>
      <c r="AH24" s="11">
        <v>60.325000000000003</v>
      </c>
      <c r="AI24" s="11">
        <v>57.416666666666671</v>
      </c>
      <c r="AJ24" s="12">
        <v>29.35</v>
      </c>
      <c r="AK24" s="11">
        <v>29.862500000000001</v>
      </c>
      <c r="AL24" s="11">
        <v>30.35</v>
      </c>
      <c r="AM24" s="10">
        <v>30.5625</v>
      </c>
    </row>
    <row r="25" spans="1:39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13.250999999999999</v>
      </c>
      <c r="J25" s="2">
        <v>61.6</v>
      </c>
      <c r="K25" s="2">
        <v>61.5</v>
      </c>
      <c r="L25" s="2">
        <v>56.3</v>
      </c>
      <c r="M25" s="2">
        <v>63.7</v>
      </c>
      <c r="N25" s="2">
        <v>59</v>
      </c>
      <c r="O25" s="2">
        <v>51.5</v>
      </c>
      <c r="P25" s="2">
        <v>61</v>
      </c>
      <c r="Q25" s="2">
        <v>50.1</v>
      </c>
      <c r="R25" s="2">
        <v>61</v>
      </c>
      <c r="S25" s="2">
        <v>53.4</v>
      </c>
      <c r="T25" s="2">
        <v>61.4</v>
      </c>
      <c r="U25" s="2">
        <v>50.4</v>
      </c>
      <c r="V25" s="5">
        <f t="shared" si="0"/>
        <v>57.574999999999996</v>
      </c>
      <c r="W25" s="4">
        <f t="shared" si="1"/>
        <v>1.4369646565738579</v>
      </c>
      <c r="X25" s="2">
        <f t="shared" si="2"/>
        <v>50.1</v>
      </c>
      <c r="Y25" s="3">
        <f t="shared" si="3"/>
        <v>52.924999999999997</v>
      </c>
      <c r="Z25" s="2">
        <f t="shared" si="4"/>
        <v>60</v>
      </c>
      <c r="AE25" s="13" t="s">
        <v>63</v>
      </c>
      <c r="AF25" s="12">
        <v>42.6</v>
      </c>
      <c r="AG25" s="11">
        <v>50.69166666666667</v>
      </c>
      <c r="AH25" s="11">
        <v>57.816666666666663</v>
      </c>
      <c r="AI25" s="11">
        <v>55.674999999999997</v>
      </c>
      <c r="AJ25" s="12">
        <v>28.4</v>
      </c>
      <c r="AK25" s="11">
        <v>29.766666666666669</v>
      </c>
      <c r="AL25" s="11">
        <v>30.5</v>
      </c>
      <c r="AM25" s="10">
        <v>30.475000000000001</v>
      </c>
    </row>
    <row r="26" spans="1:39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13.393000000000001</v>
      </c>
      <c r="J26" s="2">
        <v>61.2</v>
      </c>
      <c r="K26" s="2">
        <v>53.1</v>
      </c>
      <c r="L26" s="2">
        <v>61.2</v>
      </c>
      <c r="M26" s="2">
        <v>46.6</v>
      </c>
      <c r="N26" s="2">
        <v>59.8</v>
      </c>
      <c r="O26" s="2">
        <v>49</v>
      </c>
      <c r="P26" s="2">
        <v>61.4</v>
      </c>
      <c r="Q26" s="2">
        <v>48.9</v>
      </c>
      <c r="R26" s="2">
        <v>50.9</v>
      </c>
      <c r="S26" s="2">
        <v>50</v>
      </c>
      <c r="T26" s="2">
        <v>62</v>
      </c>
      <c r="U26" s="2">
        <v>49.5</v>
      </c>
      <c r="V26" s="5">
        <f t="shared" si="0"/>
        <v>54.466666666666661</v>
      </c>
      <c r="W26" s="4">
        <f t="shared" si="1"/>
        <v>1.7535821922711756</v>
      </c>
      <c r="X26" s="2">
        <f t="shared" si="2"/>
        <v>46.6</v>
      </c>
      <c r="Y26" s="3">
        <f t="shared" si="3"/>
        <v>49.375</v>
      </c>
      <c r="Z26" s="2">
        <f t="shared" si="4"/>
        <v>52</v>
      </c>
      <c r="AE26" s="13" t="s">
        <v>62</v>
      </c>
      <c r="AF26" s="12">
        <v>43.5</v>
      </c>
      <c r="AG26" s="11">
        <v>48.893749999999997</v>
      </c>
      <c r="AH26" s="11">
        <v>55.337499999999999</v>
      </c>
      <c r="AI26" s="11">
        <v>54.456249999999997</v>
      </c>
      <c r="AJ26" s="12">
        <v>28.35</v>
      </c>
      <c r="AK26" s="11">
        <v>29.25</v>
      </c>
      <c r="AL26" s="11">
        <v>29.975000000000001</v>
      </c>
      <c r="AM26" s="10">
        <v>30.122916666666669</v>
      </c>
    </row>
    <row r="27" spans="1:39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13.412000000000001</v>
      </c>
      <c r="J27" s="2">
        <v>61.2</v>
      </c>
      <c r="K27" s="2">
        <v>45.3</v>
      </c>
      <c r="L27" s="2">
        <v>62</v>
      </c>
      <c r="M27" s="2">
        <v>47.2</v>
      </c>
      <c r="N27" s="2">
        <v>59.9</v>
      </c>
      <c r="O27" s="2">
        <v>47.7</v>
      </c>
      <c r="P27" s="2">
        <v>57.7</v>
      </c>
      <c r="Q27" s="2">
        <v>56.7</v>
      </c>
      <c r="R27" s="2">
        <v>43.5</v>
      </c>
      <c r="S27" s="2">
        <v>60.3</v>
      </c>
      <c r="T27" s="2">
        <v>52.6</v>
      </c>
      <c r="U27" s="2">
        <v>43.7</v>
      </c>
      <c r="V27" s="5">
        <f t="shared" si="0"/>
        <v>53.15</v>
      </c>
      <c r="W27" s="4">
        <f t="shared" si="1"/>
        <v>2.1008115315061331</v>
      </c>
      <c r="X27" s="2">
        <f t="shared" si="2"/>
        <v>43.5</v>
      </c>
      <c r="Y27" s="3">
        <f t="shared" si="3"/>
        <v>46.725000000000001</v>
      </c>
      <c r="Z27" s="2">
        <f t="shared" si="4"/>
        <v>54.650000000000006</v>
      </c>
      <c r="AE27" s="9" t="s">
        <v>61</v>
      </c>
      <c r="AF27" s="8">
        <v>36.549999999999997</v>
      </c>
      <c r="AG27" s="7">
        <v>37.174999999999997</v>
      </c>
      <c r="AH27" s="7">
        <v>38.174999999999997</v>
      </c>
      <c r="AI27" s="7">
        <v>38.383333333333333</v>
      </c>
      <c r="AJ27" s="8"/>
      <c r="AK27" s="7"/>
      <c r="AL27" s="7"/>
      <c r="AM27" s="6"/>
    </row>
    <row r="28" spans="1:39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13.429</v>
      </c>
      <c r="J28" s="2">
        <v>60.8</v>
      </c>
      <c r="K28" s="2">
        <v>44.9</v>
      </c>
      <c r="L28" s="2">
        <v>60.9</v>
      </c>
      <c r="M28" s="2">
        <v>45.3</v>
      </c>
      <c r="N28" s="2">
        <v>60</v>
      </c>
      <c r="O28" s="2">
        <v>50.7</v>
      </c>
      <c r="P28" s="2">
        <v>61.6</v>
      </c>
      <c r="Q28" s="2">
        <v>61.1</v>
      </c>
      <c r="R28" s="2">
        <v>60.5</v>
      </c>
      <c r="S28" s="2">
        <v>56</v>
      </c>
      <c r="T28" s="2">
        <v>59</v>
      </c>
      <c r="U28" s="2">
        <v>50.8</v>
      </c>
      <c r="V28" s="5">
        <f t="shared" si="0"/>
        <v>55.966666666666661</v>
      </c>
      <c r="W28" s="4">
        <f t="shared" si="1"/>
        <v>1.8308936935747393</v>
      </c>
      <c r="X28" s="2">
        <f t="shared" si="2"/>
        <v>44.9</v>
      </c>
      <c r="Y28" s="3">
        <f t="shared" si="3"/>
        <v>50.774999999999999</v>
      </c>
      <c r="Z28" s="2">
        <f t="shared" si="4"/>
        <v>59.5</v>
      </c>
      <c r="AE28" s="59"/>
      <c r="AF28" s="58"/>
      <c r="AG28" s="58"/>
      <c r="AH28" s="58"/>
      <c r="AI28" s="58"/>
      <c r="AJ28" s="58"/>
      <c r="AK28" s="58"/>
    </row>
    <row r="29" spans="1:39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13.446</v>
      </c>
      <c r="J29" s="2">
        <v>61.7</v>
      </c>
      <c r="K29" s="2">
        <v>54.4</v>
      </c>
      <c r="L29" s="2">
        <v>61.2</v>
      </c>
      <c r="M29" s="2">
        <v>45.9</v>
      </c>
      <c r="N29" s="2">
        <v>60.2</v>
      </c>
      <c r="O29" s="2">
        <v>42.4</v>
      </c>
      <c r="P29" s="2">
        <v>61</v>
      </c>
      <c r="Q29" s="2">
        <v>50.6</v>
      </c>
      <c r="R29" s="2">
        <v>54.1</v>
      </c>
      <c r="S29" s="2">
        <v>57.7</v>
      </c>
      <c r="T29" s="2">
        <v>59.5</v>
      </c>
      <c r="U29" s="2">
        <v>55.1</v>
      </c>
      <c r="V29" s="5">
        <f t="shared" si="0"/>
        <v>55.31666666666667</v>
      </c>
      <c r="W29" s="4">
        <f t="shared" si="1"/>
        <v>1.8149561032062442</v>
      </c>
      <c r="X29" s="2">
        <f t="shared" si="2"/>
        <v>42.4</v>
      </c>
      <c r="Y29" s="3">
        <f t="shared" si="3"/>
        <v>53.225000000000001</v>
      </c>
      <c r="Z29" s="2">
        <f t="shared" si="4"/>
        <v>56.400000000000006</v>
      </c>
    </row>
    <row r="30" spans="1:39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13.465999999999999</v>
      </c>
      <c r="J30" s="2">
        <v>53.5</v>
      </c>
      <c r="K30" s="2">
        <v>55.2</v>
      </c>
      <c r="L30" s="2">
        <v>56.2</v>
      </c>
      <c r="M30" s="2">
        <v>40.9</v>
      </c>
      <c r="N30" s="2">
        <v>58.6</v>
      </c>
      <c r="O30" s="2">
        <v>41.5</v>
      </c>
      <c r="P30" s="2">
        <v>59.1</v>
      </c>
      <c r="Q30" s="2">
        <v>41.9</v>
      </c>
      <c r="R30" s="2">
        <v>51.4</v>
      </c>
      <c r="S30" s="2">
        <v>51.5</v>
      </c>
      <c r="T30" s="2">
        <v>55.6</v>
      </c>
      <c r="U30" s="2">
        <v>41.3</v>
      </c>
      <c r="V30" s="5">
        <f t="shared" si="0"/>
        <v>50.55833333333333</v>
      </c>
      <c r="W30" s="4">
        <f t="shared" si="1"/>
        <v>2.0646541398432272</v>
      </c>
      <c r="X30" s="2">
        <f t="shared" si="2"/>
        <v>40.9</v>
      </c>
      <c r="Y30" s="3">
        <f t="shared" si="3"/>
        <v>41.8</v>
      </c>
      <c r="Z30" s="2">
        <f t="shared" si="4"/>
        <v>52.5</v>
      </c>
    </row>
    <row r="31" spans="1:39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13.483000000000001</v>
      </c>
      <c r="J31" s="2">
        <v>60.2</v>
      </c>
      <c r="K31" s="2">
        <v>56</v>
      </c>
      <c r="L31" s="2">
        <v>58.1</v>
      </c>
      <c r="M31" s="2">
        <v>60.9</v>
      </c>
      <c r="N31" s="2">
        <v>56.1</v>
      </c>
      <c r="O31" s="2">
        <v>43.1</v>
      </c>
      <c r="P31" s="2">
        <v>59.3</v>
      </c>
      <c r="Q31" s="2">
        <v>41.9</v>
      </c>
      <c r="R31" s="2">
        <v>59.5</v>
      </c>
      <c r="S31" s="2">
        <v>37.5</v>
      </c>
      <c r="T31" s="2">
        <v>60.5</v>
      </c>
      <c r="U31" s="2">
        <v>50.7</v>
      </c>
      <c r="V31" s="5">
        <f t="shared" si="0"/>
        <v>53.650000000000006</v>
      </c>
      <c r="W31" s="4">
        <f t="shared" si="1"/>
        <v>2.3975208154687753</v>
      </c>
      <c r="X31" s="2">
        <f t="shared" si="2"/>
        <v>37.5</v>
      </c>
      <c r="Y31" s="3">
        <f t="shared" si="3"/>
        <v>48.800000000000004</v>
      </c>
      <c r="Z31" s="2">
        <f t="shared" si="4"/>
        <v>57.1</v>
      </c>
    </row>
    <row r="32" spans="1:39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</v>
      </c>
      <c r="J32" s="2">
        <v>61.3</v>
      </c>
      <c r="K32" s="2">
        <v>44.2</v>
      </c>
      <c r="L32" s="2">
        <v>61.3</v>
      </c>
      <c r="M32" s="2">
        <v>50.2</v>
      </c>
      <c r="N32" s="2">
        <v>59.9</v>
      </c>
      <c r="O32" s="2">
        <v>52.5</v>
      </c>
      <c r="P32" s="2">
        <v>61.9</v>
      </c>
      <c r="Q32" s="2">
        <v>53.9</v>
      </c>
      <c r="R32" s="2">
        <v>61.1</v>
      </c>
      <c r="S32" s="2">
        <v>50.1</v>
      </c>
      <c r="T32" s="2">
        <v>62.4</v>
      </c>
      <c r="U32" s="2">
        <v>42</v>
      </c>
      <c r="V32" s="5">
        <f t="shared" si="0"/>
        <v>55.066666666666663</v>
      </c>
      <c r="W32" s="4">
        <f t="shared" si="1"/>
        <v>2.1017068580493725</v>
      </c>
      <c r="X32" s="2">
        <f t="shared" si="2"/>
        <v>42</v>
      </c>
      <c r="Y32" s="3">
        <f t="shared" si="3"/>
        <v>50.175000000000004</v>
      </c>
      <c r="Z32" s="2">
        <f t="shared" si="4"/>
        <v>56.9</v>
      </c>
    </row>
    <row r="33" spans="1:26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13.516999999999999</v>
      </c>
      <c r="J33" s="2">
        <v>62</v>
      </c>
      <c r="K33" s="2">
        <v>48.9</v>
      </c>
      <c r="L33" s="2">
        <v>62.8</v>
      </c>
      <c r="M33" s="2">
        <v>47.7</v>
      </c>
      <c r="N33" s="2">
        <v>62.7</v>
      </c>
      <c r="O33" s="2">
        <v>44.8</v>
      </c>
      <c r="P33" s="2">
        <v>62.2</v>
      </c>
      <c r="Q33" s="2">
        <v>45.1</v>
      </c>
      <c r="R33" s="2">
        <v>54.5</v>
      </c>
      <c r="S33" s="2">
        <v>57.2</v>
      </c>
      <c r="T33" s="2">
        <v>48.8</v>
      </c>
      <c r="U33" s="2">
        <v>51.9</v>
      </c>
      <c r="V33" s="5">
        <f t="shared" si="0"/>
        <v>54.04999999999999</v>
      </c>
      <c r="W33" s="4">
        <f t="shared" si="1"/>
        <v>2.05203151372814</v>
      </c>
      <c r="X33" s="2">
        <f t="shared" si="2"/>
        <v>44.8</v>
      </c>
      <c r="Y33" s="3">
        <f t="shared" si="3"/>
        <v>48.524999999999999</v>
      </c>
      <c r="Z33" s="2">
        <f t="shared" si="4"/>
        <v>53.2</v>
      </c>
    </row>
    <row r="34" spans="1:26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13.635</v>
      </c>
      <c r="J34" s="2">
        <v>60.8</v>
      </c>
      <c r="K34" s="2">
        <v>57.3</v>
      </c>
      <c r="L34" s="2">
        <v>47.4</v>
      </c>
      <c r="M34" s="2">
        <v>51.4</v>
      </c>
      <c r="N34" s="2">
        <v>57.2</v>
      </c>
      <c r="O34" s="2">
        <v>44.4</v>
      </c>
      <c r="P34" s="2">
        <v>55.9</v>
      </c>
      <c r="Q34" s="2">
        <v>55.4</v>
      </c>
      <c r="R34" s="2">
        <v>57.7</v>
      </c>
      <c r="S34" s="2">
        <v>43.5</v>
      </c>
      <c r="T34" s="2">
        <v>52.8</v>
      </c>
      <c r="U34" s="2">
        <v>40.5</v>
      </c>
      <c r="V34" s="5">
        <f t="shared" si="0"/>
        <v>52.024999999999999</v>
      </c>
      <c r="W34" s="4">
        <f t="shared" si="1"/>
        <v>1.8994466897685647</v>
      </c>
      <c r="X34" s="2">
        <f t="shared" si="2"/>
        <v>40.5</v>
      </c>
      <c r="Y34" s="3">
        <f t="shared" si="3"/>
        <v>46.65</v>
      </c>
      <c r="Z34" s="2">
        <f t="shared" si="4"/>
        <v>54.099999999999994</v>
      </c>
    </row>
    <row r="35" spans="1:26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13.617000000000001</v>
      </c>
      <c r="J35" s="2">
        <v>62.5</v>
      </c>
      <c r="K35" s="2">
        <v>62.8</v>
      </c>
      <c r="L35" s="2">
        <v>60.6</v>
      </c>
      <c r="M35" s="2">
        <v>44.9</v>
      </c>
      <c r="N35" s="2">
        <v>59.9</v>
      </c>
      <c r="O35" s="2">
        <v>51.7</v>
      </c>
      <c r="P35" s="2">
        <v>55.8</v>
      </c>
      <c r="Q35" s="2">
        <v>57</v>
      </c>
      <c r="R35" s="2">
        <v>51.6</v>
      </c>
      <c r="S35" s="2">
        <v>52.8</v>
      </c>
      <c r="T35" s="2">
        <v>62.3</v>
      </c>
      <c r="U35" s="2">
        <v>44.4</v>
      </c>
      <c r="V35" s="5">
        <f t="shared" si="0"/>
        <v>55.524999999999999</v>
      </c>
      <c r="W35" s="4">
        <f t="shared" si="1"/>
        <v>1.8844308279835063</v>
      </c>
      <c r="X35" s="2">
        <f t="shared" si="2"/>
        <v>44.4</v>
      </c>
      <c r="Y35" s="3">
        <f t="shared" si="3"/>
        <v>51.675000000000004</v>
      </c>
      <c r="Z35" s="2">
        <f t="shared" si="4"/>
        <v>56.4</v>
      </c>
    </row>
    <row r="36" spans="1:26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13.599</v>
      </c>
      <c r="J36" s="2">
        <v>60.9</v>
      </c>
      <c r="K36" s="2">
        <v>44.8</v>
      </c>
      <c r="L36" s="2">
        <v>59.7</v>
      </c>
      <c r="M36" s="2">
        <v>42</v>
      </c>
      <c r="N36" s="2">
        <v>59.9</v>
      </c>
      <c r="O36" s="2">
        <v>42.7</v>
      </c>
      <c r="P36" s="2">
        <v>61.5</v>
      </c>
      <c r="Q36" s="2">
        <v>43.9</v>
      </c>
      <c r="R36" s="2">
        <v>45.5</v>
      </c>
      <c r="S36" s="2">
        <v>59.8</v>
      </c>
      <c r="T36" s="2">
        <v>52.1</v>
      </c>
      <c r="U36" s="2">
        <v>47.5</v>
      </c>
      <c r="V36" s="5">
        <f t="shared" si="0"/>
        <v>51.691666666666663</v>
      </c>
      <c r="W36" s="4">
        <f t="shared" si="1"/>
        <v>2.3311285579168133</v>
      </c>
      <c r="X36" s="2">
        <f t="shared" si="2"/>
        <v>42</v>
      </c>
      <c r="Y36" s="3">
        <f t="shared" si="3"/>
        <v>44.574999999999996</v>
      </c>
      <c r="Z36" s="2">
        <f t="shared" si="4"/>
        <v>49.8</v>
      </c>
    </row>
    <row r="37" spans="1:26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13.58</v>
      </c>
      <c r="J37" s="2">
        <v>62.9</v>
      </c>
      <c r="K37" s="2">
        <v>45.9</v>
      </c>
      <c r="L37" s="2">
        <v>61.9</v>
      </c>
      <c r="M37" s="2">
        <v>38.9</v>
      </c>
      <c r="N37" s="2">
        <v>60</v>
      </c>
      <c r="O37" s="2">
        <v>49</v>
      </c>
      <c r="P37" s="2">
        <v>59.5</v>
      </c>
      <c r="Q37" s="2">
        <v>58.2</v>
      </c>
      <c r="R37" s="2">
        <v>47.9</v>
      </c>
      <c r="S37" s="2">
        <v>61.5</v>
      </c>
      <c r="T37" s="2">
        <v>49.6</v>
      </c>
      <c r="U37" s="2">
        <v>41.7</v>
      </c>
      <c r="V37" s="5">
        <f t="shared" si="0"/>
        <v>53.083333333333343</v>
      </c>
      <c r="W37" s="4">
        <f t="shared" si="1"/>
        <v>2.458991950808568</v>
      </c>
      <c r="X37" s="2">
        <f t="shared" si="2"/>
        <v>38.9</v>
      </c>
      <c r="Y37" s="3">
        <f t="shared" si="3"/>
        <v>47.4</v>
      </c>
      <c r="Z37" s="2">
        <f t="shared" si="4"/>
        <v>53.900000000000006</v>
      </c>
    </row>
    <row r="38" spans="1:26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13.563000000000001</v>
      </c>
      <c r="J38" s="2">
        <v>63</v>
      </c>
      <c r="K38" s="2">
        <v>56</v>
      </c>
      <c r="L38" s="2">
        <v>57.4</v>
      </c>
      <c r="M38" s="2">
        <v>58.4</v>
      </c>
      <c r="N38" s="2">
        <v>56.8</v>
      </c>
      <c r="O38" s="2">
        <v>57.6</v>
      </c>
      <c r="P38" s="2">
        <v>61</v>
      </c>
      <c r="Q38" s="2">
        <v>60.9</v>
      </c>
      <c r="R38" s="2">
        <v>55.4</v>
      </c>
      <c r="S38" s="2">
        <v>61.6</v>
      </c>
      <c r="T38" s="2">
        <v>60.3</v>
      </c>
      <c r="U38" s="2">
        <v>40.1</v>
      </c>
      <c r="V38" s="5">
        <f t="shared" si="0"/>
        <v>57.375</v>
      </c>
      <c r="W38" s="4">
        <f t="shared" si="1"/>
        <v>1.7172531360674039</v>
      </c>
      <c r="X38" s="2">
        <f t="shared" si="2"/>
        <v>40.1</v>
      </c>
      <c r="Y38" s="3">
        <f t="shared" si="3"/>
        <v>56.599999999999994</v>
      </c>
      <c r="Z38" s="2">
        <f t="shared" si="4"/>
        <v>58</v>
      </c>
    </row>
    <row r="39" spans="1:26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13.545999999999999</v>
      </c>
      <c r="J39" s="2">
        <v>61.5</v>
      </c>
      <c r="K39" s="2">
        <v>46.9</v>
      </c>
      <c r="L39" s="2">
        <v>62.2</v>
      </c>
      <c r="M39" s="2">
        <v>42.2</v>
      </c>
      <c r="N39" s="2">
        <v>59.8</v>
      </c>
      <c r="O39" s="2">
        <v>44.2</v>
      </c>
      <c r="P39" s="2">
        <v>60.2</v>
      </c>
      <c r="Q39" s="2">
        <v>41.8</v>
      </c>
      <c r="R39" s="2">
        <v>60.1</v>
      </c>
      <c r="S39" s="2">
        <v>51.9</v>
      </c>
      <c r="T39" s="2">
        <v>62.4</v>
      </c>
      <c r="U39" s="2">
        <v>45.2</v>
      </c>
      <c r="V39" s="5">
        <f t="shared" si="0"/>
        <v>53.20000000000001</v>
      </c>
      <c r="W39" s="4">
        <f t="shared" si="1"/>
        <v>2.480285907273208</v>
      </c>
      <c r="X39" s="2">
        <f t="shared" si="2"/>
        <v>41.8</v>
      </c>
      <c r="Y39" s="3">
        <f t="shared" si="3"/>
        <v>44.95</v>
      </c>
      <c r="Z39" s="2">
        <f t="shared" si="4"/>
        <v>55.849999999999994</v>
      </c>
    </row>
    <row r="40" spans="1:26" x14ac:dyDescent="0.2">
      <c r="A40" s="1">
        <v>901</v>
      </c>
      <c r="B40" s="1" t="s">
        <v>61</v>
      </c>
      <c r="C40" s="1">
        <v>32</v>
      </c>
      <c r="D40" s="1">
        <v>9</v>
      </c>
      <c r="E40" s="1">
        <v>0</v>
      </c>
      <c r="F40" s="1">
        <v>1</v>
      </c>
      <c r="G40" s="1">
        <v>1</v>
      </c>
      <c r="H40" s="1">
        <v>1</v>
      </c>
      <c r="I40" s="4">
        <v>13.377000000000001</v>
      </c>
      <c r="J40" s="2">
        <v>36.299999999999997</v>
      </c>
      <c r="K40" s="2">
        <v>40.700000000000003</v>
      </c>
      <c r="L40" s="2">
        <v>36.4</v>
      </c>
      <c r="M40" s="2">
        <v>38.6</v>
      </c>
      <c r="N40" s="2">
        <v>37.6</v>
      </c>
      <c r="O40" s="2">
        <v>38.700000000000003</v>
      </c>
      <c r="P40" s="2">
        <v>39.4</v>
      </c>
      <c r="Q40" s="2">
        <v>36.700000000000003</v>
      </c>
      <c r="R40" s="2">
        <v>40.1</v>
      </c>
      <c r="S40" s="2">
        <v>37.5</v>
      </c>
      <c r="T40" s="2">
        <v>40.4</v>
      </c>
      <c r="U40" s="2">
        <v>36.9</v>
      </c>
      <c r="V40" s="5">
        <f t="shared" si="0"/>
        <v>38.274999999999999</v>
      </c>
      <c r="W40" s="4">
        <f t="shared" si="1"/>
        <v>0.46157257546808667</v>
      </c>
      <c r="X40" s="2">
        <f t="shared" si="2"/>
        <v>36.299999999999997</v>
      </c>
      <c r="Y40" s="3">
        <f t="shared" si="3"/>
        <v>36.85</v>
      </c>
      <c r="Z40" s="2">
        <f t="shared" si="4"/>
        <v>38.1</v>
      </c>
    </row>
    <row r="41" spans="1:26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13.36</v>
      </c>
      <c r="J41" s="2">
        <v>64.3</v>
      </c>
      <c r="K41" s="2">
        <v>44.3</v>
      </c>
      <c r="L41" s="2">
        <v>61.6</v>
      </c>
      <c r="M41" s="2">
        <v>43.3</v>
      </c>
      <c r="N41" s="2">
        <v>61.2</v>
      </c>
      <c r="O41" s="2">
        <v>50.1</v>
      </c>
      <c r="P41" s="2">
        <v>62.6</v>
      </c>
      <c r="Q41" s="2">
        <v>48.6</v>
      </c>
      <c r="R41" s="2">
        <v>60.9</v>
      </c>
      <c r="S41" s="2">
        <v>40.799999999999997</v>
      </c>
      <c r="T41" s="2">
        <v>62.8</v>
      </c>
      <c r="U41" s="2">
        <v>41.1</v>
      </c>
      <c r="V41" s="5">
        <f t="shared" si="0"/>
        <v>53.466666666666669</v>
      </c>
      <c r="W41" s="4">
        <f t="shared" si="1"/>
        <v>2.7591262707200834</v>
      </c>
      <c r="X41" s="2">
        <f t="shared" si="2"/>
        <v>40.799999999999997</v>
      </c>
      <c r="Y41" s="3">
        <f t="shared" si="3"/>
        <v>44.05</v>
      </c>
      <c r="Z41" s="2">
        <f t="shared" si="4"/>
        <v>55.5</v>
      </c>
    </row>
    <row r="42" spans="1:26" x14ac:dyDescent="0.2">
      <c r="A42" s="1">
        <v>903</v>
      </c>
      <c r="B42" s="1" t="s">
        <v>74</v>
      </c>
      <c r="C42" s="1">
        <v>31</v>
      </c>
      <c r="D42" s="1">
        <v>8</v>
      </c>
      <c r="E42" s="1">
        <v>0</v>
      </c>
      <c r="F42" s="1">
        <v>1</v>
      </c>
      <c r="G42" s="1">
        <v>1</v>
      </c>
      <c r="H42" s="1">
        <v>1</v>
      </c>
      <c r="I42" s="4">
        <v>13.353</v>
      </c>
      <c r="J42" s="2">
        <v>64.400000000000006</v>
      </c>
      <c r="K42" s="2">
        <v>67.3</v>
      </c>
      <c r="L42" s="2">
        <v>65.400000000000006</v>
      </c>
      <c r="M42" s="2">
        <v>66.8</v>
      </c>
      <c r="N42" s="2">
        <v>63.7</v>
      </c>
      <c r="O42" s="2">
        <v>66.900000000000006</v>
      </c>
      <c r="P42" s="2">
        <v>66.5</v>
      </c>
      <c r="Q42" s="2">
        <v>63.9</v>
      </c>
      <c r="R42" s="2">
        <v>66.5</v>
      </c>
      <c r="S42" s="2">
        <v>65.599999999999994</v>
      </c>
      <c r="T42" s="2">
        <v>65.5</v>
      </c>
      <c r="U42" s="2">
        <v>65.599999999999994</v>
      </c>
      <c r="V42" s="5">
        <f t="shared" ref="V42:V73" si="5">AVERAGE(J42:U42)</f>
        <v>65.674999999999997</v>
      </c>
      <c r="W42" s="4">
        <f t="shared" ref="W42:W73" si="6">STDEV(J42:U42)/SQRT(COUNT(J42:U42))</f>
        <v>0.34336238476677533</v>
      </c>
      <c r="X42" s="2">
        <f t="shared" ref="X42:X73" si="7">MIN(J42:U42)</f>
        <v>63.7</v>
      </c>
      <c r="Y42" s="3">
        <f t="shared" ref="Y42:Y73" si="8">QUARTILE(J42:U42,1)</f>
        <v>65.150000000000006</v>
      </c>
      <c r="Z42" s="2">
        <f t="shared" ref="Z42:Z73" si="9">MEDIAN(J42:U42)</f>
        <v>65.599999999999994</v>
      </c>
    </row>
    <row r="43" spans="1:26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13.335000000000001</v>
      </c>
      <c r="J43" s="2">
        <v>64.3</v>
      </c>
      <c r="K43" s="2">
        <v>52</v>
      </c>
      <c r="L43" s="2">
        <v>60.9</v>
      </c>
      <c r="M43" s="2">
        <v>44.8</v>
      </c>
      <c r="N43" s="2">
        <v>54.9</v>
      </c>
      <c r="O43" s="2">
        <v>53.9</v>
      </c>
      <c r="P43" s="2">
        <v>60.1</v>
      </c>
      <c r="Q43" s="2">
        <v>50</v>
      </c>
      <c r="R43" s="2">
        <v>59.6</v>
      </c>
      <c r="S43" s="2">
        <v>43.2</v>
      </c>
      <c r="T43" s="2">
        <v>61.2</v>
      </c>
      <c r="U43" s="2">
        <v>42.1</v>
      </c>
      <c r="V43" s="5">
        <f t="shared" si="5"/>
        <v>53.916666666666679</v>
      </c>
      <c r="W43" s="4">
        <f t="shared" si="6"/>
        <v>2.1980305693593776</v>
      </c>
      <c r="X43" s="2">
        <f t="shared" si="7"/>
        <v>42.1</v>
      </c>
      <c r="Y43" s="3">
        <f t="shared" si="8"/>
        <v>48.7</v>
      </c>
      <c r="Z43" s="2">
        <f t="shared" si="9"/>
        <v>54.4</v>
      </c>
    </row>
    <row r="44" spans="1:26" x14ac:dyDescent="0.2">
      <c r="A44" s="1">
        <v>905</v>
      </c>
      <c r="B44" s="1" t="s">
        <v>61</v>
      </c>
      <c r="C44" s="1">
        <v>32</v>
      </c>
      <c r="D44" s="1">
        <v>9</v>
      </c>
      <c r="E44" s="1">
        <v>0</v>
      </c>
      <c r="F44" s="1">
        <v>1</v>
      </c>
      <c r="G44" s="1">
        <v>2</v>
      </c>
      <c r="H44" s="1">
        <v>1</v>
      </c>
      <c r="I44" s="4">
        <v>13.327</v>
      </c>
      <c r="J44" s="2">
        <v>36.9</v>
      </c>
      <c r="K44" s="2">
        <v>39.9</v>
      </c>
      <c r="L44" s="2">
        <v>37.6</v>
      </c>
      <c r="M44" s="2">
        <v>41.3</v>
      </c>
      <c r="N44" s="2">
        <v>36.799999999999997</v>
      </c>
      <c r="O44" s="2">
        <v>40.1</v>
      </c>
      <c r="P44" s="2">
        <v>38.9</v>
      </c>
      <c r="Q44" s="2">
        <v>38</v>
      </c>
      <c r="R44" s="2">
        <v>38.700000000000003</v>
      </c>
      <c r="S44" s="2">
        <v>38.200000000000003</v>
      </c>
      <c r="T44" s="2">
        <v>38.299999999999997</v>
      </c>
      <c r="U44" s="2">
        <v>37.200000000000003</v>
      </c>
      <c r="V44" s="5">
        <f t="shared" si="5"/>
        <v>38.491666666666667</v>
      </c>
      <c r="W44" s="4">
        <f t="shared" si="6"/>
        <v>0.39780807260067325</v>
      </c>
      <c r="X44" s="2">
        <f t="shared" si="7"/>
        <v>36.799999999999997</v>
      </c>
      <c r="Y44" s="3">
        <f t="shared" si="8"/>
        <v>37.5</v>
      </c>
      <c r="Z44" s="2">
        <f t="shared" si="9"/>
        <v>38.25</v>
      </c>
    </row>
    <row r="45" spans="1:26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13.305</v>
      </c>
      <c r="J45" s="2">
        <v>62.7</v>
      </c>
      <c r="K45" s="2">
        <v>46.8</v>
      </c>
      <c r="L45" s="2">
        <v>61.9</v>
      </c>
      <c r="M45" s="2">
        <v>47.8</v>
      </c>
      <c r="N45" s="2">
        <v>60.6</v>
      </c>
      <c r="O45" s="2">
        <v>45.1</v>
      </c>
      <c r="P45" s="2">
        <v>63.9</v>
      </c>
      <c r="Q45" s="2">
        <v>53.2</v>
      </c>
      <c r="R45" s="2">
        <v>54.7</v>
      </c>
      <c r="S45" s="2">
        <v>56.7</v>
      </c>
      <c r="T45" s="2">
        <v>61.9</v>
      </c>
      <c r="U45" s="2">
        <v>49.8</v>
      </c>
      <c r="V45" s="5">
        <f t="shared" si="5"/>
        <v>55.42499999999999</v>
      </c>
      <c r="W45" s="4">
        <f t="shared" si="6"/>
        <v>1.9718905326430678</v>
      </c>
      <c r="X45" s="2">
        <f t="shared" si="7"/>
        <v>45.1</v>
      </c>
      <c r="Y45" s="3">
        <f t="shared" si="8"/>
        <v>49.3</v>
      </c>
      <c r="Z45" s="2">
        <f t="shared" si="9"/>
        <v>55.7</v>
      </c>
    </row>
    <row r="46" spans="1:26" x14ac:dyDescent="0.2">
      <c r="A46" s="1">
        <v>907</v>
      </c>
      <c r="B46" s="1" t="s">
        <v>74</v>
      </c>
      <c r="C46" s="1">
        <v>31</v>
      </c>
      <c r="D46" s="1">
        <v>8</v>
      </c>
      <c r="E46" s="1">
        <v>0</v>
      </c>
      <c r="F46" s="1">
        <v>1</v>
      </c>
      <c r="G46" s="1">
        <v>2</v>
      </c>
      <c r="H46" s="1">
        <v>1</v>
      </c>
      <c r="I46" s="4">
        <v>13.295999999999999</v>
      </c>
      <c r="J46" s="2">
        <v>64.8</v>
      </c>
      <c r="K46" s="2">
        <v>68.8</v>
      </c>
      <c r="L46" s="2">
        <v>66.5</v>
      </c>
      <c r="M46" s="2">
        <v>67.599999999999994</v>
      </c>
      <c r="N46" s="2">
        <v>65.2</v>
      </c>
      <c r="O46" s="2">
        <v>67.8</v>
      </c>
      <c r="P46" s="2">
        <v>67.5</v>
      </c>
      <c r="Q46" s="2">
        <v>69.2</v>
      </c>
      <c r="R46" s="2">
        <v>64.5</v>
      </c>
      <c r="S46" s="2">
        <v>66.5</v>
      </c>
      <c r="T46" s="2">
        <v>69</v>
      </c>
      <c r="U46" s="2">
        <v>65.5</v>
      </c>
      <c r="V46" s="5">
        <f t="shared" si="5"/>
        <v>66.908333333333331</v>
      </c>
      <c r="W46" s="4">
        <f t="shared" si="6"/>
        <v>0.47918148857181342</v>
      </c>
      <c r="X46" s="2">
        <f t="shared" si="7"/>
        <v>64.5</v>
      </c>
      <c r="Y46" s="3">
        <f t="shared" si="8"/>
        <v>65.424999999999997</v>
      </c>
      <c r="Z46" s="2">
        <f t="shared" si="9"/>
        <v>67</v>
      </c>
    </row>
    <row r="47" spans="1:26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13.279</v>
      </c>
      <c r="J47" s="2">
        <v>62.8</v>
      </c>
      <c r="K47" s="2">
        <v>47.4</v>
      </c>
      <c r="L47" s="2">
        <v>60.1</v>
      </c>
      <c r="M47" s="2">
        <v>49.9</v>
      </c>
      <c r="N47" s="2">
        <v>58</v>
      </c>
      <c r="O47" s="2">
        <v>46.2</v>
      </c>
      <c r="P47" s="2">
        <v>53.4</v>
      </c>
      <c r="Q47" s="2">
        <v>56.1</v>
      </c>
      <c r="R47" s="2">
        <v>49.7</v>
      </c>
      <c r="S47" s="2">
        <v>60.5</v>
      </c>
      <c r="T47" s="2">
        <v>59.4</v>
      </c>
      <c r="U47" s="2">
        <v>40.299999999999997</v>
      </c>
      <c r="V47" s="5">
        <f t="shared" si="5"/>
        <v>53.649999999999984</v>
      </c>
      <c r="W47" s="4">
        <f t="shared" si="6"/>
        <v>2.008976069664584</v>
      </c>
      <c r="X47" s="2">
        <f t="shared" si="7"/>
        <v>40.299999999999997</v>
      </c>
      <c r="Y47" s="3">
        <f t="shared" si="8"/>
        <v>49.125</v>
      </c>
      <c r="Z47" s="2">
        <f t="shared" si="9"/>
        <v>54.75</v>
      </c>
    </row>
    <row r="48" spans="1:26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13.101000000000001</v>
      </c>
      <c r="J48" s="2">
        <v>29.3</v>
      </c>
      <c r="K48" s="2">
        <v>31.1</v>
      </c>
      <c r="L48" s="2">
        <v>30.1</v>
      </c>
      <c r="M48" s="2">
        <v>31.1</v>
      </c>
      <c r="N48" s="2">
        <v>30.9</v>
      </c>
      <c r="O48" s="2">
        <v>33.4</v>
      </c>
      <c r="P48" s="2">
        <v>29.1</v>
      </c>
      <c r="Q48" s="2">
        <v>29.1</v>
      </c>
      <c r="R48" s="2">
        <v>29.2</v>
      </c>
      <c r="S48" s="2">
        <v>30.9</v>
      </c>
      <c r="T48" s="2">
        <v>30.6</v>
      </c>
      <c r="U48" s="2">
        <v>31.5</v>
      </c>
      <c r="V48" s="5">
        <f t="shared" si="5"/>
        <v>30.525000000000002</v>
      </c>
      <c r="W48" s="4">
        <f t="shared" si="6"/>
        <v>0.36579614292911572</v>
      </c>
      <c r="X48" s="2">
        <f t="shared" si="7"/>
        <v>29.1</v>
      </c>
      <c r="Y48" s="3">
        <f t="shared" si="8"/>
        <v>29.274999999999999</v>
      </c>
      <c r="Z48" s="2">
        <f t="shared" si="9"/>
        <v>30.75</v>
      </c>
    </row>
    <row r="49" spans="1:26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13.082000000000001</v>
      </c>
      <c r="J49" s="2">
        <v>30.3</v>
      </c>
      <c r="K49" s="2">
        <v>31.1</v>
      </c>
      <c r="L49" s="2">
        <v>29.5</v>
      </c>
      <c r="M49" s="2">
        <v>32.1</v>
      </c>
      <c r="N49" s="2">
        <v>30.8</v>
      </c>
      <c r="O49" s="2">
        <v>30.1</v>
      </c>
      <c r="P49" s="2">
        <v>30.6</v>
      </c>
      <c r="Q49" s="2">
        <v>31.1</v>
      </c>
      <c r="R49" s="2">
        <v>30.3</v>
      </c>
      <c r="S49" s="2">
        <v>30.5</v>
      </c>
      <c r="T49" s="2">
        <v>30.8</v>
      </c>
      <c r="U49" s="2">
        <v>31.4</v>
      </c>
      <c r="V49" s="5">
        <f t="shared" si="5"/>
        <v>30.716666666666665</v>
      </c>
      <c r="W49" s="4">
        <f t="shared" si="6"/>
        <v>0.19377952691268771</v>
      </c>
      <c r="X49" s="2">
        <f t="shared" si="7"/>
        <v>29.5</v>
      </c>
      <c r="Y49" s="3">
        <f t="shared" si="8"/>
        <v>30.3</v>
      </c>
      <c r="Z49" s="2">
        <f t="shared" si="9"/>
        <v>30.700000000000003</v>
      </c>
    </row>
    <row r="50" spans="1:26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13.063000000000001</v>
      </c>
      <c r="J50" s="2">
        <v>29.8</v>
      </c>
      <c r="K50" s="2">
        <v>30.6</v>
      </c>
      <c r="L50" s="2">
        <v>30.9</v>
      </c>
      <c r="M50" s="2">
        <v>33</v>
      </c>
      <c r="N50" s="2">
        <v>29.1</v>
      </c>
      <c r="O50" s="2">
        <v>29.9</v>
      </c>
      <c r="P50" s="2">
        <v>29.6</v>
      </c>
      <c r="Q50" s="2">
        <v>30.6</v>
      </c>
      <c r="R50" s="2">
        <v>29.3</v>
      </c>
      <c r="S50" s="2">
        <v>29.1</v>
      </c>
      <c r="T50" s="2">
        <v>29.7</v>
      </c>
      <c r="U50" s="2">
        <v>30.6</v>
      </c>
      <c r="V50" s="5">
        <f t="shared" si="5"/>
        <v>30.183333333333337</v>
      </c>
      <c r="W50" s="4">
        <f t="shared" si="6"/>
        <v>0.31257322374448548</v>
      </c>
      <c r="X50" s="2">
        <f t="shared" si="7"/>
        <v>29.1</v>
      </c>
      <c r="Y50" s="3">
        <f t="shared" si="8"/>
        <v>29.525000000000002</v>
      </c>
      <c r="Z50" s="2">
        <f t="shared" si="9"/>
        <v>29.85</v>
      </c>
    </row>
    <row r="51" spans="1:26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13.042999999999999</v>
      </c>
      <c r="J51" s="2">
        <v>29.2</v>
      </c>
      <c r="K51" s="2">
        <v>31.6</v>
      </c>
      <c r="L51" s="2">
        <v>30.6</v>
      </c>
      <c r="M51" s="2">
        <v>32.299999999999997</v>
      </c>
      <c r="N51" s="2">
        <v>29.6</v>
      </c>
      <c r="O51" s="2">
        <v>29.7</v>
      </c>
      <c r="P51" s="2">
        <v>30.6</v>
      </c>
      <c r="Q51" s="2">
        <v>30.4</v>
      </c>
      <c r="R51" s="2">
        <v>30.1</v>
      </c>
      <c r="S51" s="2">
        <v>30.1</v>
      </c>
      <c r="T51" s="2">
        <v>30.6</v>
      </c>
      <c r="U51" s="2">
        <v>31.3</v>
      </c>
      <c r="V51" s="5">
        <f t="shared" si="5"/>
        <v>30.50833333333334</v>
      </c>
      <c r="W51" s="4">
        <f t="shared" si="6"/>
        <v>0.25508713108356601</v>
      </c>
      <c r="X51" s="2">
        <f t="shared" si="7"/>
        <v>29.2</v>
      </c>
      <c r="Y51" s="3">
        <f t="shared" si="8"/>
        <v>30</v>
      </c>
      <c r="Z51" s="2">
        <f t="shared" si="9"/>
        <v>30.5</v>
      </c>
    </row>
    <row r="52" spans="1:26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13.022</v>
      </c>
      <c r="J52" s="2">
        <v>30</v>
      </c>
      <c r="K52" s="2">
        <v>31.1</v>
      </c>
      <c r="L52" s="2">
        <v>29.3</v>
      </c>
      <c r="M52" s="2">
        <v>29.6</v>
      </c>
      <c r="N52" s="2">
        <v>28.8</v>
      </c>
      <c r="O52" s="2">
        <v>30.2</v>
      </c>
      <c r="P52" s="2">
        <v>29</v>
      </c>
      <c r="Q52" s="2">
        <v>31.5</v>
      </c>
      <c r="R52" s="2">
        <v>30.5</v>
      </c>
      <c r="S52" s="2">
        <v>31.2</v>
      </c>
      <c r="T52" s="2">
        <v>31.7</v>
      </c>
      <c r="U52" s="2">
        <v>31.1</v>
      </c>
      <c r="V52" s="5">
        <f t="shared" si="5"/>
        <v>30.333333333333332</v>
      </c>
      <c r="W52" s="4">
        <f t="shared" si="6"/>
        <v>0.28928682771061082</v>
      </c>
      <c r="X52" s="2">
        <f t="shared" si="7"/>
        <v>28.8</v>
      </c>
      <c r="Y52" s="3">
        <f t="shared" si="8"/>
        <v>29.525000000000002</v>
      </c>
      <c r="Z52" s="2">
        <f t="shared" si="9"/>
        <v>30.35</v>
      </c>
    </row>
    <row r="53" spans="1:26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13.002000000000001</v>
      </c>
      <c r="J53" s="2">
        <v>31.7</v>
      </c>
      <c r="K53" s="2">
        <v>30.2</v>
      </c>
      <c r="L53" s="2">
        <v>30.8</v>
      </c>
      <c r="M53" s="2">
        <v>29.1</v>
      </c>
      <c r="N53" s="2">
        <v>30.2</v>
      </c>
      <c r="O53" s="2">
        <v>30.7</v>
      </c>
      <c r="P53" s="2">
        <v>30</v>
      </c>
      <c r="Q53" s="2">
        <v>29.4</v>
      </c>
      <c r="R53" s="2">
        <v>28.6</v>
      </c>
      <c r="S53" s="2">
        <v>31.6</v>
      </c>
      <c r="T53" s="2">
        <v>29.4</v>
      </c>
      <c r="U53" s="2">
        <v>31.6</v>
      </c>
      <c r="V53" s="5">
        <f t="shared" si="5"/>
        <v>30.275000000000002</v>
      </c>
      <c r="W53" s="4">
        <f t="shared" si="6"/>
        <v>0.29901986353397797</v>
      </c>
      <c r="X53" s="2">
        <f t="shared" si="7"/>
        <v>28.6</v>
      </c>
      <c r="Y53" s="3">
        <f t="shared" si="8"/>
        <v>29.4</v>
      </c>
      <c r="Z53" s="2">
        <f t="shared" si="9"/>
        <v>30.2</v>
      </c>
    </row>
    <row r="54" spans="1:26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12.984</v>
      </c>
      <c r="J54" s="2">
        <v>33.799999999999997</v>
      </c>
      <c r="K54" s="2">
        <v>32.6</v>
      </c>
      <c r="L54" s="2">
        <v>30.4</v>
      </c>
      <c r="M54" s="2">
        <v>33</v>
      </c>
      <c r="N54" s="2">
        <v>28.7</v>
      </c>
      <c r="O54" s="2">
        <v>30.8</v>
      </c>
      <c r="P54" s="2">
        <v>30</v>
      </c>
      <c r="Q54" s="2">
        <v>31.3</v>
      </c>
      <c r="R54" s="2">
        <v>28.1</v>
      </c>
      <c r="S54" s="2">
        <v>28.5</v>
      </c>
      <c r="T54" s="2">
        <v>28.9</v>
      </c>
      <c r="U54" s="2">
        <v>29.6</v>
      </c>
      <c r="V54" s="5">
        <f t="shared" si="5"/>
        <v>30.475000000000005</v>
      </c>
      <c r="W54" s="4">
        <f t="shared" si="6"/>
        <v>0.54287743468568384</v>
      </c>
      <c r="X54" s="2">
        <f t="shared" si="7"/>
        <v>28.1</v>
      </c>
      <c r="Y54" s="3">
        <f t="shared" si="8"/>
        <v>28.849999999999998</v>
      </c>
      <c r="Z54" s="2">
        <f t="shared" si="9"/>
        <v>30.2</v>
      </c>
    </row>
    <row r="55" spans="1:26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12.962999999999999</v>
      </c>
      <c r="J55" s="2">
        <v>33.700000000000003</v>
      </c>
      <c r="K55" s="2">
        <v>30.7</v>
      </c>
      <c r="L55" s="2">
        <v>31</v>
      </c>
      <c r="M55" s="2">
        <v>30.5</v>
      </c>
      <c r="N55" s="2">
        <v>28.8</v>
      </c>
      <c r="O55" s="2">
        <v>30.2</v>
      </c>
      <c r="P55" s="2">
        <v>30.2</v>
      </c>
      <c r="Q55" s="2">
        <v>31.2</v>
      </c>
      <c r="R55" s="2">
        <v>29.6</v>
      </c>
      <c r="S55" s="2">
        <v>30.8</v>
      </c>
      <c r="T55" s="2">
        <v>29.6</v>
      </c>
      <c r="U55" s="2">
        <v>30.3</v>
      </c>
      <c r="V55" s="5">
        <f t="shared" si="5"/>
        <v>30.55</v>
      </c>
      <c r="W55" s="4">
        <f t="shared" si="6"/>
        <v>0.34608196611890563</v>
      </c>
      <c r="X55" s="2">
        <f t="shared" si="7"/>
        <v>28.8</v>
      </c>
      <c r="Y55" s="3">
        <f t="shared" si="8"/>
        <v>30.05</v>
      </c>
      <c r="Z55" s="2">
        <f t="shared" si="9"/>
        <v>30.4</v>
      </c>
    </row>
    <row r="56" spans="1:26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13.129</v>
      </c>
      <c r="J56" s="2">
        <v>32.799999999999997</v>
      </c>
      <c r="K56" s="2">
        <v>31.3</v>
      </c>
      <c r="L56" s="2">
        <v>31.7</v>
      </c>
      <c r="M56" s="2">
        <v>29.9</v>
      </c>
      <c r="N56" s="2">
        <v>29</v>
      </c>
      <c r="O56" s="2">
        <v>30.2</v>
      </c>
      <c r="P56" s="2">
        <v>29.6</v>
      </c>
      <c r="Q56" s="2">
        <v>29.7</v>
      </c>
      <c r="R56" s="2">
        <v>28.5</v>
      </c>
      <c r="S56" s="2">
        <v>28.2</v>
      </c>
      <c r="T56" s="2">
        <v>27.8</v>
      </c>
      <c r="U56" s="2">
        <v>29</v>
      </c>
      <c r="V56" s="5">
        <f t="shared" si="5"/>
        <v>29.808333333333326</v>
      </c>
      <c r="W56" s="4">
        <f t="shared" si="6"/>
        <v>0.43177897216988309</v>
      </c>
      <c r="X56" s="2">
        <f t="shared" si="7"/>
        <v>27.8</v>
      </c>
      <c r="Y56" s="3">
        <f t="shared" si="8"/>
        <v>28.875</v>
      </c>
      <c r="Z56" s="2">
        <f t="shared" si="9"/>
        <v>29.65</v>
      </c>
    </row>
    <row r="57" spans="1:26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13.147</v>
      </c>
      <c r="J57" s="2">
        <v>31.8</v>
      </c>
      <c r="K57" s="2">
        <v>30.7</v>
      </c>
      <c r="L57" s="2">
        <v>31.3</v>
      </c>
      <c r="M57" s="2">
        <v>31.3</v>
      </c>
      <c r="N57" s="2">
        <v>31.4</v>
      </c>
      <c r="O57" s="2">
        <v>32.9</v>
      </c>
      <c r="P57" s="2">
        <v>28.5</v>
      </c>
      <c r="Q57" s="2">
        <v>29.3</v>
      </c>
      <c r="R57" s="2">
        <v>30.8</v>
      </c>
      <c r="S57" s="2">
        <v>30.6</v>
      </c>
      <c r="T57" s="2">
        <v>31.2</v>
      </c>
      <c r="U57" s="2">
        <v>33</v>
      </c>
      <c r="V57" s="5">
        <f t="shared" si="5"/>
        <v>31.066666666666666</v>
      </c>
      <c r="W57" s="4">
        <f t="shared" si="6"/>
        <v>0.36934285076895879</v>
      </c>
      <c r="X57" s="2">
        <f t="shared" si="7"/>
        <v>28.5</v>
      </c>
      <c r="Y57" s="3">
        <f t="shared" si="8"/>
        <v>30.675000000000001</v>
      </c>
      <c r="Z57" s="2">
        <f t="shared" si="9"/>
        <v>31.25</v>
      </c>
    </row>
    <row r="58" spans="1:26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13.164999999999999</v>
      </c>
      <c r="J58" s="2">
        <v>29.6</v>
      </c>
      <c r="K58" s="2">
        <v>31.1</v>
      </c>
      <c r="L58" s="2">
        <v>29.3</v>
      </c>
      <c r="M58" s="2">
        <v>30.5</v>
      </c>
      <c r="N58" s="2">
        <v>29</v>
      </c>
      <c r="O58" s="2">
        <v>28.5</v>
      </c>
      <c r="P58" s="2">
        <v>29.2</v>
      </c>
      <c r="Q58" s="2">
        <v>31.1</v>
      </c>
      <c r="R58" s="2">
        <v>28.2</v>
      </c>
      <c r="S58" s="2">
        <v>31.2</v>
      </c>
      <c r="T58" s="2">
        <v>29.1</v>
      </c>
      <c r="U58" s="2">
        <v>31.3</v>
      </c>
      <c r="V58" s="5">
        <f t="shared" si="5"/>
        <v>29.841666666666669</v>
      </c>
      <c r="W58" s="4">
        <f t="shared" si="6"/>
        <v>0.32670492973187776</v>
      </c>
      <c r="X58" s="2">
        <f t="shared" si="7"/>
        <v>28.2</v>
      </c>
      <c r="Y58" s="3">
        <f t="shared" si="8"/>
        <v>29.075000000000003</v>
      </c>
      <c r="Z58" s="2">
        <f t="shared" si="9"/>
        <v>29.450000000000003</v>
      </c>
    </row>
    <row r="59" spans="1:26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13.183</v>
      </c>
      <c r="J59" s="2">
        <v>33.799999999999997</v>
      </c>
      <c r="K59" s="2">
        <v>31.4</v>
      </c>
      <c r="L59" s="2">
        <v>31.9</v>
      </c>
      <c r="M59" s="2">
        <v>32.1</v>
      </c>
      <c r="N59" s="2">
        <v>32.4</v>
      </c>
      <c r="O59" s="2">
        <v>31.7</v>
      </c>
      <c r="P59" s="2">
        <v>30.8</v>
      </c>
      <c r="Q59" s="2">
        <v>33</v>
      </c>
      <c r="R59" s="2">
        <v>34.9</v>
      </c>
      <c r="S59" s="2">
        <v>34.700000000000003</v>
      </c>
      <c r="T59" s="2">
        <v>34</v>
      </c>
      <c r="U59" s="2">
        <v>33.799999999999997</v>
      </c>
      <c r="V59" s="5">
        <f t="shared" si="5"/>
        <v>32.875</v>
      </c>
      <c r="W59" s="4">
        <f t="shared" si="6"/>
        <v>0.38985719996382828</v>
      </c>
      <c r="X59" s="2">
        <f t="shared" si="7"/>
        <v>30.8</v>
      </c>
      <c r="Y59" s="3">
        <f t="shared" si="8"/>
        <v>31.849999999999998</v>
      </c>
      <c r="Z59" s="2">
        <f t="shared" si="9"/>
        <v>32.700000000000003</v>
      </c>
    </row>
    <row r="60" spans="1:26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13.201000000000001</v>
      </c>
      <c r="J60" s="2">
        <v>33.5</v>
      </c>
      <c r="K60" s="2">
        <v>30</v>
      </c>
      <c r="L60" s="2">
        <v>30</v>
      </c>
      <c r="M60" s="2">
        <v>32.299999999999997</v>
      </c>
      <c r="N60" s="2">
        <v>29.5</v>
      </c>
      <c r="O60" s="2">
        <v>29.7</v>
      </c>
      <c r="P60" s="2">
        <v>30.5</v>
      </c>
      <c r="Q60" s="2">
        <v>30.2</v>
      </c>
      <c r="R60" s="2">
        <v>30.8</v>
      </c>
      <c r="S60" s="2">
        <v>31</v>
      </c>
      <c r="T60" s="2">
        <v>31.1</v>
      </c>
      <c r="U60" s="2">
        <v>30.8</v>
      </c>
      <c r="V60" s="5">
        <f t="shared" si="5"/>
        <v>30.783333333333335</v>
      </c>
      <c r="W60" s="4">
        <f t="shared" si="6"/>
        <v>0.32910193072675947</v>
      </c>
      <c r="X60" s="2">
        <f t="shared" si="7"/>
        <v>29.5</v>
      </c>
      <c r="Y60" s="3">
        <f t="shared" si="8"/>
        <v>30</v>
      </c>
      <c r="Z60" s="2">
        <f t="shared" si="9"/>
        <v>30.65</v>
      </c>
    </row>
    <row r="61" spans="1:26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13.221</v>
      </c>
      <c r="J61" s="2">
        <v>31.1</v>
      </c>
      <c r="K61" s="2">
        <v>30.7</v>
      </c>
      <c r="L61" s="2">
        <v>31.8</v>
      </c>
      <c r="M61" s="2">
        <v>31.4</v>
      </c>
      <c r="N61" s="2">
        <v>31</v>
      </c>
      <c r="O61" s="2">
        <v>31.1</v>
      </c>
      <c r="P61" s="2">
        <v>31.9</v>
      </c>
      <c r="Q61" s="2">
        <v>31.9</v>
      </c>
      <c r="R61" s="2">
        <v>30.4</v>
      </c>
      <c r="S61" s="2">
        <v>34</v>
      </c>
      <c r="T61" s="2">
        <v>31.7</v>
      </c>
      <c r="U61" s="2">
        <v>34.9</v>
      </c>
      <c r="V61" s="5">
        <f t="shared" si="5"/>
        <v>31.824999999999999</v>
      </c>
      <c r="W61" s="4">
        <f t="shared" si="6"/>
        <v>0.38358851848713027</v>
      </c>
      <c r="X61" s="2">
        <f t="shared" si="7"/>
        <v>30.4</v>
      </c>
      <c r="Y61" s="3">
        <f t="shared" si="8"/>
        <v>31.075000000000003</v>
      </c>
      <c r="Z61" s="2">
        <f t="shared" si="9"/>
        <v>31.549999999999997</v>
      </c>
    </row>
    <row r="62" spans="1:26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13.239000000000001</v>
      </c>
      <c r="J62" s="2">
        <v>30.7</v>
      </c>
      <c r="K62" s="2">
        <v>31</v>
      </c>
      <c r="L62" s="2">
        <v>29.9</v>
      </c>
      <c r="M62" s="2">
        <v>31.1</v>
      </c>
      <c r="N62" s="2">
        <v>30.4</v>
      </c>
      <c r="O62" s="2">
        <v>30.7</v>
      </c>
      <c r="P62" s="2">
        <v>29.6</v>
      </c>
      <c r="Q62" s="2">
        <v>29.7</v>
      </c>
      <c r="R62" s="2">
        <v>29.5</v>
      </c>
      <c r="S62" s="2">
        <v>28.7</v>
      </c>
      <c r="T62" s="2">
        <v>31.7</v>
      </c>
      <c r="U62" s="2">
        <v>30.4</v>
      </c>
      <c r="V62" s="5">
        <f t="shared" si="5"/>
        <v>30.283333333333328</v>
      </c>
      <c r="W62" s="4">
        <f t="shared" si="6"/>
        <v>0.24052761869177389</v>
      </c>
      <c r="X62" s="2">
        <f t="shared" si="7"/>
        <v>28.7</v>
      </c>
      <c r="Y62" s="3">
        <f t="shared" si="8"/>
        <v>29.675000000000001</v>
      </c>
      <c r="Z62" s="2">
        <f t="shared" si="9"/>
        <v>30.4</v>
      </c>
    </row>
    <row r="63" spans="1:26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13.256</v>
      </c>
      <c r="J63" s="2">
        <v>31.4</v>
      </c>
      <c r="K63" s="2">
        <v>31.3</v>
      </c>
      <c r="L63" s="2">
        <v>31.4</v>
      </c>
      <c r="M63" s="2">
        <v>30.6</v>
      </c>
      <c r="N63" s="2">
        <v>29.7</v>
      </c>
      <c r="O63" s="2">
        <v>29.4</v>
      </c>
      <c r="P63" s="2">
        <v>30</v>
      </c>
      <c r="Q63" s="2">
        <v>31.6</v>
      </c>
      <c r="R63" s="2">
        <v>31.2</v>
      </c>
      <c r="S63" s="2">
        <v>30.5</v>
      </c>
      <c r="T63" s="2">
        <v>30.6</v>
      </c>
      <c r="U63" s="2">
        <v>29.8</v>
      </c>
      <c r="V63" s="5">
        <f t="shared" si="5"/>
        <v>30.625</v>
      </c>
      <c r="W63" s="4">
        <f t="shared" si="6"/>
        <v>0.21989150217157724</v>
      </c>
      <c r="X63" s="2">
        <f t="shared" si="7"/>
        <v>29.4</v>
      </c>
      <c r="Y63" s="3">
        <f t="shared" si="8"/>
        <v>29.95</v>
      </c>
      <c r="Z63" s="2">
        <f t="shared" si="9"/>
        <v>30.6</v>
      </c>
    </row>
    <row r="64" spans="1:26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13.398999999999999</v>
      </c>
      <c r="J64" s="2">
        <v>33.9</v>
      </c>
      <c r="K64" s="2">
        <v>29.4</v>
      </c>
      <c r="L64" s="2">
        <v>30</v>
      </c>
      <c r="M64" s="2">
        <v>29.1</v>
      </c>
      <c r="N64" s="2">
        <v>29.2</v>
      </c>
      <c r="O64" s="2">
        <v>28</v>
      </c>
      <c r="P64" s="2">
        <v>28.8</v>
      </c>
      <c r="Q64" s="2">
        <v>29.1</v>
      </c>
      <c r="R64" s="2">
        <v>30</v>
      </c>
      <c r="S64" s="2">
        <v>29.3</v>
      </c>
      <c r="T64" s="2">
        <v>28.9</v>
      </c>
      <c r="U64" s="2">
        <v>30.4</v>
      </c>
      <c r="V64" s="5">
        <f t="shared" si="5"/>
        <v>29.674999999999997</v>
      </c>
      <c r="W64" s="4">
        <f t="shared" si="6"/>
        <v>0.42517821575371784</v>
      </c>
      <c r="X64" s="2">
        <f t="shared" si="7"/>
        <v>28</v>
      </c>
      <c r="Y64" s="3">
        <f t="shared" si="8"/>
        <v>29.05</v>
      </c>
      <c r="Z64" s="2">
        <f t="shared" si="9"/>
        <v>29.25</v>
      </c>
    </row>
    <row r="65" spans="1:26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13.416</v>
      </c>
      <c r="J65" s="2">
        <v>28.9</v>
      </c>
      <c r="K65" s="2">
        <v>29.4</v>
      </c>
      <c r="L65" s="2">
        <v>29.1</v>
      </c>
      <c r="M65" s="2">
        <v>29.6</v>
      </c>
      <c r="N65" s="2">
        <v>28.7</v>
      </c>
      <c r="O65" s="2">
        <v>28.8</v>
      </c>
      <c r="P65" s="2">
        <v>28.7</v>
      </c>
      <c r="Q65" s="2">
        <v>27.9</v>
      </c>
      <c r="R65" s="2">
        <v>29.1</v>
      </c>
      <c r="S65" s="2">
        <v>29.4</v>
      </c>
      <c r="T65" s="2">
        <v>30.2</v>
      </c>
      <c r="U65" s="2">
        <v>29.9</v>
      </c>
      <c r="V65" s="5">
        <f t="shared" si="5"/>
        <v>29.141666666666662</v>
      </c>
      <c r="W65" s="4">
        <f t="shared" si="6"/>
        <v>0.17729376979488257</v>
      </c>
      <c r="X65" s="2">
        <f t="shared" si="7"/>
        <v>27.9</v>
      </c>
      <c r="Y65" s="3">
        <f t="shared" si="8"/>
        <v>28.774999999999999</v>
      </c>
      <c r="Z65" s="2">
        <f t="shared" si="9"/>
        <v>29.1</v>
      </c>
    </row>
    <row r="66" spans="1:26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13.433999999999999</v>
      </c>
      <c r="J66" s="2">
        <v>32.299999999999997</v>
      </c>
      <c r="K66" s="2">
        <v>29.9</v>
      </c>
      <c r="L66" s="2">
        <v>28.5</v>
      </c>
      <c r="M66" s="2">
        <v>28.8</v>
      </c>
      <c r="N66" s="2">
        <v>29.1</v>
      </c>
      <c r="O66" s="2">
        <v>29.3</v>
      </c>
      <c r="P66" s="2">
        <v>29.2</v>
      </c>
      <c r="Q66" s="2">
        <v>28.7</v>
      </c>
      <c r="R66" s="2">
        <v>29.2</v>
      </c>
      <c r="S66" s="2">
        <v>29.9</v>
      </c>
      <c r="T66" s="2">
        <v>28.3</v>
      </c>
      <c r="U66" s="2">
        <v>28.4</v>
      </c>
      <c r="V66" s="5">
        <f t="shared" si="5"/>
        <v>29.299999999999997</v>
      </c>
      <c r="W66" s="4">
        <f t="shared" si="6"/>
        <v>0.31188575997106238</v>
      </c>
      <c r="X66" s="2">
        <f t="shared" si="7"/>
        <v>28.3</v>
      </c>
      <c r="Y66" s="3">
        <f t="shared" si="8"/>
        <v>28.65</v>
      </c>
      <c r="Z66" s="2">
        <f t="shared" si="9"/>
        <v>29.15</v>
      </c>
    </row>
    <row r="67" spans="1:26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13.451000000000001</v>
      </c>
      <c r="J67" s="2">
        <v>33.9</v>
      </c>
      <c r="K67" s="2">
        <v>33</v>
      </c>
      <c r="L67" s="2">
        <v>29.1</v>
      </c>
      <c r="M67" s="2">
        <v>30.1</v>
      </c>
      <c r="N67" s="2">
        <v>29.2</v>
      </c>
      <c r="O67" s="2">
        <v>28.7</v>
      </c>
      <c r="P67" s="2">
        <v>29.7</v>
      </c>
      <c r="Q67" s="2">
        <v>29.7</v>
      </c>
      <c r="R67" s="2">
        <v>30.4</v>
      </c>
      <c r="S67" s="2">
        <v>32.299999999999997</v>
      </c>
      <c r="T67" s="2">
        <v>31.3</v>
      </c>
      <c r="U67" s="2">
        <v>32.299999999999997</v>
      </c>
      <c r="V67" s="5">
        <f t="shared" si="5"/>
        <v>30.808333333333334</v>
      </c>
      <c r="W67" s="4">
        <f t="shared" si="6"/>
        <v>0.49335867052052268</v>
      </c>
      <c r="X67" s="2">
        <f t="shared" si="7"/>
        <v>28.7</v>
      </c>
      <c r="Y67" s="3">
        <f t="shared" si="8"/>
        <v>29.574999999999999</v>
      </c>
      <c r="Z67" s="2">
        <f t="shared" si="9"/>
        <v>30.25</v>
      </c>
    </row>
    <row r="68" spans="1:26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13.471</v>
      </c>
      <c r="J68" s="2">
        <v>35.299999999999997</v>
      </c>
      <c r="K68" s="2">
        <v>32.1</v>
      </c>
      <c r="L68" s="2">
        <v>32.700000000000003</v>
      </c>
      <c r="M68" s="2">
        <v>31.9</v>
      </c>
      <c r="N68" s="2">
        <v>32.1</v>
      </c>
      <c r="O68" s="2">
        <v>33.299999999999997</v>
      </c>
      <c r="P68" s="2">
        <v>32.799999999999997</v>
      </c>
      <c r="Q68" s="2">
        <v>33.4</v>
      </c>
      <c r="R68" s="2">
        <v>31.2</v>
      </c>
      <c r="S68" s="2">
        <v>31.3</v>
      </c>
      <c r="T68" s="2">
        <v>28.8</v>
      </c>
      <c r="U68" s="2">
        <v>31.5</v>
      </c>
      <c r="V68" s="5">
        <f t="shared" si="5"/>
        <v>32.199999999999996</v>
      </c>
      <c r="W68" s="4">
        <f t="shared" si="6"/>
        <v>0.4509249752822892</v>
      </c>
      <c r="X68" s="2">
        <f t="shared" si="7"/>
        <v>28.8</v>
      </c>
      <c r="Y68" s="3">
        <f t="shared" si="8"/>
        <v>31.45</v>
      </c>
      <c r="Z68" s="2">
        <f t="shared" si="9"/>
        <v>32.1</v>
      </c>
    </row>
    <row r="69" spans="1:26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13.487</v>
      </c>
      <c r="J69" s="2">
        <v>30.3</v>
      </c>
      <c r="K69" s="2">
        <v>28.8</v>
      </c>
      <c r="L69" s="2">
        <v>28.8</v>
      </c>
      <c r="M69" s="2">
        <v>28.1</v>
      </c>
      <c r="N69" s="2">
        <v>28.2</v>
      </c>
      <c r="O69" s="2">
        <v>28.7</v>
      </c>
      <c r="P69" s="2">
        <v>27.7</v>
      </c>
      <c r="Q69" s="2">
        <v>28.6</v>
      </c>
      <c r="R69" s="2">
        <v>27.5</v>
      </c>
      <c r="S69" s="2">
        <v>28.5</v>
      </c>
      <c r="T69" s="2">
        <v>31</v>
      </c>
      <c r="U69" s="2">
        <v>28.7</v>
      </c>
      <c r="V69" s="5">
        <f t="shared" si="5"/>
        <v>28.74166666666666</v>
      </c>
      <c r="W69" s="4">
        <f t="shared" si="6"/>
        <v>0.28800734768965941</v>
      </c>
      <c r="X69" s="2">
        <f t="shared" si="7"/>
        <v>27.5</v>
      </c>
      <c r="Y69" s="3">
        <f t="shared" si="8"/>
        <v>28.175000000000001</v>
      </c>
      <c r="Z69" s="2">
        <f t="shared" si="9"/>
        <v>28.65</v>
      </c>
    </row>
    <row r="70" spans="1:26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13.505000000000001</v>
      </c>
      <c r="J70" s="2">
        <v>32.5</v>
      </c>
      <c r="K70" s="2">
        <v>32.299999999999997</v>
      </c>
      <c r="L70" s="2">
        <v>30.8</v>
      </c>
      <c r="M70" s="2">
        <v>30.4</v>
      </c>
      <c r="N70" s="2">
        <v>30.2</v>
      </c>
      <c r="O70" s="2">
        <v>29.8</v>
      </c>
      <c r="P70" s="2">
        <v>29.3</v>
      </c>
      <c r="Q70" s="2">
        <v>29.9</v>
      </c>
      <c r="R70" s="2">
        <v>29</v>
      </c>
      <c r="S70" s="2">
        <v>28.1</v>
      </c>
      <c r="T70" s="2">
        <v>28.2</v>
      </c>
      <c r="U70" s="2">
        <v>30.5</v>
      </c>
      <c r="V70" s="5">
        <f t="shared" si="5"/>
        <v>30.083333333333339</v>
      </c>
      <c r="W70" s="4">
        <f t="shared" si="6"/>
        <v>0.39826010484495056</v>
      </c>
      <c r="X70" s="2">
        <f t="shared" si="7"/>
        <v>28.1</v>
      </c>
      <c r="Y70" s="3">
        <f t="shared" si="8"/>
        <v>29.225000000000001</v>
      </c>
      <c r="Z70" s="2">
        <f t="shared" si="9"/>
        <v>30.049999999999997</v>
      </c>
    </row>
    <row r="71" spans="1:26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13.522</v>
      </c>
      <c r="J71" s="2">
        <v>32.5</v>
      </c>
      <c r="K71" s="2">
        <v>30.2</v>
      </c>
      <c r="L71" s="2">
        <v>31.6</v>
      </c>
      <c r="M71" s="2">
        <v>33.1</v>
      </c>
      <c r="N71" s="2">
        <v>32.700000000000003</v>
      </c>
      <c r="O71" s="2">
        <v>33.9</v>
      </c>
      <c r="P71" s="2">
        <v>31.1</v>
      </c>
      <c r="Q71" s="2">
        <v>35.9</v>
      </c>
      <c r="R71" s="2">
        <v>32.1</v>
      </c>
      <c r="S71" s="2">
        <v>32.6</v>
      </c>
      <c r="T71" s="2">
        <v>33.5</v>
      </c>
      <c r="U71" s="2">
        <v>31.7</v>
      </c>
      <c r="V71" s="5">
        <f t="shared" si="5"/>
        <v>32.575000000000003</v>
      </c>
      <c r="W71" s="4">
        <f t="shared" si="6"/>
        <v>0.42392913215643607</v>
      </c>
      <c r="X71" s="2">
        <f t="shared" si="7"/>
        <v>30.2</v>
      </c>
      <c r="Y71" s="3">
        <f t="shared" si="8"/>
        <v>31.675000000000001</v>
      </c>
      <c r="Z71" s="2">
        <f t="shared" si="9"/>
        <v>32.549999999999997</v>
      </c>
    </row>
    <row r="72" spans="1:26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13.64</v>
      </c>
      <c r="J72" s="2">
        <v>29.8</v>
      </c>
      <c r="K72" s="2">
        <v>28.9</v>
      </c>
      <c r="L72" s="2">
        <v>33</v>
      </c>
      <c r="M72" s="2">
        <v>30.7</v>
      </c>
      <c r="N72" s="2">
        <v>30</v>
      </c>
      <c r="O72" s="2">
        <v>29</v>
      </c>
      <c r="P72" s="2">
        <v>30.5</v>
      </c>
      <c r="Q72" s="2">
        <v>30.2</v>
      </c>
      <c r="R72" s="2">
        <v>28.7</v>
      </c>
      <c r="S72" s="2">
        <v>28.8</v>
      </c>
      <c r="T72" s="2">
        <v>29.1</v>
      </c>
      <c r="U72" s="2">
        <v>29.2</v>
      </c>
      <c r="V72" s="5">
        <f t="shared" si="5"/>
        <v>29.825000000000003</v>
      </c>
      <c r="W72" s="4">
        <f t="shared" si="6"/>
        <v>0.35078375450445592</v>
      </c>
      <c r="X72" s="2">
        <f t="shared" si="7"/>
        <v>28.7</v>
      </c>
      <c r="Y72" s="3">
        <f t="shared" si="8"/>
        <v>28.975000000000001</v>
      </c>
      <c r="Z72" s="2">
        <f t="shared" si="9"/>
        <v>29.5</v>
      </c>
    </row>
    <row r="73" spans="1:26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13.622</v>
      </c>
      <c r="J73" s="2">
        <v>29.1</v>
      </c>
      <c r="K73" s="2">
        <v>33.4</v>
      </c>
      <c r="L73" s="2">
        <v>29.9</v>
      </c>
      <c r="M73" s="2">
        <v>29.7</v>
      </c>
      <c r="N73" s="2">
        <v>32</v>
      </c>
      <c r="O73" s="2">
        <v>29.9</v>
      </c>
      <c r="P73" s="2">
        <v>29.9</v>
      </c>
      <c r="Q73" s="2">
        <v>30.2</v>
      </c>
      <c r="R73" s="2">
        <v>28.8</v>
      </c>
      <c r="S73" s="2">
        <v>29.1</v>
      </c>
      <c r="T73" s="2">
        <v>29.7</v>
      </c>
      <c r="U73" s="2">
        <v>30</v>
      </c>
      <c r="V73" s="5">
        <f t="shared" si="5"/>
        <v>30.141666666666669</v>
      </c>
      <c r="W73" s="4">
        <f t="shared" si="6"/>
        <v>0.37567279713209256</v>
      </c>
      <c r="X73" s="2">
        <f t="shared" si="7"/>
        <v>28.8</v>
      </c>
      <c r="Y73" s="3">
        <f t="shared" si="8"/>
        <v>29.55</v>
      </c>
      <c r="Z73" s="2">
        <f t="shared" si="9"/>
        <v>29.9</v>
      </c>
    </row>
    <row r="74" spans="1:26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13.603999999999999</v>
      </c>
      <c r="J74" s="2">
        <v>34.9</v>
      </c>
      <c r="K74" s="2">
        <v>37.1</v>
      </c>
      <c r="L74" s="2">
        <v>34.299999999999997</v>
      </c>
      <c r="M74" s="2">
        <v>33.799999999999997</v>
      </c>
      <c r="N74" s="2">
        <v>30</v>
      </c>
      <c r="O74" s="2">
        <v>31.9</v>
      </c>
      <c r="P74" s="2">
        <v>28</v>
      </c>
      <c r="Q74" s="2">
        <v>30.6</v>
      </c>
      <c r="R74" s="2">
        <v>30.6</v>
      </c>
      <c r="S74" s="2">
        <v>31.3</v>
      </c>
      <c r="T74" s="2">
        <v>31.5</v>
      </c>
      <c r="U74" s="2">
        <v>30.8</v>
      </c>
      <c r="V74" s="5">
        <f t="shared" ref="V74:V81" si="10">AVERAGE(J74:U74)</f>
        <v>32.06666666666667</v>
      </c>
      <c r="W74" s="4">
        <f t="shared" ref="W74:W81" si="11">STDEV(J74:U74)/SQRT(COUNT(J74:U74))</f>
        <v>0.72303373211612865</v>
      </c>
      <c r="X74" s="2">
        <f t="shared" ref="X74:X81" si="12">MIN(J74:U74)</f>
        <v>28</v>
      </c>
      <c r="Y74" s="3">
        <f t="shared" ref="Y74:Y81" si="13">QUARTILE(J74:U74,1)</f>
        <v>30.6</v>
      </c>
      <c r="Z74" s="2">
        <f t="shared" ref="Z74:Z81" si="14">MEDIAN(J74:U74)</f>
        <v>31.4</v>
      </c>
    </row>
    <row r="75" spans="1:26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13.585000000000001</v>
      </c>
      <c r="J75" s="2">
        <v>31</v>
      </c>
      <c r="K75" s="2">
        <v>31</v>
      </c>
      <c r="L75" s="2">
        <v>30.9</v>
      </c>
      <c r="M75" s="2">
        <v>32.799999999999997</v>
      </c>
      <c r="N75" s="2">
        <v>29.7</v>
      </c>
      <c r="O75" s="2">
        <v>30.3</v>
      </c>
      <c r="P75" s="2">
        <v>28.7</v>
      </c>
      <c r="Q75" s="2">
        <v>29.7</v>
      </c>
      <c r="R75" s="2">
        <v>29.5</v>
      </c>
      <c r="S75" s="2">
        <v>32.5</v>
      </c>
      <c r="T75" s="2">
        <v>32.799999999999997</v>
      </c>
      <c r="U75" s="2">
        <v>32.9</v>
      </c>
      <c r="V75" s="5">
        <f t="shared" si="10"/>
        <v>30.983333333333334</v>
      </c>
      <c r="W75" s="4">
        <f t="shared" si="11"/>
        <v>0.42423430728165695</v>
      </c>
      <c r="X75" s="2">
        <f t="shared" si="12"/>
        <v>28.7</v>
      </c>
      <c r="Y75" s="3">
        <f t="shared" si="13"/>
        <v>29.7</v>
      </c>
      <c r="Z75" s="2">
        <f t="shared" si="14"/>
        <v>30.95</v>
      </c>
    </row>
    <row r="76" spans="1:26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13.568</v>
      </c>
      <c r="J76" s="2">
        <v>29.6</v>
      </c>
      <c r="K76" s="2">
        <v>30.2</v>
      </c>
      <c r="L76" s="2">
        <v>29.3</v>
      </c>
      <c r="M76" s="2">
        <v>30.8</v>
      </c>
      <c r="N76" s="2">
        <v>29.7</v>
      </c>
      <c r="O76" s="2">
        <v>28.6</v>
      </c>
      <c r="P76" s="2">
        <v>28.5</v>
      </c>
      <c r="Q76" s="2">
        <v>29.9</v>
      </c>
      <c r="R76" s="2">
        <v>31.6</v>
      </c>
      <c r="S76" s="2">
        <v>28.8</v>
      </c>
      <c r="T76" s="2">
        <v>32.200000000000003</v>
      </c>
      <c r="U76" s="2">
        <v>28.1</v>
      </c>
      <c r="V76" s="5">
        <f t="shared" si="10"/>
        <v>29.775000000000002</v>
      </c>
      <c r="W76" s="4">
        <f t="shared" si="11"/>
        <v>0.36392744032043239</v>
      </c>
      <c r="X76" s="2">
        <f t="shared" si="12"/>
        <v>28.1</v>
      </c>
      <c r="Y76" s="3">
        <f t="shared" si="13"/>
        <v>28.75</v>
      </c>
      <c r="Z76" s="2">
        <f t="shared" si="14"/>
        <v>29.65</v>
      </c>
    </row>
    <row r="77" spans="1:26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13.551</v>
      </c>
      <c r="J77" s="2">
        <v>30.3</v>
      </c>
      <c r="K77" s="2">
        <v>30.1</v>
      </c>
      <c r="L77" s="2">
        <v>28.5</v>
      </c>
      <c r="M77" s="2">
        <v>30.2</v>
      </c>
      <c r="N77" s="2">
        <v>28.3</v>
      </c>
      <c r="O77" s="2">
        <v>28.1</v>
      </c>
      <c r="P77" s="2">
        <v>29.6</v>
      </c>
      <c r="Q77" s="2">
        <v>32.6</v>
      </c>
      <c r="R77" s="2">
        <v>30.3</v>
      </c>
      <c r="S77" s="2">
        <v>29.8</v>
      </c>
      <c r="T77" s="2">
        <v>29.3</v>
      </c>
      <c r="U77" s="2">
        <v>30.9</v>
      </c>
      <c r="V77" s="5">
        <f t="shared" si="10"/>
        <v>29.833333333333332</v>
      </c>
      <c r="W77" s="4">
        <f t="shared" si="11"/>
        <v>0.3578837913077485</v>
      </c>
      <c r="X77" s="2">
        <f t="shared" si="12"/>
        <v>28.1</v>
      </c>
      <c r="Y77" s="3">
        <f t="shared" si="13"/>
        <v>29.1</v>
      </c>
      <c r="Z77" s="2">
        <f t="shared" si="14"/>
        <v>29.950000000000003</v>
      </c>
    </row>
    <row r="78" spans="1:26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13.365</v>
      </c>
      <c r="J78" s="2">
        <v>28.2</v>
      </c>
      <c r="K78" s="2">
        <v>28.3</v>
      </c>
      <c r="L78" s="2">
        <v>28.3</v>
      </c>
      <c r="M78" s="2">
        <v>29.8</v>
      </c>
      <c r="N78" s="2">
        <v>29.1</v>
      </c>
      <c r="O78" s="2">
        <v>30.6</v>
      </c>
      <c r="P78" s="2">
        <v>31.1</v>
      </c>
      <c r="Q78" s="2">
        <v>29.6</v>
      </c>
      <c r="R78" s="2">
        <v>29.6</v>
      </c>
      <c r="S78" s="2">
        <v>30</v>
      </c>
      <c r="T78" s="2">
        <v>30</v>
      </c>
      <c r="U78" s="2">
        <v>31.7</v>
      </c>
      <c r="V78" s="5">
        <f t="shared" si="10"/>
        <v>29.691666666666663</v>
      </c>
      <c r="W78" s="4">
        <f t="shared" si="11"/>
        <v>0.31990963054770905</v>
      </c>
      <c r="X78" s="2">
        <f t="shared" si="12"/>
        <v>28.2</v>
      </c>
      <c r="Y78" s="3">
        <f t="shared" si="13"/>
        <v>28.900000000000002</v>
      </c>
      <c r="Z78" s="2">
        <f t="shared" si="14"/>
        <v>29.700000000000003</v>
      </c>
    </row>
    <row r="79" spans="1:26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13.34</v>
      </c>
      <c r="J79" s="2">
        <v>29.1</v>
      </c>
      <c r="K79" s="2">
        <v>31.7</v>
      </c>
      <c r="L79" s="2">
        <v>29.3</v>
      </c>
      <c r="M79" s="2">
        <v>27.9</v>
      </c>
      <c r="N79" s="2">
        <v>29.4</v>
      </c>
      <c r="O79" s="2">
        <v>31.1</v>
      </c>
      <c r="P79" s="2">
        <v>28.6</v>
      </c>
      <c r="Q79" s="2">
        <v>29.1</v>
      </c>
      <c r="R79" s="2">
        <v>28.8</v>
      </c>
      <c r="S79" s="2">
        <v>30.7</v>
      </c>
      <c r="T79" s="2">
        <v>28.9</v>
      </c>
      <c r="U79" s="2">
        <v>28.3</v>
      </c>
      <c r="V79" s="5">
        <f t="shared" si="10"/>
        <v>29.408333333333331</v>
      </c>
      <c r="W79" s="4">
        <f t="shared" si="11"/>
        <v>0.33449607809752607</v>
      </c>
      <c r="X79" s="2">
        <f t="shared" si="12"/>
        <v>27.9</v>
      </c>
      <c r="Y79" s="3">
        <f t="shared" si="13"/>
        <v>28.75</v>
      </c>
      <c r="Z79" s="2">
        <f t="shared" si="14"/>
        <v>29.1</v>
      </c>
    </row>
    <row r="80" spans="1:26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13.311</v>
      </c>
      <c r="J80" s="2">
        <v>29.8</v>
      </c>
      <c r="K80" s="2">
        <v>29.7</v>
      </c>
      <c r="L80" s="2">
        <v>30.6</v>
      </c>
      <c r="M80" s="2">
        <v>28.8</v>
      </c>
      <c r="N80" s="2">
        <v>29.6</v>
      </c>
      <c r="O80" s="2">
        <v>30.7</v>
      </c>
      <c r="P80" s="2">
        <v>30.8</v>
      </c>
      <c r="Q80" s="2">
        <v>30.1</v>
      </c>
      <c r="R80" s="2">
        <v>29.4</v>
      </c>
      <c r="S80" s="2">
        <v>28.8</v>
      </c>
      <c r="T80" s="2">
        <v>31</v>
      </c>
      <c r="U80" s="2">
        <v>29.2</v>
      </c>
      <c r="V80" s="5">
        <f t="shared" si="10"/>
        <v>29.875</v>
      </c>
      <c r="W80" s="4">
        <f t="shared" si="11"/>
        <v>0.22160741974231932</v>
      </c>
      <c r="X80" s="2">
        <f t="shared" si="12"/>
        <v>28.8</v>
      </c>
      <c r="Y80" s="3">
        <f t="shared" si="13"/>
        <v>29.349999999999998</v>
      </c>
      <c r="Z80" s="2">
        <f t="shared" si="14"/>
        <v>29.75</v>
      </c>
    </row>
    <row r="81" spans="1:26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13.284000000000001</v>
      </c>
      <c r="J81" s="2">
        <v>27.6</v>
      </c>
      <c r="K81" s="2">
        <v>30.2</v>
      </c>
      <c r="L81" s="2">
        <v>30.6</v>
      </c>
      <c r="M81" s="2">
        <v>31.2</v>
      </c>
      <c r="N81" s="2">
        <v>30.1</v>
      </c>
      <c r="O81" s="2">
        <v>30.7</v>
      </c>
      <c r="P81" s="2">
        <v>29.6</v>
      </c>
      <c r="Q81" s="2">
        <v>29.1</v>
      </c>
      <c r="R81" s="2">
        <v>28.4</v>
      </c>
      <c r="S81" s="2">
        <v>30.2</v>
      </c>
      <c r="T81" s="2">
        <v>28.5</v>
      </c>
      <c r="U81" s="2">
        <v>29.5</v>
      </c>
      <c r="V81" s="5">
        <f t="shared" si="10"/>
        <v>29.641666666666666</v>
      </c>
      <c r="W81" s="4">
        <f t="shared" si="11"/>
        <v>0.30931457296820825</v>
      </c>
      <c r="X81" s="2">
        <f t="shared" si="12"/>
        <v>27.6</v>
      </c>
      <c r="Y81" s="3">
        <f t="shared" si="13"/>
        <v>28.950000000000003</v>
      </c>
      <c r="Z81" s="2">
        <f t="shared" si="14"/>
        <v>29.85</v>
      </c>
    </row>
    <row r="87" spans="1:26" x14ac:dyDescent="0.2">
      <c r="G87" s="68"/>
      <c r="H87" s="68"/>
    </row>
  </sheetData>
  <pageMargins left="0.75" right="0.75" top="1" bottom="1" header="0.5" footer="0.5"/>
  <pageSetup orientation="portrait" verticalDpi="0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1D14-411A-4E11-A66C-260F981017C3}">
  <dimension ref="A1:AN84"/>
  <sheetViews>
    <sheetView topLeftCell="A15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133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40.5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13.317</v>
      </c>
      <c r="J10" s="39">
        <v>60.7</v>
      </c>
      <c r="K10" s="39">
        <v>60.5</v>
      </c>
      <c r="L10" s="39">
        <v>49.8</v>
      </c>
      <c r="M10" s="39">
        <v>58.2</v>
      </c>
      <c r="N10" s="39">
        <v>48.8</v>
      </c>
      <c r="O10" s="39">
        <v>59.5</v>
      </c>
      <c r="P10" s="39">
        <v>56.5</v>
      </c>
      <c r="Q10" s="39">
        <v>59.8</v>
      </c>
      <c r="R10" s="39">
        <v>55.1</v>
      </c>
      <c r="S10" s="39">
        <v>59.3</v>
      </c>
      <c r="T10" s="39">
        <v>51</v>
      </c>
      <c r="U10" s="39">
        <v>62.8</v>
      </c>
      <c r="V10" s="5">
        <f t="shared" ref="V10:V41" si="0">AVERAGE(J10:U10)</f>
        <v>56.833333333333336</v>
      </c>
      <c r="W10" s="4">
        <f t="shared" ref="W10:W41" si="1">STDEV(J10:U10)/SQRT(COUNT(J10:U10))</f>
        <v>1.3456063932876383</v>
      </c>
      <c r="X10" s="2">
        <f t="shared" ref="X10:X41" si="2">MIN(J10:U10)</f>
        <v>48.8</v>
      </c>
      <c r="Y10" s="3">
        <f t="shared" ref="Y10:Y41" si="3">QUARTILE(J10:U10,1)</f>
        <v>54.075000000000003</v>
      </c>
      <c r="Z10" s="2">
        <f t="shared" ref="Z10:Z41" si="4">MEDIAN(J10:U10)</f>
        <v>58.75</v>
      </c>
      <c r="AA10" s="3">
        <f t="shared" ref="AA10:AA41" si="5">QUARTILE(J10:U10,3)</f>
        <v>59.974999999999994</v>
      </c>
      <c r="AB10" s="3">
        <f t="shared" ref="AB10:AB41" si="6">MAX(J10:U10)</f>
        <v>62.8</v>
      </c>
      <c r="AC10" s="3">
        <f t="shared" ref="AC10:AC41" si="7">SKEW(J10:U10)</f>
        <v>-0.74097960426335308</v>
      </c>
      <c r="AD10" s="3">
        <f t="shared" ref="AD10:AD41" si="8">KURT(J10:U10)</f>
        <v>-0.82276178922867205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13.259</v>
      </c>
      <c r="J11" s="39">
        <v>63.2</v>
      </c>
      <c r="K11" s="39">
        <v>63.1</v>
      </c>
      <c r="L11" s="39">
        <v>51.1</v>
      </c>
      <c r="M11" s="39">
        <v>64.3</v>
      </c>
      <c r="N11" s="39">
        <v>46.1</v>
      </c>
      <c r="O11" s="39">
        <v>62.4</v>
      </c>
      <c r="P11" s="39">
        <v>56.6</v>
      </c>
      <c r="Q11" s="39">
        <v>59.8</v>
      </c>
      <c r="R11" s="39">
        <v>54.9</v>
      </c>
      <c r="S11" s="39">
        <v>58.4</v>
      </c>
      <c r="T11" s="39">
        <v>59.1</v>
      </c>
      <c r="U11" s="39">
        <v>56.4</v>
      </c>
      <c r="V11" s="5">
        <f t="shared" si="0"/>
        <v>57.949999999999996</v>
      </c>
      <c r="W11" s="4">
        <f t="shared" si="1"/>
        <v>1.5570708708885723</v>
      </c>
      <c r="X11" s="2">
        <f t="shared" si="2"/>
        <v>46.1</v>
      </c>
      <c r="Y11" s="3">
        <f t="shared" si="3"/>
        <v>56.024999999999999</v>
      </c>
      <c r="Z11" s="2">
        <f t="shared" si="4"/>
        <v>58.75</v>
      </c>
      <c r="AA11" s="3">
        <f t="shared" si="5"/>
        <v>62.575000000000003</v>
      </c>
      <c r="AB11" s="3">
        <f t="shared" si="6"/>
        <v>64.3</v>
      </c>
      <c r="AC11" s="3">
        <f t="shared" si="7"/>
        <v>-0.963907213006573</v>
      </c>
      <c r="AD11" s="3">
        <f t="shared" si="8"/>
        <v>0.71578006971151176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13.236000000000001</v>
      </c>
      <c r="J12" s="39">
        <v>62.3</v>
      </c>
      <c r="K12" s="39">
        <v>51.2</v>
      </c>
      <c r="L12" s="39">
        <v>54.8</v>
      </c>
      <c r="M12" s="39">
        <v>59.2</v>
      </c>
      <c r="N12" s="39">
        <v>45.4</v>
      </c>
      <c r="O12" s="39">
        <v>53.4</v>
      </c>
      <c r="P12" s="39">
        <v>46.6</v>
      </c>
      <c r="Q12" s="39">
        <v>60</v>
      </c>
      <c r="R12" s="39">
        <v>42.8</v>
      </c>
      <c r="S12" s="39">
        <v>56.9</v>
      </c>
      <c r="T12" s="39">
        <v>46.9</v>
      </c>
      <c r="U12" s="39">
        <v>58.8</v>
      </c>
      <c r="V12" s="5">
        <f t="shared" si="0"/>
        <v>53.191666666666663</v>
      </c>
      <c r="W12" s="4">
        <f t="shared" si="1"/>
        <v>1.8848462011581339</v>
      </c>
      <c r="X12" s="2">
        <f t="shared" si="2"/>
        <v>42.8</v>
      </c>
      <c r="Y12" s="3">
        <f t="shared" si="3"/>
        <v>46.825000000000003</v>
      </c>
      <c r="Z12" s="2">
        <f t="shared" si="4"/>
        <v>54.099999999999994</v>
      </c>
      <c r="AA12" s="3">
        <f t="shared" si="5"/>
        <v>58.9</v>
      </c>
      <c r="AB12" s="3">
        <f t="shared" si="6"/>
        <v>62.3</v>
      </c>
      <c r="AC12" s="3">
        <f t="shared" si="7"/>
        <v>-0.24253858100987608</v>
      </c>
      <c r="AD12" s="3">
        <f t="shared" si="8"/>
        <v>-1.403082432044287</v>
      </c>
      <c r="AF12" s="17" t="s">
        <v>76</v>
      </c>
      <c r="AG12" s="16">
        <v>44.8</v>
      </c>
      <c r="AH12" s="15">
        <v>49.1875</v>
      </c>
      <c r="AI12" s="15">
        <v>53.225000000000001</v>
      </c>
      <c r="AJ12" s="15">
        <v>52.395833333333329</v>
      </c>
      <c r="AK12" s="16">
        <v>29.05</v>
      </c>
      <c r="AL12" s="15">
        <v>29.774999999999999</v>
      </c>
      <c r="AM12" s="15">
        <v>30.524999999999999</v>
      </c>
      <c r="AN12" s="14">
        <v>30.824999999999999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13.211</v>
      </c>
      <c r="J13" s="39">
        <v>62.3</v>
      </c>
      <c r="K13" s="39">
        <v>58.1</v>
      </c>
      <c r="L13" s="39">
        <v>50.7</v>
      </c>
      <c r="M13" s="39">
        <v>61.3</v>
      </c>
      <c r="N13" s="39">
        <v>42.7</v>
      </c>
      <c r="O13" s="39">
        <v>59.5</v>
      </c>
      <c r="P13" s="39">
        <v>53</v>
      </c>
      <c r="Q13" s="39">
        <v>55.2</v>
      </c>
      <c r="R13" s="39">
        <v>55.2</v>
      </c>
      <c r="S13" s="39">
        <v>57.5</v>
      </c>
      <c r="T13" s="39">
        <v>52.9</v>
      </c>
      <c r="U13" s="39">
        <v>57.5</v>
      </c>
      <c r="V13" s="5">
        <f t="shared" si="0"/>
        <v>55.491666666666667</v>
      </c>
      <c r="W13" s="4">
        <f t="shared" si="1"/>
        <v>1.5342285759404699</v>
      </c>
      <c r="X13" s="2">
        <f t="shared" si="2"/>
        <v>42.7</v>
      </c>
      <c r="Y13" s="3">
        <f t="shared" si="3"/>
        <v>52.975000000000001</v>
      </c>
      <c r="Z13" s="2">
        <f t="shared" si="4"/>
        <v>56.35</v>
      </c>
      <c r="AA13" s="3">
        <f t="shared" si="5"/>
        <v>58.45</v>
      </c>
      <c r="AB13" s="3">
        <f t="shared" si="6"/>
        <v>62.3</v>
      </c>
      <c r="AC13" s="3">
        <f t="shared" si="7"/>
        <v>-1.1816714627846761</v>
      </c>
      <c r="AD13" s="3">
        <f t="shared" si="8"/>
        <v>2.0908024428726568</v>
      </c>
      <c r="AF13" s="13" t="s">
        <v>75</v>
      </c>
      <c r="AG13" s="12">
        <v>43.75</v>
      </c>
      <c r="AH13" s="11">
        <v>49.837499999999999</v>
      </c>
      <c r="AI13" s="11">
        <v>53.975000000000001</v>
      </c>
      <c r="AJ13" s="11">
        <v>52.762500000000003</v>
      </c>
      <c r="AK13" s="12">
        <v>28.3</v>
      </c>
      <c r="AL13" s="11">
        <v>29.824999999999999</v>
      </c>
      <c r="AM13" s="11">
        <v>30.524999999999999</v>
      </c>
      <c r="AN13" s="10">
        <v>30.725000000000001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13.19</v>
      </c>
      <c r="J14" s="39">
        <v>61.8</v>
      </c>
      <c r="K14" s="39">
        <v>55.6</v>
      </c>
      <c r="L14" s="39">
        <v>48.2</v>
      </c>
      <c r="M14" s="39">
        <v>58.7</v>
      </c>
      <c r="N14" s="39">
        <v>42.4</v>
      </c>
      <c r="O14" s="39">
        <v>60.4</v>
      </c>
      <c r="P14" s="39">
        <v>45.7</v>
      </c>
      <c r="Q14" s="39">
        <v>58.7</v>
      </c>
      <c r="R14" s="39">
        <v>43.7</v>
      </c>
      <c r="S14" s="39">
        <v>54.9</v>
      </c>
      <c r="T14" s="39">
        <v>54.9</v>
      </c>
      <c r="U14" s="39">
        <v>56.8</v>
      </c>
      <c r="V14" s="5">
        <f t="shared" si="0"/>
        <v>53.48333333333332</v>
      </c>
      <c r="W14" s="4">
        <f t="shared" si="1"/>
        <v>1.9423054613141144</v>
      </c>
      <c r="X14" s="2">
        <f t="shared" si="2"/>
        <v>42.4</v>
      </c>
      <c r="Y14" s="3">
        <f t="shared" si="3"/>
        <v>47.575000000000003</v>
      </c>
      <c r="Z14" s="2">
        <f t="shared" si="4"/>
        <v>55.25</v>
      </c>
      <c r="AA14" s="3">
        <f t="shared" si="5"/>
        <v>58.7</v>
      </c>
      <c r="AB14" s="3">
        <f t="shared" si="6"/>
        <v>61.8</v>
      </c>
      <c r="AC14" s="3">
        <f t="shared" si="7"/>
        <v>-0.59995561832950828</v>
      </c>
      <c r="AD14" s="3">
        <f t="shared" si="8"/>
        <v>-1.1575014555019232</v>
      </c>
      <c r="AF14" s="13" t="s">
        <v>74</v>
      </c>
      <c r="AG14" s="12">
        <v>58.4</v>
      </c>
      <c r="AH14" s="11">
        <v>59.4</v>
      </c>
      <c r="AI14" s="11">
        <v>60.125</v>
      </c>
      <c r="AJ14" s="11">
        <v>60.462499999999999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13.166</v>
      </c>
      <c r="J15" s="39">
        <v>61.8</v>
      </c>
      <c r="K15" s="39">
        <v>55.8</v>
      </c>
      <c r="L15" s="39">
        <v>51.9</v>
      </c>
      <c r="M15" s="39">
        <v>62.9</v>
      </c>
      <c r="N15" s="39">
        <v>50.3</v>
      </c>
      <c r="O15" s="39">
        <v>56.5</v>
      </c>
      <c r="P15" s="39">
        <v>50.3</v>
      </c>
      <c r="Q15" s="39">
        <v>56</v>
      </c>
      <c r="R15" s="39">
        <v>49.9</v>
      </c>
      <c r="S15" s="39">
        <v>60.5</v>
      </c>
      <c r="T15" s="39">
        <v>51</v>
      </c>
      <c r="U15" s="39">
        <v>60.7</v>
      </c>
      <c r="V15" s="5">
        <f t="shared" si="0"/>
        <v>55.633333333333333</v>
      </c>
      <c r="W15" s="4">
        <f t="shared" si="1"/>
        <v>1.4202717054041869</v>
      </c>
      <c r="X15" s="2">
        <f t="shared" si="2"/>
        <v>49.9</v>
      </c>
      <c r="Y15" s="3">
        <f t="shared" si="3"/>
        <v>50.825000000000003</v>
      </c>
      <c r="Z15" s="2">
        <f t="shared" si="4"/>
        <v>55.9</v>
      </c>
      <c r="AA15" s="3">
        <f t="shared" si="5"/>
        <v>60.55</v>
      </c>
      <c r="AB15" s="3">
        <f t="shared" si="6"/>
        <v>62.9</v>
      </c>
      <c r="AC15" s="3">
        <f t="shared" si="7"/>
        <v>0.20233194674918201</v>
      </c>
      <c r="AD15" s="3">
        <f t="shared" si="8"/>
        <v>-1.6643795355025537</v>
      </c>
      <c r="AF15" s="13" t="s">
        <v>73</v>
      </c>
      <c r="AG15" s="12">
        <v>42.25</v>
      </c>
      <c r="AH15" s="11">
        <v>46.4375</v>
      </c>
      <c r="AI15" s="11">
        <v>50.25</v>
      </c>
      <c r="AJ15" s="11">
        <v>50.1875</v>
      </c>
      <c r="AK15" s="12">
        <v>28.7</v>
      </c>
      <c r="AL15" s="11">
        <v>29.0625</v>
      </c>
      <c r="AM15" s="11">
        <v>30.225000000000001</v>
      </c>
      <c r="AN15" s="10">
        <v>30.354166666666671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13.141</v>
      </c>
      <c r="J16" s="39">
        <v>51.8</v>
      </c>
      <c r="K16" s="39">
        <v>45.8</v>
      </c>
      <c r="L16" s="39">
        <v>62.4</v>
      </c>
      <c r="M16" s="39">
        <v>48</v>
      </c>
      <c r="N16" s="39">
        <v>61</v>
      </c>
      <c r="O16" s="39">
        <v>55.5</v>
      </c>
      <c r="P16" s="39">
        <v>59.6</v>
      </c>
      <c r="Q16" s="39">
        <v>47.9</v>
      </c>
      <c r="R16" s="39">
        <v>59.6</v>
      </c>
      <c r="S16" s="39">
        <v>50.3</v>
      </c>
      <c r="T16" s="39">
        <v>58</v>
      </c>
      <c r="U16" s="39">
        <v>49</v>
      </c>
      <c r="V16" s="5">
        <f t="shared" si="0"/>
        <v>54.074999999999996</v>
      </c>
      <c r="W16" s="4">
        <f t="shared" si="1"/>
        <v>1.7065881699514436</v>
      </c>
      <c r="X16" s="2">
        <f t="shared" si="2"/>
        <v>45.8</v>
      </c>
      <c r="Y16" s="3">
        <f t="shared" si="3"/>
        <v>48.75</v>
      </c>
      <c r="Z16" s="2">
        <f t="shared" si="4"/>
        <v>53.65</v>
      </c>
      <c r="AA16" s="3">
        <f t="shared" si="5"/>
        <v>59.6</v>
      </c>
      <c r="AB16" s="3">
        <f t="shared" si="6"/>
        <v>62.4</v>
      </c>
      <c r="AC16" s="3">
        <f t="shared" si="7"/>
        <v>4.6018203287798029E-2</v>
      </c>
      <c r="AD16" s="3">
        <f t="shared" si="8"/>
        <v>-1.7620174783739868</v>
      </c>
      <c r="AF16" s="13" t="s">
        <v>72</v>
      </c>
      <c r="AG16" s="12">
        <v>43.05</v>
      </c>
      <c r="AH16" s="11">
        <v>45.9</v>
      </c>
      <c r="AI16" s="11">
        <v>50.05</v>
      </c>
      <c r="AJ16" s="11">
        <v>49.783333333333331</v>
      </c>
      <c r="AK16" s="12">
        <v>27.75</v>
      </c>
      <c r="AL16" s="11">
        <v>29.6</v>
      </c>
      <c r="AM16" s="11">
        <v>30.024999999999999</v>
      </c>
      <c r="AN16" s="10">
        <v>30.641666666666669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13.113</v>
      </c>
      <c r="J17" s="39">
        <v>63.1</v>
      </c>
      <c r="K17" s="39">
        <v>49</v>
      </c>
      <c r="L17" s="39">
        <v>63.6</v>
      </c>
      <c r="M17" s="39">
        <v>56.5</v>
      </c>
      <c r="N17" s="39">
        <v>60.4</v>
      </c>
      <c r="O17" s="39">
        <v>55.8</v>
      </c>
      <c r="P17" s="39">
        <v>59</v>
      </c>
      <c r="Q17" s="39">
        <v>54.9</v>
      </c>
      <c r="R17" s="39">
        <v>58.4</v>
      </c>
      <c r="S17" s="39">
        <v>47.4</v>
      </c>
      <c r="T17" s="39">
        <v>57.5</v>
      </c>
      <c r="U17" s="39">
        <v>54</v>
      </c>
      <c r="V17" s="5">
        <f t="shared" si="0"/>
        <v>56.633333333333326</v>
      </c>
      <c r="W17" s="4">
        <f t="shared" si="1"/>
        <v>1.425383166631756</v>
      </c>
      <c r="X17" s="2">
        <f t="shared" si="2"/>
        <v>47.4</v>
      </c>
      <c r="Y17" s="3">
        <f t="shared" si="3"/>
        <v>54.674999999999997</v>
      </c>
      <c r="Z17" s="2">
        <f t="shared" si="4"/>
        <v>57</v>
      </c>
      <c r="AA17" s="3">
        <f t="shared" si="5"/>
        <v>59.35</v>
      </c>
      <c r="AB17" s="3">
        <f t="shared" si="6"/>
        <v>63.6</v>
      </c>
      <c r="AC17" s="3">
        <f t="shared" si="7"/>
        <v>-0.52070265022880458</v>
      </c>
      <c r="AD17" s="3">
        <f t="shared" si="8"/>
        <v>-3.8802156236847463E-2</v>
      </c>
      <c r="AF17" s="13" t="s">
        <v>71</v>
      </c>
      <c r="AG17" s="12">
        <v>47.8</v>
      </c>
      <c r="AH17" s="11">
        <v>52.875</v>
      </c>
      <c r="AI17" s="11">
        <v>56.524999999999999</v>
      </c>
      <c r="AJ17" s="11">
        <v>54.975000000000001</v>
      </c>
      <c r="AK17" s="12">
        <v>29.15</v>
      </c>
      <c r="AL17" s="11">
        <v>30.65</v>
      </c>
      <c r="AM17" s="11">
        <v>31.774999999999999</v>
      </c>
      <c r="AN17" s="10">
        <v>31.945833333333333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13.345000000000001</v>
      </c>
      <c r="J18" s="39">
        <v>60.8</v>
      </c>
      <c r="K18" s="39">
        <v>49.2</v>
      </c>
      <c r="L18" s="39">
        <v>57.3</v>
      </c>
      <c r="M18" s="39">
        <v>46.8</v>
      </c>
      <c r="N18" s="39">
        <v>52</v>
      </c>
      <c r="O18" s="39">
        <v>52.3</v>
      </c>
      <c r="P18" s="39">
        <v>57.2</v>
      </c>
      <c r="Q18" s="39">
        <v>45.7</v>
      </c>
      <c r="R18" s="39">
        <v>56.5</v>
      </c>
      <c r="S18" s="39">
        <v>46.1</v>
      </c>
      <c r="T18" s="39">
        <v>53.2</v>
      </c>
      <c r="U18" s="39">
        <v>46.7</v>
      </c>
      <c r="V18" s="5">
        <f t="shared" si="0"/>
        <v>51.983333333333341</v>
      </c>
      <c r="W18" s="4">
        <f t="shared" si="1"/>
        <v>1.4868531612880682</v>
      </c>
      <c r="X18" s="2">
        <f t="shared" si="2"/>
        <v>45.7</v>
      </c>
      <c r="Y18" s="3">
        <f t="shared" si="3"/>
        <v>46.774999999999999</v>
      </c>
      <c r="Z18" s="2">
        <f t="shared" si="4"/>
        <v>52.15</v>
      </c>
      <c r="AA18" s="3">
        <f t="shared" si="5"/>
        <v>56.674999999999997</v>
      </c>
      <c r="AB18" s="3">
        <f t="shared" si="6"/>
        <v>60.8</v>
      </c>
      <c r="AC18" s="3">
        <f t="shared" si="7"/>
        <v>0.24874878035780418</v>
      </c>
      <c r="AD18" s="3">
        <f t="shared" si="8"/>
        <v>-1.2752628972508471</v>
      </c>
      <c r="AF18" s="13" t="s">
        <v>70</v>
      </c>
      <c r="AG18" s="12">
        <v>47.3</v>
      </c>
      <c r="AH18" s="11">
        <v>52.325000000000003</v>
      </c>
      <c r="AI18" s="11">
        <v>55.625</v>
      </c>
      <c r="AJ18" s="11">
        <v>54.645833333333343</v>
      </c>
      <c r="AK18" s="12">
        <v>28.85</v>
      </c>
      <c r="AL18" s="11">
        <v>30.362500000000001</v>
      </c>
      <c r="AM18" s="11">
        <v>31.2</v>
      </c>
      <c r="AN18" s="10">
        <v>31.912500000000001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13.37</v>
      </c>
      <c r="J19" s="39">
        <v>62.5</v>
      </c>
      <c r="K19" s="39">
        <v>62.6</v>
      </c>
      <c r="L19" s="39">
        <v>48.4</v>
      </c>
      <c r="M19" s="39">
        <v>62.6</v>
      </c>
      <c r="N19" s="39">
        <v>52.8</v>
      </c>
      <c r="O19" s="39">
        <v>61.5</v>
      </c>
      <c r="P19" s="39">
        <v>48</v>
      </c>
      <c r="Q19" s="39">
        <v>61</v>
      </c>
      <c r="R19" s="39">
        <v>56.9</v>
      </c>
      <c r="S19" s="39">
        <v>59.2</v>
      </c>
      <c r="T19" s="39">
        <v>50.6</v>
      </c>
      <c r="U19" s="39">
        <v>61.6</v>
      </c>
      <c r="V19" s="5">
        <f t="shared" si="0"/>
        <v>57.308333333333337</v>
      </c>
      <c r="W19" s="4">
        <f t="shared" si="1"/>
        <v>1.6688981273870376</v>
      </c>
      <c r="X19" s="2">
        <f t="shared" si="2"/>
        <v>48</v>
      </c>
      <c r="Y19" s="3">
        <f t="shared" si="3"/>
        <v>52.25</v>
      </c>
      <c r="Z19" s="2">
        <f t="shared" si="4"/>
        <v>60.1</v>
      </c>
      <c r="AA19" s="3">
        <f t="shared" si="5"/>
        <v>61.825000000000003</v>
      </c>
      <c r="AB19" s="3">
        <f t="shared" si="6"/>
        <v>62.6</v>
      </c>
      <c r="AC19" s="3">
        <f t="shared" si="7"/>
        <v>-0.71193833349029845</v>
      </c>
      <c r="AD19" s="3">
        <f t="shared" si="8"/>
        <v>-1.2989210036428163</v>
      </c>
      <c r="AF19" s="13" t="s">
        <v>69</v>
      </c>
      <c r="AG19" s="12">
        <v>49.075000000000003</v>
      </c>
      <c r="AH19" s="11">
        <v>53.012500000000003</v>
      </c>
      <c r="AI19" s="11">
        <v>54.65</v>
      </c>
      <c r="AJ19" s="11">
        <v>54.375</v>
      </c>
      <c r="AK19" s="12">
        <v>28.125</v>
      </c>
      <c r="AL19" s="11">
        <v>29.487500000000001</v>
      </c>
      <c r="AM19" s="11">
        <v>30.15</v>
      </c>
      <c r="AN19" s="10">
        <v>30.512499999999999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13.394</v>
      </c>
      <c r="J20" s="39">
        <v>62.2</v>
      </c>
      <c r="K20" s="39">
        <v>62.3</v>
      </c>
      <c r="L20" s="39">
        <v>49.4</v>
      </c>
      <c r="M20" s="39">
        <v>66.400000000000006</v>
      </c>
      <c r="N20" s="39">
        <v>51.3</v>
      </c>
      <c r="O20" s="39">
        <v>60.2</v>
      </c>
      <c r="P20" s="39">
        <v>42.1</v>
      </c>
      <c r="Q20" s="39">
        <v>61.8</v>
      </c>
      <c r="R20" s="39">
        <v>42.7</v>
      </c>
      <c r="S20" s="39">
        <v>60.8</v>
      </c>
      <c r="T20" s="39">
        <v>46.7</v>
      </c>
      <c r="U20" s="39">
        <v>61.9</v>
      </c>
      <c r="V20" s="5">
        <f t="shared" si="0"/>
        <v>55.650000000000006</v>
      </c>
      <c r="W20" s="4">
        <f t="shared" si="1"/>
        <v>2.4866156871856049</v>
      </c>
      <c r="X20" s="2">
        <f t="shared" si="2"/>
        <v>42.1</v>
      </c>
      <c r="Y20" s="3">
        <f t="shared" si="3"/>
        <v>48.725000000000001</v>
      </c>
      <c r="Z20" s="2">
        <f t="shared" si="4"/>
        <v>60.5</v>
      </c>
      <c r="AA20" s="3">
        <f t="shared" si="5"/>
        <v>61.975000000000001</v>
      </c>
      <c r="AB20" s="3">
        <f t="shared" si="6"/>
        <v>66.400000000000006</v>
      </c>
      <c r="AC20" s="3">
        <f t="shared" si="7"/>
        <v>-0.54243246005997436</v>
      </c>
      <c r="AD20" s="3">
        <f t="shared" si="8"/>
        <v>-1.418080218425366</v>
      </c>
      <c r="AF20" s="13" t="s">
        <v>68</v>
      </c>
      <c r="AG20" s="12">
        <v>46.4</v>
      </c>
      <c r="AH20" s="11">
        <v>50.45</v>
      </c>
      <c r="AI20" s="11">
        <v>53.875</v>
      </c>
      <c r="AJ20" s="11">
        <v>53.4375</v>
      </c>
      <c r="AK20" s="12">
        <v>28.524999999999999</v>
      </c>
      <c r="AL20" s="11">
        <v>29.418749999999999</v>
      </c>
      <c r="AM20" s="11">
        <v>30.0625</v>
      </c>
      <c r="AN20" s="10">
        <v>30.27708333333333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13.416</v>
      </c>
      <c r="J21" s="39">
        <v>60</v>
      </c>
      <c r="K21" s="39">
        <v>59.2</v>
      </c>
      <c r="L21" s="39">
        <v>45.9</v>
      </c>
      <c r="M21" s="39">
        <v>59.8</v>
      </c>
      <c r="N21" s="39">
        <v>42.7</v>
      </c>
      <c r="O21" s="39">
        <v>57.2</v>
      </c>
      <c r="P21" s="39">
        <v>37.9</v>
      </c>
      <c r="Q21" s="39">
        <v>60.4</v>
      </c>
      <c r="R21" s="39">
        <v>45</v>
      </c>
      <c r="S21" s="39">
        <v>58.9</v>
      </c>
      <c r="T21" s="39">
        <v>48.7</v>
      </c>
      <c r="U21" s="39">
        <v>57.2</v>
      </c>
      <c r="V21" s="5">
        <f t="shared" si="0"/>
        <v>52.741666666666667</v>
      </c>
      <c r="W21" s="4">
        <f t="shared" si="1"/>
        <v>2.3431543855980794</v>
      </c>
      <c r="X21" s="2">
        <f t="shared" si="2"/>
        <v>37.9</v>
      </c>
      <c r="Y21" s="3">
        <f t="shared" si="3"/>
        <v>45.674999999999997</v>
      </c>
      <c r="Z21" s="2">
        <f t="shared" si="4"/>
        <v>57.2</v>
      </c>
      <c r="AA21" s="3">
        <f t="shared" si="5"/>
        <v>59.35</v>
      </c>
      <c r="AB21" s="3">
        <f t="shared" si="6"/>
        <v>60.4</v>
      </c>
      <c r="AC21" s="3">
        <f t="shared" si="7"/>
        <v>-0.66678688758677052</v>
      </c>
      <c r="AD21" s="3">
        <f t="shared" si="8"/>
        <v>-1.2234489501748298</v>
      </c>
      <c r="AF21" s="13" t="s">
        <v>67</v>
      </c>
      <c r="AG21" s="12">
        <v>37.9</v>
      </c>
      <c r="AH21" s="11">
        <v>42.512500000000003</v>
      </c>
      <c r="AI21" s="11">
        <v>47.424999999999997</v>
      </c>
      <c r="AJ21" s="11">
        <v>47.458333333333343</v>
      </c>
      <c r="AK21" s="12">
        <v>28.55</v>
      </c>
      <c r="AL21" s="11">
        <v>29.875</v>
      </c>
      <c r="AM21" s="11">
        <v>30.65</v>
      </c>
      <c r="AN21" s="10">
        <v>30.862500000000001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13.441000000000001</v>
      </c>
      <c r="J22" s="39">
        <v>61.8</v>
      </c>
      <c r="K22" s="39">
        <v>57.1</v>
      </c>
      <c r="L22" s="39">
        <v>55.4</v>
      </c>
      <c r="M22" s="39">
        <v>63</v>
      </c>
      <c r="N22" s="39">
        <v>51.8</v>
      </c>
      <c r="O22" s="39">
        <v>60.4</v>
      </c>
      <c r="P22" s="39">
        <v>50.2</v>
      </c>
      <c r="Q22" s="39">
        <v>62.1</v>
      </c>
      <c r="R22" s="39">
        <v>55.5</v>
      </c>
      <c r="S22" s="39">
        <v>61.7</v>
      </c>
      <c r="T22" s="39">
        <v>56.6</v>
      </c>
      <c r="U22" s="39">
        <v>62.5</v>
      </c>
      <c r="V22" s="5">
        <f t="shared" si="0"/>
        <v>58.175000000000004</v>
      </c>
      <c r="W22" s="4">
        <f t="shared" si="1"/>
        <v>1.2632404819160583</v>
      </c>
      <c r="X22" s="2">
        <f t="shared" si="2"/>
        <v>50.2</v>
      </c>
      <c r="Y22" s="3">
        <f t="shared" si="3"/>
        <v>55.475000000000001</v>
      </c>
      <c r="Z22" s="2">
        <f t="shared" si="4"/>
        <v>58.75</v>
      </c>
      <c r="AA22" s="3">
        <f t="shared" si="5"/>
        <v>61.875</v>
      </c>
      <c r="AB22" s="3">
        <f t="shared" si="6"/>
        <v>63</v>
      </c>
      <c r="AC22" s="3">
        <f t="shared" si="7"/>
        <v>-0.59339383814155966</v>
      </c>
      <c r="AD22" s="3">
        <f t="shared" si="8"/>
        <v>-0.89833402563000631</v>
      </c>
      <c r="AF22" s="13" t="s">
        <v>66</v>
      </c>
      <c r="AG22" s="12">
        <v>46.75</v>
      </c>
      <c r="AH22" s="11">
        <v>49.05</v>
      </c>
      <c r="AI22" s="11">
        <v>51.05</v>
      </c>
      <c r="AJ22" s="11">
        <v>51.379166666666663</v>
      </c>
      <c r="AK22" s="12">
        <v>28.55</v>
      </c>
      <c r="AL22" s="11">
        <v>28.837499999999999</v>
      </c>
      <c r="AM22" s="11">
        <v>30.375</v>
      </c>
      <c r="AN22" s="10">
        <v>30.587499999999999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13.462</v>
      </c>
      <c r="J23" s="39">
        <v>62.1</v>
      </c>
      <c r="K23" s="39">
        <v>62</v>
      </c>
      <c r="L23" s="39">
        <v>57.7</v>
      </c>
      <c r="M23" s="39">
        <v>63</v>
      </c>
      <c r="N23" s="39">
        <v>55.4</v>
      </c>
      <c r="O23" s="39">
        <v>61.2</v>
      </c>
      <c r="P23" s="39">
        <v>54.8</v>
      </c>
      <c r="Q23" s="39">
        <v>58.3</v>
      </c>
      <c r="R23" s="39">
        <v>55.8</v>
      </c>
      <c r="S23" s="39">
        <v>57.2</v>
      </c>
      <c r="T23" s="39">
        <v>53.4</v>
      </c>
      <c r="U23" s="39">
        <v>62.6</v>
      </c>
      <c r="V23" s="5">
        <f t="shared" si="0"/>
        <v>58.625</v>
      </c>
      <c r="W23" s="4">
        <f t="shared" si="1"/>
        <v>0.98604851131507087</v>
      </c>
      <c r="X23" s="2">
        <f t="shared" si="2"/>
        <v>53.4</v>
      </c>
      <c r="Y23" s="3">
        <f t="shared" si="3"/>
        <v>55.699999999999996</v>
      </c>
      <c r="Z23" s="2">
        <f t="shared" si="4"/>
        <v>58</v>
      </c>
      <c r="AA23" s="3">
        <f t="shared" si="5"/>
        <v>62.024999999999999</v>
      </c>
      <c r="AB23" s="3">
        <f t="shared" si="6"/>
        <v>63</v>
      </c>
      <c r="AC23" s="3">
        <f t="shared" si="7"/>
        <v>-3.9381142986507633E-2</v>
      </c>
      <c r="AD23" s="3">
        <f t="shared" si="8"/>
        <v>-1.6353106203805692</v>
      </c>
      <c r="AF23" s="13" t="s">
        <v>65</v>
      </c>
      <c r="AG23" s="12">
        <v>49.4</v>
      </c>
      <c r="AH23" s="11">
        <v>53.45</v>
      </c>
      <c r="AI23" s="11">
        <v>55.65</v>
      </c>
      <c r="AJ23" s="11">
        <v>54.94166666666667</v>
      </c>
      <c r="AK23" s="12">
        <v>28.7</v>
      </c>
      <c r="AL23" s="11">
        <v>29.65</v>
      </c>
      <c r="AM23" s="11">
        <v>29.85</v>
      </c>
      <c r="AN23" s="10">
        <v>30.741666666666664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13.494</v>
      </c>
      <c r="J24" s="39">
        <v>62.1</v>
      </c>
      <c r="K24" s="39">
        <v>62.4</v>
      </c>
      <c r="L24" s="39">
        <v>40.6</v>
      </c>
      <c r="M24" s="39">
        <v>61.9</v>
      </c>
      <c r="N24" s="39">
        <v>44.5</v>
      </c>
      <c r="O24" s="39">
        <v>60.9</v>
      </c>
      <c r="P24" s="39">
        <v>55.5</v>
      </c>
      <c r="Q24" s="39">
        <v>61.2</v>
      </c>
      <c r="R24" s="39">
        <v>51.2</v>
      </c>
      <c r="S24" s="39">
        <v>59.6</v>
      </c>
      <c r="T24" s="39">
        <v>49.3</v>
      </c>
      <c r="U24" s="39">
        <v>62.2</v>
      </c>
      <c r="V24" s="5">
        <f t="shared" si="0"/>
        <v>55.949999999999996</v>
      </c>
      <c r="W24" s="4">
        <f t="shared" si="1"/>
        <v>2.2241614013812114</v>
      </c>
      <c r="X24" s="2">
        <f t="shared" si="2"/>
        <v>40.6</v>
      </c>
      <c r="Y24" s="3">
        <f t="shared" si="3"/>
        <v>50.725000000000001</v>
      </c>
      <c r="Z24" s="2">
        <f t="shared" si="4"/>
        <v>60.25</v>
      </c>
      <c r="AA24" s="3">
        <f t="shared" si="5"/>
        <v>61.95</v>
      </c>
      <c r="AB24" s="3">
        <f t="shared" si="6"/>
        <v>62.4</v>
      </c>
      <c r="AC24" s="3">
        <f t="shared" si="7"/>
        <v>-1.013436999596816</v>
      </c>
      <c r="AD24" s="3">
        <f t="shared" si="8"/>
        <v>-0.33762710450034961</v>
      </c>
      <c r="AF24" s="13" t="s">
        <v>64</v>
      </c>
      <c r="AG24" s="12">
        <v>49.05</v>
      </c>
      <c r="AH24" s="11">
        <v>53.337499999999999</v>
      </c>
      <c r="AI24" s="11">
        <v>54.424999999999997</v>
      </c>
      <c r="AJ24" s="11">
        <v>54.191666666666663</v>
      </c>
      <c r="AK24" s="12">
        <v>28.85</v>
      </c>
      <c r="AL24" s="11">
        <v>30.475000000000001</v>
      </c>
      <c r="AM24" s="11">
        <v>31.375</v>
      </c>
      <c r="AN24" s="10">
        <v>31.841666666666669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13.526999999999999</v>
      </c>
      <c r="J25" s="39">
        <v>61.2</v>
      </c>
      <c r="K25" s="39">
        <v>53.8</v>
      </c>
      <c r="L25" s="39">
        <v>63.1</v>
      </c>
      <c r="M25" s="39">
        <v>49.9</v>
      </c>
      <c r="N25" s="39">
        <v>60.1</v>
      </c>
      <c r="O25" s="39">
        <v>53.2</v>
      </c>
      <c r="P25" s="39">
        <v>61.5</v>
      </c>
      <c r="Q25" s="39">
        <v>57.2</v>
      </c>
      <c r="R25" s="39">
        <v>61.5</v>
      </c>
      <c r="S25" s="39">
        <v>55.2</v>
      </c>
      <c r="T25" s="39">
        <v>62.2</v>
      </c>
      <c r="U25" s="39">
        <v>59.8</v>
      </c>
      <c r="V25" s="5">
        <f t="shared" si="0"/>
        <v>58.225000000000001</v>
      </c>
      <c r="W25" s="4">
        <f t="shared" si="1"/>
        <v>1.2315379028111988</v>
      </c>
      <c r="X25" s="2">
        <f t="shared" si="2"/>
        <v>49.9</v>
      </c>
      <c r="Y25" s="3">
        <f t="shared" si="3"/>
        <v>54.85</v>
      </c>
      <c r="Z25" s="2">
        <f t="shared" si="4"/>
        <v>59.95</v>
      </c>
      <c r="AA25" s="3">
        <f t="shared" si="5"/>
        <v>61.5</v>
      </c>
      <c r="AB25" s="3">
        <f t="shared" si="6"/>
        <v>63.1</v>
      </c>
      <c r="AC25" s="3">
        <f t="shared" si="7"/>
        <v>-0.74957412321683681</v>
      </c>
      <c r="AD25" s="3">
        <f t="shared" si="8"/>
        <v>-0.6793940866145074</v>
      </c>
      <c r="AF25" s="13" t="s">
        <v>63</v>
      </c>
      <c r="AG25" s="12">
        <v>46.833333333333336</v>
      </c>
      <c r="AH25" s="11">
        <v>53.616666666666667</v>
      </c>
      <c r="AI25" s="11">
        <v>55.2</v>
      </c>
      <c r="AJ25" s="11">
        <v>54.741666666666674</v>
      </c>
      <c r="AK25" s="12">
        <v>28.733333333333334</v>
      </c>
      <c r="AL25" s="11">
        <v>29.666666666666668</v>
      </c>
      <c r="AM25" s="11">
        <v>30.766666666666666</v>
      </c>
      <c r="AN25" s="10">
        <v>31.052777777777777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13.702999999999999</v>
      </c>
      <c r="J26" s="39">
        <v>61.4</v>
      </c>
      <c r="K26" s="39">
        <v>61.4</v>
      </c>
      <c r="L26" s="39">
        <v>50.8</v>
      </c>
      <c r="M26" s="39">
        <v>61</v>
      </c>
      <c r="N26" s="39">
        <v>53.2</v>
      </c>
      <c r="O26" s="39">
        <v>60.8</v>
      </c>
      <c r="P26" s="39">
        <v>53.2</v>
      </c>
      <c r="Q26" s="39">
        <v>60.1</v>
      </c>
      <c r="R26" s="39">
        <v>46.4</v>
      </c>
      <c r="S26" s="39">
        <v>59.4</v>
      </c>
      <c r="T26" s="39">
        <v>42.9</v>
      </c>
      <c r="U26" s="39">
        <v>62.1</v>
      </c>
      <c r="V26" s="5">
        <f t="shared" si="0"/>
        <v>56.058333333333337</v>
      </c>
      <c r="W26" s="4">
        <f t="shared" si="1"/>
        <v>1.9037227617316976</v>
      </c>
      <c r="X26" s="2">
        <f t="shared" si="2"/>
        <v>42.9</v>
      </c>
      <c r="Y26" s="3">
        <f t="shared" si="3"/>
        <v>52.6</v>
      </c>
      <c r="Z26" s="2">
        <f t="shared" si="4"/>
        <v>59.75</v>
      </c>
      <c r="AA26" s="3">
        <f t="shared" si="5"/>
        <v>61.1</v>
      </c>
      <c r="AB26" s="3">
        <f t="shared" si="6"/>
        <v>62.1</v>
      </c>
      <c r="AC26" s="3">
        <f t="shared" si="7"/>
        <v>-0.95675591683341421</v>
      </c>
      <c r="AD26" s="3">
        <f t="shared" si="8"/>
        <v>-0.36490590691886382</v>
      </c>
      <c r="AF26" s="13" t="s">
        <v>62</v>
      </c>
      <c r="AG26" s="12">
        <v>46.475000000000001</v>
      </c>
      <c r="AH26" s="11">
        <v>50.931249999999999</v>
      </c>
      <c r="AI26" s="11">
        <v>54.25</v>
      </c>
      <c r="AJ26" s="11">
        <v>53.558333333333337</v>
      </c>
      <c r="AK26" s="12">
        <v>28.074999999999999</v>
      </c>
      <c r="AL26" s="11">
        <v>29.012499999999999</v>
      </c>
      <c r="AM26" s="11">
        <v>29.774999999999999</v>
      </c>
      <c r="AN26" s="10">
        <v>29.947916666666664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13.724</v>
      </c>
      <c r="J27" s="39">
        <v>61.1</v>
      </c>
      <c r="K27" s="39">
        <v>61.3</v>
      </c>
      <c r="L27" s="39">
        <v>44.5</v>
      </c>
      <c r="M27" s="39">
        <v>63.3</v>
      </c>
      <c r="N27" s="39">
        <v>46.2</v>
      </c>
      <c r="O27" s="39">
        <v>57.6</v>
      </c>
      <c r="P27" s="39">
        <v>50.7</v>
      </c>
      <c r="Q27" s="39">
        <v>53.2</v>
      </c>
      <c r="R27" s="39">
        <v>49.3</v>
      </c>
      <c r="S27" s="39">
        <v>59</v>
      </c>
      <c r="T27" s="39">
        <v>49.8</v>
      </c>
      <c r="U27" s="39">
        <v>55.5</v>
      </c>
      <c r="V27" s="5">
        <f t="shared" si="0"/>
        <v>54.291666666666664</v>
      </c>
      <c r="W27" s="4">
        <f t="shared" si="1"/>
        <v>1.8085008999307928</v>
      </c>
      <c r="X27" s="2">
        <f t="shared" si="2"/>
        <v>44.5</v>
      </c>
      <c r="Y27" s="3">
        <f t="shared" si="3"/>
        <v>49.674999999999997</v>
      </c>
      <c r="Z27" s="2">
        <f t="shared" si="4"/>
        <v>54.35</v>
      </c>
      <c r="AA27" s="3">
        <f t="shared" si="5"/>
        <v>59.524999999999999</v>
      </c>
      <c r="AB27" s="3">
        <f t="shared" si="6"/>
        <v>63.3</v>
      </c>
      <c r="AC27" s="3">
        <f t="shared" si="7"/>
        <v>-8.7860841807608059E-2</v>
      </c>
      <c r="AD27" s="3">
        <f t="shared" si="8"/>
        <v>-1.3291971751030869</v>
      </c>
      <c r="AF27" s="9" t="s">
        <v>61</v>
      </c>
      <c r="AG27" s="8">
        <v>32.15</v>
      </c>
      <c r="AH27" s="7">
        <v>33.049999999999997</v>
      </c>
      <c r="AI27" s="7">
        <v>34.4</v>
      </c>
      <c r="AJ27" s="7">
        <v>34.408333333333331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13.752000000000001</v>
      </c>
      <c r="J28" s="39">
        <v>56.7</v>
      </c>
      <c r="K28" s="39">
        <v>59.6</v>
      </c>
      <c r="L28" s="39">
        <v>41.4</v>
      </c>
      <c r="M28" s="39">
        <v>60.6</v>
      </c>
      <c r="N28" s="39">
        <v>43.2</v>
      </c>
      <c r="O28" s="39">
        <v>59.7</v>
      </c>
      <c r="P28" s="39">
        <v>51.6</v>
      </c>
      <c r="Q28" s="39">
        <v>60.4</v>
      </c>
      <c r="R28" s="39">
        <v>55.3</v>
      </c>
      <c r="S28" s="39">
        <v>60</v>
      </c>
      <c r="T28" s="39">
        <v>42.9</v>
      </c>
      <c r="U28" s="39">
        <v>59.3</v>
      </c>
      <c r="V28" s="5">
        <f t="shared" si="0"/>
        <v>54.224999999999994</v>
      </c>
      <c r="W28" s="4">
        <f t="shared" si="1"/>
        <v>2.1763231781510823</v>
      </c>
      <c r="X28" s="2">
        <f t="shared" si="2"/>
        <v>41.4</v>
      </c>
      <c r="Y28" s="3">
        <f t="shared" si="3"/>
        <v>49.5</v>
      </c>
      <c r="Z28" s="2">
        <f t="shared" si="4"/>
        <v>58</v>
      </c>
      <c r="AA28" s="3">
        <f t="shared" si="5"/>
        <v>59.775000000000006</v>
      </c>
      <c r="AB28" s="3">
        <f t="shared" si="6"/>
        <v>60.6</v>
      </c>
      <c r="AC28" s="3">
        <f t="shared" si="7"/>
        <v>-0.95892096798643989</v>
      </c>
      <c r="AD28" s="3">
        <f t="shared" si="8"/>
        <v>-0.8637337577619264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13.778</v>
      </c>
      <c r="J29" s="39">
        <v>60.6</v>
      </c>
      <c r="K29" s="39">
        <v>60.5</v>
      </c>
      <c r="L29" s="39">
        <v>50.6</v>
      </c>
      <c r="M29" s="39">
        <v>60.1</v>
      </c>
      <c r="N29" s="39">
        <v>47.2</v>
      </c>
      <c r="O29" s="39">
        <v>59.2</v>
      </c>
      <c r="P29" s="39">
        <v>48.5</v>
      </c>
      <c r="Q29" s="39">
        <v>59.3</v>
      </c>
      <c r="R29" s="39">
        <v>46.7</v>
      </c>
      <c r="S29" s="39">
        <v>57.5</v>
      </c>
      <c r="T29" s="39">
        <v>50.2</v>
      </c>
      <c r="U29" s="39">
        <v>60.4</v>
      </c>
      <c r="V29" s="5">
        <f t="shared" si="0"/>
        <v>55.06666666666667</v>
      </c>
      <c r="W29" s="4">
        <f t="shared" si="1"/>
        <v>1.6820952542720282</v>
      </c>
      <c r="X29" s="2">
        <f t="shared" si="2"/>
        <v>46.7</v>
      </c>
      <c r="Y29" s="3">
        <f t="shared" si="3"/>
        <v>49.775000000000006</v>
      </c>
      <c r="Z29" s="2">
        <f t="shared" si="4"/>
        <v>58.35</v>
      </c>
      <c r="AA29" s="3">
        <f t="shared" si="5"/>
        <v>60.174999999999997</v>
      </c>
      <c r="AB29" s="3">
        <f t="shared" si="6"/>
        <v>60.6</v>
      </c>
      <c r="AC29" s="3">
        <f t="shared" si="7"/>
        <v>-0.43566751739365134</v>
      </c>
      <c r="AD29" s="3">
        <f t="shared" si="8"/>
        <v>-1.920679270745925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13.805</v>
      </c>
      <c r="J30" s="39">
        <v>62.2</v>
      </c>
      <c r="K30" s="39">
        <v>62.4</v>
      </c>
      <c r="L30" s="39">
        <v>49.1</v>
      </c>
      <c r="M30" s="39">
        <v>61.4</v>
      </c>
      <c r="N30" s="39">
        <v>42.6</v>
      </c>
      <c r="O30" s="39">
        <v>59</v>
      </c>
      <c r="P30" s="39">
        <v>43.7</v>
      </c>
      <c r="Q30" s="39">
        <v>59.3</v>
      </c>
      <c r="R30" s="39">
        <v>41.6</v>
      </c>
      <c r="S30" s="39">
        <v>55.6</v>
      </c>
      <c r="T30" s="39">
        <v>47</v>
      </c>
      <c r="U30" s="39">
        <v>56.2</v>
      </c>
      <c r="V30" s="5">
        <f t="shared" si="0"/>
        <v>53.341666666666669</v>
      </c>
      <c r="W30" s="4">
        <f t="shared" si="1"/>
        <v>2.3203140570259713</v>
      </c>
      <c r="X30" s="2">
        <f t="shared" si="2"/>
        <v>41.6</v>
      </c>
      <c r="Y30" s="3">
        <f t="shared" si="3"/>
        <v>46.174999999999997</v>
      </c>
      <c r="Z30" s="2">
        <f t="shared" si="4"/>
        <v>55.900000000000006</v>
      </c>
      <c r="AA30" s="3">
        <f t="shared" si="5"/>
        <v>59.824999999999996</v>
      </c>
      <c r="AB30" s="3">
        <f t="shared" si="6"/>
        <v>62.4</v>
      </c>
      <c r="AC30" s="3">
        <f t="shared" si="7"/>
        <v>-0.35642151183348336</v>
      </c>
      <c r="AD30" s="3">
        <f t="shared" si="8"/>
        <v>-1.6780306955146465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13.839</v>
      </c>
      <c r="J31" s="39">
        <v>61.3</v>
      </c>
      <c r="K31" s="39">
        <v>61.8</v>
      </c>
      <c r="L31" s="39">
        <v>46.7</v>
      </c>
      <c r="M31" s="39">
        <v>63.9</v>
      </c>
      <c r="N31" s="39">
        <v>51</v>
      </c>
      <c r="O31" s="39">
        <v>59.1</v>
      </c>
      <c r="P31" s="39">
        <v>45.5</v>
      </c>
      <c r="Q31" s="39">
        <v>56.8</v>
      </c>
      <c r="R31" s="39">
        <v>44.5</v>
      </c>
      <c r="S31" s="39">
        <v>58.3</v>
      </c>
      <c r="T31" s="39">
        <v>47.7</v>
      </c>
      <c r="U31" s="39">
        <v>57.4</v>
      </c>
      <c r="V31" s="5">
        <f t="shared" si="0"/>
        <v>54.500000000000007</v>
      </c>
      <c r="W31" s="4">
        <f t="shared" si="1"/>
        <v>2.0179497546076646</v>
      </c>
      <c r="X31" s="2">
        <f t="shared" si="2"/>
        <v>44.5</v>
      </c>
      <c r="Y31" s="3">
        <f t="shared" si="3"/>
        <v>47.45</v>
      </c>
      <c r="Z31" s="2">
        <f t="shared" si="4"/>
        <v>57.099999999999994</v>
      </c>
      <c r="AA31" s="3">
        <f t="shared" si="5"/>
        <v>59.65</v>
      </c>
      <c r="AB31" s="3">
        <f t="shared" si="6"/>
        <v>63.9</v>
      </c>
      <c r="AC31" s="3">
        <f t="shared" si="7"/>
        <v>-0.26764663990111193</v>
      </c>
      <c r="AD31" s="3">
        <f t="shared" si="8"/>
        <v>-1.6516392458876323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13.863</v>
      </c>
      <c r="J32" s="39">
        <v>60.9</v>
      </c>
      <c r="K32" s="39">
        <v>60.6</v>
      </c>
      <c r="L32" s="39">
        <v>47.2</v>
      </c>
      <c r="M32" s="39">
        <v>62.5</v>
      </c>
      <c r="N32" s="39">
        <v>51.4</v>
      </c>
      <c r="O32" s="39">
        <v>61.5</v>
      </c>
      <c r="P32" s="39">
        <v>44.9</v>
      </c>
      <c r="Q32" s="39">
        <v>61.5</v>
      </c>
      <c r="R32" s="39">
        <v>49.2</v>
      </c>
      <c r="S32" s="39">
        <v>60.4</v>
      </c>
      <c r="T32" s="39">
        <v>45.3</v>
      </c>
      <c r="U32" s="39">
        <v>62</v>
      </c>
      <c r="V32" s="5">
        <f t="shared" si="0"/>
        <v>55.616666666666653</v>
      </c>
      <c r="W32" s="4">
        <f t="shared" si="1"/>
        <v>2.1034903653622483</v>
      </c>
      <c r="X32" s="2">
        <f t="shared" si="2"/>
        <v>44.9</v>
      </c>
      <c r="Y32" s="3">
        <f t="shared" si="3"/>
        <v>48.7</v>
      </c>
      <c r="Z32" s="2">
        <f t="shared" si="4"/>
        <v>60.5</v>
      </c>
      <c r="AA32" s="3">
        <f t="shared" si="5"/>
        <v>61.5</v>
      </c>
      <c r="AB32" s="3">
        <f t="shared" si="6"/>
        <v>62.5</v>
      </c>
      <c r="AC32" s="3">
        <f t="shared" si="7"/>
        <v>-0.53292188175445809</v>
      </c>
      <c r="AD32" s="3">
        <f t="shared" si="8"/>
        <v>-1.8105160580180581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13.885999999999999</v>
      </c>
      <c r="J33" s="39">
        <v>59.5</v>
      </c>
      <c r="K33" s="39">
        <v>59.9</v>
      </c>
      <c r="L33" s="39">
        <v>50.6</v>
      </c>
      <c r="M33" s="39">
        <v>60.3</v>
      </c>
      <c r="N33" s="39">
        <v>51</v>
      </c>
      <c r="O33" s="39">
        <v>58.5</v>
      </c>
      <c r="P33" s="39">
        <v>52.5</v>
      </c>
      <c r="Q33" s="39">
        <v>59.2</v>
      </c>
      <c r="R33" s="39">
        <v>51.9</v>
      </c>
      <c r="S33" s="39">
        <v>54.6</v>
      </c>
      <c r="T33" s="39">
        <v>57.6</v>
      </c>
      <c r="U33" s="39">
        <v>50.1</v>
      </c>
      <c r="V33" s="5">
        <f t="shared" si="0"/>
        <v>55.475000000000001</v>
      </c>
      <c r="W33" s="4">
        <f t="shared" si="1"/>
        <v>1.1731933241190797</v>
      </c>
      <c r="X33" s="2">
        <f t="shared" si="2"/>
        <v>50.1</v>
      </c>
      <c r="Y33" s="3">
        <f t="shared" si="3"/>
        <v>51.674999999999997</v>
      </c>
      <c r="Z33" s="2">
        <f t="shared" si="4"/>
        <v>56.1</v>
      </c>
      <c r="AA33" s="3">
        <f t="shared" si="5"/>
        <v>59.275000000000006</v>
      </c>
      <c r="AB33" s="3">
        <f t="shared" si="6"/>
        <v>60.3</v>
      </c>
      <c r="AC33" s="3">
        <f t="shared" si="7"/>
        <v>-0.13051466626197805</v>
      </c>
      <c r="AD33" s="3">
        <f t="shared" si="8"/>
        <v>-1.9958822020394935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14.071</v>
      </c>
      <c r="J34" s="39">
        <v>57.5</v>
      </c>
      <c r="K34" s="39">
        <v>56.9</v>
      </c>
      <c r="L34" s="39">
        <v>44.8</v>
      </c>
      <c r="M34" s="39">
        <v>59.6</v>
      </c>
      <c r="N34" s="39">
        <v>52.6</v>
      </c>
      <c r="O34" s="39">
        <v>56.1</v>
      </c>
      <c r="P34" s="39">
        <v>47.5</v>
      </c>
      <c r="Q34" s="39">
        <v>57.8</v>
      </c>
      <c r="R34" s="39">
        <v>54</v>
      </c>
      <c r="S34" s="39">
        <v>56.1</v>
      </c>
      <c r="T34" s="39">
        <v>48</v>
      </c>
      <c r="U34" s="39">
        <v>51.6</v>
      </c>
      <c r="V34" s="5">
        <f t="shared" si="0"/>
        <v>53.541666666666664</v>
      </c>
      <c r="W34" s="4">
        <f t="shared" si="1"/>
        <v>1.3578312885188677</v>
      </c>
      <c r="X34" s="2">
        <f t="shared" si="2"/>
        <v>44.8</v>
      </c>
      <c r="Y34" s="3">
        <f t="shared" si="3"/>
        <v>50.7</v>
      </c>
      <c r="Z34" s="2">
        <f t="shared" si="4"/>
        <v>55.05</v>
      </c>
      <c r="AA34" s="3">
        <f t="shared" si="5"/>
        <v>57.05</v>
      </c>
      <c r="AB34" s="3">
        <f t="shared" si="6"/>
        <v>59.6</v>
      </c>
      <c r="AC34" s="3">
        <f t="shared" si="7"/>
        <v>-0.66442278845227076</v>
      </c>
      <c r="AD34" s="3">
        <f t="shared" si="8"/>
        <v>-0.72905562022941695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14.042</v>
      </c>
      <c r="J35" s="39">
        <v>61.1</v>
      </c>
      <c r="K35" s="39">
        <v>60.6</v>
      </c>
      <c r="L35" s="39">
        <v>48.3</v>
      </c>
      <c r="M35" s="39">
        <v>60.8</v>
      </c>
      <c r="N35" s="39">
        <v>48.8</v>
      </c>
      <c r="O35" s="39">
        <v>56.1</v>
      </c>
      <c r="P35" s="39">
        <v>49.2</v>
      </c>
      <c r="Q35" s="39">
        <v>55.9</v>
      </c>
      <c r="R35" s="39">
        <v>51.5</v>
      </c>
      <c r="S35" s="39">
        <v>58.1</v>
      </c>
      <c r="T35" s="39">
        <v>53.1</v>
      </c>
      <c r="U35" s="39">
        <v>57.7</v>
      </c>
      <c r="V35" s="5">
        <f t="shared" si="0"/>
        <v>55.1</v>
      </c>
      <c r="W35" s="4">
        <f t="shared" si="1"/>
        <v>1.3867336813643432</v>
      </c>
      <c r="X35" s="2">
        <f t="shared" si="2"/>
        <v>48.3</v>
      </c>
      <c r="Y35" s="3">
        <f t="shared" si="3"/>
        <v>50.924999999999997</v>
      </c>
      <c r="Z35" s="2">
        <f t="shared" si="4"/>
        <v>56</v>
      </c>
      <c r="AA35" s="3">
        <f t="shared" si="5"/>
        <v>58.725000000000001</v>
      </c>
      <c r="AB35" s="3">
        <f t="shared" si="6"/>
        <v>61.1</v>
      </c>
      <c r="AC35" s="3">
        <f t="shared" si="7"/>
        <v>-0.20750453034084942</v>
      </c>
      <c r="AD35" s="3">
        <f t="shared" si="8"/>
        <v>-1.5169728195010768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14.013</v>
      </c>
      <c r="J36" s="39">
        <v>57.7</v>
      </c>
      <c r="K36" s="39">
        <v>58.1</v>
      </c>
      <c r="L36" s="39">
        <v>43.2</v>
      </c>
      <c r="M36" s="39">
        <v>59.2</v>
      </c>
      <c r="N36" s="39">
        <v>44.8</v>
      </c>
      <c r="O36" s="39">
        <v>58.4</v>
      </c>
      <c r="P36" s="39">
        <v>41.1</v>
      </c>
      <c r="Q36" s="39">
        <v>60.8</v>
      </c>
      <c r="R36" s="39">
        <v>44.7</v>
      </c>
      <c r="S36" s="39">
        <v>54.9</v>
      </c>
      <c r="T36" s="39">
        <v>53.9</v>
      </c>
      <c r="U36" s="39">
        <v>55.5</v>
      </c>
      <c r="V36" s="5">
        <f t="shared" si="0"/>
        <v>52.691666666666663</v>
      </c>
      <c r="W36" s="4">
        <f t="shared" si="1"/>
        <v>2.0594371963370399</v>
      </c>
      <c r="X36" s="2">
        <f t="shared" si="2"/>
        <v>41.1</v>
      </c>
      <c r="Y36" s="3">
        <f t="shared" si="3"/>
        <v>44.774999999999999</v>
      </c>
      <c r="Z36" s="2">
        <f t="shared" si="4"/>
        <v>55.2</v>
      </c>
      <c r="AA36" s="3">
        <f t="shared" si="5"/>
        <v>58.174999999999997</v>
      </c>
      <c r="AB36" s="3">
        <f t="shared" si="6"/>
        <v>60.8</v>
      </c>
      <c r="AC36" s="3">
        <f t="shared" si="7"/>
        <v>-0.63132269098122307</v>
      </c>
      <c r="AD36" s="3">
        <f t="shared" si="8"/>
        <v>-1.4248660646327367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13.983000000000001</v>
      </c>
      <c r="J37" s="39">
        <v>60.9</v>
      </c>
      <c r="K37" s="39">
        <v>60.1</v>
      </c>
      <c r="L37" s="39">
        <v>46</v>
      </c>
      <c r="M37" s="39">
        <v>61.2</v>
      </c>
      <c r="N37" s="39">
        <v>42.9</v>
      </c>
      <c r="O37" s="39">
        <v>57.9</v>
      </c>
      <c r="P37" s="39">
        <v>43.8</v>
      </c>
      <c r="Q37" s="39">
        <v>57.2</v>
      </c>
      <c r="R37" s="39">
        <v>54.5</v>
      </c>
      <c r="S37" s="39">
        <v>59.2</v>
      </c>
      <c r="T37" s="39">
        <v>54.8</v>
      </c>
      <c r="U37" s="39">
        <v>55.8</v>
      </c>
      <c r="V37" s="5">
        <f t="shared" si="0"/>
        <v>54.524999999999984</v>
      </c>
      <c r="W37" s="4">
        <f t="shared" si="1"/>
        <v>1.9093519843130384</v>
      </c>
      <c r="X37" s="2">
        <f t="shared" si="2"/>
        <v>42.9</v>
      </c>
      <c r="Y37" s="3">
        <f t="shared" si="3"/>
        <v>52.375</v>
      </c>
      <c r="Z37" s="2">
        <f t="shared" si="4"/>
        <v>56.5</v>
      </c>
      <c r="AA37" s="3">
        <f t="shared" si="5"/>
        <v>59.425000000000004</v>
      </c>
      <c r="AB37" s="3">
        <f t="shared" si="6"/>
        <v>61.2</v>
      </c>
      <c r="AC37" s="3">
        <f t="shared" si="7"/>
        <v>-0.95482792243746517</v>
      </c>
      <c r="AD37" s="3">
        <f t="shared" si="8"/>
        <v>-0.57200177751164905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13.958</v>
      </c>
      <c r="J38" s="39">
        <v>61</v>
      </c>
      <c r="K38" s="39">
        <v>61.5</v>
      </c>
      <c r="L38" s="39">
        <v>44.3</v>
      </c>
      <c r="M38" s="39">
        <v>60.7</v>
      </c>
      <c r="N38" s="39">
        <v>45.6</v>
      </c>
      <c r="O38" s="39">
        <v>60.2</v>
      </c>
      <c r="P38" s="39">
        <v>43.5</v>
      </c>
      <c r="Q38" s="39">
        <v>60.2</v>
      </c>
      <c r="R38" s="39">
        <v>47</v>
      </c>
      <c r="S38" s="39">
        <v>60.7</v>
      </c>
      <c r="T38" s="39">
        <v>48.8</v>
      </c>
      <c r="U38" s="39">
        <v>60</v>
      </c>
      <c r="V38" s="5">
        <f t="shared" si="0"/>
        <v>54.458333333333336</v>
      </c>
      <c r="W38" s="4">
        <f t="shared" si="1"/>
        <v>2.2298409487148816</v>
      </c>
      <c r="X38" s="2">
        <f t="shared" si="2"/>
        <v>43.5</v>
      </c>
      <c r="Y38" s="3">
        <f t="shared" si="3"/>
        <v>46.65</v>
      </c>
      <c r="Z38" s="2">
        <f t="shared" si="4"/>
        <v>60.1</v>
      </c>
      <c r="AA38" s="3">
        <f t="shared" si="5"/>
        <v>60.7</v>
      </c>
      <c r="AB38" s="3">
        <f t="shared" si="6"/>
        <v>61.5</v>
      </c>
      <c r="AC38" s="3">
        <f t="shared" si="7"/>
        <v>-0.47130430469792789</v>
      </c>
      <c r="AD38" s="3">
        <f t="shared" si="8"/>
        <v>-2.006658738446907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13.936</v>
      </c>
      <c r="J39" s="39">
        <v>60.6</v>
      </c>
      <c r="K39" s="39">
        <v>60.4</v>
      </c>
      <c r="L39" s="39">
        <v>45.1</v>
      </c>
      <c r="M39" s="39">
        <v>62.1</v>
      </c>
      <c r="N39" s="39">
        <v>46.6</v>
      </c>
      <c r="O39" s="39">
        <v>57.9</v>
      </c>
      <c r="P39" s="39">
        <v>49.6</v>
      </c>
      <c r="Q39" s="39">
        <v>60.6</v>
      </c>
      <c r="R39" s="39">
        <v>48.4</v>
      </c>
      <c r="S39" s="39">
        <v>60.6</v>
      </c>
      <c r="T39" s="39">
        <v>52.4</v>
      </c>
      <c r="U39" s="39">
        <v>60.7</v>
      </c>
      <c r="V39" s="5">
        <f t="shared" si="0"/>
        <v>55.416666666666664</v>
      </c>
      <c r="W39" s="4">
        <f t="shared" si="1"/>
        <v>1.867822964379279</v>
      </c>
      <c r="X39" s="2">
        <f t="shared" si="2"/>
        <v>45.1</v>
      </c>
      <c r="Y39" s="3">
        <f t="shared" si="3"/>
        <v>49.3</v>
      </c>
      <c r="Z39" s="2">
        <f t="shared" si="4"/>
        <v>59.15</v>
      </c>
      <c r="AA39" s="3">
        <f t="shared" si="5"/>
        <v>60.6</v>
      </c>
      <c r="AB39" s="3">
        <f t="shared" si="6"/>
        <v>62.1</v>
      </c>
      <c r="AC39" s="3">
        <f t="shared" si="7"/>
        <v>-0.54377979525528075</v>
      </c>
      <c r="AD39" s="3">
        <f t="shared" si="8"/>
        <v>-1.6403623801968599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13.69</v>
      </c>
      <c r="J40" s="47">
        <v>34.700000000000003</v>
      </c>
      <c r="K40" s="47">
        <v>35.700000000000003</v>
      </c>
      <c r="L40" s="47">
        <v>36.6</v>
      </c>
      <c r="M40" s="47">
        <v>35.5</v>
      </c>
      <c r="N40" s="47">
        <v>35.299999999999997</v>
      </c>
      <c r="O40" s="47">
        <v>34.1</v>
      </c>
      <c r="P40" s="47">
        <v>35.5</v>
      </c>
      <c r="Q40" s="47">
        <v>34.299999999999997</v>
      </c>
      <c r="R40" s="47">
        <v>35.799999999999997</v>
      </c>
      <c r="S40" s="47">
        <v>34.700000000000003</v>
      </c>
      <c r="T40" s="47">
        <v>35.799999999999997</v>
      </c>
      <c r="U40" s="47">
        <v>34.200000000000003</v>
      </c>
      <c r="V40" s="49">
        <f t="shared" si="0"/>
        <v>35.18333333333333</v>
      </c>
      <c r="W40" s="48">
        <f t="shared" si="1"/>
        <v>0.22422706745122836</v>
      </c>
      <c r="X40" s="47">
        <f t="shared" si="2"/>
        <v>34.1</v>
      </c>
      <c r="Y40" s="46">
        <f t="shared" si="3"/>
        <v>34.6</v>
      </c>
      <c r="Z40" s="47">
        <f t="shared" si="4"/>
        <v>35.4</v>
      </c>
      <c r="AA40" s="46">
        <f t="shared" si="5"/>
        <v>35.725000000000001</v>
      </c>
      <c r="AB40" s="46">
        <f t="shared" si="6"/>
        <v>36.6</v>
      </c>
      <c r="AC40" s="46">
        <f t="shared" si="7"/>
        <v>8.7966376545264291E-2</v>
      </c>
      <c r="AD40" s="46">
        <f t="shared" si="8"/>
        <v>-0.81311537276860824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13.667</v>
      </c>
      <c r="J41" s="39">
        <v>62.6</v>
      </c>
      <c r="K41" s="39">
        <v>62.1</v>
      </c>
      <c r="L41" s="39">
        <v>44.6</v>
      </c>
      <c r="M41" s="39">
        <v>61</v>
      </c>
      <c r="N41" s="39">
        <v>42.8</v>
      </c>
      <c r="O41" s="39">
        <v>60.7</v>
      </c>
      <c r="P41" s="39">
        <v>50.6</v>
      </c>
      <c r="Q41" s="39">
        <v>62.2</v>
      </c>
      <c r="R41" s="39">
        <v>50.2</v>
      </c>
      <c r="S41" s="39">
        <v>59.9</v>
      </c>
      <c r="T41" s="39">
        <v>50.8</v>
      </c>
      <c r="U41" s="39">
        <v>62</v>
      </c>
      <c r="V41" s="5">
        <f t="shared" si="0"/>
        <v>55.791666666666664</v>
      </c>
      <c r="W41" s="4">
        <f t="shared" si="1"/>
        <v>2.1515131508740173</v>
      </c>
      <c r="X41" s="2">
        <f t="shared" si="2"/>
        <v>42.8</v>
      </c>
      <c r="Y41" s="3">
        <f t="shared" si="3"/>
        <v>50.5</v>
      </c>
      <c r="Z41" s="2">
        <f t="shared" si="4"/>
        <v>60.3</v>
      </c>
      <c r="AA41" s="3">
        <f t="shared" si="5"/>
        <v>62.024999999999999</v>
      </c>
      <c r="AB41" s="3">
        <f t="shared" si="6"/>
        <v>62.6</v>
      </c>
      <c r="AC41" s="3">
        <f t="shared" si="7"/>
        <v>-0.69452589240392948</v>
      </c>
      <c r="AD41" s="3">
        <f t="shared" si="8"/>
        <v>-1.224238038398044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13.65</v>
      </c>
      <c r="J42" s="47">
        <v>62</v>
      </c>
      <c r="K42" s="47">
        <v>63.2</v>
      </c>
      <c r="L42" s="47">
        <v>64.3</v>
      </c>
      <c r="M42" s="47">
        <v>64</v>
      </c>
      <c r="N42" s="47">
        <v>63.9</v>
      </c>
      <c r="O42" s="47">
        <v>62.5</v>
      </c>
      <c r="P42" s="47">
        <v>64.099999999999994</v>
      </c>
      <c r="Q42" s="47">
        <v>64</v>
      </c>
      <c r="R42" s="47">
        <v>63.1</v>
      </c>
      <c r="S42" s="47">
        <v>63.5</v>
      </c>
      <c r="T42" s="47">
        <v>63.2</v>
      </c>
      <c r="U42" s="47">
        <v>64.8</v>
      </c>
      <c r="V42" s="49">
        <f t="shared" ref="V42:V73" si="9">AVERAGE(J42:U42)</f>
        <v>63.550000000000004</v>
      </c>
      <c r="W42" s="48">
        <f t="shared" ref="W42:W73" si="10">STDEV(J42:U42)/SQRT(COUNT(J42:U42))</f>
        <v>0.22879791268384567</v>
      </c>
      <c r="X42" s="47">
        <f t="shared" ref="X42:X73" si="11">MIN(J42:U42)</f>
        <v>62</v>
      </c>
      <c r="Y42" s="46">
        <f t="shared" ref="Y42:Y73" si="12">QUARTILE(J42:U42,1)</f>
        <v>63.175000000000004</v>
      </c>
      <c r="Z42" s="47">
        <f t="shared" ref="Z42:Z73" si="13">MEDIAN(J42:U42)</f>
        <v>63.7</v>
      </c>
      <c r="AA42" s="46">
        <f t="shared" ref="AA42:AA73" si="14">QUARTILE(J42:U42,3)</f>
        <v>64.025000000000006</v>
      </c>
      <c r="AB42" s="46">
        <f t="shared" ref="AB42:AB73" si="15">MAX(J42:U42)</f>
        <v>64.8</v>
      </c>
      <c r="AC42" s="46">
        <f t="shared" ref="AC42:AC73" si="16">SKEW(J42:U42)</f>
        <v>-0.50219817582959503</v>
      </c>
      <c r="AD42" s="46">
        <f t="shared" ref="AD42:AD73" si="17">KURT(J42:U42)</f>
        <v>-3.8208570951832499E-2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13.629</v>
      </c>
      <c r="J43" s="39">
        <v>64.8</v>
      </c>
      <c r="K43" s="39">
        <v>62.6</v>
      </c>
      <c r="L43" s="39">
        <v>48</v>
      </c>
      <c r="M43" s="39">
        <v>62.5</v>
      </c>
      <c r="N43" s="39">
        <v>40.5</v>
      </c>
      <c r="O43" s="39">
        <v>60.5</v>
      </c>
      <c r="P43" s="39">
        <v>43.7</v>
      </c>
      <c r="Q43" s="39">
        <v>64.2</v>
      </c>
      <c r="R43" s="39">
        <v>53.1</v>
      </c>
      <c r="S43" s="39">
        <v>61.3</v>
      </c>
      <c r="T43" s="39">
        <v>44.3</v>
      </c>
      <c r="U43" s="39">
        <v>61.1</v>
      </c>
      <c r="V43" s="5">
        <f t="shared" si="9"/>
        <v>55.54999999999999</v>
      </c>
      <c r="W43" s="4">
        <f t="shared" si="10"/>
        <v>2.6158751939462035</v>
      </c>
      <c r="X43" s="2">
        <f t="shared" si="11"/>
        <v>40.5</v>
      </c>
      <c r="Y43" s="3">
        <f t="shared" si="12"/>
        <v>47.075000000000003</v>
      </c>
      <c r="Z43" s="2">
        <f t="shared" si="13"/>
        <v>60.8</v>
      </c>
      <c r="AA43" s="3">
        <f t="shared" si="14"/>
        <v>62.524999999999999</v>
      </c>
      <c r="AB43" s="3">
        <f t="shared" si="15"/>
        <v>64.8</v>
      </c>
      <c r="AC43" s="3">
        <f t="shared" si="16"/>
        <v>-0.63550587432382455</v>
      </c>
      <c r="AD43" s="3">
        <f t="shared" si="17"/>
        <v>-1.4464989969492117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13.617000000000001</v>
      </c>
      <c r="J44" s="47">
        <v>36.6</v>
      </c>
      <c r="K44" s="47">
        <v>39.799999999999997</v>
      </c>
      <c r="L44" s="47">
        <v>38.299999999999997</v>
      </c>
      <c r="M44" s="47">
        <v>39.799999999999997</v>
      </c>
      <c r="N44" s="47">
        <v>38.9</v>
      </c>
      <c r="O44" s="47">
        <v>38.200000000000003</v>
      </c>
      <c r="P44" s="47">
        <v>38.299999999999997</v>
      </c>
      <c r="Q44" s="47">
        <v>37.9</v>
      </c>
      <c r="R44" s="47">
        <v>37.5</v>
      </c>
      <c r="S44" s="47">
        <v>37</v>
      </c>
      <c r="T44" s="47">
        <v>38.200000000000003</v>
      </c>
      <c r="U44" s="47">
        <v>39.1</v>
      </c>
      <c r="V44" s="49">
        <f t="shared" si="9"/>
        <v>38.300000000000004</v>
      </c>
      <c r="W44" s="48">
        <f t="shared" si="10"/>
        <v>0.28735997907808497</v>
      </c>
      <c r="X44" s="47">
        <f t="shared" si="11"/>
        <v>36.6</v>
      </c>
      <c r="Y44" s="46">
        <f t="shared" si="12"/>
        <v>37.799999999999997</v>
      </c>
      <c r="Z44" s="47">
        <f t="shared" si="13"/>
        <v>38.25</v>
      </c>
      <c r="AA44" s="46">
        <f t="shared" si="14"/>
        <v>38.950000000000003</v>
      </c>
      <c r="AB44" s="46">
        <f t="shared" si="15"/>
        <v>39.799999999999997</v>
      </c>
      <c r="AC44" s="46">
        <f t="shared" si="16"/>
        <v>-2.3225075605832181E-2</v>
      </c>
      <c r="AD44" s="46">
        <f t="shared" si="17"/>
        <v>-0.45337047947703635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13.587999999999999</v>
      </c>
      <c r="J45" s="39">
        <v>64.599999999999994</v>
      </c>
      <c r="K45" s="39">
        <v>64.3</v>
      </c>
      <c r="L45" s="39">
        <v>51.5</v>
      </c>
      <c r="M45" s="39">
        <v>60.9</v>
      </c>
      <c r="N45" s="39">
        <v>45</v>
      </c>
      <c r="O45" s="39">
        <v>56.8</v>
      </c>
      <c r="P45" s="39">
        <v>53.9</v>
      </c>
      <c r="Q45" s="39">
        <v>53.4</v>
      </c>
      <c r="R45" s="39">
        <v>59.2</v>
      </c>
      <c r="S45" s="39">
        <v>51.6</v>
      </c>
      <c r="T45" s="39">
        <v>53.9</v>
      </c>
      <c r="U45" s="39">
        <v>58</v>
      </c>
      <c r="V45" s="5">
        <f t="shared" si="9"/>
        <v>56.091666666666661</v>
      </c>
      <c r="W45" s="4">
        <f t="shared" si="10"/>
        <v>1.6464589336518602</v>
      </c>
      <c r="X45" s="2">
        <f t="shared" si="11"/>
        <v>45</v>
      </c>
      <c r="Y45" s="3">
        <f t="shared" si="12"/>
        <v>52.95</v>
      </c>
      <c r="Z45" s="2">
        <f t="shared" si="13"/>
        <v>55.349999999999994</v>
      </c>
      <c r="AA45" s="3">
        <f t="shared" si="14"/>
        <v>59.625</v>
      </c>
      <c r="AB45" s="3">
        <f t="shared" si="15"/>
        <v>64.599999999999994</v>
      </c>
      <c r="AC45" s="3">
        <f t="shared" si="16"/>
        <v>-0.16172282241801686</v>
      </c>
      <c r="AD45" s="3">
        <f t="shared" si="17"/>
        <v>-8.6190591914887982E-2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13.577</v>
      </c>
      <c r="J46" s="47">
        <v>61.9</v>
      </c>
      <c r="K46" s="47">
        <v>61.9</v>
      </c>
      <c r="L46" s="47">
        <v>65.400000000000006</v>
      </c>
      <c r="M46" s="47">
        <v>63.9</v>
      </c>
      <c r="N46" s="47">
        <v>65.2</v>
      </c>
      <c r="O46" s="47">
        <v>63.3</v>
      </c>
      <c r="P46" s="47">
        <v>65.3</v>
      </c>
      <c r="Q46" s="47">
        <v>64.400000000000006</v>
      </c>
      <c r="R46" s="47">
        <v>63.5</v>
      </c>
      <c r="S46" s="47">
        <v>64.2</v>
      </c>
      <c r="T46" s="47">
        <v>64.599999999999994</v>
      </c>
      <c r="U46" s="47">
        <v>64.5</v>
      </c>
      <c r="V46" s="49">
        <f t="shared" si="9"/>
        <v>64.00833333333334</v>
      </c>
      <c r="W46" s="48">
        <f t="shared" si="10"/>
        <v>0.34233120886892093</v>
      </c>
      <c r="X46" s="47">
        <f t="shared" si="11"/>
        <v>61.9</v>
      </c>
      <c r="Y46" s="46">
        <f t="shared" si="12"/>
        <v>63.45</v>
      </c>
      <c r="Z46" s="47">
        <f t="shared" si="13"/>
        <v>64.300000000000011</v>
      </c>
      <c r="AA46" s="46">
        <f t="shared" si="14"/>
        <v>64.75</v>
      </c>
      <c r="AB46" s="46">
        <f t="shared" si="15"/>
        <v>65.400000000000006</v>
      </c>
      <c r="AC46" s="46">
        <f t="shared" si="16"/>
        <v>-0.80432532761360021</v>
      </c>
      <c r="AD46" s="46">
        <f t="shared" si="17"/>
        <v>-0.16152486558399604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13.557</v>
      </c>
      <c r="J47" s="39">
        <v>63.1</v>
      </c>
      <c r="K47" s="39">
        <v>57.7</v>
      </c>
      <c r="L47" s="39">
        <v>50.3</v>
      </c>
      <c r="M47" s="39">
        <v>58.4</v>
      </c>
      <c r="N47" s="39">
        <v>53.2</v>
      </c>
      <c r="O47" s="39">
        <v>53.8</v>
      </c>
      <c r="P47" s="39">
        <v>56.3</v>
      </c>
      <c r="Q47" s="39">
        <v>54.9</v>
      </c>
      <c r="R47" s="39">
        <v>54</v>
      </c>
      <c r="S47" s="39">
        <v>59.2</v>
      </c>
      <c r="T47" s="39">
        <v>48.2</v>
      </c>
      <c r="U47" s="39">
        <v>57.9</v>
      </c>
      <c r="V47" s="5">
        <f t="shared" si="9"/>
        <v>55.583333333333343</v>
      </c>
      <c r="W47" s="4">
        <f t="shared" si="10"/>
        <v>1.1746587727179465</v>
      </c>
      <c r="X47" s="2">
        <f t="shared" si="11"/>
        <v>48.2</v>
      </c>
      <c r="Y47" s="3">
        <f t="shared" si="12"/>
        <v>53.65</v>
      </c>
      <c r="Z47" s="2">
        <f t="shared" si="13"/>
        <v>55.599999999999994</v>
      </c>
      <c r="AA47" s="3">
        <f t="shared" si="14"/>
        <v>58.024999999999999</v>
      </c>
      <c r="AB47" s="3">
        <f t="shared" si="15"/>
        <v>63.1</v>
      </c>
      <c r="AC47" s="3">
        <f t="shared" si="16"/>
        <v>-9.2023389528427174E-2</v>
      </c>
      <c r="AD47" s="3">
        <f t="shared" si="17"/>
        <v>0.14812304971453294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13.324999999999999</v>
      </c>
      <c r="J48" s="39">
        <v>32.700000000000003</v>
      </c>
      <c r="K48" s="39">
        <v>31.2</v>
      </c>
      <c r="L48" s="39">
        <v>30.2</v>
      </c>
      <c r="M48" s="39">
        <v>31.8</v>
      </c>
      <c r="N48" s="39">
        <v>32.4</v>
      </c>
      <c r="O48" s="39">
        <v>32.799999999999997</v>
      </c>
      <c r="P48" s="39">
        <v>31.6</v>
      </c>
      <c r="Q48" s="39">
        <v>29.8</v>
      </c>
      <c r="R48" s="39">
        <v>32.4</v>
      </c>
      <c r="S48" s="39">
        <v>31.3</v>
      </c>
      <c r="T48" s="39">
        <v>31.9</v>
      </c>
      <c r="U48" s="39">
        <v>31.2</v>
      </c>
      <c r="V48" s="5">
        <f t="shared" si="9"/>
        <v>31.608333333333334</v>
      </c>
      <c r="W48" s="4">
        <f t="shared" si="10"/>
        <v>0.27064970464839344</v>
      </c>
      <c r="X48" s="2">
        <f t="shared" si="11"/>
        <v>29.8</v>
      </c>
      <c r="Y48" s="3">
        <f t="shared" si="12"/>
        <v>31.2</v>
      </c>
      <c r="Z48" s="2">
        <f t="shared" si="13"/>
        <v>31.700000000000003</v>
      </c>
      <c r="AA48" s="3">
        <f t="shared" si="14"/>
        <v>32.4</v>
      </c>
      <c r="AB48" s="3">
        <f t="shared" si="15"/>
        <v>32.799999999999997</v>
      </c>
      <c r="AC48" s="3">
        <f t="shared" si="16"/>
        <v>-0.64262800438390522</v>
      </c>
      <c r="AD48" s="3">
        <f t="shared" si="17"/>
        <v>-0.17424893806234909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13.265000000000001</v>
      </c>
      <c r="J49" s="39">
        <v>30.2</v>
      </c>
      <c r="K49" s="39">
        <v>31.1</v>
      </c>
      <c r="L49" s="39">
        <v>30.6</v>
      </c>
      <c r="M49" s="39">
        <v>31.3</v>
      </c>
      <c r="N49" s="39">
        <v>30.9</v>
      </c>
      <c r="O49" s="39">
        <v>30.6</v>
      </c>
      <c r="P49" s="39">
        <v>31</v>
      </c>
      <c r="Q49" s="39">
        <v>31.4</v>
      </c>
      <c r="R49" s="39">
        <v>32.200000000000003</v>
      </c>
      <c r="S49" s="39">
        <v>33.200000000000003</v>
      </c>
      <c r="T49" s="39">
        <v>32.6</v>
      </c>
      <c r="U49" s="39">
        <v>32.4</v>
      </c>
      <c r="V49" s="5">
        <f t="shared" si="9"/>
        <v>31.458333333333332</v>
      </c>
      <c r="W49" s="4">
        <f t="shared" si="10"/>
        <v>0.26840108310910654</v>
      </c>
      <c r="X49" s="2">
        <f t="shared" si="11"/>
        <v>30.2</v>
      </c>
      <c r="Y49" s="3">
        <f t="shared" si="12"/>
        <v>30.824999999999999</v>
      </c>
      <c r="Z49" s="2">
        <f t="shared" si="13"/>
        <v>31.200000000000003</v>
      </c>
      <c r="AA49" s="3">
        <f t="shared" si="14"/>
        <v>32.25</v>
      </c>
      <c r="AB49" s="3">
        <f t="shared" si="15"/>
        <v>33.200000000000003</v>
      </c>
      <c r="AC49" s="3">
        <f t="shared" si="16"/>
        <v>0.6021514619408137</v>
      </c>
      <c r="AD49" s="3">
        <f t="shared" si="17"/>
        <v>-0.714339695055215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13.242000000000001</v>
      </c>
      <c r="J50" s="39">
        <v>30.7</v>
      </c>
      <c r="K50" s="39">
        <v>31.3</v>
      </c>
      <c r="L50" s="39">
        <v>31.8</v>
      </c>
      <c r="M50" s="39">
        <v>34.6</v>
      </c>
      <c r="N50" s="39">
        <v>31.3</v>
      </c>
      <c r="O50" s="39">
        <v>32.200000000000003</v>
      </c>
      <c r="P50" s="39">
        <v>31.3</v>
      </c>
      <c r="Q50" s="39">
        <v>32.299999999999997</v>
      </c>
      <c r="R50" s="39">
        <v>31.6</v>
      </c>
      <c r="S50" s="39">
        <v>32.200000000000003</v>
      </c>
      <c r="T50" s="39">
        <v>32.6</v>
      </c>
      <c r="U50" s="39">
        <v>30.9</v>
      </c>
      <c r="V50" s="5">
        <f t="shared" si="9"/>
        <v>31.900000000000006</v>
      </c>
      <c r="W50" s="4">
        <f t="shared" si="10"/>
        <v>0.2982270845168058</v>
      </c>
      <c r="X50" s="2">
        <f t="shared" si="11"/>
        <v>30.7</v>
      </c>
      <c r="Y50" s="3">
        <f t="shared" si="12"/>
        <v>31.3</v>
      </c>
      <c r="Z50" s="2">
        <f t="shared" si="13"/>
        <v>31.700000000000003</v>
      </c>
      <c r="AA50" s="3">
        <f t="shared" si="14"/>
        <v>32.225000000000001</v>
      </c>
      <c r="AB50" s="3">
        <f t="shared" si="15"/>
        <v>34.6</v>
      </c>
      <c r="AC50" s="3">
        <f t="shared" si="16"/>
        <v>1.6562690898854278</v>
      </c>
      <c r="AD50" s="3">
        <f t="shared" si="17"/>
        <v>3.837575734710077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13.218999999999999</v>
      </c>
      <c r="J51" s="39">
        <v>30.9</v>
      </c>
      <c r="K51" s="39">
        <v>32.299999999999997</v>
      </c>
      <c r="L51" s="39">
        <v>31.6</v>
      </c>
      <c r="M51" s="39">
        <v>30.7</v>
      </c>
      <c r="N51" s="39">
        <v>33.1</v>
      </c>
      <c r="O51" s="39">
        <v>32.299999999999997</v>
      </c>
      <c r="P51" s="39">
        <v>32.5</v>
      </c>
      <c r="Q51" s="39">
        <v>33.1</v>
      </c>
      <c r="R51" s="39">
        <v>32.700000000000003</v>
      </c>
      <c r="S51" s="39">
        <v>33.200000000000003</v>
      </c>
      <c r="T51" s="39">
        <v>32.6</v>
      </c>
      <c r="U51" s="39">
        <v>32.200000000000003</v>
      </c>
      <c r="V51" s="5">
        <f t="shared" si="9"/>
        <v>32.266666666666666</v>
      </c>
      <c r="W51" s="4">
        <f t="shared" si="10"/>
        <v>0.23655780680331839</v>
      </c>
      <c r="X51" s="2">
        <f t="shared" si="11"/>
        <v>30.7</v>
      </c>
      <c r="Y51" s="3">
        <f t="shared" si="12"/>
        <v>32.050000000000004</v>
      </c>
      <c r="Z51" s="2">
        <f t="shared" si="13"/>
        <v>32.4</v>
      </c>
      <c r="AA51" s="3">
        <f t="shared" si="14"/>
        <v>32.800000000000004</v>
      </c>
      <c r="AB51" s="3">
        <f t="shared" si="15"/>
        <v>33.200000000000003</v>
      </c>
      <c r="AC51" s="3">
        <f t="shared" si="16"/>
        <v>-0.91052269617051673</v>
      </c>
      <c r="AD51" s="3">
        <f t="shared" si="17"/>
        <v>-2.0192495666578658E-2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13.195</v>
      </c>
      <c r="J52" s="39">
        <v>30.9</v>
      </c>
      <c r="K52" s="39">
        <v>30.3</v>
      </c>
      <c r="L52" s="39">
        <v>30.1</v>
      </c>
      <c r="M52" s="39">
        <v>30.4</v>
      </c>
      <c r="N52" s="39">
        <v>29.2</v>
      </c>
      <c r="O52" s="39">
        <v>29.3</v>
      </c>
      <c r="P52" s="39">
        <v>28.1</v>
      </c>
      <c r="Q52" s="39">
        <v>30.9</v>
      </c>
      <c r="R52" s="39">
        <v>31.1</v>
      </c>
      <c r="S52" s="39">
        <v>31.9</v>
      </c>
      <c r="T52" s="39">
        <v>31.5</v>
      </c>
      <c r="U52" s="39">
        <v>30.5</v>
      </c>
      <c r="V52" s="5">
        <f t="shared" si="9"/>
        <v>30.349999999999998</v>
      </c>
      <c r="W52" s="4">
        <f t="shared" si="10"/>
        <v>0.30735923114443281</v>
      </c>
      <c r="X52" s="2">
        <f t="shared" si="11"/>
        <v>28.1</v>
      </c>
      <c r="Y52" s="3">
        <f t="shared" si="12"/>
        <v>29.900000000000002</v>
      </c>
      <c r="Z52" s="2">
        <f t="shared" si="13"/>
        <v>30.45</v>
      </c>
      <c r="AA52" s="3">
        <f t="shared" si="14"/>
        <v>30.95</v>
      </c>
      <c r="AB52" s="3">
        <f t="shared" si="15"/>
        <v>31.9</v>
      </c>
      <c r="AC52" s="3">
        <f t="shared" si="16"/>
        <v>-0.73046053076546036</v>
      </c>
      <c r="AD52" s="3">
        <f t="shared" si="17"/>
        <v>0.45659851486389247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13.172000000000001</v>
      </c>
      <c r="J53" s="39">
        <v>30.5</v>
      </c>
      <c r="K53" s="39">
        <v>30.8</v>
      </c>
      <c r="L53" s="39">
        <v>30.2</v>
      </c>
      <c r="M53" s="39">
        <v>31.6</v>
      </c>
      <c r="N53" s="39">
        <v>31.8</v>
      </c>
      <c r="O53" s="39">
        <v>29.6</v>
      </c>
      <c r="P53" s="39">
        <v>29.8</v>
      </c>
      <c r="Q53" s="39">
        <v>29.2</v>
      </c>
      <c r="R53" s="39">
        <v>29.1</v>
      </c>
      <c r="S53" s="39">
        <v>29.2</v>
      </c>
      <c r="T53" s="39">
        <v>29.1</v>
      </c>
      <c r="U53" s="39">
        <v>30.8</v>
      </c>
      <c r="V53" s="5">
        <f t="shared" si="9"/>
        <v>30.141666666666669</v>
      </c>
      <c r="W53" s="4">
        <f t="shared" si="10"/>
        <v>0.27837687919201715</v>
      </c>
      <c r="X53" s="2">
        <f t="shared" si="11"/>
        <v>29.1</v>
      </c>
      <c r="Y53" s="3">
        <f t="shared" si="12"/>
        <v>29.2</v>
      </c>
      <c r="Z53" s="2">
        <f t="shared" si="13"/>
        <v>30</v>
      </c>
      <c r="AA53" s="3">
        <f t="shared" si="14"/>
        <v>30.8</v>
      </c>
      <c r="AB53" s="3">
        <f t="shared" si="15"/>
        <v>31.8</v>
      </c>
      <c r="AC53" s="3">
        <f t="shared" si="16"/>
        <v>0.50479090537574367</v>
      </c>
      <c r="AD53" s="3">
        <f t="shared" si="17"/>
        <v>-1.0257810392357838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13.15</v>
      </c>
      <c r="J54" s="39">
        <v>29.4</v>
      </c>
      <c r="K54" s="39">
        <v>31.1</v>
      </c>
      <c r="L54" s="39">
        <v>30.3</v>
      </c>
      <c r="M54" s="39">
        <v>28.8</v>
      </c>
      <c r="N54" s="39">
        <v>29.4</v>
      </c>
      <c r="O54" s="39">
        <v>30.3</v>
      </c>
      <c r="P54" s="39">
        <v>30.9</v>
      </c>
      <c r="Q54" s="39">
        <v>28.8</v>
      </c>
      <c r="R54" s="39">
        <v>30.4</v>
      </c>
      <c r="S54" s="39">
        <v>31.5</v>
      </c>
      <c r="T54" s="39">
        <v>30.6</v>
      </c>
      <c r="U54" s="39">
        <v>30.8</v>
      </c>
      <c r="V54" s="5">
        <f t="shared" si="9"/>
        <v>30.191666666666674</v>
      </c>
      <c r="W54" s="4">
        <f t="shared" si="10"/>
        <v>0.25774615575810406</v>
      </c>
      <c r="X54" s="2">
        <f t="shared" si="11"/>
        <v>28.8</v>
      </c>
      <c r="Y54" s="3">
        <f t="shared" si="12"/>
        <v>29.4</v>
      </c>
      <c r="Z54" s="2">
        <f t="shared" si="13"/>
        <v>30.35</v>
      </c>
      <c r="AA54" s="3">
        <f t="shared" si="14"/>
        <v>30.824999999999999</v>
      </c>
      <c r="AB54" s="3">
        <f t="shared" si="15"/>
        <v>31.5</v>
      </c>
      <c r="AC54" s="3">
        <f t="shared" si="16"/>
        <v>-0.418987536748964</v>
      </c>
      <c r="AD54" s="3">
        <f t="shared" si="17"/>
        <v>-0.97939495814314936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13.121</v>
      </c>
      <c r="J55" s="39">
        <v>30.5</v>
      </c>
      <c r="K55" s="39">
        <v>29.4</v>
      </c>
      <c r="L55" s="39">
        <v>29.3</v>
      </c>
      <c r="M55" s="39">
        <v>29.7</v>
      </c>
      <c r="N55" s="39">
        <v>29.7</v>
      </c>
      <c r="O55" s="39">
        <v>30.1</v>
      </c>
      <c r="P55" s="39">
        <v>30.3</v>
      </c>
      <c r="Q55" s="39">
        <v>30.4</v>
      </c>
      <c r="R55" s="39">
        <v>30.3</v>
      </c>
      <c r="S55" s="39">
        <v>30.8</v>
      </c>
      <c r="T55" s="39">
        <v>29.4</v>
      </c>
      <c r="U55" s="39">
        <v>31.2</v>
      </c>
      <c r="V55" s="5">
        <f t="shared" si="9"/>
        <v>30.091666666666665</v>
      </c>
      <c r="W55" s="4">
        <f t="shared" si="10"/>
        <v>0.17340543372237352</v>
      </c>
      <c r="X55" s="2">
        <f t="shared" si="11"/>
        <v>29.3</v>
      </c>
      <c r="Y55" s="3">
        <f t="shared" si="12"/>
        <v>29.625</v>
      </c>
      <c r="Z55" s="2">
        <f t="shared" si="13"/>
        <v>30.200000000000003</v>
      </c>
      <c r="AA55" s="3">
        <f t="shared" si="14"/>
        <v>30.424999999999997</v>
      </c>
      <c r="AB55" s="3">
        <f t="shared" si="15"/>
        <v>31.2</v>
      </c>
      <c r="AC55" s="3">
        <f t="shared" si="16"/>
        <v>0.27894809775118251</v>
      </c>
      <c r="AD55" s="3">
        <f t="shared" si="17"/>
        <v>-0.76695699481036339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13.351000000000001</v>
      </c>
      <c r="J56" s="39">
        <v>31.8</v>
      </c>
      <c r="K56" s="39">
        <v>33.700000000000003</v>
      </c>
      <c r="L56" s="39">
        <v>31.7</v>
      </c>
      <c r="M56" s="39">
        <v>30.6</v>
      </c>
      <c r="N56" s="39">
        <v>29.5</v>
      </c>
      <c r="O56" s="39">
        <v>34.5</v>
      </c>
      <c r="P56" s="39">
        <v>30.4</v>
      </c>
      <c r="Q56" s="39">
        <v>30.3</v>
      </c>
      <c r="R56" s="39">
        <v>31.5</v>
      </c>
      <c r="S56" s="39">
        <v>29.9</v>
      </c>
      <c r="T56" s="39">
        <v>32.700000000000003</v>
      </c>
      <c r="U56" s="39">
        <v>32.200000000000003</v>
      </c>
      <c r="V56" s="5">
        <f t="shared" si="9"/>
        <v>31.566666666666663</v>
      </c>
      <c r="W56" s="4">
        <f t="shared" si="10"/>
        <v>0.44267323835939776</v>
      </c>
      <c r="X56" s="2">
        <f t="shared" si="11"/>
        <v>29.5</v>
      </c>
      <c r="Y56" s="3">
        <f t="shared" si="12"/>
        <v>30.375</v>
      </c>
      <c r="Z56" s="2">
        <f t="shared" si="13"/>
        <v>31.6</v>
      </c>
      <c r="AA56" s="3">
        <f t="shared" si="14"/>
        <v>32.325000000000003</v>
      </c>
      <c r="AB56" s="3">
        <f t="shared" si="15"/>
        <v>34.5</v>
      </c>
      <c r="AC56" s="3">
        <f t="shared" si="16"/>
        <v>0.56552066094577969</v>
      </c>
      <c r="AD56" s="3">
        <f t="shared" si="17"/>
        <v>-0.39084692847273272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13.375999999999999</v>
      </c>
      <c r="J57" s="39">
        <v>32.1</v>
      </c>
      <c r="K57" s="39">
        <v>32.700000000000003</v>
      </c>
      <c r="L57" s="39">
        <v>32.700000000000003</v>
      </c>
      <c r="M57" s="39">
        <v>33.799999999999997</v>
      </c>
      <c r="N57" s="39">
        <v>32.200000000000003</v>
      </c>
      <c r="O57" s="39">
        <v>32.299999999999997</v>
      </c>
      <c r="P57" s="39">
        <v>31.9</v>
      </c>
      <c r="Q57" s="39">
        <v>32.799999999999997</v>
      </c>
      <c r="R57" s="39">
        <v>33.299999999999997</v>
      </c>
      <c r="S57" s="39">
        <v>32.700000000000003</v>
      </c>
      <c r="T57" s="39">
        <v>33.299999999999997</v>
      </c>
      <c r="U57" s="39">
        <v>33.200000000000003</v>
      </c>
      <c r="V57" s="5">
        <f t="shared" si="9"/>
        <v>32.75</v>
      </c>
      <c r="W57" s="4">
        <f t="shared" si="10"/>
        <v>0.16445502286477742</v>
      </c>
      <c r="X57" s="2">
        <f t="shared" si="11"/>
        <v>31.9</v>
      </c>
      <c r="Y57" s="3">
        <f t="shared" si="12"/>
        <v>32.274999999999999</v>
      </c>
      <c r="Z57" s="2">
        <f t="shared" si="13"/>
        <v>32.700000000000003</v>
      </c>
      <c r="AA57" s="3">
        <f t="shared" si="14"/>
        <v>33.225000000000001</v>
      </c>
      <c r="AB57" s="3">
        <f t="shared" si="15"/>
        <v>33.799999999999997</v>
      </c>
      <c r="AC57" s="3">
        <f t="shared" si="16"/>
        <v>0.2566637418164785</v>
      </c>
      <c r="AD57" s="3">
        <f t="shared" si="17"/>
        <v>-0.63350830528289848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13.4</v>
      </c>
      <c r="J58" s="39">
        <v>29.7</v>
      </c>
      <c r="K58" s="39">
        <v>32.1</v>
      </c>
      <c r="L58" s="39">
        <v>30.6</v>
      </c>
      <c r="M58" s="39">
        <v>31.5</v>
      </c>
      <c r="N58" s="39">
        <v>31.1</v>
      </c>
      <c r="O58" s="39">
        <v>33.700000000000003</v>
      </c>
      <c r="P58" s="39">
        <v>32.299999999999997</v>
      </c>
      <c r="Q58" s="39">
        <v>33.299999999999997</v>
      </c>
      <c r="R58" s="39">
        <v>30.2</v>
      </c>
      <c r="S58" s="39">
        <v>31.6</v>
      </c>
      <c r="T58" s="39">
        <v>31.3</v>
      </c>
      <c r="U58" s="39">
        <v>33.4</v>
      </c>
      <c r="V58" s="5">
        <f t="shared" si="9"/>
        <v>31.733333333333334</v>
      </c>
      <c r="W58" s="4">
        <f t="shared" si="10"/>
        <v>0.36913767927783558</v>
      </c>
      <c r="X58" s="2">
        <f t="shared" si="11"/>
        <v>29.7</v>
      </c>
      <c r="Y58" s="3">
        <f t="shared" si="12"/>
        <v>30.975000000000001</v>
      </c>
      <c r="Z58" s="2">
        <f t="shared" si="13"/>
        <v>31.55</v>
      </c>
      <c r="AA58" s="3">
        <f t="shared" si="14"/>
        <v>32.549999999999997</v>
      </c>
      <c r="AB58" s="3">
        <f t="shared" si="15"/>
        <v>33.700000000000003</v>
      </c>
      <c r="AC58" s="3">
        <f t="shared" si="16"/>
        <v>0.13016756120850345</v>
      </c>
      <c r="AD58" s="3">
        <f t="shared" si="17"/>
        <v>-0.8925789687993313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13.422000000000001</v>
      </c>
      <c r="J59" s="39">
        <v>32.799999999999997</v>
      </c>
      <c r="K59" s="39">
        <v>32.200000000000003</v>
      </c>
      <c r="L59" s="39">
        <v>32.299999999999997</v>
      </c>
      <c r="M59" s="39">
        <v>31.7</v>
      </c>
      <c r="N59" s="39">
        <v>31.8</v>
      </c>
      <c r="O59" s="39">
        <v>33.5</v>
      </c>
      <c r="P59" s="39">
        <v>32.200000000000003</v>
      </c>
      <c r="Q59" s="39">
        <v>32.200000000000003</v>
      </c>
      <c r="R59" s="39">
        <v>33</v>
      </c>
      <c r="S59" s="39">
        <v>35.5</v>
      </c>
      <c r="T59" s="39">
        <v>33.4</v>
      </c>
      <c r="U59" s="39">
        <v>33.1</v>
      </c>
      <c r="V59" s="5">
        <f t="shared" si="9"/>
        <v>32.80833333333333</v>
      </c>
      <c r="W59" s="4">
        <f t="shared" si="10"/>
        <v>0.2991043026076084</v>
      </c>
      <c r="X59" s="2">
        <f t="shared" si="11"/>
        <v>31.7</v>
      </c>
      <c r="Y59" s="3">
        <f t="shared" si="12"/>
        <v>32.200000000000003</v>
      </c>
      <c r="Z59" s="2">
        <f t="shared" si="13"/>
        <v>32.549999999999997</v>
      </c>
      <c r="AA59" s="3">
        <f t="shared" si="14"/>
        <v>33.174999999999997</v>
      </c>
      <c r="AB59" s="3">
        <f t="shared" si="15"/>
        <v>35.5</v>
      </c>
      <c r="AC59" s="3">
        <f t="shared" si="16"/>
        <v>1.6552500805320891</v>
      </c>
      <c r="AD59" s="3">
        <f t="shared" si="17"/>
        <v>3.6054769739616557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13.448</v>
      </c>
      <c r="J60" s="39">
        <v>31.4</v>
      </c>
      <c r="K60" s="39">
        <v>30.7</v>
      </c>
      <c r="L60" s="39">
        <v>30.9</v>
      </c>
      <c r="M60" s="39">
        <v>31.9</v>
      </c>
      <c r="N60" s="39">
        <v>30.8</v>
      </c>
      <c r="O60" s="39">
        <v>30.3</v>
      </c>
      <c r="P60" s="39">
        <v>30.1</v>
      </c>
      <c r="Q60" s="39">
        <v>31.1</v>
      </c>
      <c r="R60" s="39">
        <v>30.9</v>
      </c>
      <c r="S60" s="39">
        <v>34.1</v>
      </c>
      <c r="T60" s="39">
        <v>29.8</v>
      </c>
      <c r="U60" s="39">
        <v>31.4</v>
      </c>
      <c r="V60" s="5">
        <f t="shared" si="9"/>
        <v>31.116666666666671</v>
      </c>
      <c r="W60" s="4">
        <f t="shared" si="10"/>
        <v>0.31952458371142528</v>
      </c>
      <c r="X60" s="2">
        <f t="shared" si="11"/>
        <v>29.8</v>
      </c>
      <c r="Y60" s="3">
        <f t="shared" si="12"/>
        <v>30.6</v>
      </c>
      <c r="Z60" s="2">
        <f t="shared" si="13"/>
        <v>30.9</v>
      </c>
      <c r="AA60" s="3">
        <f t="shared" si="14"/>
        <v>31.4</v>
      </c>
      <c r="AB60" s="3">
        <f t="shared" si="15"/>
        <v>34.1</v>
      </c>
      <c r="AC60" s="3">
        <f t="shared" si="16"/>
        <v>1.8563782871562455</v>
      </c>
      <c r="AD60" s="3">
        <f t="shared" si="17"/>
        <v>4.8026397894657897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13.467000000000001</v>
      </c>
      <c r="J61" s="39">
        <v>31.2</v>
      </c>
      <c r="K61" s="39">
        <v>31.1</v>
      </c>
      <c r="L61" s="39">
        <v>29.7</v>
      </c>
      <c r="M61" s="39">
        <v>30.9</v>
      </c>
      <c r="N61" s="39">
        <v>30.5</v>
      </c>
      <c r="O61" s="39">
        <v>30.6</v>
      </c>
      <c r="P61" s="39">
        <v>30.9</v>
      </c>
      <c r="Q61" s="39">
        <v>29.8</v>
      </c>
      <c r="R61" s="39">
        <v>29.8</v>
      </c>
      <c r="S61" s="39">
        <v>30.4</v>
      </c>
      <c r="T61" s="39">
        <v>29.9</v>
      </c>
      <c r="U61" s="39">
        <v>31</v>
      </c>
      <c r="V61" s="5">
        <f t="shared" si="9"/>
        <v>30.483333333333331</v>
      </c>
      <c r="W61" s="4">
        <f t="shared" si="10"/>
        <v>0.16088454986057046</v>
      </c>
      <c r="X61" s="2">
        <f t="shared" si="11"/>
        <v>29.7</v>
      </c>
      <c r="Y61" s="3">
        <f t="shared" si="12"/>
        <v>29.875</v>
      </c>
      <c r="Z61" s="2">
        <f t="shared" si="13"/>
        <v>30.55</v>
      </c>
      <c r="AA61" s="3">
        <f t="shared" si="14"/>
        <v>30.924999999999997</v>
      </c>
      <c r="AB61" s="3">
        <f t="shared" si="15"/>
        <v>31.2</v>
      </c>
      <c r="AC61" s="3">
        <f t="shared" si="16"/>
        <v>-0.27168326560690631</v>
      </c>
      <c r="AD61" s="3">
        <f t="shared" si="17"/>
        <v>-1.6347081023200536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13.502000000000001</v>
      </c>
      <c r="J62" s="39">
        <v>30.5</v>
      </c>
      <c r="K62" s="39">
        <v>32.700000000000003</v>
      </c>
      <c r="L62" s="39">
        <v>31.1</v>
      </c>
      <c r="M62" s="39">
        <v>30.4</v>
      </c>
      <c r="N62" s="39">
        <v>30.3</v>
      </c>
      <c r="O62" s="39">
        <v>31.9</v>
      </c>
      <c r="P62" s="39">
        <v>29.8</v>
      </c>
      <c r="Q62" s="39">
        <v>29.1</v>
      </c>
      <c r="R62" s="39">
        <v>30.5</v>
      </c>
      <c r="S62" s="39">
        <v>33.5</v>
      </c>
      <c r="T62" s="39">
        <v>30</v>
      </c>
      <c r="U62" s="39">
        <v>29.9</v>
      </c>
      <c r="V62" s="5">
        <f t="shared" si="9"/>
        <v>30.808333333333337</v>
      </c>
      <c r="W62" s="4">
        <f t="shared" si="10"/>
        <v>0.37059704763687984</v>
      </c>
      <c r="X62" s="2">
        <f t="shared" si="11"/>
        <v>29.1</v>
      </c>
      <c r="Y62" s="3">
        <f t="shared" si="12"/>
        <v>29.975000000000001</v>
      </c>
      <c r="Z62" s="2">
        <f t="shared" si="13"/>
        <v>30.45</v>
      </c>
      <c r="AA62" s="3">
        <f t="shared" si="14"/>
        <v>31.3</v>
      </c>
      <c r="AB62" s="3">
        <f t="shared" si="15"/>
        <v>33.5</v>
      </c>
      <c r="AC62" s="3">
        <f t="shared" si="16"/>
        <v>1.0337608692533309</v>
      </c>
      <c r="AD62" s="3">
        <f t="shared" si="17"/>
        <v>0.46229756685799472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13.532999999999999</v>
      </c>
      <c r="J63" s="39">
        <v>29</v>
      </c>
      <c r="K63" s="39">
        <v>30.1</v>
      </c>
      <c r="L63" s="39">
        <v>29.6</v>
      </c>
      <c r="M63" s="39">
        <v>30.4</v>
      </c>
      <c r="N63" s="39">
        <v>31.1</v>
      </c>
      <c r="O63" s="39">
        <v>30.6</v>
      </c>
      <c r="P63" s="39">
        <v>30.7</v>
      </c>
      <c r="Q63" s="39">
        <v>31.3</v>
      </c>
      <c r="R63" s="39">
        <v>31.8</v>
      </c>
      <c r="S63" s="39">
        <v>29.8</v>
      </c>
      <c r="T63" s="39">
        <v>30.6</v>
      </c>
      <c r="U63" s="39">
        <v>30.1</v>
      </c>
      <c r="V63" s="5">
        <f t="shared" si="9"/>
        <v>30.425000000000001</v>
      </c>
      <c r="W63" s="4">
        <f t="shared" si="10"/>
        <v>0.22297064625396121</v>
      </c>
      <c r="X63" s="2">
        <f t="shared" si="11"/>
        <v>29</v>
      </c>
      <c r="Y63" s="3">
        <f t="shared" si="12"/>
        <v>30.025000000000002</v>
      </c>
      <c r="Z63" s="2">
        <f t="shared" si="13"/>
        <v>30.5</v>
      </c>
      <c r="AA63" s="3">
        <f t="shared" si="14"/>
        <v>30.8</v>
      </c>
      <c r="AB63" s="3">
        <f t="shared" si="15"/>
        <v>31.8</v>
      </c>
      <c r="AC63" s="3">
        <f t="shared" si="16"/>
        <v>-3.7730608712546382E-2</v>
      </c>
      <c r="AD63" s="3">
        <f t="shared" si="17"/>
        <v>1.2051969160999043E-2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13.709</v>
      </c>
      <c r="J64" s="39">
        <v>31.1</v>
      </c>
      <c r="K64" s="39">
        <v>30.8</v>
      </c>
      <c r="L64" s="39">
        <v>30.9</v>
      </c>
      <c r="M64" s="39">
        <v>30.6</v>
      </c>
      <c r="N64" s="39">
        <v>29.5</v>
      </c>
      <c r="O64" s="39">
        <v>30.8</v>
      </c>
      <c r="P64" s="39">
        <v>30.6</v>
      </c>
      <c r="Q64" s="39">
        <v>31.6</v>
      </c>
      <c r="R64" s="39">
        <v>32.6</v>
      </c>
      <c r="S64" s="39">
        <v>32</v>
      </c>
      <c r="T64" s="39">
        <v>31</v>
      </c>
      <c r="U64" s="39">
        <v>31</v>
      </c>
      <c r="V64" s="5">
        <f t="shared" si="9"/>
        <v>31.041666666666668</v>
      </c>
      <c r="W64" s="4">
        <f t="shared" si="10"/>
        <v>0.22308387243683522</v>
      </c>
      <c r="X64" s="2">
        <f t="shared" si="11"/>
        <v>29.5</v>
      </c>
      <c r="Y64" s="3">
        <f t="shared" si="12"/>
        <v>30.75</v>
      </c>
      <c r="Z64" s="2">
        <f t="shared" si="13"/>
        <v>30.95</v>
      </c>
      <c r="AA64" s="3">
        <f t="shared" si="14"/>
        <v>31.225000000000001</v>
      </c>
      <c r="AB64" s="3">
        <f t="shared" si="15"/>
        <v>32.6</v>
      </c>
      <c r="AC64" s="3">
        <f t="shared" si="16"/>
        <v>0.22952245773334359</v>
      </c>
      <c r="AD64" s="3">
        <f t="shared" si="17"/>
        <v>1.520458898373362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13.731</v>
      </c>
      <c r="J65" s="39">
        <v>31.6</v>
      </c>
      <c r="K65" s="39">
        <v>30.2</v>
      </c>
      <c r="L65" s="39">
        <v>31.6</v>
      </c>
      <c r="M65" s="39">
        <v>30.2</v>
      </c>
      <c r="N65" s="39">
        <v>32.700000000000003</v>
      </c>
      <c r="O65" s="39">
        <v>32.700000000000003</v>
      </c>
      <c r="P65" s="39">
        <v>32.5</v>
      </c>
      <c r="Q65" s="39">
        <v>31.9</v>
      </c>
      <c r="R65" s="39">
        <v>35.1</v>
      </c>
      <c r="S65" s="39">
        <v>31.3</v>
      </c>
      <c r="T65" s="39">
        <v>33.799999999999997</v>
      </c>
      <c r="U65" s="39">
        <v>32.1</v>
      </c>
      <c r="V65" s="5">
        <f t="shared" si="9"/>
        <v>32.141666666666673</v>
      </c>
      <c r="W65" s="4">
        <f t="shared" si="10"/>
        <v>0.40027610420303589</v>
      </c>
      <c r="X65" s="2">
        <f t="shared" si="11"/>
        <v>30.2</v>
      </c>
      <c r="Y65" s="3">
        <f t="shared" si="12"/>
        <v>31.525000000000002</v>
      </c>
      <c r="Z65" s="2">
        <f t="shared" si="13"/>
        <v>32</v>
      </c>
      <c r="AA65" s="3">
        <f t="shared" si="14"/>
        <v>32.700000000000003</v>
      </c>
      <c r="AB65" s="3">
        <f t="shared" si="15"/>
        <v>35.1</v>
      </c>
      <c r="AC65" s="3">
        <f t="shared" si="16"/>
        <v>0.62511679701270206</v>
      </c>
      <c r="AD65" s="3">
        <f t="shared" si="17"/>
        <v>0.8036286475307568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13.759</v>
      </c>
      <c r="J66" s="39">
        <v>29.6</v>
      </c>
      <c r="K66" s="39">
        <v>30.9</v>
      </c>
      <c r="L66" s="39">
        <v>32.9</v>
      </c>
      <c r="M66" s="39">
        <v>29.9</v>
      </c>
      <c r="N66" s="39">
        <v>29.8</v>
      </c>
      <c r="O66" s="39">
        <v>30.4</v>
      </c>
      <c r="P66" s="39">
        <v>30.7</v>
      </c>
      <c r="Q66" s="39">
        <v>31.2</v>
      </c>
      <c r="R66" s="39">
        <v>31.5</v>
      </c>
      <c r="S66" s="39">
        <v>31</v>
      </c>
      <c r="T66" s="39">
        <v>31.7</v>
      </c>
      <c r="U66" s="39">
        <v>31.3</v>
      </c>
      <c r="V66" s="5">
        <f t="shared" si="9"/>
        <v>30.908333333333331</v>
      </c>
      <c r="W66" s="4">
        <f t="shared" si="10"/>
        <v>0.2675529778559676</v>
      </c>
      <c r="X66" s="2">
        <f t="shared" si="11"/>
        <v>29.6</v>
      </c>
      <c r="Y66" s="3">
        <f t="shared" si="12"/>
        <v>30.274999999999999</v>
      </c>
      <c r="Z66" s="2">
        <f t="shared" si="13"/>
        <v>30.95</v>
      </c>
      <c r="AA66" s="3">
        <f t="shared" si="14"/>
        <v>31.35</v>
      </c>
      <c r="AB66" s="3">
        <f t="shared" si="15"/>
        <v>32.9</v>
      </c>
      <c r="AC66" s="3">
        <f t="shared" si="16"/>
        <v>0.53750126846423829</v>
      </c>
      <c r="AD66" s="3">
        <f t="shared" si="17"/>
        <v>0.62675691407835732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13.782999999999999</v>
      </c>
      <c r="J67" s="39">
        <v>29.3</v>
      </c>
      <c r="K67" s="39">
        <v>34.700000000000003</v>
      </c>
      <c r="L67" s="39">
        <v>30.7</v>
      </c>
      <c r="M67" s="39">
        <v>30.6</v>
      </c>
      <c r="N67" s="39">
        <v>30.5</v>
      </c>
      <c r="O67" s="39">
        <v>29.9</v>
      </c>
      <c r="P67" s="39">
        <v>31.7</v>
      </c>
      <c r="Q67" s="39">
        <v>31.7</v>
      </c>
      <c r="R67" s="39">
        <v>31.5</v>
      </c>
      <c r="S67" s="39">
        <v>31</v>
      </c>
      <c r="T67" s="39">
        <v>31.5</v>
      </c>
      <c r="U67" s="39">
        <v>31.9</v>
      </c>
      <c r="V67" s="5">
        <f t="shared" si="9"/>
        <v>31.25</v>
      </c>
      <c r="W67" s="4">
        <f t="shared" si="10"/>
        <v>0.38759163139478764</v>
      </c>
      <c r="X67" s="2">
        <f t="shared" si="11"/>
        <v>29.3</v>
      </c>
      <c r="Y67" s="3">
        <f t="shared" si="12"/>
        <v>30.575000000000003</v>
      </c>
      <c r="Z67" s="2">
        <f t="shared" si="13"/>
        <v>31.25</v>
      </c>
      <c r="AA67" s="3">
        <f t="shared" si="14"/>
        <v>31.7</v>
      </c>
      <c r="AB67" s="3">
        <f t="shared" si="15"/>
        <v>34.700000000000003</v>
      </c>
      <c r="AC67" s="3">
        <f t="shared" si="16"/>
        <v>1.3880849067195145</v>
      </c>
      <c r="AD67" s="3">
        <f t="shared" si="17"/>
        <v>3.739625546342098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13.813000000000001</v>
      </c>
      <c r="J68" s="39">
        <v>34.4</v>
      </c>
      <c r="K68" s="39">
        <v>34.299999999999997</v>
      </c>
      <c r="L68" s="39">
        <v>35.200000000000003</v>
      </c>
      <c r="M68" s="39">
        <v>34.9</v>
      </c>
      <c r="N68" s="39">
        <v>34.9</v>
      </c>
      <c r="O68" s="39">
        <v>38.700000000000003</v>
      </c>
      <c r="P68" s="39">
        <v>35.700000000000003</v>
      </c>
      <c r="Q68" s="39">
        <v>34.700000000000003</v>
      </c>
      <c r="R68" s="39">
        <v>35.1</v>
      </c>
      <c r="S68" s="39">
        <v>36.4</v>
      </c>
      <c r="T68" s="39">
        <v>34</v>
      </c>
      <c r="U68" s="39">
        <v>34.200000000000003</v>
      </c>
      <c r="V68" s="5">
        <f t="shared" si="9"/>
        <v>35.208333333333329</v>
      </c>
      <c r="W68" s="4">
        <f t="shared" si="10"/>
        <v>0.37202523809249549</v>
      </c>
      <c r="X68" s="2">
        <f t="shared" si="11"/>
        <v>34</v>
      </c>
      <c r="Y68" s="3">
        <f t="shared" si="12"/>
        <v>34.375</v>
      </c>
      <c r="Z68" s="2">
        <f t="shared" si="13"/>
        <v>34.9</v>
      </c>
      <c r="AA68" s="3">
        <f t="shared" si="14"/>
        <v>35.325000000000003</v>
      </c>
      <c r="AB68" s="3">
        <f t="shared" si="15"/>
        <v>38.700000000000003</v>
      </c>
      <c r="AC68" s="3">
        <f t="shared" si="16"/>
        <v>2.0449604445322569</v>
      </c>
      <c r="AD68" s="3">
        <f t="shared" si="17"/>
        <v>4.8253624446041492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13.846</v>
      </c>
      <c r="J69" s="39">
        <v>29.1</v>
      </c>
      <c r="K69" s="39">
        <v>30</v>
      </c>
      <c r="L69" s="39">
        <v>30.6</v>
      </c>
      <c r="M69" s="39">
        <v>29.5</v>
      </c>
      <c r="N69" s="39">
        <v>30.7</v>
      </c>
      <c r="O69" s="39">
        <v>32</v>
      </c>
      <c r="P69" s="39">
        <v>31.4</v>
      </c>
      <c r="Q69" s="39">
        <v>33</v>
      </c>
      <c r="R69" s="39">
        <v>30.9</v>
      </c>
      <c r="S69" s="39">
        <v>31.1</v>
      </c>
      <c r="T69" s="39">
        <v>32.700000000000003</v>
      </c>
      <c r="U69" s="39">
        <v>31.4</v>
      </c>
      <c r="V69" s="5">
        <f t="shared" si="9"/>
        <v>31.033333333333331</v>
      </c>
      <c r="W69" s="4">
        <f t="shared" si="10"/>
        <v>0.3407508050043479</v>
      </c>
      <c r="X69" s="2">
        <f t="shared" si="11"/>
        <v>29.1</v>
      </c>
      <c r="Y69" s="3">
        <f t="shared" si="12"/>
        <v>30.450000000000003</v>
      </c>
      <c r="Z69" s="2">
        <f t="shared" si="13"/>
        <v>31</v>
      </c>
      <c r="AA69" s="3">
        <f t="shared" si="14"/>
        <v>31.549999999999997</v>
      </c>
      <c r="AB69" s="3">
        <f t="shared" si="15"/>
        <v>33</v>
      </c>
      <c r="AC69" s="3">
        <f t="shared" si="16"/>
        <v>7.846030150728979E-2</v>
      </c>
      <c r="AD69" s="3">
        <f t="shared" si="17"/>
        <v>-0.43991812541754216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13.868</v>
      </c>
      <c r="J70" s="39">
        <v>31.6</v>
      </c>
      <c r="K70" s="39">
        <v>31.6</v>
      </c>
      <c r="L70" s="39">
        <v>33</v>
      </c>
      <c r="M70" s="39">
        <v>33.4</v>
      </c>
      <c r="N70" s="39">
        <v>32.299999999999997</v>
      </c>
      <c r="O70" s="39">
        <v>32.200000000000003</v>
      </c>
      <c r="P70" s="39">
        <v>32.200000000000003</v>
      </c>
      <c r="Q70" s="39">
        <v>31.4</v>
      </c>
      <c r="R70" s="39">
        <v>32.4</v>
      </c>
      <c r="S70" s="39">
        <v>30.7</v>
      </c>
      <c r="T70" s="39">
        <v>31.1</v>
      </c>
      <c r="U70" s="39">
        <v>31.1</v>
      </c>
      <c r="V70" s="5">
        <f t="shared" si="9"/>
        <v>31.916666666666661</v>
      </c>
      <c r="W70" s="4">
        <f t="shared" si="10"/>
        <v>0.23349561456310472</v>
      </c>
      <c r="X70" s="2">
        <f t="shared" si="11"/>
        <v>30.7</v>
      </c>
      <c r="Y70" s="3">
        <f t="shared" si="12"/>
        <v>31.324999999999999</v>
      </c>
      <c r="Z70" s="2">
        <f t="shared" si="13"/>
        <v>31.900000000000002</v>
      </c>
      <c r="AA70" s="3">
        <f t="shared" si="14"/>
        <v>32.324999999999996</v>
      </c>
      <c r="AB70" s="3">
        <f t="shared" si="15"/>
        <v>33.4</v>
      </c>
      <c r="AC70" s="3">
        <f t="shared" si="16"/>
        <v>0.34181737663734268</v>
      </c>
      <c r="AD70" s="3">
        <f t="shared" si="17"/>
        <v>-0.54342435051650506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13.894</v>
      </c>
      <c r="J71" s="39">
        <v>35.6</v>
      </c>
      <c r="K71" s="39">
        <v>35.1</v>
      </c>
      <c r="L71" s="39">
        <v>35.299999999999997</v>
      </c>
      <c r="M71" s="39">
        <v>36.4</v>
      </c>
      <c r="N71" s="39">
        <v>35.5</v>
      </c>
      <c r="O71" s="39">
        <v>35.1</v>
      </c>
      <c r="P71" s="39">
        <v>36.5</v>
      </c>
      <c r="Q71" s="39">
        <v>35.9</v>
      </c>
      <c r="R71" s="39">
        <v>36.5</v>
      </c>
      <c r="S71" s="39">
        <v>37.4</v>
      </c>
      <c r="T71" s="39">
        <v>36.700000000000003</v>
      </c>
      <c r="U71" s="39">
        <v>33.200000000000003</v>
      </c>
      <c r="V71" s="5">
        <f t="shared" si="9"/>
        <v>35.766666666666659</v>
      </c>
      <c r="W71" s="4">
        <f t="shared" si="10"/>
        <v>0.31172378345534857</v>
      </c>
      <c r="X71" s="2">
        <f t="shared" si="11"/>
        <v>33.200000000000003</v>
      </c>
      <c r="Y71" s="3">
        <f t="shared" si="12"/>
        <v>35.25</v>
      </c>
      <c r="Z71" s="2">
        <f t="shared" si="13"/>
        <v>35.75</v>
      </c>
      <c r="AA71" s="3">
        <f t="shared" si="14"/>
        <v>36.5</v>
      </c>
      <c r="AB71" s="3">
        <f t="shared" si="15"/>
        <v>37.4</v>
      </c>
      <c r="AC71" s="3">
        <f t="shared" si="16"/>
        <v>-0.98861308007545234</v>
      </c>
      <c r="AD71" s="3">
        <f t="shared" si="17"/>
        <v>2.0465766702252681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14.076000000000001</v>
      </c>
      <c r="J72" s="39">
        <v>32.5</v>
      </c>
      <c r="K72" s="39">
        <v>34.799999999999997</v>
      </c>
      <c r="L72" s="39">
        <v>33.299999999999997</v>
      </c>
      <c r="M72" s="39">
        <v>35.299999999999997</v>
      </c>
      <c r="N72" s="39">
        <v>34.4</v>
      </c>
      <c r="O72" s="39">
        <v>33.6</v>
      </c>
      <c r="P72" s="39">
        <v>34.6</v>
      </c>
      <c r="Q72" s="39">
        <v>32.1</v>
      </c>
      <c r="R72" s="39">
        <v>31.9</v>
      </c>
      <c r="S72" s="39">
        <v>32.4</v>
      </c>
      <c r="T72" s="39">
        <v>34.200000000000003</v>
      </c>
      <c r="U72" s="39">
        <v>34.4</v>
      </c>
      <c r="V72" s="5">
        <f t="shared" si="9"/>
        <v>33.624999999999993</v>
      </c>
      <c r="W72" s="4">
        <f t="shared" si="10"/>
        <v>0.33532548638327769</v>
      </c>
      <c r="X72" s="2">
        <f t="shared" si="11"/>
        <v>31.9</v>
      </c>
      <c r="Y72" s="3">
        <f t="shared" si="12"/>
        <v>32.475000000000001</v>
      </c>
      <c r="Z72" s="2">
        <f t="shared" si="13"/>
        <v>33.900000000000006</v>
      </c>
      <c r="AA72" s="3">
        <f t="shared" si="14"/>
        <v>34.450000000000003</v>
      </c>
      <c r="AB72" s="3">
        <f t="shared" si="15"/>
        <v>35.299999999999997</v>
      </c>
      <c r="AC72" s="3">
        <f t="shared" si="16"/>
        <v>-0.25100818650301787</v>
      </c>
      <c r="AD72" s="3">
        <f t="shared" si="17"/>
        <v>-1.4680401699173187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14.048999999999999</v>
      </c>
      <c r="J73" s="39">
        <v>32.200000000000003</v>
      </c>
      <c r="K73" s="39">
        <v>34.700000000000003</v>
      </c>
      <c r="L73" s="39">
        <v>32.6</v>
      </c>
      <c r="M73" s="39">
        <v>33.700000000000003</v>
      </c>
      <c r="N73" s="39">
        <v>34.4</v>
      </c>
      <c r="O73" s="39">
        <v>34.5</v>
      </c>
      <c r="P73" s="39">
        <v>33.799999999999997</v>
      </c>
      <c r="Q73" s="39">
        <v>34.4</v>
      </c>
      <c r="R73" s="39">
        <v>33.4</v>
      </c>
      <c r="S73" s="39">
        <v>33.799999999999997</v>
      </c>
      <c r="T73" s="39">
        <v>33.200000000000003</v>
      </c>
      <c r="U73" s="39">
        <v>32.6</v>
      </c>
      <c r="V73" s="5">
        <f t="shared" si="9"/>
        <v>33.608333333333327</v>
      </c>
      <c r="W73" s="4">
        <f t="shared" si="10"/>
        <v>0.23914568063349265</v>
      </c>
      <c r="X73" s="2">
        <f t="shared" si="11"/>
        <v>32.200000000000003</v>
      </c>
      <c r="Y73" s="3">
        <f t="shared" si="12"/>
        <v>33.050000000000004</v>
      </c>
      <c r="Z73" s="2">
        <f t="shared" si="13"/>
        <v>33.75</v>
      </c>
      <c r="AA73" s="3">
        <f t="shared" si="14"/>
        <v>34.4</v>
      </c>
      <c r="AB73" s="3">
        <f t="shared" si="15"/>
        <v>34.700000000000003</v>
      </c>
      <c r="AC73" s="3">
        <f t="shared" si="16"/>
        <v>-0.3652883453596889</v>
      </c>
      <c r="AD73" s="3">
        <f t="shared" si="17"/>
        <v>-1.065161133948648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14.019</v>
      </c>
      <c r="J74" s="39">
        <v>35.9</v>
      </c>
      <c r="K74" s="39">
        <v>36.700000000000003</v>
      </c>
      <c r="L74" s="39">
        <v>34.9</v>
      </c>
      <c r="M74" s="39">
        <v>36.700000000000003</v>
      </c>
      <c r="N74" s="39">
        <v>34.5</v>
      </c>
      <c r="O74" s="39">
        <v>33.200000000000003</v>
      </c>
      <c r="P74" s="39">
        <v>35.1</v>
      </c>
      <c r="Q74" s="39">
        <v>35</v>
      </c>
      <c r="R74" s="39">
        <v>34.5</v>
      </c>
      <c r="S74" s="39">
        <v>35.299999999999997</v>
      </c>
      <c r="T74" s="39">
        <v>32.9</v>
      </c>
      <c r="U74" s="39">
        <v>34.700000000000003</v>
      </c>
      <c r="V74" s="5">
        <f t="shared" ref="V74:V81" si="18">AVERAGE(J74:U74)</f>
        <v>34.949999999999996</v>
      </c>
      <c r="W74" s="4">
        <f t="shared" ref="W74:W81" si="19">STDEV(J74:U74)/SQRT(COUNT(J74:U74))</f>
        <v>0.33608710992024898</v>
      </c>
      <c r="X74" s="2">
        <f t="shared" ref="X74:X81" si="20">MIN(J74:U74)</f>
        <v>32.9</v>
      </c>
      <c r="Y74" s="3">
        <f t="shared" ref="Y74:Y81" si="21">QUARTILE(J74:U74,1)</f>
        <v>34.5</v>
      </c>
      <c r="Z74" s="2">
        <f t="shared" ref="Z74:Z81" si="22">MEDIAN(J74:U74)</f>
        <v>34.950000000000003</v>
      </c>
      <c r="AA74" s="3">
        <f t="shared" ref="AA74:AA81" si="23">QUARTILE(J74:U74,3)</f>
        <v>35.449999999999996</v>
      </c>
      <c r="AB74" s="3">
        <f t="shared" ref="AB74:AB81" si="24">MAX(J74:U74)</f>
        <v>36.700000000000003</v>
      </c>
      <c r="AC74" s="3">
        <f t="shared" ref="AC74:AC81" si="25">SKEW(J74:U74)</f>
        <v>-0.17627929456529878</v>
      </c>
      <c r="AD74" s="3">
        <f t="shared" ref="AD74:AD81" si="26">KURT(J74:U74)</f>
        <v>-2.6848324465009732E-2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13.988</v>
      </c>
      <c r="J75" s="39">
        <v>32.6</v>
      </c>
      <c r="K75" s="39">
        <v>32.700000000000003</v>
      </c>
      <c r="L75" s="39">
        <v>32.5</v>
      </c>
      <c r="M75" s="39">
        <v>32.6</v>
      </c>
      <c r="N75" s="39">
        <v>32.4</v>
      </c>
      <c r="O75" s="39">
        <v>34.6</v>
      </c>
      <c r="P75" s="39">
        <v>32.6</v>
      </c>
      <c r="Q75" s="39">
        <v>30.4</v>
      </c>
      <c r="R75" s="39">
        <v>31.5</v>
      </c>
      <c r="S75" s="39">
        <v>33.1</v>
      </c>
      <c r="T75" s="39">
        <v>32.9</v>
      </c>
      <c r="U75" s="39">
        <v>33.5</v>
      </c>
      <c r="V75" s="5">
        <f t="shared" si="18"/>
        <v>32.616666666666667</v>
      </c>
      <c r="W75" s="4">
        <f t="shared" si="19"/>
        <v>0.29202359113225401</v>
      </c>
      <c r="X75" s="2">
        <f t="shared" si="20"/>
        <v>30.4</v>
      </c>
      <c r="Y75" s="3">
        <f t="shared" si="21"/>
        <v>32.475000000000001</v>
      </c>
      <c r="Z75" s="2">
        <f t="shared" si="22"/>
        <v>32.6</v>
      </c>
      <c r="AA75" s="3">
        <f t="shared" si="23"/>
        <v>32.950000000000003</v>
      </c>
      <c r="AB75" s="3">
        <f t="shared" si="24"/>
        <v>34.6</v>
      </c>
      <c r="AC75" s="3">
        <f t="shared" si="25"/>
        <v>-0.38663168238053924</v>
      </c>
      <c r="AD75" s="3">
        <f t="shared" si="26"/>
        <v>2.2630139311822957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13.965</v>
      </c>
      <c r="J76" s="39">
        <v>29.7</v>
      </c>
      <c r="K76" s="39">
        <v>30.8</v>
      </c>
      <c r="L76" s="39">
        <v>31.5</v>
      </c>
      <c r="M76" s="39">
        <v>31.1</v>
      </c>
      <c r="N76" s="39">
        <v>31.3</v>
      </c>
      <c r="O76" s="39">
        <v>32.4</v>
      </c>
      <c r="P76" s="39">
        <v>30.8</v>
      </c>
      <c r="Q76" s="39">
        <v>31.3</v>
      </c>
      <c r="R76" s="39">
        <v>32.4</v>
      </c>
      <c r="S76" s="39">
        <v>30.7</v>
      </c>
      <c r="T76" s="39">
        <v>31.8</v>
      </c>
      <c r="U76" s="39">
        <v>32.4</v>
      </c>
      <c r="V76" s="5">
        <f t="shared" si="18"/>
        <v>31.349999999999998</v>
      </c>
      <c r="W76" s="4">
        <f t="shared" si="19"/>
        <v>0.23596995186213462</v>
      </c>
      <c r="X76" s="2">
        <f t="shared" si="20"/>
        <v>29.7</v>
      </c>
      <c r="Y76" s="3">
        <f t="shared" si="21"/>
        <v>30.8</v>
      </c>
      <c r="Z76" s="2">
        <f t="shared" si="22"/>
        <v>31.3</v>
      </c>
      <c r="AA76" s="3">
        <f t="shared" si="23"/>
        <v>31.95</v>
      </c>
      <c r="AB76" s="3">
        <f t="shared" si="24"/>
        <v>32.4</v>
      </c>
      <c r="AC76" s="3">
        <f t="shared" si="25"/>
        <v>-0.30918437367188806</v>
      </c>
      <c r="AD76" s="3">
        <f t="shared" si="26"/>
        <v>1.328409459021973E-2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13.942</v>
      </c>
      <c r="J77" s="39">
        <v>30.1</v>
      </c>
      <c r="K77" s="39">
        <v>29.8</v>
      </c>
      <c r="L77" s="39">
        <v>32.4</v>
      </c>
      <c r="M77" s="39">
        <v>30.6</v>
      </c>
      <c r="N77" s="39">
        <v>30.4</v>
      </c>
      <c r="O77" s="39">
        <v>31.4</v>
      </c>
      <c r="P77" s="39">
        <v>34.200000000000003</v>
      </c>
      <c r="Q77" s="39">
        <v>33.200000000000003</v>
      </c>
      <c r="R77" s="39">
        <v>32.799999999999997</v>
      </c>
      <c r="S77" s="39">
        <v>32.5</v>
      </c>
      <c r="T77" s="39">
        <v>30.8</v>
      </c>
      <c r="U77" s="39">
        <v>32.1</v>
      </c>
      <c r="V77" s="5">
        <f t="shared" si="18"/>
        <v>31.691666666666674</v>
      </c>
      <c r="W77" s="4">
        <f t="shared" si="19"/>
        <v>0.39856909467785295</v>
      </c>
      <c r="X77" s="2">
        <f t="shared" si="20"/>
        <v>29.8</v>
      </c>
      <c r="Y77" s="3">
        <f t="shared" si="21"/>
        <v>30.55</v>
      </c>
      <c r="Z77" s="2">
        <f t="shared" si="22"/>
        <v>31.75</v>
      </c>
      <c r="AA77" s="3">
        <f t="shared" si="23"/>
        <v>32.575000000000003</v>
      </c>
      <c r="AB77" s="3">
        <f t="shared" si="24"/>
        <v>34.200000000000003</v>
      </c>
      <c r="AC77" s="3">
        <f t="shared" si="25"/>
        <v>0.27087387093033621</v>
      </c>
      <c r="AD77" s="3">
        <f t="shared" si="26"/>
        <v>-0.95271840420867049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13.673999999999999</v>
      </c>
      <c r="J78" s="39">
        <v>30.6</v>
      </c>
      <c r="K78" s="39">
        <v>31</v>
      </c>
      <c r="L78" s="39">
        <v>31.9</v>
      </c>
      <c r="M78" s="39">
        <v>31.6</v>
      </c>
      <c r="N78" s="39">
        <v>31.3</v>
      </c>
      <c r="O78" s="39">
        <v>31.1</v>
      </c>
      <c r="P78" s="39">
        <v>30.9</v>
      </c>
      <c r="Q78" s="39">
        <v>31</v>
      </c>
      <c r="R78" s="39">
        <v>31</v>
      </c>
      <c r="S78" s="39">
        <v>31.4</v>
      </c>
      <c r="T78" s="39">
        <v>30.6</v>
      </c>
      <c r="U78" s="39">
        <v>32.200000000000003</v>
      </c>
      <c r="V78" s="5">
        <f t="shared" si="18"/>
        <v>31.216666666666665</v>
      </c>
      <c r="W78" s="4">
        <f t="shared" si="19"/>
        <v>0.1413320468780789</v>
      </c>
      <c r="X78" s="2">
        <f t="shared" si="20"/>
        <v>30.6</v>
      </c>
      <c r="Y78" s="3">
        <f t="shared" si="21"/>
        <v>30.975000000000001</v>
      </c>
      <c r="Z78" s="2">
        <f t="shared" si="22"/>
        <v>31.05</v>
      </c>
      <c r="AA78" s="3">
        <f t="shared" si="23"/>
        <v>31.45</v>
      </c>
      <c r="AB78" s="3">
        <f t="shared" si="24"/>
        <v>32.200000000000003</v>
      </c>
      <c r="AC78" s="3">
        <f t="shared" si="25"/>
        <v>0.7437809433054009</v>
      </c>
      <c r="AD78" s="3">
        <f t="shared" si="26"/>
        <v>3.084383256006884E-2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13.634</v>
      </c>
      <c r="J79" s="39">
        <v>30.1</v>
      </c>
      <c r="K79" s="39">
        <v>30.5</v>
      </c>
      <c r="L79" s="39">
        <v>31.3</v>
      </c>
      <c r="M79" s="39">
        <v>29.8</v>
      </c>
      <c r="N79" s="39">
        <v>31.7</v>
      </c>
      <c r="O79" s="39">
        <v>32.200000000000003</v>
      </c>
      <c r="P79" s="39">
        <v>29.7</v>
      </c>
      <c r="Q79" s="39">
        <v>30.8</v>
      </c>
      <c r="R79" s="39">
        <v>30.4</v>
      </c>
      <c r="S79" s="39">
        <v>29.8</v>
      </c>
      <c r="T79" s="39">
        <v>30.3</v>
      </c>
      <c r="U79" s="39">
        <v>30.7</v>
      </c>
      <c r="V79" s="5">
        <f t="shared" si="18"/>
        <v>30.608333333333334</v>
      </c>
      <c r="W79" s="4">
        <f t="shared" si="19"/>
        <v>0.22678862583489687</v>
      </c>
      <c r="X79" s="2">
        <f t="shared" si="20"/>
        <v>29.7</v>
      </c>
      <c r="Y79" s="3">
        <f t="shared" si="21"/>
        <v>30.025000000000002</v>
      </c>
      <c r="Z79" s="2">
        <f t="shared" si="22"/>
        <v>30.45</v>
      </c>
      <c r="AA79" s="3">
        <f t="shared" si="23"/>
        <v>30.925000000000001</v>
      </c>
      <c r="AB79" s="3">
        <f t="shared" si="24"/>
        <v>32.200000000000003</v>
      </c>
      <c r="AC79" s="3">
        <f t="shared" si="25"/>
        <v>0.83137764248873713</v>
      </c>
      <c r="AD79" s="3">
        <f t="shared" si="26"/>
        <v>-2.8666923927544552E-2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13.598000000000001</v>
      </c>
      <c r="J80" s="39">
        <v>30.2</v>
      </c>
      <c r="K80" s="39">
        <v>31.3</v>
      </c>
      <c r="L80" s="39">
        <v>31.3</v>
      </c>
      <c r="M80" s="39">
        <v>32.6</v>
      </c>
      <c r="N80" s="39">
        <v>30.7</v>
      </c>
      <c r="O80" s="39">
        <v>31.7</v>
      </c>
      <c r="P80" s="39">
        <v>30.5</v>
      </c>
      <c r="Q80" s="39">
        <v>31.8</v>
      </c>
      <c r="R80" s="39">
        <v>30</v>
      </c>
      <c r="S80" s="39">
        <v>30.8</v>
      </c>
      <c r="T80" s="39">
        <v>30.6</v>
      </c>
      <c r="U80" s="39">
        <v>30</v>
      </c>
      <c r="V80" s="5">
        <f t="shared" si="18"/>
        <v>30.958333333333339</v>
      </c>
      <c r="W80" s="4">
        <f t="shared" si="19"/>
        <v>0.23076235097229936</v>
      </c>
      <c r="X80" s="2">
        <f t="shared" si="20"/>
        <v>30</v>
      </c>
      <c r="Y80" s="3">
        <f t="shared" si="21"/>
        <v>30.425000000000001</v>
      </c>
      <c r="Z80" s="2">
        <f t="shared" si="22"/>
        <v>30.75</v>
      </c>
      <c r="AA80" s="3">
        <f t="shared" si="23"/>
        <v>31.4</v>
      </c>
      <c r="AB80" s="3">
        <f t="shared" si="24"/>
        <v>32.6</v>
      </c>
      <c r="AC80" s="3">
        <f t="shared" si="25"/>
        <v>0.67239959121012371</v>
      </c>
      <c r="AD80" s="3">
        <f t="shared" si="26"/>
        <v>-0.10555996358360575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13.561999999999999</v>
      </c>
      <c r="J81" s="39">
        <v>30.4</v>
      </c>
      <c r="K81" s="39">
        <v>29.9</v>
      </c>
      <c r="L81" s="39">
        <v>31</v>
      </c>
      <c r="M81" s="39">
        <v>31.7</v>
      </c>
      <c r="N81" s="39">
        <v>30.8</v>
      </c>
      <c r="O81" s="39">
        <v>31.3</v>
      </c>
      <c r="P81" s="39">
        <v>30.5</v>
      </c>
      <c r="Q81" s="39">
        <v>30.1</v>
      </c>
      <c r="R81" s="39">
        <v>31.8</v>
      </c>
      <c r="S81" s="39">
        <v>30</v>
      </c>
      <c r="T81" s="39">
        <v>30.8</v>
      </c>
      <c r="U81" s="39">
        <v>31.1</v>
      </c>
      <c r="V81" s="5">
        <f t="shared" si="18"/>
        <v>30.783333333333335</v>
      </c>
      <c r="W81" s="4">
        <f t="shared" si="19"/>
        <v>0.18208944411076028</v>
      </c>
      <c r="X81" s="2">
        <f t="shared" si="20"/>
        <v>29.9</v>
      </c>
      <c r="Y81" s="3">
        <f t="shared" si="21"/>
        <v>30.324999999999999</v>
      </c>
      <c r="Z81" s="2">
        <f t="shared" si="22"/>
        <v>30.8</v>
      </c>
      <c r="AA81" s="3">
        <f t="shared" si="23"/>
        <v>31.150000000000002</v>
      </c>
      <c r="AB81" s="3">
        <f t="shared" si="24"/>
        <v>31.8</v>
      </c>
      <c r="AC81" s="3">
        <f t="shared" si="25"/>
        <v>0.1881649893993384</v>
      </c>
      <c r="AD81" s="3">
        <f t="shared" si="26"/>
        <v>-0.9582499453296478</v>
      </c>
    </row>
    <row r="84" spans="1:30" x14ac:dyDescent="0.2">
      <c r="V84" s="3"/>
    </row>
  </sheetData>
  <autoFilter ref="A9:AD81" xr:uid="{7359DAF0-0B40-41EE-9ADE-CC48427CADC6}"/>
  <conditionalFormatting sqref="J10:U47">
    <cfRule type="cellIs" dxfId="111" priority="1" stopIfTrue="1" operator="lessThan">
      <formula>$V10-$U$5*$W10</formula>
    </cfRule>
    <cfRule type="cellIs" dxfId="110" priority="2" stopIfTrue="1" operator="greaterThan">
      <formula>$V10+$U$5*$W10</formula>
    </cfRule>
  </conditionalFormatting>
  <conditionalFormatting sqref="J48:U81">
    <cfRule type="cellIs" dxfId="109" priority="3" stopIfTrue="1" operator="lessThan">
      <formula>$V48-$U$6*$W48</formula>
    </cfRule>
    <cfRule type="cellIs" dxfId="108" priority="4" stopIfTrue="1" operator="greaterThan">
      <formula>$V48+$U$6*$W48</formula>
    </cfRule>
  </conditionalFormatting>
  <conditionalFormatting sqref="V10:V39">
    <cfRule type="cellIs" dxfId="107" priority="5" stopIfTrue="1" operator="lessThan">
      <formula>AVERAGE($V$10:$V$39)</formula>
    </cfRule>
    <cfRule type="cellIs" dxfId="106" priority="6" stopIfTrue="1" operator="greaterThan">
      <formula>AVERAGE($V$10:$V$39)</formula>
    </cfRule>
  </conditionalFormatting>
  <conditionalFormatting sqref="V48:V81">
    <cfRule type="cellIs" dxfId="105" priority="7" stopIfTrue="1" operator="lessThan">
      <formula>AVERAGE($V$48:$V$81)</formula>
    </cfRule>
    <cfRule type="cellIs" dxfId="104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B194-3743-412C-B36E-0AF4FB2C617D}">
  <dimension ref="A1:AN84"/>
  <sheetViews>
    <sheetView topLeftCell="A15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134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41.1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13.144</v>
      </c>
      <c r="J10" s="39">
        <v>32</v>
      </c>
      <c r="K10" s="39">
        <v>33.4</v>
      </c>
      <c r="L10" s="39">
        <v>31.8</v>
      </c>
      <c r="M10" s="39">
        <v>32.799999999999997</v>
      </c>
      <c r="N10" s="39">
        <v>33.200000000000003</v>
      </c>
      <c r="O10" s="39">
        <v>32.6</v>
      </c>
      <c r="P10" s="39">
        <v>32</v>
      </c>
      <c r="Q10" s="39">
        <v>30.9</v>
      </c>
      <c r="R10" s="39">
        <v>33.1</v>
      </c>
      <c r="S10" s="39">
        <v>32.5</v>
      </c>
      <c r="T10" s="39">
        <v>32</v>
      </c>
      <c r="U10" s="39">
        <v>37.6</v>
      </c>
      <c r="V10" s="5">
        <f t="shared" ref="V10:V41" si="0">AVERAGE(J10:U10)</f>
        <v>32.825000000000003</v>
      </c>
      <c r="W10" s="4">
        <f t="shared" ref="W10:W41" si="1">STDEV(J10:U10)/SQRT(COUNT(J10:U10))</f>
        <v>0.47912878638148437</v>
      </c>
      <c r="X10" s="2">
        <f t="shared" ref="X10:X41" si="2">MIN(J10:U10)</f>
        <v>30.9</v>
      </c>
      <c r="Y10" s="3">
        <f t="shared" ref="Y10:Y41" si="3">QUARTILE(J10:U10,1)</f>
        <v>32</v>
      </c>
      <c r="Z10" s="2">
        <f t="shared" ref="Z10:Z41" si="4">MEDIAN(J10:U10)</f>
        <v>32.549999999999997</v>
      </c>
      <c r="AA10" s="3">
        <f t="shared" ref="AA10:AA41" si="5">QUARTILE(J10:U10,3)</f>
        <v>33.125</v>
      </c>
      <c r="AB10" s="3">
        <f t="shared" ref="AB10:AB41" si="6">MAX(J10:U10)</f>
        <v>37.6</v>
      </c>
      <c r="AC10" s="3">
        <f t="shared" ref="AC10:AC41" si="7">SKEW(J10:U10)</f>
        <v>2.3667620992127598</v>
      </c>
      <c r="AD10" s="3">
        <f t="shared" ref="AD10:AD41" si="8">KURT(J10:U10)</f>
        <v>7.10137592773766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13.128</v>
      </c>
      <c r="J11" s="39">
        <v>34.4</v>
      </c>
      <c r="K11" s="39">
        <v>35.6</v>
      </c>
      <c r="L11" s="39">
        <v>34.5</v>
      </c>
      <c r="M11" s="39">
        <v>36.200000000000003</v>
      </c>
      <c r="N11" s="39">
        <v>33</v>
      </c>
      <c r="O11" s="39">
        <v>37.5</v>
      </c>
      <c r="P11" s="39">
        <v>34</v>
      </c>
      <c r="Q11" s="39">
        <v>33.1</v>
      </c>
      <c r="R11" s="39">
        <v>33.799999999999997</v>
      </c>
      <c r="S11" s="39">
        <v>34.200000000000003</v>
      </c>
      <c r="T11" s="39">
        <v>31.9</v>
      </c>
      <c r="U11" s="39">
        <v>34.799999999999997</v>
      </c>
      <c r="V11" s="5">
        <f t="shared" si="0"/>
        <v>34.416666666666664</v>
      </c>
      <c r="W11" s="4">
        <f t="shared" si="1"/>
        <v>0.43446821087695986</v>
      </c>
      <c r="X11" s="2">
        <f t="shared" si="2"/>
        <v>31.9</v>
      </c>
      <c r="Y11" s="3">
        <f t="shared" si="3"/>
        <v>33.625</v>
      </c>
      <c r="Z11" s="2">
        <f t="shared" si="4"/>
        <v>34.299999999999997</v>
      </c>
      <c r="AA11" s="3">
        <f t="shared" si="5"/>
        <v>35</v>
      </c>
      <c r="AB11" s="3">
        <f t="shared" si="6"/>
        <v>37.5</v>
      </c>
      <c r="AC11" s="3">
        <f t="shared" si="7"/>
        <v>0.49010731382771711</v>
      </c>
      <c r="AD11" s="3">
        <f t="shared" si="8"/>
        <v>0.56728866656972521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13.113</v>
      </c>
      <c r="J12" s="39">
        <v>36.1</v>
      </c>
      <c r="K12" s="39">
        <v>34.1</v>
      </c>
      <c r="L12" s="39">
        <v>35.799999999999997</v>
      </c>
      <c r="M12" s="39">
        <v>34.4</v>
      </c>
      <c r="N12" s="39">
        <v>34.700000000000003</v>
      </c>
      <c r="O12" s="39">
        <v>35.5</v>
      </c>
      <c r="P12" s="39">
        <v>35.9</v>
      </c>
      <c r="Q12" s="39">
        <v>36.1</v>
      </c>
      <c r="R12" s="39">
        <v>33.9</v>
      </c>
      <c r="S12" s="39">
        <v>35.9</v>
      </c>
      <c r="T12" s="39">
        <v>34.5</v>
      </c>
      <c r="U12" s="39">
        <v>34.299999999999997</v>
      </c>
      <c r="V12" s="5">
        <f t="shared" si="0"/>
        <v>35.1</v>
      </c>
      <c r="W12" s="4">
        <f t="shared" si="1"/>
        <v>0.24649051859569726</v>
      </c>
      <c r="X12" s="2">
        <f t="shared" si="2"/>
        <v>33.9</v>
      </c>
      <c r="Y12" s="3">
        <f t="shared" si="3"/>
        <v>34.375</v>
      </c>
      <c r="Z12" s="2">
        <f t="shared" si="4"/>
        <v>35.1</v>
      </c>
      <c r="AA12" s="3">
        <f t="shared" si="5"/>
        <v>35.9</v>
      </c>
      <c r="AB12" s="3">
        <f t="shared" si="6"/>
        <v>36.1</v>
      </c>
      <c r="AC12" s="3">
        <f t="shared" si="7"/>
        <v>-7.5700680408004567E-2</v>
      </c>
      <c r="AD12" s="3">
        <f t="shared" si="8"/>
        <v>-1.9691542133859001</v>
      </c>
      <c r="AF12" s="17" t="s">
        <v>76</v>
      </c>
      <c r="AG12" s="16">
        <v>44.95</v>
      </c>
      <c r="AH12" s="15">
        <v>50.387500000000003</v>
      </c>
      <c r="AI12" s="15">
        <v>56.225000000000001</v>
      </c>
      <c r="AJ12" s="15">
        <v>55.258333333333333</v>
      </c>
      <c r="AK12" s="16">
        <v>31.25</v>
      </c>
      <c r="AL12" s="15">
        <v>32.424999999999997</v>
      </c>
      <c r="AM12" s="15">
        <v>32.799999999999997</v>
      </c>
      <c r="AN12" s="14">
        <v>32.950000000000003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13.097</v>
      </c>
      <c r="J13" s="39">
        <v>62.6</v>
      </c>
      <c r="K13" s="39">
        <v>58.4</v>
      </c>
      <c r="L13" s="39">
        <v>56.8</v>
      </c>
      <c r="M13" s="39">
        <v>57.2</v>
      </c>
      <c r="N13" s="39">
        <v>47.5</v>
      </c>
      <c r="O13" s="39">
        <v>57.8</v>
      </c>
      <c r="P13" s="39">
        <v>49.5</v>
      </c>
      <c r="Q13" s="39">
        <v>55.3</v>
      </c>
      <c r="R13" s="39">
        <v>45.3</v>
      </c>
      <c r="S13" s="39">
        <v>55.7</v>
      </c>
      <c r="T13" s="39">
        <v>47.2</v>
      </c>
      <c r="U13" s="39">
        <v>53.6</v>
      </c>
      <c r="V13" s="5">
        <f t="shared" si="0"/>
        <v>53.908333333333339</v>
      </c>
      <c r="W13" s="4">
        <f t="shared" si="1"/>
        <v>1.544563208499576</v>
      </c>
      <c r="X13" s="2">
        <f t="shared" si="2"/>
        <v>45.3</v>
      </c>
      <c r="Y13" s="3">
        <f t="shared" si="3"/>
        <v>49</v>
      </c>
      <c r="Z13" s="2">
        <f t="shared" si="4"/>
        <v>55.5</v>
      </c>
      <c r="AA13" s="3">
        <f t="shared" si="5"/>
        <v>57.35</v>
      </c>
      <c r="AB13" s="3">
        <f t="shared" si="6"/>
        <v>62.6</v>
      </c>
      <c r="AC13" s="3">
        <f t="shared" si="7"/>
        <v>-0.2949900418269446</v>
      </c>
      <c r="AD13" s="3">
        <f t="shared" si="8"/>
        <v>-0.9329454951222953</v>
      </c>
      <c r="AF13" s="13" t="s">
        <v>75</v>
      </c>
      <c r="AG13" s="12">
        <v>45.15</v>
      </c>
      <c r="AH13" s="11">
        <v>53.112499999999997</v>
      </c>
      <c r="AI13" s="11">
        <v>56.55</v>
      </c>
      <c r="AJ13" s="11">
        <v>55.954166666666666</v>
      </c>
      <c r="AK13" s="12">
        <v>30.6</v>
      </c>
      <c r="AL13" s="11">
        <v>31.3125</v>
      </c>
      <c r="AM13" s="11">
        <v>32.25</v>
      </c>
      <c r="AN13" s="10">
        <v>32.329166666666666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13.083</v>
      </c>
      <c r="J14" s="39">
        <v>40.299999999999997</v>
      </c>
      <c r="K14" s="39">
        <v>37.799999999999997</v>
      </c>
      <c r="L14" s="39">
        <v>35.4</v>
      </c>
      <c r="M14" s="39">
        <v>35.9</v>
      </c>
      <c r="N14" s="39">
        <v>33.1</v>
      </c>
      <c r="O14" s="39">
        <v>36.799999999999997</v>
      </c>
      <c r="P14" s="39">
        <v>35.5</v>
      </c>
      <c r="Q14" s="39">
        <v>37.1</v>
      </c>
      <c r="R14" s="39">
        <v>34.6</v>
      </c>
      <c r="S14" s="39">
        <v>38.1</v>
      </c>
      <c r="T14" s="39">
        <v>35.200000000000003</v>
      </c>
      <c r="U14" s="39">
        <v>38.5</v>
      </c>
      <c r="V14" s="5">
        <f t="shared" si="0"/>
        <v>36.525000000000006</v>
      </c>
      <c r="W14" s="4">
        <f t="shared" si="1"/>
        <v>0.56784080675677184</v>
      </c>
      <c r="X14" s="2">
        <f t="shared" si="2"/>
        <v>33.1</v>
      </c>
      <c r="Y14" s="3">
        <f t="shared" si="3"/>
        <v>35.35</v>
      </c>
      <c r="Z14" s="2">
        <f t="shared" si="4"/>
        <v>36.349999999999994</v>
      </c>
      <c r="AA14" s="3">
        <f t="shared" si="5"/>
        <v>37.875</v>
      </c>
      <c r="AB14" s="3">
        <f t="shared" si="6"/>
        <v>40.299999999999997</v>
      </c>
      <c r="AC14" s="3">
        <f t="shared" si="7"/>
        <v>0.21941841798231326</v>
      </c>
      <c r="AD14" s="3">
        <f t="shared" si="8"/>
        <v>1.3367257703856161E-2</v>
      </c>
      <c r="AF14" s="13" t="s">
        <v>74</v>
      </c>
      <c r="AG14" s="12">
        <v>59.85</v>
      </c>
      <c r="AH14" s="11">
        <v>60.475000000000001</v>
      </c>
      <c r="AI14" s="11">
        <v>61.2</v>
      </c>
      <c r="AJ14" s="11">
        <v>61.45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13.067</v>
      </c>
      <c r="J15" s="39">
        <v>62.6</v>
      </c>
      <c r="K15" s="39">
        <v>55.8</v>
      </c>
      <c r="L15" s="39">
        <v>63.7</v>
      </c>
      <c r="M15" s="39">
        <v>62</v>
      </c>
      <c r="N15" s="39">
        <v>58.3</v>
      </c>
      <c r="O15" s="39">
        <v>52.7</v>
      </c>
      <c r="P15" s="39">
        <v>56.3</v>
      </c>
      <c r="Q15" s="39">
        <v>56.9</v>
      </c>
      <c r="R15" s="39">
        <v>54.2</v>
      </c>
      <c r="S15" s="39">
        <v>58.9</v>
      </c>
      <c r="T15" s="39">
        <v>58.5</v>
      </c>
      <c r="U15" s="39">
        <v>53.1</v>
      </c>
      <c r="V15" s="5">
        <f t="shared" si="0"/>
        <v>57.75</v>
      </c>
      <c r="W15" s="4">
        <f t="shared" si="1"/>
        <v>1.05</v>
      </c>
      <c r="X15" s="2">
        <f t="shared" si="2"/>
        <v>52.7</v>
      </c>
      <c r="Y15" s="3">
        <f t="shared" si="3"/>
        <v>55.4</v>
      </c>
      <c r="Z15" s="2">
        <f t="shared" si="4"/>
        <v>57.599999999999994</v>
      </c>
      <c r="AA15" s="3">
        <f t="shared" si="5"/>
        <v>59.674999999999997</v>
      </c>
      <c r="AB15" s="3">
        <f t="shared" si="6"/>
        <v>63.7</v>
      </c>
      <c r="AC15" s="3">
        <f t="shared" si="7"/>
        <v>0.26853579973439956</v>
      </c>
      <c r="AD15" s="3">
        <f t="shared" si="8"/>
        <v>-0.94435735951770816</v>
      </c>
      <c r="AF15" s="13" t="s">
        <v>73</v>
      </c>
      <c r="AG15" s="12">
        <v>33.35</v>
      </c>
      <c r="AH15" s="11">
        <v>34.225000000000001</v>
      </c>
      <c r="AI15" s="11">
        <v>34.774999999999999</v>
      </c>
      <c r="AJ15" s="11">
        <v>34.887500000000003</v>
      </c>
      <c r="AK15" s="12">
        <v>29.15</v>
      </c>
      <c r="AL15" s="11">
        <v>29.7</v>
      </c>
      <c r="AM15" s="11">
        <v>30</v>
      </c>
      <c r="AN15" s="10">
        <v>30.241666666666667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13.052</v>
      </c>
      <c r="J16" s="39">
        <v>63.8</v>
      </c>
      <c r="K16" s="39">
        <v>58</v>
      </c>
      <c r="L16" s="39">
        <v>54.9</v>
      </c>
      <c r="M16" s="39">
        <v>62.2</v>
      </c>
      <c r="N16" s="39">
        <v>42.1</v>
      </c>
      <c r="O16" s="39">
        <v>62.4</v>
      </c>
      <c r="P16" s="39">
        <v>56.7</v>
      </c>
      <c r="Q16" s="39">
        <v>62.8</v>
      </c>
      <c r="R16" s="39">
        <v>51.5</v>
      </c>
      <c r="S16" s="39">
        <v>62</v>
      </c>
      <c r="T16" s="39">
        <v>52.5</v>
      </c>
      <c r="U16" s="39">
        <v>63.7</v>
      </c>
      <c r="V16" s="5">
        <f t="shared" si="0"/>
        <v>57.716666666666669</v>
      </c>
      <c r="W16" s="4">
        <f t="shared" si="1"/>
        <v>1.9025833049628289</v>
      </c>
      <c r="X16" s="2">
        <f t="shared" si="2"/>
        <v>42.1</v>
      </c>
      <c r="Y16" s="3">
        <f t="shared" si="3"/>
        <v>54.3</v>
      </c>
      <c r="Z16" s="2">
        <f t="shared" si="4"/>
        <v>60</v>
      </c>
      <c r="AA16" s="3">
        <f t="shared" si="5"/>
        <v>62.5</v>
      </c>
      <c r="AB16" s="3">
        <f t="shared" si="6"/>
        <v>63.8</v>
      </c>
      <c r="AC16" s="3">
        <f t="shared" si="7"/>
        <v>-1.2849423144431591</v>
      </c>
      <c r="AD16" s="3">
        <f t="shared" si="8"/>
        <v>1.5049224912897925</v>
      </c>
      <c r="AF16" s="13" t="s">
        <v>72</v>
      </c>
      <c r="AG16" s="12">
        <v>32.299999999999997</v>
      </c>
      <c r="AH16" s="11">
        <v>33.975000000000001</v>
      </c>
      <c r="AI16" s="11">
        <v>34.9</v>
      </c>
      <c r="AJ16" s="11">
        <v>34.641666666666666</v>
      </c>
      <c r="AK16" s="12">
        <v>29.65</v>
      </c>
      <c r="AL16" s="11">
        <v>30.324999999999999</v>
      </c>
      <c r="AM16" s="11">
        <v>30.925000000000001</v>
      </c>
      <c r="AN16" s="10">
        <v>31.083333333333332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13.037000000000001</v>
      </c>
      <c r="J17" s="39">
        <v>39.5</v>
      </c>
      <c r="K17" s="39">
        <v>38.5</v>
      </c>
      <c r="L17" s="39">
        <v>39</v>
      </c>
      <c r="M17" s="39">
        <v>35.9</v>
      </c>
      <c r="N17" s="39">
        <v>38.799999999999997</v>
      </c>
      <c r="O17" s="39">
        <v>34.9</v>
      </c>
      <c r="P17" s="39">
        <v>39.9</v>
      </c>
      <c r="Q17" s="39">
        <v>32.6</v>
      </c>
      <c r="R17" s="39">
        <v>39.299999999999997</v>
      </c>
      <c r="S17" s="39">
        <v>36.4</v>
      </c>
      <c r="T17" s="39">
        <v>39.700000000000003</v>
      </c>
      <c r="U17" s="39">
        <v>33.799999999999997</v>
      </c>
      <c r="V17" s="5">
        <f t="shared" si="0"/>
        <v>37.358333333333334</v>
      </c>
      <c r="W17" s="4">
        <f t="shared" si="1"/>
        <v>0.73220902104866936</v>
      </c>
      <c r="X17" s="2">
        <f t="shared" si="2"/>
        <v>32.6</v>
      </c>
      <c r="Y17" s="3">
        <f t="shared" si="3"/>
        <v>35.65</v>
      </c>
      <c r="Z17" s="2">
        <f t="shared" si="4"/>
        <v>38.65</v>
      </c>
      <c r="AA17" s="3">
        <f t="shared" si="5"/>
        <v>39.349999999999994</v>
      </c>
      <c r="AB17" s="3">
        <f t="shared" si="6"/>
        <v>39.9</v>
      </c>
      <c r="AC17" s="3">
        <f t="shared" si="7"/>
        <v>-0.77760373959484064</v>
      </c>
      <c r="AD17" s="3">
        <f t="shared" si="8"/>
        <v>-0.85373479566528054</v>
      </c>
      <c r="AF17" s="13" t="s">
        <v>71</v>
      </c>
      <c r="AG17" s="12">
        <v>32</v>
      </c>
      <c r="AH17" s="11">
        <v>34.1</v>
      </c>
      <c r="AI17" s="11">
        <v>34.774999999999999</v>
      </c>
      <c r="AJ17" s="11">
        <v>34.658333333333331</v>
      </c>
      <c r="AK17" s="12">
        <v>28.7</v>
      </c>
      <c r="AL17" s="11">
        <v>29.737500000000001</v>
      </c>
      <c r="AM17" s="11">
        <v>30.1</v>
      </c>
      <c r="AN17" s="10">
        <v>30.370833333333337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13.173</v>
      </c>
      <c r="J18" s="39">
        <v>30.4</v>
      </c>
      <c r="K18" s="39">
        <v>32.6</v>
      </c>
      <c r="L18" s="39">
        <v>31.9</v>
      </c>
      <c r="M18" s="39">
        <v>31.9</v>
      </c>
      <c r="N18" s="39">
        <v>36.5</v>
      </c>
      <c r="O18" s="39">
        <v>33</v>
      </c>
      <c r="P18" s="39">
        <v>31.8</v>
      </c>
      <c r="Q18" s="39">
        <v>37.9</v>
      </c>
      <c r="R18" s="39">
        <v>31</v>
      </c>
      <c r="S18" s="39">
        <v>31.8</v>
      </c>
      <c r="T18" s="39">
        <v>30.9</v>
      </c>
      <c r="U18" s="39">
        <v>35.6</v>
      </c>
      <c r="V18" s="5">
        <f t="shared" si="0"/>
        <v>32.94166666666667</v>
      </c>
      <c r="W18" s="4">
        <f t="shared" si="1"/>
        <v>0.69418126326099183</v>
      </c>
      <c r="X18" s="2">
        <f t="shared" si="2"/>
        <v>30.4</v>
      </c>
      <c r="Y18" s="3">
        <f t="shared" si="3"/>
        <v>31.6</v>
      </c>
      <c r="Z18" s="2">
        <f t="shared" si="4"/>
        <v>31.9</v>
      </c>
      <c r="AA18" s="3">
        <f t="shared" si="5"/>
        <v>33.65</v>
      </c>
      <c r="AB18" s="3">
        <f t="shared" si="6"/>
        <v>37.9</v>
      </c>
      <c r="AC18" s="3">
        <f t="shared" si="7"/>
        <v>1.1627601715132485</v>
      </c>
      <c r="AD18" s="3">
        <f t="shared" si="8"/>
        <v>0.17841001326747463</v>
      </c>
      <c r="AF18" s="13" t="s">
        <v>70</v>
      </c>
      <c r="AG18" s="12">
        <v>33.700000000000003</v>
      </c>
      <c r="AH18" s="11">
        <v>35.362499999999997</v>
      </c>
      <c r="AI18" s="11">
        <v>36.325000000000003</v>
      </c>
      <c r="AJ18" s="11">
        <v>36.137500000000003</v>
      </c>
      <c r="AK18" s="12">
        <v>28.25</v>
      </c>
      <c r="AL18" s="11">
        <v>29.175000000000001</v>
      </c>
      <c r="AM18" s="11">
        <v>29.55</v>
      </c>
      <c r="AN18" s="10">
        <v>29.729166666666664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13.186999999999999</v>
      </c>
      <c r="J19" s="39">
        <v>62.6</v>
      </c>
      <c r="K19" s="39">
        <v>59.4</v>
      </c>
      <c r="L19" s="39">
        <v>52</v>
      </c>
      <c r="M19" s="39">
        <v>62.6</v>
      </c>
      <c r="N19" s="39">
        <v>55.1</v>
      </c>
      <c r="O19" s="39">
        <v>60.1</v>
      </c>
      <c r="P19" s="39">
        <v>57.1</v>
      </c>
      <c r="Q19" s="39">
        <v>61</v>
      </c>
      <c r="R19" s="39">
        <v>57.2</v>
      </c>
      <c r="S19" s="39">
        <v>53.7</v>
      </c>
      <c r="T19" s="39">
        <v>57.5</v>
      </c>
      <c r="U19" s="39">
        <v>58.1</v>
      </c>
      <c r="V19" s="5">
        <f t="shared" si="0"/>
        <v>58.033333333333339</v>
      </c>
      <c r="W19" s="4">
        <f t="shared" si="1"/>
        <v>0.96250409942718762</v>
      </c>
      <c r="X19" s="2">
        <f t="shared" si="2"/>
        <v>52</v>
      </c>
      <c r="Y19" s="3">
        <f t="shared" si="3"/>
        <v>56.6</v>
      </c>
      <c r="Z19" s="2">
        <f t="shared" si="4"/>
        <v>57.8</v>
      </c>
      <c r="AA19" s="3">
        <f t="shared" si="5"/>
        <v>60.325000000000003</v>
      </c>
      <c r="AB19" s="3">
        <f t="shared" si="6"/>
        <v>62.6</v>
      </c>
      <c r="AC19" s="3">
        <f t="shared" si="7"/>
        <v>-0.29376261167416151</v>
      </c>
      <c r="AD19" s="3">
        <f t="shared" si="8"/>
        <v>-0.56271892795807732</v>
      </c>
      <c r="AF19" s="13" t="s">
        <v>69</v>
      </c>
      <c r="AG19" s="12">
        <v>32.975000000000001</v>
      </c>
      <c r="AH19" s="11">
        <v>34.793750000000003</v>
      </c>
      <c r="AI19" s="11">
        <v>36.162500000000001</v>
      </c>
      <c r="AJ19" s="11">
        <v>35.90625</v>
      </c>
      <c r="AK19" s="12">
        <v>28.774999999999999</v>
      </c>
      <c r="AL19" s="11">
        <v>29.46875</v>
      </c>
      <c r="AM19" s="11">
        <v>30</v>
      </c>
      <c r="AN19" s="10">
        <v>30.168749999999999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13.202</v>
      </c>
      <c r="J20" s="39">
        <v>38.200000000000003</v>
      </c>
      <c r="K20" s="39">
        <v>36.9</v>
      </c>
      <c r="L20" s="39">
        <v>34.9</v>
      </c>
      <c r="M20" s="39">
        <v>38.799999999999997</v>
      </c>
      <c r="N20" s="39">
        <v>36</v>
      </c>
      <c r="O20" s="39">
        <v>35</v>
      </c>
      <c r="P20" s="39">
        <v>36.700000000000003</v>
      </c>
      <c r="Q20" s="39">
        <v>36.1</v>
      </c>
      <c r="R20" s="39">
        <v>35.9</v>
      </c>
      <c r="S20" s="39">
        <v>38.1</v>
      </c>
      <c r="T20" s="39">
        <v>34.200000000000003</v>
      </c>
      <c r="U20" s="39">
        <v>39.200000000000003</v>
      </c>
      <c r="V20" s="5">
        <f t="shared" si="0"/>
        <v>36.666666666666664</v>
      </c>
      <c r="W20" s="4">
        <f t="shared" si="1"/>
        <v>0.4668289761029118</v>
      </c>
      <c r="X20" s="2">
        <f t="shared" si="2"/>
        <v>34.200000000000003</v>
      </c>
      <c r="Y20" s="3">
        <f t="shared" si="3"/>
        <v>35.674999999999997</v>
      </c>
      <c r="Z20" s="2">
        <f t="shared" si="4"/>
        <v>36.400000000000006</v>
      </c>
      <c r="AA20" s="3">
        <f t="shared" si="5"/>
        <v>38.125</v>
      </c>
      <c r="AB20" s="3">
        <f t="shared" si="6"/>
        <v>39.200000000000003</v>
      </c>
      <c r="AC20" s="3">
        <f t="shared" si="7"/>
        <v>0.16635778780078048</v>
      </c>
      <c r="AD20" s="3">
        <f t="shared" si="8"/>
        <v>-1.1123279567221522</v>
      </c>
      <c r="AF20" s="13" t="s">
        <v>68</v>
      </c>
      <c r="AG20" s="12">
        <v>32.075000000000003</v>
      </c>
      <c r="AH20" s="11">
        <v>34</v>
      </c>
      <c r="AI20" s="11">
        <v>35.024999999999999</v>
      </c>
      <c r="AJ20" s="11">
        <v>34.916666666666664</v>
      </c>
      <c r="AK20" s="12">
        <v>28.55</v>
      </c>
      <c r="AL20" s="11">
        <v>29.256250000000001</v>
      </c>
      <c r="AM20" s="11">
        <v>29.725000000000001</v>
      </c>
      <c r="AN20" s="10">
        <v>29.795833333333334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13.218</v>
      </c>
      <c r="J21" s="39">
        <v>38.6</v>
      </c>
      <c r="K21" s="39">
        <v>37.700000000000003</v>
      </c>
      <c r="L21" s="39">
        <v>35.700000000000003</v>
      </c>
      <c r="M21" s="39">
        <v>36.6</v>
      </c>
      <c r="N21" s="39">
        <v>35.5</v>
      </c>
      <c r="O21" s="39">
        <v>35.200000000000003</v>
      </c>
      <c r="P21" s="39">
        <v>34.799999999999997</v>
      </c>
      <c r="Q21" s="39">
        <v>37.299999999999997</v>
      </c>
      <c r="R21" s="39">
        <v>37.5</v>
      </c>
      <c r="S21" s="39">
        <v>35.1</v>
      </c>
      <c r="T21" s="39">
        <v>38.200000000000003</v>
      </c>
      <c r="U21" s="39">
        <v>35.1</v>
      </c>
      <c r="V21" s="5">
        <f t="shared" si="0"/>
        <v>36.44166666666667</v>
      </c>
      <c r="W21" s="4">
        <f t="shared" si="1"/>
        <v>0.39398091273050234</v>
      </c>
      <c r="X21" s="2">
        <f t="shared" si="2"/>
        <v>34.799999999999997</v>
      </c>
      <c r="Y21" s="3">
        <f t="shared" si="3"/>
        <v>35.175000000000004</v>
      </c>
      <c r="Z21" s="2">
        <f t="shared" si="4"/>
        <v>36.150000000000006</v>
      </c>
      <c r="AA21" s="3">
        <f t="shared" si="5"/>
        <v>37.549999999999997</v>
      </c>
      <c r="AB21" s="3">
        <f t="shared" si="6"/>
        <v>38.6</v>
      </c>
      <c r="AC21" s="3">
        <f t="shared" si="7"/>
        <v>0.29580025856075948</v>
      </c>
      <c r="AD21" s="3">
        <f t="shared" si="8"/>
        <v>-1.6364355099387868</v>
      </c>
      <c r="AF21" s="13" t="s">
        <v>67</v>
      </c>
      <c r="AG21" s="12">
        <v>33.35</v>
      </c>
      <c r="AH21" s="11">
        <v>34.4375</v>
      </c>
      <c r="AI21" s="11">
        <v>35.6</v>
      </c>
      <c r="AJ21" s="11">
        <v>35.875</v>
      </c>
      <c r="AK21" s="12">
        <v>29.55</v>
      </c>
      <c r="AL21" s="11">
        <v>30.287500000000001</v>
      </c>
      <c r="AM21" s="11">
        <v>30.85</v>
      </c>
      <c r="AN21" s="10">
        <v>31.004166666666666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13.231999999999999</v>
      </c>
      <c r="J22" s="39">
        <v>38</v>
      </c>
      <c r="K22" s="39">
        <v>36.299999999999997</v>
      </c>
      <c r="L22" s="39">
        <v>35.200000000000003</v>
      </c>
      <c r="M22" s="39">
        <v>37.1</v>
      </c>
      <c r="N22" s="39">
        <v>37.4</v>
      </c>
      <c r="O22" s="39">
        <v>33.1</v>
      </c>
      <c r="P22" s="39">
        <v>35.9</v>
      </c>
      <c r="Q22" s="39">
        <v>36.6</v>
      </c>
      <c r="R22" s="39">
        <v>37.200000000000003</v>
      </c>
      <c r="S22" s="39">
        <v>37.1</v>
      </c>
      <c r="T22" s="39">
        <v>37</v>
      </c>
      <c r="U22" s="39">
        <v>37</v>
      </c>
      <c r="V22" s="5">
        <f t="shared" si="0"/>
        <v>36.491666666666667</v>
      </c>
      <c r="W22" s="4">
        <f t="shared" si="1"/>
        <v>0.37365077142955155</v>
      </c>
      <c r="X22" s="2">
        <f t="shared" si="2"/>
        <v>33.1</v>
      </c>
      <c r="Y22" s="3">
        <f t="shared" si="3"/>
        <v>36.199999999999996</v>
      </c>
      <c r="Z22" s="2">
        <f t="shared" si="4"/>
        <v>37</v>
      </c>
      <c r="AA22" s="3">
        <f t="shared" si="5"/>
        <v>37.125</v>
      </c>
      <c r="AB22" s="3">
        <f t="shared" si="6"/>
        <v>38</v>
      </c>
      <c r="AC22" s="3">
        <f t="shared" si="7"/>
        <v>-1.8177671637199972</v>
      </c>
      <c r="AD22" s="3">
        <f t="shared" si="8"/>
        <v>3.9244442138495632</v>
      </c>
      <c r="AF22" s="13" t="s">
        <v>66</v>
      </c>
      <c r="AG22" s="12">
        <v>31.75</v>
      </c>
      <c r="AH22" s="11">
        <v>33.475000000000001</v>
      </c>
      <c r="AI22" s="11">
        <v>34.125</v>
      </c>
      <c r="AJ22" s="11">
        <v>34.733333333333334</v>
      </c>
      <c r="AK22" s="12">
        <v>28.7</v>
      </c>
      <c r="AL22" s="11">
        <v>29.862500000000001</v>
      </c>
      <c r="AM22" s="11">
        <v>30.324999999999999</v>
      </c>
      <c r="AN22" s="10">
        <v>30.358333333333331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13.246</v>
      </c>
      <c r="J23" s="39">
        <v>61.6</v>
      </c>
      <c r="K23" s="39">
        <v>60.3</v>
      </c>
      <c r="L23" s="39">
        <v>61.7</v>
      </c>
      <c r="M23" s="39">
        <v>59.2</v>
      </c>
      <c r="N23" s="39">
        <v>56.3</v>
      </c>
      <c r="O23" s="39">
        <v>56.6</v>
      </c>
      <c r="P23" s="39">
        <v>59.2</v>
      </c>
      <c r="Q23" s="39">
        <v>54.8</v>
      </c>
      <c r="R23" s="39">
        <v>55.7</v>
      </c>
      <c r="S23" s="39">
        <v>58.7</v>
      </c>
      <c r="T23" s="39">
        <v>51.2</v>
      </c>
      <c r="U23" s="39">
        <v>59</v>
      </c>
      <c r="V23" s="5">
        <f t="shared" si="0"/>
        <v>57.858333333333348</v>
      </c>
      <c r="W23" s="4">
        <f t="shared" si="1"/>
        <v>0.88201373703771335</v>
      </c>
      <c r="X23" s="2">
        <f t="shared" si="2"/>
        <v>51.2</v>
      </c>
      <c r="Y23" s="3">
        <f t="shared" si="3"/>
        <v>56.15</v>
      </c>
      <c r="Z23" s="2">
        <f t="shared" si="4"/>
        <v>58.85</v>
      </c>
      <c r="AA23" s="3">
        <f t="shared" si="5"/>
        <v>59.475000000000001</v>
      </c>
      <c r="AB23" s="3">
        <f t="shared" si="6"/>
        <v>61.7</v>
      </c>
      <c r="AC23" s="3">
        <f t="shared" si="7"/>
        <v>-0.79962523110199324</v>
      </c>
      <c r="AD23" s="3">
        <f t="shared" si="8"/>
        <v>0.56122163900094701</v>
      </c>
      <c r="AF23" s="13" t="s">
        <v>65</v>
      </c>
      <c r="AG23" s="12">
        <v>46.2</v>
      </c>
      <c r="AH23" s="11">
        <v>50.1</v>
      </c>
      <c r="AI23" s="11">
        <v>57.3</v>
      </c>
      <c r="AJ23" s="11">
        <v>54.9</v>
      </c>
      <c r="AK23" s="12">
        <v>31.7</v>
      </c>
      <c r="AL23" s="11">
        <v>32.200000000000003</v>
      </c>
      <c r="AM23" s="11">
        <v>33.049999999999997</v>
      </c>
      <c r="AN23" s="10">
        <v>32.941666666666663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13.263</v>
      </c>
      <c r="J24" s="39">
        <v>36.9</v>
      </c>
      <c r="K24" s="39">
        <v>33.799999999999997</v>
      </c>
      <c r="L24" s="39">
        <v>35.799999999999997</v>
      </c>
      <c r="M24" s="39">
        <v>36.4</v>
      </c>
      <c r="N24" s="39">
        <v>37.4</v>
      </c>
      <c r="O24" s="39">
        <v>35.1</v>
      </c>
      <c r="P24" s="39">
        <v>36</v>
      </c>
      <c r="Q24" s="39">
        <v>36.200000000000003</v>
      </c>
      <c r="R24" s="39">
        <v>36.200000000000003</v>
      </c>
      <c r="S24" s="39">
        <v>32.799999999999997</v>
      </c>
      <c r="T24" s="39">
        <v>35.9</v>
      </c>
      <c r="U24" s="39">
        <v>37.4</v>
      </c>
      <c r="V24" s="5">
        <f t="shared" si="0"/>
        <v>35.824999999999996</v>
      </c>
      <c r="W24" s="4">
        <f t="shared" si="1"/>
        <v>0.39449334595148772</v>
      </c>
      <c r="X24" s="2">
        <f t="shared" si="2"/>
        <v>32.799999999999997</v>
      </c>
      <c r="Y24" s="3">
        <f t="shared" si="3"/>
        <v>35.625</v>
      </c>
      <c r="Z24" s="2">
        <f t="shared" si="4"/>
        <v>36.1</v>
      </c>
      <c r="AA24" s="3">
        <f t="shared" si="5"/>
        <v>36.524999999999999</v>
      </c>
      <c r="AB24" s="3">
        <f t="shared" si="6"/>
        <v>37.4</v>
      </c>
      <c r="AC24" s="3">
        <f t="shared" si="7"/>
        <v>-1.1544843765925434</v>
      </c>
      <c r="AD24" s="3">
        <f t="shared" si="8"/>
        <v>1.1453538302330912</v>
      </c>
      <c r="AF24" s="13" t="s">
        <v>64</v>
      </c>
      <c r="AG24" s="12">
        <v>48.35</v>
      </c>
      <c r="AH24" s="11">
        <v>54.337499999999999</v>
      </c>
      <c r="AI24" s="11">
        <v>57</v>
      </c>
      <c r="AJ24" s="11">
        <v>55.962499999999999</v>
      </c>
      <c r="AK24" s="12">
        <v>31</v>
      </c>
      <c r="AL24" s="11">
        <v>31.925000000000001</v>
      </c>
      <c r="AM24" s="11">
        <v>32.75</v>
      </c>
      <c r="AN24" s="10">
        <v>32.799999999999997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13.278</v>
      </c>
      <c r="J25" s="39">
        <v>37.799999999999997</v>
      </c>
      <c r="K25" s="39">
        <v>37.799999999999997</v>
      </c>
      <c r="L25" s="39">
        <v>38</v>
      </c>
      <c r="M25" s="39">
        <v>39.1</v>
      </c>
      <c r="N25" s="39">
        <v>34.700000000000003</v>
      </c>
      <c r="O25" s="39">
        <v>36.200000000000003</v>
      </c>
      <c r="P25" s="39">
        <v>33.9</v>
      </c>
      <c r="Q25" s="39">
        <v>37.700000000000003</v>
      </c>
      <c r="R25" s="39">
        <v>35.9</v>
      </c>
      <c r="S25" s="39">
        <v>36.799999999999997</v>
      </c>
      <c r="T25" s="39">
        <v>34.299999999999997</v>
      </c>
      <c r="U25" s="39">
        <v>38.9</v>
      </c>
      <c r="V25" s="5">
        <f t="shared" si="0"/>
        <v>36.758333333333326</v>
      </c>
      <c r="W25" s="4">
        <f t="shared" si="1"/>
        <v>0.50878023077977708</v>
      </c>
      <c r="X25" s="2">
        <f t="shared" si="2"/>
        <v>33.9</v>
      </c>
      <c r="Y25" s="3">
        <f t="shared" si="3"/>
        <v>35.6</v>
      </c>
      <c r="Z25" s="2">
        <f t="shared" si="4"/>
        <v>37.25</v>
      </c>
      <c r="AA25" s="3">
        <f t="shared" si="5"/>
        <v>37.849999999999994</v>
      </c>
      <c r="AB25" s="3">
        <f t="shared" si="6"/>
        <v>39.1</v>
      </c>
      <c r="AC25" s="3">
        <f t="shared" si="7"/>
        <v>-0.39978047568208674</v>
      </c>
      <c r="AD25" s="3">
        <f t="shared" si="8"/>
        <v>-1.1185157353137907</v>
      </c>
      <c r="AF25" s="13" t="s">
        <v>63</v>
      </c>
      <c r="AG25" s="12">
        <v>49.3</v>
      </c>
      <c r="AH25" s="11">
        <v>55.708333333333336</v>
      </c>
      <c r="AI25" s="11">
        <v>57.733333333333327</v>
      </c>
      <c r="AJ25" s="11">
        <v>57.466666666666669</v>
      </c>
      <c r="AK25" s="12">
        <v>31.4</v>
      </c>
      <c r="AL25" s="11">
        <v>32.916666666666664</v>
      </c>
      <c r="AM25" s="11">
        <v>33.766666666666673</v>
      </c>
      <c r="AN25" s="10">
        <v>33.81944444444445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13.41</v>
      </c>
      <c r="J26" s="39">
        <v>61.4</v>
      </c>
      <c r="K26" s="39">
        <v>60.9</v>
      </c>
      <c r="L26" s="39">
        <v>50.6</v>
      </c>
      <c r="M26" s="39">
        <v>62.3</v>
      </c>
      <c r="N26" s="39">
        <v>49.2</v>
      </c>
      <c r="O26" s="39">
        <v>60.5</v>
      </c>
      <c r="P26" s="39">
        <v>55.2</v>
      </c>
      <c r="Q26" s="39">
        <v>57.6</v>
      </c>
      <c r="R26" s="39">
        <v>42</v>
      </c>
      <c r="S26" s="39">
        <v>58</v>
      </c>
      <c r="T26" s="39">
        <v>45.7</v>
      </c>
      <c r="U26" s="39">
        <v>59.8</v>
      </c>
      <c r="V26" s="5">
        <f t="shared" si="0"/>
        <v>55.266666666666673</v>
      </c>
      <c r="W26" s="4">
        <f t="shared" si="1"/>
        <v>1.9574772467942299</v>
      </c>
      <c r="X26" s="2">
        <f t="shared" si="2"/>
        <v>42</v>
      </c>
      <c r="Y26" s="3">
        <f t="shared" si="3"/>
        <v>50.25</v>
      </c>
      <c r="Z26" s="2">
        <f t="shared" si="4"/>
        <v>57.8</v>
      </c>
      <c r="AA26" s="3">
        <f t="shared" si="5"/>
        <v>60.6</v>
      </c>
      <c r="AB26" s="3">
        <f t="shared" si="6"/>
        <v>62.3</v>
      </c>
      <c r="AC26" s="3">
        <f t="shared" si="7"/>
        <v>-0.87766056754483757</v>
      </c>
      <c r="AD26" s="3">
        <f t="shared" si="8"/>
        <v>-0.5072729933194764</v>
      </c>
      <c r="AF26" s="13" t="s">
        <v>62</v>
      </c>
      <c r="AG26" s="12">
        <v>45.2</v>
      </c>
      <c r="AH26" s="11">
        <v>52.287500000000001</v>
      </c>
      <c r="AI26" s="11">
        <v>57.512500000000003</v>
      </c>
      <c r="AJ26" s="11">
        <v>55.797916666666666</v>
      </c>
      <c r="AK26" s="12">
        <v>30.975000000000001</v>
      </c>
      <c r="AL26" s="11">
        <v>32.006250000000001</v>
      </c>
      <c r="AM26" s="11">
        <v>32.774999999999999</v>
      </c>
      <c r="AN26" s="10">
        <v>32.945833333333326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13.427</v>
      </c>
      <c r="J27" s="39">
        <v>32.9</v>
      </c>
      <c r="K27" s="39">
        <v>34</v>
      </c>
      <c r="L27" s="39">
        <v>32.799999999999997</v>
      </c>
      <c r="M27" s="39">
        <v>36.5</v>
      </c>
      <c r="N27" s="39">
        <v>33.4</v>
      </c>
      <c r="O27" s="39">
        <v>34.700000000000003</v>
      </c>
      <c r="P27" s="39">
        <v>32.799999999999997</v>
      </c>
      <c r="Q27" s="39">
        <v>32.700000000000003</v>
      </c>
      <c r="R27" s="39">
        <v>32.700000000000003</v>
      </c>
      <c r="S27" s="39">
        <v>34.799999999999997</v>
      </c>
      <c r="T27" s="39">
        <v>32.200000000000003</v>
      </c>
      <c r="U27" s="39">
        <v>33.1</v>
      </c>
      <c r="V27" s="5">
        <f t="shared" si="0"/>
        <v>33.550000000000004</v>
      </c>
      <c r="W27" s="4">
        <f t="shared" si="1"/>
        <v>0.35707142142714243</v>
      </c>
      <c r="X27" s="2">
        <f t="shared" si="2"/>
        <v>32.200000000000003</v>
      </c>
      <c r="Y27" s="3">
        <f t="shared" si="3"/>
        <v>32.774999999999999</v>
      </c>
      <c r="Z27" s="2">
        <f t="shared" si="4"/>
        <v>33</v>
      </c>
      <c r="AA27" s="3">
        <f t="shared" si="5"/>
        <v>34.174999999999997</v>
      </c>
      <c r="AB27" s="3">
        <f t="shared" si="6"/>
        <v>36.5</v>
      </c>
      <c r="AC27" s="3">
        <f t="shared" si="7"/>
        <v>1.402815679354523</v>
      </c>
      <c r="AD27" s="3">
        <f t="shared" si="8"/>
        <v>1.7007087406164425</v>
      </c>
      <c r="AF27" s="9" t="s">
        <v>61</v>
      </c>
      <c r="AG27" s="8">
        <v>36.049999999999997</v>
      </c>
      <c r="AH27" s="7">
        <v>38.274999999999999</v>
      </c>
      <c r="AI27" s="7">
        <v>40.85</v>
      </c>
      <c r="AJ27" s="7">
        <v>40.516666666666666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13.442</v>
      </c>
      <c r="J28" s="39">
        <v>60</v>
      </c>
      <c r="K28" s="39">
        <v>50.8</v>
      </c>
      <c r="L28" s="39">
        <v>53.3</v>
      </c>
      <c r="M28" s="39">
        <v>57.8</v>
      </c>
      <c r="N28" s="39">
        <v>45.5</v>
      </c>
      <c r="O28" s="39">
        <v>56.8</v>
      </c>
      <c r="P28" s="39">
        <v>56.7</v>
      </c>
      <c r="Q28" s="39">
        <v>54.4</v>
      </c>
      <c r="R28" s="39">
        <v>55.9</v>
      </c>
      <c r="S28" s="39">
        <v>53.1</v>
      </c>
      <c r="T28" s="39">
        <v>46.2</v>
      </c>
      <c r="U28" s="39">
        <v>58.3</v>
      </c>
      <c r="V28" s="5">
        <f t="shared" si="0"/>
        <v>54.066666666666663</v>
      </c>
      <c r="W28" s="4">
        <f t="shared" si="1"/>
        <v>1.3268973455609012</v>
      </c>
      <c r="X28" s="2">
        <f t="shared" si="2"/>
        <v>45.5</v>
      </c>
      <c r="Y28" s="3">
        <f t="shared" si="3"/>
        <v>52.524999999999999</v>
      </c>
      <c r="Z28" s="2">
        <f t="shared" si="4"/>
        <v>55.15</v>
      </c>
      <c r="AA28" s="3">
        <f t="shared" si="5"/>
        <v>57.05</v>
      </c>
      <c r="AB28" s="3">
        <f t="shared" si="6"/>
        <v>60</v>
      </c>
      <c r="AC28" s="3">
        <f t="shared" si="7"/>
        <v>-0.8650317302657774</v>
      </c>
      <c r="AD28" s="3">
        <f t="shared" si="8"/>
        <v>-7.9517716505967506E-2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13.458</v>
      </c>
      <c r="J29" s="39">
        <v>37.299999999999997</v>
      </c>
      <c r="K29" s="39">
        <v>36.700000000000003</v>
      </c>
      <c r="L29" s="39">
        <v>35.4</v>
      </c>
      <c r="M29" s="39">
        <v>35.4</v>
      </c>
      <c r="N29" s="39">
        <v>35.6</v>
      </c>
      <c r="O29" s="39">
        <v>35.200000000000003</v>
      </c>
      <c r="P29" s="39">
        <v>35.700000000000003</v>
      </c>
      <c r="Q29" s="39">
        <v>35.299999999999997</v>
      </c>
      <c r="R29" s="39">
        <v>34.6</v>
      </c>
      <c r="S29" s="39">
        <v>34.9</v>
      </c>
      <c r="T29" s="39">
        <v>33.5</v>
      </c>
      <c r="U29" s="39">
        <v>36.6</v>
      </c>
      <c r="V29" s="5">
        <f t="shared" si="0"/>
        <v>35.516666666666673</v>
      </c>
      <c r="W29" s="4">
        <f t="shared" si="1"/>
        <v>0.2920235911322539</v>
      </c>
      <c r="X29" s="2">
        <f t="shared" si="2"/>
        <v>33.5</v>
      </c>
      <c r="Y29" s="3">
        <f t="shared" si="3"/>
        <v>35.125</v>
      </c>
      <c r="Z29" s="2">
        <f t="shared" si="4"/>
        <v>35.4</v>
      </c>
      <c r="AA29" s="3">
        <f t="shared" si="5"/>
        <v>35.925000000000004</v>
      </c>
      <c r="AB29" s="3">
        <f t="shared" si="6"/>
        <v>37.299999999999997</v>
      </c>
      <c r="AC29" s="3">
        <f t="shared" si="7"/>
        <v>-6.7959124304585034E-2</v>
      </c>
      <c r="AD29" s="3">
        <f t="shared" si="8"/>
        <v>0.60974999493603921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13.474</v>
      </c>
      <c r="J30" s="39">
        <v>37.4</v>
      </c>
      <c r="K30" s="39">
        <v>35.1</v>
      </c>
      <c r="L30" s="39">
        <v>34.200000000000003</v>
      </c>
      <c r="M30" s="39">
        <v>37.1</v>
      </c>
      <c r="N30" s="39">
        <v>31.9</v>
      </c>
      <c r="O30" s="39">
        <v>37.6</v>
      </c>
      <c r="P30" s="39">
        <v>33.4</v>
      </c>
      <c r="Q30" s="39">
        <v>39.200000000000003</v>
      </c>
      <c r="R30" s="39">
        <v>32.700000000000003</v>
      </c>
      <c r="S30" s="39">
        <v>36.299999999999997</v>
      </c>
      <c r="T30" s="39">
        <v>35</v>
      </c>
      <c r="U30" s="39">
        <v>33.799999999999997</v>
      </c>
      <c r="V30" s="5">
        <f t="shared" si="0"/>
        <v>35.308333333333337</v>
      </c>
      <c r="W30" s="4">
        <f t="shared" si="1"/>
        <v>0.64355291432434192</v>
      </c>
      <c r="X30" s="2">
        <f t="shared" si="2"/>
        <v>31.9</v>
      </c>
      <c r="Y30" s="3">
        <f t="shared" si="3"/>
        <v>33.699999999999996</v>
      </c>
      <c r="Z30" s="2">
        <f t="shared" si="4"/>
        <v>35.049999999999997</v>
      </c>
      <c r="AA30" s="3">
        <f t="shared" si="5"/>
        <v>37.174999999999997</v>
      </c>
      <c r="AB30" s="3">
        <f t="shared" si="6"/>
        <v>39.200000000000003</v>
      </c>
      <c r="AC30" s="3">
        <f t="shared" si="7"/>
        <v>0.17459350899664822</v>
      </c>
      <c r="AD30" s="3">
        <f t="shared" si="8"/>
        <v>-0.91654393275467783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13.49</v>
      </c>
      <c r="J31" s="39">
        <v>37.6</v>
      </c>
      <c r="K31" s="39">
        <v>34.700000000000003</v>
      </c>
      <c r="L31" s="39">
        <v>31.9</v>
      </c>
      <c r="M31" s="39">
        <v>39.299999999999997</v>
      </c>
      <c r="N31" s="39">
        <v>36.200000000000003</v>
      </c>
      <c r="O31" s="39">
        <v>37.200000000000003</v>
      </c>
      <c r="P31" s="39">
        <v>34.6</v>
      </c>
      <c r="Q31" s="39">
        <v>38.299999999999997</v>
      </c>
      <c r="R31" s="39">
        <v>32.1</v>
      </c>
      <c r="S31" s="39">
        <v>38.200000000000003</v>
      </c>
      <c r="T31" s="39">
        <v>31.4</v>
      </c>
      <c r="U31" s="39">
        <v>39</v>
      </c>
      <c r="V31" s="5">
        <f t="shared" si="0"/>
        <v>35.874999999999993</v>
      </c>
      <c r="W31" s="4">
        <f t="shared" si="1"/>
        <v>0.82893917238549641</v>
      </c>
      <c r="X31" s="2">
        <f t="shared" si="2"/>
        <v>31.4</v>
      </c>
      <c r="Y31" s="3">
        <f t="shared" si="3"/>
        <v>33.975000000000001</v>
      </c>
      <c r="Z31" s="2">
        <f t="shared" si="4"/>
        <v>36.700000000000003</v>
      </c>
      <c r="AA31" s="3">
        <f t="shared" si="5"/>
        <v>38.225000000000001</v>
      </c>
      <c r="AB31" s="3">
        <f t="shared" si="6"/>
        <v>39.299999999999997</v>
      </c>
      <c r="AC31" s="3">
        <f t="shared" si="7"/>
        <v>-0.48329037657585977</v>
      </c>
      <c r="AD31" s="3">
        <f t="shared" si="8"/>
        <v>-1.3286158579667182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13.506</v>
      </c>
      <c r="J32" s="39">
        <v>60.7</v>
      </c>
      <c r="K32" s="39">
        <v>61</v>
      </c>
      <c r="L32" s="39">
        <v>43.2</v>
      </c>
      <c r="M32" s="39">
        <v>61.4</v>
      </c>
      <c r="N32" s="39">
        <v>50.3</v>
      </c>
      <c r="O32" s="39">
        <v>60.5</v>
      </c>
      <c r="P32" s="39">
        <v>51.9</v>
      </c>
      <c r="Q32" s="39">
        <v>61.5</v>
      </c>
      <c r="R32" s="39">
        <v>57.1</v>
      </c>
      <c r="S32" s="39">
        <v>57.1</v>
      </c>
      <c r="T32" s="39">
        <v>58.5</v>
      </c>
      <c r="U32" s="39">
        <v>56.2</v>
      </c>
      <c r="V32" s="5">
        <f t="shared" si="0"/>
        <v>56.616666666666674</v>
      </c>
      <c r="W32" s="4">
        <f t="shared" si="1"/>
        <v>1.6144158026476276</v>
      </c>
      <c r="X32" s="2">
        <f t="shared" si="2"/>
        <v>43.2</v>
      </c>
      <c r="Y32" s="3">
        <f t="shared" si="3"/>
        <v>55.125</v>
      </c>
      <c r="Z32" s="2">
        <f t="shared" si="4"/>
        <v>57.8</v>
      </c>
      <c r="AA32" s="3">
        <f t="shared" si="5"/>
        <v>60.775000000000006</v>
      </c>
      <c r="AB32" s="3">
        <f t="shared" si="6"/>
        <v>61.5</v>
      </c>
      <c r="AC32" s="3">
        <f t="shared" si="7"/>
        <v>-1.452246611852825</v>
      </c>
      <c r="AD32" s="3">
        <f t="shared" si="8"/>
        <v>1.8414055368948503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13.52</v>
      </c>
      <c r="J33" s="39">
        <v>37.200000000000003</v>
      </c>
      <c r="K33" s="39">
        <v>34.200000000000003</v>
      </c>
      <c r="L33" s="39">
        <v>34.1</v>
      </c>
      <c r="M33" s="39">
        <v>35.1</v>
      </c>
      <c r="N33" s="39">
        <v>34</v>
      </c>
      <c r="O33" s="39">
        <v>34.5</v>
      </c>
      <c r="P33" s="39">
        <v>33.299999999999997</v>
      </c>
      <c r="Q33" s="39">
        <v>36.700000000000003</v>
      </c>
      <c r="R33" s="39">
        <v>34.4</v>
      </c>
      <c r="S33" s="39">
        <v>34.700000000000003</v>
      </c>
      <c r="T33" s="39">
        <v>35.1</v>
      </c>
      <c r="U33" s="39">
        <v>32.799999999999997</v>
      </c>
      <c r="V33" s="5">
        <f t="shared" si="0"/>
        <v>34.674999999999997</v>
      </c>
      <c r="W33" s="4">
        <f t="shared" si="1"/>
        <v>0.36267628942224939</v>
      </c>
      <c r="X33" s="2">
        <f t="shared" si="2"/>
        <v>32.799999999999997</v>
      </c>
      <c r="Y33" s="3">
        <f t="shared" si="3"/>
        <v>34.075000000000003</v>
      </c>
      <c r="Z33" s="2">
        <f t="shared" si="4"/>
        <v>34.450000000000003</v>
      </c>
      <c r="AA33" s="3">
        <f t="shared" si="5"/>
        <v>35.1</v>
      </c>
      <c r="AB33" s="3">
        <f t="shared" si="6"/>
        <v>37.200000000000003</v>
      </c>
      <c r="AC33" s="3">
        <f t="shared" si="7"/>
        <v>0.81051572170036257</v>
      </c>
      <c r="AD33" s="3">
        <f t="shared" si="8"/>
        <v>0.63677955094047434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13.622999999999999</v>
      </c>
      <c r="J34" s="39">
        <v>35.299999999999997</v>
      </c>
      <c r="K34" s="39">
        <v>33.5</v>
      </c>
      <c r="L34" s="39">
        <v>33.700000000000003</v>
      </c>
      <c r="M34" s="39">
        <v>34.5</v>
      </c>
      <c r="N34" s="39">
        <v>34.200000000000003</v>
      </c>
      <c r="O34" s="39">
        <v>35.200000000000003</v>
      </c>
      <c r="P34" s="39">
        <v>32.200000000000003</v>
      </c>
      <c r="Q34" s="39">
        <v>35.200000000000003</v>
      </c>
      <c r="R34" s="39">
        <v>36</v>
      </c>
      <c r="S34" s="39">
        <v>35.1</v>
      </c>
      <c r="T34" s="39">
        <v>35.1</v>
      </c>
      <c r="U34" s="39">
        <v>35.299999999999997</v>
      </c>
      <c r="V34" s="5">
        <f t="shared" si="0"/>
        <v>34.608333333333334</v>
      </c>
      <c r="W34" s="4">
        <f t="shared" si="1"/>
        <v>0.30287969742310389</v>
      </c>
      <c r="X34" s="2">
        <f t="shared" si="2"/>
        <v>32.200000000000003</v>
      </c>
      <c r="Y34" s="3">
        <f t="shared" si="3"/>
        <v>34.075000000000003</v>
      </c>
      <c r="Z34" s="2">
        <f t="shared" si="4"/>
        <v>35.1</v>
      </c>
      <c r="AA34" s="3">
        <f t="shared" si="5"/>
        <v>35.225000000000001</v>
      </c>
      <c r="AB34" s="3">
        <f t="shared" si="6"/>
        <v>36</v>
      </c>
      <c r="AC34" s="3">
        <f t="shared" si="7"/>
        <v>-1.1466092733237125</v>
      </c>
      <c r="AD34" s="3">
        <f t="shared" si="8"/>
        <v>1.2236968019141603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13.608000000000001</v>
      </c>
      <c r="J35" s="39">
        <v>35.700000000000003</v>
      </c>
      <c r="K35" s="39">
        <v>35.799999999999997</v>
      </c>
      <c r="L35" s="39">
        <v>32.6</v>
      </c>
      <c r="M35" s="39">
        <v>36.4</v>
      </c>
      <c r="N35" s="39">
        <v>34.700000000000003</v>
      </c>
      <c r="O35" s="39">
        <v>35</v>
      </c>
      <c r="P35" s="39">
        <v>33.6</v>
      </c>
      <c r="Q35" s="39">
        <v>35.200000000000003</v>
      </c>
      <c r="R35" s="39">
        <v>34.200000000000003</v>
      </c>
      <c r="S35" s="39">
        <v>35.9</v>
      </c>
      <c r="T35" s="39">
        <v>33.200000000000003</v>
      </c>
      <c r="U35" s="39">
        <v>34.799999999999997</v>
      </c>
      <c r="V35" s="5">
        <f t="shared" si="0"/>
        <v>34.758333333333333</v>
      </c>
      <c r="W35" s="4">
        <f t="shared" si="1"/>
        <v>0.33675328918627889</v>
      </c>
      <c r="X35" s="2">
        <f t="shared" si="2"/>
        <v>32.6</v>
      </c>
      <c r="Y35" s="3">
        <f t="shared" si="3"/>
        <v>34.050000000000004</v>
      </c>
      <c r="Z35" s="2">
        <f t="shared" si="4"/>
        <v>34.9</v>
      </c>
      <c r="AA35" s="3">
        <f t="shared" si="5"/>
        <v>35.725000000000001</v>
      </c>
      <c r="AB35" s="3">
        <f t="shared" si="6"/>
        <v>36.4</v>
      </c>
      <c r="AC35" s="3">
        <f t="shared" si="7"/>
        <v>-0.52151272633603607</v>
      </c>
      <c r="AD35" s="3">
        <f t="shared" si="8"/>
        <v>-0.5903539012406247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13.593</v>
      </c>
      <c r="J36" s="39">
        <v>36.299999999999997</v>
      </c>
      <c r="K36" s="39">
        <v>32.4</v>
      </c>
      <c r="L36" s="39">
        <v>35.4</v>
      </c>
      <c r="M36" s="39">
        <v>33.9</v>
      </c>
      <c r="N36" s="39">
        <v>33.799999999999997</v>
      </c>
      <c r="O36" s="39">
        <v>35.1</v>
      </c>
      <c r="P36" s="39">
        <v>33.9</v>
      </c>
      <c r="Q36" s="39">
        <v>37.299999999999997</v>
      </c>
      <c r="R36" s="39">
        <v>34.4</v>
      </c>
      <c r="S36" s="39">
        <v>32.799999999999997</v>
      </c>
      <c r="T36" s="39">
        <v>35.799999999999997</v>
      </c>
      <c r="U36" s="39">
        <v>35</v>
      </c>
      <c r="V36" s="5">
        <f t="shared" si="0"/>
        <v>34.675000000000004</v>
      </c>
      <c r="W36" s="4">
        <f t="shared" si="1"/>
        <v>0.41141385931487973</v>
      </c>
      <c r="X36" s="2">
        <f t="shared" si="2"/>
        <v>32.4</v>
      </c>
      <c r="Y36" s="3">
        <f t="shared" si="3"/>
        <v>33.875</v>
      </c>
      <c r="Z36" s="2">
        <f t="shared" si="4"/>
        <v>34.700000000000003</v>
      </c>
      <c r="AA36" s="3">
        <f t="shared" si="5"/>
        <v>35.5</v>
      </c>
      <c r="AB36" s="3">
        <f t="shared" si="6"/>
        <v>37.299999999999997</v>
      </c>
      <c r="AC36" s="3">
        <f t="shared" si="7"/>
        <v>0.16230885198176426</v>
      </c>
      <c r="AD36" s="3">
        <f t="shared" si="8"/>
        <v>-0.33465739795142024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13.577999999999999</v>
      </c>
      <c r="J37" s="39">
        <v>36.799999999999997</v>
      </c>
      <c r="K37" s="39">
        <v>33.700000000000003</v>
      </c>
      <c r="L37" s="39">
        <v>34</v>
      </c>
      <c r="M37" s="39">
        <v>35.6</v>
      </c>
      <c r="N37" s="39">
        <v>33.799999999999997</v>
      </c>
      <c r="O37" s="39">
        <v>34.1</v>
      </c>
      <c r="P37" s="39">
        <v>35.299999999999997</v>
      </c>
      <c r="Q37" s="39">
        <v>36.700000000000003</v>
      </c>
      <c r="R37" s="39">
        <v>36.4</v>
      </c>
      <c r="S37" s="39">
        <v>35.4</v>
      </c>
      <c r="T37" s="39">
        <v>32.5</v>
      </c>
      <c r="U37" s="39">
        <v>33.799999999999997</v>
      </c>
      <c r="V37" s="5">
        <f t="shared" si="0"/>
        <v>34.841666666666661</v>
      </c>
      <c r="W37" s="4">
        <f t="shared" si="1"/>
        <v>0.39913890901147264</v>
      </c>
      <c r="X37" s="2">
        <f t="shared" si="2"/>
        <v>32.5</v>
      </c>
      <c r="Y37" s="3">
        <f t="shared" si="3"/>
        <v>33.799999999999997</v>
      </c>
      <c r="Z37" s="2">
        <f t="shared" si="4"/>
        <v>34.700000000000003</v>
      </c>
      <c r="AA37" s="3">
        <f t="shared" si="5"/>
        <v>35.799999999999997</v>
      </c>
      <c r="AB37" s="3">
        <f t="shared" si="6"/>
        <v>36.799999999999997</v>
      </c>
      <c r="AC37" s="3">
        <f t="shared" si="7"/>
        <v>3.4068598233061881E-2</v>
      </c>
      <c r="AD37" s="3">
        <f t="shared" si="8"/>
        <v>-1.1045752697773463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13.561999999999999</v>
      </c>
      <c r="J38" s="39">
        <v>61.3</v>
      </c>
      <c r="K38" s="39">
        <v>56.8</v>
      </c>
      <c r="L38" s="39">
        <v>50.3</v>
      </c>
      <c r="M38" s="39">
        <v>60.1</v>
      </c>
      <c r="N38" s="39">
        <v>46.2</v>
      </c>
      <c r="O38" s="39">
        <v>57.8</v>
      </c>
      <c r="P38" s="39">
        <v>50.5</v>
      </c>
      <c r="Q38" s="39">
        <v>59.4</v>
      </c>
      <c r="R38" s="39">
        <v>49.5</v>
      </c>
      <c r="S38" s="39">
        <v>58.8</v>
      </c>
      <c r="T38" s="39">
        <v>49.3</v>
      </c>
      <c r="U38" s="39">
        <v>58.8</v>
      </c>
      <c r="V38" s="5">
        <f t="shared" si="0"/>
        <v>54.899999999999984</v>
      </c>
      <c r="W38" s="4">
        <f t="shared" si="1"/>
        <v>1.5260862996368829</v>
      </c>
      <c r="X38" s="2">
        <f t="shared" si="2"/>
        <v>46.2</v>
      </c>
      <c r="Y38" s="3">
        <f t="shared" si="3"/>
        <v>50.099999999999994</v>
      </c>
      <c r="Z38" s="2">
        <f t="shared" si="4"/>
        <v>57.3</v>
      </c>
      <c r="AA38" s="3">
        <f t="shared" si="5"/>
        <v>58.949999999999996</v>
      </c>
      <c r="AB38" s="3">
        <f t="shared" si="6"/>
        <v>61.3</v>
      </c>
      <c r="AC38" s="3">
        <f t="shared" si="7"/>
        <v>-0.39159198623260294</v>
      </c>
      <c r="AD38" s="3">
        <f t="shared" si="8"/>
        <v>-1.6626499299862596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13.545999999999999</v>
      </c>
      <c r="J39" s="39">
        <v>60.3</v>
      </c>
      <c r="K39" s="39">
        <v>57.5</v>
      </c>
      <c r="L39" s="39">
        <v>56.7</v>
      </c>
      <c r="M39" s="39">
        <v>59.6</v>
      </c>
      <c r="N39" s="39">
        <v>52.8</v>
      </c>
      <c r="O39" s="39">
        <v>51.4</v>
      </c>
      <c r="P39" s="39">
        <v>57.1</v>
      </c>
      <c r="Q39" s="39">
        <v>52.9</v>
      </c>
      <c r="R39" s="39">
        <v>56.5</v>
      </c>
      <c r="S39" s="39">
        <v>56.5</v>
      </c>
      <c r="T39" s="39">
        <v>57.5</v>
      </c>
      <c r="U39" s="39">
        <v>56.8</v>
      </c>
      <c r="V39" s="5">
        <f t="shared" si="0"/>
        <v>56.29999999999999</v>
      </c>
      <c r="W39" s="4">
        <f t="shared" si="1"/>
        <v>0.77224583933073843</v>
      </c>
      <c r="X39" s="2">
        <f t="shared" si="2"/>
        <v>51.4</v>
      </c>
      <c r="Y39" s="3">
        <f t="shared" si="3"/>
        <v>55.6</v>
      </c>
      <c r="Z39" s="2">
        <f t="shared" si="4"/>
        <v>56.75</v>
      </c>
      <c r="AA39" s="3">
        <f t="shared" si="5"/>
        <v>57.5</v>
      </c>
      <c r="AB39" s="3">
        <f t="shared" si="6"/>
        <v>60.3</v>
      </c>
      <c r="AC39" s="3">
        <f t="shared" si="7"/>
        <v>-0.54543572006724395</v>
      </c>
      <c r="AD39" s="3">
        <f t="shared" si="8"/>
        <v>-0.21985009646210463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13.39</v>
      </c>
      <c r="J40" s="47">
        <v>39.700000000000003</v>
      </c>
      <c r="K40" s="47">
        <v>45.1</v>
      </c>
      <c r="L40" s="47">
        <v>45.1</v>
      </c>
      <c r="M40" s="47">
        <v>41.6</v>
      </c>
      <c r="N40" s="47">
        <v>41.7</v>
      </c>
      <c r="O40" s="47">
        <v>41.1</v>
      </c>
      <c r="P40" s="47">
        <v>42.4</v>
      </c>
      <c r="Q40" s="47">
        <v>36.299999999999997</v>
      </c>
      <c r="R40" s="47">
        <v>41.2</v>
      </c>
      <c r="S40" s="47">
        <v>38.9</v>
      </c>
      <c r="T40" s="47">
        <v>36.200000000000003</v>
      </c>
      <c r="U40" s="47">
        <v>36.1</v>
      </c>
      <c r="V40" s="49">
        <f t="shared" si="0"/>
        <v>40.449999999999996</v>
      </c>
      <c r="W40" s="48">
        <f t="shared" si="1"/>
        <v>0.90491084442813297</v>
      </c>
      <c r="X40" s="47">
        <f t="shared" si="2"/>
        <v>36.1</v>
      </c>
      <c r="Y40" s="46">
        <f t="shared" si="3"/>
        <v>38.25</v>
      </c>
      <c r="Z40" s="47">
        <f t="shared" si="4"/>
        <v>41.150000000000006</v>
      </c>
      <c r="AA40" s="46">
        <f t="shared" si="5"/>
        <v>41.875</v>
      </c>
      <c r="AB40" s="46">
        <f t="shared" si="6"/>
        <v>45.1</v>
      </c>
      <c r="AC40" s="46">
        <f t="shared" si="7"/>
        <v>-7.7996621670098243E-2</v>
      </c>
      <c r="AD40" s="46">
        <f t="shared" si="8"/>
        <v>-0.86537031820255361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13.375</v>
      </c>
      <c r="J41" s="39">
        <v>65.2</v>
      </c>
      <c r="K41" s="39">
        <v>52.1</v>
      </c>
      <c r="L41" s="39">
        <v>54.6</v>
      </c>
      <c r="M41" s="39">
        <v>60.4</v>
      </c>
      <c r="N41" s="39">
        <v>56.2</v>
      </c>
      <c r="O41" s="39">
        <v>54.6</v>
      </c>
      <c r="P41" s="39">
        <v>60.3</v>
      </c>
      <c r="Q41" s="39">
        <v>55.3</v>
      </c>
      <c r="R41" s="39">
        <v>57.3</v>
      </c>
      <c r="S41" s="39">
        <v>56.1</v>
      </c>
      <c r="T41" s="39">
        <v>49.1</v>
      </c>
      <c r="U41" s="39">
        <v>61.7</v>
      </c>
      <c r="V41" s="5">
        <f t="shared" si="0"/>
        <v>56.908333333333339</v>
      </c>
      <c r="W41" s="4">
        <f t="shared" si="1"/>
        <v>1.2734145420716683</v>
      </c>
      <c r="X41" s="2">
        <f t="shared" si="2"/>
        <v>49.1</v>
      </c>
      <c r="Y41" s="3">
        <f t="shared" si="3"/>
        <v>54.6</v>
      </c>
      <c r="Z41" s="2">
        <f t="shared" si="4"/>
        <v>56.150000000000006</v>
      </c>
      <c r="AA41" s="3">
        <f t="shared" si="5"/>
        <v>60.324999999999996</v>
      </c>
      <c r="AB41" s="3">
        <f t="shared" si="6"/>
        <v>65.2</v>
      </c>
      <c r="AC41" s="3">
        <f t="shared" si="7"/>
        <v>0.18407765858031969</v>
      </c>
      <c r="AD41" s="3">
        <f t="shared" si="8"/>
        <v>6.6138168419278998E-2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13.367000000000001</v>
      </c>
      <c r="J42" s="47">
        <v>59.3</v>
      </c>
      <c r="K42" s="47">
        <v>59.3</v>
      </c>
      <c r="L42" s="47">
        <v>60.2</v>
      </c>
      <c r="M42" s="47">
        <v>59.8</v>
      </c>
      <c r="N42" s="47">
        <v>61.9</v>
      </c>
      <c r="O42" s="47">
        <v>60.2</v>
      </c>
      <c r="P42" s="47">
        <v>62.4</v>
      </c>
      <c r="Q42" s="47">
        <v>60.4</v>
      </c>
      <c r="R42" s="47">
        <v>61.5</v>
      </c>
      <c r="S42" s="47">
        <v>59.6</v>
      </c>
      <c r="T42" s="47">
        <v>62.2</v>
      </c>
      <c r="U42" s="47">
        <v>59.9</v>
      </c>
      <c r="V42" s="49">
        <f t="shared" ref="V42:V73" si="9">AVERAGE(J42:U42)</f>
        <v>60.558333333333337</v>
      </c>
      <c r="W42" s="48">
        <f t="shared" ref="W42:W73" si="10">STDEV(J42:U42)/SQRT(COUNT(J42:U42))</f>
        <v>0.32739984203670092</v>
      </c>
      <c r="X42" s="47">
        <f t="shared" ref="X42:X73" si="11">MIN(J42:U42)</f>
        <v>59.3</v>
      </c>
      <c r="Y42" s="46">
        <f t="shared" ref="Y42:Y73" si="12">QUARTILE(J42:U42,1)</f>
        <v>59.75</v>
      </c>
      <c r="Z42" s="47">
        <f t="shared" ref="Z42:Z73" si="13">MEDIAN(J42:U42)</f>
        <v>60.2</v>
      </c>
      <c r="AA42" s="46">
        <f t="shared" ref="AA42:AA73" si="14">QUARTILE(J42:U42,3)</f>
        <v>61.6</v>
      </c>
      <c r="AB42" s="46">
        <f t="shared" ref="AB42:AB73" si="15">MAX(J42:U42)</f>
        <v>62.4</v>
      </c>
      <c r="AC42" s="46">
        <f t="shared" ref="AC42:AC73" si="16">SKEW(J42:U42)</f>
        <v>0.6160701594327298</v>
      </c>
      <c r="AD42" s="46">
        <f t="shared" ref="AD42:AD73" si="17">KURT(J42:U42)</f>
        <v>-1.2520075947658045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13.352</v>
      </c>
      <c r="J43" s="39">
        <v>64.3</v>
      </c>
      <c r="K43" s="39">
        <v>56.4</v>
      </c>
      <c r="L43" s="39">
        <v>56.1</v>
      </c>
      <c r="M43" s="39">
        <v>56</v>
      </c>
      <c r="N43" s="39">
        <v>46.4</v>
      </c>
      <c r="O43" s="39">
        <v>58.9</v>
      </c>
      <c r="P43" s="39">
        <v>49.6</v>
      </c>
      <c r="Q43" s="39">
        <v>60.3</v>
      </c>
      <c r="R43" s="39">
        <v>55.2</v>
      </c>
      <c r="S43" s="39">
        <v>56.8</v>
      </c>
      <c r="T43" s="39">
        <v>54.3</v>
      </c>
      <c r="U43" s="39">
        <v>53.3</v>
      </c>
      <c r="V43" s="5">
        <f t="shared" si="9"/>
        <v>55.633333333333326</v>
      </c>
      <c r="W43" s="4">
        <f t="shared" si="10"/>
        <v>1.3453811746306341</v>
      </c>
      <c r="X43" s="2">
        <f t="shared" si="11"/>
        <v>46.4</v>
      </c>
      <c r="Y43" s="3">
        <f t="shared" si="12"/>
        <v>54.05</v>
      </c>
      <c r="Z43" s="2">
        <f t="shared" si="13"/>
        <v>56.05</v>
      </c>
      <c r="AA43" s="3">
        <f t="shared" si="14"/>
        <v>57.324999999999996</v>
      </c>
      <c r="AB43" s="3">
        <f t="shared" si="15"/>
        <v>64.3</v>
      </c>
      <c r="AC43" s="3">
        <f t="shared" si="16"/>
        <v>-0.25035821756727494</v>
      </c>
      <c r="AD43" s="3">
        <f t="shared" si="17"/>
        <v>0.9293233552806468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13.343999999999999</v>
      </c>
      <c r="J44" s="47">
        <v>48.7</v>
      </c>
      <c r="K44" s="47">
        <v>40.4</v>
      </c>
      <c r="L44" s="47">
        <v>38.200000000000003</v>
      </c>
      <c r="M44" s="47">
        <v>41.6</v>
      </c>
      <c r="N44" s="47">
        <v>38.799999999999997</v>
      </c>
      <c r="O44" s="47">
        <v>38.299999999999997</v>
      </c>
      <c r="P44" s="47">
        <v>40.700000000000003</v>
      </c>
      <c r="Q44" s="47">
        <v>43</v>
      </c>
      <c r="R44" s="47">
        <v>41.1</v>
      </c>
      <c r="S44" s="47">
        <v>38.299999999999997</v>
      </c>
      <c r="T44" s="47">
        <v>41.9</v>
      </c>
      <c r="U44" s="47">
        <v>36</v>
      </c>
      <c r="V44" s="49">
        <f t="shared" si="9"/>
        <v>40.583333333333336</v>
      </c>
      <c r="W44" s="48">
        <f t="shared" si="10"/>
        <v>0.93377965518876305</v>
      </c>
      <c r="X44" s="47">
        <f t="shared" si="11"/>
        <v>36</v>
      </c>
      <c r="Y44" s="46">
        <f t="shared" si="12"/>
        <v>38.299999999999997</v>
      </c>
      <c r="Z44" s="47">
        <f t="shared" si="13"/>
        <v>40.549999999999997</v>
      </c>
      <c r="AA44" s="46">
        <f t="shared" si="14"/>
        <v>41.674999999999997</v>
      </c>
      <c r="AB44" s="46">
        <f t="shared" si="15"/>
        <v>48.7</v>
      </c>
      <c r="AC44" s="46">
        <f t="shared" si="16"/>
        <v>1.3311986489590901</v>
      </c>
      <c r="AD44" s="46">
        <f t="shared" si="17"/>
        <v>3.0429533979641716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13.327999999999999</v>
      </c>
      <c r="J45" s="39">
        <v>63</v>
      </c>
      <c r="K45" s="39">
        <v>61.3</v>
      </c>
      <c r="L45" s="39">
        <v>51.4</v>
      </c>
      <c r="M45" s="39">
        <v>60.8</v>
      </c>
      <c r="N45" s="39">
        <v>40.799999999999997</v>
      </c>
      <c r="O45" s="39">
        <v>56.2</v>
      </c>
      <c r="P45" s="39">
        <v>45.5</v>
      </c>
      <c r="Q45" s="39">
        <v>56.4</v>
      </c>
      <c r="R45" s="39">
        <v>43.9</v>
      </c>
      <c r="S45" s="39">
        <v>59.2</v>
      </c>
      <c r="T45" s="39">
        <v>46.4</v>
      </c>
      <c r="U45" s="39">
        <v>58.4</v>
      </c>
      <c r="V45" s="5">
        <f t="shared" si="9"/>
        <v>53.608333333333327</v>
      </c>
      <c r="W45" s="4">
        <f t="shared" si="10"/>
        <v>2.2168589002997892</v>
      </c>
      <c r="X45" s="2">
        <f t="shared" si="11"/>
        <v>40.799999999999997</v>
      </c>
      <c r="Y45" s="3">
        <f t="shared" si="12"/>
        <v>46.174999999999997</v>
      </c>
      <c r="Z45" s="2">
        <f t="shared" si="13"/>
        <v>56.3</v>
      </c>
      <c r="AA45" s="3">
        <f t="shared" si="14"/>
        <v>59.6</v>
      </c>
      <c r="AB45" s="3">
        <f t="shared" si="15"/>
        <v>63</v>
      </c>
      <c r="AC45" s="3">
        <f t="shared" si="16"/>
        <v>-0.470989487403846</v>
      </c>
      <c r="AD45" s="3">
        <f t="shared" si="17"/>
        <v>-1.3869623221811782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13.32</v>
      </c>
      <c r="J46" s="47">
        <v>61.9</v>
      </c>
      <c r="K46" s="47">
        <v>60.4</v>
      </c>
      <c r="L46" s="47">
        <v>63.4</v>
      </c>
      <c r="M46" s="47">
        <v>61.4</v>
      </c>
      <c r="N46" s="47">
        <v>64</v>
      </c>
      <c r="O46" s="47">
        <v>60.6</v>
      </c>
      <c r="P46" s="47">
        <v>63.6</v>
      </c>
      <c r="Q46" s="47">
        <v>61.8</v>
      </c>
      <c r="R46" s="47">
        <v>64.400000000000006</v>
      </c>
      <c r="S46" s="47">
        <v>60.4</v>
      </c>
      <c r="T46" s="47">
        <v>63.7</v>
      </c>
      <c r="U46" s="47">
        <v>62.5</v>
      </c>
      <c r="V46" s="49">
        <f t="shared" si="9"/>
        <v>62.341666666666676</v>
      </c>
      <c r="W46" s="48">
        <f t="shared" si="10"/>
        <v>0.42201865773298197</v>
      </c>
      <c r="X46" s="47">
        <f t="shared" si="11"/>
        <v>60.4</v>
      </c>
      <c r="Y46" s="46">
        <f t="shared" si="12"/>
        <v>61.2</v>
      </c>
      <c r="Z46" s="47">
        <f t="shared" si="13"/>
        <v>62.2</v>
      </c>
      <c r="AA46" s="46">
        <f t="shared" si="14"/>
        <v>63.625</v>
      </c>
      <c r="AB46" s="46">
        <f t="shared" si="15"/>
        <v>64.400000000000006</v>
      </c>
      <c r="AC46" s="46">
        <f t="shared" si="16"/>
        <v>-7.1036637372114478E-2</v>
      </c>
      <c r="AD46" s="46">
        <f t="shared" si="17"/>
        <v>-1.5764095899914556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13.303000000000001</v>
      </c>
      <c r="J47" s="39">
        <v>63.9</v>
      </c>
      <c r="K47" s="39">
        <v>52.3</v>
      </c>
      <c r="L47" s="39">
        <v>54.5</v>
      </c>
      <c r="M47" s="39">
        <v>59.9</v>
      </c>
      <c r="N47" s="39">
        <v>51.8</v>
      </c>
      <c r="O47" s="39">
        <v>59.6</v>
      </c>
      <c r="P47" s="39">
        <v>53</v>
      </c>
      <c r="Q47" s="39">
        <v>62.2</v>
      </c>
      <c r="R47" s="39">
        <v>43.9</v>
      </c>
      <c r="S47" s="39">
        <v>61.6</v>
      </c>
      <c r="T47" s="39">
        <v>50.6</v>
      </c>
      <c r="U47" s="39">
        <v>62</v>
      </c>
      <c r="V47" s="5">
        <f t="shared" si="9"/>
        <v>56.274999999999999</v>
      </c>
      <c r="W47" s="4">
        <f t="shared" si="10"/>
        <v>1.7701705533306022</v>
      </c>
      <c r="X47" s="2">
        <f t="shared" si="11"/>
        <v>43.9</v>
      </c>
      <c r="Y47" s="3">
        <f t="shared" si="12"/>
        <v>52.174999999999997</v>
      </c>
      <c r="Z47" s="2">
        <f t="shared" si="13"/>
        <v>57.05</v>
      </c>
      <c r="AA47" s="3">
        <f t="shared" si="14"/>
        <v>61.7</v>
      </c>
      <c r="AB47" s="3">
        <f t="shared" si="15"/>
        <v>63.9</v>
      </c>
      <c r="AC47" s="3">
        <f t="shared" si="16"/>
        <v>-0.56616910601495163</v>
      </c>
      <c r="AD47" s="3">
        <f t="shared" si="17"/>
        <v>-0.46138056464840549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13.148999999999999</v>
      </c>
      <c r="J48" s="39">
        <v>31.1</v>
      </c>
      <c r="K48" s="39">
        <v>32</v>
      </c>
      <c r="L48" s="39">
        <v>31.1</v>
      </c>
      <c r="M48" s="39">
        <v>31.3</v>
      </c>
      <c r="N48" s="39">
        <v>33.6</v>
      </c>
      <c r="O48" s="39">
        <v>32.799999999999997</v>
      </c>
      <c r="P48" s="39">
        <v>30.4</v>
      </c>
      <c r="Q48" s="39">
        <v>29.6</v>
      </c>
      <c r="R48" s="39">
        <v>31.2</v>
      </c>
      <c r="S48" s="39">
        <v>30.9</v>
      </c>
      <c r="T48" s="39">
        <v>32.9</v>
      </c>
      <c r="U48" s="39">
        <v>30.8</v>
      </c>
      <c r="V48" s="5">
        <f t="shared" si="9"/>
        <v>31.474999999999994</v>
      </c>
      <c r="W48" s="4">
        <f t="shared" si="10"/>
        <v>0.3305470672027867</v>
      </c>
      <c r="X48" s="2">
        <f t="shared" si="11"/>
        <v>29.6</v>
      </c>
      <c r="Y48" s="3">
        <f t="shared" si="12"/>
        <v>30.875</v>
      </c>
      <c r="Z48" s="2">
        <f t="shared" si="13"/>
        <v>31.15</v>
      </c>
      <c r="AA48" s="3">
        <f t="shared" si="14"/>
        <v>32.200000000000003</v>
      </c>
      <c r="AB48" s="3">
        <f t="shared" si="15"/>
        <v>33.6</v>
      </c>
      <c r="AC48" s="3">
        <f t="shared" si="16"/>
        <v>0.47208617048814544</v>
      </c>
      <c r="AD48" s="3">
        <f t="shared" si="17"/>
        <v>-0.2081757413706562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13.132999999999999</v>
      </c>
      <c r="J49" s="39">
        <v>29.8</v>
      </c>
      <c r="K49" s="39">
        <v>29.7</v>
      </c>
      <c r="L49" s="39">
        <v>29.1</v>
      </c>
      <c r="M49" s="39">
        <v>30.1</v>
      </c>
      <c r="N49" s="39">
        <v>29.8</v>
      </c>
      <c r="O49" s="39">
        <v>30.2</v>
      </c>
      <c r="P49" s="39">
        <v>30.7</v>
      </c>
      <c r="Q49" s="39">
        <v>28.5</v>
      </c>
      <c r="R49" s="39">
        <v>30.7</v>
      </c>
      <c r="S49" s="39">
        <v>31.1</v>
      </c>
      <c r="T49" s="39">
        <v>32</v>
      </c>
      <c r="U49" s="39">
        <v>31.7</v>
      </c>
      <c r="V49" s="5">
        <f t="shared" si="9"/>
        <v>30.283333333333331</v>
      </c>
      <c r="W49" s="4">
        <f t="shared" si="10"/>
        <v>0.29383393922143136</v>
      </c>
      <c r="X49" s="2">
        <f t="shared" si="11"/>
        <v>28.5</v>
      </c>
      <c r="Y49" s="3">
        <f t="shared" si="12"/>
        <v>29.774999999999999</v>
      </c>
      <c r="Z49" s="2">
        <f t="shared" si="13"/>
        <v>30.15</v>
      </c>
      <c r="AA49" s="3">
        <f t="shared" si="14"/>
        <v>30.8</v>
      </c>
      <c r="AB49" s="3">
        <f t="shared" si="15"/>
        <v>32</v>
      </c>
      <c r="AC49" s="3">
        <f t="shared" si="16"/>
        <v>8.6055006788973654E-2</v>
      </c>
      <c r="AD49" s="3">
        <f t="shared" si="17"/>
        <v>-0.28728298693167309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13.118</v>
      </c>
      <c r="J50" s="39">
        <v>30.7</v>
      </c>
      <c r="K50" s="39">
        <v>30.2</v>
      </c>
      <c r="L50" s="39">
        <v>30.6</v>
      </c>
      <c r="M50" s="39">
        <v>29.7</v>
      </c>
      <c r="N50" s="39">
        <v>31.5</v>
      </c>
      <c r="O50" s="39">
        <v>28.8</v>
      </c>
      <c r="P50" s="39">
        <v>28.8</v>
      </c>
      <c r="Q50" s="39">
        <v>30.2</v>
      </c>
      <c r="R50" s="39">
        <v>29</v>
      </c>
      <c r="S50" s="39">
        <v>29.7</v>
      </c>
      <c r="T50" s="39">
        <v>29.3</v>
      </c>
      <c r="U50" s="39">
        <v>29.6</v>
      </c>
      <c r="V50" s="5">
        <f t="shared" si="9"/>
        <v>29.841666666666669</v>
      </c>
      <c r="W50" s="4">
        <f t="shared" si="10"/>
        <v>0.23977841201552494</v>
      </c>
      <c r="X50" s="2">
        <f t="shared" si="11"/>
        <v>28.8</v>
      </c>
      <c r="Y50" s="3">
        <f t="shared" si="12"/>
        <v>29.225000000000001</v>
      </c>
      <c r="Z50" s="2">
        <f t="shared" si="13"/>
        <v>29.7</v>
      </c>
      <c r="AA50" s="3">
        <f t="shared" si="14"/>
        <v>30.3</v>
      </c>
      <c r="AB50" s="3">
        <f t="shared" si="15"/>
        <v>31.5</v>
      </c>
      <c r="AC50" s="3">
        <f t="shared" si="16"/>
        <v>0.51122179801581369</v>
      </c>
      <c r="AD50" s="3">
        <f t="shared" si="17"/>
        <v>-0.25405163353891425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13.101000000000001</v>
      </c>
      <c r="J51" s="39">
        <v>30.2</v>
      </c>
      <c r="K51" s="39">
        <v>30.9</v>
      </c>
      <c r="L51" s="39">
        <v>31.4</v>
      </c>
      <c r="M51" s="39">
        <v>29.6</v>
      </c>
      <c r="N51" s="39">
        <v>30.7</v>
      </c>
      <c r="O51" s="39">
        <v>31.2</v>
      </c>
      <c r="P51" s="39">
        <v>32.299999999999997</v>
      </c>
      <c r="Q51" s="39">
        <v>32.299999999999997</v>
      </c>
      <c r="R51" s="39">
        <v>35.299999999999997</v>
      </c>
      <c r="S51" s="39">
        <v>35.200000000000003</v>
      </c>
      <c r="T51" s="39">
        <v>34.700000000000003</v>
      </c>
      <c r="U51" s="39">
        <v>33.700000000000003</v>
      </c>
      <c r="V51" s="5">
        <f t="shared" si="9"/>
        <v>32.291666666666664</v>
      </c>
      <c r="W51" s="4">
        <f t="shared" si="10"/>
        <v>0.57319655697613292</v>
      </c>
      <c r="X51" s="2">
        <f t="shared" si="11"/>
        <v>29.6</v>
      </c>
      <c r="Y51" s="3">
        <f t="shared" si="12"/>
        <v>30.849999999999998</v>
      </c>
      <c r="Z51" s="2">
        <f t="shared" si="13"/>
        <v>31.849999999999998</v>
      </c>
      <c r="AA51" s="3">
        <f t="shared" si="14"/>
        <v>33.950000000000003</v>
      </c>
      <c r="AB51" s="3">
        <f t="shared" si="15"/>
        <v>35.299999999999997</v>
      </c>
      <c r="AC51" s="3">
        <f t="shared" si="16"/>
        <v>0.4347324838067998</v>
      </c>
      <c r="AD51" s="3">
        <f t="shared" si="17"/>
        <v>-1.2468874893685555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13.087</v>
      </c>
      <c r="J52" s="39">
        <v>28.5</v>
      </c>
      <c r="K52" s="39">
        <v>29</v>
      </c>
      <c r="L52" s="39">
        <v>28.5</v>
      </c>
      <c r="M52" s="39">
        <v>27.8</v>
      </c>
      <c r="N52" s="39">
        <v>28.4</v>
      </c>
      <c r="O52" s="39">
        <v>29.7</v>
      </c>
      <c r="P52" s="39">
        <v>27.7</v>
      </c>
      <c r="Q52" s="39">
        <v>29.3</v>
      </c>
      <c r="R52" s="39">
        <v>27.4</v>
      </c>
      <c r="S52" s="39">
        <v>28.9</v>
      </c>
      <c r="T52" s="39">
        <v>29.3</v>
      </c>
      <c r="U52" s="39">
        <v>29.8</v>
      </c>
      <c r="V52" s="5">
        <f t="shared" si="9"/>
        <v>28.691666666666663</v>
      </c>
      <c r="W52" s="4">
        <f t="shared" si="10"/>
        <v>0.225784267285246</v>
      </c>
      <c r="X52" s="2">
        <f t="shared" si="11"/>
        <v>27.4</v>
      </c>
      <c r="Y52" s="3">
        <f t="shared" si="12"/>
        <v>28.25</v>
      </c>
      <c r="Z52" s="2">
        <f t="shared" si="13"/>
        <v>28.7</v>
      </c>
      <c r="AA52" s="3">
        <f t="shared" si="14"/>
        <v>29.3</v>
      </c>
      <c r="AB52" s="3">
        <f t="shared" si="15"/>
        <v>29.8</v>
      </c>
      <c r="AC52" s="3">
        <f t="shared" si="16"/>
        <v>-0.22863059529115703</v>
      </c>
      <c r="AD52" s="3">
        <f t="shared" si="17"/>
        <v>-0.99310864055057158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13.071999999999999</v>
      </c>
      <c r="J53" s="39">
        <v>33.700000000000003</v>
      </c>
      <c r="K53" s="39">
        <v>32.200000000000003</v>
      </c>
      <c r="L53" s="39">
        <v>30.6</v>
      </c>
      <c r="M53" s="39">
        <v>30</v>
      </c>
      <c r="N53" s="39">
        <v>32</v>
      </c>
      <c r="O53" s="39">
        <v>30.6</v>
      </c>
      <c r="P53" s="39">
        <v>30.3</v>
      </c>
      <c r="Q53" s="39">
        <v>29.6</v>
      </c>
      <c r="R53" s="39">
        <v>30.8</v>
      </c>
      <c r="S53" s="39">
        <v>32</v>
      </c>
      <c r="T53" s="39">
        <v>30.4</v>
      </c>
      <c r="U53" s="39">
        <v>30.3</v>
      </c>
      <c r="V53" s="5">
        <f t="shared" si="9"/>
        <v>31.041666666666668</v>
      </c>
      <c r="W53" s="4">
        <f t="shared" si="10"/>
        <v>0.34122291952341199</v>
      </c>
      <c r="X53" s="2">
        <f t="shared" si="11"/>
        <v>29.6</v>
      </c>
      <c r="Y53" s="3">
        <f t="shared" si="12"/>
        <v>30.3</v>
      </c>
      <c r="Z53" s="2">
        <f t="shared" si="13"/>
        <v>30.6</v>
      </c>
      <c r="AA53" s="3">
        <f t="shared" si="14"/>
        <v>32</v>
      </c>
      <c r="AB53" s="3">
        <f t="shared" si="15"/>
        <v>33.700000000000003</v>
      </c>
      <c r="AC53" s="3">
        <f t="shared" si="16"/>
        <v>1.1035708487091707</v>
      </c>
      <c r="AD53" s="3">
        <f t="shared" si="17"/>
        <v>0.79180996413083982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13.057</v>
      </c>
      <c r="J54" s="39">
        <v>32.799999999999997</v>
      </c>
      <c r="K54" s="39">
        <v>31.1</v>
      </c>
      <c r="L54" s="39">
        <v>31.6</v>
      </c>
      <c r="M54" s="39">
        <v>30.3</v>
      </c>
      <c r="N54" s="39">
        <v>30.8</v>
      </c>
      <c r="O54" s="39">
        <v>31.2</v>
      </c>
      <c r="P54" s="39">
        <v>31.5</v>
      </c>
      <c r="Q54" s="39">
        <v>30.6</v>
      </c>
      <c r="R54" s="39">
        <v>32.799999999999997</v>
      </c>
      <c r="S54" s="39">
        <v>30.4</v>
      </c>
      <c r="T54" s="39">
        <v>32</v>
      </c>
      <c r="U54" s="39">
        <v>32.200000000000003</v>
      </c>
      <c r="V54" s="5">
        <f t="shared" si="9"/>
        <v>31.441666666666663</v>
      </c>
      <c r="W54" s="4">
        <f t="shared" si="10"/>
        <v>0.25059273168174112</v>
      </c>
      <c r="X54" s="2">
        <f t="shared" si="11"/>
        <v>30.3</v>
      </c>
      <c r="Y54" s="3">
        <f t="shared" si="12"/>
        <v>30.75</v>
      </c>
      <c r="Z54" s="2">
        <f t="shared" si="13"/>
        <v>31.35</v>
      </c>
      <c r="AA54" s="3">
        <f t="shared" si="14"/>
        <v>32.049999999999997</v>
      </c>
      <c r="AB54" s="3">
        <f t="shared" si="15"/>
        <v>32.799999999999997</v>
      </c>
      <c r="AC54" s="3">
        <f t="shared" si="16"/>
        <v>0.34920871818872012</v>
      </c>
      <c r="AD54" s="3">
        <f t="shared" si="17"/>
        <v>-1.0359245733563087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13.041</v>
      </c>
      <c r="J55" s="39">
        <v>28.5</v>
      </c>
      <c r="K55" s="39">
        <v>30.2</v>
      </c>
      <c r="L55" s="39">
        <v>28.3</v>
      </c>
      <c r="M55" s="39">
        <v>29.3</v>
      </c>
      <c r="N55" s="39">
        <v>29.8</v>
      </c>
      <c r="O55" s="39">
        <v>29.2</v>
      </c>
      <c r="P55" s="39">
        <v>28.4</v>
      </c>
      <c r="Q55" s="39">
        <v>29.9</v>
      </c>
      <c r="R55" s="39">
        <v>30.8</v>
      </c>
      <c r="S55" s="39">
        <v>28.3</v>
      </c>
      <c r="T55" s="39">
        <v>29</v>
      </c>
      <c r="U55" s="39">
        <v>30.2</v>
      </c>
      <c r="V55" s="5">
        <f t="shared" si="9"/>
        <v>29.324999999999999</v>
      </c>
      <c r="W55" s="4">
        <f t="shared" si="10"/>
        <v>0.24652893370051951</v>
      </c>
      <c r="X55" s="2">
        <f t="shared" si="11"/>
        <v>28.3</v>
      </c>
      <c r="Y55" s="3">
        <f t="shared" si="12"/>
        <v>28.475000000000001</v>
      </c>
      <c r="Z55" s="2">
        <f t="shared" si="13"/>
        <v>29.25</v>
      </c>
      <c r="AA55" s="3">
        <f t="shared" si="14"/>
        <v>29.974999999999998</v>
      </c>
      <c r="AB55" s="3">
        <f t="shared" si="15"/>
        <v>30.8</v>
      </c>
      <c r="AC55" s="3">
        <f t="shared" si="16"/>
        <v>0.22824384593854397</v>
      </c>
      <c r="AD55" s="3">
        <f t="shared" si="17"/>
        <v>-1.2248145577630498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13.177</v>
      </c>
      <c r="J56" s="39">
        <v>32.6</v>
      </c>
      <c r="K56" s="39">
        <v>32</v>
      </c>
      <c r="L56" s="39">
        <v>32.700000000000003</v>
      </c>
      <c r="M56" s="39">
        <v>31.8</v>
      </c>
      <c r="N56" s="39">
        <v>32.299999999999997</v>
      </c>
      <c r="O56" s="39">
        <v>32.9</v>
      </c>
      <c r="P56" s="39">
        <v>30.3</v>
      </c>
      <c r="Q56" s="39">
        <v>31.9</v>
      </c>
      <c r="R56" s="39">
        <v>31.1</v>
      </c>
      <c r="S56" s="39">
        <v>31.6</v>
      </c>
      <c r="T56" s="39">
        <v>30</v>
      </c>
      <c r="U56" s="39">
        <v>35.1</v>
      </c>
      <c r="V56" s="5">
        <f t="shared" si="9"/>
        <v>32.025000000000006</v>
      </c>
      <c r="W56" s="4">
        <f t="shared" si="10"/>
        <v>0.38200527522932243</v>
      </c>
      <c r="X56" s="2">
        <f t="shared" si="11"/>
        <v>30</v>
      </c>
      <c r="Y56" s="3">
        <f t="shared" si="12"/>
        <v>31.475000000000001</v>
      </c>
      <c r="Z56" s="2">
        <f t="shared" si="13"/>
        <v>31.95</v>
      </c>
      <c r="AA56" s="3">
        <f t="shared" si="14"/>
        <v>32.625</v>
      </c>
      <c r="AB56" s="3">
        <f t="shared" si="15"/>
        <v>35.1</v>
      </c>
      <c r="AC56" s="3">
        <f t="shared" si="16"/>
        <v>0.75069543548237638</v>
      </c>
      <c r="AD56" s="3">
        <f t="shared" si="17"/>
        <v>1.9662853803661609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13.192</v>
      </c>
      <c r="J57" s="39">
        <v>35.1</v>
      </c>
      <c r="K57" s="39">
        <v>38.799999999999997</v>
      </c>
      <c r="L57" s="39">
        <v>36.1</v>
      </c>
      <c r="M57" s="39">
        <v>31.9</v>
      </c>
      <c r="N57" s="39">
        <v>37.6</v>
      </c>
      <c r="O57" s="39">
        <v>36.9</v>
      </c>
      <c r="P57" s="39">
        <v>36.6</v>
      </c>
      <c r="Q57" s="39">
        <v>39.299999999999997</v>
      </c>
      <c r="R57" s="39">
        <v>36.799999999999997</v>
      </c>
      <c r="S57" s="39">
        <v>34.1</v>
      </c>
      <c r="T57" s="39">
        <v>36</v>
      </c>
      <c r="U57" s="39">
        <v>35.1</v>
      </c>
      <c r="V57" s="5">
        <f t="shared" si="9"/>
        <v>36.19166666666667</v>
      </c>
      <c r="W57" s="4">
        <f t="shared" si="10"/>
        <v>0.58198437099359279</v>
      </c>
      <c r="X57" s="2">
        <f t="shared" si="11"/>
        <v>31.9</v>
      </c>
      <c r="Y57" s="3">
        <f t="shared" si="12"/>
        <v>35.1</v>
      </c>
      <c r="Z57" s="2">
        <f t="shared" si="13"/>
        <v>36.35</v>
      </c>
      <c r="AA57" s="3">
        <f t="shared" si="14"/>
        <v>37.075000000000003</v>
      </c>
      <c r="AB57" s="3">
        <f t="shared" si="15"/>
        <v>39.299999999999997</v>
      </c>
      <c r="AC57" s="3">
        <f t="shared" si="16"/>
        <v>-0.52703348877275935</v>
      </c>
      <c r="AD57" s="3">
        <f t="shared" si="17"/>
        <v>0.78559591066435974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13.208</v>
      </c>
      <c r="J58" s="39">
        <v>30.1</v>
      </c>
      <c r="K58" s="39">
        <v>29.7</v>
      </c>
      <c r="L58" s="39">
        <v>30.6</v>
      </c>
      <c r="M58" s="39">
        <v>29.5</v>
      </c>
      <c r="N58" s="39">
        <v>29.8</v>
      </c>
      <c r="O58" s="39">
        <v>29</v>
      </c>
      <c r="P58" s="39">
        <v>29.9</v>
      </c>
      <c r="Q58" s="39">
        <v>30.3</v>
      </c>
      <c r="R58" s="39">
        <v>30.8</v>
      </c>
      <c r="S58" s="39">
        <v>30.7</v>
      </c>
      <c r="T58" s="39">
        <v>33.299999999999997</v>
      </c>
      <c r="U58" s="39">
        <v>31.2</v>
      </c>
      <c r="V58" s="5">
        <f t="shared" si="9"/>
        <v>30.408333333333335</v>
      </c>
      <c r="W58" s="4">
        <f t="shared" si="10"/>
        <v>0.31753270729488653</v>
      </c>
      <c r="X58" s="2">
        <f t="shared" si="11"/>
        <v>29</v>
      </c>
      <c r="Y58" s="3">
        <f t="shared" si="12"/>
        <v>29.774999999999999</v>
      </c>
      <c r="Z58" s="2">
        <f t="shared" si="13"/>
        <v>30.200000000000003</v>
      </c>
      <c r="AA58" s="3">
        <f t="shared" si="14"/>
        <v>30.725000000000001</v>
      </c>
      <c r="AB58" s="3">
        <f t="shared" si="15"/>
        <v>33.299999999999997</v>
      </c>
      <c r="AC58" s="3">
        <f t="shared" si="16"/>
        <v>1.6789170918334622</v>
      </c>
      <c r="AD58" s="3">
        <f t="shared" si="17"/>
        <v>4.0851661788641547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13.222</v>
      </c>
      <c r="J59" s="39">
        <v>31.4</v>
      </c>
      <c r="K59" s="39">
        <v>31.8</v>
      </c>
      <c r="L59" s="39">
        <v>31.3</v>
      </c>
      <c r="M59" s="39">
        <v>29.5</v>
      </c>
      <c r="N59" s="39">
        <v>32.4</v>
      </c>
      <c r="O59" s="39">
        <v>30.6</v>
      </c>
      <c r="P59" s="39">
        <v>30.3</v>
      </c>
      <c r="Q59" s="39">
        <v>30.4</v>
      </c>
      <c r="R59" s="39">
        <v>32.1</v>
      </c>
      <c r="S59" s="39">
        <v>31.6</v>
      </c>
      <c r="T59" s="39">
        <v>31</v>
      </c>
      <c r="U59" s="39">
        <v>30.4</v>
      </c>
      <c r="V59" s="5">
        <f t="shared" si="9"/>
        <v>31.066666666666666</v>
      </c>
      <c r="W59" s="4">
        <f t="shared" si="10"/>
        <v>0.24597774392219013</v>
      </c>
      <c r="X59" s="2">
        <f t="shared" si="11"/>
        <v>29.5</v>
      </c>
      <c r="Y59" s="3">
        <f t="shared" si="12"/>
        <v>30.4</v>
      </c>
      <c r="Z59" s="2">
        <f t="shared" si="13"/>
        <v>31.15</v>
      </c>
      <c r="AA59" s="3">
        <f t="shared" si="14"/>
        <v>31.650000000000002</v>
      </c>
      <c r="AB59" s="3">
        <f t="shared" si="15"/>
        <v>32.4</v>
      </c>
      <c r="AC59" s="3">
        <f t="shared" si="16"/>
        <v>-0.16238147540001688</v>
      </c>
      <c r="AD59" s="3">
        <f t="shared" si="17"/>
        <v>-0.59633445837665455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13.236000000000001</v>
      </c>
      <c r="J60" s="39">
        <v>27.8</v>
      </c>
      <c r="K60" s="39">
        <v>28.3</v>
      </c>
      <c r="L60" s="39">
        <v>28.7</v>
      </c>
      <c r="M60" s="39">
        <v>30.4</v>
      </c>
      <c r="N60" s="39">
        <v>29.7</v>
      </c>
      <c r="O60" s="39">
        <v>28.8</v>
      </c>
      <c r="P60" s="39">
        <v>29.3</v>
      </c>
      <c r="Q60" s="39">
        <v>29.4</v>
      </c>
      <c r="R60" s="39">
        <v>28.1</v>
      </c>
      <c r="S60" s="39">
        <v>32.1</v>
      </c>
      <c r="T60" s="39">
        <v>28.8</v>
      </c>
      <c r="U60" s="39">
        <v>29.8</v>
      </c>
      <c r="V60" s="5">
        <f t="shared" si="9"/>
        <v>29.266666666666669</v>
      </c>
      <c r="W60" s="4">
        <f t="shared" si="10"/>
        <v>0.33717483400584436</v>
      </c>
      <c r="X60" s="2">
        <f t="shared" si="11"/>
        <v>27.8</v>
      </c>
      <c r="Y60" s="3">
        <f t="shared" si="12"/>
        <v>28.6</v>
      </c>
      <c r="Z60" s="2">
        <f t="shared" si="13"/>
        <v>29.05</v>
      </c>
      <c r="AA60" s="3">
        <f t="shared" si="14"/>
        <v>29.725000000000001</v>
      </c>
      <c r="AB60" s="3">
        <f t="shared" si="15"/>
        <v>32.1</v>
      </c>
      <c r="AC60" s="3">
        <f t="shared" si="16"/>
        <v>1.2600555115731924</v>
      </c>
      <c r="AD60" s="3">
        <f t="shared" si="17"/>
        <v>2.2118077932094264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13.250999999999999</v>
      </c>
      <c r="J61" s="39">
        <v>33.799999999999997</v>
      </c>
      <c r="K61" s="39">
        <v>32.1</v>
      </c>
      <c r="L61" s="39">
        <v>32.4</v>
      </c>
      <c r="M61" s="39">
        <v>33</v>
      </c>
      <c r="N61" s="39">
        <v>31.4</v>
      </c>
      <c r="O61" s="39">
        <v>32.1</v>
      </c>
      <c r="P61" s="39">
        <v>31.3</v>
      </c>
      <c r="Q61" s="39">
        <v>31.8</v>
      </c>
      <c r="R61" s="39">
        <v>30.8</v>
      </c>
      <c r="S61" s="39">
        <v>30.8</v>
      </c>
      <c r="T61" s="39">
        <v>32.299999999999997</v>
      </c>
      <c r="U61" s="39">
        <v>35.5</v>
      </c>
      <c r="V61" s="5">
        <f t="shared" si="9"/>
        <v>32.275000000000006</v>
      </c>
      <c r="W61" s="4">
        <f t="shared" si="10"/>
        <v>0.38555843011183527</v>
      </c>
      <c r="X61" s="2">
        <f t="shared" si="11"/>
        <v>30.8</v>
      </c>
      <c r="Y61" s="3">
        <f t="shared" si="12"/>
        <v>31.375</v>
      </c>
      <c r="Z61" s="2">
        <f t="shared" si="13"/>
        <v>32.1</v>
      </c>
      <c r="AA61" s="3">
        <f t="shared" si="14"/>
        <v>32.549999999999997</v>
      </c>
      <c r="AB61" s="3">
        <f t="shared" si="15"/>
        <v>35.5</v>
      </c>
      <c r="AC61" s="3">
        <f t="shared" si="16"/>
        <v>1.3433511108500162</v>
      </c>
      <c r="AD61" s="3">
        <f t="shared" si="17"/>
        <v>2.1498932582675652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13.268000000000001</v>
      </c>
      <c r="J62" s="39">
        <v>28.7</v>
      </c>
      <c r="K62" s="39">
        <v>28.4</v>
      </c>
      <c r="L62" s="39">
        <v>29.4</v>
      </c>
      <c r="M62" s="39">
        <v>27.4</v>
      </c>
      <c r="N62" s="39">
        <v>27.8</v>
      </c>
      <c r="O62" s="39">
        <v>28.7</v>
      </c>
      <c r="P62" s="39">
        <v>27.8</v>
      </c>
      <c r="Q62" s="39">
        <v>29.1</v>
      </c>
      <c r="R62" s="39">
        <v>28.1</v>
      </c>
      <c r="S62" s="39">
        <v>28.8</v>
      </c>
      <c r="T62" s="39">
        <v>27.8</v>
      </c>
      <c r="U62" s="39">
        <v>28.6</v>
      </c>
      <c r="V62" s="5">
        <f t="shared" si="9"/>
        <v>28.383333333333336</v>
      </c>
      <c r="W62" s="4">
        <f t="shared" si="10"/>
        <v>0.17487369179155587</v>
      </c>
      <c r="X62" s="2">
        <f t="shared" si="11"/>
        <v>27.4</v>
      </c>
      <c r="Y62" s="3">
        <f t="shared" si="12"/>
        <v>27.8</v>
      </c>
      <c r="Z62" s="2">
        <f t="shared" si="13"/>
        <v>28.5</v>
      </c>
      <c r="AA62" s="3">
        <f t="shared" si="14"/>
        <v>28.725000000000001</v>
      </c>
      <c r="AB62" s="3">
        <f t="shared" si="15"/>
        <v>29.4</v>
      </c>
      <c r="AC62" s="3">
        <f t="shared" si="16"/>
        <v>-2.0174485624833457E-3</v>
      </c>
      <c r="AD62" s="3">
        <f t="shared" si="17"/>
        <v>-0.90514789764346748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13.282</v>
      </c>
      <c r="J63" s="39">
        <v>30</v>
      </c>
      <c r="K63" s="39">
        <v>28.8</v>
      </c>
      <c r="L63" s="39">
        <v>31.5</v>
      </c>
      <c r="M63" s="39">
        <v>28.9</v>
      </c>
      <c r="N63" s="39">
        <v>28.1</v>
      </c>
      <c r="O63" s="39">
        <v>28.9</v>
      </c>
      <c r="P63" s="39">
        <v>30.1</v>
      </c>
      <c r="Q63" s="39">
        <v>31.1</v>
      </c>
      <c r="R63" s="39">
        <v>29.4</v>
      </c>
      <c r="S63" s="39">
        <v>29.1</v>
      </c>
      <c r="T63" s="39">
        <v>27.6</v>
      </c>
      <c r="U63" s="39">
        <v>28.6</v>
      </c>
      <c r="V63" s="5">
        <f t="shared" si="9"/>
        <v>29.341666666666669</v>
      </c>
      <c r="W63" s="4">
        <f t="shared" si="10"/>
        <v>0.3329069242326152</v>
      </c>
      <c r="X63" s="2">
        <f t="shared" si="11"/>
        <v>27.6</v>
      </c>
      <c r="Y63" s="3">
        <f t="shared" si="12"/>
        <v>28.75</v>
      </c>
      <c r="Z63" s="2">
        <f t="shared" si="13"/>
        <v>29</v>
      </c>
      <c r="AA63" s="3">
        <f t="shared" si="14"/>
        <v>30.024999999999999</v>
      </c>
      <c r="AB63" s="3">
        <f t="shared" si="15"/>
        <v>31.5</v>
      </c>
      <c r="AC63" s="3">
        <f t="shared" si="16"/>
        <v>0.58763328059986475</v>
      </c>
      <c r="AD63" s="3">
        <f t="shared" si="17"/>
        <v>-0.12892556631836838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13.414999999999999</v>
      </c>
      <c r="J64" s="39">
        <v>36.5</v>
      </c>
      <c r="K64" s="39">
        <v>34.9</v>
      </c>
      <c r="L64" s="39">
        <v>34</v>
      </c>
      <c r="M64" s="39">
        <v>33.700000000000003</v>
      </c>
      <c r="N64" s="39">
        <v>33.200000000000003</v>
      </c>
      <c r="O64" s="39">
        <v>33.1</v>
      </c>
      <c r="P64" s="39">
        <v>33.200000000000003</v>
      </c>
      <c r="Q64" s="39">
        <v>37.200000000000003</v>
      </c>
      <c r="R64" s="39">
        <v>36.700000000000003</v>
      </c>
      <c r="S64" s="39">
        <v>35</v>
      </c>
      <c r="T64" s="39">
        <v>34.5</v>
      </c>
      <c r="U64" s="39">
        <v>32.4</v>
      </c>
      <c r="V64" s="5">
        <f t="shared" si="9"/>
        <v>34.533333333333331</v>
      </c>
      <c r="W64" s="4">
        <f t="shared" si="10"/>
        <v>0.45366075519939003</v>
      </c>
      <c r="X64" s="2">
        <f t="shared" si="11"/>
        <v>32.4</v>
      </c>
      <c r="Y64" s="3">
        <f t="shared" si="12"/>
        <v>33.200000000000003</v>
      </c>
      <c r="Z64" s="2">
        <f t="shared" si="13"/>
        <v>34.25</v>
      </c>
      <c r="AA64" s="3">
        <f t="shared" si="14"/>
        <v>35.375</v>
      </c>
      <c r="AB64" s="3">
        <f t="shared" si="15"/>
        <v>37.200000000000003</v>
      </c>
      <c r="AC64" s="3">
        <f t="shared" si="16"/>
        <v>0.52749134758903782</v>
      </c>
      <c r="AD64" s="3">
        <f t="shared" si="17"/>
        <v>-0.94742882005343443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13.430999999999999</v>
      </c>
      <c r="J65" s="39">
        <v>30.3</v>
      </c>
      <c r="K65" s="39">
        <v>31</v>
      </c>
      <c r="L65" s="39">
        <v>30.5</v>
      </c>
      <c r="M65" s="39">
        <v>30.7</v>
      </c>
      <c r="N65" s="39">
        <v>31</v>
      </c>
      <c r="O65" s="39">
        <v>31</v>
      </c>
      <c r="P65" s="39">
        <v>30.3</v>
      </c>
      <c r="Q65" s="39">
        <v>31.2</v>
      </c>
      <c r="R65" s="39">
        <v>32</v>
      </c>
      <c r="S65" s="39">
        <v>31.7</v>
      </c>
      <c r="T65" s="39">
        <v>31.3</v>
      </c>
      <c r="U65" s="39">
        <v>32.1</v>
      </c>
      <c r="V65" s="5">
        <f t="shared" si="9"/>
        <v>31.091666666666669</v>
      </c>
      <c r="W65" s="4">
        <f t="shared" si="10"/>
        <v>0.17514424070035833</v>
      </c>
      <c r="X65" s="2">
        <f t="shared" si="11"/>
        <v>30.3</v>
      </c>
      <c r="Y65" s="3">
        <f t="shared" si="12"/>
        <v>30.65</v>
      </c>
      <c r="Z65" s="2">
        <f t="shared" si="13"/>
        <v>31</v>
      </c>
      <c r="AA65" s="3">
        <f t="shared" si="14"/>
        <v>31.4</v>
      </c>
      <c r="AB65" s="3">
        <f t="shared" si="15"/>
        <v>32.1</v>
      </c>
      <c r="AC65" s="3">
        <f t="shared" si="16"/>
        <v>0.36548349833613775</v>
      </c>
      <c r="AD65" s="3">
        <f t="shared" si="17"/>
        <v>-0.7942369891656833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13.446</v>
      </c>
      <c r="J66" s="39">
        <v>32.1</v>
      </c>
      <c r="K66" s="39">
        <v>31.3</v>
      </c>
      <c r="L66" s="39">
        <v>34.1</v>
      </c>
      <c r="M66" s="39">
        <v>35.4</v>
      </c>
      <c r="N66" s="39">
        <v>31.2</v>
      </c>
      <c r="O66" s="39">
        <v>33.4</v>
      </c>
      <c r="P66" s="39">
        <v>34.799999999999997</v>
      </c>
      <c r="Q66" s="39">
        <v>32.6</v>
      </c>
      <c r="R66" s="39">
        <v>34.9</v>
      </c>
      <c r="S66" s="39">
        <v>32.6</v>
      </c>
      <c r="T66" s="39">
        <v>34.1</v>
      </c>
      <c r="U66" s="39">
        <v>33.4</v>
      </c>
      <c r="V66" s="5">
        <f t="shared" si="9"/>
        <v>33.325000000000003</v>
      </c>
      <c r="W66" s="4">
        <f t="shared" si="10"/>
        <v>0.40210148726485195</v>
      </c>
      <c r="X66" s="2">
        <f t="shared" si="11"/>
        <v>31.2</v>
      </c>
      <c r="Y66" s="3">
        <f t="shared" si="12"/>
        <v>32.475000000000001</v>
      </c>
      <c r="Z66" s="2">
        <f t="shared" si="13"/>
        <v>33.4</v>
      </c>
      <c r="AA66" s="3">
        <f t="shared" si="14"/>
        <v>34.274999999999999</v>
      </c>
      <c r="AB66" s="3">
        <f t="shared" si="15"/>
        <v>35.4</v>
      </c>
      <c r="AC66" s="3">
        <f t="shared" si="16"/>
        <v>-0.1420005600281849</v>
      </c>
      <c r="AD66" s="3">
        <f t="shared" si="17"/>
        <v>-1.0966525485072629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13.462</v>
      </c>
      <c r="J67" s="39">
        <v>31.7</v>
      </c>
      <c r="K67" s="39">
        <v>29.6</v>
      </c>
      <c r="L67" s="39">
        <v>29.6</v>
      </c>
      <c r="M67" s="39">
        <v>29.8</v>
      </c>
      <c r="N67" s="39">
        <v>30.9</v>
      </c>
      <c r="O67" s="39">
        <v>30.6</v>
      </c>
      <c r="P67" s="39">
        <v>29</v>
      </c>
      <c r="Q67" s="39">
        <v>29.7</v>
      </c>
      <c r="R67" s="39">
        <v>30.6</v>
      </c>
      <c r="S67" s="39">
        <v>30.4</v>
      </c>
      <c r="T67" s="39">
        <v>30.6</v>
      </c>
      <c r="U67" s="39">
        <v>28.9</v>
      </c>
      <c r="V67" s="5">
        <f t="shared" si="9"/>
        <v>30.116666666666664</v>
      </c>
      <c r="W67" s="4">
        <f t="shared" si="10"/>
        <v>0.23735708086843299</v>
      </c>
      <c r="X67" s="2">
        <f t="shared" si="11"/>
        <v>28.9</v>
      </c>
      <c r="Y67" s="3">
        <f t="shared" si="12"/>
        <v>29.6</v>
      </c>
      <c r="Z67" s="2">
        <f t="shared" si="13"/>
        <v>30.1</v>
      </c>
      <c r="AA67" s="3">
        <f t="shared" si="14"/>
        <v>30.6</v>
      </c>
      <c r="AB67" s="3">
        <f t="shared" si="15"/>
        <v>31.7</v>
      </c>
      <c r="AC67" s="3">
        <f t="shared" si="16"/>
        <v>0.24297955724538908</v>
      </c>
      <c r="AD67" s="3">
        <f t="shared" si="17"/>
        <v>-0.32361389901194126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13.478999999999999</v>
      </c>
      <c r="J68" s="39">
        <v>30.5</v>
      </c>
      <c r="K68" s="39">
        <v>29.6</v>
      </c>
      <c r="L68" s="39">
        <v>32.4</v>
      </c>
      <c r="M68" s="39">
        <v>30.1</v>
      </c>
      <c r="N68" s="39">
        <v>31.8</v>
      </c>
      <c r="O68" s="39">
        <v>30.6</v>
      </c>
      <c r="P68" s="39">
        <v>31.9</v>
      </c>
      <c r="Q68" s="39">
        <v>31.2</v>
      </c>
      <c r="R68" s="39">
        <v>30</v>
      </c>
      <c r="S68" s="39">
        <v>30.2</v>
      </c>
      <c r="T68" s="39">
        <v>32.799999999999997</v>
      </c>
      <c r="U68" s="39">
        <v>30.2</v>
      </c>
      <c r="V68" s="5">
        <f t="shared" si="9"/>
        <v>30.941666666666666</v>
      </c>
      <c r="W68" s="4">
        <f t="shared" si="10"/>
        <v>0.30287969742310383</v>
      </c>
      <c r="X68" s="2">
        <f t="shared" si="11"/>
        <v>29.6</v>
      </c>
      <c r="Y68" s="3">
        <f t="shared" si="12"/>
        <v>30.175000000000001</v>
      </c>
      <c r="Z68" s="2">
        <f t="shared" si="13"/>
        <v>30.55</v>
      </c>
      <c r="AA68" s="3">
        <f t="shared" si="14"/>
        <v>31.824999999999999</v>
      </c>
      <c r="AB68" s="3">
        <f t="shared" si="15"/>
        <v>32.799999999999997</v>
      </c>
      <c r="AC68" s="3">
        <f t="shared" si="16"/>
        <v>0.59130868783417789</v>
      </c>
      <c r="AD68" s="3">
        <f t="shared" si="17"/>
        <v>-1.0393853835473847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13.494999999999999</v>
      </c>
      <c r="J69" s="39">
        <v>28.9</v>
      </c>
      <c r="K69" s="39">
        <v>28.4</v>
      </c>
      <c r="L69" s="39">
        <v>29.9</v>
      </c>
      <c r="M69" s="39">
        <v>28.8</v>
      </c>
      <c r="N69" s="39">
        <v>28</v>
      </c>
      <c r="O69" s="39">
        <v>29.4</v>
      </c>
      <c r="P69" s="39">
        <v>29.8</v>
      </c>
      <c r="Q69" s="39">
        <v>29.1</v>
      </c>
      <c r="R69" s="39">
        <v>30</v>
      </c>
      <c r="S69" s="39">
        <v>31.6</v>
      </c>
      <c r="T69" s="39">
        <v>30.4</v>
      </c>
      <c r="U69" s="39">
        <v>28.8</v>
      </c>
      <c r="V69" s="5">
        <f t="shared" si="9"/>
        <v>29.425000000000001</v>
      </c>
      <c r="W69" s="4">
        <f t="shared" si="10"/>
        <v>0.2836784885191066</v>
      </c>
      <c r="X69" s="2">
        <f t="shared" si="11"/>
        <v>28</v>
      </c>
      <c r="Y69" s="3">
        <f t="shared" si="12"/>
        <v>28.8</v>
      </c>
      <c r="Z69" s="2">
        <f t="shared" si="13"/>
        <v>29.25</v>
      </c>
      <c r="AA69" s="3">
        <f t="shared" si="14"/>
        <v>29.924999999999997</v>
      </c>
      <c r="AB69" s="3">
        <f t="shared" si="15"/>
        <v>31.6</v>
      </c>
      <c r="AC69" s="3">
        <f t="shared" si="16"/>
        <v>0.79644023856705592</v>
      </c>
      <c r="AD69" s="3">
        <f t="shared" si="17"/>
        <v>0.88079266935530676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13.51</v>
      </c>
      <c r="J70" s="39">
        <v>35.1</v>
      </c>
      <c r="K70" s="39">
        <v>33.4</v>
      </c>
      <c r="L70" s="39">
        <v>35.1</v>
      </c>
      <c r="M70" s="39">
        <v>35.299999999999997</v>
      </c>
      <c r="N70" s="39">
        <v>34.299999999999997</v>
      </c>
      <c r="O70" s="39">
        <v>34.1</v>
      </c>
      <c r="P70" s="39">
        <v>34.4</v>
      </c>
      <c r="Q70" s="39">
        <v>33.200000000000003</v>
      </c>
      <c r="R70" s="39">
        <v>35.5</v>
      </c>
      <c r="S70" s="39">
        <v>34.700000000000003</v>
      </c>
      <c r="T70" s="39">
        <v>32.9</v>
      </c>
      <c r="U70" s="39">
        <v>32.700000000000003</v>
      </c>
      <c r="V70" s="5">
        <f t="shared" si="9"/>
        <v>34.224999999999994</v>
      </c>
      <c r="W70" s="4">
        <f t="shared" si="10"/>
        <v>0.28072552107319726</v>
      </c>
      <c r="X70" s="2">
        <f t="shared" si="11"/>
        <v>32.700000000000003</v>
      </c>
      <c r="Y70" s="3">
        <f t="shared" si="12"/>
        <v>33.35</v>
      </c>
      <c r="Z70" s="2">
        <f t="shared" si="13"/>
        <v>34.349999999999994</v>
      </c>
      <c r="AA70" s="3">
        <f t="shared" si="14"/>
        <v>35.1</v>
      </c>
      <c r="AB70" s="3">
        <f t="shared" si="15"/>
        <v>35.5</v>
      </c>
      <c r="AC70" s="3">
        <f t="shared" si="16"/>
        <v>-0.32566619237939021</v>
      </c>
      <c r="AD70" s="3">
        <f t="shared" si="17"/>
        <v>-1.3444874560765436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13.525</v>
      </c>
      <c r="J71" s="39">
        <v>30.2</v>
      </c>
      <c r="K71" s="39">
        <v>30.3</v>
      </c>
      <c r="L71" s="39">
        <v>30.7</v>
      </c>
      <c r="M71" s="39">
        <v>30.1</v>
      </c>
      <c r="N71" s="39">
        <v>30.8</v>
      </c>
      <c r="O71" s="39">
        <v>32.200000000000003</v>
      </c>
      <c r="P71" s="39">
        <v>30.2</v>
      </c>
      <c r="Q71" s="39">
        <v>30.3</v>
      </c>
      <c r="R71" s="39">
        <v>29.5</v>
      </c>
      <c r="S71" s="39">
        <v>32.299999999999997</v>
      </c>
      <c r="T71" s="39">
        <v>31.1</v>
      </c>
      <c r="U71" s="39">
        <v>30</v>
      </c>
      <c r="V71" s="5">
        <f t="shared" si="9"/>
        <v>30.641666666666669</v>
      </c>
      <c r="W71" s="4">
        <f t="shared" si="10"/>
        <v>0.24693832297465568</v>
      </c>
      <c r="X71" s="2">
        <f t="shared" si="11"/>
        <v>29.5</v>
      </c>
      <c r="Y71" s="3">
        <f t="shared" si="12"/>
        <v>30.175000000000001</v>
      </c>
      <c r="Z71" s="2">
        <f t="shared" si="13"/>
        <v>30.3</v>
      </c>
      <c r="AA71" s="3">
        <f t="shared" si="14"/>
        <v>30.875</v>
      </c>
      <c r="AB71" s="3">
        <f t="shared" si="15"/>
        <v>32.299999999999997</v>
      </c>
      <c r="AC71" s="3">
        <f t="shared" si="16"/>
        <v>1.0948337593523914</v>
      </c>
      <c r="AD71" s="3">
        <f t="shared" si="17"/>
        <v>0.54656318830112838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13.628</v>
      </c>
      <c r="J72" s="39">
        <v>29.2</v>
      </c>
      <c r="K72" s="39">
        <v>32.200000000000003</v>
      </c>
      <c r="L72" s="39">
        <v>30.8</v>
      </c>
      <c r="M72" s="39">
        <v>31</v>
      </c>
      <c r="N72" s="39">
        <v>32.299999999999997</v>
      </c>
      <c r="O72" s="39">
        <v>30.1</v>
      </c>
      <c r="P72" s="39">
        <v>30.4</v>
      </c>
      <c r="Q72" s="39">
        <v>32.299999999999997</v>
      </c>
      <c r="R72" s="39">
        <v>30</v>
      </c>
      <c r="S72" s="39">
        <v>30</v>
      </c>
      <c r="T72" s="39">
        <v>29.9</v>
      </c>
      <c r="U72" s="39">
        <v>33.4</v>
      </c>
      <c r="V72" s="5">
        <f t="shared" si="9"/>
        <v>30.966666666666665</v>
      </c>
      <c r="W72" s="4">
        <f t="shared" si="10"/>
        <v>0.3715922605232892</v>
      </c>
      <c r="X72" s="2">
        <f t="shared" si="11"/>
        <v>29.2</v>
      </c>
      <c r="Y72" s="3">
        <f t="shared" si="12"/>
        <v>30</v>
      </c>
      <c r="Z72" s="2">
        <f t="shared" si="13"/>
        <v>30.6</v>
      </c>
      <c r="AA72" s="3">
        <f t="shared" si="14"/>
        <v>32.225000000000001</v>
      </c>
      <c r="AB72" s="3">
        <f t="shared" si="15"/>
        <v>33.4</v>
      </c>
      <c r="AC72" s="3">
        <f t="shared" si="16"/>
        <v>0.59601693430108926</v>
      </c>
      <c r="AD72" s="3">
        <f t="shared" si="17"/>
        <v>-0.75362187073397147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13.612</v>
      </c>
      <c r="J73" s="39">
        <v>30.7</v>
      </c>
      <c r="K73" s="39">
        <v>32.200000000000003</v>
      </c>
      <c r="L73" s="39">
        <v>29.2</v>
      </c>
      <c r="M73" s="39">
        <v>30.6</v>
      </c>
      <c r="N73" s="39">
        <v>31.1</v>
      </c>
      <c r="O73" s="39">
        <v>30.5</v>
      </c>
      <c r="P73" s="39">
        <v>31.6</v>
      </c>
      <c r="Q73" s="39">
        <v>31.6</v>
      </c>
      <c r="R73" s="39">
        <v>33.299999999999997</v>
      </c>
      <c r="S73" s="39">
        <v>30.2</v>
      </c>
      <c r="T73" s="39">
        <v>31.6</v>
      </c>
      <c r="U73" s="39">
        <v>31.4</v>
      </c>
      <c r="V73" s="5">
        <f t="shared" si="9"/>
        <v>31.166666666666668</v>
      </c>
      <c r="W73" s="4">
        <f t="shared" si="10"/>
        <v>0.30184617127124724</v>
      </c>
      <c r="X73" s="2">
        <f t="shared" si="11"/>
        <v>29.2</v>
      </c>
      <c r="Y73" s="3">
        <f t="shared" si="12"/>
        <v>30.575000000000003</v>
      </c>
      <c r="Z73" s="2">
        <f t="shared" si="13"/>
        <v>31.25</v>
      </c>
      <c r="AA73" s="3">
        <f t="shared" si="14"/>
        <v>31.6</v>
      </c>
      <c r="AB73" s="3">
        <f t="shared" si="15"/>
        <v>33.299999999999997</v>
      </c>
      <c r="AC73" s="3">
        <f t="shared" si="16"/>
        <v>0.18885559445261163</v>
      </c>
      <c r="AD73" s="3">
        <f t="shared" si="17"/>
        <v>0.99464334000323351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13.598000000000001</v>
      </c>
      <c r="J74" s="39">
        <v>31.3</v>
      </c>
      <c r="K74" s="39">
        <v>31.5</v>
      </c>
      <c r="L74" s="39">
        <v>32</v>
      </c>
      <c r="M74" s="39">
        <v>30.5</v>
      </c>
      <c r="N74" s="39">
        <v>30.4</v>
      </c>
      <c r="O74" s="39">
        <v>31.4</v>
      </c>
      <c r="P74" s="39">
        <v>30.7</v>
      </c>
      <c r="Q74" s="39">
        <v>31.7</v>
      </c>
      <c r="R74" s="39">
        <v>31</v>
      </c>
      <c r="S74" s="39">
        <v>30.1</v>
      </c>
      <c r="T74" s="39">
        <v>31.2</v>
      </c>
      <c r="U74" s="39">
        <v>32.6</v>
      </c>
      <c r="V74" s="5">
        <f t="shared" ref="V74:V81" si="18">AVERAGE(J74:U74)</f>
        <v>31.200000000000003</v>
      </c>
      <c r="W74" s="4">
        <f t="shared" ref="W74:W81" si="19">STDEV(J74:U74)/SQRT(COUNT(J74:U74))</f>
        <v>0.20633893858348115</v>
      </c>
      <c r="X74" s="2">
        <f t="shared" ref="X74:X81" si="20">MIN(J74:U74)</f>
        <v>30.1</v>
      </c>
      <c r="Y74" s="3">
        <f t="shared" ref="Y74:Y81" si="21">QUARTILE(J74:U74,1)</f>
        <v>30.65</v>
      </c>
      <c r="Z74" s="2">
        <f t="shared" ref="Z74:Z81" si="22">MEDIAN(J74:U74)</f>
        <v>31.25</v>
      </c>
      <c r="AA74" s="3">
        <f t="shared" ref="AA74:AA81" si="23">QUARTILE(J74:U74,3)</f>
        <v>31.55</v>
      </c>
      <c r="AB74" s="3">
        <f t="shared" ref="AB74:AB81" si="24">MAX(J74:U74)</f>
        <v>32.6</v>
      </c>
      <c r="AC74" s="3">
        <f t="shared" ref="AC74:AC81" si="25">SKEW(J74:U74)</f>
        <v>0.32800121721683051</v>
      </c>
      <c r="AD74" s="3">
        <f t="shared" ref="AD74:AD81" si="26">KURT(J74:U74)</f>
        <v>-0.10861015775721095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13.582000000000001</v>
      </c>
      <c r="J75" s="39">
        <v>28.6</v>
      </c>
      <c r="K75" s="39">
        <v>28.9</v>
      </c>
      <c r="L75" s="39">
        <v>29.1</v>
      </c>
      <c r="M75" s="39">
        <v>30.7</v>
      </c>
      <c r="N75" s="39">
        <v>29.3</v>
      </c>
      <c r="O75" s="39">
        <v>29.1</v>
      </c>
      <c r="P75" s="39">
        <v>28.6</v>
      </c>
      <c r="Q75" s="39">
        <v>30.7</v>
      </c>
      <c r="R75" s="39">
        <v>31.6</v>
      </c>
      <c r="S75" s="39">
        <v>29.3</v>
      </c>
      <c r="T75" s="39">
        <v>30.1</v>
      </c>
      <c r="U75" s="39">
        <v>31.3</v>
      </c>
      <c r="V75" s="5">
        <f t="shared" si="18"/>
        <v>29.775000000000002</v>
      </c>
      <c r="W75" s="4">
        <f t="shared" si="19"/>
        <v>0.30603153927381893</v>
      </c>
      <c r="X75" s="2">
        <f t="shared" si="20"/>
        <v>28.6</v>
      </c>
      <c r="Y75" s="3">
        <f t="shared" si="21"/>
        <v>29.05</v>
      </c>
      <c r="Z75" s="2">
        <f t="shared" si="22"/>
        <v>29.3</v>
      </c>
      <c r="AA75" s="3">
        <f t="shared" si="23"/>
        <v>30.7</v>
      </c>
      <c r="AB75" s="3">
        <f t="shared" si="24"/>
        <v>31.6</v>
      </c>
      <c r="AC75" s="3">
        <f t="shared" si="25"/>
        <v>0.5950081318329703</v>
      </c>
      <c r="AD75" s="3">
        <f t="shared" si="26"/>
        <v>-1.1773676372009878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13.567</v>
      </c>
      <c r="J76" s="39">
        <v>32.799999999999997</v>
      </c>
      <c r="K76" s="39">
        <v>31.7</v>
      </c>
      <c r="L76" s="39">
        <v>33.299999999999997</v>
      </c>
      <c r="M76" s="39">
        <v>33.6</v>
      </c>
      <c r="N76" s="39">
        <v>33.299999999999997</v>
      </c>
      <c r="O76" s="39">
        <v>31.7</v>
      </c>
      <c r="P76" s="39">
        <v>33.799999999999997</v>
      </c>
      <c r="Q76" s="39">
        <v>32.6</v>
      </c>
      <c r="R76" s="39">
        <v>31.9</v>
      </c>
      <c r="S76" s="39">
        <v>33.4</v>
      </c>
      <c r="T76" s="39">
        <v>34.9</v>
      </c>
      <c r="U76" s="39">
        <v>32.299999999999997</v>
      </c>
      <c r="V76" s="5">
        <f t="shared" si="18"/>
        <v>32.941666666666663</v>
      </c>
      <c r="W76" s="4">
        <f t="shared" si="19"/>
        <v>0.27783206540220756</v>
      </c>
      <c r="X76" s="2">
        <f t="shared" si="20"/>
        <v>31.7</v>
      </c>
      <c r="Y76" s="3">
        <f t="shared" si="21"/>
        <v>32.199999999999996</v>
      </c>
      <c r="Z76" s="2">
        <f t="shared" si="22"/>
        <v>33.049999999999997</v>
      </c>
      <c r="AA76" s="3">
        <f t="shared" si="23"/>
        <v>33.450000000000003</v>
      </c>
      <c r="AB76" s="3">
        <f t="shared" si="24"/>
        <v>34.9</v>
      </c>
      <c r="AC76" s="3">
        <f t="shared" si="25"/>
        <v>0.40999391524704981</v>
      </c>
      <c r="AD76" s="3">
        <f t="shared" si="26"/>
        <v>-6.0866936911879499E-2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13.551</v>
      </c>
      <c r="J77" s="39">
        <v>31.8</v>
      </c>
      <c r="K77" s="39">
        <v>31.6</v>
      </c>
      <c r="L77" s="39">
        <v>33.6</v>
      </c>
      <c r="M77" s="39">
        <v>33.700000000000003</v>
      </c>
      <c r="N77" s="39">
        <v>34.700000000000003</v>
      </c>
      <c r="O77" s="39">
        <v>33.5</v>
      </c>
      <c r="P77" s="39">
        <v>34.5</v>
      </c>
      <c r="Q77" s="39">
        <v>33.5</v>
      </c>
      <c r="R77" s="39">
        <v>33.9</v>
      </c>
      <c r="S77" s="39">
        <v>33.799999999999997</v>
      </c>
      <c r="T77" s="39">
        <v>35.200000000000003</v>
      </c>
      <c r="U77" s="39">
        <v>32.4</v>
      </c>
      <c r="V77" s="5">
        <f t="shared" si="18"/>
        <v>33.516666666666659</v>
      </c>
      <c r="W77" s="4">
        <f t="shared" si="19"/>
        <v>0.31786058820708424</v>
      </c>
      <c r="X77" s="2">
        <f t="shared" si="20"/>
        <v>31.6</v>
      </c>
      <c r="Y77" s="3">
        <f t="shared" si="21"/>
        <v>33.225000000000001</v>
      </c>
      <c r="Z77" s="2">
        <f t="shared" si="22"/>
        <v>33.650000000000006</v>
      </c>
      <c r="AA77" s="3">
        <f t="shared" si="23"/>
        <v>34.049999999999997</v>
      </c>
      <c r="AB77" s="3">
        <f t="shared" si="24"/>
        <v>35.200000000000003</v>
      </c>
      <c r="AC77" s="3">
        <f t="shared" si="25"/>
        <v>-0.49265616703117393</v>
      </c>
      <c r="AD77" s="3">
        <f t="shared" si="26"/>
        <v>-0.31478716174495114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13.38</v>
      </c>
      <c r="J78" s="39">
        <v>34.700000000000003</v>
      </c>
      <c r="K78" s="39">
        <v>33.4</v>
      </c>
      <c r="L78" s="39">
        <v>31.9</v>
      </c>
      <c r="M78" s="39">
        <v>36.9</v>
      </c>
      <c r="N78" s="39">
        <v>33.6</v>
      </c>
      <c r="O78" s="39">
        <v>32.700000000000003</v>
      </c>
      <c r="P78" s="39">
        <v>33</v>
      </c>
      <c r="Q78" s="39">
        <v>33.700000000000003</v>
      </c>
      <c r="R78" s="39">
        <v>32.799999999999997</v>
      </c>
      <c r="S78" s="39">
        <v>33.299999999999997</v>
      </c>
      <c r="T78" s="39">
        <v>33.799999999999997</v>
      </c>
      <c r="U78" s="39">
        <v>34.200000000000003</v>
      </c>
      <c r="V78" s="5">
        <f t="shared" si="18"/>
        <v>33.666666666666664</v>
      </c>
      <c r="W78" s="4">
        <f t="shared" si="19"/>
        <v>0.36188340105563838</v>
      </c>
      <c r="X78" s="2">
        <f t="shared" si="20"/>
        <v>31.9</v>
      </c>
      <c r="Y78" s="3">
        <f t="shared" si="21"/>
        <v>32.950000000000003</v>
      </c>
      <c r="Z78" s="2">
        <f t="shared" si="22"/>
        <v>33.5</v>
      </c>
      <c r="AA78" s="3">
        <f t="shared" si="23"/>
        <v>33.9</v>
      </c>
      <c r="AB78" s="3">
        <f t="shared" si="24"/>
        <v>36.9</v>
      </c>
      <c r="AC78" s="3">
        <f t="shared" si="25"/>
        <v>1.5298405790241958</v>
      </c>
      <c r="AD78" s="3">
        <f t="shared" si="26"/>
        <v>3.745483010787745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13.356999999999999</v>
      </c>
      <c r="J79" s="39">
        <v>30.9</v>
      </c>
      <c r="K79" s="39">
        <v>31.1</v>
      </c>
      <c r="L79" s="39">
        <v>32.799999999999997</v>
      </c>
      <c r="M79" s="39">
        <v>31.9</v>
      </c>
      <c r="N79" s="39">
        <v>32.9</v>
      </c>
      <c r="O79" s="39">
        <v>32.6</v>
      </c>
      <c r="P79" s="39">
        <v>33.299999999999997</v>
      </c>
      <c r="Q79" s="39">
        <v>34.200000000000003</v>
      </c>
      <c r="R79" s="39">
        <v>33.1</v>
      </c>
      <c r="S79" s="39">
        <v>31</v>
      </c>
      <c r="T79" s="39">
        <v>31.9</v>
      </c>
      <c r="U79" s="39">
        <v>31.2</v>
      </c>
      <c r="V79" s="5">
        <f t="shared" si="18"/>
        <v>32.241666666666667</v>
      </c>
      <c r="W79" s="4">
        <f t="shared" si="19"/>
        <v>0.30808753511450176</v>
      </c>
      <c r="X79" s="2">
        <f t="shared" si="20"/>
        <v>30.9</v>
      </c>
      <c r="Y79" s="3">
        <f t="shared" si="21"/>
        <v>31.175000000000001</v>
      </c>
      <c r="Z79" s="2">
        <f t="shared" si="22"/>
        <v>32.25</v>
      </c>
      <c r="AA79" s="3">
        <f t="shared" si="23"/>
        <v>32.950000000000003</v>
      </c>
      <c r="AB79" s="3">
        <f t="shared" si="24"/>
        <v>34.200000000000003</v>
      </c>
      <c r="AC79" s="3">
        <f t="shared" si="25"/>
        <v>0.25181397353828411</v>
      </c>
      <c r="AD79" s="3">
        <f t="shared" si="26"/>
        <v>-0.9571013826622643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13.333</v>
      </c>
      <c r="J80" s="39">
        <v>30.6</v>
      </c>
      <c r="K80" s="39">
        <v>32</v>
      </c>
      <c r="L80" s="39">
        <v>32.9</v>
      </c>
      <c r="M80" s="39">
        <v>31.3</v>
      </c>
      <c r="N80" s="39">
        <v>32</v>
      </c>
      <c r="O80" s="39">
        <v>31.9</v>
      </c>
      <c r="P80" s="39">
        <v>33.1</v>
      </c>
      <c r="Q80" s="39">
        <v>32.299999999999997</v>
      </c>
      <c r="R80" s="39">
        <v>32.200000000000003</v>
      </c>
      <c r="S80" s="39">
        <v>31.9</v>
      </c>
      <c r="T80" s="39">
        <v>32.700000000000003</v>
      </c>
      <c r="U80" s="39">
        <v>33.9</v>
      </c>
      <c r="V80" s="5">
        <f t="shared" si="18"/>
        <v>32.233333333333327</v>
      </c>
      <c r="W80" s="4">
        <f t="shared" si="19"/>
        <v>0.24720661623652201</v>
      </c>
      <c r="X80" s="2">
        <f t="shared" si="20"/>
        <v>30.6</v>
      </c>
      <c r="Y80" s="3">
        <f t="shared" si="21"/>
        <v>31.9</v>
      </c>
      <c r="Z80" s="2">
        <f t="shared" si="22"/>
        <v>32.1</v>
      </c>
      <c r="AA80" s="3">
        <f t="shared" si="23"/>
        <v>32.75</v>
      </c>
      <c r="AB80" s="3">
        <f t="shared" si="24"/>
        <v>33.9</v>
      </c>
      <c r="AC80" s="3">
        <f t="shared" si="25"/>
        <v>7.1029986310301108E-2</v>
      </c>
      <c r="AD80" s="3">
        <f t="shared" si="26"/>
        <v>0.78136138241922914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13.308</v>
      </c>
      <c r="J81" s="39">
        <v>31.8</v>
      </c>
      <c r="K81" s="39">
        <v>30.3</v>
      </c>
      <c r="L81" s="39">
        <v>32.299999999999997</v>
      </c>
      <c r="M81" s="39">
        <v>33</v>
      </c>
      <c r="N81" s="39">
        <v>30.7</v>
      </c>
      <c r="O81" s="39">
        <v>31.6</v>
      </c>
      <c r="P81" s="39">
        <v>33.299999999999997</v>
      </c>
      <c r="Q81" s="39">
        <v>31</v>
      </c>
      <c r="R81" s="39">
        <v>32.200000000000003</v>
      </c>
      <c r="S81" s="39">
        <v>35.299999999999997</v>
      </c>
      <c r="T81" s="39">
        <v>33</v>
      </c>
      <c r="U81" s="39">
        <v>34.5</v>
      </c>
      <c r="V81" s="5">
        <f t="shared" si="18"/>
        <v>32.416666666666664</v>
      </c>
      <c r="W81" s="4">
        <f t="shared" si="19"/>
        <v>0.4321954757895195</v>
      </c>
      <c r="X81" s="2">
        <f t="shared" si="20"/>
        <v>30.3</v>
      </c>
      <c r="Y81" s="3">
        <f t="shared" si="21"/>
        <v>31.450000000000003</v>
      </c>
      <c r="Z81" s="2">
        <f t="shared" si="22"/>
        <v>32.25</v>
      </c>
      <c r="AA81" s="3">
        <f t="shared" si="23"/>
        <v>33.075000000000003</v>
      </c>
      <c r="AB81" s="3">
        <f t="shared" si="24"/>
        <v>35.299999999999997</v>
      </c>
      <c r="AC81" s="3">
        <f t="shared" si="25"/>
        <v>0.51761156148456033</v>
      </c>
      <c r="AD81" s="3">
        <f t="shared" si="26"/>
        <v>-0.20176849352074022</v>
      </c>
    </row>
    <row r="84" spans="1:30" x14ac:dyDescent="0.2">
      <c r="V84" s="3"/>
    </row>
  </sheetData>
  <autoFilter ref="A9:AD81" xr:uid="{FE8A74D6-DDAF-4AB4-84C2-E449890402EB}"/>
  <conditionalFormatting sqref="J10:U47">
    <cfRule type="cellIs" dxfId="103" priority="1" stopIfTrue="1" operator="lessThan">
      <formula>$V10-$U$5*$W10</formula>
    </cfRule>
    <cfRule type="cellIs" dxfId="102" priority="2" stopIfTrue="1" operator="greaterThan">
      <formula>$V10+$U$5*$W10</formula>
    </cfRule>
  </conditionalFormatting>
  <conditionalFormatting sqref="J48:U81">
    <cfRule type="cellIs" dxfId="101" priority="3" stopIfTrue="1" operator="lessThan">
      <formula>$V48-$U$6*$W48</formula>
    </cfRule>
    <cfRule type="cellIs" dxfId="100" priority="4" stopIfTrue="1" operator="greaterThan">
      <formula>$V48+$U$6*$W48</formula>
    </cfRule>
  </conditionalFormatting>
  <conditionalFormatting sqref="V10:V39">
    <cfRule type="cellIs" dxfId="99" priority="5" stopIfTrue="1" operator="lessThan">
      <formula>AVERAGE($V$10:$V$39)</formula>
    </cfRule>
    <cfRule type="cellIs" dxfId="98" priority="6" stopIfTrue="1" operator="greaterThan">
      <formula>AVERAGE($V$10:$V$39)</formula>
    </cfRule>
  </conditionalFormatting>
  <conditionalFormatting sqref="V48:V81">
    <cfRule type="cellIs" dxfId="97" priority="7" stopIfTrue="1" operator="lessThan">
      <formula>AVERAGE($V$48:$V$81)</formula>
    </cfRule>
    <cfRule type="cellIs" dxfId="96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0756-9707-4B28-B32A-4E6AFBA3869B}">
  <dimension ref="A1:AN84"/>
  <sheetViews>
    <sheetView topLeftCell="A15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135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41.6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13.101000000000001</v>
      </c>
      <c r="J10" s="39">
        <v>37.200000000000003</v>
      </c>
      <c r="K10" s="39">
        <v>35.299999999999997</v>
      </c>
      <c r="L10" s="39">
        <v>37.200000000000003</v>
      </c>
      <c r="M10" s="39">
        <v>32.6</v>
      </c>
      <c r="N10" s="39">
        <v>36.700000000000003</v>
      </c>
      <c r="O10" s="39">
        <v>34.700000000000003</v>
      </c>
      <c r="P10" s="39">
        <v>36.4</v>
      </c>
      <c r="Q10" s="39">
        <v>37.299999999999997</v>
      </c>
      <c r="R10" s="39">
        <v>33.200000000000003</v>
      </c>
      <c r="S10" s="39">
        <v>38</v>
      </c>
      <c r="T10" s="39">
        <v>39.200000000000003</v>
      </c>
      <c r="U10" s="39">
        <v>36.9</v>
      </c>
      <c r="V10" s="5">
        <f t="shared" ref="V10:V41" si="0">AVERAGE(J10:U10)</f>
        <v>36.224999999999994</v>
      </c>
      <c r="W10" s="4">
        <f t="shared" ref="W10:W41" si="1">STDEV(J10:U10)/SQRT(COUNT(J10:U10))</f>
        <v>0.5589661723379884</v>
      </c>
      <c r="X10" s="2">
        <f t="shared" ref="X10:X41" si="2">MIN(J10:U10)</f>
        <v>32.6</v>
      </c>
      <c r="Y10" s="3">
        <f t="shared" ref="Y10:Y41" si="3">QUARTILE(J10:U10,1)</f>
        <v>35.15</v>
      </c>
      <c r="Z10" s="2">
        <f t="shared" ref="Z10:Z41" si="4">MEDIAN(J10:U10)</f>
        <v>36.799999999999997</v>
      </c>
      <c r="AA10" s="3">
        <f t="shared" ref="AA10:AA41" si="5">QUARTILE(J10:U10,3)</f>
        <v>37.225000000000001</v>
      </c>
      <c r="AB10" s="3">
        <f t="shared" ref="AB10:AB41" si="6">MAX(J10:U10)</f>
        <v>39.200000000000003</v>
      </c>
      <c r="AC10" s="3">
        <f t="shared" ref="AC10:AC41" si="7">SKEW(J10:U10)</f>
        <v>-0.66439079133870382</v>
      </c>
      <c r="AD10" s="3">
        <f t="shared" ref="AD10:AD41" si="8">KURT(J10:U10)</f>
        <v>-6.2797233281628007E-2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13.082000000000001</v>
      </c>
      <c r="J11" s="39">
        <v>37.9</v>
      </c>
      <c r="K11" s="39">
        <v>36.799999999999997</v>
      </c>
      <c r="L11" s="39">
        <v>38.299999999999997</v>
      </c>
      <c r="M11" s="39">
        <v>34.299999999999997</v>
      </c>
      <c r="N11" s="39">
        <v>38.799999999999997</v>
      </c>
      <c r="O11" s="39">
        <v>35.200000000000003</v>
      </c>
      <c r="P11" s="39">
        <v>33.799999999999997</v>
      </c>
      <c r="Q11" s="39">
        <v>36.700000000000003</v>
      </c>
      <c r="R11" s="39">
        <v>33.200000000000003</v>
      </c>
      <c r="S11" s="39">
        <v>37.299999999999997</v>
      </c>
      <c r="T11" s="39">
        <v>35.299999999999997</v>
      </c>
      <c r="U11" s="39">
        <v>31.5</v>
      </c>
      <c r="V11" s="5">
        <f t="shared" si="0"/>
        <v>35.758333333333333</v>
      </c>
      <c r="W11" s="4">
        <f t="shared" si="1"/>
        <v>0.65022820391899094</v>
      </c>
      <c r="X11" s="2">
        <f t="shared" si="2"/>
        <v>31.5</v>
      </c>
      <c r="Y11" s="3">
        <f t="shared" si="3"/>
        <v>34.174999999999997</v>
      </c>
      <c r="Z11" s="2">
        <f t="shared" si="4"/>
        <v>36</v>
      </c>
      <c r="AA11" s="3">
        <f t="shared" si="5"/>
        <v>37.449999999999996</v>
      </c>
      <c r="AB11" s="3">
        <f t="shared" si="6"/>
        <v>38.799999999999997</v>
      </c>
      <c r="AC11" s="3">
        <f t="shared" si="7"/>
        <v>-0.42796402269200179</v>
      </c>
      <c r="AD11" s="3">
        <f t="shared" si="8"/>
        <v>-0.6847780581054681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13.065</v>
      </c>
      <c r="J12" s="39">
        <v>38.700000000000003</v>
      </c>
      <c r="K12" s="39">
        <v>38.700000000000003</v>
      </c>
      <c r="L12" s="39">
        <v>33.9</v>
      </c>
      <c r="M12" s="39">
        <v>34.299999999999997</v>
      </c>
      <c r="N12" s="39">
        <v>38.299999999999997</v>
      </c>
      <c r="O12" s="39">
        <v>34.6</v>
      </c>
      <c r="P12" s="39">
        <v>39.200000000000003</v>
      </c>
      <c r="Q12" s="39">
        <v>32.5</v>
      </c>
      <c r="R12" s="39">
        <v>37.5</v>
      </c>
      <c r="S12" s="39">
        <v>32</v>
      </c>
      <c r="T12" s="39">
        <v>34.5</v>
      </c>
      <c r="U12" s="39">
        <v>34.1</v>
      </c>
      <c r="V12" s="5">
        <f t="shared" si="0"/>
        <v>35.69166666666667</v>
      </c>
      <c r="W12" s="4">
        <f t="shared" si="1"/>
        <v>0.75171101125661632</v>
      </c>
      <c r="X12" s="2">
        <f t="shared" si="2"/>
        <v>32</v>
      </c>
      <c r="Y12" s="3">
        <f t="shared" si="3"/>
        <v>34.049999999999997</v>
      </c>
      <c r="Z12" s="2">
        <f t="shared" si="4"/>
        <v>34.549999999999997</v>
      </c>
      <c r="AA12" s="3">
        <f t="shared" si="5"/>
        <v>38.4</v>
      </c>
      <c r="AB12" s="3">
        <f t="shared" si="6"/>
        <v>39.200000000000003</v>
      </c>
      <c r="AC12" s="3">
        <f t="shared" si="7"/>
        <v>0.14207290876845433</v>
      </c>
      <c r="AD12" s="3">
        <f t="shared" si="8"/>
        <v>-1.683398969296205</v>
      </c>
      <c r="AF12" s="17" t="s">
        <v>76</v>
      </c>
      <c r="AG12" s="16">
        <v>43.45</v>
      </c>
      <c r="AH12" s="15">
        <v>51.387500000000003</v>
      </c>
      <c r="AI12" s="15">
        <v>55.225000000000001</v>
      </c>
      <c r="AJ12" s="15">
        <v>55.366666666666667</v>
      </c>
      <c r="AK12" s="16">
        <v>29.6</v>
      </c>
      <c r="AL12" s="15">
        <v>31.175000000000001</v>
      </c>
      <c r="AM12" s="15">
        <v>31.6</v>
      </c>
      <c r="AN12" s="14">
        <v>31.620833333333334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13.047000000000001</v>
      </c>
      <c r="J13" s="39">
        <v>63</v>
      </c>
      <c r="K13" s="39">
        <v>60.4</v>
      </c>
      <c r="L13" s="39">
        <v>60.9</v>
      </c>
      <c r="M13" s="39">
        <v>55.7</v>
      </c>
      <c r="N13" s="39">
        <v>54.9</v>
      </c>
      <c r="O13" s="39">
        <v>47.1</v>
      </c>
      <c r="P13" s="39">
        <v>62.9</v>
      </c>
      <c r="Q13" s="39">
        <v>42.5</v>
      </c>
      <c r="R13" s="39">
        <v>59.8</v>
      </c>
      <c r="S13" s="39">
        <v>49.3</v>
      </c>
      <c r="T13" s="39">
        <v>62</v>
      </c>
      <c r="U13" s="39">
        <v>46.9</v>
      </c>
      <c r="V13" s="5">
        <f t="shared" si="0"/>
        <v>55.449999999999996</v>
      </c>
      <c r="W13" s="4">
        <f t="shared" si="1"/>
        <v>2.0911972792173534</v>
      </c>
      <c r="X13" s="2">
        <f t="shared" si="2"/>
        <v>42.5</v>
      </c>
      <c r="Y13" s="3">
        <f t="shared" si="3"/>
        <v>48.75</v>
      </c>
      <c r="Z13" s="2">
        <f t="shared" si="4"/>
        <v>57.75</v>
      </c>
      <c r="AA13" s="3">
        <f t="shared" si="5"/>
        <v>61.174999999999997</v>
      </c>
      <c r="AB13" s="3">
        <f t="shared" si="6"/>
        <v>63</v>
      </c>
      <c r="AC13" s="3">
        <f t="shared" si="7"/>
        <v>-0.60876078168711711</v>
      </c>
      <c r="AD13" s="3">
        <f t="shared" si="8"/>
        <v>-1.1854386209310346</v>
      </c>
      <c r="AF13" s="13" t="s">
        <v>75</v>
      </c>
      <c r="AG13" s="12">
        <v>42.15</v>
      </c>
      <c r="AH13" s="11">
        <v>49.862499999999997</v>
      </c>
      <c r="AI13" s="11">
        <v>57.625</v>
      </c>
      <c r="AJ13" s="11">
        <v>55.825000000000003</v>
      </c>
      <c r="AK13" s="12">
        <v>29.2</v>
      </c>
      <c r="AL13" s="11">
        <v>30.0625</v>
      </c>
      <c r="AM13" s="11">
        <v>30.5</v>
      </c>
      <c r="AN13" s="10">
        <v>30.533333333333335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13.03</v>
      </c>
      <c r="J14" s="39">
        <v>39</v>
      </c>
      <c r="K14" s="39">
        <v>33.200000000000003</v>
      </c>
      <c r="L14" s="39">
        <v>38.5</v>
      </c>
      <c r="M14" s="39">
        <v>31.9</v>
      </c>
      <c r="N14" s="39">
        <v>36.700000000000003</v>
      </c>
      <c r="O14" s="39">
        <v>33.5</v>
      </c>
      <c r="P14" s="39">
        <v>37</v>
      </c>
      <c r="Q14" s="39">
        <v>35.1</v>
      </c>
      <c r="R14" s="39">
        <v>34.200000000000003</v>
      </c>
      <c r="S14" s="39">
        <v>36.5</v>
      </c>
      <c r="T14" s="39">
        <v>36.200000000000003</v>
      </c>
      <c r="U14" s="39">
        <v>36.1</v>
      </c>
      <c r="V14" s="5">
        <f t="shared" si="0"/>
        <v>35.658333333333339</v>
      </c>
      <c r="W14" s="4">
        <f t="shared" si="1"/>
        <v>0.61907290574395424</v>
      </c>
      <c r="X14" s="2">
        <f t="shared" si="2"/>
        <v>31.9</v>
      </c>
      <c r="Y14" s="3">
        <f t="shared" si="3"/>
        <v>34.025000000000006</v>
      </c>
      <c r="Z14" s="2">
        <f t="shared" si="4"/>
        <v>36.150000000000006</v>
      </c>
      <c r="AA14" s="3">
        <f t="shared" si="5"/>
        <v>36.775000000000006</v>
      </c>
      <c r="AB14" s="3">
        <f t="shared" si="6"/>
        <v>39</v>
      </c>
      <c r="AC14" s="3">
        <f t="shared" si="7"/>
        <v>-0.18388213171108522</v>
      </c>
      <c r="AD14" s="3">
        <f t="shared" si="8"/>
        <v>-0.62636505141482601</v>
      </c>
      <c r="AF14" s="13" t="s">
        <v>74</v>
      </c>
      <c r="AG14" s="12">
        <v>61.65</v>
      </c>
      <c r="AH14" s="11">
        <v>63.4375</v>
      </c>
      <c r="AI14" s="11">
        <v>64.174999999999997</v>
      </c>
      <c r="AJ14" s="11">
        <v>63.954166666666673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13.012</v>
      </c>
      <c r="J15" s="39">
        <v>63.6</v>
      </c>
      <c r="K15" s="39">
        <v>54.5</v>
      </c>
      <c r="L15" s="39">
        <v>65.599999999999994</v>
      </c>
      <c r="M15" s="39">
        <v>47.9</v>
      </c>
      <c r="N15" s="39">
        <v>61</v>
      </c>
      <c r="O15" s="39">
        <v>50.9</v>
      </c>
      <c r="P15" s="39">
        <v>55.2</v>
      </c>
      <c r="Q15" s="39">
        <v>56.9</v>
      </c>
      <c r="R15" s="39">
        <v>56</v>
      </c>
      <c r="S15" s="39">
        <v>63.4</v>
      </c>
      <c r="T15" s="39">
        <v>61.6</v>
      </c>
      <c r="U15" s="39">
        <v>57.5</v>
      </c>
      <c r="V15" s="5">
        <f t="shared" si="0"/>
        <v>57.841666666666669</v>
      </c>
      <c r="W15" s="4">
        <f t="shared" si="1"/>
        <v>1.551902953724162</v>
      </c>
      <c r="X15" s="2">
        <f t="shared" si="2"/>
        <v>47.9</v>
      </c>
      <c r="Y15" s="3">
        <f t="shared" si="3"/>
        <v>55.025000000000006</v>
      </c>
      <c r="Z15" s="2">
        <f t="shared" si="4"/>
        <v>57.2</v>
      </c>
      <c r="AA15" s="3">
        <f t="shared" si="5"/>
        <v>62.05</v>
      </c>
      <c r="AB15" s="3">
        <f t="shared" si="6"/>
        <v>65.599999999999994</v>
      </c>
      <c r="AC15" s="3">
        <f t="shared" si="7"/>
        <v>-0.32700608996254227</v>
      </c>
      <c r="AD15" s="3">
        <f t="shared" si="8"/>
        <v>-0.5899222162641804</v>
      </c>
      <c r="AF15" s="13" t="s">
        <v>73</v>
      </c>
      <c r="AG15" s="12">
        <v>31.3</v>
      </c>
      <c r="AH15" s="11">
        <v>32.774999999999999</v>
      </c>
      <c r="AI15" s="11">
        <v>34.4</v>
      </c>
      <c r="AJ15" s="11">
        <v>34.85</v>
      </c>
      <c r="AK15" s="12">
        <v>28.45</v>
      </c>
      <c r="AL15" s="11">
        <v>29.162500000000001</v>
      </c>
      <c r="AM15" s="11">
        <v>29.574999999999999</v>
      </c>
      <c r="AN15" s="10">
        <v>29.7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12.994</v>
      </c>
      <c r="J16" s="39">
        <v>63.3</v>
      </c>
      <c r="K16" s="39">
        <v>50.2</v>
      </c>
      <c r="L16" s="39">
        <v>59.5</v>
      </c>
      <c r="M16" s="39">
        <v>54.6</v>
      </c>
      <c r="N16" s="39">
        <v>62.4</v>
      </c>
      <c r="O16" s="39">
        <v>47.1</v>
      </c>
      <c r="P16" s="39">
        <v>61.1</v>
      </c>
      <c r="Q16" s="39">
        <v>55.5</v>
      </c>
      <c r="R16" s="39">
        <v>54.5</v>
      </c>
      <c r="S16" s="39">
        <v>61.1</v>
      </c>
      <c r="T16" s="39">
        <v>56.1</v>
      </c>
      <c r="U16" s="39">
        <v>55.5</v>
      </c>
      <c r="V16" s="5">
        <f t="shared" si="0"/>
        <v>56.741666666666674</v>
      </c>
      <c r="W16" s="4">
        <f t="shared" si="1"/>
        <v>1.4288402975698844</v>
      </c>
      <c r="X16" s="2">
        <f t="shared" si="2"/>
        <v>47.1</v>
      </c>
      <c r="Y16" s="3">
        <f t="shared" si="3"/>
        <v>54.575000000000003</v>
      </c>
      <c r="Z16" s="2">
        <f t="shared" si="4"/>
        <v>55.8</v>
      </c>
      <c r="AA16" s="3">
        <f t="shared" si="5"/>
        <v>61.1</v>
      </c>
      <c r="AB16" s="3">
        <f t="shared" si="6"/>
        <v>63.3</v>
      </c>
      <c r="AC16" s="3">
        <f t="shared" si="7"/>
        <v>-0.49625584650781068</v>
      </c>
      <c r="AD16" s="3">
        <f t="shared" si="8"/>
        <v>-0.31081599482656053</v>
      </c>
      <c r="AF16" s="13" t="s">
        <v>72</v>
      </c>
      <c r="AG16" s="12">
        <v>31.15</v>
      </c>
      <c r="AH16" s="11">
        <v>32.6</v>
      </c>
      <c r="AI16" s="11">
        <v>35.799999999999997</v>
      </c>
      <c r="AJ16" s="11">
        <v>35.204166666666666</v>
      </c>
      <c r="AK16" s="12">
        <v>29.1</v>
      </c>
      <c r="AL16" s="11">
        <v>29.774999999999999</v>
      </c>
      <c r="AM16" s="11">
        <v>30.074999999999999</v>
      </c>
      <c r="AN16" s="10">
        <v>30.070833333333333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12.978</v>
      </c>
      <c r="J17" s="39">
        <v>37.4</v>
      </c>
      <c r="K17" s="39">
        <v>33.6</v>
      </c>
      <c r="L17" s="39">
        <v>38.6</v>
      </c>
      <c r="M17" s="39">
        <v>36.1</v>
      </c>
      <c r="N17" s="39">
        <v>37.1</v>
      </c>
      <c r="O17" s="39">
        <v>35.1</v>
      </c>
      <c r="P17" s="39">
        <v>37.1</v>
      </c>
      <c r="Q17" s="39">
        <v>35.4</v>
      </c>
      <c r="R17" s="39">
        <v>35.700000000000003</v>
      </c>
      <c r="S17" s="39">
        <v>36.799999999999997</v>
      </c>
      <c r="T17" s="39">
        <v>37.9</v>
      </c>
      <c r="U17" s="39">
        <v>33.200000000000003</v>
      </c>
      <c r="V17" s="5">
        <f t="shared" si="0"/>
        <v>36.166666666666664</v>
      </c>
      <c r="W17" s="4">
        <f t="shared" si="1"/>
        <v>0.47614826652752978</v>
      </c>
      <c r="X17" s="2">
        <f t="shared" si="2"/>
        <v>33.200000000000003</v>
      </c>
      <c r="Y17" s="3">
        <f t="shared" si="3"/>
        <v>35.325000000000003</v>
      </c>
      <c r="Z17" s="2">
        <f t="shared" si="4"/>
        <v>36.450000000000003</v>
      </c>
      <c r="AA17" s="3">
        <f t="shared" si="5"/>
        <v>37.174999999999997</v>
      </c>
      <c r="AB17" s="3">
        <f t="shared" si="6"/>
        <v>38.6</v>
      </c>
      <c r="AC17" s="3">
        <f t="shared" si="7"/>
        <v>-0.52055345411097842</v>
      </c>
      <c r="AD17" s="3">
        <f t="shared" si="8"/>
        <v>-0.40088642711242262</v>
      </c>
      <c r="AF17" s="13" t="s">
        <v>71</v>
      </c>
      <c r="AG17" s="12">
        <v>32.700000000000003</v>
      </c>
      <c r="AH17" s="11">
        <v>35.325000000000003</v>
      </c>
      <c r="AI17" s="11">
        <v>36.825000000000003</v>
      </c>
      <c r="AJ17" s="11">
        <v>36.158333333333331</v>
      </c>
      <c r="AK17" s="12">
        <v>28.55</v>
      </c>
      <c r="AL17" s="11">
        <v>29.05</v>
      </c>
      <c r="AM17" s="11">
        <v>29.574999999999999</v>
      </c>
      <c r="AN17" s="10">
        <v>29.545833333333331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13.128</v>
      </c>
      <c r="J18" s="39">
        <v>38.299999999999997</v>
      </c>
      <c r="K18" s="39">
        <v>34.9</v>
      </c>
      <c r="L18" s="39">
        <v>33.700000000000003</v>
      </c>
      <c r="M18" s="39">
        <v>34.200000000000003</v>
      </c>
      <c r="N18" s="39">
        <v>37.4</v>
      </c>
      <c r="O18" s="39">
        <v>32.5</v>
      </c>
      <c r="P18" s="39">
        <v>38.299999999999997</v>
      </c>
      <c r="Q18" s="39">
        <v>33.4</v>
      </c>
      <c r="R18" s="39">
        <v>35.5</v>
      </c>
      <c r="S18" s="39">
        <v>32.299999999999997</v>
      </c>
      <c r="T18" s="39">
        <v>35.799999999999997</v>
      </c>
      <c r="U18" s="39">
        <v>32.700000000000003</v>
      </c>
      <c r="V18" s="5">
        <f t="shared" si="0"/>
        <v>34.916666666666664</v>
      </c>
      <c r="W18" s="4">
        <f t="shared" si="1"/>
        <v>0.62810843173786601</v>
      </c>
      <c r="X18" s="2">
        <f t="shared" si="2"/>
        <v>32.299999999999997</v>
      </c>
      <c r="Y18" s="3">
        <f t="shared" si="3"/>
        <v>33.225000000000001</v>
      </c>
      <c r="Z18" s="2">
        <f t="shared" si="4"/>
        <v>34.549999999999997</v>
      </c>
      <c r="AA18" s="3">
        <f t="shared" si="5"/>
        <v>36.199999999999996</v>
      </c>
      <c r="AB18" s="3">
        <f t="shared" si="6"/>
        <v>38.299999999999997</v>
      </c>
      <c r="AC18" s="3">
        <f t="shared" si="7"/>
        <v>0.47741691198427944</v>
      </c>
      <c r="AD18" s="3">
        <f t="shared" si="8"/>
        <v>-1.1247988581557777</v>
      </c>
      <c r="AF18" s="13" t="s">
        <v>70</v>
      </c>
      <c r="AG18" s="12">
        <v>32.700000000000003</v>
      </c>
      <c r="AH18" s="11">
        <v>34.049999999999997</v>
      </c>
      <c r="AI18" s="11">
        <v>36.85</v>
      </c>
      <c r="AJ18" s="11">
        <v>36.233333333333334</v>
      </c>
      <c r="AK18" s="12">
        <v>28.2</v>
      </c>
      <c r="AL18" s="11">
        <v>28.987500000000001</v>
      </c>
      <c r="AM18" s="11">
        <v>29.725000000000001</v>
      </c>
      <c r="AN18" s="10">
        <v>29.541666666666668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13.145</v>
      </c>
      <c r="J19" s="39">
        <v>64.3</v>
      </c>
      <c r="K19" s="39">
        <v>64.400000000000006</v>
      </c>
      <c r="L19" s="39">
        <v>62.6</v>
      </c>
      <c r="M19" s="39">
        <v>60.4</v>
      </c>
      <c r="N19" s="39">
        <v>63</v>
      </c>
      <c r="O19" s="39">
        <v>49.7</v>
      </c>
      <c r="P19" s="39">
        <v>63.2</v>
      </c>
      <c r="Q19" s="39">
        <v>61</v>
      </c>
      <c r="R19" s="39">
        <v>46.7</v>
      </c>
      <c r="S19" s="39">
        <v>63.6</v>
      </c>
      <c r="T19" s="39">
        <v>60.5</v>
      </c>
      <c r="U19" s="39">
        <v>51.1</v>
      </c>
      <c r="V19" s="5">
        <f t="shared" si="0"/>
        <v>59.208333333333336</v>
      </c>
      <c r="W19" s="4">
        <f t="shared" si="1"/>
        <v>1.8109288732135209</v>
      </c>
      <c r="X19" s="2">
        <f t="shared" si="2"/>
        <v>46.7</v>
      </c>
      <c r="Y19" s="3">
        <f t="shared" si="3"/>
        <v>58.075000000000003</v>
      </c>
      <c r="Z19" s="2">
        <f t="shared" si="4"/>
        <v>61.8</v>
      </c>
      <c r="AA19" s="3">
        <f t="shared" si="5"/>
        <v>63.300000000000004</v>
      </c>
      <c r="AB19" s="3">
        <f t="shared" si="6"/>
        <v>64.400000000000006</v>
      </c>
      <c r="AC19" s="3">
        <f t="shared" si="7"/>
        <v>-1.2489474787395995</v>
      </c>
      <c r="AD19" s="3">
        <f t="shared" si="8"/>
        <v>-2.9195058466027213E-2</v>
      </c>
      <c r="AF19" s="13" t="s">
        <v>69</v>
      </c>
      <c r="AG19" s="12">
        <v>31.824999999999999</v>
      </c>
      <c r="AH19" s="11">
        <v>34.306249999999999</v>
      </c>
      <c r="AI19" s="11">
        <v>36.462499999999999</v>
      </c>
      <c r="AJ19" s="11">
        <v>35.791666666666664</v>
      </c>
      <c r="AK19" s="12">
        <v>28.9</v>
      </c>
      <c r="AL19" s="11">
        <v>29.712499999999999</v>
      </c>
      <c r="AM19" s="11">
        <v>30.1875</v>
      </c>
      <c r="AN19" s="10">
        <v>30.175000000000001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13.163</v>
      </c>
      <c r="J20" s="39">
        <v>37.700000000000003</v>
      </c>
      <c r="K20" s="39">
        <v>35.700000000000003</v>
      </c>
      <c r="L20" s="39">
        <v>36.9</v>
      </c>
      <c r="M20" s="39">
        <v>38.1</v>
      </c>
      <c r="N20" s="39">
        <v>37.5</v>
      </c>
      <c r="O20" s="39">
        <v>31.8</v>
      </c>
      <c r="P20" s="39">
        <v>38.299999999999997</v>
      </c>
      <c r="Q20" s="39">
        <v>33.700000000000003</v>
      </c>
      <c r="R20" s="39">
        <v>37.1</v>
      </c>
      <c r="S20" s="39">
        <v>34.6</v>
      </c>
      <c r="T20" s="39">
        <v>38.299999999999997</v>
      </c>
      <c r="U20" s="39">
        <v>34.1</v>
      </c>
      <c r="V20" s="5">
        <f t="shared" si="0"/>
        <v>36.150000000000006</v>
      </c>
      <c r="W20" s="4">
        <f t="shared" si="1"/>
        <v>0.6183433389699321</v>
      </c>
      <c r="X20" s="2">
        <f t="shared" si="2"/>
        <v>31.8</v>
      </c>
      <c r="Y20" s="3">
        <f t="shared" si="3"/>
        <v>34.475000000000001</v>
      </c>
      <c r="Z20" s="2">
        <f t="shared" si="4"/>
        <v>37</v>
      </c>
      <c r="AA20" s="3">
        <f t="shared" si="5"/>
        <v>37.800000000000004</v>
      </c>
      <c r="AB20" s="3">
        <f t="shared" si="6"/>
        <v>38.299999999999997</v>
      </c>
      <c r="AC20" s="3">
        <f t="shared" si="7"/>
        <v>-0.8291122825048679</v>
      </c>
      <c r="AD20" s="3">
        <f t="shared" si="8"/>
        <v>-0.40309527401672307</v>
      </c>
      <c r="AF20" s="13" t="s">
        <v>68</v>
      </c>
      <c r="AG20" s="12">
        <v>31.574999999999999</v>
      </c>
      <c r="AH20" s="11">
        <v>34.075000000000003</v>
      </c>
      <c r="AI20" s="11">
        <v>35.387500000000003</v>
      </c>
      <c r="AJ20" s="11">
        <v>35.547916666666673</v>
      </c>
      <c r="AK20" s="12">
        <v>28.625</v>
      </c>
      <c r="AL20" s="11">
        <v>29.193750000000001</v>
      </c>
      <c r="AM20" s="11">
        <v>29.637499999999999</v>
      </c>
      <c r="AN20" s="10">
        <v>29.65625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13.18</v>
      </c>
      <c r="J21" s="39">
        <v>35.6</v>
      </c>
      <c r="K21" s="39">
        <v>34.4</v>
      </c>
      <c r="L21" s="39">
        <v>36.799999999999997</v>
      </c>
      <c r="M21" s="39">
        <v>32.4</v>
      </c>
      <c r="N21" s="39">
        <v>34.9</v>
      </c>
      <c r="O21" s="39">
        <v>30.8</v>
      </c>
      <c r="P21" s="39">
        <v>36.4</v>
      </c>
      <c r="Q21" s="39">
        <v>32.799999999999997</v>
      </c>
      <c r="R21" s="39">
        <v>33.200000000000003</v>
      </c>
      <c r="S21" s="39">
        <v>37.799999999999997</v>
      </c>
      <c r="T21" s="39">
        <v>32.4</v>
      </c>
      <c r="U21" s="39">
        <v>33.200000000000003</v>
      </c>
      <c r="V21" s="5">
        <f t="shared" si="0"/>
        <v>34.225000000000001</v>
      </c>
      <c r="W21" s="4">
        <f t="shared" si="1"/>
        <v>0.6095359635895905</v>
      </c>
      <c r="X21" s="2">
        <f t="shared" si="2"/>
        <v>30.8</v>
      </c>
      <c r="Y21" s="3">
        <f t="shared" si="3"/>
        <v>32.699999999999996</v>
      </c>
      <c r="Z21" s="2">
        <f t="shared" si="4"/>
        <v>33.799999999999997</v>
      </c>
      <c r="AA21" s="3">
        <f t="shared" si="5"/>
        <v>35.799999999999997</v>
      </c>
      <c r="AB21" s="3">
        <f t="shared" si="6"/>
        <v>37.799999999999997</v>
      </c>
      <c r="AC21" s="3">
        <f t="shared" si="7"/>
        <v>0.21536369302922623</v>
      </c>
      <c r="AD21" s="3">
        <f t="shared" si="8"/>
        <v>-0.86558377555773003</v>
      </c>
      <c r="AF21" s="13" t="s">
        <v>67</v>
      </c>
      <c r="AG21" s="12">
        <v>31.15</v>
      </c>
      <c r="AH21" s="11">
        <v>32.6875</v>
      </c>
      <c r="AI21" s="11">
        <v>34.424999999999997</v>
      </c>
      <c r="AJ21" s="11">
        <v>34.458333333333336</v>
      </c>
      <c r="AK21" s="12">
        <v>28.45</v>
      </c>
      <c r="AL21" s="11">
        <v>29.462499999999999</v>
      </c>
      <c r="AM21" s="11">
        <v>29.8</v>
      </c>
      <c r="AN21" s="10">
        <v>29.779166666666669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13.196999999999999</v>
      </c>
      <c r="J22" s="39">
        <v>37.200000000000003</v>
      </c>
      <c r="K22" s="39">
        <v>34</v>
      </c>
      <c r="L22" s="39">
        <v>36</v>
      </c>
      <c r="M22" s="39">
        <v>36.1</v>
      </c>
      <c r="N22" s="39">
        <v>37.299999999999997</v>
      </c>
      <c r="O22" s="39">
        <v>32.799999999999997</v>
      </c>
      <c r="P22" s="39">
        <v>37.700000000000003</v>
      </c>
      <c r="Q22" s="39">
        <v>37.1</v>
      </c>
      <c r="R22" s="39">
        <v>36.6</v>
      </c>
      <c r="S22" s="39">
        <v>37.700000000000003</v>
      </c>
      <c r="T22" s="39">
        <v>37.799999999999997</v>
      </c>
      <c r="U22" s="39">
        <v>32.799999999999997</v>
      </c>
      <c r="V22" s="5">
        <f t="shared" si="0"/>
        <v>36.091666666666676</v>
      </c>
      <c r="W22" s="4">
        <f t="shared" si="1"/>
        <v>0.53731351004865724</v>
      </c>
      <c r="X22" s="2">
        <f t="shared" si="2"/>
        <v>32.799999999999997</v>
      </c>
      <c r="Y22" s="3">
        <f t="shared" si="3"/>
        <v>35.5</v>
      </c>
      <c r="Z22" s="2">
        <f t="shared" si="4"/>
        <v>36.85</v>
      </c>
      <c r="AA22" s="3">
        <f t="shared" si="5"/>
        <v>37.4</v>
      </c>
      <c r="AB22" s="3">
        <f t="shared" si="6"/>
        <v>37.799999999999997</v>
      </c>
      <c r="AC22" s="3">
        <f t="shared" si="7"/>
        <v>-1.0640069112412467</v>
      </c>
      <c r="AD22" s="3">
        <f t="shared" si="8"/>
        <v>-0.34973831130154975</v>
      </c>
      <c r="AF22" s="13" t="s">
        <v>66</v>
      </c>
      <c r="AG22" s="12">
        <v>32.1</v>
      </c>
      <c r="AH22" s="11">
        <v>33.625</v>
      </c>
      <c r="AI22" s="11">
        <v>35.35</v>
      </c>
      <c r="AJ22" s="11">
        <v>35.287500000000001</v>
      </c>
      <c r="AK22" s="12">
        <v>29.2</v>
      </c>
      <c r="AL22" s="11">
        <v>29.725000000000001</v>
      </c>
      <c r="AM22" s="11">
        <v>30.4</v>
      </c>
      <c r="AN22" s="10">
        <v>30.4375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13.215</v>
      </c>
      <c r="J23" s="39">
        <v>62</v>
      </c>
      <c r="K23" s="39">
        <v>60.4</v>
      </c>
      <c r="L23" s="39">
        <v>62.6</v>
      </c>
      <c r="M23" s="39">
        <v>50.8</v>
      </c>
      <c r="N23" s="39">
        <v>60.4</v>
      </c>
      <c r="O23" s="39">
        <v>53.5</v>
      </c>
      <c r="P23" s="39">
        <v>60.8</v>
      </c>
      <c r="Q23" s="39">
        <v>58.3</v>
      </c>
      <c r="R23" s="39">
        <v>44.7</v>
      </c>
      <c r="S23" s="39">
        <v>61.3</v>
      </c>
      <c r="T23" s="39">
        <v>61.5</v>
      </c>
      <c r="U23" s="39">
        <v>57.3</v>
      </c>
      <c r="V23" s="5">
        <f t="shared" si="0"/>
        <v>57.79999999999999</v>
      </c>
      <c r="W23" s="4">
        <f t="shared" si="1"/>
        <v>1.5781174054722751</v>
      </c>
      <c r="X23" s="2">
        <f t="shared" si="2"/>
        <v>44.7</v>
      </c>
      <c r="Y23" s="3">
        <f t="shared" si="3"/>
        <v>56.349999999999994</v>
      </c>
      <c r="Z23" s="2">
        <f t="shared" si="4"/>
        <v>60.4</v>
      </c>
      <c r="AA23" s="3">
        <f t="shared" si="5"/>
        <v>61.349999999999994</v>
      </c>
      <c r="AB23" s="3">
        <f t="shared" si="6"/>
        <v>62.6</v>
      </c>
      <c r="AC23" s="3">
        <f t="shared" si="7"/>
        <v>-1.5559622013840713</v>
      </c>
      <c r="AD23" s="3">
        <f t="shared" si="8"/>
        <v>1.8849525986250626</v>
      </c>
      <c r="AF23" s="13" t="s">
        <v>65</v>
      </c>
      <c r="AG23" s="12">
        <v>42.3</v>
      </c>
      <c r="AH23" s="11">
        <v>47.274999999999999</v>
      </c>
      <c r="AI23" s="11">
        <v>55.25</v>
      </c>
      <c r="AJ23" s="11">
        <v>53.741666666666667</v>
      </c>
      <c r="AK23" s="12">
        <v>30.2</v>
      </c>
      <c r="AL23" s="11">
        <v>30.925000000000001</v>
      </c>
      <c r="AM23" s="11">
        <v>31.65</v>
      </c>
      <c r="AN23" s="10">
        <v>31.516666666666669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13.233000000000001</v>
      </c>
      <c r="J24" s="39">
        <v>35.700000000000003</v>
      </c>
      <c r="K24" s="39">
        <v>36.200000000000003</v>
      </c>
      <c r="L24" s="39">
        <v>31.3</v>
      </c>
      <c r="M24" s="39">
        <v>37.9</v>
      </c>
      <c r="N24" s="39">
        <v>37.799999999999997</v>
      </c>
      <c r="O24" s="39">
        <v>33.200000000000003</v>
      </c>
      <c r="P24" s="39">
        <v>34.9</v>
      </c>
      <c r="Q24" s="39">
        <v>34.1</v>
      </c>
      <c r="R24" s="39">
        <v>34.799999999999997</v>
      </c>
      <c r="S24" s="39">
        <v>32.5</v>
      </c>
      <c r="T24" s="39">
        <v>38.700000000000003</v>
      </c>
      <c r="U24" s="39">
        <v>34.299999999999997</v>
      </c>
      <c r="V24" s="5">
        <f t="shared" si="0"/>
        <v>35.116666666666667</v>
      </c>
      <c r="W24" s="4">
        <f t="shared" si="1"/>
        <v>0.6527138374014706</v>
      </c>
      <c r="X24" s="2">
        <f t="shared" si="2"/>
        <v>31.3</v>
      </c>
      <c r="Y24" s="3">
        <f t="shared" si="3"/>
        <v>33.875</v>
      </c>
      <c r="Z24" s="2">
        <f t="shared" si="4"/>
        <v>34.849999999999994</v>
      </c>
      <c r="AA24" s="3">
        <f t="shared" si="5"/>
        <v>36.6</v>
      </c>
      <c r="AB24" s="3">
        <f t="shared" si="6"/>
        <v>38.700000000000003</v>
      </c>
      <c r="AC24" s="3">
        <f t="shared" si="7"/>
        <v>5.8248127443583944E-2</v>
      </c>
      <c r="AD24" s="3">
        <f t="shared" si="8"/>
        <v>-0.70345560020011799</v>
      </c>
      <c r="AF24" s="13" t="s">
        <v>64</v>
      </c>
      <c r="AG24" s="12">
        <v>45.15</v>
      </c>
      <c r="AH24" s="11">
        <v>53.512500000000003</v>
      </c>
      <c r="AI24" s="11">
        <v>58.25</v>
      </c>
      <c r="AJ24" s="11">
        <v>56.49583333333333</v>
      </c>
      <c r="AK24" s="12">
        <v>29.55</v>
      </c>
      <c r="AL24" s="11">
        <v>30.9</v>
      </c>
      <c r="AM24" s="11">
        <v>31.125</v>
      </c>
      <c r="AN24" s="10">
        <v>31.279166666666669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13.33</v>
      </c>
      <c r="J25" s="39">
        <v>37.9</v>
      </c>
      <c r="K25" s="39">
        <v>36.4</v>
      </c>
      <c r="L25" s="39">
        <v>38.6</v>
      </c>
      <c r="M25" s="39">
        <v>34.299999999999997</v>
      </c>
      <c r="N25" s="39">
        <v>34.9</v>
      </c>
      <c r="O25" s="39">
        <v>36.299999999999997</v>
      </c>
      <c r="P25" s="39">
        <v>33.4</v>
      </c>
      <c r="Q25" s="39">
        <v>37.6</v>
      </c>
      <c r="R25" s="39">
        <v>33.1</v>
      </c>
      <c r="S25" s="39">
        <v>38</v>
      </c>
      <c r="T25" s="39">
        <v>38.9</v>
      </c>
      <c r="U25" s="39">
        <v>38.5</v>
      </c>
      <c r="V25" s="5">
        <f t="shared" si="0"/>
        <v>36.491666666666667</v>
      </c>
      <c r="W25" s="4">
        <f t="shared" si="1"/>
        <v>0.60433513847529974</v>
      </c>
      <c r="X25" s="2">
        <f t="shared" si="2"/>
        <v>33.1</v>
      </c>
      <c r="Y25" s="3">
        <f t="shared" si="3"/>
        <v>34.75</v>
      </c>
      <c r="Z25" s="2">
        <f t="shared" si="4"/>
        <v>37</v>
      </c>
      <c r="AA25" s="3">
        <f t="shared" si="5"/>
        <v>38.125</v>
      </c>
      <c r="AB25" s="3">
        <f t="shared" si="6"/>
        <v>38.9</v>
      </c>
      <c r="AC25" s="3">
        <f t="shared" si="7"/>
        <v>-0.52444287930530953</v>
      </c>
      <c r="AD25" s="3">
        <f t="shared" si="8"/>
        <v>-1.2976079798241735</v>
      </c>
      <c r="AF25" s="13" t="s">
        <v>63</v>
      </c>
      <c r="AG25" s="12">
        <v>45.633333333333326</v>
      </c>
      <c r="AH25" s="11">
        <v>55.083333333333336</v>
      </c>
      <c r="AI25" s="11">
        <v>60.066666666666663</v>
      </c>
      <c r="AJ25" s="11">
        <v>57.825000000000003</v>
      </c>
      <c r="AK25" s="12">
        <v>31</v>
      </c>
      <c r="AL25" s="11">
        <v>32.075000000000003</v>
      </c>
      <c r="AM25" s="11">
        <v>32.799999999999997</v>
      </c>
      <c r="AN25" s="10">
        <v>32.772222222222226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13.446</v>
      </c>
      <c r="J26" s="39">
        <v>63.3</v>
      </c>
      <c r="K26" s="39">
        <v>52</v>
      </c>
      <c r="L26" s="39">
        <v>63.9</v>
      </c>
      <c r="M26" s="39">
        <v>52.7</v>
      </c>
      <c r="N26" s="39">
        <v>62.4</v>
      </c>
      <c r="O26" s="39">
        <v>50.5</v>
      </c>
      <c r="P26" s="39">
        <v>63.5</v>
      </c>
      <c r="Q26" s="39">
        <v>53.2</v>
      </c>
      <c r="R26" s="39">
        <v>57.3</v>
      </c>
      <c r="S26" s="39">
        <v>51.3</v>
      </c>
      <c r="T26" s="39">
        <v>63.9</v>
      </c>
      <c r="U26" s="39">
        <v>56.3</v>
      </c>
      <c r="V26" s="5">
        <f t="shared" si="0"/>
        <v>57.524999999999984</v>
      </c>
      <c r="W26" s="4">
        <f t="shared" si="1"/>
        <v>1.5960711706619419</v>
      </c>
      <c r="X26" s="2">
        <f t="shared" si="2"/>
        <v>50.5</v>
      </c>
      <c r="Y26" s="3">
        <f t="shared" si="3"/>
        <v>52.525000000000006</v>
      </c>
      <c r="Z26" s="2">
        <f t="shared" si="4"/>
        <v>56.8</v>
      </c>
      <c r="AA26" s="3">
        <f t="shared" si="5"/>
        <v>63.349999999999994</v>
      </c>
      <c r="AB26" s="3">
        <f t="shared" si="6"/>
        <v>63.9</v>
      </c>
      <c r="AC26" s="3">
        <f t="shared" si="7"/>
        <v>5.6987155918986974E-2</v>
      </c>
      <c r="AD26" s="3">
        <f t="shared" si="8"/>
        <v>-2.0068211259554203</v>
      </c>
      <c r="AF26" s="13" t="s">
        <v>62</v>
      </c>
      <c r="AG26" s="12">
        <v>45.674999999999997</v>
      </c>
      <c r="AH26" s="11">
        <v>52.362499999999997</v>
      </c>
      <c r="AI26" s="11">
        <v>57.0625</v>
      </c>
      <c r="AJ26" s="11">
        <v>56.49583333333333</v>
      </c>
      <c r="AK26" s="12">
        <v>31.35</v>
      </c>
      <c r="AL26" s="11">
        <v>32.212499999999999</v>
      </c>
      <c r="AM26" s="11">
        <v>32.5625</v>
      </c>
      <c r="AN26" s="10">
        <v>32.81666666666667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13.462999999999999</v>
      </c>
      <c r="J27" s="39">
        <v>37.700000000000003</v>
      </c>
      <c r="K27" s="39">
        <v>33.1</v>
      </c>
      <c r="L27" s="39">
        <v>39.1</v>
      </c>
      <c r="M27" s="39">
        <v>32.700000000000003</v>
      </c>
      <c r="N27" s="39">
        <v>38.299999999999997</v>
      </c>
      <c r="O27" s="39">
        <v>31.4</v>
      </c>
      <c r="P27" s="39">
        <v>37.4</v>
      </c>
      <c r="Q27" s="39">
        <v>33.1</v>
      </c>
      <c r="R27" s="39">
        <v>33.5</v>
      </c>
      <c r="S27" s="39">
        <v>34.799999999999997</v>
      </c>
      <c r="T27" s="39">
        <v>35.1</v>
      </c>
      <c r="U27" s="39">
        <v>32.5</v>
      </c>
      <c r="V27" s="5">
        <f t="shared" si="0"/>
        <v>34.891666666666673</v>
      </c>
      <c r="W27" s="4">
        <f t="shared" si="1"/>
        <v>0.75191254461371682</v>
      </c>
      <c r="X27" s="2">
        <f t="shared" si="2"/>
        <v>31.4</v>
      </c>
      <c r="Y27" s="3">
        <f t="shared" si="3"/>
        <v>33</v>
      </c>
      <c r="Z27" s="2">
        <f t="shared" si="4"/>
        <v>34.15</v>
      </c>
      <c r="AA27" s="3">
        <f t="shared" si="5"/>
        <v>37.475000000000001</v>
      </c>
      <c r="AB27" s="3">
        <f t="shared" si="6"/>
        <v>39.1</v>
      </c>
      <c r="AC27" s="3">
        <f t="shared" si="7"/>
        <v>0.43883703771748406</v>
      </c>
      <c r="AD27" s="3">
        <f t="shared" si="8"/>
        <v>-1.3659095383937068</v>
      </c>
      <c r="AF27" s="9" t="s">
        <v>61</v>
      </c>
      <c r="AG27" s="8">
        <v>48.6</v>
      </c>
      <c r="AH27" s="7">
        <v>51.35</v>
      </c>
      <c r="AI27" s="7">
        <v>52.15</v>
      </c>
      <c r="AJ27" s="7">
        <v>52.008333333333326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13.48</v>
      </c>
      <c r="J28" s="39">
        <v>61.8</v>
      </c>
      <c r="K28" s="39">
        <v>61.2</v>
      </c>
      <c r="L28" s="39">
        <v>49.1</v>
      </c>
      <c r="M28" s="39">
        <v>51.2</v>
      </c>
      <c r="N28" s="39">
        <v>55.9</v>
      </c>
      <c r="O28" s="39">
        <v>45.6</v>
      </c>
      <c r="P28" s="39">
        <v>61.1</v>
      </c>
      <c r="Q28" s="39">
        <v>60.8</v>
      </c>
      <c r="R28" s="39">
        <v>56.8</v>
      </c>
      <c r="S28" s="39">
        <v>56.1</v>
      </c>
      <c r="T28" s="39">
        <v>56.1</v>
      </c>
      <c r="U28" s="39">
        <v>46.6</v>
      </c>
      <c r="V28" s="5">
        <f t="shared" si="0"/>
        <v>55.19166666666667</v>
      </c>
      <c r="W28" s="4">
        <f t="shared" si="1"/>
        <v>1.6736124208888412</v>
      </c>
      <c r="X28" s="2">
        <f t="shared" si="2"/>
        <v>45.6</v>
      </c>
      <c r="Y28" s="3">
        <f t="shared" si="3"/>
        <v>50.675000000000004</v>
      </c>
      <c r="Z28" s="2">
        <f t="shared" si="4"/>
        <v>56.1</v>
      </c>
      <c r="AA28" s="3">
        <f t="shared" si="5"/>
        <v>60.875</v>
      </c>
      <c r="AB28" s="3">
        <f t="shared" si="6"/>
        <v>61.8</v>
      </c>
      <c r="AC28" s="3">
        <f t="shared" si="7"/>
        <v>-0.51063944781587056</v>
      </c>
      <c r="AD28" s="3">
        <f t="shared" si="8"/>
        <v>-1.1084215310203525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13.497</v>
      </c>
      <c r="J29" s="39">
        <v>38.5</v>
      </c>
      <c r="K29" s="39">
        <v>38.4</v>
      </c>
      <c r="L29" s="39">
        <v>34.799999999999997</v>
      </c>
      <c r="M29" s="39">
        <v>38.1</v>
      </c>
      <c r="N29" s="39">
        <v>32.799999999999997</v>
      </c>
      <c r="O29" s="39">
        <v>33.5</v>
      </c>
      <c r="P29" s="39">
        <v>37.799999999999997</v>
      </c>
      <c r="Q29" s="39">
        <v>32.299999999999997</v>
      </c>
      <c r="R29" s="39">
        <v>38</v>
      </c>
      <c r="S29" s="39">
        <v>32.9</v>
      </c>
      <c r="T29" s="39">
        <v>39</v>
      </c>
      <c r="U29" s="39">
        <v>35.6</v>
      </c>
      <c r="V29" s="5">
        <f t="shared" si="0"/>
        <v>35.975000000000001</v>
      </c>
      <c r="W29" s="4">
        <f t="shared" si="1"/>
        <v>0.74895128700271996</v>
      </c>
      <c r="X29" s="2">
        <f t="shared" si="2"/>
        <v>32.299999999999997</v>
      </c>
      <c r="Y29" s="3">
        <f t="shared" si="3"/>
        <v>33.35</v>
      </c>
      <c r="Z29" s="2">
        <f t="shared" si="4"/>
        <v>36.700000000000003</v>
      </c>
      <c r="AA29" s="3">
        <f t="shared" si="5"/>
        <v>38.174999999999997</v>
      </c>
      <c r="AB29" s="3">
        <f t="shared" si="6"/>
        <v>39</v>
      </c>
      <c r="AC29" s="3">
        <f t="shared" si="7"/>
        <v>-0.28443838500279833</v>
      </c>
      <c r="AD29" s="3">
        <f t="shared" si="8"/>
        <v>-1.876562692255479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13.513</v>
      </c>
      <c r="J30" s="39">
        <v>36.6</v>
      </c>
      <c r="K30" s="39">
        <v>38.799999999999997</v>
      </c>
      <c r="L30" s="39">
        <v>32.700000000000003</v>
      </c>
      <c r="M30" s="39">
        <v>35</v>
      </c>
      <c r="N30" s="39">
        <v>34</v>
      </c>
      <c r="O30" s="39">
        <v>31.5</v>
      </c>
      <c r="P30" s="39">
        <v>36.200000000000003</v>
      </c>
      <c r="Q30" s="39">
        <v>31.5</v>
      </c>
      <c r="R30" s="39">
        <v>35.1</v>
      </c>
      <c r="S30" s="39">
        <v>37.200000000000003</v>
      </c>
      <c r="T30" s="39">
        <v>32.6</v>
      </c>
      <c r="U30" s="39">
        <v>35.1</v>
      </c>
      <c r="V30" s="5">
        <f t="shared" si="0"/>
        <v>34.69166666666667</v>
      </c>
      <c r="W30" s="4">
        <f t="shared" si="1"/>
        <v>0.66690810022177271</v>
      </c>
      <c r="X30" s="2">
        <f t="shared" si="2"/>
        <v>31.5</v>
      </c>
      <c r="Y30" s="3">
        <f t="shared" si="3"/>
        <v>32.675000000000004</v>
      </c>
      <c r="Z30" s="2">
        <f t="shared" si="4"/>
        <v>35.049999999999997</v>
      </c>
      <c r="AA30" s="3">
        <f t="shared" si="5"/>
        <v>36.300000000000004</v>
      </c>
      <c r="AB30" s="3">
        <f t="shared" si="6"/>
        <v>38.799999999999997</v>
      </c>
      <c r="AC30" s="3">
        <f t="shared" si="7"/>
        <v>0.11734155611463686</v>
      </c>
      <c r="AD30" s="3">
        <f t="shared" si="8"/>
        <v>-0.79386272793580037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13.529</v>
      </c>
      <c r="J31" s="39">
        <v>38.799999999999997</v>
      </c>
      <c r="K31" s="39">
        <v>36.799999999999997</v>
      </c>
      <c r="L31" s="39">
        <v>38.6</v>
      </c>
      <c r="M31" s="39">
        <v>35.799999999999997</v>
      </c>
      <c r="N31" s="39">
        <v>38.6</v>
      </c>
      <c r="O31" s="39">
        <v>32.6</v>
      </c>
      <c r="P31" s="39">
        <v>35.799999999999997</v>
      </c>
      <c r="Q31" s="39">
        <v>38.4</v>
      </c>
      <c r="R31" s="39">
        <v>32.1</v>
      </c>
      <c r="S31" s="39">
        <v>39.700000000000003</v>
      </c>
      <c r="T31" s="39">
        <v>36.299999999999997</v>
      </c>
      <c r="U31" s="39">
        <v>33.6</v>
      </c>
      <c r="V31" s="5">
        <f t="shared" si="0"/>
        <v>36.425000000000004</v>
      </c>
      <c r="W31" s="4">
        <f t="shared" si="1"/>
        <v>0.73845918620934614</v>
      </c>
      <c r="X31" s="2">
        <f t="shared" si="2"/>
        <v>32.1</v>
      </c>
      <c r="Y31" s="3">
        <f t="shared" si="3"/>
        <v>35.25</v>
      </c>
      <c r="Z31" s="2">
        <f t="shared" si="4"/>
        <v>36.549999999999997</v>
      </c>
      <c r="AA31" s="3">
        <f t="shared" si="5"/>
        <v>38.6</v>
      </c>
      <c r="AB31" s="3">
        <f t="shared" si="6"/>
        <v>39.700000000000003</v>
      </c>
      <c r="AC31" s="3">
        <f t="shared" si="7"/>
        <v>-0.54117078878477887</v>
      </c>
      <c r="AD31" s="3">
        <f t="shared" si="8"/>
        <v>-0.9614619820113659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13.545999999999999</v>
      </c>
      <c r="J32" s="39">
        <v>62.5</v>
      </c>
      <c r="K32" s="39">
        <v>62.6</v>
      </c>
      <c r="L32" s="39">
        <v>45.1</v>
      </c>
      <c r="M32" s="39">
        <v>61.8</v>
      </c>
      <c r="N32" s="39">
        <v>61.3</v>
      </c>
      <c r="O32" s="39">
        <v>42.3</v>
      </c>
      <c r="P32" s="39">
        <v>62.4</v>
      </c>
      <c r="Q32" s="39">
        <v>54</v>
      </c>
      <c r="R32" s="39">
        <v>53</v>
      </c>
      <c r="S32" s="39">
        <v>61.1</v>
      </c>
      <c r="T32" s="39">
        <v>61.4</v>
      </c>
      <c r="U32" s="39">
        <v>49.6</v>
      </c>
      <c r="V32" s="5">
        <f t="shared" si="0"/>
        <v>56.425000000000004</v>
      </c>
      <c r="W32" s="4">
        <f t="shared" si="1"/>
        <v>2.1354910371380584</v>
      </c>
      <c r="X32" s="2">
        <f t="shared" si="2"/>
        <v>42.3</v>
      </c>
      <c r="Y32" s="3">
        <f t="shared" si="3"/>
        <v>52.15</v>
      </c>
      <c r="Z32" s="2">
        <f t="shared" si="4"/>
        <v>61.2</v>
      </c>
      <c r="AA32" s="3">
        <f t="shared" si="5"/>
        <v>61.949999999999996</v>
      </c>
      <c r="AB32" s="3">
        <f t="shared" si="6"/>
        <v>62.6</v>
      </c>
      <c r="AC32" s="3">
        <f t="shared" si="7"/>
        <v>-0.93605374528979379</v>
      </c>
      <c r="AD32" s="3">
        <f t="shared" si="8"/>
        <v>-0.60377587387734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13.561999999999999</v>
      </c>
      <c r="J33" s="39">
        <v>34.1</v>
      </c>
      <c r="K33" s="39">
        <v>36.700000000000003</v>
      </c>
      <c r="L33" s="39">
        <v>31.6</v>
      </c>
      <c r="M33" s="39">
        <v>34.4</v>
      </c>
      <c r="N33" s="39">
        <v>37.299999999999997</v>
      </c>
      <c r="O33" s="39">
        <v>31.2</v>
      </c>
      <c r="P33" s="39">
        <v>37.4</v>
      </c>
      <c r="Q33" s="39">
        <v>31.1</v>
      </c>
      <c r="R33" s="39">
        <v>34</v>
      </c>
      <c r="S33" s="39">
        <v>34.9</v>
      </c>
      <c r="T33" s="39">
        <v>34.799999999999997</v>
      </c>
      <c r="U33" s="39">
        <v>30.6</v>
      </c>
      <c r="V33" s="5">
        <f t="shared" si="0"/>
        <v>34.008333333333333</v>
      </c>
      <c r="W33" s="4">
        <f t="shared" si="1"/>
        <v>0.70134700845061426</v>
      </c>
      <c r="X33" s="2">
        <f t="shared" si="2"/>
        <v>30.6</v>
      </c>
      <c r="Y33" s="3">
        <f t="shared" si="3"/>
        <v>31.5</v>
      </c>
      <c r="Z33" s="2">
        <f t="shared" si="4"/>
        <v>34.25</v>
      </c>
      <c r="AA33" s="3">
        <f t="shared" si="5"/>
        <v>35.35</v>
      </c>
      <c r="AB33" s="3">
        <f t="shared" si="6"/>
        <v>37.4</v>
      </c>
      <c r="AC33" s="3">
        <f t="shared" si="7"/>
        <v>-3.6987407293050917E-2</v>
      </c>
      <c r="AD33" s="3">
        <f t="shared" si="8"/>
        <v>-1.2943979514811716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13.667999999999999</v>
      </c>
      <c r="J34" s="39">
        <v>38.299999999999997</v>
      </c>
      <c r="K34" s="39">
        <v>37.700000000000003</v>
      </c>
      <c r="L34" s="39">
        <v>33.200000000000003</v>
      </c>
      <c r="M34" s="39">
        <v>33.700000000000003</v>
      </c>
      <c r="N34" s="39">
        <v>38.299999999999997</v>
      </c>
      <c r="O34" s="39">
        <v>31.1</v>
      </c>
      <c r="P34" s="39">
        <v>37.9</v>
      </c>
      <c r="Q34" s="39">
        <v>36.700000000000003</v>
      </c>
      <c r="R34" s="39">
        <v>37.4</v>
      </c>
      <c r="S34" s="39">
        <v>32.700000000000003</v>
      </c>
      <c r="T34" s="39">
        <v>35.299999999999997</v>
      </c>
      <c r="U34" s="39">
        <v>30.9</v>
      </c>
      <c r="V34" s="5">
        <f t="shared" si="0"/>
        <v>35.266666666666659</v>
      </c>
      <c r="W34" s="4">
        <f t="shared" si="1"/>
        <v>0.81466979119571403</v>
      </c>
      <c r="X34" s="2">
        <f t="shared" si="2"/>
        <v>30.9</v>
      </c>
      <c r="Y34" s="3">
        <f t="shared" si="3"/>
        <v>33.075000000000003</v>
      </c>
      <c r="Z34" s="2">
        <f t="shared" si="4"/>
        <v>36</v>
      </c>
      <c r="AA34" s="3">
        <f t="shared" si="5"/>
        <v>37.75</v>
      </c>
      <c r="AB34" s="3">
        <f t="shared" si="6"/>
        <v>38.299999999999997</v>
      </c>
      <c r="AC34" s="3">
        <f t="shared" si="7"/>
        <v>-0.40789854490200866</v>
      </c>
      <c r="AD34" s="3">
        <f t="shared" si="8"/>
        <v>-1.524076466332537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13.651999999999999</v>
      </c>
      <c r="J35" s="39">
        <v>38.6</v>
      </c>
      <c r="K35" s="39">
        <v>36.700000000000003</v>
      </c>
      <c r="L35" s="39">
        <v>37.299999999999997</v>
      </c>
      <c r="M35" s="39">
        <v>36.1</v>
      </c>
      <c r="N35" s="39">
        <v>37.6</v>
      </c>
      <c r="O35" s="39">
        <v>32.799999999999997</v>
      </c>
      <c r="P35" s="39">
        <v>34.6</v>
      </c>
      <c r="Q35" s="39">
        <v>37.5</v>
      </c>
      <c r="R35" s="39">
        <v>32.5</v>
      </c>
      <c r="S35" s="39">
        <v>38.200000000000003</v>
      </c>
      <c r="T35" s="39">
        <v>34.5</v>
      </c>
      <c r="U35" s="39">
        <v>35</v>
      </c>
      <c r="V35" s="5">
        <f t="shared" si="0"/>
        <v>35.950000000000003</v>
      </c>
      <c r="W35" s="4">
        <f t="shared" si="1"/>
        <v>0.59205599653267871</v>
      </c>
      <c r="X35" s="2">
        <f t="shared" si="2"/>
        <v>32.5</v>
      </c>
      <c r="Y35" s="3">
        <f t="shared" si="3"/>
        <v>34.575000000000003</v>
      </c>
      <c r="Z35" s="2">
        <f t="shared" si="4"/>
        <v>36.400000000000006</v>
      </c>
      <c r="AA35" s="3">
        <f t="shared" si="5"/>
        <v>37.524999999999999</v>
      </c>
      <c r="AB35" s="3">
        <f t="shared" si="6"/>
        <v>38.6</v>
      </c>
      <c r="AC35" s="3">
        <f t="shared" si="7"/>
        <v>-0.4752600822243776</v>
      </c>
      <c r="AD35" s="3">
        <f t="shared" si="8"/>
        <v>-1.0013439344807789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13.635999999999999</v>
      </c>
      <c r="J36" s="39">
        <v>38.9</v>
      </c>
      <c r="K36" s="39">
        <v>35.6</v>
      </c>
      <c r="L36" s="39">
        <v>37.6</v>
      </c>
      <c r="M36" s="39">
        <v>31.6</v>
      </c>
      <c r="N36" s="39">
        <v>38.5</v>
      </c>
      <c r="O36" s="39">
        <v>31.5</v>
      </c>
      <c r="P36" s="39">
        <v>38.1</v>
      </c>
      <c r="Q36" s="39">
        <v>32.799999999999997</v>
      </c>
      <c r="R36" s="39">
        <v>31.4</v>
      </c>
      <c r="S36" s="39">
        <v>37.799999999999997</v>
      </c>
      <c r="T36" s="39">
        <v>35.6</v>
      </c>
      <c r="U36" s="39">
        <v>32.299999999999997</v>
      </c>
      <c r="V36" s="5">
        <f t="shared" si="0"/>
        <v>35.141666666666666</v>
      </c>
      <c r="W36" s="4">
        <f t="shared" si="1"/>
        <v>0.87494227803838021</v>
      </c>
      <c r="X36" s="2">
        <f t="shared" si="2"/>
        <v>31.4</v>
      </c>
      <c r="Y36" s="3">
        <f t="shared" si="3"/>
        <v>32.125</v>
      </c>
      <c r="Z36" s="2">
        <f t="shared" si="4"/>
        <v>35.6</v>
      </c>
      <c r="AA36" s="3">
        <f t="shared" si="5"/>
        <v>37.875</v>
      </c>
      <c r="AB36" s="3">
        <f t="shared" si="6"/>
        <v>38.9</v>
      </c>
      <c r="AC36" s="3">
        <f t="shared" si="7"/>
        <v>-0.11833140120899367</v>
      </c>
      <c r="AD36" s="3">
        <f t="shared" si="8"/>
        <v>-1.9525313578170027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13.619</v>
      </c>
      <c r="J37" s="39">
        <v>38.299999999999997</v>
      </c>
      <c r="K37" s="39">
        <v>38.200000000000003</v>
      </c>
      <c r="L37" s="39">
        <v>33.5</v>
      </c>
      <c r="M37" s="39">
        <v>36.4</v>
      </c>
      <c r="N37" s="39">
        <v>35.6</v>
      </c>
      <c r="O37" s="39">
        <v>30.9</v>
      </c>
      <c r="P37" s="39">
        <v>37.1</v>
      </c>
      <c r="Q37" s="39">
        <v>30.9</v>
      </c>
      <c r="R37" s="39">
        <v>37.6</v>
      </c>
      <c r="S37" s="39">
        <v>33.700000000000003</v>
      </c>
      <c r="T37" s="39">
        <v>36.799999999999997</v>
      </c>
      <c r="U37" s="39">
        <v>29.8</v>
      </c>
      <c r="V37" s="5">
        <f t="shared" si="0"/>
        <v>34.9</v>
      </c>
      <c r="W37" s="4">
        <f t="shared" si="1"/>
        <v>0.88051293590896806</v>
      </c>
      <c r="X37" s="2">
        <f t="shared" si="2"/>
        <v>29.8</v>
      </c>
      <c r="Y37" s="3">
        <f t="shared" si="3"/>
        <v>32.85</v>
      </c>
      <c r="Z37" s="2">
        <f t="shared" si="4"/>
        <v>36</v>
      </c>
      <c r="AA37" s="3">
        <f t="shared" si="5"/>
        <v>37.225000000000001</v>
      </c>
      <c r="AB37" s="3">
        <f t="shared" si="6"/>
        <v>38.299999999999997</v>
      </c>
      <c r="AC37" s="3">
        <f t="shared" si="7"/>
        <v>-0.57269045991967082</v>
      </c>
      <c r="AD37" s="3">
        <f t="shared" si="8"/>
        <v>-1.2269570405708201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13.602</v>
      </c>
      <c r="J38" s="39">
        <v>63.1</v>
      </c>
      <c r="K38" s="39">
        <v>42.3</v>
      </c>
      <c r="L38" s="39">
        <v>59.5</v>
      </c>
      <c r="M38" s="39">
        <v>58.5</v>
      </c>
      <c r="N38" s="39">
        <v>45</v>
      </c>
      <c r="O38" s="39">
        <v>54.1</v>
      </c>
      <c r="P38" s="39">
        <v>56.4</v>
      </c>
      <c r="Q38" s="39">
        <v>61.5</v>
      </c>
      <c r="R38" s="39">
        <v>48</v>
      </c>
      <c r="S38" s="39">
        <v>62.3</v>
      </c>
      <c r="T38" s="39">
        <v>49.1</v>
      </c>
      <c r="U38" s="39">
        <v>45.1</v>
      </c>
      <c r="V38" s="5">
        <f t="shared" si="0"/>
        <v>53.741666666666667</v>
      </c>
      <c r="W38" s="4">
        <f t="shared" si="1"/>
        <v>2.1681740094728421</v>
      </c>
      <c r="X38" s="2">
        <f t="shared" si="2"/>
        <v>42.3</v>
      </c>
      <c r="Y38" s="3">
        <f t="shared" si="3"/>
        <v>47.274999999999999</v>
      </c>
      <c r="Z38" s="2">
        <f t="shared" si="4"/>
        <v>55.25</v>
      </c>
      <c r="AA38" s="3">
        <f t="shared" si="5"/>
        <v>60</v>
      </c>
      <c r="AB38" s="3">
        <f t="shared" si="6"/>
        <v>63.1</v>
      </c>
      <c r="AC38" s="3">
        <f t="shared" si="7"/>
        <v>-0.22388853395561895</v>
      </c>
      <c r="AD38" s="3">
        <f t="shared" si="8"/>
        <v>-1.6354842737168021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13.585000000000001</v>
      </c>
      <c r="J39" s="39">
        <v>61.5</v>
      </c>
      <c r="K39" s="39">
        <v>58.3</v>
      </c>
      <c r="L39" s="39">
        <v>60.8</v>
      </c>
      <c r="M39" s="39">
        <v>51.6</v>
      </c>
      <c r="N39" s="39">
        <v>60.6</v>
      </c>
      <c r="O39" s="39">
        <v>51.8</v>
      </c>
      <c r="P39" s="39">
        <v>55</v>
      </c>
      <c r="Q39" s="39">
        <v>54.2</v>
      </c>
      <c r="R39" s="39">
        <v>58.8</v>
      </c>
      <c r="S39" s="39">
        <v>57.5</v>
      </c>
      <c r="T39" s="39">
        <v>62.5</v>
      </c>
      <c r="U39" s="39">
        <v>42.6</v>
      </c>
      <c r="V39" s="5">
        <f t="shared" si="0"/>
        <v>56.266666666666673</v>
      </c>
      <c r="W39" s="4">
        <f t="shared" si="1"/>
        <v>1.6330550164855704</v>
      </c>
      <c r="X39" s="2">
        <f t="shared" si="2"/>
        <v>42.6</v>
      </c>
      <c r="Y39" s="3">
        <f t="shared" si="3"/>
        <v>53.6</v>
      </c>
      <c r="Z39" s="2">
        <f t="shared" si="4"/>
        <v>57.9</v>
      </c>
      <c r="AA39" s="3">
        <f t="shared" si="5"/>
        <v>60.65</v>
      </c>
      <c r="AB39" s="3">
        <f t="shared" si="6"/>
        <v>62.5</v>
      </c>
      <c r="AC39" s="3">
        <f t="shared" si="7"/>
        <v>-1.3061720194621471</v>
      </c>
      <c r="AD39" s="3">
        <f t="shared" si="8"/>
        <v>1.9478501109631665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13.432</v>
      </c>
      <c r="J40" s="47">
        <v>51.1</v>
      </c>
      <c r="K40" s="47">
        <v>53</v>
      </c>
      <c r="L40" s="47">
        <v>49.6</v>
      </c>
      <c r="M40" s="47">
        <v>46.9</v>
      </c>
      <c r="N40" s="47">
        <v>53.1</v>
      </c>
      <c r="O40" s="47">
        <v>51.4</v>
      </c>
      <c r="P40" s="47">
        <v>54.1</v>
      </c>
      <c r="Q40" s="47">
        <v>52</v>
      </c>
      <c r="R40" s="47">
        <v>54.1</v>
      </c>
      <c r="S40" s="47">
        <v>53.1</v>
      </c>
      <c r="T40" s="47">
        <v>53.2</v>
      </c>
      <c r="U40" s="47">
        <v>51.3</v>
      </c>
      <c r="V40" s="49">
        <f t="shared" si="0"/>
        <v>51.908333333333331</v>
      </c>
      <c r="W40" s="48">
        <f t="shared" si="1"/>
        <v>0.59676632822659392</v>
      </c>
      <c r="X40" s="47">
        <f t="shared" si="2"/>
        <v>46.9</v>
      </c>
      <c r="Y40" s="46">
        <f t="shared" si="3"/>
        <v>51.25</v>
      </c>
      <c r="Z40" s="47">
        <f t="shared" si="4"/>
        <v>52.5</v>
      </c>
      <c r="AA40" s="46">
        <f t="shared" si="5"/>
        <v>53.125</v>
      </c>
      <c r="AB40" s="46">
        <f t="shared" si="6"/>
        <v>54.1</v>
      </c>
      <c r="AC40" s="46">
        <f t="shared" si="7"/>
        <v>-1.3695915010766782</v>
      </c>
      <c r="AD40" s="46">
        <f t="shared" si="8"/>
        <v>2.1148180122721962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13.416</v>
      </c>
      <c r="J41" s="39">
        <v>65.400000000000006</v>
      </c>
      <c r="K41" s="39">
        <v>59.7</v>
      </c>
      <c r="L41" s="39">
        <v>52.2</v>
      </c>
      <c r="M41" s="39">
        <v>54.8</v>
      </c>
      <c r="N41" s="39">
        <v>59.4</v>
      </c>
      <c r="O41" s="39">
        <v>46.8</v>
      </c>
      <c r="P41" s="39">
        <v>64.2</v>
      </c>
      <c r="Q41" s="39">
        <v>53</v>
      </c>
      <c r="R41" s="39">
        <v>57.1</v>
      </c>
      <c r="S41" s="39">
        <v>54.8</v>
      </c>
      <c r="T41" s="39">
        <v>63.2</v>
      </c>
      <c r="U41" s="39">
        <v>43</v>
      </c>
      <c r="V41" s="5">
        <f t="shared" si="0"/>
        <v>56.133333333333333</v>
      </c>
      <c r="W41" s="4">
        <f t="shared" si="1"/>
        <v>1.9726283548257584</v>
      </c>
      <c r="X41" s="2">
        <f t="shared" si="2"/>
        <v>43</v>
      </c>
      <c r="Y41" s="3">
        <f t="shared" si="3"/>
        <v>52.8</v>
      </c>
      <c r="Z41" s="2">
        <f t="shared" si="4"/>
        <v>55.95</v>
      </c>
      <c r="AA41" s="3">
        <f t="shared" si="5"/>
        <v>60.575000000000003</v>
      </c>
      <c r="AB41" s="3">
        <f t="shared" si="6"/>
        <v>65.400000000000006</v>
      </c>
      <c r="AC41" s="3">
        <f t="shared" si="7"/>
        <v>-0.48548279486608997</v>
      </c>
      <c r="AD41" s="3">
        <f t="shared" si="8"/>
        <v>-0.27108145577739196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13.409000000000001</v>
      </c>
      <c r="J42" s="47">
        <v>63</v>
      </c>
      <c r="K42" s="47">
        <v>64.5</v>
      </c>
      <c r="L42" s="47">
        <v>64.099999999999994</v>
      </c>
      <c r="M42" s="47">
        <v>61.3</v>
      </c>
      <c r="N42" s="47">
        <v>64.7</v>
      </c>
      <c r="O42" s="47">
        <v>63.6</v>
      </c>
      <c r="P42" s="47">
        <v>64.900000000000006</v>
      </c>
      <c r="Q42" s="47">
        <v>61.1</v>
      </c>
      <c r="R42" s="47">
        <v>64.099999999999994</v>
      </c>
      <c r="S42" s="47">
        <v>63.3</v>
      </c>
      <c r="T42" s="47">
        <v>64.2</v>
      </c>
      <c r="U42" s="47">
        <v>62.7</v>
      </c>
      <c r="V42" s="49">
        <f t="shared" ref="V42:V73" si="9">AVERAGE(J42:U42)</f>
        <v>63.458333333333343</v>
      </c>
      <c r="W42" s="48">
        <f t="shared" ref="W42:W73" si="10">STDEV(J42:U42)/SQRT(COUNT(J42:U42))</f>
        <v>0.36023105660313948</v>
      </c>
      <c r="X42" s="47">
        <f t="shared" ref="X42:X73" si="11">MIN(J42:U42)</f>
        <v>61.1</v>
      </c>
      <c r="Y42" s="46">
        <f t="shared" ref="Y42:Y73" si="12">QUARTILE(J42:U42,1)</f>
        <v>62.924999999999997</v>
      </c>
      <c r="Z42" s="47">
        <f t="shared" ref="Z42:Z73" si="13">MEDIAN(J42:U42)</f>
        <v>63.849999999999994</v>
      </c>
      <c r="AA42" s="46">
        <f t="shared" ref="AA42:AA73" si="14">QUARTILE(J42:U42,3)</f>
        <v>64.275000000000006</v>
      </c>
      <c r="AB42" s="46">
        <f t="shared" ref="AB42:AB73" si="15">MAX(J42:U42)</f>
        <v>64.900000000000006</v>
      </c>
      <c r="AC42" s="46">
        <f t="shared" ref="AC42:AC73" si="16">SKEW(J42:U42)</f>
        <v>-0.93905479002786063</v>
      </c>
      <c r="AD42" s="46">
        <f t="shared" ref="AD42:AD73" si="17">KURT(J42:U42)</f>
        <v>-3.5217555926855049E-2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13.394</v>
      </c>
      <c r="J43" s="39">
        <v>66.2</v>
      </c>
      <c r="K43" s="39">
        <v>61.3</v>
      </c>
      <c r="L43" s="39">
        <v>57.4</v>
      </c>
      <c r="M43" s="39">
        <v>51.1</v>
      </c>
      <c r="N43" s="39">
        <v>60</v>
      </c>
      <c r="O43" s="39">
        <v>46.5</v>
      </c>
      <c r="P43" s="39">
        <v>64.2</v>
      </c>
      <c r="Q43" s="39">
        <v>56.9</v>
      </c>
      <c r="R43" s="39">
        <v>45.7</v>
      </c>
      <c r="S43" s="39">
        <v>57.9</v>
      </c>
      <c r="T43" s="39">
        <v>59.1</v>
      </c>
      <c r="U43" s="39">
        <v>49.3</v>
      </c>
      <c r="V43" s="5">
        <f t="shared" si="9"/>
        <v>56.29999999999999</v>
      </c>
      <c r="W43" s="4">
        <f t="shared" si="10"/>
        <v>1.937508553255811</v>
      </c>
      <c r="X43" s="2">
        <f t="shared" si="11"/>
        <v>45.7</v>
      </c>
      <c r="Y43" s="3">
        <f t="shared" si="12"/>
        <v>50.65</v>
      </c>
      <c r="Z43" s="2">
        <f t="shared" si="13"/>
        <v>57.65</v>
      </c>
      <c r="AA43" s="3">
        <f t="shared" si="14"/>
        <v>60.325000000000003</v>
      </c>
      <c r="AB43" s="3">
        <f t="shared" si="15"/>
        <v>66.2</v>
      </c>
      <c r="AC43" s="3">
        <f t="shared" si="16"/>
        <v>-0.3424973866529013</v>
      </c>
      <c r="AD43" s="3">
        <f t="shared" si="17"/>
        <v>-0.97667203383952117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13.388</v>
      </c>
      <c r="J44" s="47">
        <v>50.3</v>
      </c>
      <c r="K44" s="47">
        <v>52.9</v>
      </c>
      <c r="L44" s="47">
        <v>52.2</v>
      </c>
      <c r="M44" s="47">
        <v>51.7</v>
      </c>
      <c r="N44" s="47">
        <v>51.1</v>
      </c>
      <c r="O44" s="47">
        <v>54.3</v>
      </c>
      <c r="P44" s="47">
        <v>51.3</v>
      </c>
      <c r="Q44" s="47">
        <v>51.9</v>
      </c>
      <c r="R44" s="47">
        <v>53.6</v>
      </c>
      <c r="S44" s="47">
        <v>51.6</v>
      </c>
      <c r="T44" s="47">
        <v>51.5</v>
      </c>
      <c r="U44" s="47">
        <v>52.9</v>
      </c>
      <c r="V44" s="49">
        <f t="shared" si="9"/>
        <v>52.108333333333327</v>
      </c>
      <c r="W44" s="48">
        <f t="shared" si="10"/>
        <v>0.3264729635966751</v>
      </c>
      <c r="X44" s="47">
        <f t="shared" si="11"/>
        <v>50.3</v>
      </c>
      <c r="Y44" s="46">
        <f t="shared" si="12"/>
        <v>51.45</v>
      </c>
      <c r="Z44" s="47">
        <f t="shared" si="13"/>
        <v>51.8</v>
      </c>
      <c r="AA44" s="46">
        <f t="shared" si="14"/>
        <v>52.9</v>
      </c>
      <c r="AB44" s="46">
        <f t="shared" si="15"/>
        <v>54.3</v>
      </c>
      <c r="AC44" s="46">
        <f t="shared" si="16"/>
        <v>0.52334542297489295</v>
      </c>
      <c r="AD44" s="46">
        <f t="shared" si="17"/>
        <v>-6.5067481426845486E-2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13.372999999999999</v>
      </c>
      <c r="J45" s="39">
        <v>65.7</v>
      </c>
      <c r="K45" s="39">
        <v>59</v>
      </c>
      <c r="L45" s="39">
        <v>55.9</v>
      </c>
      <c r="M45" s="39">
        <v>53.1</v>
      </c>
      <c r="N45" s="39">
        <v>56.9</v>
      </c>
      <c r="O45" s="39">
        <v>43.9</v>
      </c>
      <c r="P45" s="39">
        <v>63</v>
      </c>
      <c r="Q45" s="39">
        <v>50.5</v>
      </c>
      <c r="R45" s="39">
        <v>48.4</v>
      </c>
      <c r="S45" s="39">
        <v>52.4</v>
      </c>
      <c r="T45" s="39">
        <v>60</v>
      </c>
      <c r="U45" s="39">
        <v>46.4</v>
      </c>
      <c r="V45" s="5">
        <f t="shared" si="9"/>
        <v>54.599999999999994</v>
      </c>
      <c r="W45" s="4">
        <f t="shared" si="10"/>
        <v>1.933241899614305</v>
      </c>
      <c r="X45" s="2">
        <f t="shared" si="11"/>
        <v>43.9</v>
      </c>
      <c r="Y45" s="3">
        <f t="shared" si="12"/>
        <v>49.975000000000001</v>
      </c>
      <c r="Z45" s="2">
        <f t="shared" si="13"/>
        <v>54.5</v>
      </c>
      <c r="AA45" s="3">
        <f t="shared" si="14"/>
        <v>59.25</v>
      </c>
      <c r="AB45" s="3">
        <f t="shared" si="15"/>
        <v>65.7</v>
      </c>
      <c r="AC45" s="3">
        <f t="shared" si="16"/>
        <v>4.3463191190602241E-2</v>
      </c>
      <c r="AD45" s="3">
        <f t="shared" si="17"/>
        <v>-0.83446733369250348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13.365</v>
      </c>
      <c r="J46" s="47">
        <v>63.2</v>
      </c>
      <c r="K46" s="47">
        <v>65.400000000000006</v>
      </c>
      <c r="L46" s="47">
        <v>64.5</v>
      </c>
      <c r="M46" s="47">
        <v>64.900000000000006</v>
      </c>
      <c r="N46" s="47">
        <v>64.400000000000006</v>
      </c>
      <c r="O46" s="47">
        <v>64.2</v>
      </c>
      <c r="P46" s="47">
        <v>65.8</v>
      </c>
      <c r="Q46" s="47">
        <v>62.7</v>
      </c>
      <c r="R46" s="47">
        <v>66.099999999999994</v>
      </c>
      <c r="S46" s="47">
        <v>64.5</v>
      </c>
      <c r="T46" s="47">
        <v>65.5</v>
      </c>
      <c r="U46" s="47">
        <v>62.2</v>
      </c>
      <c r="V46" s="49">
        <f t="shared" si="9"/>
        <v>64.45</v>
      </c>
      <c r="W46" s="48">
        <f t="shared" si="10"/>
        <v>0.35366051175634133</v>
      </c>
      <c r="X46" s="47">
        <f t="shared" si="11"/>
        <v>62.2</v>
      </c>
      <c r="Y46" s="46">
        <f t="shared" si="12"/>
        <v>63.95</v>
      </c>
      <c r="Z46" s="47">
        <f t="shared" si="13"/>
        <v>64.5</v>
      </c>
      <c r="AA46" s="46">
        <f t="shared" si="14"/>
        <v>65.425000000000011</v>
      </c>
      <c r="AB46" s="46">
        <f t="shared" si="15"/>
        <v>66.099999999999994</v>
      </c>
      <c r="AC46" s="46">
        <f t="shared" si="16"/>
        <v>-0.57310487821585143</v>
      </c>
      <c r="AD46" s="46">
        <f t="shared" si="17"/>
        <v>-0.5178663690660672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13.35</v>
      </c>
      <c r="J47" s="39">
        <v>64.900000000000006</v>
      </c>
      <c r="K47" s="39">
        <v>57.6</v>
      </c>
      <c r="L47" s="39">
        <v>49.6</v>
      </c>
      <c r="M47" s="39">
        <v>57.6</v>
      </c>
      <c r="N47" s="39">
        <v>59.4</v>
      </c>
      <c r="O47" s="39">
        <v>38.6</v>
      </c>
      <c r="P47" s="39">
        <v>65.599999999999994</v>
      </c>
      <c r="Q47" s="39">
        <v>47.5</v>
      </c>
      <c r="R47" s="39">
        <v>58.2</v>
      </c>
      <c r="S47" s="39">
        <v>56.6</v>
      </c>
      <c r="T47" s="39">
        <v>62.9</v>
      </c>
      <c r="U47" s="39">
        <v>45.7</v>
      </c>
      <c r="V47" s="5">
        <f t="shared" si="9"/>
        <v>55.349999999999994</v>
      </c>
      <c r="W47" s="4">
        <f t="shared" si="10"/>
        <v>2.3960984701777019</v>
      </c>
      <c r="X47" s="2">
        <f t="shared" si="11"/>
        <v>38.6</v>
      </c>
      <c r="Y47" s="3">
        <f t="shared" si="12"/>
        <v>49.075000000000003</v>
      </c>
      <c r="Z47" s="2">
        <f t="shared" si="13"/>
        <v>57.6</v>
      </c>
      <c r="AA47" s="3">
        <f t="shared" si="14"/>
        <v>60.274999999999999</v>
      </c>
      <c r="AB47" s="3">
        <f t="shared" si="15"/>
        <v>65.599999999999994</v>
      </c>
      <c r="AC47" s="3">
        <f t="shared" si="16"/>
        <v>-0.72097302324930346</v>
      </c>
      <c r="AD47" s="3">
        <f t="shared" si="17"/>
        <v>-0.20657884298507101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13.106</v>
      </c>
      <c r="J48" s="39">
        <v>29.2</v>
      </c>
      <c r="K48" s="39">
        <v>31.1</v>
      </c>
      <c r="L48" s="39">
        <v>30.9</v>
      </c>
      <c r="M48" s="39">
        <v>30.7</v>
      </c>
      <c r="N48" s="39">
        <v>31.3</v>
      </c>
      <c r="O48" s="39">
        <v>30.7</v>
      </c>
      <c r="P48" s="39">
        <v>32.200000000000003</v>
      </c>
      <c r="Q48" s="39">
        <v>30.1</v>
      </c>
      <c r="R48" s="39">
        <v>31</v>
      </c>
      <c r="S48" s="39">
        <v>29.7</v>
      </c>
      <c r="T48" s="39">
        <v>29.8</v>
      </c>
      <c r="U48" s="39">
        <v>30.7</v>
      </c>
      <c r="V48" s="5">
        <f t="shared" si="9"/>
        <v>30.61666666666666</v>
      </c>
      <c r="W48" s="4">
        <f t="shared" si="10"/>
        <v>0.23414361473939968</v>
      </c>
      <c r="X48" s="2">
        <f t="shared" si="11"/>
        <v>29.2</v>
      </c>
      <c r="Y48" s="3">
        <f t="shared" si="12"/>
        <v>30.025000000000002</v>
      </c>
      <c r="Z48" s="2">
        <f t="shared" si="13"/>
        <v>30.7</v>
      </c>
      <c r="AA48" s="3">
        <f t="shared" si="14"/>
        <v>31.024999999999999</v>
      </c>
      <c r="AB48" s="3">
        <f t="shared" si="15"/>
        <v>32.200000000000003</v>
      </c>
      <c r="AC48" s="3">
        <f t="shared" si="16"/>
        <v>3.8048894015815946E-2</v>
      </c>
      <c r="AD48" s="3">
        <f t="shared" si="17"/>
        <v>0.27575470891474296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13.087</v>
      </c>
      <c r="J49" s="39">
        <v>29.2</v>
      </c>
      <c r="K49" s="39">
        <v>29.6</v>
      </c>
      <c r="L49" s="39">
        <v>30</v>
      </c>
      <c r="M49" s="39">
        <v>31.3</v>
      </c>
      <c r="N49" s="39">
        <v>29.6</v>
      </c>
      <c r="O49" s="39">
        <v>31</v>
      </c>
      <c r="P49" s="39">
        <v>30.4</v>
      </c>
      <c r="Q49" s="39">
        <v>29.9</v>
      </c>
      <c r="R49" s="39">
        <v>31.7</v>
      </c>
      <c r="S49" s="39">
        <v>30.1</v>
      </c>
      <c r="T49" s="39">
        <v>30.8</v>
      </c>
      <c r="U49" s="39">
        <v>30.4</v>
      </c>
      <c r="V49" s="5">
        <f t="shared" si="9"/>
        <v>30.333333333333332</v>
      </c>
      <c r="W49" s="4">
        <f t="shared" si="10"/>
        <v>0.21649177090293031</v>
      </c>
      <c r="X49" s="2">
        <f t="shared" si="11"/>
        <v>29.2</v>
      </c>
      <c r="Y49" s="3">
        <f t="shared" si="12"/>
        <v>29.824999999999999</v>
      </c>
      <c r="Z49" s="2">
        <f t="shared" si="13"/>
        <v>30.25</v>
      </c>
      <c r="AA49" s="3">
        <f t="shared" si="14"/>
        <v>30.85</v>
      </c>
      <c r="AB49" s="3">
        <f t="shared" si="15"/>
        <v>31.7</v>
      </c>
      <c r="AC49" s="3">
        <f t="shared" si="16"/>
        <v>0.38249702261039198</v>
      </c>
      <c r="AD49" s="3">
        <f t="shared" si="17"/>
        <v>-0.60328431554696538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13.07</v>
      </c>
      <c r="J50" s="39">
        <v>30.6</v>
      </c>
      <c r="K50" s="39">
        <v>31.6</v>
      </c>
      <c r="L50" s="39">
        <v>31.3</v>
      </c>
      <c r="M50" s="39">
        <v>29.9</v>
      </c>
      <c r="N50" s="39">
        <v>34.1</v>
      </c>
      <c r="O50" s="39">
        <v>29.6</v>
      </c>
      <c r="P50" s="39">
        <v>29.9</v>
      </c>
      <c r="Q50" s="39">
        <v>31</v>
      </c>
      <c r="R50" s="39">
        <v>31</v>
      </c>
      <c r="S50" s="39">
        <v>30.5</v>
      </c>
      <c r="T50" s="39">
        <v>30.8</v>
      </c>
      <c r="U50" s="39">
        <v>31.7</v>
      </c>
      <c r="V50" s="5">
        <f t="shared" si="9"/>
        <v>31</v>
      </c>
      <c r="W50" s="4">
        <f t="shared" si="10"/>
        <v>0.34134315800254672</v>
      </c>
      <c r="X50" s="2">
        <f t="shared" si="11"/>
        <v>29.6</v>
      </c>
      <c r="Y50" s="3">
        <f t="shared" si="12"/>
        <v>30.35</v>
      </c>
      <c r="Z50" s="2">
        <f t="shared" si="13"/>
        <v>30.9</v>
      </c>
      <c r="AA50" s="3">
        <f t="shared" si="14"/>
        <v>31.375</v>
      </c>
      <c r="AB50" s="3">
        <f t="shared" si="15"/>
        <v>34.1</v>
      </c>
      <c r="AC50" s="3">
        <f t="shared" si="16"/>
        <v>1.6347043514691006</v>
      </c>
      <c r="AD50" s="3">
        <f t="shared" si="17"/>
        <v>3.9940724870257007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13.052</v>
      </c>
      <c r="J51" s="39">
        <v>32.700000000000003</v>
      </c>
      <c r="K51" s="39">
        <v>33.6</v>
      </c>
      <c r="L51" s="39">
        <v>33.200000000000003</v>
      </c>
      <c r="M51" s="39">
        <v>32.9</v>
      </c>
      <c r="N51" s="39">
        <v>33.1</v>
      </c>
      <c r="O51" s="39">
        <v>34.200000000000003</v>
      </c>
      <c r="P51" s="39">
        <v>31.7</v>
      </c>
      <c r="Q51" s="39">
        <v>34.5</v>
      </c>
      <c r="R51" s="39">
        <v>32.9</v>
      </c>
      <c r="S51" s="39">
        <v>32.9</v>
      </c>
      <c r="T51" s="39">
        <v>33.9</v>
      </c>
      <c r="U51" s="39">
        <v>35.6</v>
      </c>
      <c r="V51" s="5">
        <f t="shared" si="9"/>
        <v>33.43333333333333</v>
      </c>
      <c r="W51" s="4">
        <f t="shared" si="10"/>
        <v>0.29163419732689982</v>
      </c>
      <c r="X51" s="2">
        <f t="shared" si="11"/>
        <v>31.7</v>
      </c>
      <c r="Y51" s="3">
        <f t="shared" si="12"/>
        <v>32.9</v>
      </c>
      <c r="Z51" s="2">
        <f t="shared" si="13"/>
        <v>33.150000000000006</v>
      </c>
      <c r="AA51" s="3">
        <f t="shared" si="14"/>
        <v>33.975000000000001</v>
      </c>
      <c r="AB51" s="3">
        <f t="shared" si="15"/>
        <v>35.6</v>
      </c>
      <c r="AC51" s="3">
        <f t="shared" si="16"/>
        <v>0.61735353154923811</v>
      </c>
      <c r="AD51" s="3">
        <f t="shared" si="17"/>
        <v>1.0041865313330565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13.034000000000001</v>
      </c>
      <c r="J52" s="39">
        <v>29.1</v>
      </c>
      <c r="K52" s="39">
        <v>30.7</v>
      </c>
      <c r="L52" s="39">
        <v>31.6</v>
      </c>
      <c r="M52" s="39">
        <v>29.7</v>
      </c>
      <c r="N52" s="39">
        <v>30.9</v>
      </c>
      <c r="O52" s="39">
        <v>29.4</v>
      </c>
      <c r="P52" s="39">
        <v>29.8</v>
      </c>
      <c r="Q52" s="39">
        <v>30.5</v>
      </c>
      <c r="R52" s="39">
        <v>31.1</v>
      </c>
      <c r="S52" s="39">
        <v>30.7</v>
      </c>
      <c r="T52" s="39">
        <v>29.5</v>
      </c>
      <c r="U52" s="39">
        <v>28.9</v>
      </c>
      <c r="V52" s="5">
        <f t="shared" si="9"/>
        <v>30.158333333333331</v>
      </c>
      <c r="W52" s="4">
        <f t="shared" si="10"/>
        <v>0.25029023556703545</v>
      </c>
      <c r="X52" s="2">
        <f t="shared" si="11"/>
        <v>28.9</v>
      </c>
      <c r="Y52" s="3">
        <f t="shared" si="12"/>
        <v>29.475000000000001</v>
      </c>
      <c r="Z52" s="2">
        <f t="shared" si="13"/>
        <v>30.15</v>
      </c>
      <c r="AA52" s="3">
        <f t="shared" si="14"/>
        <v>30.75</v>
      </c>
      <c r="AB52" s="3">
        <f t="shared" si="15"/>
        <v>31.6</v>
      </c>
      <c r="AC52" s="3">
        <f t="shared" si="16"/>
        <v>9.2977934099489373E-2</v>
      </c>
      <c r="AD52" s="3">
        <f t="shared" si="17"/>
        <v>-1.2629950244007722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13.016</v>
      </c>
      <c r="J53" s="39">
        <v>31.8</v>
      </c>
      <c r="K53" s="39">
        <v>31.9</v>
      </c>
      <c r="L53" s="39">
        <v>32.700000000000003</v>
      </c>
      <c r="M53" s="39">
        <v>31.5</v>
      </c>
      <c r="N53" s="39">
        <v>32.5</v>
      </c>
      <c r="O53" s="39">
        <v>33.700000000000003</v>
      </c>
      <c r="P53" s="39">
        <v>31.5</v>
      </c>
      <c r="Q53" s="39">
        <v>34</v>
      </c>
      <c r="R53" s="39">
        <v>33.4</v>
      </c>
      <c r="S53" s="39">
        <v>34</v>
      </c>
      <c r="T53" s="39">
        <v>32.700000000000003</v>
      </c>
      <c r="U53" s="39">
        <v>31.1</v>
      </c>
      <c r="V53" s="5">
        <f t="shared" si="9"/>
        <v>32.56666666666667</v>
      </c>
      <c r="W53" s="4">
        <f t="shared" si="10"/>
        <v>0.29627314724385301</v>
      </c>
      <c r="X53" s="2">
        <f t="shared" si="11"/>
        <v>31.1</v>
      </c>
      <c r="Y53" s="3">
        <f t="shared" si="12"/>
        <v>31.725000000000001</v>
      </c>
      <c r="Z53" s="2">
        <f t="shared" si="13"/>
        <v>32.6</v>
      </c>
      <c r="AA53" s="3">
        <f t="shared" si="14"/>
        <v>33.475000000000001</v>
      </c>
      <c r="AB53" s="3">
        <f t="shared" si="15"/>
        <v>34</v>
      </c>
      <c r="AC53" s="3">
        <f t="shared" si="16"/>
        <v>0.16136838775075746</v>
      </c>
      <c r="AD53" s="3">
        <f t="shared" si="17"/>
        <v>-1.4295523735998068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12.997999999999999</v>
      </c>
      <c r="J54" s="39">
        <v>33</v>
      </c>
      <c r="K54" s="39">
        <v>36</v>
      </c>
      <c r="L54" s="39">
        <v>33</v>
      </c>
      <c r="M54" s="39">
        <v>34.9</v>
      </c>
      <c r="N54" s="39">
        <v>32.799999999999997</v>
      </c>
      <c r="O54" s="39">
        <v>32.1</v>
      </c>
      <c r="P54" s="39">
        <v>32.9</v>
      </c>
      <c r="Q54" s="39">
        <v>31.9</v>
      </c>
      <c r="R54" s="39">
        <v>33.4</v>
      </c>
      <c r="S54" s="39">
        <v>35.200000000000003</v>
      </c>
      <c r="T54" s="39">
        <v>33.5</v>
      </c>
      <c r="U54" s="39">
        <v>32.6</v>
      </c>
      <c r="V54" s="5">
        <f t="shared" si="9"/>
        <v>33.441666666666663</v>
      </c>
      <c r="W54" s="4">
        <f t="shared" si="10"/>
        <v>0.36669249220345917</v>
      </c>
      <c r="X54" s="2">
        <f t="shared" si="11"/>
        <v>31.9</v>
      </c>
      <c r="Y54" s="3">
        <f t="shared" si="12"/>
        <v>32.75</v>
      </c>
      <c r="Z54" s="2">
        <f t="shared" si="13"/>
        <v>33</v>
      </c>
      <c r="AA54" s="3">
        <f t="shared" si="14"/>
        <v>33.85</v>
      </c>
      <c r="AB54" s="3">
        <f t="shared" si="15"/>
        <v>36</v>
      </c>
      <c r="AC54" s="3">
        <f t="shared" si="16"/>
        <v>0.95865023907485503</v>
      </c>
      <c r="AD54" s="3">
        <f t="shared" si="17"/>
        <v>5.3481183739378935E-5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12.983000000000001</v>
      </c>
      <c r="J55" s="39">
        <v>30.6</v>
      </c>
      <c r="K55" s="39">
        <v>31.7</v>
      </c>
      <c r="L55" s="39">
        <v>29.6</v>
      </c>
      <c r="M55" s="39">
        <v>31.4</v>
      </c>
      <c r="N55" s="39">
        <v>30.1</v>
      </c>
      <c r="O55" s="39">
        <v>30.8</v>
      </c>
      <c r="P55" s="39">
        <v>30.6</v>
      </c>
      <c r="Q55" s="39">
        <v>30.9</v>
      </c>
      <c r="R55" s="39">
        <v>32</v>
      </c>
      <c r="S55" s="39">
        <v>30</v>
      </c>
      <c r="T55" s="39">
        <v>32.799999999999997</v>
      </c>
      <c r="U55" s="39">
        <v>30.9</v>
      </c>
      <c r="V55" s="5">
        <f t="shared" si="9"/>
        <v>30.950000000000003</v>
      </c>
      <c r="W55" s="4">
        <f t="shared" si="10"/>
        <v>0.26126150837346018</v>
      </c>
      <c r="X55" s="2">
        <f t="shared" si="11"/>
        <v>29.6</v>
      </c>
      <c r="Y55" s="3">
        <f t="shared" si="12"/>
        <v>30.475000000000001</v>
      </c>
      <c r="Z55" s="2">
        <f t="shared" si="13"/>
        <v>30.85</v>
      </c>
      <c r="AA55" s="3">
        <f t="shared" si="14"/>
        <v>31.474999999999998</v>
      </c>
      <c r="AB55" s="3">
        <f t="shared" si="15"/>
        <v>32.799999999999997</v>
      </c>
      <c r="AC55" s="3">
        <f t="shared" si="16"/>
        <v>0.58584480039863329</v>
      </c>
      <c r="AD55" s="3">
        <f t="shared" si="17"/>
        <v>0.18842614548802228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13.132999999999999</v>
      </c>
      <c r="J56" s="39">
        <v>31</v>
      </c>
      <c r="K56" s="39">
        <v>30</v>
      </c>
      <c r="L56" s="39">
        <v>30.5</v>
      </c>
      <c r="M56" s="39">
        <v>29.9</v>
      </c>
      <c r="N56" s="39">
        <v>30.4</v>
      </c>
      <c r="O56" s="39">
        <v>31</v>
      </c>
      <c r="P56" s="39">
        <v>30.9</v>
      </c>
      <c r="Q56" s="39">
        <v>29.5</v>
      </c>
      <c r="R56" s="39">
        <v>30.8</v>
      </c>
      <c r="S56" s="39">
        <v>29.7</v>
      </c>
      <c r="T56" s="39">
        <v>32.1</v>
      </c>
      <c r="U56" s="39">
        <v>32.799999999999997</v>
      </c>
      <c r="V56" s="5">
        <f t="shared" si="9"/>
        <v>30.716666666666669</v>
      </c>
      <c r="W56" s="4">
        <f t="shared" si="10"/>
        <v>0.27929384258348855</v>
      </c>
      <c r="X56" s="2">
        <f t="shared" si="11"/>
        <v>29.5</v>
      </c>
      <c r="Y56" s="3">
        <f t="shared" si="12"/>
        <v>29.975000000000001</v>
      </c>
      <c r="Z56" s="2">
        <f t="shared" si="13"/>
        <v>30.65</v>
      </c>
      <c r="AA56" s="3">
        <f t="shared" si="14"/>
        <v>31</v>
      </c>
      <c r="AB56" s="3">
        <f t="shared" si="15"/>
        <v>32.799999999999997</v>
      </c>
      <c r="AC56" s="3">
        <f t="shared" si="16"/>
        <v>0.95584092362365947</v>
      </c>
      <c r="AD56" s="3">
        <f t="shared" si="17"/>
        <v>0.7313721000205069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13.15</v>
      </c>
      <c r="J57" s="39">
        <v>32.1</v>
      </c>
      <c r="K57" s="39">
        <v>34.799999999999997</v>
      </c>
      <c r="L57" s="39">
        <v>33.6</v>
      </c>
      <c r="M57" s="39">
        <v>33.799999999999997</v>
      </c>
      <c r="N57" s="39">
        <v>35.1</v>
      </c>
      <c r="O57" s="39">
        <v>34.799999999999997</v>
      </c>
      <c r="P57" s="39">
        <v>33.4</v>
      </c>
      <c r="Q57" s="39">
        <v>35.299999999999997</v>
      </c>
      <c r="R57" s="39">
        <v>33.799999999999997</v>
      </c>
      <c r="S57" s="39">
        <v>34.299999999999997</v>
      </c>
      <c r="T57" s="39">
        <v>35.799999999999997</v>
      </c>
      <c r="U57" s="39">
        <v>36.1</v>
      </c>
      <c r="V57" s="5">
        <f t="shared" si="9"/>
        <v>34.408333333333339</v>
      </c>
      <c r="W57" s="4">
        <f t="shared" si="10"/>
        <v>0.32716836860268345</v>
      </c>
      <c r="X57" s="2">
        <f t="shared" si="11"/>
        <v>32.1</v>
      </c>
      <c r="Y57" s="3">
        <f t="shared" si="12"/>
        <v>33.75</v>
      </c>
      <c r="Z57" s="2">
        <f t="shared" si="13"/>
        <v>34.549999999999997</v>
      </c>
      <c r="AA57" s="3">
        <f t="shared" si="14"/>
        <v>35.15</v>
      </c>
      <c r="AB57" s="3">
        <f t="shared" si="15"/>
        <v>36.1</v>
      </c>
      <c r="AC57" s="3">
        <f t="shared" si="16"/>
        <v>-0.420270644493628</v>
      </c>
      <c r="AD57" s="3">
        <f t="shared" si="17"/>
        <v>7.1155887951195318E-2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13.167999999999999</v>
      </c>
      <c r="J58" s="39">
        <v>31.4</v>
      </c>
      <c r="K58" s="39">
        <v>29</v>
      </c>
      <c r="L58" s="39">
        <v>31.6</v>
      </c>
      <c r="M58" s="39">
        <v>30.8</v>
      </c>
      <c r="N58" s="39">
        <v>30.2</v>
      </c>
      <c r="O58" s="39">
        <v>30.8</v>
      </c>
      <c r="P58" s="39">
        <v>30.8</v>
      </c>
      <c r="Q58" s="39">
        <v>30.8</v>
      </c>
      <c r="R58" s="39">
        <v>29.9</v>
      </c>
      <c r="S58" s="39">
        <v>30.6</v>
      </c>
      <c r="T58" s="39">
        <v>29.8</v>
      </c>
      <c r="U58" s="39">
        <v>30.1</v>
      </c>
      <c r="V58" s="5">
        <f t="shared" si="9"/>
        <v>30.483333333333338</v>
      </c>
      <c r="W58" s="4">
        <f t="shared" si="10"/>
        <v>0.20846965237078513</v>
      </c>
      <c r="X58" s="2">
        <f t="shared" si="11"/>
        <v>29</v>
      </c>
      <c r="Y58" s="3">
        <f t="shared" si="12"/>
        <v>30.05</v>
      </c>
      <c r="Z58" s="2">
        <f t="shared" si="13"/>
        <v>30.700000000000003</v>
      </c>
      <c r="AA58" s="3">
        <f t="shared" si="14"/>
        <v>30.8</v>
      </c>
      <c r="AB58" s="3">
        <f t="shared" si="15"/>
        <v>31.6</v>
      </c>
      <c r="AC58" s="3">
        <f t="shared" si="16"/>
        <v>-0.45450834650678257</v>
      </c>
      <c r="AD58" s="3">
        <f t="shared" si="17"/>
        <v>0.31450398586555917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13.185</v>
      </c>
      <c r="J59" s="39">
        <v>30</v>
      </c>
      <c r="K59" s="39">
        <v>30.2</v>
      </c>
      <c r="L59" s="39">
        <v>29.7</v>
      </c>
      <c r="M59" s="39">
        <v>29.6</v>
      </c>
      <c r="N59" s="39">
        <v>30.7</v>
      </c>
      <c r="O59" s="39">
        <v>29.3</v>
      </c>
      <c r="P59" s="39">
        <v>29.3</v>
      </c>
      <c r="Q59" s="39">
        <v>30.6</v>
      </c>
      <c r="R59" s="39">
        <v>30.3</v>
      </c>
      <c r="S59" s="39">
        <v>29.6</v>
      </c>
      <c r="T59" s="39">
        <v>29.5</v>
      </c>
      <c r="U59" s="39">
        <v>28.3</v>
      </c>
      <c r="V59" s="5">
        <f t="shared" si="9"/>
        <v>29.758333333333336</v>
      </c>
      <c r="W59" s="4">
        <f t="shared" si="10"/>
        <v>0.19087451586862189</v>
      </c>
      <c r="X59" s="2">
        <f t="shared" si="11"/>
        <v>28.3</v>
      </c>
      <c r="Y59" s="3">
        <f t="shared" si="12"/>
        <v>29.45</v>
      </c>
      <c r="Z59" s="2">
        <f t="shared" si="13"/>
        <v>29.65</v>
      </c>
      <c r="AA59" s="3">
        <f t="shared" si="14"/>
        <v>30.225000000000001</v>
      </c>
      <c r="AB59" s="3">
        <f t="shared" si="15"/>
        <v>30.7</v>
      </c>
      <c r="AC59" s="3">
        <f t="shared" si="16"/>
        <v>-0.61473823763285085</v>
      </c>
      <c r="AD59" s="3">
        <f t="shared" si="17"/>
        <v>0.93996754366784163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13.202</v>
      </c>
      <c r="J60" s="39">
        <v>28</v>
      </c>
      <c r="K60" s="39">
        <v>28.8</v>
      </c>
      <c r="L60" s="39">
        <v>29.7</v>
      </c>
      <c r="M60" s="39">
        <v>28.7</v>
      </c>
      <c r="N60" s="39">
        <v>27.9</v>
      </c>
      <c r="O60" s="39">
        <v>28.1</v>
      </c>
      <c r="P60" s="39">
        <v>28.9</v>
      </c>
      <c r="Q60" s="39">
        <v>28.1</v>
      </c>
      <c r="R60" s="39">
        <v>28.4</v>
      </c>
      <c r="S60" s="39">
        <v>28.7</v>
      </c>
      <c r="T60" s="39">
        <v>28.5</v>
      </c>
      <c r="U60" s="39">
        <v>27.9</v>
      </c>
      <c r="V60" s="5">
        <f t="shared" si="9"/>
        <v>28.474999999999994</v>
      </c>
      <c r="W60" s="4">
        <f t="shared" si="10"/>
        <v>0.15231794896123557</v>
      </c>
      <c r="X60" s="2">
        <f t="shared" si="11"/>
        <v>27.9</v>
      </c>
      <c r="Y60" s="3">
        <f t="shared" si="12"/>
        <v>28.075000000000003</v>
      </c>
      <c r="Z60" s="2">
        <f t="shared" si="13"/>
        <v>28.45</v>
      </c>
      <c r="AA60" s="3">
        <f t="shared" si="14"/>
        <v>28.725000000000001</v>
      </c>
      <c r="AB60" s="3">
        <f t="shared" si="15"/>
        <v>29.7</v>
      </c>
      <c r="AC60" s="3">
        <f t="shared" si="16"/>
        <v>1.0239726104931548</v>
      </c>
      <c r="AD60" s="3">
        <f t="shared" si="17"/>
        <v>1.2724093849785394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13.22</v>
      </c>
      <c r="J61" s="39">
        <v>31.3</v>
      </c>
      <c r="K61" s="39">
        <v>33</v>
      </c>
      <c r="L61" s="39">
        <v>30.6</v>
      </c>
      <c r="M61" s="39">
        <v>33</v>
      </c>
      <c r="N61" s="39">
        <v>29.8</v>
      </c>
      <c r="O61" s="39">
        <v>30.6</v>
      </c>
      <c r="P61" s="39">
        <v>31.5</v>
      </c>
      <c r="Q61" s="39">
        <v>30.7</v>
      </c>
      <c r="R61" s="39">
        <v>30.4</v>
      </c>
      <c r="S61" s="39">
        <v>30.6</v>
      </c>
      <c r="T61" s="39">
        <v>29.1</v>
      </c>
      <c r="U61" s="39">
        <v>31.2</v>
      </c>
      <c r="V61" s="5">
        <f t="shared" si="9"/>
        <v>30.983333333333334</v>
      </c>
      <c r="W61" s="4">
        <f t="shared" si="10"/>
        <v>0.32979179229117606</v>
      </c>
      <c r="X61" s="2">
        <f t="shared" si="11"/>
        <v>29.1</v>
      </c>
      <c r="Y61" s="3">
        <f t="shared" si="12"/>
        <v>30.55</v>
      </c>
      <c r="Z61" s="2">
        <f t="shared" si="13"/>
        <v>30.65</v>
      </c>
      <c r="AA61" s="3">
        <f t="shared" si="14"/>
        <v>31.35</v>
      </c>
      <c r="AB61" s="3">
        <f t="shared" si="15"/>
        <v>33</v>
      </c>
      <c r="AC61" s="3">
        <f t="shared" si="16"/>
        <v>0.57476788673735357</v>
      </c>
      <c r="AD61" s="3">
        <f t="shared" si="17"/>
        <v>0.39695816482031976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13.238</v>
      </c>
      <c r="J62" s="39">
        <v>29.1</v>
      </c>
      <c r="K62" s="39">
        <v>28.8</v>
      </c>
      <c r="L62" s="39">
        <v>29.8</v>
      </c>
      <c r="M62" s="39">
        <v>29.3</v>
      </c>
      <c r="N62" s="39">
        <v>28.8</v>
      </c>
      <c r="O62" s="39">
        <v>30</v>
      </c>
      <c r="P62" s="39">
        <v>30.8</v>
      </c>
      <c r="Q62" s="39">
        <v>29.9</v>
      </c>
      <c r="R62" s="39">
        <v>29.2</v>
      </c>
      <c r="S62" s="39">
        <v>30.6</v>
      </c>
      <c r="T62" s="39">
        <v>30</v>
      </c>
      <c r="U62" s="39">
        <v>30.7</v>
      </c>
      <c r="V62" s="5">
        <f t="shared" si="9"/>
        <v>29.750000000000004</v>
      </c>
      <c r="W62" s="4">
        <f t="shared" si="10"/>
        <v>0.20615528128088301</v>
      </c>
      <c r="X62" s="2">
        <f t="shared" si="11"/>
        <v>28.8</v>
      </c>
      <c r="Y62" s="3">
        <f t="shared" si="12"/>
        <v>29.175000000000001</v>
      </c>
      <c r="Z62" s="2">
        <f t="shared" si="13"/>
        <v>29.85</v>
      </c>
      <c r="AA62" s="3">
        <f t="shared" si="14"/>
        <v>30.15</v>
      </c>
      <c r="AB62" s="3">
        <f t="shared" si="15"/>
        <v>30.8</v>
      </c>
      <c r="AC62" s="3">
        <f t="shared" si="16"/>
        <v>0.12490198824376672</v>
      </c>
      <c r="AD62" s="3">
        <f t="shared" si="17"/>
        <v>-1.3068819684736668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13.336</v>
      </c>
      <c r="J63" s="39">
        <v>30.1</v>
      </c>
      <c r="K63" s="39">
        <v>28.2</v>
      </c>
      <c r="L63" s="39">
        <v>29.9</v>
      </c>
      <c r="M63" s="39">
        <v>29.8</v>
      </c>
      <c r="N63" s="39">
        <v>29.8</v>
      </c>
      <c r="O63" s="39">
        <v>27.7</v>
      </c>
      <c r="P63" s="39">
        <v>28</v>
      </c>
      <c r="Q63" s="39">
        <v>29.2</v>
      </c>
      <c r="R63" s="39">
        <v>30.2</v>
      </c>
      <c r="S63" s="39">
        <v>29.6</v>
      </c>
      <c r="T63" s="39">
        <v>28.6</v>
      </c>
      <c r="U63" s="39">
        <v>28.8</v>
      </c>
      <c r="V63" s="5">
        <f t="shared" si="9"/>
        <v>29.158333333333335</v>
      </c>
      <c r="W63" s="4">
        <f t="shared" si="10"/>
        <v>0.25179908216230218</v>
      </c>
      <c r="X63" s="2">
        <f t="shared" si="11"/>
        <v>27.7</v>
      </c>
      <c r="Y63" s="3">
        <f t="shared" si="12"/>
        <v>28.5</v>
      </c>
      <c r="Z63" s="2">
        <f t="shared" si="13"/>
        <v>29.4</v>
      </c>
      <c r="AA63" s="3">
        <f t="shared" si="14"/>
        <v>29.824999999999999</v>
      </c>
      <c r="AB63" s="3">
        <f t="shared" si="15"/>
        <v>30.2</v>
      </c>
      <c r="AC63" s="3">
        <f t="shared" si="16"/>
        <v>-0.455007096635349</v>
      </c>
      <c r="AD63" s="3">
        <f t="shared" si="17"/>
        <v>-1.3319492883776038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13.451000000000001</v>
      </c>
      <c r="J64" s="39">
        <v>32.299999999999997</v>
      </c>
      <c r="K64" s="39">
        <v>32.5</v>
      </c>
      <c r="L64" s="39">
        <v>32</v>
      </c>
      <c r="M64" s="39">
        <v>33.700000000000003</v>
      </c>
      <c r="N64" s="39">
        <v>32.299999999999997</v>
      </c>
      <c r="O64" s="39">
        <v>31.6</v>
      </c>
      <c r="P64" s="39">
        <v>32.5</v>
      </c>
      <c r="Q64" s="39">
        <v>33.200000000000003</v>
      </c>
      <c r="R64" s="39">
        <v>34.700000000000003</v>
      </c>
      <c r="S64" s="39">
        <v>31.9</v>
      </c>
      <c r="T64" s="39">
        <v>33.6</v>
      </c>
      <c r="U64" s="39">
        <v>32.299999999999997</v>
      </c>
      <c r="V64" s="5">
        <f t="shared" si="9"/>
        <v>32.716666666666669</v>
      </c>
      <c r="W64" s="4">
        <f t="shared" si="10"/>
        <v>0.2604871116841207</v>
      </c>
      <c r="X64" s="2">
        <f t="shared" si="11"/>
        <v>31.6</v>
      </c>
      <c r="Y64" s="3">
        <f t="shared" si="12"/>
        <v>32.224999999999994</v>
      </c>
      <c r="Z64" s="2">
        <f t="shared" si="13"/>
        <v>32.4</v>
      </c>
      <c r="AA64" s="3">
        <f t="shared" si="14"/>
        <v>33.300000000000004</v>
      </c>
      <c r="AB64" s="3">
        <f t="shared" si="15"/>
        <v>34.700000000000003</v>
      </c>
      <c r="AC64" s="3">
        <f t="shared" si="16"/>
        <v>1.0411343137021107</v>
      </c>
      <c r="AD64" s="3">
        <f t="shared" si="17"/>
        <v>0.58467475414366543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13.468</v>
      </c>
      <c r="J65" s="39">
        <v>29</v>
      </c>
      <c r="K65" s="39">
        <v>29.3</v>
      </c>
      <c r="L65" s="39">
        <v>29.7</v>
      </c>
      <c r="M65" s="39">
        <v>29.7</v>
      </c>
      <c r="N65" s="39">
        <v>29.7</v>
      </c>
      <c r="O65" s="39">
        <v>29.8</v>
      </c>
      <c r="P65" s="39">
        <v>29.9</v>
      </c>
      <c r="Q65" s="39">
        <v>30</v>
      </c>
      <c r="R65" s="39">
        <v>30.6</v>
      </c>
      <c r="S65" s="39">
        <v>28.6</v>
      </c>
      <c r="T65" s="39">
        <v>31</v>
      </c>
      <c r="U65" s="39">
        <v>31.4</v>
      </c>
      <c r="V65" s="5">
        <f t="shared" si="9"/>
        <v>29.891666666666669</v>
      </c>
      <c r="W65" s="4">
        <f t="shared" si="10"/>
        <v>0.22944542274842175</v>
      </c>
      <c r="X65" s="2">
        <f t="shared" si="11"/>
        <v>28.6</v>
      </c>
      <c r="Y65" s="3">
        <f t="shared" si="12"/>
        <v>29.6</v>
      </c>
      <c r="Z65" s="2">
        <f t="shared" si="13"/>
        <v>29.75</v>
      </c>
      <c r="AA65" s="3">
        <f t="shared" si="14"/>
        <v>30.15</v>
      </c>
      <c r="AB65" s="3">
        <f t="shared" si="15"/>
        <v>31.4</v>
      </c>
      <c r="AC65" s="3">
        <f t="shared" si="16"/>
        <v>0.44684517230014659</v>
      </c>
      <c r="AD65" s="3">
        <f t="shared" si="17"/>
        <v>0.10414646497030322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13.484</v>
      </c>
      <c r="J66" s="39">
        <v>33.299999999999997</v>
      </c>
      <c r="K66" s="39">
        <v>31.5</v>
      </c>
      <c r="L66" s="39">
        <v>31.3</v>
      </c>
      <c r="M66" s="39">
        <v>30.6</v>
      </c>
      <c r="N66" s="39">
        <v>30</v>
      </c>
      <c r="O66" s="39">
        <v>31.8</v>
      </c>
      <c r="P66" s="39">
        <v>31.3</v>
      </c>
      <c r="Q66" s="39">
        <v>31.7</v>
      </c>
      <c r="R66" s="39">
        <v>32</v>
      </c>
      <c r="S66" s="39">
        <v>31.7</v>
      </c>
      <c r="T66" s="39">
        <v>31.1</v>
      </c>
      <c r="U66" s="39">
        <v>32.6</v>
      </c>
      <c r="V66" s="5">
        <f t="shared" si="9"/>
        <v>31.575000000000003</v>
      </c>
      <c r="W66" s="4">
        <f t="shared" si="10"/>
        <v>0.24775507211271314</v>
      </c>
      <c r="X66" s="2">
        <f t="shared" si="11"/>
        <v>30</v>
      </c>
      <c r="Y66" s="3">
        <f t="shared" si="12"/>
        <v>31.25</v>
      </c>
      <c r="Z66" s="2">
        <f t="shared" si="13"/>
        <v>31.6</v>
      </c>
      <c r="AA66" s="3">
        <f t="shared" si="14"/>
        <v>31.85</v>
      </c>
      <c r="AB66" s="3">
        <f t="shared" si="15"/>
        <v>33.299999999999997</v>
      </c>
      <c r="AC66" s="3">
        <f t="shared" si="16"/>
        <v>0.22758973236550675</v>
      </c>
      <c r="AD66" s="3">
        <f t="shared" si="17"/>
        <v>0.93685626884762829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13.502000000000001</v>
      </c>
      <c r="J67" s="39">
        <v>28.7</v>
      </c>
      <c r="K67" s="39">
        <v>29.2</v>
      </c>
      <c r="L67" s="39">
        <v>29.9</v>
      </c>
      <c r="M67" s="39">
        <v>30.1</v>
      </c>
      <c r="N67" s="39">
        <v>30.6</v>
      </c>
      <c r="O67" s="39">
        <v>30.3</v>
      </c>
      <c r="P67" s="39">
        <v>30</v>
      </c>
      <c r="Q67" s="39">
        <v>30.9</v>
      </c>
      <c r="R67" s="39">
        <v>30.2</v>
      </c>
      <c r="S67" s="39">
        <v>30.3</v>
      </c>
      <c r="T67" s="39">
        <v>29.5</v>
      </c>
      <c r="U67" s="39">
        <v>29.4</v>
      </c>
      <c r="V67" s="5">
        <f t="shared" si="9"/>
        <v>29.925000000000001</v>
      </c>
      <c r="W67" s="4">
        <f t="shared" si="10"/>
        <v>0.18011990955522339</v>
      </c>
      <c r="X67" s="2">
        <f t="shared" si="11"/>
        <v>28.7</v>
      </c>
      <c r="Y67" s="3">
        <f t="shared" si="12"/>
        <v>29.475000000000001</v>
      </c>
      <c r="Z67" s="2">
        <f t="shared" si="13"/>
        <v>30.05</v>
      </c>
      <c r="AA67" s="3">
        <f t="shared" si="14"/>
        <v>30.3</v>
      </c>
      <c r="AB67" s="3">
        <f t="shared" si="15"/>
        <v>30.9</v>
      </c>
      <c r="AC67" s="3">
        <f t="shared" si="16"/>
        <v>-0.48248900960845886</v>
      </c>
      <c r="AD67" s="3">
        <f t="shared" si="17"/>
        <v>-8.8681689317191559E-2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13.518000000000001</v>
      </c>
      <c r="J68" s="39">
        <v>29.9</v>
      </c>
      <c r="K68" s="39">
        <v>29.1</v>
      </c>
      <c r="L68" s="39">
        <v>30</v>
      </c>
      <c r="M68" s="39">
        <v>30.3</v>
      </c>
      <c r="N68" s="39">
        <v>30</v>
      </c>
      <c r="O68" s="39">
        <v>30.6</v>
      </c>
      <c r="P68" s="39">
        <v>30.1</v>
      </c>
      <c r="Q68" s="39">
        <v>29.1</v>
      </c>
      <c r="R68" s="39">
        <v>30.4</v>
      </c>
      <c r="S68" s="39">
        <v>29.9</v>
      </c>
      <c r="T68" s="39">
        <v>28.6</v>
      </c>
      <c r="U68" s="39">
        <v>29.6</v>
      </c>
      <c r="V68" s="5">
        <f t="shared" si="9"/>
        <v>29.8</v>
      </c>
      <c r="W68" s="4">
        <f t="shared" si="10"/>
        <v>0.17188791273808202</v>
      </c>
      <c r="X68" s="2">
        <f t="shared" si="11"/>
        <v>28.6</v>
      </c>
      <c r="Y68" s="3">
        <f t="shared" si="12"/>
        <v>29.475000000000001</v>
      </c>
      <c r="Z68" s="2">
        <f t="shared" si="13"/>
        <v>29.95</v>
      </c>
      <c r="AA68" s="3">
        <f t="shared" si="14"/>
        <v>30.150000000000002</v>
      </c>
      <c r="AB68" s="3">
        <f t="shared" si="15"/>
        <v>30.6</v>
      </c>
      <c r="AC68" s="3">
        <f t="shared" si="16"/>
        <v>-0.78752734959118675</v>
      </c>
      <c r="AD68" s="3">
        <f t="shared" si="17"/>
        <v>-6.1299145299140712E-2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13.534000000000001</v>
      </c>
      <c r="J69" s="39">
        <v>28.7</v>
      </c>
      <c r="K69" s="39">
        <v>29.2</v>
      </c>
      <c r="L69" s="39">
        <v>28.1</v>
      </c>
      <c r="M69" s="39">
        <v>28</v>
      </c>
      <c r="N69" s="39">
        <v>29.8</v>
      </c>
      <c r="O69" s="39">
        <v>29</v>
      </c>
      <c r="P69" s="39">
        <v>28.3</v>
      </c>
      <c r="Q69" s="39">
        <v>29.2</v>
      </c>
      <c r="R69" s="39">
        <v>28.2</v>
      </c>
      <c r="S69" s="39">
        <v>28.7</v>
      </c>
      <c r="T69" s="39">
        <v>28.7</v>
      </c>
      <c r="U69" s="39">
        <v>27.9</v>
      </c>
      <c r="V69" s="5">
        <f t="shared" si="9"/>
        <v>28.649999999999995</v>
      </c>
      <c r="W69" s="4">
        <f t="shared" si="10"/>
        <v>0.1667424070326152</v>
      </c>
      <c r="X69" s="2">
        <f t="shared" si="11"/>
        <v>27.9</v>
      </c>
      <c r="Y69" s="3">
        <f t="shared" si="12"/>
        <v>28.175000000000001</v>
      </c>
      <c r="Z69" s="2">
        <f t="shared" si="13"/>
        <v>28.7</v>
      </c>
      <c r="AA69" s="3">
        <f t="shared" si="14"/>
        <v>29.05</v>
      </c>
      <c r="AB69" s="3">
        <f t="shared" si="15"/>
        <v>29.8</v>
      </c>
      <c r="AC69" s="3">
        <f t="shared" si="16"/>
        <v>0.50947279890580865</v>
      </c>
      <c r="AD69" s="3">
        <f t="shared" si="17"/>
        <v>-0.36765486911821155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13.551</v>
      </c>
      <c r="J70" s="39">
        <v>32.6</v>
      </c>
      <c r="K70" s="39">
        <v>32.299999999999997</v>
      </c>
      <c r="L70" s="39">
        <v>30.6</v>
      </c>
      <c r="M70" s="39">
        <v>32.700000000000003</v>
      </c>
      <c r="N70" s="39">
        <v>29.8</v>
      </c>
      <c r="O70" s="39">
        <v>31.4</v>
      </c>
      <c r="P70" s="39">
        <v>31.8</v>
      </c>
      <c r="Q70" s="39">
        <v>31.3</v>
      </c>
      <c r="R70" s="39">
        <v>31</v>
      </c>
      <c r="S70" s="39">
        <v>31.2</v>
      </c>
      <c r="T70" s="39">
        <v>30.6</v>
      </c>
      <c r="U70" s="39">
        <v>30.8</v>
      </c>
      <c r="V70" s="5">
        <f t="shared" si="9"/>
        <v>31.341666666666669</v>
      </c>
      <c r="W70" s="4">
        <f t="shared" si="10"/>
        <v>0.25329894104664857</v>
      </c>
      <c r="X70" s="2">
        <f t="shared" si="11"/>
        <v>29.8</v>
      </c>
      <c r="Y70" s="3">
        <f t="shared" si="12"/>
        <v>30.75</v>
      </c>
      <c r="Z70" s="2">
        <f t="shared" si="13"/>
        <v>31.25</v>
      </c>
      <c r="AA70" s="3">
        <f t="shared" si="14"/>
        <v>31.925000000000001</v>
      </c>
      <c r="AB70" s="3">
        <f t="shared" si="15"/>
        <v>32.700000000000003</v>
      </c>
      <c r="AC70" s="3">
        <f t="shared" si="16"/>
        <v>0.12813149658210057</v>
      </c>
      <c r="AD70" s="3">
        <f t="shared" si="17"/>
        <v>-0.53690447980704814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13.567</v>
      </c>
      <c r="J71" s="39">
        <v>27.3</v>
      </c>
      <c r="K71" s="39">
        <v>28.2</v>
      </c>
      <c r="L71" s="39">
        <v>29.3</v>
      </c>
      <c r="M71" s="39">
        <v>28.1</v>
      </c>
      <c r="N71" s="39">
        <v>28.8</v>
      </c>
      <c r="O71" s="39">
        <v>29.6</v>
      </c>
      <c r="P71" s="39">
        <v>28.3</v>
      </c>
      <c r="Q71" s="39">
        <v>27.6</v>
      </c>
      <c r="R71" s="39">
        <v>27.9</v>
      </c>
      <c r="S71" s="39">
        <v>29</v>
      </c>
      <c r="T71" s="39">
        <v>28</v>
      </c>
      <c r="U71" s="39">
        <v>28.7</v>
      </c>
      <c r="V71" s="5">
        <f t="shared" si="9"/>
        <v>28.400000000000002</v>
      </c>
      <c r="W71" s="4">
        <f t="shared" si="10"/>
        <v>0.19962085273959951</v>
      </c>
      <c r="X71" s="2">
        <f t="shared" si="11"/>
        <v>27.3</v>
      </c>
      <c r="Y71" s="3">
        <f t="shared" si="12"/>
        <v>27.975000000000001</v>
      </c>
      <c r="Z71" s="2">
        <f t="shared" si="13"/>
        <v>28.25</v>
      </c>
      <c r="AA71" s="3">
        <f t="shared" si="14"/>
        <v>28.85</v>
      </c>
      <c r="AB71" s="3">
        <f t="shared" si="15"/>
        <v>29.6</v>
      </c>
      <c r="AC71" s="3">
        <f t="shared" si="16"/>
        <v>0.22961920660398055</v>
      </c>
      <c r="AD71" s="3">
        <f t="shared" si="17"/>
        <v>-0.68097509963519531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13.673</v>
      </c>
      <c r="J72" s="39">
        <v>29.5</v>
      </c>
      <c r="K72" s="39">
        <v>28.3</v>
      </c>
      <c r="L72" s="39">
        <v>29.5</v>
      </c>
      <c r="M72" s="39">
        <v>29.6</v>
      </c>
      <c r="N72" s="39">
        <v>29.7</v>
      </c>
      <c r="O72" s="39">
        <v>28.5</v>
      </c>
      <c r="P72" s="39">
        <v>29.6</v>
      </c>
      <c r="Q72" s="39">
        <v>29.5</v>
      </c>
      <c r="R72" s="39">
        <v>29.7</v>
      </c>
      <c r="S72" s="39">
        <v>29</v>
      </c>
      <c r="T72" s="39">
        <v>31.2</v>
      </c>
      <c r="U72" s="39">
        <v>29.9</v>
      </c>
      <c r="V72" s="5">
        <f t="shared" si="9"/>
        <v>29.499999999999996</v>
      </c>
      <c r="W72" s="4">
        <f t="shared" si="10"/>
        <v>0.2103388319888275</v>
      </c>
      <c r="X72" s="2">
        <f t="shared" si="11"/>
        <v>28.3</v>
      </c>
      <c r="Y72" s="3">
        <f t="shared" si="12"/>
        <v>29.375</v>
      </c>
      <c r="Z72" s="2">
        <f t="shared" si="13"/>
        <v>29.55</v>
      </c>
      <c r="AA72" s="3">
        <f t="shared" si="14"/>
        <v>29.7</v>
      </c>
      <c r="AB72" s="3">
        <f t="shared" si="15"/>
        <v>31.2</v>
      </c>
      <c r="AC72" s="3">
        <f t="shared" si="16"/>
        <v>0.60405680947898222</v>
      </c>
      <c r="AD72" s="3">
        <f t="shared" si="17"/>
        <v>2.4053340213924006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13.656000000000001</v>
      </c>
      <c r="J73" s="39">
        <v>30.6</v>
      </c>
      <c r="K73" s="39">
        <v>28.7</v>
      </c>
      <c r="L73" s="39">
        <v>29.2</v>
      </c>
      <c r="M73" s="39">
        <v>30.6</v>
      </c>
      <c r="N73" s="39">
        <v>30.2</v>
      </c>
      <c r="O73" s="39">
        <v>30.2</v>
      </c>
      <c r="P73" s="39">
        <v>29.3</v>
      </c>
      <c r="Q73" s="39">
        <v>31.1</v>
      </c>
      <c r="R73" s="39">
        <v>30.5</v>
      </c>
      <c r="S73" s="39">
        <v>30.6</v>
      </c>
      <c r="T73" s="39">
        <v>29.6</v>
      </c>
      <c r="U73" s="39">
        <v>31.6</v>
      </c>
      <c r="V73" s="5">
        <f t="shared" si="9"/>
        <v>30.183333333333337</v>
      </c>
      <c r="W73" s="4">
        <f t="shared" si="10"/>
        <v>0.24241003746261486</v>
      </c>
      <c r="X73" s="2">
        <f t="shared" si="11"/>
        <v>28.7</v>
      </c>
      <c r="Y73" s="3">
        <f t="shared" si="12"/>
        <v>29.525000000000002</v>
      </c>
      <c r="Z73" s="2">
        <f t="shared" si="13"/>
        <v>30.35</v>
      </c>
      <c r="AA73" s="3">
        <f t="shared" si="14"/>
        <v>30.6</v>
      </c>
      <c r="AB73" s="3">
        <f t="shared" si="15"/>
        <v>31.6</v>
      </c>
      <c r="AC73" s="3">
        <f t="shared" si="16"/>
        <v>-0.22846806026530148</v>
      </c>
      <c r="AD73" s="3">
        <f t="shared" si="17"/>
        <v>-0.4411904939104403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13.64</v>
      </c>
      <c r="J74" s="39">
        <v>30.7</v>
      </c>
      <c r="K74" s="39">
        <v>31.4</v>
      </c>
      <c r="L74" s="39">
        <v>32.1</v>
      </c>
      <c r="M74" s="39">
        <v>30.8</v>
      </c>
      <c r="N74" s="39">
        <v>30.7</v>
      </c>
      <c r="O74" s="39">
        <v>30.4</v>
      </c>
      <c r="P74" s="39">
        <v>30.5</v>
      </c>
      <c r="Q74" s="39">
        <v>30.2</v>
      </c>
      <c r="R74" s="39">
        <v>29.9</v>
      </c>
      <c r="S74" s="39">
        <v>30.9</v>
      </c>
      <c r="T74" s="39">
        <v>30.1</v>
      </c>
      <c r="U74" s="39">
        <v>30</v>
      </c>
      <c r="V74" s="5">
        <f t="shared" ref="V74:V81" si="18">AVERAGE(J74:U74)</f>
        <v>30.641666666666666</v>
      </c>
      <c r="W74" s="4">
        <f t="shared" ref="W74:W81" si="19">STDEV(J74:U74)/SQRT(COUNT(J74:U74))</f>
        <v>0.18109863934253398</v>
      </c>
      <c r="X74" s="2">
        <f t="shared" ref="X74:X81" si="20">MIN(J74:U74)</f>
        <v>29.9</v>
      </c>
      <c r="Y74" s="3">
        <f t="shared" ref="Y74:Y81" si="21">QUARTILE(J74:U74,1)</f>
        <v>30.175000000000001</v>
      </c>
      <c r="Z74" s="2">
        <f t="shared" ref="Z74:Z81" si="22">MEDIAN(J74:U74)</f>
        <v>30.6</v>
      </c>
      <c r="AA74" s="3">
        <f t="shared" ref="AA74:AA81" si="23">QUARTILE(J74:U74,3)</f>
        <v>30.824999999999999</v>
      </c>
      <c r="AB74" s="3">
        <f t="shared" ref="AB74:AB81" si="24">MAX(J74:U74)</f>
        <v>32.1</v>
      </c>
      <c r="AC74" s="3">
        <f t="shared" ref="AC74:AC81" si="25">SKEW(J74:U74)</f>
        <v>1.1598401531118332</v>
      </c>
      <c r="AD74" s="3">
        <f t="shared" ref="AD74:AD81" si="26">KURT(J74:U74)</f>
        <v>1.5201946789363276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13.622999999999999</v>
      </c>
      <c r="J75" s="39">
        <v>28.8</v>
      </c>
      <c r="K75" s="39">
        <v>28.8</v>
      </c>
      <c r="L75" s="39">
        <v>29.7</v>
      </c>
      <c r="M75" s="39">
        <v>28.8</v>
      </c>
      <c r="N75" s="39">
        <v>28.9</v>
      </c>
      <c r="O75" s="39">
        <v>29.6</v>
      </c>
      <c r="P75" s="39">
        <v>29.1</v>
      </c>
      <c r="Q75" s="39">
        <v>29.7</v>
      </c>
      <c r="R75" s="39">
        <v>30.2</v>
      </c>
      <c r="S75" s="39">
        <v>28.8</v>
      </c>
      <c r="T75" s="39">
        <v>28.3</v>
      </c>
      <c r="U75" s="39">
        <v>28.3</v>
      </c>
      <c r="V75" s="5">
        <f t="shared" si="18"/>
        <v>29.083333333333332</v>
      </c>
      <c r="W75" s="4">
        <f t="shared" si="19"/>
        <v>0.17093031245853288</v>
      </c>
      <c r="X75" s="2">
        <f t="shared" si="20"/>
        <v>28.3</v>
      </c>
      <c r="Y75" s="3">
        <f t="shared" si="21"/>
        <v>28.8</v>
      </c>
      <c r="Z75" s="2">
        <f t="shared" si="22"/>
        <v>28.85</v>
      </c>
      <c r="AA75" s="3">
        <f t="shared" si="23"/>
        <v>29.625</v>
      </c>
      <c r="AB75" s="3">
        <f t="shared" si="24"/>
        <v>30.2</v>
      </c>
      <c r="AC75" s="3">
        <f t="shared" si="25"/>
        <v>0.4944219830760071</v>
      </c>
      <c r="AD75" s="3">
        <f t="shared" si="26"/>
        <v>-0.57826032066657707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13.606999999999999</v>
      </c>
      <c r="J76" s="39">
        <v>30.7</v>
      </c>
      <c r="K76" s="39">
        <v>30.3</v>
      </c>
      <c r="L76" s="39">
        <v>30.2</v>
      </c>
      <c r="M76" s="39">
        <v>32.1</v>
      </c>
      <c r="N76" s="39">
        <v>31.3</v>
      </c>
      <c r="O76" s="39">
        <v>32</v>
      </c>
      <c r="P76" s="39">
        <v>31</v>
      </c>
      <c r="Q76" s="39">
        <v>31.6</v>
      </c>
      <c r="R76" s="39">
        <v>33</v>
      </c>
      <c r="S76" s="39">
        <v>31.7</v>
      </c>
      <c r="T76" s="39">
        <v>32.200000000000003</v>
      </c>
      <c r="U76" s="39">
        <v>32.1</v>
      </c>
      <c r="V76" s="5">
        <f t="shared" si="18"/>
        <v>31.516666666666669</v>
      </c>
      <c r="W76" s="4">
        <f t="shared" si="19"/>
        <v>0.24334578631480716</v>
      </c>
      <c r="X76" s="2">
        <f t="shared" si="20"/>
        <v>30.2</v>
      </c>
      <c r="Y76" s="3">
        <f t="shared" si="21"/>
        <v>30.925000000000001</v>
      </c>
      <c r="Z76" s="2">
        <f t="shared" si="22"/>
        <v>31.65</v>
      </c>
      <c r="AA76" s="3">
        <f t="shared" si="23"/>
        <v>32.1</v>
      </c>
      <c r="AB76" s="3">
        <f t="shared" si="24"/>
        <v>33</v>
      </c>
      <c r="AC76" s="3">
        <f t="shared" si="25"/>
        <v>-0.12327147295862287</v>
      </c>
      <c r="AD76" s="3">
        <f t="shared" si="26"/>
        <v>-0.58153429016962388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13.59</v>
      </c>
      <c r="J77" s="39">
        <v>32.5</v>
      </c>
      <c r="K77" s="39">
        <v>30.2</v>
      </c>
      <c r="L77" s="39">
        <v>31.4</v>
      </c>
      <c r="M77" s="39">
        <v>32.6</v>
      </c>
      <c r="N77" s="39">
        <v>31.7</v>
      </c>
      <c r="O77" s="39">
        <v>31.7</v>
      </c>
      <c r="P77" s="39">
        <v>32.6</v>
      </c>
      <c r="Q77" s="39">
        <v>31.7</v>
      </c>
      <c r="R77" s="39">
        <v>30.7</v>
      </c>
      <c r="S77" s="39">
        <v>33.1</v>
      </c>
      <c r="T77" s="39">
        <v>31</v>
      </c>
      <c r="U77" s="39">
        <v>30.9</v>
      </c>
      <c r="V77" s="5">
        <f t="shared" si="18"/>
        <v>31.674999999999997</v>
      </c>
      <c r="W77" s="4">
        <f t="shared" si="19"/>
        <v>0.25646932594662325</v>
      </c>
      <c r="X77" s="2">
        <f t="shared" si="20"/>
        <v>30.2</v>
      </c>
      <c r="Y77" s="3">
        <f t="shared" si="21"/>
        <v>30.975000000000001</v>
      </c>
      <c r="Z77" s="2">
        <f t="shared" si="22"/>
        <v>31.7</v>
      </c>
      <c r="AA77" s="3">
        <f t="shared" si="23"/>
        <v>32.524999999999999</v>
      </c>
      <c r="AB77" s="3">
        <f t="shared" si="24"/>
        <v>33.1</v>
      </c>
      <c r="AC77" s="3">
        <f t="shared" si="25"/>
        <v>1.6859298929693362E-2</v>
      </c>
      <c r="AD77" s="3">
        <f t="shared" si="26"/>
        <v>-0.93202060832240807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13.420999999999999</v>
      </c>
      <c r="J78" s="39">
        <v>31.9</v>
      </c>
      <c r="K78" s="39">
        <v>34</v>
      </c>
      <c r="L78" s="39">
        <v>31.6</v>
      </c>
      <c r="M78" s="39">
        <v>33.5</v>
      </c>
      <c r="N78" s="39">
        <v>31.8</v>
      </c>
      <c r="O78" s="39">
        <v>30.5</v>
      </c>
      <c r="P78" s="39">
        <v>31.6</v>
      </c>
      <c r="Q78" s="39">
        <v>32.1</v>
      </c>
      <c r="R78" s="39">
        <v>30.9</v>
      </c>
      <c r="S78" s="39">
        <v>32.9</v>
      </c>
      <c r="T78" s="39">
        <v>32</v>
      </c>
      <c r="U78" s="39">
        <v>33</v>
      </c>
      <c r="V78" s="5">
        <f t="shared" si="18"/>
        <v>32.15</v>
      </c>
      <c r="W78" s="4">
        <f t="shared" si="19"/>
        <v>0.29682665076785236</v>
      </c>
      <c r="X78" s="2">
        <f t="shared" si="20"/>
        <v>30.5</v>
      </c>
      <c r="Y78" s="3">
        <f t="shared" si="21"/>
        <v>31.6</v>
      </c>
      <c r="Z78" s="2">
        <f t="shared" si="22"/>
        <v>31.95</v>
      </c>
      <c r="AA78" s="3">
        <f t="shared" si="23"/>
        <v>32.924999999999997</v>
      </c>
      <c r="AB78" s="3">
        <f t="shared" si="24"/>
        <v>34</v>
      </c>
      <c r="AC78" s="3">
        <f t="shared" si="25"/>
        <v>0.29983933753421976</v>
      </c>
      <c r="AD78" s="3">
        <f t="shared" si="26"/>
        <v>-0.3781790060248249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13.398999999999999</v>
      </c>
      <c r="J79" s="39">
        <v>29.6</v>
      </c>
      <c r="K79" s="39">
        <v>30.8</v>
      </c>
      <c r="L79" s="39">
        <v>30.8</v>
      </c>
      <c r="M79" s="39">
        <v>29.7</v>
      </c>
      <c r="N79" s="39">
        <v>31</v>
      </c>
      <c r="O79" s="39">
        <v>30.3</v>
      </c>
      <c r="P79" s="39">
        <v>29.6</v>
      </c>
      <c r="Q79" s="39">
        <v>31.1</v>
      </c>
      <c r="R79" s="39">
        <v>31.1</v>
      </c>
      <c r="S79" s="39">
        <v>31.5</v>
      </c>
      <c r="T79" s="39">
        <v>30.3</v>
      </c>
      <c r="U79" s="39">
        <v>31.1</v>
      </c>
      <c r="V79" s="5">
        <f t="shared" si="18"/>
        <v>30.575000000000003</v>
      </c>
      <c r="W79" s="4">
        <f t="shared" si="19"/>
        <v>0.19034458386321532</v>
      </c>
      <c r="X79" s="2">
        <f t="shared" si="20"/>
        <v>29.6</v>
      </c>
      <c r="Y79" s="3">
        <f t="shared" si="21"/>
        <v>30.15</v>
      </c>
      <c r="Z79" s="2">
        <f t="shared" si="22"/>
        <v>30.8</v>
      </c>
      <c r="AA79" s="3">
        <f t="shared" si="23"/>
        <v>31.1</v>
      </c>
      <c r="AB79" s="3">
        <f t="shared" si="24"/>
        <v>31.5</v>
      </c>
      <c r="AC79" s="3">
        <f t="shared" si="25"/>
        <v>-0.47191152437875639</v>
      </c>
      <c r="AD79" s="3">
        <f t="shared" si="26"/>
        <v>-1.1967557928269632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13.377000000000001</v>
      </c>
      <c r="J80" s="39">
        <v>28.7</v>
      </c>
      <c r="K80" s="39">
        <v>30.2</v>
      </c>
      <c r="L80" s="39">
        <v>30.6</v>
      </c>
      <c r="M80" s="39">
        <v>31.4</v>
      </c>
      <c r="N80" s="39">
        <v>31.1</v>
      </c>
      <c r="O80" s="39">
        <v>31.8</v>
      </c>
      <c r="P80" s="39">
        <v>31.8</v>
      </c>
      <c r="Q80" s="39">
        <v>32.200000000000003</v>
      </c>
      <c r="R80" s="39">
        <v>31.7</v>
      </c>
      <c r="S80" s="39">
        <v>31.1</v>
      </c>
      <c r="T80" s="39">
        <v>30.8</v>
      </c>
      <c r="U80" s="39">
        <v>31.7</v>
      </c>
      <c r="V80" s="5">
        <f t="shared" si="18"/>
        <v>31.091666666666669</v>
      </c>
      <c r="W80" s="4">
        <f t="shared" si="19"/>
        <v>0.27398803704622671</v>
      </c>
      <c r="X80" s="2">
        <f t="shared" si="20"/>
        <v>28.7</v>
      </c>
      <c r="Y80" s="3">
        <f t="shared" si="21"/>
        <v>30.75</v>
      </c>
      <c r="Z80" s="2">
        <f t="shared" si="22"/>
        <v>31.25</v>
      </c>
      <c r="AA80" s="3">
        <f t="shared" si="23"/>
        <v>31.725000000000001</v>
      </c>
      <c r="AB80" s="3">
        <f t="shared" si="24"/>
        <v>32.200000000000003</v>
      </c>
      <c r="AC80" s="3">
        <f t="shared" si="25"/>
        <v>-1.5287079449892955</v>
      </c>
      <c r="AD80" s="3">
        <f t="shared" si="26"/>
        <v>2.9012359645752488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13.355</v>
      </c>
      <c r="J81" s="39">
        <v>28.8</v>
      </c>
      <c r="K81" s="39">
        <v>30.1</v>
      </c>
      <c r="L81" s="39">
        <v>30</v>
      </c>
      <c r="M81" s="39">
        <v>31.3</v>
      </c>
      <c r="N81" s="39">
        <v>30.3</v>
      </c>
      <c r="O81" s="39">
        <v>31</v>
      </c>
      <c r="P81" s="39">
        <v>31.5</v>
      </c>
      <c r="Q81" s="39">
        <v>30</v>
      </c>
      <c r="R81" s="39">
        <v>29.9</v>
      </c>
      <c r="S81" s="39">
        <v>31.1</v>
      </c>
      <c r="T81" s="39">
        <v>29.8</v>
      </c>
      <c r="U81" s="39">
        <v>32.1</v>
      </c>
      <c r="V81" s="5">
        <f t="shared" si="18"/>
        <v>30.491666666666671</v>
      </c>
      <c r="W81" s="4">
        <f t="shared" si="19"/>
        <v>0.26470633623780992</v>
      </c>
      <c r="X81" s="2">
        <f t="shared" si="20"/>
        <v>28.8</v>
      </c>
      <c r="Y81" s="3">
        <f t="shared" si="21"/>
        <v>29.975000000000001</v>
      </c>
      <c r="Z81" s="2">
        <f t="shared" si="22"/>
        <v>30.200000000000003</v>
      </c>
      <c r="AA81" s="3">
        <f t="shared" si="23"/>
        <v>31.150000000000002</v>
      </c>
      <c r="AB81" s="3">
        <f t="shared" si="24"/>
        <v>32.1</v>
      </c>
      <c r="AC81" s="3">
        <f t="shared" si="25"/>
        <v>5.4648287393307689E-2</v>
      </c>
      <c r="AD81" s="3">
        <f t="shared" si="26"/>
        <v>-0.23584585295097638</v>
      </c>
    </row>
    <row r="84" spans="1:30" x14ac:dyDescent="0.2">
      <c r="V84" s="3"/>
    </row>
  </sheetData>
  <autoFilter ref="A9:AD81" xr:uid="{B31A965E-B626-421E-BF2C-D7E44D004943}"/>
  <conditionalFormatting sqref="J10:U47">
    <cfRule type="cellIs" dxfId="95" priority="1" stopIfTrue="1" operator="lessThan">
      <formula>$V10-$U$5*$W10</formula>
    </cfRule>
    <cfRule type="cellIs" dxfId="94" priority="2" stopIfTrue="1" operator="greaterThan">
      <formula>$V10+$U$5*$W10</formula>
    </cfRule>
  </conditionalFormatting>
  <conditionalFormatting sqref="J48:U81">
    <cfRule type="cellIs" dxfId="93" priority="3" stopIfTrue="1" operator="lessThan">
      <formula>$V48-$U$6*$W48</formula>
    </cfRule>
    <cfRule type="cellIs" dxfId="92" priority="4" stopIfTrue="1" operator="greaterThan">
      <formula>$V48+$U$6*$W48</formula>
    </cfRule>
  </conditionalFormatting>
  <conditionalFormatting sqref="V10:V39">
    <cfRule type="cellIs" dxfId="91" priority="5" stopIfTrue="1" operator="lessThan">
      <formula>AVERAGE($V$10:$V$39)</formula>
    </cfRule>
    <cfRule type="cellIs" dxfId="90" priority="6" stopIfTrue="1" operator="greaterThan">
      <formula>AVERAGE($V$10:$V$39)</formula>
    </cfRule>
  </conditionalFormatting>
  <conditionalFormatting sqref="V48:V81">
    <cfRule type="cellIs" dxfId="89" priority="7" stopIfTrue="1" operator="lessThan">
      <formula>AVERAGE($V$48:$V$81)</formula>
    </cfRule>
    <cfRule type="cellIs" dxfId="88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F2C4-9481-4486-A870-673EC0678935}">
  <dimension ref="A1:AN84"/>
  <sheetViews>
    <sheetView topLeftCell="A15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136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40.700000000000003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13.202999999999999</v>
      </c>
      <c r="J10" s="39">
        <v>37.799999999999997</v>
      </c>
      <c r="K10" s="39">
        <v>39.700000000000003</v>
      </c>
      <c r="L10" s="39">
        <v>41.2</v>
      </c>
      <c r="M10" s="39">
        <v>36.299999999999997</v>
      </c>
      <c r="N10" s="39">
        <v>36.700000000000003</v>
      </c>
      <c r="O10" s="39">
        <v>36.9</v>
      </c>
      <c r="P10" s="39">
        <v>40.700000000000003</v>
      </c>
      <c r="Q10" s="39">
        <v>40.4</v>
      </c>
      <c r="R10" s="39">
        <v>38.799999999999997</v>
      </c>
      <c r="S10" s="39">
        <v>38</v>
      </c>
      <c r="T10" s="39">
        <v>37.6</v>
      </c>
      <c r="U10" s="39">
        <v>45.8</v>
      </c>
      <c r="V10" s="5">
        <f t="shared" ref="V10:V41" si="0">AVERAGE(J10:U10)</f>
        <v>39.158333333333339</v>
      </c>
      <c r="W10" s="4">
        <f t="shared" ref="W10:W41" si="1">STDEV(J10:U10)/SQRT(COUNT(J10:U10))</f>
        <v>0.76648136759394681</v>
      </c>
      <c r="X10" s="2">
        <f t="shared" ref="X10:X41" si="2">MIN(J10:U10)</f>
        <v>36.299999999999997</v>
      </c>
      <c r="Y10" s="3">
        <f t="shared" ref="Y10:Y41" si="3">QUARTILE(J10:U10,1)</f>
        <v>37.424999999999997</v>
      </c>
      <c r="Z10" s="2">
        <f t="shared" ref="Z10:Z41" si="4">MEDIAN(J10:U10)</f>
        <v>38.4</v>
      </c>
      <c r="AA10" s="3">
        <f t="shared" ref="AA10:AA41" si="5">QUARTILE(J10:U10,3)</f>
        <v>40.475000000000001</v>
      </c>
      <c r="AB10" s="3">
        <f t="shared" ref="AB10:AB41" si="6">MAX(J10:U10)</f>
        <v>45.8</v>
      </c>
      <c r="AC10" s="3">
        <f t="shared" ref="AC10:AC41" si="7">SKEW(J10:U10)</f>
        <v>1.4546752860702215</v>
      </c>
      <c r="AD10" s="3">
        <f t="shared" ref="AD10:AD41" si="8">KURT(J10:U10)</f>
        <v>2.6618086848579141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13.186999999999999</v>
      </c>
      <c r="J11" s="39">
        <v>39.799999999999997</v>
      </c>
      <c r="K11" s="39">
        <v>36.5</v>
      </c>
      <c r="L11" s="39">
        <v>42.5</v>
      </c>
      <c r="M11" s="39">
        <v>40.700000000000003</v>
      </c>
      <c r="N11" s="39">
        <v>37.4</v>
      </c>
      <c r="O11" s="39">
        <v>39.299999999999997</v>
      </c>
      <c r="P11" s="39">
        <v>40.700000000000003</v>
      </c>
      <c r="Q11" s="39">
        <v>38.4</v>
      </c>
      <c r="R11" s="39">
        <v>36.9</v>
      </c>
      <c r="S11" s="39">
        <v>38.799999999999997</v>
      </c>
      <c r="T11" s="39">
        <v>37.9</v>
      </c>
      <c r="U11" s="39">
        <v>38.299999999999997</v>
      </c>
      <c r="V11" s="5">
        <f t="shared" si="0"/>
        <v>38.93333333333333</v>
      </c>
      <c r="W11" s="4">
        <f t="shared" si="1"/>
        <v>0.50771820705759418</v>
      </c>
      <c r="X11" s="2">
        <f t="shared" si="2"/>
        <v>36.5</v>
      </c>
      <c r="Y11" s="3">
        <f t="shared" si="3"/>
        <v>37.774999999999999</v>
      </c>
      <c r="Z11" s="2">
        <f t="shared" si="4"/>
        <v>38.599999999999994</v>
      </c>
      <c r="AA11" s="3">
        <f t="shared" si="5"/>
        <v>40.024999999999999</v>
      </c>
      <c r="AB11" s="3">
        <f t="shared" si="6"/>
        <v>42.5</v>
      </c>
      <c r="AC11" s="3">
        <f t="shared" si="7"/>
        <v>0.58488214655271076</v>
      </c>
      <c r="AD11" s="3">
        <f t="shared" si="8"/>
        <v>-6.5335166468490247E-2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13.170999999999999</v>
      </c>
      <c r="J12" s="39">
        <v>38.1</v>
      </c>
      <c r="K12" s="39">
        <v>33.799999999999997</v>
      </c>
      <c r="L12" s="39">
        <v>38.6</v>
      </c>
      <c r="M12" s="39">
        <v>32</v>
      </c>
      <c r="N12" s="39">
        <v>35.1</v>
      </c>
      <c r="O12" s="39">
        <v>34.1</v>
      </c>
      <c r="P12" s="39">
        <v>34.700000000000003</v>
      </c>
      <c r="Q12" s="39">
        <v>37.5</v>
      </c>
      <c r="R12" s="39">
        <v>31.7</v>
      </c>
      <c r="S12" s="39">
        <v>35.6</v>
      </c>
      <c r="T12" s="39">
        <v>32.4</v>
      </c>
      <c r="U12" s="39">
        <v>31.8</v>
      </c>
      <c r="V12" s="5">
        <f t="shared" si="0"/>
        <v>34.616666666666667</v>
      </c>
      <c r="W12" s="4">
        <f t="shared" si="1"/>
        <v>0.71061575234070606</v>
      </c>
      <c r="X12" s="2">
        <f t="shared" si="2"/>
        <v>31.7</v>
      </c>
      <c r="Y12" s="3">
        <f t="shared" si="3"/>
        <v>32.299999999999997</v>
      </c>
      <c r="Z12" s="2">
        <f t="shared" si="4"/>
        <v>34.400000000000006</v>
      </c>
      <c r="AA12" s="3">
        <f t="shared" si="5"/>
        <v>36.075000000000003</v>
      </c>
      <c r="AB12" s="3">
        <f t="shared" si="6"/>
        <v>38.6</v>
      </c>
      <c r="AC12" s="3">
        <f t="shared" si="7"/>
        <v>0.39385750647304352</v>
      </c>
      <c r="AD12" s="3">
        <f t="shared" si="8"/>
        <v>-1.1326773247121729</v>
      </c>
      <c r="AF12" s="17" t="s">
        <v>76</v>
      </c>
      <c r="AG12" s="16">
        <v>32.4</v>
      </c>
      <c r="AH12" s="15">
        <v>33.212499999999999</v>
      </c>
      <c r="AI12" s="15">
        <v>37.049999999999997</v>
      </c>
      <c r="AJ12" s="15">
        <v>35.9375</v>
      </c>
      <c r="AK12" s="16">
        <v>30.2</v>
      </c>
      <c r="AL12" s="15">
        <v>30.875</v>
      </c>
      <c r="AM12" s="15">
        <v>31.15</v>
      </c>
      <c r="AN12" s="14">
        <v>31.170833333333334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13.156000000000001</v>
      </c>
      <c r="J13" s="39">
        <v>37.700000000000003</v>
      </c>
      <c r="K13" s="39">
        <v>37.9</v>
      </c>
      <c r="L13" s="39">
        <v>36.4</v>
      </c>
      <c r="M13" s="39">
        <v>36.799999999999997</v>
      </c>
      <c r="N13" s="39">
        <v>36.1</v>
      </c>
      <c r="O13" s="39">
        <v>35.5</v>
      </c>
      <c r="P13" s="39">
        <v>35.299999999999997</v>
      </c>
      <c r="Q13" s="39">
        <v>33.4</v>
      </c>
      <c r="R13" s="39">
        <v>32.6</v>
      </c>
      <c r="S13" s="39">
        <v>35.200000000000003</v>
      </c>
      <c r="T13" s="39">
        <v>34.700000000000003</v>
      </c>
      <c r="U13" s="39">
        <v>35.9</v>
      </c>
      <c r="V13" s="5">
        <f t="shared" si="0"/>
        <v>35.624999999999993</v>
      </c>
      <c r="W13" s="4">
        <f t="shared" si="1"/>
        <v>0.45245542221406632</v>
      </c>
      <c r="X13" s="2">
        <f t="shared" si="2"/>
        <v>32.6</v>
      </c>
      <c r="Y13" s="3">
        <f t="shared" si="3"/>
        <v>35.075000000000003</v>
      </c>
      <c r="Z13" s="2">
        <f t="shared" si="4"/>
        <v>35.700000000000003</v>
      </c>
      <c r="AA13" s="3">
        <f t="shared" si="5"/>
        <v>36.5</v>
      </c>
      <c r="AB13" s="3">
        <f t="shared" si="6"/>
        <v>37.9</v>
      </c>
      <c r="AC13" s="3">
        <f t="shared" si="7"/>
        <v>-0.47247401839636904</v>
      </c>
      <c r="AD13" s="3">
        <f t="shared" si="8"/>
        <v>5.7420302145210655E-2</v>
      </c>
      <c r="AF13" s="13" t="s">
        <v>75</v>
      </c>
      <c r="AG13" s="12">
        <v>43.15</v>
      </c>
      <c r="AH13" s="11">
        <v>48.6875</v>
      </c>
      <c r="AI13" s="11">
        <v>56.424999999999997</v>
      </c>
      <c r="AJ13" s="11">
        <v>54.841666666666669</v>
      </c>
      <c r="AK13" s="12">
        <v>30.9</v>
      </c>
      <c r="AL13" s="11">
        <v>32.225000000000001</v>
      </c>
      <c r="AM13" s="11">
        <v>32.575000000000003</v>
      </c>
      <c r="AN13" s="10">
        <v>32.679166666666667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13.141</v>
      </c>
      <c r="J14" s="39">
        <v>37.700000000000003</v>
      </c>
      <c r="K14" s="39">
        <v>33.799999999999997</v>
      </c>
      <c r="L14" s="39">
        <v>37.1</v>
      </c>
      <c r="M14" s="39">
        <v>31.7</v>
      </c>
      <c r="N14" s="39">
        <v>37.799999999999997</v>
      </c>
      <c r="O14" s="39">
        <v>35.4</v>
      </c>
      <c r="P14" s="39">
        <v>33.9</v>
      </c>
      <c r="Q14" s="39">
        <v>35.4</v>
      </c>
      <c r="R14" s="39">
        <v>33.5</v>
      </c>
      <c r="S14" s="39">
        <v>34.200000000000003</v>
      </c>
      <c r="T14" s="39">
        <v>38.700000000000003</v>
      </c>
      <c r="U14" s="39">
        <v>35.9</v>
      </c>
      <c r="V14" s="5">
        <f t="shared" si="0"/>
        <v>35.42499999999999</v>
      </c>
      <c r="W14" s="4">
        <f t="shared" si="1"/>
        <v>0.60692031826861181</v>
      </c>
      <c r="X14" s="2">
        <f t="shared" si="2"/>
        <v>31.7</v>
      </c>
      <c r="Y14" s="3">
        <f t="shared" si="3"/>
        <v>33.875</v>
      </c>
      <c r="Z14" s="2">
        <f t="shared" si="4"/>
        <v>35.4</v>
      </c>
      <c r="AA14" s="3">
        <f t="shared" si="5"/>
        <v>37.25</v>
      </c>
      <c r="AB14" s="3">
        <f t="shared" si="6"/>
        <v>38.700000000000003</v>
      </c>
      <c r="AC14" s="3">
        <f t="shared" si="7"/>
        <v>-3.9816355015031085E-2</v>
      </c>
      <c r="AD14" s="3">
        <f t="shared" si="8"/>
        <v>-0.78749918948717479</v>
      </c>
      <c r="AF14" s="13" t="s">
        <v>74</v>
      </c>
      <c r="AG14" s="12">
        <v>61.1</v>
      </c>
      <c r="AH14" s="11">
        <v>62.362499999999997</v>
      </c>
      <c r="AI14" s="11">
        <v>63.125</v>
      </c>
      <c r="AJ14" s="11">
        <v>62.933333333333323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13.125</v>
      </c>
      <c r="J15" s="39">
        <v>37.700000000000003</v>
      </c>
      <c r="K15" s="39">
        <v>34.4</v>
      </c>
      <c r="L15" s="39">
        <v>33.4</v>
      </c>
      <c r="M15" s="39">
        <v>37.1</v>
      </c>
      <c r="N15" s="39">
        <v>34.9</v>
      </c>
      <c r="O15" s="39">
        <v>34.200000000000003</v>
      </c>
      <c r="P15" s="39">
        <v>33.6</v>
      </c>
      <c r="Q15" s="39">
        <v>35.200000000000003</v>
      </c>
      <c r="R15" s="39">
        <v>33.299999999999997</v>
      </c>
      <c r="S15" s="39">
        <v>36.200000000000003</v>
      </c>
      <c r="T15" s="39">
        <v>35.9</v>
      </c>
      <c r="U15" s="39">
        <v>36.299999999999997</v>
      </c>
      <c r="V15" s="5">
        <f t="shared" si="0"/>
        <v>35.18333333333333</v>
      </c>
      <c r="W15" s="4">
        <f t="shared" si="1"/>
        <v>0.42369824406079643</v>
      </c>
      <c r="X15" s="2">
        <f t="shared" si="2"/>
        <v>33.299999999999997</v>
      </c>
      <c r="Y15" s="3">
        <f t="shared" si="3"/>
        <v>34.050000000000004</v>
      </c>
      <c r="Z15" s="2">
        <f t="shared" si="4"/>
        <v>35.049999999999997</v>
      </c>
      <c r="AA15" s="3">
        <f t="shared" si="5"/>
        <v>36.225000000000001</v>
      </c>
      <c r="AB15" s="3">
        <f t="shared" si="6"/>
        <v>37.700000000000003</v>
      </c>
      <c r="AC15" s="3">
        <f t="shared" si="7"/>
        <v>0.27660024715933657</v>
      </c>
      <c r="AD15" s="3">
        <f t="shared" si="8"/>
        <v>-1.0862407389023607</v>
      </c>
      <c r="AF15" s="13" t="s">
        <v>73</v>
      </c>
      <c r="AG15" s="12">
        <v>32.299999999999997</v>
      </c>
      <c r="AH15" s="11">
        <v>34.037500000000001</v>
      </c>
      <c r="AI15" s="11">
        <v>35.674999999999997</v>
      </c>
      <c r="AJ15" s="11">
        <v>35.991666666666667</v>
      </c>
      <c r="AK15" s="12">
        <v>28.8</v>
      </c>
      <c r="AL15" s="11">
        <v>29.675000000000001</v>
      </c>
      <c r="AM15" s="11">
        <v>30.375</v>
      </c>
      <c r="AN15" s="10">
        <v>30.35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13.109</v>
      </c>
      <c r="J16" s="39">
        <v>35.9</v>
      </c>
      <c r="K16" s="39">
        <v>33.5</v>
      </c>
      <c r="L16" s="39">
        <v>34.299999999999997</v>
      </c>
      <c r="M16" s="39">
        <v>34.700000000000003</v>
      </c>
      <c r="N16" s="39">
        <v>35.200000000000003</v>
      </c>
      <c r="O16" s="39">
        <v>34.1</v>
      </c>
      <c r="P16" s="39">
        <v>36.4</v>
      </c>
      <c r="Q16" s="39">
        <v>33.5</v>
      </c>
      <c r="R16" s="39">
        <v>35.9</v>
      </c>
      <c r="S16" s="39">
        <v>33</v>
      </c>
      <c r="T16" s="39">
        <v>36.6</v>
      </c>
      <c r="U16" s="39">
        <v>34.9</v>
      </c>
      <c r="V16" s="5">
        <f t="shared" si="0"/>
        <v>34.833333333333336</v>
      </c>
      <c r="W16" s="4">
        <f t="shared" si="1"/>
        <v>0.3453880850477174</v>
      </c>
      <c r="X16" s="2">
        <f t="shared" si="2"/>
        <v>33</v>
      </c>
      <c r="Y16" s="3">
        <f t="shared" si="3"/>
        <v>33.950000000000003</v>
      </c>
      <c r="Z16" s="2">
        <f t="shared" si="4"/>
        <v>34.799999999999997</v>
      </c>
      <c r="AA16" s="3">
        <f t="shared" si="5"/>
        <v>35.9</v>
      </c>
      <c r="AB16" s="3">
        <f t="shared" si="6"/>
        <v>36.6</v>
      </c>
      <c r="AC16" s="3">
        <f t="shared" si="7"/>
        <v>2.4514893517959942E-2</v>
      </c>
      <c r="AD16" s="3">
        <f t="shared" si="8"/>
        <v>-1.2373358589751202</v>
      </c>
      <c r="AF16" s="13" t="s">
        <v>72</v>
      </c>
      <c r="AG16" s="12">
        <v>33.35</v>
      </c>
      <c r="AH16" s="11">
        <v>34.225000000000001</v>
      </c>
      <c r="AI16" s="11">
        <v>36.299999999999997</v>
      </c>
      <c r="AJ16" s="11">
        <v>36.595833333333331</v>
      </c>
      <c r="AK16" s="12">
        <v>28.6</v>
      </c>
      <c r="AL16" s="11">
        <v>29.1875</v>
      </c>
      <c r="AM16" s="11">
        <v>30.4</v>
      </c>
      <c r="AN16" s="10">
        <v>30.375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13.081</v>
      </c>
      <c r="J17" s="39">
        <v>42</v>
      </c>
      <c r="K17" s="39">
        <v>43.7</v>
      </c>
      <c r="L17" s="39">
        <v>43.3</v>
      </c>
      <c r="M17" s="39">
        <v>44.8</v>
      </c>
      <c r="N17" s="39">
        <v>42.7</v>
      </c>
      <c r="O17" s="39">
        <v>38.4</v>
      </c>
      <c r="P17" s="39">
        <v>44.6</v>
      </c>
      <c r="Q17" s="39">
        <v>39.700000000000003</v>
      </c>
      <c r="R17" s="39">
        <v>41.6</v>
      </c>
      <c r="S17" s="39">
        <v>41.5</v>
      </c>
      <c r="T17" s="39">
        <v>38.299999999999997</v>
      </c>
      <c r="U17" s="39">
        <v>37.1</v>
      </c>
      <c r="V17" s="5">
        <f t="shared" si="0"/>
        <v>41.475000000000001</v>
      </c>
      <c r="W17" s="4">
        <f t="shared" si="1"/>
        <v>0.74224526290373205</v>
      </c>
      <c r="X17" s="2">
        <f t="shared" si="2"/>
        <v>37.1</v>
      </c>
      <c r="Y17" s="3">
        <f t="shared" si="3"/>
        <v>39.375</v>
      </c>
      <c r="Z17" s="2">
        <f t="shared" si="4"/>
        <v>41.8</v>
      </c>
      <c r="AA17" s="3">
        <f t="shared" si="5"/>
        <v>43.4</v>
      </c>
      <c r="AB17" s="3">
        <f t="shared" si="6"/>
        <v>44.8</v>
      </c>
      <c r="AC17" s="3">
        <f t="shared" si="7"/>
        <v>-0.41110428220254391</v>
      </c>
      <c r="AD17" s="3">
        <f t="shared" si="8"/>
        <v>-1.066770276116523</v>
      </c>
      <c r="AF17" s="13" t="s">
        <v>71</v>
      </c>
      <c r="AG17" s="12">
        <v>35.25</v>
      </c>
      <c r="AH17" s="11">
        <v>37.912500000000001</v>
      </c>
      <c r="AI17" s="11">
        <v>38.75</v>
      </c>
      <c r="AJ17" s="11">
        <v>39.237499999999997</v>
      </c>
      <c r="AK17" s="12">
        <v>29.25</v>
      </c>
      <c r="AL17" s="11">
        <v>29.862500000000001</v>
      </c>
      <c r="AM17" s="11">
        <v>30.324999999999999</v>
      </c>
      <c r="AN17" s="10">
        <v>30.529166666666665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13.231</v>
      </c>
      <c r="J18" s="39">
        <v>40.6</v>
      </c>
      <c r="K18" s="39">
        <v>37.5</v>
      </c>
      <c r="L18" s="39">
        <v>35.9</v>
      </c>
      <c r="M18" s="39">
        <v>33.299999999999997</v>
      </c>
      <c r="N18" s="39">
        <v>36.6</v>
      </c>
      <c r="O18" s="39">
        <v>33.6</v>
      </c>
      <c r="P18" s="39">
        <v>38.5</v>
      </c>
      <c r="Q18" s="39">
        <v>37.4</v>
      </c>
      <c r="R18" s="39">
        <v>33.1</v>
      </c>
      <c r="S18" s="39">
        <v>34.6</v>
      </c>
      <c r="T18" s="39">
        <v>36.5</v>
      </c>
      <c r="U18" s="39">
        <v>38.4</v>
      </c>
      <c r="V18" s="5">
        <f t="shared" si="0"/>
        <v>36.333333333333336</v>
      </c>
      <c r="W18" s="4">
        <f t="shared" si="1"/>
        <v>0.67468660888001952</v>
      </c>
      <c r="X18" s="2">
        <f t="shared" si="2"/>
        <v>33.1</v>
      </c>
      <c r="Y18" s="3">
        <f t="shared" si="3"/>
        <v>34.35</v>
      </c>
      <c r="Z18" s="2">
        <f t="shared" si="4"/>
        <v>36.549999999999997</v>
      </c>
      <c r="AA18" s="3">
        <f t="shared" si="5"/>
        <v>37.725000000000001</v>
      </c>
      <c r="AB18" s="3">
        <f t="shared" si="6"/>
        <v>40.6</v>
      </c>
      <c r="AC18" s="3">
        <f t="shared" si="7"/>
        <v>0.10316244445747237</v>
      </c>
      <c r="AD18" s="3">
        <f t="shared" si="8"/>
        <v>-0.68690217905719075</v>
      </c>
      <c r="AF18" s="13" t="s">
        <v>70</v>
      </c>
      <c r="AG18" s="12">
        <v>35.299999999999997</v>
      </c>
      <c r="AH18" s="11">
        <v>37.975000000000001</v>
      </c>
      <c r="AI18" s="11">
        <v>39.6</v>
      </c>
      <c r="AJ18" s="11">
        <v>39.987499999999997</v>
      </c>
      <c r="AK18" s="12">
        <v>28.8</v>
      </c>
      <c r="AL18" s="11">
        <v>29.412500000000001</v>
      </c>
      <c r="AM18" s="11">
        <v>30.375</v>
      </c>
      <c r="AN18" s="10">
        <v>30.579166666666666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13.247</v>
      </c>
      <c r="J19" s="39">
        <v>38.700000000000003</v>
      </c>
      <c r="K19" s="39">
        <v>37.4</v>
      </c>
      <c r="L19" s="39">
        <v>38.200000000000003</v>
      </c>
      <c r="M19" s="39">
        <v>41.4</v>
      </c>
      <c r="N19" s="39">
        <v>37.4</v>
      </c>
      <c r="O19" s="39">
        <v>37.700000000000003</v>
      </c>
      <c r="P19" s="39">
        <v>35.9</v>
      </c>
      <c r="Q19" s="39">
        <v>36.1</v>
      </c>
      <c r="R19" s="39">
        <v>36.5</v>
      </c>
      <c r="S19" s="39">
        <v>35.799999999999997</v>
      </c>
      <c r="T19" s="39">
        <v>37.1</v>
      </c>
      <c r="U19" s="39">
        <v>37.799999999999997</v>
      </c>
      <c r="V19" s="5">
        <f t="shared" si="0"/>
        <v>37.500000000000007</v>
      </c>
      <c r="W19" s="4">
        <f t="shared" si="1"/>
        <v>0.4426161891629033</v>
      </c>
      <c r="X19" s="2">
        <f t="shared" si="2"/>
        <v>35.799999999999997</v>
      </c>
      <c r="Y19" s="3">
        <f t="shared" si="3"/>
        <v>36.4</v>
      </c>
      <c r="Z19" s="2">
        <f t="shared" si="4"/>
        <v>37.4</v>
      </c>
      <c r="AA19" s="3">
        <f t="shared" si="5"/>
        <v>37.9</v>
      </c>
      <c r="AB19" s="3">
        <f t="shared" si="6"/>
        <v>41.4</v>
      </c>
      <c r="AC19" s="3">
        <f t="shared" si="7"/>
        <v>1.4710407055377885</v>
      </c>
      <c r="AD19" s="3">
        <f t="shared" si="8"/>
        <v>3.1925995110801928</v>
      </c>
      <c r="AF19" s="13" t="s">
        <v>69</v>
      </c>
      <c r="AG19" s="12">
        <v>34.6</v>
      </c>
      <c r="AH19" s="11">
        <v>36.268749999999997</v>
      </c>
      <c r="AI19" s="11">
        <v>38.712499999999999</v>
      </c>
      <c r="AJ19" s="11">
        <v>38.78541666666667</v>
      </c>
      <c r="AK19" s="12">
        <v>28.725000000000001</v>
      </c>
      <c r="AL19" s="11">
        <v>29.381250000000001</v>
      </c>
      <c r="AM19" s="11">
        <v>30.012499999999999</v>
      </c>
      <c r="AN19" s="10">
        <v>29.989583333333332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13.263</v>
      </c>
      <c r="J20" s="39">
        <v>40.799999999999997</v>
      </c>
      <c r="K20" s="39">
        <v>36.9</v>
      </c>
      <c r="L20" s="39">
        <v>38.700000000000003</v>
      </c>
      <c r="M20" s="39">
        <v>40.9</v>
      </c>
      <c r="N20" s="39">
        <v>36.6</v>
      </c>
      <c r="O20" s="39">
        <v>35.4</v>
      </c>
      <c r="P20" s="39">
        <v>37.4</v>
      </c>
      <c r="Q20" s="39">
        <v>36.200000000000003</v>
      </c>
      <c r="R20" s="39">
        <v>37.6</v>
      </c>
      <c r="S20" s="39">
        <v>39.4</v>
      </c>
      <c r="T20" s="39">
        <v>40.9</v>
      </c>
      <c r="U20" s="39">
        <v>42.2</v>
      </c>
      <c r="V20" s="5">
        <f t="shared" si="0"/>
        <v>38.583333333333329</v>
      </c>
      <c r="W20" s="4">
        <f t="shared" si="1"/>
        <v>0.64171093904727006</v>
      </c>
      <c r="X20" s="2">
        <f t="shared" si="2"/>
        <v>35.4</v>
      </c>
      <c r="Y20" s="3">
        <f t="shared" si="3"/>
        <v>36.825000000000003</v>
      </c>
      <c r="Z20" s="2">
        <f t="shared" si="4"/>
        <v>38.150000000000006</v>
      </c>
      <c r="AA20" s="3">
        <f t="shared" si="5"/>
        <v>40.824999999999996</v>
      </c>
      <c r="AB20" s="3">
        <f t="shared" si="6"/>
        <v>42.2</v>
      </c>
      <c r="AC20" s="3">
        <f t="shared" si="7"/>
        <v>0.22479979838024347</v>
      </c>
      <c r="AD20" s="3">
        <f t="shared" si="8"/>
        <v>-1.357586547585901</v>
      </c>
      <c r="AF20" s="13" t="s">
        <v>68</v>
      </c>
      <c r="AG20" s="12">
        <v>33.5</v>
      </c>
      <c r="AH20" s="11">
        <v>36.193750000000001</v>
      </c>
      <c r="AI20" s="11">
        <v>37.424999999999997</v>
      </c>
      <c r="AJ20" s="11">
        <v>37.704166666666666</v>
      </c>
      <c r="AK20" s="12">
        <v>28.6</v>
      </c>
      <c r="AL20" s="11">
        <v>29.225000000000001</v>
      </c>
      <c r="AM20" s="11">
        <v>29.662500000000001</v>
      </c>
      <c r="AN20" s="10">
        <v>29.712499999999999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13.279</v>
      </c>
      <c r="J21" s="39">
        <v>38.200000000000003</v>
      </c>
      <c r="K21" s="39">
        <v>34.200000000000003</v>
      </c>
      <c r="L21" s="39">
        <v>39.1</v>
      </c>
      <c r="M21" s="39">
        <v>35.5</v>
      </c>
      <c r="N21" s="39">
        <v>35.200000000000003</v>
      </c>
      <c r="O21" s="39">
        <v>37.1</v>
      </c>
      <c r="P21" s="39">
        <v>31.5</v>
      </c>
      <c r="Q21" s="39">
        <v>37.4</v>
      </c>
      <c r="R21" s="39">
        <v>33.200000000000003</v>
      </c>
      <c r="S21" s="39">
        <v>36.700000000000003</v>
      </c>
      <c r="T21" s="39">
        <v>33.4</v>
      </c>
      <c r="U21" s="39">
        <v>35.5</v>
      </c>
      <c r="V21" s="5">
        <f t="shared" si="0"/>
        <v>35.583333333333329</v>
      </c>
      <c r="W21" s="4">
        <f t="shared" si="1"/>
        <v>0.64700163145938916</v>
      </c>
      <c r="X21" s="2">
        <f t="shared" si="2"/>
        <v>31.5</v>
      </c>
      <c r="Y21" s="3">
        <f t="shared" si="3"/>
        <v>34</v>
      </c>
      <c r="Z21" s="2">
        <f t="shared" si="4"/>
        <v>35.5</v>
      </c>
      <c r="AA21" s="3">
        <f t="shared" si="5"/>
        <v>37.174999999999997</v>
      </c>
      <c r="AB21" s="3">
        <f t="shared" si="6"/>
        <v>39.1</v>
      </c>
      <c r="AC21" s="3">
        <f t="shared" si="7"/>
        <v>-0.21753963910576826</v>
      </c>
      <c r="AD21" s="3">
        <f t="shared" si="8"/>
        <v>-0.57230646998970203</v>
      </c>
      <c r="AF21" s="13" t="s">
        <v>67</v>
      </c>
      <c r="AG21" s="12">
        <v>30.3</v>
      </c>
      <c r="AH21" s="11">
        <v>32.575000000000003</v>
      </c>
      <c r="AI21" s="11">
        <v>34.25</v>
      </c>
      <c r="AJ21" s="11">
        <v>34.3125</v>
      </c>
      <c r="AK21" s="12">
        <v>28.1</v>
      </c>
      <c r="AL21" s="11">
        <v>29.024999999999999</v>
      </c>
      <c r="AM21" s="11">
        <v>29.8</v>
      </c>
      <c r="AN21" s="10">
        <v>29.616666666666667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13.295</v>
      </c>
      <c r="J22" s="39">
        <v>39.1</v>
      </c>
      <c r="K22" s="39">
        <v>37.299999999999997</v>
      </c>
      <c r="L22" s="39">
        <v>40.299999999999997</v>
      </c>
      <c r="M22" s="39">
        <v>40.9</v>
      </c>
      <c r="N22" s="39">
        <v>38.6</v>
      </c>
      <c r="O22" s="39">
        <v>34.200000000000003</v>
      </c>
      <c r="P22" s="39">
        <v>37.799999999999997</v>
      </c>
      <c r="Q22" s="39">
        <v>38.9</v>
      </c>
      <c r="R22" s="39">
        <v>39.1</v>
      </c>
      <c r="S22" s="39">
        <v>41.4</v>
      </c>
      <c r="T22" s="39">
        <v>41.4</v>
      </c>
      <c r="U22" s="39">
        <v>42.8</v>
      </c>
      <c r="V22" s="5">
        <f t="shared" si="0"/>
        <v>39.316666666666663</v>
      </c>
      <c r="W22" s="4">
        <f t="shared" si="1"/>
        <v>0.66067382193477175</v>
      </c>
      <c r="X22" s="2">
        <f t="shared" si="2"/>
        <v>34.200000000000003</v>
      </c>
      <c r="Y22" s="3">
        <f t="shared" si="3"/>
        <v>38.4</v>
      </c>
      <c r="Z22" s="2">
        <f t="shared" si="4"/>
        <v>39.1</v>
      </c>
      <c r="AA22" s="3">
        <f t="shared" si="5"/>
        <v>41.024999999999999</v>
      </c>
      <c r="AB22" s="3">
        <f t="shared" si="6"/>
        <v>42.8</v>
      </c>
      <c r="AC22" s="3">
        <f t="shared" si="7"/>
        <v>-0.73563940706819109</v>
      </c>
      <c r="AD22" s="3">
        <f t="shared" si="8"/>
        <v>1.1338685470797856</v>
      </c>
      <c r="AF22" s="13" t="s">
        <v>66</v>
      </c>
      <c r="AG22" s="12">
        <v>32.4</v>
      </c>
      <c r="AH22" s="11">
        <v>34.112499999999997</v>
      </c>
      <c r="AI22" s="11">
        <v>35.975000000000001</v>
      </c>
      <c r="AJ22" s="11">
        <v>35.879166666666663</v>
      </c>
      <c r="AK22" s="12">
        <v>28.8</v>
      </c>
      <c r="AL22" s="11">
        <v>29.625</v>
      </c>
      <c r="AM22" s="11">
        <v>29.975000000000001</v>
      </c>
      <c r="AN22" s="10">
        <v>30.0625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13.311</v>
      </c>
      <c r="J23" s="39">
        <v>61.8</v>
      </c>
      <c r="K23" s="39">
        <v>61.7</v>
      </c>
      <c r="L23" s="39">
        <v>60.2</v>
      </c>
      <c r="M23" s="39">
        <v>59.8</v>
      </c>
      <c r="N23" s="39">
        <v>46.7</v>
      </c>
      <c r="O23" s="39">
        <v>57.4</v>
      </c>
      <c r="P23" s="39">
        <v>57.5</v>
      </c>
      <c r="Q23" s="39">
        <v>53</v>
      </c>
      <c r="R23" s="39">
        <v>55.5</v>
      </c>
      <c r="S23" s="39">
        <v>51</v>
      </c>
      <c r="T23" s="39">
        <v>58.1</v>
      </c>
      <c r="U23" s="39">
        <v>60.4</v>
      </c>
      <c r="V23" s="5">
        <f t="shared" si="0"/>
        <v>56.92499999999999</v>
      </c>
      <c r="W23" s="4">
        <f t="shared" si="1"/>
        <v>1.3389913096330115</v>
      </c>
      <c r="X23" s="2">
        <f t="shared" si="2"/>
        <v>46.7</v>
      </c>
      <c r="Y23" s="3">
        <f t="shared" si="3"/>
        <v>54.875</v>
      </c>
      <c r="Z23" s="2">
        <f t="shared" si="4"/>
        <v>57.8</v>
      </c>
      <c r="AA23" s="3">
        <f t="shared" si="5"/>
        <v>60.25</v>
      </c>
      <c r="AB23" s="3">
        <f t="shared" si="6"/>
        <v>61.8</v>
      </c>
      <c r="AC23" s="3">
        <f t="shared" si="7"/>
        <v>-1.107248798990339</v>
      </c>
      <c r="AD23" s="3">
        <f t="shared" si="8"/>
        <v>0.67148917497109117</v>
      </c>
      <c r="AF23" s="13" t="s">
        <v>65</v>
      </c>
      <c r="AG23" s="12">
        <v>44</v>
      </c>
      <c r="AH23" s="11">
        <v>47.75</v>
      </c>
      <c r="AI23" s="11">
        <v>52.4</v>
      </c>
      <c r="AJ23" s="11">
        <v>53.375</v>
      </c>
      <c r="AK23" s="12">
        <v>32.700000000000003</v>
      </c>
      <c r="AL23" s="11">
        <v>33.15</v>
      </c>
      <c r="AM23" s="11">
        <v>34.5</v>
      </c>
      <c r="AN23" s="10">
        <v>34.274999999999999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13.327</v>
      </c>
      <c r="J24" s="39">
        <v>40.9</v>
      </c>
      <c r="K24" s="39">
        <v>37.6</v>
      </c>
      <c r="L24" s="39">
        <v>35.200000000000003</v>
      </c>
      <c r="M24" s="39">
        <v>39.1</v>
      </c>
      <c r="N24" s="39">
        <v>34.1</v>
      </c>
      <c r="O24" s="39">
        <v>40.4</v>
      </c>
      <c r="P24" s="39">
        <v>37.299999999999997</v>
      </c>
      <c r="Q24" s="39">
        <v>40.4</v>
      </c>
      <c r="R24" s="39">
        <v>36.299999999999997</v>
      </c>
      <c r="S24" s="39">
        <v>37</v>
      </c>
      <c r="T24" s="39">
        <v>41.1</v>
      </c>
      <c r="U24" s="39">
        <v>44.6</v>
      </c>
      <c r="V24" s="5">
        <f t="shared" si="0"/>
        <v>38.666666666666671</v>
      </c>
      <c r="W24" s="4">
        <f t="shared" si="1"/>
        <v>0.85531611499237914</v>
      </c>
      <c r="X24" s="2">
        <f t="shared" si="2"/>
        <v>34.1</v>
      </c>
      <c r="Y24" s="3">
        <f t="shared" si="3"/>
        <v>36.825000000000003</v>
      </c>
      <c r="Z24" s="2">
        <f t="shared" si="4"/>
        <v>38.35</v>
      </c>
      <c r="AA24" s="3">
        <f t="shared" si="5"/>
        <v>40.524999999999999</v>
      </c>
      <c r="AB24" s="3">
        <f t="shared" si="6"/>
        <v>44.6</v>
      </c>
      <c r="AC24" s="3">
        <f t="shared" si="7"/>
        <v>0.3622641408065837</v>
      </c>
      <c r="AD24" s="3">
        <f t="shared" si="8"/>
        <v>-6.5503187864468959E-2</v>
      </c>
      <c r="AF24" s="13" t="s">
        <v>64</v>
      </c>
      <c r="AG24" s="12">
        <v>46.45</v>
      </c>
      <c r="AH24" s="11">
        <v>52.6875</v>
      </c>
      <c r="AI24" s="11">
        <v>56.125</v>
      </c>
      <c r="AJ24" s="11">
        <v>55.495833333333323</v>
      </c>
      <c r="AK24" s="12">
        <v>31.05</v>
      </c>
      <c r="AL24" s="11">
        <v>31.7</v>
      </c>
      <c r="AM24" s="11">
        <v>32.024999999999999</v>
      </c>
      <c r="AN24" s="10">
        <v>32.254166666666663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13.342000000000001</v>
      </c>
      <c r="J25" s="39">
        <v>40.700000000000003</v>
      </c>
      <c r="K25" s="39">
        <v>44.3</v>
      </c>
      <c r="L25" s="39">
        <v>42.7</v>
      </c>
      <c r="M25" s="39">
        <v>46.7</v>
      </c>
      <c r="N25" s="39">
        <v>36.5</v>
      </c>
      <c r="O25" s="39">
        <v>40.200000000000003</v>
      </c>
      <c r="P25" s="39">
        <v>41.7</v>
      </c>
      <c r="Q25" s="39">
        <v>41.3</v>
      </c>
      <c r="R25" s="39">
        <v>39.6</v>
      </c>
      <c r="S25" s="39">
        <v>43.2</v>
      </c>
      <c r="T25" s="39">
        <v>41.9</v>
      </c>
      <c r="U25" s="39">
        <v>47.6</v>
      </c>
      <c r="V25" s="5">
        <f t="shared" si="0"/>
        <v>42.2</v>
      </c>
      <c r="W25" s="4">
        <f t="shared" si="1"/>
        <v>0.87784170589352872</v>
      </c>
      <c r="X25" s="2">
        <f t="shared" si="2"/>
        <v>36.5</v>
      </c>
      <c r="Y25" s="3">
        <f t="shared" si="3"/>
        <v>40.575000000000003</v>
      </c>
      <c r="Z25" s="2">
        <f t="shared" si="4"/>
        <v>41.8</v>
      </c>
      <c r="AA25" s="3">
        <f t="shared" si="5"/>
        <v>43.475000000000001</v>
      </c>
      <c r="AB25" s="3">
        <f t="shared" si="6"/>
        <v>47.6</v>
      </c>
      <c r="AC25" s="3">
        <f t="shared" si="7"/>
        <v>0.17050100403517271</v>
      </c>
      <c r="AD25" s="3">
        <f t="shared" si="8"/>
        <v>0.39652991742964883</v>
      </c>
      <c r="AF25" s="13" t="s">
        <v>63</v>
      </c>
      <c r="AG25" s="12">
        <v>33.666666666666664</v>
      </c>
      <c r="AH25" s="11">
        <v>34.700000000000003</v>
      </c>
      <c r="AI25" s="11">
        <v>35.950000000000003</v>
      </c>
      <c r="AJ25" s="11">
        <v>35.924999999999997</v>
      </c>
      <c r="AK25" s="12">
        <v>30.3</v>
      </c>
      <c r="AL25" s="11">
        <v>30.966666666666669</v>
      </c>
      <c r="AM25" s="11">
        <v>31.266666666666666</v>
      </c>
      <c r="AN25" s="10">
        <v>31.311111111111114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13.481999999999999</v>
      </c>
      <c r="J26" s="39">
        <v>34.9</v>
      </c>
      <c r="K26" s="39">
        <v>34.200000000000003</v>
      </c>
      <c r="L26" s="39">
        <v>34.799999999999997</v>
      </c>
      <c r="M26" s="39">
        <v>37.299999999999997</v>
      </c>
      <c r="N26" s="39">
        <v>34.9</v>
      </c>
      <c r="O26" s="39">
        <v>35.299999999999997</v>
      </c>
      <c r="P26" s="39">
        <v>33.6</v>
      </c>
      <c r="Q26" s="39">
        <v>34</v>
      </c>
      <c r="R26" s="39">
        <v>32.6</v>
      </c>
      <c r="S26" s="39">
        <v>35.4</v>
      </c>
      <c r="T26" s="39">
        <v>32</v>
      </c>
      <c r="U26" s="39">
        <v>37</v>
      </c>
      <c r="V26" s="5">
        <f t="shared" si="0"/>
        <v>34.666666666666664</v>
      </c>
      <c r="W26" s="4">
        <f t="shared" si="1"/>
        <v>0.44912934853689024</v>
      </c>
      <c r="X26" s="2">
        <f t="shared" si="2"/>
        <v>32</v>
      </c>
      <c r="Y26" s="3">
        <f t="shared" si="3"/>
        <v>33.9</v>
      </c>
      <c r="Z26" s="2">
        <f t="shared" si="4"/>
        <v>34.849999999999994</v>
      </c>
      <c r="AA26" s="3">
        <f t="shared" si="5"/>
        <v>35.324999999999996</v>
      </c>
      <c r="AB26" s="3">
        <f t="shared" si="6"/>
        <v>37.299999999999997</v>
      </c>
      <c r="AC26" s="3">
        <f t="shared" si="7"/>
        <v>6.4860162357171819E-2</v>
      </c>
      <c r="AD26" s="3">
        <f t="shared" si="8"/>
        <v>-3.877408501334445E-2</v>
      </c>
      <c r="AF26" s="13" t="s">
        <v>62</v>
      </c>
      <c r="AG26" s="12">
        <v>32.25</v>
      </c>
      <c r="AH26" s="11">
        <v>34.1875</v>
      </c>
      <c r="AI26" s="11">
        <v>34.975000000000001</v>
      </c>
      <c r="AJ26" s="11">
        <v>34.912500000000001</v>
      </c>
      <c r="AK26" s="12">
        <v>29.1</v>
      </c>
      <c r="AL26" s="11">
        <v>29.856249999999999</v>
      </c>
      <c r="AM26" s="11">
        <v>30.387499999999999</v>
      </c>
      <c r="AN26" s="10">
        <v>30.45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13.497</v>
      </c>
      <c r="J27" s="39">
        <v>37.6</v>
      </c>
      <c r="K27" s="39">
        <v>36.299999999999997</v>
      </c>
      <c r="L27" s="39">
        <v>39.200000000000003</v>
      </c>
      <c r="M27" s="39">
        <v>39.4</v>
      </c>
      <c r="N27" s="39">
        <v>35.9</v>
      </c>
      <c r="O27" s="39">
        <v>35</v>
      </c>
      <c r="P27" s="39">
        <v>35.9</v>
      </c>
      <c r="Q27" s="39">
        <v>32.1</v>
      </c>
      <c r="R27" s="39">
        <v>35.4</v>
      </c>
      <c r="S27" s="39">
        <v>36.4</v>
      </c>
      <c r="T27" s="39">
        <v>34.299999999999997</v>
      </c>
      <c r="U27" s="39">
        <v>35.200000000000003</v>
      </c>
      <c r="V27" s="5">
        <f t="shared" si="0"/>
        <v>36.05833333333333</v>
      </c>
      <c r="W27" s="4">
        <f t="shared" si="1"/>
        <v>0.58185418528123778</v>
      </c>
      <c r="X27" s="2">
        <f t="shared" si="2"/>
        <v>32.1</v>
      </c>
      <c r="Y27" s="3">
        <f t="shared" si="3"/>
        <v>35.150000000000006</v>
      </c>
      <c r="Z27" s="2">
        <f t="shared" si="4"/>
        <v>35.9</v>
      </c>
      <c r="AA27" s="3">
        <f t="shared" si="5"/>
        <v>36.700000000000003</v>
      </c>
      <c r="AB27" s="3">
        <f t="shared" si="6"/>
        <v>39.4</v>
      </c>
      <c r="AC27" s="3">
        <f t="shared" si="7"/>
        <v>3.2959175395124642E-2</v>
      </c>
      <c r="AD27" s="3">
        <f t="shared" si="8"/>
        <v>0.59531972314450687</v>
      </c>
      <c r="AF27" s="9" t="s">
        <v>61</v>
      </c>
      <c r="AG27" s="8">
        <v>33.4</v>
      </c>
      <c r="AH27" s="7">
        <v>34.012500000000003</v>
      </c>
      <c r="AI27" s="7">
        <v>34.799999999999997</v>
      </c>
      <c r="AJ27" s="7">
        <v>35.24583333333333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13.512</v>
      </c>
      <c r="J28" s="39">
        <v>59.6</v>
      </c>
      <c r="K28" s="39">
        <v>48.4</v>
      </c>
      <c r="L28" s="39">
        <v>50.6</v>
      </c>
      <c r="M28" s="39">
        <v>50.2</v>
      </c>
      <c r="N28" s="39">
        <v>46.2</v>
      </c>
      <c r="O28" s="39">
        <v>55.8</v>
      </c>
      <c r="P28" s="39">
        <v>54.9</v>
      </c>
      <c r="Q28" s="39">
        <v>58.4</v>
      </c>
      <c r="R28" s="39">
        <v>59</v>
      </c>
      <c r="S28" s="39">
        <v>54</v>
      </c>
      <c r="T28" s="39">
        <v>57.7</v>
      </c>
      <c r="U28" s="39">
        <v>54</v>
      </c>
      <c r="V28" s="5">
        <f t="shared" si="0"/>
        <v>54.066666666666663</v>
      </c>
      <c r="W28" s="4">
        <f t="shared" si="1"/>
        <v>1.2661282747339653</v>
      </c>
      <c r="X28" s="2">
        <f t="shared" si="2"/>
        <v>46.2</v>
      </c>
      <c r="Y28" s="3">
        <f t="shared" si="3"/>
        <v>50.5</v>
      </c>
      <c r="Z28" s="2">
        <f t="shared" si="4"/>
        <v>54.45</v>
      </c>
      <c r="AA28" s="3">
        <f t="shared" si="5"/>
        <v>57.875</v>
      </c>
      <c r="AB28" s="3">
        <f t="shared" si="6"/>
        <v>59.6</v>
      </c>
      <c r="AC28" s="3">
        <f t="shared" si="7"/>
        <v>-0.4443304701833809</v>
      </c>
      <c r="AD28" s="3">
        <f t="shared" si="8"/>
        <v>-0.9270777376737902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13.528</v>
      </c>
      <c r="J29" s="39">
        <v>38.1</v>
      </c>
      <c r="K29" s="39">
        <v>41.1</v>
      </c>
      <c r="L29" s="39">
        <v>43.3</v>
      </c>
      <c r="M29" s="39">
        <v>41.2</v>
      </c>
      <c r="N29" s="39">
        <v>34.1</v>
      </c>
      <c r="O29" s="39">
        <v>35.200000000000003</v>
      </c>
      <c r="P29" s="39">
        <v>37.700000000000003</v>
      </c>
      <c r="Q29" s="39">
        <v>37.1</v>
      </c>
      <c r="R29" s="39">
        <v>35.299999999999997</v>
      </c>
      <c r="S29" s="39">
        <v>35.700000000000003</v>
      </c>
      <c r="T29" s="39">
        <v>35.4</v>
      </c>
      <c r="U29" s="39">
        <v>39.1</v>
      </c>
      <c r="V29" s="5">
        <f t="shared" si="0"/>
        <v>37.774999999999999</v>
      </c>
      <c r="W29" s="4">
        <f t="shared" si="1"/>
        <v>0.83413219285165774</v>
      </c>
      <c r="X29" s="2">
        <f t="shared" si="2"/>
        <v>34.1</v>
      </c>
      <c r="Y29" s="3">
        <f t="shared" si="3"/>
        <v>35.375</v>
      </c>
      <c r="Z29" s="2">
        <f t="shared" si="4"/>
        <v>37.400000000000006</v>
      </c>
      <c r="AA29" s="3">
        <f t="shared" si="5"/>
        <v>39.6</v>
      </c>
      <c r="AB29" s="3">
        <f t="shared" si="6"/>
        <v>43.3</v>
      </c>
      <c r="AC29" s="3">
        <f t="shared" si="7"/>
        <v>0.64863233275569132</v>
      </c>
      <c r="AD29" s="3">
        <f t="shared" si="8"/>
        <v>-0.62193345566023917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13.545999999999999</v>
      </c>
      <c r="J30" s="39">
        <v>37</v>
      </c>
      <c r="K30" s="39">
        <v>35.4</v>
      </c>
      <c r="L30" s="39">
        <v>34.1</v>
      </c>
      <c r="M30" s="39">
        <v>31.3</v>
      </c>
      <c r="N30" s="39">
        <v>32.799999999999997</v>
      </c>
      <c r="O30" s="39">
        <v>32.200000000000003</v>
      </c>
      <c r="P30" s="39">
        <v>29.1</v>
      </c>
      <c r="Q30" s="39">
        <v>33.799999999999997</v>
      </c>
      <c r="R30" s="39">
        <v>29.2</v>
      </c>
      <c r="S30" s="39">
        <v>33.200000000000003</v>
      </c>
      <c r="T30" s="39">
        <v>30.7</v>
      </c>
      <c r="U30" s="39">
        <v>37.700000000000003</v>
      </c>
      <c r="V30" s="5">
        <f t="shared" si="0"/>
        <v>33.041666666666664</v>
      </c>
      <c r="W30" s="4">
        <f t="shared" si="1"/>
        <v>0.79881145927856323</v>
      </c>
      <c r="X30" s="2">
        <f t="shared" si="2"/>
        <v>29.1</v>
      </c>
      <c r="Y30" s="3">
        <f t="shared" si="3"/>
        <v>31.15</v>
      </c>
      <c r="Z30" s="2">
        <f t="shared" si="4"/>
        <v>33</v>
      </c>
      <c r="AA30" s="3">
        <f t="shared" si="5"/>
        <v>34.424999999999997</v>
      </c>
      <c r="AB30" s="3">
        <f t="shared" si="6"/>
        <v>37.700000000000003</v>
      </c>
      <c r="AC30" s="3">
        <f t="shared" si="7"/>
        <v>0.21200380814471678</v>
      </c>
      <c r="AD30" s="3">
        <f t="shared" si="8"/>
        <v>-0.67963036050559156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13.561999999999999</v>
      </c>
      <c r="J31" s="39">
        <v>40.6</v>
      </c>
      <c r="K31" s="39">
        <v>40.299999999999997</v>
      </c>
      <c r="L31" s="39">
        <v>37.1</v>
      </c>
      <c r="M31" s="39">
        <v>45.6</v>
      </c>
      <c r="N31" s="39">
        <v>36.6</v>
      </c>
      <c r="O31" s="39">
        <v>36.6</v>
      </c>
      <c r="P31" s="39">
        <v>33.6</v>
      </c>
      <c r="Q31" s="39">
        <v>35.5</v>
      </c>
      <c r="R31" s="39">
        <v>31.3</v>
      </c>
      <c r="S31" s="39">
        <v>38.200000000000003</v>
      </c>
      <c r="T31" s="39">
        <v>32.200000000000003</v>
      </c>
      <c r="U31" s="39">
        <v>38.299999999999997</v>
      </c>
      <c r="V31" s="5">
        <f t="shared" si="0"/>
        <v>37.158333333333331</v>
      </c>
      <c r="W31" s="4">
        <f t="shared" si="1"/>
        <v>1.1358789370333364</v>
      </c>
      <c r="X31" s="2">
        <f t="shared" si="2"/>
        <v>31.3</v>
      </c>
      <c r="Y31" s="3">
        <f t="shared" si="3"/>
        <v>35.024999999999999</v>
      </c>
      <c r="Z31" s="2">
        <f t="shared" si="4"/>
        <v>36.85</v>
      </c>
      <c r="AA31" s="3">
        <f t="shared" si="5"/>
        <v>38.799999999999997</v>
      </c>
      <c r="AB31" s="3">
        <f t="shared" si="6"/>
        <v>45.6</v>
      </c>
      <c r="AC31" s="3">
        <f t="shared" si="7"/>
        <v>0.54264821688668063</v>
      </c>
      <c r="AD31" s="3">
        <f t="shared" si="8"/>
        <v>0.74510111521361999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13.576000000000001</v>
      </c>
      <c r="J32" s="39">
        <v>36.200000000000003</v>
      </c>
      <c r="K32" s="39">
        <v>35.1</v>
      </c>
      <c r="L32" s="39">
        <v>33.799999999999997</v>
      </c>
      <c r="M32" s="39">
        <v>37.6</v>
      </c>
      <c r="N32" s="39">
        <v>34.4</v>
      </c>
      <c r="O32" s="39">
        <v>36.6</v>
      </c>
      <c r="P32" s="39">
        <v>31.9</v>
      </c>
      <c r="Q32" s="39">
        <v>37.200000000000003</v>
      </c>
      <c r="R32" s="39">
        <v>33.200000000000003</v>
      </c>
      <c r="S32" s="39">
        <v>36.5</v>
      </c>
      <c r="T32" s="39">
        <v>32.9</v>
      </c>
      <c r="U32" s="39">
        <v>35.700000000000003</v>
      </c>
      <c r="V32" s="5">
        <f t="shared" si="0"/>
        <v>35.091666666666661</v>
      </c>
      <c r="W32" s="4">
        <f t="shared" si="1"/>
        <v>0.53164386765973548</v>
      </c>
      <c r="X32" s="2">
        <f t="shared" si="2"/>
        <v>31.9</v>
      </c>
      <c r="Y32" s="3">
        <f t="shared" si="3"/>
        <v>33.65</v>
      </c>
      <c r="Z32" s="2">
        <f t="shared" si="4"/>
        <v>35.400000000000006</v>
      </c>
      <c r="AA32" s="3">
        <f t="shared" si="5"/>
        <v>36.524999999999999</v>
      </c>
      <c r="AB32" s="3">
        <f t="shared" si="6"/>
        <v>37.6</v>
      </c>
      <c r="AC32" s="3">
        <f t="shared" si="7"/>
        <v>-0.33759192368045515</v>
      </c>
      <c r="AD32" s="3">
        <f t="shared" si="8"/>
        <v>-1.1190371784789068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13.590999999999999</v>
      </c>
      <c r="J33" s="39">
        <v>40.9</v>
      </c>
      <c r="K33" s="39">
        <v>36.1</v>
      </c>
      <c r="L33" s="39">
        <v>36.6</v>
      </c>
      <c r="M33" s="39">
        <v>38.4</v>
      </c>
      <c r="N33" s="39">
        <v>34.799999999999997</v>
      </c>
      <c r="O33" s="39">
        <v>42.4</v>
      </c>
      <c r="P33" s="39">
        <v>37.299999999999997</v>
      </c>
      <c r="Q33" s="39">
        <v>38.799999999999997</v>
      </c>
      <c r="R33" s="39">
        <v>32.9</v>
      </c>
      <c r="S33" s="39">
        <v>40.4</v>
      </c>
      <c r="T33" s="39">
        <v>36.200000000000003</v>
      </c>
      <c r="U33" s="39">
        <v>33.6</v>
      </c>
      <c r="V33" s="5">
        <f t="shared" si="0"/>
        <v>37.366666666666667</v>
      </c>
      <c r="W33" s="4">
        <f t="shared" si="1"/>
        <v>0.8457857502663042</v>
      </c>
      <c r="X33" s="2">
        <f t="shared" si="2"/>
        <v>32.9</v>
      </c>
      <c r="Y33" s="3">
        <f t="shared" si="3"/>
        <v>35.774999999999999</v>
      </c>
      <c r="Z33" s="2">
        <f t="shared" si="4"/>
        <v>36.950000000000003</v>
      </c>
      <c r="AA33" s="3">
        <f t="shared" si="5"/>
        <v>39.199999999999996</v>
      </c>
      <c r="AB33" s="3">
        <f t="shared" si="6"/>
        <v>42.4</v>
      </c>
      <c r="AC33" s="3">
        <f t="shared" si="7"/>
        <v>0.17372013932936381</v>
      </c>
      <c r="AD33" s="3">
        <f t="shared" si="8"/>
        <v>-0.75042853789804465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13.699</v>
      </c>
      <c r="J34" s="39">
        <v>38.700000000000003</v>
      </c>
      <c r="K34" s="39">
        <v>36</v>
      </c>
      <c r="L34" s="39">
        <v>35.299999999999997</v>
      </c>
      <c r="M34" s="39">
        <v>36.5</v>
      </c>
      <c r="N34" s="39">
        <v>40.200000000000003</v>
      </c>
      <c r="O34" s="39">
        <v>40.6</v>
      </c>
      <c r="P34" s="39">
        <v>35.4</v>
      </c>
      <c r="Q34" s="39">
        <v>40.1</v>
      </c>
      <c r="R34" s="39">
        <v>41.6</v>
      </c>
      <c r="S34" s="39">
        <v>36.4</v>
      </c>
      <c r="T34" s="39">
        <v>36.1</v>
      </c>
      <c r="U34" s="39">
        <v>36.1</v>
      </c>
      <c r="V34" s="5">
        <f t="shared" si="0"/>
        <v>37.750000000000007</v>
      </c>
      <c r="W34" s="4">
        <f t="shared" si="1"/>
        <v>0.66736705633316085</v>
      </c>
      <c r="X34" s="2">
        <f t="shared" si="2"/>
        <v>35.299999999999997</v>
      </c>
      <c r="Y34" s="3">
        <f t="shared" si="3"/>
        <v>36.075000000000003</v>
      </c>
      <c r="Z34" s="2">
        <f t="shared" si="4"/>
        <v>36.450000000000003</v>
      </c>
      <c r="AA34" s="3">
        <f t="shared" si="5"/>
        <v>40.125</v>
      </c>
      <c r="AB34" s="3">
        <f t="shared" si="6"/>
        <v>41.6</v>
      </c>
      <c r="AC34" s="3">
        <f t="shared" si="7"/>
        <v>0.55020174948126999</v>
      </c>
      <c r="AD34" s="3">
        <f t="shared" si="8"/>
        <v>-1.5535438162841877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13.683</v>
      </c>
      <c r="J35" s="39">
        <v>40.9</v>
      </c>
      <c r="K35" s="39">
        <v>44.1</v>
      </c>
      <c r="L35" s="39">
        <v>35.6</v>
      </c>
      <c r="M35" s="39">
        <v>44.6</v>
      </c>
      <c r="N35" s="39">
        <v>33.6</v>
      </c>
      <c r="O35" s="39">
        <v>36.9</v>
      </c>
      <c r="P35" s="39">
        <v>34</v>
      </c>
      <c r="Q35" s="39">
        <v>38.700000000000003</v>
      </c>
      <c r="R35" s="39">
        <v>33</v>
      </c>
      <c r="S35" s="39">
        <v>42.6</v>
      </c>
      <c r="T35" s="39">
        <v>37.6</v>
      </c>
      <c r="U35" s="39">
        <v>38.799999999999997</v>
      </c>
      <c r="V35" s="5">
        <f t="shared" si="0"/>
        <v>38.366666666666667</v>
      </c>
      <c r="W35" s="4">
        <f t="shared" si="1"/>
        <v>1.1591097245452451</v>
      </c>
      <c r="X35" s="2">
        <f t="shared" si="2"/>
        <v>33</v>
      </c>
      <c r="Y35" s="3">
        <f t="shared" si="3"/>
        <v>35.200000000000003</v>
      </c>
      <c r="Z35" s="2">
        <f t="shared" si="4"/>
        <v>38.150000000000006</v>
      </c>
      <c r="AA35" s="3">
        <f t="shared" si="5"/>
        <v>41.325000000000003</v>
      </c>
      <c r="AB35" s="3">
        <f t="shared" si="6"/>
        <v>44.6</v>
      </c>
      <c r="AC35" s="3">
        <f t="shared" si="7"/>
        <v>0.25611361063295263</v>
      </c>
      <c r="AD35" s="3">
        <f t="shared" si="8"/>
        <v>-1.1686655798909436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13.667999999999999</v>
      </c>
      <c r="J36" s="39">
        <v>38</v>
      </c>
      <c r="K36" s="39">
        <v>32.6</v>
      </c>
      <c r="L36" s="39">
        <v>37.6</v>
      </c>
      <c r="M36" s="39">
        <v>31.4</v>
      </c>
      <c r="N36" s="39">
        <v>38.4</v>
      </c>
      <c r="O36" s="39">
        <v>34.700000000000003</v>
      </c>
      <c r="P36" s="39">
        <v>31.7</v>
      </c>
      <c r="Q36" s="39">
        <v>38.200000000000003</v>
      </c>
      <c r="R36" s="39">
        <v>31.6</v>
      </c>
      <c r="S36" s="39">
        <v>32.9</v>
      </c>
      <c r="T36" s="39">
        <v>38</v>
      </c>
      <c r="U36" s="39">
        <v>40.200000000000003</v>
      </c>
      <c r="V36" s="5">
        <f t="shared" si="0"/>
        <v>35.441666666666663</v>
      </c>
      <c r="W36" s="4">
        <f t="shared" si="1"/>
        <v>0.94118383974759179</v>
      </c>
      <c r="X36" s="2">
        <f t="shared" si="2"/>
        <v>31.4</v>
      </c>
      <c r="Y36" s="3">
        <f t="shared" si="3"/>
        <v>32.375</v>
      </c>
      <c r="Z36" s="2">
        <f t="shared" si="4"/>
        <v>36.150000000000006</v>
      </c>
      <c r="AA36" s="3">
        <f t="shared" si="5"/>
        <v>38.049999999999997</v>
      </c>
      <c r="AB36" s="3">
        <f t="shared" si="6"/>
        <v>40.200000000000003</v>
      </c>
      <c r="AC36" s="3">
        <f t="shared" si="7"/>
        <v>-5.2623289014879629E-2</v>
      </c>
      <c r="AD36" s="3">
        <f t="shared" si="8"/>
        <v>-1.8824124069863633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13.651999999999999</v>
      </c>
      <c r="J37" s="39">
        <v>40.6</v>
      </c>
      <c r="K37" s="39">
        <v>33.6</v>
      </c>
      <c r="L37" s="39">
        <v>38.9</v>
      </c>
      <c r="M37" s="39">
        <v>43</v>
      </c>
      <c r="N37" s="39">
        <v>33.700000000000003</v>
      </c>
      <c r="O37" s="39">
        <v>35.5</v>
      </c>
      <c r="P37" s="39">
        <v>34.5</v>
      </c>
      <c r="Q37" s="39">
        <v>38</v>
      </c>
      <c r="R37" s="39">
        <v>33.1</v>
      </c>
      <c r="S37" s="39">
        <v>38</v>
      </c>
      <c r="T37" s="39">
        <v>32.9</v>
      </c>
      <c r="U37" s="39">
        <v>38.799999999999997</v>
      </c>
      <c r="V37" s="5">
        <f t="shared" si="0"/>
        <v>36.716666666666669</v>
      </c>
      <c r="W37" s="4">
        <f t="shared" si="1"/>
        <v>0.95273397136977334</v>
      </c>
      <c r="X37" s="2">
        <f t="shared" si="2"/>
        <v>32.9</v>
      </c>
      <c r="Y37" s="3">
        <f t="shared" si="3"/>
        <v>33.675000000000004</v>
      </c>
      <c r="Z37" s="2">
        <f t="shared" si="4"/>
        <v>36.75</v>
      </c>
      <c r="AA37" s="3">
        <f t="shared" si="5"/>
        <v>38.824999999999996</v>
      </c>
      <c r="AB37" s="3">
        <f t="shared" si="6"/>
        <v>43</v>
      </c>
      <c r="AC37" s="3">
        <f t="shared" si="7"/>
        <v>0.47638126192377528</v>
      </c>
      <c r="AD37" s="3">
        <f t="shared" si="8"/>
        <v>-0.81941039417011652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13.635999999999999</v>
      </c>
      <c r="J38" s="39">
        <v>61</v>
      </c>
      <c r="K38" s="39">
        <v>49</v>
      </c>
      <c r="L38" s="39">
        <v>48.3</v>
      </c>
      <c r="M38" s="39">
        <v>58.1</v>
      </c>
      <c r="N38" s="39">
        <v>47.8</v>
      </c>
      <c r="O38" s="39">
        <v>55.8</v>
      </c>
      <c r="P38" s="39">
        <v>46.4</v>
      </c>
      <c r="Q38" s="39">
        <v>60.7</v>
      </c>
      <c r="R38" s="39">
        <v>44</v>
      </c>
      <c r="S38" s="39">
        <v>61</v>
      </c>
      <c r="T38" s="39">
        <v>47.6</v>
      </c>
      <c r="U38" s="39">
        <v>60.8</v>
      </c>
      <c r="V38" s="5">
        <f t="shared" si="0"/>
        <v>53.374999999999993</v>
      </c>
      <c r="W38" s="4">
        <f t="shared" si="1"/>
        <v>1.9445777371341315</v>
      </c>
      <c r="X38" s="2">
        <f t="shared" si="2"/>
        <v>44</v>
      </c>
      <c r="Y38" s="3">
        <f t="shared" si="3"/>
        <v>47.75</v>
      </c>
      <c r="Z38" s="2">
        <f t="shared" si="4"/>
        <v>52.4</v>
      </c>
      <c r="AA38" s="3">
        <f t="shared" si="5"/>
        <v>60.725000000000001</v>
      </c>
      <c r="AB38" s="3">
        <f t="shared" si="6"/>
        <v>61</v>
      </c>
      <c r="AC38" s="3">
        <f t="shared" si="7"/>
        <v>2.3244185907103903E-2</v>
      </c>
      <c r="AD38" s="3">
        <f t="shared" si="8"/>
        <v>-2.0120799930026885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13.618</v>
      </c>
      <c r="J39" s="39">
        <v>35.700000000000003</v>
      </c>
      <c r="K39" s="39">
        <v>34.4</v>
      </c>
      <c r="L39" s="39">
        <v>34</v>
      </c>
      <c r="M39" s="39">
        <v>37.700000000000003</v>
      </c>
      <c r="N39" s="39">
        <v>32.799999999999997</v>
      </c>
      <c r="O39" s="39">
        <v>35</v>
      </c>
      <c r="P39" s="39">
        <v>34</v>
      </c>
      <c r="Q39" s="39">
        <v>34.700000000000003</v>
      </c>
      <c r="R39" s="39">
        <v>31.4</v>
      </c>
      <c r="S39" s="39">
        <v>36.4</v>
      </c>
      <c r="T39" s="39">
        <v>33.299999999999997</v>
      </c>
      <c r="U39" s="39">
        <v>34.9</v>
      </c>
      <c r="V39" s="5">
        <f t="shared" si="0"/>
        <v>34.524999999999999</v>
      </c>
      <c r="W39" s="4">
        <f t="shared" si="1"/>
        <v>0.47817915369692082</v>
      </c>
      <c r="X39" s="2">
        <f t="shared" si="2"/>
        <v>31.4</v>
      </c>
      <c r="Y39" s="3">
        <f t="shared" si="3"/>
        <v>33.825000000000003</v>
      </c>
      <c r="Z39" s="2">
        <f t="shared" si="4"/>
        <v>34.549999999999997</v>
      </c>
      <c r="AA39" s="3">
        <f t="shared" si="5"/>
        <v>35.174999999999997</v>
      </c>
      <c r="AB39" s="3">
        <f t="shared" si="6"/>
        <v>37.700000000000003</v>
      </c>
      <c r="AC39" s="3">
        <f t="shared" si="7"/>
        <v>6.252782774293901E-2</v>
      </c>
      <c r="AD39" s="3">
        <f t="shared" si="8"/>
        <v>0.62525980929118852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13.461</v>
      </c>
      <c r="J40" s="47">
        <v>33.4</v>
      </c>
      <c r="K40" s="47">
        <v>38.700000000000003</v>
      </c>
      <c r="L40" s="47">
        <v>34.700000000000003</v>
      </c>
      <c r="M40" s="47">
        <v>37.4</v>
      </c>
      <c r="N40" s="47">
        <v>33.6</v>
      </c>
      <c r="O40" s="47">
        <v>35.6</v>
      </c>
      <c r="P40" s="47">
        <v>33.9</v>
      </c>
      <c r="Q40" s="47">
        <v>35.299999999999997</v>
      </c>
      <c r="R40" s="47">
        <v>34.799999999999997</v>
      </c>
      <c r="S40" s="47">
        <v>35</v>
      </c>
      <c r="T40" s="47">
        <v>36.9</v>
      </c>
      <c r="U40" s="47">
        <v>34.5</v>
      </c>
      <c r="V40" s="49">
        <f t="shared" si="0"/>
        <v>35.316666666666663</v>
      </c>
      <c r="W40" s="48">
        <f t="shared" si="1"/>
        <v>0.46398036356916861</v>
      </c>
      <c r="X40" s="47">
        <f t="shared" si="2"/>
        <v>33.4</v>
      </c>
      <c r="Y40" s="46">
        <f t="shared" si="3"/>
        <v>34.35</v>
      </c>
      <c r="Z40" s="47">
        <f t="shared" si="4"/>
        <v>34.9</v>
      </c>
      <c r="AA40" s="46">
        <f t="shared" si="5"/>
        <v>35.924999999999997</v>
      </c>
      <c r="AB40" s="46">
        <f t="shared" si="6"/>
        <v>38.700000000000003</v>
      </c>
      <c r="AC40" s="46">
        <f t="shared" si="7"/>
        <v>0.94245954757097583</v>
      </c>
      <c r="AD40" s="46">
        <f t="shared" si="8"/>
        <v>0.28857013338380355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13.445</v>
      </c>
      <c r="J41" s="39">
        <v>38.6</v>
      </c>
      <c r="K41" s="39">
        <v>36.1</v>
      </c>
      <c r="L41" s="39">
        <v>33.6</v>
      </c>
      <c r="M41" s="39">
        <v>37.9</v>
      </c>
      <c r="N41" s="39">
        <v>32.799999999999997</v>
      </c>
      <c r="O41" s="39">
        <v>38.4</v>
      </c>
      <c r="P41" s="39">
        <v>32.799999999999997</v>
      </c>
      <c r="Q41" s="39">
        <v>37.799999999999997</v>
      </c>
      <c r="R41" s="39">
        <v>33</v>
      </c>
      <c r="S41" s="39">
        <v>38.5</v>
      </c>
      <c r="T41" s="39">
        <v>32.6</v>
      </c>
      <c r="U41" s="39">
        <v>39.200000000000003</v>
      </c>
      <c r="V41" s="5">
        <f t="shared" si="0"/>
        <v>35.94166666666667</v>
      </c>
      <c r="W41" s="4">
        <f t="shared" si="1"/>
        <v>0.79118805309075269</v>
      </c>
      <c r="X41" s="2">
        <f t="shared" si="2"/>
        <v>32.6</v>
      </c>
      <c r="Y41" s="3">
        <f t="shared" si="3"/>
        <v>32.950000000000003</v>
      </c>
      <c r="Z41" s="2">
        <f t="shared" si="4"/>
        <v>36.950000000000003</v>
      </c>
      <c r="AA41" s="3">
        <f t="shared" si="5"/>
        <v>38.424999999999997</v>
      </c>
      <c r="AB41" s="3">
        <f t="shared" si="6"/>
        <v>39.200000000000003</v>
      </c>
      <c r="AC41" s="3">
        <f t="shared" si="7"/>
        <v>-0.20515106462152566</v>
      </c>
      <c r="AD41" s="3">
        <f t="shared" si="8"/>
        <v>-2.0977002544579184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13.435</v>
      </c>
      <c r="J42" s="47">
        <v>61.2</v>
      </c>
      <c r="K42" s="47">
        <v>62.9</v>
      </c>
      <c r="L42" s="47">
        <v>62.7</v>
      </c>
      <c r="M42" s="47">
        <v>63.5</v>
      </c>
      <c r="N42" s="47">
        <v>62.2</v>
      </c>
      <c r="O42" s="47">
        <v>62.6</v>
      </c>
      <c r="P42" s="47">
        <v>63.1</v>
      </c>
      <c r="Q42" s="47">
        <v>64.2</v>
      </c>
      <c r="R42" s="47">
        <v>62.1</v>
      </c>
      <c r="S42" s="47">
        <v>63.1</v>
      </c>
      <c r="T42" s="47">
        <v>63.5</v>
      </c>
      <c r="U42" s="47">
        <v>63.8</v>
      </c>
      <c r="V42" s="49">
        <f t="shared" ref="V42:V73" si="9">AVERAGE(J42:U42)</f>
        <v>62.908333333333331</v>
      </c>
      <c r="W42" s="48">
        <f t="shared" ref="W42:W73" si="10">STDEV(J42:U42)/SQRT(COUNT(J42:U42))</f>
        <v>0.23755647919617076</v>
      </c>
      <c r="X42" s="47">
        <f t="shared" ref="X42:X73" si="11">MIN(J42:U42)</f>
        <v>61.2</v>
      </c>
      <c r="Y42" s="46">
        <f t="shared" ref="Y42:Y73" si="12">QUARTILE(J42:U42,1)</f>
        <v>62.5</v>
      </c>
      <c r="Z42" s="47">
        <f t="shared" ref="Z42:Z73" si="13">MEDIAN(J42:U42)</f>
        <v>63</v>
      </c>
      <c r="AA42" s="46">
        <f t="shared" ref="AA42:AA73" si="14">QUARTILE(J42:U42,3)</f>
        <v>63.5</v>
      </c>
      <c r="AB42" s="46">
        <f t="shared" ref="AB42:AB73" si="15">MAX(J42:U42)</f>
        <v>64.2</v>
      </c>
      <c r="AC42" s="46">
        <f t="shared" ref="AC42:AC73" si="16">SKEW(J42:U42)</f>
        <v>-0.51194930307451691</v>
      </c>
      <c r="AD42" s="46">
        <f t="shared" ref="AD42:AD73" si="17">KURT(J42:U42)</f>
        <v>0.38892080831107645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13.419</v>
      </c>
      <c r="J43" s="39">
        <v>64.400000000000006</v>
      </c>
      <c r="K43" s="39">
        <v>52.1</v>
      </c>
      <c r="L43" s="39">
        <v>56.3</v>
      </c>
      <c r="M43" s="39">
        <v>57.7</v>
      </c>
      <c r="N43" s="39">
        <v>46.5</v>
      </c>
      <c r="O43" s="39">
        <v>58.3</v>
      </c>
      <c r="P43" s="39">
        <v>56.4</v>
      </c>
      <c r="Q43" s="39">
        <v>64.099999999999994</v>
      </c>
      <c r="R43" s="39">
        <v>50.7</v>
      </c>
      <c r="S43" s="39">
        <v>56.8</v>
      </c>
      <c r="T43" s="39">
        <v>51.1</v>
      </c>
      <c r="U43" s="39">
        <v>54</v>
      </c>
      <c r="V43" s="5">
        <f t="shared" si="9"/>
        <v>55.699999999999996</v>
      </c>
      <c r="W43" s="4">
        <f t="shared" si="10"/>
        <v>1.5218609023365459</v>
      </c>
      <c r="X43" s="2">
        <f t="shared" si="11"/>
        <v>46.5</v>
      </c>
      <c r="Y43" s="3">
        <f t="shared" si="12"/>
        <v>51.85</v>
      </c>
      <c r="Z43" s="2">
        <f t="shared" si="13"/>
        <v>56.349999999999994</v>
      </c>
      <c r="AA43" s="3">
        <f t="shared" si="14"/>
        <v>57.85</v>
      </c>
      <c r="AB43" s="3">
        <f t="shared" si="15"/>
        <v>64.400000000000006</v>
      </c>
      <c r="AC43" s="3">
        <f t="shared" si="16"/>
        <v>0.1683270672319053</v>
      </c>
      <c r="AD43" s="3">
        <f t="shared" si="17"/>
        <v>-0.11978238496463289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13.411</v>
      </c>
      <c r="J44" s="47">
        <v>33.700000000000003</v>
      </c>
      <c r="K44" s="47">
        <v>37.4</v>
      </c>
      <c r="L44" s="47">
        <v>33.4</v>
      </c>
      <c r="M44" s="47">
        <v>36.6</v>
      </c>
      <c r="N44" s="47">
        <v>34.9</v>
      </c>
      <c r="O44" s="47">
        <v>34.5</v>
      </c>
      <c r="P44" s="47">
        <v>34.9</v>
      </c>
      <c r="Q44" s="47">
        <v>34.4</v>
      </c>
      <c r="R44" s="47">
        <v>36.299999999999997</v>
      </c>
      <c r="S44" s="47">
        <v>33.5</v>
      </c>
      <c r="T44" s="47">
        <v>38.9</v>
      </c>
      <c r="U44" s="47">
        <v>33.6</v>
      </c>
      <c r="V44" s="49">
        <f t="shared" si="9"/>
        <v>35.175000000000004</v>
      </c>
      <c r="W44" s="48">
        <f t="shared" si="10"/>
        <v>0.50708988504519725</v>
      </c>
      <c r="X44" s="47">
        <f t="shared" si="11"/>
        <v>33.4</v>
      </c>
      <c r="Y44" s="46">
        <f t="shared" si="12"/>
        <v>33.675000000000004</v>
      </c>
      <c r="Z44" s="47">
        <f t="shared" si="13"/>
        <v>34.700000000000003</v>
      </c>
      <c r="AA44" s="46">
        <f t="shared" si="14"/>
        <v>36.375</v>
      </c>
      <c r="AB44" s="46">
        <f t="shared" si="15"/>
        <v>38.9</v>
      </c>
      <c r="AC44" s="46">
        <f t="shared" si="16"/>
        <v>0.98209581154541148</v>
      </c>
      <c r="AD44" s="46">
        <f t="shared" si="17"/>
        <v>0.13768349676147107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13.394</v>
      </c>
      <c r="J45" s="39">
        <v>38.5</v>
      </c>
      <c r="K45" s="39">
        <v>38.700000000000003</v>
      </c>
      <c r="L45" s="39">
        <v>34.1</v>
      </c>
      <c r="M45" s="39">
        <v>38</v>
      </c>
      <c r="N45" s="39">
        <v>32.799999999999997</v>
      </c>
      <c r="O45" s="39">
        <v>36.5</v>
      </c>
      <c r="P45" s="39">
        <v>33.4</v>
      </c>
      <c r="Q45" s="39">
        <v>37.799999999999997</v>
      </c>
      <c r="R45" s="39">
        <v>32.200000000000003</v>
      </c>
      <c r="S45" s="39">
        <v>37.799999999999997</v>
      </c>
      <c r="T45" s="39">
        <v>33.5</v>
      </c>
      <c r="U45" s="39">
        <v>37.9</v>
      </c>
      <c r="V45" s="5">
        <f t="shared" si="9"/>
        <v>35.93333333333333</v>
      </c>
      <c r="W45" s="4">
        <f t="shared" si="10"/>
        <v>0.72366212329157376</v>
      </c>
      <c r="X45" s="2">
        <f t="shared" si="11"/>
        <v>32.200000000000003</v>
      </c>
      <c r="Y45" s="3">
        <f t="shared" si="12"/>
        <v>33.475000000000001</v>
      </c>
      <c r="Z45" s="2">
        <f t="shared" si="13"/>
        <v>37.15</v>
      </c>
      <c r="AA45" s="3">
        <f t="shared" si="14"/>
        <v>37.924999999999997</v>
      </c>
      <c r="AB45" s="3">
        <f t="shared" si="15"/>
        <v>38.700000000000003</v>
      </c>
      <c r="AC45" s="3">
        <f t="shared" si="16"/>
        <v>-0.35950335965999225</v>
      </c>
      <c r="AD45" s="3">
        <f t="shared" si="17"/>
        <v>-1.8875698258980851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13.385</v>
      </c>
      <c r="J46" s="47">
        <v>61</v>
      </c>
      <c r="K46" s="47">
        <v>63.2</v>
      </c>
      <c r="L46" s="47">
        <v>63.3</v>
      </c>
      <c r="M46" s="47">
        <v>63.8</v>
      </c>
      <c r="N46" s="47">
        <v>62.8</v>
      </c>
      <c r="O46" s="47">
        <v>62</v>
      </c>
      <c r="P46" s="47">
        <v>63.8</v>
      </c>
      <c r="Q46" s="47">
        <v>63.9</v>
      </c>
      <c r="R46" s="47">
        <v>64.599999999999994</v>
      </c>
      <c r="S46" s="47">
        <v>61.5</v>
      </c>
      <c r="T46" s="47">
        <v>62.3</v>
      </c>
      <c r="U46" s="47">
        <v>63.3</v>
      </c>
      <c r="V46" s="49">
        <f t="shared" si="9"/>
        <v>62.958333333333321</v>
      </c>
      <c r="W46" s="48">
        <f t="shared" si="10"/>
        <v>0.30931457296820797</v>
      </c>
      <c r="X46" s="47">
        <f t="shared" si="11"/>
        <v>61</v>
      </c>
      <c r="Y46" s="46">
        <f t="shared" si="12"/>
        <v>62.224999999999994</v>
      </c>
      <c r="Z46" s="47">
        <f t="shared" si="13"/>
        <v>63.25</v>
      </c>
      <c r="AA46" s="46">
        <f t="shared" si="14"/>
        <v>63.8</v>
      </c>
      <c r="AB46" s="46">
        <f t="shared" si="15"/>
        <v>64.599999999999994</v>
      </c>
      <c r="AC46" s="46">
        <f t="shared" si="16"/>
        <v>-0.46427207063582404</v>
      </c>
      <c r="AD46" s="46">
        <f t="shared" si="17"/>
        <v>-0.52512733906242337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13.368</v>
      </c>
      <c r="J47" s="39">
        <v>63.3</v>
      </c>
      <c r="K47" s="39">
        <v>55.8</v>
      </c>
      <c r="L47" s="39">
        <v>45.9</v>
      </c>
      <c r="M47" s="39">
        <v>58.9</v>
      </c>
      <c r="N47" s="39">
        <v>44.3</v>
      </c>
      <c r="O47" s="39">
        <v>60.6</v>
      </c>
      <c r="P47" s="39">
        <v>39.799999999999997</v>
      </c>
      <c r="Q47" s="39">
        <v>61.9</v>
      </c>
      <c r="R47" s="39">
        <v>44.4</v>
      </c>
      <c r="S47" s="39">
        <v>60.9</v>
      </c>
      <c r="T47" s="39">
        <v>54.8</v>
      </c>
      <c r="U47" s="39">
        <v>57.2</v>
      </c>
      <c r="V47" s="5">
        <f t="shared" si="9"/>
        <v>53.983333333333327</v>
      </c>
      <c r="W47" s="4">
        <f t="shared" si="10"/>
        <v>2.3543909118191584</v>
      </c>
      <c r="X47" s="2">
        <f t="shared" si="11"/>
        <v>39.799999999999997</v>
      </c>
      <c r="Y47" s="3">
        <f t="shared" si="12"/>
        <v>45.524999999999999</v>
      </c>
      <c r="Z47" s="2">
        <f t="shared" si="13"/>
        <v>56.5</v>
      </c>
      <c r="AA47" s="3">
        <f t="shared" si="14"/>
        <v>60.674999999999997</v>
      </c>
      <c r="AB47" s="3">
        <f t="shared" si="15"/>
        <v>63.3</v>
      </c>
      <c r="AC47" s="3">
        <f t="shared" si="16"/>
        <v>-0.62042772634329324</v>
      </c>
      <c r="AD47" s="3">
        <f t="shared" si="17"/>
        <v>-1.2435699429626514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13.208</v>
      </c>
      <c r="J48" s="39">
        <v>30.6</v>
      </c>
      <c r="K48" s="39">
        <v>30.8</v>
      </c>
      <c r="L48" s="39">
        <v>30.4</v>
      </c>
      <c r="M48" s="39">
        <v>32.5</v>
      </c>
      <c r="N48" s="39">
        <v>31.6</v>
      </c>
      <c r="O48" s="39">
        <v>31.6</v>
      </c>
      <c r="P48" s="39">
        <v>33.4</v>
      </c>
      <c r="Q48" s="39">
        <v>29.7</v>
      </c>
      <c r="R48" s="39">
        <v>30.2</v>
      </c>
      <c r="S48" s="39">
        <v>29.3</v>
      </c>
      <c r="T48" s="39">
        <v>29.5</v>
      </c>
      <c r="U48" s="39">
        <v>31.2</v>
      </c>
      <c r="V48" s="5">
        <f t="shared" si="9"/>
        <v>30.900000000000002</v>
      </c>
      <c r="W48" s="4">
        <f t="shared" si="10"/>
        <v>0.35547663265485724</v>
      </c>
      <c r="X48" s="2">
        <f t="shared" si="11"/>
        <v>29.3</v>
      </c>
      <c r="Y48" s="3">
        <f t="shared" si="12"/>
        <v>30.074999999999999</v>
      </c>
      <c r="Z48" s="2">
        <f t="shared" si="13"/>
        <v>30.700000000000003</v>
      </c>
      <c r="AA48" s="3">
        <f t="shared" si="14"/>
        <v>31.6</v>
      </c>
      <c r="AB48" s="3">
        <f t="shared" si="15"/>
        <v>33.4</v>
      </c>
      <c r="AC48" s="3">
        <f t="shared" si="16"/>
        <v>0.66426899775649417</v>
      </c>
      <c r="AD48" s="3">
        <f t="shared" si="17"/>
        <v>2.0053022330248638E-3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13.192</v>
      </c>
      <c r="J49" s="39">
        <v>29</v>
      </c>
      <c r="K49" s="39">
        <v>29.6</v>
      </c>
      <c r="L49" s="39">
        <v>30.2</v>
      </c>
      <c r="M49" s="39">
        <v>30</v>
      </c>
      <c r="N49" s="39">
        <v>32.200000000000003</v>
      </c>
      <c r="O49" s="39">
        <v>30.6</v>
      </c>
      <c r="P49" s="39">
        <v>30.1</v>
      </c>
      <c r="Q49" s="39">
        <v>29.1</v>
      </c>
      <c r="R49" s="39">
        <v>31.2</v>
      </c>
      <c r="S49" s="39">
        <v>31.3</v>
      </c>
      <c r="T49" s="39">
        <v>32.799999999999997</v>
      </c>
      <c r="U49" s="39">
        <v>29.7</v>
      </c>
      <c r="V49" s="5">
        <f t="shared" si="9"/>
        <v>30.483333333333334</v>
      </c>
      <c r="W49" s="4">
        <f t="shared" si="10"/>
        <v>0.34241418596120499</v>
      </c>
      <c r="X49" s="2">
        <f t="shared" si="11"/>
        <v>29</v>
      </c>
      <c r="Y49" s="3">
        <f t="shared" si="12"/>
        <v>29.675000000000001</v>
      </c>
      <c r="Z49" s="2">
        <f t="shared" si="13"/>
        <v>30.15</v>
      </c>
      <c r="AA49" s="3">
        <f t="shared" si="14"/>
        <v>31.225000000000001</v>
      </c>
      <c r="AB49" s="3">
        <f t="shared" si="15"/>
        <v>32.799999999999997</v>
      </c>
      <c r="AC49" s="3">
        <f t="shared" si="16"/>
        <v>0.72779376075804558</v>
      </c>
      <c r="AD49" s="3">
        <f t="shared" si="17"/>
        <v>-0.23090364727292823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13.176</v>
      </c>
      <c r="J50" s="39">
        <v>29.5</v>
      </c>
      <c r="K50" s="39">
        <v>29.7</v>
      </c>
      <c r="L50" s="39">
        <v>29.9</v>
      </c>
      <c r="M50" s="39">
        <v>30.1</v>
      </c>
      <c r="N50" s="39">
        <v>29.6</v>
      </c>
      <c r="O50" s="39">
        <v>29.1</v>
      </c>
      <c r="P50" s="39">
        <v>29.4</v>
      </c>
      <c r="Q50" s="39">
        <v>31.4</v>
      </c>
      <c r="R50" s="39">
        <v>30.4</v>
      </c>
      <c r="S50" s="39">
        <v>30.4</v>
      </c>
      <c r="T50" s="39">
        <v>28.9</v>
      </c>
      <c r="U50" s="39">
        <v>30</v>
      </c>
      <c r="V50" s="5">
        <f t="shared" si="9"/>
        <v>29.86666666666666</v>
      </c>
      <c r="W50" s="4">
        <f t="shared" si="10"/>
        <v>0.19397490205246293</v>
      </c>
      <c r="X50" s="2">
        <f t="shared" si="11"/>
        <v>28.9</v>
      </c>
      <c r="Y50" s="3">
        <f t="shared" si="12"/>
        <v>29.475000000000001</v>
      </c>
      <c r="Z50" s="2">
        <f t="shared" si="13"/>
        <v>29.799999999999997</v>
      </c>
      <c r="AA50" s="3">
        <f t="shared" si="14"/>
        <v>30.175000000000001</v>
      </c>
      <c r="AB50" s="3">
        <f t="shared" si="15"/>
        <v>31.4</v>
      </c>
      <c r="AC50" s="3">
        <f t="shared" si="16"/>
        <v>0.86120339571414428</v>
      </c>
      <c r="AD50" s="3">
        <f t="shared" si="17"/>
        <v>1.3639563983604805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13.16</v>
      </c>
      <c r="J51" s="39">
        <v>28.8</v>
      </c>
      <c r="K51" s="39">
        <v>30</v>
      </c>
      <c r="L51" s="39">
        <v>30.3</v>
      </c>
      <c r="M51" s="39">
        <v>30.1</v>
      </c>
      <c r="N51" s="39">
        <v>31.4</v>
      </c>
      <c r="O51" s="39">
        <v>30.6</v>
      </c>
      <c r="P51" s="39">
        <v>30.7</v>
      </c>
      <c r="Q51" s="39">
        <v>30.7</v>
      </c>
      <c r="R51" s="39">
        <v>30.8</v>
      </c>
      <c r="S51" s="39">
        <v>31.7</v>
      </c>
      <c r="T51" s="39">
        <v>31.7</v>
      </c>
      <c r="U51" s="39">
        <v>31.6</v>
      </c>
      <c r="V51" s="5">
        <f t="shared" si="9"/>
        <v>30.7</v>
      </c>
      <c r="W51" s="4">
        <f t="shared" si="10"/>
        <v>0.24525805828048772</v>
      </c>
      <c r="X51" s="2">
        <f t="shared" si="11"/>
        <v>28.8</v>
      </c>
      <c r="Y51" s="3">
        <f t="shared" si="12"/>
        <v>30.25</v>
      </c>
      <c r="Z51" s="2">
        <f t="shared" si="13"/>
        <v>30.7</v>
      </c>
      <c r="AA51" s="3">
        <f t="shared" si="14"/>
        <v>31.45</v>
      </c>
      <c r="AB51" s="3">
        <f t="shared" si="15"/>
        <v>31.7</v>
      </c>
      <c r="AC51" s="3">
        <f t="shared" si="16"/>
        <v>-0.78448640988874108</v>
      </c>
      <c r="AD51" s="3">
        <f t="shared" si="17"/>
        <v>0.90357466895925675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13.145</v>
      </c>
      <c r="J52" s="39">
        <v>29.9</v>
      </c>
      <c r="K52" s="39">
        <v>29.5</v>
      </c>
      <c r="L52" s="39">
        <v>29.6</v>
      </c>
      <c r="M52" s="39">
        <v>29.9</v>
      </c>
      <c r="N52" s="39">
        <v>29.2</v>
      </c>
      <c r="O52" s="39">
        <v>31.9</v>
      </c>
      <c r="P52" s="39">
        <v>29.9</v>
      </c>
      <c r="Q52" s="39">
        <v>29.4</v>
      </c>
      <c r="R52" s="39">
        <v>29.8</v>
      </c>
      <c r="S52" s="39">
        <v>30.4</v>
      </c>
      <c r="T52" s="39">
        <v>30.7</v>
      </c>
      <c r="U52" s="39">
        <v>30.8</v>
      </c>
      <c r="V52" s="5">
        <f t="shared" si="9"/>
        <v>30.083333333333332</v>
      </c>
      <c r="W52" s="4">
        <f t="shared" si="10"/>
        <v>0.21840792156426053</v>
      </c>
      <c r="X52" s="2">
        <f t="shared" si="11"/>
        <v>29.2</v>
      </c>
      <c r="Y52" s="3">
        <f t="shared" si="12"/>
        <v>29.575000000000003</v>
      </c>
      <c r="Z52" s="2">
        <f t="shared" si="13"/>
        <v>29.9</v>
      </c>
      <c r="AA52" s="3">
        <f t="shared" si="14"/>
        <v>30.474999999999998</v>
      </c>
      <c r="AB52" s="3">
        <f t="shared" si="15"/>
        <v>31.9</v>
      </c>
      <c r="AC52" s="3">
        <f t="shared" si="16"/>
        <v>1.3271822784575065</v>
      </c>
      <c r="AD52" s="3">
        <f t="shared" si="17"/>
        <v>1.8900677377399679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13.129</v>
      </c>
      <c r="J53" s="39">
        <v>31</v>
      </c>
      <c r="K53" s="39">
        <v>30.1</v>
      </c>
      <c r="L53" s="39">
        <v>31</v>
      </c>
      <c r="M53" s="39">
        <v>30.5</v>
      </c>
      <c r="N53" s="39">
        <v>31.6</v>
      </c>
      <c r="O53" s="39">
        <v>30.6</v>
      </c>
      <c r="P53" s="39">
        <v>30.9</v>
      </c>
      <c r="Q53" s="39">
        <v>29.8</v>
      </c>
      <c r="R53" s="39">
        <v>31</v>
      </c>
      <c r="S53" s="39">
        <v>30.9</v>
      </c>
      <c r="T53" s="39">
        <v>30.9</v>
      </c>
      <c r="U53" s="39">
        <v>31.8</v>
      </c>
      <c r="V53" s="5">
        <f t="shared" si="9"/>
        <v>30.841666666666665</v>
      </c>
      <c r="W53" s="4">
        <f t="shared" si="10"/>
        <v>0.16023577955782858</v>
      </c>
      <c r="X53" s="2">
        <f t="shared" si="11"/>
        <v>29.8</v>
      </c>
      <c r="Y53" s="3">
        <f t="shared" si="12"/>
        <v>30.575000000000003</v>
      </c>
      <c r="Z53" s="2">
        <f t="shared" si="13"/>
        <v>30.9</v>
      </c>
      <c r="AA53" s="3">
        <f t="shared" si="14"/>
        <v>31</v>
      </c>
      <c r="AB53" s="3">
        <f t="shared" si="15"/>
        <v>31.8</v>
      </c>
      <c r="AC53" s="3">
        <f t="shared" si="16"/>
        <v>-0.16808993504988837</v>
      </c>
      <c r="AD53" s="3">
        <f t="shared" si="17"/>
        <v>0.4037819679938135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13.114000000000001</v>
      </c>
      <c r="J54" s="39">
        <v>31.2</v>
      </c>
      <c r="K54" s="39">
        <v>31.1</v>
      </c>
      <c r="L54" s="39">
        <v>30.1</v>
      </c>
      <c r="M54" s="39">
        <v>29.9</v>
      </c>
      <c r="N54" s="39">
        <v>30.8</v>
      </c>
      <c r="O54" s="39">
        <v>31.1</v>
      </c>
      <c r="P54" s="39">
        <v>31</v>
      </c>
      <c r="Q54" s="39">
        <v>29.8</v>
      </c>
      <c r="R54" s="39">
        <v>30.1</v>
      </c>
      <c r="S54" s="39">
        <v>31</v>
      </c>
      <c r="T54" s="39">
        <v>33</v>
      </c>
      <c r="U54" s="39">
        <v>30.1</v>
      </c>
      <c r="V54" s="5">
        <f t="shared" si="9"/>
        <v>30.766666666666669</v>
      </c>
      <c r="W54" s="4">
        <f t="shared" si="10"/>
        <v>0.25415735203995099</v>
      </c>
      <c r="X54" s="2">
        <f t="shared" si="11"/>
        <v>29.8</v>
      </c>
      <c r="Y54" s="3">
        <f t="shared" si="12"/>
        <v>30.1</v>
      </c>
      <c r="Z54" s="2">
        <f t="shared" si="13"/>
        <v>30.9</v>
      </c>
      <c r="AA54" s="3">
        <f t="shared" si="14"/>
        <v>31.1</v>
      </c>
      <c r="AB54" s="3">
        <f t="shared" si="15"/>
        <v>33</v>
      </c>
      <c r="AC54" s="3">
        <f t="shared" si="16"/>
        <v>1.4189932066109998</v>
      </c>
      <c r="AD54" s="3">
        <f t="shared" si="17"/>
        <v>3.0405455664700671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13.086</v>
      </c>
      <c r="J55" s="39">
        <v>31.4</v>
      </c>
      <c r="K55" s="39">
        <v>30.3</v>
      </c>
      <c r="L55" s="39">
        <v>31.1</v>
      </c>
      <c r="M55" s="39">
        <v>29.7</v>
      </c>
      <c r="N55" s="39">
        <v>29.5</v>
      </c>
      <c r="O55" s="39">
        <v>31.4</v>
      </c>
      <c r="P55" s="39">
        <v>30.8</v>
      </c>
      <c r="Q55" s="39">
        <v>30.3</v>
      </c>
      <c r="R55" s="39">
        <v>31.4</v>
      </c>
      <c r="S55" s="39">
        <v>31.3</v>
      </c>
      <c r="T55" s="39">
        <v>29.5</v>
      </c>
      <c r="U55" s="39">
        <v>30.7</v>
      </c>
      <c r="V55" s="5">
        <f t="shared" si="9"/>
        <v>30.616666666666671</v>
      </c>
      <c r="W55" s="4">
        <f t="shared" si="10"/>
        <v>0.21526352184795228</v>
      </c>
      <c r="X55" s="2">
        <f t="shared" si="11"/>
        <v>29.5</v>
      </c>
      <c r="Y55" s="3">
        <f t="shared" si="12"/>
        <v>30.15</v>
      </c>
      <c r="Z55" s="2">
        <f t="shared" si="13"/>
        <v>30.75</v>
      </c>
      <c r="AA55" s="3">
        <f t="shared" si="14"/>
        <v>31.324999999999999</v>
      </c>
      <c r="AB55" s="3">
        <f t="shared" si="15"/>
        <v>31.4</v>
      </c>
      <c r="AC55" s="3">
        <f t="shared" si="16"/>
        <v>-0.45722226886234518</v>
      </c>
      <c r="AD55" s="3">
        <f t="shared" si="17"/>
        <v>-1.3633077682661394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13.234999999999999</v>
      </c>
      <c r="J56" s="39">
        <v>30.6</v>
      </c>
      <c r="K56" s="39">
        <v>32.5</v>
      </c>
      <c r="L56" s="39">
        <v>28.4</v>
      </c>
      <c r="M56" s="39">
        <v>29.9</v>
      </c>
      <c r="N56" s="39">
        <v>29.8</v>
      </c>
      <c r="O56" s="39">
        <v>30.1</v>
      </c>
      <c r="P56" s="39">
        <v>30.2</v>
      </c>
      <c r="Q56" s="39">
        <v>30.8</v>
      </c>
      <c r="R56" s="39">
        <v>30.1</v>
      </c>
      <c r="S56" s="39">
        <v>28.8</v>
      </c>
      <c r="T56" s="39">
        <v>29.3</v>
      </c>
      <c r="U56" s="39">
        <v>30</v>
      </c>
      <c r="V56" s="5">
        <f t="shared" si="9"/>
        <v>30.041666666666671</v>
      </c>
      <c r="W56" s="4">
        <f t="shared" si="10"/>
        <v>0.29935747692332493</v>
      </c>
      <c r="X56" s="2">
        <f t="shared" si="11"/>
        <v>28.4</v>
      </c>
      <c r="Y56" s="3">
        <f t="shared" si="12"/>
        <v>29.675000000000001</v>
      </c>
      <c r="Z56" s="2">
        <f t="shared" si="13"/>
        <v>30.05</v>
      </c>
      <c r="AA56" s="3">
        <f t="shared" si="14"/>
        <v>30.3</v>
      </c>
      <c r="AB56" s="3">
        <f t="shared" si="15"/>
        <v>32.5</v>
      </c>
      <c r="AC56" s="3">
        <f t="shared" si="16"/>
        <v>0.85180297551078754</v>
      </c>
      <c r="AD56" s="3">
        <f t="shared" si="17"/>
        <v>2.3569594193292751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13.250999999999999</v>
      </c>
      <c r="J57" s="39">
        <v>31.6</v>
      </c>
      <c r="K57" s="39">
        <v>31.7</v>
      </c>
      <c r="L57" s="39">
        <v>31.7</v>
      </c>
      <c r="M57" s="39">
        <v>30.9</v>
      </c>
      <c r="N57" s="39">
        <v>31.5</v>
      </c>
      <c r="O57" s="39">
        <v>31.2</v>
      </c>
      <c r="P57" s="39">
        <v>32.299999999999997</v>
      </c>
      <c r="Q57" s="39">
        <v>32.799999999999997</v>
      </c>
      <c r="R57" s="39">
        <v>32.9</v>
      </c>
      <c r="S57" s="39">
        <v>33.299999999999997</v>
      </c>
      <c r="T57" s="39">
        <v>32.799999999999997</v>
      </c>
      <c r="U57" s="39">
        <v>32.5</v>
      </c>
      <c r="V57" s="5">
        <f t="shared" si="9"/>
        <v>32.1</v>
      </c>
      <c r="W57" s="4">
        <f t="shared" si="10"/>
        <v>0.22087978356535642</v>
      </c>
      <c r="X57" s="2">
        <f t="shared" si="11"/>
        <v>30.9</v>
      </c>
      <c r="Y57" s="3">
        <f t="shared" si="12"/>
        <v>31.575000000000003</v>
      </c>
      <c r="Z57" s="2">
        <f t="shared" si="13"/>
        <v>32</v>
      </c>
      <c r="AA57" s="3">
        <f t="shared" si="14"/>
        <v>32.799999999999997</v>
      </c>
      <c r="AB57" s="3">
        <f t="shared" si="15"/>
        <v>33.299999999999997</v>
      </c>
      <c r="AC57" s="3">
        <f t="shared" si="16"/>
        <v>1.7534011377248089E-2</v>
      </c>
      <c r="AD57" s="3">
        <f t="shared" si="17"/>
        <v>-1.2916862775355868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13.266999999999999</v>
      </c>
      <c r="J58" s="39">
        <v>30.8</v>
      </c>
      <c r="K58" s="39">
        <v>29</v>
      </c>
      <c r="L58" s="39">
        <v>29.9</v>
      </c>
      <c r="M58" s="39">
        <v>30.4</v>
      </c>
      <c r="N58" s="39">
        <v>30.3</v>
      </c>
      <c r="O58" s="39">
        <v>30.8</v>
      </c>
      <c r="P58" s="39">
        <v>30.8</v>
      </c>
      <c r="Q58" s="39">
        <v>30.7</v>
      </c>
      <c r="R58" s="39">
        <v>30.8</v>
      </c>
      <c r="S58" s="39">
        <v>30</v>
      </c>
      <c r="T58" s="39">
        <v>29.3</v>
      </c>
      <c r="U58" s="39">
        <v>31.3</v>
      </c>
      <c r="V58" s="5">
        <f t="shared" si="9"/>
        <v>30.341666666666669</v>
      </c>
      <c r="W58" s="4">
        <f t="shared" si="10"/>
        <v>0.19635247115657331</v>
      </c>
      <c r="X58" s="2">
        <f t="shared" si="11"/>
        <v>29</v>
      </c>
      <c r="Y58" s="3">
        <f t="shared" si="12"/>
        <v>29.975000000000001</v>
      </c>
      <c r="Z58" s="2">
        <f t="shared" si="13"/>
        <v>30.549999999999997</v>
      </c>
      <c r="AA58" s="3">
        <f t="shared" si="14"/>
        <v>30.8</v>
      </c>
      <c r="AB58" s="3">
        <f t="shared" si="15"/>
        <v>31.3</v>
      </c>
      <c r="AC58" s="3">
        <f t="shared" si="16"/>
        <v>-0.81812965799417792</v>
      </c>
      <c r="AD58" s="3">
        <f t="shared" si="17"/>
        <v>1.9893022336326283E-2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13.284000000000001</v>
      </c>
      <c r="J59" s="39">
        <v>29.8</v>
      </c>
      <c r="K59" s="39">
        <v>30.6</v>
      </c>
      <c r="L59" s="39">
        <v>30.7</v>
      </c>
      <c r="M59" s="39">
        <v>30.5</v>
      </c>
      <c r="N59" s="39">
        <v>31</v>
      </c>
      <c r="O59" s="39">
        <v>30.9</v>
      </c>
      <c r="P59" s="39">
        <v>29.3</v>
      </c>
      <c r="Q59" s="39">
        <v>30.3</v>
      </c>
      <c r="R59" s="39">
        <v>30.8</v>
      </c>
      <c r="S59" s="39">
        <v>29.3</v>
      </c>
      <c r="T59" s="39">
        <v>29.2</v>
      </c>
      <c r="U59" s="39">
        <v>29.4</v>
      </c>
      <c r="V59" s="5">
        <f t="shared" si="9"/>
        <v>30.150000000000002</v>
      </c>
      <c r="W59" s="4">
        <f t="shared" si="10"/>
        <v>0.20207259421636903</v>
      </c>
      <c r="X59" s="2">
        <f t="shared" si="11"/>
        <v>29.2</v>
      </c>
      <c r="Y59" s="3">
        <f t="shared" si="12"/>
        <v>29.375</v>
      </c>
      <c r="Z59" s="2">
        <f t="shared" si="13"/>
        <v>30.4</v>
      </c>
      <c r="AA59" s="3">
        <f t="shared" si="14"/>
        <v>30.725000000000001</v>
      </c>
      <c r="AB59" s="3">
        <f t="shared" si="15"/>
        <v>31</v>
      </c>
      <c r="AC59" s="3">
        <f t="shared" si="16"/>
        <v>-0.29769414259211335</v>
      </c>
      <c r="AD59" s="3">
        <f t="shared" si="17"/>
        <v>-1.8315550338873896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13.298999999999999</v>
      </c>
      <c r="J60" s="39">
        <v>30</v>
      </c>
      <c r="K60" s="39">
        <v>29.8</v>
      </c>
      <c r="L60" s="39">
        <v>29.9</v>
      </c>
      <c r="M60" s="39">
        <v>30.9</v>
      </c>
      <c r="N60" s="39">
        <v>31</v>
      </c>
      <c r="O60" s="39">
        <v>30.6</v>
      </c>
      <c r="P60" s="39">
        <v>31.5</v>
      </c>
      <c r="Q60" s="39">
        <v>29.5</v>
      </c>
      <c r="R60" s="39">
        <v>29.2</v>
      </c>
      <c r="S60" s="39">
        <v>29.3</v>
      </c>
      <c r="T60" s="39">
        <v>29.7</v>
      </c>
      <c r="U60" s="39">
        <v>30.5</v>
      </c>
      <c r="V60" s="5">
        <f t="shared" si="9"/>
        <v>30.158333333333331</v>
      </c>
      <c r="W60" s="4">
        <f t="shared" si="10"/>
        <v>0.21122239225493825</v>
      </c>
      <c r="X60" s="2">
        <f t="shared" si="11"/>
        <v>29.2</v>
      </c>
      <c r="Y60" s="3">
        <f t="shared" si="12"/>
        <v>29.65</v>
      </c>
      <c r="Z60" s="2">
        <f t="shared" si="13"/>
        <v>29.95</v>
      </c>
      <c r="AA60" s="3">
        <f t="shared" si="14"/>
        <v>30.675000000000001</v>
      </c>
      <c r="AB60" s="3">
        <f t="shared" si="15"/>
        <v>31.5</v>
      </c>
      <c r="AC60" s="3">
        <f t="shared" si="16"/>
        <v>0.44111904238218674</v>
      </c>
      <c r="AD60" s="3">
        <f t="shared" si="17"/>
        <v>-0.87988760031562885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13.315</v>
      </c>
      <c r="J61" s="39">
        <v>32.1</v>
      </c>
      <c r="K61" s="39">
        <v>33</v>
      </c>
      <c r="L61" s="39">
        <v>32.700000000000003</v>
      </c>
      <c r="M61" s="39">
        <v>33.200000000000003</v>
      </c>
      <c r="N61" s="39">
        <v>32.1</v>
      </c>
      <c r="O61" s="39">
        <v>33</v>
      </c>
      <c r="P61" s="39">
        <v>34</v>
      </c>
      <c r="Q61" s="39">
        <v>31.8</v>
      </c>
      <c r="R61" s="39">
        <v>31.9</v>
      </c>
      <c r="S61" s="39">
        <v>31.7</v>
      </c>
      <c r="T61" s="39">
        <v>31.6</v>
      </c>
      <c r="U61" s="39">
        <v>32.4</v>
      </c>
      <c r="V61" s="5">
        <f t="shared" si="9"/>
        <v>32.458333333333329</v>
      </c>
      <c r="W61" s="4">
        <f t="shared" si="10"/>
        <v>0.2112223922549383</v>
      </c>
      <c r="X61" s="2">
        <f t="shared" si="11"/>
        <v>31.6</v>
      </c>
      <c r="Y61" s="3">
        <f t="shared" si="12"/>
        <v>31.875</v>
      </c>
      <c r="Z61" s="2">
        <f t="shared" si="13"/>
        <v>32.25</v>
      </c>
      <c r="AA61" s="3">
        <f t="shared" si="14"/>
        <v>33</v>
      </c>
      <c r="AB61" s="3">
        <f t="shared" si="15"/>
        <v>34</v>
      </c>
      <c r="AC61" s="3">
        <f t="shared" si="16"/>
        <v>0.77529720494233212</v>
      </c>
      <c r="AD61" s="3">
        <f t="shared" si="17"/>
        <v>-9.9595036202293485E-3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13.332000000000001</v>
      </c>
      <c r="J62" s="39">
        <v>28.4</v>
      </c>
      <c r="K62" s="39">
        <v>29.3</v>
      </c>
      <c r="L62" s="39">
        <v>29.4</v>
      </c>
      <c r="M62" s="39">
        <v>30</v>
      </c>
      <c r="N62" s="39">
        <v>29.6</v>
      </c>
      <c r="O62" s="39">
        <v>28.9</v>
      </c>
      <c r="P62" s="39">
        <v>29.3</v>
      </c>
      <c r="Q62" s="39">
        <v>29.2</v>
      </c>
      <c r="R62" s="39">
        <v>28.6</v>
      </c>
      <c r="S62" s="39">
        <v>28.7</v>
      </c>
      <c r="T62" s="39">
        <v>29</v>
      </c>
      <c r="U62" s="39">
        <v>29.4</v>
      </c>
      <c r="V62" s="5">
        <f t="shared" si="9"/>
        <v>29.149999999999995</v>
      </c>
      <c r="W62" s="4">
        <f t="shared" si="10"/>
        <v>0.13055824196677346</v>
      </c>
      <c r="X62" s="2">
        <f t="shared" si="11"/>
        <v>28.4</v>
      </c>
      <c r="Y62" s="3">
        <f t="shared" si="12"/>
        <v>28.849999999999998</v>
      </c>
      <c r="Z62" s="2">
        <f t="shared" si="13"/>
        <v>29.25</v>
      </c>
      <c r="AA62" s="3">
        <f t="shared" si="14"/>
        <v>29.4</v>
      </c>
      <c r="AB62" s="3">
        <f t="shared" si="15"/>
        <v>30</v>
      </c>
      <c r="AC62" s="3">
        <f t="shared" si="16"/>
        <v>5.3065996645724242E-2</v>
      </c>
      <c r="AD62" s="3">
        <f t="shared" si="17"/>
        <v>-0.17226271604937926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13.347</v>
      </c>
      <c r="J63" s="39">
        <v>32.6</v>
      </c>
      <c r="K63" s="39">
        <v>36.700000000000003</v>
      </c>
      <c r="L63" s="39">
        <v>30.8</v>
      </c>
      <c r="M63" s="39">
        <v>28.4</v>
      </c>
      <c r="N63" s="39">
        <v>28.8</v>
      </c>
      <c r="O63" s="39">
        <v>28.9</v>
      </c>
      <c r="P63" s="39">
        <v>30.7</v>
      </c>
      <c r="Q63" s="39">
        <v>29</v>
      </c>
      <c r="R63" s="39">
        <v>30.5</v>
      </c>
      <c r="S63" s="39">
        <v>30.5</v>
      </c>
      <c r="T63" s="39">
        <v>29.7</v>
      </c>
      <c r="U63" s="39">
        <v>30.9</v>
      </c>
      <c r="V63" s="5">
        <f t="shared" si="9"/>
        <v>30.624999999999996</v>
      </c>
      <c r="W63" s="4">
        <f t="shared" si="10"/>
        <v>0.6496065242619079</v>
      </c>
      <c r="X63" s="2">
        <f t="shared" si="11"/>
        <v>28.4</v>
      </c>
      <c r="Y63" s="3">
        <f t="shared" si="12"/>
        <v>28.975000000000001</v>
      </c>
      <c r="Z63" s="2">
        <f t="shared" si="13"/>
        <v>30.5</v>
      </c>
      <c r="AA63" s="3">
        <f t="shared" si="14"/>
        <v>30.824999999999999</v>
      </c>
      <c r="AB63" s="3">
        <f t="shared" si="15"/>
        <v>36.700000000000003</v>
      </c>
      <c r="AC63" s="3">
        <f t="shared" si="16"/>
        <v>1.9588978106642718</v>
      </c>
      <c r="AD63" s="3">
        <f t="shared" si="17"/>
        <v>4.7504516967056141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13.486000000000001</v>
      </c>
      <c r="J64" s="39">
        <v>30</v>
      </c>
      <c r="K64" s="39">
        <v>29.5</v>
      </c>
      <c r="L64" s="39">
        <v>29.3</v>
      </c>
      <c r="M64" s="39">
        <v>28.9</v>
      </c>
      <c r="N64" s="39">
        <v>28.8</v>
      </c>
      <c r="O64" s="39">
        <v>30.7</v>
      </c>
      <c r="P64" s="39">
        <v>31.5</v>
      </c>
      <c r="Q64" s="39">
        <v>32</v>
      </c>
      <c r="R64" s="39">
        <v>30.6</v>
      </c>
      <c r="S64" s="39">
        <v>30.2</v>
      </c>
      <c r="T64" s="39">
        <v>29.3</v>
      </c>
      <c r="U64" s="39">
        <v>29.6</v>
      </c>
      <c r="V64" s="5">
        <f t="shared" si="9"/>
        <v>30.033333333333335</v>
      </c>
      <c r="W64" s="4">
        <f t="shared" si="10"/>
        <v>0.2908538457644313</v>
      </c>
      <c r="X64" s="2">
        <f t="shared" si="11"/>
        <v>28.8</v>
      </c>
      <c r="Y64" s="3">
        <f t="shared" si="12"/>
        <v>29.3</v>
      </c>
      <c r="Z64" s="2">
        <f t="shared" si="13"/>
        <v>29.8</v>
      </c>
      <c r="AA64" s="3">
        <f t="shared" si="14"/>
        <v>30.625</v>
      </c>
      <c r="AB64" s="3">
        <f t="shared" si="15"/>
        <v>32</v>
      </c>
      <c r="AC64" s="3">
        <f t="shared" si="16"/>
        <v>0.73496643763232505</v>
      </c>
      <c r="AD64" s="3">
        <f t="shared" si="17"/>
        <v>-0.27999055468924716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13.500999999999999</v>
      </c>
      <c r="J65" s="39">
        <v>30</v>
      </c>
      <c r="K65" s="39">
        <v>30</v>
      </c>
      <c r="L65" s="39">
        <v>28.5</v>
      </c>
      <c r="M65" s="39">
        <v>29.7</v>
      </c>
      <c r="N65" s="39">
        <v>30</v>
      </c>
      <c r="O65" s="39">
        <v>29</v>
      </c>
      <c r="P65" s="39">
        <v>30.1</v>
      </c>
      <c r="Q65" s="39">
        <v>28.4</v>
      </c>
      <c r="R65" s="39">
        <v>29.3</v>
      </c>
      <c r="S65" s="39">
        <v>29.6</v>
      </c>
      <c r="T65" s="39">
        <v>31.2</v>
      </c>
      <c r="U65" s="39">
        <v>29.1</v>
      </c>
      <c r="V65" s="5">
        <f t="shared" si="9"/>
        <v>29.575000000000003</v>
      </c>
      <c r="W65" s="4">
        <f t="shared" si="10"/>
        <v>0.22432558859160431</v>
      </c>
      <c r="X65" s="2">
        <f t="shared" si="11"/>
        <v>28.4</v>
      </c>
      <c r="Y65" s="3">
        <f t="shared" si="12"/>
        <v>29.075000000000003</v>
      </c>
      <c r="Z65" s="2">
        <f t="shared" si="13"/>
        <v>29.65</v>
      </c>
      <c r="AA65" s="3">
        <f t="shared" si="14"/>
        <v>30</v>
      </c>
      <c r="AB65" s="3">
        <f t="shared" si="15"/>
        <v>31.2</v>
      </c>
      <c r="AC65" s="3">
        <f t="shared" si="16"/>
        <v>0.34531572374182934</v>
      </c>
      <c r="AD65" s="3">
        <f t="shared" si="17"/>
        <v>0.52756379247749141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13.516999999999999</v>
      </c>
      <c r="J66" s="39">
        <v>32.200000000000003</v>
      </c>
      <c r="K66" s="39">
        <v>31.3</v>
      </c>
      <c r="L66" s="39">
        <v>33.799999999999997</v>
      </c>
      <c r="M66" s="39">
        <v>31.8</v>
      </c>
      <c r="N66" s="39">
        <v>31.8</v>
      </c>
      <c r="O66" s="39">
        <v>34.299999999999997</v>
      </c>
      <c r="P66" s="39">
        <v>31</v>
      </c>
      <c r="Q66" s="39">
        <v>31.6</v>
      </c>
      <c r="R66" s="39">
        <v>31.6</v>
      </c>
      <c r="S66" s="39">
        <v>30.5</v>
      </c>
      <c r="T66" s="39">
        <v>32.1</v>
      </c>
      <c r="U66" s="39">
        <v>32.6</v>
      </c>
      <c r="V66" s="5">
        <f t="shared" si="9"/>
        <v>32.050000000000004</v>
      </c>
      <c r="W66" s="4">
        <f t="shared" si="10"/>
        <v>0.31442588373674996</v>
      </c>
      <c r="X66" s="2">
        <f t="shared" si="11"/>
        <v>30.5</v>
      </c>
      <c r="Y66" s="3">
        <f t="shared" si="12"/>
        <v>31.525000000000002</v>
      </c>
      <c r="Z66" s="2">
        <f t="shared" si="13"/>
        <v>31.8</v>
      </c>
      <c r="AA66" s="3">
        <f t="shared" si="14"/>
        <v>32.300000000000004</v>
      </c>
      <c r="AB66" s="3">
        <f t="shared" si="15"/>
        <v>34.299999999999997</v>
      </c>
      <c r="AC66" s="3">
        <f t="shared" si="16"/>
        <v>0.96267777479973571</v>
      </c>
      <c r="AD66" s="3">
        <f t="shared" si="17"/>
        <v>0.72414720864341842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13.532999999999999</v>
      </c>
      <c r="J67" s="39">
        <v>30.6</v>
      </c>
      <c r="K67" s="39">
        <v>29.7</v>
      </c>
      <c r="L67" s="39">
        <v>30.2</v>
      </c>
      <c r="M67" s="39">
        <v>30.3</v>
      </c>
      <c r="N67" s="39">
        <v>29.2</v>
      </c>
      <c r="O67" s="39">
        <v>30.4</v>
      </c>
      <c r="P67" s="39">
        <v>29.9</v>
      </c>
      <c r="Q67" s="39">
        <v>30.6</v>
      </c>
      <c r="R67" s="39">
        <v>30</v>
      </c>
      <c r="S67" s="39">
        <v>31.9</v>
      </c>
      <c r="T67" s="39">
        <v>29.5</v>
      </c>
      <c r="U67" s="39">
        <v>34.1</v>
      </c>
      <c r="V67" s="5">
        <f t="shared" si="9"/>
        <v>30.533333333333331</v>
      </c>
      <c r="W67" s="4">
        <f t="shared" si="10"/>
        <v>0.37946000973738864</v>
      </c>
      <c r="X67" s="2">
        <f t="shared" si="11"/>
        <v>29.2</v>
      </c>
      <c r="Y67" s="3">
        <f t="shared" si="12"/>
        <v>29.849999999999998</v>
      </c>
      <c r="Z67" s="2">
        <f t="shared" si="13"/>
        <v>30.25</v>
      </c>
      <c r="AA67" s="3">
        <f t="shared" si="14"/>
        <v>30.6</v>
      </c>
      <c r="AB67" s="3">
        <f t="shared" si="15"/>
        <v>34.1</v>
      </c>
      <c r="AC67" s="3">
        <f t="shared" si="16"/>
        <v>2.085246232079601</v>
      </c>
      <c r="AD67" s="3">
        <f t="shared" si="17"/>
        <v>4.9579012502274669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13.551</v>
      </c>
      <c r="J68" s="39">
        <v>28.8</v>
      </c>
      <c r="K68" s="39">
        <v>29.2</v>
      </c>
      <c r="L68" s="39">
        <v>27</v>
      </c>
      <c r="M68" s="39">
        <v>30.8</v>
      </c>
      <c r="N68" s="39">
        <v>27.8</v>
      </c>
      <c r="O68" s="39">
        <v>30.6</v>
      </c>
      <c r="P68" s="39">
        <v>28.3</v>
      </c>
      <c r="Q68" s="39">
        <v>28.8</v>
      </c>
      <c r="R68" s="39">
        <v>29.8</v>
      </c>
      <c r="S68" s="39">
        <v>29.3</v>
      </c>
      <c r="T68" s="39">
        <v>29.2</v>
      </c>
      <c r="U68" s="39">
        <v>29.4</v>
      </c>
      <c r="V68" s="5">
        <f t="shared" si="9"/>
        <v>29.083333333333332</v>
      </c>
      <c r="W68" s="4">
        <f t="shared" si="10"/>
        <v>0.31014007913661967</v>
      </c>
      <c r="X68" s="2">
        <f t="shared" si="11"/>
        <v>27</v>
      </c>
      <c r="Y68" s="3">
        <f t="shared" si="12"/>
        <v>28.675000000000001</v>
      </c>
      <c r="Z68" s="2">
        <f t="shared" si="13"/>
        <v>29.2</v>
      </c>
      <c r="AA68" s="3">
        <f t="shared" si="14"/>
        <v>29.5</v>
      </c>
      <c r="AB68" s="3">
        <f t="shared" si="15"/>
        <v>30.8</v>
      </c>
      <c r="AC68" s="3">
        <f t="shared" si="16"/>
        <v>-0.2393807853171282</v>
      </c>
      <c r="AD68" s="3">
        <f t="shared" si="17"/>
        <v>0.24730255358917219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13.566000000000001</v>
      </c>
      <c r="J69" s="39">
        <v>29.9</v>
      </c>
      <c r="K69" s="39">
        <v>30.2</v>
      </c>
      <c r="L69" s="39">
        <v>29.1</v>
      </c>
      <c r="M69" s="39">
        <v>29.3</v>
      </c>
      <c r="N69" s="39">
        <v>29.8</v>
      </c>
      <c r="O69" s="39">
        <v>29.3</v>
      </c>
      <c r="P69" s="39">
        <v>29.5</v>
      </c>
      <c r="Q69" s="39">
        <v>29.6</v>
      </c>
      <c r="R69" s="39">
        <v>31.1</v>
      </c>
      <c r="S69" s="39">
        <v>28.6</v>
      </c>
      <c r="T69" s="39">
        <v>29.6</v>
      </c>
      <c r="U69" s="39">
        <v>29.7</v>
      </c>
      <c r="V69" s="5">
        <f t="shared" si="9"/>
        <v>29.641666666666669</v>
      </c>
      <c r="W69" s="4">
        <f t="shared" si="10"/>
        <v>0.177720555816135</v>
      </c>
      <c r="X69" s="2">
        <f t="shared" si="11"/>
        <v>28.6</v>
      </c>
      <c r="Y69" s="3">
        <f t="shared" si="12"/>
        <v>29.3</v>
      </c>
      <c r="Z69" s="2">
        <f t="shared" si="13"/>
        <v>29.6</v>
      </c>
      <c r="AA69" s="3">
        <f t="shared" si="14"/>
        <v>29.824999999999999</v>
      </c>
      <c r="AB69" s="3">
        <f t="shared" si="15"/>
        <v>31.1</v>
      </c>
      <c r="AC69" s="3">
        <f t="shared" si="16"/>
        <v>0.89997677848994417</v>
      </c>
      <c r="AD69" s="3">
        <f t="shared" si="17"/>
        <v>2.4565080420066892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13.581</v>
      </c>
      <c r="J70" s="39">
        <v>31.2</v>
      </c>
      <c r="K70" s="39">
        <v>31.2</v>
      </c>
      <c r="L70" s="39">
        <v>30.8</v>
      </c>
      <c r="M70" s="39">
        <v>31.1</v>
      </c>
      <c r="N70" s="39">
        <v>30.4</v>
      </c>
      <c r="O70" s="39">
        <v>30.9</v>
      </c>
      <c r="P70" s="39">
        <v>32.200000000000003</v>
      </c>
      <c r="Q70" s="39">
        <v>30.9</v>
      </c>
      <c r="R70" s="39">
        <v>31.5</v>
      </c>
      <c r="S70" s="39">
        <v>30.9</v>
      </c>
      <c r="T70" s="39">
        <v>30.2</v>
      </c>
      <c r="U70" s="39">
        <v>30.6</v>
      </c>
      <c r="V70" s="5">
        <f t="shared" si="9"/>
        <v>30.991666666666671</v>
      </c>
      <c r="W70" s="4">
        <f t="shared" si="10"/>
        <v>0.15098581778338405</v>
      </c>
      <c r="X70" s="2">
        <f t="shared" si="11"/>
        <v>30.2</v>
      </c>
      <c r="Y70" s="3">
        <f t="shared" si="12"/>
        <v>30.75</v>
      </c>
      <c r="Z70" s="2">
        <f t="shared" si="13"/>
        <v>30.9</v>
      </c>
      <c r="AA70" s="3">
        <f t="shared" si="14"/>
        <v>31.2</v>
      </c>
      <c r="AB70" s="3">
        <f t="shared" si="15"/>
        <v>32.200000000000003</v>
      </c>
      <c r="AC70" s="3">
        <f t="shared" si="16"/>
        <v>0.87089161882484023</v>
      </c>
      <c r="AD70" s="3">
        <f t="shared" si="17"/>
        <v>1.7422457503730184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13.596</v>
      </c>
      <c r="J71" s="39">
        <v>29.2</v>
      </c>
      <c r="K71" s="39">
        <v>28.7</v>
      </c>
      <c r="L71" s="39">
        <v>30.4</v>
      </c>
      <c r="M71" s="39">
        <v>31.1</v>
      </c>
      <c r="N71" s="39">
        <v>29.8</v>
      </c>
      <c r="O71" s="39">
        <v>31.1</v>
      </c>
      <c r="P71" s="39">
        <v>29.9</v>
      </c>
      <c r="Q71" s="39">
        <v>30.8</v>
      </c>
      <c r="R71" s="39">
        <v>31.1</v>
      </c>
      <c r="S71" s="39">
        <v>33.299999999999997</v>
      </c>
      <c r="T71" s="39">
        <v>32.4</v>
      </c>
      <c r="U71" s="39">
        <v>32.200000000000003</v>
      </c>
      <c r="V71" s="5">
        <f t="shared" si="9"/>
        <v>30.833333333333332</v>
      </c>
      <c r="W71" s="4">
        <f t="shared" si="10"/>
        <v>0.38892496225188006</v>
      </c>
      <c r="X71" s="2">
        <f t="shared" si="11"/>
        <v>28.7</v>
      </c>
      <c r="Y71" s="3">
        <f t="shared" si="12"/>
        <v>29.875</v>
      </c>
      <c r="Z71" s="2">
        <f t="shared" si="13"/>
        <v>30.950000000000003</v>
      </c>
      <c r="AA71" s="3">
        <f t="shared" si="14"/>
        <v>31.375</v>
      </c>
      <c r="AB71" s="3">
        <f t="shared" si="15"/>
        <v>33.299999999999997</v>
      </c>
      <c r="AC71" s="3">
        <f t="shared" si="16"/>
        <v>0.24083723179629679</v>
      </c>
      <c r="AD71" s="3">
        <f t="shared" si="17"/>
        <v>-0.3836189642726815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13.704000000000001</v>
      </c>
      <c r="J72" s="39">
        <v>31.9</v>
      </c>
      <c r="K72" s="39">
        <v>33.200000000000003</v>
      </c>
      <c r="L72" s="39">
        <v>29.4</v>
      </c>
      <c r="M72" s="39">
        <v>32.5</v>
      </c>
      <c r="N72" s="39">
        <v>32</v>
      </c>
      <c r="O72" s="39">
        <v>29.9</v>
      </c>
      <c r="P72" s="39">
        <v>31.1</v>
      </c>
      <c r="Q72" s="39">
        <v>33.5</v>
      </c>
      <c r="R72" s="39">
        <v>30.7</v>
      </c>
      <c r="S72" s="39">
        <v>29.2</v>
      </c>
      <c r="T72" s="39">
        <v>28.9</v>
      </c>
      <c r="U72" s="39">
        <v>34.5</v>
      </c>
      <c r="V72" s="5">
        <f t="shared" si="9"/>
        <v>31.399999999999995</v>
      </c>
      <c r="W72" s="4">
        <f t="shared" si="10"/>
        <v>0.52943652150473197</v>
      </c>
      <c r="X72" s="2">
        <f t="shared" si="11"/>
        <v>28.9</v>
      </c>
      <c r="Y72" s="3">
        <f t="shared" si="12"/>
        <v>29.774999999999999</v>
      </c>
      <c r="Z72" s="2">
        <f t="shared" si="13"/>
        <v>31.5</v>
      </c>
      <c r="AA72" s="3">
        <f t="shared" si="14"/>
        <v>32.674999999999997</v>
      </c>
      <c r="AB72" s="3">
        <f t="shared" si="15"/>
        <v>34.5</v>
      </c>
      <c r="AC72" s="3">
        <f t="shared" si="16"/>
        <v>0.15098407860363941</v>
      </c>
      <c r="AD72" s="3">
        <f t="shared" si="17"/>
        <v>-1.1398684782079367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13.688000000000001</v>
      </c>
      <c r="J73" s="39">
        <v>30.1</v>
      </c>
      <c r="K73" s="39">
        <v>29</v>
      </c>
      <c r="L73" s="39">
        <v>28.6</v>
      </c>
      <c r="M73" s="39">
        <v>30.1</v>
      </c>
      <c r="N73" s="39">
        <v>28.6</v>
      </c>
      <c r="O73" s="39">
        <v>29.7</v>
      </c>
      <c r="P73" s="39">
        <v>30.6</v>
      </c>
      <c r="Q73" s="39">
        <v>28</v>
      </c>
      <c r="R73" s="39">
        <v>31.3</v>
      </c>
      <c r="S73" s="39">
        <v>29.4</v>
      </c>
      <c r="T73" s="39">
        <v>29.4</v>
      </c>
      <c r="U73" s="39">
        <v>30.8</v>
      </c>
      <c r="V73" s="5">
        <f t="shared" si="9"/>
        <v>29.633333333333329</v>
      </c>
      <c r="W73" s="4">
        <f t="shared" si="10"/>
        <v>0.28639169335056153</v>
      </c>
      <c r="X73" s="2">
        <f t="shared" si="11"/>
        <v>28</v>
      </c>
      <c r="Y73" s="3">
        <f t="shared" si="12"/>
        <v>28.9</v>
      </c>
      <c r="Z73" s="2">
        <f t="shared" si="13"/>
        <v>29.549999999999997</v>
      </c>
      <c r="AA73" s="3">
        <f t="shared" si="14"/>
        <v>30.225000000000001</v>
      </c>
      <c r="AB73" s="3">
        <f t="shared" si="15"/>
        <v>31.3</v>
      </c>
      <c r="AC73" s="3">
        <f t="shared" si="16"/>
        <v>5.3725464933698827E-2</v>
      </c>
      <c r="AD73" s="3">
        <f t="shared" si="17"/>
        <v>-0.76368906064209208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13.672000000000001</v>
      </c>
      <c r="J74" s="39">
        <v>29.6</v>
      </c>
      <c r="K74" s="39">
        <v>31.1</v>
      </c>
      <c r="L74" s="39">
        <v>29.3</v>
      </c>
      <c r="M74" s="39">
        <v>29.3</v>
      </c>
      <c r="N74" s="39">
        <v>28.5</v>
      </c>
      <c r="O74" s="39">
        <v>30.8</v>
      </c>
      <c r="P74" s="39">
        <v>28.3</v>
      </c>
      <c r="Q74" s="39">
        <v>29.6</v>
      </c>
      <c r="R74" s="39">
        <v>28.6</v>
      </c>
      <c r="S74" s="39">
        <v>28.6</v>
      </c>
      <c r="T74" s="39">
        <v>28.6</v>
      </c>
      <c r="U74" s="39">
        <v>29.9</v>
      </c>
      <c r="V74" s="5">
        <f t="shared" ref="V74:V81" si="18">AVERAGE(J74:U74)</f>
        <v>29.350000000000005</v>
      </c>
      <c r="W74" s="4">
        <f t="shared" ref="W74:W81" si="19">STDEV(J74:U74)/SQRT(COUNT(J74:U74))</f>
        <v>0.2627073495643994</v>
      </c>
      <c r="X74" s="2">
        <f t="shared" ref="X74:X81" si="20">MIN(J74:U74)</f>
        <v>28.3</v>
      </c>
      <c r="Y74" s="3">
        <f t="shared" ref="Y74:Y81" si="21">QUARTILE(J74:U74,1)</f>
        <v>28.6</v>
      </c>
      <c r="Z74" s="2">
        <f t="shared" ref="Z74:Z81" si="22">MEDIAN(J74:U74)</f>
        <v>29.3</v>
      </c>
      <c r="AA74" s="3">
        <f t="shared" ref="AA74:AA81" si="23">QUARTILE(J74:U74,3)</f>
        <v>29.675000000000001</v>
      </c>
      <c r="AB74" s="3">
        <f t="shared" ref="AB74:AB81" si="24">MAX(J74:U74)</f>
        <v>31.1</v>
      </c>
      <c r="AC74" s="3">
        <f t="shared" ref="AC74:AC81" si="25">SKEW(J74:U74)</f>
        <v>0.80593357688625689</v>
      </c>
      <c r="AD74" s="3">
        <f t="shared" ref="AD74:AD81" si="26">KURT(J74:U74)</f>
        <v>-0.2229739939102835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13.657</v>
      </c>
      <c r="J75" s="39">
        <v>28.4</v>
      </c>
      <c r="K75" s="39">
        <v>29.3</v>
      </c>
      <c r="L75" s="39">
        <v>29.7</v>
      </c>
      <c r="M75" s="39">
        <v>29.8</v>
      </c>
      <c r="N75" s="39">
        <v>32.4</v>
      </c>
      <c r="O75" s="39">
        <v>28.5</v>
      </c>
      <c r="P75" s="39">
        <v>28.5</v>
      </c>
      <c r="Q75" s="39">
        <v>28.8</v>
      </c>
      <c r="R75" s="39">
        <v>29.1</v>
      </c>
      <c r="S75" s="39">
        <v>30.1</v>
      </c>
      <c r="T75" s="39">
        <v>29.4</v>
      </c>
      <c r="U75" s="39">
        <v>28.4</v>
      </c>
      <c r="V75" s="5">
        <f t="shared" si="18"/>
        <v>29.366666666666664</v>
      </c>
      <c r="W75" s="4">
        <f t="shared" si="19"/>
        <v>0.32341298612758207</v>
      </c>
      <c r="X75" s="2">
        <f t="shared" si="20"/>
        <v>28.4</v>
      </c>
      <c r="Y75" s="3">
        <f t="shared" si="21"/>
        <v>28.5</v>
      </c>
      <c r="Z75" s="2">
        <f t="shared" si="22"/>
        <v>29.200000000000003</v>
      </c>
      <c r="AA75" s="3">
        <f t="shared" si="23"/>
        <v>29.725000000000001</v>
      </c>
      <c r="AB75" s="3">
        <f t="shared" si="24"/>
        <v>32.4</v>
      </c>
      <c r="AC75" s="3">
        <f t="shared" si="25"/>
        <v>1.9482507272522622</v>
      </c>
      <c r="AD75" s="3">
        <f t="shared" si="26"/>
        <v>4.7666493978490934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13.641</v>
      </c>
      <c r="J76" s="39">
        <v>33.799999999999997</v>
      </c>
      <c r="K76" s="39">
        <v>35</v>
      </c>
      <c r="L76" s="39">
        <v>36</v>
      </c>
      <c r="M76" s="39">
        <v>34.299999999999997</v>
      </c>
      <c r="N76" s="39">
        <v>34.700000000000003</v>
      </c>
      <c r="O76" s="39">
        <v>35.700000000000003</v>
      </c>
      <c r="P76" s="39">
        <v>32.9</v>
      </c>
      <c r="Q76" s="39">
        <v>35.1</v>
      </c>
      <c r="R76" s="39">
        <v>32.700000000000003</v>
      </c>
      <c r="S76" s="39">
        <v>33.200000000000003</v>
      </c>
      <c r="T76" s="39">
        <v>34.9</v>
      </c>
      <c r="U76" s="39">
        <v>33</v>
      </c>
      <c r="V76" s="5">
        <f t="shared" si="18"/>
        <v>34.274999999999999</v>
      </c>
      <c r="W76" s="4">
        <f t="shared" si="19"/>
        <v>0.32755406678389248</v>
      </c>
      <c r="X76" s="2">
        <f t="shared" si="20"/>
        <v>32.700000000000003</v>
      </c>
      <c r="Y76" s="3">
        <f t="shared" si="21"/>
        <v>33.150000000000006</v>
      </c>
      <c r="Z76" s="2">
        <f t="shared" si="22"/>
        <v>34.5</v>
      </c>
      <c r="AA76" s="3">
        <f t="shared" si="23"/>
        <v>35.024999999999999</v>
      </c>
      <c r="AB76" s="3">
        <f t="shared" si="24"/>
        <v>36</v>
      </c>
      <c r="AC76" s="3">
        <f t="shared" si="25"/>
        <v>-4.7688495356671641E-2</v>
      </c>
      <c r="AD76" s="3">
        <f t="shared" si="26"/>
        <v>-1.4040364813180357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13.622</v>
      </c>
      <c r="J77" s="39">
        <v>32</v>
      </c>
      <c r="K77" s="39">
        <v>29.8</v>
      </c>
      <c r="L77" s="39">
        <v>29</v>
      </c>
      <c r="M77" s="39">
        <v>29.8</v>
      </c>
      <c r="N77" s="39">
        <v>31.2</v>
      </c>
      <c r="O77" s="39">
        <v>30.1</v>
      </c>
      <c r="P77" s="39">
        <v>30.6</v>
      </c>
      <c r="Q77" s="39">
        <v>30.2</v>
      </c>
      <c r="R77" s="39">
        <v>30.4</v>
      </c>
      <c r="S77" s="39">
        <v>31.3</v>
      </c>
      <c r="T77" s="39">
        <v>29.5</v>
      </c>
      <c r="U77" s="39">
        <v>29.7</v>
      </c>
      <c r="V77" s="5">
        <f t="shared" si="18"/>
        <v>30.299999999999997</v>
      </c>
      <c r="W77" s="4">
        <f t="shared" si="19"/>
        <v>0.24679767200905869</v>
      </c>
      <c r="X77" s="2">
        <f t="shared" si="20"/>
        <v>29</v>
      </c>
      <c r="Y77" s="3">
        <f t="shared" si="21"/>
        <v>29.774999999999999</v>
      </c>
      <c r="Z77" s="2">
        <f t="shared" si="22"/>
        <v>30.15</v>
      </c>
      <c r="AA77" s="3">
        <f t="shared" si="23"/>
        <v>30.75</v>
      </c>
      <c r="AB77" s="3">
        <f t="shared" si="24"/>
        <v>32</v>
      </c>
      <c r="AC77" s="3">
        <f t="shared" si="25"/>
        <v>0.60858451560175719</v>
      </c>
      <c r="AD77" s="3">
        <f t="shared" si="26"/>
        <v>-4.0050988836896728E-2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13.449</v>
      </c>
      <c r="J78" s="39">
        <v>31.2</v>
      </c>
      <c r="K78" s="39">
        <v>31.6</v>
      </c>
      <c r="L78" s="39">
        <v>31</v>
      </c>
      <c r="M78" s="39">
        <v>31.4</v>
      </c>
      <c r="N78" s="39">
        <v>31.6</v>
      </c>
      <c r="O78" s="39">
        <v>32.200000000000003</v>
      </c>
      <c r="P78" s="39">
        <v>30.7</v>
      </c>
      <c r="Q78" s="39">
        <v>31.4</v>
      </c>
      <c r="R78" s="39">
        <v>31.9</v>
      </c>
      <c r="S78" s="39">
        <v>31.3</v>
      </c>
      <c r="T78" s="39">
        <v>30</v>
      </c>
      <c r="U78" s="39">
        <v>32</v>
      </c>
      <c r="V78" s="5">
        <f t="shared" si="18"/>
        <v>31.358333333333334</v>
      </c>
      <c r="W78" s="4">
        <f t="shared" si="19"/>
        <v>0.17340543372237358</v>
      </c>
      <c r="X78" s="2">
        <f t="shared" si="20"/>
        <v>30</v>
      </c>
      <c r="Y78" s="3">
        <f t="shared" si="21"/>
        <v>31.15</v>
      </c>
      <c r="Z78" s="2">
        <f t="shared" si="22"/>
        <v>31.4</v>
      </c>
      <c r="AA78" s="3">
        <f t="shared" si="23"/>
        <v>31.675000000000001</v>
      </c>
      <c r="AB78" s="3">
        <f t="shared" si="24"/>
        <v>32.200000000000003</v>
      </c>
      <c r="AC78" s="3">
        <f t="shared" si="25"/>
        <v>-0.90291665060083126</v>
      </c>
      <c r="AD78" s="3">
        <f t="shared" si="26"/>
        <v>1.2597323770267259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13.423999999999999</v>
      </c>
      <c r="J79" s="39">
        <v>30.7</v>
      </c>
      <c r="K79" s="39">
        <v>32.6</v>
      </c>
      <c r="L79" s="39">
        <v>32.5</v>
      </c>
      <c r="M79" s="39">
        <v>32.6</v>
      </c>
      <c r="N79" s="39">
        <v>34.799999999999997</v>
      </c>
      <c r="O79" s="39">
        <v>33.4</v>
      </c>
      <c r="P79" s="39">
        <v>32.1</v>
      </c>
      <c r="Q79" s="39">
        <v>33.4</v>
      </c>
      <c r="R79" s="39">
        <v>31.4</v>
      </c>
      <c r="S79" s="39">
        <v>34.200000000000003</v>
      </c>
      <c r="T79" s="39">
        <v>32.6</v>
      </c>
      <c r="U79" s="39">
        <v>33.1</v>
      </c>
      <c r="V79" s="5">
        <f t="shared" si="18"/>
        <v>32.783333333333331</v>
      </c>
      <c r="W79" s="4">
        <f t="shared" si="19"/>
        <v>0.32376416157943161</v>
      </c>
      <c r="X79" s="2">
        <f t="shared" si="20"/>
        <v>30.7</v>
      </c>
      <c r="Y79" s="3">
        <f t="shared" si="21"/>
        <v>32.4</v>
      </c>
      <c r="Z79" s="2">
        <f t="shared" si="22"/>
        <v>32.6</v>
      </c>
      <c r="AA79" s="3">
        <f t="shared" si="23"/>
        <v>33.4</v>
      </c>
      <c r="AB79" s="3">
        <f t="shared" si="24"/>
        <v>34.799999999999997</v>
      </c>
      <c r="AC79" s="3">
        <f t="shared" si="25"/>
        <v>-3.8981328903323793E-2</v>
      </c>
      <c r="AD79" s="3">
        <f t="shared" si="26"/>
        <v>0.30824665667022622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13.398</v>
      </c>
      <c r="J80" s="39">
        <v>32.200000000000003</v>
      </c>
      <c r="K80" s="39">
        <v>30.4</v>
      </c>
      <c r="L80" s="39">
        <v>31.2</v>
      </c>
      <c r="M80" s="39">
        <v>30.7</v>
      </c>
      <c r="N80" s="39">
        <v>31</v>
      </c>
      <c r="O80" s="39">
        <v>30.5</v>
      </c>
      <c r="P80" s="39">
        <v>31.3</v>
      </c>
      <c r="Q80" s="39">
        <v>30.8</v>
      </c>
      <c r="R80" s="39">
        <v>30.6</v>
      </c>
      <c r="S80" s="39">
        <v>30.6</v>
      </c>
      <c r="T80" s="39">
        <v>31</v>
      </c>
      <c r="U80" s="39">
        <v>31.5</v>
      </c>
      <c r="V80" s="5">
        <f t="shared" si="18"/>
        <v>30.983333333333338</v>
      </c>
      <c r="W80" s="4">
        <f t="shared" si="19"/>
        <v>0.14762428422495177</v>
      </c>
      <c r="X80" s="2">
        <f t="shared" si="20"/>
        <v>30.4</v>
      </c>
      <c r="Y80" s="3">
        <f t="shared" si="21"/>
        <v>30.6</v>
      </c>
      <c r="Z80" s="2">
        <f t="shared" si="22"/>
        <v>30.9</v>
      </c>
      <c r="AA80" s="3">
        <f t="shared" si="23"/>
        <v>31.225000000000001</v>
      </c>
      <c r="AB80" s="3">
        <f t="shared" si="24"/>
        <v>32.200000000000003</v>
      </c>
      <c r="AC80" s="3">
        <f t="shared" si="25"/>
        <v>1.2463357420368504</v>
      </c>
      <c r="AD80" s="3">
        <f t="shared" si="26"/>
        <v>1.7173120793158247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13.372999999999999</v>
      </c>
      <c r="J81" s="39">
        <v>31.1</v>
      </c>
      <c r="K81" s="39">
        <v>33</v>
      </c>
      <c r="L81" s="39">
        <v>33.200000000000003</v>
      </c>
      <c r="M81" s="39">
        <v>31.7</v>
      </c>
      <c r="N81" s="39">
        <v>33.299999999999997</v>
      </c>
      <c r="O81" s="39">
        <v>32.5</v>
      </c>
      <c r="P81" s="39">
        <v>31.9</v>
      </c>
      <c r="Q81" s="39">
        <v>32.700000000000003</v>
      </c>
      <c r="R81" s="39">
        <v>32.6</v>
      </c>
      <c r="S81" s="39">
        <v>32.5</v>
      </c>
      <c r="T81" s="39">
        <v>34.299999999999997</v>
      </c>
      <c r="U81" s="39">
        <v>32.1</v>
      </c>
      <c r="V81" s="5">
        <f t="shared" si="18"/>
        <v>32.57500000000001</v>
      </c>
      <c r="W81" s="4">
        <f t="shared" si="19"/>
        <v>0.24187556279787298</v>
      </c>
      <c r="X81" s="2">
        <f t="shared" si="20"/>
        <v>31.1</v>
      </c>
      <c r="Y81" s="3">
        <f t="shared" si="21"/>
        <v>32.049999999999997</v>
      </c>
      <c r="Z81" s="2">
        <f t="shared" si="22"/>
        <v>32.549999999999997</v>
      </c>
      <c r="AA81" s="3">
        <f t="shared" si="23"/>
        <v>33.049999999999997</v>
      </c>
      <c r="AB81" s="3">
        <f t="shared" si="24"/>
        <v>34.299999999999997</v>
      </c>
      <c r="AC81" s="3">
        <f t="shared" si="25"/>
        <v>0.28604258252825593</v>
      </c>
      <c r="AD81" s="3">
        <f t="shared" si="26"/>
        <v>0.7285126758018361</v>
      </c>
    </row>
    <row r="84" spans="1:30" x14ac:dyDescent="0.2">
      <c r="V84" s="3"/>
    </row>
  </sheetData>
  <autoFilter ref="A9:AD81" xr:uid="{C667CD66-7882-4FBD-BA62-279C5078AA15}"/>
  <conditionalFormatting sqref="J10:U47">
    <cfRule type="cellIs" dxfId="87" priority="1" stopIfTrue="1" operator="lessThan">
      <formula>$V10-$U$5*$W10</formula>
    </cfRule>
    <cfRule type="cellIs" dxfId="86" priority="2" stopIfTrue="1" operator="greaterThan">
      <formula>$V10+$U$5*$W10</formula>
    </cfRule>
  </conditionalFormatting>
  <conditionalFormatting sqref="J48:U81">
    <cfRule type="cellIs" dxfId="85" priority="3" stopIfTrue="1" operator="lessThan">
      <formula>$V48-$U$6*$W48</formula>
    </cfRule>
    <cfRule type="cellIs" dxfId="84" priority="4" stopIfTrue="1" operator="greaterThan">
      <formula>$V48+$U$6*$W48</formula>
    </cfRule>
  </conditionalFormatting>
  <conditionalFormatting sqref="V10:V39">
    <cfRule type="cellIs" dxfId="83" priority="5" stopIfTrue="1" operator="lessThan">
      <formula>AVERAGE($V$10:$V$39)</formula>
    </cfRule>
    <cfRule type="cellIs" dxfId="82" priority="6" stopIfTrue="1" operator="greaterThan">
      <formula>AVERAGE($V$10:$V$39)</formula>
    </cfRule>
  </conditionalFormatting>
  <conditionalFormatting sqref="V48:V81">
    <cfRule type="cellIs" dxfId="81" priority="7" stopIfTrue="1" operator="lessThan">
      <formula>AVERAGE($V$48:$V$81)</formula>
    </cfRule>
    <cfRule type="cellIs" dxfId="80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2730-850E-40D5-8C0D-43110E949D11}">
  <dimension ref="A1:AN84"/>
  <sheetViews>
    <sheetView topLeftCell="A18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137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40.5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13.103999999999999</v>
      </c>
      <c r="J10" s="39">
        <v>50</v>
      </c>
      <c r="K10" s="39">
        <v>38</v>
      </c>
      <c r="L10" s="39">
        <v>49.4</v>
      </c>
      <c r="M10" s="39">
        <v>40.799999999999997</v>
      </c>
      <c r="N10" s="39">
        <v>46.6</v>
      </c>
      <c r="O10" s="39">
        <v>42.1</v>
      </c>
      <c r="P10" s="39">
        <v>46.9</v>
      </c>
      <c r="Q10" s="39">
        <v>47.4</v>
      </c>
      <c r="R10" s="39">
        <v>42.9</v>
      </c>
      <c r="S10" s="39">
        <v>49.5</v>
      </c>
      <c r="T10" s="39">
        <v>52.6</v>
      </c>
      <c r="U10" s="39">
        <v>48.1</v>
      </c>
      <c r="V10" s="5">
        <f t="shared" ref="V10:V41" si="0">AVERAGE(J10:U10)</f>
        <v>46.191666666666663</v>
      </c>
      <c r="W10" s="4">
        <f t="shared" ref="W10:W41" si="1">STDEV(J10:U10)/SQRT(COUNT(J10:U10))</f>
        <v>1.2502398759737063</v>
      </c>
      <c r="X10" s="2">
        <f t="shared" ref="X10:X41" si="2">MIN(J10:U10)</f>
        <v>38</v>
      </c>
      <c r="Y10" s="3">
        <f t="shared" ref="Y10:Y41" si="3">QUARTILE(J10:U10,1)</f>
        <v>42.7</v>
      </c>
      <c r="Z10" s="2">
        <f t="shared" ref="Z10:Z41" si="4">MEDIAN(J10:U10)</f>
        <v>47.15</v>
      </c>
      <c r="AA10" s="3">
        <f t="shared" ref="AA10:AA41" si="5">QUARTILE(J10:U10,3)</f>
        <v>49.424999999999997</v>
      </c>
      <c r="AB10" s="3">
        <f t="shared" ref="AB10:AB41" si="6">MAX(J10:U10)</f>
        <v>52.6</v>
      </c>
      <c r="AC10" s="3">
        <f t="shared" ref="AC10:AC41" si="7">SKEW(J10:U10)</f>
        <v>-0.5557055478637809</v>
      </c>
      <c r="AD10" s="3">
        <f t="shared" ref="AD10:AD41" si="8">KURT(J10:U10)</f>
        <v>-0.50237281817791368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13.086</v>
      </c>
      <c r="J11" s="39">
        <v>49.6</v>
      </c>
      <c r="K11" s="39">
        <v>39.6</v>
      </c>
      <c r="L11" s="39">
        <v>50.8</v>
      </c>
      <c r="M11" s="39">
        <v>38.299999999999997</v>
      </c>
      <c r="N11" s="39">
        <v>48.6</v>
      </c>
      <c r="O11" s="39">
        <v>43.1</v>
      </c>
      <c r="P11" s="39">
        <v>50.3</v>
      </c>
      <c r="Q11" s="39">
        <v>42.7</v>
      </c>
      <c r="R11" s="39">
        <v>41.6</v>
      </c>
      <c r="S11" s="39">
        <v>48</v>
      </c>
      <c r="T11" s="39">
        <v>43.6</v>
      </c>
      <c r="U11" s="39">
        <v>40.299999999999997</v>
      </c>
      <c r="V11" s="5">
        <f t="shared" si="0"/>
        <v>44.708333333333336</v>
      </c>
      <c r="W11" s="4">
        <f t="shared" si="1"/>
        <v>1.2979855215453731</v>
      </c>
      <c r="X11" s="2">
        <f t="shared" si="2"/>
        <v>38.299999999999997</v>
      </c>
      <c r="Y11" s="3">
        <f t="shared" si="3"/>
        <v>41.274999999999999</v>
      </c>
      <c r="Z11" s="2">
        <f t="shared" si="4"/>
        <v>43.35</v>
      </c>
      <c r="AA11" s="3">
        <f t="shared" si="5"/>
        <v>48.85</v>
      </c>
      <c r="AB11" s="3">
        <f t="shared" si="6"/>
        <v>50.8</v>
      </c>
      <c r="AC11" s="3">
        <f t="shared" si="7"/>
        <v>0.10410052505173589</v>
      </c>
      <c r="AD11" s="3">
        <f t="shared" si="8"/>
        <v>-1.6674373839692564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13.066000000000001</v>
      </c>
      <c r="J12" s="39">
        <v>47.5</v>
      </c>
      <c r="K12" s="39">
        <v>37.1</v>
      </c>
      <c r="L12" s="39">
        <v>47.1</v>
      </c>
      <c r="M12" s="39">
        <v>36.1</v>
      </c>
      <c r="N12" s="39">
        <v>43.7</v>
      </c>
      <c r="O12" s="39">
        <v>38.4</v>
      </c>
      <c r="P12" s="39">
        <v>45.8</v>
      </c>
      <c r="Q12" s="39">
        <v>40.6</v>
      </c>
      <c r="R12" s="39">
        <v>36.200000000000003</v>
      </c>
      <c r="S12" s="39">
        <v>44.6</v>
      </c>
      <c r="T12" s="39">
        <v>35.4</v>
      </c>
      <c r="U12" s="39">
        <v>41.2</v>
      </c>
      <c r="V12" s="5">
        <f t="shared" si="0"/>
        <v>41.141666666666666</v>
      </c>
      <c r="W12" s="4">
        <f t="shared" si="1"/>
        <v>1.3000267091273281</v>
      </c>
      <c r="X12" s="2">
        <f t="shared" si="2"/>
        <v>35.4</v>
      </c>
      <c r="Y12" s="3">
        <f t="shared" si="3"/>
        <v>36.875</v>
      </c>
      <c r="Z12" s="2">
        <f t="shared" si="4"/>
        <v>40.900000000000006</v>
      </c>
      <c r="AA12" s="3">
        <f t="shared" si="5"/>
        <v>44.9</v>
      </c>
      <c r="AB12" s="3">
        <f t="shared" si="6"/>
        <v>47.5</v>
      </c>
      <c r="AC12" s="3">
        <f t="shared" si="7"/>
        <v>0.12288509410899942</v>
      </c>
      <c r="AD12" s="3">
        <f t="shared" si="8"/>
        <v>-1.6564481224370362</v>
      </c>
      <c r="AF12" s="17" t="s">
        <v>76</v>
      </c>
      <c r="AG12" s="16">
        <v>30.4</v>
      </c>
      <c r="AH12" s="15">
        <v>31.324999999999999</v>
      </c>
      <c r="AI12" s="15">
        <v>32.049999999999997</v>
      </c>
      <c r="AJ12" s="15">
        <v>32.1875</v>
      </c>
      <c r="AK12" s="16">
        <v>29.05</v>
      </c>
      <c r="AL12" s="15">
        <v>29.725000000000001</v>
      </c>
      <c r="AM12" s="15">
        <v>30.225000000000001</v>
      </c>
      <c r="AN12" s="14">
        <v>30.225000000000001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13.048999999999999</v>
      </c>
      <c r="J13" s="39">
        <v>33.700000000000003</v>
      </c>
      <c r="K13" s="39">
        <v>33.1</v>
      </c>
      <c r="L13" s="39">
        <v>34.200000000000003</v>
      </c>
      <c r="M13" s="39">
        <v>31.6</v>
      </c>
      <c r="N13" s="39">
        <v>32.299999999999997</v>
      </c>
      <c r="O13" s="39">
        <v>32.1</v>
      </c>
      <c r="P13" s="39">
        <v>32.1</v>
      </c>
      <c r="Q13" s="39">
        <v>32.4</v>
      </c>
      <c r="R13" s="39">
        <v>31.7</v>
      </c>
      <c r="S13" s="39">
        <v>33.700000000000003</v>
      </c>
      <c r="T13" s="39">
        <v>33.6</v>
      </c>
      <c r="U13" s="39">
        <v>31.5</v>
      </c>
      <c r="V13" s="5">
        <f t="shared" si="0"/>
        <v>32.666666666666664</v>
      </c>
      <c r="W13" s="4">
        <f t="shared" si="1"/>
        <v>0.27284509239574867</v>
      </c>
      <c r="X13" s="2">
        <f t="shared" si="2"/>
        <v>31.5</v>
      </c>
      <c r="Y13" s="3">
        <f t="shared" si="3"/>
        <v>32</v>
      </c>
      <c r="Z13" s="2">
        <f t="shared" si="4"/>
        <v>32.349999999999994</v>
      </c>
      <c r="AA13" s="3">
        <f t="shared" si="5"/>
        <v>33.625</v>
      </c>
      <c r="AB13" s="3">
        <f t="shared" si="6"/>
        <v>34.200000000000003</v>
      </c>
      <c r="AC13" s="3">
        <f t="shared" si="7"/>
        <v>0.33193354131376929</v>
      </c>
      <c r="AD13" s="3">
        <f t="shared" si="8"/>
        <v>-1.4957107272322197</v>
      </c>
      <c r="AF13" s="13" t="s">
        <v>75</v>
      </c>
      <c r="AG13" s="12">
        <v>42</v>
      </c>
      <c r="AH13" s="11">
        <v>46.087499999999999</v>
      </c>
      <c r="AI13" s="11">
        <v>54.924999999999997</v>
      </c>
      <c r="AJ13" s="11">
        <v>52.970833333333331</v>
      </c>
      <c r="AK13" s="12">
        <v>32.35</v>
      </c>
      <c r="AL13" s="11">
        <v>32.912500000000001</v>
      </c>
      <c r="AM13" s="11">
        <v>33.549999999999997</v>
      </c>
      <c r="AN13" s="10">
        <v>33.716666666666669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13.031000000000001</v>
      </c>
      <c r="J14" s="39">
        <v>46.3</v>
      </c>
      <c r="K14" s="39">
        <v>39.200000000000003</v>
      </c>
      <c r="L14" s="39">
        <v>45.6</v>
      </c>
      <c r="M14" s="39">
        <v>37</v>
      </c>
      <c r="N14" s="39">
        <v>47.2</v>
      </c>
      <c r="O14" s="39">
        <v>34.799999999999997</v>
      </c>
      <c r="P14" s="39">
        <v>45.8</v>
      </c>
      <c r="Q14" s="39">
        <v>36.299999999999997</v>
      </c>
      <c r="R14" s="39">
        <v>35.6</v>
      </c>
      <c r="S14" s="39">
        <v>46.8</v>
      </c>
      <c r="T14" s="39">
        <v>42.8</v>
      </c>
      <c r="U14" s="39">
        <v>39.9</v>
      </c>
      <c r="V14" s="5">
        <f t="shared" si="0"/>
        <v>41.44166666666667</v>
      </c>
      <c r="W14" s="4">
        <f t="shared" si="1"/>
        <v>1.3910132743050605</v>
      </c>
      <c r="X14" s="2">
        <f t="shared" si="2"/>
        <v>34.799999999999997</v>
      </c>
      <c r="Y14" s="3">
        <f t="shared" si="3"/>
        <v>36.825000000000003</v>
      </c>
      <c r="Z14" s="2">
        <f t="shared" si="4"/>
        <v>41.349999999999994</v>
      </c>
      <c r="AA14" s="3">
        <f t="shared" si="5"/>
        <v>45.924999999999997</v>
      </c>
      <c r="AB14" s="3">
        <f t="shared" si="6"/>
        <v>47.2</v>
      </c>
      <c r="AC14" s="3">
        <f t="shared" si="7"/>
        <v>-0.11130289134915669</v>
      </c>
      <c r="AD14" s="3">
        <f t="shared" si="8"/>
        <v>-1.8781751908432622</v>
      </c>
      <c r="AF14" s="13" t="s">
        <v>74</v>
      </c>
      <c r="AG14" s="12">
        <v>57.85</v>
      </c>
      <c r="AH14" s="11">
        <v>58.7</v>
      </c>
      <c r="AI14" s="11">
        <v>59.6</v>
      </c>
      <c r="AJ14" s="11">
        <v>59.420833333333334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13.010999999999999</v>
      </c>
      <c r="J15" s="39">
        <v>34.4</v>
      </c>
      <c r="K15" s="39">
        <v>33.299999999999997</v>
      </c>
      <c r="L15" s="39">
        <v>35.1</v>
      </c>
      <c r="M15" s="39">
        <v>33</v>
      </c>
      <c r="N15" s="39">
        <v>33.9</v>
      </c>
      <c r="O15" s="39">
        <v>32.200000000000003</v>
      </c>
      <c r="P15" s="39">
        <v>33.6</v>
      </c>
      <c r="Q15" s="39">
        <v>32.4</v>
      </c>
      <c r="R15" s="39">
        <v>32.5</v>
      </c>
      <c r="S15" s="39">
        <v>33.700000000000003</v>
      </c>
      <c r="T15" s="39">
        <v>34.700000000000003</v>
      </c>
      <c r="U15" s="39">
        <v>33.299999999999997</v>
      </c>
      <c r="V15" s="5">
        <f t="shared" si="0"/>
        <v>33.508333333333333</v>
      </c>
      <c r="W15" s="4">
        <f t="shared" si="1"/>
        <v>0.26470633623780998</v>
      </c>
      <c r="X15" s="2">
        <f t="shared" si="2"/>
        <v>32.200000000000003</v>
      </c>
      <c r="Y15" s="3">
        <f t="shared" si="3"/>
        <v>32.875</v>
      </c>
      <c r="Z15" s="2">
        <f t="shared" si="4"/>
        <v>33.450000000000003</v>
      </c>
      <c r="AA15" s="3">
        <f t="shared" si="5"/>
        <v>34.024999999999999</v>
      </c>
      <c r="AB15" s="3">
        <f t="shared" si="6"/>
        <v>35.1</v>
      </c>
      <c r="AC15" s="3">
        <f t="shared" si="7"/>
        <v>0.2441771710617861</v>
      </c>
      <c r="AD15" s="3">
        <f t="shared" si="8"/>
        <v>-0.77146917493884093</v>
      </c>
      <c r="AF15" s="13" t="s">
        <v>73</v>
      </c>
      <c r="AG15" s="12">
        <v>34.950000000000003</v>
      </c>
      <c r="AH15" s="11">
        <v>36.625</v>
      </c>
      <c r="AI15" s="11">
        <v>41.674999999999997</v>
      </c>
      <c r="AJ15" s="11">
        <v>41.495833333333337</v>
      </c>
      <c r="AK15" s="12">
        <v>29.3</v>
      </c>
      <c r="AL15" s="11">
        <v>30.387499999999999</v>
      </c>
      <c r="AM15" s="11">
        <v>30.925000000000001</v>
      </c>
      <c r="AN15" s="10">
        <v>31.1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12.993</v>
      </c>
      <c r="J16" s="39">
        <v>34.1</v>
      </c>
      <c r="K16" s="39">
        <v>32.799999999999997</v>
      </c>
      <c r="L16" s="39">
        <v>34.5</v>
      </c>
      <c r="M16" s="39">
        <v>33.299999999999997</v>
      </c>
      <c r="N16" s="39">
        <v>33.799999999999997</v>
      </c>
      <c r="O16" s="39">
        <v>34.799999999999997</v>
      </c>
      <c r="P16" s="39">
        <v>32.4</v>
      </c>
      <c r="Q16" s="39">
        <v>33.700000000000003</v>
      </c>
      <c r="R16" s="39">
        <v>32.200000000000003</v>
      </c>
      <c r="S16" s="39">
        <v>33.799999999999997</v>
      </c>
      <c r="T16" s="39">
        <v>33.799999999999997</v>
      </c>
      <c r="U16" s="39">
        <v>33.299999999999997</v>
      </c>
      <c r="V16" s="5">
        <f t="shared" si="0"/>
        <v>33.541666666666671</v>
      </c>
      <c r="W16" s="4">
        <f t="shared" si="1"/>
        <v>0.22712242504780528</v>
      </c>
      <c r="X16" s="2">
        <f t="shared" si="2"/>
        <v>32.200000000000003</v>
      </c>
      <c r="Y16" s="3">
        <f t="shared" si="3"/>
        <v>33.174999999999997</v>
      </c>
      <c r="Z16" s="2">
        <f t="shared" si="4"/>
        <v>33.75</v>
      </c>
      <c r="AA16" s="3">
        <f t="shared" si="5"/>
        <v>33.875</v>
      </c>
      <c r="AB16" s="3">
        <f t="shared" si="6"/>
        <v>34.799999999999997</v>
      </c>
      <c r="AC16" s="3">
        <f t="shared" si="7"/>
        <v>-0.27708385277886372</v>
      </c>
      <c r="AD16" s="3">
        <f t="shared" si="8"/>
        <v>-0.45137806961559601</v>
      </c>
      <c r="AF16" s="13" t="s">
        <v>72</v>
      </c>
      <c r="AG16" s="12">
        <v>35.25</v>
      </c>
      <c r="AH16" s="11">
        <v>38.512500000000003</v>
      </c>
      <c r="AI16" s="11">
        <v>41.75</v>
      </c>
      <c r="AJ16" s="11">
        <v>42.158333333333331</v>
      </c>
      <c r="AK16" s="12">
        <v>30.6</v>
      </c>
      <c r="AL16" s="11">
        <v>31.987500000000001</v>
      </c>
      <c r="AM16" s="11">
        <v>32.424999999999997</v>
      </c>
      <c r="AN16" s="10">
        <v>32.462499999999999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12.976000000000001</v>
      </c>
      <c r="J17" s="39">
        <v>50.6</v>
      </c>
      <c r="K17" s="39">
        <v>44.8</v>
      </c>
      <c r="L17" s="39">
        <v>42.4</v>
      </c>
      <c r="M17" s="39">
        <v>53.1</v>
      </c>
      <c r="N17" s="39">
        <v>40.1</v>
      </c>
      <c r="O17" s="39">
        <v>48.8</v>
      </c>
      <c r="P17" s="39">
        <v>46.9</v>
      </c>
      <c r="Q17" s="39">
        <v>40.9</v>
      </c>
      <c r="R17" s="39">
        <v>48.6</v>
      </c>
      <c r="S17" s="39">
        <v>37.200000000000003</v>
      </c>
      <c r="T17" s="39">
        <v>51.6</v>
      </c>
      <c r="U17" s="39">
        <v>36.4</v>
      </c>
      <c r="V17" s="5">
        <f t="shared" si="0"/>
        <v>45.116666666666667</v>
      </c>
      <c r="W17" s="4">
        <f t="shared" si="1"/>
        <v>1.6371553920681512</v>
      </c>
      <c r="X17" s="2">
        <f t="shared" si="2"/>
        <v>36.4</v>
      </c>
      <c r="Y17" s="3">
        <f t="shared" si="3"/>
        <v>40.700000000000003</v>
      </c>
      <c r="Z17" s="2">
        <f t="shared" si="4"/>
        <v>45.849999999999994</v>
      </c>
      <c r="AA17" s="3">
        <f t="shared" si="5"/>
        <v>49.25</v>
      </c>
      <c r="AB17" s="3">
        <f t="shared" si="6"/>
        <v>53.1</v>
      </c>
      <c r="AC17" s="3">
        <f t="shared" si="7"/>
        <v>-0.20075176311054213</v>
      </c>
      <c r="AD17" s="3">
        <f t="shared" si="8"/>
        <v>-1.3251416092557338</v>
      </c>
      <c r="AF17" s="13" t="s">
        <v>71</v>
      </c>
      <c r="AG17" s="12">
        <v>37.75</v>
      </c>
      <c r="AH17" s="11">
        <v>42.887500000000003</v>
      </c>
      <c r="AI17" s="11">
        <v>46.85</v>
      </c>
      <c r="AJ17" s="11">
        <v>45.962499999999999</v>
      </c>
      <c r="AK17" s="12">
        <v>29.4</v>
      </c>
      <c r="AL17" s="11">
        <v>30.587499999999999</v>
      </c>
      <c r="AM17" s="11">
        <v>31.15</v>
      </c>
      <c r="AN17" s="10">
        <v>31.333333333333336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13.132</v>
      </c>
      <c r="J18" s="39">
        <v>49.2</v>
      </c>
      <c r="K18" s="39">
        <v>41.4</v>
      </c>
      <c r="L18" s="39">
        <v>41.4</v>
      </c>
      <c r="M18" s="39">
        <v>39.6</v>
      </c>
      <c r="N18" s="39">
        <v>38.799999999999997</v>
      </c>
      <c r="O18" s="39">
        <v>36.1</v>
      </c>
      <c r="P18" s="39">
        <v>48.2</v>
      </c>
      <c r="Q18" s="39">
        <v>39.799999999999997</v>
      </c>
      <c r="R18" s="39">
        <v>38.6</v>
      </c>
      <c r="S18" s="39">
        <v>41.3</v>
      </c>
      <c r="T18" s="39">
        <v>44.2</v>
      </c>
      <c r="U18" s="39">
        <v>34.299999999999997</v>
      </c>
      <c r="V18" s="5">
        <f t="shared" si="0"/>
        <v>41.075000000000003</v>
      </c>
      <c r="W18" s="4">
        <f t="shared" si="1"/>
        <v>1.2689846215367968</v>
      </c>
      <c r="X18" s="2">
        <f t="shared" si="2"/>
        <v>34.299999999999997</v>
      </c>
      <c r="Y18" s="3">
        <f t="shared" si="3"/>
        <v>38.75</v>
      </c>
      <c r="Z18" s="2">
        <f t="shared" si="4"/>
        <v>40.549999999999997</v>
      </c>
      <c r="AA18" s="3">
        <f t="shared" si="5"/>
        <v>42.1</v>
      </c>
      <c r="AB18" s="3">
        <f t="shared" si="6"/>
        <v>49.2</v>
      </c>
      <c r="AC18" s="3">
        <f t="shared" si="7"/>
        <v>0.5937720740355783</v>
      </c>
      <c r="AD18" s="3">
        <f t="shared" si="8"/>
        <v>0.11134081128913476</v>
      </c>
      <c r="AF18" s="13" t="s">
        <v>70</v>
      </c>
      <c r="AG18" s="12">
        <v>36.799999999999997</v>
      </c>
      <c r="AH18" s="11">
        <v>41.7</v>
      </c>
      <c r="AI18" s="11">
        <v>46.924999999999997</v>
      </c>
      <c r="AJ18" s="11">
        <v>45.75</v>
      </c>
      <c r="AK18" s="12">
        <v>29.95</v>
      </c>
      <c r="AL18" s="11">
        <v>30.6</v>
      </c>
      <c r="AM18" s="11">
        <v>31.05</v>
      </c>
      <c r="AN18" s="10">
        <v>31.041666666666664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13.148</v>
      </c>
      <c r="J19" s="39">
        <v>34.6</v>
      </c>
      <c r="K19" s="39">
        <v>34.700000000000003</v>
      </c>
      <c r="L19" s="39">
        <v>34.299999999999997</v>
      </c>
      <c r="M19" s="39">
        <v>36.700000000000003</v>
      </c>
      <c r="N19" s="39">
        <v>34.200000000000003</v>
      </c>
      <c r="O19" s="39">
        <v>34.5</v>
      </c>
      <c r="P19" s="39">
        <v>34.1</v>
      </c>
      <c r="Q19" s="39">
        <v>36.200000000000003</v>
      </c>
      <c r="R19" s="39">
        <v>33.299999999999997</v>
      </c>
      <c r="S19" s="39">
        <v>33.299999999999997</v>
      </c>
      <c r="T19" s="39">
        <v>34.4</v>
      </c>
      <c r="U19" s="39">
        <v>31.6</v>
      </c>
      <c r="V19" s="5">
        <f t="shared" si="0"/>
        <v>34.325000000000003</v>
      </c>
      <c r="W19" s="4">
        <f t="shared" si="1"/>
        <v>0.37941841459440734</v>
      </c>
      <c r="X19" s="2">
        <f t="shared" si="2"/>
        <v>31.6</v>
      </c>
      <c r="Y19" s="3">
        <f t="shared" si="3"/>
        <v>33.9</v>
      </c>
      <c r="Z19" s="2">
        <f t="shared" si="4"/>
        <v>34.349999999999994</v>
      </c>
      <c r="AA19" s="3">
        <f t="shared" si="5"/>
        <v>34.625</v>
      </c>
      <c r="AB19" s="3">
        <f t="shared" si="6"/>
        <v>36.700000000000003</v>
      </c>
      <c r="AC19" s="3">
        <f t="shared" si="7"/>
        <v>-0.11215847620918783</v>
      </c>
      <c r="AD19" s="3">
        <f t="shared" si="8"/>
        <v>1.3289080898221295</v>
      </c>
      <c r="AF19" s="13" t="s">
        <v>69</v>
      </c>
      <c r="AG19" s="12">
        <v>36.075000000000003</v>
      </c>
      <c r="AH19" s="11">
        <v>41.006250000000001</v>
      </c>
      <c r="AI19" s="11">
        <v>45.65</v>
      </c>
      <c r="AJ19" s="11">
        <v>44.860416666666666</v>
      </c>
      <c r="AK19" s="12">
        <v>30.25</v>
      </c>
      <c r="AL19" s="11">
        <v>31.09375</v>
      </c>
      <c r="AM19" s="11">
        <v>31.75</v>
      </c>
      <c r="AN19" s="10">
        <v>31.737500000000001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13.166</v>
      </c>
      <c r="J20" s="39">
        <v>49.7</v>
      </c>
      <c r="K20" s="39">
        <v>35.700000000000003</v>
      </c>
      <c r="L20" s="39">
        <v>50.6</v>
      </c>
      <c r="M20" s="39">
        <v>41.3</v>
      </c>
      <c r="N20" s="39">
        <v>47.3</v>
      </c>
      <c r="O20" s="39">
        <v>42.6</v>
      </c>
      <c r="P20" s="39">
        <v>49.4</v>
      </c>
      <c r="Q20" s="39">
        <v>44.3</v>
      </c>
      <c r="R20" s="39">
        <v>45.2</v>
      </c>
      <c r="S20" s="39">
        <v>46.2</v>
      </c>
      <c r="T20" s="39">
        <v>49.5</v>
      </c>
      <c r="U20" s="39">
        <v>44.8</v>
      </c>
      <c r="V20" s="5">
        <f t="shared" si="0"/>
        <v>45.550000000000004</v>
      </c>
      <c r="W20" s="4">
        <f t="shared" si="1"/>
        <v>1.2391040262539654</v>
      </c>
      <c r="X20" s="2">
        <f t="shared" si="2"/>
        <v>35.700000000000003</v>
      </c>
      <c r="Y20" s="3">
        <f t="shared" si="3"/>
        <v>43.875</v>
      </c>
      <c r="Z20" s="2">
        <f t="shared" si="4"/>
        <v>45.7</v>
      </c>
      <c r="AA20" s="3">
        <f t="shared" si="5"/>
        <v>49.424999999999997</v>
      </c>
      <c r="AB20" s="3">
        <f t="shared" si="6"/>
        <v>50.6</v>
      </c>
      <c r="AC20" s="3">
        <f t="shared" si="7"/>
        <v>-1.0151575182250814</v>
      </c>
      <c r="AD20" s="3">
        <f t="shared" si="8"/>
        <v>1.1831508881765238</v>
      </c>
      <c r="AF20" s="13" t="s">
        <v>68</v>
      </c>
      <c r="AG20" s="12">
        <v>36.15</v>
      </c>
      <c r="AH20" s="11">
        <v>41.424999999999997</v>
      </c>
      <c r="AI20" s="11">
        <v>43.85</v>
      </c>
      <c r="AJ20" s="11">
        <v>43.9</v>
      </c>
      <c r="AK20" s="12">
        <v>29.5</v>
      </c>
      <c r="AL20" s="11">
        <v>30.356249999999999</v>
      </c>
      <c r="AM20" s="11">
        <v>30.925000000000001</v>
      </c>
      <c r="AN20" s="10">
        <v>30.837499999999999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13.182</v>
      </c>
      <c r="J21" s="39">
        <v>46.3</v>
      </c>
      <c r="K21" s="39">
        <v>36.700000000000003</v>
      </c>
      <c r="L21" s="39">
        <v>47.5</v>
      </c>
      <c r="M21" s="39">
        <v>34.9</v>
      </c>
      <c r="N21" s="39">
        <v>44.7</v>
      </c>
      <c r="O21" s="39">
        <v>32.5</v>
      </c>
      <c r="P21" s="39">
        <v>45.7</v>
      </c>
      <c r="Q21" s="39">
        <v>35.799999999999997</v>
      </c>
      <c r="R21" s="39">
        <v>42.3</v>
      </c>
      <c r="S21" s="39">
        <v>42.1</v>
      </c>
      <c r="T21" s="39">
        <v>41.1</v>
      </c>
      <c r="U21" s="39">
        <v>40.799999999999997</v>
      </c>
      <c r="V21" s="5">
        <f t="shared" si="0"/>
        <v>40.866666666666674</v>
      </c>
      <c r="W21" s="4">
        <f t="shared" si="1"/>
        <v>1.413802809389737</v>
      </c>
      <c r="X21" s="2">
        <f t="shared" si="2"/>
        <v>32.5</v>
      </c>
      <c r="Y21" s="3">
        <f t="shared" si="3"/>
        <v>36.475000000000001</v>
      </c>
      <c r="Z21" s="2">
        <f t="shared" si="4"/>
        <v>41.6</v>
      </c>
      <c r="AA21" s="3">
        <f t="shared" si="5"/>
        <v>44.95</v>
      </c>
      <c r="AB21" s="3">
        <f t="shared" si="6"/>
        <v>47.5</v>
      </c>
      <c r="AC21" s="3">
        <f t="shared" si="7"/>
        <v>-0.34745742370087479</v>
      </c>
      <c r="AD21" s="3">
        <f t="shared" si="8"/>
        <v>-1.1016985058282969</v>
      </c>
      <c r="AF21" s="13" t="s">
        <v>67</v>
      </c>
      <c r="AG21" s="12">
        <v>32.5</v>
      </c>
      <c r="AH21" s="11">
        <v>36.700000000000003</v>
      </c>
      <c r="AI21" s="11">
        <v>40.049999999999997</v>
      </c>
      <c r="AJ21" s="11">
        <v>40.058333333333337</v>
      </c>
      <c r="AK21" s="12">
        <v>29.05</v>
      </c>
      <c r="AL21" s="11">
        <v>30.3125</v>
      </c>
      <c r="AM21" s="11">
        <v>30.774999999999999</v>
      </c>
      <c r="AN21" s="10">
        <v>30.683333333333334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</v>
      </c>
      <c r="J22" s="39">
        <v>49.8</v>
      </c>
      <c r="K22" s="39">
        <v>47.1</v>
      </c>
      <c r="L22" s="39">
        <v>50.2</v>
      </c>
      <c r="M22" s="39">
        <v>39.4</v>
      </c>
      <c r="N22" s="39">
        <v>48.2</v>
      </c>
      <c r="O22" s="39">
        <v>37.5</v>
      </c>
      <c r="P22" s="39">
        <v>44.2</v>
      </c>
      <c r="Q22" s="39">
        <v>46</v>
      </c>
      <c r="R22" s="39">
        <v>48.9</v>
      </c>
      <c r="S22" s="39">
        <v>41.8</v>
      </c>
      <c r="T22" s="39">
        <v>52.2</v>
      </c>
      <c r="U22" s="39">
        <v>43.5</v>
      </c>
      <c r="V22" s="5">
        <f t="shared" si="0"/>
        <v>45.733333333333327</v>
      </c>
      <c r="W22" s="4">
        <f t="shared" si="1"/>
        <v>1.3115647220789455</v>
      </c>
      <c r="X22" s="2">
        <f t="shared" si="2"/>
        <v>37.5</v>
      </c>
      <c r="Y22" s="3">
        <f t="shared" si="3"/>
        <v>43.075000000000003</v>
      </c>
      <c r="Z22" s="2">
        <f t="shared" si="4"/>
        <v>46.55</v>
      </c>
      <c r="AA22" s="3">
        <f t="shared" si="5"/>
        <v>49.125</v>
      </c>
      <c r="AB22" s="3">
        <f t="shared" si="6"/>
        <v>52.2</v>
      </c>
      <c r="AC22" s="3">
        <f t="shared" si="7"/>
        <v>-0.47879939502368862</v>
      </c>
      <c r="AD22" s="3">
        <f t="shared" si="8"/>
        <v>-0.69211277359666745</v>
      </c>
      <c r="AF22" s="13" t="s">
        <v>66</v>
      </c>
      <c r="AG22" s="12">
        <v>34.549999999999997</v>
      </c>
      <c r="AH22" s="11">
        <v>37.787500000000001</v>
      </c>
      <c r="AI22" s="11">
        <v>40.950000000000003</v>
      </c>
      <c r="AJ22" s="11">
        <v>41.25833333333334</v>
      </c>
      <c r="AK22" s="12">
        <v>30</v>
      </c>
      <c r="AL22" s="11">
        <v>30.35</v>
      </c>
      <c r="AM22" s="11">
        <v>30.975000000000001</v>
      </c>
      <c r="AN22" s="10">
        <v>30.958333333333336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13.218</v>
      </c>
      <c r="J23" s="39">
        <v>58.3</v>
      </c>
      <c r="K23" s="39">
        <v>55.6</v>
      </c>
      <c r="L23" s="39">
        <v>59.4</v>
      </c>
      <c r="M23" s="39">
        <v>48.3</v>
      </c>
      <c r="N23" s="39">
        <v>57.6</v>
      </c>
      <c r="O23" s="39">
        <v>50.1</v>
      </c>
      <c r="P23" s="39">
        <v>58.4</v>
      </c>
      <c r="Q23" s="39">
        <v>52.1</v>
      </c>
      <c r="R23" s="39">
        <v>51</v>
      </c>
      <c r="S23" s="39">
        <v>54.7</v>
      </c>
      <c r="T23" s="39">
        <v>57.5</v>
      </c>
      <c r="U23" s="39">
        <v>55.9</v>
      </c>
      <c r="V23" s="5">
        <f t="shared" si="0"/>
        <v>54.908333333333339</v>
      </c>
      <c r="W23" s="4">
        <f t="shared" si="1"/>
        <v>1.0634747459876683</v>
      </c>
      <c r="X23" s="2">
        <f t="shared" si="2"/>
        <v>48.3</v>
      </c>
      <c r="Y23" s="3">
        <f t="shared" si="3"/>
        <v>51.825000000000003</v>
      </c>
      <c r="Z23" s="2">
        <f t="shared" si="4"/>
        <v>55.75</v>
      </c>
      <c r="AA23" s="3">
        <f t="shared" si="5"/>
        <v>57.774999999999999</v>
      </c>
      <c r="AB23" s="3">
        <f t="shared" si="6"/>
        <v>59.4</v>
      </c>
      <c r="AC23" s="3">
        <f t="shared" si="7"/>
        <v>-0.59171693827332195</v>
      </c>
      <c r="AD23" s="3">
        <f t="shared" si="8"/>
        <v>-1.0186115240460332</v>
      </c>
      <c r="AF23" s="13" t="s">
        <v>65</v>
      </c>
      <c r="AG23" s="12">
        <v>29.7</v>
      </c>
      <c r="AH23" s="11">
        <v>30.524999999999999</v>
      </c>
      <c r="AI23" s="11">
        <v>31.3</v>
      </c>
      <c r="AJ23" s="11">
        <v>31.266666666666666</v>
      </c>
      <c r="AK23" s="12">
        <v>29.3</v>
      </c>
      <c r="AL23" s="11">
        <v>30.774999999999999</v>
      </c>
      <c r="AM23" s="11">
        <v>31.3</v>
      </c>
      <c r="AN23" s="10">
        <v>31.358333333333331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13.238</v>
      </c>
      <c r="J24" s="39">
        <v>48.3</v>
      </c>
      <c r="K24" s="39">
        <v>44.9</v>
      </c>
      <c r="L24" s="39">
        <v>46</v>
      </c>
      <c r="M24" s="39">
        <v>36.700000000000003</v>
      </c>
      <c r="N24" s="39">
        <v>48.4</v>
      </c>
      <c r="O24" s="39">
        <v>38</v>
      </c>
      <c r="P24" s="39">
        <v>45.5</v>
      </c>
      <c r="Q24" s="39">
        <v>37.6</v>
      </c>
      <c r="R24" s="39">
        <v>47.5</v>
      </c>
      <c r="S24" s="39">
        <v>46.1</v>
      </c>
      <c r="T24" s="39">
        <v>48.5</v>
      </c>
      <c r="U24" s="39">
        <v>44.8</v>
      </c>
      <c r="V24" s="5">
        <f t="shared" si="0"/>
        <v>44.358333333333327</v>
      </c>
      <c r="W24" s="4">
        <f t="shared" si="1"/>
        <v>1.2648187277793659</v>
      </c>
      <c r="X24" s="2">
        <f t="shared" si="2"/>
        <v>36.700000000000003</v>
      </c>
      <c r="Y24" s="3">
        <f t="shared" si="3"/>
        <v>43.099999999999994</v>
      </c>
      <c r="Z24" s="2">
        <f t="shared" si="4"/>
        <v>45.75</v>
      </c>
      <c r="AA24" s="3">
        <f t="shared" si="5"/>
        <v>47.7</v>
      </c>
      <c r="AB24" s="3">
        <f t="shared" si="6"/>
        <v>48.5</v>
      </c>
      <c r="AC24" s="3">
        <f t="shared" si="7"/>
        <v>-1.0040562915426723</v>
      </c>
      <c r="AD24" s="3">
        <f t="shared" si="8"/>
        <v>-0.57908507643543716</v>
      </c>
      <c r="AF24" s="13" t="s">
        <v>64</v>
      </c>
      <c r="AG24" s="12">
        <v>44.65</v>
      </c>
      <c r="AH24" s="11">
        <v>50.774999999999999</v>
      </c>
      <c r="AI24" s="11">
        <v>56.05</v>
      </c>
      <c r="AJ24" s="11">
        <v>54.112499999999997</v>
      </c>
      <c r="AK24" s="12">
        <v>31.85</v>
      </c>
      <c r="AL24" s="11">
        <v>33.1</v>
      </c>
      <c r="AM24" s="11">
        <v>33.424999999999997</v>
      </c>
      <c r="AN24" s="10">
        <v>33.666666666666664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13.256</v>
      </c>
      <c r="J25" s="39">
        <v>49.7</v>
      </c>
      <c r="K25" s="39">
        <v>47.7</v>
      </c>
      <c r="L25" s="39">
        <v>50.2</v>
      </c>
      <c r="M25" s="39">
        <v>42.5</v>
      </c>
      <c r="N25" s="39">
        <v>49.3</v>
      </c>
      <c r="O25" s="39">
        <v>37.1</v>
      </c>
      <c r="P25" s="39">
        <v>50.9</v>
      </c>
      <c r="Q25" s="39">
        <v>43.5</v>
      </c>
      <c r="R25" s="39">
        <v>46.6</v>
      </c>
      <c r="S25" s="39">
        <v>43.7</v>
      </c>
      <c r="T25" s="39">
        <v>52.9</v>
      </c>
      <c r="U25" s="39">
        <v>50.8</v>
      </c>
      <c r="V25" s="5">
        <f t="shared" si="0"/>
        <v>47.074999999999996</v>
      </c>
      <c r="W25" s="4">
        <f t="shared" si="1"/>
        <v>1.3178911644032374</v>
      </c>
      <c r="X25" s="2">
        <f t="shared" si="2"/>
        <v>37.1</v>
      </c>
      <c r="Y25" s="3">
        <f t="shared" si="3"/>
        <v>43.650000000000006</v>
      </c>
      <c r="Z25" s="2">
        <f t="shared" si="4"/>
        <v>48.5</v>
      </c>
      <c r="AA25" s="3">
        <f t="shared" si="5"/>
        <v>50.35</v>
      </c>
      <c r="AB25" s="3">
        <f t="shared" si="6"/>
        <v>52.9</v>
      </c>
      <c r="AC25" s="3">
        <f t="shared" si="7"/>
        <v>-0.92564460244903479</v>
      </c>
      <c r="AD25" s="3">
        <f t="shared" si="8"/>
        <v>0.44917896752015984</v>
      </c>
      <c r="AF25" s="13" t="s">
        <v>63</v>
      </c>
      <c r="AG25" s="12">
        <v>31.633333333333336</v>
      </c>
      <c r="AH25" s="11">
        <v>32.825000000000003</v>
      </c>
      <c r="AI25" s="11">
        <v>33.333333333333336</v>
      </c>
      <c r="AJ25" s="11">
        <v>33.31388888888889</v>
      </c>
      <c r="AK25" s="12">
        <v>30.233333333333334</v>
      </c>
      <c r="AL25" s="11">
        <v>30.8</v>
      </c>
      <c r="AM25" s="11">
        <v>31.083333333333332</v>
      </c>
      <c r="AN25" s="10">
        <v>31.238888888888891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13.407</v>
      </c>
      <c r="J26" s="39">
        <v>33.700000000000003</v>
      </c>
      <c r="K26" s="39">
        <v>31.6</v>
      </c>
      <c r="L26" s="39">
        <v>34.4</v>
      </c>
      <c r="M26" s="39">
        <v>32.6</v>
      </c>
      <c r="N26" s="39">
        <v>33.299999999999997</v>
      </c>
      <c r="O26" s="39">
        <v>32.200000000000003</v>
      </c>
      <c r="P26" s="39">
        <v>32.799999999999997</v>
      </c>
      <c r="Q26" s="39">
        <v>30.8</v>
      </c>
      <c r="R26" s="39">
        <v>32.9</v>
      </c>
      <c r="S26" s="39">
        <v>30.2</v>
      </c>
      <c r="T26" s="39">
        <v>33.6</v>
      </c>
      <c r="U26" s="39">
        <v>32</v>
      </c>
      <c r="V26" s="5">
        <f t="shared" si="0"/>
        <v>32.508333333333333</v>
      </c>
      <c r="W26" s="4">
        <f t="shared" si="1"/>
        <v>0.3534373060288476</v>
      </c>
      <c r="X26" s="2">
        <f t="shared" si="2"/>
        <v>30.2</v>
      </c>
      <c r="Y26" s="3">
        <f t="shared" si="3"/>
        <v>31.9</v>
      </c>
      <c r="Z26" s="2">
        <f t="shared" si="4"/>
        <v>32.700000000000003</v>
      </c>
      <c r="AA26" s="3">
        <f t="shared" si="5"/>
        <v>33.375</v>
      </c>
      <c r="AB26" s="3">
        <f t="shared" si="6"/>
        <v>34.4</v>
      </c>
      <c r="AC26" s="3">
        <f t="shared" si="7"/>
        <v>-0.46667825488908737</v>
      </c>
      <c r="AD26" s="3">
        <f t="shared" si="8"/>
        <v>-0.22333701293312558</v>
      </c>
      <c r="AF26" s="13" t="s">
        <v>62</v>
      </c>
      <c r="AG26" s="12">
        <v>31.074999999999999</v>
      </c>
      <c r="AH26" s="11">
        <v>32.018749999999997</v>
      </c>
      <c r="AI26" s="11">
        <v>32.762500000000003</v>
      </c>
      <c r="AJ26" s="11">
        <v>32.672916666666666</v>
      </c>
      <c r="AK26" s="12">
        <v>29.725000000000001</v>
      </c>
      <c r="AL26" s="11">
        <v>30.987500000000001</v>
      </c>
      <c r="AM26" s="11">
        <v>31.475000000000001</v>
      </c>
      <c r="AN26" s="10">
        <v>31.354166666666668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13.425000000000001</v>
      </c>
      <c r="J27" s="39">
        <v>50</v>
      </c>
      <c r="K27" s="39">
        <v>37.1</v>
      </c>
      <c r="L27" s="39">
        <v>51.3</v>
      </c>
      <c r="M27" s="39">
        <v>36.200000000000003</v>
      </c>
      <c r="N27" s="39">
        <v>48.1</v>
      </c>
      <c r="O27" s="39">
        <v>34.9</v>
      </c>
      <c r="P27" s="39">
        <v>47.8</v>
      </c>
      <c r="Q27" s="39">
        <v>37.5</v>
      </c>
      <c r="R27" s="39">
        <v>41</v>
      </c>
      <c r="S27" s="39">
        <v>43.7</v>
      </c>
      <c r="T27" s="39">
        <v>39.299999999999997</v>
      </c>
      <c r="U27" s="39">
        <v>40.200000000000003</v>
      </c>
      <c r="V27" s="5">
        <f t="shared" si="0"/>
        <v>42.258333333333333</v>
      </c>
      <c r="W27" s="4">
        <f t="shared" si="1"/>
        <v>1.6589271055155372</v>
      </c>
      <c r="X27" s="2">
        <f t="shared" si="2"/>
        <v>34.9</v>
      </c>
      <c r="Y27" s="3">
        <f t="shared" si="3"/>
        <v>37.4</v>
      </c>
      <c r="Z27" s="2">
        <f t="shared" si="4"/>
        <v>40.6</v>
      </c>
      <c r="AA27" s="3">
        <f t="shared" si="5"/>
        <v>47.875</v>
      </c>
      <c r="AB27" s="3">
        <f t="shared" si="6"/>
        <v>51.3</v>
      </c>
      <c r="AC27" s="3">
        <f t="shared" si="7"/>
        <v>0.38703494452487008</v>
      </c>
      <c r="AD27" s="3">
        <f t="shared" si="8"/>
        <v>-1.4349683282967987</v>
      </c>
      <c r="AF27" s="9" t="s">
        <v>61</v>
      </c>
      <c r="AG27" s="8">
        <v>30.6</v>
      </c>
      <c r="AH27" s="7">
        <v>31.3125</v>
      </c>
      <c r="AI27" s="7">
        <v>32.075000000000003</v>
      </c>
      <c r="AJ27" s="7">
        <v>32.595833333333339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13.442</v>
      </c>
      <c r="J28" s="39">
        <v>58.5</v>
      </c>
      <c r="K28" s="39">
        <v>41</v>
      </c>
      <c r="L28" s="39">
        <v>56.5</v>
      </c>
      <c r="M28" s="39">
        <v>47.7</v>
      </c>
      <c r="N28" s="39">
        <v>57.5</v>
      </c>
      <c r="O28" s="39">
        <v>44.2</v>
      </c>
      <c r="P28" s="39">
        <v>57.5</v>
      </c>
      <c r="Q28" s="39">
        <v>56.2</v>
      </c>
      <c r="R28" s="39">
        <v>57.7</v>
      </c>
      <c r="S28" s="39">
        <v>55.8</v>
      </c>
      <c r="T28" s="39">
        <v>56.8</v>
      </c>
      <c r="U28" s="39">
        <v>50.4</v>
      </c>
      <c r="V28" s="5">
        <f t="shared" si="0"/>
        <v>53.316666666666656</v>
      </c>
      <c r="W28" s="4">
        <f t="shared" si="1"/>
        <v>1.7248115107091648</v>
      </c>
      <c r="X28" s="2">
        <f t="shared" si="2"/>
        <v>41</v>
      </c>
      <c r="Y28" s="3">
        <f t="shared" si="3"/>
        <v>49.725000000000001</v>
      </c>
      <c r="Z28" s="2">
        <f t="shared" si="4"/>
        <v>56.35</v>
      </c>
      <c r="AA28" s="3">
        <f t="shared" si="5"/>
        <v>57.5</v>
      </c>
      <c r="AB28" s="3">
        <f t="shared" si="6"/>
        <v>58.5</v>
      </c>
      <c r="AC28" s="3">
        <f t="shared" si="7"/>
        <v>-1.1990389096305707</v>
      </c>
      <c r="AD28" s="3">
        <f t="shared" si="8"/>
        <v>5.2857878038064854E-2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13.461</v>
      </c>
      <c r="J29" s="39">
        <v>48.9</v>
      </c>
      <c r="K29" s="39">
        <v>49.1</v>
      </c>
      <c r="L29" s="39">
        <v>50.2</v>
      </c>
      <c r="M29" s="39">
        <v>40.1</v>
      </c>
      <c r="N29" s="39">
        <v>45.8</v>
      </c>
      <c r="O29" s="39">
        <v>36.5</v>
      </c>
      <c r="P29" s="39">
        <v>48.9</v>
      </c>
      <c r="Q29" s="39">
        <v>42.8</v>
      </c>
      <c r="R29" s="39">
        <v>38.5</v>
      </c>
      <c r="S29" s="39">
        <v>48.7</v>
      </c>
      <c r="T29" s="39">
        <v>38.700000000000003</v>
      </c>
      <c r="U29" s="39">
        <v>44.9</v>
      </c>
      <c r="V29" s="5">
        <f t="shared" si="0"/>
        <v>44.42499999999999</v>
      </c>
      <c r="W29" s="4">
        <f t="shared" si="1"/>
        <v>1.4240427406762577</v>
      </c>
      <c r="X29" s="2">
        <f t="shared" si="2"/>
        <v>36.5</v>
      </c>
      <c r="Y29" s="3">
        <f t="shared" si="3"/>
        <v>39.75</v>
      </c>
      <c r="Z29" s="2">
        <f t="shared" si="4"/>
        <v>45.349999999999994</v>
      </c>
      <c r="AA29" s="3">
        <f t="shared" si="5"/>
        <v>48.9</v>
      </c>
      <c r="AB29" s="3">
        <f t="shared" si="6"/>
        <v>50.2</v>
      </c>
      <c r="AC29" s="3">
        <f t="shared" si="7"/>
        <v>-0.38506690255526721</v>
      </c>
      <c r="AD29" s="3">
        <f t="shared" si="8"/>
        <v>-1.5486358311787085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13.48</v>
      </c>
      <c r="J30" s="39">
        <v>45.5</v>
      </c>
      <c r="K30" s="39">
        <v>38.299999999999997</v>
      </c>
      <c r="L30" s="39">
        <v>45.1</v>
      </c>
      <c r="M30" s="39">
        <v>32.5</v>
      </c>
      <c r="N30" s="39">
        <v>42.3</v>
      </c>
      <c r="O30" s="39">
        <v>32.799999999999997</v>
      </c>
      <c r="P30" s="39">
        <v>42.9</v>
      </c>
      <c r="Q30" s="39">
        <v>32.799999999999997</v>
      </c>
      <c r="R30" s="39">
        <v>38.4</v>
      </c>
      <c r="S30" s="39">
        <v>38.4</v>
      </c>
      <c r="T30" s="39">
        <v>38.6</v>
      </c>
      <c r="U30" s="39">
        <v>43.4</v>
      </c>
      <c r="V30" s="5">
        <f t="shared" si="0"/>
        <v>39.249999999999993</v>
      </c>
      <c r="W30" s="4">
        <f t="shared" si="1"/>
        <v>1.3614553265019829</v>
      </c>
      <c r="X30" s="2">
        <f t="shared" si="2"/>
        <v>32.5</v>
      </c>
      <c r="Y30" s="3">
        <f t="shared" si="3"/>
        <v>36.924999999999997</v>
      </c>
      <c r="Z30" s="2">
        <f t="shared" si="4"/>
        <v>38.5</v>
      </c>
      <c r="AA30" s="3">
        <f t="shared" si="5"/>
        <v>43.024999999999999</v>
      </c>
      <c r="AB30" s="3">
        <f t="shared" si="6"/>
        <v>45.5</v>
      </c>
      <c r="AC30" s="3">
        <f t="shared" si="7"/>
        <v>-0.26389825408721612</v>
      </c>
      <c r="AD30" s="3">
        <f t="shared" si="8"/>
        <v>-1.231395913372384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13.497</v>
      </c>
      <c r="J31" s="39">
        <v>49.1</v>
      </c>
      <c r="K31" s="39">
        <v>41.9</v>
      </c>
      <c r="L31" s="39">
        <v>47.4</v>
      </c>
      <c r="M31" s="39">
        <v>46.7</v>
      </c>
      <c r="N31" s="39">
        <v>47.7</v>
      </c>
      <c r="O31" s="39">
        <v>34.700000000000003</v>
      </c>
      <c r="P31" s="39">
        <v>46.8</v>
      </c>
      <c r="Q31" s="39">
        <v>36.200000000000003</v>
      </c>
      <c r="R31" s="39">
        <v>44.8</v>
      </c>
      <c r="S31" s="39">
        <v>44.6</v>
      </c>
      <c r="T31" s="39">
        <v>45.7</v>
      </c>
      <c r="U31" s="39">
        <v>45.7</v>
      </c>
      <c r="V31" s="5">
        <f t="shared" si="0"/>
        <v>44.275000000000006</v>
      </c>
      <c r="W31" s="4">
        <f t="shared" si="1"/>
        <v>1.30268516394547</v>
      </c>
      <c r="X31" s="2">
        <f t="shared" si="2"/>
        <v>34.700000000000003</v>
      </c>
      <c r="Y31" s="3">
        <f t="shared" si="3"/>
        <v>43.924999999999997</v>
      </c>
      <c r="Z31" s="2">
        <f t="shared" si="4"/>
        <v>45.7</v>
      </c>
      <c r="AA31" s="3">
        <f t="shared" si="5"/>
        <v>46.949999999999996</v>
      </c>
      <c r="AB31" s="3">
        <f t="shared" si="6"/>
        <v>49.1</v>
      </c>
      <c r="AC31" s="3">
        <f t="shared" si="7"/>
        <v>-1.4226858592011147</v>
      </c>
      <c r="AD31" s="3">
        <f t="shared" si="8"/>
        <v>1.1145266876224591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13.515000000000001</v>
      </c>
      <c r="J32" s="39">
        <v>31.7</v>
      </c>
      <c r="K32" s="39">
        <v>32.299999999999997</v>
      </c>
      <c r="L32" s="39">
        <v>31.7</v>
      </c>
      <c r="M32" s="39">
        <v>31.9</v>
      </c>
      <c r="N32" s="39">
        <v>32.200000000000003</v>
      </c>
      <c r="O32" s="39">
        <v>32.200000000000003</v>
      </c>
      <c r="P32" s="39">
        <v>31.1</v>
      </c>
      <c r="Q32" s="39">
        <v>32.5</v>
      </c>
      <c r="R32" s="39">
        <v>32.700000000000003</v>
      </c>
      <c r="S32" s="39">
        <v>31.6</v>
      </c>
      <c r="T32" s="39">
        <v>33.200000000000003</v>
      </c>
      <c r="U32" s="39">
        <v>32.200000000000003</v>
      </c>
      <c r="V32" s="5">
        <f t="shared" si="0"/>
        <v>32.108333333333334</v>
      </c>
      <c r="W32" s="4">
        <f t="shared" si="1"/>
        <v>0.16070787224657124</v>
      </c>
      <c r="X32" s="2">
        <f t="shared" si="2"/>
        <v>31.1</v>
      </c>
      <c r="Y32" s="3">
        <f t="shared" si="3"/>
        <v>31.7</v>
      </c>
      <c r="Z32" s="2">
        <f t="shared" si="4"/>
        <v>32.200000000000003</v>
      </c>
      <c r="AA32" s="3">
        <f t="shared" si="5"/>
        <v>32.349999999999994</v>
      </c>
      <c r="AB32" s="3">
        <f t="shared" si="6"/>
        <v>33.200000000000003</v>
      </c>
      <c r="AC32" s="3">
        <f t="shared" si="7"/>
        <v>0.17435830298719154</v>
      </c>
      <c r="AD32" s="3">
        <f t="shared" si="8"/>
        <v>0.43850616513907337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13.532999999999999</v>
      </c>
      <c r="J33" s="39">
        <v>47.8</v>
      </c>
      <c r="K33" s="39">
        <v>37.9</v>
      </c>
      <c r="L33" s="39">
        <v>48</v>
      </c>
      <c r="M33" s="39">
        <v>36.799999999999997</v>
      </c>
      <c r="N33" s="39">
        <v>47.3</v>
      </c>
      <c r="O33" s="39">
        <v>35.799999999999997</v>
      </c>
      <c r="P33" s="39">
        <v>47</v>
      </c>
      <c r="Q33" s="39">
        <v>36.4</v>
      </c>
      <c r="R33" s="39">
        <v>47</v>
      </c>
      <c r="S33" s="39">
        <v>36.299999999999997</v>
      </c>
      <c r="T33" s="39">
        <v>47.4</v>
      </c>
      <c r="U33" s="39">
        <v>34.5</v>
      </c>
      <c r="V33" s="5">
        <f t="shared" si="0"/>
        <v>41.85</v>
      </c>
      <c r="W33" s="4">
        <f t="shared" si="1"/>
        <v>1.6944874973831585</v>
      </c>
      <c r="X33" s="2">
        <f t="shared" si="2"/>
        <v>34.5</v>
      </c>
      <c r="Y33" s="3">
        <f t="shared" si="3"/>
        <v>36.375</v>
      </c>
      <c r="Z33" s="2">
        <f t="shared" si="4"/>
        <v>42.45</v>
      </c>
      <c r="AA33" s="3">
        <f t="shared" si="5"/>
        <v>47.324999999999996</v>
      </c>
      <c r="AB33" s="3">
        <f t="shared" si="6"/>
        <v>48</v>
      </c>
      <c r="AC33" s="3">
        <f t="shared" si="7"/>
        <v>-4.9889649341564375E-2</v>
      </c>
      <c r="AD33" s="3">
        <f t="shared" si="8"/>
        <v>-2.3204596384311911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13.659000000000001</v>
      </c>
      <c r="J34" s="39">
        <v>48.2</v>
      </c>
      <c r="K34" s="39">
        <v>40.200000000000003</v>
      </c>
      <c r="L34" s="39">
        <v>44.6</v>
      </c>
      <c r="M34" s="39">
        <v>37.6</v>
      </c>
      <c r="N34" s="39">
        <v>46.7</v>
      </c>
      <c r="O34" s="39">
        <v>40.799999999999997</v>
      </c>
      <c r="P34" s="39">
        <v>41.6</v>
      </c>
      <c r="Q34" s="39">
        <v>42.8</v>
      </c>
      <c r="R34" s="39">
        <v>48.2</v>
      </c>
      <c r="S34" s="39">
        <v>35.299999999999997</v>
      </c>
      <c r="T34" s="39">
        <v>47.2</v>
      </c>
      <c r="U34" s="39">
        <v>36.200000000000003</v>
      </c>
      <c r="V34" s="5">
        <f t="shared" si="0"/>
        <v>42.45</v>
      </c>
      <c r="W34" s="4">
        <f t="shared" si="1"/>
        <v>1.3306127547225259</v>
      </c>
      <c r="X34" s="2">
        <f t="shared" si="2"/>
        <v>35.299999999999997</v>
      </c>
      <c r="Y34" s="3">
        <f t="shared" si="3"/>
        <v>39.550000000000004</v>
      </c>
      <c r="Z34" s="2">
        <f t="shared" si="4"/>
        <v>42.2</v>
      </c>
      <c r="AA34" s="3">
        <f t="shared" si="5"/>
        <v>46.825000000000003</v>
      </c>
      <c r="AB34" s="3">
        <f t="shared" si="6"/>
        <v>48.2</v>
      </c>
      <c r="AC34" s="3">
        <f t="shared" si="7"/>
        <v>-0.18503650795042578</v>
      </c>
      <c r="AD34" s="3">
        <f t="shared" si="8"/>
        <v>-1.3212837251421141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13.634</v>
      </c>
      <c r="J35" s="39">
        <v>49.7</v>
      </c>
      <c r="K35" s="39">
        <v>44.2</v>
      </c>
      <c r="L35" s="39">
        <v>50.8</v>
      </c>
      <c r="M35" s="39">
        <v>41.8</v>
      </c>
      <c r="N35" s="39">
        <v>48</v>
      </c>
      <c r="O35" s="39">
        <v>35.700000000000003</v>
      </c>
      <c r="P35" s="39">
        <v>49.1</v>
      </c>
      <c r="Q35" s="39">
        <v>41.6</v>
      </c>
      <c r="R35" s="39">
        <v>45.9</v>
      </c>
      <c r="S35" s="39">
        <v>49.4</v>
      </c>
      <c r="T35" s="39">
        <v>46.5</v>
      </c>
      <c r="U35" s="39">
        <v>41.5</v>
      </c>
      <c r="V35" s="5">
        <f t="shared" si="0"/>
        <v>45.35</v>
      </c>
      <c r="W35" s="4">
        <f t="shared" si="1"/>
        <v>1.301717979045268</v>
      </c>
      <c r="X35" s="2">
        <f t="shared" si="2"/>
        <v>35.700000000000003</v>
      </c>
      <c r="Y35" s="3">
        <f t="shared" si="3"/>
        <v>41.75</v>
      </c>
      <c r="Z35" s="2">
        <f t="shared" si="4"/>
        <v>46.2</v>
      </c>
      <c r="AA35" s="3">
        <f t="shared" si="5"/>
        <v>49.174999999999997</v>
      </c>
      <c r="AB35" s="3">
        <f t="shared" si="6"/>
        <v>50.8</v>
      </c>
      <c r="AC35" s="3">
        <f t="shared" si="7"/>
        <v>-0.79838871701772118</v>
      </c>
      <c r="AD35" s="3">
        <f t="shared" si="8"/>
        <v>0.16204401028155413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13.614000000000001</v>
      </c>
      <c r="J36" s="39">
        <v>49.2</v>
      </c>
      <c r="K36" s="39">
        <v>37.799999999999997</v>
      </c>
      <c r="L36" s="39">
        <v>48.2</v>
      </c>
      <c r="M36" s="39">
        <v>35.799999999999997</v>
      </c>
      <c r="N36" s="39">
        <v>47.4</v>
      </c>
      <c r="O36" s="39">
        <v>35.200000000000003</v>
      </c>
      <c r="P36" s="39">
        <v>42.3</v>
      </c>
      <c r="Q36" s="39">
        <v>38.5</v>
      </c>
      <c r="R36" s="39">
        <v>40.299999999999997</v>
      </c>
      <c r="S36" s="39">
        <v>42.9</v>
      </c>
      <c r="T36" s="39">
        <v>48.3</v>
      </c>
      <c r="U36" s="39">
        <v>36.5</v>
      </c>
      <c r="V36" s="5">
        <f t="shared" si="0"/>
        <v>41.866666666666667</v>
      </c>
      <c r="W36" s="4">
        <f t="shared" si="1"/>
        <v>1.5263510326092948</v>
      </c>
      <c r="X36" s="2">
        <f t="shared" si="2"/>
        <v>35.200000000000003</v>
      </c>
      <c r="Y36" s="3">
        <f t="shared" si="3"/>
        <v>37.474999999999994</v>
      </c>
      <c r="Z36" s="2">
        <f t="shared" si="4"/>
        <v>41.3</v>
      </c>
      <c r="AA36" s="3">
        <f t="shared" si="5"/>
        <v>47.6</v>
      </c>
      <c r="AB36" s="3">
        <f t="shared" si="6"/>
        <v>49.2</v>
      </c>
      <c r="AC36" s="3">
        <f t="shared" si="7"/>
        <v>0.22277936955661845</v>
      </c>
      <c r="AD36" s="3">
        <f t="shared" si="8"/>
        <v>-1.670500991270607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13.596</v>
      </c>
      <c r="J37" s="39">
        <v>50.8</v>
      </c>
      <c r="K37" s="39">
        <v>37.799999999999997</v>
      </c>
      <c r="L37" s="39">
        <v>48.3</v>
      </c>
      <c r="M37" s="39">
        <v>37.4</v>
      </c>
      <c r="N37" s="39">
        <v>46.5</v>
      </c>
      <c r="O37" s="39">
        <v>39</v>
      </c>
      <c r="P37" s="39">
        <v>48.7</v>
      </c>
      <c r="Q37" s="39">
        <v>37.4</v>
      </c>
      <c r="R37" s="39">
        <v>48</v>
      </c>
      <c r="S37" s="39">
        <v>43.2</v>
      </c>
      <c r="T37" s="39">
        <v>47.5</v>
      </c>
      <c r="U37" s="39">
        <v>36.5</v>
      </c>
      <c r="V37" s="5">
        <f t="shared" si="0"/>
        <v>43.42499999999999</v>
      </c>
      <c r="W37" s="4">
        <f t="shared" si="1"/>
        <v>1.5686379442051295</v>
      </c>
      <c r="X37" s="2">
        <f t="shared" si="2"/>
        <v>36.5</v>
      </c>
      <c r="Y37" s="3">
        <f t="shared" si="3"/>
        <v>37.699999999999996</v>
      </c>
      <c r="Z37" s="2">
        <f t="shared" si="4"/>
        <v>44.85</v>
      </c>
      <c r="AA37" s="3">
        <f t="shared" si="5"/>
        <v>48.075000000000003</v>
      </c>
      <c r="AB37" s="3">
        <f t="shared" si="6"/>
        <v>50.8</v>
      </c>
      <c r="AC37" s="3">
        <f t="shared" si="7"/>
        <v>-0.12094116240932454</v>
      </c>
      <c r="AD37" s="3">
        <f t="shared" si="8"/>
        <v>-1.9692964440344003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13.577999999999999</v>
      </c>
      <c r="J38" s="39">
        <v>31.8</v>
      </c>
      <c r="K38" s="39">
        <v>32.299999999999997</v>
      </c>
      <c r="L38" s="39">
        <v>31.1</v>
      </c>
      <c r="M38" s="39">
        <v>29.9</v>
      </c>
      <c r="N38" s="39">
        <v>31.9</v>
      </c>
      <c r="O38" s="39">
        <v>30.9</v>
      </c>
      <c r="P38" s="39">
        <v>31.5</v>
      </c>
      <c r="Q38" s="39">
        <v>29.7</v>
      </c>
      <c r="R38" s="39">
        <v>33.200000000000003</v>
      </c>
      <c r="S38" s="39">
        <v>30.7</v>
      </c>
      <c r="T38" s="39">
        <v>32.200000000000003</v>
      </c>
      <c r="U38" s="39">
        <v>30</v>
      </c>
      <c r="V38" s="5">
        <f t="shared" si="0"/>
        <v>31.266666666666666</v>
      </c>
      <c r="W38" s="4">
        <f t="shared" si="1"/>
        <v>0.31172378345534896</v>
      </c>
      <c r="X38" s="2">
        <f t="shared" si="2"/>
        <v>29.7</v>
      </c>
      <c r="Y38" s="3">
        <f t="shared" si="3"/>
        <v>30.524999999999999</v>
      </c>
      <c r="Z38" s="2">
        <f t="shared" si="4"/>
        <v>31.3</v>
      </c>
      <c r="AA38" s="3">
        <f t="shared" si="5"/>
        <v>31.975000000000001</v>
      </c>
      <c r="AB38" s="3">
        <f t="shared" si="6"/>
        <v>33.200000000000003</v>
      </c>
      <c r="AC38" s="3">
        <f t="shared" si="7"/>
        <v>7.7550360991338996E-2</v>
      </c>
      <c r="AD38" s="3">
        <f t="shared" si="8"/>
        <v>-0.7508765522278984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13.561</v>
      </c>
      <c r="J39" s="39">
        <v>32.4</v>
      </c>
      <c r="K39" s="39">
        <v>32.700000000000003</v>
      </c>
      <c r="L39" s="39">
        <v>32.6</v>
      </c>
      <c r="M39" s="39">
        <v>33.9</v>
      </c>
      <c r="N39" s="39">
        <v>30.7</v>
      </c>
      <c r="O39" s="39">
        <v>32.6</v>
      </c>
      <c r="P39" s="39">
        <v>30.4</v>
      </c>
      <c r="Q39" s="39">
        <v>32.4</v>
      </c>
      <c r="R39" s="39">
        <v>31</v>
      </c>
      <c r="S39" s="39">
        <v>31.9</v>
      </c>
      <c r="T39" s="39">
        <v>31</v>
      </c>
      <c r="U39" s="39">
        <v>32.1</v>
      </c>
      <c r="V39" s="5">
        <f t="shared" si="0"/>
        <v>31.974999999999998</v>
      </c>
      <c r="W39" s="4">
        <f t="shared" si="1"/>
        <v>0.29390912840123867</v>
      </c>
      <c r="X39" s="2">
        <f t="shared" si="2"/>
        <v>30.4</v>
      </c>
      <c r="Y39" s="3">
        <f t="shared" si="3"/>
        <v>31</v>
      </c>
      <c r="Z39" s="2">
        <f t="shared" si="4"/>
        <v>32.25</v>
      </c>
      <c r="AA39" s="3">
        <f t="shared" si="5"/>
        <v>32.6</v>
      </c>
      <c r="AB39" s="3">
        <f t="shared" si="6"/>
        <v>33.9</v>
      </c>
      <c r="AC39" s="3">
        <f t="shared" si="7"/>
        <v>3.3529327469707659E-2</v>
      </c>
      <c r="AD39" s="3">
        <f t="shared" si="8"/>
        <v>-0.36976048790284377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13.391999999999999</v>
      </c>
      <c r="J40" s="47">
        <v>30.7</v>
      </c>
      <c r="K40" s="47">
        <v>33.700000000000003</v>
      </c>
      <c r="L40" s="47">
        <v>34</v>
      </c>
      <c r="M40" s="47">
        <v>31.5</v>
      </c>
      <c r="N40" s="47">
        <v>32.5</v>
      </c>
      <c r="O40" s="47">
        <v>35.5</v>
      </c>
      <c r="P40" s="47">
        <v>31.4</v>
      </c>
      <c r="Q40" s="47">
        <v>35.799999999999997</v>
      </c>
      <c r="R40" s="47">
        <v>31.8</v>
      </c>
      <c r="S40" s="47">
        <v>34.6</v>
      </c>
      <c r="T40" s="47">
        <v>32.700000000000003</v>
      </c>
      <c r="U40" s="47">
        <v>32.200000000000003</v>
      </c>
      <c r="V40" s="49">
        <f t="shared" si="0"/>
        <v>33.033333333333339</v>
      </c>
      <c r="W40" s="48">
        <f t="shared" si="1"/>
        <v>0.48184200436628311</v>
      </c>
      <c r="X40" s="47">
        <f t="shared" si="2"/>
        <v>30.7</v>
      </c>
      <c r="Y40" s="46">
        <f t="shared" si="3"/>
        <v>31.725000000000001</v>
      </c>
      <c r="Z40" s="47">
        <f t="shared" si="4"/>
        <v>32.6</v>
      </c>
      <c r="AA40" s="46">
        <f t="shared" si="5"/>
        <v>34.15</v>
      </c>
      <c r="AB40" s="46">
        <f t="shared" si="6"/>
        <v>35.799999999999997</v>
      </c>
      <c r="AC40" s="46">
        <f t="shared" si="7"/>
        <v>0.42039957543770062</v>
      </c>
      <c r="AD40" s="46">
        <f t="shared" si="8"/>
        <v>-1.0312436267914475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13.374000000000001</v>
      </c>
      <c r="J41" s="39">
        <v>36.799999999999997</v>
      </c>
      <c r="K41" s="39">
        <v>33.299999999999997</v>
      </c>
      <c r="L41" s="39">
        <v>31.6</v>
      </c>
      <c r="M41" s="39">
        <v>34.200000000000003</v>
      </c>
      <c r="N41" s="39">
        <v>31.8</v>
      </c>
      <c r="O41" s="39">
        <v>32.6</v>
      </c>
      <c r="P41" s="39">
        <v>32.6</v>
      </c>
      <c r="Q41" s="39">
        <v>33</v>
      </c>
      <c r="R41" s="39">
        <v>33.200000000000003</v>
      </c>
      <c r="S41" s="39">
        <v>31.3</v>
      </c>
      <c r="T41" s="39">
        <v>33.700000000000003</v>
      </c>
      <c r="U41" s="39">
        <v>31.2</v>
      </c>
      <c r="V41" s="5">
        <f t="shared" si="0"/>
        <v>32.941666666666663</v>
      </c>
      <c r="W41" s="4">
        <f t="shared" si="1"/>
        <v>0.44644357839134452</v>
      </c>
      <c r="X41" s="2">
        <f t="shared" si="2"/>
        <v>31.2</v>
      </c>
      <c r="Y41" s="3">
        <f t="shared" si="3"/>
        <v>31.75</v>
      </c>
      <c r="Z41" s="2">
        <f t="shared" si="4"/>
        <v>32.799999999999997</v>
      </c>
      <c r="AA41" s="3">
        <f t="shared" si="5"/>
        <v>33.4</v>
      </c>
      <c r="AB41" s="3">
        <f t="shared" si="6"/>
        <v>36.799999999999997</v>
      </c>
      <c r="AC41" s="3">
        <f t="shared" si="7"/>
        <v>1.3637348821551121</v>
      </c>
      <c r="AD41" s="3">
        <f t="shared" si="8"/>
        <v>2.7403985155866701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13.366</v>
      </c>
      <c r="J42" s="47">
        <v>59.5</v>
      </c>
      <c r="K42" s="47">
        <v>60.9</v>
      </c>
      <c r="L42" s="47">
        <v>60.1</v>
      </c>
      <c r="M42" s="47">
        <v>59.4</v>
      </c>
      <c r="N42" s="47">
        <v>59.3</v>
      </c>
      <c r="O42" s="47">
        <v>60.6</v>
      </c>
      <c r="P42" s="47">
        <v>60.7</v>
      </c>
      <c r="Q42" s="47">
        <v>58.6</v>
      </c>
      <c r="R42" s="47">
        <v>60.3</v>
      </c>
      <c r="S42" s="47">
        <v>60.5</v>
      </c>
      <c r="T42" s="47">
        <v>60.4</v>
      </c>
      <c r="U42" s="47">
        <v>59.3</v>
      </c>
      <c r="V42" s="49">
        <f t="shared" ref="V42:V73" si="9">AVERAGE(J42:U42)</f>
        <v>59.966666666666661</v>
      </c>
      <c r="W42" s="48">
        <f t="shared" ref="W42:W73" si="10">STDEV(J42:U42)/SQRT(COUNT(J42:U42))</f>
        <v>0.20792383998070851</v>
      </c>
      <c r="X42" s="47">
        <f t="shared" ref="X42:X73" si="11">MIN(J42:U42)</f>
        <v>58.6</v>
      </c>
      <c r="Y42" s="46">
        <f t="shared" ref="Y42:Y73" si="12">QUARTILE(J42:U42,1)</f>
        <v>59.375</v>
      </c>
      <c r="Z42" s="47">
        <f t="shared" ref="Z42:Z73" si="13">MEDIAN(J42:U42)</f>
        <v>60.2</v>
      </c>
      <c r="AA42" s="46">
        <f t="shared" ref="AA42:AA73" si="14">QUARTILE(J42:U42,3)</f>
        <v>60.524999999999999</v>
      </c>
      <c r="AB42" s="46">
        <f t="shared" ref="AB42:AB73" si="15">MAX(J42:U42)</f>
        <v>60.9</v>
      </c>
      <c r="AC42" s="46">
        <f t="shared" ref="AC42:AC73" si="16">SKEW(J42:U42)</f>
        <v>-0.49481751375322042</v>
      </c>
      <c r="AD42" s="46">
        <f t="shared" ref="AD42:AD73" si="17">KURT(J42:U42)</f>
        <v>-0.88817746091364835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13.35</v>
      </c>
      <c r="J43" s="39">
        <v>62</v>
      </c>
      <c r="K43" s="39">
        <v>47.3</v>
      </c>
      <c r="L43" s="39">
        <v>59.1</v>
      </c>
      <c r="M43" s="39">
        <v>40.9</v>
      </c>
      <c r="N43" s="39">
        <v>58.8</v>
      </c>
      <c r="O43" s="39">
        <v>52.7</v>
      </c>
      <c r="P43" s="39">
        <v>61.3</v>
      </c>
      <c r="Q43" s="39">
        <v>48.9</v>
      </c>
      <c r="R43" s="39">
        <v>57.9</v>
      </c>
      <c r="S43" s="39">
        <v>41.7</v>
      </c>
      <c r="T43" s="39">
        <v>58.5</v>
      </c>
      <c r="U43" s="39">
        <v>45.8</v>
      </c>
      <c r="V43" s="5">
        <f t="shared" si="9"/>
        <v>52.908333333333331</v>
      </c>
      <c r="W43" s="4">
        <f t="shared" si="10"/>
        <v>2.2194545580735636</v>
      </c>
      <c r="X43" s="2">
        <f t="shared" si="11"/>
        <v>40.9</v>
      </c>
      <c r="Y43" s="3">
        <f t="shared" si="12"/>
        <v>46.924999999999997</v>
      </c>
      <c r="Z43" s="2">
        <f t="shared" si="13"/>
        <v>55.3</v>
      </c>
      <c r="AA43" s="3">
        <f t="shared" si="14"/>
        <v>58.875</v>
      </c>
      <c r="AB43" s="3">
        <f t="shared" si="15"/>
        <v>62</v>
      </c>
      <c r="AC43" s="3">
        <f t="shared" si="16"/>
        <v>-0.39753000497453567</v>
      </c>
      <c r="AD43" s="3">
        <f t="shared" si="17"/>
        <v>-1.4880575238788731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13.343</v>
      </c>
      <c r="J44" s="47">
        <v>30.9</v>
      </c>
      <c r="K44" s="47">
        <v>33.700000000000003</v>
      </c>
      <c r="L44" s="47">
        <v>31.9</v>
      </c>
      <c r="M44" s="47">
        <v>31.2</v>
      </c>
      <c r="N44" s="47">
        <v>35.200000000000003</v>
      </c>
      <c r="O44" s="47">
        <v>31</v>
      </c>
      <c r="P44" s="47">
        <v>33.4</v>
      </c>
      <c r="Q44" s="47">
        <v>30.9</v>
      </c>
      <c r="R44" s="47">
        <v>33</v>
      </c>
      <c r="S44" s="47">
        <v>30.5</v>
      </c>
      <c r="T44" s="47">
        <v>33.6</v>
      </c>
      <c r="U44" s="47">
        <v>30.6</v>
      </c>
      <c r="V44" s="49">
        <f t="shared" si="9"/>
        <v>32.158333333333339</v>
      </c>
      <c r="W44" s="48">
        <f t="shared" si="10"/>
        <v>0.4491504326070625</v>
      </c>
      <c r="X44" s="47">
        <f t="shared" si="11"/>
        <v>30.5</v>
      </c>
      <c r="Y44" s="46">
        <f t="shared" si="12"/>
        <v>30.9</v>
      </c>
      <c r="Z44" s="47">
        <f t="shared" si="13"/>
        <v>31.549999999999997</v>
      </c>
      <c r="AA44" s="46">
        <f t="shared" si="14"/>
        <v>33.450000000000003</v>
      </c>
      <c r="AB44" s="46">
        <f t="shared" si="15"/>
        <v>35.200000000000003</v>
      </c>
      <c r="AC44" s="46">
        <f t="shared" si="16"/>
        <v>0.6525477887580462</v>
      </c>
      <c r="AD44" s="46">
        <f t="shared" si="17"/>
        <v>-0.81847306897528904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13.324999999999999</v>
      </c>
      <c r="J45" s="39">
        <v>33.700000000000003</v>
      </c>
      <c r="K45" s="39">
        <v>31.8</v>
      </c>
      <c r="L45" s="39">
        <v>31.4</v>
      </c>
      <c r="M45" s="39">
        <v>31.2</v>
      </c>
      <c r="N45" s="39">
        <v>31</v>
      </c>
      <c r="O45" s="39">
        <v>31</v>
      </c>
      <c r="P45" s="39">
        <v>33</v>
      </c>
      <c r="Q45" s="39">
        <v>30</v>
      </c>
      <c r="R45" s="39">
        <v>31.6</v>
      </c>
      <c r="S45" s="39">
        <v>29.6</v>
      </c>
      <c r="T45" s="39">
        <v>32.299999999999997</v>
      </c>
      <c r="U45" s="39">
        <v>30.6</v>
      </c>
      <c r="V45" s="5">
        <f t="shared" si="9"/>
        <v>31.433333333333337</v>
      </c>
      <c r="W45" s="4">
        <f t="shared" si="10"/>
        <v>0.33762390168632761</v>
      </c>
      <c r="X45" s="2">
        <f t="shared" si="11"/>
        <v>29.6</v>
      </c>
      <c r="Y45" s="3">
        <f t="shared" si="12"/>
        <v>30.9</v>
      </c>
      <c r="Z45" s="2">
        <f t="shared" si="13"/>
        <v>31.299999999999997</v>
      </c>
      <c r="AA45" s="3">
        <f t="shared" si="14"/>
        <v>31.925000000000001</v>
      </c>
      <c r="AB45" s="3">
        <f t="shared" si="15"/>
        <v>33.700000000000003</v>
      </c>
      <c r="AC45" s="3">
        <f t="shared" si="16"/>
        <v>0.43197254045771866</v>
      </c>
      <c r="AD45" s="3">
        <f t="shared" si="17"/>
        <v>9.9783551355708155E-2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13.318</v>
      </c>
      <c r="J46" s="47">
        <v>58.1</v>
      </c>
      <c r="K46" s="47">
        <v>59.5</v>
      </c>
      <c r="L46" s="47">
        <v>57.7</v>
      </c>
      <c r="M46" s="47">
        <v>60.1</v>
      </c>
      <c r="N46" s="47">
        <v>59.9</v>
      </c>
      <c r="O46" s="47">
        <v>58.3</v>
      </c>
      <c r="P46" s="47">
        <v>60.4</v>
      </c>
      <c r="Q46" s="47">
        <v>58.5</v>
      </c>
      <c r="R46" s="47">
        <v>59.6</v>
      </c>
      <c r="S46" s="47">
        <v>59.5</v>
      </c>
      <c r="T46" s="47">
        <v>57.8</v>
      </c>
      <c r="U46" s="47">
        <v>57.1</v>
      </c>
      <c r="V46" s="49">
        <f t="shared" si="9"/>
        <v>58.875</v>
      </c>
      <c r="W46" s="48">
        <f t="shared" si="10"/>
        <v>0.31312815654974618</v>
      </c>
      <c r="X46" s="47">
        <f t="shared" si="11"/>
        <v>57.1</v>
      </c>
      <c r="Y46" s="46">
        <f t="shared" si="12"/>
        <v>58.024999999999999</v>
      </c>
      <c r="Z46" s="47">
        <f t="shared" si="13"/>
        <v>59</v>
      </c>
      <c r="AA46" s="46">
        <f t="shared" si="14"/>
        <v>59.674999999999997</v>
      </c>
      <c r="AB46" s="46">
        <f t="shared" si="15"/>
        <v>60.4</v>
      </c>
      <c r="AC46" s="46">
        <f t="shared" si="16"/>
        <v>-0.15677588415090901</v>
      </c>
      <c r="AD46" s="46">
        <f t="shared" si="17"/>
        <v>-1.4149498034220627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13.28</v>
      </c>
      <c r="J47" s="39">
        <v>61.6</v>
      </c>
      <c r="K47" s="39">
        <v>54.6</v>
      </c>
      <c r="L47" s="39">
        <v>54.5</v>
      </c>
      <c r="M47" s="39">
        <v>51.7</v>
      </c>
      <c r="N47" s="39">
        <v>58.4</v>
      </c>
      <c r="O47" s="39">
        <v>43.9</v>
      </c>
      <c r="P47" s="39">
        <v>61.4</v>
      </c>
      <c r="Q47" s="39">
        <v>43.1</v>
      </c>
      <c r="R47" s="39">
        <v>58.8</v>
      </c>
      <c r="S47" s="39">
        <v>45.7</v>
      </c>
      <c r="T47" s="39">
        <v>59.3</v>
      </c>
      <c r="U47" s="39">
        <v>43.4</v>
      </c>
      <c r="V47" s="5">
        <f t="shared" si="9"/>
        <v>53.033333333333324</v>
      </c>
      <c r="W47" s="4">
        <f t="shared" si="10"/>
        <v>2.09575087192438</v>
      </c>
      <c r="X47" s="2">
        <f t="shared" si="11"/>
        <v>43.1</v>
      </c>
      <c r="Y47" s="3">
        <f t="shared" si="12"/>
        <v>45.25</v>
      </c>
      <c r="Z47" s="2">
        <f t="shared" si="13"/>
        <v>54.55</v>
      </c>
      <c r="AA47" s="3">
        <f t="shared" si="14"/>
        <v>58.924999999999997</v>
      </c>
      <c r="AB47" s="3">
        <f t="shared" si="15"/>
        <v>61.6</v>
      </c>
      <c r="AC47" s="3">
        <f t="shared" si="16"/>
        <v>-0.34752108744507731</v>
      </c>
      <c r="AD47" s="3">
        <f t="shared" si="17"/>
        <v>-1.6522830493094967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13.109</v>
      </c>
      <c r="J48" s="39">
        <v>32.6</v>
      </c>
      <c r="K48" s="39">
        <v>32</v>
      </c>
      <c r="L48" s="39">
        <v>32.299999999999997</v>
      </c>
      <c r="M48" s="39">
        <v>32.1</v>
      </c>
      <c r="N48" s="39">
        <v>30.6</v>
      </c>
      <c r="O48" s="39">
        <v>32.700000000000003</v>
      </c>
      <c r="P48" s="39">
        <v>30.6</v>
      </c>
      <c r="Q48" s="39">
        <v>35.799999999999997</v>
      </c>
      <c r="R48" s="39">
        <v>29</v>
      </c>
      <c r="S48" s="39">
        <v>30.8</v>
      </c>
      <c r="T48" s="39">
        <v>31</v>
      </c>
      <c r="U48" s="39">
        <v>30.7</v>
      </c>
      <c r="V48" s="5">
        <f t="shared" si="9"/>
        <v>31.683333333333334</v>
      </c>
      <c r="W48" s="4">
        <f t="shared" si="10"/>
        <v>0.48645802916738251</v>
      </c>
      <c r="X48" s="2">
        <f t="shared" si="11"/>
        <v>29</v>
      </c>
      <c r="Y48" s="3">
        <f t="shared" si="12"/>
        <v>30.675000000000001</v>
      </c>
      <c r="Z48" s="2">
        <f t="shared" si="13"/>
        <v>31.5</v>
      </c>
      <c r="AA48" s="3">
        <f t="shared" si="14"/>
        <v>32.375</v>
      </c>
      <c r="AB48" s="3">
        <f t="shared" si="15"/>
        <v>35.799999999999997</v>
      </c>
      <c r="AC48" s="3">
        <f t="shared" si="16"/>
        <v>1.096585994186851</v>
      </c>
      <c r="AD48" s="3">
        <f t="shared" si="17"/>
        <v>2.7184267731986314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13.090999999999999</v>
      </c>
      <c r="J49" s="39">
        <v>30.3</v>
      </c>
      <c r="K49" s="39">
        <v>32.200000000000003</v>
      </c>
      <c r="L49" s="39">
        <v>30.6</v>
      </c>
      <c r="M49" s="39">
        <v>30.4</v>
      </c>
      <c r="N49" s="39">
        <v>29.2</v>
      </c>
      <c r="O49" s="39">
        <v>30.6</v>
      </c>
      <c r="P49" s="39">
        <v>31.7</v>
      </c>
      <c r="Q49" s="39">
        <v>29.3</v>
      </c>
      <c r="R49" s="39">
        <v>30.9</v>
      </c>
      <c r="S49" s="39">
        <v>31.9</v>
      </c>
      <c r="T49" s="39">
        <v>30.9</v>
      </c>
      <c r="U49" s="39">
        <v>30.7</v>
      </c>
      <c r="V49" s="5">
        <f t="shared" si="9"/>
        <v>30.724999999999994</v>
      </c>
      <c r="W49" s="4">
        <f t="shared" si="10"/>
        <v>0.26461092077603188</v>
      </c>
      <c r="X49" s="2">
        <f t="shared" si="11"/>
        <v>29.2</v>
      </c>
      <c r="Y49" s="3">
        <f t="shared" si="12"/>
        <v>30.375</v>
      </c>
      <c r="Z49" s="2">
        <f t="shared" si="13"/>
        <v>30.65</v>
      </c>
      <c r="AA49" s="3">
        <f t="shared" si="14"/>
        <v>31.099999999999998</v>
      </c>
      <c r="AB49" s="3">
        <f t="shared" si="15"/>
        <v>32.200000000000003</v>
      </c>
      <c r="AC49" s="3">
        <f t="shared" si="16"/>
        <v>-0.11138407381789495</v>
      </c>
      <c r="AD49" s="3">
        <f t="shared" si="17"/>
        <v>-0.21185044850031476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13.071</v>
      </c>
      <c r="J50" s="39">
        <v>31.5</v>
      </c>
      <c r="K50" s="39">
        <v>30.3</v>
      </c>
      <c r="L50" s="39">
        <v>32.1</v>
      </c>
      <c r="M50" s="39">
        <v>31.4</v>
      </c>
      <c r="N50" s="39">
        <v>30.3</v>
      </c>
      <c r="O50" s="39">
        <v>31.6</v>
      </c>
      <c r="P50" s="39">
        <v>30.4</v>
      </c>
      <c r="Q50" s="39">
        <v>30.2</v>
      </c>
      <c r="R50" s="39">
        <v>31.5</v>
      </c>
      <c r="S50" s="39">
        <v>31.1</v>
      </c>
      <c r="T50" s="39">
        <v>30.3</v>
      </c>
      <c r="U50" s="39">
        <v>29.9</v>
      </c>
      <c r="V50" s="5">
        <f t="shared" si="9"/>
        <v>30.883333333333336</v>
      </c>
      <c r="W50" s="4">
        <f t="shared" si="10"/>
        <v>0.20883273476902797</v>
      </c>
      <c r="X50" s="2">
        <f t="shared" si="11"/>
        <v>29.9</v>
      </c>
      <c r="Y50" s="3">
        <f t="shared" si="12"/>
        <v>30.3</v>
      </c>
      <c r="Z50" s="2">
        <f t="shared" si="13"/>
        <v>30.75</v>
      </c>
      <c r="AA50" s="3">
        <f t="shared" si="14"/>
        <v>31.5</v>
      </c>
      <c r="AB50" s="3">
        <f t="shared" si="15"/>
        <v>32.1</v>
      </c>
      <c r="AC50" s="3">
        <f t="shared" si="16"/>
        <v>0.23279443787240647</v>
      </c>
      <c r="AD50" s="3">
        <f t="shared" si="17"/>
        <v>-1.5175183208612593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13.053000000000001</v>
      </c>
      <c r="J51" s="39">
        <v>31.8</v>
      </c>
      <c r="K51" s="39">
        <v>30.1</v>
      </c>
      <c r="L51" s="39">
        <v>30.2</v>
      </c>
      <c r="M51" s="39">
        <v>31.1</v>
      </c>
      <c r="N51" s="39">
        <v>31.3</v>
      </c>
      <c r="O51" s="39">
        <v>32</v>
      </c>
      <c r="P51" s="39">
        <v>31</v>
      </c>
      <c r="Q51" s="39">
        <v>32.1</v>
      </c>
      <c r="R51" s="39">
        <v>31.1</v>
      </c>
      <c r="S51" s="39">
        <v>31.6</v>
      </c>
      <c r="T51" s="39">
        <v>31.2</v>
      </c>
      <c r="U51" s="39">
        <v>30.9</v>
      </c>
      <c r="V51" s="5">
        <f t="shared" si="9"/>
        <v>31.200000000000003</v>
      </c>
      <c r="W51" s="4">
        <f t="shared" si="10"/>
        <v>0.18132508893914243</v>
      </c>
      <c r="X51" s="2">
        <f t="shared" si="11"/>
        <v>30.1</v>
      </c>
      <c r="Y51" s="3">
        <f t="shared" si="12"/>
        <v>30.975000000000001</v>
      </c>
      <c r="Z51" s="2">
        <f t="shared" si="13"/>
        <v>31.15</v>
      </c>
      <c r="AA51" s="3">
        <f t="shared" si="14"/>
        <v>31.650000000000002</v>
      </c>
      <c r="AB51" s="3">
        <f t="shared" si="15"/>
        <v>32.1</v>
      </c>
      <c r="AC51" s="3">
        <f t="shared" si="16"/>
        <v>-0.37240315991231904</v>
      </c>
      <c r="AD51" s="3">
        <f t="shared" si="17"/>
        <v>-0.29300473571322039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13.036</v>
      </c>
      <c r="J52" s="39">
        <v>32.299999999999997</v>
      </c>
      <c r="K52" s="39">
        <v>31.7</v>
      </c>
      <c r="L52" s="39">
        <v>32.5</v>
      </c>
      <c r="M52" s="39">
        <v>30.7</v>
      </c>
      <c r="N52" s="39">
        <v>30.4</v>
      </c>
      <c r="O52" s="39">
        <v>31.2</v>
      </c>
      <c r="P52" s="39">
        <v>30.2</v>
      </c>
      <c r="Q52" s="39">
        <v>31.2</v>
      </c>
      <c r="R52" s="39">
        <v>30.1</v>
      </c>
      <c r="S52" s="39">
        <v>30.9</v>
      </c>
      <c r="T52" s="39">
        <v>30.1</v>
      </c>
      <c r="U52" s="39">
        <v>31.1</v>
      </c>
      <c r="V52" s="5">
        <f t="shared" si="9"/>
        <v>31.033333333333331</v>
      </c>
      <c r="W52" s="4">
        <f t="shared" si="10"/>
        <v>0.23398178293934485</v>
      </c>
      <c r="X52" s="2">
        <f t="shared" si="11"/>
        <v>30.1</v>
      </c>
      <c r="Y52" s="3">
        <f t="shared" si="12"/>
        <v>30.349999999999998</v>
      </c>
      <c r="Z52" s="2">
        <f t="shared" si="13"/>
        <v>31</v>
      </c>
      <c r="AA52" s="3">
        <f t="shared" si="14"/>
        <v>31.324999999999999</v>
      </c>
      <c r="AB52" s="3">
        <f t="shared" si="15"/>
        <v>32.5</v>
      </c>
      <c r="AC52" s="3">
        <f t="shared" si="16"/>
        <v>0.61355184795922846</v>
      </c>
      <c r="AD52" s="3">
        <f t="shared" si="17"/>
        <v>-0.53793895780285839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13.016</v>
      </c>
      <c r="J53" s="39">
        <v>32.799999999999997</v>
      </c>
      <c r="K53" s="39">
        <v>32.299999999999997</v>
      </c>
      <c r="L53" s="39">
        <v>31.5</v>
      </c>
      <c r="M53" s="39">
        <v>31.6</v>
      </c>
      <c r="N53" s="39">
        <v>31.7</v>
      </c>
      <c r="O53" s="39">
        <v>31.8</v>
      </c>
      <c r="P53" s="39">
        <v>31.7</v>
      </c>
      <c r="Q53" s="39">
        <v>31.8</v>
      </c>
      <c r="R53" s="39">
        <v>33.6</v>
      </c>
      <c r="S53" s="39">
        <v>30.9</v>
      </c>
      <c r="T53" s="39">
        <v>31.4</v>
      </c>
      <c r="U53" s="39">
        <v>31.3</v>
      </c>
      <c r="V53" s="5">
        <f t="shared" si="9"/>
        <v>31.866666666666664</v>
      </c>
      <c r="W53" s="4">
        <f t="shared" si="10"/>
        <v>0.20973769091391037</v>
      </c>
      <c r="X53" s="2">
        <f t="shared" si="11"/>
        <v>30.9</v>
      </c>
      <c r="Y53" s="3">
        <f t="shared" si="12"/>
        <v>31.475000000000001</v>
      </c>
      <c r="Z53" s="2">
        <f t="shared" si="13"/>
        <v>31.7</v>
      </c>
      <c r="AA53" s="3">
        <f t="shared" si="14"/>
        <v>31.925000000000001</v>
      </c>
      <c r="AB53" s="3">
        <f t="shared" si="15"/>
        <v>33.6</v>
      </c>
      <c r="AC53" s="3">
        <f t="shared" si="16"/>
        <v>1.3758570330524544</v>
      </c>
      <c r="AD53" s="3">
        <f t="shared" si="17"/>
        <v>2.1130472779615594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12.997999999999999</v>
      </c>
      <c r="J54" s="39">
        <v>33.299999999999997</v>
      </c>
      <c r="K54" s="39">
        <v>33.200000000000003</v>
      </c>
      <c r="L54" s="39">
        <v>32.1</v>
      </c>
      <c r="M54" s="39">
        <v>32.299999999999997</v>
      </c>
      <c r="N54" s="39">
        <v>32.4</v>
      </c>
      <c r="O54" s="39">
        <v>33.200000000000003</v>
      </c>
      <c r="P54" s="39">
        <v>31.9</v>
      </c>
      <c r="Q54" s="39">
        <v>32.5</v>
      </c>
      <c r="R54" s="39">
        <v>33.1</v>
      </c>
      <c r="S54" s="39">
        <v>32.1</v>
      </c>
      <c r="T54" s="39">
        <v>31.6</v>
      </c>
      <c r="U54" s="39">
        <v>30</v>
      </c>
      <c r="V54" s="5">
        <f t="shared" si="9"/>
        <v>32.308333333333337</v>
      </c>
      <c r="W54" s="4">
        <f t="shared" si="10"/>
        <v>0.26584865064638769</v>
      </c>
      <c r="X54" s="2">
        <f t="shared" si="11"/>
        <v>30</v>
      </c>
      <c r="Y54" s="3">
        <f t="shared" si="12"/>
        <v>32.049999999999997</v>
      </c>
      <c r="Z54" s="2">
        <f t="shared" si="13"/>
        <v>32.349999999999994</v>
      </c>
      <c r="AA54" s="3">
        <f t="shared" si="14"/>
        <v>33.125</v>
      </c>
      <c r="AB54" s="3">
        <f t="shared" si="15"/>
        <v>33.299999999999997</v>
      </c>
      <c r="AC54" s="3">
        <f t="shared" si="16"/>
        <v>-1.3749766798019503</v>
      </c>
      <c r="AD54" s="3">
        <f t="shared" si="17"/>
        <v>2.8238201375949501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12.981999999999999</v>
      </c>
      <c r="J55" s="39">
        <v>31.2</v>
      </c>
      <c r="K55" s="39">
        <v>31.3</v>
      </c>
      <c r="L55" s="39">
        <v>31.9</v>
      </c>
      <c r="M55" s="39">
        <v>30.9</v>
      </c>
      <c r="N55" s="39">
        <v>32.5</v>
      </c>
      <c r="O55" s="39">
        <v>30.8</v>
      </c>
      <c r="P55" s="39">
        <v>31.6</v>
      </c>
      <c r="Q55" s="39">
        <v>32.4</v>
      </c>
      <c r="R55" s="39">
        <v>31.8</v>
      </c>
      <c r="S55" s="39">
        <v>30.6</v>
      </c>
      <c r="T55" s="39">
        <v>31.7</v>
      </c>
      <c r="U55" s="39">
        <v>31.8</v>
      </c>
      <c r="V55" s="5">
        <f t="shared" si="9"/>
        <v>31.541666666666671</v>
      </c>
      <c r="W55" s="4">
        <f t="shared" si="10"/>
        <v>0.17340543372237335</v>
      </c>
      <c r="X55" s="2">
        <f t="shared" si="11"/>
        <v>30.6</v>
      </c>
      <c r="Y55" s="3">
        <f t="shared" si="12"/>
        <v>31.125</v>
      </c>
      <c r="Z55" s="2">
        <f t="shared" si="13"/>
        <v>31.65</v>
      </c>
      <c r="AA55" s="3">
        <f t="shared" si="14"/>
        <v>31.824999999999999</v>
      </c>
      <c r="AB55" s="3">
        <f t="shared" si="15"/>
        <v>32.5</v>
      </c>
      <c r="AC55" s="3">
        <f t="shared" si="16"/>
        <v>1.8111878743820548E-2</v>
      </c>
      <c r="AD55" s="3">
        <f t="shared" si="17"/>
        <v>-0.78051182639078842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13.137</v>
      </c>
      <c r="J56" s="39">
        <v>29.9</v>
      </c>
      <c r="K56" s="39">
        <v>29.9</v>
      </c>
      <c r="L56" s="39">
        <v>30.6</v>
      </c>
      <c r="M56" s="39">
        <v>30.9</v>
      </c>
      <c r="N56" s="39">
        <v>31.1</v>
      </c>
      <c r="O56" s="39">
        <v>31.8</v>
      </c>
      <c r="P56" s="39">
        <v>31.4</v>
      </c>
      <c r="Q56" s="39">
        <v>31.6</v>
      </c>
      <c r="R56" s="39">
        <v>29.9</v>
      </c>
      <c r="S56" s="39">
        <v>30.5</v>
      </c>
      <c r="T56" s="39">
        <v>31</v>
      </c>
      <c r="U56" s="39">
        <v>32</v>
      </c>
      <c r="V56" s="5">
        <f t="shared" si="9"/>
        <v>30.883333333333336</v>
      </c>
      <c r="W56" s="4">
        <f t="shared" si="10"/>
        <v>0.21420513155346788</v>
      </c>
      <c r="X56" s="2">
        <f t="shared" si="11"/>
        <v>29.9</v>
      </c>
      <c r="Y56" s="3">
        <f t="shared" si="12"/>
        <v>30.35</v>
      </c>
      <c r="Z56" s="2">
        <f t="shared" si="13"/>
        <v>30.95</v>
      </c>
      <c r="AA56" s="3">
        <f t="shared" si="14"/>
        <v>31.45</v>
      </c>
      <c r="AB56" s="3">
        <f t="shared" si="15"/>
        <v>32</v>
      </c>
      <c r="AC56" s="3">
        <f t="shared" si="16"/>
        <v>-6.7049108762965451E-2</v>
      </c>
      <c r="AD56" s="3">
        <f t="shared" si="17"/>
        <v>-1.2102978989177298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13.153</v>
      </c>
      <c r="J57" s="39">
        <v>30.6</v>
      </c>
      <c r="K57" s="39">
        <v>31.2</v>
      </c>
      <c r="L57" s="39">
        <v>31</v>
      </c>
      <c r="M57" s="39">
        <v>30.1</v>
      </c>
      <c r="N57" s="39">
        <v>30.8</v>
      </c>
      <c r="O57" s="39">
        <v>30.4</v>
      </c>
      <c r="P57" s="39">
        <v>30</v>
      </c>
      <c r="Q57" s="39">
        <v>32.4</v>
      </c>
      <c r="R57" s="39">
        <v>30.6</v>
      </c>
      <c r="S57" s="39">
        <v>31.5</v>
      </c>
      <c r="T57" s="39">
        <v>31.5</v>
      </c>
      <c r="U57" s="39">
        <v>32.299999999999997</v>
      </c>
      <c r="V57" s="5">
        <f t="shared" si="9"/>
        <v>31.033333333333335</v>
      </c>
      <c r="W57" s="4">
        <f t="shared" si="10"/>
        <v>0.22540647907298653</v>
      </c>
      <c r="X57" s="2">
        <f t="shared" si="11"/>
        <v>30</v>
      </c>
      <c r="Y57" s="3">
        <f t="shared" si="12"/>
        <v>30.55</v>
      </c>
      <c r="Z57" s="2">
        <f t="shared" si="13"/>
        <v>30.9</v>
      </c>
      <c r="AA57" s="3">
        <f t="shared" si="14"/>
        <v>31.5</v>
      </c>
      <c r="AB57" s="3">
        <f t="shared" si="15"/>
        <v>32.4</v>
      </c>
      <c r="AC57" s="3">
        <f t="shared" si="16"/>
        <v>0.56070154784570014</v>
      </c>
      <c r="AD57" s="3">
        <f t="shared" si="17"/>
        <v>-0.51844677462067557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13.17</v>
      </c>
      <c r="J58" s="39">
        <v>30.5</v>
      </c>
      <c r="K58" s="39">
        <v>32</v>
      </c>
      <c r="L58" s="39">
        <v>30.7</v>
      </c>
      <c r="M58" s="39">
        <v>31.4</v>
      </c>
      <c r="N58" s="39">
        <v>30.9</v>
      </c>
      <c r="O58" s="39">
        <v>30.2</v>
      </c>
      <c r="P58" s="39">
        <v>29.2</v>
      </c>
      <c r="Q58" s="39">
        <v>31.4</v>
      </c>
      <c r="R58" s="39">
        <v>30.1</v>
      </c>
      <c r="S58" s="39">
        <v>31.6</v>
      </c>
      <c r="T58" s="39">
        <v>30.1</v>
      </c>
      <c r="U58" s="39">
        <v>31.3</v>
      </c>
      <c r="V58" s="5">
        <f t="shared" si="9"/>
        <v>30.783333333333335</v>
      </c>
      <c r="W58" s="4">
        <f t="shared" si="10"/>
        <v>0.23121331267813267</v>
      </c>
      <c r="X58" s="2">
        <f t="shared" si="11"/>
        <v>29.2</v>
      </c>
      <c r="Y58" s="3">
        <f t="shared" si="12"/>
        <v>30.175000000000001</v>
      </c>
      <c r="Z58" s="2">
        <f t="shared" si="13"/>
        <v>30.799999999999997</v>
      </c>
      <c r="AA58" s="3">
        <f t="shared" si="14"/>
        <v>31.4</v>
      </c>
      <c r="AB58" s="3">
        <f t="shared" si="15"/>
        <v>32</v>
      </c>
      <c r="AC58" s="3">
        <f t="shared" si="16"/>
        <v>-0.3981119289971663</v>
      </c>
      <c r="AD58" s="3">
        <f t="shared" si="17"/>
        <v>-0.26574722163897313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13.186999999999999</v>
      </c>
      <c r="J59" s="39">
        <v>29.7</v>
      </c>
      <c r="K59" s="39">
        <v>29.1</v>
      </c>
      <c r="L59" s="39">
        <v>30.4</v>
      </c>
      <c r="M59" s="39">
        <v>29.8</v>
      </c>
      <c r="N59" s="39">
        <v>31.1</v>
      </c>
      <c r="O59" s="39">
        <v>30.9</v>
      </c>
      <c r="P59" s="39">
        <v>32</v>
      </c>
      <c r="Q59" s="39">
        <v>31.1</v>
      </c>
      <c r="R59" s="39">
        <v>31.7</v>
      </c>
      <c r="S59" s="39">
        <v>30.6</v>
      </c>
      <c r="T59" s="39">
        <v>30.9</v>
      </c>
      <c r="U59" s="39">
        <v>31.3</v>
      </c>
      <c r="V59" s="5">
        <f t="shared" si="9"/>
        <v>30.716666666666669</v>
      </c>
      <c r="W59" s="4">
        <f t="shared" si="10"/>
        <v>0.24489742235219111</v>
      </c>
      <c r="X59" s="2">
        <f t="shared" si="11"/>
        <v>29.1</v>
      </c>
      <c r="Y59" s="3">
        <f t="shared" si="12"/>
        <v>30.25</v>
      </c>
      <c r="Z59" s="2">
        <f t="shared" si="13"/>
        <v>30.9</v>
      </c>
      <c r="AA59" s="3">
        <f t="shared" si="14"/>
        <v>31.150000000000002</v>
      </c>
      <c r="AB59" s="3">
        <f t="shared" si="15"/>
        <v>32</v>
      </c>
      <c r="AC59" s="3">
        <f t="shared" si="16"/>
        <v>-0.48097353405091409</v>
      </c>
      <c r="AD59" s="3">
        <f t="shared" si="17"/>
        <v>-0.25360381163434953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13.205</v>
      </c>
      <c r="J60" s="39">
        <v>30.7</v>
      </c>
      <c r="K60" s="39">
        <v>29.8</v>
      </c>
      <c r="L60" s="39">
        <v>31.1</v>
      </c>
      <c r="M60" s="39">
        <v>30.7</v>
      </c>
      <c r="N60" s="39">
        <v>31.1</v>
      </c>
      <c r="O60" s="39">
        <v>30.5</v>
      </c>
      <c r="P60" s="39">
        <v>30.2</v>
      </c>
      <c r="Q60" s="39">
        <v>31.9</v>
      </c>
      <c r="R60" s="39">
        <v>30.5</v>
      </c>
      <c r="S60" s="39">
        <v>30.9</v>
      </c>
      <c r="T60" s="39">
        <v>32.299999999999997</v>
      </c>
      <c r="U60" s="39">
        <v>32.1</v>
      </c>
      <c r="V60" s="5">
        <f t="shared" si="9"/>
        <v>30.983333333333334</v>
      </c>
      <c r="W60" s="4">
        <f t="shared" si="10"/>
        <v>0.22184943479119276</v>
      </c>
      <c r="X60" s="2">
        <f t="shared" si="11"/>
        <v>29.8</v>
      </c>
      <c r="Y60" s="3">
        <f t="shared" si="12"/>
        <v>30.5</v>
      </c>
      <c r="Z60" s="2">
        <f t="shared" si="13"/>
        <v>30.799999999999997</v>
      </c>
      <c r="AA60" s="3">
        <f t="shared" si="14"/>
        <v>31.3</v>
      </c>
      <c r="AB60" s="3">
        <f t="shared" si="15"/>
        <v>32.299999999999997</v>
      </c>
      <c r="AC60" s="3">
        <f t="shared" si="16"/>
        <v>0.49004422006457704</v>
      </c>
      <c r="AD60" s="3">
        <f t="shared" si="17"/>
        <v>-0.54310552753501629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13.224</v>
      </c>
      <c r="J61" s="39">
        <v>33.4</v>
      </c>
      <c r="K61" s="39">
        <v>34.6</v>
      </c>
      <c r="L61" s="39">
        <v>32.9</v>
      </c>
      <c r="M61" s="39">
        <v>33.799999999999997</v>
      </c>
      <c r="N61" s="39">
        <v>34</v>
      </c>
      <c r="O61" s="39">
        <v>33.5</v>
      </c>
      <c r="P61" s="39">
        <v>38.200000000000003</v>
      </c>
      <c r="Q61" s="39">
        <v>32.200000000000003</v>
      </c>
      <c r="R61" s="39">
        <v>32.799999999999997</v>
      </c>
      <c r="S61" s="39">
        <v>33.299999999999997</v>
      </c>
      <c r="T61" s="39">
        <v>34.5</v>
      </c>
      <c r="U61" s="39">
        <v>33.299999999999997</v>
      </c>
      <c r="V61" s="5">
        <f t="shared" si="9"/>
        <v>33.875</v>
      </c>
      <c r="W61" s="4">
        <f t="shared" si="10"/>
        <v>0.44023495792794387</v>
      </c>
      <c r="X61" s="2">
        <f t="shared" si="11"/>
        <v>32.200000000000003</v>
      </c>
      <c r="Y61" s="3">
        <f t="shared" si="12"/>
        <v>33.199999999999996</v>
      </c>
      <c r="Z61" s="2">
        <f t="shared" si="13"/>
        <v>33.450000000000003</v>
      </c>
      <c r="AA61" s="3">
        <f t="shared" si="14"/>
        <v>34.125</v>
      </c>
      <c r="AB61" s="3">
        <f t="shared" si="15"/>
        <v>38.200000000000003</v>
      </c>
      <c r="AC61" s="3">
        <f t="shared" si="16"/>
        <v>2.2798054769200773</v>
      </c>
      <c r="AD61" s="3">
        <f t="shared" si="17"/>
        <v>6.4758877062136087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13.243</v>
      </c>
      <c r="J62" s="39">
        <v>31.8</v>
      </c>
      <c r="K62" s="39">
        <v>31.8</v>
      </c>
      <c r="L62" s="39">
        <v>30.2</v>
      </c>
      <c r="M62" s="39">
        <v>31.8</v>
      </c>
      <c r="N62" s="39">
        <v>31.4</v>
      </c>
      <c r="O62" s="39">
        <v>29.9</v>
      </c>
      <c r="P62" s="39">
        <v>30.2</v>
      </c>
      <c r="Q62" s="39">
        <v>30.9</v>
      </c>
      <c r="R62" s="39">
        <v>30</v>
      </c>
      <c r="S62" s="39">
        <v>31</v>
      </c>
      <c r="T62" s="39">
        <v>29.2</v>
      </c>
      <c r="U62" s="39">
        <v>31.2</v>
      </c>
      <c r="V62" s="5">
        <f t="shared" si="9"/>
        <v>30.783333333333331</v>
      </c>
      <c r="W62" s="4">
        <f t="shared" si="10"/>
        <v>0.25070607362713698</v>
      </c>
      <c r="X62" s="2">
        <f t="shared" si="11"/>
        <v>29.2</v>
      </c>
      <c r="Y62" s="3">
        <f t="shared" si="12"/>
        <v>30.15</v>
      </c>
      <c r="Z62" s="2">
        <f t="shared" si="13"/>
        <v>30.95</v>
      </c>
      <c r="AA62" s="3">
        <f t="shared" si="14"/>
        <v>31.5</v>
      </c>
      <c r="AB62" s="3">
        <f t="shared" si="15"/>
        <v>31.8</v>
      </c>
      <c r="AC62" s="3">
        <f t="shared" si="16"/>
        <v>-0.34392642800021295</v>
      </c>
      <c r="AD62" s="3">
        <f t="shared" si="17"/>
        <v>-1.0185790398605659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13.260999999999999</v>
      </c>
      <c r="J63" s="39">
        <v>30.9</v>
      </c>
      <c r="K63" s="39">
        <v>32.299999999999997</v>
      </c>
      <c r="L63" s="39">
        <v>31.6</v>
      </c>
      <c r="M63" s="39">
        <v>31.9</v>
      </c>
      <c r="N63" s="39">
        <v>30.6</v>
      </c>
      <c r="O63" s="39">
        <v>32.200000000000003</v>
      </c>
      <c r="P63" s="39">
        <v>31.3</v>
      </c>
      <c r="Q63" s="39">
        <v>30.7</v>
      </c>
      <c r="R63" s="39">
        <v>31.5</v>
      </c>
      <c r="S63" s="39">
        <v>31</v>
      </c>
      <c r="T63" s="39">
        <v>31.8</v>
      </c>
      <c r="U63" s="39">
        <v>30.3</v>
      </c>
      <c r="V63" s="5">
        <f t="shared" si="9"/>
        <v>31.341666666666669</v>
      </c>
      <c r="W63" s="4">
        <f t="shared" si="10"/>
        <v>0.18726837545203523</v>
      </c>
      <c r="X63" s="2">
        <f t="shared" si="11"/>
        <v>30.3</v>
      </c>
      <c r="Y63" s="3">
        <f t="shared" si="12"/>
        <v>30.849999999999998</v>
      </c>
      <c r="Z63" s="2">
        <f t="shared" si="13"/>
        <v>31.4</v>
      </c>
      <c r="AA63" s="3">
        <f t="shared" si="14"/>
        <v>31.824999999999999</v>
      </c>
      <c r="AB63" s="3">
        <f t="shared" si="15"/>
        <v>32.299999999999997</v>
      </c>
      <c r="AC63" s="3">
        <f t="shared" si="16"/>
        <v>-4.9755507488807992E-2</v>
      </c>
      <c r="AD63" s="3">
        <f t="shared" si="17"/>
        <v>-1.1560560729340295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13.412000000000001</v>
      </c>
      <c r="J64" s="39">
        <v>30.9</v>
      </c>
      <c r="K64" s="39">
        <v>29.9</v>
      </c>
      <c r="L64" s="39">
        <v>30.1</v>
      </c>
      <c r="M64" s="39">
        <v>29.7</v>
      </c>
      <c r="N64" s="39">
        <v>30.7</v>
      </c>
      <c r="O64" s="39">
        <v>29.2</v>
      </c>
      <c r="P64" s="39">
        <v>30.9</v>
      </c>
      <c r="Q64" s="39">
        <v>30.4</v>
      </c>
      <c r="R64" s="39">
        <v>30.6</v>
      </c>
      <c r="S64" s="39">
        <v>31.5</v>
      </c>
      <c r="T64" s="39">
        <v>30.9</v>
      </c>
      <c r="U64" s="39">
        <v>31.6</v>
      </c>
      <c r="V64" s="5">
        <f t="shared" si="9"/>
        <v>30.533333333333335</v>
      </c>
      <c r="W64" s="4">
        <f t="shared" si="10"/>
        <v>0.20572610996962043</v>
      </c>
      <c r="X64" s="2">
        <f t="shared" si="11"/>
        <v>29.2</v>
      </c>
      <c r="Y64" s="3">
        <f t="shared" si="12"/>
        <v>30.05</v>
      </c>
      <c r="Z64" s="2">
        <f t="shared" si="13"/>
        <v>30.65</v>
      </c>
      <c r="AA64" s="3">
        <f t="shared" si="14"/>
        <v>30.9</v>
      </c>
      <c r="AB64" s="3">
        <f t="shared" si="15"/>
        <v>31.6</v>
      </c>
      <c r="AC64" s="3">
        <f t="shared" si="16"/>
        <v>-0.30656096036486757</v>
      </c>
      <c r="AD64" s="3">
        <f t="shared" si="17"/>
        <v>-0.3300921047385148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13.43</v>
      </c>
      <c r="J65" s="39">
        <v>30.2</v>
      </c>
      <c r="K65" s="39">
        <v>31.5</v>
      </c>
      <c r="L65" s="39">
        <v>30.6</v>
      </c>
      <c r="M65" s="39">
        <v>30.1</v>
      </c>
      <c r="N65" s="39">
        <v>32.1</v>
      </c>
      <c r="O65" s="39">
        <v>32.6</v>
      </c>
      <c r="P65" s="39">
        <v>32</v>
      </c>
      <c r="Q65" s="39">
        <v>31.8</v>
      </c>
      <c r="R65" s="39">
        <v>31.8</v>
      </c>
      <c r="S65" s="39">
        <v>30.9</v>
      </c>
      <c r="T65" s="39">
        <v>31.7</v>
      </c>
      <c r="U65" s="39">
        <v>32.6</v>
      </c>
      <c r="V65" s="5">
        <f t="shared" si="9"/>
        <v>31.491666666666664</v>
      </c>
      <c r="W65" s="4">
        <f t="shared" si="10"/>
        <v>0.24724492007936294</v>
      </c>
      <c r="X65" s="2">
        <f t="shared" si="11"/>
        <v>30.1</v>
      </c>
      <c r="Y65" s="3">
        <f t="shared" si="12"/>
        <v>30.824999999999999</v>
      </c>
      <c r="Z65" s="2">
        <f t="shared" si="13"/>
        <v>31.75</v>
      </c>
      <c r="AA65" s="3">
        <f t="shared" si="14"/>
        <v>32.024999999999999</v>
      </c>
      <c r="AB65" s="3">
        <f t="shared" si="15"/>
        <v>32.6</v>
      </c>
      <c r="AC65" s="3">
        <f t="shared" si="16"/>
        <v>-0.45479304588971131</v>
      </c>
      <c r="AD65" s="3">
        <f t="shared" si="17"/>
        <v>-0.94957764992033278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13.446999999999999</v>
      </c>
      <c r="J66" s="39">
        <v>33.1</v>
      </c>
      <c r="K66" s="39">
        <v>32.700000000000003</v>
      </c>
      <c r="L66" s="39">
        <v>32.700000000000003</v>
      </c>
      <c r="M66" s="39">
        <v>33.1</v>
      </c>
      <c r="N66" s="39">
        <v>33.6</v>
      </c>
      <c r="O66" s="39">
        <v>33.4</v>
      </c>
      <c r="P66" s="39">
        <v>31.5</v>
      </c>
      <c r="Q66" s="39">
        <v>33.4</v>
      </c>
      <c r="R66" s="39">
        <v>34.4</v>
      </c>
      <c r="S66" s="39">
        <v>34.700000000000003</v>
      </c>
      <c r="T66" s="39">
        <v>33.700000000000003</v>
      </c>
      <c r="U66" s="39">
        <v>35.200000000000003</v>
      </c>
      <c r="V66" s="5">
        <f t="shared" si="9"/>
        <v>33.458333333333329</v>
      </c>
      <c r="W66" s="4">
        <f t="shared" si="10"/>
        <v>0.28589527997347419</v>
      </c>
      <c r="X66" s="2">
        <f t="shared" si="11"/>
        <v>31.5</v>
      </c>
      <c r="Y66" s="3">
        <f t="shared" si="12"/>
        <v>33</v>
      </c>
      <c r="Z66" s="2">
        <f t="shared" si="13"/>
        <v>33.4</v>
      </c>
      <c r="AA66" s="3">
        <f t="shared" si="14"/>
        <v>33.875</v>
      </c>
      <c r="AB66" s="3">
        <f t="shared" si="15"/>
        <v>35.200000000000003</v>
      </c>
      <c r="AC66" s="3">
        <f t="shared" si="16"/>
        <v>-4.7783848404665395E-2</v>
      </c>
      <c r="AD66" s="3">
        <f t="shared" si="17"/>
        <v>0.51536118856965007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13.465999999999999</v>
      </c>
      <c r="J67" s="39">
        <v>32</v>
      </c>
      <c r="K67" s="39">
        <v>31.9</v>
      </c>
      <c r="L67" s="39">
        <v>31.1</v>
      </c>
      <c r="M67" s="39">
        <v>30.7</v>
      </c>
      <c r="N67" s="39">
        <v>30.9</v>
      </c>
      <c r="O67" s="39">
        <v>30.6</v>
      </c>
      <c r="P67" s="39">
        <v>29.9</v>
      </c>
      <c r="Q67" s="39">
        <v>30.2</v>
      </c>
      <c r="R67" s="39">
        <v>30.9</v>
      </c>
      <c r="S67" s="39">
        <v>29.6</v>
      </c>
      <c r="T67" s="39">
        <v>30.7</v>
      </c>
      <c r="U67" s="39">
        <v>30.4</v>
      </c>
      <c r="V67" s="5">
        <f t="shared" si="9"/>
        <v>30.741666666666664</v>
      </c>
      <c r="W67" s="4">
        <f t="shared" si="10"/>
        <v>0.20503448835291443</v>
      </c>
      <c r="X67" s="2">
        <f t="shared" si="11"/>
        <v>29.6</v>
      </c>
      <c r="Y67" s="3">
        <f t="shared" si="12"/>
        <v>30.349999999999998</v>
      </c>
      <c r="Z67" s="2">
        <f t="shared" si="13"/>
        <v>30.7</v>
      </c>
      <c r="AA67" s="3">
        <f t="shared" si="14"/>
        <v>30.95</v>
      </c>
      <c r="AB67" s="3">
        <f t="shared" si="15"/>
        <v>32</v>
      </c>
      <c r="AC67" s="3">
        <f t="shared" si="16"/>
        <v>0.40021368697227988</v>
      </c>
      <c r="AD67" s="3">
        <f t="shared" si="17"/>
        <v>6.9362223382243293E-2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13.484999999999999</v>
      </c>
      <c r="J68" s="39">
        <v>30.9</v>
      </c>
      <c r="K68" s="39">
        <v>32.9</v>
      </c>
      <c r="L68" s="39">
        <v>30.3</v>
      </c>
      <c r="M68" s="39">
        <v>30.7</v>
      </c>
      <c r="N68" s="39">
        <v>30.4</v>
      </c>
      <c r="O68" s="39">
        <v>30.1</v>
      </c>
      <c r="P68" s="39">
        <v>30.7</v>
      </c>
      <c r="Q68" s="39">
        <v>30.8</v>
      </c>
      <c r="R68" s="39">
        <v>29</v>
      </c>
      <c r="S68" s="39">
        <v>31</v>
      </c>
      <c r="T68" s="39">
        <v>30.6</v>
      </c>
      <c r="U68" s="39">
        <v>30.4</v>
      </c>
      <c r="V68" s="5">
        <f t="shared" si="9"/>
        <v>30.649999999999995</v>
      </c>
      <c r="W68" s="4">
        <f t="shared" si="10"/>
        <v>0.25450486689398938</v>
      </c>
      <c r="X68" s="2">
        <f t="shared" si="11"/>
        <v>29</v>
      </c>
      <c r="Y68" s="3">
        <f t="shared" si="12"/>
        <v>30.375</v>
      </c>
      <c r="Z68" s="2">
        <f t="shared" si="13"/>
        <v>30.65</v>
      </c>
      <c r="AA68" s="3">
        <f t="shared" si="14"/>
        <v>30.824999999999999</v>
      </c>
      <c r="AB68" s="3">
        <f t="shared" si="15"/>
        <v>32.9</v>
      </c>
      <c r="AC68" s="3">
        <f t="shared" si="16"/>
        <v>1.0697879200900762</v>
      </c>
      <c r="AD68" s="3">
        <f t="shared" si="17"/>
        <v>4.6193183543654701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13.502000000000001</v>
      </c>
      <c r="J69" s="39">
        <v>30.8</v>
      </c>
      <c r="K69" s="39">
        <v>30.1</v>
      </c>
      <c r="L69" s="39">
        <v>30.1</v>
      </c>
      <c r="M69" s="39">
        <v>31.1</v>
      </c>
      <c r="N69" s="39">
        <v>30.6</v>
      </c>
      <c r="O69" s="39">
        <v>30.6</v>
      </c>
      <c r="P69" s="39">
        <v>29.5</v>
      </c>
      <c r="Q69" s="39">
        <v>30.7</v>
      </c>
      <c r="R69" s="39">
        <v>30.4</v>
      </c>
      <c r="S69" s="39">
        <v>30</v>
      </c>
      <c r="T69" s="39">
        <v>30</v>
      </c>
      <c r="U69" s="39">
        <v>30.3</v>
      </c>
      <c r="V69" s="5">
        <f t="shared" si="9"/>
        <v>30.349999999999998</v>
      </c>
      <c r="W69" s="4">
        <f t="shared" si="10"/>
        <v>0.12643120059877824</v>
      </c>
      <c r="X69" s="2">
        <f t="shared" si="11"/>
        <v>29.5</v>
      </c>
      <c r="Y69" s="3">
        <f t="shared" si="12"/>
        <v>30.075000000000003</v>
      </c>
      <c r="Z69" s="2">
        <f t="shared" si="13"/>
        <v>30.35</v>
      </c>
      <c r="AA69" s="3">
        <f t="shared" si="14"/>
        <v>30.625</v>
      </c>
      <c r="AB69" s="3">
        <f t="shared" si="15"/>
        <v>31.1</v>
      </c>
      <c r="AC69" s="3">
        <f t="shared" si="16"/>
        <v>-0.18698914584064169</v>
      </c>
      <c r="AD69" s="3">
        <f t="shared" si="17"/>
        <v>-7.3463459191573932E-3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13.519</v>
      </c>
      <c r="J70" s="39">
        <v>31.4</v>
      </c>
      <c r="K70" s="39">
        <v>31.2</v>
      </c>
      <c r="L70" s="39">
        <v>30.4</v>
      </c>
      <c r="M70" s="39">
        <v>31.3</v>
      </c>
      <c r="N70" s="39">
        <v>32.6</v>
      </c>
      <c r="O70" s="39">
        <v>29.8</v>
      </c>
      <c r="P70" s="39">
        <v>30.6</v>
      </c>
      <c r="Q70" s="39">
        <v>30.3</v>
      </c>
      <c r="R70" s="39">
        <v>30</v>
      </c>
      <c r="S70" s="39">
        <v>30.9</v>
      </c>
      <c r="T70" s="39">
        <v>30.6</v>
      </c>
      <c r="U70" s="39">
        <v>30.7</v>
      </c>
      <c r="V70" s="5">
        <f t="shared" si="9"/>
        <v>30.816666666666666</v>
      </c>
      <c r="W70" s="4">
        <f t="shared" si="10"/>
        <v>0.21596623379920799</v>
      </c>
      <c r="X70" s="2">
        <f t="shared" si="11"/>
        <v>29.8</v>
      </c>
      <c r="Y70" s="3">
        <f t="shared" si="12"/>
        <v>30.375</v>
      </c>
      <c r="Z70" s="2">
        <f t="shared" si="13"/>
        <v>30.65</v>
      </c>
      <c r="AA70" s="3">
        <f t="shared" si="14"/>
        <v>31.225000000000001</v>
      </c>
      <c r="AB70" s="3">
        <f t="shared" si="15"/>
        <v>32.6</v>
      </c>
      <c r="AC70" s="3">
        <f t="shared" si="16"/>
        <v>1.0973848151789505</v>
      </c>
      <c r="AD70" s="3">
        <f t="shared" si="17"/>
        <v>1.9653221293606356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13.539</v>
      </c>
      <c r="J71" s="39">
        <v>30.1</v>
      </c>
      <c r="K71" s="39">
        <v>29.9</v>
      </c>
      <c r="L71" s="39">
        <v>33.299999999999997</v>
      </c>
      <c r="M71" s="39">
        <v>31.9</v>
      </c>
      <c r="N71" s="39">
        <v>28.7</v>
      </c>
      <c r="O71" s="39">
        <v>30.6</v>
      </c>
      <c r="P71" s="39">
        <v>31.7</v>
      </c>
      <c r="Q71" s="39">
        <v>30.7</v>
      </c>
      <c r="R71" s="39">
        <v>31.1</v>
      </c>
      <c r="S71" s="39">
        <v>33.700000000000003</v>
      </c>
      <c r="T71" s="39">
        <v>33</v>
      </c>
      <c r="U71" s="39">
        <v>31.1</v>
      </c>
      <c r="V71" s="5">
        <f t="shared" si="9"/>
        <v>31.316666666666663</v>
      </c>
      <c r="W71" s="4">
        <f t="shared" si="10"/>
        <v>0.42867543230587207</v>
      </c>
      <c r="X71" s="2">
        <f t="shared" si="11"/>
        <v>28.7</v>
      </c>
      <c r="Y71" s="3">
        <f t="shared" si="12"/>
        <v>30.475000000000001</v>
      </c>
      <c r="Z71" s="2">
        <f t="shared" si="13"/>
        <v>31.1</v>
      </c>
      <c r="AA71" s="3">
        <f t="shared" si="14"/>
        <v>32.174999999999997</v>
      </c>
      <c r="AB71" s="3">
        <f t="shared" si="15"/>
        <v>33.700000000000003</v>
      </c>
      <c r="AC71" s="3">
        <f t="shared" si="16"/>
        <v>0.10597654260178153</v>
      </c>
      <c r="AD71" s="3">
        <f t="shared" si="17"/>
        <v>-0.4876357463749792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13.664999999999999</v>
      </c>
      <c r="J72" s="39">
        <v>30.5</v>
      </c>
      <c r="K72" s="39">
        <v>32.799999999999997</v>
      </c>
      <c r="L72" s="39">
        <v>31.7</v>
      </c>
      <c r="M72" s="39">
        <v>33.6</v>
      </c>
      <c r="N72" s="39">
        <v>32.299999999999997</v>
      </c>
      <c r="O72" s="39">
        <v>31.8</v>
      </c>
      <c r="P72" s="39">
        <v>32.1</v>
      </c>
      <c r="Q72" s="39">
        <v>33.5</v>
      </c>
      <c r="R72" s="39">
        <v>34.1</v>
      </c>
      <c r="S72" s="39">
        <v>33</v>
      </c>
      <c r="T72" s="39">
        <v>32</v>
      </c>
      <c r="U72" s="39">
        <v>30.1</v>
      </c>
      <c r="V72" s="5">
        <f t="shared" si="9"/>
        <v>32.291666666666664</v>
      </c>
      <c r="W72" s="4">
        <f t="shared" si="10"/>
        <v>0.34738380078884662</v>
      </c>
      <c r="X72" s="2">
        <f t="shared" si="11"/>
        <v>30.1</v>
      </c>
      <c r="Y72" s="3">
        <f t="shared" si="12"/>
        <v>31.774999999999999</v>
      </c>
      <c r="Z72" s="2">
        <f t="shared" si="13"/>
        <v>32.200000000000003</v>
      </c>
      <c r="AA72" s="3">
        <f t="shared" si="14"/>
        <v>33.125</v>
      </c>
      <c r="AB72" s="3">
        <f t="shared" si="15"/>
        <v>34.1</v>
      </c>
      <c r="AC72" s="3">
        <f t="shared" si="16"/>
        <v>-0.39018330165084963</v>
      </c>
      <c r="AD72" s="3">
        <f t="shared" si="17"/>
        <v>-0.30319581091880243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13.638999999999999</v>
      </c>
      <c r="J73" s="39">
        <v>32.1</v>
      </c>
      <c r="K73" s="39">
        <v>32.9</v>
      </c>
      <c r="L73" s="39">
        <v>32.200000000000003</v>
      </c>
      <c r="M73" s="39">
        <v>32.299999999999997</v>
      </c>
      <c r="N73" s="39">
        <v>32.1</v>
      </c>
      <c r="O73" s="39">
        <v>31.6</v>
      </c>
      <c r="P73" s="39">
        <v>33.5</v>
      </c>
      <c r="Q73" s="39">
        <v>33.299999999999997</v>
      </c>
      <c r="R73" s="39">
        <v>32.9</v>
      </c>
      <c r="S73" s="39">
        <v>33.700000000000003</v>
      </c>
      <c r="T73" s="39">
        <v>32.299999999999997</v>
      </c>
      <c r="U73" s="39">
        <v>33.4</v>
      </c>
      <c r="V73" s="5">
        <f t="shared" si="9"/>
        <v>32.691666666666663</v>
      </c>
      <c r="W73" s="4">
        <f t="shared" si="10"/>
        <v>0.19596626693841401</v>
      </c>
      <c r="X73" s="2">
        <f t="shared" si="11"/>
        <v>31.6</v>
      </c>
      <c r="Y73" s="3">
        <f t="shared" si="12"/>
        <v>32.175000000000004</v>
      </c>
      <c r="Z73" s="2">
        <f t="shared" si="13"/>
        <v>32.599999999999994</v>
      </c>
      <c r="AA73" s="3">
        <f t="shared" si="14"/>
        <v>33.324999999999996</v>
      </c>
      <c r="AB73" s="3">
        <f t="shared" si="15"/>
        <v>33.700000000000003</v>
      </c>
      <c r="AC73" s="3">
        <f t="shared" si="16"/>
        <v>6.8953882044954409E-2</v>
      </c>
      <c r="AD73" s="3">
        <f t="shared" si="17"/>
        <v>-1.344354988065926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13.62</v>
      </c>
      <c r="J74" s="39">
        <v>33.700000000000003</v>
      </c>
      <c r="K74" s="39">
        <v>33.200000000000003</v>
      </c>
      <c r="L74" s="39">
        <v>32.5</v>
      </c>
      <c r="M74" s="39">
        <v>33.299999999999997</v>
      </c>
      <c r="N74" s="39">
        <v>31.3</v>
      </c>
      <c r="O74" s="39">
        <v>31.1</v>
      </c>
      <c r="P74" s="39">
        <v>31.9</v>
      </c>
      <c r="Q74" s="39">
        <v>33.1</v>
      </c>
      <c r="R74" s="39">
        <v>32.299999999999997</v>
      </c>
      <c r="S74" s="39">
        <v>32.6</v>
      </c>
      <c r="T74" s="39">
        <v>32.700000000000003</v>
      </c>
      <c r="U74" s="39">
        <v>33.9</v>
      </c>
      <c r="V74" s="5">
        <f t="shared" ref="V74:V81" si="18">AVERAGE(J74:U74)</f>
        <v>32.633333333333333</v>
      </c>
      <c r="W74" s="4">
        <f t="shared" ref="W74:W81" si="19">STDEV(J74:U74)/SQRT(COUNT(J74:U74))</f>
        <v>0.2541573520399511</v>
      </c>
      <c r="X74" s="2">
        <f t="shared" ref="X74:X81" si="20">MIN(J74:U74)</f>
        <v>31.1</v>
      </c>
      <c r="Y74" s="3">
        <f t="shared" ref="Y74:Y81" si="21">QUARTILE(J74:U74,1)</f>
        <v>32.199999999999996</v>
      </c>
      <c r="Z74" s="2">
        <f t="shared" ref="Z74:Z81" si="22">MEDIAN(J74:U74)</f>
        <v>32.650000000000006</v>
      </c>
      <c r="AA74" s="3">
        <f t="shared" ref="AA74:AA81" si="23">QUARTILE(J74:U74,3)</f>
        <v>33.225000000000001</v>
      </c>
      <c r="AB74" s="3">
        <f t="shared" ref="AB74:AB81" si="24">MAX(J74:U74)</f>
        <v>33.9</v>
      </c>
      <c r="AC74" s="3">
        <f t="shared" ref="AC74:AC81" si="25">SKEW(J74:U74)</f>
        <v>-0.41290652698941588</v>
      </c>
      <c r="AD74" s="3">
        <f t="shared" ref="AD74:AD81" si="26">KURT(J74:U74)</f>
        <v>-0.56980360560715537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13.601000000000001</v>
      </c>
      <c r="J75" s="39">
        <v>30</v>
      </c>
      <c r="K75" s="39">
        <v>30.6</v>
      </c>
      <c r="L75" s="39">
        <v>29.6</v>
      </c>
      <c r="M75" s="39">
        <v>33</v>
      </c>
      <c r="N75" s="39">
        <v>33.700000000000003</v>
      </c>
      <c r="O75" s="39">
        <v>31.7</v>
      </c>
      <c r="P75" s="39">
        <v>33.299999999999997</v>
      </c>
      <c r="Q75" s="39">
        <v>31</v>
      </c>
      <c r="R75" s="39">
        <v>34</v>
      </c>
      <c r="S75" s="39">
        <v>32.5</v>
      </c>
      <c r="T75" s="39">
        <v>32.200000000000003</v>
      </c>
      <c r="U75" s="39">
        <v>31.6</v>
      </c>
      <c r="V75" s="5">
        <f t="shared" si="18"/>
        <v>31.933333333333334</v>
      </c>
      <c r="W75" s="4">
        <f t="shared" si="19"/>
        <v>0.41548316768102961</v>
      </c>
      <c r="X75" s="2">
        <f t="shared" si="20"/>
        <v>29.6</v>
      </c>
      <c r="Y75" s="3">
        <f t="shared" si="21"/>
        <v>30.9</v>
      </c>
      <c r="Z75" s="2">
        <f t="shared" si="22"/>
        <v>31.950000000000003</v>
      </c>
      <c r="AA75" s="3">
        <f t="shared" si="23"/>
        <v>33.075000000000003</v>
      </c>
      <c r="AB75" s="3">
        <f t="shared" si="24"/>
        <v>34</v>
      </c>
      <c r="AC75" s="3">
        <f t="shared" si="25"/>
        <v>-0.17764605314661838</v>
      </c>
      <c r="AD75" s="3">
        <f t="shared" si="26"/>
        <v>-1.0801432268707192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13.583</v>
      </c>
      <c r="J76" s="39">
        <v>29.8</v>
      </c>
      <c r="K76" s="39">
        <v>30.9</v>
      </c>
      <c r="L76" s="39">
        <v>31.8</v>
      </c>
      <c r="M76" s="39">
        <v>33</v>
      </c>
      <c r="N76" s="39">
        <v>31.2</v>
      </c>
      <c r="O76" s="39">
        <v>32.299999999999997</v>
      </c>
      <c r="P76" s="39">
        <v>33.4</v>
      </c>
      <c r="Q76" s="39">
        <v>30.4</v>
      </c>
      <c r="R76" s="39">
        <v>29.3</v>
      </c>
      <c r="S76" s="39">
        <v>31.9</v>
      </c>
      <c r="T76" s="39">
        <v>30.9</v>
      </c>
      <c r="U76" s="39">
        <v>31.4</v>
      </c>
      <c r="V76" s="5">
        <f t="shared" si="18"/>
        <v>31.358333333333331</v>
      </c>
      <c r="W76" s="4">
        <f t="shared" si="19"/>
        <v>0.35107159188157416</v>
      </c>
      <c r="X76" s="2">
        <f t="shared" si="20"/>
        <v>29.3</v>
      </c>
      <c r="Y76" s="3">
        <f t="shared" si="21"/>
        <v>30.774999999999999</v>
      </c>
      <c r="Z76" s="2">
        <f t="shared" si="22"/>
        <v>31.299999999999997</v>
      </c>
      <c r="AA76" s="3">
        <f t="shared" si="23"/>
        <v>32</v>
      </c>
      <c r="AB76" s="3">
        <f t="shared" si="24"/>
        <v>33.4</v>
      </c>
      <c r="AC76" s="3">
        <f t="shared" si="25"/>
        <v>2.6292545987936653E-2</v>
      </c>
      <c r="AD76" s="3">
        <f t="shared" si="26"/>
        <v>-0.40788995171473452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13.566000000000001</v>
      </c>
      <c r="J77" s="39">
        <v>30.9</v>
      </c>
      <c r="K77" s="39">
        <v>31.7</v>
      </c>
      <c r="L77" s="39">
        <v>31.9</v>
      </c>
      <c r="M77" s="39">
        <v>32.1</v>
      </c>
      <c r="N77" s="39">
        <v>32.200000000000003</v>
      </c>
      <c r="O77" s="39">
        <v>31.9</v>
      </c>
      <c r="P77" s="39">
        <v>30.8</v>
      </c>
      <c r="Q77" s="39">
        <v>30.9</v>
      </c>
      <c r="R77" s="39">
        <v>31.8</v>
      </c>
      <c r="S77" s="39">
        <v>32</v>
      </c>
      <c r="T77" s="39">
        <v>29.6</v>
      </c>
      <c r="U77" s="39">
        <v>30.7</v>
      </c>
      <c r="V77" s="5">
        <f t="shared" si="18"/>
        <v>31.375000000000004</v>
      </c>
      <c r="W77" s="4">
        <f t="shared" si="19"/>
        <v>0.22734468557810208</v>
      </c>
      <c r="X77" s="2">
        <f t="shared" si="20"/>
        <v>29.6</v>
      </c>
      <c r="Y77" s="3">
        <f t="shared" si="21"/>
        <v>30.875</v>
      </c>
      <c r="Z77" s="2">
        <f t="shared" si="22"/>
        <v>31.75</v>
      </c>
      <c r="AA77" s="3">
        <f t="shared" si="23"/>
        <v>31.924999999999997</v>
      </c>
      <c r="AB77" s="3">
        <f t="shared" si="24"/>
        <v>32.200000000000003</v>
      </c>
      <c r="AC77" s="3">
        <f t="shared" si="25"/>
        <v>-1.0535124128057352</v>
      </c>
      <c r="AD77" s="3">
        <f t="shared" si="26"/>
        <v>0.64992192620258571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13.379</v>
      </c>
      <c r="J78" s="39">
        <v>29.8</v>
      </c>
      <c r="K78" s="39">
        <v>30.8</v>
      </c>
      <c r="L78" s="39">
        <v>30.2</v>
      </c>
      <c r="M78" s="39">
        <v>30</v>
      </c>
      <c r="N78" s="39">
        <v>31.1</v>
      </c>
      <c r="O78" s="39">
        <v>28.9</v>
      </c>
      <c r="P78" s="39">
        <v>30.1</v>
      </c>
      <c r="Q78" s="39">
        <v>29.7</v>
      </c>
      <c r="R78" s="39">
        <v>29.6</v>
      </c>
      <c r="S78" s="39">
        <v>30.4</v>
      </c>
      <c r="T78" s="39">
        <v>30.2</v>
      </c>
      <c r="U78" s="39">
        <v>30.4</v>
      </c>
      <c r="V78" s="5">
        <f t="shared" si="18"/>
        <v>30.099999999999994</v>
      </c>
      <c r="W78" s="4">
        <f t="shared" si="19"/>
        <v>0.16605950010691231</v>
      </c>
      <c r="X78" s="2">
        <f t="shared" si="20"/>
        <v>28.9</v>
      </c>
      <c r="Y78" s="3">
        <f t="shared" si="21"/>
        <v>29.774999999999999</v>
      </c>
      <c r="Z78" s="2">
        <f t="shared" si="22"/>
        <v>30.15</v>
      </c>
      <c r="AA78" s="3">
        <f t="shared" si="23"/>
        <v>30.4</v>
      </c>
      <c r="AB78" s="3">
        <f t="shared" si="24"/>
        <v>31.1</v>
      </c>
      <c r="AC78" s="3">
        <f t="shared" si="25"/>
        <v>-0.31290907291426617</v>
      </c>
      <c r="AD78" s="3">
        <f t="shared" si="26"/>
        <v>0.89738356881213299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13.355</v>
      </c>
      <c r="J79" s="39">
        <v>32.1</v>
      </c>
      <c r="K79" s="39">
        <v>32.9</v>
      </c>
      <c r="L79" s="39">
        <v>33.4</v>
      </c>
      <c r="M79" s="39">
        <v>34.5</v>
      </c>
      <c r="N79" s="39">
        <v>33</v>
      </c>
      <c r="O79" s="39">
        <v>35</v>
      </c>
      <c r="P79" s="39">
        <v>33.1</v>
      </c>
      <c r="Q79" s="39">
        <v>34.5</v>
      </c>
      <c r="R79" s="39">
        <v>32.5</v>
      </c>
      <c r="S79" s="39">
        <v>34.9</v>
      </c>
      <c r="T79" s="39">
        <v>33.799999999999997</v>
      </c>
      <c r="U79" s="39">
        <v>32.9</v>
      </c>
      <c r="V79" s="5">
        <f t="shared" si="18"/>
        <v>33.549999999999997</v>
      </c>
      <c r="W79" s="4">
        <f t="shared" si="19"/>
        <v>0.2802866498080242</v>
      </c>
      <c r="X79" s="2">
        <f t="shared" si="20"/>
        <v>32.1</v>
      </c>
      <c r="Y79" s="3">
        <f t="shared" si="21"/>
        <v>32.9</v>
      </c>
      <c r="Z79" s="2">
        <f t="shared" si="22"/>
        <v>33.25</v>
      </c>
      <c r="AA79" s="3">
        <f t="shared" si="23"/>
        <v>34.5</v>
      </c>
      <c r="AB79" s="3">
        <f t="shared" si="24"/>
        <v>35</v>
      </c>
      <c r="AC79" s="3">
        <f t="shared" si="25"/>
        <v>0.26494084477289775</v>
      </c>
      <c r="AD79" s="3">
        <f t="shared" si="26"/>
        <v>-1.2849565126017159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13.331</v>
      </c>
      <c r="J80" s="39">
        <v>30.1</v>
      </c>
      <c r="K80" s="39">
        <v>29.2</v>
      </c>
      <c r="L80" s="39">
        <v>29.3</v>
      </c>
      <c r="M80" s="39">
        <v>29.8</v>
      </c>
      <c r="N80" s="39">
        <v>30.1</v>
      </c>
      <c r="O80" s="39">
        <v>30.7</v>
      </c>
      <c r="P80" s="39">
        <v>30.7</v>
      </c>
      <c r="Q80" s="39">
        <v>30.5</v>
      </c>
      <c r="R80" s="39">
        <v>30.9</v>
      </c>
      <c r="S80" s="39">
        <v>31.4</v>
      </c>
      <c r="T80" s="39">
        <v>32.200000000000003</v>
      </c>
      <c r="U80" s="39">
        <v>29.3</v>
      </c>
      <c r="V80" s="5">
        <f t="shared" si="18"/>
        <v>30.349999999999994</v>
      </c>
      <c r="W80" s="4">
        <f t="shared" si="19"/>
        <v>0.26184080289482398</v>
      </c>
      <c r="X80" s="2">
        <f t="shared" si="20"/>
        <v>29.2</v>
      </c>
      <c r="Y80" s="3">
        <f t="shared" si="21"/>
        <v>29.675000000000001</v>
      </c>
      <c r="Z80" s="2">
        <f t="shared" si="22"/>
        <v>30.3</v>
      </c>
      <c r="AA80" s="3">
        <f t="shared" si="23"/>
        <v>30.75</v>
      </c>
      <c r="AB80" s="3">
        <f t="shared" si="24"/>
        <v>32.200000000000003</v>
      </c>
      <c r="AC80" s="3">
        <f t="shared" si="25"/>
        <v>0.54249491803104777</v>
      </c>
      <c r="AD80" s="3">
        <f t="shared" si="26"/>
        <v>1.1281706907926292E-3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13.285</v>
      </c>
      <c r="J81" s="39">
        <v>32.700000000000003</v>
      </c>
      <c r="K81" s="39">
        <v>35</v>
      </c>
      <c r="L81" s="39">
        <v>34.9</v>
      </c>
      <c r="M81" s="39">
        <v>33</v>
      </c>
      <c r="N81" s="39">
        <v>34</v>
      </c>
      <c r="O81" s="39">
        <v>33.700000000000003</v>
      </c>
      <c r="P81" s="39">
        <v>32.6</v>
      </c>
      <c r="Q81" s="39">
        <v>34.5</v>
      </c>
      <c r="R81" s="39">
        <v>33</v>
      </c>
      <c r="S81" s="39">
        <v>35.4</v>
      </c>
      <c r="T81" s="39">
        <v>32.700000000000003</v>
      </c>
      <c r="U81" s="39">
        <v>35.1</v>
      </c>
      <c r="V81" s="5">
        <f t="shared" si="18"/>
        <v>33.883333333333333</v>
      </c>
      <c r="W81" s="4">
        <f t="shared" si="19"/>
        <v>0.30768769421560721</v>
      </c>
      <c r="X81" s="2">
        <f t="shared" si="20"/>
        <v>32.6</v>
      </c>
      <c r="Y81" s="3">
        <f t="shared" si="21"/>
        <v>32.924999999999997</v>
      </c>
      <c r="Z81" s="2">
        <f t="shared" si="22"/>
        <v>33.85</v>
      </c>
      <c r="AA81" s="3">
        <f t="shared" si="23"/>
        <v>34.924999999999997</v>
      </c>
      <c r="AB81" s="3">
        <f t="shared" si="24"/>
        <v>35.4</v>
      </c>
      <c r="AC81" s="3">
        <f t="shared" si="25"/>
        <v>0.10422645343661684</v>
      </c>
      <c r="AD81" s="3">
        <f t="shared" si="26"/>
        <v>-1.8230696675154983</v>
      </c>
    </row>
    <row r="84" spans="1:30" x14ac:dyDescent="0.2">
      <c r="V84" s="3"/>
    </row>
  </sheetData>
  <autoFilter ref="A9:AD81" xr:uid="{C9C95C44-0AE3-45EB-BAB7-805AB27495FF}"/>
  <conditionalFormatting sqref="J10:U47">
    <cfRule type="cellIs" dxfId="79" priority="1" stopIfTrue="1" operator="lessThan">
      <formula>$V10-$U$5*$W10</formula>
    </cfRule>
    <cfRule type="cellIs" dxfId="78" priority="2" stopIfTrue="1" operator="greaterThan">
      <formula>$V10+$U$5*$W10</formula>
    </cfRule>
  </conditionalFormatting>
  <conditionalFormatting sqref="J48:U81">
    <cfRule type="cellIs" dxfId="77" priority="3" stopIfTrue="1" operator="lessThan">
      <formula>$V48-$U$6*$W48</formula>
    </cfRule>
    <cfRule type="cellIs" dxfId="76" priority="4" stopIfTrue="1" operator="greaterThan">
      <formula>$V48+$U$6*$W48</formula>
    </cfRule>
  </conditionalFormatting>
  <conditionalFormatting sqref="V10:V39">
    <cfRule type="cellIs" dxfId="75" priority="5" stopIfTrue="1" operator="lessThan">
      <formula>AVERAGE($V$10:$V$39)</formula>
    </cfRule>
    <cfRule type="cellIs" dxfId="74" priority="6" stopIfTrue="1" operator="greaterThan">
      <formula>AVERAGE($V$10:$V$39)</formula>
    </cfRule>
  </conditionalFormatting>
  <conditionalFormatting sqref="V48:V81">
    <cfRule type="cellIs" dxfId="73" priority="7" stopIfTrue="1" operator="lessThan">
      <formula>AVERAGE($V$48:$V$81)</formula>
    </cfRule>
    <cfRule type="cellIs" dxfId="72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E87B-FD6E-45AF-A1AE-623C18ADF744}">
  <dimension ref="A1:AN84"/>
  <sheetViews>
    <sheetView topLeftCell="A18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138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40.200000000000003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13.164</v>
      </c>
      <c r="J10" s="39">
        <v>52.5</v>
      </c>
      <c r="K10" s="39">
        <v>47.3</v>
      </c>
      <c r="L10" s="39">
        <v>45.9</v>
      </c>
      <c r="M10" s="39">
        <v>49.8</v>
      </c>
      <c r="N10" s="39">
        <v>44.6</v>
      </c>
      <c r="O10" s="39">
        <v>50.8</v>
      </c>
      <c r="P10" s="39">
        <v>42.7</v>
      </c>
      <c r="Q10" s="39">
        <v>52</v>
      </c>
      <c r="R10" s="39">
        <v>45.4</v>
      </c>
      <c r="S10" s="39">
        <v>51.3</v>
      </c>
      <c r="T10" s="39">
        <v>42.7</v>
      </c>
      <c r="U10" s="39">
        <v>52.6</v>
      </c>
      <c r="V10" s="5">
        <f t="shared" ref="V10:V41" si="0">AVERAGE(J10:U10)</f>
        <v>48.133333333333333</v>
      </c>
      <c r="W10" s="4">
        <f t="shared" ref="W10:W41" si="1">STDEV(J10:U10)/SQRT(COUNT(J10:U10))</f>
        <v>1.0960212708988024</v>
      </c>
      <c r="X10" s="2">
        <f t="shared" ref="X10:X41" si="2">MIN(J10:U10)</f>
        <v>42.7</v>
      </c>
      <c r="Y10" s="3">
        <f t="shared" ref="Y10:Y41" si="3">QUARTILE(J10:U10,1)</f>
        <v>45.2</v>
      </c>
      <c r="Z10" s="2">
        <f t="shared" ref="Z10:Z41" si="4">MEDIAN(J10:U10)</f>
        <v>48.55</v>
      </c>
      <c r="AA10" s="3">
        <f t="shared" ref="AA10:AA41" si="5">QUARTILE(J10:U10,3)</f>
        <v>51.474999999999994</v>
      </c>
      <c r="AB10" s="3">
        <f t="shared" ref="AB10:AB41" si="6">MAX(J10:U10)</f>
        <v>52.6</v>
      </c>
      <c r="AC10" s="3">
        <f t="shared" ref="AC10:AC41" si="7">SKEW(J10:U10)</f>
        <v>-0.22226848369689253</v>
      </c>
      <c r="AD10" s="3">
        <f t="shared" ref="AD10:AD41" si="8">KURT(J10:U10)</f>
        <v>-1.6643241972740443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13.148999999999999</v>
      </c>
      <c r="J11" s="39">
        <v>52.1</v>
      </c>
      <c r="K11" s="39">
        <v>48.7</v>
      </c>
      <c r="L11" s="39">
        <v>50.1</v>
      </c>
      <c r="M11" s="39">
        <v>53.3</v>
      </c>
      <c r="N11" s="39">
        <v>46.7</v>
      </c>
      <c r="O11" s="39">
        <v>51.6</v>
      </c>
      <c r="P11" s="39">
        <v>45.8</v>
      </c>
      <c r="Q11" s="39">
        <v>52.3</v>
      </c>
      <c r="R11" s="39">
        <v>36.799999999999997</v>
      </c>
      <c r="S11" s="39">
        <v>51.7</v>
      </c>
      <c r="T11" s="39">
        <v>36.700000000000003</v>
      </c>
      <c r="U11" s="39">
        <v>53.5</v>
      </c>
      <c r="V11" s="5">
        <f t="shared" si="0"/>
        <v>48.275000000000006</v>
      </c>
      <c r="W11" s="4">
        <f t="shared" si="1"/>
        <v>1.7054780277184036</v>
      </c>
      <c r="X11" s="2">
        <f t="shared" si="2"/>
        <v>36.700000000000003</v>
      </c>
      <c r="Y11" s="3">
        <f t="shared" si="3"/>
        <v>46.475000000000001</v>
      </c>
      <c r="Z11" s="2">
        <f t="shared" si="4"/>
        <v>50.85</v>
      </c>
      <c r="AA11" s="3">
        <f t="shared" si="5"/>
        <v>52.15</v>
      </c>
      <c r="AB11" s="3">
        <f t="shared" si="6"/>
        <v>53.5</v>
      </c>
      <c r="AC11" s="3">
        <f t="shared" si="7"/>
        <v>-1.3792167353535745</v>
      </c>
      <c r="AD11" s="3">
        <f t="shared" si="8"/>
        <v>0.81228262209280278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13.134</v>
      </c>
      <c r="J12" s="39">
        <v>50.9</v>
      </c>
      <c r="K12" s="39">
        <v>40.5</v>
      </c>
      <c r="L12" s="39">
        <v>49.3</v>
      </c>
      <c r="M12" s="39">
        <v>37.6</v>
      </c>
      <c r="N12" s="39">
        <v>47</v>
      </c>
      <c r="O12" s="39">
        <v>37.700000000000003</v>
      </c>
      <c r="P12" s="39">
        <v>51.4</v>
      </c>
      <c r="Q12" s="39">
        <v>37.4</v>
      </c>
      <c r="R12" s="39">
        <v>40.299999999999997</v>
      </c>
      <c r="S12" s="39">
        <v>44.4</v>
      </c>
      <c r="T12" s="39">
        <v>38.700000000000003</v>
      </c>
      <c r="U12" s="39">
        <v>36.4</v>
      </c>
      <c r="V12" s="5">
        <f t="shared" si="0"/>
        <v>42.633333333333326</v>
      </c>
      <c r="W12" s="4">
        <f t="shared" si="1"/>
        <v>1.6357897422371019</v>
      </c>
      <c r="X12" s="2">
        <f t="shared" si="2"/>
        <v>36.4</v>
      </c>
      <c r="Y12" s="3">
        <f t="shared" si="3"/>
        <v>37.675000000000004</v>
      </c>
      <c r="Z12" s="2">
        <f t="shared" si="4"/>
        <v>40.4</v>
      </c>
      <c r="AA12" s="3">
        <f t="shared" si="5"/>
        <v>47.575000000000003</v>
      </c>
      <c r="AB12" s="3">
        <f t="shared" si="6"/>
        <v>51.4</v>
      </c>
      <c r="AC12" s="3">
        <f t="shared" si="7"/>
        <v>0.54403368759842519</v>
      </c>
      <c r="AD12" s="3">
        <f t="shared" si="8"/>
        <v>-1.4796602596317299</v>
      </c>
      <c r="AF12" s="17" t="s">
        <v>76</v>
      </c>
      <c r="AG12" s="16">
        <v>34.85</v>
      </c>
      <c r="AH12" s="15">
        <v>38.612499999999997</v>
      </c>
      <c r="AI12" s="15">
        <v>41.524999999999999</v>
      </c>
      <c r="AJ12" s="15">
        <v>40.966666666666669</v>
      </c>
      <c r="AK12" s="16">
        <v>30.7</v>
      </c>
      <c r="AL12" s="15">
        <v>31.287500000000001</v>
      </c>
      <c r="AM12" s="15">
        <v>31.574999999999999</v>
      </c>
      <c r="AN12" s="14">
        <v>31.708333333333336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13.118</v>
      </c>
      <c r="J13" s="39">
        <v>45.2</v>
      </c>
      <c r="K13" s="39">
        <v>45.4</v>
      </c>
      <c r="L13" s="39">
        <v>43.1</v>
      </c>
      <c r="M13" s="39">
        <v>42.1</v>
      </c>
      <c r="N13" s="39">
        <v>41.6</v>
      </c>
      <c r="O13" s="39">
        <v>39.799999999999997</v>
      </c>
      <c r="P13" s="39">
        <v>42.9</v>
      </c>
      <c r="Q13" s="39">
        <v>40.700000000000003</v>
      </c>
      <c r="R13" s="39">
        <v>41.4</v>
      </c>
      <c r="S13" s="39">
        <v>39.799999999999997</v>
      </c>
      <c r="T13" s="39">
        <v>37.6</v>
      </c>
      <c r="U13" s="39">
        <v>40.700000000000003</v>
      </c>
      <c r="V13" s="5">
        <f t="shared" si="0"/>
        <v>41.691666666666663</v>
      </c>
      <c r="W13" s="4">
        <f t="shared" si="1"/>
        <v>0.64917877415091207</v>
      </c>
      <c r="X13" s="2">
        <f t="shared" si="2"/>
        <v>37.6</v>
      </c>
      <c r="Y13" s="3">
        <f t="shared" si="3"/>
        <v>40.475000000000001</v>
      </c>
      <c r="Z13" s="2">
        <f t="shared" si="4"/>
        <v>41.5</v>
      </c>
      <c r="AA13" s="3">
        <f t="shared" si="5"/>
        <v>42.95</v>
      </c>
      <c r="AB13" s="3">
        <f t="shared" si="6"/>
        <v>45.4</v>
      </c>
      <c r="AC13" s="3">
        <f t="shared" si="7"/>
        <v>0.14184872916649083</v>
      </c>
      <c r="AD13" s="3">
        <f t="shared" si="8"/>
        <v>-5.5551477058290999E-4</v>
      </c>
      <c r="AF13" s="13" t="s">
        <v>75</v>
      </c>
      <c r="AG13" s="12">
        <v>42.65</v>
      </c>
      <c r="AH13" s="11">
        <v>50.25</v>
      </c>
      <c r="AI13" s="11">
        <v>55.825000000000003</v>
      </c>
      <c r="AJ13" s="11">
        <v>54.516666666666666</v>
      </c>
      <c r="AK13" s="12">
        <v>32.65</v>
      </c>
      <c r="AL13" s="11">
        <v>34.587499999999999</v>
      </c>
      <c r="AM13" s="11">
        <v>35.4</v>
      </c>
      <c r="AN13" s="10">
        <v>35.145833333333329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13.103</v>
      </c>
      <c r="J14" s="39">
        <v>51.1</v>
      </c>
      <c r="K14" s="39">
        <v>41.6</v>
      </c>
      <c r="L14" s="39">
        <v>48.4</v>
      </c>
      <c r="M14" s="39">
        <v>36.9</v>
      </c>
      <c r="N14" s="39">
        <v>47.5</v>
      </c>
      <c r="O14" s="39">
        <v>41.9</v>
      </c>
      <c r="P14" s="39">
        <v>48.4</v>
      </c>
      <c r="Q14" s="39">
        <v>40.9</v>
      </c>
      <c r="R14" s="39">
        <v>46.8</v>
      </c>
      <c r="S14" s="39">
        <v>40</v>
      </c>
      <c r="T14" s="39">
        <v>46.5</v>
      </c>
      <c r="U14" s="39">
        <v>45.7</v>
      </c>
      <c r="V14" s="5">
        <f t="shared" si="0"/>
        <v>44.641666666666659</v>
      </c>
      <c r="W14" s="4">
        <f t="shared" si="1"/>
        <v>1.2297116152031975</v>
      </c>
      <c r="X14" s="2">
        <f t="shared" si="2"/>
        <v>36.9</v>
      </c>
      <c r="Y14" s="3">
        <f t="shared" si="3"/>
        <v>41.424999999999997</v>
      </c>
      <c r="Z14" s="2">
        <f t="shared" si="4"/>
        <v>46.1</v>
      </c>
      <c r="AA14" s="3">
        <f t="shared" si="5"/>
        <v>47.725000000000001</v>
      </c>
      <c r="AB14" s="3">
        <f t="shared" si="6"/>
        <v>51.1</v>
      </c>
      <c r="AC14" s="3">
        <f t="shared" si="7"/>
        <v>-0.35078408238835523</v>
      </c>
      <c r="AD14" s="3">
        <f t="shared" si="8"/>
        <v>-0.85839783029010297</v>
      </c>
      <c r="AF14" s="13" t="s">
        <v>74</v>
      </c>
      <c r="AG14" s="12">
        <v>58.95</v>
      </c>
      <c r="AH14" s="11">
        <v>59.8</v>
      </c>
      <c r="AI14" s="11">
        <v>60.475000000000001</v>
      </c>
      <c r="AJ14" s="11">
        <v>60.475000000000001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13.086</v>
      </c>
      <c r="J15" s="39">
        <v>42.9</v>
      </c>
      <c r="K15" s="39">
        <v>42.5</v>
      </c>
      <c r="L15" s="39">
        <v>42.6</v>
      </c>
      <c r="M15" s="39">
        <v>41.4</v>
      </c>
      <c r="N15" s="39">
        <v>37.6</v>
      </c>
      <c r="O15" s="39">
        <v>37.4</v>
      </c>
      <c r="P15" s="39">
        <v>33.6</v>
      </c>
      <c r="Q15" s="39">
        <v>33.1</v>
      </c>
      <c r="R15" s="39">
        <v>37.5</v>
      </c>
      <c r="S15" s="39">
        <v>43.1</v>
      </c>
      <c r="T15" s="39">
        <v>42.5</v>
      </c>
      <c r="U15" s="39">
        <v>41.9</v>
      </c>
      <c r="V15" s="5">
        <f t="shared" si="0"/>
        <v>39.675000000000004</v>
      </c>
      <c r="W15" s="4">
        <f t="shared" si="1"/>
        <v>1.062167951679845</v>
      </c>
      <c r="X15" s="2">
        <f t="shared" si="2"/>
        <v>33.1</v>
      </c>
      <c r="Y15" s="3">
        <f t="shared" si="3"/>
        <v>37.475000000000001</v>
      </c>
      <c r="Z15" s="2">
        <f t="shared" si="4"/>
        <v>41.65</v>
      </c>
      <c r="AA15" s="3">
        <f t="shared" si="5"/>
        <v>42.524999999999999</v>
      </c>
      <c r="AB15" s="3">
        <f t="shared" si="6"/>
        <v>43.1</v>
      </c>
      <c r="AC15" s="3">
        <f t="shared" si="7"/>
        <v>-0.83099879774431218</v>
      </c>
      <c r="AD15" s="3">
        <f t="shared" si="8"/>
        <v>-0.78504095479326441</v>
      </c>
      <c r="AF15" s="13" t="s">
        <v>73</v>
      </c>
      <c r="AG15" s="12">
        <v>37</v>
      </c>
      <c r="AH15" s="11">
        <v>38.825000000000003</v>
      </c>
      <c r="AI15" s="11">
        <v>41.35</v>
      </c>
      <c r="AJ15" s="11">
        <v>42.612499999999997</v>
      </c>
      <c r="AK15" s="12">
        <v>31.45</v>
      </c>
      <c r="AL15" s="11">
        <v>32.024999999999999</v>
      </c>
      <c r="AM15" s="11">
        <v>32.15</v>
      </c>
      <c r="AN15" s="10">
        <v>32.6875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13.067</v>
      </c>
      <c r="J16" s="39">
        <v>44.4</v>
      </c>
      <c r="K16" s="39">
        <v>41.8</v>
      </c>
      <c r="L16" s="39">
        <v>42.5</v>
      </c>
      <c r="M16" s="39">
        <v>41.6</v>
      </c>
      <c r="N16" s="39">
        <v>41.7</v>
      </c>
      <c r="O16" s="39">
        <v>39.200000000000003</v>
      </c>
      <c r="P16" s="39">
        <v>41.4</v>
      </c>
      <c r="Q16" s="39">
        <v>40.5</v>
      </c>
      <c r="R16" s="39">
        <v>39.700000000000003</v>
      </c>
      <c r="S16" s="39">
        <v>41.8</v>
      </c>
      <c r="T16" s="39">
        <v>40.9</v>
      </c>
      <c r="U16" s="39">
        <v>40</v>
      </c>
      <c r="V16" s="5">
        <f t="shared" si="0"/>
        <v>41.291666666666664</v>
      </c>
      <c r="W16" s="4">
        <f t="shared" si="1"/>
        <v>0.40141007773229892</v>
      </c>
      <c r="X16" s="2">
        <f t="shared" si="2"/>
        <v>39.200000000000003</v>
      </c>
      <c r="Y16" s="3">
        <f t="shared" si="3"/>
        <v>40.375</v>
      </c>
      <c r="Z16" s="2">
        <f t="shared" si="4"/>
        <v>41.5</v>
      </c>
      <c r="AA16" s="3">
        <f t="shared" si="5"/>
        <v>41.8</v>
      </c>
      <c r="AB16" s="3">
        <f t="shared" si="6"/>
        <v>44.4</v>
      </c>
      <c r="AC16" s="3">
        <f t="shared" si="7"/>
        <v>0.65985041157703639</v>
      </c>
      <c r="AD16" s="3">
        <f t="shared" si="8"/>
        <v>1.210292085719253</v>
      </c>
      <c r="AF16" s="13" t="s">
        <v>72</v>
      </c>
      <c r="AG16" s="12">
        <v>36.75</v>
      </c>
      <c r="AH16" s="11">
        <v>40.487499999999997</v>
      </c>
      <c r="AI16" s="11">
        <v>44.3</v>
      </c>
      <c r="AJ16" s="11">
        <v>44.212499999999999</v>
      </c>
      <c r="AK16" s="12">
        <v>31.5</v>
      </c>
      <c r="AL16" s="11">
        <v>32.412500000000001</v>
      </c>
      <c r="AM16" s="11">
        <v>33.174999999999997</v>
      </c>
      <c r="AN16" s="10">
        <v>33.55833333333333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13.052</v>
      </c>
      <c r="J17" s="39">
        <v>55.2</v>
      </c>
      <c r="K17" s="39">
        <v>55.2</v>
      </c>
      <c r="L17" s="39">
        <v>46.1</v>
      </c>
      <c r="M17" s="39">
        <v>51</v>
      </c>
      <c r="N17" s="39">
        <v>47.1</v>
      </c>
      <c r="O17" s="39">
        <v>46.2</v>
      </c>
      <c r="P17" s="39">
        <v>51.3</v>
      </c>
      <c r="Q17" s="39">
        <v>43.3</v>
      </c>
      <c r="R17" s="39">
        <v>50.7</v>
      </c>
      <c r="S17" s="39">
        <v>45</v>
      </c>
      <c r="T17" s="39">
        <v>46.7</v>
      </c>
      <c r="U17" s="39">
        <v>50.4</v>
      </c>
      <c r="V17" s="5">
        <f t="shared" si="0"/>
        <v>49.016666666666673</v>
      </c>
      <c r="W17" s="4">
        <f t="shared" si="1"/>
        <v>1.1168701759376469</v>
      </c>
      <c r="X17" s="2">
        <f t="shared" si="2"/>
        <v>43.3</v>
      </c>
      <c r="Y17" s="3">
        <f t="shared" si="3"/>
        <v>46.175000000000004</v>
      </c>
      <c r="Z17" s="2">
        <f t="shared" si="4"/>
        <v>48.75</v>
      </c>
      <c r="AA17" s="3">
        <f t="shared" si="5"/>
        <v>51.075000000000003</v>
      </c>
      <c r="AB17" s="3">
        <f t="shared" si="6"/>
        <v>55.2</v>
      </c>
      <c r="AC17" s="3">
        <f t="shared" si="7"/>
        <v>0.3422415461871503</v>
      </c>
      <c r="AD17" s="3">
        <f t="shared" si="8"/>
        <v>-0.8800066633017023</v>
      </c>
      <c r="AF17" s="13" t="s">
        <v>71</v>
      </c>
      <c r="AG17" s="12">
        <v>41.5</v>
      </c>
      <c r="AH17" s="11">
        <v>44.825000000000003</v>
      </c>
      <c r="AI17" s="11">
        <v>48.8</v>
      </c>
      <c r="AJ17" s="11">
        <v>48.258333333333333</v>
      </c>
      <c r="AK17" s="12">
        <v>31.55</v>
      </c>
      <c r="AL17" s="11">
        <v>32.387500000000003</v>
      </c>
      <c r="AM17" s="11">
        <v>33.1</v>
      </c>
      <c r="AN17" s="10">
        <v>33.212499999999999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13.188000000000001</v>
      </c>
      <c r="J18" s="39">
        <v>51.2</v>
      </c>
      <c r="K18" s="39">
        <v>43.7</v>
      </c>
      <c r="L18" s="39">
        <v>44.1</v>
      </c>
      <c r="M18" s="39">
        <v>42.1</v>
      </c>
      <c r="N18" s="39">
        <v>38.6</v>
      </c>
      <c r="O18" s="39">
        <v>39.9</v>
      </c>
      <c r="P18" s="39">
        <v>42.4</v>
      </c>
      <c r="Q18" s="39">
        <v>46.1</v>
      </c>
      <c r="R18" s="39">
        <v>42.4</v>
      </c>
      <c r="S18" s="39">
        <v>40.299999999999997</v>
      </c>
      <c r="T18" s="39">
        <v>44.2</v>
      </c>
      <c r="U18" s="39">
        <v>38</v>
      </c>
      <c r="V18" s="5">
        <f t="shared" si="0"/>
        <v>42.75</v>
      </c>
      <c r="W18" s="4">
        <f t="shared" si="1"/>
        <v>1.0372968950521586</v>
      </c>
      <c r="X18" s="2">
        <f t="shared" si="2"/>
        <v>38</v>
      </c>
      <c r="Y18" s="3">
        <f t="shared" si="3"/>
        <v>40.199999999999996</v>
      </c>
      <c r="Z18" s="2">
        <f t="shared" si="4"/>
        <v>42.4</v>
      </c>
      <c r="AA18" s="3">
        <f t="shared" si="5"/>
        <v>44.125</v>
      </c>
      <c r="AB18" s="3">
        <f t="shared" si="6"/>
        <v>51.2</v>
      </c>
      <c r="AC18" s="3">
        <f t="shared" si="7"/>
        <v>1.0121204223946778</v>
      </c>
      <c r="AD18" s="3">
        <f t="shared" si="8"/>
        <v>1.7707463073360028</v>
      </c>
      <c r="AF18" s="13" t="s">
        <v>70</v>
      </c>
      <c r="AG18" s="12">
        <v>40.9</v>
      </c>
      <c r="AH18" s="11">
        <v>47.15</v>
      </c>
      <c r="AI18" s="11">
        <v>48.75</v>
      </c>
      <c r="AJ18" s="11">
        <v>48.674999999999997</v>
      </c>
      <c r="AK18" s="12">
        <v>30.9</v>
      </c>
      <c r="AL18" s="11">
        <v>32.024999999999999</v>
      </c>
      <c r="AM18" s="11">
        <v>32.6</v>
      </c>
      <c r="AN18" s="10">
        <v>32.691666666666663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13.202</v>
      </c>
      <c r="J19" s="39">
        <v>47.4</v>
      </c>
      <c r="K19" s="39">
        <v>43.6</v>
      </c>
      <c r="L19" s="39">
        <v>45.8</v>
      </c>
      <c r="M19" s="39">
        <v>48.1</v>
      </c>
      <c r="N19" s="39">
        <v>45.7</v>
      </c>
      <c r="O19" s="39">
        <v>45.1</v>
      </c>
      <c r="P19" s="39">
        <v>45.4</v>
      </c>
      <c r="Q19" s="39">
        <v>45.4</v>
      </c>
      <c r="R19" s="39">
        <v>46.1</v>
      </c>
      <c r="S19" s="39">
        <v>37.1</v>
      </c>
      <c r="T19" s="39">
        <v>44.4</v>
      </c>
      <c r="U19" s="39">
        <v>42.3</v>
      </c>
      <c r="V19" s="5">
        <f t="shared" si="0"/>
        <v>44.699999999999996</v>
      </c>
      <c r="W19" s="4">
        <f t="shared" si="1"/>
        <v>0.82103039474242911</v>
      </c>
      <c r="X19" s="2">
        <f t="shared" si="2"/>
        <v>37.1</v>
      </c>
      <c r="Y19" s="3">
        <f t="shared" si="3"/>
        <v>44.2</v>
      </c>
      <c r="Z19" s="2">
        <f t="shared" si="4"/>
        <v>45.4</v>
      </c>
      <c r="AA19" s="3">
        <f t="shared" si="5"/>
        <v>45.875</v>
      </c>
      <c r="AB19" s="3">
        <f t="shared" si="6"/>
        <v>48.1</v>
      </c>
      <c r="AC19" s="3">
        <f t="shared" si="7"/>
        <v>-1.8461828137853435</v>
      </c>
      <c r="AD19" s="3">
        <f t="shared" si="8"/>
        <v>4.5505400406929315</v>
      </c>
      <c r="AF19" s="13" t="s">
        <v>69</v>
      </c>
      <c r="AG19" s="12">
        <v>38.924999999999997</v>
      </c>
      <c r="AH19" s="11">
        <v>43.293750000000003</v>
      </c>
      <c r="AI19" s="11">
        <v>46.512500000000003</v>
      </c>
      <c r="AJ19" s="11">
        <v>46.75</v>
      </c>
      <c r="AK19" s="12">
        <v>31.25</v>
      </c>
      <c r="AL19" s="11">
        <v>31.831250000000001</v>
      </c>
      <c r="AM19" s="11">
        <v>32.512500000000003</v>
      </c>
      <c r="AN19" s="10">
        <v>32.441666666666663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13.217000000000001</v>
      </c>
      <c r="J20" s="39">
        <v>54.1</v>
      </c>
      <c r="K20" s="39">
        <v>42.8</v>
      </c>
      <c r="L20" s="39">
        <v>44.5</v>
      </c>
      <c r="M20" s="39">
        <v>55</v>
      </c>
      <c r="N20" s="39">
        <v>43.4</v>
      </c>
      <c r="O20" s="39">
        <v>45.7</v>
      </c>
      <c r="P20" s="39">
        <v>39.200000000000003</v>
      </c>
      <c r="Q20" s="39">
        <v>47.5</v>
      </c>
      <c r="R20" s="39">
        <v>42</v>
      </c>
      <c r="S20" s="39">
        <v>46.5</v>
      </c>
      <c r="T20" s="39">
        <v>42.4</v>
      </c>
      <c r="U20" s="39">
        <v>50.2</v>
      </c>
      <c r="V20" s="5">
        <f t="shared" si="0"/>
        <v>46.108333333333327</v>
      </c>
      <c r="W20" s="4">
        <f t="shared" si="1"/>
        <v>1.4065570652404407</v>
      </c>
      <c r="X20" s="2">
        <f t="shared" si="2"/>
        <v>39.200000000000003</v>
      </c>
      <c r="Y20" s="3">
        <f t="shared" si="3"/>
        <v>42.699999999999996</v>
      </c>
      <c r="Z20" s="2">
        <f t="shared" si="4"/>
        <v>45.1</v>
      </c>
      <c r="AA20" s="3">
        <f t="shared" si="5"/>
        <v>48.174999999999997</v>
      </c>
      <c r="AB20" s="3">
        <f t="shared" si="6"/>
        <v>55</v>
      </c>
      <c r="AC20" s="3">
        <f t="shared" si="7"/>
        <v>0.73022617248960964</v>
      </c>
      <c r="AD20" s="3">
        <f t="shared" si="8"/>
        <v>-0.24628261860917755</v>
      </c>
      <c r="AF20" s="13" t="s">
        <v>68</v>
      </c>
      <c r="AG20" s="12">
        <v>37.6</v>
      </c>
      <c r="AH20" s="11">
        <v>43.537500000000001</v>
      </c>
      <c r="AI20" s="11">
        <v>47.487499999999997</v>
      </c>
      <c r="AJ20" s="11">
        <v>46.783333333333339</v>
      </c>
      <c r="AK20" s="12">
        <v>30.15</v>
      </c>
      <c r="AL20" s="11">
        <v>30.824999999999999</v>
      </c>
      <c r="AM20" s="11">
        <v>31.712499999999999</v>
      </c>
      <c r="AN20" s="10">
        <v>31.641666666666669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13.231</v>
      </c>
      <c r="J21" s="39">
        <v>49.7</v>
      </c>
      <c r="K21" s="39">
        <v>38.299999999999997</v>
      </c>
      <c r="L21" s="39">
        <v>48.9</v>
      </c>
      <c r="M21" s="39">
        <v>38.6</v>
      </c>
      <c r="N21" s="39">
        <v>49.7</v>
      </c>
      <c r="O21" s="39">
        <v>37.700000000000003</v>
      </c>
      <c r="P21" s="39">
        <v>44.5</v>
      </c>
      <c r="Q21" s="39">
        <v>40.299999999999997</v>
      </c>
      <c r="R21" s="39">
        <v>49.9</v>
      </c>
      <c r="S21" s="39">
        <v>35.6</v>
      </c>
      <c r="T21" s="39">
        <v>51.8</v>
      </c>
      <c r="U21" s="39">
        <v>38.700000000000003</v>
      </c>
      <c r="V21" s="5">
        <f t="shared" si="0"/>
        <v>43.641666666666673</v>
      </c>
      <c r="W21" s="4">
        <f t="shared" si="1"/>
        <v>1.7343000654937697</v>
      </c>
      <c r="X21" s="2">
        <f t="shared" si="2"/>
        <v>35.6</v>
      </c>
      <c r="Y21" s="3">
        <f t="shared" si="3"/>
        <v>38.524999999999999</v>
      </c>
      <c r="Z21" s="2">
        <f t="shared" si="4"/>
        <v>42.4</v>
      </c>
      <c r="AA21" s="3">
        <f t="shared" si="5"/>
        <v>49.7</v>
      </c>
      <c r="AB21" s="3">
        <f t="shared" si="6"/>
        <v>51.8</v>
      </c>
      <c r="AC21" s="3">
        <f t="shared" si="7"/>
        <v>0.10590580544419906</v>
      </c>
      <c r="AD21" s="3">
        <f t="shared" si="8"/>
        <v>-1.9730751673282163</v>
      </c>
      <c r="AF21" s="13" t="s">
        <v>67</v>
      </c>
      <c r="AG21" s="12">
        <v>35.299999999999997</v>
      </c>
      <c r="AH21" s="11">
        <v>38.512500000000003</v>
      </c>
      <c r="AI21" s="11">
        <v>41.125</v>
      </c>
      <c r="AJ21" s="11">
        <v>42.666666666666671</v>
      </c>
      <c r="AK21" s="12">
        <v>31.3</v>
      </c>
      <c r="AL21" s="11">
        <v>32.212499999999999</v>
      </c>
      <c r="AM21" s="11">
        <v>32.65</v>
      </c>
      <c r="AN21" s="10">
        <v>32.787500000000001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13.246</v>
      </c>
      <c r="J22" s="39">
        <v>53.8</v>
      </c>
      <c r="K22" s="39">
        <v>47.9</v>
      </c>
      <c r="L22" s="39">
        <v>42.7</v>
      </c>
      <c r="M22" s="39">
        <v>52.1</v>
      </c>
      <c r="N22" s="39">
        <v>50.2</v>
      </c>
      <c r="O22" s="39">
        <v>40.299999999999997</v>
      </c>
      <c r="P22" s="39">
        <v>52.1</v>
      </c>
      <c r="Q22" s="39">
        <v>44.9</v>
      </c>
      <c r="R22" s="39">
        <v>52.5</v>
      </c>
      <c r="S22" s="39">
        <v>47.5</v>
      </c>
      <c r="T22" s="39">
        <v>53.5</v>
      </c>
      <c r="U22" s="39">
        <v>43.1</v>
      </c>
      <c r="V22" s="5">
        <f t="shared" si="0"/>
        <v>48.383333333333333</v>
      </c>
      <c r="W22" s="4">
        <f t="shared" si="1"/>
        <v>1.3542768020481102</v>
      </c>
      <c r="X22" s="2">
        <f t="shared" si="2"/>
        <v>40.299999999999997</v>
      </c>
      <c r="Y22" s="3">
        <f t="shared" si="3"/>
        <v>44.45</v>
      </c>
      <c r="Z22" s="2">
        <f t="shared" si="4"/>
        <v>49.05</v>
      </c>
      <c r="AA22" s="3">
        <f t="shared" si="5"/>
        <v>52.2</v>
      </c>
      <c r="AB22" s="3">
        <f t="shared" si="6"/>
        <v>53.8</v>
      </c>
      <c r="AC22" s="3">
        <f t="shared" si="7"/>
        <v>-0.45533649069570881</v>
      </c>
      <c r="AD22" s="3">
        <f t="shared" si="8"/>
        <v>-1.2793585127067408</v>
      </c>
      <c r="AF22" s="13" t="s">
        <v>66</v>
      </c>
      <c r="AG22" s="12">
        <v>37.450000000000003</v>
      </c>
      <c r="AH22" s="11">
        <v>40.8125</v>
      </c>
      <c r="AI22" s="11">
        <v>44.25</v>
      </c>
      <c r="AJ22" s="11">
        <v>43.695833333333326</v>
      </c>
      <c r="AK22" s="12">
        <v>31.15</v>
      </c>
      <c r="AL22" s="11">
        <v>32.575000000000003</v>
      </c>
      <c r="AM22" s="11">
        <v>33.200000000000003</v>
      </c>
      <c r="AN22" s="10">
        <v>33.395833333333336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13.26</v>
      </c>
      <c r="J23" s="39">
        <v>34.799999999999997</v>
      </c>
      <c r="K23" s="39">
        <v>39.4</v>
      </c>
      <c r="L23" s="39">
        <v>38.1</v>
      </c>
      <c r="M23" s="39">
        <v>38.9</v>
      </c>
      <c r="N23" s="39">
        <v>35</v>
      </c>
      <c r="O23" s="39">
        <v>35.799999999999997</v>
      </c>
      <c r="P23" s="39">
        <v>34</v>
      </c>
      <c r="Q23" s="39">
        <v>33.4</v>
      </c>
      <c r="R23" s="39">
        <v>34</v>
      </c>
      <c r="S23" s="39">
        <v>34</v>
      </c>
      <c r="T23" s="39">
        <v>33.200000000000003</v>
      </c>
      <c r="U23" s="39">
        <v>37.4</v>
      </c>
      <c r="V23" s="5">
        <f t="shared" si="0"/>
        <v>35.666666666666664</v>
      </c>
      <c r="W23" s="4">
        <f t="shared" si="1"/>
        <v>0.64011520427769464</v>
      </c>
      <c r="X23" s="2">
        <f t="shared" si="2"/>
        <v>33.200000000000003</v>
      </c>
      <c r="Y23" s="3">
        <f t="shared" si="3"/>
        <v>34</v>
      </c>
      <c r="Z23" s="2">
        <f t="shared" si="4"/>
        <v>34.9</v>
      </c>
      <c r="AA23" s="3">
        <f t="shared" si="5"/>
        <v>37.575000000000003</v>
      </c>
      <c r="AB23" s="3">
        <f t="shared" si="6"/>
        <v>39.4</v>
      </c>
      <c r="AC23" s="3">
        <f t="shared" si="7"/>
        <v>0.6400080283395746</v>
      </c>
      <c r="AD23" s="3">
        <f t="shared" si="8"/>
        <v>-1.1983250469164211</v>
      </c>
      <c r="AF23" s="13" t="s">
        <v>65</v>
      </c>
      <c r="AG23" s="12">
        <v>31</v>
      </c>
      <c r="AH23" s="11">
        <v>32.125</v>
      </c>
      <c r="AI23" s="11">
        <v>32.85</v>
      </c>
      <c r="AJ23" s="11">
        <v>32.891666666666659</v>
      </c>
      <c r="AK23" s="12">
        <v>31</v>
      </c>
      <c r="AL23" s="11">
        <v>31.8</v>
      </c>
      <c r="AM23" s="11">
        <v>32.5</v>
      </c>
      <c r="AN23" s="10">
        <v>32.391666666666673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13.276999999999999</v>
      </c>
      <c r="J24" s="39">
        <v>53.6</v>
      </c>
      <c r="K24" s="39">
        <v>45.3</v>
      </c>
      <c r="L24" s="39">
        <v>38.6</v>
      </c>
      <c r="M24" s="39">
        <v>54.4</v>
      </c>
      <c r="N24" s="39">
        <v>37.299999999999997</v>
      </c>
      <c r="O24" s="39">
        <v>50.8</v>
      </c>
      <c r="P24" s="39">
        <v>48</v>
      </c>
      <c r="Q24" s="39">
        <v>52.5</v>
      </c>
      <c r="R24" s="39">
        <v>40.200000000000003</v>
      </c>
      <c r="S24" s="39">
        <v>49.6</v>
      </c>
      <c r="T24" s="39">
        <v>45.6</v>
      </c>
      <c r="U24" s="39">
        <v>51.7</v>
      </c>
      <c r="V24" s="5">
        <f t="shared" si="0"/>
        <v>47.300000000000004</v>
      </c>
      <c r="W24" s="4">
        <f t="shared" si="1"/>
        <v>1.7134052573041649</v>
      </c>
      <c r="X24" s="2">
        <f t="shared" si="2"/>
        <v>37.299999999999997</v>
      </c>
      <c r="Y24" s="3">
        <f t="shared" si="3"/>
        <v>44.024999999999999</v>
      </c>
      <c r="Z24" s="2">
        <f t="shared" si="4"/>
        <v>48.8</v>
      </c>
      <c r="AA24" s="3">
        <f t="shared" si="5"/>
        <v>51.900000000000006</v>
      </c>
      <c r="AB24" s="3">
        <f t="shared" si="6"/>
        <v>54.4</v>
      </c>
      <c r="AC24" s="3">
        <f t="shared" si="7"/>
        <v>-0.59485949207671618</v>
      </c>
      <c r="AD24" s="3">
        <f t="shared" si="8"/>
        <v>-1.0248525130507247</v>
      </c>
      <c r="AF24" s="13" t="s">
        <v>64</v>
      </c>
      <c r="AG24" s="12">
        <v>32.549999999999997</v>
      </c>
      <c r="AH24" s="11">
        <v>33.262500000000003</v>
      </c>
      <c r="AI24" s="11">
        <v>33.875</v>
      </c>
      <c r="AJ24" s="11">
        <v>34.329166666666666</v>
      </c>
      <c r="AK24" s="12">
        <v>29.05</v>
      </c>
      <c r="AL24" s="11">
        <v>31.1875</v>
      </c>
      <c r="AM24" s="11">
        <v>31.875</v>
      </c>
      <c r="AN24" s="10">
        <v>31.675000000000001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13.292</v>
      </c>
      <c r="J25" s="39">
        <v>54.7</v>
      </c>
      <c r="K25" s="39">
        <v>51.2</v>
      </c>
      <c r="L25" s="39">
        <v>51</v>
      </c>
      <c r="M25" s="39">
        <v>48.1</v>
      </c>
      <c r="N25" s="39">
        <v>50.6</v>
      </c>
      <c r="O25" s="39">
        <v>41</v>
      </c>
      <c r="P25" s="39">
        <v>47.2</v>
      </c>
      <c r="Q25" s="39">
        <v>50.8</v>
      </c>
      <c r="R25" s="39">
        <v>51.1</v>
      </c>
      <c r="S25" s="39">
        <v>50.2</v>
      </c>
      <c r="T25" s="39">
        <v>49.9</v>
      </c>
      <c r="U25" s="39">
        <v>55</v>
      </c>
      <c r="V25" s="5">
        <f t="shared" si="0"/>
        <v>50.06666666666667</v>
      </c>
      <c r="W25" s="4">
        <f t="shared" si="1"/>
        <v>1.0451426851503256</v>
      </c>
      <c r="X25" s="2">
        <f t="shared" si="2"/>
        <v>41</v>
      </c>
      <c r="Y25" s="3">
        <f t="shared" si="3"/>
        <v>49.45</v>
      </c>
      <c r="Z25" s="2">
        <f t="shared" si="4"/>
        <v>50.7</v>
      </c>
      <c r="AA25" s="3">
        <f t="shared" si="5"/>
        <v>51.125</v>
      </c>
      <c r="AB25" s="3">
        <f t="shared" si="6"/>
        <v>55</v>
      </c>
      <c r="AC25" s="3">
        <f t="shared" si="7"/>
        <v>-1.2712836630837479</v>
      </c>
      <c r="AD25" s="3">
        <f t="shared" si="8"/>
        <v>3.2092973624426868</v>
      </c>
      <c r="AF25" s="13" t="s">
        <v>63</v>
      </c>
      <c r="AG25" s="12">
        <v>35.4</v>
      </c>
      <c r="AH25" s="11">
        <v>40.875</v>
      </c>
      <c r="AI25" s="11">
        <v>43.433333333333337</v>
      </c>
      <c r="AJ25" s="11">
        <v>42.397222222222219</v>
      </c>
      <c r="AK25" s="12">
        <v>30.633333333333336</v>
      </c>
      <c r="AL25" s="11">
        <v>31.475000000000001</v>
      </c>
      <c r="AM25" s="11">
        <v>32.15</v>
      </c>
      <c r="AN25" s="10">
        <v>32.413888888888891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13.435</v>
      </c>
      <c r="J26" s="39">
        <v>46.4</v>
      </c>
      <c r="K26" s="39">
        <v>46</v>
      </c>
      <c r="L26" s="39">
        <v>35.6</v>
      </c>
      <c r="M26" s="39">
        <v>41.8</v>
      </c>
      <c r="N26" s="39">
        <v>44.4</v>
      </c>
      <c r="O26" s="39">
        <v>46.4</v>
      </c>
      <c r="P26" s="39">
        <v>44.4</v>
      </c>
      <c r="Q26" s="39">
        <v>41.7</v>
      </c>
      <c r="R26" s="39">
        <v>41.3</v>
      </c>
      <c r="S26" s="39">
        <v>41.6</v>
      </c>
      <c r="T26" s="39">
        <v>39.4</v>
      </c>
      <c r="U26" s="39">
        <v>46.6</v>
      </c>
      <c r="V26" s="5">
        <f t="shared" si="0"/>
        <v>42.966666666666669</v>
      </c>
      <c r="W26" s="4">
        <f t="shared" si="1"/>
        <v>0.97190326658364479</v>
      </c>
      <c r="X26" s="2">
        <f t="shared" si="2"/>
        <v>35.6</v>
      </c>
      <c r="Y26" s="3">
        <f t="shared" si="3"/>
        <v>41.524999999999999</v>
      </c>
      <c r="Z26" s="2">
        <f t="shared" si="4"/>
        <v>43.099999999999994</v>
      </c>
      <c r="AA26" s="3">
        <f t="shared" si="5"/>
        <v>46.1</v>
      </c>
      <c r="AB26" s="3">
        <f t="shared" si="6"/>
        <v>46.6</v>
      </c>
      <c r="AC26" s="3">
        <f t="shared" si="7"/>
        <v>-0.8382471658120848</v>
      </c>
      <c r="AD26" s="3">
        <f t="shared" si="8"/>
        <v>0.46479101765764064</v>
      </c>
      <c r="AF26" s="13" t="s">
        <v>62</v>
      </c>
      <c r="AG26" s="12">
        <v>38.1</v>
      </c>
      <c r="AH26" s="11">
        <v>41.356250000000003</v>
      </c>
      <c r="AI26" s="11">
        <v>42.774999999999999</v>
      </c>
      <c r="AJ26" s="11">
        <v>42.791666666666664</v>
      </c>
      <c r="AK26" s="12">
        <v>30.625</v>
      </c>
      <c r="AL26" s="11">
        <v>31.412500000000001</v>
      </c>
      <c r="AM26" s="11">
        <v>32.037500000000001</v>
      </c>
      <c r="AN26" s="10">
        <v>32.079166666666666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13.45</v>
      </c>
      <c r="J27" s="39">
        <v>53.3</v>
      </c>
      <c r="K27" s="39">
        <v>42.6</v>
      </c>
      <c r="L27" s="39">
        <v>50.2</v>
      </c>
      <c r="M27" s="39">
        <v>53.4</v>
      </c>
      <c r="N27" s="39">
        <v>44.1</v>
      </c>
      <c r="O27" s="39">
        <v>44.2</v>
      </c>
      <c r="P27" s="39">
        <v>42.1</v>
      </c>
      <c r="Q27" s="39">
        <v>47.7</v>
      </c>
      <c r="R27" s="39">
        <v>38.4</v>
      </c>
      <c r="S27" s="39">
        <v>46.5</v>
      </c>
      <c r="T27" s="39">
        <v>42</v>
      </c>
      <c r="U27" s="39">
        <v>41.8</v>
      </c>
      <c r="V27" s="5">
        <f t="shared" si="0"/>
        <v>45.524999999999999</v>
      </c>
      <c r="W27" s="4">
        <f t="shared" si="1"/>
        <v>1.3793457496109149</v>
      </c>
      <c r="X27" s="2">
        <f t="shared" si="2"/>
        <v>38.4</v>
      </c>
      <c r="Y27" s="3">
        <f t="shared" si="3"/>
        <v>42.075000000000003</v>
      </c>
      <c r="Z27" s="2">
        <f t="shared" si="4"/>
        <v>44.150000000000006</v>
      </c>
      <c r="AA27" s="3">
        <f t="shared" si="5"/>
        <v>48.325000000000003</v>
      </c>
      <c r="AB27" s="3">
        <f t="shared" si="6"/>
        <v>53.4</v>
      </c>
      <c r="AC27" s="3">
        <f t="shared" si="7"/>
        <v>0.54414970310268096</v>
      </c>
      <c r="AD27" s="3">
        <f t="shared" si="8"/>
        <v>-0.664756393671039</v>
      </c>
      <c r="AF27" s="9" t="s">
        <v>61</v>
      </c>
      <c r="AG27" s="8">
        <v>45.95</v>
      </c>
      <c r="AH27" s="7">
        <v>46.75</v>
      </c>
      <c r="AI27" s="7">
        <v>47.1</v>
      </c>
      <c r="AJ27" s="7">
        <v>47.420833333333334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13.467000000000001</v>
      </c>
      <c r="J28" s="39">
        <v>33.700000000000003</v>
      </c>
      <c r="K28" s="39">
        <v>34</v>
      </c>
      <c r="L28" s="39">
        <v>33</v>
      </c>
      <c r="M28" s="39">
        <v>33.9</v>
      </c>
      <c r="N28" s="39">
        <v>32</v>
      </c>
      <c r="O28" s="39">
        <v>32.299999999999997</v>
      </c>
      <c r="P28" s="39">
        <v>32.700000000000003</v>
      </c>
      <c r="Q28" s="39">
        <v>32.700000000000003</v>
      </c>
      <c r="R28" s="39">
        <v>33.200000000000003</v>
      </c>
      <c r="S28" s="39">
        <v>31.9</v>
      </c>
      <c r="T28" s="39">
        <v>32.6</v>
      </c>
      <c r="U28" s="39">
        <v>33.9</v>
      </c>
      <c r="V28" s="5">
        <f t="shared" si="0"/>
        <v>32.99166666666666</v>
      </c>
      <c r="W28" s="4">
        <f t="shared" si="1"/>
        <v>0.21653550808730257</v>
      </c>
      <c r="X28" s="2">
        <f t="shared" si="2"/>
        <v>31.9</v>
      </c>
      <c r="Y28" s="3">
        <f t="shared" si="3"/>
        <v>32.524999999999999</v>
      </c>
      <c r="Z28" s="2">
        <f t="shared" si="4"/>
        <v>32.85</v>
      </c>
      <c r="AA28" s="3">
        <f t="shared" si="5"/>
        <v>33.75</v>
      </c>
      <c r="AB28" s="3">
        <f t="shared" si="6"/>
        <v>34</v>
      </c>
      <c r="AC28" s="3">
        <f t="shared" si="7"/>
        <v>4.4390592941055268E-2</v>
      </c>
      <c r="AD28" s="3">
        <f t="shared" si="8"/>
        <v>-1.3937475246023237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13.483000000000001</v>
      </c>
      <c r="J29" s="39">
        <v>53.7</v>
      </c>
      <c r="K29" s="39">
        <v>52.8</v>
      </c>
      <c r="L29" s="39">
        <v>50.7</v>
      </c>
      <c r="M29" s="39">
        <v>51.4</v>
      </c>
      <c r="N29" s="39">
        <v>40.799999999999997</v>
      </c>
      <c r="O29" s="39">
        <v>44.1</v>
      </c>
      <c r="P29" s="39">
        <v>47.2</v>
      </c>
      <c r="Q29" s="39">
        <v>45.1</v>
      </c>
      <c r="R29" s="39">
        <v>45.7</v>
      </c>
      <c r="S29" s="39">
        <v>48.1</v>
      </c>
      <c r="T29" s="39">
        <v>46.4</v>
      </c>
      <c r="U29" s="39">
        <v>41.4</v>
      </c>
      <c r="V29" s="5">
        <f t="shared" si="0"/>
        <v>47.283333333333331</v>
      </c>
      <c r="W29" s="4">
        <f t="shared" si="1"/>
        <v>1.2177247371033966</v>
      </c>
      <c r="X29" s="2">
        <f t="shared" si="2"/>
        <v>40.799999999999997</v>
      </c>
      <c r="Y29" s="3">
        <f t="shared" si="3"/>
        <v>44.85</v>
      </c>
      <c r="Z29" s="2">
        <f t="shared" si="4"/>
        <v>46.8</v>
      </c>
      <c r="AA29" s="3">
        <f t="shared" si="5"/>
        <v>50.875</v>
      </c>
      <c r="AB29" s="3">
        <f t="shared" si="6"/>
        <v>53.7</v>
      </c>
      <c r="AC29" s="3">
        <f t="shared" si="7"/>
        <v>2.7318401315648815E-2</v>
      </c>
      <c r="AD29" s="3">
        <f t="shared" si="8"/>
        <v>-0.97641257287941707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13.499000000000001</v>
      </c>
      <c r="J30" s="39">
        <v>52.7</v>
      </c>
      <c r="K30" s="39">
        <v>40</v>
      </c>
      <c r="L30" s="39">
        <v>47.9</v>
      </c>
      <c r="M30" s="39">
        <v>36.1</v>
      </c>
      <c r="N30" s="39">
        <v>39.5</v>
      </c>
      <c r="O30" s="39">
        <v>40.9</v>
      </c>
      <c r="P30" s="39">
        <v>44</v>
      </c>
      <c r="Q30" s="39">
        <v>39.700000000000003</v>
      </c>
      <c r="R30" s="39">
        <v>39.299999999999997</v>
      </c>
      <c r="S30" s="39">
        <v>35</v>
      </c>
      <c r="T30" s="39">
        <v>49.5</v>
      </c>
      <c r="U30" s="39">
        <v>35.700000000000003</v>
      </c>
      <c r="V30" s="5">
        <f t="shared" si="0"/>
        <v>41.691666666666663</v>
      </c>
      <c r="W30" s="4">
        <f t="shared" si="1"/>
        <v>1.6421280692928961</v>
      </c>
      <c r="X30" s="2">
        <f t="shared" si="2"/>
        <v>35</v>
      </c>
      <c r="Y30" s="3">
        <f t="shared" si="3"/>
        <v>38.5</v>
      </c>
      <c r="Z30" s="2">
        <f t="shared" si="4"/>
        <v>39.85</v>
      </c>
      <c r="AA30" s="3">
        <f t="shared" si="5"/>
        <v>44.975000000000001</v>
      </c>
      <c r="AB30" s="3">
        <f t="shared" si="6"/>
        <v>52.7</v>
      </c>
      <c r="AC30" s="3">
        <f t="shared" si="7"/>
        <v>0.79098715455222424</v>
      </c>
      <c r="AD30" s="3">
        <f t="shared" si="8"/>
        <v>-0.38125748221204558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13.513999999999999</v>
      </c>
      <c r="J31" s="39">
        <v>54.8</v>
      </c>
      <c r="K31" s="39">
        <v>40.9</v>
      </c>
      <c r="L31" s="39">
        <v>50.2</v>
      </c>
      <c r="M31" s="39">
        <v>52.6</v>
      </c>
      <c r="N31" s="39">
        <v>49.9</v>
      </c>
      <c r="O31" s="39">
        <v>38</v>
      </c>
      <c r="P31" s="39">
        <v>41.8</v>
      </c>
      <c r="Q31" s="39">
        <v>49</v>
      </c>
      <c r="R31" s="39">
        <v>48.6</v>
      </c>
      <c r="S31" s="39">
        <v>41.2</v>
      </c>
      <c r="T31" s="39">
        <v>43.7</v>
      </c>
      <c r="U31" s="39">
        <v>41.7</v>
      </c>
      <c r="V31" s="5">
        <f t="shared" si="0"/>
        <v>46.033333333333331</v>
      </c>
      <c r="W31" s="4">
        <f t="shared" si="1"/>
        <v>1.5668600783256064</v>
      </c>
      <c r="X31" s="2">
        <f t="shared" si="2"/>
        <v>38</v>
      </c>
      <c r="Y31" s="3">
        <f t="shared" si="3"/>
        <v>41.575000000000003</v>
      </c>
      <c r="Z31" s="2">
        <f t="shared" si="4"/>
        <v>46.150000000000006</v>
      </c>
      <c r="AA31" s="3">
        <f t="shared" si="5"/>
        <v>49.975000000000001</v>
      </c>
      <c r="AB31" s="3">
        <f t="shared" si="6"/>
        <v>54.8</v>
      </c>
      <c r="AC31" s="3">
        <f t="shared" si="7"/>
        <v>0.13203658677343932</v>
      </c>
      <c r="AD31" s="3">
        <f t="shared" si="8"/>
        <v>-1.3971554573235516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13.528</v>
      </c>
      <c r="J32" s="39">
        <v>47</v>
      </c>
      <c r="K32" s="39">
        <v>43.5</v>
      </c>
      <c r="L32" s="39">
        <v>38.9</v>
      </c>
      <c r="M32" s="39">
        <v>43</v>
      </c>
      <c r="N32" s="39">
        <v>44.7</v>
      </c>
      <c r="O32" s="39">
        <v>41.4</v>
      </c>
      <c r="P32" s="39">
        <v>43.9</v>
      </c>
      <c r="Q32" s="39">
        <v>42.9</v>
      </c>
      <c r="R32" s="39">
        <v>45.8</v>
      </c>
      <c r="S32" s="39">
        <v>39.6</v>
      </c>
      <c r="T32" s="39">
        <v>47.1</v>
      </c>
      <c r="U32" s="39">
        <v>36</v>
      </c>
      <c r="V32" s="5">
        <f t="shared" si="0"/>
        <v>42.816666666666663</v>
      </c>
      <c r="W32" s="4">
        <f t="shared" si="1"/>
        <v>0.96975733713609669</v>
      </c>
      <c r="X32" s="2">
        <f t="shared" si="2"/>
        <v>36</v>
      </c>
      <c r="Y32" s="3">
        <f t="shared" si="3"/>
        <v>40.950000000000003</v>
      </c>
      <c r="Z32" s="2">
        <f t="shared" si="4"/>
        <v>43.25</v>
      </c>
      <c r="AA32" s="3">
        <f t="shared" si="5"/>
        <v>44.975000000000001</v>
      </c>
      <c r="AB32" s="3">
        <f t="shared" si="6"/>
        <v>47.1</v>
      </c>
      <c r="AC32" s="3">
        <f t="shared" si="7"/>
        <v>-0.65129108897989463</v>
      </c>
      <c r="AD32" s="3">
        <f t="shared" si="8"/>
        <v>-2.2195304754939471E-2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13.542999999999999</v>
      </c>
      <c r="J33" s="39">
        <v>50.7</v>
      </c>
      <c r="K33" s="39">
        <v>43.1</v>
      </c>
      <c r="L33" s="39">
        <v>42.6</v>
      </c>
      <c r="M33" s="39">
        <v>38.299999999999997</v>
      </c>
      <c r="N33" s="39">
        <v>40.9</v>
      </c>
      <c r="O33" s="39">
        <v>43.1</v>
      </c>
      <c r="P33" s="39">
        <v>40.5</v>
      </c>
      <c r="Q33" s="39">
        <v>47.5</v>
      </c>
      <c r="R33" s="39">
        <v>38.4</v>
      </c>
      <c r="S33" s="39">
        <v>46.4</v>
      </c>
      <c r="T33" s="39">
        <v>37.6</v>
      </c>
      <c r="U33" s="39">
        <v>42</v>
      </c>
      <c r="V33" s="5">
        <f t="shared" si="0"/>
        <v>42.591666666666661</v>
      </c>
      <c r="W33" s="4">
        <f t="shared" si="1"/>
        <v>1.1459717547244623</v>
      </c>
      <c r="X33" s="2">
        <f t="shared" si="2"/>
        <v>37.6</v>
      </c>
      <c r="Y33" s="3">
        <f t="shared" si="3"/>
        <v>39.975000000000001</v>
      </c>
      <c r="Z33" s="2">
        <f t="shared" si="4"/>
        <v>42.3</v>
      </c>
      <c r="AA33" s="3">
        <f t="shared" si="5"/>
        <v>43.924999999999997</v>
      </c>
      <c r="AB33" s="3">
        <f t="shared" si="6"/>
        <v>50.7</v>
      </c>
      <c r="AC33" s="3">
        <f t="shared" si="7"/>
        <v>0.72465193825644325</v>
      </c>
      <c r="AD33" s="3">
        <f t="shared" si="8"/>
        <v>3.3522748578351802E-2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13.648999999999999</v>
      </c>
      <c r="J34" s="39">
        <v>51</v>
      </c>
      <c r="K34" s="39">
        <v>38.4</v>
      </c>
      <c r="L34" s="39">
        <v>46.7</v>
      </c>
      <c r="M34" s="39">
        <v>41.9</v>
      </c>
      <c r="N34" s="39">
        <v>45.2</v>
      </c>
      <c r="O34" s="39">
        <v>48.5</v>
      </c>
      <c r="P34" s="39">
        <v>36.5</v>
      </c>
      <c r="Q34" s="39">
        <v>52.5</v>
      </c>
      <c r="R34" s="39">
        <v>42.2</v>
      </c>
      <c r="S34" s="39">
        <v>44.6</v>
      </c>
      <c r="T34" s="39">
        <v>43</v>
      </c>
      <c r="U34" s="39">
        <v>37.200000000000003</v>
      </c>
      <c r="V34" s="5">
        <f t="shared" si="0"/>
        <v>43.975000000000001</v>
      </c>
      <c r="W34" s="4">
        <f t="shared" si="1"/>
        <v>1.4900744846137544</v>
      </c>
      <c r="X34" s="2">
        <f t="shared" si="2"/>
        <v>36.5</v>
      </c>
      <c r="Y34" s="3">
        <f t="shared" si="3"/>
        <v>41.024999999999999</v>
      </c>
      <c r="Z34" s="2">
        <f t="shared" si="4"/>
        <v>43.8</v>
      </c>
      <c r="AA34" s="3">
        <f t="shared" si="5"/>
        <v>47.150000000000006</v>
      </c>
      <c r="AB34" s="3">
        <f t="shared" si="6"/>
        <v>52.5</v>
      </c>
      <c r="AC34" s="3">
        <f t="shared" si="7"/>
        <v>0.12996277986707738</v>
      </c>
      <c r="AD34" s="3">
        <f t="shared" si="8"/>
        <v>-0.83288626087532691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13.634</v>
      </c>
      <c r="J35" s="39">
        <v>53.3</v>
      </c>
      <c r="K35" s="39">
        <v>46.9</v>
      </c>
      <c r="L35" s="39">
        <v>53.1</v>
      </c>
      <c r="M35" s="39">
        <v>44.7</v>
      </c>
      <c r="N35" s="39">
        <v>43.2</v>
      </c>
      <c r="O35" s="39">
        <v>47.4</v>
      </c>
      <c r="P35" s="39">
        <v>35.9</v>
      </c>
      <c r="Q35" s="39">
        <v>52.5</v>
      </c>
      <c r="R35" s="39">
        <v>37.299999999999997</v>
      </c>
      <c r="S35" s="39">
        <v>53.1</v>
      </c>
      <c r="T35" s="39">
        <v>46.5</v>
      </c>
      <c r="U35" s="39">
        <v>41.8</v>
      </c>
      <c r="V35" s="5">
        <f t="shared" si="0"/>
        <v>46.30833333333333</v>
      </c>
      <c r="W35" s="4">
        <f t="shared" si="1"/>
        <v>1.747528919140501</v>
      </c>
      <c r="X35" s="2">
        <f t="shared" si="2"/>
        <v>35.9</v>
      </c>
      <c r="Y35" s="3">
        <f t="shared" si="3"/>
        <v>42.85</v>
      </c>
      <c r="Z35" s="2">
        <f t="shared" si="4"/>
        <v>46.7</v>
      </c>
      <c r="AA35" s="3">
        <f t="shared" si="5"/>
        <v>52.65</v>
      </c>
      <c r="AB35" s="3">
        <f t="shared" si="6"/>
        <v>53.3</v>
      </c>
      <c r="AC35" s="3">
        <f t="shared" si="7"/>
        <v>-0.38219071630207774</v>
      </c>
      <c r="AD35" s="3">
        <f t="shared" si="8"/>
        <v>-0.87104812962680267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13.619</v>
      </c>
      <c r="J36" s="39">
        <v>53.1</v>
      </c>
      <c r="K36" s="39">
        <v>38.9</v>
      </c>
      <c r="L36" s="39">
        <v>45.4</v>
      </c>
      <c r="M36" s="39">
        <v>44.2</v>
      </c>
      <c r="N36" s="39">
        <v>42.4</v>
      </c>
      <c r="O36" s="39">
        <v>46.3</v>
      </c>
      <c r="P36" s="39">
        <v>38.9</v>
      </c>
      <c r="Q36" s="39">
        <v>51.5</v>
      </c>
      <c r="R36" s="39">
        <v>37</v>
      </c>
      <c r="S36" s="39">
        <v>46.5</v>
      </c>
      <c r="T36" s="39">
        <v>40.299999999999997</v>
      </c>
      <c r="U36" s="39">
        <v>48.9</v>
      </c>
      <c r="V36" s="5">
        <f t="shared" si="0"/>
        <v>44.449999999999996</v>
      </c>
      <c r="W36" s="4">
        <f t="shared" si="1"/>
        <v>1.4859187546614128</v>
      </c>
      <c r="X36" s="2">
        <f t="shared" si="2"/>
        <v>37</v>
      </c>
      <c r="Y36" s="3">
        <f t="shared" si="3"/>
        <v>39.949999999999996</v>
      </c>
      <c r="Z36" s="2">
        <f t="shared" si="4"/>
        <v>44.8</v>
      </c>
      <c r="AA36" s="3">
        <f t="shared" si="5"/>
        <v>47.1</v>
      </c>
      <c r="AB36" s="3">
        <f t="shared" si="6"/>
        <v>53.1</v>
      </c>
      <c r="AC36" s="3">
        <f t="shared" si="7"/>
        <v>0.21280093947647799</v>
      </c>
      <c r="AD36" s="3">
        <f t="shared" si="8"/>
        <v>-0.93944128494717738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13.603</v>
      </c>
      <c r="J37" s="39">
        <v>54.3</v>
      </c>
      <c r="K37" s="39">
        <v>44.7</v>
      </c>
      <c r="L37" s="39">
        <v>42.7</v>
      </c>
      <c r="M37" s="39">
        <v>50.4</v>
      </c>
      <c r="N37" s="39">
        <v>41.7</v>
      </c>
      <c r="O37" s="39">
        <v>51.2</v>
      </c>
      <c r="P37" s="39">
        <v>37.299999999999997</v>
      </c>
      <c r="Q37" s="39">
        <v>52.8</v>
      </c>
      <c r="R37" s="39">
        <v>37.9</v>
      </c>
      <c r="S37" s="39">
        <v>46.3</v>
      </c>
      <c r="T37" s="39">
        <v>46.8</v>
      </c>
      <c r="U37" s="39">
        <v>40.700000000000003</v>
      </c>
      <c r="V37" s="5">
        <f t="shared" si="0"/>
        <v>45.56666666666667</v>
      </c>
      <c r="W37" s="4">
        <f t="shared" si="1"/>
        <v>1.6525156824696186</v>
      </c>
      <c r="X37" s="2">
        <f t="shared" si="2"/>
        <v>37.299999999999997</v>
      </c>
      <c r="Y37" s="3">
        <f t="shared" si="3"/>
        <v>41.45</v>
      </c>
      <c r="Z37" s="2">
        <f t="shared" si="4"/>
        <v>45.5</v>
      </c>
      <c r="AA37" s="3">
        <f t="shared" si="5"/>
        <v>50.6</v>
      </c>
      <c r="AB37" s="3">
        <f t="shared" si="6"/>
        <v>54.3</v>
      </c>
      <c r="AC37" s="3">
        <f t="shared" si="7"/>
        <v>7.308283361004822E-2</v>
      </c>
      <c r="AD37" s="3">
        <f t="shared" si="8"/>
        <v>-1.232435035733257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13.587999999999999</v>
      </c>
      <c r="J38" s="39">
        <v>33.4</v>
      </c>
      <c r="K38" s="39">
        <v>35.4</v>
      </c>
      <c r="L38" s="39">
        <v>32.700000000000003</v>
      </c>
      <c r="M38" s="39">
        <v>33.299999999999997</v>
      </c>
      <c r="N38" s="39">
        <v>31.6</v>
      </c>
      <c r="O38" s="39">
        <v>32.299999999999997</v>
      </c>
      <c r="P38" s="39">
        <v>31</v>
      </c>
      <c r="Q38" s="39">
        <v>33</v>
      </c>
      <c r="R38" s="39">
        <v>32.200000000000003</v>
      </c>
      <c r="S38" s="39">
        <v>31.9</v>
      </c>
      <c r="T38" s="39">
        <v>33.700000000000003</v>
      </c>
      <c r="U38" s="39">
        <v>34.200000000000003</v>
      </c>
      <c r="V38" s="5">
        <f t="shared" si="0"/>
        <v>32.891666666666659</v>
      </c>
      <c r="W38" s="4">
        <f t="shared" si="1"/>
        <v>0.35020737002553504</v>
      </c>
      <c r="X38" s="2">
        <f t="shared" si="2"/>
        <v>31</v>
      </c>
      <c r="Y38" s="3">
        <f t="shared" si="3"/>
        <v>32.125</v>
      </c>
      <c r="Z38" s="2">
        <f t="shared" si="4"/>
        <v>32.85</v>
      </c>
      <c r="AA38" s="3">
        <f t="shared" si="5"/>
        <v>33.475000000000001</v>
      </c>
      <c r="AB38" s="3">
        <f t="shared" si="6"/>
        <v>35.4</v>
      </c>
      <c r="AC38" s="3">
        <f t="shared" si="7"/>
        <v>0.50748005244177419</v>
      </c>
      <c r="AD38" s="3">
        <f t="shared" si="8"/>
        <v>0.32766664458008421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13.571999999999999</v>
      </c>
      <c r="J39" s="39">
        <v>48.5</v>
      </c>
      <c r="K39" s="39">
        <v>47.8</v>
      </c>
      <c r="L39" s="39">
        <v>43.3</v>
      </c>
      <c r="M39" s="39">
        <v>48.8</v>
      </c>
      <c r="N39" s="39">
        <v>43.7</v>
      </c>
      <c r="O39" s="39">
        <v>46</v>
      </c>
      <c r="P39" s="39">
        <v>40.9</v>
      </c>
      <c r="Q39" s="39">
        <v>44</v>
      </c>
      <c r="R39" s="39">
        <v>40</v>
      </c>
      <c r="S39" s="39">
        <v>50.4</v>
      </c>
      <c r="T39" s="39">
        <v>42.3</v>
      </c>
      <c r="U39" s="39">
        <v>46.9</v>
      </c>
      <c r="V39" s="5">
        <f t="shared" si="0"/>
        <v>45.216666666666661</v>
      </c>
      <c r="W39" s="4">
        <f t="shared" si="1"/>
        <v>0.96301557095354895</v>
      </c>
      <c r="X39" s="2">
        <f t="shared" si="2"/>
        <v>40</v>
      </c>
      <c r="Y39" s="3">
        <f t="shared" si="3"/>
        <v>43.05</v>
      </c>
      <c r="Z39" s="2">
        <f t="shared" si="4"/>
        <v>45</v>
      </c>
      <c r="AA39" s="3">
        <f t="shared" si="5"/>
        <v>47.974999999999994</v>
      </c>
      <c r="AB39" s="3">
        <f t="shared" si="6"/>
        <v>50.4</v>
      </c>
      <c r="AC39" s="3">
        <f t="shared" si="7"/>
        <v>-4.8146005892523706E-2</v>
      </c>
      <c r="AD39" s="3">
        <f t="shared" si="8"/>
        <v>-1.1871699117453938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13.414999999999999</v>
      </c>
      <c r="J40" s="47">
        <v>46.6</v>
      </c>
      <c r="K40" s="47">
        <v>48.9</v>
      </c>
      <c r="L40" s="47">
        <v>47.9</v>
      </c>
      <c r="M40" s="47">
        <v>47.9</v>
      </c>
      <c r="N40" s="47">
        <v>47.2</v>
      </c>
      <c r="O40" s="47">
        <v>48.6</v>
      </c>
      <c r="P40" s="47">
        <v>47.2</v>
      </c>
      <c r="Q40" s="47">
        <v>47.3</v>
      </c>
      <c r="R40" s="47">
        <v>48.4</v>
      </c>
      <c r="S40" s="47">
        <v>48.7</v>
      </c>
      <c r="T40" s="47">
        <v>45.8</v>
      </c>
      <c r="U40" s="47">
        <v>46.9</v>
      </c>
      <c r="V40" s="49">
        <f t="shared" si="0"/>
        <v>47.616666666666667</v>
      </c>
      <c r="W40" s="48">
        <f t="shared" si="1"/>
        <v>0.27326126174728327</v>
      </c>
      <c r="X40" s="47">
        <f t="shared" si="2"/>
        <v>45.8</v>
      </c>
      <c r="Y40" s="46">
        <f t="shared" si="3"/>
        <v>47.125</v>
      </c>
      <c r="Z40" s="47">
        <f t="shared" si="4"/>
        <v>47.599999999999994</v>
      </c>
      <c r="AA40" s="46">
        <f t="shared" si="5"/>
        <v>48.45</v>
      </c>
      <c r="AB40" s="46">
        <f t="shared" si="6"/>
        <v>48.9</v>
      </c>
      <c r="AC40" s="46">
        <f t="shared" si="7"/>
        <v>-0.35096865950632966</v>
      </c>
      <c r="AD40" s="46">
        <f t="shared" si="8"/>
        <v>-0.5580009901817764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13.398999999999999</v>
      </c>
      <c r="J41" s="39">
        <v>47.4</v>
      </c>
      <c r="K41" s="39">
        <v>42.5</v>
      </c>
      <c r="L41" s="39">
        <v>38</v>
      </c>
      <c r="M41" s="39">
        <v>43.6</v>
      </c>
      <c r="N41" s="39">
        <v>35.6</v>
      </c>
      <c r="O41" s="39">
        <v>43.2</v>
      </c>
      <c r="P41" s="39">
        <v>37.700000000000003</v>
      </c>
      <c r="Q41" s="39">
        <v>46.3</v>
      </c>
      <c r="R41" s="39">
        <v>38.4</v>
      </c>
      <c r="S41" s="39">
        <v>43.8</v>
      </c>
      <c r="T41" s="39">
        <v>39.9</v>
      </c>
      <c r="U41" s="39">
        <v>43.6</v>
      </c>
      <c r="V41" s="5">
        <f t="shared" si="0"/>
        <v>41.666666666666664</v>
      </c>
      <c r="W41" s="4">
        <f t="shared" si="1"/>
        <v>1.0631095993367849</v>
      </c>
      <c r="X41" s="2">
        <f t="shared" si="2"/>
        <v>35.6</v>
      </c>
      <c r="Y41" s="3">
        <f t="shared" si="3"/>
        <v>38.299999999999997</v>
      </c>
      <c r="Z41" s="2">
        <f t="shared" si="4"/>
        <v>42.85</v>
      </c>
      <c r="AA41" s="3">
        <f t="shared" si="5"/>
        <v>43.65</v>
      </c>
      <c r="AB41" s="3">
        <f t="shared" si="6"/>
        <v>47.4</v>
      </c>
      <c r="AC41" s="3">
        <f t="shared" si="7"/>
        <v>-0.12905902995424604</v>
      </c>
      <c r="AD41" s="3">
        <f t="shared" si="8"/>
        <v>-1.0327982359434791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13.391</v>
      </c>
      <c r="J42" s="47">
        <v>58.3</v>
      </c>
      <c r="K42" s="47">
        <v>58.3</v>
      </c>
      <c r="L42" s="47">
        <v>59.8</v>
      </c>
      <c r="M42" s="47">
        <v>60.2</v>
      </c>
      <c r="N42" s="47">
        <v>61.4</v>
      </c>
      <c r="O42" s="47">
        <v>59.5</v>
      </c>
      <c r="P42" s="47">
        <v>62.1</v>
      </c>
      <c r="Q42" s="47">
        <v>61.2</v>
      </c>
      <c r="R42" s="47">
        <v>62.1</v>
      </c>
      <c r="S42" s="47">
        <v>58.9</v>
      </c>
      <c r="T42" s="47">
        <v>61.5</v>
      </c>
      <c r="U42" s="47">
        <v>59.9</v>
      </c>
      <c r="V42" s="49">
        <f t="shared" ref="V42:V73" si="9">AVERAGE(J42:U42)</f>
        <v>60.266666666666659</v>
      </c>
      <c r="W42" s="48">
        <f t="shared" ref="W42:W73" si="10">STDEV(J42:U42)/SQRT(COUNT(J42:U42))</f>
        <v>0.39835520416692066</v>
      </c>
      <c r="X42" s="47">
        <f t="shared" ref="X42:X73" si="11">MIN(J42:U42)</f>
        <v>58.3</v>
      </c>
      <c r="Y42" s="46">
        <f t="shared" ref="Y42:Y73" si="12">QUARTILE(J42:U42,1)</f>
        <v>59.35</v>
      </c>
      <c r="Z42" s="47">
        <f t="shared" ref="Z42:Z73" si="13">MEDIAN(J42:U42)</f>
        <v>60.05</v>
      </c>
      <c r="AA42" s="46">
        <f t="shared" ref="AA42:AA73" si="14">QUARTILE(J42:U42,3)</f>
        <v>61.424999999999997</v>
      </c>
      <c r="AB42" s="46">
        <f t="shared" ref="AB42:AB73" si="15">MAX(J42:U42)</f>
        <v>62.1</v>
      </c>
      <c r="AC42" s="46">
        <f t="shared" ref="AC42:AC73" si="16">SKEW(J42:U42)</f>
        <v>-7.8832401972151814E-2</v>
      </c>
      <c r="AD42" s="46">
        <f t="shared" ref="AD42:AD73" si="17">KURT(J42:U42)</f>
        <v>-1.3766561009318758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13.375</v>
      </c>
      <c r="J43" s="39">
        <v>63.4</v>
      </c>
      <c r="K43" s="39">
        <v>55.1</v>
      </c>
      <c r="L43" s="39">
        <v>56.8</v>
      </c>
      <c r="M43" s="39">
        <v>57.6</v>
      </c>
      <c r="N43" s="39">
        <v>50</v>
      </c>
      <c r="O43" s="39">
        <v>49.5</v>
      </c>
      <c r="P43" s="39">
        <v>45.2</v>
      </c>
      <c r="Q43" s="39">
        <v>62.7</v>
      </c>
      <c r="R43" s="39">
        <v>54.7</v>
      </c>
      <c r="S43" s="39">
        <v>60.2</v>
      </c>
      <c r="T43" s="39">
        <v>41.9</v>
      </c>
      <c r="U43" s="39">
        <v>57</v>
      </c>
      <c r="V43" s="5">
        <f t="shared" si="9"/>
        <v>54.508333333333326</v>
      </c>
      <c r="W43" s="4">
        <f t="shared" si="10"/>
        <v>1.9286303168284873</v>
      </c>
      <c r="X43" s="2">
        <f t="shared" si="11"/>
        <v>41.9</v>
      </c>
      <c r="Y43" s="3">
        <f t="shared" si="12"/>
        <v>49.875</v>
      </c>
      <c r="Z43" s="2">
        <f t="shared" si="13"/>
        <v>55.95</v>
      </c>
      <c r="AA43" s="3">
        <f t="shared" si="14"/>
        <v>58.25</v>
      </c>
      <c r="AB43" s="3">
        <f t="shared" si="15"/>
        <v>63.4</v>
      </c>
      <c r="AC43" s="3">
        <f t="shared" si="16"/>
        <v>-0.56109609991437581</v>
      </c>
      <c r="AD43" s="3">
        <f t="shared" si="17"/>
        <v>-0.41237147999440893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13.36</v>
      </c>
      <c r="J44" s="47">
        <v>50.3</v>
      </c>
      <c r="K44" s="47">
        <v>48.2</v>
      </c>
      <c r="L44" s="47">
        <v>46.6</v>
      </c>
      <c r="M44" s="47">
        <v>47.9</v>
      </c>
      <c r="N44" s="47">
        <v>47.1</v>
      </c>
      <c r="O44" s="47">
        <v>46.3</v>
      </c>
      <c r="P44" s="47">
        <v>46.4</v>
      </c>
      <c r="Q44" s="47">
        <v>48.5</v>
      </c>
      <c r="R44" s="47">
        <v>46.1</v>
      </c>
      <c r="S44" s="47">
        <v>46.5</v>
      </c>
      <c r="T44" s="47">
        <v>46.6</v>
      </c>
      <c r="U44" s="47">
        <v>46.2</v>
      </c>
      <c r="V44" s="49">
        <f t="shared" si="9"/>
        <v>47.225000000000001</v>
      </c>
      <c r="W44" s="48">
        <f t="shared" si="10"/>
        <v>0.36579614292911572</v>
      </c>
      <c r="X44" s="47">
        <f t="shared" si="11"/>
        <v>46.1</v>
      </c>
      <c r="Y44" s="46">
        <f t="shared" si="12"/>
        <v>46.375</v>
      </c>
      <c r="Z44" s="47">
        <f t="shared" si="13"/>
        <v>46.6</v>
      </c>
      <c r="AA44" s="46">
        <f t="shared" si="14"/>
        <v>47.975000000000001</v>
      </c>
      <c r="AB44" s="46">
        <f t="shared" si="15"/>
        <v>50.3</v>
      </c>
      <c r="AC44" s="46">
        <f t="shared" si="16"/>
        <v>1.4829348154878981</v>
      </c>
      <c r="AD44" s="46">
        <f t="shared" si="17"/>
        <v>1.9345789141271696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13.343999999999999</v>
      </c>
      <c r="J45" s="39">
        <v>47.6</v>
      </c>
      <c r="K45" s="39">
        <v>40.799999999999997</v>
      </c>
      <c r="L45" s="39">
        <v>40.700000000000003</v>
      </c>
      <c r="M45" s="39">
        <v>42.2</v>
      </c>
      <c r="N45" s="39">
        <v>34.1</v>
      </c>
      <c r="O45" s="39">
        <v>39.9</v>
      </c>
      <c r="P45" s="39">
        <v>39</v>
      </c>
      <c r="Q45" s="39">
        <v>39.200000000000003</v>
      </c>
      <c r="R45" s="39">
        <v>37.700000000000003</v>
      </c>
      <c r="S45" s="39">
        <v>40.5</v>
      </c>
      <c r="T45" s="39">
        <v>38.700000000000003</v>
      </c>
      <c r="U45" s="39">
        <v>42.8</v>
      </c>
      <c r="V45" s="5">
        <f t="shared" si="9"/>
        <v>40.266666666666666</v>
      </c>
      <c r="W45" s="4">
        <f t="shared" si="10"/>
        <v>0.93097646141949886</v>
      </c>
      <c r="X45" s="2">
        <f t="shared" si="11"/>
        <v>34.1</v>
      </c>
      <c r="Y45" s="3">
        <f t="shared" si="12"/>
        <v>38.924999999999997</v>
      </c>
      <c r="Z45" s="2">
        <f t="shared" si="13"/>
        <v>40.200000000000003</v>
      </c>
      <c r="AA45" s="3">
        <f t="shared" si="14"/>
        <v>41.15</v>
      </c>
      <c r="AB45" s="3">
        <f t="shared" si="15"/>
        <v>47.6</v>
      </c>
      <c r="AC45" s="3">
        <f t="shared" si="16"/>
        <v>0.51890700697340708</v>
      </c>
      <c r="AD45" s="3">
        <f t="shared" si="17"/>
        <v>2.4442759300434593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13.336</v>
      </c>
      <c r="J46" s="47">
        <v>59.8</v>
      </c>
      <c r="K46" s="47">
        <v>60.9</v>
      </c>
      <c r="L46" s="47">
        <v>61.1</v>
      </c>
      <c r="M46" s="47">
        <v>60.4</v>
      </c>
      <c r="N46" s="47">
        <v>60.9</v>
      </c>
      <c r="O46" s="47">
        <v>59.6</v>
      </c>
      <c r="P46" s="47">
        <v>61.7</v>
      </c>
      <c r="Q46" s="47">
        <v>61.4</v>
      </c>
      <c r="R46" s="47">
        <v>61</v>
      </c>
      <c r="S46" s="47">
        <v>59.6</v>
      </c>
      <c r="T46" s="47">
        <v>61.2</v>
      </c>
      <c r="U46" s="47">
        <v>60.6</v>
      </c>
      <c r="V46" s="49">
        <f t="shared" si="9"/>
        <v>60.683333333333337</v>
      </c>
      <c r="W46" s="48">
        <f t="shared" si="10"/>
        <v>0.20219752318917864</v>
      </c>
      <c r="X46" s="47">
        <f t="shared" si="11"/>
        <v>59.6</v>
      </c>
      <c r="Y46" s="46">
        <f t="shared" si="12"/>
        <v>60.25</v>
      </c>
      <c r="Z46" s="47">
        <f t="shared" si="13"/>
        <v>60.9</v>
      </c>
      <c r="AA46" s="46">
        <f t="shared" si="14"/>
        <v>61.125</v>
      </c>
      <c r="AB46" s="46">
        <f t="shared" si="15"/>
        <v>61.7</v>
      </c>
      <c r="AC46" s="46">
        <f t="shared" si="16"/>
        <v>-0.49971752696206057</v>
      </c>
      <c r="AD46" s="46">
        <f t="shared" si="17"/>
        <v>-0.87908312385235643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13.32</v>
      </c>
      <c r="J47" s="39">
        <v>61.9</v>
      </c>
      <c r="K47" s="39">
        <v>51.2</v>
      </c>
      <c r="L47" s="39">
        <v>55.8</v>
      </c>
      <c r="M47" s="39">
        <v>57.7</v>
      </c>
      <c r="N47" s="39">
        <v>55.1</v>
      </c>
      <c r="O47" s="39">
        <v>55.6</v>
      </c>
      <c r="P47" s="39">
        <v>45.4</v>
      </c>
      <c r="Q47" s="39">
        <v>62.3</v>
      </c>
      <c r="R47" s="39">
        <v>43.4</v>
      </c>
      <c r="S47" s="39">
        <v>59.8</v>
      </c>
      <c r="T47" s="39">
        <v>48.9</v>
      </c>
      <c r="U47" s="39">
        <v>57.2</v>
      </c>
      <c r="V47" s="5">
        <f t="shared" si="9"/>
        <v>54.524999999999999</v>
      </c>
      <c r="W47" s="4">
        <f t="shared" si="10"/>
        <v>1.768286492967764</v>
      </c>
      <c r="X47" s="2">
        <f t="shared" si="11"/>
        <v>43.4</v>
      </c>
      <c r="Y47" s="3">
        <f t="shared" si="12"/>
        <v>50.625</v>
      </c>
      <c r="Z47" s="2">
        <f t="shared" si="13"/>
        <v>55.7</v>
      </c>
      <c r="AA47" s="3">
        <f t="shared" si="14"/>
        <v>58.225000000000001</v>
      </c>
      <c r="AB47" s="3">
        <f t="shared" si="15"/>
        <v>62.3</v>
      </c>
      <c r="AC47" s="3">
        <f t="shared" si="16"/>
        <v>-0.60699174275377432</v>
      </c>
      <c r="AD47" s="3">
        <f t="shared" si="17"/>
        <v>-0.57289429918777879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13.169</v>
      </c>
      <c r="J48" s="39">
        <v>33.6</v>
      </c>
      <c r="K48" s="39">
        <v>33.1</v>
      </c>
      <c r="L48" s="39">
        <v>33.1</v>
      </c>
      <c r="M48" s="39">
        <v>35.4</v>
      </c>
      <c r="N48" s="39">
        <v>33.6</v>
      </c>
      <c r="O48" s="39">
        <v>34</v>
      </c>
      <c r="P48" s="39">
        <v>33.799999999999997</v>
      </c>
      <c r="Q48" s="39">
        <v>34.200000000000003</v>
      </c>
      <c r="R48" s="39">
        <v>32.4</v>
      </c>
      <c r="S48" s="39">
        <v>32.5</v>
      </c>
      <c r="T48" s="39">
        <v>32.9</v>
      </c>
      <c r="U48" s="39">
        <v>33.6</v>
      </c>
      <c r="V48" s="5">
        <f t="shared" si="9"/>
        <v>33.516666666666666</v>
      </c>
      <c r="W48" s="4">
        <f t="shared" si="10"/>
        <v>0.23607694345768551</v>
      </c>
      <c r="X48" s="2">
        <f t="shared" si="11"/>
        <v>32.4</v>
      </c>
      <c r="Y48" s="3">
        <f t="shared" si="12"/>
        <v>33.049999999999997</v>
      </c>
      <c r="Z48" s="2">
        <f t="shared" si="13"/>
        <v>33.6</v>
      </c>
      <c r="AA48" s="3">
        <f t="shared" si="14"/>
        <v>33.849999999999994</v>
      </c>
      <c r="AB48" s="3">
        <f t="shared" si="15"/>
        <v>35.4</v>
      </c>
      <c r="AC48" s="3">
        <f t="shared" si="16"/>
        <v>0.8604929118281639</v>
      </c>
      <c r="AD48" s="3">
        <f t="shared" si="17"/>
        <v>1.4935947306106137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13.154</v>
      </c>
      <c r="J49" s="39">
        <v>31</v>
      </c>
      <c r="K49" s="39">
        <v>33</v>
      </c>
      <c r="L49" s="39">
        <v>30.7</v>
      </c>
      <c r="M49" s="39">
        <v>32.6</v>
      </c>
      <c r="N49" s="39">
        <v>32</v>
      </c>
      <c r="O49" s="39">
        <v>32.799999999999997</v>
      </c>
      <c r="P49" s="39">
        <v>31.4</v>
      </c>
      <c r="Q49" s="39">
        <v>31.7</v>
      </c>
      <c r="R49" s="39">
        <v>32.700000000000003</v>
      </c>
      <c r="S49" s="39">
        <v>31.7</v>
      </c>
      <c r="T49" s="39">
        <v>31.6</v>
      </c>
      <c r="U49" s="39">
        <v>31.5</v>
      </c>
      <c r="V49" s="5">
        <f t="shared" si="9"/>
        <v>31.891666666666669</v>
      </c>
      <c r="W49" s="4">
        <f t="shared" si="10"/>
        <v>0.21300815652804189</v>
      </c>
      <c r="X49" s="2">
        <f t="shared" si="11"/>
        <v>30.7</v>
      </c>
      <c r="Y49" s="3">
        <f t="shared" si="12"/>
        <v>31.475000000000001</v>
      </c>
      <c r="Z49" s="2">
        <f t="shared" si="13"/>
        <v>31.7</v>
      </c>
      <c r="AA49" s="3">
        <f t="shared" si="14"/>
        <v>32.625</v>
      </c>
      <c r="AB49" s="3">
        <f t="shared" si="15"/>
        <v>33</v>
      </c>
      <c r="AC49" s="3">
        <f t="shared" si="16"/>
        <v>0.10229755194155633</v>
      </c>
      <c r="AD49" s="3">
        <f t="shared" si="17"/>
        <v>-1.0517978317955023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13.138999999999999</v>
      </c>
      <c r="J50" s="39">
        <v>32.299999999999997</v>
      </c>
      <c r="K50" s="39">
        <v>33.799999999999997</v>
      </c>
      <c r="L50" s="39">
        <v>31.7</v>
      </c>
      <c r="M50" s="39">
        <v>32.700000000000003</v>
      </c>
      <c r="N50" s="39">
        <v>31.6</v>
      </c>
      <c r="O50" s="39">
        <v>32.9</v>
      </c>
      <c r="P50" s="39">
        <v>31.2</v>
      </c>
      <c r="Q50" s="39">
        <v>31.6</v>
      </c>
      <c r="R50" s="39">
        <v>31.8</v>
      </c>
      <c r="S50" s="39">
        <v>30.7</v>
      </c>
      <c r="T50" s="39">
        <v>31.5</v>
      </c>
      <c r="U50" s="39">
        <v>32.5</v>
      </c>
      <c r="V50" s="5">
        <f t="shared" si="9"/>
        <v>32.024999999999999</v>
      </c>
      <c r="W50" s="4">
        <f t="shared" si="10"/>
        <v>0.2446782054912619</v>
      </c>
      <c r="X50" s="2">
        <f t="shared" si="11"/>
        <v>30.7</v>
      </c>
      <c r="Y50" s="3">
        <f t="shared" si="12"/>
        <v>31.575000000000003</v>
      </c>
      <c r="Z50" s="2">
        <f t="shared" si="13"/>
        <v>31.75</v>
      </c>
      <c r="AA50" s="3">
        <f t="shared" si="14"/>
        <v>32.549999999999997</v>
      </c>
      <c r="AB50" s="3">
        <f t="shared" si="15"/>
        <v>33.799999999999997</v>
      </c>
      <c r="AC50" s="3">
        <f t="shared" si="16"/>
        <v>0.62097633901640303</v>
      </c>
      <c r="AD50" s="3">
        <f t="shared" si="17"/>
        <v>0.38676358630136765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13.122999999999999</v>
      </c>
      <c r="J51" s="39">
        <v>32.200000000000003</v>
      </c>
      <c r="K51" s="39">
        <v>30.8</v>
      </c>
      <c r="L51" s="39">
        <v>30.9</v>
      </c>
      <c r="M51" s="39">
        <v>30.5</v>
      </c>
      <c r="N51" s="39">
        <v>30.9</v>
      </c>
      <c r="O51" s="39">
        <v>29.8</v>
      </c>
      <c r="P51" s="39">
        <v>31.5</v>
      </c>
      <c r="Q51" s="39">
        <v>31.9</v>
      </c>
      <c r="R51" s="39">
        <v>31.1</v>
      </c>
      <c r="S51" s="39">
        <v>31.9</v>
      </c>
      <c r="T51" s="39">
        <v>31.3</v>
      </c>
      <c r="U51" s="39">
        <v>31.3</v>
      </c>
      <c r="V51" s="5">
        <f t="shared" si="9"/>
        <v>31.175000000000001</v>
      </c>
      <c r="W51" s="4">
        <f t="shared" si="10"/>
        <v>0.19232429998218212</v>
      </c>
      <c r="X51" s="2">
        <f t="shared" si="11"/>
        <v>29.8</v>
      </c>
      <c r="Y51" s="3">
        <f t="shared" si="12"/>
        <v>30.875</v>
      </c>
      <c r="Z51" s="2">
        <f t="shared" si="13"/>
        <v>31.200000000000003</v>
      </c>
      <c r="AA51" s="3">
        <f t="shared" si="14"/>
        <v>31.6</v>
      </c>
      <c r="AB51" s="3">
        <f t="shared" si="15"/>
        <v>32.200000000000003</v>
      </c>
      <c r="AC51" s="3">
        <f t="shared" si="16"/>
        <v>-0.41487946957087607</v>
      </c>
      <c r="AD51" s="3">
        <f t="shared" si="17"/>
        <v>0.35071869422991853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13.106999999999999</v>
      </c>
      <c r="J52" s="39">
        <v>33.200000000000003</v>
      </c>
      <c r="K52" s="39">
        <v>31.4</v>
      </c>
      <c r="L52" s="39">
        <v>36.1</v>
      </c>
      <c r="M52" s="39">
        <v>33.799999999999997</v>
      </c>
      <c r="N52" s="39">
        <v>31.5</v>
      </c>
      <c r="O52" s="39">
        <v>31.8</v>
      </c>
      <c r="P52" s="39">
        <v>32.299999999999997</v>
      </c>
      <c r="Q52" s="39">
        <v>30.8</v>
      </c>
      <c r="R52" s="39">
        <v>32.200000000000003</v>
      </c>
      <c r="S52" s="39">
        <v>32.799999999999997</v>
      </c>
      <c r="T52" s="39">
        <v>32.799999999999997</v>
      </c>
      <c r="U52" s="39">
        <v>36</v>
      </c>
      <c r="V52" s="5">
        <f t="shared" si="9"/>
        <v>32.891666666666673</v>
      </c>
      <c r="W52" s="4">
        <f t="shared" si="10"/>
        <v>0.48810988785955023</v>
      </c>
      <c r="X52" s="2">
        <f t="shared" si="11"/>
        <v>30.8</v>
      </c>
      <c r="Y52" s="3">
        <f t="shared" si="12"/>
        <v>31.725000000000001</v>
      </c>
      <c r="Z52" s="2">
        <f t="shared" si="13"/>
        <v>32.549999999999997</v>
      </c>
      <c r="AA52" s="3">
        <f t="shared" si="14"/>
        <v>33.35</v>
      </c>
      <c r="AB52" s="3">
        <f t="shared" si="15"/>
        <v>36.1</v>
      </c>
      <c r="AC52" s="3">
        <f t="shared" si="16"/>
        <v>1.0567711513481293</v>
      </c>
      <c r="AD52" s="3">
        <f t="shared" si="17"/>
        <v>0.39299321097110074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13.090999999999999</v>
      </c>
      <c r="J53" s="39">
        <v>32.1</v>
      </c>
      <c r="K53" s="39">
        <v>32.6</v>
      </c>
      <c r="L53" s="39">
        <v>31.4</v>
      </c>
      <c r="M53" s="39">
        <v>34</v>
      </c>
      <c r="N53" s="39">
        <v>31.7</v>
      </c>
      <c r="O53" s="39">
        <v>30.9</v>
      </c>
      <c r="P53" s="39">
        <v>32.4</v>
      </c>
      <c r="Q53" s="39">
        <v>30.6</v>
      </c>
      <c r="R53" s="39">
        <v>34.9</v>
      </c>
      <c r="S53" s="39">
        <v>30.7</v>
      </c>
      <c r="T53" s="39">
        <v>32.9</v>
      </c>
      <c r="U53" s="39">
        <v>31.6</v>
      </c>
      <c r="V53" s="5">
        <f t="shared" si="9"/>
        <v>32.15</v>
      </c>
      <c r="W53" s="4">
        <f t="shared" si="10"/>
        <v>0.37889392454961068</v>
      </c>
      <c r="X53" s="2">
        <f t="shared" si="11"/>
        <v>30.6</v>
      </c>
      <c r="Y53" s="3">
        <f t="shared" si="12"/>
        <v>31.274999999999999</v>
      </c>
      <c r="Z53" s="2">
        <f t="shared" si="13"/>
        <v>31.9</v>
      </c>
      <c r="AA53" s="3">
        <f t="shared" si="14"/>
        <v>32.674999999999997</v>
      </c>
      <c r="AB53" s="3">
        <f t="shared" si="15"/>
        <v>34.9</v>
      </c>
      <c r="AC53" s="3">
        <f t="shared" si="16"/>
        <v>0.88059096916407653</v>
      </c>
      <c r="AD53" s="3">
        <f t="shared" si="17"/>
        <v>0.33901819118496768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13.071999999999999</v>
      </c>
      <c r="J54" s="39">
        <v>32.9</v>
      </c>
      <c r="K54" s="39">
        <v>31.8</v>
      </c>
      <c r="L54" s="39">
        <v>30.2</v>
      </c>
      <c r="M54" s="39">
        <v>30.8</v>
      </c>
      <c r="N54" s="39">
        <v>30.7</v>
      </c>
      <c r="O54" s="39">
        <v>33.4</v>
      </c>
      <c r="P54" s="39">
        <v>33</v>
      </c>
      <c r="Q54" s="39">
        <v>31.2</v>
      </c>
      <c r="R54" s="39">
        <v>32.9</v>
      </c>
      <c r="S54" s="39">
        <v>32</v>
      </c>
      <c r="T54" s="39">
        <v>32.6</v>
      </c>
      <c r="U54" s="39">
        <v>30.7</v>
      </c>
      <c r="V54" s="5">
        <f t="shared" si="9"/>
        <v>31.849999999999998</v>
      </c>
      <c r="W54" s="4">
        <f t="shared" si="10"/>
        <v>0.3187332883319674</v>
      </c>
      <c r="X54" s="2">
        <f t="shared" si="11"/>
        <v>30.2</v>
      </c>
      <c r="Y54" s="3">
        <f t="shared" si="12"/>
        <v>30.774999999999999</v>
      </c>
      <c r="Z54" s="2">
        <f t="shared" si="13"/>
        <v>31.9</v>
      </c>
      <c r="AA54" s="3">
        <f t="shared" si="14"/>
        <v>32.9</v>
      </c>
      <c r="AB54" s="3">
        <f t="shared" si="15"/>
        <v>33.4</v>
      </c>
      <c r="AC54" s="3">
        <f t="shared" si="16"/>
        <v>-7.9506645297763481E-2</v>
      </c>
      <c r="AD54" s="3">
        <f t="shared" si="17"/>
        <v>-1.6399844073312244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13.057</v>
      </c>
      <c r="J55" s="39">
        <v>31.1</v>
      </c>
      <c r="K55" s="39">
        <v>31.3</v>
      </c>
      <c r="L55" s="39">
        <v>31.3</v>
      </c>
      <c r="M55" s="39">
        <v>32.299999999999997</v>
      </c>
      <c r="N55" s="39">
        <v>34</v>
      </c>
      <c r="O55" s="39">
        <v>32.6</v>
      </c>
      <c r="P55" s="39">
        <v>32.299999999999997</v>
      </c>
      <c r="Q55" s="39">
        <v>33.700000000000003</v>
      </c>
      <c r="R55" s="39">
        <v>32.799999999999997</v>
      </c>
      <c r="S55" s="39">
        <v>32.799999999999997</v>
      </c>
      <c r="T55" s="39">
        <v>32.1</v>
      </c>
      <c r="U55" s="39">
        <v>32.700000000000003</v>
      </c>
      <c r="V55" s="5">
        <f t="shared" si="9"/>
        <v>32.416666666666664</v>
      </c>
      <c r="W55" s="4">
        <f t="shared" si="10"/>
        <v>0.2599047999758855</v>
      </c>
      <c r="X55" s="2">
        <f t="shared" si="11"/>
        <v>31.1</v>
      </c>
      <c r="Y55" s="3">
        <f t="shared" si="12"/>
        <v>31.900000000000002</v>
      </c>
      <c r="Z55" s="2">
        <f t="shared" si="13"/>
        <v>32.450000000000003</v>
      </c>
      <c r="AA55" s="3">
        <f t="shared" si="14"/>
        <v>32.799999999999997</v>
      </c>
      <c r="AB55" s="3">
        <f t="shared" si="15"/>
        <v>34</v>
      </c>
      <c r="AC55" s="3">
        <f t="shared" si="16"/>
        <v>0.16772957785197021</v>
      </c>
      <c r="AD55" s="3">
        <f t="shared" si="17"/>
        <v>-0.39454868023407608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13.192</v>
      </c>
      <c r="J56" s="39">
        <v>33.5</v>
      </c>
      <c r="K56" s="39">
        <v>34</v>
      </c>
      <c r="L56" s="39">
        <v>34.299999999999997</v>
      </c>
      <c r="M56" s="39">
        <v>35.9</v>
      </c>
      <c r="N56" s="39">
        <v>33.200000000000003</v>
      </c>
      <c r="O56" s="39">
        <v>35.299999999999997</v>
      </c>
      <c r="P56" s="39">
        <v>33.1</v>
      </c>
      <c r="Q56" s="39">
        <v>33.799999999999997</v>
      </c>
      <c r="R56" s="39">
        <v>34.5</v>
      </c>
      <c r="S56" s="39">
        <v>33.799999999999997</v>
      </c>
      <c r="T56" s="39">
        <v>31.5</v>
      </c>
      <c r="U56" s="39">
        <v>33.9</v>
      </c>
      <c r="V56" s="5">
        <f t="shared" si="9"/>
        <v>33.9</v>
      </c>
      <c r="W56" s="4">
        <f t="shared" si="10"/>
        <v>0.32051095570553056</v>
      </c>
      <c r="X56" s="2">
        <f t="shared" si="11"/>
        <v>31.5</v>
      </c>
      <c r="Y56" s="3">
        <f t="shared" si="12"/>
        <v>33.424999999999997</v>
      </c>
      <c r="Z56" s="2">
        <f t="shared" si="13"/>
        <v>33.849999999999994</v>
      </c>
      <c r="AA56" s="3">
        <f t="shared" si="14"/>
        <v>34.349999999999994</v>
      </c>
      <c r="AB56" s="3">
        <f t="shared" si="15"/>
        <v>35.9</v>
      </c>
      <c r="AC56" s="3">
        <f t="shared" si="16"/>
        <v>-0.29650429876352441</v>
      </c>
      <c r="AD56" s="3">
        <f t="shared" si="17"/>
        <v>1.5506112894945296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13.207000000000001</v>
      </c>
      <c r="J57" s="39">
        <v>31.3</v>
      </c>
      <c r="K57" s="39">
        <v>32.299999999999997</v>
      </c>
      <c r="L57" s="39">
        <v>38.200000000000003</v>
      </c>
      <c r="M57" s="39">
        <v>30.3</v>
      </c>
      <c r="N57" s="39">
        <v>31.5</v>
      </c>
      <c r="O57" s="39">
        <v>32.9</v>
      </c>
      <c r="P57" s="39">
        <v>37.1</v>
      </c>
      <c r="Q57" s="39">
        <v>32.700000000000003</v>
      </c>
      <c r="R57" s="39">
        <v>33.4</v>
      </c>
      <c r="S57" s="39">
        <v>33.799999999999997</v>
      </c>
      <c r="T57" s="39">
        <v>31.9</v>
      </c>
      <c r="U57" s="39">
        <v>32.9</v>
      </c>
      <c r="V57" s="5">
        <f t="shared" si="9"/>
        <v>33.191666666666663</v>
      </c>
      <c r="W57" s="4">
        <f t="shared" si="10"/>
        <v>0.66542972369117803</v>
      </c>
      <c r="X57" s="2">
        <f t="shared" si="11"/>
        <v>30.3</v>
      </c>
      <c r="Y57" s="3">
        <f t="shared" si="12"/>
        <v>31.799999999999997</v>
      </c>
      <c r="Z57" s="2">
        <f t="shared" si="13"/>
        <v>32.799999999999997</v>
      </c>
      <c r="AA57" s="3">
        <f t="shared" si="14"/>
        <v>33.5</v>
      </c>
      <c r="AB57" s="3">
        <f t="shared" si="15"/>
        <v>38.200000000000003</v>
      </c>
      <c r="AC57" s="3">
        <f t="shared" si="16"/>
        <v>1.3069332209787912</v>
      </c>
      <c r="AD57" s="3">
        <f t="shared" si="17"/>
        <v>1.3080122349801977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13.222</v>
      </c>
      <c r="J58" s="39">
        <v>32.1</v>
      </c>
      <c r="K58" s="39">
        <v>30.9</v>
      </c>
      <c r="L58" s="39">
        <v>31.3</v>
      </c>
      <c r="M58" s="39">
        <v>31.9</v>
      </c>
      <c r="N58" s="39">
        <v>32.9</v>
      </c>
      <c r="O58" s="39">
        <v>30.7</v>
      </c>
      <c r="P58" s="39">
        <v>31.8</v>
      </c>
      <c r="Q58" s="39">
        <v>31.8</v>
      </c>
      <c r="R58" s="39">
        <v>32.299999999999997</v>
      </c>
      <c r="S58" s="39">
        <v>32.1</v>
      </c>
      <c r="T58" s="39">
        <v>31.8</v>
      </c>
      <c r="U58" s="39">
        <v>32.200000000000003</v>
      </c>
      <c r="V58" s="5">
        <f t="shared" si="9"/>
        <v>31.816666666666666</v>
      </c>
      <c r="W58" s="4">
        <f t="shared" si="10"/>
        <v>0.17573798218893491</v>
      </c>
      <c r="X58" s="2">
        <f t="shared" si="11"/>
        <v>30.7</v>
      </c>
      <c r="Y58" s="3">
        <f t="shared" si="12"/>
        <v>31.675000000000001</v>
      </c>
      <c r="Z58" s="2">
        <f t="shared" si="13"/>
        <v>31.85</v>
      </c>
      <c r="AA58" s="3">
        <f t="shared" si="14"/>
        <v>32.125</v>
      </c>
      <c r="AB58" s="3">
        <f t="shared" si="15"/>
        <v>32.9</v>
      </c>
      <c r="AC58" s="3">
        <f t="shared" si="16"/>
        <v>-0.39353639663125656</v>
      </c>
      <c r="AD58" s="3">
        <f t="shared" si="17"/>
        <v>0.32474706313777091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13.236000000000001</v>
      </c>
      <c r="J59" s="39">
        <v>34.9</v>
      </c>
      <c r="K59" s="39">
        <v>33.799999999999997</v>
      </c>
      <c r="L59" s="39">
        <v>34</v>
      </c>
      <c r="M59" s="39">
        <v>33.6</v>
      </c>
      <c r="N59" s="39">
        <v>32.9</v>
      </c>
      <c r="O59" s="39">
        <v>33.200000000000003</v>
      </c>
      <c r="P59" s="39">
        <v>31.5</v>
      </c>
      <c r="Q59" s="39">
        <v>32.6</v>
      </c>
      <c r="R59" s="39">
        <v>33</v>
      </c>
      <c r="S59" s="39">
        <v>33.700000000000003</v>
      </c>
      <c r="T59" s="39">
        <v>32.200000000000003</v>
      </c>
      <c r="U59" s="39">
        <v>33.9</v>
      </c>
      <c r="V59" s="5">
        <f t="shared" si="9"/>
        <v>33.274999999999999</v>
      </c>
      <c r="W59" s="4">
        <f t="shared" si="10"/>
        <v>0.26259918760981199</v>
      </c>
      <c r="X59" s="2">
        <f t="shared" si="11"/>
        <v>31.5</v>
      </c>
      <c r="Y59" s="3">
        <f t="shared" si="12"/>
        <v>32.825000000000003</v>
      </c>
      <c r="Z59" s="2">
        <f t="shared" si="13"/>
        <v>33.400000000000006</v>
      </c>
      <c r="AA59" s="3">
        <f t="shared" si="14"/>
        <v>33.824999999999996</v>
      </c>
      <c r="AB59" s="3">
        <f t="shared" si="15"/>
        <v>34.9</v>
      </c>
      <c r="AC59" s="3">
        <f t="shared" si="16"/>
        <v>-0.29624021004583051</v>
      </c>
      <c r="AD59" s="3">
        <f t="shared" si="17"/>
        <v>0.34274505443625891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13.250999999999999</v>
      </c>
      <c r="J60" s="39">
        <v>34.6</v>
      </c>
      <c r="K60" s="39">
        <v>31.5</v>
      </c>
      <c r="L60" s="39">
        <v>34.9</v>
      </c>
      <c r="M60" s="39">
        <v>36.4</v>
      </c>
      <c r="N60" s="39">
        <v>31.8</v>
      </c>
      <c r="O60" s="39">
        <v>33.5</v>
      </c>
      <c r="P60" s="39">
        <v>33.1</v>
      </c>
      <c r="Q60" s="39">
        <v>30.7</v>
      </c>
      <c r="R60" s="39">
        <v>32.1</v>
      </c>
      <c r="S60" s="39">
        <v>33.4</v>
      </c>
      <c r="T60" s="39">
        <v>31.9</v>
      </c>
      <c r="U60" s="39">
        <v>31</v>
      </c>
      <c r="V60" s="5">
        <f t="shared" si="9"/>
        <v>32.908333333333331</v>
      </c>
      <c r="W60" s="4">
        <f t="shared" si="10"/>
        <v>0.50037233611329346</v>
      </c>
      <c r="X60" s="2">
        <f t="shared" si="11"/>
        <v>30.7</v>
      </c>
      <c r="Y60" s="3">
        <f t="shared" si="12"/>
        <v>31.725000000000001</v>
      </c>
      <c r="Z60" s="2">
        <f t="shared" si="13"/>
        <v>32.6</v>
      </c>
      <c r="AA60" s="3">
        <f t="shared" si="14"/>
        <v>33.774999999999999</v>
      </c>
      <c r="AB60" s="3">
        <f t="shared" si="15"/>
        <v>36.4</v>
      </c>
      <c r="AC60" s="3">
        <f t="shared" si="16"/>
        <v>0.67486784021694579</v>
      </c>
      <c r="AD60" s="3">
        <f t="shared" si="17"/>
        <v>-0.25065068650968891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13.265000000000001</v>
      </c>
      <c r="J61" s="39">
        <v>33</v>
      </c>
      <c r="K61" s="39">
        <v>33</v>
      </c>
      <c r="L61" s="39">
        <v>30.9</v>
      </c>
      <c r="M61" s="39">
        <v>32.4</v>
      </c>
      <c r="N61" s="39">
        <v>33.799999999999997</v>
      </c>
      <c r="O61" s="39">
        <v>33.4</v>
      </c>
      <c r="P61" s="39">
        <v>32.299999999999997</v>
      </c>
      <c r="Q61" s="39">
        <v>34</v>
      </c>
      <c r="R61" s="39">
        <v>33.200000000000003</v>
      </c>
      <c r="S61" s="39">
        <v>33</v>
      </c>
      <c r="T61" s="39">
        <v>32.1</v>
      </c>
      <c r="U61" s="39">
        <v>33.700000000000003</v>
      </c>
      <c r="V61" s="5">
        <f t="shared" si="9"/>
        <v>32.9</v>
      </c>
      <c r="W61" s="4">
        <f t="shared" si="10"/>
        <v>0.25045413298101671</v>
      </c>
      <c r="X61" s="2">
        <f t="shared" si="11"/>
        <v>30.9</v>
      </c>
      <c r="Y61" s="3">
        <f t="shared" si="12"/>
        <v>32.375</v>
      </c>
      <c r="Z61" s="2">
        <f t="shared" si="13"/>
        <v>33</v>
      </c>
      <c r="AA61" s="3">
        <f t="shared" si="14"/>
        <v>33.475000000000001</v>
      </c>
      <c r="AB61" s="3">
        <f t="shared" si="15"/>
        <v>34</v>
      </c>
      <c r="AC61" s="3">
        <f t="shared" si="16"/>
        <v>-1.0233143773610036</v>
      </c>
      <c r="AD61" s="3">
        <f t="shared" si="17"/>
        <v>1.3070153329132461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13.282</v>
      </c>
      <c r="J62" s="39">
        <v>31.9</v>
      </c>
      <c r="K62" s="39">
        <v>31.3</v>
      </c>
      <c r="L62" s="39">
        <v>32.700000000000003</v>
      </c>
      <c r="M62" s="39">
        <v>32.700000000000003</v>
      </c>
      <c r="N62" s="39">
        <v>32.799999999999997</v>
      </c>
      <c r="O62" s="39">
        <v>31.5</v>
      </c>
      <c r="P62" s="39">
        <v>31</v>
      </c>
      <c r="Q62" s="39">
        <v>32.6</v>
      </c>
      <c r="R62" s="39">
        <v>30.1</v>
      </c>
      <c r="S62" s="39">
        <v>33.299999999999997</v>
      </c>
      <c r="T62" s="39">
        <v>30.3</v>
      </c>
      <c r="U62" s="39">
        <v>32.200000000000003</v>
      </c>
      <c r="V62" s="5">
        <f t="shared" si="9"/>
        <v>31.866666666666674</v>
      </c>
      <c r="W62" s="4">
        <f t="shared" si="10"/>
        <v>0.29831174799175936</v>
      </c>
      <c r="X62" s="2">
        <f t="shared" si="11"/>
        <v>30.1</v>
      </c>
      <c r="Y62" s="3">
        <f t="shared" si="12"/>
        <v>31.225000000000001</v>
      </c>
      <c r="Z62" s="2">
        <f t="shared" si="13"/>
        <v>32.049999999999997</v>
      </c>
      <c r="AA62" s="3">
        <f t="shared" si="14"/>
        <v>32.700000000000003</v>
      </c>
      <c r="AB62" s="3">
        <f t="shared" si="15"/>
        <v>33.299999999999997</v>
      </c>
      <c r="AC62" s="3">
        <f t="shared" si="16"/>
        <v>-0.4838920189105258</v>
      </c>
      <c r="AD62" s="3">
        <f t="shared" si="17"/>
        <v>-0.89711193940430922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13.295999999999999</v>
      </c>
      <c r="J63" s="39">
        <v>34.1</v>
      </c>
      <c r="K63" s="39">
        <v>32.4</v>
      </c>
      <c r="L63" s="39">
        <v>34.6</v>
      </c>
      <c r="M63" s="39">
        <v>31.8</v>
      </c>
      <c r="N63" s="39">
        <v>31.8</v>
      </c>
      <c r="O63" s="39">
        <v>33.9</v>
      </c>
      <c r="P63" s="39">
        <v>33.799999999999997</v>
      </c>
      <c r="Q63" s="39">
        <v>33.4</v>
      </c>
      <c r="R63" s="39">
        <v>33</v>
      </c>
      <c r="S63" s="39">
        <v>33</v>
      </c>
      <c r="T63" s="39">
        <v>33.200000000000003</v>
      </c>
      <c r="U63" s="39">
        <v>34.9</v>
      </c>
      <c r="V63" s="5">
        <f t="shared" si="9"/>
        <v>33.324999999999996</v>
      </c>
      <c r="W63" s="4">
        <f t="shared" si="10"/>
        <v>0.28870793672372902</v>
      </c>
      <c r="X63" s="2">
        <f t="shared" si="11"/>
        <v>31.8</v>
      </c>
      <c r="Y63" s="3">
        <f t="shared" si="12"/>
        <v>32.85</v>
      </c>
      <c r="Z63" s="2">
        <f t="shared" si="13"/>
        <v>33.299999999999997</v>
      </c>
      <c r="AA63" s="3">
        <f t="shared" si="14"/>
        <v>33.950000000000003</v>
      </c>
      <c r="AB63" s="3">
        <f t="shared" si="15"/>
        <v>34.9</v>
      </c>
      <c r="AC63" s="3">
        <f t="shared" si="16"/>
        <v>-0.13221401538841734</v>
      </c>
      <c r="AD63" s="3">
        <f t="shared" si="17"/>
        <v>-0.74324893936388259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13.44</v>
      </c>
      <c r="J64" s="39">
        <v>32.5</v>
      </c>
      <c r="K64" s="39">
        <v>31.8</v>
      </c>
      <c r="L64" s="39">
        <v>32</v>
      </c>
      <c r="M64" s="39">
        <v>31.3</v>
      </c>
      <c r="N64" s="39">
        <v>30.9</v>
      </c>
      <c r="O64" s="39">
        <v>32.6</v>
      </c>
      <c r="P64" s="39">
        <v>31.8</v>
      </c>
      <c r="Q64" s="39">
        <v>31.5</v>
      </c>
      <c r="R64" s="39">
        <v>31.4</v>
      </c>
      <c r="S64" s="39">
        <v>31.3</v>
      </c>
      <c r="T64" s="39">
        <v>31</v>
      </c>
      <c r="U64" s="39">
        <v>31.5</v>
      </c>
      <c r="V64" s="5">
        <f t="shared" si="9"/>
        <v>31.633333333333336</v>
      </c>
      <c r="W64" s="4">
        <f t="shared" si="10"/>
        <v>0.15390538875188461</v>
      </c>
      <c r="X64" s="2">
        <f t="shared" si="11"/>
        <v>30.9</v>
      </c>
      <c r="Y64" s="3">
        <f t="shared" si="12"/>
        <v>31.3</v>
      </c>
      <c r="Z64" s="2">
        <f t="shared" si="13"/>
        <v>31.5</v>
      </c>
      <c r="AA64" s="3">
        <f t="shared" si="14"/>
        <v>31.85</v>
      </c>
      <c r="AB64" s="3">
        <f t="shared" si="15"/>
        <v>32.6</v>
      </c>
      <c r="AC64" s="3">
        <f t="shared" si="16"/>
        <v>0.62836817107968379</v>
      </c>
      <c r="AD64" s="3">
        <f t="shared" si="17"/>
        <v>-0.25872086415320927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13.455</v>
      </c>
      <c r="J65" s="39">
        <v>30.1</v>
      </c>
      <c r="K65" s="39">
        <v>29.8</v>
      </c>
      <c r="L65" s="39">
        <v>31.1</v>
      </c>
      <c r="M65" s="39">
        <v>31.9</v>
      </c>
      <c r="N65" s="39">
        <v>29.6</v>
      </c>
      <c r="O65" s="39">
        <v>29.8</v>
      </c>
      <c r="P65" s="39">
        <v>31.6</v>
      </c>
      <c r="Q65" s="39">
        <v>30.1</v>
      </c>
      <c r="R65" s="39">
        <v>32.799999999999997</v>
      </c>
      <c r="S65" s="39">
        <v>32</v>
      </c>
      <c r="T65" s="39">
        <v>32.200000000000003</v>
      </c>
      <c r="U65" s="39">
        <v>32.299999999999997</v>
      </c>
      <c r="V65" s="5">
        <f t="shared" si="9"/>
        <v>31.108333333333334</v>
      </c>
      <c r="W65" s="4">
        <f t="shared" si="10"/>
        <v>0.33562658121817746</v>
      </c>
      <c r="X65" s="2">
        <f t="shared" si="11"/>
        <v>29.6</v>
      </c>
      <c r="Y65" s="3">
        <f t="shared" si="12"/>
        <v>30.025000000000002</v>
      </c>
      <c r="Z65" s="2">
        <f t="shared" si="13"/>
        <v>31.35</v>
      </c>
      <c r="AA65" s="3">
        <f t="shared" si="14"/>
        <v>32.049999999999997</v>
      </c>
      <c r="AB65" s="3">
        <f t="shared" si="15"/>
        <v>32.799999999999997</v>
      </c>
      <c r="AC65" s="3">
        <f t="shared" si="16"/>
        <v>-5.5721197936142976E-2</v>
      </c>
      <c r="AD65" s="3">
        <f t="shared" si="17"/>
        <v>-1.8072346635530261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13.472</v>
      </c>
      <c r="J66" s="39">
        <v>30.1</v>
      </c>
      <c r="K66" s="39">
        <v>31.5</v>
      </c>
      <c r="L66" s="39">
        <v>27.2</v>
      </c>
      <c r="M66" s="39">
        <v>27.9</v>
      </c>
      <c r="N66" s="39">
        <v>33</v>
      </c>
      <c r="O66" s="39">
        <v>31.8</v>
      </c>
      <c r="P66" s="39">
        <v>30.2</v>
      </c>
      <c r="Q66" s="39">
        <v>31.4</v>
      </c>
      <c r="R66" s="39">
        <v>30.7</v>
      </c>
      <c r="S66" s="39">
        <v>29.7</v>
      </c>
      <c r="T66" s="39">
        <v>30.8</v>
      </c>
      <c r="U66" s="39">
        <v>31.1</v>
      </c>
      <c r="V66" s="5">
        <f t="shared" si="9"/>
        <v>30.450000000000003</v>
      </c>
      <c r="W66" s="4">
        <f t="shared" si="10"/>
        <v>0.46669372215943772</v>
      </c>
      <c r="X66" s="2">
        <f t="shared" si="11"/>
        <v>27.2</v>
      </c>
      <c r="Y66" s="3">
        <f t="shared" si="12"/>
        <v>30</v>
      </c>
      <c r="Z66" s="2">
        <f t="shared" si="13"/>
        <v>30.75</v>
      </c>
      <c r="AA66" s="3">
        <f t="shared" si="14"/>
        <v>31.424999999999997</v>
      </c>
      <c r="AB66" s="3">
        <f t="shared" si="15"/>
        <v>33</v>
      </c>
      <c r="AC66" s="3">
        <f t="shared" si="16"/>
        <v>-0.77453682301827209</v>
      </c>
      <c r="AD66" s="3">
        <f t="shared" si="17"/>
        <v>0.62664765620668739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13.487</v>
      </c>
      <c r="J67" s="39">
        <v>30.9</v>
      </c>
      <c r="K67" s="39">
        <v>33.1</v>
      </c>
      <c r="L67" s="39">
        <v>34.799999999999997</v>
      </c>
      <c r="M67" s="39">
        <v>30</v>
      </c>
      <c r="N67" s="39">
        <v>30.1</v>
      </c>
      <c r="O67" s="39">
        <v>31.3</v>
      </c>
      <c r="P67" s="39">
        <v>33.5</v>
      </c>
      <c r="Q67" s="39">
        <v>32.1</v>
      </c>
      <c r="R67" s="39">
        <v>31.4</v>
      </c>
      <c r="S67" s="39">
        <v>33.1</v>
      </c>
      <c r="T67" s="39">
        <v>31.7</v>
      </c>
      <c r="U67" s="39">
        <v>32.700000000000003</v>
      </c>
      <c r="V67" s="5">
        <f t="shared" si="9"/>
        <v>32.05833333333333</v>
      </c>
      <c r="W67" s="4">
        <f t="shared" si="10"/>
        <v>0.41495862030527392</v>
      </c>
      <c r="X67" s="2">
        <f t="shared" si="11"/>
        <v>30</v>
      </c>
      <c r="Y67" s="3">
        <f t="shared" si="12"/>
        <v>31.2</v>
      </c>
      <c r="Z67" s="2">
        <f t="shared" si="13"/>
        <v>31.9</v>
      </c>
      <c r="AA67" s="3">
        <f t="shared" si="14"/>
        <v>33.1</v>
      </c>
      <c r="AB67" s="3">
        <f t="shared" si="15"/>
        <v>34.799999999999997</v>
      </c>
      <c r="AC67" s="3">
        <f t="shared" si="16"/>
        <v>0.27829179506772017</v>
      </c>
      <c r="AD67" s="3">
        <f t="shared" si="17"/>
        <v>-0.4039686510328262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13.504</v>
      </c>
      <c r="J68" s="39">
        <v>32.5</v>
      </c>
      <c r="K68" s="39">
        <v>32.6</v>
      </c>
      <c r="L68" s="39">
        <v>31.6</v>
      </c>
      <c r="M68" s="39">
        <v>31.2</v>
      </c>
      <c r="N68" s="39">
        <v>31.1</v>
      </c>
      <c r="O68" s="39">
        <v>32</v>
      </c>
      <c r="P68" s="39">
        <v>32.200000000000003</v>
      </c>
      <c r="Q68" s="39">
        <v>31.8</v>
      </c>
      <c r="R68" s="39">
        <v>33.299999999999997</v>
      </c>
      <c r="S68" s="39">
        <v>31.8</v>
      </c>
      <c r="T68" s="39">
        <v>31.6</v>
      </c>
      <c r="U68" s="39">
        <v>35.9</v>
      </c>
      <c r="V68" s="5">
        <f t="shared" si="9"/>
        <v>32.300000000000004</v>
      </c>
      <c r="W68" s="4">
        <f t="shared" si="10"/>
        <v>0.37254245232976957</v>
      </c>
      <c r="X68" s="2">
        <f t="shared" si="11"/>
        <v>31.1</v>
      </c>
      <c r="Y68" s="3">
        <f t="shared" si="12"/>
        <v>31.6</v>
      </c>
      <c r="Z68" s="2">
        <f t="shared" si="13"/>
        <v>31.9</v>
      </c>
      <c r="AA68" s="3">
        <f t="shared" si="14"/>
        <v>32.524999999999999</v>
      </c>
      <c r="AB68" s="3">
        <f t="shared" si="15"/>
        <v>35.9</v>
      </c>
      <c r="AC68" s="3">
        <f t="shared" si="16"/>
        <v>2.2164231941514241</v>
      </c>
      <c r="AD68" s="3">
        <f t="shared" si="17"/>
        <v>5.8017286092942193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13.518000000000001</v>
      </c>
      <c r="J69" s="39">
        <v>32.9</v>
      </c>
      <c r="K69" s="39">
        <v>32.1</v>
      </c>
      <c r="L69" s="39">
        <v>30.2</v>
      </c>
      <c r="M69" s="39">
        <v>31.8</v>
      </c>
      <c r="N69" s="39">
        <v>31.7</v>
      </c>
      <c r="O69" s="39">
        <v>32.1</v>
      </c>
      <c r="P69" s="39">
        <v>30.5</v>
      </c>
      <c r="Q69" s="39">
        <v>30.6</v>
      </c>
      <c r="R69" s="39">
        <v>33.299999999999997</v>
      </c>
      <c r="S69" s="39">
        <v>31.4</v>
      </c>
      <c r="T69" s="39">
        <v>33.5</v>
      </c>
      <c r="U69" s="39">
        <v>30.3</v>
      </c>
      <c r="V69" s="5">
        <f t="shared" si="9"/>
        <v>31.7</v>
      </c>
      <c r="W69" s="4">
        <f t="shared" si="10"/>
        <v>0.33166247903553986</v>
      </c>
      <c r="X69" s="2">
        <f t="shared" si="11"/>
        <v>30.2</v>
      </c>
      <c r="Y69" s="3">
        <f t="shared" si="12"/>
        <v>30.575000000000003</v>
      </c>
      <c r="Z69" s="2">
        <f t="shared" si="13"/>
        <v>31.75</v>
      </c>
      <c r="AA69" s="3">
        <f t="shared" si="14"/>
        <v>32.299999999999997</v>
      </c>
      <c r="AB69" s="3">
        <f t="shared" si="15"/>
        <v>33.5</v>
      </c>
      <c r="AC69" s="3">
        <f t="shared" si="16"/>
        <v>0.18558692246516639</v>
      </c>
      <c r="AD69" s="3">
        <f t="shared" si="17"/>
        <v>-1.17320310543451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13.532999999999999</v>
      </c>
      <c r="J70" s="39">
        <v>31.6</v>
      </c>
      <c r="K70" s="39">
        <v>32.1</v>
      </c>
      <c r="L70" s="39">
        <v>31.4</v>
      </c>
      <c r="M70" s="39">
        <v>31.2</v>
      </c>
      <c r="N70" s="39">
        <v>31.6</v>
      </c>
      <c r="O70" s="39">
        <v>32.700000000000003</v>
      </c>
      <c r="P70" s="39">
        <v>34</v>
      </c>
      <c r="Q70" s="39">
        <v>31.9</v>
      </c>
      <c r="R70" s="39">
        <v>31.9</v>
      </c>
      <c r="S70" s="39">
        <v>32.299999999999997</v>
      </c>
      <c r="T70" s="39">
        <v>31</v>
      </c>
      <c r="U70" s="39">
        <v>31.1</v>
      </c>
      <c r="V70" s="5">
        <f t="shared" si="9"/>
        <v>31.900000000000002</v>
      </c>
      <c r="W70" s="4">
        <f t="shared" si="10"/>
        <v>0.24026500520731842</v>
      </c>
      <c r="X70" s="2">
        <f t="shared" si="11"/>
        <v>31</v>
      </c>
      <c r="Y70" s="3">
        <f t="shared" si="12"/>
        <v>31.349999999999998</v>
      </c>
      <c r="Z70" s="2">
        <f t="shared" si="13"/>
        <v>31.75</v>
      </c>
      <c r="AA70" s="3">
        <f t="shared" si="14"/>
        <v>32.15</v>
      </c>
      <c r="AB70" s="3">
        <f t="shared" si="15"/>
        <v>34</v>
      </c>
      <c r="AC70" s="3">
        <f t="shared" si="16"/>
        <v>1.5291989027404631</v>
      </c>
      <c r="AD70" s="3">
        <f t="shared" si="17"/>
        <v>2.9509213907316463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13.547000000000001</v>
      </c>
      <c r="J71" s="39">
        <v>35.1</v>
      </c>
      <c r="K71" s="39">
        <v>32.5</v>
      </c>
      <c r="L71" s="39">
        <v>33.6</v>
      </c>
      <c r="M71" s="39">
        <v>32.5</v>
      </c>
      <c r="N71" s="39">
        <v>34</v>
      </c>
      <c r="O71" s="39">
        <v>32.4</v>
      </c>
      <c r="P71" s="39">
        <v>32.299999999999997</v>
      </c>
      <c r="Q71" s="39">
        <v>35.5</v>
      </c>
      <c r="R71" s="39">
        <v>32.6</v>
      </c>
      <c r="S71" s="39">
        <v>32.200000000000003</v>
      </c>
      <c r="T71" s="39">
        <v>32.5</v>
      </c>
      <c r="U71" s="39">
        <v>35</v>
      </c>
      <c r="V71" s="5">
        <f t="shared" si="9"/>
        <v>33.35</v>
      </c>
      <c r="W71" s="4">
        <f t="shared" si="10"/>
        <v>0.35834214224549554</v>
      </c>
      <c r="X71" s="2">
        <f t="shared" si="11"/>
        <v>32.200000000000003</v>
      </c>
      <c r="Y71" s="3">
        <f t="shared" si="12"/>
        <v>32.475000000000001</v>
      </c>
      <c r="Z71" s="2">
        <f t="shared" si="13"/>
        <v>32.549999999999997</v>
      </c>
      <c r="AA71" s="3">
        <f t="shared" si="14"/>
        <v>34.25</v>
      </c>
      <c r="AB71" s="3">
        <f t="shared" si="15"/>
        <v>35.5</v>
      </c>
      <c r="AC71" s="3">
        <f t="shared" si="16"/>
        <v>0.81442527330148717</v>
      </c>
      <c r="AD71" s="3">
        <f t="shared" si="17"/>
        <v>-1.1131474317139647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13.654</v>
      </c>
      <c r="J72" s="39">
        <v>32.1</v>
      </c>
      <c r="K72" s="39">
        <v>32.5</v>
      </c>
      <c r="L72" s="39">
        <v>32.200000000000003</v>
      </c>
      <c r="M72" s="39">
        <v>33.9</v>
      </c>
      <c r="N72" s="39">
        <v>37.5</v>
      </c>
      <c r="O72" s="39">
        <v>32.1</v>
      </c>
      <c r="P72" s="39">
        <v>32.799999999999997</v>
      </c>
      <c r="Q72" s="39">
        <v>33.6</v>
      </c>
      <c r="R72" s="39">
        <v>34.200000000000003</v>
      </c>
      <c r="S72" s="39">
        <v>34</v>
      </c>
      <c r="T72" s="39">
        <v>31.6</v>
      </c>
      <c r="U72" s="39">
        <v>35.799999999999997</v>
      </c>
      <c r="V72" s="5">
        <f t="shared" si="9"/>
        <v>33.524999999999999</v>
      </c>
      <c r="W72" s="4">
        <f t="shared" si="10"/>
        <v>0.49926081724521848</v>
      </c>
      <c r="X72" s="2">
        <f t="shared" si="11"/>
        <v>31.6</v>
      </c>
      <c r="Y72" s="3">
        <f t="shared" si="12"/>
        <v>32.175000000000004</v>
      </c>
      <c r="Z72" s="2">
        <f t="shared" si="13"/>
        <v>33.200000000000003</v>
      </c>
      <c r="AA72" s="3">
        <f t="shared" si="14"/>
        <v>34.049999999999997</v>
      </c>
      <c r="AB72" s="3">
        <f t="shared" si="15"/>
        <v>37.5</v>
      </c>
      <c r="AC72" s="3">
        <f t="shared" si="16"/>
        <v>1.2303787352037177</v>
      </c>
      <c r="AD72" s="3">
        <f t="shared" si="17"/>
        <v>1.3061282958694376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13.638</v>
      </c>
      <c r="J73" s="39">
        <v>32.299999999999997</v>
      </c>
      <c r="K73" s="39">
        <v>33</v>
      </c>
      <c r="L73" s="39">
        <v>33.1</v>
      </c>
      <c r="M73" s="39">
        <v>36.200000000000003</v>
      </c>
      <c r="N73" s="39">
        <v>34.1</v>
      </c>
      <c r="O73" s="39">
        <v>32.200000000000003</v>
      </c>
      <c r="P73" s="39">
        <v>33.6</v>
      </c>
      <c r="Q73" s="39">
        <v>33.200000000000003</v>
      </c>
      <c r="R73" s="39">
        <v>32.1</v>
      </c>
      <c r="S73" s="39">
        <v>32.4</v>
      </c>
      <c r="T73" s="39">
        <v>33.5</v>
      </c>
      <c r="U73" s="39">
        <v>32.799999999999997</v>
      </c>
      <c r="V73" s="5">
        <f t="shared" si="9"/>
        <v>33.208333333333336</v>
      </c>
      <c r="W73" s="4">
        <f t="shared" si="10"/>
        <v>0.32484456267419659</v>
      </c>
      <c r="X73" s="2">
        <f t="shared" si="11"/>
        <v>32.1</v>
      </c>
      <c r="Y73" s="3">
        <f t="shared" si="12"/>
        <v>32.375</v>
      </c>
      <c r="Z73" s="2">
        <f t="shared" si="13"/>
        <v>33.049999999999997</v>
      </c>
      <c r="AA73" s="3">
        <f t="shared" si="14"/>
        <v>33.524999999999999</v>
      </c>
      <c r="AB73" s="3">
        <f t="shared" si="15"/>
        <v>36.200000000000003</v>
      </c>
      <c r="AC73" s="3">
        <f t="shared" si="16"/>
        <v>1.8241264786006535</v>
      </c>
      <c r="AD73" s="3">
        <f t="shared" si="17"/>
        <v>4.2653284475917079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13.622999999999999</v>
      </c>
      <c r="J74" s="39">
        <v>32.5</v>
      </c>
      <c r="K74" s="39">
        <v>34.200000000000003</v>
      </c>
      <c r="L74" s="39">
        <v>34.299999999999997</v>
      </c>
      <c r="M74" s="39">
        <v>33.700000000000003</v>
      </c>
      <c r="N74" s="39">
        <v>32.700000000000003</v>
      </c>
      <c r="O74" s="39">
        <v>33.1</v>
      </c>
      <c r="P74" s="39">
        <v>38.799999999999997</v>
      </c>
      <c r="Q74" s="39">
        <v>34.200000000000003</v>
      </c>
      <c r="R74" s="39">
        <v>32.299999999999997</v>
      </c>
      <c r="S74" s="39">
        <v>32.700000000000003</v>
      </c>
      <c r="T74" s="39">
        <v>33.200000000000003</v>
      </c>
      <c r="U74" s="39">
        <v>31.4</v>
      </c>
      <c r="V74" s="5">
        <f t="shared" ref="V74:V81" si="18">AVERAGE(J74:U74)</f>
        <v>33.591666666666661</v>
      </c>
      <c r="W74" s="4">
        <f t="shared" ref="W74:W81" si="19">STDEV(J74:U74)/SQRT(COUNT(J74:U74))</f>
        <v>0.53674924077705721</v>
      </c>
      <c r="X74" s="2">
        <f t="shared" ref="X74:X81" si="20">MIN(J74:U74)</f>
        <v>31.4</v>
      </c>
      <c r="Y74" s="3">
        <f t="shared" ref="Y74:Y81" si="21">QUARTILE(J74:U74,1)</f>
        <v>32.650000000000006</v>
      </c>
      <c r="Z74" s="2">
        <f t="shared" ref="Z74:Z81" si="22">MEDIAN(J74:U74)</f>
        <v>33.150000000000006</v>
      </c>
      <c r="AA74" s="3">
        <f t="shared" ref="AA74:AA81" si="23">QUARTILE(J74:U74,3)</f>
        <v>34.200000000000003</v>
      </c>
      <c r="AB74" s="3">
        <f t="shared" ref="AB74:AB81" si="24">MAX(J74:U74)</f>
        <v>38.799999999999997</v>
      </c>
      <c r="AC74" s="3">
        <f t="shared" ref="AC74:AC81" si="25">SKEW(J74:U74)</f>
        <v>2.1470056680451073</v>
      </c>
      <c r="AD74" s="3">
        <f t="shared" ref="AD74:AD81" si="26">KURT(J74:U74)</f>
        <v>6.0523960353522543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13.606999999999999</v>
      </c>
      <c r="J75" s="39">
        <v>32.700000000000003</v>
      </c>
      <c r="K75" s="39">
        <v>31.2</v>
      </c>
      <c r="L75" s="39">
        <v>33.700000000000003</v>
      </c>
      <c r="M75" s="39">
        <v>32.700000000000003</v>
      </c>
      <c r="N75" s="39">
        <v>31.1</v>
      </c>
      <c r="O75" s="39">
        <v>31.5</v>
      </c>
      <c r="P75" s="39">
        <v>31.4</v>
      </c>
      <c r="Q75" s="39">
        <v>33.299999999999997</v>
      </c>
      <c r="R75" s="39">
        <v>32.9</v>
      </c>
      <c r="S75" s="39">
        <v>33.1</v>
      </c>
      <c r="T75" s="39">
        <v>33</v>
      </c>
      <c r="U75" s="39">
        <v>31.3</v>
      </c>
      <c r="V75" s="5">
        <f t="shared" si="18"/>
        <v>32.325000000000003</v>
      </c>
      <c r="W75" s="4">
        <f t="shared" si="19"/>
        <v>0.27334210998473901</v>
      </c>
      <c r="X75" s="2">
        <f t="shared" si="20"/>
        <v>31.1</v>
      </c>
      <c r="Y75" s="3">
        <f t="shared" si="21"/>
        <v>31.375</v>
      </c>
      <c r="Z75" s="2">
        <f t="shared" si="22"/>
        <v>32.700000000000003</v>
      </c>
      <c r="AA75" s="3">
        <f t="shared" si="23"/>
        <v>33.024999999999999</v>
      </c>
      <c r="AB75" s="3">
        <f t="shared" si="24"/>
        <v>33.700000000000003</v>
      </c>
      <c r="AC75" s="3">
        <f t="shared" si="25"/>
        <v>-0.14094646967369523</v>
      </c>
      <c r="AD75" s="3">
        <f t="shared" si="26"/>
        <v>-1.8088576481757208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13.592000000000001</v>
      </c>
      <c r="J76" s="39">
        <v>32.200000000000003</v>
      </c>
      <c r="K76" s="39">
        <v>33.6</v>
      </c>
      <c r="L76" s="39">
        <v>33.299999999999997</v>
      </c>
      <c r="M76" s="39">
        <v>33.200000000000003</v>
      </c>
      <c r="N76" s="39">
        <v>31.8</v>
      </c>
      <c r="O76" s="39">
        <v>31</v>
      </c>
      <c r="P76" s="39">
        <v>31.8</v>
      </c>
      <c r="Q76" s="39">
        <v>32.6</v>
      </c>
      <c r="R76" s="39">
        <v>32.700000000000003</v>
      </c>
      <c r="S76" s="39">
        <v>31.3</v>
      </c>
      <c r="T76" s="39">
        <v>32.799999999999997</v>
      </c>
      <c r="U76" s="39">
        <v>32.4</v>
      </c>
      <c r="V76" s="5">
        <f t="shared" si="18"/>
        <v>32.391666666666673</v>
      </c>
      <c r="W76" s="4">
        <f t="shared" si="19"/>
        <v>0.23207180619869197</v>
      </c>
      <c r="X76" s="2">
        <f t="shared" si="20"/>
        <v>31</v>
      </c>
      <c r="Y76" s="3">
        <f t="shared" si="21"/>
        <v>31.8</v>
      </c>
      <c r="Z76" s="2">
        <f t="shared" si="22"/>
        <v>32.5</v>
      </c>
      <c r="AA76" s="3">
        <f t="shared" si="23"/>
        <v>32.9</v>
      </c>
      <c r="AB76" s="3">
        <f t="shared" si="24"/>
        <v>33.6</v>
      </c>
      <c r="AC76" s="3">
        <f t="shared" si="25"/>
        <v>-0.26650261151324334</v>
      </c>
      <c r="AD76" s="3">
        <f t="shared" si="26"/>
        <v>-0.75277040531541184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13.577</v>
      </c>
      <c r="J77" s="39">
        <v>35.299999999999997</v>
      </c>
      <c r="K77" s="39">
        <v>34.5</v>
      </c>
      <c r="L77" s="39">
        <v>31.6</v>
      </c>
      <c r="M77" s="39">
        <v>33.799999999999997</v>
      </c>
      <c r="N77" s="39">
        <v>32.700000000000003</v>
      </c>
      <c r="O77" s="39">
        <v>32.700000000000003</v>
      </c>
      <c r="P77" s="39">
        <v>34</v>
      </c>
      <c r="Q77" s="39">
        <v>35.799999999999997</v>
      </c>
      <c r="R77" s="39">
        <v>33</v>
      </c>
      <c r="S77" s="39">
        <v>33.299999999999997</v>
      </c>
      <c r="T77" s="39">
        <v>34.9</v>
      </c>
      <c r="U77" s="39">
        <v>32.299999999999997</v>
      </c>
      <c r="V77" s="5">
        <f t="shared" si="18"/>
        <v>33.658333333333331</v>
      </c>
      <c r="W77" s="4">
        <f t="shared" si="19"/>
        <v>0.3708014116325431</v>
      </c>
      <c r="X77" s="2">
        <f t="shared" si="20"/>
        <v>31.6</v>
      </c>
      <c r="Y77" s="3">
        <f t="shared" si="21"/>
        <v>32.700000000000003</v>
      </c>
      <c r="Z77" s="2">
        <f t="shared" si="22"/>
        <v>33.549999999999997</v>
      </c>
      <c r="AA77" s="3">
        <f t="shared" si="23"/>
        <v>34.6</v>
      </c>
      <c r="AB77" s="3">
        <f t="shared" si="24"/>
        <v>35.799999999999997</v>
      </c>
      <c r="AC77" s="3">
        <f t="shared" si="25"/>
        <v>0.17926083394511474</v>
      </c>
      <c r="AD77" s="3">
        <f t="shared" si="26"/>
        <v>-0.88211750900054531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13.404</v>
      </c>
      <c r="J78" s="39">
        <v>31.4</v>
      </c>
      <c r="K78" s="39">
        <v>31.3</v>
      </c>
      <c r="L78" s="39">
        <v>31.3</v>
      </c>
      <c r="M78" s="39">
        <v>31.9</v>
      </c>
      <c r="N78" s="39">
        <v>32.200000000000003</v>
      </c>
      <c r="O78" s="39">
        <v>32.700000000000003</v>
      </c>
      <c r="P78" s="39">
        <v>31.8</v>
      </c>
      <c r="Q78" s="39">
        <v>32.200000000000003</v>
      </c>
      <c r="R78" s="39">
        <v>33.9</v>
      </c>
      <c r="S78" s="39">
        <v>31.8</v>
      </c>
      <c r="T78" s="39">
        <v>32</v>
      </c>
      <c r="U78" s="39">
        <v>32.299999999999997</v>
      </c>
      <c r="V78" s="5">
        <f t="shared" si="18"/>
        <v>32.06666666666667</v>
      </c>
      <c r="W78" s="4">
        <f t="shared" si="19"/>
        <v>0.20682789409984759</v>
      </c>
      <c r="X78" s="2">
        <f t="shared" si="20"/>
        <v>31.3</v>
      </c>
      <c r="Y78" s="3">
        <f t="shared" si="21"/>
        <v>31.7</v>
      </c>
      <c r="Z78" s="2">
        <f t="shared" si="22"/>
        <v>31.95</v>
      </c>
      <c r="AA78" s="3">
        <f t="shared" si="23"/>
        <v>32.225000000000001</v>
      </c>
      <c r="AB78" s="3">
        <f t="shared" si="24"/>
        <v>33.9</v>
      </c>
      <c r="AC78" s="3">
        <f t="shared" si="25"/>
        <v>1.5403413586400188</v>
      </c>
      <c r="AD78" s="3">
        <f t="shared" si="26"/>
        <v>3.3583357610511717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13.38</v>
      </c>
      <c r="J79" s="39">
        <v>35.9</v>
      </c>
      <c r="K79" s="39">
        <v>35.700000000000003</v>
      </c>
      <c r="L79" s="39">
        <v>35.700000000000003</v>
      </c>
      <c r="M79" s="39">
        <v>34.9</v>
      </c>
      <c r="N79" s="39">
        <v>35.200000000000003</v>
      </c>
      <c r="O79" s="39">
        <v>38.799999999999997</v>
      </c>
      <c r="P79" s="39">
        <v>34.6</v>
      </c>
      <c r="Q79" s="39">
        <v>35.6</v>
      </c>
      <c r="R79" s="39">
        <v>32.4</v>
      </c>
      <c r="S79" s="39">
        <v>35.5</v>
      </c>
      <c r="T79" s="39">
        <v>34.4</v>
      </c>
      <c r="U79" s="39">
        <v>34.4</v>
      </c>
      <c r="V79" s="5">
        <f t="shared" si="18"/>
        <v>35.258333333333326</v>
      </c>
      <c r="W79" s="4">
        <f t="shared" si="19"/>
        <v>0.4239886957707884</v>
      </c>
      <c r="X79" s="2">
        <f t="shared" si="20"/>
        <v>32.4</v>
      </c>
      <c r="Y79" s="3">
        <f t="shared" si="21"/>
        <v>34.549999999999997</v>
      </c>
      <c r="Z79" s="2">
        <f t="shared" si="22"/>
        <v>35.35</v>
      </c>
      <c r="AA79" s="3">
        <f t="shared" si="23"/>
        <v>35.700000000000003</v>
      </c>
      <c r="AB79" s="3">
        <f t="shared" si="24"/>
        <v>38.799999999999997</v>
      </c>
      <c r="AC79" s="3">
        <f t="shared" si="25"/>
        <v>0.6874565076278194</v>
      </c>
      <c r="AD79" s="3">
        <f t="shared" si="26"/>
        <v>3.60722390045333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13.349</v>
      </c>
      <c r="J80" s="39">
        <v>31.7</v>
      </c>
      <c r="K80" s="39">
        <v>31.8</v>
      </c>
      <c r="L80" s="39">
        <v>30.8</v>
      </c>
      <c r="M80" s="39">
        <v>30.1</v>
      </c>
      <c r="N80" s="39">
        <v>32.4</v>
      </c>
      <c r="O80" s="39">
        <v>31.7</v>
      </c>
      <c r="P80" s="39">
        <v>30.9</v>
      </c>
      <c r="Q80" s="39">
        <v>31.3</v>
      </c>
      <c r="R80" s="39">
        <v>32.799999999999997</v>
      </c>
      <c r="S80" s="39">
        <v>30.9</v>
      </c>
      <c r="T80" s="39">
        <v>31.1</v>
      </c>
      <c r="U80" s="39">
        <v>30.7</v>
      </c>
      <c r="V80" s="5">
        <f t="shared" si="18"/>
        <v>31.349999999999998</v>
      </c>
      <c r="W80" s="4">
        <f t="shared" si="19"/>
        <v>0.22036471146852432</v>
      </c>
      <c r="X80" s="2">
        <f t="shared" si="20"/>
        <v>30.1</v>
      </c>
      <c r="Y80" s="3">
        <f t="shared" si="21"/>
        <v>30.875</v>
      </c>
      <c r="Z80" s="2">
        <f t="shared" si="22"/>
        <v>31.200000000000003</v>
      </c>
      <c r="AA80" s="3">
        <f t="shared" si="23"/>
        <v>31.725000000000001</v>
      </c>
      <c r="AB80" s="3">
        <f t="shared" si="24"/>
        <v>32.799999999999997</v>
      </c>
      <c r="AC80" s="3">
        <f t="shared" si="25"/>
        <v>0.43922406823077792</v>
      </c>
      <c r="AD80" s="3">
        <f t="shared" si="26"/>
        <v>-8.6933199636880065E-2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13.324999999999999</v>
      </c>
      <c r="J81" s="39">
        <v>33.6</v>
      </c>
      <c r="K81" s="39">
        <v>35.799999999999997</v>
      </c>
      <c r="L81" s="39">
        <v>34.700000000000003</v>
      </c>
      <c r="M81" s="39">
        <v>36.1</v>
      </c>
      <c r="N81" s="39">
        <v>34.4</v>
      </c>
      <c r="O81" s="39">
        <v>35.6</v>
      </c>
      <c r="P81" s="39">
        <v>35.6</v>
      </c>
      <c r="Q81" s="39">
        <v>35.4</v>
      </c>
      <c r="R81" s="39">
        <v>35.200000000000003</v>
      </c>
      <c r="S81" s="39">
        <v>35.5</v>
      </c>
      <c r="T81" s="39">
        <v>32.9</v>
      </c>
      <c r="U81" s="39">
        <v>35.6</v>
      </c>
      <c r="V81" s="5">
        <f t="shared" si="18"/>
        <v>35.033333333333331</v>
      </c>
      <c r="W81" s="4">
        <f t="shared" si="19"/>
        <v>0.27779797906341441</v>
      </c>
      <c r="X81" s="2">
        <f t="shared" si="20"/>
        <v>32.9</v>
      </c>
      <c r="Y81" s="3">
        <f t="shared" si="21"/>
        <v>34.625</v>
      </c>
      <c r="Z81" s="2">
        <f t="shared" si="22"/>
        <v>35.450000000000003</v>
      </c>
      <c r="AA81" s="3">
        <f t="shared" si="23"/>
        <v>35.6</v>
      </c>
      <c r="AB81" s="3">
        <f t="shared" si="24"/>
        <v>36.1</v>
      </c>
      <c r="AC81" s="3">
        <f t="shared" si="25"/>
        <v>-1.2950264073056414</v>
      </c>
      <c r="AD81" s="3">
        <f t="shared" si="26"/>
        <v>0.95018262931387287</v>
      </c>
    </row>
    <row r="84" spans="1:30" x14ac:dyDescent="0.2">
      <c r="V84" s="3"/>
    </row>
  </sheetData>
  <autoFilter ref="A9:AD81" xr:uid="{1270D9A8-6C87-481B-A7FD-032FC47BA6A1}"/>
  <conditionalFormatting sqref="J10:U47">
    <cfRule type="cellIs" dxfId="71" priority="1" stopIfTrue="1" operator="lessThan">
      <formula>$V10-$U$5*$W10</formula>
    </cfRule>
    <cfRule type="cellIs" dxfId="70" priority="2" stopIfTrue="1" operator="greaterThan">
      <formula>$V10+$U$5*$W10</formula>
    </cfRule>
  </conditionalFormatting>
  <conditionalFormatting sqref="J48:U81">
    <cfRule type="cellIs" dxfId="69" priority="3" stopIfTrue="1" operator="lessThan">
      <formula>$V48-$U$6*$W48</formula>
    </cfRule>
    <cfRule type="cellIs" dxfId="68" priority="4" stopIfTrue="1" operator="greaterThan">
      <formula>$V48+$U$6*$W48</formula>
    </cfRule>
  </conditionalFormatting>
  <conditionalFormatting sqref="V10:V39">
    <cfRule type="cellIs" dxfId="67" priority="5" stopIfTrue="1" operator="lessThan">
      <formula>AVERAGE($V$10:$V$39)</formula>
    </cfRule>
    <cfRule type="cellIs" dxfId="66" priority="6" stopIfTrue="1" operator="greaterThan">
      <formula>AVERAGE($V$10:$V$39)</formula>
    </cfRule>
  </conditionalFormatting>
  <conditionalFormatting sqref="V48:V81">
    <cfRule type="cellIs" dxfId="65" priority="7" stopIfTrue="1" operator="lessThan">
      <formula>AVERAGE($V$48:$V$81)</formula>
    </cfRule>
    <cfRule type="cellIs" dxfId="64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391A-6D95-4B88-8285-7CE8EE35CE20}">
  <dimension ref="A1:AN84"/>
  <sheetViews>
    <sheetView topLeftCell="J18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139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42.5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13.099</v>
      </c>
      <c r="J10" s="39">
        <v>58.4</v>
      </c>
      <c r="K10" s="39">
        <v>45.9</v>
      </c>
      <c r="L10" s="39">
        <v>51.7</v>
      </c>
      <c r="M10" s="39">
        <v>36.5</v>
      </c>
      <c r="N10" s="39">
        <v>47.8</v>
      </c>
      <c r="O10" s="39">
        <v>46.7</v>
      </c>
      <c r="P10" s="39">
        <v>47.8</v>
      </c>
      <c r="Q10" s="39">
        <v>56.2</v>
      </c>
      <c r="R10" s="39">
        <v>33.200000000000003</v>
      </c>
      <c r="S10" s="39">
        <v>56.9</v>
      </c>
      <c r="T10" s="39">
        <v>56.2</v>
      </c>
      <c r="U10" s="39">
        <v>46.5</v>
      </c>
      <c r="V10" s="5">
        <f t="shared" ref="V10:V41" si="0">AVERAGE(J10:U10)</f>
        <v>48.65</v>
      </c>
      <c r="W10" s="4">
        <f t="shared" ref="W10:W41" si="1">STDEV(J10:U10)/SQRT(COUNT(J10:U10))</f>
        <v>2.2866377328322463</v>
      </c>
      <c r="X10" s="2">
        <f t="shared" ref="X10:X41" si="2">MIN(J10:U10)</f>
        <v>33.200000000000003</v>
      </c>
      <c r="Y10" s="3">
        <f t="shared" ref="Y10:Y41" si="3">QUARTILE(J10:U10,1)</f>
        <v>46.35</v>
      </c>
      <c r="Z10" s="2">
        <f t="shared" ref="Z10:Z41" si="4">MEDIAN(J10:U10)</f>
        <v>47.8</v>
      </c>
      <c r="AA10" s="3">
        <f t="shared" ref="AA10:AA41" si="5">QUARTILE(J10:U10,3)</f>
        <v>56.2</v>
      </c>
      <c r="AB10" s="3">
        <f t="shared" ref="AB10:AB41" si="6">MAX(J10:U10)</f>
        <v>58.4</v>
      </c>
      <c r="AC10" s="3">
        <f t="shared" ref="AC10:AC41" si="7">SKEW(J10:U10)</f>
        <v>-0.68997369400915287</v>
      </c>
      <c r="AD10" s="3">
        <f t="shared" ref="AD10:AD41" si="8">KURT(J10:U10)</f>
        <v>-6.6006047171352833E-2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13.08</v>
      </c>
      <c r="J11" s="39">
        <v>58.5</v>
      </c>
      <c r="K11" s="39">
        <v>51.6</v>
      </c>
      <c r="L11" s="39">
        <v>55.3</v>
      </c>
      <c r="M11" s="39">
        <v>48.6</v>
      </c>
      <c r="N11" s="39">
        <v>46.3</v>
      </c>
      <c r="O11" s="39">
        <v>44.3</v>
      </c>
      <c r="P11" s="39">
        <v>55.2</v>
      </c>
      <c r="Q11" s="39">
        <v>42.3</v>
      </c>
      <c r="R11" s="39">
        <v>43.4</v>
      </c>
      <c r="S11" s="39">
        <v>57.2</v>
      </c>
      <c r="T11" s="39">
        <v>37.6</v>
      </c>
      <c r="U11" s="39">
        <v>47.2</v>
      </c>
      <c r="V11" s="5">
        <f t="shared" si="0"/>
        <v>48.958333333333336</v>
      </c>
      <c r="W11" s="4">
        <f t="shared" si="1"/>
        <v>1.9096032561659497</v>
      </c>
      <c r="X11" s="2">
        <f t="shared" si="2"/>
        <v>37.6</v>
      </c>
      <c r="Y11" s="3">
        <f t="shared" si="3"/>
        <v>44.074999999999996</v>
      </c>
      <c r="Z11" s="2">
        <f t="shared" si="4"/>
        <v>47.900000000000006</v>
      </c>
      <c r="AA11" s="3">
        <f t="shared" si="5"/>
        <v>55.225000000000001</v>
      </c>
      <c r="AB11" s="3">
        <f t="shared" si="6"/>
        <v>58.5</v>
      </c>
      <c r="AC11" s="3">
        <f t="shared" si="7"/>
        <v>-4.2382939121695426E-2</v>
      </c>
      <c r="AD11" s="3">
        <f t="shared" si="8"/>
        <v>-1.0559532935164428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13.061</v>
      </c>
      <c r="J12" s="39">
        <v>56.9</v>
      </c>
      <c r="K12" s="39">
        <v>33.5</v>
      </c>
      <c r="L12" s="39">
        <v>50.4</v>
      </c>
      <c r="M12" s="39">
        <v>34.799999999999997</v>
      </c>
      <c r="N12" s="39">
        <v>49.2</v>
      </c>
      <c r="O12" s="39">
        <v>38.4</v>
      </c>
      <c r="P12" s="39">
        <v>50</v>
      </c>
      <c r="Q12" s="39">
        <v>34.799999999999997</v>
      </c>
      <c r="R12" s="39">
        <v>45.6</v>
      </c>
      <c r="S12" s="39">
        <v>41</v>
      </c>
      <c r="T12" s="39">
        <v>40.5</v>
      </c>
      <c r="U12" s="39">
        <v>41</v>
      </c>
      <c r="V12" s="5">
        <f t="shared" si="0"/>
        <v>43.008333333333333</v>
      </c>
      <c r="W12" s="4">
        <f t="shared" si="1"/>
        <v>2.1361058570031655</v>
      </c>
      <c r="X12" s="2">
        <f t="shared" si="2"/>
        <v>33.5</v>
      </c>
      <c r="Y12" s="3">
        <f t="shared" si="3"/>
        <v>37.5</v>
      </c>
      <c r="Z12" s="2">
        <f t="shared" si="4"/>
        <v>41</v>
      </c>
      <c r="AA12" s="3">
        <f t="shared" si="5"/>
        <v>49.400000000000006</v>
      </c>
      <c r="AB12" s="3">
        <f t="shared" si="6"/>
        <v>56.9</v>
      </c>
      <c r="AC12" s="3">
        <f t="shared" si="7"/>
        <v>0.4269202401477406</v>
      </c>
      <c r="AD12" s="3">
        <f t="shared" si="8"/>
        <v>-0.77968483404131605</v>
      </c>
      <c r="AF12" s="17" t="s">
        <v>76</v>
      </c>
      <c r="AG12" s="16">
        <v>35.25</v>
      </c>
      <c r="AH12" s="15">
        <v>39.4</v>
      </c>
      <c r="AI12" s="15">
        <v>46.225000000000001</v>
      </c>
      <c r="AJ12" s="15">
        <v>46.1875</v>
      </c>
      <c r="AK12" s="16">
        <v>26.9</v>
      </c>
      <c r="AL12" s="15">
        <v>27.987500000000001</v>
      </c>
      <c r="AM12" s="15">
        <v>28.65</v>
      </c>
      <c r="AN12" s="14">
        <v>28.625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13.041</v>
      </c>
      <c r="J13" s="39">
        <v>58</v>
      </c>
      <c r="K13" s="39">
        <v>48.7</v>
      </c>
      <c r="L13" s="39">
        <v>56.7</v>
      </c>
      <c r="M13" s="39">
        <v>39.4</v>
      </c>
      <c r="N13" s="39">
        <v>55.3</v>
      </c>
      <c r="O13" s="39">
        <v>44.7</v>
      </c>
      <c r="P13" s="39">
        <v>42.3</v>
      </c>
      <c r="Q13" s="39">
        <v>52.6</v>
      </c>
      <c r="R13" s="39">
        <v>33.1</v>
      </c>
      <c r="S13" s="39">
        <v>53.5</v>
      </c>
      <c r="T13" s="39">
        <v>48.9</v>
      </c>
      <c r="U13" s="39">
        <v>42.4</v>
      </c>
      <c r="V13" s="5">
        <f t="shared" si="0"/>
        <v>47.966666666666669</v>
      </c>
      <c r="W13" s="4">
        <f t="shared" si="1"/>
        <v>2.2231336514755977</v>
      </c>
      <c r="X13" s="2">
        <f t="shared" si="2"/>
        <v>33.1</v>
      </c>
      <c r="Y13" s="3">
        <f t="shared" si="3"/>
        <v>42.375</v>
      </c>
      <c r="Z13" s="2">
        <f t="shared" si="4"/>
        <v>48.8</v>
      </c>
      <c r="AA13" s="3">
        <f t="shared" si="5"/>
        <v>53.95</v>
      </c>
      <c r="AB13" s="3">
        <f t="shared" si="6"/>
        <v>58</v>
      </c>
      <c r="AC13" s="3">
        <f t="shared" si="7"/>
        <v>-0.46890675127712972</v>
      </c>
      <c r="AD13" s="3">
        <f t="shared" si="8"/>
        <v>-0.60254055559303366</v>
      </c>
      <c r="AF13" s="13" t="s">
        <v>75</v>
      </c>
      <c r="AG13" s="12">
        <v>40.950000000000003</v>
      </c>
      <c r="AH13" s="11">
        <v>45.0625</v>
      </c>
      <c r="AI13" s="11">
        <v>57.924999999999997</v>
      </c>
      <c r="AJ13" s="11">
        <v>54.808333333333337</v>
      </c>
      <c r="AK13" s="12">
        <v>30.65</v>
      </c>
      <c r="AL13" s="11">
        <v>31.962499999999999</v>
      </c>
      <c r="AM13" s="11">
        <v>33.200000000000003</v>
      </c>
      <c r="AN13" s="10">
        <v>33.44583333333334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13.022</v>
      </c>
      <c r="J14" s="39">
        <v>56.5</v>
      </c>
      <c r="K14" s="39">
        <v>49.8</v>
      </c>
      <c r="L14" s="39">
        <v>44.8</v>
      </c>
      <c r="M14" s="39">
        <v>34.1</v>
      </c>
      <c r="N14" s="39">
        <v>45.2</v>
      </c>
      <c r="O14" s="39">
        <v>35</v>
      </c>
      <c r="P14" s="39">
        <v>46.5</v>
      </c>
      <c r="Q14" s="39">
        <v>34.700000000000003</v>
      </c>
      <c r="R14" s="39">
        <v>50.8</v>
      </c>
      <c r="S14" s="39">
        <v>48.4</v>
      </c>
      <c r="T14" s="39">
        <v>43.7</v>
      </c>
      <c r="U14" s="39">
        <v>37.1</v>
      </c>
      <c r="V14" s="5">
        <f t="shared" si="0"/>
        <v>43.883333333333326</v>
      </c>
      <c r="W14" s="4">
        <f t="shared" si="1"/>
        <v>2.0904846956211722</v>
      </c>
      <c r="X14" s="2">
        <f t="shared" si="2"/>
        <v>34.1</v>
      </c>
      <c r="Y14" s="3">
        <f t="shared" si="3"/>
        <v>36.575000000000003</v>
      </c>
      <c r="Z14" s="2">
        <f t="shared" si="4"/>
        <v>45</v>
      </c>
      <c r="AA14" s="3">
        <f t="shared" si="5"/>
        <v>48.75</v>
      </c>
      <c r="AB14" s="3">
        <f t="shared" si="6"/>
        <v>56.5</v>
      </c>
      <c r="AC14" s="3">
        <f t="shared" si="7"/>
        <v>-1.8544125059287417E-2</v>
      </c>
      <c r="AD14" s="3">
        <f t="shared" si="8"/>
        <v>-0.94284521887431083</v>
      </c>
      <c r="AF14" s="13" t="s">
        <v>74</v>
      </c>
      <c r="AG14" s="12">
        <v>62.6</v>
      </c>
      <c r="AH14" s="11">
        <v>64.012500000000003</v>
      </c>
      <c r="AI14" s="11">
        <v>64.8</v>
      </c>
      <c r="AJ14" s="11">
        <v>64.591666666666654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13.002000000000001</v>
      </c>
      <c r="J15" s="39">
        <v>56.8</v>
      </c>
      <c r="K15" s="39">
        <v>35</v>
      </c>
      <c r="L15" s="39">
        <v>56.6</v>
      </c>
      <c r="M15" s="39">
        <v>45.5</v>
      </c>
      <c r="N15" s="39">
        <v>43.2</v>
      </c>
      <c r="O15" s="39">
        <v>43.7</v>
      </c>
      <c r="P15" s="39">
        <v>41.2</v>
      </c>
      <c r="Q15" s="39">
        <v>54.9</v>
      </c>
      <c r="R15" s="39">
        <v>39.1</v>
      </c>
      <c r="S15" s="39">
        <v>58.1</v>
      </c>
      <c r="T15" s="39">
        <v>49.3</v>
      </c>
      <c r="U15" s="39">
        <v>44.8</v>
      </c>
      <c r="V15" s="5">
        <f t="shared" si="0"/>
        <v>47.349999999999994</v>
      </c>
      <c r="W15" s="4">
        <f t="shared" si="1"/>
        <v>2.2192511704572433</v>
      </c>
      <c r="X15" s="2">
        <f t="shared" si="2"/>
        <v>35</v>
      </c>
      <c r="Y15" s="3">
        <f t="shared" si="3"/>
        <v>42.7</v>
      </c>
      <c r="Z15" s="2">
        <f t="shared" si="4"/>
        <v>45.15</v>
      </c>
      <c r="AA15" s="3">
        <f t="shared" si="5"/>
        <v>55.325000000000003</v>
      </c>
      <c r="AB15" s="3">
        <f t="shared" si="6"/>
        <v>58.1</v>
      </c>
      <c r="AC15" s="3">
        <f t="shared" si="7"/>
        <v>0.11876735601938995</v>
      </c>
      <c r="AD15" s="3">
        <f t="shared" si="8"/>
        <v>-1.2467718020663461</v>
      </c>
      <c r="AF15" s="13" t="s">
        <v>73</v>
      </c>
      <c r="AG15" s="12">
        <v>33.1</v>
      </c>
      <c r="AH15" s="11">
        <v>38.762500000000003</v>
      </c>
      <c r="AI15" s="11">
        <v>43.65</v>
      </c>
      <c r="AJ15" s="11">
        <v>44.108333333333334</v>
      </c>
      <c r="AK15" s="12">
        <v>27.6</v>
      </c>
      <c r="AL15" s="11">
        <v>28.962499999999999</v>
      </c>
      <c r="AM15" s="11">
        <v>29.925000000000001</v>
      </c>
      <c r="AN15" s="10">
        <v>29.675000000000001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12.981</v>
      </c>
      <c r="J16" s="39">
        <v>54.7</v>
      </c>
      <c r="K16" s="39">
        <v>40.200000000000003</v>
      </c>
      <c r="L16" s="39">
        <v>49.3</v>
      </c>
      <c r="M16" s="39">
        <v>53.1</v>
      </c>
      <c r="N16" s="39">
        <v>38.700000000000003</v>
      </c>
      <c r="O16" s="39">
        <v>57.2</v>
      </c>
      <c r="P16" s="39">
        <v>36.6</v>
      </c>
      <c r="Q16" s="39">
        <v>52.4</v>
      </c>
      <c r="R16" s="39">
        <v>32.799999999999997</v>
      </c>
      <c r="S16" s="39">
        <v>56.3</v>
      </c>
      <c r="T16" s="39">
        <v>43.5</v>
      </c>
      <c r="U16" s="39">
        <v>41.1</v>
      </c>
      <c r="V16" s="5">
        <f t="shared" si="0"/>
        <v>46.324999999999996</v>
      </c>
      <c r="W16" s="4">
        <f t="shared" si="1"/>
        <v>2.4433002085480351</v>
      </c>
      <c r="X16" s="2">
        <f t="shared" si="2"/>
        <v>32.799999999999997</v>
      </c>
      <c r="Y16" s="3">
        <f t="shared" si="3"/>
        <v>39.825000000000003</v>
      </c>
      <c r="Z16" s="2">
        <f t="shared" si="4"/>
        <v>46.4</v>
      </c>
      <c r="AA16" s="3">
        <f t="shared" si="5"/>
        <v>53.5</v>
      </c>
      <c r="AB16" s="3">
        <f t="shared" si="6"/>
        <v>57.2</v>
      </c>
      <c r="AC16" s="3">
        <f t="shared" si="7"/>
        <v>-0.14475137679380204</v>
      </c>
      <c r="AD16" s="3">
        <f t="shared" si="8"/>
        <v>-1.5659069446549942</v>
      </c>
      <c r="AF16" s="13" t="s">
        <v>72</v>
      </c>
      <c r="AG16" s="12">
        <v>33.6</v>
      </c>
      <c r="AH16" s="11">
        <v>37.75</v>
      </c>
      <c r="AI16" s="11">
        <v>44.524999999999999</v>
      </c>
      <c r="AJ16" s="11">
        <v>44.983333333333334</v>
      </c>
      <c r="AK16" s="12">
        <v>28.1</v>
      </c>
      <c r="AL16" s="11">
        <v>30.15</v>
      </c>
      <c r="AM16" s="11">
        <v>30.45</v>
      </c>
      <c r="AN16" s="10">
        <v>30.504166666666663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12.962999999999999</v>
      </c>
      <c r="J17" s="39">
        <v>60.5</v>
      </c>
      <c r="K17" s="39">
        <v>43.6</v>
      </c>
      <c r="L17" s="39">
        <v>59</v>
      </c>
      <c r="M17" s="39">
        <v>44.8</v>
      </c>
      <c r="N17" s="39">
        <v>49.8</v>
      </c>
      <c r="O17" s="39">
        <v>53.3</v>
      </c>
      <c r="P17" s="39">
        <v>41.6</v>
      </c>
      <c r="Q17" s="39">
        <v>55.3</v>
      </c>
      <c r="R17" s="39">
        <v>34.4</v>
      </c>
      <c r="S17" s="39">
        <v>58.8</v>
      </c>
      <c r="T17" s="39">
        <v>38.5</v>
      </c>
      <c r="U17" s="39">
        <v>53.3</v>
      </c>
      <c r="V17" s="5">
        <f t="shared" si="0"/>
        <v>49.408333333333331</v>
      </c>
      <c r="W17" s="4">
        <f t="shared" si="1"/>
        <v>2.505401991979356</v>
      </c>
      <c r="X17" s="2">
        <f t="shared" si="2"/>
        <v>34.4</v>
      </c>
      <c r="Y17" s="3">
        <f t="shared" si="3"/>
        <v>43.1</v>
      </c>
      <c r="Z17" s="2">
        <f t="shared" si="4"/>
        <v>51.55</v>
      </c>
      <c r="AA17" s="3">
        <f t="shared" si="5"/>
        <v>56.174999999999997</v>
      </c>
      <c r="AB17" s="3">
        <f t="shared" si="6"/>
        <v>60.5</v>
      </c>
      <c r="AC17" s="3">
        <f t="shared" si="7"/>
        <v>-0.34220704622279691</v>
      </c>
      <c r="AD17" s="3">
        <f t="shared" si="8"/>
        <v>-1.1659233608992294</v>
      </c>
      <c r="AF17" s="13" t="s">
        <v>71</v>
      </c>
      <c r="AG17" s="12">
        <v>35.799999999999997</v>
      </c>
      <c r="AH17" s="11">
        <v>43.4</v>
      </c>
      <c r="AI17" s="11">
        <v>48.875</v>
      </c>
      <c r="AJ17" s="11">
        <v>49.279166666666669</v>
      </c>
      <c r="AK17" s="12">
        <v>26.75</v>
      </c>
      <c r="AL17" s="11">
        <v>27.65</v>
      </c>
      <c r="AM17" s="11">
        <v>28.425000000000001</v>
      </c>
      <c r="AN17" s="10">
        <v>28.645833333333336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13.128</v>
      </c>
      <c r="J18" s="39">
        <v>58.3</v>
      </c>
      <c r="K18" s="39">
        <v>47.7</v>
      </c>
      <c r="L18" s="39">
        <v>49</v>
      </c>
      <c r="M18" s="39">
        <v>37.799999999999997</v>
      </c>
      <c r="N18" s="39">
        <v>52.3</v>
      </c>
      <c r="O18" s="39">
        <v>38.700000000000003</v>
      </c>
      <c r="P18" s="39">
        <v>47.6</v>
      </c>
      <c r="Q18" s="39">
        <v>48.9</v>
      </c>
      <c r="R18" s="39">
        <v>34.799999999999997</v>
      </c>
      <c r="S18" s="39">
        <v>54.4</v>
      </c>
      <c r="T18" s="39">
        <v>42.9</v>
      </c>
      <c r="U18" s="39">
        <v>40.700000000000003</v>
      </c>
      <c r="V18" s="5">
        <f t="shared" si="0"/>
        <v>46.091666666666669</v>
      </c>
      <c r="W18" s="4">
        <f t="shared" si="1"/>
        <v>2.074318374110327</v>
      </c>
      <c r="X18" s="2">
        <f t="shared" si="2"/>
        <v>34.799999999999997</v>
      </c>
      <c r="Y18" s="3">
        <f t="shared" si="3"/>
        <v>40.200000000000003</v>
      </c>
      <c r="Z18" s="2">
        <f t="shared" si="4"/>
        <v>47.650000000000006</v>
      </c>
      <c r="AA18" s="3">
        <f t="shared" si="5"/>
        <v>49.825000000000003</v>
      </c>
      <c r="AB18" s="3">
        <f t="shared" si="6"/>
        <v>58.3</v>
      </c>
      <c r="AC18" s="3">
        <f t="shared" si="7"/>
        <v>2.4649712617332516E-2</v>
      </c>
      <c r="AD18" s="3">
        <f t="shared" si="8"/>
        <v>-0.86957890779619662</v>
      </c>
      <c r="AF18" s="13" t="s">
        <v>70</v>
      </c>
      <c r="AG18" s="12">
        <v>37.299999999999997</v>
      </c>
      <c r="AH18" s="11">
        <v>43.9375</v>
      </c>
      <c r="AI18" s="11">
        <v>55.4</v>
      </c>
      <c r="AJ18" s="11">
        <v>51.274999999999999</v>
      </c>
      <c r="AK18" s="12">
        <v>27.8</v>
      </c>
      <c r="AL18" s="11">
        <v>28.15</v>
      </c>
      <c r="AM18" s="11">
        <v>28.8</v>
      </c>
      <c r="AN18" s="10">
        <v>28.9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13.148</v>
      </c>
      <c r="J19" s="39">
        <v>58.7</v>
      </c>
      <c r="K19" s="39">
        <v>53.3</v>
      </c>
      <c r="L19" s="39">
        <v>54.2</v>
      </c>
      <c r="M19" s="39">
        <v>45.7</v>
      </c>
      <c r="N19" s="39">
        <v>57.2</v>
      </c>
      <c r="O19" s="39">
        <v>53.1</v>
      </c>
      <c r="P19" s="39">
        <v>54.6</v>
      </c>
      <c r="Q19" s="39">
        <v>57.6</v>
      </c>
      <c r="R19" s="39">
        <v>38.5</v>
      </c>
      <c r="S19" s="39">
        <v>57.8</v>
      </c>
      <c r="T19" s="39">
        <v>51.4</v>
      </c>
      <c r="U19" s="39">
        <v>37.799999999999997</v>
      </c>
      <c r="V19" s="5">
        <f t="shared" si="0"/>
        <v>51.658333333333331</v>
      </c>
      <c r="W19" s="4">
        <f t="shared" si="1"/>
        <v>2.0852460916223561</v>
      </c>
      <c r="X19" s="2">
        <f t="shared" si="2"/>
        <v>37.799999999999997</v>
      </c>
      <c r="Y19" s="3">
        <f t="shared" si="3"/>
        <v>49.975000000000001</v>
      </c>
      <c r="Z19" s="2">
        <f t="shared" si="4"/>
        <v>53.75</v>
      </c>
      <c r="AA19" s="3">
        <f t="shared" si="5"/>
        <v>57.300000000000004</v>
      </c>
      <c r="AB19" s="3">
        <f t="shared" si="6"/>
        <v>58.7</v>
      </c>
      <c r="AC19" s="3">
        <f t="shared" si="7"/>
        <v>-1.1986133983013414</v>
      </c>
      <c r="AD19" s="3">
        <f t="shared" si="8"/>
        <v>0.26812206710311681</v>
      </c>
      <c r="AF19" s="13" t="s">
        <v>69</v>
      </c>
      <c r="AG19" s="12">
        <v>35.049999999999997</v>
      </c>
      <c r="AH19" s="11">
        <v>42.174999999999997</v>
      </c>
      <c r="AI19" s="11">
        <v>49.674999999999997</v>
      </c>
      <c r="AJ19" s="11">
        <v>48.80833333333333</v>
      </c>
      <c r="AK19" s="12">
        <v>28.95</v>
      </c>
      <c r="AL19" s="11">
        <v>29.5</v>
      </c>
      <c r="AM19" s="11">
        <v>30.112500000000001</v>
      </c>
      <c r="AN19" s="10">
        <v>30.091666666666665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13.167999999999999</v>
      </c>
      <c r="J20" s="39">
        <v>59.1</v>
      </c>
      <c r="K20" s="39">
        <v>47</v>
      </c>
      <c r="L20" s="39">
        <v>52.9</v>
      </c>
      <c r="M20" s="39">
        <v>38.5</v>
      </c>
      <c r="N20" s="39">
        <v>53.6</v>
      </c>
      <c r="O20" s="39">
        <v>32.6</v>
      </c>
      <c r="P20" s="39">
        <v>56.7</v>
      </c>
      <c r="Q20" s="39">
        <v>40.1</v>
      </c>
      <c r="R20" s="39">
        <v>49.3</v>
      </c>
      <c r="S20" s="39">
        <v>56.9</v>
      </c>
      <c r="T20" s="39">
        <v>45.1</v>
      </c>
      <c r="U20" s="39">
        <v>45.6</v>
      </c>
      <c r="V20" s="5">
        <f t="shared" si="0"/>
        <v>48.116666666666667</v>
      </c>
      <c r="W20" s="4">
        <f t="shared" si="1"/>
        <v>2.3677067710203121</v>
      </c>
      <c r="X20" s="2">
        <f t="shared" si="2"/>
        <v>32.6</v>
      </c>
      <c r="Y20" s="3">
        <f t="shared" si="3"/>
        <v>43.85</v>
      </c>
      <c r="Z20" s="2">
        <f t="shared" si="4"/>
        <v>48.15</v>
      </c>
      <c r="AA20" s="3">
        <f t="shared" si="5"/>
        <v>54.375</v>
      </c>
      <c r="AB20" s="3">
        <f t="shared" si="6"/>
        <v>59.1</v>
      </c>
      <c r="AC20" s="3">
        <f t="shared" si="7"/>
        <v>-0.44966499004783622</v>
      </c>
      <c r="AD20" s="3">
        <f t="shared" si="8"/>
        <v>-0.61629344791970198</v>
      </c>
      <c r="AF20" s="13" t="s">
        <v>68</v>
      </c>
      <c r="AG20" s="12">
        <v>34.674999999999997</v>
      </c>
      <c r="AH20" s="11">
        <v>41.306249999999999</v>
      </c>
      <c r="AI20" s="11">
        <v>50.25</v>
      </c>
      <c r="AJ20" s="11">
        <v>48.331249999999997</v>
      </c>
      <c r="AK20" s="12">
        <v>28.125</v>
      </c>
      <c r="AL20" s="11">
        <v>29.1</v>
      </c>
      <c r="AM20" s="11">
        <v>29.637499999999999</v>
      </c>
      <c r="AN20" s="10">
        <v>29.577083333333334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13.186999999999999</v>
      </c>
      <c r="J21" s="39">
        <v>54.9</v>
      </c>
      <c r="K21" s="39">
        <v>43.4</v>
      </c>
      <c r="L21" s="39">
        <v>46.7</v>
      </c>
      <c r="M21" s="39">
        <v>37.6</v>
      </c>
      <c r="N21" s="39">
        <v>50.9</v>
      </c>
      <c r="O21" s="39">
        <v>31.5</v>
      </c>
      <c r="P21" s="39">
        <v>43.7</v>
      </c>
      <c r="Q21" s="39">
        <v>43.6</v>
      </c>
      <c r="R21" s="39">
        <v>33.4</v>
      </c>
      <c r="S21" s="39">
        <v>54.8</v>
      </c>
      <c r="T21" s="39">
        <v>36</v>
      </c>
      <c r="U21" s="39">
        <v>54.8</v>
      </c>
      <c r="V21" s="5">
        <f t="shared" si="0"/>
        <v>44.274999999999999</v>
      </c>
      <c r="W21" s="4">
        <f t="shared" si="1"/>
        <v>2.4312711789215551</v>
      </c>
      <c r="X21" s="2">
        <f t="shared" si="2"/>
        <v>31.5</v>
      </c>
      <c r="Y21" s="3">
        <f t="shared" si="3"/>
        <v>37.200000000000003</v>
      </c>
      <c r="Z21" s="2">
        <f t="shared" si="4"/>
        <v>43.650000000000006</v>
      </c>
      <c r="AA21" s="3">
        <f t="shared" si="5"/>
        <v>51.875</v>
      </c>
      <c r="AB21" s="3">
        <f t="shared" si="6"/>
        <v>54.9</v>
      </c>
      <c r="AC21" s="3">
        <f t="shared" si="7"/>
        <v>-7.3026778737419584E-2</v>
      </c>
      <c r="AD21" s="3">
        <f t="shared" si="8"/>
        <v>-1.3229540531893766</v>
      </c>
      <c r="AF21" s="13" t="s">
        <v>67</v>
      </c>
      <c r="AG21" s="12">
        <v>32.15</v>
      </c>
      <c r="AH21" s="11">
        <v>36.524999999999999</v>
      </c>
      <c r="AI21" s="11">
        <v>43.024999999999999</v>
      </c>
      <c r="AJ21" s="11">
        <v>43.133333333333333</v>
      </c>
      <c r="AK21" s="12">
        <v>28.6</v>
      </c>
      <c r="AL21" s="11">
        <v>28.987500000000001</v>
      </c>
      <c r="AM21" s="11">
        <v>29.6</v>
      </c>
      <c r="AN21" s="10">
        <v>29.875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13.206</v>
      </c>
      <c r="J22" s="39">
        <v>60.1</v>
      </c>
      <c r="K22" s="39">
        <v>38.4</v>
      </c>
      <c r="L22" s="39">
        <v>59.3</v>
      </c>
      <c r="M22" s="39">
        <v>50.3</v>
      </c>
      <c r="N22" s="39">
        <v>38.700000000000003</v>
      </c>
      <c r="O22" s="39">
        <v>58.1</v>
      </c>
      <c r="P22" s="39">
        <v>39.700000000000003</v>
      </c>
      <c r="Q22" s="39">
        <v>58.9</v>
      </c>
      <c r="R22" s="39">
        <v>40.700000000000003</v>
      </c>
      <c r="S22" s="39">
        <v>61.1</v>
      </c>
      <c r="T22" s="39">
        <v>44</v>
      </c>
      <c r="U22" s="39">
        <v>49.6</v>
      </c>
      <c r="V22" s="5">
        <f t="shared" si="0"/>
        <v>49.908333333333331</v>
      </c>
      <c r="W22" s="4">
        <f t="shared" si="1"/>
        <v>2.6791975939588286</v>
      </c>
      <c r="X22" s="2">
        <f t="shared" si="2"/>
        <v>38.4</v>
      </c>
      <c r="Y22" s="3">
        <f t="shared" si="3"/>
        <v>40.450000000000003</v>
      </c>
      <c r="Z22" s="2">
        <f t="shared" si="4"/>
        <v>49.95</v>
      </c>
      <c r="AA22" s="3">
        <f t="shared" si="5"/>
        <v>59</v>
      </c>
      <c r="AB22" s="3">
        <f t="shared" si="6"/>
        <v>61.1</v>
      </c>
      <c r="AC22" s="3">
        <f t="shared" si="7"/>
        <v>-5.6990873153899994E-2</v>
      </c>
      <c r="AD22" s="3">
        <f t="shared" si="8"/>
        <v>-1.9544146392406767</v>
      </c>
      <c r="AF22" s="13" t="s">
        <v>66</v>
      </c>
      <c r="AG22" s="12">
        <v>34.450000000000003</v>
      </c>
      <c r="AH22" s="11">
        <v>38.387500000000003</v>
      </c>
      <c r="AI22" s="11">
        <v>46.325000000000003</v>
      </c>
      <c r="AJ22" s="11">
        <v>44.987499999999997</v>
      </c>
      <c r="AK22" s="12">
        <v>28.15</v>
      </c>
      <c r="AL22" s="11">
        <v>29</v>
      </c>
      <c r="AM22" s="11">
        <v>29.9</v>
      </c>
      <c r="AN22" s="10">
        <v>29.745833333333334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13.224</v>
      </c>
      <c r="J23" s="39">
        <v>55.7</v>
      </c>
      <c r="K23" s="39">
        <v>51.4</v>
      </c>
      <c r="L23" s="39">
        <v>56.3</v>
      </c>
      <c r="M23" s="39">
        <v>40.4</v>
      </c>
      <c r="N23" s="39">
        <v>53.7</v>
      </c>
      <c r="O23" s="39">
        <v>50.4</v>
      </c>
      <c r="P23" s="39">
        <v>50.7</v>
      </c>
      <c r="Q23" s="39">
        <v>50.1</v>
      </c>
      <c r="R23" s="39">
        <v>35.9</v>
      </c>
      <c r="S23" s="39">
        <v>51.4</v>
      </c>
      <c r="T23" s="39">
        <v>48.3</v>
      </c>
      <c r="U23" s="39">
        <v>53</v>
      </c>
      <c r="V23" s="5">
        <f t="shared" si="0"/>
        <v>49.774999999999999</v>
      </c>
      <c r="W23" s="4">
        <f t="shared" si="1"/>
        <v>1.7248243213133303</v>
      </c>
      <c r="X23" s="2">
        <f t="shared" si="2"/>
        <v>35.9</v>
      </c>
      <c r="Y23" s="3">
        <f t="shared" si="3"/>
        <v>49.65</v>
      </c>
      <c r="Z23" s="2">
        <f t="shared" si="4"/>
        <v>51.05</v>
      </c>
      <c r="AA23" s="3">
        <f t="shared" si="5"/>
        <v>53.174999999999997</v>
      </c>
      <c r="AB23" s="3">
        <f t="shared" si="6"/>
        <v>56.3</v>
      </c>
      <c r="AC23" s="3">
        <f t="shared" si="7"/>
        <v>-1.4876693685193623</v>
      </c>
      <c r="AD23" s="3">
        <f t="shared" si="8"/>
        <v>1.9256096684125854</v>
      </c>
      <c r="AF23" s="13" t="s">
        <v>65</v>
      </c>
      <c r="AG23" s="12">
        <v>33.4</v>
      </c>
      <c r="AH23" s="11">
        <v>38.424999999999997</v>
      </c>
      <c r="AI23" s="11">
        <v>48.95</v>
      </c>
      <c r="AJ23" s="11">
        <v>46.35</v>
      </c>
      <c r="AK23" s="12">
        <v>26.7</v>
      </c>
      <c r="AL23" s="11">
        <v>27.524999999999999</v>
      </c>
      <c r="AM23" s="11">
        <v>28.45</v>
      </c>
      <c r="AN23" s="10">
        <v>28.666666666666668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13.243</v>
      </c>
      <c r="J24" s="39">
        <v>56.7</v>
      </c>
      <c r="K24" s="39">
        <v>56.3</v>
      </c>
      <c r="L24" s="39">
        <v>42</v>
      </c>
      <c r="M24" s="39">
        <v>44.2</v>
      </c>
      <c r="N24" s="39">
        <v>54.2</v>
      </c>
      <c r="O24" s="39">
        <v>38.200000000000003</v>
      </c>
      <c r="P24" s="39">
        <v>56.3</v>
      </c>
      <c r="Q24" s="39">
        <v>43.2</v>
      </c>
      <c r="R24" s="39">
        <v>46.3</v>
      </c>
      <c r="S24" s="39">
        <v>54.3</v>
      </c>
      <c r="T24" s="39">
        <v>52.8</v>
      </c>
      <c r="U24" s="39">
        <v>51.1</v>
      </c>
      <c r="V24" s="5">
        <f t="shared" si="0"/>
        <v>49.633333333333333</v>
      </c>
      <c r="W24" s="4">
        <f t="shared" si="1"/>
        <v>1.8761797635222635</v>
      </c>
      <c r="X24" s="2">
        <f t="shared" si="2"/>
        <v>38.200000000000003</v>
      </c>
      <c r="Y24" s="3">
        <f t="shared" si="3"/>
        <v>43.95</v>
      </c>
      <c r="Z24" s="2">
        <f t="shared" si="4"/>
        <v>51.95</v>
      </c>
      <c r="AA24" s="3">
        <f t="shared" si="5"/>
        <v>54.8</v>
      </c>
      <c r="AB24" s="3">
        <f t="shared" si="6"/>
        <v>56.7</v>
      </c>
      <c r="AC24" s="3">
        <f t="shared" si="7"/>
        <v>-0.48709067734068046</v>
      </c>
      <c r="AD24" s="3">
        <f t="shared" si="8"/>
        <v>-1.3265290892153812</v>
      </c>
      <c r="AF24" s="13" t="s">
        <v>64</v>
      </c>
      <c r="AG24" s="12">
        <v>35</v>
      </c>
      <c r="AH24" s="11">
        <v>44.287500000000001</v>
      </c>
      <c r="AI24" s="11">
        <v>47.5</v>
      </c>
      <c r="AJ24" s="11">
        <v>46.991666666666667</v>
      </c>
      <c r="AK24" s="12">
        <v>27.8</v>
      </c>
      <c r="AL24" s="11">
        <v>28.362500000000001</v>
      </c>
      <c r="AM24" s="11">
        <v>29</v>
      </c>
      <c r="AN24" s="10">
        <v>29.079166666666666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13.263999999999999</v>
      </c>
      <c r="J25" s="39">
        <v>60.6</v>
      </c>
      <c r="K25" s="39">
        <v>57.2</v>
      </c>
      <c r="L25" s="39">
        <v>57.3</v>
      </c>
      <c r="M25" s="39">
        <v>44.5</v>
      </c>
      <c r="N25" s="39">
        <v>56.4</v>
      </c>
      <c r="O25" s="39">
        <v>42.9</v>
      </c>
      <c r="P25" s="39">
        <v>48.1</v>
      </c>
      <c r="Q25" s="39">
        <v>57.9</v>
      </c>
      <c r="R25" s="39">
        <v>39.799999999999997</v>
      </c>
      <c r="S25" s="39">
        <v>60.7</v>
      </c>
      <c r="T25" s="39">
        <v>49.7</v>
      </c>
      <c r="U25" s="39">
        <v>56.4</v>
      </c>
      <c r="V25" s="5">
        <f t="shared" si="0"/>
        <v>52.625</v>
      </c>
      <c r="W25" s="4">
        <f t="shared" si="1"/>
        <v>2.0998241268345339</v>
      </c>
      <c r="X25" s="2">
        <f t="shared" si="2"/>
        <v>39.799999999999997</v>
      </c>
      <c r="Y25" s="3">
        <f t="shared" si="3"/>
        <v>47.2</v>
      </c>
      <c r="Z25" s="2">
        <f t="shared" si="4"/>
        <v>56.4</v>
      </c>
      <c r="AA25" s="3">
        <f t="shared" si="5"/>
        <v>57.449999999999996</v>
      </c>
      <c r="AB25" s="3">
        <f t="shared" si="6"/>
        <v>60.7</v>
      </c>
      <c r="AC25" s="3">
        <f t="shared" si="7"/>
        <v>-0.62278718476742811</v>
      </c>
      <c r="AD25" s="3">
        <f t="shared" si="8"/>
        <v>-1.1491639943382355</v>
      </c>
      <c r="AF25" s="13" t="s">
        <v>63</v>
      </c>
      <c r="AG25" s="12">
        <v>36.5</v>
      </c>
      <c r="AH25" s="11">
        <v>44.7</v>
      </c>
      <c r="AI25" s="11">
        <v>50.033333333333339</v>
      </c>
      <c r="AJ25" s="11">
        <v>49.411111111111104</v>
      </c>
      <c r="AK25" s="12">
        <v>27.4</v>
      </c>
      <c r="AL25" s="11">
        <v>28.441666666666663</v>
      </c>
      <c r="AM25" s="11">
        <v>29.083333333333332</v>
      </c>
      <c r="AN25" s="10">
        <v>29.116666666666671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13.441000000000001</v>
      </c>
      <c r="J26" s="39">
        <v>51.1</v>
      </c>
      <c r="K26" s="39">
        <v>57.9</v>
      </c>
      <c r="L26" s="39">
        <v>37.700000000000003</v>
      </c>
      <c r="M26" s="39">
        <v>57.5</v>
      </c>
      <c r="N26" s="39">
        <v>47</v>
      </c>
      <c r="O26" s="39">
        <v>51.5</v>
      </c>
      <c r="P26" s="39">
        <v>55.7</v>
      </c>
      <c r="Q26" s="39">
        <v>37.700000000000003</v>
      </c>
      <c r="R26" s="39">
        <v>54.8</v>
      </c>
      <c r="S26" s="39">
        <v>41.7</v>
      </c>
      <c r="T26" s="39">
        <v>58.3</v>
      </c>
      <c r="U26" s="39">
        <v>38.299999999999997</v>
      </c>
      <c r="V26" s="5">
        <f t="shared" si="0"/>
        <v>49.099999999999994</v>
      </c>
      <c r="W26" s="4">
        <f t="shared" si="1"/>
        <v>2.3902896996985392</v>
      </c>
      <c r="X26" s="2">
        <f t="shared" si="2"/>
        <v>37.700000000000003</v>
      </c>
      <c r="Y26" s="3">
        <f t="shared" si="3"/>
        <v>40.85</v>
      </c>
      <c r="Z26" s="2">
        <f t="shared" si="4"/>
        <v>51.3</v>
      </c>
      <c r="AA26" s="3">
        <f t="shared" si="5"/>
        <v>56.150000000000006</v>
      </c>
      <c r="AB26" s="3">
        <f t="shared" si="6"/>
        <v>58.3</v>
      </c>
      <c r="AC26" s="3">
        <f t="shared" si="7"/>
        <v>-0.40159864628395303</v>
      </c>
      <c r="AD26" s="3">
        <f t="shared" si="8"/>
        <v>-1.63506235392724</v>
      </c>
      <c r="AF26" s="13" t="s">
        <v>62</v>
      </c>
      <c r="AG26" s="12">
        <v>35</v>
      </c>
      <c r="AH26" s="11">
        <v>40.862499999999997</v>
      </c>
      <c r="AI26" s="11">
        <v>49.787500000000001</v>
      </c>
      <c r="AJ26" s="11">
        <v>48.05416666666666</v>
      </c>
      <c r="AK26" s="12">
        <v>27.6</v>
      </c>
      <c r="AL26" s="11">
        <v>28.368749999999999</v>
      </c>
      <c r="AM26" s="11">
        <v>29.05</v>
      </c>
      <c r="AN26" s="10">
        <v>29.081250000000001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13.46</v>
      </c>
      <c r="J27" s="39">
        <v>59.5</v>
      </c>
      <c r="K27" s="39">
        <v>46</v>
      </c>
      <c r="L27" s="39">
        <v>58.6</v>
      </c>
      <c r="M27" s="39">
        <v>48.4</v>
      </c>
      <c r="N27" s="39">
        <v>38.200000000000003</v>
      </c>
      <c r="O27" s="39">
        <v>54.6</v>
      </c>
      <c r="P27" s="39">
        <v>34.299999999999997</v>
      </c>
      <c r="Q27" s="39">
        <v>42.2</v>
      </c>
      <c r="R27" s="39">
        <v>53.5</v>
      </c>
      <c r="S27" s="39">
        <v>44.5</v>
      </c>
      <c r="T27" s="39">
        <v>30.5</v>
      </c>
      <c r="U27" s="39">
        <v>51.3</v>
      </c>
      <c r="V27" s="5">
        <f t="shared" si="0"/>
        <v>46.800000000000004</v>
      </c>
      <c r="W27" s="4">
        <f t="shared" si="1"/>
        <v>2.6856239047148271</v>
      </c>
      <c r="X27" s="2">
        <f t="shared" si="2"/>
        <v>30.5</v>
      </c>
      <c r="Y27" s="3">
        <f t="shared" si="3"/>
        <v>41.2</v>
      </c>
      <c r="Z27" s="2">
        <f t="shared" si="4"/>
        <v>47.2</v>
      </c>
      <c r="AA27" s="3">
        <f t="shared" si="5"/>
        <v>53.774999999999999</v>
      </c>
      <c r="AB27" s="3">
        <f t="shared" si="6"/>
        <v>59.5</v>
      </c>
      <c r="AC27" s="3">
        <f t="shared" si="7"/>
        <v>-0.33436811563428964</v>
      </c>
      <c r="AD27" s="3">
        <f t="shared" si="8"/>
        <v>-0.82574392171762234</v>
      </c>
      <c r="AF27" s="9" t="s">
        <v>61</v>
      </c>
      <c r="AG27" s="8">
        <v>55.65</v>
      </c>
      <c r="AH27" s="7">
        <v>56.712499999999999</v>
      </c>
      <c r="AI27" s="7">
        <v>57.2</v>
      </c>
      <c r="AJ27" s="7">
        <v>57.325000000000003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13.478999999999999</v>
      </c>
      <c r="J28" s="39">
        <v>51.8</v>
      </c>
      <c r="K28" s="39">
        <v>34.1</v>
      </c>
      <c r="L28" s="39">
        <v>43.1</v>
      </c>
      <c r="M28" s="39">
        <v>49.4</v>
      </c>
      <c r="N28" s="39">
        <v>39.799999999999997</v>
      </c>
      <c r="O28" s="39">
        <v>50.7</v>
      </c>
      <c r="P28" s="39">
        <v>51.4</v>
      </c>
      <c r="Q28" s="39">
        <v>35.9</v>
      </c>
      <c r="R28" s="39">
        <v>53.2</v>
      </c>
      <c r="S28" s="39">
        <v>36.6</v>
      </c>
      <c r="T28" s="39">
        <v>44.8</v>
      </c>
      <c r="U28" s="39">
        <v>39.700000000000003</v>
      </c>
      <c r="V28" s="5">
        <f t="shared" si="0"/>
        <v>44.208333333333336</v>
      </c>
      <c r="W28" s="4">
        <f t="shared" si="1"/>
        <v>2.0032722599473987</v>
      </c>
      <c r="X28" s="2">
        <f t="shared" si="2"/>
        <v>34.1</v>
      </c>
      <c r="Y28" s="3">
        <f t="shared" si="3"/>
        <v>38.925000000000004</v>
      </c>
      <c r="Z28" s="2">
        <f t="shared" si="4"/>
        <v>43.95</v>
      </c>
      <c r="AA28" s="3">
        <f t="shared" si="5"/>
        <v>50.875</v>
      </c>
      <c r="AB28" s="3">
        <f t="shared" si="6"/>
        <v>53.2</v>
      </c>
      <c r="AC28" s="3">
        <f t="shared" si="7"/>
        <v>-8.9859154156593235E-2</v>
      </c>
      <c r="AD28" s="3">
        <f t="shared" si="8"/>
        <v>-1.697038385199265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13.499000000000001</v>
      </c>
      <c r="J29" s="39">
        <v>60</v>
      </c>
      <c r="K29" s="39">
        <v>52.6</v>
      </c>
      <c r="L29" s="39">
        <v>56.5</v>
      </c>
      <c r="M29" s="39">
        <v>38.9</v>
      </c>
      <c r="N29" s="39">
        <v>56.2</v>
      </c>
      <c r="O29" s="39">
        <v>34.799999999999997</v>
      </c>
      <c r="P29" s="39">
        <v>57.9</v>
      </c>
      <c r="Q29" s="39">
        <v>39.4</v>
      </c>
      <c r="R29" s="39">
        <v>57.3</v>
      </c>
      <c r="S29" s="39">
        <v>41.1</v>
      </c>
      <c r="T29" s="39">
        <v>56.9</v>
      </c>
      <c r="U29" s="39">
        <v>47.5</v>
      </c>
      <c r="V29" s="5">
        <f t="shared" si="0"/>
        <v>49.925000000000004</v>
      </c>
      <c r="W29" s="4">
        <f t="shared" si="1"/>
        <v>2.6151691816180511</v>
      </c>
      <c r="X29" s="2">
        <f t="shared" si="2"/>
        <v>34.799999999999997</v>
      </c>
      <c r="Y29" s="3">
        <f t="shared" si="3"/>
        <v>40.674999999999997</v>
      </c>
      <c r="Z29" s="2">
        <f t="shared" si="4"/>
        <v>54.400000000000006</v>
      </c>
      <c r="AA29" s="3">
        <f t="shared" si="5"/>
        <v>57</v>
      </c>
      <c r="AB29" s="3">
        <f t="shared" si="6"/>
        <v>60</v>
      </c>
      <c r="AC29" s="3">
        <f t="shared" si="7"/>
        <v>-0.56444305481129953</v>
      </c>
      <c r="AD29" s="3">
        <f t="shared" si="8"/>
        <v>-1.4920552206511615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13.52</v>
      </c>
      <c r="J30" s="39">
        <v>43.3</v>
      </c>
      <c r="K30" s="39">
        <v>42.5</v>
      </c>
      <c r="L30" s="39">
        <v>52.5</v>
      </c>
      <c r="M30" s="39">
        <v>36.6</v>
      </c>
      <c r="N30" s="39">
        <v>35.9</v>
      </c>
      <c r="O30" s="39">
        <v>48.7</v>
      </c>
      <c r="P30" s="39">
        <v>32.799999999999997</v>
      </c>
      <c r="Q30" s="39">
        <v>35.700000000000003</v>
      </c>
      <c r="R30" s="39">
        <v>46.4</v>
      </c>
      <c r="S30" s="39">
        <v>42.3</v>
      </c>
      <c r="T30" s="39">
        <v>34.700000000000003</v>
      </c>
      <c r="U30" s="39">
        <v>52.5</v>
      </c>
      <c r="V30" s="5">
        <f t="shared" si="0"/>
        <v>41.991666666666667</v>
      </c>
      <c r="W30" s="4">
        <f t="shared" si="1"/>
        <v>2.0052377752659605</v>
      </c>
      <c r="X30" s="2">
        <f t="shared" si="2"/>
        <v>32.799999999999997</v>
      </c>
      <c r="Y30" s="3">
        <f t="shared" si="3"/>
        <v>35.85</v>
      </c>
      <c r="Z30" s="2">
        <f t="shared" si="4"/>
        <v>42.4</v>
      </c>
      <c r="AA30" s="3">
        <f t="shared" si="5"/>
        <v>46.975000000000001</v>
      </c>
      <c r="AB30" s="3">
        <f t="shared" si="6"/>
        <v>52.5</v>
      </c>
      <c r="AC30" s="3">
        <f t="shared" si="7"/>
        <v>0.29768634646484488</v>
      </c>
      <c r="AD30" s="3">
        <f t="shared" si="8"/>
        <v>-1.2890809715492959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13.542999999999999</v>
      </c>
      <c r="J31" s="39">
        <v>58.4</v>
      </c>
      <c r="K31" s="39">
        <v>36.6</v>
      </c>
      <c r="L31" s="39">
        <v>59.9</v>
      </c>
      <c r="M31" s="39">
        <v>55.9</v>
      </c>
      <c r="N31" s="39">
        <v>32.4</v>
      </c>
      <c r="O31" s="39">
        <v>55.1</v>
      </c>
      <c r="P31" s="39">
        <v>34.1</v>
      </c>
      <c r="Q31" s="39">
        <v>55.2</v>
      </c>
      <c r="R31" s="39">
        <v>43.5</v>
      </c>
      <c r="S31" s="39">
        <v>52.8</v>
      </c>
      <c r="T31" s="39">
        <v>34.200000000000003</v>
      </c>
      <c r="U31" s="39">
        <v>57.1</v>
      </c>
      <c r="V31" s="5">
        <f t="shared" si="0"/>
        <v>47.933333333333337</v>
      </c>
      <c r="W31" s="4">
        <f t="shared" si="1"/>
        <v>3.1351461551483353</v>
      </c>
      <c r="X31" s="2">
        <f t="shared" si="2"/>
        <v>32.4</v>
      </c>
      <c r="Y31" s="3">
        <f t="shared" si="3"/>
        <v>36</v>
      </c>
      <c r="Z31" s="2">
        <f t="shared" si="4"/>
        <v>53.95</v>
      </c>
      <c r="AA31" s="3">
        <f t="shared" si="5"/>
        <v>56.2</v>
      </c>
      <c r="AB31" s="3">
        <f t="shared" si="6"/>
        <v>59.9</v>
      </c>
      <c r="AC31" s="3">
        <f t="shared" si="7"/>
        <v>-0.47050871123599131</v>
      </c>
      <c r="AD31" s="3">
        <f t="shared" si="8"/>
        <v>-1.8034033833011121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13.56</v>
      </c>
      <c r="J32" s="39">
        <v>58.1</v>
      </c>
      <c r="K32" s="39">
        <v>37.5</v>
      </c>
      <c r="L32" s="39">
        <v>52</v>
      </c>
      <c r="M32" s="39">
        <v>55.5</v>
      </c>
      <c r="N32" s="39">
        <v>36.700000000000003</v>
      </c>
      <c r="O32" s="39">
        <v>58.8</v>
      </c>
      <c r="P32" s="39">
        <v>38.200000000000003</v>
      </c>
      <c r="Q32" s="39">
        <v>52.8</v>
      </c>
      <c r="R32" s="39">
        <v>50.4</v>
      </c>
      <c r="S32" s="39">
        <v>49.9</v>
      </c>
      <c r="T32" s="39">
        <v>42.5</v>
      </c>
      <c r="U32" s="39">
        <v>58.3</v>
      </c>
      <c r="V32" s="5">
        <f t="shared" si="0"/>
        <v>49.224999999999994</v>
      </c>
      <c r="W32" s="4">
        <f t="shared" si="1"/>
        <v>2.4240313591831004</v>
      </c>
      <c r="X32" s="2">
        <f t="shared" si="2"/>
        <v>36.700000000000003</v>
      </c>
      <c r="Y32" s="3">
        <f t="shared" si="3"/>
        <v>41.424999999999997</v>
      </c>
      <c r="Z32" s="2">
        <f t="shared" si="4"/>
        <v>51.2</v>
      </c>
      <c r="AA32" s="3">
        <f t="shared" si="5"/>
        <v>56.15</v>
      </c>
      <c r="AB32" s="3">
        <f t="shared" si="6"/>
        <v>58.8</v>
      </c>
      <c r="AC32" s="3">
        <f t="shared" si="7"/>
        <v>-0.4754825800217235</v>
      </c>
      <c r="AD32" s="3">
        <f t="shared" si="8"/>
        <v>-1.3870162970980586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13.577</v>
      </c>
      <c r="J33" s="39">
        <v>54.5</v>
      </c>
      <c r="K33" s="39">
        <v>46.9</v>
      </c>
      <c r="L33" s="39">
        <v>49.4</v>
      </c>
      <c r="M33" s="39">
        <v>41.2</v>
      </c>
      <c r="N33" s="39">
        <v>54.3</v>
      </c>
      <c r="O33" s="39">
        <v>36.1</v>
      </c>
      <c r="P33" s="39">
        <v>49.9</v>
      </c>
      <c r="Q33" s="39">
        <v>41.1</v>
      </c>
      <c r="R33" s="39">
        <v>36.799999999999997</v>
      </c>
      <c r="S33" s="39">
        <v>53.9</v>
      </c>
      <c r="T33" s="39">
        <v>32.700000000000003</v>
      </c>
      <c r="U33" s="39">
        <v>45.7</v>
      </c>
      <c r="V33" s="5">
        <f t="shared" si="0"/>
        <v>45.208333333333336</v>
      </c>
      <c r="W33" s="4">
        <f t="shared" si="1"/>
        <v>2.1851585593024936</v>
      </c>
      <c r="X33" s="2">
        <f t="shared" si="2"/>
        <v>32.700000000000003</v>
      </c>
      <c r="Y33" s="3">
        <f t="shared" si="3"/>
        <v>40.024999999999999</v>
      </c>
      <c r="Z33" s="2">
        <f t="shared" si="4"/>
        <v>46.3</v>
      </c>
      <c r="AA33" s="3">
        <f t="shared" si="5"/>
        <v>50.9</v>
      </c>
      <c r="AB33" s="3">
        <f t="shared" si="6"/>
        <v>54.5</v>
      </c>
      <c r="AC33" s="3">
        <f t="shared" si="7"/>
        <v>-0.26376572605200571</v>
      </c>
      <c r="AD33" s="3">
        <f t="shared" si="8"/>
        <v>-1.264119437269756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13.707000000000001</v>
      </c>
      <c r="J34" s="39">
        <v>58.9</v>
      </c>
      <c r="K34" s="39">
        <v>37</v>
      </c>
      <c r="L34" s="39">
        <v>51.5</v>
      </c>
      <c r="M34" s="39">
        <v>47.4</v>
      </c>
      <c r="N34" s="39">
        <v>37.5</v>
      </c>
      <c r="O34" s="39">
        <v>47.8</v>
      </c>
      <c r="P34" s="39">
        <v>41.4</v>
      </c>
      <c r="Q34" s="39">
        <v>50.3</v>
      </c>
      <c r="R34" s="39">
        <v>39.1</v>
      </c>
      <c r="S34" s="39">
        <v>50.7</v>
      </c>
      <c r="T34" s="39">
        <v>33.700000000000003</v>
      </c>
      <c r="U34" s="39">
        <v>54.3</v>
      </c>
      <c r="V34" s="5">
        <f t="shared" si="0"/>
        <v>45.800000000000004</v>
      </c>
      <c r="W34" s="4">
        <f t="shared" si="1"/>
        <v>2.2766269573714197</v>
      </c>
      <c r="X34" s="2">
        <f t="shared" si="2"/>
        <v>33.700000000000003</v>
      </c>
      <c r="Y34" s="3">
        <f t="shared" si="3"/>
        <v>38.700000000000003</v>
      </c>
      <c r="Z34" s="2">
        <f t="shared" si="4"/>
        <v>47.599999999999994</v>
      </c>
      <c r="AA34" s="3">
        <f t="shared" si="5"/>
        <v>50.900000000000006</v>
      </c>
      <c r="AB34" s="3">
        <f t="shared" si="6"/>
        <v>58.9</v>
      </c>
      <c r="AC34" s="3">
        <f t="shared" si="7"/>
        <v>-3.1689789943976553E-2</v>
      </c>
      <c r="AD34" s="3">
        <f t="shared" si="8"/>
        <v>-1.1288470603852576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13.686</v>
      </c>
      <c r="J35" s="39">
        <v>61.2</v>
      </c>
      <c r="K35" s="39">
        <v>60.1</v>
      </c>
      <c r="L35" s="39">
        <v>39.9</v>
      </c>
      <c r="M35" s="39">
        <v>42.2</v>
      </c>
      <c r="N35" s="39">
        <v>53.5</v>
      </c>
      <c r="O35" s="39">
        <v>55.1</v>
      </c>
      <c r="P35" s="39">
        <v>37.200000000000003</v>
      </c>
      <c r="Q35" s="39">
        <v>59.6</v>
      </c>
      <c r="R35" s="39">
        <v>36.5</v>
      </c>
      <c r="S35" s="39">
        <v>60.2</v>
      </c>
      <c r="T35" s="39">
        <v>42</v>
      </c>
      <c r="U35" s="39">
        <v>39.799999999999997</v>
      </c>
      <c r="V35" s="5">
        <f t="shared" si="0"/>
        <v>48.941666666666663</v>
      </c>
      <c r="W35" s="4">
        <f t="shared" si="1"/>
        <v>2.91995377540555</v>
      </c>
      <c r="X35" s="2">
        <f t="shared" si="2"/>
        <v>36.5</v>
      </c>
      <c r="Y35" s="3">
        <f t="shared" si="3"/>
        <v>39.875</v>
      </c>
      <c r="Z35" s="2">
        <f t="shared" si="4"/>
        <v>47.85</v>
      </c>
      <c r="AA35" s="3">
        <f t="shared" si="5"/>
        <v>59.725000000000001</v>
      </c>
      <c r="AB35" s="3">
        <f t="shared" si="6"/>
        <v>61.2</v>
      </c>
      <c r="AC35" s="3">
        <f t="shared" si="7"/>
        <v>5.3616282643691761E-2</v>
      </c>
      <c r="AD35" s="3">
        <f t="shared" si="8"/>
        <v>-2.0772449022815058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13.664999999999999</v>
      </c>
      <c r="J36" s="39">
        <v>58.1</v>
      </c>
      <c r="K36" s="39">
        <v>42</v>
      </c>
      <c r="L36" s="39">
        <v>48.3</v>
      </c>
      <c r="M36" s="39">
        <v>36.200000000000003</v>
      </c>
      <c r="N36" s="39">
        <v>52.3</v>
      </c>
      <c r="O36" s="39">
        <v>33.5</v>
      </c>
      <c r="P36" s="39">
        <v>50.6</v>
      </c>
      <c r="Q36" s="39">
        <v>36.1</v>
      </c>
      <c r="R36" s="39">
        <v>37</v>
      </c>
      <c r="S36" s="39">
        <v>55.2</v>
      </c>
      <c r="T36" s="39">
        <v>40.9</v>
      </c>
      <c r="U36" s="39">
        <v>39.799999999999997</v>
      </c>
      <c r="V36" s="5">
        <f t="shared" si="0"/>
        <v>44.166666666666664</v>
      </c>
      <c r="W36" s="4">
        <f t="shared" si="1"/>
        <v>2.4130432606519521</v>
      </c>
      <c r="X36" s="2">
        <f t="shared" si="2"/>
        <v>33.5</v>
      </c>
      <c r="Y36" s="3">
        <f t="shared" si="3"/>
        <v>36.799999999999997</v>
      </c>
      <c r="Z36" s="2">
        <f t="shared" si="4"/>
        <v>41.45</v>
      </c>
      <c r="AA36" s="3">
        <f t="shared" si="5"/>
        <v>51.024999999999999</v>
      </c>
      <c r="AB36" s="3">
        <f t="shared" si="6"/>
        <v>58.1</v>
      </c>
      <c r="AC36" s="3">
        <f t="shared" si="7"/>
        <v>0.40763611853342879</v>
      </c>
      <c r="AD36" s="3">
        <f t="shared" si="8"/>
        <v>-1.3469289744083439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13.646000000000001</v>
      </c>
      <c r="J37" s="39">
        <v>60.3</v>
      </c>
      <c r="K37" s="39">
        <v>55.1</v>
      </c>
      <c r="L37" s="39">
        <v>54</v>
      </c>
      <c r="M37" s="39">
        <v>38.5</v>
      </c>
      <c r="N37" s="39">
        <v>53.8</v>
      </c>
      <c r="O37" s="39">
        <v>36.700000000000003</v>
      </c>
      <c r="P37" s="39">
        <v>57.8</v>
      </c>
      <c r="Q37" s="39">
        <v>43</v>
      </c>
      <c r="R37" s="39">
        <v>50.1</v>
      </c>
      <c r="S37" s="39">
        <v>52.2</v>
      </c>
      <c r="T37" s="39">
        <v>46.3</v>
      </c>
      <c r="U37" s="39">
        <v>37.4</v>
      </c>
      <c r="V37" s="5">
        <f t="shared" si="0"/>
        <v>48.766666666666659</v>
      </c>
      <c r="W37" s="4">
        <f t="shared" si="1"/>
        <v>2.3686184866612763</v>
      </c>
      <c r="X37" s="2">
        <f t="shared" si="2"/>
        <v>36.700000000000003</v>
      </c>
      <c r="Y37" s="3">
        <f t="shared" si="3"/>
        <v>41.875</v>
      </c>
      <c r="Z37" s="2">
        <f t="shared" si="4"/>
        <v>51.150000000000006</v>
      </c>
      <c r="AA37" s="3">
        <f t="shared" si="5"/>
        <v>54.274999999999999</v>
      </c>
      <c r="AB37" s="3">
        <f t="shared" si="6"/>
        <v>60.3</v>
      </c>
      <c r="AC37" s="3">
        <f t="shared" si="7"/>
        <v>-0.33088023585842191</v>
      </c>
      <c r="AD37" s="3">
        <f t="shared" si="8"/>
        <v>-1.3340841857930266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13.627000000000001</v>
      </c>
      <c r="J38" s="39">
        <v>57.5</v>
      </c>
      <c r="K38" s="39">
        <v>36.299999999999997</v>
      </c>
      <c r="L38" s="39">
        <v>54.5</v>
      </c>
      <c r="M38" s="39">
        <v>38.700000000000003</v>
      </c>
      <c r="N38" s="39">
        <v>48.4</v>
      </c>
      <c r="O38" s="39">
        <v>33.4</v>
      </c>
      <c r="P38" s="39">
        <v>51.3</v>
      </c>
      <c r="Q38" s="39">
        <v>51.8</v>
      </c>
      <c r="R38" s="39">
        <v>43</v>
      </c>
      <c r="S38" s="39">
        <v>54.2</v>
      </c>
      <c r="T38" s="39">
        <v>49.5</v>
      </c>
      <c r="U38" s="39">
        <v>37.6</v>
      </c>
      <c r="V38" s="5">
        <f t="shared" si="0"/>
        <v>46.35</v>
      </c>
      <c r="W38" s="4">
        <f t="shared" si="1"/>
        <v>2.3608389623310972</v>
      </c>
      <c r="X38" s="2">
        <f t="shared" si="2"/>
        <v>33.4</v>
      </c>
      <c r="Y38" s="3">
        <f t="shared" si="3"/>
        <v>38.425000000000004</v>
      </c>
      <c r="Z38" s="2">
        <f t="shared" si="4"/>
        <v>48.95</v>
      </c>
      <c r="AA38" s="3">
        <f t="shared" si="5"/>
        <v>52.4</v>
      </c>
      <c r="AB38" s="3">
        <f t="shared" si="6"/>
        <v>57.5</v>
      </c>
      <c r="AC38" s="3">
        <f t="shared" si="7"/>
        <v>-0.32064841303716268</v>
      </c>
      <c r="AD38" s="3">
        <f t="shared" si="8"/>
        <v>-1.4617629332812072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13.606999999999999</v>
      </c>
      <c r="J39" s="39">
        <v>59.7</v>
      </c>
      <c r="K39" s="39">
        <v>56.5</v>
      </c>
      <c r="L39" s="39">
        <v>54.7</v>
      </c>
      <c r="M39" s="39">
        <v>40.5</v>
      </c>
      <c r="N39" s="39">
        <v>54.8</v>
      </c>
      <c r="O39" s="39">
        <v>36.4</v>
      </c>
      <c r="P39" s="39">
        <v>56.8</v>
      </c>
      <c r="Q39" s="39">
        <v>40.1</v>
      </c>
      <c r="R39" s="39">
        <v>52</v>
      </c>
      <c r="S39" s="39">
        <v>44</v>
      </c>
      <c r="T39" s="39">
        <v>53.3</v>
      </c>
      <c r="U39" s="39">
        <v>37.1</v>
      </c>
      <c r="V39" s="5">
        <f t="shared" si="0"/>
        <v>48.824999999999996</v>
      </c>
      <c r="W39" s="4">
        <f t="shared" si="1"/>
        <v>2.4643864870542824</v>
      </c>
      <c r="X39" s="2">
        <f t="shared" si="2"/>
        <v>36.4</v>
      </c>
      <c r="Y39" s="3">
        <f t="shared" si="3"/>
        <v>40.4</v>
      </c>
      <c r="Z39" s="2">
        <f t="shared" si="4"/>
        <v>52.65</v>
      </c>
      <c r="AA39" s="3">
        <f t="shared" si="5"/>
        <v>55.224999999999994</v>
      </c>
      <c r="AB39" s="3">
        <f t="shared" si="6"/>
        <v>59.7</v>
      </c>
      <c r="AC39" s="3">
        <f t="shared" si="7"/>
        <v>-0.36829369749541369</v>
      </c>
      <c r="AD39" s="3">
        <f t="shared" si="8"/>
        <v>-1.7090212302262575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13.417999999999999</v>
      </c>
      <c r="J40" s="47">
        <v>55.8</v>
      </c>
      <c r="K40" s="47">
        <v>56.1</v>
      </c>
      <c r="L40" s="47">
        <v>56.7</v>
      </c>
      <c r="M40" s="47">
        <v>55.2</v>
      </c>
      <c r="N40" s="47">
        <v>57.1</v>
      </c>
      <c r="O40" s="47">
        <v>57</v>
      </c>
      <c r="P40" s="47">
        <v>57.2</v>
      </c>
      <c r="Q40" s="47">
        <v>55.9</v>
      </c>
      <c r="R40" s="47">
        <v>56.5</v>
      </c>
      <c r="S40" s="47">
        <v>56.8</v>
      </c>
      <c r="T40" s="47">
        <v>56.2</v>
      </c>
      <c r="U40" s="47">
        <v>54.6</v>
      </c>
      <c r="V40" s="49">
        <f t="shared" si="0"/>
        <v>56.258333333333333</v>
      </c>
      <c r="W40" s="48">
        <f t="shared" si="1"/>
        <v>0.2291150079516549</v>
      </c>
      <c r="X40" s="47">
        <f t="shared" si="2"/>
        <v>54.6</v>
      </c>
      <c r="Y40" s="46">
        <f t="shared" si="3"/>
        <v>55.875</v>
      </c>
      <c r="Z40" s="47">
        <f t="shared" si="4"/>
        <v>56.35</v>
      </c>
      <c r="AA40" s="46">
        <f t="shared" si="5"/>
        <v>56.849999999999994</v>
      </c>
      <c r="AB40" s="46">
        <f t="shared" si="6"/>
        <v>57.2</v>
      </c>
      <c r="AC40" s="46">
        <f t="shared" si="7"/>
        <v>-0.8278503068016565</v>
      </c>
      <c r="AD40" s="46">
        <f t="shared" si="8"/>
        <v>0.17484182097787482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13.395</v>
      </c>
      <c r="J41" s="39">
        <v>57.6</v>
      </c>
      <c r="K41" s="39">
        <v>40.5</v>
      </c>
      <c r="L41" s="39">
        <v>48</v>
      </c>
      <c r="M41" s="39">
        <v>35.700000000000003</v>
      </c>
      <c r="N41" s="39">
        <v>39.1</v>
      </c>
      <c r="O41" s="39">
        <v>51.4</v>
      </c>
      <c r="P41" s="39">
        <v>35.5</v>
      </c>
      <c r="Q41" s="39">
        <v>42.4</v>
      </c>
      <c r="R41" s="39">
        <v>44.6</v>
      </c>
      <c r="S41" s="39">
        <v>48.9</v>
      </c>
      <c r="T41" s="39">
        <v>50.9</v>
      </c>
      <c r="U41" s="39">
        <v>40.200000000000003</v>
      </c>
      <c r="V41" s="5">
        <f t="shared" si="0"/>
        <v>44.566666666666663</v>
      </c>
      <c r="W41" s="4">
        <f t="shared" si="1"/>
        <v>1.9814416749203498</v>
      </c>
      <c r="X41" s="2">
        <f t="shared" si="2"/>
        <v>35.5</v>
      </c>
      <c r="Y41" s="3">
        <f t="shared" si="3"/>
        <v>39.925000000000004</v>
      </c>
      <c r="Z41" s="2">
        <f t="shared" si="4"/>
        <v>43.5</v>
      </c>
      <c r="AA41" s="3">
        <f t="shared" si="5"/>
        <v>49.4</v>
      </c>
      <c r="AB41" s="3">
        <f t="shared" si="6"/>
        <v>57.6</v>
      </c>
      <c r="AC41" s="3">
        <f t="shared" si="7"/>
        <v>0.38539752055954457</v>
      </c>
      <c r="AD41" s="3">
        <f t="shared" si="8"/>
        <v>-0.65229877273073367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13.385999999999999</v>
      </c>
      <c r="J42" s="47">
        <v>63.1</v>
      </c>
      <c r="K42" s="47">
        <v>64.5</v>
      </c>
      <c r="L42" s="47">
        <v>65</v>
      </c>
      <c r="M42" s="47">
        <v>66.099999999999994</v>
      </c>
      <c r="N42" s="47">
        <v>62.2</v>
      </c>
      <c r="O42" s="47">
        <v>64.900000000000006</v>
      </c>
      <c r="P42" s="47">
        <v>65</v>
      </c>
      <c r="Q42" s="47">
        <v>62.5</v>
      </c>
      <c r="R42" s="47">
        <v>65.8</v>
      </c>
      <c r="S42" s="47">
        <v>64.5</v>
      </c>
      <c r="T42" s="47">
        <v>66.400000000000006</v>
      </c>
      <c r="U42" s="47">
        <v>64.8</v>
      </c>
      <c r="V42" s="49">
        <f t="shared" ref="V42:V73" si="9">AVERAGE(J42:U42)</f>
        <v>64.566666666666649</v>
      </c>
      <c r="W42" s="48">
        <f t="shared" ref="W42:W73" si="10">STDEV(J42:U42)/SQRT(COUNT(J42:U42))</f>
        <v>0.38736353087313846</v>
      </c>
      <c r="X42" s="47">
        <f t="shared" ref="X42:X73" si="11">MIN(J42:U42)</f>
        <v>62.2</v>
      </c>
      <c r="Y42" s="46">
        <f t="shared" ref="Y42:Y73" si="12">QUARTILE(J42:U42,1)</f>
        <v>64.150000000000006</v>
      </c>
      <c r="Z42" s="47">
        <f t="shared" ref="Z42:Z73" si="13">MEDIAN(J42:U42)</f>
        <v>64.849999999999994</v>
      </c>
      <c r="AA42" s="46">
        <f t="shared" ref="AA42:AA73" si="14">QUARTILE(J42:U42,3)</f>
        <v>65.2</v>
      </c>
      <c r="AB42" s="46">
        <f t="shared" ref="AB42:AB73" si="15">MAX(J42:U42)</f>
        <v>66.400000000000006</v>
      </c>
      <c r="AC42" s="46">
        <f t="shared" ref="AC42:AC73" si="16">SKEW(J42:U42)</f>
        <v>-0.60424125228469661</v>
      </c>
      <c r="AD42" s="46">
        <f t="shared" ref="AD42:AD73" si="17">KURT(J42:U42)</f>
        <v>-0.46272949744992653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13.358000000000001</v>
      </c>
      <c r="J43" s="39">
        <v>66.3</v>
      </c>
      <c r="K43" s="39">
        <v>46.8</v>
      </c>
      <c r="L43" s="39">
        <v>59.3</v>
      </c>
      <c r="M43" s="39">
        <v>51.5</v>
      </c>
      <c r="N43" s="39">
        <v>42</v>
      </c>
      <c r="O43" s="39">
        <v>66.900000000000006</v>
      </c>
      <c r="P43" s="39">
        <v>43.5</v>
      </c>
      <c r="Q43" s="39">
        <v>62.8</v>
      </c>
      <c r="R43" s="39">
        <v>43.1</v>
      </c>
      <c r="S43" s="39">
        <v>59.3</v>
      </c>
      <c r="T43" s="39">
        <v>45.8</v>
      </c>
      <c r="U43" s="39">
        <v>62.5</v>
      </c>
      <c r="V43" s="5">
        <f t="shared" si="9"/>
        <v>54.15</v>
      </c>
      <c r="W43" s="4">
        <f t="shared" si="10"/>
        <v>2.7820991638645509</v>
      </c>
      <c r="X43" s="2">
        <f t="shared" si="11"/>
        <v>42</v>
      </c>
      <c r="Y43" s="3">
        <f t="shared" si="12"/>
        <v>45.224999999999994</v>
      </c>
      <c r="Z43" s="2">
        <f t="shared" si="13"/>
        <v>55.4</v>
      </c>
      <c r="AA43" s="3">
        <f t="shared" si="14"/>
        <v>62.575000000000003</v>
      </c>
      <c r="AB43" s="3">
        <f t="shared" si="15"/>
        <v>66.900000000000006</v>
      </c>
      <c r="AC43" s="3">
        <f t="shared" si="16"/>
        <v>2.4631262732983418E-3</v>
      </c>
      <c r="AD43" s="3">
        <f t="shared" si="17"/>
        <v>-1.8874680563993729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13.346</v>
      </c>
      <c r="J44" s="47">
        <v>60.7</v>
      </c>
      <c r="K44" s="47">
        <v>58.8</v>
      </c>
      <c r="L44" s="47">
        <v>57.6</v>
      </c>
      <c r="M44" s="47">
        <v>57.9</v>
      </c>
      <c r="N44" s="47">
        <v>56.7</v>
      </c>
      <c r="O44" s="47">
        <v>57.4</v>
      </c>
      <c r="P44" s="47">
        <v>60.6</v>
      </c>
      <c r="Q44" s="47">
        <v>57.9</v>
      </c>
      <c r="R44" s="47">
        <v>56.9</v>
      </c>
      <c r="S44" s="47">
        <v>58.5</v>
      </c>
      <c r="T44" s="47">
        <v>59.5</v>
      </c>
      <c r="U44" s="47">
        <v>58.2</v>
      </c>
      <c r="V44" s="49">
        <f t="shared" si="9"/>
        <v>58.391666666666673</v>
      </c>
      <c r="W44" s="48">
        <f t="shared" si="10"/>
        <v>0.3776839975696642</v>
      </c>
      <c r="X44" s="47">
        <f t="shared" si="11"/>
        <v>56.7</v>
      </c>
      <c r="Y44" s="46">
        <f t="shared" si="12"/>
        <v>57.55</v>
      </c>
      <c r="Z44" s="47">
        <f t="shared" si="13"/>
        <v>58.05</v>
      </c>
      <c r="AA44" s="46">
        <f t="shared" si="14"/>
        <v>58.974999999999994</v>
      </c>
      <c r="AB44" s="46">
        <f t="shared" si="15"/>
        <v>60.7</v>
      </c>
      <c r="AC44" s="46">
        <f t="shared" si="16"/>
        <v>0.71234319640507759</v>
      </c>
      <c r="AD44" s="46">
        <f t="shared" si="17"/>
        <v>-0.35862022712395403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13.32</v>
      </c>
      <c r="J45" s="39">
        <v>60.8</v>
      </c>
      <c r="K45" s="39">
        <v>57.7</v>
      </c>
      <c r="L45" s="39">
        <v>44.7</v>
      </c>
      <c r="M45" s="39">
        <v>35</v>
      </c>
      <c r="N45" s="39">
        <v>54.5</v>
      </c>
      <c r="O45" s="39">
        <v>37.9</v>
      </c>
      <c r="P45" s="39">
        <v>40.700000000000003</v>
      </c>
      <c r="Q45" s="39">
        <v>54.9</v>
      </c>
      <c r="R45" s="39">
        <v>36.4</v>
      </c>
      <c r="S45" s="39">
        <v>58.7</v>
      </c>
      <c r="T45" s="39">
        <v>39.200000000000003</v>
      </c>
      <c r="U45" s="39">
        <v>53.2</v>
      </c>
      <c r="V45" s="5">
        <f t="shared" si="9"/>
        <v>47.80833333333333</v>
      </c>
      <c r="W45" s="4">
        <f t="shared" si="10"/>
        <v>2.8016082592653642</v>
      </c>
      <c r="X45" s="2">
        <f t="shared" si="11"/>
        <v>35</v>
      </c>
      <c r="Y45" s="3">
        <f t="shared" si="12"/>
        <v>38.875</v>
      </c>
      <c r="Z45" s="2">
        <f t="shared" si="13"/>
        <v>48.95</v>
      </c>
      <c r="AA45" s="3">
        <f t="shared" si="14"/>
        <v>55.6</v>
      </c>
      <c r="AB45" s="3">
        <f t="shared" si="15"/>
        <v>60.8</v>
      </c>
      <c r="AC45" s="3">
        <f t="shared" si="16"/>
        <v>-3.8212065586012187E-2</v>
      </c>
      <c r="AD45" s="3">
        <f t="shared" si="17"/>
        <v>-1.9171012209373974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13.308999999999999</v>
      </c>
      <c r="J46" s="47">
        <v>65.7</v>
      </c>
      <c r="K46" s="47">
        <v>65.599999999999994</v>
      </c>
      <c r="L46" s="47">
        <v>65</v>
      </c>
      <c r="M46" s="47">
        <v>63.2</v>
      </c>
      <c r="N46" s="47">
        <v>64.3</v>
      </c>
      <c r="O46" s="47">
        <v>64.8</v>
      </c>
      <c r="P46" s="47">
        <v>64.7</v>
      </c>
      <c r="Q46" s="47">
        <v>64.099999999999994</v>
      </c>
      <c r="R46" s="47">
        <v>66.099999999999994</v>
      </c>
      <c r="S46" s="47">
        <v>65.900000000000006</v>
      </c>
      <c r="T46" s="47">
        <v>63</v>
      </c>
      <c r="U46" s="47">
        <v>63</v>
      </c>
      <c r="V46" s="49">
        <f t="shared" si="9"/>
        <v>64.61666666666666</v>
      </c>
      <c r="W46" s="48">
        <f t="shared" si="10"/>
        <v>0.32306142893989498</v>
      </c>
      <c r="X46" s="47">
        <f t="shared" si="11"/>
        <v>63</v>
      </c>
      <c r="Y46" s="46">
        <f t="shared" si="12"/>
        <v>63.875</v>
      </c>
      <c r="Z46" s="47">
        <f t="shared" si="13"/>
        <v>64.75</v>
      </c>
      <c r="AA46" s="46">
        <f t="shared" si="14"/>
        <v>65.625</v>
      </c>
      <c r="AB46" s="46">
        <f t="shared" si="15"/>
        <v>66.099999999999994</v>
      </c>
      <c r="AC46" s="46">
        <f t="shared" si="16"/>
        <v>-0.29583294496857726</v>
      </c>
      <c r="AD46" s="46">
        <f t="shared" si="17"/>
        <v>-1.2546696289810813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13.289</v>
      </c>
      <c r="J47" s="39">
        <v>68.7</v>
      </c>
      <c r="K47" s="39">
        <v>65.8</v>
      </c>
      <c r="L47" s="39">
        <v>61.4</v>
      </c>
      <c r="M47" s="39">
        <v>44.3</v>
      </c>
      <c r="N47" s="39">
        <v>45.1</v>
      </c>
      <c r="O47" s="39">
        <v>65.400000000000006</v>
      </c>
      <c r="P47" s="39">
        <v>45.4</v>
      </c>
      <c r="Q47" s="39">
        <v>59.5</v>
      </c>
      <c r="R47" s="39">
        <v>39.9</v>
      </c>
      <c r="S47" s="39">
        <v>63.7</v>
      </c>
      <c r="T47" s="39">
        <v>41.4</v>
      </c>
      <c r="U47" s="39">
        <v>65</v>
      </c>
      <c r="V47" s="5">
        <f t="shared" si="9"/>
        <v>55.466666666666669</v>
      </c>
      <c r="W47" s="4">
        <f t="shared" si="10"/>
        <v>3.2150294153264145</v>
      </c>
      <c r="X47" s="2">
        <f t="shared" si="11"/>
        <v>39.9</v>
      </c>
      <c r="Y47" s="3">
        <f t="shared" si="12"/>
        <v>44.9</v>
      </c>
      <c r="Z47" s="2">
        <f t="shared" si="13"/>
        <v>60.45</v>
      </c>
      <c r="AA47" s="3">
        <f t="shared" si="14"/>
        <v>65.099999999999994</v>
      </c>
      <c r="AB47" s="3">
        <f t="shared" si="15"/>
        <v>68.7</v>
      </c>
      <c r="AC47" s="3">
        <f t="shared" si="16"/>
        <v>-0.31447197687377498</v>
      </c>
      <c r="AD47" s="3">
        <f t="shared" si="17"/>
        <v>-1.9705433400528913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13.103999999999999</v>
      </c>
      <c r="J48" s="39">
        <v>27.3</v>
      </c>
      <c r="K48" s="39">
        <v>27.7</v>
      </c>
      <c r="L48" s="39">
        <v>28.5</v>
      </c>
      <c r="M48" s="39">
        <v>28.1</v>
      </c>
      <c r="N48" s="39">
        <v>28.3</v>
      </c>
      <c r="O48" s="39">
        <v>29.1</v>
      </c>
      <c r="P48" s="39">
        <v>29.3</v>
      </c>
      <c r="Q48" s="39">
        <v>29.3</v>
      </c>
      <c r="R48" s="39">
        <v>28.6</v>
      </c>
      <c r="S48" s="39">
        <v>30.6</v>
      </c>
      <c r="T48" s="39">
        <v>29.3</v>
      </c>
      <c r="U48" s="39">
        <v>30.2</v>
      </c>
      <c r="V48" s="5">
        <f t="shared" si="9"/>
        <v>28.858333333333338</v>
      </c>
      <c r="W48" s="4">
        <f t="shared" si="10"/>
        <v>0.27973427145464791</v>
      </c>
      <c r="X48" s="2">
        <f t="shared" si="11"/>
        <v>27.3</v>
      </c>
      <c r="Y48" s="3">
        <f t="shared" si="12"/>
        <v>28.25</v>
      </c>
      <c r="Z48" s="2">
        <f t="shared" si="13"/>
        <v>28.85</v>
      </c>
      <c r="AA48" s="3">
        <f t="shared" si="14"/>
        <v>29.3</v>
      </c>
      <c r="AB48" s="3">
        <f t="shared" si="15"/>
        <v>30.6</v>
      </c>
      <c r="AC48" s="3">
        <f t="shared" si="16"/>
        <v>0.234864390965003</v>
      </c>
      <c r="AD48" s="3">
        <f t="shared" si="17"/>
        <v>-0.33308042693763307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13.084</v>
      </c>
      <c r="J49" s="39">
        <v>29.9</v>
      </c>
      <c r="K49" s="39">
        <v>30.2</v>
      </c>
      <c r="L49" s="39">
        <v>30.3</v>
      </c>
      <c r="M49" s="39">
        <v>30.2</v>
      </c>
      <c r="N49" s="39">
        <v>29.3</v>
      </c>
      <c r="O49" s="39">
        <v>30.6</v>
      </c>
      <c r="P49" s="39">
        <v>29.6</v>
      </c>
      <c r="Q49" s="39">
        <v>30.1</v>
      </c>
      <c r="R49" s="39">
        <v>30.1</v>
      </c>
      <c r="S49" s="39">
        <v>28.7</v>
      </c>
      <c r="T49" s="39">
        <v>29.8</v>
      </c>
      <c r="U49" s="39">
        <v>29.6</v>
      </c>
      <c r="V49" s="5">
        <f t="shared" si="9"/>
        <v>29.866666666666671</v>
      </c>
      <c r="W49" s="4">
        <f t="shared" si="10"/>
        <v>0.14788065075826143</v>
      </c>
      <c r="X49" s="2">
        <f t="shared" si="11"/>
        <v>28.7</v>
      </c>
      <c r="Y49" s="3">
        <f t="shared" si="12"/>
        <v>29.6</v>
      </c>
      <c r="Z49" s="2">
        <f t="shared" si="13"/>
        <v>30</v>
      </c>
      <c r="AA49" s="3">
        <f t="shared" si="14"/>
        <v>30.2</v>
      </c>
      <c r="AB49" s="3">
        <f t="shared" si="15"/>
        <v>30.6</v>
      </c>
      <c r="AC49" s="3">
        <f t="shared" si="16"/>
        <v>-1.0004757611485779</v>
      </c>
      <c r="AD49" s="3">
        <f t="shared" si="17"/>
        <v>1.2773245363728503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13.066000000000001</v>
      </c>
      <c r="J50" s="39">
        <v>30.8</v>
      </c>
      <c r="K50" s="39">
        <v>30.3</v>
      </c>
      <c r="L50" s="39">
        <v>29.6</v>
      </c>
      <c r="M50" s="39">
        <v>29.7</v>
      </c>
      <c r="N50" s="39">
        <v>28.2</v>
      </c>
      <c r="O50" s="39">
        <v>30.3</v>
      </c>
      <c r="P50" s="39">
        <v>27.8</v>
      </c>
      <c r="Q50" s="39">
        <v>28.9</v>
      </c>
      <c r="R50" s="39">
        <v>30.9</v>
      </c>
      <c r="S50" s="39">
        <v>29.5</v>
      </c>
      <c r="T50" s="39">
        <v>27.2</v>
      </c>
      <c r="U50" s="39">
        <v>27.9</v>
      </c>
      <c r="V50" s="5">
        <f t="shared" si="9"/>
        <v>29.258333333333329</v>
      </c>
      <c r="W50" s="4">
        <f t="shared" si="10"/>
        <v>0.35959959494814336</v>
      </c>
      <c r="X50" s="2">
        <f t="shared" si="11"/>
        <v>27.2</v>
      </c>
      <c r="Y50" s="3">
        <f t="shared" si="12"/>
        <v>28.125</v>
      </c>
      <c r="Z50" s="2">
        <f t="shared" si="13"/>
        <v>29.55</v>
      </c>
      <c r="AA50" s="3">
        <f t="shared" si="14"/>
        <v>30.3</v>
      </c>
      <c r="AB50" s="3">
        <f t="shared" si="15"/>
        <v>30.9</v>
      </c>
      <c r="AC50" s="3">
        <f t="shared" si="16"/>
        <v>-0.28615985537423189</v>
      </c>
      <c r="AD50" s="3">
        <f t="shared" si="17"/>
        <v>-1.2540279239713046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13.045999999999999</v>
      </c>
      <c r="J51" s="39">
        <v>29</v>
      </c>
      <c r="K51" s="39">
        <v>27.5</v>
      </c>
      <c r="L51" s="39">
        <v>28.4</v>
      </c>
      <c r="M51" s="39">
        <v>28.6</v>
      </c>
      <c r="N51" s="39">
        <v>28.6</v>
      </c>
      <c r="O51" s="39">
        <v>27.8</v>
      </c>
      <c r="P51" s="39">
        <v>27.8</v>
      </c>
      <c r="Q51" s="39">
        <v>27.8</v>
      </c>
      <c r="R51" s="39">
        <v>28</v>
      </c>
      <c r="S51" s="39">
        <v>29</v>
      </c>
      <c r="T51" s="39">
        <v>28.5</v>
      </c>
      <c r="U51" s="39">
        <v>29.4</v>
      </c>
      <c r="V51" s="5">
        <f t="shared" si="9"/>
        <v>28.366666666666664</v>
      </c>
      <c r="W51" s="4">
        <f t="shared" si="10"/>
        <v>0.17070856493279449</v>
      </c>
      <c r="X51" s="2">
        <f t="shared" si="11"/>
        <v>27.5</v>
      </c>
      <c r="Y51" s="3">
        <f t="shared" si="12"/>
        <v>27.8</v>
      </c>
      <c r="Z51" s="2">
        <f t="shared" si="13"/>
        <v>28.45</v>
      </c>
      <c r="AA51" s="3">
        <f t="shared" si="14"/>
        <v>28.700000000000003</v>
      </c>
      <c r="AB51" s="3">
        <f t="shared" si="15"/>
        <v>29.4</v>
      </c>
      <c r="AC51" s="3">
        <f t="shared" si="16"/>
        <v>0.20737962108159122</v>
      </c>
      <c r="AD51" s="3">
        <f t="shared" si="17"/>
        <v>-0.99263957180059093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13.026999999999999</v>
      </c>
      <c r="J52" s="39">
        <v>30.6</v>
      </c>
      <c r="K52" s="39">
        <v>28.9</v>
      </c>
      <c r="L52" s="39">
        <v>28.6</v>
      </c>
      <c r="M52" s="39">
        <v>28.2</v>
      </c>
      <c r="N52" s="39">
        <v>27.8</v>
      </c>
      <c r="O52" s="39">
        <v>27.7</v>
      </c>
      <c r="P52" s="39">
        <v>28.5</v>
      </c>
      <c r="Q52" s="39">
        <v>29.1</v>
      </c>
      <c r="R52" s="39">
        <v>30</v>
      </c>
      <c r="S52" s="39">
        <v>28.8</v>
      </c>
      <c r="T52" s="39">
        <v>27.7</v>
      </c>
      <c r="U52" s="39">
        <v>28.3</v>
      </c>
      <c r="V52" s="5">
        <f t="shared" si="9"/>
        <v>28.683333333333334</v>
      </c>
      <c r="W52" s="4">
        <f t="shared" si="10"/>
        <v>0.25785635340223645</v>
      </c>
      <c r="X52" s="2">
        <f t="shared" si="11"/>
        <v>27.7</v>
      </c>
      <c r="Y52" s="3">
        <f t="shared" si="12"/>
        <v>28.1</v>
      </c>
      <c r="Z52" s="2">
        <f t="shared" si="13"/>
        <v>28.55</v>
      </c>
      <c r="AA52" s="3">
        <f t="shared" si="14"/>
        <v>28.95</v>
      </c>
      <c r="AB52" s="3">
        <f t="shared" si="15"/>
        <v>30.6</v>
      </c>
      <c r="AC52" s="3">
        <f t="shared" si="16"/>
        <v>1.0165047116754493</v>
      </c>
      <c r="AD52" s="3">
        <f t="shared" si="17"/>
        <v>0.69175634447182155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13.007</v>
      </c>
      <c r="J53" s="39">
        <v>26.7</v>
      </c>
      <c r="K53" s="39">
        <v>28.3</v>
      </c>
      <c r="L53" s="39">
        <v>27.6</v>
      </c>
      <c r="M53" s="39">
        <v>29</v>
      </c>
      <c r="N53" s="39">
        <v>26.8</v>
      </c>
      <c r="O53" s="39">
        <v>28.7</v>
      </c>
      <c r="P53" s="39">
        <v>27.3</v>
      </c>
      <c r="Q53" s="39">
        <v>27.8</v>
      </c>
      <c r="R53" s="39">
        <v>28.2</v>
      </c>
      <c r="S53" s="39">
        <v>27.1</v>
      </c>
      <c r="T53" s="39">
        <v>28.1</v>
      </c>
      <c r="U53" s="39">
        <v>27.8</v>
      </c>
      <c r="V53" s="5">
        <f t="shared" si="9"/>
        <v>27.783333333333335</v>
      </c>
      <c r="W53" s="4">
        <f t="shared" si="10"/>
        <v>0.20846965237078499</v>
      </c>
      <c r="X53" s="2">
        <f t="shared" si="11"/>
        <v>26.7</v>
      </c>
      <c r="Y53" s="3">
        <f t="shared" si="12"/>
        <v>27.25</v>
      </c>
      <c r="Z53" s="2">
        <f t="shared" si="13"/>
        <v>27.8</v>
      </c>
      <c r="AA53" s="3">
        <f t="shared" si="14"/>
        <v>28.225000000000001</v>
      </c>
      <c r="AB53" s="3">
        <f t="shared" si="15"/>
        <v>29</v>
      </c>
      <c r="AC53" s="3">
        <f t="shared" si="16"/>
        <v>4.4285758730575824E-2</v>
      </c>
      <c r="AD53" s="3">
        <f t="shared" si="17"/>
        <v>-0.7918597926087183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12.986000000000001</v>
      </c>
      <c r="J54" s="39">
        <v>30</v>
      </c>
      <c r="K54" s="39">
        <v>29.4</v>
      </c>
      <c r="L54" s="39">
        <v>28.8</v>
      </c>
      <c r="M54" s="39">
        <v>30.3</v>
      </c>
      <c r="N54" s="39">
        <v>28.9</v>
      </c>
      <c r="O54" s="39">
        <v>28.5</v>
      </c>
      <c r="P54" s="39">
        <v>27.8</v>
      </c>
      <c r="Q54" s="39">
        <v>29</v>
      </c>
      <c r="R54" s="39">
        <v>28.1</v>
      </c>
      <c r="S54" s="39">
        <v>28.2</v>
      </c>
      <c r="T54" s="39">
        <v>28.3</v>
      </c>
      <c r="U54" s="39">
        <v>28.6</v>
      </c>
      <c r="V54" s="5">
        <f t="shared" si="9"/>
        <v>28.825000000000003</v>
      </c>
      <c r="W54" s="4">
        <f t="shared" si="10"/>
        <v>0.21885549404282101</v>
      </c>
      <c r="X54" s="2">
        <f t="shared" si="11"/>
        <v>27.8</v>
      </c>
      <c r="Y54" s="3">
        <f t="shared" si="12"/>
        <v>28.274999999999999</v>
      </c>
      <c r="Z54" s="2">
        <f t="shared" si="13"/>
        <v>28.700000000000003</v>
      </c>
      <c r="AA54" s="3">
        <f t="shared" si="14"/>
        <v>29.1</v>
      </c>
      <c r="AB54" s="3">
        <f t="shared" si="15"/>
        <v>30.3</v>
      </c>
      <c r="AC54" s="3">
        <f t="shared" si="16"/>
        <v>0.7847474706100539</v>
      </c>
      <c r="AD54" s="3">
        <f t="shared" si="17"/>
        <v>-4.0026135734155144E-2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12.967000000000001</v>
      </c>
      <c r="J55" s="39">
        <v>30</v>
      </c>
      <c r="K55" s="39">
        <v>29.4</v>
      </c>
      <c r="L55" s="39">
        <v>29.3</v>
      </c>
      <c r="M55" s="39">
        <v>31.3</v>
      </c>
      <c r="N55" s="39">
        <v>30.7</v>
      </c>
      <c r="O55" s="39">
        <v>30.6</v>
      </c>
      <c r="P55" s="39">
        <v>29.7</v>
      </c>
      <c r="Q55" s="39">
        <v>30</v>
      </c>
      <c r="R55" s="39">
        <v>29.6</v>
      </c>
      <c r="S55" s="39">
        <v>30.5</v>
      </c>
      <c r="T55" s="39">
        <v>29.2</v>
      </c>
      <c r="U55" s="39">
        <v>30.5</v>
      </c>
      <c r="V55" s="5">
        <f t="shared" si="9"/>
        <v>30.066666666666663</v>
      </c>
      <c r="W55" s="4">
        <f t="shared" si="10"/>
        <v>0.18923023227825103</v>
      </c>
      <c r="X55" s="2">
        <f t="shared" si="11"/>
        <v>29.2</v>
      </c>
      <c r="Y55" s="3">
        <f t="shared" si="12"/>
        <v>29.55</v>
      </c>
      <c r="Z55" s="2">
        <f t="shared" si="13"/>
        <v>30</v>
      </c>
      <c r="AA55" s="3">
        <f t="shared" si="14"/>
        <v>30.524999999999999</v>
      </c>
      <c r="AB55" s="3">
        <f t="shared" si="15"/>
        <v>31.3</v>
      </c>
      <c r="AC55" s="3">
        <f t="shared" si="16"/>
        <v>0.34667463944489046</v>
      </c>
      <c r="AD55" s="3">
        <f t="shared" si="17"/>
        <v>-0.7913275019346151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13.134</v>
      </c>
      <c r="J56" s="39">
        <v>31.7</v>
      </c>
      <c r="K56" s="39">
        <v>30.2</v>
      </c>
      <c r="L56" s="39">
        <v>31.6</v>
      </c>
      <c r="M56" s="39">
        <v>32.4</v>
      </c>
      <c r="N56" s="39">
        <v>31</v>
      </c>
      <c r="O56" s="39">
        <v>28.8</v>
      </c>
      <c r="P56" s="39">
        <v>28.6</v>
      </c>
      <c r="Q56" s="39">
        <v>32.5</v>
      </c>
      <c r="R56" s="39">
        <v>31.5</v>
      </c>
      <c r="S56" s="39">
        <v>29.9</v>
      </c>
      <c r="T56" s="39">
        <v>31.6</v>
      </c>
      <c r="U56" s="39">
        <v>29.9</v>
      </c>
      <c r="V56" s="5">
        <f t="shared" si="9"/>
        <v>30.808333333333334</v>
      </c>
      <c r="W56" s="4">
        <f t="shared" si="10"/>
        <v>0.37828527261148759</v>
      </c>
      <c r="X56" s="2">
        <f t="shared" si="11"/>
        <v>28.6</v>
      </c>
      <c r="Y56" s="3">
        <f t="shared" si="12"/>
        <v>29.9</v>
      </c>
      <c r="Z56" s="2">
        <f t="shared" si="13"/>
        <v>31.25</v>
      </c>
      <c r="AA56" s="3">
        <f t="shared" si="14"/>
        <v>31.625</v>
      </c>
      <c r="AB56" s="3">
        <f t="shared" si="15"/>
        <v>32.5</v>
      </c>
      <c r="AC56" s="3">
        <f t="shared" si="16"/>
        <v>-0.46934176566656238</v>
      </c>
      <c r="AD56" s="3">
        <f t="shared" si="17"/>
        <v>-0.94436033815953069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13.153</v>
      </c>
      <c r="J57" s="39">
        <v>27.9</v>
      </c>
      <c r="K57" s="39">
        <v>29.3</v>
      </c>
      <c r="L57" s="39">
        <v>31.5</v>
      </c>
      <c r="M57" s="39">
        <v>30.8</v>
      </c>
      <c r="N57" s="39">
        <v>29.9</v>
      </c>
      <c r="O57" s="39">
        <v>31.9</v>
      </c>
      <c r="P57" s="39">
        <v>32.299999999999997</v>
      </c>
      <c r="Q57" s="39">
        <v>30.4</v>
      </c>
      <c r="R57" s="39">
        <v>31.2</v>
      </c>
      <c r="S57" s="39">
        <v>31</v>
      </c>
      <c r="T57" s="39">
        <v>30.1</v>
      </c>
      <c r="U57" s="39">
        <v>31.3</v>
      </c>
      <c r="V57" s="5">
        <f t="shared" si="9"/>
        <v>30.63333333333334</v>
      </c>
      <c r="W57" s="4">
        <f t="shared" si="10"/>
        <v>0.35018032872544763</v>
      </c>
      <c r="X57" s="2">
        <f t="shared" si="11"/>
        <v>27.9</v>
      </c>
      <c r="Y57" s="3">
        <f t="shared" si="12"/>
        <v>30.05</v>
      </c>
      <c r="Z57" s="2">
        <f t="shared" si="13"/>
        <v>30.9</v>
      </c>
      <c r="AA57" s="3">
        <f t="shared" si="14"/>
        <v>31.35</v>
      </c>
      <c r="AB57" s="3">
        <f t="shared" si="15"/>
        <v>32.299999999999997</v>
      </c>
      <c r="AC57" s="3">
        <f t="shared" si="16"/>
        <v>-0.94758098322320206</v>
      </c>
      <c r="AD57" s="3">
        <f t="shared" si="17"/>
        <v>1.098861782770518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13.173999999999999</v>
      </c>
      <c r="J58" s="39">
        <v>28.6</v>
      </c>
      <c r="K58" s="39">
        <v>29.3</v>
      </c>
      <c r="L58" s="39">
        <v>29.4</v>
      </c>
      <c r="M58" s="39">
        <v>31.4</v>
      </c>
      <c r="N58" s="39">
        <v>27.9</v>
      </c>
      <c r="O58" s="39">
        <v>29.4</v>
      </c>
      <c r="P58" s="39">
        <v>27.4</v>
      </c>
      <c r="Q58" s="39">
        <v>29.1</v>
      </c>
      <c r="R58" s="39">
        <v>28</v>
      </c>
      <c r="S58" s="39">
        <v>29.1</v>
      </c>
      <c r="T58" s="39">
        <v>30.4</v>
      </c>
      <c r="U58" s="39">
        <v>29.3</v>
      </c>
      <c r="V58" s="5">
        <f t="shared" si="9"/>
        <v>29.108333333333334</v>
      </c>
      <c r="W58" s="4">
        <f t="shared" si="10"/>
        <v>0.31417480497456829</v>
      </c>
      <c r="X58" s="2">
        <f t="shared" si="11"/>
        <v>27.4</v>
      </c>
      <c r="Y58" s="3">
        <f t="shared" si="12"/>
        <v>28.450000000000003</v>
      </c>
      <c r="Z58" s="2">
        <f t="shared" si="13"/>
        <v>29.200000000000003</v>
      </c>
      <c r="AA58" s="3">
        <f t="shared" si="14"/>
        <v>29.4</v>
      </c>
      <c r="AB58" s="3">
        <f t="shared" si="15"/>
        <v>31.4</v>
      </c>
      <c r="AC58" s="3">
        <f t="shared" si="16"/>
        <v>0.50870783061290048</v>
      </c>
      <c r="AD58" s="3">
        <f t="shared" si="17"/>
        <v>0.752011439407271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13.192</v>
      </c>
      <c r="J59" s="39">
        <v>29.4</v>
      </c>
      <c r="K59" s="39">
        <v>28.8</v>
      </c>
      <c r="L59" s="39">
        <v>29</v>
      </c>
      <c r="M59" s="39">
        <v>30.2</v>
      </c>
      <c r="N59" s="39">
        <v>28.6</v>
      </c>
      <c r="O59" s="39">
        <v>28.9</v>
      </c>
      <c r="P59" s="39">
        <v>30.5</v>
      </c>
      <c r="Q59" s="39">
        <v>29.7</v>
      </c>
      <c r="R59" s="39">
        <v>31.4</v>
      </c>
      <c r="S59" s="39">
        <v>29.4</v>
      </c>
      <c r="T59" s="39">
        <v>30.5</v>
      </c>
      <c r="U59" s="39">
        <v>29.7</v>
      </c>
      <c r="V59" s="5">
        <f t="shared" si="9"/>
        <v>29.674999999999997</v>
      </c>
      <c r="W59" s="4">
        <f t="shared" si="10"/>
        <v>0.24218856915697529</v>
      </c>
      <c r="X59" s="2">
        <f t="shared" si="11"/>
        <v>28.6</v>
      </c>
      <c r="Y59" s="3">
        <f t="shared" si="12"/>
        <v>28.975000000000001</v>
      </c>
      <c r="Z59" s="2">
        <f t="shared" si="13"/>
        <v>29.549999999999997</v>
      </c>
      <c r="AA59" s="3">
        <f t="shared" si="14"/>
        <v>30.274999999999999</v>
      </c>
      <c r="AB59" s="3">
        <f t="shared" si="15"/>
        <v>31.4</v>
      </c>
      <c r="AC59" s="3">
        <f t="shared" si="16"/>
        <v>0.67870358525479479</v>
      </c>
      <c r="AD59" s="3">
        <f t="shared" si="17"/>
        <v>-0.10263904569877091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13.211</v>
      </c>
      <c r="J60" s="39">
        <v>27.1</v>
      </c>
      <c r="K60" s="39">
        <v>26.2</v>
      </c>
      <c r="L60" s="39">
        <v>28.3</v>
      </c>
      <c r="M60" s="39">
        <v>27.2</v>
      </c>
      <c r="N60" s="39">
        <v>26.7</v>
      </c>
      <c r="O60" s="39">
        <v>26.9</v>
      </c>
      <c r="P60" s="39">
        <v>27.7</v>
      </c>
      <c r="Q60" s="39">
        <v>29.6</v>
      </c>
      <c r="R60" s="39">
        <v>28.9</v>
      </c>
      <c r="S60" s="39">
        <v>29.9</v>
      </c>
      <c r="T60" s="39">
        <v>32.1</v>
      </c>
      <c r="U60" s="39">
        <v>30.6</v>
      </c>
      <c r="V60" s="5">
        <f t="shared" si="9"/>
        <v>28.433333333333337</v>
      </c>
      <c r="W60" s="4">
        <f t="shared" si="10"/>
        <v>0.52271629325315982</v>
      </c>
      <c r="X60" s="2">
        <f t="shared" si="11"/>
        <v>26.2</v>
      </c>
      <c r="Y60" s="3">
        <f t="shared" si="12"/>
        <v>27.05</v>
      </c>
      <c r="Z60" s="2">
        <f t="shared" si="13"/>
        <v>28</v>
      </c>
      <c r="AA60" s="3">
        <f t="shared" si="14"/>
        <v>29.675000000000001</v>
      </c>
      <c r="AB60" s="3">
        <f t="shared" si="15"/>
        <v>32.1</v>
      </c>
      <c r="AC60" s="3">
        <f t="shared" si="16"/>
        <v>0.72978309919949358</v>
      </c>
      <c r="AD60" s="3">
        <f t="shared" si="17"/>
        <v>-0.30276460720033871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13.231</v>
      </c>
      <c r="J61" s="39">
        <v>29.1</v>
      </c>
      <c r="K61" s="39">
        <v>28.6</v>
      </c>
      <c r="L61" s="39">
        <v>29.6</v>
      </c>
      <c r="M61" s="39">
        <v>29.2</v>
      </c>
      <c r="N61" s="39">
        <v>31.1</v>
      </c>
      <c r="O61" s="39">
        <v>28.9</v>
      </c>
      <c r="P61" s="39">
        <v>30.7</v>
      </c>
      <c r="Q61" s="39">
        <v>30.2</v>
      </c>
      <c r="R61" s="39">
        <v>31.1</v>
      </c>
      <c r="S61" s="39">
        <v>31</v>
      </c>
      <c r="T61" s="39">
        <v>30.4</v>
      </c>
      <c r="U61" s="39">
        <v>29.9</v>
      </c>
      <c r="V61" s="5">
        <f t="shared" si="9"/>
        <v>29.983333333333331</v>
      </c>
      <c r="W61" s="4">
        <f t="shared" si="10"/>
        <v>0.25961315432579668</v>
      </c>
      <c r="X61" s="2">
        <f t="shared" si="11"/>
        <v>28.6</v>
      </c>
      <c r="Y61" s="3">
        <f t="shared" si="12"/>
        <v>29.175000000000001</v>
      </c>
      <c r="Z61" s="2">
        <f t="shared" si="13"/>
        <v>30.049999999999997</v>
      </c>
      <c r="AA61" s="3">
        <f t="shared" si="14"/>
        <v>30.774999999999999</v>
      </c>
      <c r="AB61" s="3">
        <f t="shared" si="15"/>
        <v>31.1</v>
      </c>
      <c r="AC61" s="3">
        <f t="shared" si="16"/>
        <v>-0.1288504518731276</v>
      </c>
      <c r="AD61" s="3">
        <f t="shared" si="17"/>
        <v>-1.4990427961520956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13.249000000000001</v>
      </c>
      <c r="J62" s="39">
        <v>29.3</v>
      </c>
      <c r="K62" s="39">
        <v>31.6</v>
      </c>
      <c r="L62" s="39">
        <v>31.6</v>
      </c>
      <c r="M62" s="39">
        <v>30.9</v>
      </c>
      <c r="N62" s="39">
        <v>30.6</v>
      </c>
      <c r="O62" s="39">
        <v>29.7</v>
      </c>
      <c r="P62" s="39">
        <v>30</v>
      </c>
      <c r="Q62" s="39">
        <v>28.5</v>
      </c>
      <c r="R62" s="39">
        <v>29.3</v>
      </c>
      <c r="S62" s="39">
        <v>29.4</v>
      </c>
      <c r="T62" s="39">
        <v>28.9</v>
      </c>
      <c r="U62" s="39">
        <v>29.8</v>
      </c>
      <c r="V62" s="5">
        <f t="shared" si="9"/>
        <v>29.966666666666665</v>
      </c>
      <c r="W62" s="4">
        <f t="shared" si="10"/>
        <v>0.29137431235266775</v>
      </c>
      <c r="X62" s="2">
        <f t="shared" si="11"/>
        <v>28.5</v>
      </c>
      <c r="Y62" s="3">
        <f t="shared" si="12"/>
        <v>29.3</v>
      </c>
      <c r="Z62" s="2">
        <f t="shared" si="13"/>
        <v>29.75</v>
      </c>
      <c r="AA62" s="3">
        <f t="shared" si="14"/>
        <v>30.675000000000001</v>
      </c>
      <c r="AB62" s="3">
        <f t="shared" si="15"/>
        <v>31.6</v>
      </c>
      <c r="AC62" s="3">
        <f t="shared" si="16"/>
        <v>0.48960412526655778</v>
      </c>
      <c r="AD62" s="3">
        <f t="shared" si="17"/>
        <v>-0.75716881222438204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13.269</v>
      </c>
      <c r="J63" s="39">
        <v>27.7</v>
      </c>
      <c r="K63" s="39">
        <v>28.8</v>
      </c>
      <c r="L63" s="39">
        <v>29.6</v>
      </c>
      <c r="M63" s="39">
        <v>30.8</v>
      </c>
      <c r="N63" s="39">
        <v>28.3</v>
      </c>
      <c r="O63" s="39">
        <v>28.7</v>
      </c>
      <c r="P63" s="39">
        <v>28.3</v>
      </c>
      <c r="Q63" s="39">
        <v>27.7</v>
      </c>
      <c r="R63" s="39">
        <v>29.1</v>
      </c>
      <c r="S63" s="39">
        <v>29.7</v>
      </c>
      <c r="T63" s="39">
        <v>29.3</v>
      </c>
      <c r="U63" s="39">
        <v>29.7</v>
      </c>
      <c r="V63" s="5">
        <f t="shared" si="9"/>
        <v>28.974999999999998</v>
      </c>
      <c r="W63" s="4">
        <f t="shared" si="10"/>
        <v>0.26346323991759996</v>
      </c>
      <c r="X63" s="2">
        <f t="shared" si="11"/>
        <v>27.7</v>
      </c>
      <c r="Y63" s="3">
        <f t="shared" si="12"/>
        <v>28.3</v>
      </c>
      <c r="Z63" s="2">
        <f t="shared" si="13"/>
        <v>28.950000000000003</v>
      </c>
      <c r="AA63" s="3">
        <f t="shared" si="14"/>
        <v>29.625</v>
      </c>
      <c r="AB63" s="3">
        <f t="shared" si="15"/>
        <v>30.8</v>
      </c>
      <c r="AC63" s="3">
        <f t="shared" si="16"/>
        <v>0.33498644244583903</v>
      </c>
      <c r="AD63" s="3">
        <f t="shared" si="17"/>
        <v>-5.5002354412608589E-2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13.446</v>
      </c>
      <c r="J64" s="39">
        <v>29.8</v>
      </c>
      <c r="K64" s="39">
        <v>30</v>
      </c>
      <c r="L64" s="39">
        <v>29.4</v>
      </c>
      <c r="M64" s="39">
        <v>31.1</v>
      </c>
      <c r="N64" s="39">
        <v>30.4</v>
      </c>
      <c r="O64" s="39">
        <v>30.1</v>
      </c>
      <c r="P64" s="39">
        <v>29.5</v>
      </c>
      <c r="Q64" s="39">
        <v>29.2</v>
      </c>
      <c r="R64" s="39">
        <v>28.8</v>
      </c>
      <c r="S64" s="39">
        <v>28.5</v>
      </c>
      <c r="T64" s="39">
        <v>28.5</v>
      </c>
      <c r="U64" s="39">
        <v>27.2</v>
      </c>
      <c r="V64" s="5">
        <f t="shared" si="9"/>
        <v>29.374999999999996</v>
      </c>
      <c r="W64" s="4">
        <f t="shared" si="10"/>
        <v>0.29851272750897662</v>
      </c>
      <c r="X64" s="2">
        <f t="shared" si="11"/>
        <v>27.2</v>
      </c>
      <c r="Y64" s="3">
        <f t="shared" si="12"/>
        <v>28.725000000000001</v>
      </c>
      <c r="Z64" s="2">
        <f t="shared" si="13"/>
        <v>29.45</v>
      </c>
      <c r="AA64" s="3">
        <f t="shared" si="14"/>
        <v>30.024999999999999</v>
      </c>
      <c r="AB64" s="3">
        <f t="shared" si="15"/>
        <v>31.1</v>
      </c>
      <c r="AC64" s="3">
        <f t="shared" si="16"/>
        <v>-0.48446778590297118</v>
      </c>
      <c r="AD64" s="3">
        <f t="shared" si="17"/>
        <v>0.66335727286449675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13.465</v>
      </c>
      <c r="J65" s="39">
        <v>30.1</v>
      </c>
      <c r="K65" s="39">
        <v>28.8</v>
      </c>
      <c r="L65" s="39">
        <v>28.3</v>
      </c>
      <c r="M65" s="39">
        <v>31.4</v>
      </c>
      <c r="N65" s="39">
        <v>30.9</v>
      </c>
      <c r="O65" s="39">
        <v>30</v>
      </c>
      <c r="P65" s="39">
        <v>28.4</v>
      </c>
      <c r="Q65" s="39">
        <v>30.1</v>
      </c>
      <c r="R65" s="39">
        <v>29.4</v>
      </c>
      <c r="S65" s="39">
        <v>31</v>
      </c>
      <c r="T65" s="39">
        <v>30.1</v>
      </c>
      <c r="U65" s="39">
        <v>29.4</v>
      </c>
      <c r="V65" s="5">
        <f t="shared" si="9"/>
        <v>29.824999999999999</v>
      </c>
      <c r="W65" s="4">
        <f t="shared" si="10"/>
        <v>0.28923226485007347</v>
      </c>
      <c r="X65" s="2">
        <f t="shared" si="11"/>
        <v>28.3</v>
      </c>
      <c r="Y65" s="3">
        <f t="shared" si="12"/>
        <v>29.25</v>
      </c>
      <c r="Z65" s="2">
        <f t="shared" si="13"/>
        <v>30.05</v>
      </c>
      <c r="AA65" s="3">
        <f t="shared" si="14"/>
        <v>30.3</v>
      </c>
      <c r="AB65" s="3">
        <f t="shared" si="15"/>
        <v>31.4</v>
      </c>
      <c r="AC65" s="3">
        <f t="shared" si="16"/>
        <v>-9.0172360280512356E-2</v>
      </c>
      <c r="AD65" s="3">
        <f t="shared" si="17"/>
        <v>-0.88816982334788097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13.484</v>
      </c>
      <c r="J66" s="39">
        <v>27.6</v>
      </c>
      <c r="K66" s="39">
        <v>28.6</v>
      </c>
      <c r="L66" s="39">
        <v>29.4</v>
      </c>
      <c r="M66" s="39">
        <v>27.9</v>
      </c>
      <c r="N66" s="39">
        <v>28</v>
      </c>
      <c r="O66" s="39">
        <v>29.7</v>
      </c>
      <c r="P66" s="39">
        <v>28.8</v>
      </c>
      <c r="Q66" s="39">
        <v>27.7</v>
      </c>
      <c r="R66" s="39">
        <v>27</v>
      </c>
      <c r="S66" s="39">
        <v>27.4</v>
      </c>
      <c r="T66" s="39">
        <v>27</v>
      </c>
      <c r="U66" s="39">
        <v>29</v>
      </c>
      <c r="V66" s="5">
        <f t="shared" si="9"/>
        <v>28.174999999999997</v>
      </c>
      <c r="W66" s="4">
        <f t="shared" si="10"/>
        <v>0.26259918760981216</v>
      </c>
      <c r="X66" s="2">
        <f t="shared" si="11"/>
        <v>27</v>
      </c>
      <c r="Y66" s="3">
        <f t="shared" si="12"/>
        <v>27.55</v>
      </c>
      <c r="Z66" s="2">
        <f t="shared" si="13"/>
        <v>27.95</v>
      </c>
      <c r="AA66" s="3">
        <f t="shared" si="14"/>
        <v>28.85</v>
      </c>
      <c r="AB66" s="3">
        <f t="shared" si="15"/>
        <v>29.7</v>
      </c>
      <c r="AC66" s="3">
        <f t="shared" si="16"/>
        <v>0.32373930127372841</v>
      </c>
      <c r="AD66" s="3">
        <f t="shared" si="17"/>
        <v>-1.1226098205150938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13.504</v>
      </c>
      <c r="J67" s="39">
        <v>28.2</v>
      </c>
      <c r="K67" s="39">
        <v>28.6</v>
      </c>
      <c r="L67" s="39">
        <v>29.2</v>
      </c>
      <c r="M67" s="39">
        <v>27.9</v>
      </c>
      <c r="N67" s="39">
        <v>29.1</v>
      </c>
      <c r="O67" s="39">
        <v>29.7</v>
      </c>
      <c r="P67" s="39">
        <v>30.7</v>
      </c>
      <c r="Q67" s="39">
        <v>29.9</v>
      </c>
      <c r="R67" s="39">
        <v>27.9</v>
      </c>
      <c r="S67" s="39">
        <v>28</v>
      </c>
      <c r="T67" s="39">
        <v>28.7</v>
      </c>
      <c r="U67" s="39">
        <v>28</v>
      </c>
      <c r="V67" s="5">
        <f t="shared" si="9"/>
        <v>28.824999999999999</v>
      </c>
      <c r="W67" s="4">
        <f t="shared" si="10"/>
        <v>0.26375062832037754</v>
      </c>
      <c r="X67" s="2">
        <f t="shared" si="11"/>
        <v>27.9</v>
      </c>
      <c r="Y67" s="3">
        <f t="shared" si="12"/>
        <v>28</v>
      </c>
      <c r="Z67" s="2">
        <f t="shared" si="13"/>
        <v>28.65</v>
      </c>
      <c r="AA67" s="3">
        <f t="shared" si="14"/>
        <v>29.324999999999999</v>
      </c>
      <c r="AB67" s="3">
        <f t="shared" si="15"/>
        <v>30.7</v>
      </c>
      <c r="AC67" s="3">
        <f t="shared" si="16"/>
        <v>0.80300502167012111</v>
      </c>
      <c r="AD67" s="3">
        <f t="shared" si="17"/>
        <v>-0.22244507154893967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13.526</v>
      </c>
      <c r="J68" s="39">
        <v>30.5</v>
      </c>
      <c r="K68" s="39">
        <v>30</v>
      </c>
      <c r="L68" s="39">
        <v>29.9</v>
      </c>
      <c r="M68" s="39">
        <v>29</v>
      </c>
      <c r="N68" s="39">
        <v>29.4</v>
      </c>
      <c r="O68" s="39">
        <v>28.6</v>
      </c>
      <c r="P68" s="39">
        <v>30.3</v>
      </c>
      <c r="Q68" s="39">
        <v>31.9</v>
      </c>
      <c r="R68" s="39">
        <v>28.7</v>
      </c>
      <c r="S68" s="39">
        <v>29.4</v>
      </c>
      <c r="T68" s="39">
        <v>29</v>
      </c>
      <c r="U68" s="39">
        <v>34.200000000000003</v>
      </c>
      <c r="V68" s="5">
        <f t="shared" si="9"/>
        <v>30.074999999999999</v>
      </c>
      <c r="W68" s="4">
        <f t="shared" si="10"/>
        <v>0.45976360856159104</v>
      </c>
      <c r="X68" s="2">
        <f t="shared" si="11"/>
        <v>28.6</v>
      </c>
      <c r="Y68" s="3">
        <f t="shared" si="12"/>
        <v>29</v>
      </c>
      <c r="Z68" s="2">
        <f t="shared" si="13"/>
        <v>29.65</v>
      </c>
      <c r="AA68" s="3">
        <f t="shared" si="14"/>
        <v>30.35</v>
      </c>
      <c r="AB68" s="3">
        <f t="shared" si="15"/>
        <v>34.200000000000003</v>
      </c>
      <c r="AC68" s="3">
        <f t="shared" si="16"/>
        <v>1.8211367120162234</v>
      </c>
      <c r="AD68" s="3">
        <f t="shared" si="17"/>
        <v>3.6088807015839564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13.547000000000001</v>
      </c>
      <c r="J69" s="39">
        <v>28.5</v>
      </c>
      <c r="K69" s="39">
        <v>30.3</v>
      </c>
      <c r="L69" s="39">
        <v>28.3</v>
      </c>
      <c r="M69" s="39">
        <v>29</v>
      </c>
      <c r="N69" s="39">
        <v>29</v>
      </c>
      <c r="O69" s="39">
        <v>28.8</v>
      </c>
      <c r="P69" s="39">
        <v>27.3</v>
      </c>
      <c r="Q69" s="39">
        <v>28.7</v>
      </c>
      <c r="R69" s="39">
        <v>27</v>
      </c>
      <c r="S69" s="39">
        <v>28.1</v>
      </c>
      <c r="T69" s="39">
        <v>28.8</v>
      </c>
      <c r="U69" s="39">
        <v>30</v>
      </c>
      <c r="V69" s="5">
        <f t="shared" si="9"/>
        <v>28.650000000000002</v>
      </c>
      <c r="W69" s="4">
        <f t="shared" si="10"/>
        <v>0.27289136477671289</v>
      </c>
      <c r="X69" s="2">
        <f t="shared" si="11"/>
        <v>27</v>
      </c>
      <c r="Y69" s="3">
        <f t="shared" si="12"/>
        <v>28.25</v>
      </c>
      <c r="Z69" s="2">
        <f t="shared" si="13"/>
        <v>28.75</v>
      </c>
      <c r="AA69" s="3">
        <f t="shared" si="14"/>
        <v>29</v>
      </c>
      <c r="AB69" s="3">
        <f t="shared" si="15"/>
        <v>30.3</v>
      </c>
      <c r="AC69" s="3">
        <f t="shared" si="16"/>
        <v>-1.5496319354657164E-2</v>
      </c>
      <c r="AD69" s="3">
        <f t="shared" si="17"/>
        <v>0.22974700115597013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13.565</v>
      </c>
      <c r="J70" s="39">
        <v>27.6</v>
      </c>
      <c r="K70" s="39">
        <v>29.1</v>
      </c>
      <c r="L70" s="39">
        <v>29.6</v>
      </c>
      <c r="M70" s="39">
        <v>30.2</v>
      </c>
      <c r="N70" s="39">
        <v>27.8</v>
      </c>
      <c r="O70" s="39">
        <v>28.2</v>
      </c>
      <c r="P70" s="39">
        <v>28.1</v>
      </c>
      <c r="Q70" s="39">
        <v>28.8</v>
      </c>
      <c r="R70" s="39">
        <v>29.5</v>
      </c>
      <c r="S70" s="39">
        <v>27.7</v>
      </c>
      <c r="T70" s="39">
        <v>28.3</v>
      </c>
      <c r="U70" s="39">
        <v>32.299999999999997</v>
      </c>
      <c r="V70" s="5">
        <f t="shared" si="9"/>
        <v>28.933333333333334</v>
      </c>
      <c r="W70" s="4">
        <f t="shared" si="10"/>
        <v>0.38892496225187972</v>
      </c>
      <c r="X70" s="2">
        <f t="shared" si="11"/>
        <v>27.6</v>
      </c>
      <c r="Y70" s="3">
        <f t="shared" si="12"/>
        <v>28.025000000000002</v>
      </c>
      <c r="Z70" s="2">
        <f t="shared" si="13"/>
        <v>28.55</v>
      </c>
      <c r="AA70" s="3">
        <f t="shared" si="14"/>
        <v>29.524999999999999</v>
      </c>
      <c r="AB70" s="3">
        <f t="shared" si="15"/>
        <v>32.299999999999997</v>
      </c>
      <c r="AC70" s="3">
        <f t="shared" si="16"/>
        <v>1.505225263949165</v>
      </c>
      <c r="AD70" s="3">
        <f t="shared" si="17"/>
        <v>2.6337013219026648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13.582000000000001</v>
      </c>
      <c r="J71" s="39">
        <v>28</v>
      </c>
      <c r="K71" s="39">
        <v>30.4</v>
      </c>
      <c r="L71" s="39">
        <v>29.2</v>
      </c>
      <c r="M71" s="39">
        <v>30.3</v>
      </c>
      <c r="N71" s="39">
        <v>31.6</v>
      </c>
      <c r="O71" s="39">
        <v>28.7</v>
      </c>
      <c r="P71" s="39">
        <v>30.3</v>
      </c>
      <c r="Q71" s="39">
        <v>30.6</v>
      </c>
      <c r="R71" s="39">
        <v>30</v>
      </c>
      <c r="S71" s="39">
        <v>30.9</v>
      </c>
      <c r="T71" s="39">
        <v>31.1</v>
      </c>
      <c r="U71" s="39">
        <v>30</v>
      </c>
      <c r="V71" s="5">
        <f t="shared" si="9"/>
        <v>30.091666666666669</v>
      </c>
      <c r="W71" s="4">
        <f t="shared" si="10"/>
        <v>0.29528064035025497</v>
      </c>
      <c r="X71" s="2">
        <f t="shared" si="11"/>
        <v>28</v>
      </c>
      <c r="Y71" s="3">
        <f t="shared" si="12"/>
        <v>29.8</v>
      </c>
      <c r="Z71" s="2">
        <f t="shared" si="13"/>
        <v>30.3</v>
      </c>
      <c r="AA71" s="3">
        <f t="shared" si="14"/>
        <v>30.675000000000001</v>
      </c>
      <c r="AB71" s="3">
        <f t="shared" si="15"/>
        <v>31.6</v>
      </c>
      <c r="AC71" s="3">
        <f t="shared" si="16"/>
        <v>-0.75361229909650185</v>
      </c>
      <c r="AD71" s="3">
        <f t="shared" si="17"/>
        <v>0.31956290084118155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13.711</v>
      </c>
      <c r="J72" s="39">
        <v>29.3</v>
      </c>
      <c r="K72" s="39">
        <v>29.6</v>
      </c>
      <c r="L72" s="39">
        <v>29.5</v>
      </c>
      <c r="M72" s="39">
        <v>31.1</v>
      </c>
      <c r="N72" s="39">
        <v>29.6</v>
      </c>
      <c r="O72" s="39">
        <v>29.7</v>
      </c>
      <c r="P72" s="39">
        <v>29.7</v>
      </c>
      <c r="Q72" s="39">
        <v>29.9</v>
      </c>
      <c r="R72" s="39">
        <v>27.5</v>
      </c>
      <c r="S72" s="39">
        <v>29.9</v>
      </c>
      <c r="T72" s="39">
        <v>29.5</v>
      </c>
      <c r="U72" s="39">
        <v>28.6</v>
      </c>
      <c r="V72" s="5">
        <f t="shared" si="9"/>
        <v>29.491666666666664</v>
      </c>
      <c r="W72" s="4">
        <f t="shared" si="10"/>
        <v>0.24354028144614742</v>
      </c>
      <c r="X72" s="2">
        <f t="shared" si="11"/>
        <v>27.5</v>
      </c>
      <c r="Y72" s="3">
        <f t="shared" si="12"/>
        <v>29.45</v>
      </c>
      <c r="Z72" s="2">
        <f t="shared" si="13"/>
        <v>29.6</v>
      </c>
      <c r="AA72" s="3">
        <f t="shared" si="14"/>
        <v>29.75</v>
      </c>
      <c r="AB72" s="3">
        <f t="shared" si="15"/>
        <v>31.1</v>
      </c>
      <c r="AC72" s="3">
        <f t="shared" si="16"/>
        <v>-0.78108515523118838</v>
      </c>
      <c r="AD72" s="3">
        <f t="shared" si="17"/>
        <v>3.1581573544293935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13.691000000000001</v>
      </c>
      <c r="J73" s="39">
        <v>30.9</v>
      </c>
      <c r="K73" s="39">
        <v>30.7</v>
      </c>
      <c r="L73" s="39">
        <v>31.1</v>
      </c>
      <c r="M73" s="39">
        <v>30.8</v>
      </c>
      <c r="N73" s="39">
        <v>30.5</v>
      </c>
      <c r="O73" s="39">
        <v>30.6</v>
      </c>
      <c r="P73" s="39">
        <v>31.5</v>
      </c>
      <c r="Q73" s="39">
        <v>31.8</v>
      </c>
      <c r="R73" s="39">
        <v>30.9</v>
      </c>
      <c r="S73" s="39">
        <v>31.4</v>
      </c>
      <c r="T73" s="39">
        <v>32.200000000000003</v>
      </c>
      <c r="U73" s="39">
        <v>31.8</v>
      </c>
      <c r="V73" s="5">
        <f t="shared" si="9"/>
        <v>31.183333333333334</v>
      </c>
      <c r="W73" s="4">
        <f t="shared" si="10"/>
        <v>0.15803400733622977</v>
      </c>
      <c r="X73" s="2">
        <f t="shared" si="11"/>
        <v>30.5</v>
      </c>
      <c r="Y73" s="3">
        <f t="shared" si="12"/>
        <v>30.774999999999999</v>
      </c>
      <c r="Z73" s="2">
        <f t="shared" si="13"/>
        <v>31</v>
      </c>
      <c r="AA73" s="3">
        <f t="shared" si="14"/>
        <v>31.574999999999999</v>
      </c>
      <c r="AB73" s="3">
        <f t="shared" si="15"/>
        <v>32.200000000000003</v>
      </c>
      <c r="AC73" s="3">
        <f t="shared" si="16"/>
        <v>0.55113926325925922</v>
      </c>
      <c r="AD73" s="3">
        <f t="shared" si="17"/>
        <v>-0.88813674381798613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13.670999999999999</v>
      </c>
      <c r="J74" s="39">
        <v>33.200000000000003</v>
      </c>
      <c r="K74" s="39">
        <v>31.8</v>
      </c>
      <c r="L74" s="39">
        <v>30.7</v>
      </c>
      <c r="M74" s="39">
        <v>31</v>
      </c>
      <c r="N74" s="39">
        <v>28.7</v>
      </c>
      <c r="O74" s="39">
        <v>30.4</v>
      </c>
      <c r="P74" s="39">
        <v>31.6</v>
      </c>
      <c r="Q74" s="39">
        <v>30.9</v>
      </c>
      <c r="R74" s="39">
        <v>31.2</v>
      </c>
      <c r="S74" s="39">
        <v>32.299999999999997</v>
      </c>
      <c r="T74" s="39">
        <v>31.4</v>
      </c>
      <c r="U74" s="39">
        <v>35</v>
      </c>
      <c r="V74" s="5">
        <f t="shared" ref="V74:V81" si="18">AVERAGE(J74:U74)</f>
        <v>31.516666666666666</v>
      </c>
      <c r="W74" s="4">
        <f t="shared" ref="W74:W81" si="19">STDEV(J74:U74)/SQRT(COUNT(J74:U74))</f>
        <v>0.44616774487367045</v>
      </c>
      <c r="X74" s="2">
        <f t="shared" ref="X74:X81" si="20">MIN(J74:U74)</f>
        <v>28.7</v>
      </c>
      <c r="Y74" s="3">
        <f t="shared" ref="Y74:Y81" si="21">QUARTILE(J74:U74,1)</f>
        <v>30.849999999999998</v>
      </c>
      <c r="Z74" s="2">
        <f t="shared" ref="Z74:Z81" si="22">MEDIAN(J74:U74)</f>
        <v>31.299999999999997</v>
      </c>
      <c r="AA74" s="3">
        <f t="shared" ref="AA74:AA81" si="23">QUARTILE(J74:U74,3)</f>
        <v>31.925000000000001</v>
      </c>
      <c r="AB74" s="3">
        <f t="shared" ref="AB74:AB81" si="24">MAX(J74:U74)</f>
        <v>35</v>
      </c>
      <c r="AC74" s="3">
        <f t="shared" ref="AC74:AC81" si="25">SKEW(J74:U74)</f>
        <v>0.67516589600092181</v>
      </c>
      <c r="AD74" s="3">
        <f t="shared" ref="AD74:AD81" si="26">KURT(J74:U74)</f>
        <v>2.0640411109521004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13.65</v>
      </c>
      <c r="J75" s="39">
        <v>30.3</v>
      </c>
      <c r="K75" s="39">
        <v>30.5</v>
      </c>
      <c r="L75" s="39">
        <v>29</v>
      </c>
      <c r="M75" s="39">
        <v>29.3</v>
      </c>
      <c r="N75" s="39">
        <v>28.9</v>
      </c>
      <c r="O75" s="39">
        <v>29.6</v>
      </c>
      <c r="P75" s="39">
        <v>28.7</v>
      </c>
      <c r="Q75" s="39">
        <v>30.4</v>
      </c>
      <c r="R75" s="39">
        <v>30.4</v>
      </c>
      <c r="S75" s="39">
        <v>30.9</v>
      </c>
      <c r="T75" s="39">
        <v>31.9</v>
      </c>
      <c r="U75" s="39">
        <v>30.2</v>
      </c>
      <c r="V75" s="5">
        <f t="shared" si="18"/>
        <v>30.008333333333326</v>
      </c>
      <c r="W75" s="4">
        <f t="shared" si="19"/>
        <v>0.27064970464839339</v>
      </c>
      <c r="X75" s="2">
        <f t="shared" si="20"/>
        <v>28.7</v>
      </c>
      <c r="Y75" s="3">
        <f t="shared" si="21"/>
        <v>29.225000000000001</v>
      </c>
      <c r="Z75" s="2">
        <f t="shared" si="22"/>
        <v>30.25</v>
      </c>
      <c r="AA75" s="3">
        <f t="shared" si="23"/>
        <v>30.424999999999997</v>
      </c>
      <c r="AB75" s="3">
        <f t="shared" si="24"/>
        <v>31.9</v>
      </c>
      <c r="AC75" s="3">
        <f t="shared" si="25"/>
        <v>0.35730522247177587</v>
      </c>
      <c r="AD75" s="3">
        <f t="shared" si="26"/>
        <v>-9.663039874087076E-2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13.632</v>
      </c>
      <c r="J76" s="39">
        <v>29.1</v>
      </c>
      <c r="K76" s="39">
        <v>28.7</v>
      </c>
      <c r="L76" s="39">
        <v>26.7</v>
      </c>
      <c r="M76" s="39">
        <v>28.5</v>
      </c>
      <c r="N76" s="39">
        <v>35.1</v>
      </c>
      <c r="O76" s="39">
        <v>27.6</v>
      </c>
      <c r="P76" s="39">
        <v>28.4</v>
      </c>
      <c r="Q76" s="39">
        <v>29.1</v>
      </c>
      <c r="R76" s="39">
        <v>26.8</v>
      </c>
      <c r="S76" s="39">
        <v>28.5</v>
      </c>
      <c r="T76" s="39">
        <v>27.3</v>
      </c>
      <c r="U76" s="39">
        <v>28.2</v>
      </c>
      <c r="V76" s="5">
        <f t="shared" si="18"/>
        <v>28.666666666666668</v>
      </c>
      <c r="W76" s="4">
        <f t="shared" si="19"/>
        <v>0.6304559837726561</v>
      </c>
      <c r="X76" s="2">
        <f t="shared" si="20"/>
        <v>26.7</v>
      </c>
      <c r="Y76" s="3">
        <f t="shared" si="21"/>
        <v>27.525000000000002</v>
      </c>
      <c r="Z76" s="2">
        <f t="shared" si="22"/>
        <v>28.45</v>
      </c>
      <c r="AA76" s="3">
        <f t="shared" si="23"/>
        <v>28.8</v>
      </c>
      <c r="AB76" s="3">
        <f t="shared" si="24"/>
        <v>35.1</v>
      </c>
      <c r="AC76" s="3">
        <f t="shared" si="25"/>
        <v>2.6015602344479576</v>
      </c>
      <c r="AD76" s="3">
        <f t="shared" si="26"/>
        <v>8.0529432696825278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13.612</v>
      </c>
      <c r="J77" s="39">
        <v>30.6</v>
      </c>
      <c r="K77" s="39">
        <v>28.8</v>
      </c>
      <c r="L77" s="39">
        <v>29.8</v>
      </c>
      <c r="M77" s="39">
        <v>28.6</v>
      </c>
      <c r="N77" s="39">
        <v>27.9</v>
      </c>
      <c r="O77" s="39">
        <v>28.3</v>
      </c>
      <c r="P77" s="39">
        <v>29.4</v>
      </c>
      <c r="Q77" s="39">
        <v>28.7</v>
      </c>
      <c r="R77" s="39">
        <v>30.3</v>
      </c>
      <c r="S77" s="39">
        <v>30.6</v>
      </c>
      <c r="T77" s="39">
        <v>31.7</v>
      </c>
      <c r="U77" s="39">
        <v>32.4</v>
      </c>
      <c r="V77" s="5">
        <f t="shared" si="18"/>
        <v>29.758333333333336</v>
      </c>
      <c r="W77" s="4">
        <f t="shared" si="19"/>
        <v>0.40404363950724759</v>
      </c>
      <c r="X77" s="2">
        <f t="shared" si="20"/>
        <v>27.9</v>
      </c>
      <c r="Y77" s="3">
        <f t="shared" si="21"/>
        <v>28.675000000000001</v>
      </c>
      <c r="Z77" s="2">
        <f t="shared" si="22"/>
        <v>29.6</v>
      </c>
      <c r="AA77" s="3">
        <f t="shared" si="23"/>
        <v>30.6</v>
      </c>
      <c r="AB77" s="3">
        <f t="shared" si="24"/>
        <v>32.4</v>
      </c>
      <c r="AC77" s="3">
        <f t="shared" si="25"/>
        <v>0.55388337962236989</v>
      </c>
      <c r="AD77" s="3">
        <f t="shared" si="26"/>
        <v>-0.56934548571549071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13.401</v>
      </c>
      <c r="J78" s="39">
        <v>26.8</v>
      </c>
      <c r="K78" s="39">
        <v>29.4</v>
      </c>
      <c r="L78" s="39">
        <v>28.3</v>
      </c>
      <c r="M78" s="39">
        <v>30.3</v>
      </c>
      <c r="N78" s="39">
        <v>27.5</v>
      </c>
      <c r="O78" s="39">
        <v>28.8</v>
      </c>
      <c r="P78" s="39">
        <v>27.5</v>
      </c>
      <c r="Q78" s="39">
        <v>28</v>
      </c>
      <c r="R78" s="39">
        <v>29</v>
      </c>
      <c r="S78" s="39">
        <v>29.9</v>
      </c>
      <c r="T78" s="39">
        <v>29.6</v>
      </c>
      <c r="U78" s="39">
        <v>27.7</v>
      </c>
      <c r="V78" s="5">
        <f t="shared" si="18"/>
        <v>28.566666666666666</v>
      </c>
      <c r="W78" s="4">
        <f t="shared" si="19"/>
        <v>0.31774139793170791</v>
      </c>
      <c r="X78" s="2">
        <f t="shared" si="20"/>
        <v>26.8</v>
      </c>
      <c r="Y78" s="3">
        <f t="shared" si="21"/>
        <v>27.65</v>
      </c>
      <c r="Z78" s="2">
        <f t="shared" si="22"/>
        <v>28.55</v>
      </c>
      <c r="AA78" s="3">
        <f t="shared" si="23"/>
        <v>29.45</v>
      </c>
      <c r="AB78" s="3">
        <f t="shared" si="24"/>
        <v>30.3</v>
      </c>
      <c r="AC78" s="3">
        <f t="shared" si="25"/>
        <v>4.5903326055324309E-2</v>
      </c>
      <c r="AD78" s="3">
        <f t="shared" si="26"/>
        <v>-1.1507293666843443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13.364000000000001</v>
      </c>
      <c r="J79" s="39">
        <v>33.6</v>
      </c>
      <c r="K79" s="39">
        <v>31.9</v>
      </c>
      <c r="L79" s="39">
        <v>33.200000000000003</v>
      </c>
      <c r="M79" s="39">
        <v>37.5</v>
      </c>
      <c r="N79" s="39">
        <v>32.700000000000003</v>
      </c>
      <c r="O79" s="39">
        <v>39.9</v>
      </c>
      <c r="P79" s="39">
        <v>33.6</v>
      </c>
      <c r="Q79" s="39">
        <v>31.8</v>
      </c>
      <c r="R79" s="39">
        <v>34.6</v>
      </c>
      <c r="S79" s="39">
        <v>34.799999999999997</v>
      </c>
      <c r="T79" s="39">
        <v>29.9</v>
      </c>
      <c r="U79" s="39">
        <v>31.8</v>
      </c>
      <c r="V79" s="5">
        <f t="shared" si="18"/>
        <v>33.774999999999999</v>
      </c>
      <c r="W79" s="4">
        <f t="shared" si="19"/>
        <v>0.7833615404334725</v>
      </c>
      <c r="X79" s="2">
        <f t="shared" si="20"/>
        <v>29.9</v>
      </c>
      <c r="Y79" s="3">
        <f t="shared" si="21"/>
        <v>31.875</v>
      </c>
      <c r="Z79" s="2">
        <f t="shared" si="22"/>
        <v>33.400000000000006</v>
      </c>
      <c r="AA79" s="3">
        <f t="shared" si="23"/>
        <v>34.65</v>
      </c>
      <c r="AB79" s="3">
        <f t="shared" si="24"/>
        <v>39.9</v>
      </c>
      <c r="AC79" s="3">
        <f t="shared" si="25"/>
        <v>1.0999240673119544</v>
      </c>
      <c r="AD79" s="3">
        <f t="shared" si="26"/>
        <v>1.4042314473130233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13.326000000000001</v>
      </c>
      <c r="J80" s="39">
        <v>27.7</v>
      </c>
      <c r="K80" s="39">
        <v>27</v>
      </c>
      <c r="L80" s="39">
        <v>28.5</v>
      </c>
      <c r="M80" s="39">
        <v>28.9</v>
      </c>
      <c r="N80" s="39">
        <v>28.7</v>
      </c>
      <c r="O80" s="39">
        <v>29.2</v>
      </c>
      <c r="P80" s="39">
        <v>28.5</v>
      </c>
      <c r="Q80" s="39">
        <v>30</v>
      </c>
      <c r="R80" s="39">
        <v>29.8</v>
      </c>
      <c r="S80" s="39">
        <v>29.3</v>
      </c>
      <c r="T80" s="39">
        <v>27.8</v>
      </c>
      <c r="U80" s="39">
        <v>28.8</v>
      </c>
      <c r="V80" s="5">
        <f t="shared" si="18"/>
        <v>28.683333333333334</v>
      </c>
      <c r="W80" s="4">
        <f t="shared" si="19"/>
        <v>0.2513097006813817</v>
      </c>
      <c r="X80" s="2">
        <f t="shared" si="20"/>
        <v>27</v>
      </c>
      <c r="Y80" s="3">
        <f t="shared" si="21"/>
        <v>28.324999999999999</v>
      </c>
      <c r="Z80" s="2">
        <f t="shared" si="22"/>
        <v>28.75</v>
      </c>
      <c r="AA80" s="3">
        <f t="shared" si="23"/>
        <v>29.225000000000001</v>
      </c>
      <c r="AB80" s="3">
        <f t="shared" si="24"/>
        <v>30</v>
      </c>
      <c r="AC80" s="3">
        <f t="shared" si="25"/>
        <v>-0.39072668731859761</v>
      </c>
      <c r="AD80" s="3">
        <f t="shared" si="26"/>
        <v>-9.5459936776985721E-2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13.295999999999999</v>
      </c>
      <c r="J81" s="39">
        <v>31.4</v>
      </c>
      <c r="K81" s="39">
        <v>32.200000000000003</v>
      </c>
      <c r="L81" s="39">
        <v>33.700000000000003</v>
      </c>
      <c r="M81" s="39">
        <v>31.9</v>
      </c>
      <c r="N81" s="39">
        <v>31.8</v>
      </c>
      <c r="O81" s="39">
        <v>33</v>
      </c>
      <c r="P81" s="39">
        <v>33.9</v>
      </c>
      <c r="Q81" s="39">
        <v>32.1</v>
      </c>
      <c r="R81" s="39">
        <v>33.799999999999997</v>
      </c>
      <c r="S81" s="39">
        <v>33.6</v>
      </c>
      <c r="T81" s="39">
        <v>37</v>
      </c>
      <c r="U81" s="39">
        <v>33</v>
      </c>
      <c r="V81" s="5">
        <f t="shared" si="18"/>
        <v>33.116666666666674</v>
      </c>
      <c r="W81" s="4">
        <f t="shared" si="19"/>
        <v>0.43342073710603113</v>
      </c>
      <c r="X81" s="2">
        <f t="shared" si="20"/>
        <v>31.4</v>
      </c>
      <c r="Y81" s="3">
        <f t="shared" si="21"/>
        <v>32.049999999999997</v>
      </c>
      <c r="Z81" s="2">
        <f t="shared" si="22"/>
        <v>33</v>
      </c>
      <c r="AA81" s="3">
        <f t="shared" si="23"/>
        <v>33.725000000000001</v>
      </c>
      <c r="AB81" s="3">
        <f t="shared" si="24"/>
        <v>37</v>
      </c>
      <c r="AC81" s="3">
        <f t="shared" si="25"/>
        <v>1.5698967406869093</v>
      </c>
      <c r="AD81" s="3">
        <f t="shared" si="26"/>
        <v>3.5277717531635311</v>
      </c>
    </row>
    <row r="84" spans="1:30" x14ac:dyDescent="0.2">
      <c r="V84" s="3"/>
    </row>
  </sheetData>
  <autoFilter ref="A9:AD81" xr:uid="{77A069E2-ED6F-4CE6-A443-22A8E8CFC30F}"/>
  <conditionalFormatting sqref="J10:U47">
    <cfRule type="cellIs" dxfId="63" priority="1" stopIfTrue="1" operator="lessThan">
      <formula>$V10-$U$5*$W10</formula>
    </cfRule>
    <cfRule type="cellIs" dxfId="62" priority="2" stopIfTrue="1" operator="greaterThan">
      <formula>$V10+$U$5*$W10</formula>
    </cfRule>
  </conditionalFormatting>
  <conditionalFormatting sqref="J48:U81">
    <cfRule type="cellIs" dxfId="61" priority="3" stopIfTrue="1" operator="lessThan">
      <formula>$V48-$U$6*$W48</formula>
    </cfRule>
    <cfRule type="cellIs" dxfId="60" priority="4" stopIfTrue="1" operator="greaterThan">
      <formula>$V48+$U$6*$W48</formula>
    </cfRule>
  </conditionalFormatting>
  <conditionalFormatting sqref="V10:V39">
    <cfRule type="cellIs" dxfId="59" priority="5" stopIfTrue="1" operator="lessThan">
      <formula>AVERAGE($V$10:$V$39)</formula>
    </cfRule>
    <cfRule type="cellIs" dxfId="58" priority="6" stopIfTrue="1" operator="greaterThan">
      <formula>AVERAGE($V$10:$V$39)</formula>
    </cfRule>
  </conditionalFormatting>
  <conditionalFormatting sqref="V48:V81">
    <cfRule type="cellIs" dxfId="57" priority="7" stopIfTrue="1" operator="lessThan">
      <formula>AVERAGE($V$48:$V$81)</formula>
    </cfRule>
    <cfRule type="cellIs" dxfId="56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6484-236A-4F76-A47F-39B93543CA6E}">
  <dimension ref="A1:AN84"/>
  <sheetViews>
    <sheetView topLeftCell="A23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140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42.35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13.154</v>
      </c>
      <c r="J10" s="39">
        <v>42.1</v>
      </c>
      <c r="K10" s="39">
        <v>35.799999999999997</v>
      </c>
      <c r="L10" s="39">
        <v>38.9</v>
      </c>
      <c r="M10" s="39">
        <v>32</v>
      </c>
      <c r="N10" s="39">
        <v>32.299999999999997</v>
      </c>
      <c r="O10" s="39">
        <v>37.200000000000003</v>
      </c>
      <c r="P10" s="39">
        <v>31.6</v>
      </c>
      <c r="Q10" s="39">
        <v>38.799999999999997</v>
      </c>
      <c r="R10" s="39">
        <v>31.5</v>
      </c>
      <c r="S10" s="39">
        <v>40.200000000000003</v>
      </c>
      <c r="T10" s="39">
        <v>34.299999999999997</v>
      </c>
      <c r="U10" s="39">
        <v>38.1</v>
      </c>
      <c r="V10" s="5">
        <f t="shared" ref="V10:V41" si="0">AVERAGE(J10:U10)</f>
        <v>36.06666666666667</v>
      </c>
      <c r="W10" s="4">
        <f t="shared" ref="W10:W41" si="1">STDEV(J10:U10)/SQRT(COUNT(J10:U10))</f>
        <v>1.0628957967493686</v>
      </c>
      <c r="X10" s="2">
        <f t="shared" ref="X10:X41" si="2">MIN(J10:U10)</f>
        <v>31.5</v>
      </c>
      <c r="Y10" s="3">
        <f t="shared" ref="Y10:Y41" si="3">QUARTILE(J10:U10,1)</f>
        <v>32.224999999999994</v>
      </c>
      <c r="Z10" s="2">
        <f t="shared" ref="Z10:Z41" si="4">MEDIAN(J10:U10)</f>
        <v>36.5</v>
      </c>
      <c r="AA10" s="3">
        <f t="shared" ref="AA10:AA41" si="5">QUARTILE(J10:U10,3)</f>
        <v>38.824999999999996</v>
      </c>
      <c r="AB10" s="3">
        <f t="shared" ref="AB10:AB41" si="6">MAX(J10:U10)</f>
        <v>42.1</v>
      </c>
      <c r="AC10" s="3">
        <f t="shared" ref="AC10:AC41" si="7">SKEW(J10:U10)</f>
        <v>7.1436663486586727E-2</v>
      </c>
      <c r="AD10" s="3">
        <f t="shared" ref="AD10:AD41" si="8">KURT(J10:U10)</f>
        <v>-1.3983024393317525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13.138</v>
      </c>
      <c r="J11" s="39">
        <v>40.6</v>
      </c>
      <c r="K11" s="39">
        <v>35.200000000000003</v>
      </c>
      <c r="L11" s="39">
        <v>39.700000000000003</v>
      </c>
      <c r="M11" s="39">
        <v>31.2</v>
      </c>
      <c r="N11" s="39">
        <v>39.6</v>
      </c>
      <c r="O11" s="39">
        <v>31.8</v>
      </c>
      <c r="P11" s="39">
        <v>36.700000000000003</v>
      </c>
      <c r="Q11" s="39">
        <v>39.4</v>
      </c>
      <c r="R11" s="39">
        <v>32.200000000000003</v>
      </c>
      <c r="S11" s="39">
        <v>39.799999999999997</v>
      </c>
      <c r="T11" s="39">
        <v>32.1</v>
      </c>
      <c r="U11" s="39">
        <v>33.200000000000003</v>
      </c>
      <c r="V11" s="5">
        <f t="shared" si="0"/>
        <v>35.958333333333336</v>
      </c>
      <c r="W11" s="4">
        <f t="shared" si="1"/>
        <v>1.0769245164548042</v>
      </c>
      <c r="X11" s="2">
        <f t="shared" si="2"/>
        <v>31.2</v>
      </c>
      <c r="Y11" s="3">
        <f t="shared" si="3"/>
        <v>32.175000000000004</v>
      </c>
      <c r="Z11" s="2">
        <f t="shared" si="4"/>
        <v>35.950000000000003</v>
      </c>
      <c r="AA11" s="3">
        <f t="shared" si="5"/>
        <v>39.625</v>
      </c>
      <c r="AB11" s="3">
        <f t="shared" si="6"/>
        <v>40.6</v>
      </c>
      <c r="AC11" s="3">
        <f t="shared" si="7"/>
        <v>-2.738660222814731E-2</v>
      </c>
      <c r="AD11" s="3">
        <f t="shared" si="8"/>
        <v>-2.0112573718107263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13.121</v>
      </c>
      <c r="J12" s="39">
        <v>40.799999999999997</v>
      </c>
      <c r="K12" s="39">
        <v>33.200000000000003</v>
      </c>
      <c r="L12" s="39">
        <v>39</v>
      </c>
      <c r="M12" s="39">
        <v>30.9</v>
      </c>
      <c r="N12" s="39">
        <v>41</v>
      </c>
      <c r="O12" s="39">
        <v>31.7</v>
      </c>
      <c r="P12" s="39">
        <v>37.299999999999997</v>
      </c>
      <c r="Q12" s="39">
        <v>32</v>
      </c>
      <c r="R12" s="39">
        <v>34.700000000000003</v>
      </c>
      <c r="S12" s="39">
        <v>32.4</v>
      </c>
      <c r="T12" s="39">
        <v>35.1</v>
      </c>
      <c r="U12" s="39">
        <v>32.1</v>
      </c>
      <c r="V12" s="5">
        <f t="shared" si="0"/>
        <v>35.016666666666666</v>
      </c>
      <c r="W12" s="4">
        <f t="shared" si="1"/>
        <v>1.0521862760918141</v>
      </c>
      <c r="X12" s="2">
        <f t="shared" si="2"/>
        <v>30.9</v>
      </c>
      <c r="Y12" s="3">
        <f t="shared" si="3"/>
        <v>32.075000000000003</v>
      </c>
      <c r="Z12" s="2">
        <f t="shared" si="4"/>
        <v>33.950000000000003</v>
      </c>
      <c r="AA12" s="3">
        <f t="shared" si="5"/>
        <v>37.724999999999994</v>
      </c>
      <c r="AB12" s="3">
        <f t="shared" si="6"/>
        <v>41</v>
      </c>
      <c r="AC12" s="3">
        <f t="shared" si="7"/>
        <v>0.67652098109288616</v>
      </c>
      <c r="AD12" s="3">
        <f t="shared" si="8"/>
        <v>-1.0866584162961748</v>
      </c>
      <c r="AF12" s="17" t="s">
        <v>76</v>
      </c>
      <c r="AG12" s="16">
        <v>36.1</v>
      </c>
      <c r="AH12" s="15">
        <v>43.537500000000001</v>
      </c>
      <c r="AI12" s="15">
        <v>48.725000000000001</v>
      </c>
      <c r="AJ12" s="15">
        <v>49.195833333333326</v>
      </c>
      <c r="AK12" s="16">
        <v>28.4</v>
      </c>
      <c r="AL12" s="15">
        <v>29.587499999999999</v>
      </c>
      <c r="AM12" s="15">
        <v>30.1</v>
      </c>
      <c r="AN12" s="14">
        <v>30.170833333333334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13.103</v>
      </c>
      <c r="J13" s="39">
        <v>63.5</v>
      </c>
      <c r="K13" s="39">
        <v>62.2</v>
      </c>
      <c r="L13" s="39">
        <v>50.6</v>
      </c>
      <c r="M13" s="39">
        <v>50.6</v>
      </c>
      <c r="N13" s="39">
        <v>55.5</v>
      </c>
      <c r="O13" s="39">
        <v>40.9</v>
      </c>
      <c r="P13" s="39">
        <v>57.1</v>
      </c>
      <c r="Q13" s="39">
        <v>49.3</v>
      </c>
      <c r="R13" s="39">
        <v>42.1</v>
      </c>
      <c r="S13" s="39">
        <v>57</v>
      </c>
      <c r="T13" s="39">
        <v>43.3</v>
      </c>
      <c r="U13" s="39">
        <v>51.4</v>
      </c>
      <c r="V13" s="5">
        <f t="shared" si="0"/>
        <v>51.958333333333321</v>
      </c>
      <c r="W13" s="4">
        <f t="shared" si="1"/>
        <v>2.1461896585588986</v>
      </c>
      <c r="X13" s="2">
        <f t="shared" si="2"/>
        <v>40.9</v>
      </c>
      <c r="Y13" s="3">
        <f t="shared" si="3"/>
        <v>47.8</v>
      </c>
      <c r="Z13" s="2">
        <f t="shared" si="4"/>
        <v>51</v>
      </c>
      <c r="AA13" s="3">
        <f t="shared" si="5"/>
        <v>57.024999999999999</v>
      </c>
      <c r="AB13" s="3">
        <f t="shared" si="6"/>
        <v>63.5</v>
      </c>
      <c r="AC13" s="3">
        <f t="shared" si="7"/>
        <v>-1.6779971634664971E-2</v>
      </c>
      <c r="AD13" s="3">
        <f t="shared" si="8"/>
        <v>-0.92192608936238685</v>
      </c>
      <c r="AF13" s="13" t="s">
        <v>75</v>
      </c>
      <c r="AG13" s="12">
        <v>40.85</v>
      </c>
      <c r="AH13" s="11">
        <v>50.75</v>
      </c>
      <c r="AI13" s="11">
        <v>56.3</v>
      </c>
      <c r="AJ13" s="11">
        <v>54.758333333333326</v>
      </c>
      <c r="AK13" s="12">
        <v>29.55</v>
      </c>
      <c r="AL13" s="11">
        <v>30.237500000000001</v>
      </c>
      <c r="AM13" s="11">
        <v>31.225000000000001</v>
      </c>
      <c r="AN13" s="10">
        <v>31.4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13.087999999999999</v>
      </c>
      <c r="J14" s="39">
        <v>39.700000000000003</v>
      </c>
      <c r="K14" s="39">
        <v>34.9</v>
      </c>
      <c r="L14" s="39">
        <v>35.799999999999997</v>
      </c>
      <c r="M14" s="39">
        <v>31.2</v>
      </c>
      <c r="N14" s="39">
        <v>40.299999999999997</v>
      </c>
      <c r="O14" s="39">
        <v>32.1</v>
      </c>
      <c r="P14" s="39">
        <v>38.5</v>
      </c>
      <c r="Q14" s="39">
        <v>32.1</v>
      </c>
      <c r="R14" s="39">
        <v>36.299999999999997</v>
      </c>
      <c r="S14" s="39">
        <v>35.200000000000003</v>
      </c>
      <c r="T14" s="39">
        <v>36.700000000000003</v>
      </c>
      <c r="U14" s="39">
        <v>33.799999999999997</v>
      </c>
      <c r="V14" s="5">
        <f t="shared" si="0"/>
        <v>35.549999999999997</v>
      </c>
      <c r="W14" s="4">
        <f t="shared" si="1"/>
        <v>0.85621612961101179</v>
      </c>
      <c r="X14" s="2">
        <f t="shared" si="2"/>
        <v>31.2</v>
      </c>
      <c r="Y14" s="3">
        <f t="shared" si="3"/>
        <v>33.375</v>
      </c>
      <c r="Z14" s="2">
        <f t="shared" si="4"/>
        <v>35.5</v>
      </c>
      <c r="AA14" s="3">
        <f t="shared" si="5"/>
        <v>37.150000000000006</v>
      </c>
      <c r="AB14" s="3">
        <f t="shared" si="6"/>
        <v>40.299999999999997</v>
      </c>
      <c r="AC14" s="3">
        <f t="shared" si="7"/>
        <v>0.1511760133220231</v>
      </c>
      <c r="AD14" s="3">
        <f t="shared" si="8"/>
        <v>-0.90906892610656787</v>
      </c>
      <c r="AF14" s="13" t="s">
        <v>74</v>
      </c>
      <c r="AG14" s="12">
        <v>62.15</v>
      </c>
      <c r="AH14" s="11">
        <v>63.1</v>
      </c>
      <c r="AI14" s="11">
        <v>64.099999999999994</v>
      </c>
      <c r="AJ14" s="11">
        <v>64.275000000000006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13.071999999999999</v>
      </c>
      <c r="J15" s="39">
        <v>60.3</v>
      </c>
      <c r="K15" s="39">
        <v>58.9</v>
      </c>
      <c r="L15" s="39">
        <v>45.3</v>
      </c>
      <c r="M15" s="39">
        <v>43.5</v>
      </c>
      <c r="N15" s="39">
        <v>54</v>
      </c>
      <c r="O15" s="39">
        <v>45.2</v>
      </c>
      <c r="P15" s="39">
        <v>42.7</v>
      </c>
      <c r="Q15" s="39">
        <v>48.9</v>
      </c>
      <c r="R15" s="39">
        <v>52.4</v>
      </c>
      <c r="S15" s="39">
        <v>48</v>
      </c>
      <c r="T15" s="39">
        <v>50.9</v>
      </c>
      <c r="U15" s="39">
        <v>55.9</v>
      </c>
      <c r="V15" s="5">
        <f t="shared" si="0"/>
        <v>50.499999999999993</v>
      </c>
      <c r="W15" s="4">
        <f t="shared" si="1"/>
        <v>1.7090667309702052</v>
      </c>
      <c r="X15" s="2">
        <f t="shared" si="2"/>
        <v>42.7</v>
      </c>
      <c r="Y15" s="3">
        <f t="shared" si="3"/>
        <v>45.274999999999999</v>
      </c>
      <c r="Z15" s="2">
        <f t="shared" si="4"/>
        <v>49.9</v>
      </c>
      <c r="AA15" s="3">
        <f t="shared" si="5"/>
        <v>54.475000000000001</v>
      </c>
      <c r="AB15" s="3">
        <f t="shared" si="6"/>
        <v>60.3</v>
      </c>
      <c r="AC15" s="3">
        <f t="shared" si="7"/>
        <v>0.32299131025811262</v>
      </c>
      <c r="AD15" s="3">
        <f t="shared" si="8"/>
        <v>-1.0982146816606098</v>
      </c>
      <c r="AF15" s="13" t="s">
        <v>73</v>
      </c>
      <c r="AG15" s="12">
        <v>29.85</v>
      </c>
      <c r="AH15" s="11">
        <v>31.475000000000001</v>
      </c>
      <c r="AI15" s="11">
        <v>33.5</v>
      </c>
      <c r="AJ15" s="11">
        <v>34.320833333333333</v>
      </c>
      <c r="AK15" s="12">
        <v>28.5</v>
      </c>
      <c r="AL15" s="11">
        <v>28.95</v>
      </c>
      <c r="AM15" s="11">
        <v>29.324999999999999</v>
      </c>
      <c r="AN15" s="10">
        <v>29.379166666666666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13.055999999999999</v>
      </c>
      <c r="J16" s="39">
        <v>59.8</v>
      </c>
      <c r="K16" s="39">
        <v>55.8</v>
      </c>
      <c r="L16" s="39">
        <v>53.2</v>
      </c>
      <c r="M16" s="39">
        <v>36.6</v>
      </c>
      <c r="N16" s="39">
        <v>55.4</v>
      </c>
      <c r="O16" s="39">
        <v>41.1</v>
      </c>
      <c r="P16" s="39">
        <v>54</v>
      </c>
      <c r="Q16" s="39">
        <v>40.799999999999997</v>
      </c>
      <c r="R16" s="39">
        <v>58.1</v>
      </c>
      <c r="S16" s="39">
        <v>38.9</v>
      </c>
      <c r="T16" s="39">
        <v>33.1</v>
      </c>
      <c r="U16" s="39">
        <v>55.7</v>
      </c>
      <c r="V16" s="5">
        <f t="shared" si="0"/>
        <v>48.541666666666679</v>
      </c>
      <c r="W16" s="4">
        <f t="shared" si="1"/>
        <v>2.7659854491754707</v>
      </c>
      <c r="X16" s="2">
        <f t="shared" si="2"/>
        <v>33.1</v>
      </c>
      <c r="Y16" s="3">
        <f t="shared" si="3"/>
        <v>40.324999999999996</v>
      </c>
      <c r="Z16" s="2">
        <f t="shared" si="4"/>
        <v>53.6</v>
      </c>
      <c r="AA16" s="3">
        <f t="shared" si="5"/>
        <v>55.725000000000001</v>
      </c>
      <c r="AB16" s="3">
        <f t="shared" si="6"/>
        <v>59.8</v>
      </c>
      <c r="AC16" s="3">
        <f t="shared" si="7"/>
        <v>-0.43671753757566717</v>
      </c>
      <c r="AD16" s="3">
        <f t="shared" si="8"/>
        <v>-1.6800480811670204</v>
      </c>
      <c r="AF16" s="13" t="s">
        <v>72</v>
      </c>
      <c r="AG16" s="12">
        <v>29.8</v>
      </c>
      <c r="AH16" s="11">
        <v>31.65</v>
      </c>
      <c r="AI16" s="11">
        <v>35.049999999999997</v>
      </c>
      <c r="AJ16" s="11">
        <v>34.470833333333339</v>
      </c>
      <c r="AK16" s="12">
        <v>28.85</v>
      </c>
      <c r="AL16" s="11">
        <v>29.5</v>
      </c>
      <c r="AM16" s="11">
        <v>30.024999999999999</v>
      </c>
      <c r="AN16" s="10">
        <v>30.175000000000001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13.04</v>
      </c>
      <c r="J17" s="39">
        <v>40.9</v>
      </c>
      <c r="K17" s="39">
        <v>39.4</v>
      </c>
      <c r="L17" s="39">
        <v>30.9</v>
      </c>
      <c r="M17" s="39">
        <v>40</v>
      </c>
      <c r="N17" s="39">
        <v>30.8</v>
      </c>
      <c r="O17" s="39">
        <v>40</v>
      </c>
      <c r="P17" s="39">
        <v>30.4</v>
      </c>
      <c r="Q17" s="39">
        <v>39</v>
      </c>
      <c r="R17" s="39">
        <v>31.4</v>
      </c>
      <c r="S17" s="39">
        <v>34.9</v>
      </c>
      <c r="T17" s="39">
        <v>36.200000000000003</v>
      </c>
      <c r="U17" s="39">
        <v>36.700000000000003</v>
      </c>
      <c r="V17" s="5">
        <f t="shared" si="0"/>
        <v>35.883333333333326</v>
      </c>
      <c r="W17" s="4">
        <f t="shared" si="1"/>
        <v>1.1797427386057355</v>
      </c>
      <c r="X17" s="2">
        <f t="shared" si="2"/>
        <v>30.4</v>
      </c>
      <c r="Y17" s="3">
        <f t="shared" si="3"/>
        <v>31.274999999999999</v>
      </c>
      <c r="Z17" s="2">
        <f t="shared" si="4"/>
        <v>36.450000000000003</v>
      </c>
      <c r="AA17" s="3">
        <f t="shared" si="5"/>
        <v>39.549999999999997</v>
      </c>
      <c r="AB17" s="3">
        <f t="shared" si="6"/>
        <v>40.9</v>
      </c>
      <c r="AC17" s="3">
        <f t="shared" si="7"/>
        <v>-0.2731761862697466</v>
      </c>
      <c r="AD17" s="3">
        <f t="shared" si="8"/>
        <v>-1.7460613693935785</v>
      </c>
      <c r="AF17" s="13" t="s">
        <v>71</v>
      </c>
      <c r="AG17" s="12">
        <v>31.15</v>
      </c>
      <c r="AH17" s="11">
        <v>33.325000000000003</v>
      </c>
      <c r="AI17" s="11">
        <v>37</v>
      </c>
      <c r="AJ17" s="11">
        <v>36.454166666666666</v>
      </c>
      <c r="AK17" s="12">
        <v>28.4</v>
      </c>
      <c r="AL17" s="11">
        <v>29.824999999999999</v>
      </c>
      <c r="AM17" s="11">
        <v>30.55</v>
      </c>
      <c r="AN17" s="10">
        <v>30.583333333333336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13.178000000000001</v>
      </c>
      <c r="J18" s="39">
        <v>38.1</v>
      </c>
      <c r="K18" s="39">
        <v>37.200000000000003</v>
      </c>
      <c r="L18" s="39">
        <v>31.9</v>
      </c>
      <c r="M18" s="39">
        <v>34.5</v>
      </c>
      <c r="N18" s="39">
        <v>32.6</v>
      </c>
      <c r="O18" s="39">
        <v>32.1</v>
      </c>
      <c r="P18" s="39">
        <v>36.200000000000003</v>
      </c>
      <c r="Q18" s="39">
        <v>31.1</v>
      </c>
      <c r="R18" s="39">
        <v>36.9</v>
      </c>
      <c r="S18" s="39">
        <v>31.1</v>
      </c>
      <c r="T18" s="39">
        <v>35.1</v>
      </c>
      <c r="U18" s="39">
        <v>34</v>
      </c>
      <c r="V18" s="5">
        <f t="shared" si="0"/>
        <v>34.233333333333341</v>
      </c>
      <c r="W18" s="4">
        <f t="shared" si="1"/>
        <v>0.71724782637833373</v>
      </c>
      <c r="X18" s="2">
        <f t="shared" si="2"/>
        <v>31.1</v>
      </c>
      <c r="Y18" s="3">
        <f t="shared" si="3"/>
        <v>32.049999999999997</v>
      </c>
      <c r="Z18" s="2">
        <f t="shared" si="4"/>
        <v>34.25</v>
      </c>
      <c r="AA18" s="3">
        <f t="shared" si="5"/>
        <v>36.375</v>
      </c>
      <c r="AB18" s="3">
        <f t="shared" si="6"/>
        <v>38.1</v>
      </c>
      <c r="AC18" s="3">
        <f t="shared" si="7"/>
        <v>0.1625361908505408</v>
      </c>
      <c r="AD18" s="3">
        <f t="shared" si="8"/>
        <v>-1.480765239546594</v>
      </c>
      <c r="AF18" s="13" t="s">
        <v>70</v>
      </c>
      <c r="AG18" s="12">
        <v>30.65</v>
      </c>
      <c r="AH18" s="11">
        <v>32.962499999999999</v>
      </c>
      <c r="AI18" s="11">
        <v>36.85</v>
      </c>
      <c r="AJ18" s="11">
        <v>36.008333333333333</v>
      </c>
      <c r="AK18" s="12">
        <v>27.4</v>
      </c>
      <c r="AL18" s="11">
        <v>27.962499999999999</v>
      </c>
      <c r="AM18" s="11">
        <v>28.425000000000001</v>
      </c>
      <c r="AN18" s="10">
        <v>28.420833333333334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13.193</v>
      </c>
      <c r="J19" s="39">
        <v>61.1</v>
      </c>
      <c r="K19" s="39">
        <v>56.5</v>
      </c>
      <c r="L19" s="39">
        <v>58.3</v>
      </c>
      <c r="M19" s="39">
        <v>44.8</v>
      </c>
      <c r="N19" s="39">
        <v>59.6</v>
      </c>
      <c r="O19" s="39">
        <v>48.7</v>
      </c>
      <c r="P19" s="39">
        <v>54.1</v>
      </c>
      <c r="Q19" s="39">
        <v>59.6</v>
      </c>
      <c r="R19" s="39">
        <v>41.3</v>
      </c>
      <c r="S19" s="39">
        <v>58.8</v>
      </c>
      <c r="T19" s="39">
        <v>51.8</v>
      </c>
      <c r="U19" s="39">
        <v>48</v>
      </c>
      <c r="V19" s="5">
        <f t="shared" si="0"/>
        <v>53.550000000000004</v>
      </c>
      <c r="W19" s="4">
        <f t="shared" si="1"/>
        <v>1.8936696777645206</v>
      </c>
      <c r="X19" s="2">
        <f t="shared" si="2"/>
        <v>41.3</v>
      </c>
      <c r="Y19" s="3">
        <f t="shared" si="3"/>
        <v>48.525000000000006</v>
      </c>
      <c r="Z19" s="2">
        <f t="shared" si="4"/>
        <v>55.3</v>
      </c>
      <c r="AA19" s="3">
        <f t="shared" si="5"/>
        <v>59</v>
      </c>
      <c r="AB19" s="3">
        <f t="shared" si="6"/>
        <v>61.1</v>
      </c>
      <c r="AC19" s="3">
        <f t="shared" si="7"/>
        <v>-0.63673535193210595</v>
      </c>
      <c r="AD19" s="3">
        <f t="shared" si="8"/>
        <v>-0.87069972443085497</v>
      </c>
      <c r="AF19" s="13" t="s">
        <v>69</v>
      </c>
      <c r="AG19" s="12">
        <v>29.7</v>
      </c>
      <c r="AH19" s="11">
        <v>32.09375</v>
      </c>
      <c r="AI19" s="11">
        <v>36.575000000000003</v>
      </c>
      <c r="AJ19" s="11">
        <v>35.506250000000001</v>
      </c>
      <c r="AK19" s="12">
        <v>28.45</v>
      </c>
      <c r="AL19" s="11">
        <v>29.418749999999999</v>
      </c>
      <c r="AM19" s="11">
        <v>29.737500000000001</v>
      </c>
      <c r="AN19" s="10">
        <v>29.939583333333335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13.209</v>
      </c>
      <c r="J20" s="39">
        <v>39</v>
      </c>
      <c r="K20" s="39">
        <v>39.5</v>
      </c>
      <c r="L20" s="39">
        <v>32.700000000000003</v>
      </c>
      <c r="M20" s="39">
        <v>38.299999999999997</v>
      </c>
      <c r="N20" s="39">
        <v>39.5</v>
      </c>
      <c r="O20" s="39">
        <v>30.7</v>
      </c>
      <c r="P20" s="39">
        <v>38.700000000000003</v>
      </c>
      <c r="Q20" s="39">
        <v>31.5</v>
      </c>
      <c r="R20" s="39">
        <v>39.5</v>
      </c>
      <c r="S20" s="39">
        <v>30.5</v>
      </c>
      <c r="T20" s="39">
        <v>40.299999999999997</v>
      </c>
      <c r="U20" s="39">
        <v>32.200000000000003</v>
      </c>
      <c r="V20" s="5">
        <f t="shared" si="0"/>
        <v>36.033333333333331</v>
      </c>
      <c r="W20" s="4">
        <f t="shared" si="1"/>
        <v>1.1701031638883101</v>
      </c>
      <c r="X20" s="2">
        <f t="shared" si="2"/>
        <v>30.5</v>
      </c>
      <c r="Y20" s="3">
        <f t="shared" si="3"/>
        <v>32.025000000000006</v>
      </c>
      <c r="Z20" s="2">
        <f t="shared" si="4"/>
        <v>38.5</v>
      </c>
      <c r="AA20" s="3">
        <f t="shared" si="5"/>
        <v>39.5</v>
      </c>
      <c r="AB20" s="3">
        <f t="shared" si="6"/>
        <v>40.299999999999997</v>
      </c>
      <c r="AC20" s="3">
        <f t="shared" si="7"/>
        <v>-0.40670631353519476</v>
      </c>
      <c r="AD20" s="3">
        <f t="shared" si="8"/>
        <v>-2.0325884576880422</v>
      </c>
      <c r="AF20" s="13" t="s">
        <v>68</v>
      </c>
      <c r="AG20" s="12">
        <v>29.625</v>
      </c>
      <c r="AH20" s="11">
        <v>32.181249999999999</v>
      </c>
      <c r="AI20" s="11">
        <v>35.524999999999999</v>
      </c>
      <c r="AJ20" s="11">
        <v>35.241666666666674</v>
      </c>
      <c r="AK20" s="12">
        <v>27.225000000000001</v>
      </c>
      <c r="AL20" s="11">
        <v>28.0625</v>
      </c>
      <c r="AM20" s="11">
        <v>28.637499999999999</v>
      </c>
      <c r="AN20" s="10">
        <v>28.754166666666666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13.224</v>
      </c>
      <c r="J21" s="39">
        <v>38.1</v>
      </c>
      <c r="K21" s="39">
        <v>37.4</v>
      </c>
      <c r="L21" s="39">
        <v>31.7</v>
      </c>
      <c r="M21" s="39">
        <v>33.799999999999997</v>
      </c>
      <c r="N21" s="39">
        <v>35.700000000000003</v>
      </c>
      <c r="O21" s="39">
        <v>30.9</v>
      </c>
      <c r="P21" s="39">
        <v>38.1</v>
      </c>
      <c r="Q21" s="39">
        <v>32.6</v>
      </c>
      <c r="R21" s="39">
        <v>34.1</v>
      </c>
      <c r="S21" s="39">
        <v>36.4</v>
      </c>
      <c r="T21" s="39">
        <v>34.4</v>
      </c>
      <c r="U21" s="39">
        <v>33.6</v>
      </c>
      <c r="V21" s="5">
        <f t="shared" si="0"/>
        <v>34.733333333333334</v>
      </c>
      <c r="W21" s="4">
        <f t="shared" si="1"/>
        <v>0.69960306206051215</v>
      </c>
      <c r="X21" s="2">
        <f t="shared" si="2"/>
        <v>30.9</v>
      </c>
      <c r="Y21" s="3">
        <f t="shared" si="3"/>
        <v>33.35</v>
      </c>
      <c r="Z21" s="2">
        <f t="shared" si="4"/>
        <v>34.25</v>
      </c>
      <c r="AA21" s="3">
        <f t="shared" si="5"/>
        <v>36.65</v>
      </c>
      <c r="AB21" s="3">
        <f t="shared" si="6"/>
        <v>38.1</v>
      </c>
      <c r="AC21" s="3">
        <f t="shared" si="7"/>
        <v>3.3008459369961697E-2</v>
      </c>
      <c r="AD21" s="3">
        <f t="shared" si="8"/>
        <v>-1.1099540500676355</v>
      </c>
      <c r="AF21" s="13" t="s">
        <v>67</v>
      </c>
      <c r="AG21" s="12">
        <v>29.9</v>
      </c>
      <c r="AH21" s="11">
        <v>31.375</v>
      </c>
      <c r="AI21" s="11">
        <v>34.825000000000003</v>
      </c>
      <c r="AJ21" s="11">
        <v>34.262500000000003</v>
      </c>
      <c r="AK21" s="12">
        <v>27.85</v>
      </c>
      <c r="AL21" s="11">
        <v>28.212499999999999</v>
      </c>
      <c r="AM21" s="11">
        <v>28.675000000000001</v>
      </c>
      <c r="AN21" s="10">
        <v>28.75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13.24</v>
      </c>
      <c r="J22" s="39">
        <v>40.6</v>
      </c>
      <c r="K22" s="39">
        <v>38.4</v>
      </c>
      <c r="L22" s="39">
        <v>36.6</v>
      </c>
      <c r="M22" s="39">
        <v>33.1</v>
      </c>
      <c r="N22" s="39">
        <v>39.1</v>
      </c>
      <c r="O22" s="39">
        <v>30.8</v>
      </c>
      <c r="P22" s="39">
        <v>38.700000000000003</v>
      </c>
      <c r="Q22" s="39">
        <v>34.5</v>
      </c>
      <c r="R22" s="39">
        <v>40.299999999999997</v>
      </c>
      <c r="S22" s="39">
        <v>34.200000000000003</v>
      </c>
      <c r="T22" s="39">
        <v>39.6</v>
      </c>
      <c r="U22" s="39">
        <v>36.200000000000003</v>
      </c>
      <c r="V22" s="5">
        <f t="shared" si="0"/>
        <v>36.841666666666669</v>
      </c>
      <c r="W22" s="4">
        <f t="shared" si="1"/>
        <v>0.90499107088624819</v>
      </c>
      <c r="X22" s="2">
        <f t="shared" si="2"/>
        <v>30.8</v>
      </c>
      <c r="Y22" s="3">
        <f t="shared" si="3"/>
        <v>34.424999999999997</v>
      </c>
      <c r="Z22" s="2">
        <f t="shared" si="4"/>
        <v>37.5</v>
      </c>
      <c r="AA22" s="3">
        <f t="shared" si="5"/>
        <v>39.225000000000001</v>
      </c>
      <c r="AB22" s="3">
        <f t="shared" si="6"/>
        <v>40.6</v>
      </c>
      <c r="AC22" s="3">
        <f t="shared" si="7"/>
        <v>-0.59239969922701941</v>
      </c>
      <c r="AD22" s="3">
        <f t="shared" si="8"/>
        <v>-0.6864358767594112</v>
      </c>
      <c r="AF22" s="13" t="s">
        <v>66</v>
      </c>
      <c r="AG22" s="12">
        <v>31.15</v>
      </c>
      <c r="AH22" s="11">
        <v>32.712499999999999</v>
      </c>
      <c r="AI22" s="11">
        <v>34.875</v>
      </c>
      <c r="AJ22" s="11">
        <v>34.891666666666666</v>
      </c>
      <c r="AK22" s="12">
        <v>28.85</v>
      </c>
      <c r="AL22" s="11">
        <v>29.4</v>
      </c>
      <c r="AM22" s="11">
        <v>29.774999999999999</v>
      </c>
      <c r="AN22" s="10">
        <v>29.962499999999999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13.254</v>
      </c>
      <c r="J23" s="39">
        <v>59.9</v>
      </c>
      <c r="K23" s="39">
        <v>58.9</v>
      </c>
      <c r="L23" s="39">
        <v>58.8</v>
      </c>
      <c r="M23" s="39">
        <v>44</v>
      </c>
      <c r="N23" s="39">
        <v>57.8</v>
      </c>
      <c r="O23" s="39">
        <v>37.200000000000003</v>
      </c>
      <c r="P23" s="39">
        <v>59.7</v>
      </c>
      <c r="Q23" s="39">
        <v>43.3</v>
      </c>
      <c r="R23" s="39">
        <v>46.6</v>
      </c>
      <c r="S23" s="39">
        <v>55.3</v>
      </c>
      <c r="T23" s="39">
        <v>52.5</v>
      </c>
      <c r="U23" s="39">
        <v>51.6</v>
      </c>
      <c r="V23" s="5">
        <f t="shared" si="0"/>
        <v>52.133333333333333</v>
      </c>
      <c r="W23" s="4">
        <f t="shared" si="1"/>
        <v>2.2159317533158576</v>
      </c>
      <c r="X23" s="2">
        <f t="shared" si="2"/>
        <v>37.200000000000003</v>
      </c>
      <c r="Y23" s="3">
        <f t="shared" si="3"/>
        <v>45.95</v>
      </c>
      <c r="Z23" s="2">
        <f t="shared" si="4"/>
        <v>53.9</v>
      </c>
      <c r="AA23" s="3">
        <f t="shared" si="5"/>
        <v>58.824999999999996</v>
      </c>
      <c r="AB23" s="3">
        <f t="shared" si="6"/>
        <v>59.9</v>
      </c>
      <c r="AC23" s="3">
        <f t="shared" si="7"/>
        <v>-0.72486032133014788</v>
      </c>
      <c r="AD23" s="3">
        <f t="shared" si="8"/>
        <v>-0.70882749037659254</v>
      </c>
      <c r="AF23" s="13" t="s">
        <v>65</v>
      </c>
      <c r="AG23" s="12">
        <v>32.1</v>
      </c>
      <c r="AH23" s="11">
        <v>40.274999999999999</v>
      </c>
      <c r="AI23" s="11">
        <v>47.6</v>
      </c>
      <c r="AJ23" s="11">
        <v>46.841666666666669</v>
      </c>
      <c r="AK23" s="12">
        <v>28.3</v>
      </c>
      <c r="AL23" s="11">
        <v>29</v>
      </c>
      <c r="AM23" s="11">
        <v>29.3</v>
      </c>
      <c r="AN23" s="10">
        <v>29.324999999999999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13.271000000000001</v>
      </c>
      <c r="J24" s="39">
        <v>39.799999999999997</v>
      </c>
      <c r="K24" s="39">
        <v>39.5</v>
      </c>
      <c r="L24" s="39">
        <v>29</v>
      </c>
      <c r="M24" s="39">
        <v>36.6</v>
      </c>
      <c r="N24" s="39">
        <v>37.5</v>
      </c>
      <c r="O24" s="39">
        <v>30.7</v>
      </c>
      <c r="P24" s="39">
        <v>38.299999999999997</v>
      </c>
      <c r="Q24" s="39">
        <v>29.4</v>
      </c>
      <c r="R24" s="39">
        <v>35.1</v>
      </c>
      <c r="S24" s="39">
        <v>31.8</v>
      </c>
      <c r="T24" s="39">
        <v>40</v>
      </c>
      <c r="U24" s="39">
        <v>30.8</v>
      </c>
      <c r="V24" s="5">
        <f t="shared" si="0"/>
        <v>34.875</v>
      </c>
      <c r="W24" s="4">
        <f t="shared" si="1"/>
        <v>1.2356525082773546</v>
      </c>
      <c r="X24" s="2">
        <f t="shared" si="2"/>
        <v>29</v>
      </c>
      <c r="Y24" s="3">
        <f t="shared" si="3"/>
        <v>30.774999999999999</v>
      </c>
      <c r="Z24" s="2">
        <f t="shared" si="4"/>
        <v>35.85</v>
      </c>
      <c r="AA24" s="3">
        <f t="shared" si="5"/>
        <v>38.599999999999994</v>
      </c>
      <c r="AB24" s="3">
        <f t="shared" si="6"/>
        <v>40</v>
      </c>
      <c r="AC24" s="3">
        <f t="shared" si="7"/>
        <v>-0.16692175572367837</v>
      </c>
      <c r="AD24" s="3">
        <f t="shared" si="8"/>
        <v>-1.8325260903288441</v>
      </c>
      <c r="AF24" s="13" t="s">
        <v>64</v>
      </c>
      <c r="AG24" s="12">
        <v>35.65</v>
      </c>
      <c r="AH24" s="11">
        <v>44.15</v>
      </c>
      <c r="AI24" s="11">
        <v>51.35</v>
      </c>
      <c r="AJ24" s="11">
        <v>49.895833333333329</v>
      </c>
      <c r="AK24" s="12">
        <v>29.15</v>
      </c>
      <c r="AL24" s="11">
        <v>29.387499999999999</v>
      </c>
      <c r="AM24" s="11">
        <v>29.95</v>
      </c>
      <c r="AN24" s="10">
        <v>30.041666666666668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13.286</v>
      </c>
      <c r="J25" s="39">
        <v>39.799999999999997</v>
      </c>
      <c r="K25" s="39">
        <v>40.1</v>
      </c>
      <c r="L25" s="39">
        <v>32</v>
      </c>
      <c r="M25" s="39">
        <v>40.6</v>
      </c>
      <c r="N25" s="39">
        <v>33.700000000000003</v>
      </c>
      <c r="O25" s="39">
        <v>31.8</v>
      </c>
      <c r="P25" s="39">
        <v>37.1</v>
      </c>
      <c r="Q25" s="39">
        <v>31.8</v>
      </c>
      <c r="R25" s="39">
        <v>38.799999999999997</v>
      </c>
      <c r="S25" s="39">
        <v>33.1</v>
      </c>
      <c r="T25" s="39">
        <v>40.700000000000003</v>
      </c>
      <c r="U25" s="39">
        <v>38.9</v>
      </c>
      <c r="V25" s="5">
        <f t="shared" si="0"/>
        <v>36.533333333333331</v>
      </c>
      <c r="W25" s="4">
        <f t="shared" si="1"/>
        <v>1.0784622423065204</v>
      </c>
      <c r="X25" s="2">
        <f t="shared" si="2"/>
        <v>31.8</v>
      </c>
      <c r="Y25" s="3">
        <f t="shared" si="3"/>
        <v>32.825000000000003</v>
      </c>
      <c r="Z25" s="2">
        <f t="shared" si="4"/>
        <v>37.950000000000003</v>
      </c>
      <c r="AA25" s="3">
        <f t="shared" si="5"/>
        <v>39.875</v>
      </c>
      <c r="AB25" s="3">
        <f t="shared" si="6"/>
        <v>40.700000000000003</v>
      </c>
      <c r="AC25" s="3">
        <f t="shared" si="7"/>
        <v>-0.258534680832608</v>
      </c>
      <c r="AD25" s="3">
        <f t="shared" si="8"/>
        <v>-1.9801727635314847</v>
      </c>
      <c r="AF25" s="13" t="s">
        <v>63</v>
      </c>
      <c r="AG25" s="12">
        <v>40.266666666666666</v>
      </c>
      <c r="AH25" s="11">
        <v>46.94166666666667</v>
      </c>
      <c r="AI25" s="11">
        <v>52.366666666666667</v>
      </c>
      <c r="AJ25" s="11">
        <v>51.533333333333331</v>
      </c>
      <c r="AK25" s="12">
        <v>29.966666666666669</v>
      </c>
      <c r="AL25" s="11">
        <v>31.283333333333331</v>
      </c>
      <c r="AM25" s="11">
        <v>31.583333333333332</v>
      </c>
      <c r="AN25" s="10">
        <v>31.666666666666668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13.412000000000001</v>
      </c>
      <c r="J26" s="39">
        <v>60</v>
      </c>
      <c r="K26" s="39">
        <v>57.3</v>
      </c>
      <c r="L26" s="39">
        <v>48.4</v>
      </c>
      <c r="M26" s="39">
        <v>53.8</v>
      </c>
      <c r="N26" s="39">
        <v>59.2</v>
      </c>
      <c r="O26" s="39">
        <v>36.700000000000003</v>
      </c>
      <c r="P26" s="39">
        <v>58.9</v>
      </c>
      <c r="Q26" s="39">
        <v>37.700000000000003</v>
      </c>
      <c r="R26" s="39">
        <v>57</v>
      </c>
      <c r="S26" s="39">
        <v>49.2</v>
      </c>
      <c r="T26" s="39">
        <v>53.2</v>
      </c>
      <c r="U26" s="39">
        <v>53.2</v>
      </c>
      <c r="V26" s="5">
        <f t="shared" si="0"/>
        <v>52.050000000000004</v>
      </c>
      <c r="W26" s="4">
        <f t="shared" si="1"/>
        <v>2.2730469472147639</v>
      </c>
      <c r="X26" s="2">
        <f t="shared" si="2"/>
        <v>36.700000000000003</v>
      </c>
      <c r="Y26" s="3">
        <f t="shared" si="3"/>
        <v>49</v>
      </c>
      <c r="Z26" s="2">
        <f t="shared" si="4"/>
        <v>53.5</v>
      </c>
      <c r="AA26" s="3">
        <f t="shared" si="5"/>
        <v>57.699999999999996</v>
      </c>
      <c r="AB26" s="3">
        <f t="shared" si="6"/>
        <v>60</v>
      </c>
      <c r="AC26" s="3">
        <f t="shared" si="7"/>
        <v>-1.1574499014463726</v>
      </c>
      <c r="AD26" s="3">
        <f t="shared" si="8"/>
        <v>0.40801781605805942</v>
      </c>
      <c r="AF26" s="13" t="s">
        <v>62</v>
      </c>
      <c r="AG26" s="12">
        <v>37.700000000000003</v>
      </c>
      <c r="AH26" s="11">
        <v>44.756250000000001</v>
      </c>
      <c r="AI26" s="11">
        <v>52.8</v>
      </c>
      <c r="AJ26" s="11">
        <v>50.825000000000003</v>
      </c>
      <c r="AK26" s="12">
        <v>30.4</v>
      </c>
      <c r="AL26" s="11">
        <v>31.84375</v>
      </c>
      <c r="AM26" s="11">
        <v>32.262500000000003</v>
      </c>
      <c r="AN26" s="10">
        <v>32.283333333333331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13.429</v>
      </c>
      <c r="J27" s="39">
        <v>38.1</v>
      </c>
      <c r="K27" s="39">
        <v>40.200000000000003</v>
      </c>
      <c r="L27" s="39">
        <v>32.6</v>
      </c>
      <c r="M27" s="39">
        <v>37.700000000000003</v>
      </c>
      <c r="N27" s="39">
        <v>35.299999999999997</v>
      </c>
      <c r="O27" s="39">
        <v>31.3</v>
      </c>
      <c r="P27" s="39">
        <v>38.5</v>
      </c>
      <c r="Q27" s="39">
        <v>29.5</v>
      </c>
      <c r="R27" s="39">
        <v>34.700000000000003</v>
      </c>
      <c r="S27" s="39">
        <v>38</v>
      </c>
      <c r="T27" s="39">
        <v>30.8</v>
      </c>
      <c r="U27" s="39">
        <v>35.4</v>
      </c>
      <c r="V27" s="5">
        <f t="shared" si="0"/>
        <v>35.175000000000004</v>
      </c>
      <c r="W27" s="4">
        <f t="shared" si="1"/>
        <v>1.0019016010476371</v>
      </c>
      <c r="X27" s="2">
        <f t="shared" si="2"/>
        <v>29.5</v>
      </c>
      <c r="Y27" s="3">
        <f t="shared" si="3"/>
        <v>32.274999999999999</v>
      </c>
      <c r="Z27" s="2">
        <f t="shared" si="4"/>
        <v>35.349999999999994</v>
      </c>
      <c r="AA27" s="3">
        <f t="shared" si="5"/>
        <v>38.024999999999999</v>
      </c>
      <c r="AB27" s="3">
        <f t="shared" si="6"/>
        <v>40.200000000000003</v>
      </c>
      <c r="AC27" s="3">
        <f t="shared" si="7"/>
        <v>-0.29889983366229605</v>
      </c>
      <c r="AD27" s="3">
        <f t="shared" si="8"/>
        <v>-1.1984464396863443</v>
      </c>
      <c r="AF27" s="9" t="s">
        <v>61</v>
      </c>
      <c r="AG27" s="8">
        <v>35.549999999999997</v>
      </c>
      <c r="AH27" s="7">
        <v>36.975000000000001</v>
      </c>
      <c r="AI27" s="7">
        <v>37.825000000000003</v>
      </c>
      <c r="AJ27" s="7">
        <v>38.295833333333334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13.445</v>
      </c>
      <c r="J28" s="39">
        <v>55.7</v>
      </c>
      <c r="K28" s="39">
        <v>53.5</v>
      </c>
      <c r="L28" s="39">
        <v>41.3</v>
      </c>
      <c r="M28" s="39">
        <v>44.4</v>
      </c>
      <c r="N28" s="39">
        <v>51.8</v>
      </c>
      <c r="O28" s="39">
        <v>34.1</v>
      </c>
      <c r="P28" s="39">
        <v>56.7</v>
      </c>
      <c r="Q28" s="39">
        <v>42.7</v>
      </c>
      <c r="R28" s="39">
        <v>55.1</v>
      </c>
      <c r="S28" s="39">
        <v>46.3</v>
      </c>
      <c r="T28" s="39">
        <v>39</v>
      </c>
      <c r="U28" s="39">
        <v>51.3</v>
      </c>
      <c r="V28" s="5">
        <f t="shared" si="0"/>
        <v>47.658333333333331</v>
      </c>
      <c r="W28" s="4">
        <f t="shared" si="1"/>
        <v>2.1366377698608505</v>
      </c>
      <c r="X28" s="2">
        <f t="shared" si="2"/>
        <v>34.1</v>
      </c>
      <c r="Y28" s="3">
        <f t="shared" si="3"/>
        <v>42.35</v>
      </c>
      <c r="Z28" s="2">
        <f t="shared" si="4"/>
        <v>48.8</v>
      </c>
      <c r="AA28" s="3">
        <f t="shared" si="5"/>
        <v>53.9</v>
      </c>
      <c r="AB28" s="3">
        <f t="shared" si="6"/>
        <v>56.7</v>
      </c>
      <c r="AC28" s="3">
        <f t="shared" si="7"/>
        <v>-0.42173896147805973</v>
      </c>
      <c r="AD28" s="3">
        <f t="shared" si="8"/>
        <v>-1.0229595580053088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13.462999999999999</v>
      </c>
      <c r="J29" s="39">
        <v>40.799999999999997</v>
      </c>
      <c r="K29" s="39">
        <v>40.1</v>
      </c>
      <c r="L29" s="39">
        <v>35.1</v>
      </c>
      <c r="M29" s="39">
        <v>30.9</v>
      </c>
      <c r="N29" s="39">
        <v>37.9</v>
      </c>
      <c r="O29" s="39">
        <v>29.5</v>
      </c>
      <c r="P29" s="39">
        <v>37.9</v>
      </c>
      <c r="Q29" s="39">
        <v>33.1</v>
      </c>
      <c r="R29" s="39">
        <v>33.700000000000003</v>
      </c>
      <c r="S29" s="39">
        <v>37.299999999999997</v>
      </c>
      <c r="T29" s="39">
        <v>33.1</v>
      </c>
      <c r="U29" s="39">
        <v>36.4</v>
      </c>
      <c r="V29" s="5">
        <f t="shared" si="0"/>
        <v>35.483333333333334</v>
      </c>
      <c r="W29" s="4">
        <f t="shared" si="1"/>
        <v>1.018379084425814</v>
      </c>
      <c r="X29" s="2">
        <f t="shared" si="2"/>
        <v>29.5</v>
      </c>
      <c r="Y29" s="3">
        <f t="shared" si="3"/>
        <v>33.1</v>
      </c>
      <c r="Z29" s="2">
        <f t="shared" si="4"/>
        <v>35.75</v>
      </c>
      <c r="AA29" s="3">
        <f t="shared" si="5"/>
        <v>37.9</v>
      </c>
      <c r="AB29" s="3">
        <f t="shared" si="6"/>
        <v>40.799999999999997</v>
      </c>
      <c r="AC29" s="3">
        <f t="shared" si="7"/>
        <v>-0.14812558068999521</v>
      </c>
      <c r="AD29" s="3">
        <f t="shared" si="8"/>
        <v>-0.84815434921432731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13.48</v>
      </c>
      <c r="J30" s="39">
        <v>38</v>
      </c>
      <c r="K30" s="39">
        <v>36.1</v>
      </c>
      <c r="L30" s="39">
        <v>35.799999999999997</v>
      </c>
      <c r="M30" s="39">
        <v>29.4</v>
      </c>
      <c r="N30" s="39">
        <v>36.700000000000003</v>
      </c>
      <c r="O30" s="39">
        <v>28.9</v>
      </c>
      <c r="P30" s="39">
        <v>35</v>
      </c>
      <c r="Q30" s="39">
        <v>31.8</v>
      </c>
      <c r="R30" s="39">
        <v>29.4</v>
      </c>
      <c r="S30" s="39">
        <v>37.700000000000003</v>
      </c>
      <c r="T30" s="39">
        <v>29</v>
      </c>
      <c r="U30" s="39">
        <v>37.700000000000003</v>
      </c>
      <c r="V30" s="5">
        <f t="shared" si="0"/>
        <v>33.791666666666664</v>
      </c>
      <c r="W30" s="4">
        <f t="shared" si="1"/>
        <v>1.0904862922271954</v>
      </c>
      <c r="X30" s="2">
        <f t="shared" si="2"/>
        <v>28.9</v>
      </c>
      <c r="Y30" s="3">
        <f t="shared" si="3"/>
        <v>29.4</v>
      </c>
      <c r="Z30" s="2">
        <f t="shared" si="4"/>
        <v>35.4</v>
      </c>
      <c r="AA30" s="3">
        <f t="shared" si="5"/>
        <v>36.950000000000003</v>
      </c>
      <c r="AB30" s="3">
        <f t="shared" si="6"/>
        <v>38</v>
      </c>
      <c r="AC30" s="3">
        <f t="shared" si="7"/>
        <v>-0.33123619164657175</v>
      </c>
      <c r="AD30" s="3">
        <f t="shared" si="8"/>
        <v>-1.8990587447762368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13.496</v>
      </c>
      <c r="J31" s="39">
        <v>40.200000000000003</v>
      </c>
      <c r="K31" s="39">
        <v>34</v>
      </c>
      <c r="L31" s="39">
        <v>32</v>
      </c>
      <c r="M31" s="39">
        <v>34.9</v>
      </c>
      <c r="N31" s="39">
        <v>39.4</v>
      </c>
      <c r="O31" s="39">
        <v>28.8</v>
      </c>
      <c r="P31" s="39">
        <v>38.700000000000003</v>
      </c>
      <c r="Q31" s="39">
        <v>30.5</v>
      </c>
      <c r="R31" s="39">
        <v>36.200000000000003</v>
      </c>
      <c r="S31" s="39">
        <v>35</v>
      </c>
      <c r="T31" s="39">
        <v>34.299999999999997</v>
      </c>
      <c r="U31" s="39">
        <v>35.5</v>
      </c>
      <c r="V31" s="5">
        <f t="shared" si="0"/>
        <v>34.958333333333336</v>
      </c>
      <c r="W31" s="4">
        <f t="shared" si="1"/>
        <v>0.99601161710802444</v>
      </c>
      <c r="X31" s="2">
        <f t="shared" si="2"/>
        <v>28.8</v>
      </c>
      <c r="Y31" s="3">
        <f t="shared" si="3"/>
        <v>33.5</v>
      </c>
      <c r="Z31" s="2">
        <f t="shared" si="4"/>
        <v>34.950000000000003</v>
      </c>
      <c r="AA31" s="3">
        <f t="shared" si="5"/>
        <v>36.825000000000003</v>
      </c>
      <c r="AB31" s="3">
        <f t="shared" si="6"/>
        <v>40.200000000000003</v>
      </c>
      <c r="AC31" s="3">
        <f t="shared" si="7"/>
        <v>-0.1676701427929552</v>
      </c>
      <c r="AD31" s="3">
        <f t="shared" si="8"/>
        <v>-0.41565466726960709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13.513</v>
      </c>
      <c r="J32" s="39">
        <v>57.5</v>
      </c>
      <c r="K32" s="39">
        <v>59.3</v>
      </c>
      <c r="L32" s="39">
        <v>36.799999999999997</v>
      </c>
      <c r="M32" s="39">
        <v>54</v>
      </c>
      <c r="N32" s="39">
        <v>53.6</v>
      </c>
      <c r="O32" s="39">
        <v>40</v>
      </c>
      <c r="P32" s="39">
        <v>59.1</v>
      </c>
      <c r="Q32" s="39">
        <v>43.5</v>
      </c>
      <c r="R32" s="39">
        <v>51.7</v>
      </c>
      <c r="S32" s="39">
        <v>52.1</v>
      </c>
      <c r="T32" s="39">
        <v>48.2</v>
      </c>
      <c r="U32" s="39">
        <v>50.8</v>
      </c>
      <c r="V32" s="5">
        <f t="shared" si="0"/>
        <v>50.550000000000004</v>
      </c>
      <c r="W32" s="4">
        <f t="shared" si="1"/>
        <v>2.0935507028621285</v>
      </c>
      <c r="X32" s="2">
        <f t="shared" si="2"/>
        <v>36.799999999999997</v>
      </c>
      <c r="Y32" s="3">
        <f t="shared" si="3"/>
        <v>47.025000000000006</v>
      </c>
      <c r="Z32" s="2">
        <f t="shared" si="4"/>
        <v>51.900000000000006</v>
      </c>
      <c r="AA32" s="3">
        <f t="shared" si="5"/>
        <v>54.875</v>
      </c>
      <c r="AB32" s="3">
        <f t="shared" si="6"/>
        <v>59.3</v>
      </c>
      <c r="AC32" s="3">
        <f t="shared" si="7"/>
        <v>-0.69551915809536069</v>
      </c>
      <c r="AD32" s="3">
        <f t="shared" si="8"/>
        <v>-0.36443851304090558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13.53</v>
      </c>
      <c r="J33" s="39">
        <v>35.299999999999997</v>
      </c>
      <c r="K33" s="39">
        <v>36.299999999999997</v>
      </c>
      <c r="L33" s="39">
        <v>33.1</v>
      </c>
      <c r="M33" s="39">
        <v>32.1</v>
      </c>
      <c r="N33" s="39">
        <v>37.9</v>
      </c>
      <c r="O33" s="39">
        <v>30.9</v>
      </c>
      <c r="P33" s="39">
        <v>37.9</v>
      </c>
      <c r="Q33" s="39">
        <v>30.7</v>
      </c>
      <c r="R33" s="39">
        <v>30.8</v>
      </c>
      <c r="S33" s="39">
        <v>36.700000000000003</v>
      </c>
      <c r="T33" s="39">
        <v>28.8</v>
      </c>
      <c r="U33" s="39">
        <v>33</v>
      </c>
      <c r="V33" s="5">
        <f t="shared" si="0"/>
        <v>33.625</v>
      </c>
      <c r="W33" s="4">
        <f t="shared" si="1"/>
        <v>0.89697513563052222</v>
      </c>
      <c r="X33" s="2">
        <f t="shared" si="2"/>
        <v>28.8</v>
      </c>
      <c r="Y33" s="3">
        <f t="shared" si="3"/>
        <v>30.875</v>
      </c>
      <c r="Z33" s="2">
        <f t="shared" si="4"/>
        <v>33.049999999999997</v>
      </c>
      <c r="AA33" s="3">
        <f t="shared" si="5"/>
        <v>36.4</v>
      </c>
      <c r="AB33" s="3">
        <f t="shared" si="6"/>
        <v>37.9</v>
      </c>
      <c r="AC33" s="3">
        <f t="shared" si="7"/>
        <v>9.1287626864064178E-2</v>
      </c>
      <c r="AD33" s="3">
        <f t="shared" si="8"/>
        <v>-1.4027488733590587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13.64</v>
      </c>
      <c r="J34" s="39">
        <v>37.1</v>
      </c>
      <c r="K34" s="39">
        <v>35.6</v>
      </c>
      <c r="L34" s="39">
        <v>34.9</v>
      </c>
      <c r="M34" s="39">
        <v>30.5</v>
      </c>
      <c r="N34" s="39">
        <v>39</v>
      </c>
      <c r="O34" s="39">
        <v>30.7</v>
      </c>
      <c r="P34" s="39">
        <v>37.6</v>
      </c>
      <c r="Q34" s="39">
        <v>33.1</v>
      </c>
      <c r="R34" s="39">
        <v>35.200000000000003</v>
      </c>
      <c r="S34" s="39">
        <v>32.1</v>
      </c>
      <c r="T34" s="39">
        <v>35.1</v>
      </c>
      <c r="U34" s="39">
        <v>30.3</v>
      </c>
      <c r="V34" s="5">
        <f t="shared" si="0"/>
        <v>34.266666666666673</v>
      </c>
      <c r="W34" s="4">
        <f t="shared" si="1"/>
        <v>0.84381289514927571</v>
      </c>
      <c r="X34" s="2">
        <f t="shared" si="2"/>
        <v>30.3</v>
      </c>
      <c r="Y34" s="3">
        <f t="shared" si="3"/>
        <v>31.75</v>
      </c>
      <c r="Z34" s="2">
        <f t="shared" si="4"/>
        <v>35</v>
      </c>
      <c r="AA34" s="3">
        <f t="shared" si="5"/>
        <v>35.975000000000001</v>
      </c>
      <c r="AB34" s="3">
        <f t="shared" si="6"/>
        <v>39</v>
      </c>
      <c r="AC34" s="3">
        <f t="shared" si="7"/>
        <v>-1.3710527385878118E-2</v>
      </c>
      <c r="AD34" s="3">
        <f t="shared" si="8"/>
        <v>-1.1647373820703177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13.622999999999999</v>
      </c>
      <c r="J35" s="39">
        <v>40.700000000000003</v>
      </c>
      <c r="K35" s="39">
        <v>36.799999999999997</v>
      </c>
      <c r="L35" s="39">
        <v>36.5</v>
      </c>
      <c r="M35" s="39">
        <v>33.4</v>
      </c>
      <c r="N35" s="39">
        <v>38.200000000000003</v>
      </c>
      <c r="O35" s="39">
        <v>29.6</v>
      </c>
      <c r="P35" s="39">
        <v>38.4</v>
      </c>
      <c r="Q35" s="39">
        <v>32.9</v>
      </c>
      <c r="R35" s="39">
        <v>36.700000000000003</v>
      </c>
      <c r="S35" s="39">
        <v>33.700000000000003</v>
      </c>
      <c r="T35" s="39">
        <v>38.1</v>
      </c>
      <c r="U35" s="39">
        <v>34.700000000000003</v>
      </c>
      <c r="V35" s="5">
        <f t="shared" si="0"/>
        <v>35.80833333333333</v>
      </c>
      <c r="W35" s="4">
        <f t="shared" si="1"/>
        <v>0.88055236911127255</v>
      </c>
      <c r="X35" s="2">
        <f t="shared" si="2"/>
        <v>29.6</v>
      </c>
      <c r="Y35" s="3">
        <f t="shared" si="3"/>
        <v>33.625</v>
      </c>
      <c r="Z35" s="2">
        <f t="shared" si="4"/>
        <v>36.6</v>
      </c>
      <c r="AA35" s="3">
        <f t="shared" si="5"/>
        <v>38.125</v>
      </c>
      <c r="AB35" s="3">
        <f t="shared" si="6"/>
        <v>40.700000000000003</v>
      </c>
      <c r="AC35" s="3">
        <f t="shared" si="7"/>
        <v>-0.48585987349068543</v>
      </c>
      <c r="AD35" s="3">
        <f t="shared" si="8"/>
        <v>0.13818197292264411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13.606999999999999</v>
      </c>
      <c r="J36" s="39">
        <v>39.799999999999997</v>
      </c>
      <c r="K36" s="39">
        <v>36.200000000000003</v>
      </c>
      <c r="L36" s="39">
        <v>34.1</v>
      </c>
      <c r="M36" s="39">
        <v>30.6</v>
      </c>
      <c r="N36" s="39">
        <v>37.6</v>
      </c>
      <c r="O36" s="39">
        <v>29.3</v>
      </c>
      <c r="P36" s="39">
        <v>38.6</v>
      </c>
      <c r="Q36" s="39">
        <v>31.4</v>
      </c>
      <c r="R36" s="39">
        <v>31.6</v>
      </c>
      <c r="S36" s="39">
        <v>36.1</v>
      </c>
      <c r="T36" s="39">
        <v>33.1</v>
      </c>
      <c r="U36" s="39">
        <v>37.700000000000003</v>
      </c>
      <c r="V36" s="5">
        <f t="shared" si="0"/>
        <v>34.675000000000004</v>
      </c>
      <c r="W36" s="4">
        <f t="shared" si="1"/>
        <v>1.0008424481708427</v>
      </c>
      <c r="X36" s="2">
        <f t="shared" si="2"/>
        <v>29.3</v>
      </c>
      <c r="Y36" s="3">
        <f t="shared" si="3"/>
        <v>31.55</v>
      </c>
      <c r="Z36" s="2">
        <f t="shared" si="4"/>
        <v>35.1</v>
      </c>
      <c r="AA36" s="3">
        <f t="shared" si="5"/>
        <v>37.625</v>
      </c>
      <c r="AB36" s="3">
        <f t="shared" si="6"/>
        <v>39.799999999999997</v>
      </c>
      <c r="AC36" s="3">
        <f t="shared" si="7"/>
        <v>-9.6933684361947825E-2</v>
      </c>
      <c r="AD36" s="3">
        <f t="shared" si="8"/>
        <v>-1.3997539829814638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13.59</v>
      </c>
      <c r="J37" s="39">
        <v>40.700000000000003</v>
      </c>
      <c r="K37" s="39">
        <v>35.6</v>
      </c>
      <c r="L37" s="39">
        <v>35.799999999999997</v>
      </c>
      <c r="M37" s="39">
        <v>29.8</v>
      </c>
      <c r="N37" s="39">
        <v>34.9</v>
      </c>
      <c r="O37" s="39">
        <v>32</v>
      </c>
      <c r="P37" s="39">
        <v>34.5</v>
      </c>
      <c r="Q37" s="39">
        <v>37.6</v>
      </c>
      <c r="R37" s="39">
        <v>29.3</v>
      </c>
      <c r="S37" s="39">
        <v>38.5</v>
      </c>
      <c r="T37" s="39">
        <v>28.3</v>
      </c>
      <c r="U37" s="39">
        <v>34.6</v>
      </c>
      <c r="V37" s="5">
        <f t="shared" si="0"/>
        <v>34.300000000000004</v>
      </c>
      <c r="W37" s="4">
        <f t="shared" si="1"/>
        <v>1.1025452646517633</v>
      </c>
      <c r="X37" s="2">
        <f t="shared" si="2"/>
        <v>28.3</v>
      </c>
      <c r="Y37" s="3">
        <f t="shared" si="3"/>
        <v>31.45</v>
      </c>
      <c r="Z37" s="2">
        <f t="shared" si="4"/>
        <v>34.75</v>
      </c>
      <c r="AA37" s="3">
        <f t="shared" si="5"/>
        <v>36.25</v>
      </c>
      <c r="AB37" s="3">
        <f t="shared" si="6"/>
        <v>40.700000000000003</v>
      </c>
      <c r="AC37" s="3">
        <f t="shared" si="7"/>
        <v>-0.12981979985322356</v>
      </c>
      <c r="AD37" s="3">
        <f t="shared" si="8"/>
        <v>-0.71977796012706596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13.573</v>
      </c>
      <c r="J38" s="39">
        <v>59.1</v>
      </c>
      <c r="K38" s="39">
        <v>51.3</v>
      </c>
      <c r="L38" s="39">
        <v>48.7</v>
      </c>
      <c r="M38" s="39">
        <v>33.200000000000003</v>
      </c>
      <c r="N38" s="39">
        <v>54.5</v>
      </c>
      <c r="O38" s="39">
        <v>32.1</v>
      </c>
      <c r="P38" s="39">
        <v>55.9</v>
      </c>
      <c r="Q38" s="39">
        <v>40.6</v>
      </c>
      <c r="R38" s="39">
        <v>44</v>
      </c>
      <c r="S38" s="39">
        <v>56.9</v>
      </c>
      <c r="T38" s="39">
        <v>39.299999999999997</v>
      </c>
      <c r="U38" s="39">
        <v>46.5</v>
      </c>
      <c r="V38" s="5">
        <f t="shared" si="0"/>
        <v>46.841666666666669</v>
      </c>
      <c r="W38" s="4">
        <f t="shared" si="1"/>
        <v>2.6441891216611371</v>
      </c>
      <c r="X38" s="2">
        <f t="shared" si="2"/>
        <v>32.1</v>
      </c>
      <c r="Y38" s="3">
        <f t="shared" si="3"/>
        <v>40.274999999999999</v>
      </c>
      <c r="Z38" s="2">
        <f t="shared" si="4"/>
        <v>47.6</v>
      </c>
      <c r="AA38" s="3">
        <f t="shared" si="5"/>
        <v>54.85</v>
      </c>
      <c r="AB38" s="3">
        <f t="shared" si="6"/>
        <v>59.1</v>
      </c>
      <c r="AC38" s="3">
        <f t="shared" si="7"/>
        <v>-0.32510656647541936</v>
      </c>
      <c r="AD38" s="3">
        <f t="shared" si="8"/>
        <v>-1.1216966085609474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13.555</v>
      </c>
      <c r="J39" s="39">
        <v>61.1</v>
      </c>
      <c r="K39" s="39">
        <v>52.1</v>
      </c>
      <c r="L39" s="39">
        <v>56.6</v>
      </c>
      <c r="M39" s="39">
        <v>40.1</v>
      </c>
      <c r="N39" s="39">
        <v>57</v>
      </c>
      <c r="O39" s="39">
        <v>41.3</v>
      </c>
      <c r="P39" s="39">
        <v>57.8</v>
      </c>
      <c r="Q39" s="39">
        <v>42.1</v>
      </c>
      <c r="R39" s="39">
        <v>53</v>
      </c>
      <c r="S39" s="39">
        <v>53.2</v>
      </c>
      <c r="T39" s="39">
        <v>54.2</v>
      </c>
      <c r="U39" s="39">
        <v>40.5</v>
      </c>
      <c r="V39" s="5">
        <f t="shared" si="0"/>
        <v>50.750000000000007</v>
      </c>
      <c r="W39" s="4">
        <f t="shared" si="1"/>
        <v>2.1976399186675568</v>
      </c>
      <c r="X39" s="2">
        <f t="shared" si="2"/>
        <v>40.1</v>
      </c>
      <c r="Y39" s="3">
        <f t="shared" si="3"/>
        <v>41.9</v>
      </c>
      <c r="Z39" s="2">
        <f t="shared" si="4"/>
        <v>53.1</v>
      </c>
      <c r="AA39" s="3">
        <f t="shared" si="5"/>
        <v>56.7</v>
      </c>
      <c r="AB39" s="3">
        <f t="shared" si="6"/>
        <v>61.1</v>
      </c>
      <c r="AC39" s="3">
        <f t="shared" si="7"/>
        <v>-0.44577315103034038</v>
      </c>
      <c r="AD39" s="3">
        <f t="shared" si="8"/>
        <v>-1.4847208739704416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13.397</v>
      </c>
      <c r="J40" s="47">
        <v>37.200000000000003</v>
      </c>
      <c r="K40" s="47">
        <v>35.5</v>
      </c>
      <c r="L40" s="47">
        <v>41.1</v>
      </c>
      <c r="M40" s="47">
        <v>36.200000000000003</v>
      </c>
      <c r="N40" s="47">
        <v>37.299999999999997</v>
      </c>
      <c r="O40" s="47">
        <v>40.799999999999997</v>
      </c>
      <c r="P40" s="47">
        <v>36.5</v>
      </c>
      <c r="Q40" s="47">
        <v>41.2</v>
      </c>
      <c r="R40" s="47">
        <v>37.1</v>
      </c>
      <c r="S40" s="47">
        <v>37.799999999999997</v>
      </c>
      <c r="T40" s="47">
        <v>39.700000000000003</v>
      </c>
      <c r="U40" s="47">
        <v>38.4</v>
      </c>
      <c r="V40" s="49">
        <f t="shared" si="0"/>
        <v>38.233333333333334</v>
      </c>
      <c r="W40" s="48">
        <f t="shared" si="1"/>
        <v>0.57608045173281741</v>
      </c>
      <c r="X40" s="47">
        <f t="shared" si="2"/>
        <v>35.5</v>
      </c>
      <c r="Y40" s="46">
        <f t="shared" si="3"/>
        <v>36.950000000000003</v>
      </c>
      <c r="Z40" s="47">
        <f t="shared" si="4"/>
        <v>37.549999999999997</v>
      </c>
      <c r="AA40" s="46">
        <f t="shared" si="5"/>
        <v>39.975000000000001</v>
      </c>
      <c r="AB40" s="46">
        <f t="shared" si="6"/>
        <v>41.2</v>
      </c>
      <c r="AC40" s="46">
        <f t="shared" si="7"/>
        <v>0.44264452575589486</v>
      </c>
      <c r="AD40" s="46">
        <f t="shared" si="8"/>
        <v>-1.2658681133773526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13.378</v>
      </c>
      <c r="J41" s="39">
        <v>63.1</v>
      </c>
      <c r="K41" s="39">
        <v>56.7</v>
      </c>
      <c r="L41" s="39">
        <v>47.8</v>
      </c>
      <c r="M41" s="39">
        <v>41.8</v>
      </c>
      <c r="N41" s="39">
        <v>59.3</v>
      </c>
      <c r="O41" s="39">
        <v>38.200000000000003</v>
      </c>
      <c r="P41" s="39">
        <v>62.3</v>
      </c>
      <c r="Q41" s="39">
        <v>40.200000000000003</v>
      </c>
      <c r="R41" s="39">
        <v>49.7</v>
      </c>
      <c r="S41" s="39">
        <v>45.4</v>
      </c>
      <c r="T41" s="39">
        <v>51.4</v>
      </c>
      <c r="U41" s="39">
        <v>43.2</v>
      </c>
      <c r="V41" s="5">
        <f t="shared" si="0"/>
        <v>49.925000000000004</v>
      </c>
      <c r="W41" s="4">
        <f t="shared" si="1"/>
        <v>2.5091084073829824</v>
      </c>
      <c r="X41" s="2">
        <f t="shared" si="2"/>
        <v>38.200000000000003</v>
      </c>
      <c r="Y41" s="3">
        <f t="shared" si="3"/>
        <v>42.85</v>
      </c>
      <c r="Z41" s="2">
        <f t="shared" si="4"/>
        <v>48.75</v>
      </c>
      <c r="AA41" s="3">
        <f t="shared" si="5"/>
        <v>57.35</v>
      </c>
      <c r="AB41" s="3">
        <f t="shared" si="6"/>
        <v>63.1</v>
      </c>
      <c r="AC41" s="3">
        <f t="shared" si="7"/>
        <v>0.30664543080065276</v>
      </c>
      <c r="AD41" s="3">
        <f t="shared" si="8"/>
        <v>-1.3247392352459095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13.372</v>
      </c>
      <c r="J42" s="47">
        <v>61.6</v>
      </c>
      <c r="K42" s="47">
        <v>64.900000000000006</v>
      </c>
      <c r="L42" s="47">
        <v>63.8</v>
      </c>
      <c r="M42" s="47">
        <v>62.8</v>
      </c>
      <c r="N42" s="47">
        <v>66.099999999999994</v>
      </c>
      <c r="O42" s="47">
        <v>66.400000000000006</v>
      </c>
      <c r="P42" s="47">
        <v>62.5</v>
      </c>
      <c r="Q42" s="47">
        <v>66.2</v>
      </c>
      <c r="R42" s="47">
        <v>63.7</v>
      </c>
      <c r="S42" s="47">
        <v>64.2</v>
      </c>
      <c r="T42" s="47">
        <v>61.9</v>
      </c>
      <c r="U42" s="47">
        <v>66.599999999999994</v>
      </c>
      <c r="V42" s="49">
        <f t="shared" ref="V42:V73" si="9">AVERAGE(J42:U42)</f>
        <v>64.225000000000009</v>
      </c>
      <c r="W42" s="48">
        <f t="shared" ref="W42:W73" si="10">STDEV(J42:U42)/SQRT(COUNT(J42:U42))</f>
        <v>0.52225110064145597</v>
      </c>
      <c r="X42" s="47">
        <f t="shared" ref="X42:X73" si="11">MIN(J42:U42)</f>
        <v>61.6</v>
      </c>
      <c r="Y42" s="46">
        <f t="shared" ref="Y42:Y73" si="12">QUARTILE(J42:U42,1)</f>
        <v>62.724999999999994</v>
      </c>
      <c r="Z42" s="47">
        <f t="shared" ref="Z42:Z73" si="13">MEDIAN(J42:U42)</f>
        <v>64</v>
      </c>
      <c r="AA42" s="46">
        <f t="shared" ref="AA42:AA73" si="14">QUARTILE(J42:U42,3)</f>
        <v>66.125</v>
      </c>
      <c r="AB42" s="46">
        <f t="shared" ref="AB42:AB73" si="15">MAX(J42:U42)</f>
        <v>66.599999999999994</v>
      </c>
      <c r="AC42" s="46">
        <f t="shared" ref="AC42:AC73" si="16">SKEW(J42:U42)</f>
        <v>-1.1337529988835015E-2</v>
      </c>
      <c r="AD42" s="46">
        <f t="shared" ref="AD42:AD73" si="17">KURT(J42:U42)</f>
        <v>-1.5066826692665383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13.353999999999999</v>
      </c>
      <c r="J43" s="39">
        <v>67.099999999999994</v>
      </c>
      <c r="K43" s="39">
        <v>63.3</v>
      </c>
      <c r="L43" s="39">
        <v>55.8</v>
      </c>
      <c r="M43" s="39">
        <v>41.3</v>
      </c>
      <c r="N43" s="39">
        <v>56.1</v>
      </c>
      <c r="O43" s="39">
        <v>39.799999999999997</v>
      </c>
      <c r="P43" s="39">
        <v>63.3</v>
      </c>
      <c r="Q43" s="39">
        <v>53.7</v>
      </c>
      <c r="R43" s="39">
        <v>47.3</v>
      </c>
      <c r="S43" s="39">
        <v>57.8</v>
      </c>
      <c r="T43" s="39">
        <v>55.4</v>
      </c>
      <c r="U43" s="39">
        <v>58.2</v>
      </c>
      <c r="V43" s="5">
        <f t="shared" si="9"/>
        <v>54.925000000000004</v>
      </c>
      <c r="W43" s="4">
        <f t="shared" si="10"/>
        <v>2.4369667248819313</v>
      </c>
      <c r="X43" s="2">
        <f t="shared" si="11"/>
        <v>39.799999999999997</v>
      </c>
      <c r="Y43" s="3">
        <f t="shared" si="12"/>
        <v>52.1</v>
      </c>
      <c r="Z43" s="2">
        <f t="shared" si="13"/>
        <v>55.95</v>
      </c>
      <c r="AA43" s="3">
        <f t="shared" si="14"/>
        <v>59.475000000000001</v>
      </c>
      <c r="AB43" s="3">
        <f t="shared" si="15"/>
        <v>67.099999999999994</v>
      </c>
      <c r="AC43" s="3">
        <f t="shared" si="16"/>
        <v>-0.61538461912756159</v>
      </c>
      <c r="AD43" s="3">
        <f t="shared" si="17"/>
        <v>-0.24266540095112443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13.348000000000001</v>
      </c>
      <c r="J44" s="47">
        <v>35.6</v>
      </c>
      <c r="K44" s="47">
        <v>40.700000000000003</v>
      </c>
      <c r="L44" s="47">
        <v>37</v>
      </c>
      <c r="M44" s="47">
        <v>38.700000000000003</v>
      </c>
      <c r="N44" s="47">
        <v>39.700000000000003</v>
      </c>
      <c r="O44" s="47">
        <v>37.6</v>
      </c>
      <c r="P44" s="47">
        <v>38.299999999999997</v>
      </c>
      <c r="Q44" s="47">
        <v>37</v>
      </c>
      <c r="R44" s="47">
        <v>40.5</v>
      </c>
      <c r="S44" s="47">
        <v>36.6</v>
      </c>
      <c r="T44" s="47">
        <v>40.700000000000003</v>
      </c>
      <c r="U44" s="47">
        <v>37.9</v>
      </c>
      <c r="V44" s="49">
        <f t="shared" si="9"/>
        <v>38.358333333333327</v>
      </c>
      <c r="W44" s="48">
        <f t="shared" si="10"/>
        <v>0.49733506986454507</v>
      </c>
      <c r="X44" s="47">
        <f t="shared" si="11"/>
        <v>35.6</v>
      </c>
      <c r="Y44" s="46">
        <f t="shared" si="12"/>
        <v>37</v>
      </c>
      <c r="Z44" s="47">
        <f t="shared" si="13"/>
        <v>38.099999999999994</v>
      </c>
      <c r="AA44" s="46">
        <f t="shared" si="14"/>
        <v>39.900000000000006</v>
      </c>
      <c r="AB44" s="46">
        <f t="shared" si="15"/>
        <v>40.700000000000003</v>
      </c>
      <c r="AC44" s="46">
        <f t="shared" si="16"/>
        <v>0.12781145054529902</v>
      </c>
      <c r="AD44" s="46">
        <f t="shared" si="17"/>
        <v>-1.1883177842251955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13.331</v>
      </c>
      <c r="J45" s="39">
        <v>61.4</v>
      </c>
      <c r="K45" s="39">
        <v>54.4</v>
      </c>
      <c r="L45" s="39">
        <v>54.6</v>
      </c>
      <c r="M45" s="39">
        <v>39.299999999999997</v>
      </c>
      <c r="N45" s="39">
        <v>44.5</v>
      </c>
      <c r="O45" s="39">
        <v>44.9</v>
      </c>
      <c r="P45" s="39">
        <v>43.4</v>
      </c>
      <c r="Q45" s="39">
        <v>54.2</v>
      </c>
      <c r="R45" s="39">
        <v>34</v>
      </c>
      <c r="S45" s="39">
        <v>48.6</v>
      </c>
      <c r="T45" s="39">
        <v>53.5</v>
      </c>
      <c r="U45" s="39">
        <v>48.8</v>
      </c>
      <c r="V45" s="5">
        <f t="shared" si="9"/>
        <v>48.466666666666661</v>
      </c>
      <c r="W45" s="4">
        <f t="shared" si="10"/>
        <v>2.2119966756144467</v>
      </c>
      <c r="X45" s="2">
        <f t="shared" si="11"/>
        <v>34</v>
      </c>
      <c r="Y45" s="3">
        <f t="shared" si="12"/>
        <v>44.225000000000001</v>
      </c>
      <c r="Z45" s="2">
        <f t="shared" si="13"/>
        <v>48.7</v>
      </c>
      <c r="AA45" s="3">
        <f t="shared" si="14"/>
        <v>54.25</v>
      </c>
      <c r="AB45" s="3">
        <f t="shared" si="15"/>
        <v>61.4</v>
      </c>
      <c r="AC45" s="3">
        <f t="shared" si="16"/>
        <v>-0.27078478323694011</v>
      </c>
      <c r="AD45" s="3">
        <f t="shared" si="17"/>
        <v>-0.18084075061830074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13.323</v>
      </c>
      <c r="J46" s="47">
        <v>62.8</v>
      </c>
      <c r="K46" s="47">
        <v>64.599999999999994</v>
      </c>
      <c r="L46" s="47">
        <v>63.5</v>
      </c>
      <c r="M46" s="47">
        <v>64</v>
      </c>
      <c r="N46" s="47">
        <v>65.2</v>
      </c>
      <c r="O46" s="47">
        <v>65.5</v>
      </c>
      <c r="P46" s="47">
        <v>65.8</v>
      </c>
      <c r="Q46" s="47">
        <v>63.4</v>
      </c>
      <c r="R46" s="47">
        <v>64.400000000000006</v>
      </c>
      <c r="S46" s="47">
        <v>63.6</v>
      </c>
      <c r="T46" s="47">
        <v>66.400000000000006</v>
      </c>
      <c r="U46" s="47">
        <v>62.7</v>
      </c>
      <c r="V46" s="49">
        <f t="shared" si="9"/>
        <v>64.325000000000003</v>
      </c>
      <c r="W46" s="48">
        <f t="shared" si="10"/>
        <v>0.3464374970957092</v>
      </c>
      <c r="X46" s="47">
        <f t="shared" si="11"/>
        <v>62.7</v>
      </c>
      <c r="Y46" s="46">
        <f t="shared" si="12"/>
        <v>63.475000000000001</v>
      </c>
      <c r="Z46" s="47">
        <f t="shared" si="13"/>
        <v>64.2</v>
      </c>
      <c r="AA46" s="46">
        <f t="shared" si="14"/>
        <v>65.275000000000006</v>
      </c>
      <c r="AB46" s="46">
        <f t="shared" si="15"/>
        <v>66.400000000000006</v>
      </c>
      <c r="AC46" s="46">
        <f t="shared" si="16"/>
        <v>0.30615384329476042</v>
      </c>
      <c r="AD46" s="46">
        <f t="shared" si="17"/>
        <v>-1.0224390691245913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13.307</v>
      </c>
      <c r="J47" s="39">
        <v>64.400000000000006</v>
      </c>
      <c r="K47" s="39">
        <v>56.1</v>
      </c>
      <c r="L47" s="39">
        <v>59.4</v>
      </c>
      <c r="M47" s="39">
        <v>51.3</v>
      </c>
      <c r="N47" s="39">
        <v>61.4</v>
      </c>
      <c r="O47" s="39">
        <v>44.2</v>
      </c>
      <c r="P47" s="39">
        <v>49.4</v>
      </c>
      <c r="Q47" s="39">
        <v>59.6</v>
      </c>
      <c r="R47" s="39">
        <v>41.9</v>
      </c>
      <c r="S47" s="39">
        <v>60.8</v>
      </c>
      <c r="T47" s="39">
        <v>57.2</v>
      </c>
      <c r="U47" s="39">
        <v>49.4</v>
      </c>
      <c r="V47" s="5">
        <f t="shared" si="9"/>
        <v>54.591666666666661</v>
      </c>
      <c r="W47" s="4">
        <f t="shared" si="10"/>
        <v>2.0820101858880276</v>
      </c>
      <c r="X47" s="2">
        <f t="shared" si="11"/>
        <v>41.9</v>
      </c>
      <c r="Y47" s="3">
        <f t="shared" si="12"/>
        <v>49.4</v>
      </c>
      <c r="Z47" s="2">
        <f t="shared" si="13"/>
        <v>56.650000000000006</v>
      </c>
      <c r="AA47" s="3">
        <f t="shared" si="14"/>
        <v>59.9</v>
      </c>
      <c r="AB47" s="3">
        <f t="shared" si="15"/>
        <v>64.400000000000006</v>
      </c>
      <c r="AC47" s="3">
        <f t="shared" si="16"/>
        <v>-0.50177421554388368</v>
      </c>
      <c r="AD47" s="3">
        <f t="shared" si="17"/>
        <v>-0.93035917839626281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13.159000000000001</v>
      </c>
      <c r="J48" s="39">
        <v>29.9</v>
      </c>
      <c r="K48" s="39">
        <v>30.7</v>
      </c>
      <c r="L48" s="39">
        <v>30.1</v>
      </c>
      <c r="M48" s="39">
        <v>28.8</v>
      </c>
      <c r="N48" s="39">
        <v>30.6</v>
      </c>
      <c r="O48" s="39">
        <v>30.1</v>
      </c>
      <c r="P48" s="39">
        <v>31.3</v>
      </c>
      <c r="Q48" s="39">
        <v>32.200000000000003</v>
      </c>
      <c r="R48" s="39">
        <v>30.3</v>
      </c>
      <c r="S48" s="39">
        <v>31.9</v>
      </c>
      <c r="T48" s="39">
        <v>30.3</v>
      </c>
      <c r="U48" s="39">
        <v>30.7</v>
      </c>
      <c r="V48" s="5">
        <f t="shared" si="9"/>
        <v>30.574999999999999</v>
      </c>
      <c r="W48" s="4">
        <f t="shared" si="10"/>
        <v>0.26346323991759996</v>
      </c>
      <c r="X48" s="2">
        <f t="shared" si="11"/>
        <v>28.8</v>
      </c>
      <c r="Y48" s="3">
        <f t="shared" si="12"/>
        <v>30.1</v>
      </c>
      <c r="Z48" s="2">
        <f t="shared" si="13"/>
        <v>30.450000000000003</v>
      </c>
      <c r="AA48" s="3">
        <f t="shared" si="14"/>
        <v>30.85</v>
      </c>
      <c r="AB48" s="3">
        <f t="shared" si="15"/>
        <v>32.200000000000003</v>
      </c>
      <c r="AC48" s="3">
        <f t="shared" si="16"/>
        <v>0.12145612861048631</v>
      </c>
      <c r="AD48" s="3">
        <f t="shared" si="17"/>
        <v>0.64051619147237471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13.141999999999999</v>
      </c>
      <c r="J49" s="39">
        <v>32.1</v>
      </c>
      <c r="K49" s="39">
        <v>31.2</v>
      </c>
      <c r="L49" s="39">
        <v>30.4</v>
      </c>
      <c r="M49" s="39">
        <v>31.1</v>
      </c>
      <c r="N49" s="39">
        <v>29.3</v>
      </c>
      <c r="O49" s="39">
        <v>29.8</v>
      </c>
      <c r="P49" s="39">
        <v>29.1</v>
      </c>
      <c r="Q49" s="39">
        <v>28.4</v>
      </c>
      <c r="R49" s="39">
        <v>29.6</v>
      </c>
      <c r="S49" s="39">
        <v>29.1</v>
      </c>
      <c r="T49" s="39">
        <v>31.3</v>
      </c>
      <c r="U49" s="39">
        <v>31</v>
      </c>
      <c r="V49" s="5">
        <f t="shared" si="9"/>
        <v>30.200000000000003</v>
      </c>
      <c r="W49" s="4">
        <f t="shared" si="10"/>
        <v>0.32914029430219172</v>
      </c>
      <c r="X49" s="2">
        <f t="shared" si="11"/>
        <v>28.4</v>
      </c>
      <c r="Y49" s="3">
        <f t="shared" si="12"/>
        <v>29.25</v>
      </c>
      <c r="Z49" s="2">
        <f t="shared" si="13"/>
        <v>30.1</v>
      </c>
      <c r="AA49" s="3">
        <f t="shared" si="14"/>
        <v>31.125</v>
      </c>
      <c r="AB49" s="3">
        <f t="shared" si="15"/>
        <v>32.1</v>
      </c>
      <c r="AC49" s="3">
        <f t="shared" si="16"/>
        <v>6.8888920789199129E-2</v>
      </c>
      <c r="AD49" s="3">
        <f t="shared" si="17"/>
        <v>-1.1614825174825141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13.125999999999999</v>
      </c>
      <c r="J50" s="39">
        <v>29.4</v>
      </c>
      <c r="K50" s="39">
        <v>29.5</v>
      </c>
      <c r="L50" s="39">
        <v>30.2</v>
      </c>
      <c r="M50" s="39">
        <v>29.2</v>
      </c>
      <c r="N50" s="39">
        <v>30</v>
      </c>
      <c r="O50" s="39">
        <v>29.5</v>
      </c>
      <c r="P50" s="39">
        <v>29.1</v>
      </c>
      <c r="Q50" s="39">
        <v>29.6</v>
      </c>
      <c r="R50" s="39">
        <v>30.1</v>
      </c>
      <c r="S50" s="39">
        <v>30.3</v>
      </c>
      <c r="T50" s="39">
        <v>29</v>
      </c>
      <c r="U50" s="39">
        <v>29.4</v>
      </c>
      <c r="V50" s="5">
        <f t="shared" si="9"/>
        <v>29.608333333333334</v>
      </c>
      <c r="W50" s="4">
        <f t="shared" si="10"/>
        <v>0.12700413577931438</v>
      </c>
      <c r="X50" s="2">
        <f t="shared" si="11"/>
        <v>29</v>
      </c>
      <c r="Y50" s="3">
        <f t="shared" si="12"/>
        <v>29.349999999999998</v>
      </c>
      <c r="Z50" s="2">
        <f t="shared" si="13"/>
        <v>29.5</v>
      </c>
      <c r="AA50" s="3">
        <f t="shared" si="14"/>
        <v>30.024999999999999</v>
      </c>
      <c r="AB50" s="3">
        <f t="shared" si="15"/>
        <v>30.3</v>
      </c>
      <c r="AC50" s="3">
        <f t="shared" si="16"/>
        <v>0.34814074116927585</v>
      </c>
      <c r="AD50" s="3">
        <f t="shared" si="17"/>
        <v>-1.2198023138698222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13.108000000000001</v>
      </c>
      <c r="J51" s="39">
        <v>31</v>
      </c>
      <c r="K51" s="39">
        <v>31.7</v>
      </c>
      <c r="L51" s="39">
        <v>34</v>
      </c>
      <c r="M51" s="39">
        <v>33.200000000000003</v>
      </c>
      <c r="N51" s="39">
        <v>34</v>
      </c>
      <c r="O51" s="39">
        <v>32.4</v>
      </c>
      <c r="P51" s="39">
        <v>34.5</v>
      </c>
      <c r="Q51" s="39">
        <v>33.299999999999997</v>
      </c>
      <c r="R51" s="39">
        <v>34.9</v>
      </c>
      <c r="S51" s="39">
        <v>35</v>
      </c>
      <c r="T51" s="39">
        <v>35.1</v>
      </c>
      <c r="U51" s="39">
        <v>33.4</v>
      </c>
      <c r="V51" s="5">
        <f t="shared" si="9"/>
        <v>33.541666666666664</v>
      </c>
      <c r="W51" s="4">
        <f t="shared" si="10"/>
        <v>0.38028265670406142</v>
      </c>
      <c r="X51" s="2">
        <f t="shared" si="11"/>
        <v>31</v>
      </c>
      <c r="Y51" s="3">
        <f t="shared" si="12"/>
        <v>33</v>
      </c>
      <c r="Z51" s="2">
        <f t="shared" si="13"/>
        <v>33.700000000000003</v>
      </c>
      <c r="AA51" s="3">
        <f t="shared" si="14"/>
        <v>34.6</v>
      </c>
      <c r="AB51" s="3">
        <f t="shared" si="15"/>
        <v>35.1</v>
      </c>
      <c r="AC51" s="3">
        <f t="shared" si="16"/>
        <v>-0.65595479689681369</v>
      </c>
      <c r="AD51" s="3">
        <f t="shared" si="17"/>
        <v>-0.38588986175267825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13.093</v>
      </c>
      <c r="J52" s="39">
        <v>30.7</v>
      </c>
      <c r="K52" s="39">
        <v>29.9</v>
      </c>
      <c r="L52" s="39">
        <v>31.7</v>
      </c>
      <c r="M52" s="39">
        <v>31.4</v>
      </c>
      <c r="N52" s="39">
        <v>32.1</v>
      </c>
      <c r="O52" s="39">
        <v>31.5</v>
      </c>
      <c r="P52" s="39">
        <v>29.5</v>
      </c>
      <c r="Q52" s="39">
        <v>30.6</v>
      </c>
      <c r="R52" s="39">
        <v>30.2</v>
      </c>
      <c r="S52" s="39">
        <v>29.8</v>
      </c>
      <c r="T52" s="39">
        <v>30.6</v>
      </c>
      <c r="U52" s="39">
        <v>31.2</v>
      </c>
      <c r="V52" s="5">
        <f t="shared" si="9"/>
        <v>30.766666666666666</v>
      </c>
      <c r="W52" s="4">
        <f t="shared" si="10"/>
        <v>0.23751661292242576</v>
      </c>
      <c r="X52" s="2">
        <f t="shared" si="11"/>
        <v>29.5</v>
      </c>
      <c r="Y52" s="3">
        <f t="shared" si="12"/>
        <v>30.125</v>
      </c>
      <c r="Z52" s="2">
        <f t="shared" si="13"/>
        <v>30.65</v>
      </c>
      <c r="AA52" s="3">
        <f t="shared" si="14"/>
        <v>31.424999999999997</v>
      </c>
      <c r="AB52" s="3">
        <f t="shared" si="15"/>
        <v>32.1</v>
      </c>
      <c r="AC52" s="3">
        <f t="shared" si="16"/>
        <v>2.6462189979413065E-2</v>
      </c>
      <c r="AD52" s="3">
        <f t="shared" si="17"/>
        <v>-1.1035247565699429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13.077</v>
      </c>
      <c r="J53" s="39">
        <v>30.6</v>
      </c>
      <c r="K53" s="39">
        <v>31.1</v>
      </c>
      <c r="L53" s="39">
        <v>31.1</v>
      </c>
      <c r="M53" s="39">
        <v>30.5</v>
      </c>
      <c r="N53" s="39">
        <v>31.1</v>
      </c>
      <c r="O53" s="39">
        <v>30.4</v>
      </c>
      <c r="P53" s="39">
        <v>30.3</v>
      </c>
      <c r="Q53" s="39">
        <v>28.7</v>
      </c>
      <c r="R53" s="39">
        <v>31.4</v>
      </c>
      <c r="S53" s="39">
        <v>31.7</v>
      </c>
      <c r="T53" s="39">
        <v>30.6</v>
      </c>
      <c r="U53" s="39">
        <v>30.7</v>
      </c>
      <c r="V53" s="5">
        <f t="shared" si="9"/>
        <v>30.683333333333334</v>
      </c>
      <c r="W53" s="4">
        <f t="shared" si="10"/>
        <v>0.21806078292647002</v>
      </c>
      <c r="X53" s="2">
        <f t="shared" si="11"/>
        <v>28.7</v>
      </c>
      <c r="Y53" s="3">
        <f t="shared" si="12"/>
        <v>30.475000000000001</v>
      </c>
      <c r="Z53" s="2">
        <f t="shared" si="13"/>
        <v>30.65</v>
      </c>
      <c r="AA53" s="3">
        <f t="shared" si="14"/>
        <v>31.1</v>
      </c>
      <c r="AB53" s="3">
        <f t="shared" si="15"/>
        <v>31.7</v>
      </c>
      <c r="AC53" s="3">
        <f t="shared" si="16"/>
        <v>-1.5823796105868002</v>
      </c>
      <c r="AD53" s="3">
        <f t="shared" si="17"/>
        <v>4.1578881847787574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13.061</v>
      </c>
      <c r="J54" s="39">
        <v>31.8</v>
      </c>
      <c r="K54" s="39">
        <v>31.2</v>
      </c>
      <c r="L54" s="39">
        <v>30.9</v>
      </c>
      <c r="M54" s="39">
        <v>31.2</v>
      </c>
      <c r="N54" s="39">
        <v>32</v>
      </c>
      <c r="O54" s="39">
        <v>29.3</v>
      </c>
      <c r="P54" s="39">
        <v>30.9</v>
      </c>
      <c r="Q54" s="39">
        <v>31.6</v>
      </c>
      <c r="R54" s="39">
        <v>31.8</v>
      </c>
      <c r="S54" s="39">
        <v>31.6</v>
      </c>
      <c r="T54" s="39">
        <v>29.8</v>
      </c>
      <c r="U54" s="39">
        <v>30.1</v>
      </c>
      <c r="V54" s="5">
        <f t="shared" si="9"/>
        <v>31.016666666666676</v>
      </c>
      <c r="W54" s="4">
        <f t="shared" si="10"/>
        <v>0.24979789810762998</v>
      </c>
      <c r="X54" s="2">
        <f t="shared" si="11"/>
        <v>29.3</v>
      </c>
      <c r="Y54" s="3">
        <f t="shared" si="12"/>
        <v>30.7</v>
      </c>
      <c r="Z54" s="2">
        <f t="shared" si="13"/>
        <v>31.2</v>
      </c>
      <c r="AA54" s="3">
        <f t="shared" si="14"/>
        <v>31.650000000000002</v>
      </c>
      <c r="AB54" s="3">
        <f t="shared" si="15"/>
        <v>32</v>
      </c>
      <c r="AC54" s="3">
        <f t="shared" si="16"/>
        <v>-0.89433316195513435</v>
      </c>
      <c r="AD54" s="3">
        <f t="shared" si="17"/>
        <v>-0.23813800588644041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13.045999999999999</v>
      </c>
      <c r="J55" s="39">
        <v>30.1</v>
      </c>
      <c r="K55" s="39">
        <v>29.3</v>
      </c>
      <c r="L55" s="39">
        <v>30</v>
      </c>
      <c r="M55" s="39">
        <v>28.6</v>
      </c>
      <c r="N55" s="39">
        <v>30.5</v>
      </c>
      <c r="O55" s="39">
        <v>30.2</v>
      </c>
      <c r="P55" s="39">
        <v>31.3</v>
      </c>
      <c r="Q55" s="39">
        <v>30.2</v>
      </c>
      <c r="R55" s="39">
        <v>31.3</v>
      </c>
      <c r="S55" s="39">
        <v>31</v>
      </c>
      <c r="T55" s="39">
        <v>34.4</v>
      </c>
      <c r="U55" s="39">
        <v>30.3</v>
      </c>
      <c r="V55" s="5">
        <f t="shared" si="9"/>
        <v>30.599999999999998</v>
      </c>
      <c r="W55" s="4">
        <f t="shared" si="10"/>
        <v>0.41102237644609307</v>
      </c>
      <c r="X55" s="2">
        <f t="shared" si="11"/>
        <v>28.6</v>
      </c>
      <c r="Y55" s="3">
        <f t="shared" si="12"/>
        <v>30.075000000000003</v>
      </c>
      <c r="Z55" s="2">
        <f t="shared" si="13"/>
        <v>30.25</v>
      </c>
      <c r="AA55" s="3">
        <f t="shared" si="14"/>
        <v>31.074999999999999</v>
      </c>
      <c r="AB55" s="3">
        <f t="shared" si="15"/>
        <v>34.4</v>
      </c>
      <c r="AC55" s="3">
        <f t="shared" si="16"/>
        <v>1.6979988046223853</v>
      </c>
      <c r="AD55" s="3">
        <f t="shared" si="17"/>
        <v>4.7133164417811333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13.183</v>
      </c>
      <c r="J56" s="39">
        <v>29.7</v>
      </c>
      <c r="K56" s="39">
        <v>29.7</v>
      </c>
      <c r="L56" s="39">
        <v>28.7</v>
      </c>
      <c r="M56" s="39">
        <v>28.7</v>
      </c>
      <c r="N56" s="39">
        <v>28.6</v>
      </c>
      <c r="O56" s="39">
        <v>28.8</v>
      </c>
      <c r="P56" s="39">
        <v>29.6</v>
      </c>
      <c r="Q56" s="39">
        <v>29</v>
      </c>
      <c r="R56" s="39">
        <v>29.7</v>
      </c>
      <c r="S56" s="39">
        <v>30.7</v>
      </c>
      <c r="T56" s="39">
        <v>28.2</v>
      </c>
      <c r="U56" s="39">
        <v>28.5</v>
      </c>
      <c r="V56" s="5">
        <f t="shared" si="9"/>
        <v>29.158333333333331</v>
      </c>
      <c r="W56" s="4">
        <f t="shared" si="10"/>
        <v>0.20760478673370578</v>
      </c>
      <c r="X56" s="2">
        <f t="shared" si="11"/>
        <v>28.2</v>
      </c>
      <c r="Y56" s="3">
        <f t="shared" si="12"/>
        <v>28.675000000000001</v>
      </c>
      <c r="Z56" s="2">
        <f t="shared" si="13"/>
        <v>28.9</v>
      </c>
      <c r="AA56" s="3">
        <f t="shared" si="14"/>
        <v>29.7</v>
      </c>
      <c r="AB56" s="3">
        <f t="shared" si="15"/>
        <v>30.7</v>
      </c>
      <c r="AC56" s="3">
        <f t="shared" si="16"/>
        <v>0.77576924867351549</v>
      </c>
      <c r="AD56" s="3">
        <f t="shared" si="17"/>
        <v>0.19572496344990054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13.198</v>
      </c>
      <c r="J57" s="39">
        <v>31.9</v>
      </c>
      <c r="K57" s="39">
        <v>32.200000000000003</v>
      </c>
      <c r="L57" s="39">
        <v>31</v>
      </c>
      <c r="M57" s="39">
        <v>32.6</v>
      </c>
      <c r="N57" s="39">
        <v>32.6</v>
      </c>
      <c r="O57" s="39">
        <v>33.700000000000003</v>
      </c>
      <c r="P57" s="39">
        <v>33.200000000000003</v>
      </c>
      <c r="Q57" s="39">
        <v>33.5</v>
      </c>
      <c r="R57" s="39">
        <v>33.4</v>
      </c>
      <c r="S57" s="39">
        <v>33</v>
      </c>
      <c r="T57" s="39">
        <v>32.799999999999997</v>
      </c>
      <c r="U57" s="39">
        <v>35.200000000000003</v>
      </c>
      <c r="V57" s="5">
        <f t="shared" si="9"/>
        <v>32.924999999999997</v>
      </c>
      <c r="W57" s="4">
        <f t="shared" si="10"/>
        <v>0.30053613708998428</v>
      </c>
      <c r="X57" s="2">
        <f t="shared" si="11"/>
        <v>31</v>
      </c>
      <c r="Y57" s="3">
        <f t="shared" si="12"/>
        <v>32.5</v>
      </c>
      <c r="Z57" s="2">
        <f t="shared" si="13"/>
        <v>32.9</v>
      </c>
      <c r="AA57" s="3">
        <f t="shared" si="14"/>
        <v>33.424999999999997</v>
      </c>
      <c r="AB57" s="3">
        <f t="shared" si="15"/>
        <v>35.200000000000003</v>
      </c>
      <c r="AC57" s="3">
        <f t="shared" si="16"/>
        <v>0.37671698750028232</v>
      </c>
      <c r="AD57" s="3">
        <f t="shared" si="17"/>
        <v>1.660419460430683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13.214</v>
      </c>
      <c r="J58" s="39">
        <v>31.3</v>
      </c>
      <c r="K58" s="39">
        <v>30.1</v>
      </c>
      <c r="L58" s="39">
        <v>31.2</v>
      </c>
      <c r="M58" s="39">
        <v>29.1</v>
      </c>
      <c r="N58" s="39">
        <v>32.200000000000003</v>
      </c>
      <c r="O58" s="39">
        <v>31.8</v>
      </c>
      <c r="P58" s="39">
        <v>30</v>
      </c>
      <c r="Q58" s="39">
        <v>29.6</v>
      </c>
      <c r="R58" s="39">
        <v>31.2</v>
      </c>
      <c r="S58" s="39">
        <v>30.1</v>
      </c>
      <c r="T58" s="39">
        <v>29.9</v>
      </c>
      <c r="U58" s="39">
        <v>29.8</v>
      </c>
      <c r="V58" s="5">
        <f t="shared" si="9"/>
        <v>30.525000000000006</v>
      </c>
      <c r="W58" s="4">
        <f t="shared" si="10"/>
        <v>0.28045552772285137</v>
      </c>
      <c r="X58" s="2">
        <f t="shared" si="11"/>
        <v>29.1</v>
      </c>
      <c r="Y58" s="3">
        <f t="shared" si="12"/>
        <v>29.875</v>
      </c>
      <c r="Z58" s="2">
        <f t="shared" si="13"/>
        <v>30.1</v>
      </c>
      <c r="AA58" s="3">
        <f t="shared" si="14"/>
        <v>31.225000000000001</v>
      </c>
      <c r="AB58" s="3">
        <f t="shared" si="15"/>
        <v>32.200000000000003</v>
      </c>
      <c r="AC58" s="3">
        <f t="shared" si="16"/>
        <v>0.38594219160872612</v>
      </c>
      <c r="AD58" s="3">
        <f t="shared" si="17"/>
        <v>-1.0767050904090469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13.228999999999999</v>
      </c>
      <c r="J59" s="39">
        <v>28.8</v>
      </c>
      <c r="K59" s="39">
        <v>30.1</v>
      </c>
      <c r="L59" s="39">
        <v>29.6</v>
      </c>
      <c r="M59" s="39">
        <v>29.3</v>
      </c>
      <c r="N59" s="39">
        <v>29</v>
      </c>
      <c r="O59" s="39">
        <v>28.2</v>
      </c>
      <c r="P59" s="39">
        <v>29.1</v>
      </c>
      <c r="Q59" s="39">
        <v>28.5</v>
      </c>
      <c r="R59" s="39">
        <v>28.8</v>
      </c>
      <c r="S59" s="39">
        <v>28.6</v>
      </c>
      <c r="T59" s="39">
        <v>29.3</v>
      </c>
      <c r="U59" s="39">
        <v>30.4</v>
      </c>
      <c r="V59" s="5">
        <f t="shared" si="9"/>
        <v>29.141666666666666</v>
      </c>
      <c r="W59" s="4">
        <f t="shared" si="10"/>
        <v>0.18686339741353655</v>
      </c>
      <c r="X59" s="2">
        <f t="shared" si="11"/>
        <v>28.2</v>
      </c>
      <c r="Y59" s="3">
        <f t="shared" si="12"/>
        <v>28.75</v>
      </c>
      <c r="Z59" s="2">
        <f t="shared" si="13"/>
        <v>29.05</v>
      </c>
      <c r="AA59" s="3">
        <f t="shared" si="14"/>
        <v>29.375</v>
      </c>
      <c r="AB59" s="3">
        <f t="shared" si="15"/>
        <v>30.4</v>
      </c>
      <c r="AC59" s="3">
        <f t="shared" si="16"/>
        <v>0.657996498216042</v>
      </c>
      <c r="AD59" s="3">
        <f t="shared" si="17"/>
        <v>-2.5510309718293378E-2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13.244</v>
      </c>
      <c r="J60" s="39">
        <v>33</v>
      </c>
      <c r="K60" s="39">
        <v>33.200000000000003</v>
      </c>
      <c r="L60" s="39">
        <v>30.8</v>
      </c>
      <c r="M60" s="39">
        <v>32.700000000000003</v>
      </c>
      <c r="N60" s="39">
        <v>30.5</v>
      </c>
      <c r="O60" s="39">
        <v>29.8</v>
      </c>
      <c r="P60" s="39">
        <v>30.9</v>
      </c>
      <c r="Q60" s="39">
        <v>30.8</v>
      </c>
      <c r="R60" s="39">
        <v>29.9</v>
      </c>
      <c r="S60" s="39">
        <v>28.7</v>
      </c>
      <c r="T60" s="39">
        <v>28.8</v>
      </c>
      <c r="U60" s="39">
        <v>28</v>
      </c>
      <c r="V60" s="5">
        <f t="shared" si="9"/>
        <v>30.591666666666669</v>
      </c>
      <c r="W60" s="4">
        <f t="shared" si="10"/>
        <v>0.49120419955102773</v>
      </c>
      <c r="X60" s="2">
        <f t="shared" si="11"/>
        <v>28</v>
      </c>
      <c r="Y60" s="3">
        <f t="shared" si="12"/>
        <v>29.55</v>
      </c>
      <c r="Z60" s="2">
        <f t="shared" si="13"/>
        <v>30.65</v>
      </c>
      <c r="AA60" s="3">
        <f t="shared" si="14"/>
        <v>31.35</v>
      </c>
      <c r="AB60" s="3">
        <f t="shared" si="15"/>
        <v>33.200000000000003</v>
      </c>
      <c r="AC60" s="3">
        <f t="shared" si="16"/>
        <v>0.22977997435186806</v>
      </c>
      <c r="AD60" s="3">
        <f t="shared" si="17"/>
        <v>-0.86527774790704193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13.259</v>
      </c>
      <c r="J61" s="39">
        <v>29.7</v>
      </c>
      <c r="K61" s="39">
        <v>30.6</v>
      </c>
      <c r="L61" s="39">
        <v>30.2</v>
      </c>
      <c r="M61" s="39">
        <v>28.8</v>
      </c>
      <c r="N61" s="39">
        <v>31.4</v>
      </c>
      <c r="O61" s="39">
        <v>28.8</v>
      </c>
      <c r="P61" s="39">
        <v>28.8</v>
      </c>
      <c r="Q61" s="39">
        <v>29.9</v>
      </c>
      <c r="R61" s="39">
        <v>28.6</v>
      </c>
      <c r="S61" s="39">
        <v>28.6</v>
      </c>
      <c r="T61" s="39">
        <v>30.8</v>
      </c>
      <c r="U61" s="39">
        <v>31</v>
      </c>
      <c r="V61" s="5">
        <f t="shared" si="9"/>
        <v>29.766666666666669</v>
      </c>
      <c r="W61" s="4">
        <f t="shared" si="10"/>
        <v>0.29754890948439633</v>
      </c>
      <c r="X61" s="2">
        <f t="shared" si="11"/>
        <v>28.6</v>
      </c>
      <c r="Y61" s="3">
        <f t="shared" si="12"/>
        <v>28.8</v>
      </c>
      <c r="Z61" s="2">
        <f t="shared" si="13"/>
        <v>29.799999999999997</v>
      </c>
      <c r="AA61" s="3">
        <f t="shared" si="14"/>
        <v>30.650000000000002</v>
      </c>
      <c r="AB61" s="3">
        <f t="shared" si="15"/>
        <v>31.4</v>
      </c>
      <c r="AC61" s="3">
        <f t="shared" si="16"/>
        <v>0.21050573717071761</v>
      </c>
      <c r="AD61" s="3">
        <f t="shared" si="17"/>
        <v>-1.6023466576245036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13.275</v>
      </c>
      <c r="J62" s="39">
        <v>27.6</v>
      </c>
      <c r="K62" s="39">
        <v>28.9</v>
      </c>
      <c r="L62" s="39">
        <v>27.6</v>
      </c>
      <c r="M62" s="39">
        <v>28.1</v>
      </c>
      <c r="N62" s="39">
        <v>26</v>
      </c>
      <c r="O62" s="39">
        <v>28.2</v>
      </c>
      <c r="P62" s="39">
        <v>28.5</v>
      </c>
      <c r="Q62" s="39">
        <v>27.7</v>
      </c>
      <c r="R62" s="39">
        <v>27.5</v>
      </c>
      <c r="S62" s="39">
        <v>26.6</v>
      </c>
      <c r="T62" s="39">
        <v>26.7</v>
      </c>
      <c r="U62" s="39">
        <v>27.4</v>
      </c>
      <c r="V62" s="5">
        <f t="shared" si="9"/>
        <v>27.566666666666663</v>
      </c>
      <c r="W62" s="4">
        <f t="shared" si="10"/>
        <v>0.23878903245375824</v>
      </c>
      <c r="X62" s="2">
        <f t="shared" si="11"/>
        <v>26</v>
      </c>
      <c r="Y62" s="3">
        <f t="shared" si="12"/>
        <v>27.224999999999998</v>
      </c>
      <c r="Z62" s="2">
        <f t="shared" si="13"/>
        <v>27.6</v>
      </c>
      <c r="AA62" s="3">
        <f t="shared" si="14"/>
        <v>28.125</v>
      </c>
      <c r="AB62" s="3">
        <f t="shared" si="15"/>
        <v>28.9</v>
      </c>
      <c r="AC62" s="3">
        <f t="shared" si="16"/>
        <v>-0.3494175799841342</v>
      </c>
      <c r="AD62" s="3">
        <f t="shared" si="17"/>
        <v>-0.12113504900596794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13.291</v>
      </c>
      <c r="J63" s="39">
        <v>28.4</v>
      </c>
      <c r="K63" s="39">
        <v>29.1</v>
      </c>
      <c r="L63" s="39">
        <v>29.7</v>
      </c>
      <c r="M63" s="39">
        <v>28.8</v>
      </c>
      <c r="N63" s="39">
        <v>29</v>
      </c>
      <c r="O63" s="39">
        <v>28.5</v>
      </c>
      <c r="P63" s="39">
        <v>28.7</v>
      </c>
      <c r="Q63" s="39">
        <v>29.6</v>
      </c>
      <c r="R63" s="39">
        <v>28.1</v>
      </c>
      <c r="S63" s="39">
        <v>29.2</v>
      </c>
      <c r="T63" s="39">
        <v>29.5</v>
      </c>
      <c r="U63" s="39">
        <v>29.8</v>
      </c>
      <c r="V63" s="5">
        <f t="shared" si="9"/>
        <v>29.033333333333331</v>
      </c>
      <c r="W63" s="4">
        <f t="shared" si="10"/>
        <v>0.15875144157462068</v>
      </c>
      <c r="X63" s="2">
        <f t="shared" si="11"/>
        <v>28.1</v>
      </c>
      <c r="Y63" s="3">
        <f t="shared" si="12"/>
        <v>28.65</v>
      </c>
      <c r="Z63" s="2">
        <f t="shared" si="13"/>
        <v>29.05</v>
      </c>
      <c r="AA63" s="3">
        <f t="shared" si="14"/>
        <v>29.524999999999999</v>
      </c>
      <c r="AB63" s="3">
        <f t="shared" si="15"/>
        <v>29.8</v>
      </c>
      <c r="AC63" s="3">
        <f t="shared" si="16"/>
        <v>-0.15290674141713076</v>
      </c>
      <c r="AD63" s="3">
        <f t="shared" si="17"/>
        <v>-1.0867028646471359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13.417</v>
      </c>
      <c r="J64" s="39">
        <v>34.799999999999997</v>
      </c>
      <c r="K64" s="39">
        <v>32.799999999999997</v>
      </c>
      <c r="L64" s="39">
        <v>33.799999999999997</v>
      </c>
      <c r="M64" s="39">
        <v>32.299999999999997</v>
      </c>
      <c r="N64" s="39">
        <v>32.1</v>
      </c>
      <c r="O64" s="39">
        <v>31.7</v>
      </c>
      <c r="P64" s="39">
        <v>32.4</v>
      </c>
      <c r="Q64" s="39">
        <v>31.4</v>
      </c>
      <c r="R64" s="39">
        <v>31.8</v>
      </c>
      <c r="S64" s="39">
        <v>31.7</v>
      </c>
      <c r="T64" s="39">
        <v>31.4</v>
      </c>
      <c r="U64" s="39">
        <v>31.4</v>
      </c>
      <c r="V64" s="5">
        <f t="shared" si="9"/>
        <v>32.29999999999999</v>
      </c>
      <c r="W64" s="4">
        <f t="shared" si="10"/>
        <v>0.30401355631656013</v>
      </c>
      <c r="X64" s="2">
        <f t="shared" si="11"/>
        <v>31.4</v>
      </c>
      <c r="Y64" s="3">
        <f t="shared" si="12"/>
        <v>31.625</v>
      </c>
      <c r="Z64" s="2">
        <f t="shared" si="13"/>
        <v>31.950000000000003</v>
      </c>
      <c r="AA64" s="3">
        <f t="shared" si="14"/>
        <v>32.5</v>
      </c>
      <c r="AB64" s="3">
        <f t="shared" si="15"/>
        <v>34.799999999999997</v>
      </c>
      <c r="AC64" s="3">
        <f t="shared" si="16"/>
        <v>1.5292997892114859</v>
      </c>
      <c r="AD64" s="3">
        <f t="shared" si="17"/>
        <v>1.9207342112336132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13.433999999999999</v>
      </c>
      <c r="J65" s="39">
        <v>29.8</v>
      </c>
      <c r="K65" s="39">
        <v>26.8</v>
      </c>
      <c r="L65" s="39">
        <v>28.4</v>
      </c>
      <c r="M65" s="39">
        <v>27.7</v>
      </c>
      <c r="N65" s="39">
        <v>28</v>
      </c>
      <c r="O65" s="39">
        <v>27.7</v>
      </c>
      <c r="P65" s="39">
        <v>27.2</v>
      </c>
      <c r="Q65" s="39">
        <v>26.4</v>
      </c>
      <c r="R65" s="39">
        <v>27.9</v>
      </c>
      <c r="S65" s="39">
        <v>28.3</v>
      </c>
      <c r="T65" s="39">
        <v>28.6</v>
      </c>
      <c r="U65" s="39">
        <v>27.9</v>
      </c>
      <c r="V65" s="5">
        <f t="shared" si="9"/>
        <v>27.891666666666666</v>
      </c>
      <c r="W65" s="4">
        <f t="shared" si="10"/>
        <v>0.25449246382047191</v>
      </c>
      <c r="X65" s="2">
        <f t="shared" si="11"/>
        <v>26.4</v>
      </c>
      <c r="Y65" s="3">
        <f t="shared" si="12"/>
        <v>27.574999999999999</v>
      </c>
      <c r="Z65" s="2">
        <f t="shared" si="13"/>
        <v>27.9</v>
      </c>
      <c r="AA65" s="3">
        <f t="shared" si="14"/>
        <v>28.324999999999999</v>
      </c>
      <c r="AB65" s="3">
        <f t="shared" si="15"/>
        <v>29.8</v>
      </c>
      <c r="AC65" s="3">
        <f t="shared" si="16"/>
        <v>0.40453068806213044</v>
      </c>
      <c r="AD65" s="3">
        <f t="shared" si="17"/>
        <v>1.2392593995077181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13.451000000000001</v>
      </c>
      <c r="J66" s="39">
        <v>30.9</v>
      </c>
      <c r="K66" s="39">
        <v>30.6</v>
      </c>
      <c r="L66" s="39">
        <v>30.9</v>
      </c>
      <c r="M66" s="39">
        <v>30</v>
      </c>
      <c r="N66" s="39">
        <v>29.8</v>
      </c>
      <c r="O66" s="39">
        <v>30.2</v>
      </c>
      <c r="P66" s="39">
        <v>29.9</v>
      </c>
      <c r="Q66" s="39">
        <v>30.5</v>
      </c>
      <c r="R66" s="39">
        <v>31.3</v>
      </c>
      <c r="S66" s="39">
        <v>30</v>
      </c>
      <c r="T66" s="39">
        <v>30</v>
      </c>
      <c r="U66" s="39">
        <v>29.7</v>
      </c>
      <c r="V66" s="5">
        <f t="shared" si="9"/>
        <v>30.316666666666666</v>
      </c>
      <c r="W66" s="4">
        <f t="shared" si="10"/>
        <v>0.14813657362192648</v>
      </c>
      <c r="X66" s="2">
        <f t="shared" si="11"/>
        <v>29.7</v>
      </c>
      <c r="Y66" s="3">
        <f t="shared" si="12"/>
        <v>29.975000000000001</v>
      </c>
      <c r="Z66" s="2">
        <f t="shared" si="13"/>
        <v>30.1</v>
      </c>
      <c r="AA66" s="3">
        <f t="shared" si="14"/>
        <v>30.675000000000001</v>
      </c>
      <c r="AB66" s="3">
        <f t="shared" si="15"/>
        <v>31.3</v>
      </c>
      <c r="AC66" s="3">
        <f t="shared" si="16"/>
        <v>0.67417721085868221</v>
      </c>
      <c r="AD66" s="3">
        <f t="shared" si="17"/>
        <v>-0.73727695153748041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13.468</v>
      </c>
      <c r="J67" s="39">
        <v>26.7</v>
      </c>
      <c r="K67" s="39">
        <v>26.7</v>
      </c>
      <c r="L67" s="39">
        <v>27.5</v>
      </c>
      <c r="M67" s="39">
        <v>28.1</v>
      </c>
      <c r="N67" s="39">
        <v>28.5</v>
      </c>
      <c r="O67" s="39">
        <v>28.4</v>
      </c>
      <c r="P67" s="39">
        <v>27.3</v>
      </c>
      <c r="Q67" s="39">
        <v>27.4</v>
      </c>
      <c r="R67" s="39">
        <v>29.1</v>
      </c>
      <c r="S67" s="39">
        <v>27.2</v>
      </c>
      <c r="T67" s="39">
        <v>28.6</v>
      </c>
      <c r="U67" s="39">
        <v>28.2</v>
      </c>
      <c r="V67" s="5">
        <f t="shared" si="9"/>
        <v>27.808333333333337</v>
      </c>
      <c r="W67" s="4">
        <f t="shared" si="10"/>
        <v>0.2254484868035718</v>
      </c>
      <c r="X67" s="2">
        <f t="shared" si="11"/>
        <v>26.7</v>
      </c>
      <c r="Y67" s="3">
        <f t="shared" si="12"/>
        <v>27.274999999999999</v>
      </c>
      <c r="Z67" s="2">
        <f t="shared" si="13"/>
        <v>27.8</v>
      </c>
      <c r="AA67" s="3">
        <f t="shared" si="14"/>
        <v>28.424999999999997</v>
      </c>
      <c r="AB67" s="3">
        <f t="shared" si="15"/>
        <v>29.1</v>
      </c>
      <c r="AC67" s="3">
        <f t="shared" si="16"/>
        <v>2.2275442891303333E-2</v>
      </c>
      <c r="AD67" s="3">
        <f t="shared" si="17"/>
        <v>-1.1457476658590631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13.484</v>
      </c>
      <c r="J68" s="39">
        <v>27.9</v>
      </c>
      <c r="K68" s="39">
        <v>27.5</v>
      </c>
      <c r="L68" s="39">
        <v>27.7</v>
      </c>
      <c r="M68" s="39">
        <v>27.6</v>
      </c>
      <c r="N68" s="39">
        <v>29.9</v>
      </c>
      <c r="O68" s="39">
        <v>28.6</v>
      </c>
      <c r="P68" s="39">
        <v>28.4</v>
      </c>
      <c r="Q68" s="39">
        <v>28.4</v>
      </c>
      <c r="R68" s="39">
        <v>27.6</v>
      </c>
      <c r="S68" s="39">
        <v>28.9</v>
      </c>
      <c r="T68" s="39">
        <v>28.2</v>
      </c>
      <c r="U68" s="39">
        <v>29.6</v>
      </c>
      <c r="V68" s="5">
        <f t="shared" si="9"/>
        <v>28.358333333333334</v>
      </c>
      <c r="W68" s="4">
        <f t="shared" si="10"/>
        <v>0.22745573439926964</v>
      </c>
      <c r="X68" s="2">
        <f t="shared" si="11"/>
        <v>27.5</v>
      </c>
      <c r="Y68" s="3">
        <f t="shared" si="12"/>
        <v>27.675000000000001</v>
      </c>
      <c r="Z68" s="2">
        <f t="shared" si="13"/>
        <v>28.299999999999997</v>
      </c>
      <c r="AA68" s="3">
        <f t="shared" si="14"/>
        <v>28.675000000000001</v>
      </c>
      <c r="AB68" s="3">
        <f t="shared" si="15"/>
        <v>29.9</v>
      </c>
      <c r="AC68" s="3">
        <f t="shared" si="16"/>
        <v>0.86115954983745846</v>
      </c>
      <c r="AD68" s="3">
        <f t="shared" si="17"/>
        <v>-0.12817388242135719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13.500999999999999</v>
      </c>
      <c r="J69" s="39">
        <v>28.1</v>
      </c>
      <c r="K69" s="39">
        <v>28.2</v>
      </c>
      <c r="L69" s="39">
        <v>28.8</v>
      </c>
      <c r="M69" s="39">
        <v>29.5</v>
      </c>
      <c r="N69" s="39">
        <v>28.9</v>
      </c>
      <c r="O69" s="39">
        <v>29.8</v>
      </c>
      <c r="P69" s="39">
        <v>28.2</v>
      </c>
      <c r="Q69" s="39">
        <v>28.1</v>
      </c>
      <c r="R69" s="39">
        <v>31.1</v>
      </c>
      <c r="S69" s="39">
        <v>32.1</v>
      </c>
      <c r="T69" s="39">
        <v>30.5</v>
      </c>
      <c r="U69" s="39">
        <v>29</v>
      </c>
      <c r="V69" s="5">
        <f t="shared" si="9"/>
        <v>29.358333333333334</v>
      </c>
      <c r="W69" s="4">
        <f t="shared" si="10"/>
        <v>0.37506733402217945</v>
      </c>
      <c r="X69" s="2">
        <f t="shared" si="11"/>
        <v>28.1</v>
      </c>
      <c r="Y69" s="3">
        <f t="shared" si="12"/>
        <v>28.2</v>
      </c>
      <c r="Z69" s="2">
        <f t="shared" si="13"/>
        <v>28.95</v>
      </c>
      <c r="AA69" s="3">
        <f t="shared" si="14"/>
        <v>29.975000000000001</v>
      </c>
      <c r="AB69" s="3">
        <f t="shared" si="15"/>
        <v>32.1</v>
      </c>
      <c r="AC69" s="3">
        <f t="shared" si="16"/>
        <v>0.99769672439033918</v>
      </c>
      <c r="AD69" s="3">
        <f t="shared" si="17"/>
        <v>0.18089328522732995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13.518000000000001</v>
      </c>
      <c r="J70" s="39">
        <v>31.8</v>
      </c>
      <c r="K70" s="39">
        <v>32.6</v>
      </c>
      <c r="L70" s="39">
        <v>31.3</v>
      </c>
      <c r="M70" s="39">
        <v>32.299999999999997</v>
      </c>
      <c r="N70" s="39">
        <v>31</v>
      </c>
      <c r="O70" s="39">
        <v>30.8</v>
      </c>
      <c r="P70" s="39">
        <v>30.9</v>
      </c>
      <c r="Q70" s="39">
        <v>31.1</v>
      </c>
      <c r="R70" s="39">
        <v>30.4</v>
      </c>
      <c r="S70" s="39">
        <v>32.700000000000003</v>
      </c>
      <c r="T70" s="39">
        <v>31.6</v>
      </c>
      <c r="U70" s="39">
        <v>30.2</v>
      </c>
      <c r="V70" s="5">
        <f t="shared" si="9"/>
        <v>31.391666666666666</v>
      </c>
      <c r="W70" s="4">
        <f t="shared" si="10"/>
        <v>0.23755647919617115</v>
      </c>
      <c r="X70" s="2">
        <f t="shared" si="11"/>
        <v>30.2</v>
      </c>
      <c r="Y70" s="3">
        <f t="shared" si="12"/>
        <v>30.875</v>
      </c>
      <c r="Z70" s="2">
        <f t="shared" si="13"/>
        <v>31.200000000000003</v>
      </c>
      <c r="AA70" s="3">
        <f t="shared" si="14"/>
        <v>31.925000000000001</v>
      </c>
      <c r="AB70" s="3">
        <f t="shared" si="15"/>
        <v>32.700000000000003</v>
      </c>
      <c r="AC70" s="3">
        <f t="shared" si="16"/>
        <v>0.34281574149012256</v>
      </c>
      <c r="AD70" s="3">
        <f t="shared" si="17"/>
        <v>-0.95196308659801065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13.536</v>
      </c>
      <c r="J71" s="39">
        <v>28.1</v>
      </c>
      <c r="K71" s="39">
        <v>28.1</v>
      </c>
      <c r="L71" s="39">
        <v>28</v>
      </c>
      <c r="M71" s="39">
        <v>28.9</v>
      </c>
      <c r="N71" s="39">
        <v>28.7</v>
      </c>
      <c r="O71" s="39">
        <v>30.5</v>
      </c>
      <c r="P71" s="39">
        <v>29.2</v>
      </c>
      <c r="Q71" s="39">
        <v>29.4</v>
      </c>
      <c r="R71" s="39">
        <v>29.7</v>
      </c>
      <c r="S71" s="39">
        <v>30.2</v>
      </c>
      <c r="T71" s="39">
        <v>29.9</v>
      </c>
      <c r="U71" s="39">
        <v>29.1</v>
      </c>
      <c r="V71" s="5">
        <f t="shared" si="9"/>
        <v>29.149999999999995</v>
      </c>
      <c r="W71" s="4">
        <f t="shared" si="10"/>
        <v>0.24073750321573367</v>
      </c>
      <c r="X71" s="2">
        <f t="shared" si="11"/>
        <v>28</v>
      </c>
      <c r="Y71" s="3">
        <f t="shared" si="12"/>
        <v>28.55</v>
      </c>
      <c r="Z71" s="2">
        <f t="shared" si="13"/>
        <v>29.15</v>
      </c>
      <c r="AA71" s="3">
        <f t="shared" si="14"/>
        <v>29.75</v>
      </c>
      <c r="AB71" s="3">
        <f t="shared" si="15"/>
        <v>30.5</v>
      </c>
      <c r="AC71" s="3">
        <f t="shared" si="16"/>
        <v>5.2479494022891891E-2</v>
      </c>
      <c r="AD71" s="3">
        <f t="shared" si="17"/>
        <v>-1.0445117689777397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13.645</v>
      </c>
      <c r="J72" s="39">
        <v>31</v>
      </c>
      <c r="K72" s="39">
        <v>31.6</v>
      </c>
      <c r="L72" s="39">
        <v>32.200000000000003</v>
      </c>
      <c r="M72" s="39">
        <v>29.7</v>
      </c>
      <c r="N72" s="39">
        <v>31.6</v>
      </c>
      <c r="O72" s="39">
        <v>32.6</v>
      </c>
      <c r="P72" s="39">
        <v>31.9</v>
      </c>
      <c r="Q72" s="39">
        <v>30.9</v>
      </c>
      <c r="R72" s="39">
        <v>30.5</v>
      </c>
      <c r="S72" s="39">
        <v>31.5</v>
      </c>
      <c r="T72" s="39">
        <v>30.1</v>
      </c>
      <c r="U72" s="39">
        <v>30.6</v>
      </c>
      <c r="V72" s="5">
        <f t="shared" si="9"/>
        <v>31.183333333333337</v>
      </c>
      <c r="W72" s="4">
        <f t="shared" si="10"/>
        <v>0.25070607362713698</v>
      </c>
      <c r="X72" s="2">
        <f t="shared" si="11"/>
        <v>29.7</v>
      </c>
      <c r="Y72" s="3">
        <f t="shared" si="12"/>
        <v>30.575000000000003</v>
      </c>
      <c r="Z72" s="2">
        <f t="shared" si="13"/>
        <v>31.25</v>
      </c>
      <c r="AA72" s="3">
        <f t="shared" si="14"/>
        <v>31.675000000000001</v>
      </c>
      <c r="AB72" s="3">
        <f t="shared" si="15"/>
        <v>32.6</v>
      </c>
      <c r="AC72" s="3">
        <f t="shared" si="16"/>
        <v>-0.10710460374827878</v>
      </c>
      <c r="AD72" s="3">
        <f t="shared" si="17"/>
        <v>-0.71211490461606486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13.628</v>
      </c>
      <c r="J73" s="39">
        <v>29</v>
      </c>
      <c r="K73" s="39">
        <v>29</v>
      </c>
      <c r="L73" s="39">
        <v>30.2</v>
      </c>
      <c r="M73" s="39">
        <v>30.7</v>
      </c>
      <c r="N73" s="39">
        <v>30</v>
      </c>
      <c r="O73" s="39">
        <v>31</v>
      </c>
      <c r="P73" s="39">
        <v>29.9</v>
      </c>
      <c r="Q73" s="39">
        <v>29.7</v>
      </c>
      <c r="R73" s="39">
        <v>30</v>
      </c>
      <c r="S73" s="39">
        <v>29.8</v>
      </c>
      <c r="T73" s="39">
        <v>29.9</v>
      </c>
      <c r="U73" s="39">
        <v>29.8</v>
      </c>
      <c r="V73" s="5">
        <f t="shared" si="9"/>
        <v>29.916666666666668</v>
      </c>
      <c r="W73" s="4">
        <f t="shared" si="10"/>
        <v>0.16598344812210958</v>
      </c>
      <c r="X73" s="2">
        <f t="shared" si="11"/>
        <v>29</v>
      </c>
      <c r="Y73" s="3">
        <f t="shared" si="12"/>
        <v>29.774999999999999</v>
      </c>
      <c r="Z73" s="2">
        <f t="shared" si="13"/>
        <v>29.9</v>
      </c>
      <c r="AA73" s="3">
        <f t="shared" si="14"/>
        <v>30.05</v>
      </c>
      <c r="AB73" s="3">
        <f t="shared" si="15"/>
        <v>31</v>
      </c>
      <c r="AC73" s="3">
        <f t="shared" si="16"/>
        <v>0.12746549284209424</v>
      </c>
      <c r="AD73" s="3">
        <f t="shared" si="17"/>
        <v>0.54417738332377041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13.612</v>
      </c>
      <c r="J74" s="39">
        <v>31.2</v>
      </c>
      <c r="K74" s="39">
        <v>31</v>
      </c>
      <c r="L74" s="39">
        <v>29.6</v>
      </c>
      <c r="M74" s="39">
        <v>28.8</v>
      </c>
      <c r="N74" s="39">
        <v>28.2</v>
      </c>
      <c r="O74" s="39">
        <v>28.5</v>
      </c>
      <c r="P74" s="39">
        <v>28.2</v>
      </c>
      <c r="Q74" s="39">
        <v>30</v>
      </c>
      <c r="R74" s="39">
        <v>29.1</v>
      </c>
      <c r="S74" s="39">
        <v>28.6</v>
      </c>
      <c r="T74" s="39">
        <v>28.8</v>
      </c>
      <c r="U74" s="39">
        <v>28</v>
      </c>
      <c r="V74" s="5">
        <f t="shared" ref="V74:V81" si="18">AVERAGE(J74:U74)</f>
        <v>29.166666666666671</v>
      </c>
      <c r="W74" s="4">
        <f t="shared" ref="W74:W81" si="19">STDEV(J74:U74)/SQRT(COUNT(J74:U74))</f>
        <v>0.30952880448850117</v>
      </c>
      <c r="X74" s="2">
        <f t="shared" ref="X74:X81" si="20">MIN(J74:U74)</f>
        <v>28</v>
      </c>
      <c r="Y74" s="3">
        <f t="shared" ref="Y74:Y81" si="21">QUARTILE(J74:U74,1)</f>
        <v>28.425000000000001</v>
      </c>
      <c r="Z74" s="2">
        <f t="shared" ref="Z74:Z81" si="22">MEDIAN(J74:U74)</f>
        <v>28.8</v>
      </c>
      <c r="AA74" s="3">
        <f t="shared" ref="AA74:AA81" si="23">QUARTILE(J74:U74,3)</f>
        <v>29.700000000000003</v>
      </c>
      <c r="AB74" s="3">
        <f t="shared" ref="AB74:AB81" si="24">MAX(J74:U74)</f>
        <v>31.2</v>
      </c>
      <c r="AC74" s="3">
        <f t="shared" ref="AC74:AC81" si="25">SKEW(J74:U74)</f>
        <v>0.99618599900899674</v>
      </c>
      <c r="AD74" s="3">
        <f t="shared" ref="AD74:AD81" si="26">KURT(J74:U74)</f>
        <v>-0.11790780826705172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13.595000000000001</v>
      </c>
      <c r="J75" s="39">
        <v>27.1</v>
      </c>
      <c r="K75" s="39">
        <v>27.8</v>
      </c>
      <c r="L75" s="39">
        <v>28</v>
      </c>
      <c r="M75" s="39">
        <v>27.3</v>
      </c>
      <c r="N75" s="39">
        <v>29.8</v>
      </c>
      <c r="O75" s="39">
        <v>28</v>
      </c>
      <c r="P75" s="39">
        <v>28.4</v>
      </c>
      <c r="Q75" s="39">
        <v>29</v>
      </c>
      <c r="R75" s="39">
        <v>29.3</v>
      </c>
      <c r="S75" s="39">
        <v>29</v>
      </c>
      <c r="T75" s="39">
        <v>31</v>
      </c>
      <c r="U75" s="39">
        <v>29.9</v>
      </c>
      <c r="V75" s="5">
        <f t="shared" si="18"/>
        <v>28.716666666666669</v>
      </c>
      <c r="W75" s="4">
        <f t="shared" si="19"/>
        <v>0.3357112154844103</v>
      </c>
      <c r="X75" s="2">
        <f t="shared" si="20"/>
        <v>27.1</v>
      </c>
      <c r="Y75" s="3">
        <f t="shared" si="21"/>
        <v>27.95</v>
      </c>
      <c r="Z75" s="2">
        <f t="shared" si="22"/>
        <v>28.7</v>
      </c>
      <c r="AA75" s="3">
        <f t="shared" si="23"/>
        <v>29.425000000000001</v>
      </c>
      <c r="AB75" s="3">
        <f t="shared" si="24"/>
        <v>31</v>
      </c>
      <c r="AC75" s="3">
        <f t="shared" si="25"/>
        <v>0.44877729786952858</v>
      </c>
      <c r="AD75" s="3">
        <f t="shared" si="26"/>
        <v>-0.35025940125921462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13.577</v>
      </c>
      <c r="J76" s="39">
        <v>30.1</v>
      </c>
      <c r="K76" s="39">
        <v>29.6</v>
      </c>
      <c r="L76" s="39">
        <v>28.5</v>
      </c>
      <c r="M76" s="39">
        <v>30.5</v>
      </c>
      <c r="N76" s="39">
        <v>29.7</v>
      </c>
      <c r="O76" s="39">
        <v>28.7</v>
      </c>
      <c r="P76" s="39">
        <v>29.4</v>
      </c>
      <c r="Q76" s="39">
        <v>29.6</v>
      </c>
      <c r="R76" s="39">
        <v>29.2</v>
      </c>
      <c r="S76" s="39">
        <v>28.3</v>
      </c>
      <c r="T76" s="39">
        <v>29.1</v>
      </c>
      <c r="U76" s="39">
        <v>29.2</v>
      </c>
      <c r="V76" s="5">
        <f t="shared" si="18"/>
        <v>29.325000000000003</v>
      </c>
      <c r="W76" s="4">
        <f t="shared" si="19"/>
        <v>0.18427786989579992</v>
      </c>
      <c r="X76" s="2">
        <f t="shared" si="20"/>
        <v>28.3</v>
      </c>
      <c r="Y76" s="3">
        <f t="shared" si="21"/>
        <v>29</v>
      </c>
      <c r="Z76" s="2">
        <f t="shared" si="22"/>
        <v>29.299999999999997</v>
      </c>
      <c r="AA76" s="3">
        <f t="shared" si="23"/>
        <v>29.625</v>
      </c>
      <c r="AB76" s="3">
        <f t="shared" si="24"/>
        <v>30.5</v>
      </c>
      <c r="AC76" s="3">
        <f t="shared" si="25"/>
        <v>0.11936312624354942</v>
      </c>
      <c r="AD76" s="3">
        <f t="shared" si="26"/>
        <v>-0.21785334241204612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13.56</v>
      </c>
      <c r="J77" s="39">
        <v>34</v>
      </c>
      <c r="K77" s="39">
        <v>32.9</v>
      </c>
      <c r="L77" s="39">
        <v>32.200000000000003</v>
      </c>
      <c r="M77" s="39">
        <v>32.200000000000003</v>
      </c>
      <c r="N77" s="39">
        <v>31.2</v>
      </c>
      <c r="O77" s="39">
        <v>29.9</v>
      </c>
      <c r="P77" s="39">
        <v>32.1</v>
      </c>
      <c r="Q77" s="39">
        <v>32.700000000000003</v>
      </c>
      <c r="R77" s="39">
        <v>32.6</v>
      </c>
      <c r="S77" s="39">
        <v>33.4</v>
      </c>
      <c r="T77" s="39">
        <v>31.9</v>
      </c>
      <c r="U77" s="39">
        <v>32.200000000000003</v>
      </c>
      <c r="V77" s="5">
        <f t="shared" si="18"/>
        <v>32.274999999999999</v>
      </c>
      <c r="W77" s="4">
        <f t="shared" si="19"/>
        <v>0.30028395652357887</v>
      </c>
      <c r="X77" s="2">
        <f t="shared" si="20"/>
        <v>29.9</v>
      </c>
      <c r="Y77" s="3">
        <f t="shared" si="21"/>
        <v>32.049999999999997</v>
      </c>
      <c r="Z77" s="2">
        <f t="shared" si="22"/>
        <v>32.200000000000003</v>
      </c>
      <c r="AA77" s="3">
        <f t="shared" si="23"/>
        <v>32.75</v>
      </c>
      <c r="AB77" s="3">
        <f t="shared" si="24"/>
        <v>34</v>
      </c>
      <c r="AC77" s="3">
        <f t="shared" si="25"/>
        <v>-0.75464322097640057</v>
      </c>
      <c r="AD77" s="3">
        <f t="shared" si="26"/>
        <v>1.8649382071944629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13.384</v>
      </c>
      <c r="J78" s="39">
        <v>28.6</v>
      </c>
      <c r="K78" s="39">
        <v>29.7</v>
      </c>
      <c r="L78" s="39">
        <v>30.1</v>
      </c>
      <c r="M78" s="39">
        <v>31.6</v>
      </c>
      <c r="N78" s="39">
        <v>30.6</v>
      </c>
      <c r="O78" s="39">
        <v>29.6</v>
      </c>
      <c r="P78" s="39">
        <v>30.9</v>
      </c>
      <c r="Q78" s="39">
        <v>32.9</v>
      </c>
      <c r="R78" s="39">
        <v>31.7</v>
      </c>
      <c r="S78" s="39">
        <v>31.7</v>
      </c>
      <c r="T78" s="39">
        <v>30.6</v>
      </c>
      <c r="U78" s="39">
        <v>31.9</v>
      </c>
      <c r="V78" s="5">
        <f t="shared" si="18"/>
        <v>30.824999999999999</v>
      </c>
      <c r="W78" s="4">
        <f t="shared" si="19"/>
        <v>0.34752915726815642</v>
      </c>
      <c r="X78" s="2">
        <f t="shared" si="20"/>
        <v>28.6</v>
      </c>
      <c r="Y78" s="3">
        <f t="shared" si="21"/>
        <v>30</v>
      </c>
      <c r="Z78" s="2">
        <f t="shared" si="22"/>
        <v>30.75</v>
      </c>
      <c r="AA78" s="3">
        <f t="shared" si="23"/>
        <v>31.7</v>
      </c>
      <c r="AB78" s="3">
        <f t="shared" si="24"/>
        <v>32.9</v>
      </c>
      <c r="AC78" s="3">
        <f t="shared" si="25"/>
        <v>-0.16874298236087215</v>
      </c>
      <c r="AD78" s="3">
        <f t="shared" si="26"/>
        <v>-0.27865330383425535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13.359</v>
      </c>
      <c r="J79" s="39">
        <v>30.3</v>
      </c>
      <c r="K79" s="39">
        <v>30.2</v>
      </c>
      <c r="L79" s="39">
        <v>31.7</v>
      </c>
      <c r="M79" s="39">
        <v>34.1</v>
      </c>
      <c r="N79" s="39">
        <v>29.5</v>
      </c>
      <c r="O79" s="39">
        <v>33.6</v>
      </c>
      <c r="P79" s="39">
        <v>30.4</v>
      </c>
      <c r="Q79" s="39">
        <v>33</v>
      </c>
      <c r="R79" s="39">
        <v>30.7</v>
      </c>
      <c r="S79" s="39">
        <v>32.299999999999997</v>
      </c>
      <c r="T79" s="39">
        <v>32.200000000000003</v>
      </c>
      <c r="U79" s="39">
        <v>31.5</v>
      </c>
      <c r="V79" s="5">
        <f t="shared" si="18"/>
        <v>31.625</v>
      </c>
      <c r="W79" s="4">
        <f t="shared" si="19"/>
        <v>0.42088021041045831</v>
      </c>
      <c r="X79" s="2">
        <f t="shared" si="20"/>
        <v>29.5</v>
      </c>
      <c r="Y79" s="3">
        <f t="shared" si="21"/>
        <v>30.375</v>
      </c>
      <c r="Z79" s="2">
        <f t="shared" si="22"/>
        <v>31.6</v>
      </c>
      <c r="AA79" s="3">
        <f t="shared" si="23"/>
        <v>32.474999999999994</v>
      </c>
      <c r="AB79" s="3">
        <f t="shared" si="24"/>
        <v>34.1</v>
      </c>
      <c r="AC79" s="3">
        <f t="shared" si="25"/>
        <v>0.29973137209388739</v>
      </c>
      <c r="AD79" s="3">
        <f t="shared" si="26"/>
        <v>-0.99202353800573073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13.336</v>
      </c>
      <c r="J80" s="39">
        <v>28.5</v>
      </c>
      <c r="K80" s="39">
        <v>29.4</v>
      </c>
      <c r="L80" s="39">
        <v>28.2</v>
      </c>
      <c r="M80" s="39">
        <v>28.8</v>
      </c>
      <c r="N80" s="39">
        <v>29.4</v>
      </c>
      <c r="O80" s="39">
        <v>30.8</v>
      </c>
      <c r="P80" s="39">
        <v>29.8</v>
      </c>
      <c r="Q80" s="39">
        <v>29.6</v>
      </c>
      <c r="R80" s="39">
        <v>29.3</v>
      </c>
      <c r="S80" s="39">
        <v>31.2</v>
      </c>
      <c r="T80" s="39">
        <v>29.5</v>
      </c>
      <c r="U80" s="39">
        <v>29.7</v>
      </c>
      <c r="V80" s="5">
        <f t="shared" si="18"/>
        <v>29.516666666666666</v>
      </c>
      <c r="W80" s="4">
        <f t="shared" si="19"/>
        <v>0.24551533104427065</v>
      </c>
      <c r="X80" s="2">
        <f t="shared" si="20"/>
        <v>28.2</v>
      </c>
      <c r="Y80" s="3">
        <f t="shared" si="21"/>
        <v>29.175000000000001</v>
      </c>
      <c r="Z80" s="2">
        <f t="shared" si="22"/>
        <v>29.45</v>
      </c>
      <c r="AA80" s="3">
        <f t="shared" si="23"/>
        <v>29.725000000000001</v>
      </c>
      <c r="AB80" s="3">
        <f t="shared" si="24"/>
        <v>31.2</v>
      </c>
      <c r="AC80" s="3">
        <f t="shared" si="25"/>
        <v>0.56711925188412582</v>
      </c>
      <c r="AD80" s="3">
        <f t="shared" si="26"/>
        <v>0.51118829141721989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13.313000000000001</v>
      </c>
      <c r="J81" s="39">
        <v>29.6</v>
      </c>
      <c r="K81" s="39">
        <v>32.6</v>
      </c>
      <c r="L81" s="39">
        <v>30.4</v>
      </c>
      <c r="M81" s="39">
        <v>32.4</v>
      </c>
      <c r="N81" s="39">
        <v>29.9</v>
      </c>
      <c r="O81" s="39">
        <v>30.1</v>
      </c>
      <c r="P81" s="39">
        <v>31.2</v>
      </c>
      <c r="Q81" s="39">
        <v>32</v>
      </c>
      <c r="R81" s="39">
        <v>30.5</v>
      </c>
      <c r="S81" s="39">
        <v>32.799999999999997</v>
      </c>
      <c r="T81" s="39">
        <v>30.1</v>
      </c>
      <c r="U81" s="39">
        <v>32.5</v>
      </c>
      <c r="V81" s="5">
        <f t="shared" si="18"/>
        <v>31.175000000000001</v>
      </c>
      <c r="W81" s="4">
        <f t="shared" si="19"/>
        <v>0.34905174575143028</v>
      </c>
      <c r="X81" s="2">
        <f t="shared" si="20"/>
        <v>29.6</v>
      </c>
      <c r="Y81" s="3">
        <f t="shared" si="21"/>
        <v>30.1</v>
      </c>
      <c r="Z81" s="2">
        <f t="shared" si="22"/>
        <v>30.85</v>
      </c>
      <c r="AA81" s="3">
        <f t="shared" si="23"/>
        <v>32.424999999999997</v>
      </c>
      <c r="AB81" s="3">
        <f t="shared" si="24"/>
        <v>32.799999999999997</v>
      </c>
      <c r="AC81" s="3">
        <f t="shared" si="25"/>
        <v>0.16497081918641415</v>
      </c>
      <c r="AD81" s="3">
        <f t="shared" si="26"/>
        <v>-1.9007651352612331</v>
      </c>
    </row>
    <row r="84" spans="1:30" x14ac:dyDescent="0.2">
      <c r="V84" s="3"/>
    </row>
  </sheetData>
  <autoFilter ref="A9:AD81" xr:uid="{7C2A8D37-B158-4944-8007-3B1A5756912B}"/>
  <conditionalFormatting sqref="J10:U47">
    <cfRule type="cellIs" dxfId="55" priority="1" stopIfTrue="1" operator="lessThan">
      <formula>$V10-$U$5*$W10</formula>
    </cfRule>
    <cfRule type="cellIs" dxfId="54" priority="2" stopIfTrue="1" operator="greaterThan">
      <formula>$V10+$U$5*$W10</formula>
    </cfRule>
  </conditionalFormatting>
  <conditionalFormatting sqref="J48:U81">
    <cfRule type="cellIs" dxfId="53" priority="3" stopIfTrue="1" operator="lessThan">
      <formula>$V48-$U$6*$W48</formula>
    </cfRule>
    <cfRule type="cellIs" dxfId="52" priority="4" stopIfTrue="1" operator="greaterThan">
      <formula>$V48+$U$6*$W48</formula>
    </cfRule>
  </conditionalFormatting>
  <conditionalFormatting sqref="V10:V39">
    <cfRule type="cellIs" dxfId="51" priority="5" stopIfTrue="1" operator="lessThan">
      <formula>AVERAGE($V$10:$V$39)</formula>
    </cfRule>
    <cfRule type="cellIs" dxfId="50" priority="6" stopIfTrue="1" operator="greaterThan">
      <formula>AVERAGE($V$10:$V$39)</formula>
    </cfRule>
  </conditionalFormatting>
  <conditionalFormatting sqref="V48:V81">
    <cfRule type="cellIs" dxfId="49" priority="7" stopIfTrue="1" operator="lessThan">
      <formula>AVERAGE($V$48:$V$81)</formula>
    </cfRule>
    <cfRule type="cellIs" dxfId="48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B027-69A7-476E-B1DC-E1F047AC5F2E}">
  <dimension ref="A1:AN84"/>
  <sheetViews>
    <sheetView topLeftCell="A22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85546875" style="1" customWidth="1"/>
    <col min="33" max="38" width="21.7109375" style="1" customWidth="1"/>
    <col min="39" max="40" width="21.7109375" style="1" bestFit="1" customWidth="1"/>
    <col min="41" max="16384" width="9.140625" style="1"/>
  </cols>
  <sheetData>
    <row r="1" spans="1:40" ht="15.75" x14ac:dyDescent="0.25">
      <c r="A1" s="56" t="s">
        <v>141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41.35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13.27</v>
      </c>
      <c r="J10" s="39">
        <v>38.700000000000003</v>
      </c>
      <c r="K10" s="39">
        <v>33</v>
      </c>
      <c r="L10" s="39">
        <v>31.2</v>
      </c>
      <c r="M10" s="39">
        <v>35.9</v>
      </c>
      <c r="N10" s="39">
        <v>29.9</v>
      </c>
      <c r="O10" s="39">
        <v>36.1</v>
      </c>
      <c r="P10" s="39">
        <v>30.2</v>
      </c>
      <c r="Q10" s="39">
        <v>37.700000000000003</v>
      </c>
      <c r="R10" s="39">
        <v>30.1</v>
      </c>
      <c r="S10" s="39">
        <v>37.5</v>
      </c>
      <c r="T10" s="39">
        <v>29.4</v>
      </c>
      <c r="U10" s="39">
        <v>39.299999999999997</v>
      </c>
      <c r="V10" s="5">
        <f t="shared" ref="V10:V41" si="0">AVERAGE(J10:U10)</f>
        <v>34.083333333333336</v>
      </c>
      <c r="W10" s="4">
        <f t="shared" ref="W10:W41" si="1">STDEV(J10:U10)/SQRT(COUNT(J10:U10))</f>
        <v>1.1027399301446219</v>
      </c>
      <c r="X10" s="2">
        <f t="shared" ref="X10:X41" si="2">MIN(J10:U10)</f>
        <v>29.4</v>
      </c>
      <c r="Y10" s="3">
        <f t="shared" ref="Y10:Y41" si="3">QUARTILE(J10:U10,1)</f>
        <v>30.175000000000001</v>
      </c>
      <c r="Z10" s="2">
        <f t="shared" ref="Z10:Z41" si="4">MEDIAN(J10:U10)</f>
        <v>34.450000000000003</v>
      </c>
      <c r="AA10" s="3">
        <f t="shared" ref="AA10:AA41" si="5">QUARTILE(J10:U10,3)</f>
        <v>37.549999999999997</v>
      </c>
      <c r="AB10" s="3">
        <f t="shared" ref="AB10:AB41" si="6">MAX(J10:U10)</f>
        <v>39.299999999999997</v>
      </c>
      <c r="AC10" s="3">
        <f t="shared" ref="AC10:AC41" si="7">SKEW(J10:U10)</f>
        <v>3.6815423007380325E-2</v>
      </c>
      <c r="AD10" s="3">
        <f t="shared" ref="AD10:AD41" si="8">KURT(J10:U10)</f>
        <v>-1.9119908664611516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13.247999999999999</v>
      </c>
      <c r="J11" s="39">
        <v>37.5</v>
      </c>
      <c r="K11" s="39">
        <v>37.299999999999997</v>
      </c>
      <c r="L11" s="39">
        <v>29.6</v>
      </c>
      <c r="M11" s="39">
        <v>37.200000000000003</v>
      </c>
      <c r="N11" s="39">
        <v>31</v>
      </c>
      <c r="O11" s="39">
        <v>37.299999999999997</v>
      </c>
      <c r="P11" s="39">
        <v>32.700000000000003</v>
      </c>
      <c r="Q11" s="39">
        <v>33.1</v>
      </c>
      <c r="R11" s="39">
        <v>33.5</v>
      </c>
      <c r="S11" s="39">
        <v>31.6</v>
      </c>
      <c r="T11" s="39">
        <v>32.4</v>
      </c>
      <c r="U11" s="39">
        <v>33.799999999999997</v>
      </c>
      <c r="V11" s="5">
        <f t="shared" si="0"/>
        <v>33.916666666666671</v>
      </c>
      <c r="W11" s="4">
        <f t="shared" si="1"/>
        <v>0.79609209659600699</v>
      </c>
      <c r="X11" s="2">
        <f t="shared" si="2"/>
        <v>29.6</v>
      </c>
      <c r="Y11" s="3">
        <f t="shared" si="3"/>
        <v>32.200000000000003</v>
      </c>
      <c r="Z11" s="2">
        <f t="shared" si="4"/>
        <v>33.299999999999997</v>
      </c>
      <c r="AA11" s="3">
        <f t="shared" si="5"/>
        <v>37.225000000000001</v>
      </c>
      <c r="AB11" s="3">
        <f t="shared" si="6"/>
        <v>37.5</v>
      </c>
      <c r="AC11" s="3">
        <f t="shared" si="7"/>
        <v>0.18348270963842689</v>
      </c>
      <c r="AD11" s="3">
        <f t="shared" si="8"/>
        <v>-1.3102957526828036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13.212</v>
      </c>
      <c r="J12" s="39">
        <v>37.200000000000003</v>
      </c>
      <c r="K12" s="39">
        <v>33.799999999999997</v>
      </c>
      <c r="L12" s="39">
        <v>28.4</v>
      </c>
      <c r="M12" s="39">
        <v>36</v>
      </c>
      <c r="N12" s="39">
        <v>28.5</v>
      </c>
      <c r="O12" s="39">
        <v>34</v>
      </c>
      <c r="P12" s="39">
        <v>31.2</v>
      </c>
      <c r="Q12" s="39">
        <v>37.200000000000003</v>
      </c>
      <c r="R12" s="39">
        <v>29.1</v>
      </c>
      <c r="S12" s="39">
        <v>36.1</v>
      </c>
      <c r="T12" s="39">
        <v>29.3</v>
      </c>
      <c r="U12" s="39">
        <v>34.700000000000003</v>
      </c>
      <c r="V12" s="5">
        <f t="shared" si="0"/>
        <v>32.958333333333336</v>
      </c>
      <c r="W12" s="4">
        <f t="shared" si="1"/>
        <v>0.99980743095351221</v>
      </c>
      <c r="X12" s="2">
        <f t="shared" si="2"/>
        <v>28.4</v>
      </c>
      <c r="Y12" s="3">
        <f t="shared" si="3"/>
        <v>29.25</v>
      </c>
      <c r="Z12" s="2">
        <f t="shared" si="4"/>
        <v>33.9</v>
      </c>
      <c r="AA12" s="3">
        <f t="shared" si="5"/>
        <v>36.024999999999999</v>
      </c>
      <c r="AB12" s="3">
        <f t="shared" si="6"/>
        <v>37.200000000000003</v>
      </c>
      <c r="AC12" s="3">
        <f t="shared" si="7"/>
        <v>-0.20055738437956755</v>
      </c>
      <c r="AD12" s="3">
        <f t="shared" si="8"/>
        <v>-1.7572211439418863</v>
      </c>
      <c r="AF12" s="17" t="s">
        <v>76</v>
      </c>
      <c r="AG12" s="16">
        <v>42.6</v>
      </c>
      <c r="AH12" s="15">
        <v>45.725000000000001</v>
      </c>
      <c r="AI12" s="15">
        <v>51.975000000000001</v>
      </c>
      <c r="AJ12" s="15">
        <v>51.670833333333334</v>
      </c>
      <c r="AK12" s="16">
        <v>28.55</v>
      </c>
      <c r="AL12" s="15">
        <v>29.425000000000001</v>
      </c>
      <c r="AM12" s="15">
        <v>30.35</v>
      </c>
      <c r="AN12" s="14">
        <v>30.316666666666663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13.180999999999999</v>
      </c>
      <c r="J13" s="39">
        <v>61.8</v>
      </c>
      <c r="K13" s="39">
        <v>42.8</v>
      </c>
      <c r="L13" s="39">
        <v>56.7</v>
      </c>
      <c r="M13" s="39">
        <v>45.5</v>
      </c>
      <c r="N13" s="39">
        <v>52.9</v>
      </c>
      <c r="O13" s="39">
        <v>53.3</v>
      </c>
      <c r="P13" s="39">
        <v>54</v>
      </c>
      <c r="Q13" s="39">
        <v>40.9</v>
      </c>
      <c r="R13" s="39">
        <v>50.6</v>
      </c>
      <c r="S13" s="39">
        <v>43.1</v>
      </c>
      <c r="T13" s="39">
        <v>53</v>
      </c>
      <c r="U13" s="39">
        <v>46.6</v>
      </c>
      <c r="V13" s="5">
        <f t="shared" si="0"/>
        <v>50.1</v>
      </c>
      <c r="W13" s="4">
        <f t="shared" si="1"/>
        <v>1.8314177320018756</v>
      </c>
      <c r="X13" s="2">
        <f t="shared" si="2"/>
        <v>40.9</v>
      </c>
      <c r="Y13" s="3">
        <f t="shared" si="3"/>
        <v>44.9</v>
      </c>
      <c r="Z13" s="2">
        <f t="shared" si="4"/>
        <v>51.75</v>
      </c>
      <c r="AA13" s="3">
        <f t="shared" si="5"/>
        <v>53.474999999999994</v>
      </c>
      <c r="AB13" s="3">
        <f t="shared" si="6"/>
        <v>61.8</v>
      </c>
      <c r="AC13" s="3">
        <f t="shared" si="7"/>
        <v>0.16095449045708216</v>
      </c>
      <c r="AD13" s="3">
        <f t="shared" si="8"/>
        <v>-0.71572260667226351</v>
      </c>
      <c r="AF13" s="13" t="s">
        <v>75</v>
      </c>
      <c r="AG13" s="12">
        <v>39.6</v>
      </c>
      <c r="AH13" s="11">
        <v>46.887500000000003</v>
      </c>
      <c r="AI13" s="11">
        <v>55.9</v>
      </c>
      <c r="AJ13" s="11">
        <v>54.5625</v>
      </c>
      <c r="AK13" s="12">
        <v>29.85</v>
      </c>
      <c r="AL13" s="11">
        <v>31.65</v>
      </c>
      <c r="AM13" s="11">
        <v>32.375</v>
      </c>
      <c r="AN13" s="10">
        <v>32.545833333333334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13.16</v>
      </c>
      <c r="J14" s="39">
        <v>37.5</v>
      </c>
      <c r="K14" s="39">
        <v>28.5</v>
      </c>
      <c r="L14" s="39">
        <v>36.700000000000003</v>
      </c>
      <c r="M14" s="39">
        <v>29.8</v>
      </c>
      <c r="N14" s="39">
        <v>38</v>
      </c>
      <c r="O14" s="39">
        <v>29.5</v>
      </c>
      <c r="P14" s="39">
        <v>34.799999999999997</v>
      </c>
      <c r="Q14" s="39">
        <v>30.5</v>
      </c>
      <c r="R14" s="39">
        <v>32.200000000000003</v>
      </c>
      <c r="S14" s="39">
        <v>31.5</v>
      </c>
      <c r="T14" s="39">
        <v>34.200000000000003</v>
      </c>
      <c r="U14" s="39">
        <v>29.9</v>
      </c>
      <c r="V14" s="5">
        <f t="shared" si="0"/>
        <v>32.758333333333333</v>
      </c>
      <c r="W14" s="4">
        <f t="shared" si="1"/>
        <v>0.97082114051388846</v>
      </c>
      <c r="X14" s="2">
        <f t="shared" si="2"/>
        <v>28.5</v>
      </c>
      <c r="Y14" s="3">
        <f t="shared" si="3"/>
        <v>29.875</v>
      </c>
      <c r="Z14" s="2">
        <f t="shared" si="4"/>
        <v>31.85</v>
      </c>
      <c r="AA14" s="3">
        <f t="shared" si="5"/>
        <v>35.274999999999999</v>
      </c>
      <c r="AB14" s="3">
        <f t="shared" si="6"/>
        <v>38</v>
      </c>
      <c r="AC14" s="3">
        <f t="shared" si="7"/>
        <v>0.42629898763405871</v>
      </c>
      <c r="AD14" s="3">
        <f t="shared" si="8"/>
        <v>-1.4008432047819595</v>
      </c>
      <c r="AF14" s="13" t="s">
        <v>74</v>
      </c>
      <c r="AG14" s="12">
        <v>62.4</v>
      </c>
      <c r="AH14" s="11">
        <v>63.487499999999997</v>
      </c>
      <c r="AI14" s="11">
        <v>64.375</v>
      </c>
      <c r="AJ14" s="11">
        <v>64.479166666666657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13.141</v>
      </c>
      <c r="J15" s="39">
        <v>58.8</v>
      </c>
      <c r="K15" s="39">
        <v>42.3</v>
      </c>
      <c r="L15" s="39">
        <v>42</v>
      </c>
      <c r="M15" s="39">
        <v>54.3</v>
      </c>
      <c r="N15" s="39">
        <v>41.3</v>
      </c>
      <c r="O15" s="39">
        <v>49.8</v>
      </c>
      <c r="P15" s="39">
        <v>41.7</v>
      </c>
      <c r="Q15" s="39">
        <v>49.3</v>
      </c>
      <c r="R15" s="39">
        <v>39.200000000000003</v>
      </c>
      <c r="S15" s="39">
        <v>55</v>
      </c>
      <c r="T15" s="39">
        <v>50.3</v>
      </c>
      <c r="U15" s="39">
        <v>56.7</v>
      </c>
      <c r="V15" s="5">
        <f t="shared" si="0"/>
        <v>48.391666666666673</v>
      </c>
      <c r="W15" s="4">
        <f t="shared" si="1"/>
        <v>1.9846172951178251</v>
      </c>
      <c r="X15" s="2">
        <f t="shared" si="2"/>
        <v>39.200000000000003</v>
      </c>
      <c r="Y15" s="3">
        <f t="shared" si="3"/>
        <v>41.924999999999997</v>
      </c>
      <c r="Z15" s="2">
        <f t="shared" si="4"/>
        <v>49.55</v>
      </c>
      <c r="AA15" s="3">
        <f t="shared" si="5"/>
        <v>54.474999999999994</v>
      </c>
      <c r="AB15" s="3">
        <f t="shared" si="6"/>
        <v>58.8</v>
      </c>
      <c r="AC15" s="3">
        <f t="shared" si="7"/>
        <v>9.6141740339056758E-2</v>
      </c>
      <c r="AD15" s="3">
        <f t="shared" si="8"/>
        <v>-1.6094544325984326</v>
      </c>
      <c r="AF15" s="13" t="s">
        <v>73</v>
      </c>
      <c r="AG15" s="12">
        <v>28.35</v>
      </c>
      <c r="AH15" s="11">
        <v>29.65</v>
      </c>
      <c r="AI15" s="11">
        <v>32.774999999999999</v>
      </c>
      <c r="AJ15" s="11">
        <v>32.616666666666674</v>
      </c>
      <c r="AK15" s="12">
        <v>26.65</v>
      </c>
      <c r="AL15" s="11">
        <v>27.3</v>
      </c>
      <c r="AM15" s="11">
        <v>27.75</v>
      </c>
      <c r="AN15" s="10">
        <v>27.779166666666669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13.122</v>
      </c>
      <c r="J16" s="39">
        <v>59.7</v>
      </c>
      <c r="K16" s="39">
        <v>46.9</v>
      </c>
      <c r="L16" s="39">
        <v>37.799999999999997</v>
      </c>
      <c r="M16" s="39">
        <v>57.5</v>
      </c>
      <c r="N16" s="39">
        <v>35</v>
      </c>
      <c r="O16" s="39">
        <v>51.8</v>
      </c>
      <c r="P16" s="39">
        <v>42.8</v>
      </c>
      <c r="Q16" s="39">
        <v>54.4</v>
      </c>
      <c r="R16" s="39">
        <v>41.7</v>
      </c>
      <c r="S16" s="39">
        <v>52.3</v>
      </c>
      <c r="T16" s="39">
        <v>43.3</v>
      </c>
      <c r="U16" s="39">
        <v>54.2</v>
      </c>
      <c r="V16" s="5">
        <f t="shared" si="0"/>
        <v>48.116666666666667</v>
      </c>
      <c r="W16" s="4">
        <f t="shared" si="1"/>
        <v>2.3067369493584189</v>
      </c>
      <c r="X16" s="2">
        <f t="shared" si="2"/>
        <v>35</v>
      </c>
      <c r="Y16" s="3">
        <f t="shared" si="3"/>
        <v>42.524999999999999</v>
      </c>
      <c r="Z16" s="2">
        <f t="shared" si="4"/>
        <v>49.349999999999994</v>
      </c>
      <c r="AA16" s="3">
        <f t="shared" si="5"/>
        <v>54.25</v>
      </c>
      <c r="AB16" s="3">
        <f t="shared" si="6"/>
        <v>59.7</v>
      </c>
      <c r="AC16" s="3">
        <f t="shared" si="7"/>
        <v>-0.19371556635575485</v>
      </c>
      <c r="AD16" s="3">
        <f t="shared" si="8"/>
        <v>-1.2067103990508254</v>
      </c>
      <c r="AF16" s="13" t="s">
        <v>72</v>
      </c>
      <c r="AG16" s="12">
        <v>29.25</v>
      </c>
      <c r="AH16" s="11">
        <v>31.787500000000001</v>
      </c>
      <c r="AI16" s="11">
        <v>32.950000000000003</v>
      </c>
      <c r="AJ16" s="11">
        <v>33.791666666666671</v>
      </c>
      <c r="AK16" s="12">
        <v>27.95</v>
      </c>
      <c r="AL16" s="11">
        <v>28.8125</v>
      </c>
      <c r="AM16" s="11">
        <v>29.524999999999999</v>
      </c>
      <c r="AN16" s="10">
        <v>29.458333333333336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13.103</v>
      </c>
      <c r="J17" s="39">
        <v>38.700000000000003</v>
      </c>
      <c r="K17" s="39">
        <v>33.4</v>
      </c>
      <c r="L17" s="39">
        <v>36.200000000000003</v>
      </c>
      <c r="M17" s="39">
        <v>32.6</v>
      </c>
      <c r="N17" s="39">
        <v>36.700000000000003</v>
      </c>
      <c r="O17" s="39">
        <v>31.3</v>
      </c>
      <c r="P17" s="39">
        <v>38</v>
      </c>
      <c r="Q17" s="39">
        <v>31.1</v>
      </c>
      <c r="R17" s="39">
        <v>37.299999999999997</v>
      </c>
      <c r="S17" s="39">
        <v>29.6</v>
      </c>
      <c r="T17" s="39">
        <v>37.1</v>
      </c>
      <c r="U17" s="39">
        <v>30.1</v>
      </c>
      <c r="V17" s="5">
        <f t="shared" si="0"/>
        <v>34.341666666666676</v>
      </c>
      <c r="W17" s="4">
        <f t="shared" si="1"/>
        <v>0.9610173218674537</v>
      </c>
      <c r="X17" s="2">
        <f t="shared" si="2"/>
        <v>29.6</v>
      </c>
      <c r="Y17" s="3">
        <f t="shared" si="3"/>
        <v>31.25</v>
      </c>
      <c r="Z17" s="2">
        <f t="shared" si="4"/>
        <v>34.799999999999997</v>
      </c>
      <c r="AA17" s="3">
        <f t="shared" si="5"/>
        <v>37.15</v>
      </c>
      <c r="AB17" s="3">
        <f t="shared" si="6"/>
        <v>38.700000000000003</v>
      </c>
      <c r="AC17" s="3">
        <f t="shared" si="7"/>
        <v>-0.15697251372655344</v>
      </c>
      <c r="AD17" s="3">
        <f t="shared" si="8"/>
        <v>-1.7850254719952896</v>
      </c>
      <c r="AF17" s="13" t="s">
        <v>71</v>
      </c>
      <c r="AG17" s="12">
        <v>29.05</v>
      </c>
      <c r="AH17" s="11">
        <v>29.975000000000001</v>
      </c>
      <c r="AI17" s="11">
        <v>33.950000000000003</v>
      </c>
      <c r="AJ17" s="11">
        <v>33.958333333333336</v>
      </c>
      <c r="AK17" s="12">
        <v>26.15</v>
      </c>
      <c r="AL17" s="11">
        <v>27.512499999999999</v>
      </c>
      <c r="AM17" s="11">
        <v>28.65</v>
      </c>
      <c r="AN17" s="10">
        <v>28.495833333333334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13.3</v>
      </c>
      <c r="J18" s="39">
        <v>37.5</v>
      </c>
      <c r="K18" s="39">
        <v>34.5</v>
      </c>
      <c r="L18" s="39">
        <v>30.5</v>
      </c>
      <c r="M18" s="39">
        <v>35.700000000000003</v>
      </c>
      <c r="N18" s="39">
        <v>30.3</v>
      </c>
      <c r="O18" s="39">
        <v>36.5</v>
      </c>
      <c r="P18" s="39">
        <v>30.5</v>
      </c>
      <c r="Q18" s="39">
        <v>37.6</v>
      </c>
      <c r="R18" s="39">
        <v>30.9</v>
      </c>
      <c r="S18" s="39">
        <v>37.5</v>
      </c>
      <c r="T18" s="39">
        <v>30</v>
      </c>
      <c r="U18" s="39">
        <v>36.299999999999997</v>
      </c>
      <c r="V18" s="5">
        <f t="shared" si="0"/>
        <v>33.983333333333334</v>
      </c>
      <c r="W18" s="4">
        <f t="shared" si="1"/>
        <v>0.93718092213194415</v>
      </c>
      <c r="X18" s="2">
        <f t="shared" si="2"/>
        <v>30</v>
      </c>
      <c r="Y18" s="3">
        <f t="shared" si="3"/>
        <v>30.5</v>
      </c>
      <c r="Z18" s="2">
        <f t="shared" si="4"/>
        <v>35.1</v>
      </c>
      <c r="AA18" s="3">
        <f t="shared" si="5"/>
        <v>36.75</v>
      </c>
      <c r="AB18" s="3">
        <f t="shared" si="6"/>
        <v>37.6</v>
      </c>
      <c r="AC18" s="3">
        <f t="shared" si="7"/>
        <v>-0.1886178091333274</v>
      </c>
      <c r="AD18" s="3">
        <f t="shared" si="8"/>
        <v>-2.0824479034084549</v>
      </c>
      <c r="AF18" s="13" t="s">
        <v>70</v>
      </c>
      <c r="AG18" s="12">
        <v>29.9</v>
      </c>
      <c r="AH18" s="11">
        <v>32.325000000000003</v>
      </c>
      <c r="AI18" s="11">
        <v>34.799999999999997</v>
      </c>
      <c r="AJ18" s="11">
        <v>34.808333333333337</v>
      </c>
      <c r="AK18" s="12">
        <v>27.9</v>
      </c>
      <c r="AL18" s="11">
        <v>28.475000000000001</v>
      </c>
      <c r="AM18" s="11">
        <v>29.074999999999999</v>
      </c>
      <c r="AN18" s="10">
        <v>29.212499999999999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13.32</v>
      </c>
      <c r="J19" s="39">
        <v>60.4</v>
      </c>
      <c r="K19" s="39">
        <v>42.1</v>
      </c>
      <c r="L19" s="39">
        <v>60.2</v>
      </c>
      <c r="M19" s="39">
        <v>48.2</v>
      </c>
      <c r="N19" s="39">
        <v>59.1</v>
      </c>
      <c r="O19" s="39">
        <v>46.6</v>
      </c>
      <c r="P19" s="39">
        <v>59.4</v>
      </c>
      <c r="Q19" s="39">
        <v>49.9</v>
      </c>
      <c r="R19" s="39">
        <v>60.7</v>
      </c>
      <c r="S19" s="39">
        <v>44</v>
      </c>
      <c r="T19" s="39">
        <v>60.9</v>
      </c>
      <c r="U19" s="39">
        <v>40.299999999999997</v>
      </c>
      <c r="V19" s="5">
        <f t="shared" si="0"/>
        <v>52.649999999999984</v>
      </c>
      <c r="W19" s="4">
        <f t="shared" si="1"/>
        <v>2.367248114660522</v>
      </c>
      <c r="X19" s="2">
        <f t="shared" si="2"/>
        <v>40.299999999999997</v>
      </c>
      <c r="Y19" s="3">
        <f t="shared" si="3"/>
        <v>45.95</v>
      </c>
      <c r="Z19" s="2">
        <f t="shared" si="4"/>
        <v>54.5</v>
      </c>
      <c r="AA19" s="3">
        <f t="shared" si="5"/>
        <v>60.25</v>
      </c>
      <c r="AB19" s="3">
        <f t="shared" si="6"/>
        <v>60.9</v>
      </c>
      <c r="AC19" s="3">
        <f t="shared" si="7"/>
        <v>-0.29289460063337247</v>
      </c>
      <c r="AD19" s="3">
        <f t="shared" si="8"/>
        <v>-1.8542721122101504</v>
      </c>
      <c r="AF19" s="13" t="s">
        <v>69</v>
      </c>
      <c r="AG19" s="12">
        <v>29.574999999999999</v>
      </c>
      <c r="AH19" s="11">
        <v>31.806249999999999</v>
      </c>
      <c r="AI19" s="11">
        <v>34.325000000000003</v>
      </c>
      <c r="AJ19" s="11">
        <v>34.227083333333333</v>
      </c>
      <c r="AK19" s="12">
        <v>26.1</v>
      </c>
      <c r="AL19" s="11">
        <v>27.337499999999999</v>
      </c>
      <c r="AM19" s="11">
        <v>27.925000000000001</v>
      </c>
      <c r="AN19" s="10">
        <v>28.060416666666669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13.340999999999999</v>
      </c>
      <c r="J20" s="39">
        <v>39.5</v>
      </c>
      <c r="K20" s="39">
        <v>29.8</v>
      </c>
      <c r="L20" s="39">
        <v>39</v>
      </c>
      <c r="M20" s="39">
        <v>29.7</v>
      </c>
      <c r="N20" s="39">
        <v>35.9</v>
      </c>
      <c r="O20" s="39">
        <v>30.7</v>
      </c>
      <c r="P20" s="39">
        <v>35.799999999999997</v>
      </c>
      <c r="Q20" s="39">
        <v>33.6</v>
      </c>
      <c r="R20" s="39">
        <v>34.700000000000003</v>
      </c>
      <c r="S20" s="39">
        <v>33.5</v>
      </c>
      <c r="T20" s="39">
        <v>33.299999999999997</v>
      </c>
      <c r="U20" s="39">
        <v>34.4</v>
      </c>
      <c r="V20" s="5">
        <f t="shared" si="0"/>
        <v>34.158333333333331</v>
      </c>
      <c r="W20" s="4">
        <f t="shared" si="1"/>
        <v>0.91440147118486781</v>
      </c>
      <c r="X20" s="2">
        <f t="shared" si="2"/>
        <v>29.7</v>
      </c>
      <c r="Y20" s="3">
        <f t="shared" si="3"/>
        <v>32.65</v>
      </c>
      <c r="Z20" s="2">
        <f t="shared" si="4"/>
        <v>34</v>
      </c>
      <c r="AA20" s="3">
        <f t="shared" si="5"/>
        <v>35.824999999999996</v>
      </c>
      <c r="AB20" s="3">
        <f t="shared" si="6"/>
        <v>39.5</v>
      </c>
      <c r="AC20" s="3">
        <f t="shared" si="7"/>
        <v>0.21259311468960598</v>
      </c>
      <c r="AD20" s="3">
        <f t="shared" si="8"/>
        <v>-0.46461121146186057</v>
      </c>
      <c r="AF20" s="13" t="s">
        <v>68</v>
      </c>
      <c r="AG20" s="12">
        <v>29.85</v>
      </c>
      <c r="AH20" s="11">
        <v>31.5</v>
      </c>
      <c r="AI20" s="11">
        <v>34.037500000000001</v>
      </c>
      <c r="AJ20" s="11">
        <v>34.21875</v>
      </c>
      <c r="AK20" s="12">
        <v>27.074999999999999</v>
      </c>
      <c r="AL20" s="11">
        <v>27.693750000000001</v>
      </c>
      <c r="AM20" s="11">
        <v>28.95</v>
      </c>
      <c r="AN20" s="10">
        <v>28.868749999999999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13.363</v>
      </c>
      <c r="J21" s="39">
        <v>32.1</v>
      </c>
      <c r="K21" s="39">
        <v>28.8</v>
      </c>
      <c r="L21" s="39">
        <v>34.700000000000003</v>
      </c>
      <c r="M21" s="39">
        <v>28.6</v>
      </c>
      <c r="N21" s="39">
        <v>35.1</v>
      </c>
      <c r="O21" s="39">
        <v>28.6</v>
      </c>
      <c r="P21" s="39">
        <v>35.1</v>
      </c>
      <c r="Q21" s="39">
        <v>31.3</v>
      </c>
      <c r="R21" s="39">
        <v>33.4</v>
      </c>
      <c r="S21" s="39">
        <v>31.7</v>
      </c>
      <c r="T21" s="39">
        <v>31.8</v>
      </c>
      <c r="U21" s="39">
        <v>29.9</v>
      </c>
      <c r="V21" s="5">
        <f t="shared" si="0"/>
        <v>31.758333333333329</v>
      </c>
      <c r="W21" s="4">
        <f t="shared" si="1"/>
        <v>0.70801240501601792</v>
      </c>
      <c r="X21" s="2">
        <f t="shared" si="2"/>
        <v>28.6</v>
      </c>
      <c r="Y21" s="3">
        <f t="shared" si="3"/>
        <v>29.625</v>
      </c>
      <c r="Z21" s="2">
        <f t="shared" si="4"/>
        <v>31.75</v>
      </c>
      <c r="AA21" s="3">
        <f t="shared" si="5"/>
        <v>33.725000000000001</v>
      </c>
      <c r="AB21" s="3">
        <f t="shared" si="6"/>
        <v>35.1</v>
      </c>
      <c r="AC21" s="3">
        <f t="shared" si="7"/>
        <v>6.7561358857479686E-2</v>
      </c>
      <c r="AD21" s="3">
        <f t="shared" si="8"/>
        <v>-1.3372303329496256</v>
      </c>
      <c r="AF21" s="13" t="s">
        <v>67</v>
      </c>
      <c r="AG21" s="12">
        <v>28.35</v>
      </c>
      <c r="AH21" s="11">
        <v>29.4</v>
      </c>
      <c r="AI21" s="11">
        <v>31.375</v>
      </c>
      <c r="AJ21" s="11">
        <v>31.675000000000001</v>
      </c>
      <c r="AK21" s="12">
        <v>25.75</v>
      </c>
      <c r="AL21" s="11">
        <v>27.3</v>
      </c>
      <c r="AM21" s="11">
        <v>27.925000000000001</v>
      </c>
      <c r="AN21" s="10">
        <v>28.204166666666666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13.385</v>
      </c>
      <c r="J22" s="39">
        <v>39.6</v>
      </c>
      <c r="K22" s="39">
        <v>29.3</v>
      </c>
      <c r="L22" s="39">
        <v>37.799999999999997</v>
      </c>
      <c r="M22" s="39">
        <v>35.1</v>
      </c>
      <c r="N22" s="39">
        <v>29.8</v>
      </c>
      <c r="O22" s="39">
        <v>36.4</v>
      </c>
      <c r="P22" s="39">
        <v>28.7</v>
      </c>
      <c r="Q22" s="39">
        <v>38.700000000000003</v>
      </c>
      <c r="R22" s="39">
        <v>29.7</v>
      </c>
      <c r="S22" s="39">
        <v>38.799999999999997</v>
      </c>
      <c r="T22" s="39">
        <v>30.3</v>
      </c>
      <c r="U22" s="39">
        <v>31.8</v>
      </c>
      <c r="V22" s="5">
        <f t="shared" si="0"/>
        <v>33.833333333333336</v>
      </c>
      <c r="W22" s="4">
        <f t="shared" si="1"/>
        <v>1.238298767819707</v>
      </c>
      <c r="X22" s="2">
        <f t="shared" si="2"/>
        <v>28.7</v>
      </c>
      <c r="Y22" s="3">
        <f t="shared" si="3"/>
        <v>29.774999999999999</v>
      </c>
      <c r="Z22" s="2">
        <f t="shared" si="4"/>
        <v>33.450000000000003</v>
      </c>
      <c r="AA22" s="3">
        <f t="shared" si="5"/>
        <v>38.024999999999999</v>
      </c>
      <c r="AB22" s="3">
        <f t="shared" si="6"/>
        <v>39.6</v>
      </c>
      <c r="AC22" s="3">
        <f t="shared" si="7"/>
        <v>0.12953190971674755</v>
      </c>
      <c r="AD22" s="3">
        <f t="shared" si="8"/>
        <v>-1.9785706546814557</v>
      </c>
      <c r="AF22" s="13" t="s">
        <v>66</v>
      </c>
      <c r="AG22" s="12">
        <v>29.25</v>
      </c>
      <c r="AH22" s="11">
        <v>30.1875</v>
      </c>
      <c r="AI22" s="11">
        <v>33.475000000000001</v>
      </c>
      <c r="AJ22" s="11">
        <v>33.370833333333337</v>
      </c>
      <c r="AK22" s="12">
        <v>27.2</v>
      </c>
      <c r="AL22" s="11">
        <v>27.774999999999999</v>
      </c>
      <c r="AM22" s="11">
        <v>28.7</v>
      </c>
      <c r="AN22" s="10">
        <v>28.762499999999999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13.413</v>
      </c>
      <c r="J23" s="39">
        <v>60.4</v>
      </c>
      <c r="K23" s="39">
        <v>44.4</v>
      </c>
      <c r="L23" s="39">
        <v>59.8</v>
      </c>
      <c r="M23" s="39">
        <v>42.9</v>
      </c>
      <c r="N23" s="39">
        <v>58.3</v>
      </c>
      <c r="O23" s="39">
        <v>38.799999999999997</v>
      </c>
      <c r="P23" s="39">
        <v>59.4</v>
      </c>
      <c r="Q23" s="39">
        <v>35.700000000000003</v>
      </c>
      <c r="R23" s="39">
        <v>56.5</v>
      </c>
      <c r="S23" s="39">
        <v>39.9</v>
      </c>
      <c r="T23" s="39">
        <v>58.7</v>
      </c>
      <c r="U23" s="39">
        <v>47.2</v>
      </c>
      <c r="V23" s="5">
        <f t="shared" si="0"/>
        <v>50.166666666666664</v>
      </c>
      <c r="W23" s="4">
        <f t="shared" si="1"/>
        <v>2.7532441837500605</v>
      </c>
      <c r="X23" s="2">
        <f t="shared" si="2"/>
        <v>35.700000000000003</v>
      </c>
      <c r="Y23" s="3">
        <f t="shared" si="3"/>
        <v>42.15</v>
      </c>
      <c r="Z23" s="2">
        <f t="shared" si="4"/>
        <v>51.85</v>
      </c>
      <c r="AA23" s="3">
        <f t="shared" si="5"/>
        <v>58.875</v>
      </c>
      <c r="AB23" s="3">
        <f t="shared" si="6"/>
        <v>60.4</v>
      </c>
      <c r="AC23" s="3">
        <f t="shared" si="7"/>
        <v>-0.25321028630304077</v>
      </c>
      <c r="AD23" s="3">
        <f t="shared" si="8"/>
        <v>-1.8679135895161671</v>
      </c>
      <c r="AF23" s="13" t="s">
        <v>65</v>
      </c>
      <c r="AG23" s="12">
        <v>34.4</v>
      </c>
      <c r="AH23" s="11">
        <v>39.024999999999999</v>
      </c>
      <c r="AI23" s="11">
        <v>43.9</v>
      </c>
      <c r="AJ23" s="11">
        <v>45.841666666666669</v>
      </c>
      <c r="AK23" s="12">
        <v>26.4</v>
      </c>
      <c r="AL23" s="11">
        <v>27.35</v>
      </c>
      <c r="AM23" s="11">
        <v>28.45</v>
      </c>
      <c r="AN23" s="10">
        <v>28.083333333333339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13.436</v>
      </c>
      <c r="J24" s="39">
        <v>38.700000000000003</v>
      </c>
      <c r="K24" s="39">
        <v>30.1</v>
      </c>
      <c r="L24" s="39">
        <v>37.4</v>
      </c>
      <c r="M24" s="39">
        <v>32.1</v>
      </c>
      <c r="N24" s="39">
        <v>37.1</v>
      </c>
      <c r="O24" s="39">
        <v>32.5</v>
      </c>
      <c r="P24" s="39">
        <v>39.5</v>
      </c>
      <c r="Q24" s="39">
        <v>31.1</v>
      </c>
      <c r="R24" s="39">
        <v>38.200000000000003</v>
      </c>
      <c r="S24" s="39">
        <v>30.9</v>
      </c>
      <c r="T24" s="39">
        <v>39.9</v>
      </c>
      <c r="U24" s="39">
        <v>34.1</v>
      </c>
      <c r="V24" s="5">
        <f t="shared" si="0"/>
        <v>35.133333333333333</v>
      </c>
      <c r="W24" s="4">
        <f t="shared" si="1"/>
        <v>1.0647473262172866</v>
      </c>
      <c r="X24" s="2">
        <f t="shared" si="2"/>
        <v>30.1</v>
      </c>
      <c r="Y24" s="3">
        <f t="shared" si="3"/>
        <v>31.85</v>
      </c>
      <c r="Z24" s="2">
        <f t="shared" si="4"/>
        <v>35.6</v>
      </c>
      <c r="AA24" s="3">
        <f t="shared" si="5"/>
        <v>38.325000000000003</v>
      </c>
      <c r="AB24" s="3">
        <f t="shared" si="6"/>
        <v>39.9</v>
      </c>
      <c r="AC24" s="3">
        <f t="shared" si="7"/>
        <v>-6.7916560713799104E-2</v>
      </c>
      <c r="AD24" s="3">
        <f t="shared" si="8"/>
        <v>-1.87671603863068</v>
      </c>
      <c r="AF24" s="13" t="s">
        <v>64</v>
      </c>
      <c r="AG24" s="12">
        <v>34.799999999999997</v>
      </c>
      <c r="AH24" s="11">
        <v>42.9</v>
      </c>
      <c r="AI24" s="11">
        <v>50.575000000000003</v>
      </c>
      <c r="AJ24" s="11">
        <v>48.858333333333334</v>
      </c>
      <c r="AK24" s="12">
        <v>29.05</v>
      </c>
      <c r="AL24" s="11">
        <v>30</v>
      </c>
      <c r="AM24" s="11">
        <v>30.625</v>
      </c>
      <c r="AN24" s="10">
        <v>30.529166666666669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13.46</v>
      </c>
      <c r="J25" s="39">
        <v>40.200000000000003</v>
      </c>
      <c r="K25" s="39">
        <v>31.6</v>
      </c>
      <c r="L25" s="39">
        <v>40.700000000000003</v>
      </c>
      <c r="M25" s="39">
        <v>33.9</v>
      </c>
      <c r="N25" s="39">
        <v>36.700000000000003</v>
      </c>
      <c r="O25" s="39">
        <v>33.1</v>
      </c>
      <c r="P25" s="39">
        <v>37.4</v>
      </c>
      <c r="Q25" s="39">
        <v>34.200000000000003</v>
      </c>
      <c r="R25" s="39">
        <v>37.5</v>
      </c>
      <c r="S25" s="39">
        <v>30.1</v>
      </c>
      <c r="T25" s="39">
        <v>41.5</v>
      </c>
      <c r="U25" s="39">
        <v>36.6</v>
      </c>
      <c r="V25" s="5">
        <f t="shared" si="0"/>
        <v>36.125000000000007</v>
      </c>
      <c r="W25" s="4">
        <f t="shared" si="1"/>
        <v>1.0483843991994772</v>
      </c>
      <c r="X25" s="2">
        <f t="shared" si="2"/>
        <v>30.1</v>
      </c>
      <c r="Y25" s="3">
        <f t="shared" si="3"/>
        <v>33.700000000000003</v>
      </c>
      <c r="Z25" s="2">
        <f t="shared" si="4"/>
        <v>36.650000000000006</v>
      </c>
      <c r="AA25" s="3">
        <f t="shared" si="5"/>
        <v>38.174999999999997</v>
      </c>
      <c r="AB25" s="3">
        <f t="shared" si="6"/>
        <v>41.5</v>
      </c>
      <c r="AC25" s="3">
        <f t="shared" si="7"/>
        <v>-7.631929161660253E-2</v>
      </c>
      <c r="AD25" s="3">
        <f t="shared" si="8"/>
        <v>-0.94098492284466095</v>
      </c>
      <c r="AF25" s="13" t="s">
        <v>63</v>
      </c>
      <c r="AG25" s="12">
        <v>38.833333333333336</v>
      </c>
      <c r="AH25" s="11">
        <v>45.108333333333327</v>
      </c>
      <c r="AI25" s="11">
        <v>51.3</v>
      </c>
      <c r="AJ25" s="11">
        <v>50.49444444444444</v>
      </c>
      <c r="AK25" s="12">
        <v>31.1</v>
      </c>
      <c r="AL25" s="11">
        <v>31.891666666666666</v>
      </c>
      <c r="AM25" s="11">
        <v>32.68333333333333</v>
      </c>
      <c r="AN25" s="10">
        <v>32.786111111111111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13.651999999999999</v>
      </c>
      <c r="J26" s="39">
        <v>61.1</v>
      </c>
      <c r="K26" s="39">
        <v>58.9</v>
      </c>
      <c r="L26" s="39">
        <v>51.3</v>
      </c>
      <c r="M26" s="39">
        <v>60.9</v>
      </c>
      <c r="N26" s="39">
        <v>45.7</v>
      </c>
      <c r="O26" s="39">
        <v>59.6</v>
      </c>
      <c r="P26" s="39">
        <v>45.6</v>
      </c>
      <c r="Q26" s="39">
        <v>59.7</v>
      </c>
      <c r="R26" s="39">
        <v>41.9</v>
      </c>
      <c r="S26" s="39">
        <v>58.7</v>
      </c>
      <c r="T26" s="39">
        <v>43.2</v>
      </c>
      <c r="U26" s="39">
        <v>59.7</v>
      </c>
      <c r="V26" s="5">
        <f t="shared" si="0"/>
        <v>53.858333333333348</v>
      </c>
      <c r="W26" s="4">
        <f t="shared" si="1"/>
        <v>2.2190790586832936</v>
      </c>
      <c r="X26" s="2">
        <f t="shared" si="2"/>
        <v>41.9</v>
      </c>
      <c r="Y26" s="3">
        <f t="shared" si="3"/>
        <v>45.675000000000004</v>
      </c>
      <c r="Z26" s="2">
        <f t="shared" si="4"/>
        <v>58.8</v>
      </c>
      <c r="AA26" s="3">
        <f t="shared" si="5"/>
        <v>59.7</v>
      </c>
      <c r="AB26" s="3">
        <f t="shared" si="6"/>
        <v>61.1</v>
      </c>
      <c r="AC26" s="3">
        <f t="shared" si="7"/>
        <v>-0.59685806689908605</v>
      </c>
      <c r="AD26" s="3">
        <f t="shared" si="8"/>
        <v>-1.6732465746336507</v>
      </c>
      <c r="AF26" s="13" t="s">
        <v>62</v>
      </c>
      <c r="AG26" s="12">
        <v>39.4</v>
      </c>
      <c r="AH26" s="11">
        <v>44.537500000000001</v>
      </c>
      <c r="AI26" s="11">
        <v>52.612499999999997</v>
      </c>
      <c r="AJ26" s="11">
        <v>50.714583333333337</v>
      </c>
      <c r="AK26" s="12">
        <v>31.125</v>
      </c>
      <c r="AL26" s="11">
        <v>32.28125</v>
      </c>
      <c r="AM26" s="11">
        <v>32.987499999999997</v>
      </c>
      <c r="AN26" s="10">
        <v>33.058333333333337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13.672000000000001</v>
      </c>
      <c r="J27" s="39">
        <v>39.700000000000003</v>
      </c>
      <c r="K27" s="39">
        <v>31.5</v>
      </c>
      <c r="L27" s="39">
        <v>36.4</v>
      </c>
      <c r="M27" s="39">
        <v>36.4</v>
      </c>
      <c r="N27" s="39">
        <v>30.7</v>
      </c>
      <c r="O27" s="39">
        <v>33.6</v>
      </c>
      <c r="P27" s="39">
        <v>32</v>
      </c>
      <c r="Q27" s="39">
        <v>34.5</v>
      </c>
      <c r="R27" s="39">
        <v>32.1</v>
      </c>
      <c r="S27" s="39">
        <v>33.5</v>
      </c>
      <c r="T27" s="39">
        <v>32.9</v>
      </c>
      <c r="U27" s="39">
        <v>33</v>
      </c>
      <c r="V27" s="5">
        <f t="shared" si="0"/>
        <v>33.858333333333327</v>
      </c>
      <c r="W27" s="4">
        <f t="shared" si="1"/>
        <v>0.73540942352000127</v>
      </c>
      <c r="X27" s="2">
        <f t="shared" si="2"/>
        <v>30.7</v>
      </c>
      <c r="Y27" s="3">
        <f t="shared" si="3"/>
        <v>32.075000000000003</v>
      </c>
      <c r="Z27" s="2">
        <f t="shared" si="4"/>
        <v>33.25</v>
      </c>
      <c r="AA27" s="3">
        <f t="shared" si="5"/>
        <v>34.975000000000001</v>
      </c>
      <c r="AB27" s="3">
        <f t="shared" si="6"/>
        <v>39.700000000000003</v>
      </c>
      <c r="AC27" s="3">
        <f t="shared" si="7"/>
        <v>1.1507325293314168</v>
      </c>
      <c r="AD27" s="3">
        <f t="shared" si="8"/>
        <v>1.2098810489535357</v>
      </c>
      <c r="AF27" s="9" t="s">
        <v>61</v>
      </c>
      <c r="AG27" s="8">
        <v>38.85</v>
      </c>
      <c r="AH27" s="7">
        <v>41.1875</v>
      </c>
      <c r="AI27" s="7">
        <v>44.65</v>
      </c>
      <c r="AJ27" s="7">
        <v>43.674999999999997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13.701000000000001</v>
      </c>
      <c r="J28" s="39">
        <v>58.3</v>
      </c>
      <c r="K28" s="39">
        <v>37.799999999999997</v>
      </c>
      <c r="L28" s="39">
        <v>44.1</v>
      </c>
      <c r="M28" s="39">
        <v>50.8</v>
      </c>
      <c r="N28" s="39">
        <v>33.9</v>
      </c>
      <c r="O28" s="39">
        <v>53.7</v>
      </c>
      <c r="P28" s="39">
        <v>42.3</v>
      </c>
      <c r="Q28" s="39">
        <v>55.1</v>
      </c>
      <c r="R28" s="39">
        <v>49.6</v>
      </c>
      <c r="S28" s="39">
        <v>49</v>
      </c>
      <c r="T28" s="39">
        <v>45.4</v>
      </c>
      <c r="U28" s="39">
        <v>50.6</v>
      </c>
      <c r="V28" s="5">
        <f t="shared" si="0"/>
        <v>47.550000000000011</v>
      </c>
      <c r="W28" s="4">
        <f t="shared" si="1"/>
        <v>2.0634444577702866</v>
      </c>
      <c r="X28" s="2">
        <f t="shared" si="2"/>
        <v>33.9</v>
      </c>
      <c r="Y28" s="3">
        <f t="shared" si="3"/>
        <v>43.65</v>
      </c>
      <c r="Z28" s="2">
        <f t="shared" si="4"/>
        <v>49.3</v>
      </c>
      <c r="AA28" s="3">
        <f t="shared" si="5"/>
        <v>51.524999999999999</v>
      </c>
      <c r="AB28" s="3">
        <f t="shared" si="6"/>
        <v>58.3</v>
      </c>
      <c r="AC28" s="3">
        <f t="shared" si="7"/>
        <v>-0.50367992104516612</v>
      </c>
      <c r="AD28" s="3">
        <f t="shared" si="8"/>
        <v>-0.23479811116575977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13.722</v>
      </c>
      <c r="J29" s="39">
        <v>40.5</v>
      </c>
      <c r="K29" s="39">
        <v>29.7</v>
      </c>
      <c r="L29" s="39">
        <v>39.1</v>
      </c>
      <c r="M29" s="39">
        <v>31</v>
      </c>
      <c r="N29" s="39">
        <v>34.799999999999997</v>
      </c>
      <c r="O29" s="39">
        <v>30.8</v>
      </c>
      <c r="P29" s="39">
        <v>31.6</v>
      </c>
      <c r="Q29" s="39">
        <v>33.200000000000003</v>
      </c>
      <c r="R29" s="39">
        <v>30.5</v>
      </c>
      <c r="S29" s="39">
        <v>34.1</v>
      </c>
      <c r="T29" s="39">
        <v>32.700000000000003</v>
      </c>
      <c r="U29" s="39">
        <v>33.9</v>
      </c>
      <c r="V29" s="5">
        <f t="shared" si="0"/>
        <v>33.491666666666667</v>
      </c>
      <c r="W29" s="4">
        <f t="shared" si="1"/>
        <v>0.96879011810055793</v>
      </c>
      <c r="X29" s="2">
        <f t="shared" si="2"/>
        <v>29.7</v>
      </c>
      <c r="Y29" s="3">
        <f t="shared" si="3"/>
        <v>30.95</v>
      </c>
      <c r="Z29" s="2">
        <f t="shared" si="4"/>
        <v>32.950000000000003</v>
      </c>
      <c r="AA29" s="3">
        <f t="shared" si="5"/>
        <v>34.274999999999999</v>
      </c>
      <c r="AB29" s="3">
        <f t="shared" si="6"/>
        <v>40.5</v>
      </c>
      <c r="AC29" s="3">
        <f t="shared" si="7"/>
        <v>1.1533639396699225</v>
      </c>
      <c r="AD29" s="3">
        <f t="shared" si="8"/>
        <v>0.68211333839721267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13.74</v>
      </c>
      <c r="J30" s="39">
        <v>36.6</v>
      </c>
      <c r="K30" s="39">
        <v>29.1</v>
      </c>
      <c r="L30" s="39">
        <v>35.4</v>
      </c>
      <c r="M30" s="39">
        <v>28.1</v>
      </c>
      <c r="N30" s="39">
        <v>33.6</v>
      </c>
      <c r="O30" s="39">
        <v>29.6</v>
      </c>
      <c r="P30" s="39">
        <v>33.5</v>
      </c>
      <c r="Q30" s="39">
        <v>29.2</v>
      </c>
      <c r="R30" s="39">
        <v>32.4</v>
      </c>
      <c r="S30" s="39">
        <v>29.6</v>
      </c>
      <c r="T30" s="39">
        <v>33.200000000000003</v>
      </c>
      <c r="U30" s="39">
        <v>28.8</v>
      </c>
      <c r="V30" s="5">
        <f t="shared" si="0"/>
        <v>31.591666666666665</v>
      </c>
      <c r="W30" s="4">
        <f t="shared" si="1"/>
        <v>0.82732302266912883</v>
      </c>
      <c r="X30" s="2">
        <f t="shared" si="2"/>
        <v>28.1</v>
      </c>
      <c r="Y30" s="3">
        <f t="shared" si="3"/>
        <v>29.175000000000001</v>
      </c>
      <c r="Z30" s="2">
        <f t="shared" si="4"/>
        <v>31</v>
      </c>
      <c r="AA30" s="3">
        <f t="shared" si="5"/>
        <v>33.524999999999999</v>
      </c>
      <c r="AB30" s="3">
        <f t="shared" si="6"/>
        <v>36.6</v>
      </c>
      <c r="AC30" s="3">
        <f t="shared" si="7"/>
        <v>0.42321935506947933</v>
      </c>
      <c r="AD30" s="3">
        <f t="shared" si="8"/>
        <v>-1.2577993900109501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13.76</v>
      </c>
      <c r="J31" s="39">
        <v>39.6</v>
      </c>
      <c r="K31" s="39">
        <v>29</v>
      </c>
      <c r="L31" s="39">
        <v>39.1</v>
      </c>
      <c r="M31" s="39">
        <v>31.8</v>
      </c>
      <c r="N31" s="39">
        <v>37.9</v>
      </c>
      <c r="O31" s="39">
        <v>29.9</v>
      </c>
      <c r="P31" s="39">
        <v>37.6</v>
      </c>
      <c r="Q31" s="39">
        <v>29.8</v>
      </c>
      <c r="R31" s="39">
        <v>36.200000000000003</v>
      </c>
      <c r="S31" s="39">
        <v>30.4</v>
      </c>
      <c r="T31" s="39">
        <v>36.9</v>
      </c>
      <c r="U31" s="39">
        <v>29.4</v>
      </c>
      <c r="V31" s="5">
        <f t="shared" si="0"/>
        <v>33.966666666666661</v>
      </c>
      <c r="W31" s="4">
        <f t="shared" si="1"/>
        <v>1.2222268135818537</v>
      </c>
      <c r="X31" s="2">
        <f t="shared" si="2"/>
        <v>29</v>
      </c>
      <c r="Y31" s="3">
        <f t="shared" si="3"/>
        <v>29.875</v>
      </c>
      <c r="Z31" s="2">
        <f t="shared" si="4"/>
        <v>34</v>
      </c>
      <c r="AA31" s="3">
        <f t="shared" si="5"/>
        <v>37.674999999999997</v>
      </c>
      <c r="AB31" s="3">
        <f t="shared" si="6"/>
        <v>39.6</v>
      </c>
      <c r="AC31" s="3">
        <f t="shared" si="7"/>
        <v>6.6619701112591079E-2</v>
      </c>
      <c r="AD31" s="3">
        <f t="shared" si="8"/>
        <v>-2.0639417247472096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13.776999999999999</v>
      </c>
      <c r="J32" s="39">
        <v>60.5</v>
      </c>
      <c r="K32" s="39">
        <v>37</v>
      </c>
      <c r="L32" s="39">
        <v>59.9</v>
      </c>
      <c r="M32" s="39">
        <v>47.7</v>
      </c>
      <c r="N32" s="39">
        <v>53.7</v>
      </c>
      <c r="O32" s="39">
        <v>46.7</v>
      </c>
      <c r="P32" s="39">
        <v>52.5</v>
      </c>
      <c r="Q32" s="39">
        <v>47.9</v>
      </c>
      <c r="R32" s="39">
        <v>53.9</v>
      </c>
      <c r="S32" s="39">
        <v>48.5</v>
      </c>
      <c r="T32" s="39">
        <v>51.2</v>
      </c>
      <c r="U32" s="39">
        <v>45.8</v>
      </c>
      <c r="V32" s="5">
        <f t="shared" si="0"/>
        <v>50.441666666666663</v>
      </c>
      <c r="W32" s="4">
        <f t="shared" si="1"/>
        <v>1.8504486897872576</v>
      </c>
      <c r="X32" s="2">
        <f t="shared" si="2"/>
        <v>37</v>
      </c>
      <c r="Y32" s="3">
        <f t="shared" si="3"/>
        <v>47.45</v>
      </c>
      <c r="Z32" s="2">
        <f t="shared" si="4"/>
        <v>49.85</v>
      </c>
      <c r="AA32" s="3">
        <f t="shared" si="5"/>
        <v>53.75</v>
      </c>
      <c r="AB32" s="3">
        <f t="shared" si="6"/>
        <v>60.5</v>
      </c>
      <c r="AC32" s="3">
        <f t="shared" si="7"/>
        <v>-0.28018984885348036</v>
      </c>
      <c r="AD32" s="3">
        <f t="shared" si="8"/>
        <v>0.81325122298078778</v>
      </c>
    </row>
    <row r="33" spans="1:32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13.795999999999999</v>
      </c>
      <c r="J33" s="39">
        <v>37.1</v>
      </c>
      <c r="K33" s="39">
        <v>29.6</v>
      </c>
      <c r="L33" s="39">
        <v>35.299999999999997</v>
      </c>
      <c r="M33" s="39">
        <v>30.8</v>
      </c>
      <c r="N33" s="39">
        <v>36.6</v>
      </c>
      <c r="O33" s="39">
        <v>29.6</v>
      </c>
      <c r="P33" s="39">
        <v>34.1</v>
      </c>
      <c r="Q33" s="39">
        <v>30.2</v>
      </c>
      <c r="R33" s="39">
        <v>32.6</v>
      </c>
      <c r="S33" s="39">
        <v>32.5</v>
      </c>
      <c r="T33" s="39">
        <v>28.3</v>
      </c>
      <c r="U33" s="39">
        <v>30.6</v>
      </c>
      <c r="V33" s="5">
        <f t="shared" si="0"/>
        <v>32.275000000000006</v>
      </c>
      <c r="W33" s="4">
        <f t="shared" si="1"/>
        <v>0.84397373576828016</v>
      </c>
      <c r="X33" s="2">
        <f t="shared" si="2"/>
        <v>28.3</v>
      </c>
      <c r="Y33" s="3">
        <f t="shared" si="3"/>
        <v>30.05</v>
      </c>
      <c r="Z33" s="2">
        <f t="shared" si="4"/>
        <v>31.65</v>
      </c>
      <c r="AA33" s="3">
        <f t="shared" si="5"/>
        <v>34.4</v>
      </c>
      <c r="AB33" s="3">
        <f t="shared" si="6"/>
        <v>37.1</v>
      </c>
      <c r="AC33" s="3">
        <f t="shared" si="7"/>
        <v>0.47628410891397588</v>
      </c>
      <c r="AD33" s="3">
        <f t="shared" si="8"/>
        <v>-1.0786430087909116</v>
      </c>
    </row>
    <row r="34" spans="1:32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13.936</v>
      </c>
      <c r="J34" s="39">
        <v>35.1</v>
      </c>
      <c r="K34" s="39">
        <v>32.700000000000003</v>
      </c>
      <c r="L34" s="39">
        <v>29.6</v>
      </c>
      <c r="M34" s="39">
        <v>37.5</v>
      </c>
      <c r="N34" s="39">
        <v>32.700000000000003</v>
      </c>
      <c r="O34" s="39">
        <v>37.299999999999997</v>
      </c>
      <c r="P34" s="39">
        <v>30</v>
      </c>
      <c r="Q34" s="39">
        <v>35.799999999999997</v>
      </c>
      <c r="R34" s="39">
        <v>35.9</v>
      </c>
      <c r="S34" s="39">
        <v>34.1</v>
      </c>
      <c r="T34" s="39">
        <v>33</v>
      </c>
      <c r="U34" s="39">
        <v>31.7</v>
      </c>
      <c r="V34" s="5">
        <f t="shared" si="0"/>
        <v>33.783333333333339</v>
      </c>
      <c r="W34" s="4">
        <f t="shared" si="1"/>
        <v>0.75717110404985777</v>
      </c>
      <c r="X34" s="2">
        <f t="shared" si="2"/>
        <v>29.6</v>
      </c>
      <c r="Y34" s="3">
        <f t="shared" si="3"/>
        <v>32.450000000000003</v>
      </c>
      <c r="Z34" s="2">
        <f t="shared" si="4"/>
        <v>33.549999999999997</v>
      </c>
      <c r="AA34" s="3">
        <f t="shared" si="5"/>
        <v>35.824999999999996</v>
      </c>
      <c r="AB34" s="3">
        <f t="shared" si="6"/>
        <v>37.5</v>
      </c>
      <c r="AC34" s="3">
        <f t="shared" si="7"/>
        <v>-0.14870869274917953</v>
      </c>
      <c r="AD34" s="3">
        <f t="shared" si="8"/>
        <v>-0.98206494268513023</v>
      </c>
    </row>
    <row r="35" spans="1:32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13.91</v>
      </c>
      <c r="J35" s="39">
        <v>40.4</v>
      </c>
      <c r="K35" s="39">
        <v>35.799999999999997</v>
      </c>
      <c r="L35" s="39">
        <v>29.9</v>
      </c>
      <c r="M35" s="39">
        <v>39.200000000000003</v>
      </c>
      <c r="N35" s="39">
        <v>31.2</v>
      </c>
      <c r="O35" s="39">
        <v>32.1</v>
      </c>
      <c r="P35" s="39">
        <v>34.9</v>
      </c>
      <c r="Q35" s="39">
        <v>32.700000000000003</v>
      </c>
      <c r="R35" s="39">
        <v>33.700000000000003</v>
      </c>
      <c r="S35" s="39">
        <v>38.4</v>
      </c>
      <c r="T35" s="39">
        <v>32.700000000000003</v>
      </c>
      <c r="U35" s="39">
        <v>38</v>
      </c>
      <c r="V35" s="5">
        <f t="shared" si="0"/>
        <v>34.916666666666664</v>
      </c>
      <c r="W35" s="4">
        <f t="shared" si="1"/>
        <v>0.98878815739369585</v>
      </c>
      <c r="X35" s="2">
        <f t="shared" si="2"/>
        <v>29.9</v>
      </c>
      <c r="Y35" s="3">
        <f t="shared" si="3"/>
        <v>32.550000000000004</v>
      </c>
      <c r="Z35" s="2">
        <f t="shared" si="4"/>
        <v>34.299999999999997</v>
      </c>
      <c r="AA35" s="3">
        <f t="shared" si="5"/>
        <v>38.1</v>
      </c>
      <c r="AB35" s="3">
        <f t="shared" si="6"/>
        <v>40.4</v>
      </c>
      <c r="AC35" s="3">
        <f t="shared" si="7"/>
        <v>0.25027346997611405</v>
      </c>
      <c r="AD35" s="3">
        <f t="shared" si="8"/>
        <v>-1.2670720200123191</v>
      </c>
    </row>
    <row r="36" spans="1:32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13.885999999999999</v>
      </c>
      <c r="J36" s="39">
        <v>37.799999999999997</v>
      </c>
      <c r="K36" s="39">
        <v>28.9</v>
      </c>
      <c r="L36" s="39">
        <v>37.299999999999997</v>
      </c>
      <c r="M36" s="39">
        <v>29.8</v>
      </c>
      <c r="N36" s="39">
        <v>37.9</v>
      </c>
      <c r="O36" s="39">
        <v>31.4</v>
      </c>
      <c r="P36" s="39">
        <v>31.5</v>
      </c>
      <c r="Q36" s="39">
        <v>38</v>
      </c>
      <c r="R36" s="39">
        <v>31.3</v>
      </c>
      <c r="S36" s="39">
        <v>30.6</v>
      </c>
      <c r="T36" s="39">
        <v>37.9</v>
      </c>
      <c r="U36" s="39">
        <v>33.200000000000003</v>
      </c>
      <c r="V36" s="5">
        <f t="shared" si="0"/>
        <v>33.800000000000004</v>
      </c>
      <c r="W36" s="4">
        <f t="shared" si="1"/>
        <v>1.0567961874544127</v>
      </c>
      <c r="X36" s="2">
        <f t="shared" si="2"/>
        <v>28.9</v>
      </c>
      <c r="Y36" s="3">
        <f t="shared" si="3"/>
        <v>31.125</v>
      </c>
      <c r="Z36" s="2">
        <f t="shared" si="4"/>
        <v>32.35</v>
      </c>
      <c r="AA36" s="3">
        <f t="shared" si="5"/>
        <v>37.824999999999996</v>
      </c>
      <c r="AB36" s="3">
        <f t="shared" si="6"/>
        <v>38</v>
      </c>
      <c r="AC36" s="3">
        <f t="shared" si="7"/>
        <v>0.13909513786925137</v>
      </c>
      <c r="AD36" s="3">
        <f t="shared" si="8"/>
        <v>-1.9978660114462596</v>
      </c>
    </row>
    <row r="37" spans="1:32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13.866</v>
      </c>
      <c r="J37" s="39">
        <v>36.799999999999997</v>
      </c>
      <c r="K37" s="39">
        <v>30.9</v>
      </c>
      <c r="L37" s="39">
        <v>37.700000000000003</v>
      </c>
      <c r="M37" s="39">
        <v>30.4</v>
      </c>
      <c r="N37" s="39">
        <v>34.4</v>
      </c>
      <c r="O37" s="39">
        <v>29.1</v>
      </c>
      <c r="P37" s="39">
        <v>35.1</v>
      </c>
      <c r="Q37" s="39">
        <v>35.299999999999997</v>
      </c>
      <c r="R37" s="39">
        <v>37.4</v>
      </c>
      <c r="S37" s="39">
        <v>31.2</v>
      </c>
      <c r="T37" s="39">
        <v>34</v>
      </c>
      <c r="U37" s="39">
        <v>29.6</v>
      </c>
      <c r="V37" s="5">
        <f t="shared" si="0"/>
        <v>33.491666666666667</v>
      </c>
      <c r="W37" s="4">
        <f t="shared" si="1"/>
        <v>0.89961762359730846</v>
      </c>
      <c r="X37" s="2">
        <f t="shared" si="2"/>
        <v>29.1</v>
      </c>
      <c r="Y37" s="3">
        <f t="shared" si="3"/>
        <v>30.774999999999999</v>
      </c>
      <c r="Z37" s="2">
        <f t="shared" si="4"/>
        <v>34.200000000000003</v>
      </c>
      <c r="AA37" s="3">
        <f t="shared" si="5"/>
        <v>35.674999999999997</v>
      </c>
      <c r="AB37" s="3">
        <f t="shared" si="6"/>
        <v>37.700000000000003</v>
      </c>
      <c r="AC37" s="3">
        <f t="shared" si="7"/>
        <v>-7.6560142969540473E-2</v>
      </c>
      <c r="AD37" s="3">
        <f t="shared" si="8"/>
        <v>-1.6103183057752761</v>
      </c>
    </row>
    <row r="38" spans="1:32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13.842000000000001</v>
      </c>
      <c r="J38" s="39">
        <v>59</v>
      </c>
      <c r="K38" s="39">
        <v>39.799999999999997</v>
      </c>
      <c r="L38" s="39">
        <v>52.7</v>
      </c>
      <c r="M38" s="39">
        <v>40.299999999999997</v>
      </c>
      <c r="N38" s="39">
        <v>47.5</v>
      </c>
      <c r="O38" s="39">
        <v>35.9</v>
      </c>
      <c r="P38" s="39">
        <v>55.3</v>
      </c>
      <c r="Q38" s="39">
        <v>37</v>
      </c>
      <c r="R38" s="39">
        <v>57.5</v>
      </c>
      <c r="S38" s="39">
        <v>39.700000000000003</v>
      </c>
      <c r="T38" s="39">
        <v>51</v>
      </c>
      <c r="U38" s="39">
        <v>34.4</v>
      </c>
      <c r="V38" s="5">
        <f t="shared" si="0"/>
        <v>45.841666666666669</v>
      </c>
      <c r="W38" s="4">
        <f t="shared" si="1"/>
        <v>2.5933615231777805</v>
      </c>
      <c r="X38" s="2">
        <f t="shared" si="2"/>
        <v>34.4</v>
      </c>
      <c r="Y38" s="3">
        <f t="shared" si="3"/>
        <v>39.025000000000006</v>
      </c>
      <c r="Z38" s="2">
        <f t="shared" si="4"/>
        <v>43.9</v>
      </c>
      <c r="AA38" s="3">
        <f t="shared" si="5"/>
        <v>53.35</v>
      </c>
      <c r="AB38" s="3">
        <f t="shared" si="6"/>
        <v>59</v>
      </c>
      <c r="AC38" s="3">
        <f t="shared" si="7"/>
        <v>0.20753902562886198</v>
      </c>
      <c r="AD38" s="3">
        <f t="shared" si="8"/>
        <v>-1.7084966419960121</v>
      </c>
    </row>
    <row r="39" spans="1:32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13.821</v>
      </c>
      <c r="J39" s="39">
        <v>60.2</v>
      </c>
      <c r="K39" s="39">
        <v>39.799999999999997</v>
      </c>
      <c r="L39" s="39">
        <v>59.3</v>
      </c>
      <c r="M39" s="39">
        <v>44.9</v>
      </c>
      <c r="N39" s="39">
        <v>56.7</v>
      </c>
      <c r="O39" s="39">
        <v>45.1</v>
      </c>
      <c r="P39" s="39">
        <v>53.1</v>
      </c>
      <c r="Q39" s="39">
        <v>42.9</v>
      </c>
      <c r="R39" s="39">
        <v>59</v>
      </c>
      <c r="S39" s="39">
        <v>49.4</v>
      </c>
      <c r="T39" s="39">
        <v>51.7</v>
      </c>
      <c r="U39" s="39">
        <v>47.3</v>
      </c>
      <c r="V39" s="5">
        <f t="shared" si="0"/>
        <v>50.783333333333331</v>
      </c>
      <c r="W39" s="4">
        <f t="shared" si="1"/>
        <v>2.0107225195200544</v>
      </c>
      <c r="X39" s="2">
        <f t="shared" si="2"/>
        <v>39.799999999999997</v>
      </c>
      <c r="Y39" s="3">
        <f t="shared" si="3"/>
        <v>45.05</v>
      </c>
      <c r="Z39" s="2">
        <f t="shared" si="4"/>
        <v>50.55</v>
      </c>
      <c r="AA39" s="3">
        <f t="shared" si="5"/>
        <v>57.275000000000006</v>
      </c>
      <c r="AB39" s="3">
        <f t="shared" si="6"/>
        <v>60.2</v>
      </c>
      <c r="AC39" s="3">
        <f t="shared" si="7"/>
        <v>-6.1962405642636059E-3</v>
      </c>
      <c r="AD39" s="3">
        <f t="shared" si="8"/>
        <v>-1.3726549551789411</v>
      </c>
    </row>
    <row r="40" spans="1:32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13.632999999999999</v>
      </c>
      <c r="J40" s="47">
        <v>41.6</v>
      </c>
      <c r="K40" s="47">
        <v>47.5</v>
      </c>
      <c r="L40" s="47">
        <v>45.8</v>
      </c>
      <c r="M40" s="47">
        <v>45.8</v>
      </c>
      <c r="N40" s="47">
        <v>40.799999999999997</v>
      </c>
      <c r="O40" s="47">
        <v>47.6</v>
      </c>
      <c r="P40" s="47">
        <v>41.9</v>
      </c>
      <c r="Q40" s="47">
        <v>45.7</v>
      </c>
      <c r="R40" s="47">
        <v>45.3</v>
      </c>
      <c r="S40" s="47">
        <v>48.8</v>
      </c>
      <c r="T40" s="47">
        <v>38.799999999999997</v>
      </c>
      <c r="U40" s="47">
        <v>45.3</v>
      </c>
      <c r="V40" s="49">
        <f t="shared" si="0"/>
        <v>44.574999999999996</v>
      </c>
      <c r="W40" s="48">
        <f t="shared" si="1"/>
        <v>0.88968201673917813</v>
      </c>
      <c r="X40" s="47">
        <f t="shared" si="2"/>
        <v>38.799999999999997</v>
      </c>
      <c r="Y40" s="46">
        <f t="shared" si="3"/>
        <v>41.825000000000003</v>
      </c>
      <c r="Z40" s="47">
        <f t="shared" si="4"/>
        <v>45.5</v>
      </c>
      <c r="AA40" s="46">
        <f t="shared" si="5"/>
        <v>46.224999999999994</v>
      </c>
      <c r="AB40" s="46">
        <f t="shared" si="6"/>
        <v>48.8</v>
      </c>
      <c r="AC40" s="46">
        <f t="shared" si="7"/>
        <v>-0.58835722666237278</v>
      </c>
      <c r="AD40" s="46">
        <f t="shared" si="8"/>
        <v>-0.66747633573254728</v>
      </c>
    </row>
    <row r="41" spans="1:32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13.611000000000001</v>
      </c>
      <c r="J41" s="39">
        <v>63.1</v>
      </c>
      <c r="K41" s="39">
        <v>58.3</v>
      </c>
      <c r="L41" s="39">
        <v>52.6</v>
      </c>
      <c r="M41" s="39">
        <v>52.6</v>
      </c>
      <c r="N41" s="39">
        <v>51.8</v>
      </c>
      <c r="O41" s="39">
        <v>53.6</v>
      </c>
      <c r="P41" s="39">
        <v>56.1</v>
      </c>
      <c r="Q41" s="39">
        <v>54.9</v>
      </c>
      <c r="R41" s="39">
        <v>49</v>
      </c>
      <c r="S41" s="39">
        <v>55.6</v>
      </c>
      <c r="T41" s="39">
        <v>49.6</v>
      </c>
      <c r="U41" s="39">
        <v>56</v>
      </c>
      <c r="V41" s="5">
        <f t="shared" si="0"/>
        <v>54.433333333333337</v>
      </c>
      <c r="W41" s="4">
        <f t="shared" si="1"/>
        <v>1.115003283955847</v>
      </c>
      <c r="X41" s="2">
        <f t="shared" si="2"/>
        <v>49</v>
      </c>
      <c r="Y41" s="3">
        <f t="shared" si="3"/>
        <v>52.4</v>
      </c>
      <c r="Z41" s="2">
        <f t="shared" si="4"/>
        <v>54.25</v>
      </c>
      <c r="AA41" s="3">
        <f t="shared" si="5"/>
        <v>56.024999999999999</v>
      </c>
      <c r="AB41" s="3">
        <f t="shared" si="6"/>
        <v>63.1</v>
      </c>
      <c r="AC41" s="3">
        <f t="shared" si="7"/>
        <v>0.78465003387788701</v>
      </c>
      <c r="AD41" s="3">
        <f t="shared" si="8"/>
        <v>1.1839682693543621</v>
      </c>
    </row>
    <row r="42" spans="1:32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13.6</v>
      </c>
      <c r="J42" s="47">
        <v>62.4</v>
      </c>
      <c r="K42" s="47">
        <v>65.900000000000006</v>
      </c>
      <c r="L42" s="47">
        <v>61.5</v>
      </c>
      <c r="M42" s="47">
        <v>65.3</v>
      </c>
      <c r="N42" s="47">
        <v>62.9</v>
      </c>
      <c r="O42" s="47">
        <v>63.4</v>
      </c>
      <c r="P42" s="47">
        <v>64.099999999999994</v>
      </c>
      <c r="Q42" s="47">
        <v>62.8</v>
      </c>
      <c r="R42" s="47">
        <v>63.9</v>
      </c>
      <c r="S42" s="47">
        <v>65.3</v>
      </c>
      <c r="T42" s="47">
        <v>63.2</v>
      </c>
      <c r="U42" s="47">
        <v>65.400000000000006</v>
      </c>
      <c r="V42" s="49">
        <f t="shared" ref="V42:V73" si="9">AVERAGE(J42:U42)</f>
        <v>63.841666666666669</v>
      </c>
      <c r="W42" s="48">
        <f t="shared" ref="W42:W73" si="10">STDEV(J42:U42)/SQRT(COUNT(J42:U42))</f>
        <v>0.40008679613859377</v>
      </c>
      <c r="X42" s="47">
        <f t="shared" ref="X42:X73" si="11">MIN(J42:U42)</f>
        <v>61.5</v>
      </c>
      <c r="Y42" s="46">
        <f t="shared" ref="Y42:Y73" si="12">QUARTILE(J42:U42,1)</f>
        <v>62.875</v>
      </c>
      <c r="Z42" s="47">
        <f t="shared" ref="Z42:Z73" si="13">MEDIAN(J42:U42)</f>
        <v>63.65</v>
      </c>
      <c r="AA42" s="46">
        <f t="shared" ref="AA42:AA73" si="14">QUARTILE(J42:U42,3)</f>
        <v>65.3</v>
      </c>
      <c r="AB42" s="46">
        <f t="shared" ref="AB42:AB73" si="15">MAX(J42:U42)</f>
        <v>65.900000000000006</v>
      </c>
      <c r="AC42" s="46">
        <f t="shared" ref="AC42:AC73" si="16">SKEW(J42:U42)</f>
        <v>2.3480002044544031E-2</v>
      </c>
      <c r="AD42" s="46">
        <f t="shared" ref="AD42:AD73" si="17">KURT(J42:U42)</f>
        <v>-1.0669894457488898</v>
      </c>
    </row>
    <row r="43" spans="1:32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13.574</v>
      </c>
      <c r="J43" s="39">
        <v>65.900000000000006</v>
      </c>
      <c r="K43" s="39">
        <v>54</v>
      </c>
      <c r="L43" s="39">
        <v>47.7</v>
      </c>
      <c r="M43" s="39">
        <v>63.2</v>
      </c>
      <c r="N43" s="39">
        <v>40.4</v>
      </c>
      <c r="O43" s="39">
        <v>57.9</v>
      </c>
      <c r="P43" s="39">
        <v>53.3</v>
      </c>
      <c r="Q43" s="39">
        <v>61.7</v>
      </c>
      <c r="R43" s="39">
        <v>51.4</v>
      </c>
      <c r="S43" s="39">
        <v>63.1</v>
      </c>
      <c r="T43" s="39">
        <v>42.1</v>
      </c>
      <c r="U43" s="39">
        <v>62.9</v>
      </c>
      <c r="V43" s="5">
        <f t="shared" si="9"/>
        <v>55.29999999999999</v>
      </c>
      <c r="W43" s="4">
        <f t="shared" si="10"/>
        <v>2.4863262420322556</v>
      </c>
      <c r="X43" s="2">
        <f t="shared" si="11"/>
        <v>40.4</v>
      </c>
      <c r="Y43" s="3">
        <f t="shared" si="12"/>
        <v>50.475000000000001</v>
      </c>
      <c r="Z43" s="2">
        <f t="shared" si="13"/>
        <v>55.95</v>
      </c>
      <c r="AA43" s="3">
        <f t="shared" si="14"/>
        <v>62.95</v>
      </c>
      <c r="AB43" s="3">
        <f t="shared" si="15"/>
        <v>65.900000000000006</v>
      </c>
      <c r="AC43" s="3">
        <f t="shared" si="16"/>
        <v>-0.55305396602798162</v>
      </c>
      <c r="AD43" s="3">
        <f t="shared" si="17"/>
        <v>-0.92601566488850651</v>
      </c>
    </row>
    <row r="44" spans="1:32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13.563000000000001</v>
      </c>
      <c r="J44" s="47">
        <v>43.8</v>
      </c>
      <c r="K44" s="47">
        <v>44.3</v>
      </c>
      <c r="L44" s="47">
        <v>38.9</v>
      </c>
      <c r="M44" s="47">
        <v>43.9</v>
      </c>
      <c r="N44" s="47">
        <v>42.1</v>
      </c>
      <c r="O44" s="47">
        <v>40.4</v>
      </c>
      <c r="P44" s="47">
        <v>43.8</v>
      </c>
      <c r="Q44" s="47">
        <v>46</v>
      </c>
      <c r="R44" s="47">
        <v>45.4</v>
      </c>
      <c r="S44" s="47">
        <v>39.200000000000003</v>
      </c>
      <c r="T44" s="47">
        <v>44.9</v>
      </c>
      <c r="U44" s="47">
        <v>40.6</v>
      </c>
      <c r="V44" s="49">
        <f t="shared" si="9"/>
        <v>42.774999999999999</v>
      </c>
      <c r="W44" s="48">
        <f t="shared" si="10"/>
        <v>0.70776269349481113</v>
      </c>
      <c r="X44" s="47">
        <f t="shared" si="11"/>
        <v>38.9</v>
      </c>
      <c r="Y44" s="46">
        <f t="shared" si="12"/>
        <v>40.549999999999997</v>
      </c>
      <c r="Z44" s="47">
        <f t="shared" si="13"/>
        <v>43.8</v>
      </c>
      <c r="AA44" s="46">
        <f t="shared" si="14"/>
        <v>44.449999999999996</v>
      </c>
      <c r="AB44" s="46">
        <f t="shared" si="15"/>
        <v>46</v>
      </c>
      <c r="AC44" s="46">
        <f t="shared" si="16"/>
        <v>-0.44056894077228648</v>
      </c>
      <c r="AD44" s="46">
        <f t="shared" si="17"/>
        <v>-1.2925986488650234</v>
      </c>
    </row>
    <row r="45" spans="1:32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13.54</v>
      </c>
      <c r="J45" s="39">
        <v>63</v>
      </c>
      <c r="K45" s="39">
        <v>38.299999999999997</v>
      </c>
      <c r="L45" s="39">
        <v>48.6</v>
      </c>
      <c r="M45" s="39">
        <v>56.8</v>
      </c>
      <c r="N45" s="39">
        <v>38.200000000000003</v>
      </c>
      <c r="O45" s="39">
        <v>50.8</v>
      </c>
      <c r="P45" s="39">
        <v>45</v>
      </c>
      <c r="Q45" s="39">
        <v>57.4</v>
      </c>
      <c r="R45" s="39">
        <v>39.299999999999997</v>
      </c>
      <c r="S45" s="39">
        <v>54.2</v>
      </c>
      <c r="T45" s="39">
        <v>36.200000000000003</v>
      </c>
      <c r="U45" s="39">
        <v>59.1</v>
      </c>
      <c r="V45" s="5">
        <f t="shared" si="9"/>
        <v>48.908333333333331</v>
      </c>
      <c r="W45" s="4">
        <f t="shared" si="10"/>
        <v>2.7035458852283929</v>
      </c>
      <c r="X45" s="2">
        <f t="shared" si="11"/>
        <v>36.200000000000003</v>
      </c>
      <c r="Y45" s="3">
        <f t="shared" si="12"/>
        <v>39.049999999999997</v>
      </c>
      <c r="Z45" s="2">
        <f t="shared" si="13"/>
        <v>49.7</v>
      </c>
      <c r="AA45" s="3">
        <f t="shared" si="14"/>
        <v>56.949999999999996</v>
      </c>
      <c r="AB45" s="3">
        <f t="shared" si="15"/>
        <v>63</v>
      </c>
      <c r="AC45" s="3">
        <f t="shared" si="16"/>
        <v>-4.0547486178028808E-2</v>
      </c>
      <c r="AD45" s="3">
        <f t="shared" si="17"/>
        <v>-1.5600475178394815</v>
      </c>
    </row>
    <row r="46" spans="1:32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13.528</v>
      </c>
      <c r="J46" s="47">
        <v>63.8</v>
      </c>
      <c r="K46" s="47">
        <v>66.5</v>
      </c>
      <c r="L46" s="47">
        <v>64.2</v>
      </c>
      <c r="M46" s="47">
        <v>65.400000000000006</v>
      </c>
      <c r="N46" s="47">
        <v>64.8</v>
      </c>
      <c r="O46" s="47">
        <v>65.5</v>
      </c>
      <c r="P46" s="47">
        <v>66.8</v>
      </c>
      <c r="Q46" s="47">
        <v>63.7</v>
      </c>
      <c r="R46" s="47">
        <v>65.8</v>
      </c>
      <c r="S46" s="47">
        <v>64.7</v>
      </c>
      <c r="T46" s="47">
        <v>66.900000000000006</v>
      </c>
      <c r="U46" s="47">
        <v>63.3</v>
      </c>
      <c r="V46" s="49">
        <f t="shared" si="9"/>
        <v>65.11666666666666</v>
      </c>
      <c r="W46" s="48">
        <f t="shared" si="10"/>
        <v>0.35650520276141795</v>
      </c>
      <c r="X46" s="47">
        <f t="shared" si="11"/>
        <v>63.3</v>
      </c>
      <c r="Y46" s="46">
        <f t="shared" si="12"/>
        <v>64.099999999999994</v>
      </c>
      <c r="Z46" s="47">
        <f t="shared" si="13"/>
        <v>65.099999999999994</v>
      </c>
      <c r="AA46" s="46">
        <f t="shared" si="14"/>
        <v>65.974999999999994</v>
      </c>
      <c r="AB46" s="46">
        <f t="shared" si="15"/>
        <v>66.900000000000006</v>
      </c>
      <c r="AC46" s="46">
        <f t="shared" si="16"/>
        <v>8.6363270735869399E-2</v>
      </c>
      <c r="AD46" s="46">
        <f t="shared" si="17"/>
        <v>-1.274652992613142</v>
      </c>
    </row>
    <row r="47" spans="1:32" ht="13.5" thickBot="1" x14ac:dyDescent="0.25">
      <c r="A47" s="67">
        <v>908</v>
      </c>
      <c r="B47" s="67" t="s">
        <v>75</v>
      </c>
      <c r="C47" s="67">
        <v>21</v>
      </c>
      <c r="D47" s="67">
        <v>3</v>
      </c>
      <c r="E47" s="67">
        <v>2</v>
      </c>
      <c r="F47" s="67">
        <v>2</v>
      </c>
      <c r="G47" s="67">
        <v>2</v>
      </c>
      <c r="H47" s="67">
        <v>1</v>
      </c>
      <c r="I47" s="64">
        <v>13.505000000000001</v>
      </c>
      <c r="J47" s="66">
        <v>65.5</v>
      </c>
      <c r="K47" s="66">
        <v>40.6</v>
      </c>
      <c r="L47" s="66">
        <v>62.2</v>
      </c>
      <c r="M47" s="66">
        <v>49.2</v>
      </c>
      <c r="N47" s="66">
        <v>63.2</v>
      </c>
      <c r="O47" s="66">
        <v>38.799999999999997</v>
      </c>
      <c r="P47" s="66">
        <v>67.099999999999994</v>
      </c>
      <c r="Q47" s="66">
        <v>39.6</v>
      </c>
      <c r="R47" s="66">
        <v>61.7</v>
      </c>
      <c r="S47" s="66">
        <v>44.2</v>
      </c>
      <c r="T47" s="66">
        <v>63.8</v>
      </c>
      <c r="U47" s="66">
        <v>50</v>
      </c>
      <c r="V47" s="65">
        <f t="shared" si="9"/>
        <v>53.824999999999996</v>
      </c>
      <c r="W47" s="64">
        <f t="shared" si="10"/>
        <v>3.2142468131364117</v>
      </c>
      <c r="X47" s="63">
        <f t="shared" si="11"/>
        <v>38.799999999999997</v>
      </c>
      <c r="Y47" s="62">
        <f t="shared" si="12"/>
        <v>43.300000000000004</v>
      </c>
      <c r="Z47" s="63">
        <f t="shared" si="13"/>
        <v>55.85</v>
      </c>
      <c r="AA47" s="62">
        <f t="shared" si="14"/>
        <v>63.35</v>
      </c>
      <c r="AB47" s="62">
        <f t="shared" si="15"/>
        <v>67.099999999999994</v>
      </c>
      <c r="AC47" s="62">
        <f t="shared" si="16"/>
        <v>-0.22182299562018967</v>
      </c>
      <c r="AD47" s="62">
        <f t="shared" si="17"/>
        <v>-1.9031788610250873</v>
      </c>
    </row>
    <row r="48" spans="1:32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13.276999999999999</v>
      </c>
      <c r="J48" s="39">
        <v>27.8</v>
      </c>
      <c r="K48" s="39">
        <v>26.7</v>
      </c>
      <c r="L48" s="39">
        <v>26.9</v>
      </c>
      <c r="M48" s="39">
        <v>30</v>
      </c>
      <c r="N48" s="39">
        <v>27.5</v>
      </c>
      <c r="O48" s="39">
        <v>27.7</v>
      </c>
      <c r="P48" s="39">
        <v>28.3</v>
      </c>
      <c r="Q48" s="39">
        <v>32.299999999999997</v>
      </c>
      <c r="R48" s="39">
        <v>29.2</v>
      </c>
      <c r="S48" s="39">
        <v>29.3</v>
      </c>
      <c r="T48" s="39">
        <v>30.8</v>
      </c>
      <c r="U48" s="39">
        <v>30.2</v>
      </c>
      <c r="V48" s="5">
        <f t="shared" si="9"/>
        <v>28.891666666666666</v>
      </c>
      <c r="W48" s="4">
        <f t="shared" si="10"/>
        <v>0.49335867052052279</v>
      </c>
      <c r="X48" s="2">
        <f t="shared" si="11"/>
        <v>26.7</v>
      </c>
      <c r="Y48" s="3">
        <f t="shared" si="12"/>
        <v>27.65</v>
      </c>
      <c r="Z48" s="2">
        <f t="shared" si="13"/>
        <v>28.75</v>
      </c>
      <c r="AA48" s="3">
        <f t="shared" si="14"/>
        <v>30.05</v>
      </c>
      <c r="AB48" s="3">
        <f t="shared" si="15"/>
        <v>32.299999999999997</v>
      </c>
      <c r="AC48" s="3">
        <f t="shared" si="16"/>
        <v>0.56641381634044907</v>
      </c>
      <c r="AD48" s="3">
        <f t="shared" si="17"/>
        <v>-0.36133565273760304</v>
      </c>
      <c r="AF48" s="60">
        <f t="shared" ref="AF48:AF81" si="18">AVERAGE(J48-K48,L48-M48,N48-O48,P48-Q48,R48-S48,T48-U48)</f>
        <v>-0.94999999999999929</v>
      </c>
    </row>
    <row r="49" spans="1:32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13.254</v>
      </c>
      <c r="J49" s="39">
        <v>26.1</v>
      </c>
      <c r="K49" s="39">
        <v>31.6</v>
      </c>
      <c r="L49" s="39">
        <v>28.6</v>
      </c>
      <c r="M49" s="39">
        <v>30.7</v>
      </c>
      <c r="N49" s="39">
        <v>29.6</v>
      </c>
      <c r="O49" s="39">
        <v>28.8</v>
      </c>
      <c r="P49" s="39">
        <v>26.8</v>
      </c>
      <c r="Q49" s="39">
        <v>28.6</v>
      </c>
      <c r="R49" s="39">
        <v>26.2</v>
      </c>
      <c r="S49" s="39">
        <v>26.6</v>
      </c>
      <c r="T49" s="39">
        <v>27.9</v>
      </c>
      <c r="U49" s="39">
        <v>28.1</v>
      </c>
      <c r="V49" s="5">
        <f t="shared" si="9"/>
        <v>28.300000000000008</v>
      </c>
      <c r="W49" s="4">
        <f t="shared" si="10"/>
        <v>0.50271987500721793</v>
      </c>
      <c r="X49" s="2">
        <f t="shared" si="11"/>
        <v>26.1</v>
      </c>
      <c r="Y49" s="3">
        <f t="shared" si="12"/>
        <v>26.75</v>
      </c>
      <c r="Z49" s="2">
        <f t="shared" si="13"/>
        <v>28.35</v>
      </c>
      <c r="AA49" s="3">
        <f t="shared" si="14"/>
        <v>29</v>
      </c>
      <c r="AB49" s="3">
        <f t="shared" si="15"/>
        <v>31.6</v>
      </c>
      <c r="AC49" s="3">
        <f t="shared" si="16"/>
        <v>0.49300866778358704</v>
      </c>
      <c r="AD49" s="3">
        <f t="shared" si="17"/>
        <v>-0.41801695334381206</v>
      </c>
      <c r="AF49" s="60">
        <f t="shared" si="18"/>
        <v>-1.5333333333333339</v>
      </c>
    </row>
    <row r="50" spans="1:32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13.215999999999999</v>
      </c>
      <c r="J50" s="39">
        <v>26.4</v>
      </c>
      <c r="K50" s="39">
        <v>26.6</v>
      </c>
      <c r="L50" s="39">
        <v>27.9</v>
      </c>
      <c r="M50" s="39">
        <v>26.4</v>
      </c>
      <c r="N50" s="39">
        <v>27.4</v>
      </c>
      <c r="O50" s="39">
        <v>28</v>
      </c>
      <c r="P50" s="39">
        <v>27.5</v>
      </c>
      <c r="Q50" s="39">
        <v>26.9</v>
      </c>
      <c r="R50" s="39">
        <v>27.5</v>
      </c>
      <c r="S50" s="39">
        <v>26.9</v>
      </c>
      <c r="T50" s="39">
        <v>28.1</v>
      </c>
      <c r="U50" s="39">
        <v>27.3</v>
      </c>
      <c r="V50" s="5">
        <f t="shared" si="9"/>
        <v>27.241666666666671</v>
      </c>
      <c r="W50" s="4">
        <f t="shared" si="10"/>
        <v>0.17340543372237355</v>
      </c>
      <c r="X50" s="2">
        <f t="shared" si="11"/>
        <v>26.4</v>
      </c>
      <c r="Y50" s="3">
        <f t="shared" si="12"/>
        <v>26.824999999999999</v>
      </c>
      <c r="Z50" s="2">
        <f t="shared" si="13"/>
        <v>27.35</v>
      </c>
      <c r="AA50" s="3">
        <f t="shared" si="14"/>
        <v>27.6</v>
      </c>
      <c r="AB50" s="3">
        <f t="shared" si="15"/>
        <v>28.1</v>
      </c>
      <c r="AC50" s="3">
        <f t="shared" si="16"/>
        <v>-7.2482466497505921E-2</v>
      </c>
      <c r="AD50" s="3">
        <f t="shared" si="17"/>
        <v>-1.2844611005057693</v>
      </c>
      <c r="AF50" s="60">
        <f t="shared" si="18"/>
        <v>0.4499999999999999</v>
      </c>
    </row>
    <row r="51" spans="1:32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13.193</v>
      </c>
      <c r="J51" s="39">
        <v>33.700000000000003</v>
      </c>
      <c r="K51" s="39">
        <v>34.700000000000003</v>
      </c>
      <c r="L51" s="39">
        <v>34.9</v>
      </c>
      <c r="M51" s="39">
        <v>35.700000000000003</v>
      </c>
      <c r="N51" s="39">
        <v>33.9</v>
      </c>
      <c r="O51" s="39">
        <v>34.200000000000003</v>
      </c>
      <c r="P51" s="39">
        <v>34.6</v>
      </c>
      <c r="Q51" s="39">
        <v>35.299999999999997</v>
      </c>
      <c r="R51" s="39">
        <v>36.4</v>
      </c>
      <c r="S51" s="39">
        <v>36.200000000000003</v>
      </c>
      <c r="T51" s="39">
        <v>34.299999999999997</v>
      </c>
      <c r="U51" s="39">
        <v>35.9</v>
      </c>
      <c r="V51" s="5">
        <f t="shared" si="9"/>
        <v>34.983333333333327</v>
      </c>
      <c r="W51" s="4">
        <f t="shared" si="10"/>
        <v>0.26222628827527239</v>
      </c>
      <c r="X51" s="2">
        <f t="shared" si="11"/>
        <v>33.700000000000003</v>
      </c>
      <c r="Y51" s="3">
        <f t="shared" si="12"/>
        <v>34.274999999999999</v>
      </c>
      <c r="Z51" s="2">
        <f t="shared" si="13"/>
        <v>34.799999999999997</v>
      </c>
      <c r="AA51" s="3">
        <f t="shared" si="14"/>
        <v>35.75</v>
      </c>
      <c r="AB51" s="3">
        <f t="shared" si="15"/>
        <v>36.4</v>
      </c>
      <c r="AC51" s="3">
        <f t="shared" si="16"/>
        <v>0.22557375732030605</v>
      </c>
      <c r="AD51" s="3">
        <f t="shared" si="17"/>
        <v>-1.2766637863635943</v>
      </c>
      <c r="AF51" s="60">
        <f t="shared" si="18"/>
        <v>-0.70000000000000162</v>
      </c>
    </row>
    <row r="52" spans="1:32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13.166</v>
      </c>
      <c r="J52" s="39">
        <v>30.3</v>
      </c>
      <c r="K52" s="39">
        <v>28.1</v>
      </c>
      <c r="L52" s="39">
        <v>29.3</v>
      </c>
      <c r="M52" s="39">
        <v>26.9</v>
      </c>
      <c r="N52" s="39">
        <v>28.8</v>
      </c>
      <c r="O52" s="39">
        <v>29</v>
      </c>
      <c r="P52" s="39">
        <v>28.6</v>
      </c>
      <c r="Q52" s="39">
        <v>29.1</v>
      </c>
      <c r="R52" s="39">
        <v>27.3</v>
      </c>
      <c r="S52" s="39">
        <v>27.2</v>
      </c>
      <c r="T52" s="39">
        <v>26.9</v>
      </c>
      <c r="U52" s="39">
        <v>27.5</v>
      </c>
      <c r="V52" s="5">
        <f t="shared" si="9"/>
        <v>28.249999999999996</v>
      </c>
      <c r="W52" s="4">
        <f t="shared" si="10"/>
        <v>0.31682611615646211</v>
      </c>
      <c r="X52" s="2">
        <f t="shared" si="11"/>
        <v>26.9</v>
      </c>
      <c r="Y52" s="3">
        <f t="shared" si="12"/>
        <v>27.274999999999999</v>
      </c>
      <c r="Z52" s="2">
        <f t="shared" si="13"/>
        <v>28.35</v>
      </c>
      <c r="AA52" s="3">
        <f t="shared" si="14"/>
        <v>29.024999999999999</v>
      </c>
      <c r="AB52" s="3">
        <f t="shared" si="15"/>
        <v>30.3</v>
      </c>
      <c r="AC52" s="3">
        <f t="shared" si="16"/>
        <v>0.30177185434609116</v>
      </c>
      <c r="AD52" s="3">
        <f t="shared" si="17"/>
        <v>-0.90432296190814743</v>
      </c>
      <c r="AF52" s="60">
        <f t="shared" si="18"/>
        <v>0.56666666666666698</v>
      </c>
    </row>
    <row r="53" spans="1:32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13.146000000000001</v>
      </c>
      <c r="J53" s="39">
        <v>33.200000000000003</v>
      </c>
      <c r="K53" s="39">
        <v>32</v>
      </c>
      <c r="L53" s="39">
        <v>30.2</v>
      </c>
      <c r="M53" s="39">
        <v>32</v>
      </c>
      <c r="N53" s="39">
        <v>33.5</v>
      </c>
      <c r="O53" s="39">
        <v>32</v>
      </c>
      <c r="P53" s="39">
        <v>32.1</v>
      </c>
      <c r="Q53" s="39">
        <v>31.3</v>
      </c>
      <c r="R53" s="39">
        <v>32.6</v>
      </c>
      <c r="S53" s="39">
        <v>32.9</v>
      </c>
      <c r="T53" s="39">
        <v>30.6</v>
      </c>
      <c r="U53" s="39">
        <v>31.2</v>
      </c>
      <c r="V53" s="5">
        <f t="shared" si="9"/>
        <v>31.966666666666669</v>
      </c>
      <c r="W53" s="4">
        <f t="shared" si="10"/>
        <v>0.29111419537266614</v>
      </c>
      <c r="X53" s="2">
        <f t="shared" si="11"/>
        <v>30.2</v>
      </c>
      <c r="Y53" s="3">
        <f t="shared" si="12"/>
        <v>31.274999999999999</v>
      </c>
      <c r="Z53" s="2">
        <f t="shared" si="13"/>
        <v>32</v>
      </c>
      <c r="AA53" s="3">
        <f t="shared" si="14"/>
        <v>32.674999999999997</v>
      </c>
      <c r="AB53" s="3">
        <f t="shared" si="15"/>
        <v>33.5</v>
      </c>
      <c r="AC53" s="3">
        <f t="shared" si="16"/>
        <v>-0.24070758322929792</v>
      </c>
      <c r="AD53" s="3">
        <f t="shared" si="17"/>
        <v>-0.59995951250211332</v>
      </c>
      <c r="AF53" s="60">
        <f t="shared" si="18"/>
        <v>0.13333333333333464</v>
      </c>
    </row>
    <row r="54" spans="1:32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13.127000000000001</v>
      </c>
      <c r="J54" s="39">
        <v>34.1</v>
      </c>
      <c r="K54" s="39">
        <v>31.8</v>
      </c>
      <c r="L54" s="39">
        <v>31.1</v>
      </c>
      <c r="M54" s="39">
        <v>33.5</v>
      </c>
      <c r="N54" s="39">
        <v>29.9</v>
      </c>
      <c r="O54" s="39">
        <v>29.9</v>
      </c>
      <c r="P54" s="39">
        <v>28.1</v>
      </c>
      <c r="Q54" s="39">
        <v>30.8</v>
      </c>
      <c r="R54" s="39">
        <v>30.1</v>
      </c>
      <c r="S54" s="39">
        <v>32.6</v>
      </c>
      <c r="T54" s="39">
        <v>34.6</v>
      </c>
      <c r="U54" s="39">
        <v>32.299999999999997</v>
      </c>
      <c r="V54" s="5">
        <f t="shared" si="9"/>
        <v>31.566666666666674</v>
      </c>
      <c r="W54" s="4">
        <f t="shared" si="10"/>
        <v>0.56102359553540604</v>
      </c>
      <c r="X54" s="2">
        <f t="shared" si="11"/>
        <v>28.1</v>
      </c>
      <c r="Y54" s="3">
        <f t="shared" si="12"/>
        <v>30.05</v>
      </c>
      <c r="Z54" s="2">
        <f t="shared" si="13"/>
        <v>31.450000000000003</v>
      </c>
      <c r="AA54" s="3">
        <f t="shared" si="14"/>
        <v>32.825000000000003</v>
      </c>
      <c r="AB54" s="3">
        <f t="shared" si="15"/>
        <v>34.6</v>
      </c>
      <c r="AC54" s="3">
        <f t="shared" si="16"/>
        <v>-2.5605341970891746E-2</v>
      </c>
      <c r="AD54" s="3">
        <f t="shared" si="17"/>
        <v>-0.65183205938623123</v>
      </c>
      <c r="AF54" s="60">
        <f t="shared" si="18"/>
        <v>-0.49999999999999883</v>
      </c>
    </row>
    <row r="55" spans="1:32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13.11</v>
      </c>
      <c r="J55" s="39">
        <v>29.8</v>
      </c>
      <c r="K55" s="39">
        <v>28.5</v>
      </c>
      <c r="L55" s="39">
        <v>27.9</v>
      </c>
      <c r="M55" s="39">
        <v>28.8</v>
      </c>
      <c r="N55" s="39">
        <v>28.7</v>
      </c>
      <c r="O55" s="39">
        <v>28.8</v>
      </c>
      <c r="P55" s="39">
        <v>28.7</v>
      </c>
      <c r="Q55" s="39">
        <v>28.1</v>
      </c>
      <c r="R55" s="39">
        <v>27.9</v>
      </c>
      <c r="S55" s="39">
        <v>29</v>
      </c>
      <c r="T55" s="39">
        <v>29.8</v>
      </c>
      <c r="U55" s="39">
        <v>29.6</v>
      </c>
      <c r="V55" s="5">
        <f t="shared" si="9"/>
        <v>28.8</v>
      </c>
      <c r="W55" s="4">
        <f t="shared" si="10"/>
        <v>0.19266865889711327</v>
      </c>
      <c r="X55" s="2">
        <f t="shared" si="11"/>
        <v>27.9</v>
      </c>
      <c r="Y55" s="3">
        <f t="shared" si="12"/>
        <v>28.4</v>
      </c>
      <c r="Z55" s="2">
        <f t="shared" si="13"/>
        <v>28.75</v>
      </c>
      <c r="AA55" s="3">
        <f t="shared" si="14"/>
        <v>29.15</v>
      </c>
      <c r="AB55" s="3">
        <f t="shared" si="15"/>
        <v>29.8</v>
      </c>
      <c r="AC55" s="3">
        <f t="shared" si="16"/>
        <v>0.25318184439792218</v>
      </c>
      <c r="AD55" s="3">
        <f t="shared" si="17"/>
        <v>-0.87927308066083576</v>
      </c>
      <c r="AF55" s="60">
        <f t="shared" si="18"/>
        <v>-1.1842378929335002E-15</v>
      </c>
    </row>
    <row r="56" spans="1:32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13.305</v>
      </c>
      <c r="J56" s="39">
        <v>29.3</v>
      </c>
      <c r="K56" s="39">
        <v>29</v>
      </c>
      <c r="L56" s="39">
        <v>31.9</v>
      </c>
      <c r="M56" s="39">
        <v>28.2</v>
      </c>
      <c r="N56" s="39">
        <v>28.3</v>
      </c>
      <c r="O56" s="39">
        <v>30.2</v>
      </c>
      <c r="P56" s="39">
        <v>28.8</v>
      </c>
      <c r="Q56" s="39">
        <v>31.6</v>
      </c>
      <c r="R56" s="39">
        <v>29.6</v>
      </c>
      <c r="S56" s="39">
        <v>27.8</v>
      </c>
      <c r="T56" s="39">
        <v>29.1</v>
      </c>
      <c r="U56" s="39">
        <v>27.5</v>
      </c>
      <c r="V56" s="5">
        <f t="shared" si="9"/>
        <v>29.275000000000002</v>
      </c>
      <c r="W56" s="4">
        <f t="shared" si="10"/>
        <v>0.39907563648557104</v>
      </c>
      <c r="X56" s="2">
        <f t="shared" si="11"/>
        <v>27.5</v>
      </c>
      <c r="Y56" s="3">
        <f t="shared" si="12"/>
        <v>28.274999999999999</v>
      </c>
      <c r="Z56" s="2">
        <f t="shared" si="13"/>
        <v>29.05</v>
      </c>
      <c r="AA56" s="3">
        <f t="shared" si="14"/>
        <v>29.75</v>
      </c>
      <c r="AB56" s="3">
        <f t="shared" si="15"/>
        <v>31.9</v>
      </c>
      <c r="AC56" s="3">
        <f t="shared" si="16"/>
        <v>0.8414144010196265</v>
      </c>
      <c r="AD56" s="3">
        <f t="shared" si="17"/>
        <v>3.9379504382043962E-2</v>
      </c>
      <c r="AF56" s="60">
        <f t="shared" si="18"/>
        <v>0.45000000000000046</v>
      </c>
    </row>
    <row r="57" spans="1:32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13.326000000000001</v>
      </c>
      <c r="J57" s="39">
        <v>32.9</v>
      </c>
      <c r="K57" s="39">
        <v>34.299999999999997</v>
      </c>
      <c r="L57" s="39">
        <v>32.5</v>
      </c>
      <c r="M57" s="39">
        <v>33.9</v>
      </c>
      <c r="N57" s="39">
        <v>33.200000000000003</v>
      </c>
      <c r="O57" s="39">
        <v>37.200000000000003</v>
      </c>
      <c r="P57" s="39">
        <v>33.1</v>
      </c>
      <c r="Q57" s="39">
        <v>33.1</v>
      </c>
      <c r="R57" s="39">
        <v>36.4</v>
      </c>
      <c r="S57" s="39">
        <v>36.700000000000003</v>
      </c>
      <c r="T57" s="39">
        <v>34.700000000000003</v>
      </c>
      <c r="U57" s="39">
        <v>34.799999999999997</v>
      </c>
      <c r="V57" s="5">
        <f t="shared" si="9"/>
        <v>34.4</v>
      </c>
      <c r="W57" s="4">
        <f t="shared" si="10"/>
        <v>0.46319051646752735</v>
      </c>
      <c r="X57" s="2">
        <f t="shared" si="11"/>
        <v>32.5</v>
      </c>
      <c r="Y57" s="3">
        <f t="shared" si="12"/>
        <v>33.1</v>
      </c>
      <c r="Z57" s="2">
        <f t="shared" si="13"/>
        <v>34.099999999999994</v>
      </c>
      <c r="AA57" s="3">
        <f t="shared" si="14"/>
        <v>35.199999999999996</v>
      </c>
      <c r="AB57" s="3">
        <f t="shared" si="15"/>
        <v>37.200000000000003</v>
      </c>
      <c r="AC57" s="3">
        <f t="shared" si="16"/>
        <v>0.67942847167365483</v>
      </c>
      <c r="AD57" s="3">
        <f t="shared" si="17"/>
        <v>-0.90890269398958878</v>
      </c>
      <c r="AF57" s="60">
        <f t="shared" si="18"/>
        <v>-1.1999999999999993</v>
      </c>
    </row>
    <row r="58" spans="1:32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13.347</v>
      </c>
      <c r="J58" s="39">
        <v>27.6</v>
      </c>
      <c r="K58" s="39">
        <v>27.3</v>
      </c>
      <c r="L58" s="39">
        <v>25.9</v>
      </c>
      <c r="M58" s="39">
        <v>29.6</v>
      </c>
      <c r="N58" s="39">
        <v>25.9</v>
      </c>
      <c r="O58" s="39">
        <v>26.1</v>
      </c>
      <c r="P58" s="39">
        <v>25</v>
      </c>
      <c r="Q58" s="39">
        <v>29.5</v>
      </c>
      <c r="R58" s="39">
        <v>29.1</v>
      </c>
      <c r="S58" s="39">
        <v>26.7</v>
      </c>
      <c r="T58" s="39">
        <v>31.3</v>
      </c>
      <c r="U58" s="39">
        <v>26.6</v>
      </c>
      <c r="V58" s="5">
        <f t="shared" si="9"/>
        <v>27.55</v>
      </c>
      <c r="W58" s="4">
        <f t="shared" si="10"/>
        <v>0.55192500588504989</v>
      </c>
      <c r="X58" s="2">
        <f t="shared" si="11"/>
        <v>25</v>
      </c>
      <c r="Y58" s="3">
        <f t="shared" si="12"/>
        <v>26.05</v>
      </c>
      <c r="Z58" s="2">
        <f t="shared" si="13"/>
        <v>27</v>
      </c>
      <c r="AA58" s="3">
        <f t="shared" si="14"/>
        <v>29.200000000000003</v>
      </c>
      <c r="AB58" s="3">
        <f t="shared" si="15"/>
        <v>31.3</v>
      </c>
      <c r="AC58" s="3">
        <f t="shared" si="16"/>
        <v>0.66162081330657063</v>
      </c>
      <c r="AD58" s="3">
        <f t="shared" si="17"/>
        <v>-0.51310833658401034</v>
      </c>
      <c r="AF58" s="60">
        <f t="shared" si="18"/>
        <v>-0.16666666666666727</v>
      </c>
    </row>
    <row r="59" spans="1:32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13.369</v>
      </c>
      <c r="J59" s="39">
        <v>27</v>
      </c>
      <c r="K59" s="39">
        <v>27.1</v>
      </c>
      <c r="L59" s="39">
        <v>32.1</v>
      </c>
      <c r="M59" s="39">
        <v>25.7</v>
      </c>
      <c r="N59" s="39">
        <v>27.9</v>
      </c>
      <c r="O59" s="39">
        <v>28.2</v>
      </c>
      <c r="P59" s="39">
        <v>29.6</v>
      </c>
      <c r="Q59" s="39">
        <v>27.5</v>
      </c>
      <c r="R59" s="39">
        <v>31.4</v>
      </c>
      <c r="S59" s="39">
        <v>28.5</v>
      </c>
      <c r="T59" s="39">
        <v>28.4</v>
      </c>
      <c r="U59" s="39">
        <v>29.6</v>
      </c>
      <c r="V59" s="5">
        <f t="shared" si="9"/>
        <v>28.583333333333332</v>
      </c>
      <c r="W59" s="4">
        <f t="shared" si="10"/>
        <v>0.53098441073579983</v>
      </c>
      <c r="X59" s="2">
        <f t="shared" si="11"/>
        <v>25.7</v>
      </c>
      <c r="Y59" s="3">
        <f t="shared" si="12"/>
        <v>27.4</v>
      </c>
      <c r="Z59" s="2">
        <f t="shared" si="13"/>
        <v>28.299999999999997</v>
      </c>
      <c r="AA59" s="3">
        <f t="shared" si="14"/>
        <v>29.6</v>
      </c>
      <c r="AB59" s="3">
        <f t="shared" si="15"/>
        <v>32.1</v>
      </c>
      <c r="AC59" s="3">
        <f t="shared" si="16"/>
        <v>0.61495306255125359</v>
      </c>
      <c r="AD59" s="3">
        <f t="shared" si="17"/>
        <v>9.4746152098287517E-2</v>
      </c>
      <c r="AF59" s="60">
        <f t="shared" si="18"/>
        <v>1.6333333333333329</v>
      </c>
    </row>
    <row r="60" spans="1:32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13.39</v>
      </c>
      <c r="J60" s="39">
        <v>27.6</v>
      </c>
      <c r="K60" s="39">
        <v>29.1</v>
      </c>
      <c r="L60" s="39">
        <v>29.5</v>
      </c>
      <c r="M60" s="39">
        <v>25.6</v>
      </c>
      <c r="N60" s="39">
        <v>26.4</v>
      </c>
      <c r="O60" s="39">
        <v>28.7</v>
      </c>
      <c r="P60" s="39">
        <v>28.6</v>
      </c>
      <c r="Q60" s="39">
        <v>28.6</v>
      </c>
      <c r="R60" s="39">
        <v>30.1</v>
      </c>
      <c r="S60" s="39">
        <v>27.5</v>
      </c>
      <c r="T60" s="39">
        <v>28.5</v>
      </c>
      <c r="U60" s="39">
        <v>27</v>
      </c>
      <c r="V60" s="5">
        <f t="shared" si="9"/>
        <v>28.099999999999998</v>
      </c>
      <c r="W60" s="4">
        <f t="shared" si="10"/>
        <v>0.37879393934545535</v>
      </c>
      <c r="X60" s="2">
        <f t="shared" si="11"/>
        <v>25.6</v>
      </c>
      <c r="Y60" s="3">
        <f t="shared" si="12"/>
        <v>27.375</v>
      </c>
      <c r="Z60" s="2">
        <f t="shared" si="13"/>
        <v>28.55</v>
      </c>
      <c r="AA60" s="3">
        <f t="shared" si="14"/>
        <v>28.8</v>
      </c>
      <c r="AB60" s="3">
        <f t="shared" si="15"/>
        <v>30.1</v>
      </c>
      <c r="AC60" s="3">
        <f t="shared" si="16"/>
        <v>-0.47975466839400799</v>
      </c>
      <c r="AD60" s="3">
        <f t="shared" si="17"/>
        <v>-0.3024973730935705</v>
      </c>
      <c r="AF60" s="60">
        <f t="shared" si="18"/>
        <v>0.69999999999999984</v>
      </c>
    </row>
    <row r="61" spans="1:32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13.419</v>
      </c>
      <c r="J61" s="39">
        <v>32.299999999999997</v>
      </c>
      <c r="K61" s="39">
        <v>32.799999999999997</v>
      </c>
      <c r="L61" s="39">
        <v>31.9</v>
      </c>
      <c r="M61" s="39">
        <v>31.4</v>
      </c>
      <c r="N61" s="39">
        <v>31.9</v>
      </c>
      <c r="O61" s="39">
        <v>31.7</v>
      </c>
      <c r="P61" s="39">
        <v>30.4</v>
      </c>
      <c r="Q61" s="39">
        <v>31.8</v>
      </c>
      <c r="R61" s="39">
        <v>33.6</v>
      </c>
      <c r="S61" s="39">
        <v>30</v>
      </c>
      <c r="T61" s="39">
        <v>31.7</v>
      </c>
      <c r="U61" s="39">
        <v>31.8</v>
      </c>
      <c r="V61" s="5">
        <f t="shared" si="9"/>
        <v>31.775000000000002</v>
      </c>
      <c r="W61" s="4">
        <f t="shared" si="10"/>
        <v>0.273619122581782</v>
      </c>
      <c r="X61" s="2">
        <f t="shared" si="11"/>
        <v>30</v>
      </c>
      <c r="Y61" s="3">
        <f t="shared" si="12"/>
        <v>31.625</v>
      </c>
      <c r="Z61" s="2">
        <f t="shared" si="13"/>
        <v>31.8</v>
      </c>
      <c r="AA61" s="3">
        <f t="shared" si="14"/>
        <v>32</v>
      </c>
      <c r="AB61" s="3">
        <f t="shared" si="15"/>
        <v>33.6</v>
      </c>
      <c r="AC61" s="3">
        <f t="shared" si="16"/>
        <v>-0.1206300018671987</v>
      </c>
      <c r="AD61" s="3">
        <f t="shared" si="17"/>
        <v>1.0023807053905456</v>
      </c>
      <c r="AF61" s="60">
        <f t="shared" si="18"/>
        <v>0.38333333333333286</v>
      </c>
    </row>
    <row r="62" spans="1:32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13.442</v>
      </c>
      <c r="J62" s="39">
        <v>32.5</v>
      </c>
      <c r="K62" s="39">
        <v>32.200000000000003</v>
      </c>
      <c r="L62" s="39">
        <v>31.7</v>
      </c>
      <c r="M62" s="39">
        <v>28.7</v>
      </c>
      <c r="N62" s="39">
        <v>30.3</v>
      </c>
      <c r="O62" s="39">
        <v>30</v>
      </c>
      <c r="P62" s="39">
        <v>33</v>
      </c>
      <c r="Q62" s="39">
        <v>32.1</v>
      </c>
      <c r="R62" s="39">
        <v>28.4</v>
      </c>
      <c r="S62" s="39">
        <v>32.1</v>
      </c>
      <c r="T62" s="39">
        <v>29</v>
      </c>
      <c r="U62" s="39">
        <v>28.9</v>
      </c>
      <c r="V62" s="5">
        <f t="shared" si="9"/>
        <v>30.741666666666664</v>
      </c>
      <c r="W62" s="4">
        <f t="shared" si="10"/>
        <v>0.49043245192278023</v>
      </c>
      <c r="X62" s="2">
        <f t="shared" si="11"/>
        <v>28.4</v>
      </c>
      <c r="Y62" s="3">
        <f t="shared" si="12"/>
        <v>28.975000000000001</v>
      </c>
      <c r="Z62" s="2">
        <f t="shared" si="13"/>
        <v>31</v>
      </c>
      <c r="AA62" s="3">
        <f t="shared" si="14"/>
        <v>32.125</v>
      </c>
      <c r="AB62" s="3">
        <f t="shared" si="15"/>
        <v>33</v>
      </c>
      <c r="AC62" s="3">
        <f t="shared" si="16"/>
        <v>-0.16522056014525138</v>
      </c>
      <c r="AD62" s="3">
        <f t="shared" si="17"/>
        <v>-1.8347501263596153</v>
      </c>
      <c r="AF62" s="60">
        <f t="shared" si="18"/>
        <v>0.14999999999999916</v>
      </c>
    </row>
    <row r="63" spans="1:32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13.465</v>
      </c>
      <c r="J63" s="39">
        <v>30.4</v>
      </c>
      <c r="K63" s="39">
        <v>31.2</v>
      </c>
      <c r="L63" s="39">
        <v>32.299999999999997</v>
      </c>
      <c r="M63" s="39">
        <v>30.6</v>
      </c>
      <c r="N63" s="39">
        <v>29.5</v>
      </c>
      <c r="O63" s="39">
        <v>30.7</v>
      </c>
      <c r="P63" s="39">
        <v>29.9</v>
      </c>
      <c r="Q63" s="39">
        <v>31.8</v>
      </c>
      <c r="R63" s="39">
        <v>29.8</v>
      </c>
      <c r="S63" s="39">
        <v>30.3</v>
      </c>
      <c r="T63" s="39">
        <v>29.6</v>
      </c>
      <c r="U63" s="39">
        <v>32.1</v>
      </c>
      <c r="V63" s="5">
        <f t="shared" si="9"/>
        <v>30.683333333333337</v>
      </c>
      <c r="W63" s="4">
        <f t="shared" si="10"/>
        <v>0.27983581044619854</v>
      </c>
      <c r="X63" s="2">
        <f t="shared" si="11"/>
        <v>29.5</v>
      </c>
      <c r="Y63" s="3">
        <f t="shared" si="12"/>
        <v>29.875</v>
      </c>
      <c r="Z63" s="2">
        <f t="shared" si="13"/>
        <v>30.5</v>
      </c>
      <c r="AA63" s="3">
        <f t="shared" si="14"/>
        <v>31.35</v>
      </c>
      <c r="AB63" s="3">
        <f t="shared" si="15"/>
        <v>32.299999999999997</v>
      </c>
      <c r="AC63" s="3">
        <f t="shared" si="16"/>
        <v>0.52943959936735696</v>
      </c>
      <c r="AD63" s="3">
        <f t="shared" si="17"/>
        <v>-1.0288797831909031</v>
      </c>
      <c r="AF63" s="60">
        <f t="shared" si="18"/>
        <v>-0.8666666666666677</v>
      </c>
    </row>
    <row r="64" spans="1:32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13.657</v>
      </c>
      <c r="J64" s="39">
        <v>33.200000000000003</v>
      </c>
      <c r="K64" s="39">
        <v>34.1</v>
      </c>
      <c r="L64" s="39">
        <v>34.9</v>
      </c>
      <c r="M64" s="39">
        <v>34.4</v>
      </c>
      <c r="N64" s="39">
        <v>35.9</v>
      </c>
      <c r="O64" s="39">
        <v>33.5</v>
      </c>
      <c r="P64" s="39">
        <v>32.4</v>
      </c>
      <c r="Q64" s="39">
        <v>33.4</v>
      </c>
      <c r="R64" s="39">
        <v>34.200000000000003</v>
      </c>
      <c r="S64" s="39">
        <v>33.700000000000003</v>
      </c>
      <c r="T64" s="39">
        <v>32.9</v>
      </c>
      <c r="U64" s="39">
        <v>33.6</v>
      </c>
      <c r="V64" s="5">
        <f t="shared" si="9"/>
        <v>33.85</v>
      </c>
      <c r="W64" s="4">
        <f t="shared" si="10"/>
        <v>0.27010099121355591</v>
      </c>
      <c r="X64" s="2">
        <f t="shared" si="11"/>
        <v>32.4</v>
      </c>
      <c r="Y64" s="3">
        <f t="shared" si="12"/>
        <v>33.35</v>
      </c>
      <c r="Z64" s="2">
        <f t="shared" si="13"/>
        <v>33.650000000000006</v>
      </c>
      <c r="AA64" s="3">
        <f t="shared" si="14"/>
        <v>34.25</v>
      </c>
      <c r="AB64" s="3">
        <f t="shared" si="15"/>
        <v>35.9</v>
      </c>
      <c r="AC64" s="3">
        <f t="shared" si="16"/>
        <v>0.75433003908101992</v>
      </c>
      <c r="AD64" s="3">
        <f t="shared" si="17"/>
        <v>0.99581202304583361</v>
      </c>
      <c r="AF64" s="60">
        <f t="shared" si="18"/>
        <v>0.13333333333333286</v>
      </c>
    </row>
    <row r="65" spans="1:32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13.680999999999999</v>
      </c>
      <c r="J65" s="39">
        <v>28.7</v>
      </c>
      <c r="K65" s="39">
        <v>30.9</v>
      </c>
      <c r="L65" s="39">
        <v>28.3</v>
      </c>
      <c r="M65" s="39">
        <v>31.1</v>
      </c>
      <c r="N65" s="39">
        <v>28.2</v>
      </c>
      <c r="O65" s="39">
        <v>28.2</v>
      </c>
      <c r="P65" s="39">
        <v>27.2</v>
      </c>
      <c r="Q65" s="39">
        <v>26.9</v>
      </c>
      <c r="R65" s="39">
        <v>27.6</v>
      </c>
      <c r="S65" s="39">
        <v>28.4</v>
      </c>
      <c r="T65" s="39">
        <v>27.4</v>
      </c>
      <c r="U65" s="39">
        <v>28</v>
      </c>
      <c r="V65" s="5">
        <f t="shared" si="9"/>
        <v>28.408333333333328</v>
      </c>
      <c r="W65" s="4">
        <f t="shared" si="10"/>
        <v>0.38147606726895722</v>
      </c>
      <c r="X65" s="2">
        <f t="shared" si="11"/>
        <v>26.9</v>
      </c>
      <c r="Y65" s="3">
        <f t="shared" si="12"/>
        <v>27.55</v>
      </c>
      <c r="Z65" s="2">
        <f t="shared" si="13"/>
        <v>28.2</v>
      </c>
      <c r="AA65" s="3">
        <f t="shared" si="14"/>
        <v>28.474999999999998</v>
      </c>
      <c r="AB65" s="3">
        <f t="shared" si="15"/>
        <v>31.1</v>
      </c>
      <c r="AC65" s="3">
        <f t="shared" si="16"/>
        <v>1.33115426469427</v>
      </c>
      <c r="AD65" s="3">
        <f t="shared" si="17"/>
        <v>1.125766286905149</v>
      </c>
      <c r="AF65" s="60">
        <f t="shared" si="18"/>
        <v>-1.0166666666666664</v>
      </c>
    </row>
    <row r="66" spans="1:32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13.706</v>
      </c>
      <c r="J66" s="39">
        <v>30.9</v>
      </c>
      <c r="K66" s="39">
        <v>30</v>
      </c>
      <c r="L66" s="39">
        <v>28.3</v>
      </c>
      <c r="M66" s="39">
        <v>29.2</v>
      </c>
      <c r="N66" s="39">
        <v>28.1</v>
      </c>
      <c r="O66" s="39">
        <v>28.1</v>
      </c>
      <c r="P66" s="39">
        <v>28.4</v>
      </c>
      <c r="Q66" s="39">
        <v>29.6</v>
      </c>
      <c r="R66" s="39">
        <v>29.4</v>
      </c>
      <c r="S66" s="39">
        <v>30.1</v>
      </c>
      <c r="T66" s="39">
        <v>29.8</v>
      </c>
      <c r="U66" s="39">
        <v>29.5</v>
      </c>
      <c r="V66" s="5">
        <f t="shared" si="9"/>
        <v>29.283333333333335</v>
      </c>
      <c r="W66" s="4">
        <f t="shared" si="10"/>
        <v>0.25785635340223623</v>
      </c>
      <c r="X66" s="2">
        <f t="shared" si="11"/>
        <v>28.1</v>
      </c>
      <c r="Y66" s="3">
        <f t="shared" si="12"/>
        <v>28.375</v>
      </c>
      <c r="Z66" s="2">
        <f t="shared" si="13"/>
        <v>29.45</v>
      </c>
      <c r="AA66" s="3">
        <f t="shared" si="14"/>
        <v>29.85</v>
      </c>
      <c r="AB66" s="3">
        <f t="shared" si="15"/>
        <v>30.9</v>
      </c>
      <c r="AC66" s="3">
        <f t="shared" si="16"/>
        <v>5.585265481765838E-2</v>
      </c>
      <c r="AD66" s="3">
        <f t="shared" si="17"/>
        <v>-0.79357969180501842</v>
      </c>
      <c r="AF66" s="60">
        <f t="shared" si="18"/>
        <v>-0.2666666666666675</v>
      </c>
    </row>
    <row r="67" spans="1:32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13.727</v>
      </c>
      <c r="J67" s="39">
        <v>26.3</v>
      </c>
      <c r="K67" s="39">
        <v>27.5</v>
      </c>
      <c r="L67" s="39">
        <v>27.1</v>
      </c>
      <c r="M67" s="39">
        <v>27.5</v>
      </c>
      <c r="N67" s="39">
        <v>27</v>
      </c>
      <c r="O67" s="39">
        <v>26.8</v>
      </c>
      <c r="P67" s="39">
        <v>28.6</v>
      </c>
      <c r="Q67" s="39">
        <v>28.6</v>
      </c>
      <c r="R67" s="39">
        <v>27.9</v>
      </c>
      <c r="S67" s="39">
        <v>27.8</v>
      </c>
      <c r="T67" s="39">
        <v>28.8</v>
      </c>
      <c r="U67" s="39">
        <v>29</v>
      </c>
      <c r="V67" s="5">
        <f t="shared" si="9"/>
        <v>27.741666666666671</v>
      </c>
      <c r="W67" s="4">
        <f t="shared" si="10"/>
        <v>0.24998737341851265</v>
      </c>
      <c r="X67" s="2">
        <f t="shared" si="11"/>
        <v>26.3</v>
      </c>
      <c r="Y67" s="3">
        <f t="shared" si="12"/>
        <v>27.075000000000003</v>
      </c>
      <c r="Z67" s="2">
        <f t="shared" si="13"/>
        <v>27.65</v>
      </c>
      <c r="AA67" s="3">
        <f t="shared" si="14"/>
        <v>28.6</v>
      </c>
      <c r="AB67" s="3">
        <f t="shared" si="15"/>
        <v>29</v>
      </c>
      <c r="AC67" s="3">
        <f t="shared" si="16"/>
        <v>-1.4280793995815279E-2</v>
      </c>
      <c r="AD67" s="3">
        <f t="shared" si="17"/>
        <v>-1.1101245929682304</v>
      </c>
      <c r="AF67" s="60">
        <f t="shared" si="18"/>
        <v>-0.25</v>
      </c>
    </row>
    <row r="68" spans="1:32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13.746</v>
      </c>
      <c r="J68" s="39">
        <v>27.2</v>
      </c>
      <c r="K68" s="39">
        <v>28.2</v>
      </c>
      <c r="L68" s="39">
        <v>27.8</v>
      </c>
      <c r="M68" s="39">
        <v>28.3</v>
      </c>
      <c r="N68" s="39">
        <v>29</v>
      </c>
      <c r="O68" s="39">
        <v>27.3</v>
      </c>
      <c r="P68" s="39">
        <v>29.7</v>
      </c>
      <c r="Q68" s="39">
        <v>29.4</v>
      </c>
      <c r="R68" s="39">
        <v>27.2</v>
      </c>
      <c r="S68" s="39">
        <v>26.7</v>
      </c>
      <c r="T68" s="39">
        <v>25.8</v>
      </c>
      <c r="U68" s="39">
        <v>27.3</v>
      </c>
      <c r="V68" s="5">
        <f t="shared" si="9"/>
        <v>27.825000000000003</v>
      </c>
      <c r="W68" s="4">
        <f t="shared" si="10"/>
        <v>0.3307761762701158</v>
      </c>
      <c r="X68" s="2">
        <f t="shared" si="11"/>
        <v>25.8</v>
      </c>
      <c r="Y68" s="3">
        <f t="shared" si="12"/>
        <v>27.2</v>
      </c>
      <c r="Z68" s="2">
        <f t="shared" si="13"/>
        <v>27.55</v>
      </c>
      <c r="AA68" s="3">
        <f t="shared" si="14"/>
        <v>28.475000000000001</v>
      </c>
      <c r="AB68" s="3">
        <f t="shared" si="15"/>
        <v>29.7</v>
      </c>
      <c r="AC68" s="3">
        <f t="shared" si="16"/>
        <v>0.12875534751669657</v>
      </c>
      <c r="AD68" s="3">
        <f t="shared" si="17"/>
        <v>-0.43510307164057238</v>
      </c>
      <c r="AF68" s="60">
        <f t="shared" si="18"/>
        <v>-8.3333333333333329E-2</v>
      </c>
    </row>
    <row r="69" spans="1:32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13.765000000000001</v>
      </c>
      <c r="J69" s="39">
        <v>28.5</v>
      </c>
      <c r="K69" s="39">
        <v>28.3</v>
      </c>
      <c r="L69" s="39">
        <v>27.8</v>
      </c>
      <c r="M69" s="39">
        <v>28.2</v>
      </c>
      <c r="N69" s="39">
        <v>28.9</v>
      </c>
      <c r="O69" s="39">
        <v>27.2</v>
      </c>
      <c r="P69" s="39">
        <v>28.4</v>
      </c>
      <c r="Q69" s="39">
        <v>26.9</v>
      </c>
      <c r="R69" s="39">
        <v>28.4</v>
      </c>
      <c r="S69" s="39">
        <v>29.2</v>
      </c>
      <c r="T69" s="39">
        <v>26.9</v>
      </c>
      <c r="U69" s="39">
        <v>27.6</v>
      </c>
      <c r="V69" s="5">
        <f t="shared" si="9"/>
        <v>28.025000000000002</v>
      </c>
      <c r="W69" s="4">
        <f t="shared" si="10"/>
        <v>0.21676862402948532</v>
      </c>
      <c r="X69" s="2">
        <f t="shared" si="11"/>
        <v>26.9</v>
      </c>
      <c r="Y69" s="3">
        <f t="shared" si="12"/>
        <v>27.5</v>
      </c>
      <c r="Z69" s="2">
        <f t="shared" si="13"/>
        <v>28.25</v>
      </c>
      <c r="AA69" s="3">
        <f t="shared" si="14"/>
        <v>28.424999999999997</v>
      </c>
      <c r="AB69" s="3">
        <f t="shared" si="15"/>
        <v>29.2</v>
      </c>
      <c r="AC69" s="3">
        <f t="shared" si="16"/>
        <v>-0.2489849607280516</v>
      </c>
      <c r="AD69" s="3">
        <f t="shared" si="17"/>
        <v>-0.91520780015988512</v>
      </c>
      <c r="AF69" s="60">
        <f t="shared" si="18"/>
        <v>0.24999999999999942</v>
      </c>
    </row>
    <row r="70" spans="1:32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13.782</v>
      </c>
      <c r="J70" s="39">
        <v>31.3</v>
      </c>
      <c r="K70" s="39">
        <v>31.8</v>
      </c>
      <c r="L70" s="39">
        <v>32.9</v>
      </c>
      <c r="M70" s="39">
        <v>32.1</v>
      </c>
      <c r="N70" s="39">
        <v>32.4</v>
      </c>
      <c r="O70" s="39">
        <v>32.5</v>
      </c>
      <c r="P70" s="39">
        <v>30.6</v>
      </c>
      <c r="Q70" s="39">
        <v>33.700000000000003</v>
      </c>
      <c r="R70" s="39">
        <v>31.7</v>
      </c>
      <c r="S70" s="39">
        <v>32.9</v>
      </c>
      <c r="T70" s="39">
        <v>30.7</v>
      </c>
      <c r="U70" s="39">
        <v>31.3</v>
      </c>
      <c r="V70" s="5">
        <f t="shared" si="9"/>
        <v>31.991666666666664</v>
      </c>
      <c r="W70" s="4">
        <f t="shared" si="10"/>
        <v>0.27092947011681429</v>
      </c>
      <c r="X70" s="2">
        <f t="shared" si="11"/>
        <v>30.6</v>
      </c>
      <c r="Y70" s="3">
        <f t="shared" si="12"/>
        <v>31.3</v>
      </c>
      <c r="Z70" s="2">
        <f t="shared" si="13"/>
        <v>31.950000000000003</v>
      </c>
      <c r="AA70" s="3">
        <f t="shared" si="14"/>
        <v>32.6</v>
      </c>
      <c r="AB70" s="3">
        <f t="shared" si="15"/>
        <v>33.700000000000003</v>
      </c>
      <c r="AC70" s="3">
        <f t="shared" si="16"/>
        <v>0.15059947371899493</v>
      </c>
      <c r="AD70" s="3">
        <f t="shared" si="17"/>
        <v>-0.58595633316540408</v>
      </c>
      <c r="AF70" s="60">
        <f t="shared" si="18"/>
        <v>-0.78333333333333444</v>
      </c>
    </row>
    <row r="71" spans="1:32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13.801</v>
      </c>
      <c r="J71" s="39">
        <v>28</v>
      </c>
      <c r="K71" s="39">
        <v>27.7</v>
      </c>
      <c r="L71" s="39">
        <v>29</v>
      </c>
      <c r="M71" s="39">
        <v>27.8</v>
      </c>
      <c r="N71" s="39">
        <v>29.3</v>
      </c>
      <c r="O71" s="39">
        <v>26.9</v>
      </c>
      <c r="P71" s="39">
        <v>28.9</v>
      </c>
      <c r="Q71" s="39">
        <v>30.2</v>
      </c>
      <c r="R71" s="39">
        <v>28.3</v>
      </c>
      <c r="S71" s="39">
        <v>27.3</v>
      </c>
      <c r="T71" s="39">
        <v>28.5</v>
      </c>
      <c r="U71" s="39">
        <v>27.9</v>
      </c>
      <c r="V71" s="5">
        <f t="shared" si="9"/>
        <v>28.316666666666666</v>
      </c>
      <c r="W71" s="4">
        <f t="shared" si="10"/>
        <v>0.26567048778667174</v>
      </c>
      <c r="X71" s="2">
        <f t="shared" si="11"/>
        <v>26.9</v>
      </c>
      <c r="Y71" s="3">
        <f t="shared" si="12"/>
        <v>27.774999999999999</v>
      </c>
      <c r="Z71" s="2">
        <f t="shared" si="13"/>
        <v>28.15</v>
      </c>
      <c r="AA71" s="3">
        <f t="shared" si="14"/>
        <v>28.924999999999997</v>
      </c>
      <c r="AB71" s="3">
        <f t="shared" si="15"/>
        <v>30.2</v>
      </c>
      <c r="AC71" s="3">
        <f t="shared" si="16"/>
        <v>0.52960323867965242</v>
      </c>
      <c r="AD71" s="3">
        <f t="shared" si="17"/>
        <v>0.18482306444231877</v>
      </c>
      <c r="AF71" s="60">
        <f t="shared" si="18"/>
        <v>0.70000000000000051</v>
      </c>
    </row>
    <row r="72" spans="1:32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13.942</v>
      </c>
      <c r="J72" s="39">
        <v>30.3</v>
      </c>
      <c r="K72" s="39">
        <v>29.9</v>
      </c>
      <c r="L72" s="39">
        <v>28.2</v>
      </c>
      <c r="M72" s="39">
        <v>29.7</v>
      </c>
      <c r="N72" s="39">
        <v>28.4</v>
      </c>
      <c r="O72" s="39">
        <v>30.1</v>
      </c>
      <c r="P72" s="39">
        <v>28.6</v>
      </c>
      <c r="Q72" s="39">
        <v>27.9</v>
      </c>
      <c r="R72" s="39">
        <v>29</v>
      </c>
      <c r="S72" s="39">
        <v>30.3</v>
      </c>
      <c r="T72" s="39">
        <v>30</v>
      </c>
      <c r="U72" s="39">
        <v>29.1</v>
      </c>
      <c r="V72" s="5">
        <f t="shared" si="9"/>
        <v>29.291666666666671</v>
      </c>
      <c r="W72" s="4">
        <f t="shared" si="10"/>
        <v>0.24998737341851279</v>
      </c>
      <c r="X72" s="2">
        <f t="shared" si="11"/>
        <v>27.9</v>
      </c>
      <c r="Y72" s="3">
        <f t="shared" si="12"/>
        <v>28.55</v>
      </c>
      <c r="Z72" s="2">
        <f t="shared" si="13"/>
        <v>29.4</v>
      </c>
      <c r="AA72" s="3">
        <f t="shared" si="14"/>
        <v>30.024999999999999</v>
      </c>
      <c r="AB72" s="3">
        <f t="shared" si="15"/>
        <v>30.3</v>
      </c>
      <c r="AC72" s="3">
        <f t="shared" si="16"/>
        <v>-0.30921500281549669</v>
      </c>
      <c r="AD72" s="3">
        <f t="shared" si="17"/>
        <v>-1.5251439192373826</v>
      </c>
      <c r="AF72" s="60">
        <f t="shared" si="18"/>
        <v>-0.41666666666666669</v>
      </c>
    </row>
    <row r="73" spans="1:32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13.916</v>
      </c>
      <c r="J73" s="39">
        <v>27.1</v>
      </c>
      <c r="K73" s="39">
        <v>27.8</v>
      </c>
      <c r="L73" s="39">
        <v>27.8</v>
      </c>
      <c r="M73" s="39">
        <v>27.5</v>
      </c>
      <c r="N73" s="39">
        <v>28.3</v>
      </c>
      <c r="O73" s="39">
        <v>26.3</v>
      </c>
      <c r="P73" s="39">
        <v>26.7</v>
      </c>
      <c r="Q73" s="39">
        <v>26</v>
      </c>
      <c r="R73" s="39">
        <v>27.2</v>
      </c>
      <c r="S73" s="39">
        <v>25.3</v>
      </c>
      <c r="T73" s="39">
        <v>26.7</v>
      </c>
      <c r="U73" s="39">
        <v>24.8</v>
      </c>
      <c r="V73" s="5">
        <f t="shared" si="9"/>
        <v>26.791666666666668</v>
      </c>
      <c r="W73" s="4">
        <f t="shared" si="10"/>
        <v>0.30337953361118714</v>
      </c>
      <c r="X73" s="2">
        <f t="shared" si="11"/>
        <v>24.8</v>
      </c>
      <c r="Y73" s="3">
        <f t="shared" si="12"/>
        <v>26.225000000000001</v>
      </c>
      <c r="Z73" s="2">
        <f t="shared" si="13"/>
        <v>26.9</v>
      </c>
      <c r="AA73" s="3">
        <f t="shared" si="14"/>
        <v>27.574999999999999</v>
      </c>
      <c r="AB73" s="3">
        <f t="shared" si="15"/>
        <v>28.3</v>
      </c>
      <c r="AC73" s="3">
        <f t="shared" si="16"/>
        <v>-0.55462940285758489</v>
      </c>
      <c r="AD73" s="3">
        <f t="shared" si="17"/>
        <v>-0.32994441550996134</v>
      </c>
      <c r="AF73" s="60">
        <f t="shared" si="18"/>
        <v>1.0166666666666664</v>
      </c>
    </row>
    <row r="74" spans="1:32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13.893000000000001</v>
      </c>
      <c r="J74" s="39">
        <v>30</v>
      </c>
      <c r="K74" s="39">
        <v>30.3</v>
      </c>
      <c r="L74" s="39">
        <v>29.5</v>
      </c>
      <c r="M74" s="39">
        <v>29.2</v>
      </c>
      <c r="N74" s="39">
        <v>29.3</v>
      </c>
      <c r="O74" s="39">
        <v>31.6</v>
      </c>
      <c r="P74" s="39">
        <v>29.8</v>
      </c>
      <c r="Q74" s="39">
        <v>30.3</v>
      </c>
      <c r="R74" s="39">
        <v>28.7</v>
      </c>
      <c r="S74" s="39">
        <v>30.1</v>
      </c>
      <c r="T74" s="39">
        <v>28</v>
      </c>
      <c r="U74" s="39">
        <v>28.7</v>
      </c>
      <c r="V74" s="5">
        <f t="shared" ref="V74:V81" si="19">AVERAGE(J74:U74)</f>
        <v>29.625000000000004</v>
      </c>
      <c r="W74" s="4">
        <f t="shared" ref="W74:W81" si="20">STDEV(J74:U74)/SQRT(COUNT(J74:U74))</f>
        <v>0.27334210998473907</v>
      </c>
      <c r="X74" s="2">
        <f t="shared" ref="X74:X81" si="21">MIN(J74:U74)</f>
        <v>28</v>
      </c>
      <c r="Y74" s="3">
        <f t="shared" ref="Y74:Y81" si="22">QUARTILE(J74:U74,1)</f>
        <v>29.074999999999999</v>
      </c>
      <c r="Z74" s="2">
        <f t="shared" ref="Z74:Z81" si="23">MEDIAN(J74:U74)</f>
        <v>29.65</v>
      </c>
      <c r="AA74" s="3">
        <f t="shared" ref="AA74:AA81" si="24">QUARTILE(J74:U74,3)</f>
        <v>30.150000000000002</v>
      </c>
      <c r="AB74" s="3">
        <f t="shared" ref="AB74:AB81" si="25">MAX(J74:U74)</f>
        <v>31.6</v>
      </c>
      <c r="AC74" s="3">
        <f t="shared" ref="AC74:AC81" si="26">SKEW(J74:U74)</f>
        <v>0.32087608258360445</v>
      </c>
      <c r="AD74" s="3">
        <f t="shared" ref="AD74:AD81" si="27">KURT(J74:U74)</f>
        <v>0.70698271062340901</v>
      </c>
      <c r="AF74" s="60">
        <f t="shared" si="18"/>
        <v>-0.81666666666666698</v>
      </c>
    </row>
    <row r="75" spans="1:32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13.871</v>
      </c>
      <c r="J75" s="39">
        <v>28.8</v>
      </c>
      <c r="K75" s="39">
        <v>28.7</v>
      </c>
      <c r="L75" s="39">
        <v>26.7</v>
      </c>
      <c r="M75" s="39">
        <v>29.5</v>
      </c>
      <c r="N75" s="39">
        <v>29.7</v>
      </c>
      <c r="O75" s="39">
        <v>28.6</v>
      </c>
      <c r="P75" s="39">
        <v>30.4</v>
      </c>
      <c r="Q75" s="39">
        <v>28.8</v>
      </c>
      <c r="R75" s="39">
        <v>28.6</v>
      </c>
      <c r="S75" s="39">
        <v>30.1</v>
      </c>
      <c r="T75" s="39">
        <v>30</v>
      </c>
      <c r="U75" s="39">
        <v>29.3</v>
      </c>
      <c r="V75" s="5">
        <f t="shared" si="19"/>
        <v>29.100000000000005</v>
      </c>
      <c r="W75" s="4">
        <f t="shared" si="20"/>
        <v>0.28417877429107152</v>
      </c>
      <c r="X75" s="2">
        <f t="shared" si="21"/>
        <v>26.7</v>
      </c>
      <c r="Y75" s="3">
        <f t="shared" si="22"/>
        <v>28.675000000000001</v>
      </c>
      <c r="Z75" s="2">
        <f t="shared" si="23"/>
        <v>29.05</v>
      </c>
      <c r="AA75" s="3">
        <f t="shared" si="24"/>
        <v>29.774999999999999</v>
      </c>
      <c r="AB75" s="3">
        <f t="shared" si="25"/>
        <v>30.4</v>
      </c>
      <c r="AC75" s="3">
        <f t="shared" si="26"/>
        <v>-1.1409990457199333</v>
      </c>
      <c r="AD75" s="3">
        <f t="shared" si="27"/>
        <v>2.3448512027334543</v>
      </c>
      <c r="AF75" s="60">
        <f t="shared" si="18"/>
        <v>-0.13333333333333405</v>
      </c>
    </row>
    <row r="76" spans="1:32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13.848000000000001</v>
      </c>
      <c r="J76" s="39">
        <v>28</v>
      </c>
      <c r="K76" s="39">
        <v>28.5</v>
      </c>
      <c r="L76" s="39">
        <v>27.2</v>
      </c>
      <c r="M76" s="39">
        <v>28.4</v>
      </c>
      <c r="N76" s="39">
        <v>28.8</v>
      </c>
      <c r="O76" s="39">
        <v>29.2</v>
      </c>
      <c r="P76" s="39">
        <v>26.4</v>
      </c>
      <c r="Q76" s="39">
        <v>26.4</v>
      </c>
      <c r="R76" s="39">
        <v>28.5</v>
      </c>
      <c r="S76" s="39">
        <v>27.4</v>
      </c>
      <c r="T76" s="39">
        <v>28.6</v>
      </c>
      <c r="U76" s="39">
        <v>29.6</v>
      </c>
      <c r="V76" s="5">
        <f t="shared" si="19"/>
        <v>28.083333333333339</v>
      </c>
      <c r="W76" s="4">
        <f t="shared" si="20"/>
        <v>0.29767618499152942</v>
      </c>
      <c r="X76" s="2">
        <f t="shared" si="21"/>
        <v>26.4</v>
      </c>
      <c r="Y76" s="3">
        <f t="shared" si="22"/>
        <v>27.349999999999998</v>
      </c>
      <c r="Z76" s="2">
        <f t="shared" si="23"/>
        <v>28.45</v>
      </c>
      <c r="AA76" s="3">
        <f t="shared" si="24"/>
        <v>28.650000000000002</v>
      </c>
      <c r="AB76" s="3">
        <f t="shared" si="25"/>
        <v>29.6</v>
      </c>
      <c r="AC76" s="3">
        <f t="shared" si="26"/>
        <v>-0.49597440027277756</v>
      </c>
      <c r="AD76" s="3">
        <f t="shared" si="27"/>
        <v>-0.66948205733396726</v>
      </c>
      <c r="AF76" s="60">
        <f t="shared" si="18"/>
        <v>-0.33333333333333276</v>
      </c>
    </row>
    <row r="77" spans="1:32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13.824999999999999</v>
      </c>
      <c r="J77" s="39">
        <v>32.200000000000003</v>
      </c>
      <c r="K77" s="39">
        <v>32.1</v>
      </c>
      <c r="L77" s="39">
        <v>31.3</v>
      </c>
      <c r="M77" s="39">
        <v>32</v>
      </c>
      <c r="N77" s="39">
        <v>30.3</v>
      </c>
      <c r="O77" s="39">
        <v>31.1</v>
      </c>
      <c r="P77" s="39">
        <v>32.5</v>
      </c>
      <c r="Q77" s="39">
        <v>32.5</v>
      </c>
      <c r="R77" s="39">
        <v>32.5</v>
      </c>
      <c r="S77" s="39">
        <v>32.299999999999997</v>
      </c>
      <c r="T77" s="39">
        <v>31.7</v>
      </c>
      <c r="U77" s="39">
        <v>31.5</v>
      </c>
      <c r="V77" s="5">
        <f t="shared" si="19"/>
        <v>31.833333333333332</v>
      </c>
      <c r="W77" s="4">
        <f t="shared" si="20"/>
        <v>0.19630423718135459</v>
      </c>
      <c r="X77" s="2">
        <f t="shared" si="21"/>
        <v>30.3</v>
      </c>
      <c r="Y77" s="3">
        <f t="shared" si="22"/>
        <v>31.45</v>
      </c>
      <c r="Z77" s="2">
        <f t="shared" si="23"/>
        <v>32.049999999999997</v>
      </c>
      <c r="AA77" s="3">
        <f t="shared" si="24"/>
        <v>32.349999999999994</v>
      </c>
      <c r="AB77" s="3">
        <f t="shared" si="25"/>
        <v>32.5</v>
      </c>
      <c r="AC77" s="3">
        <f t="shared" si="26"/>
        <v>-1.0848532214479492</v>
      </c>
      <c r="AD77" s="3">
        <f t="shared" si="27"/>
        <v>0.81135460665200565</v>
      </c>
      <c r="AF77" s="60">
        <f t="shared" si="18"/>
        <v>-0.16666666666666607</v>
      </c>
    </row>
    <row r="78" spans="1:32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13.617000000000001</v>
      </c>
      <c r="J78" s="39">
        <v>31</v>
      </c>
      <c r="K78" s="39">
        <v>29</v>
      </c>
      <c r="L78" s="39">
        <v>30</v>
      </c>
      <c r="M78" s="39">
        <v>32.1</v>
      </c>
      <c r="N78" s="39">
        <v>29.1</v>
      </c>
      <c r="O78" s="39">
        <v>33.299999999999997</v>
      </c>
      <c r="P78" s="39">
        <v>31.1</v>
      </c>
      <c r="Q78" s="39">
        <v>32.6</v>
      </c>
      <c r="R78" s="39">
        <v>30.7</v>
      </c>
      <c r="S78" s="39">
        <v>32.4</v>
      </c>
      <c r="T78" s="39">
        <v>29.1</v>
      </c>
      <c r="U78" s="39">
        <v>30.9</v>
      </c>
      <c r="V78" s="5">
        <f t="shared" si="19"/>
        <v>30.941666666666663</v>
      </c>
      <c r="W78" s="4">
        <f t="shared" si="20"/>
        <v>0.42021969963293698</v>
      </c>
      <c r="X78" s="2">
        <f t="shared" si="21"/>
        <v>29</v>
      </c>
      <c r="Y78" s="3">
        <f t="shared" si="22"/>
        <v>29.774999999999999</v>
      </c>
      <c r="Z78" s="2">
        <f t="shared" si="23"/>
        <v>30.95</v>
      </c>
      <c r="AA78" s="3">
        <f t="shared" si="24"/>
        <v>32.174999999999997</v>
      </c>
      <c r="AB78" s="3">
        <f t="shared" si="25"/>
        <v>33.299999999999997</v>
      </c>
      <c r="AC78" s="3">
        <f t="shared" si="26"/>
        <v>5.9220083785138225E-2</v>
      </c>
      <c r="AD78" s="3">
        <f t="shared" si="27"/>
        <v>-1.1265545821543563</v>
      </c>
      <c r="AF78" s="60">
        <f t="shared" si="18"/>
        <v>-1.5499999999999989</v>
      </c>
    </row>
    <row r="79" spans="1:32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13.58</v>
      </c>
      <c r="J79" s="39">
        <v>31.3</v>
      </c>
      <c r="K79" s="39">
        <v>35</v>
      </c>
      <c r="L79" s="39">
        <v>33</v>
      </c>
      <c r="M79" s="39">
        <v>34.299999999999997</v>
      </c>
      <c r="N79" s="39">
        <v>30.9</v>
      </c>
      <c r="O79" s="39">
        <v>30.1</v>
      </c>
      <c r="P79" s="39">
        <v>31.7</v>
      </c>
      <c r="Q79" s="39">
        <v>31</v>
      </c>
      <c r="R79" s="39">
        <v>29.5</v>
      </c>
      <c r="S79" s="39">
        <v>33.5</v>
      </c>
      <c r="T79" s="39">
        <v>32.1</v>
      </c>
      <c r="U79" s="39">
        <v>33.200000000000003</v>
      </c>
      <c r="V79" s="5">
        <f t="shared" si="19"/>
        <v>32.133333333333333</v>
      </c>
      <c r="W79" s="4">
        <f t="shared" si="20"/>
        <v>0.48793524988548226</v>
      </c>
      <c r="X79" s="2">
        <f t="shared" si="21"/>
        <v>29.5</v>
      </c>
      <c r="Y79" s="3">
        <f t="shared" si="22"/>
        <v>30.975000000000001</v>
      </c>
      <c r="Z79" s="2">
        <f t="shared" si="23"/>
        <v>31.9</v>
      </c>
      <c r="AA79" s="3">
        <f t="shared" si="24"/>
        <v>33.275000000000006</v>
      </c>
      <c r="AB79" s="3">
        <f t="shared" si="25"/>
        <v>35</v>
      </c>
      <c r="AC79" s="3">
        <f t="shared" si="26"/>
        <v>0.16913422503680592</v>
      </c>
      <c r="AD79" s="3">
        <f t="shared" si="27"/>
        <v>-0.85608981380262961</v>
      </c>
      <c r="AF79" s="60">
        <f t="shared" si="18"/>
        <v>-1.4333333333333336</v>
      </c>
    </row>
    <row r="80" spans="1:32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13.547000000000001</v>
      </c>
      <c r="J80" s="39">
        <v>29.9</v>
      </c>
      <c r="K80" s="39">
        <v>29.9</v>
      </c>
      <c r="L80" s="39">
        <v>28.1</v>
      </c>
      <c r="M80" s="39">
        <v>30.3</v>
      </c>
      <c r="N80" s="39">
        <v>29.9</v>
      </c>
      <c r="O80" s="39">
        <v>31</v>
      </c>
      <c r="P80" s="39">
        <v>31.5</v>
      </c>
      <c r="Q80" s="39">
        <v>28.8</v>
      </c>
      <c r="R80" s="39">
        <v>29.1</v>
      </c>
      <c r="S80" s="39">
        <v>29</v>
      </c>
      <c r="T80" s="39">
        <v>29.6</v>
      </c>
      <c r="U80" s="39">
        <v>29.2</v>
      </c>
      <c r="V80" s="5">
        <f t="shared" si="19"/>
        <v>29.691666666666666</v>
      </c>
      <c r="W80" s="4">
        <f t="shared" si="20"/>
        <v>0.27371139781333409</v>
      </c>
      <c r="X80" s="2">
        <f t="shared" si="21"/>
        <v>28.1</v>
      </c>
      <c r="Y80" s="3">
        <f t="shared" si="22"/>
        <v>29.075000000000003</v>
      </c>
      <c r="Z80" s="2">
        <f t="shared" si="23"/>
        <v>29.75</v>
      </c>
      <c r="AA80" s="3">
        <f t="shared" si="24"/>
        <v>30</v>
      </c>
      <c r="AB80" s="3">
        <f t="shared" si="25"/>
        <v>31.5</v>
      </c>
      <c r="AC80" s="3">
        <f t="shared" si="26"/>
        <v>0.38473449930393894</v>
      </c>
      <c r="AD80" s="3">
        <f t="shared" si="27"/>
        <v>0.10501815190835373</v>
      </c>
      <c r="AF80" s="60">
        <f t="shared" si="18"/>
        <v>-1.6666666666666313E-2</v>
      </c>
    </row>
    <row r="81" spans="1:32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13.510999999999999</v>
      </c>
      <c r="J81" s="39">
        <v>33.5</v>
      </c>
      <c r="K81" s="39">
        <v>34.700000000000003</v>
      </c>
      <c r="L81" s="39">
        <v>32.5</v>
      </c>
      <c r="M81" s="39">
        <v>34.200000000000003</v>
      </c>
      <c r="N81" s="39">
        <v>32.1</v>
      </c>
      <c r="O81" s="39">
        <v>30.8</v>
      </c>
      <c r="P81" s="39">
        <v>32.700000000000003</v>
      </c>
      <c r="Q81" s="39">
        <v>32.4</v>
      </c>
      <c r="R81" s="39">
        <v>33</v>
      </c>
      <c r="S81" s="39">
        <v>35.6</v>
      </c>
      <c r="T81" s="39">
        <v>33.799999999999997</v>
      </c>
      <c r="U81" s="39">
        <v>30.2</v>
      </c>
      <c r="V81" s="5">
        <f t="shared" si="19"/>
        <v>32.958333333333336</v>
      </c>
      <c r="W81" s="4">
        <f t="shared" si="20"/>
        <v>0.44508397800274457</v>
      </c>
      <c r="X81" s="2">
        <f t="shared" si="21"/>
        <v>30.2</v>
      </c>
      <c r="Y81" s="3">
        <f t="shared" si="22"/>
        <v>32.325000000000003</v>
      </c>
      <c r="Z81" s="2">
        <f t="shared" si="23"/>
        <v>32.85</v>
      </c>
      <c r="AA81" s="3">
        <f t="shared" si="24"/>
        <v>33.9</v>
      </c>
      <c r="AB81" s="3">
        <f t="shared" si="25"/>
        <v>35.6</v>
      </c>
      <c r="AC81" s="3">
        <f t="shared" si="26"/>
        <v>-0.16588905461334202</v>
      </c>
      <c r="AD81" s="3">
        <f t="shared" si="27"/>
        <v>-9.7705817826567287E-2</v>
      </c>
      <c r="AF81" s="60">
        <f t="shared" si="18"/>
        <v>-5.0000000000000711E-2</v>
      </c>
    </row>
    <row r="82" spans="1:32" x14ac:dyDescent="0.2">
      <c r="AF82" s="61"/>
    </row>
    <row r="83" spans="1:32" x14ac:dyDescent="0.2">
      <c r="AF83" s="60">
        <f>AVERAGE(AF48:AF81)</f>
        <v>-0.19607843137254918</v>
      </c>
    </row>
    <row r="84" spans="1:32" x14ac:dyDescent="0.2">
      <c r="V84" s="3"/>
    </row>
  </sheetData>
  <autoFilter ref="A9:AD81" xr:uid="{9397669E-D663-4E99-BA71-423C9570E4D2}"/>
  <conditionalFormatting sqref="J10:U47">
    <cfRule type="cellIs" dxfId="47" priority="1" stopIfTrue="1" operator="lessThan">
      <formula>$V10-$U$5*$W10</formula>
    </cfRule>
    <cfRule type="cellIs" dxfId="46" priority="2" stopIfTrue="1" operator="greaterThan">
      <formula>$V10+$U$5*$W10</formula>
    </cfRule>
  </conditionalFormatting>
  <conditionalFormatting sqref="J48:U81">
    <cfRule type="cellIs" dxfId="45" priority="3" stopIfTrue="1" operator="lessThan">
      <formula>$V48-$U$6*$W48</formula>
    </cfRule>
    <cfRule type="cellIs" dxfId="44" priority="4" stopIfTrue="1" operator="greaterThan">
      <formula>$V48+$U$6*$W48</formula>
    </cfRule>
  </conditionalFormatting>
  <conditionalFormatting sqref="V10:V39">
    <cfRule type="cellIs" dxfId="43" priority="5" stopIfTrue="1" operator="lessThan">
      <formula>AVERAGE($V$10:$V$39)</formula>
    </cfRule>
    <cfRule type="cellIs" dxfId="42" priority="6" stopIfTrue="1" operator="greaterThan">
      <formula>AVERAGE($V$10:$V$39)</formula>
    </cfRule>
  </conditionalFormatting>
  <conditionalFormatting sqref="V48:V81">
    <cfRule type="cellIs" dxfId="41" priority="7" stopIfTrue="1" operator="lessThan">
      <formula>AVERAGE($V$48:$V$81)</formula>
    </cfRule>
    <cfRule type="cellIs" dxfId="40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33BD-7E2A-4674-9FC3-614E641FDB58}">
  <dimension ref="A1:AN84"/>
  <sheetViews>
    <sheetView topLeftCell="A15" zoomScale="75" workbookViewId="0">
      <selection activeCell="V83" sqref="V83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142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37.75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13.25</v>
      </c>
      <c r="J10" s="39">
        <v>56.9</v>
      </c>
      <c r="K10" s="39">
        <v>48.6</v>
      </c>
      <c r="L10" s="39">
        <v>31</v>
      </c>
      <c r="M10" s="39">
        <v>43</v>
      </c>
      <c r="N10" s="39">
        <v>44.6</v>
      </c>
      <c r="O10" s="39">
        <v>32.700000000000003</v>
      </c>
      <c r="P10" s="39">
        <v>46</v>
      </c>
      <c r="Q10" s="39">
        <v>39</v>
      </c>
      <c r="R10" s="39">
        <v>37.799999999999997</v>
      </c>
      <c r="S10" s="39">
        <v>38</v>
      </c>
      <c r="T10" s="39">
        <v>33.700000000000003</v>
      </c>
      <c r="U10" s="39">
        <v>50.2</v>
      </c>
      <c r="V10" s="5">
        <f t="shared" ref="V10:V41" si="0">AVERAGE(J10:U10)</f>
        <v>41.791666666666664</v>
      </c>
      <c r="W10" s="4">
        <f t="shared" ref="W10:W41" si="1">STDEV(J10:U10)/SQRT(COUNT(J10:U10))</f>
        <v>2.2614509398913265</v>
      </c>
      <c r="X10" s="2">
        <f t="shared" ref="X10:X41" si="2">MIN(J10:U10)</f>
        <v>31</v>
      </c>
      <c r="Y10" s="3">
        <f t="shared" ref="Y10:Y41" si="3">QUARTILE(J10:U10,1)</f>
        <v>36.774999999999999</v>
      </c>
      <c r="Z10" s="2">
        <f t="shared" ref="Z10:Z41" si="4">MEDIAN(J10:U10)</f>
        <v>41</v>
      </c>
      <c r="AA10" s="3">
        <f t="shared" ref="AA10:AA41" si="5">QUARTILE(J10:U10,3)</f>
        <v>46.65</v>
      </c>
      <c r="AB10" s="3">
        <f t="shared" ref="AB10:AB41" si="6">MAX(J10:U10)</f>
        <v>56.9</v>
      </c>
      <c r="AC10" s="3">
        <f t="shared" ref="AC10:AC41" si="7">SKEW(J10:U10)</f>
        <v>0.40371601714276034</v>
      </c>
      <c r="AD10" s="3">
        <f t="shared" ref="AD10:AD41" si="8">KURT(J10:U10)</f>
        <v>-0.48406473343517975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13.233000000000001</v>
      </c>
      <c r="J11" s="39">
        <v>55.8</v>
      </c>
      <c r="K11" s="39">
        <v>48</v>
      </c>
      <c r="L11" s="39">
        <v>36.299999999999997</v>
      </c>
      <c r="M11" s="39">
        <v>41.5</v>
      </c>
      <c r="N11" s="39">
        <v>44.6</v>
      </c>
      <c r="O11" s="39">
        <v>38.6</v>
      </c>
      <c r="P11" s="39">
        <v>47.9</v>
      </c>
      <c r="Q11" s="39">
        <v>35.700000000000003</v>
      </c>
      <c r="R11" s="39">
        <v>48.3</v>
      </c>
      <c r="S11" s="39">
        <v>46.1</v>
      </c>
      <c r="T11" s="39">
        <v>37.1</v>
      </c>
      <c r="U11" s="39">
        <v>50.8</v>
      </c>
      <c r="V11" s="5">
        <f t="shared" si="0"/>
        <v>44.225000000000001</v>
      </c>
      <c r="W11" s="4">
        <f t="shared" si="1"/>
        <v>1.8474849816915158</v>
      </c>
      <c r="X11" s="2">
        <f t="shared" si="2"/>
        <v>35.700000000000003</v>
      </c>
      <c r="Y11" s="3">
        <f t="shared" si="3"/>
        <v>38.225000000000001</v>
      </c>
      <c r="Z11" s="2">
        <f t="shared" si="4"/>
        <v>45.35</v>
      </c>
      <c r="AA11" s="3">
        <f t="shared" si="5"/>
        <v>48.075000000000003</v>
      </c>
      <c r="AB11" s="3">
        <f t="shared" si="6"/>
        <v>55.8</v>
      </c>
      <c r="AC11" s="3">
        <f t="shared" si="7"/>
        <v>0.13966605920621825</v>
      </c>
      <c r="AD11" s="3">
        <f t="shared" si="8"/>
        <v>-0.90049250501491862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13.217000000000001</v>
      </c>
      <c r="J12" s="39">
        <v>46.8</v>
      </c>
      <c r="K12" s="39">
        <v>32.6</v>
      </c>
      <c r="L12" s="39">
        <v>34.799999999999997</v>
      </c>
      <c r="M12" s="39">
        <v>41.7</v>
      </c>
      <c r="N12" s="39">
        <v>33.9</v>
      </c>
      <c r="O12" s="39">
        <v>37.799999999999997</v>
      </c>
      <c r="P12" s="39">
        <v>33.4</v>
      </c>
      <c r="Q12" s="39">
        <v>36.4</v>
      </c>
      <c r="R12" s="39">
        <v>32.1</v>
      </c>
      <c r="S12" s="39">
        <v>39.5</v>
      </c>
      <c r="T12" s="39">
        <v>32.9</v>
      </c>
      <c r="U12" s="39">
        <v>36.299999999999997</v>
      </c>
      <c r="V12" s="5">
        <f t="shared" si="0"/>
        <v>36.516666666666666</v>
      </c>
      <c r="W12" s="4">
        <f t="shared" si="1"/>
        <v>1.2632829605372791</v>
      </c>
      <c r="X12" s="2">
        <f t="shared" si="2"/>
        <v>32.1</v>
      </c>
      <c r="Y12" s="3">
        <f t="shared" si="3"/>
        <v>33.274999999999999</v>
      </c>
      <c r="Z12" s="2">
        <f t="shared" si="4"/>
        <v>35.549999999999997</v>
      </c>
      <c r="AA12" s="3">
        <f t="shared" si="5"/>
        <v>38.224999999999994</v>
      </c>
      <c r="AB12" s="3">
        <f t="shared" si="6"/>
        <v>46.8</v>
      </c>
      <c r="AC12" s="3">
        <f t="shared" si="7"/>
        <v>1.3128426861776072</v>
      </c>
      <c r="AD12" s="3">
        <f t="shared" si="8"/>
        <v>1.5191714101621745</v>
      </c>
      <c r="AF12" s="17" t="s">
        <v>76</v>
      </c>
      <c r="AG12" s="16">
        <v>31.25</v>
      </c>
      <c r="AH12" s="15">
        <v>35.299999999999997</v>
      </c>
      <c r="AI12" s="15">
        <v>39.674999999999997</v>
      </c>
      <c r="AJ12" s="15">
        <v>40.391666666666666</v>
      </c>
      <c r="AK12" s="16">
        <v>25.85</v>
      </c>
      <c r="AL12" s="15">
        <v>26.574999999999999</v>
      </c>
      <c r="AM12" s="15">
        <v>26.9</v>
      </c>
      <c r="AN12" s="14">
        <v>27.1875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13.2</v>
      </c>
      <c r="J13" s="39">
        <v>51.9</v>
      </c>
      <c r="K13" s="39">
        <v>48.3</v>
      </c>
      <c r="L13" s="39">
        <v>38.1</v>
      </c>
      <c r="M13" s="39">
        <v>50.8</v>
      </c>
      <c r="N13" s="39">
        <v>38.9</v>
      </c>
      <c r="O13" s="39">
        <v>45.6</v>
      </c>
      <c r="P13" s="39">
        <v>36</v>
      </c>
      <c r="Q13" s="39">
        <v>47.9</v>
      </c>
      <c r="R13" s="39">
        <v>30.9</v>
      </c>
      <c r="S13" s="39">
        <v>46.7</v>
      </c>
      <c r="T13" s="39">
        <v>28.8</v>
      </c>
      <c r="U13" s="39">
        <v>52.3</v>
      </c>
      <c r="V13" s="5">
        <f t="shared" si="0"/>
        <v>43.016666666666659</v>
      </c>
      <c r="W13" s="4">
        <f t="shared" si="1"/>
        <v>2.3628383462490814</v>
      </c>
      <c r="X13" s="2">
        <f t="shared" si="2"/>
        <v>28.8</v>
      </c>
      <c r="Y13" s="3">
        <f t="shared" si="3"/>
        <v>37.575000000000003</v>
      </c>
      <c r="Z13" s="2">
        <f t="shared" si="4"/>
        <v>46.150000000000006</v>
      </c>
      <c r="AA13" s="3">
        <f t="shared" si="5"/>
        <v>48.924999999999997</v>
      </c>
      <c r="AB13" s="3">
        <f t="shared" si="6"/>
        <v>52.3</v>
      </c>
      <c r="AC13" s="3">
        <f t="shared" si="7"/>
        <v>-0.57346134467481114</v>
      </c>
      <c r="AD13" s="3">
        <f t="shared" si="8"/>
        <v>-1.0632840142773152</v>
      </c>
      <c r="AF13" s="13" t="s">
        <v>75</v>
      </c>
      <c r="AG13" s="12">
        <v>45.75</v>
      </c>
      <c r="AH13" s="11">
        <v>52.375</v>
      </c>
      <c r="AI13" s="11">
        <v>57.825000000000003</v>
      </c>
      <c r="AJ13" s="11">
        <v>56.487499999999997</v>
      </c>
      <c r="AK13" s="12">
        <v>29.95</v>
      </c>
      <c r="AL13" s="11">
        <v>32.1</v>
      </c>
      <c r="AM13" s="11">
        <v>33.274999999999999</v>
      </c>
      <c r="AN13" s="10">
        <v>33.679166666666667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13.183</v>
      </c>
      <c r="J14" s="39">
        <v>50.4</v>
      </c>
      <c r="K14" s="39">
        <v>35.799999999999997</v>
      </c>
      <c r="L14" s="39">
        <v>35.5</v>
      </c>
      <c r="M14" s="39">
        <v>38</v>
      </c>
      <c r="N14" s="39">
        <v>31.7</v>
      </c>
      <c r="O14" s="39">
        <v>36.4</v>
      </c>
      <c r="P14" s="39">
        <v>28.6</v>
      </c>
      <c r="Q14" s="39">
        <v>44.5</v>
      </c>
      <c r="R14" s="39">
        <v>27.8</v>
      </c>
      <c r="S14" s="39">
        <v>37.200000000000003</v>
      </c>
      <c r="T14" s="39">
        <v>32</v>
      </c>
      <c r="U14" s="39">
        <v>42.1</v>
      </c>
      <c r="V14" s="5">
        <f t="shared" si="0"/>
        <v>36.666666666666664</v>
      </c>
      <c r="W14" s="4">
        <f t="shared" si="1"/>
        <v>1.8947028764159808</v>
      </c>
      <c r="X14" s="2">
        <f t="shared" si="2"/>
        <v>27.8</v>
      </c>
      <c r="Y14" s="3">
        <f t="shared" si="3"/>
        <v>31.925000000000001</v>
      </c>
      <c r="Z14" s="2">
        <f t="shared" si="4"/>
        <v>36.099999999999994</v>
      </c>
      <c r="AA14" s="3">
        <f t="shared" si="5"/>
        <v>39.024999999999999</v>
      </c>
      <c r="AB14" s="3">
        <f t="shared" si="6"/>
        <v>50.4</v>
      </c>
      <c r="AC14" s="3">
        <f t="shared" si="7"/>
        <v>0.68884168309771709</v>
      </c>
      <c r="AD14" s="3">
        <f t="shared" si="8"/>
        <v>0.35754848444879173</v>
      </c>
      <c r="AF14" s="13" t="s">
        <v>74</v>
      </c>
      <c r="AG14" s="12">
        <v>60.55</v>
      </c>
      <c r="AH14" s="11">
        <v>61.912500000000001</v>
      </c>
      <c r="AI14" s="11">
        <v>62.725000000000001</v>
      </c>
      <c r="AJ14" s="11">
        <v>62.712499999999999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13.166</v>
      </c>
      <c r="J15" s="39">
        <v>52.9</v>
      </c>
      <c r="K15" s="39">
        <v>48.5</v>
      </c>
      <c r="L15" s="39">
        <v>41.8</v>
      </c>
      <c r="M15" s="39">
        <v>38.299999999999997</v>
      </c>
      <c r="N15" s="39">
        <v>43</v>
      </c>
      <c r="O15" s="39">
        <v>32.5</v>
      </c>
      <c r="P15" s="39">
        <v>39.1</v>
      </c>
      <c r="Q15" s="39">
        <v>33.4</v>
      </c>
      <c r="R15" s="39">
        <v>39.4</v>
      </c>
      <c r="S15" s="39">
        <v>34.6</v>
      </c>
      <c r="T15" s="39">
        <v>34.700000000000003</v>
      </c>
      <c r="U15" s="39">
        <v>35.5</v>
      </c>
      <c r="V15" s="5">
        <f t="shared" si="0"/>
        <v>39.475000000000001</v>
      </c>
      <c r="W15" s="4">
        <f t="shared" si="1"/>
        <v>1.8026968433685462</v>
      </c>
      <c r="X15" s="2">
        <f t="shared" si="2"/>
        <v>32.5</v>
      </c>
      <c r="Y15" s="3">
        <f t="shared" si="3"/>
        <v>34.675000000000004</v>
      </c>
      <c r="Z15" s="2">
        <f t="shared" si="4"/>
        <v>38.700000000000003</v>
      </c>
      <c r="AA15" s="3">
        <f t="shared" si="5"/>
        <v>42.099999999999994</v>
      </c>
      <c r="AB15" s="3">
        <f t="shared" si="6"/>
        <v>52.9</v>
      </c>
      <c r="AC15" s="3">
        <f t="shared" si="7"/>
        <v>1.0564483510078415</v>
      </c>
      <c r="AD15" s="3">
        <f t="shared" si="8"/>
        <v>0.56379946604276654</v>
      </c>
      <c r="AF15" s="13" t="s">
        <v>73</v>
      </c>
      <c r="AG15" s="12">
        <v>31.2</v>
      </c>
      <c r="AH15" s="11">
        <v>33.3125</v>
      </c>
      <c r="AI15" s="11">
        <v>38.5</v>
      </c>
      <c r="AJ15" s="11">
        <v>38.704166666666666</v>
      </c>
      <c r="AK15" s="12">
        <v>26.95</v>
      </c>
      <c r="AL15" s="11">
        <v>28.35</v>
      </c>
      <c r="AM15" s="11">
        <v>29.35</v>
      </c>
      <c r="AN15" s="10">
        <v>29.00416666666667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13.147</v>
      </c>
      <c r="J16" s="39">
        <v>50.6</v>
      </c>
      <c r="K16" s="39">
        <v>45</v>
      </c>
      <c r="L16" s="39">
        <v>33.4</v>
      </c>
      <c r="M16" s="39">
        <v>40.200000000000003</v>
      </c>
      <c r="N16" s="39">
        <v>35</v>
      </c>
      <c r="O16" s="39">
        <v>34.700000000000003</v>
      </c>
      <c r="P16" s="39">
        <v>43.7</v>
      </c>
      <c r="Q16" s="39">
        <v>38.4</v>
      </c>
      <c r="R16" s="39">
        <v>31.2</v>
      </c>
      <c r="S16" s="39">
        <v>43.8</v>
      </c>
      <c r="T16" s="39">
        <v>33.200000000000003</v>
      </c>
      <c r="U16" s="39">
        <v>47.6</v>
      </c>
      <c r="V16" s="5">
        <f t="shared" si="0"/>
        <v>39.733333333333327</v>
      </c>
      <c r="W16" s="4">
        <f t="shared" si="1"/>
        <v>1.836759883241929</v>
      </c>
      <c r="X16" s="2">
        <f t="shared" si="2"/>
        <v>31.2</v>
      </c>
      <c r="Y16" s="3">
        <f t="shared" si="3"/>
        <v>34.375</v>
      </c>
      <c r="Z16" s="2">
        <f t="shared" si="4"/>
        <v>39.299999999999997</v>
      </c>
      <c r="AA16" s="3">
        <f t="shared" si="5"/>
        <v>44.099999999999994</v>
      </c>
      <c r="AB16" s="3">
        <f t="shared" si="6"/>
        <v>50.6</v>
      </c>
      <c r="AC16" s="3">
        <f t="shared" si="7"/>
        <v>0.27766782991737848</v>
      </c>
      <c r="AD16" s="3">
        <f t="shared" si="8"/>
        <v>-1.2505368254888443</v>
      </c>
      <c r="AF16" s="13" t="s">
        <v>72</v>
      </c>
      <c r="AG16" s="12">
        <v>31.7</v>
      </c>
      <c r="AH16" s="11">
        <v>32.725000000000001</v>
      </c>
      <c r="AI16" s="11">
        <v>38.15</v>
      </c>
      <c r="AJ16" s="11">
        <v>39.766666666666666</v>
      </c>
      <c r="AK16" s="12">
        <v>27.55</v>
      </c>
      <c r="AL16" s="11">
        <v>28.55</v>
      </c>
      <c r="AM16" s="11">
        <v>29.4</v>
      </c>
      <c r="AN16" s="10">
        <v>29.3125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13.129</v>
      </c>
      <c r="J17" s="39">
        <v>53.6</v>
      </c>
      <c r="K17" s="39">
        <v>55.8</v>
      </c>
      <c r="L17" s="39">
        <v>35.5</v>
      </c>
      <c r="M17" s="39">
        <v>45.5</v>
      </c>
      <c r="N17" s="39">
        <v>39.5</v>
      </c>
      <c r="O17" s="39">
        <v>47.7</v>
      </c>
      <c r="P17" s="39">
        <v>35.799999999999997</v>
      </c>
      <c r="Q17" s="39">
        <v>45.6</v>
      </c>
      <c r="R17" s="39">
        <v>37.200000000000003</v>
      </c>
      <c r="S17" s="39">
        <v>38.700000000000003</v>
      </c>
      <c r="T17" s="39">
        <v>37.9</v>
      </c>
      <c r="U17" s="39">
        <v>48.2</v>
      </c>
      <c r="V17" s="5">
        <f t="shared" si="0"/>
        <v>43.416666666666664</v>
      </c>
      <c r="W17" s="4">
        <f t="shared" si="1"/>
        <v>2.0127183989657773</v>
      </c>
      <c r="X17" s="2">
        <f t="shared" si="2"/>
        <v>35.5</v>
      </c>
      <c r="Y17" s="3">
        <f t="shared" si="3"/>
        <v>37.725000000000001</v>
      </c>
      <c r="Z17" s="2">
        <f t="shared" si="4"/>
        <v>42.5</v>
      </c>
      <c r="AA17" s="3">
        <f t="shared" si="5"/>
        <v>47.825000000000003</v>
      </c>
      <c r="AB17" s="3">
        <f t="shared" si="6"/>
        <v>55.8</v>
      </c>
      <c r="AC17" s="3">
        <f t="shared" si="7"/>
        <v>0.53146988472090761</v>
      </c>
      <c r="AD17" s="3">
        <f t="shared" si="8"/>
        <v>-0.99177606795092199</v>
      </c>
      <c r="AF17" s="13" t="s">
        <v>71</v>
      </c>
      <c r="AG17" s="12">
        <v>30.9</v>
      </c>
      <c r="AH17" s="11">
        <v>36.087499999999999</v>
      </c>
      <c r="AI17" s="11">
        <v>41.375</v>
      </c>
      <c r="AJ17" s="11">
        <v>41.975000000000001</v>
      </c>
      <c r="AK17" s="12">
        <v>26.5</v>
      </c>
      <c r="AL17" s="11">
        <v>27.824999999999999</v>
      </c>
      <c r="AM17" s="11">
        <v>28.55</v>
      </c>
      <c r="AN17" s="10">
        <v>28.737500000000001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13.278</v>
      </c>
      <c r="J18" s="39">
        <v>52.1</v>
      </c>
      <c r="K18" s="39">
        <v>37.6</v>
      </c>
      <c r="L18" s="39">
        <v>31.2</v>
      </c>
      <c r="M18" s="39">
        <v>38</v>
      </c>
      <c r="N18" s="39">
        <v>32.799999999999997</v>
      </c>
      <c r="O18" s="39">
        <v>35.700000000000003</v>
      </c>
      <c r="P18" s="39">
        <v>29.6</v>
      </c>
      <c r="Q18" s="39">
        <v>40.9</v>
      </c>
      <c r="R18" s="39">
        <v>32.5</v>
      </c>
      <c r="S18" s="39">
        <v>36.1</v>
      </c>
      <c r="T18" s="39">
        <v>31.8</v>
      </c>
      <c r="U18" s="39">
        <v>38</v>
      </c>
      <c r="V18" s="5">
        <f t="shared" si="0"/>
        <v>36.358333333333334</v>
      </c>
      <c r="W18" s="4">
        <f t="shared" si="1"/>
        <v>1.7330765398358166</v>
      </c>
      <c r="X18" s="2">
        <f t="shared" si="2"/>
        <v>29.6</v>
      </c>
      <c r="Y18" s="3">
        <f t="shared" si="3"/>
        <v>32.325000000000003</v>
      </c>
      <c r="Z18" s="2">
        <f t="shared" si="4"/>
        <v>35.900000000000006</v>
      </c>
      <c r="AA18" s="3">
        <f t="shared" si="5"/>
        <v>38</v>
      </c>
      <c r="AB18" s="3">
        <f t="shared" si="6"/>
        <v>52.1</v>
      </c>
      <c r="AC18" s="3">
        <f t="shared" si="7"/>
        <v>1.6948540304057005</v>
      </c>
      <c r="AD18" s="3">
        <f t="shared" si="8"/>
        <v>3.90630908550082</v>
      </c>
      <c r="AF18" s="13" t="s">
        <v>70</v>
      </c>
      <c r="AG18" s="12">
        <v>31.35</v>
      </c>
      <c r="AH18" s="11">
        <v>35.1</v>
      </c>
      <c r="AI18" s="11">
        <v>40.35</v>
      </c>
      <c r="AJ18" s="11">
        <v>42.020833333333336</v>
      </c>
      <c r="AK18" s="12">
        <v>25.7</v>
      </c>
      <c r="AL18" s="11">
        <v>26.875</v>
      </c>
      <c r="AM18" s="11">
        <v>27.675000000000001</v>
      </c>
      <c r="AN18" s="10">
        <v>27.533333333333335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13.295999999999999</v>
      </c>
      <c r="J19" s="39">
        <v>53.8</v>
      </c>
      <c r="K19" s="39">
        <v>44.4</v>
      </c>
      <c r="L19" s="39">
        <v>42.3</v>
      </c>
      <c r="M19" s="39">
        <v>49.9</v>
      </c>
      <c r="N19" s="39">
        <v>40</v>
      </c>
      <c r="O19" s="39">
        <v>43.7</v>
      </c>
      <c r="P19" s="39">
        <v>35.5</v>
      </c>
      <c r="Q19" s="39">
        <v>52.2</v>
      </c>
      <c r="R19" s="39">
        <v>40.6</v>
      </c>
      <c r="S19" s="39">
        <v>52</v>
      </c>
      <c r="T19" s="39">
        <v>33.700000000000003</v>
      </c>
      <c r="U19" s="39">
        <v>53.3</v>
      </c>
      <c r="V19" s="5">
        <f t="shared" si="0"/>
        <v>45.116666666666667</v>
      </c>
      <c r="W19" s="4">
        <f t="shared" si="1"/>
        <v>2.0275688283102369</v>
      </c>
      <c r="X19" s="2">
        <f t="shared" si="2"/>
        <v>33.700000000000003</v>
      </c>
      <c r="Y19" s="3">
        <f t="shared" si="3"/>
        <v>40.450000000000003</v>
      </c>
      <c r="Z19" s="2">
        <f t="shared" si="4"/>
        <v>44.05</v>
      </c>
      <c r="AA19" s="3">
        <f t="shared" si="5"/>
        <v>52.05</v>
      </c>
      <c r="AB19" s="3">
        <f t="shared" si="6"/>
        <v>53.8</v>
      </c>
      <c r="AC19" s="3">
        <f t="shared" si="7"/>
        <v>-0.20003197133040687</v>
      </c>
      <c r="AD19" s="3">
        <f t="shared" si="8"/>
        <v>-1.303209115936995</v>
      </c>
      <c r="AF19" s="13" t="s">
        <v>69</v>
      </c>
      <c r="AG19" s="12">
        <v>33.799999999999997</v>
      </c>
      <c r="AH19" s="11">
        <v>35.975000000000001</v>
      </c>
      <c r="AI19" s="11">
        <v>40.4375</v>
      </c>
      <c r="AJ19" s="11">
        <v>42.089583333333337</v>
      </c>
      <c r="AK19" s="12">
        <v>28.024999999999999</v>
      </c>
      <c r="AL19" s="11">
        <v>28.84375</v>
      </c>
      <c r="AM19" s="11">
        <v>29.574999999999999</v>
      </c>
      <c r="AN19" s="10">
        <v>29.439583333333339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13.316000000000001</v>
      </c>
      <c r="J20" s="39">
        <v>57.4</v>
      </c>
      <c r="K20" s="39">
        <v>41.8</v>
      </c>
      <c r="L20" s="39">
        <v>43.4</v>
      </c>
      <c r="M20" s="39">
        <v>36</v>
      </c>
      <c r="N20" s="39">
        <v>48.1</v>
      </c>
      <c r="O20" s="39">
        <v>36.1</v>
      </c>
      <c r="P20" s="39">
        <v>44.4</v>
      </c>
      <c r="Q20" s="39">
        <v>37.700000000000003</v>
      </c>
      <c r="R20" s="39">
        <v>38.9</v>
      </c>
      <c r="S20" s="39">
        <v>37.1</v>
      </c>
      <c r="T20" s="39">
        <v>45.9</v>
      </c>
      <c r="U20" s="39">
        <v>39.5</v>
      </c>
      <c r="V20" s="5">
        <f t="shared" si="0"/>
        <v>42.191666666666663</v>
      </c>
      <c r="W20" s="4">
        <f t="shared" si="1"/>
        <v>1.7966070013143618</v>
      </c>
      <c r="X20" s="2">
        <f t="shared" si="2"/>
        <v>36</v>
      </c>
      <c r="Y20" s="3">
        <f t="shared" si="3"/>
        <v>37.550000000000004</v>
      </c>
      <c r="Z20" s="2">
        <f t="shared" si="4"/>
        <v>40.65</v>
      </c>
      <c r="AA20" s="3">
        <f t="shared" si="5"/>
        <v>44.774999999999999</v>
      </c>
      <c r="AB20" s="3">
        <f t="shared" si="6"/>
        <v>57.4</v>
      </c>
      <c r="AC20" s="3">
        <f t="shared" si="7"/>
        <v>1.3784829693060592</v>
      </c>
      <c r="AD20" s="3">
        <f t="shared" si="8"/>
        <v>2.1661901982457064</v>
      </c>
      <c r="AF20" s="13" t="s">
        <v>68</v>
      </c>
      <c r="AG20" s="12">
        <v>30.975000000000001</v>
      </c>
      <c r="AH20" s="11">
        <v>32.681249999999999</v>
      </c>
      <c r="AI20" s="11">
        <v>45.237499999999997</v>
      </c>
      <c r="AJ20" s="11">
        <v>42.402083333333337</v>
      </c>
      <c r="AK20" s="12">
        <v>26.524999999999999</v>
      </c>
      <c r="AL20" s="11">
        <v>27.431249999999999</v>
      </c>
      <c r="AM20" s="11">
        <v>28.024999999999999</v>
      </c>
      <c r="AN20" s="10">
        <v>28.114583333333332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13.333</v>
      </c>
      <c r="J21" s="39">
        <v>44.3</v>
      </c>
      <c r="K21" s="39">
        <v>39.299999999999997</v>
      </c>
      <c r="L21" s="39">
        <v>30.7</v>
      </c>
      <c r="M21" s="39">
        <v>42.3</v>
      </c>
      <c r="N21" s="39">
        <v>30.1</v>
      </c>
      <c r="O21" s="39">
        <v>42.4</v>
      </c>
      <c r="P21" s="39">
        <v>32.799999999999997</v>
      </c>
      <c r="Q21" s="39">
        <v>35.200000000000003</v>
      </c>
      <c r="R21" s="39">
        <v>32.200000000000003</v>
      </c>
      <c r="S21" s="39">
        <v>36.200000000000003</v>
      </c>
      <c r="T21" s="39">
        <v>31.6</v>
      </c>
      <c r="U21" s="39">
        <v>38.9</v>
      </c>
      <c r="V21" s="5">
        <f t="shared" si="0"/>
        <v>36.333333333333329</v>
      </c>
      <c r="W21" s="4">
        <f t="shared" si="1"/>
        <v>1.4437080484962879</v>
      </c>
      <c r="X21" s="2">
        <f t="shared" si="2"/>
        <v>30.1</v>
      </c>
      <c r="Y21" s="3">
        <f t="shared" si="3"/>
        <v>32.050000000000004</v>
      </c>
      <c r="Z21" s="2">
        <f t="shared" si="4"/>
        <v>35.700000000000003</v>
      </c>
      <c r="AA21" s="3">
        <f t="shared" si="5"/>
        <v>40.049999999999997</v>
      </c>
      <c r="AB21" s="3">
        <f t="shared" si="6"/>
        <v>44.3</v>
      </c>
      <c r="AC21" s="3">
        <f t="shared" si="7"/>
        <v>0.29752435344438954</v>
      </c>
      <c r="AD21" s="3">
        <f t="shared" si="8"/>
        <v>-1.4542116913738687</v>
      </c>
      <c r="AF21" s="13" t="s">
        <v>67</v>
      </c>
      <c r="AG21" s="12">
        <v>29.55</v>
      </c>
      <c r="AH21" s="11">
        <v>31.287500000000001</v>
      </c>
      <c r="AI21" s="11">
        <v>34.4</v>
      </c>
      <c r="AJ21" s="11">
        <v>35.6</v>
      </c>
      <c r="AK21" s="12">
        <v>26.7</v>
      </c>
      <c r="AL21" s="11">
        <v>27.65</v>
      </c>
      <c r="AM21" s="11">
        <v>28.35</v>
      </c>
      <c r="AN21" s="10">
        <v>28.412500000000001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13.352</v>
      </c>
      <c r="J22" s="39">
        <v>56.8</v>
      </c>
      <c r="K22" s="39">
        <v>48.8</v>
      </c>
      <c r="L22" s="39">
        <v>30.8</v>
      </c>
      <c r="M22" s="39">
        <v>50.8</v>
      </c>
      <c r="N22" s="39">
        <v>38</v>
      </c>
      <c r="O22" s="39">
        <v>32.4</v>
      </c>
      <c r="P22" s="39">
        <v>47.5</v>
      </c>
      <c r="Q22" s="39">
        <v>35.1</v>
      </c>
      <c r="R22" s="39">
        <v>45.5</v>
      </c>
      <c r="S22" s="39">
        <v>35.5</v>
      </c>
      <c r="T22" s="39">
        <v>49.2</v>
      </c>
      <c r="U22" s="39">
        <v>35.5</v>
      </c>
      <c r="V22" s="5">
        <f t="shared" si="0"/>
        <v>42.158333333333331</v>
      </c>
      <c r="W22" s="4">
        <f t="shared" si="1"/>
        <v>2.4656260601897628</v>
      </c>
      <c r="X22" s="2">
        <f t="shared" si="2"/>
        <v>30.8</v>
      </c>
      <c r="Y22" s="3">
        <f t="shared" si="3"/>
        <v>35.4</v>
      </c>
      <c r="Z22" s="2">
        <f t="shared" si="4"/>
        <v>41.75</v>
      </c>
      <c r="AA22" s="3">
        <f t="shared" si="5"/>
        <v>48.9</v>
      </c>
      <c r="AB22" s="3">
        <f t="shared" si="6"/>
        <v>56.8</v>
      </c>
      <c r="AC22" s="3">
        <f t="shared" si="7"/>
        <v>0.2114172230026985</v>
      </c>
      <c r="AD22" s="3">
        <f t="shared" si="8"/>
        <v>-1.3892212518708384</v>
      </c>
      <c r="AF22" s="13" t="s">
        <v>66</v>
      </c>
      <c r="AG22" s="12">
        <v>28.7</v>
      </c>
      <c r="AH22" s="11">
        <v>32.125</v>
      </c>
      <c r="AI22" s="11">
        <v>36</v>
      </c>
      <c r="AJ22" s="11">
        <v>36.512500000000003</v>
      </c>
      <c r="AK22" s="12">
        <v>25.4</v>
      </c>
      <c r="AL22" s="11">
        <v>26.975000000000001</v>
      </c>
      <c r="AM22" s="11">
        <v>27.375</v>
      </c>
      <c r="AN22" s="10">
        <v>27.375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13.382</v>
      </c>
      <c r="J23" s="39">
        <v>41.2</v>
      </c>
      <c r="K23" s="39">
        <v>40.700000000000003</v>
      </c>
      <c r="L23" s="39">
        <v>36.6</v>
      </c>
      <c r="M23" s="39">
        <v>40.200000000000003</v>
      </c>
      <c r="N23" s="39">
        <v>34.9</v>
      </c>
      <c r="O23" s="39">
        <v>34.1</v>
      </c>
      <c r="P23" s="39">
        <v>35.200000000000003</v>
      </c>
      <c r="Q23" s="39">
        <v>32.1</v>
      </c>
      <c r="R23" s="39">
        <v>35.6</v>
      </c>
      <c r="S23" s="39">
        <v>30.3</v>
      </c>
      <c r="T23" s="39">
        <v>36.4</v>
      </c>
      <c r="U23" s="39">
        <v>39.299999999999997</v>
      </c>
      <c r="V23" s="5">
        <f t="shared" si="0"/>
        <v>36.383333333333333</v>
      </c>
      <c r="W23" s="4">
        <f t="shared" si="1"/>
        <v>0.99138969903541752</v>
      </c>
      <c r="X23" s="2">
        <f t="shared" si="2"/>
        <v>30.3</v>
      </c>
      <c r="Y23" s="3">
        <f t="shared" si="3"/>
        <v>34.700000000000003</v>
      </c>
      <c r="Z23" s="2">
        <f t="shared" si="4"/>
        <v>36</v>
      </c>
      <c r="AA23" s="3">
        <f t="shared" si="5"/>
        <v>39.524999999999999</v>
      </c>
      <c r="AB23" s="3">
        <f t="shared" si="6"/>
        <v>41.2</v>
      </c>
      <c r="AC23" s="3">
        <f t="shared" si="7"/>
        <v>-0.13039604478672434</v>
      </c>
      <c r="AD23" s="3">
        <f t="shared" si="8"/>
        <v>-0.73633171979692813</v>
      </c>
      <c r="AF23" s="13" t="s">
        <v>65</v>
      </c>
      <c r="AG23" s="12">
        <v>28.1</v>
      </c>
      <c r="AH23" s="11">
        <v>32.075000000000003</v>
      </c>
      <c r="AI23" s="11">
        <v>39.35</v>
      </c>
      <c r="AJ23" s="11">
        <v>37.258333333333333</v>
      </c>
      <c r="AK23" s="12">
        <v>25.9</v>
      </c>
      <c r="AL23" s="11">
        <v>26.824999999999999</v>
      </c>
      <c r="AM23" s="11">
        <v>27.55</v>
      </c>
      <c r="AN23" s="10">
        <v>27.566666666666666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13.401999999999999</v>
      </c>
      <c r="J24" s="39">
        <v>51</v>
      </c>
      <c r="K24" s="39">
        <v>50.4</v>
      </c>
      <c r="L24" s="39">
        <v>29.1</v>
      </c>
      <c r="M24" s="39">
        <v>36.799999999999997</v>
      </c>
      <c r="N24" s="39">
        <v>29.3</v>
      </c>
      <c r="O24" s="39">
        <v>42.3</v>
      </c>
      <c r="P24" s="39">
        <v>30</v>
      </c>
      <c r="Q24" s="39">
        <v>42.5</v>
      </c>
      <c r="R24" s="39">
        <v>29</v>
      </c>
      <c r="S24" s="39">
        <v>41.7</v>
      </c>
      <c r="T24" s="39">
        <v>32</v>
      </c>
      <c r="U24" s="39">
        <v>51.7</v>
      </c>
      <c r="V24" s="5">
        <f t="shared" si="0"/>
        <v>38.81666666666667</v>
      </c>
      <c r="W24" s="4">
        <f t="shared" si="1"/>
        <v>2.5998494517408455</v>
      </c>
      <c r="X24" s="2">
        <f t="shared" si="2"/>
        <v>29</v>
      </c>
      <c r="Y24" s="3">
        <f t="shared" si="3"/>
        <v>29.824999999999999</v>
      </c>
      <c r="Z24" s="2">
        <f t="shared" si="4"/>
        <v>39.25</v>
      </c>
      <c r="AA24" s="3">
        <f t="shared" si="5"/>
        <v>44.475000000000001</v>
      </c>
      <c r="AB24" s="3">
        <f t="shared" si="6"/>
        <v>51.7</v>
      </c>
      <c r="AC24" s="3">
        <f t="shared" si="7"/>
        <v>0.28099478971208552</v>
      </c>
      <c r="AD24" s="3">
        <f t="shared" si="8"/>
        <v>-1.5757561436053771</v>
      </c>
      <c r="AF24" s="13" t="s">
        <v>64</v>
      </c>
      <c r="AG24" s="12">
        <v>29.25</v>
      </c>
      <c r="AH24" s="11">
        <v>32.487499999999997</v>
      </c>
      <c r="AI24" s="11">
        <v>33.524999999999999</v>
      </c>
      <c r="AJ24" s="11">
        <v>34.270833333333329</v>
      </c>
      <c r="AK24" s="12">
        <v>26.2</v>
      </c>
      <c r="AL24" s="11">
        <v>27.074999999999999</v>
      </c>
      <c r="AM24" s="11">
        <v>27.625</v>
      </c>
      <c r="AN24" s="10">
        <v>27.654166666666669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13.420999999999999</v>
      </c>
      <c r="J25" s="39">
        <v>57.3</v>
      </c>
      <c r="K25" s="39">
        <v>51.3</v>
      </c>
      <c r="L25" s="39">
        <v>38.200000000000003</v>
      </c>
      <c r="M25" s="39">
        <v>45.4</v>
      </c>
      <c r="N25" s="39">
        <v>34.4</v>
      </c>
      <c r="O25" s="39">
        <v>41.1</v>
      </c>
      <c r="P25" s="39">
        <v>32.799999999999997</v>
      </c>
      <c r="Q25" s="39">
        <v>51.6</v>
      </c>
      <c r="R25" s="39">
        <v>33.799999999999997</v>
      </c>
      <c r="S25" s="39">
        <v>46.4</v>
      </c>
      <c r="T25" s="39">
        <v>36.700000000000003</v>
      </c>
      <c r="U25" s="39">
        <v>56.4</v>
      </c>
      <c r="V25" s="5">
        <f t="shared" si="0"/>
        <v>43.783333333333339</v>
      </c>
      <c r="W25" s="4">
        <f t="shared" si="1"/>
        <v>2.5611264488245462</v>
      </c>
      <c r="X25" s="2">
        <f t="shared" si="2"/>
        <v>32.799999999999997</v>
      </c>
      <c r="Y25" s="3">
        <f t="shared" si="3"/>
        <v>36.125</v>
      </c>
      <c r="Z25" s="2">
        <f t="shared" si="4"/>
        <v>43.25</v>
      </c>
      <c r="AA25" s="3">
        <f t="shared" si="5"/>
        <v>51.375</v>
      </c>
      <c r="AB25" s="3">
        <f t="shared" si="6"/>
        <v>57.3</v>
      </c>
      <c r="AC25" s="3">
        <f t="shared" si="7"/>
        <v>0.26671390026688563</v>
      </c>
      <c r="AD25" s="3">
        <f t="shared" si="8"/>
        <v>-1.4524567285598264</v>
      </c>
      <c r="AF25" s="13" t="s">
        <v>63</v>
      </c>
      <c r="AG25" s="12">
        <v>33.56666666666667</v>
      </c>
      <c r="AH25" s="11">
        <v>37.975000000000001</v>
      </c>
      <c r="AI25" s="11">
        <v>42.9</v>
      </c>
      <c r="AJ25" s="11">
        <v>43.113888888888887</v>
      </c>
      <c r="AK25" s="12">
        <v>26.333333333333332</v>
      </c>
      <c r="AL25" s="11">
        <v>27.966666666666669</v>
      </c>
      <c r="AM25" s="11">
        <v>28.3</v>
      </c>
      <c r="AN25" s="10">
        <v>28.4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13.596</v>
      </c>
      <c r="J26" s="39">
        <v>53.2</v>
      </c>
      <c r="K26" s="39">
        <v>48.3</v>
      </c>
      <c r="L26" s="39">
        <v>37.700000000000003</v>
      </c>
      <c r="M26" s="39">
        <v>46.6</v>
      </c>
      <c r="N26" s="39">
        <v>45.2</v>
      </c>
      <c r="O26" s="39">
        <v>41.7</v>
      </c>
      <c r="P26" s="39">
        <v>40.9</v>
      </c>
      <c r="Q26" s="39">
        <v>41.2</v>
      </c>
      <c r="R26" s="39">
        <v>33.5</v>
      </c>
      <c r="S26" s="39">
        <v>47.9</v>
      </c>
      <c r="T26" s="39">
        <v>30.9</v>
      </c>
      <c r="U26" s="39">
        <v>53.4</v>
      </c>
      <c r="V26" s="5">
        <f t="shared" si="0"/>
        <v>43.374999999999993</v>
      </c>
      <c r="W26" s="4">
        <f t="shared" si="1"/>
        <v>2.0495795947343973</v>
      </c>
      <c r="X26" s="2">
        <f t="shared" si="2"/>
        <v>30.9</v>
      </c>
      <c r="Y26" s="3">
        <f t="shared" si="3"/>
        <v>40.1</v>
      </c>
      <c r="Z26" s="2">
        <f t="shared" si="4"/>
        <v>43.45</v>
      </c>
      <c r="AA26" s="3">
        <f t="shared" si="5"/>
        <v>48</v>
      </c>
      <c r="AB26" s="3">
        <f t="shared" si="6"/>
        <v>53.4</v>
      </c>
      <c r="AC26" s="3">
        <f t="shared" si="7"/>
        <v>-0.27726575411388721</v>
      </c>
      <c r="AD26" s="3">
        <f t="shared" si="8"/>
        <v>-0.59923402093351141</v>
      </c>
      <c r="AF26" s="13" t="s">
        <v>62</v>
      </c>
      <c r="AG26" s="12">
        <v>31.75</v>
      </c>
      <c r="AH26" s="11">
        <v>37.712499999999999</v>
      </c>
      <c r="AI26" s="11">
        <v>42.975000000000001</v>
      </c>
      <c r="AJ26" s="11">
        <v>42.541666666666657</v>
      </c>
      <c r="AK26" s="12">
        <v>26.125</v>
      </c>
      <c r="AL26" s="11">
        <v>27.175000000000001</v>
      </c>
      <c r="AM26" s="11">
        <v>27.912500000000001</v>
      </c>
      <c r="AN26" s="10">
        <v>27.989583333333332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13.616</v>
      </c>
      <c r="J27" s="39">
        <v>55.1</v>
      </c>
      <c r="K27" s="39">
        <v>53.6</v>
      </c>
      <c r="L27" s="39">
        <v>33.299999999999997</v>
      </c>
      <c r="M27" s="39">
        <v>53.8</v>
      </c>
      <c r="N27" s="39">
        <v>34</v>
      </c>
      <c r="O27" s="39">
        <v>46.6</v>
      </c>
      <c r="P27" s="39">
        <v>31.7</v>
      </c>
      <c r="Q27" s="39">
        <v>49.5</v>
      </c>
      <c r="R27" s="39">
        <v>30.2</v>
      </c>
      <c r="S27" s="39">
        <v>50.4</v>
      </c>
      <c r="T27" s="39">
        <v>30.3</v>
      </c>
      <c r="U27" s="39">
        <v>51.4</v>
      </c>
      <c r="V27" s="5">
        <f t="shared" si="0"/>
        <v>43.324999999999996</v>
      </c>
      <c r="W27" s="4">
        <f t="shared" si="1"/>
        <v>2.9931519061573479</v>
      </c>
      <c r="X27" s="2">
        <f t="shared" si="2"/>
        <v>30.2</v>
      </c>
      <c r="Y27" s="3">
        <f t="shared" si="3"/>
        <v>32.9</v>
      </c>
      <c r="Z27" s="2">
        <f t="shared" si="4"/>
        <v>48.05</v>
      </c>
      <c r="AA27" s="3">
        <f t="shared" si="5"/>
        <v>51.95</v>
      </c>
      <c r="AB27" s="3">
        <f t="shared" si="6"/>
        <v>55.1</v>
      </c>
      <c r="AC27" s="3">
        <f t="shared" si="7"/>
        <v>-0.27813787047202054</v>
      </c>
      <c r="AD27" s="3">
        <f t="shared" si="8"/>
        <v>-2.0548510228706833</v>
      </c>
      <c r="AF27" s="9" t="s">
        <v>61</v>
      </c>
      <c r="AG27" s="8">
        <v>34.65</v>
      </c>
      <c r="AH27" s="7">
        <v>35.475000000000001</v>
      </c>
      <c r="AI27" s="7">
        <v>36.274999999999999</v>
      </c>
      <c r="AJ27" s="7">
        <v>36.583333333333329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13.638999999999999</v>
      </c>
      <c r="J28" s="39">
        <v>36.700000000000003</v>
      </c>
      <c r="K28" s="39">
        <v>31.4</v>
      </c>
      <c r="L28" s="39">
        <v>30.7</v>
      </c>
      <c r="M28" s="39">
        <v>29.8</v>
      </c>
      <c r="N28" s="39">
        <v>29.9</v>
      </c>
      <c r="O28" s="39">
        <v>30.4</v>
      </c>
      <c r="P28" s="39">
        <v>30.7</v>
      </c>
      <c r="Q28" s="39">
        <v>33.4</v>
      </c>
      <c r="R28" s="39">
        <v>32.6</v>
      </c>
      <c r="S28" s="39">
        <v>35.200000000000003</v>
      </c>
      <c r="T28" s="39">
        <v>28.2</v>
      </c>
      <c r="U28" s="39">
        <v>36.9</v>
      </c>
      <c r="V28" s="5">
        <f t="shared" si="0"/>
        <v>32.158333333333331</v>
      </c>
      <c r="W28" s="4">
        <f t="shared" si="1"/>
        <v>0.81811482610136654</v>
      </c>
      <c r="X28" s="2">
        <f t="shared" si="2"/>
        <v>28.2</v>
      </c>
      <c r="Y28" s="3">
        <f t="shared" si="3"/>
        <v>30.274999999999999</v>
      </c>
      <c r="Z28" s="2">
        <f t="shared" si="4"/>
        <v>31.049999999999997</v>
      </c>
      <c r="AA28" s="3">
        <f t="shared" si="5"/>
        <v>33.85</v>
      </c>
      <c r="AB28" s="3">
        <f t="shared" si="6"/>
        <v>36.9</v>
      </c>
      <c r="AC28" s="3">
        <f t="shared" si="7"/>
        <v>0.63118704193119224</v>
      </c>
      <c r="AD28" s="3">
        <f t="shared" si="8"/>
        <v>-0.75925443903779843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13.67</v>
      </c>
      <c r="J29" s="39">
        <v>57.2</v>
      </c>
      <c r="K29" s="39">
        <v>57.3</v>
      </c>
      <c r="L29" s="39">
        <v>33.4</v>
      </c>
      <c r="M29" s="39">
        <v>39.299999999999997</v>
      </c>
      <c r="N29" s="39">
        <v>32.700000000000003</v>
      </c>
      <c r="O29" s="39">
        <v>36.200000000000003</v>
      </c>
      <c r="P29" s="39">
        <v>47.3</v>
      </c>
      <c r="Q29" s="39">
        <v>34.299999999999997</v>
      </c>
      <c r="R29" s="39">
        <v>40.6</v>
      </c>
      <c r="S29" s="39">
        <v>36.200000000000003</v>
      </c>
      <c r="T29" s="39">
        <v>29.9</v>
      </c>
      <c r="U29" s="39">
        <v>38.700000000000003</v>
      </c>
      <c r="V29" s="5">
        <f t="shared" si="0"/>
        <v>40.258333333333333</v>
      </c>
      <c r="W29" s="4">
        <f t="shared" si="1"/>
        <v>2.6261926102749218</v>
      </c>
      <c r="X29" s="2">
        <f t="shared" si="2"/>
        <v>29.9</v>
      </c>
      <c r="Y29" s="3">
        <f t="shared" si="3"/>
        <v>34.074999999999996</v>
      </c>
      <c r="Z29" s="2">
        <f t="shared" si="4"/>
        <v>37.450000000000003</v>
      </c>
      <c r="AA29" s="3">
        <f t="shared" si="5"/>
        <v>42.274999999999999</v>
      </c>
      <c r="AB29" s="3">
        <f t="shared" si="6"/>
        <v>57.3</v>
      </c>
      <c r="AC29" s="3">
        <f t="shared" si="7"/>
        <v>1.1511977146049748</v>
      </c>
      <c r="AD29" s="3">
        <f t="shared" si="8"/>
        <v>0.2911313626667047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13.693</v>
      </c>
      <c r="J30" s="39">
        <v>47.8</v>
      </c>
      <c r="K30" s="39">
        <v>32.299999999999997</v>
      </c>
      <c r="L30" s="39">
        <v>38.4</v>
      </c>
      <c r="M30" s="39">
        <v>29.7</v>
      </c>
      <c r="N30" s="39">
        <v>37.6</v>
      </c>
      <c r="O30" s="39">
        <v>29.4</v>
      </c>
      <c r="P30" s="39">
        <v>34.6</v>
      </c>
      <c r="Q30" s="39">
        <v>30.8</v>
      </c>
      <c r="R30" s="39">
        <v>32.9</v>
      </c>
      <c r="S30" s="39">
        <v>29</v>
      </c>
      <c r="T30" s="39">
        <v>42.6</v>
      </c>
      <c r="U30" s="39">
        <v>33.299999999999997</v>
      </c>
      <c r="V30" s="5">
        <f t="shared" si="0"/>
        <v>34.866666666666667</v>
      </c>
      <c r="W30" s="4">
        <f t="shared" si="1"/>
        <v>1.6686654681045112</v>
      </c>
      <c r="X30" s="2">
        <f t="shared" si="2"/>
        <v>29</v>
      </c>
      <c r="Y30" s="3">
        <f t="shared" si="3"/>
        <v>30.524999999999999</v>
      </c>
      <c r="Z30" s="2">
        <f t="shared" si="4"/>
        <v>33.099999999999994</v>
      </c>
      <c r="AA30" s="3">
        <f t="shared" si="5"/>
        <v>37.799999999999997</v>
      </c>
      <c r="AB30" s="3">
        <f t="shared" si="6"/>
        <v>47.8</v>
      </c>
      <c r="AC30" s="3">
        <f t="shared" si="7"/>
        <v>1.1813477355174766</v>
      </c>
      <c r="AD30" s="3">
        <f t="shared" si="8"/>
        <v>0.89188703984846462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13.712</v>
      </c>
      <c r="J31" s="39">
        <v>55.1</v>
      </c>
      <c r="K31" s="39">
        <v>53.8</v>
      </c>
      <c r="L31" s="39">
        <v>29.7</v>
      </c>
      <c r="M31" s="39">
        <v>57.1</v>
      </c>
      <c r="N31" s="39">
        <v>34</v>
      </c>
      <c r="O31" s="39">
        <v>45.8</v>
      </c>
      <c r="P31" s="39">
        <v>29</v>
      </c>
      <c r="Q31" s="39">
        <v>52</v>
      </c>
      <c r="R31" s="39">
        <v>29.7</v>
      </c>
      <c r="S31" s="39">
        <v>52.1</v>
      </c>
      <c r="T31" s="39">
        <v>29.8</v>
      </c>
      <c r="U31" s="39">
        <v>50.8</v>
      </c>
      <c r="V31" s="5">
        <f t="shared" si="0"/>
        <v>43.241666666666667</v>
      </c>
      <c r="W31" s="4">
        <f t="shared" si="1"/>
        <v>3.3695035677276439</v>
      </c>
      <c r="X31" s="2">
        <f t="shared" si="2"/>
        <v>29</v>
      </c>
      <c r="Y31" s="3">
        <f t="shared" si="3"/>
        <v>29.774999999999999</v>
      </c>
      <c r="Z31" s="2">
        <f t="shared" si="4"/>
        <v>48.3</v>
      </c>
      <c r="AA31" s="3">
        <f t="shared" si="5"/>
        <v>52.524999999999999</v>
      </c>
      <c r="AB31" s="3">
        <f t="shared" si="6"/>
        <v>57.1</v>
      </c>
      <c r="AC31" s="3">
        <f t="shared" si="7"/>
        <v>-0.25734142473802074</v>
      </c>
      <c r="AD31" s="3">
        <f t="shared" si="8"/>
        <v>-2.0573564122227292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13.731999999999999</v>
      </c>
      <c r="J32" s="39">
        <v>53.2</v>
      </c>
      <c r="K32" s="39">
        <v>51.3</v>
      </c>
      <c r="L32" s="39">
        <v>36.799999999999997</v>
      </c>
      <c r="M32" s="39">
        <v>52.8</v>
      </c>
      <c r="N32" s="39">
        <v>39.9</v>
      </c>
      <c r="O32" s="39">
        <v>43.9</v>
      </c>
      <c r="P32" s="39">
        <v>39.200000000000003</v>
      </c>
      <c r="Q32" s="39">
        <v>49</v>
      </c>
      <c r="R32" s="39">
        <v>37.6</v>
      </c>
      <c r="S32" s="39">
        <v>50.8</v>
      </c>
      <c r="T32" s="39">
        <v>34.5</v>
      </c>
      <c r="U32" s="39">
        <v>48</v>
      </c>
      <c r="V32" s="5">
        <f t="shared" si="0"/>
        <v>44.75</v>
      </c>
      <c r="W32" s="4">
        <f t="shared" si="1"/>
        <v>1.9824418673887347</v>
      </c>
      <c r="X32" s="2">
        <f t="shared" si="2"/>
        <v>34.5</v>
      </c>
      <c r="Y32" s="3">
        <f t="shared" si="3"/>
        <v>38.800000000000004</v>
      </c>
      <c r="Z32" s="2">
        <f t="shared" si="4"/>
        <v>45.95</v>
      </c>
      <c r="AA32" s="3">
        <f t="shared" si="5"/>
        <v>50.924999999999997</v>
      </c>
      <c r="AB32" s="3">
        <f t="shared" si="6"/>
        <v>53.2</v>
      </c>
      <c r="AC32" s="3">
        <f t="shared" si="7"/>
        <v>-0.1657109782019055</v>
      </c>
      <c r="AD32" s="3">
        <f t="shared" si="8"/>
        <v>-1.7616275539472994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13.753</v>
      </c>
      <c r="J33" s="39">
        <v>53.1</v>
      </c>
      <c r="K33" s="39">
        <v>52.2</v>
      </c>
      <c r="L33" s="39">
        <v>33.700000000000003</v>
      </c>
      <c r="M33" s="39">
        <v>43.5</v>
      </c>
      <c r="N33" s="39">
        <v>34.1</v>
      </c>
      <c r="O33" s="39">
        <v>45.6</v>
      </c>
      <c r="P33" s="39">
        <v>32.299999999999997</v>
      </c>
      <c r="Q33" s="39">
        <v>47.5</v>
      </c>
      <c r="R33" s="39">
        <v>31</v>
      </c>
      <c r="S33" s="39">
        <v>48</v>
      </c>
      <c r="T33" s="39">
        <v>30.3</v>
      </c>
      <c r="U33" s="39">
        <v>39.4</v>
      </c>
      <c r="V33" s="5">
        <f t="shared" si="0"/>
        <v>40.891666666666666</v>
      </c>
      <c r="W33" s="4">
        <f t="shared" si="1"/>
        <v>2.4371014307653232</v>
      </c>
      <c r="X33" s="2">
        <f t="shared" si="2"/>
        <v>30.3</v>
      </c>
      <c r="Y33" s="3">
        <f t="shared" si="3"/>
        <v>33.35</v>
      </c>
      <c r="Z33" s="2">
        <f t="shared" si="4"/>
        <v>41.45</v>
      </c>
      <c r="AA33" s="3">
        <f t="shared" si="5"/>
        <v>47.625</v>
      </c>
      <c r="AB33" s="3">
        <f t="shared" si="6"/>
        <v>53.1</v>
      </c>
      <c r="AC33" s="3">
        <f t="shared" si="7"/>
        <v>0.10093383763493201</v>
      </c>
      <c r="AD33" s="3">
        <f t="shared" si="8"/>
        <v>-1.6764836803762817</v>
      </c>
    </row>
    <row r="34" spans="1:30" x14ac:dyDescent="0.2">
      <c r="A34" s="1">
        <v>403</v>
      </c>
      <c r="B34" s="1" t="s">
        <v>72</v>
      </c>
      <c r="C34" s="1">
        <v>6</v>
      </c>
      <c r="D34" s="1">
        <v>1</v>
      </c>
      <c r="E34" s="1">
        <v>3</v>
      </c>
      <c r="F34" s="1">
        <v>1</v>
      </c>
      <c r="G34" s="1">
        <v>3</v>
      </c>
      <c r="H34" s="1">
        <v>1</v>
      </c>
      <c r="I34" s="4">
        <v>13.898</v>
      </c>
      <c r="J34" s="39">
        <v>34.700000000000003</v>
      </c>
      <c r="K34" s="39">
        <v>43.1</v>
      </c>
      <c r="L34" s="39">
        <v>30.1</v>
      </c>
      <c r="M34" s="39">
        <v>46</v>
      </c>
      <c r="N34" s="39">
        <v>31.4</v>
      </c>
      <c r="O34" s="39">
        <v>48.8</v>
      </c>
      <c r="P34" s="39">
        <v>30.4</v>
      </c>
      <c r="Q34" s="39">
        <v>49.7</v>
      </c>
      <c r="R34" s="39">
        <v>33</v>
      </c>
      <c r="S34" s="39">
        <v>50.3</v>
      </c>
      <c r="T34" s="39">
        <v>31</v>
      </c>
      <c r="U34" s="39">
        <v>47.1</v>
      </c>
      <c r="V34" s="5">
        <f t="shared" si="0"/>
        <v>39.633333333333333</v>
      </c>
      <c r="W34" s="4">
        <f t="shared" si="1"/>
        <v>2.4529615166203071</v>
      </c>
      <c r="X34" s="2">
        <f t="shared" si="2"/>
        <v>30.1</v>
      </c>
      <c r="Y34" s="3">
        <f t="shared" si="3"/>
        <v>31.299999999999997</v>
      </c>
      <c r="Z34" s="2">
        <f t="shared" si="4"/>
        <v>38.900000000000006</v>
      </c>
      <c r="AA34" s="3">
        <f t="shared" si="5"/>
        <v>47.524999999999999</v>
      </c>
      <c r="AB34" s="3">
        <f t="shared" si="6"/>
        <v>50.3</v>
      </c>
      <c r="AC34" s="3">
        <f t="shared" si="7"/>
        <v>8.0522448813789116E-2</v>
      </c>
      <c r="AD34" s="3">
        <f t="shared" si="8"/>
        <v>-2.1177331980023686</v>
      </c>
    </row>
    <row r="35" spans="1:30" x14ac:dyDescent="0.2">
      <c r="A35" s="1">
        <v>404</v>
      </c>
      <c r="B35" s="1" t="s">
        <v>69</v>
      </c>
      <c r="C35" s="1">
        <v>3</v>
      </c>
      <c r="D35" s="1">
        <v>1</v>
      </c>
      <c r="E35" s="1">
        <v>2</v>
      </c>
      <c r="F35" s="1">
        <v>2</v>
      </c>
      <c r="G35" s="1">
        <v>3</v>
      </c>
      <c r="H35" s="1">
        <v>1</v>
      </c>
      <c r="I35" s="4">
        <v>13.875999999999999</v>
      </c>
      <c r="J35" s="39">
        <v>56.7</v>
      </c>
      <c r="K35" s="39">
        <v>52.7</v>
      </c>
      <c r="L35" s="39">
        <v>31.6</v>
      </c>
      <c r="M35" s="39">
        <v>48</v>
      </c>
      <c r="N35" s="39">
        <v>33.9</v>
      </c>
      <c r="O35" s="39">
        <v>35.9</v>
      </c>
      <c r="P35" s="39">
        <v>32.799999999999997</v>
      </c>
      <c r="Q35" s="39">
        <v>44.5</v>
      </c>
      <c r="R35" s="39">
        <v>31</v>
      </c>
      <c r="S35" s="39">
        <v>46.8</v>
      </c>
      <c r="T35" s="39">
        <v>32.200000000000003</v>
      </c>
      <c r="U35" s="39">
        <v>43.9</v>
      </c>
      <c r="V35" s="5">
        <f t="shared" si="0"/>
        <v>40.833333333333336</v>
      </c>
      <c r="W35" s="4">
        <f t="shared" si="1"/>
        <v>2.6050746901795629</v>
      </c>
      <c r="X35" s="2">
        <f t="shared" si="2"/>
        <v>31</v>
      </c>
      <c r="Y35" s="3">
        <f t="shared" si="3"/>
        <v>32.65</v>
      </c>
      <c r="Z35" s="2">
        <f t="shared" si="4"/>
        <v>39.9</v>
      </c>
      <c r="AA35" s="3">
        <f t="shared" si="5"/>
        <v>47.099999999999994</v>
      </c>
      <c r="AB35" s="3">
        <f t="shared" si="6"/>
        <v>56.7</v>
      </c>
      <c r="AC35" s="3">
        <f t="shared" si="7"/>
        <v>0.44099898775586471</v>
      </c>
      <c r="AD35" s="3">
        <f t="shared" si="8"/>
        <v>-1.2623429160448967</v>
      </c>
    </row>
    <row r="36" spans="1:30" x14ac:dyDescent="0.2">
      <c r="A36" s="1">
        <v>405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4</v>
      </c>
      <c r="H36" s="1">
        <v>1</v>
      </c>
      <c r="I36" s="4">
        <v>13.851000000000001</v>
      </c>
      <c r="J36" s="39">
        <v>52.8</v>
      </c>
      <c r="K36" s="39">
        <v>52.9</v>
      </c>
      <c r="L36" s="39">
        <v>34</v>
      </c>
      <c r="M36" s="39">
        <v>36.5</v>
      </c>
      <c r="N36" s="39">
        <v>45.4</v>
      </c>
      <c r="O36" s="39">
        <v>35.6</v>
      </c>
      <c r="P36" s="39">
        <v>33.700000000000003</v>
      </c>
      <c r="Q36" s="39">
        <v>40.299999999999997</v>
      </c>
      <c r="R36" s="39">
        <v>34.200000000000003</v>
      </c>
      <c r="S36" s="39">
        <v>33.299999999999997</v>
      </c>
      <c r="T36" s="39">
        <v>38.299999999999997</v>
      </c>
      <c r="U36" s="39">
        <v>41.8</v>
      </c>
      <c r="V36" s="5">
        <f t="shared" si="0"/>
        <v>39.9</v>
      </c>
      <c r="W36" s="4">
        <f t="shared" si="1"/>
        <v>2.0437265428178457</v>
      </c>
      <c r="X36" s="2">
        <f t="shared" si="2"/>
        <v>33.299999999999997</v>
      </c>
      <c r="Y36" s="3">
        <f t="shared" si="3"/>
        <v>34.150000000000006</v>
      </c>
      <c r="Z36" s="2">
        <f t="shared" si="4"/>
        <v>37.4</v>
      </c>
      <c r="AA36" s="3">
        <f t="shared" si="5"/>
        <v>42.699999999999996</v>
      </c>
      <c r="AB36" s="3">
        <f t="shared" si="6"/>
        <v>52.9</v>
      </c>
      <c r="AC36" s="3">
        <f t="shared" si="7"/>
        <v>1.0691495389832575</v>
      </c>
      <c r="AD36" s="3">
        <f t="shared" si="8"/>
        <v>-6.2514363298208586E-2</v>
      </c>
    </row>
    <row r="37" spans="1:30" x14ac:dyDescent="0.2">
      <c r="A37" s="1">
        <v>406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4</v>
      </c>
      <c r="H37" s="1">
        <v>1</v>
      </c>
      <c r="I37" s="4">
        <v>13.83</v>
      </c>
      <c r="J37" s="39">
        <v>58.1</v>
      </c>
      <c r="K37" s="39">
        <v>57.3</v>
      </c>
      <c r="L37" s="39">
        <v>36.1</v>
      </c>
      <c r="M37" s="39">
        <v>42.4</v>
      </c>
      <c r="N37" s="39">
        <v>35.6</v>
      </c>
      <c r="O37" s="39">
        <v>36.700000000000003</v>
      </c>
      <c r="P37" s="39">
        <v>39.1</v>
      </c>
      <c r="Q37" s="39">
        <v>38.299999999999997</v>
      </c>
      <c r="R37" s="39">
        <v>33.799999999999997</v>
      </c>
      <c r="S37" s="39">
        <v>49.6</v>
      </c>
      <c r="T37" s="39">
        <v>32.700000000000003</v>
      </c>
      <c r="U37" s="39">
        <v>43.3</v>
      </c>
      <c r="V37" s="5">
        <f t="shared" si="0"/>
        <v>41.916666666666671</v>
      </c>
      <c r="W37" s="4">
        <f t="shared" si="1"/>
        <v>2.5113630650394598</v>
      </c>
      <c r="X37" s="2">
        <f t="shared" si="2"/>
        <v>32.700000000000003</v>
      </c>
      <c r="Y37" s="3">
        <f t="shared" si="3"/>
        <v>35.975000000000001</v>
      </c>
      <c r="Z37" s="2">
        <f t="shared" si="4"/>
        <v>38.700000000000003</v>
      </c>
      <c r="AA37" s="3">
        <f t="shared" si="5"/>
        <v>44.875</v>
      </c>
      <c r="AB37" s="3">
        <f t="shared" si="6"/>
        <v>58.1</v>
      </c>
      <c r="AC37" s="3">
        <f t="shared" si="7"/>
        <v>1.0532822729284979</v>
      </c>
      <c r="AD37" s="3">
        <f t="shared" si="8"/>
        <v>-8.9796453958047806E-2</v>
      </c>
    </row>
    <row r="38" spans="1:30" x14ac:dyDescent="0.2">
      <c r="A38" s="1">
        <v>407</v>
      </c>
      <c r="B38" s="1" t="s">
        <v>65</v>
      </c>
      <c r="C38" s="1">
        <v>7</v>
      </c>
      <c r="D38" s="1">
        <v>2</v>
      </c>
      <c r="E38" s="1">
        <v>1</v>
      </c>
      <c r="F38" s="1">
        <v>2</v>
      </c>
      <c r="G38" s="1">
        <v>4</v>
      </c>
      <c r="H38" s="1">
        <v>1</v>
      </c>
      <c r="I38" s="4">
        <v>13.805999999999999</v>
      </c>
      <c r="J38" s="39">
        <v>42</v>
      </c>
      <c r="K38" s="39">
        <v>42.6</v>
      </c>
      <c r="L38" s="39">
        <v>29.3</v>
      </c>
      <c r="M38" s="39">
        <v>39.799999999999997</v>
      </c>
      <c r="N38" s="39">
        <v>28.6</v>
      </c>
      <c r="O38" s="39">
        <v>38.9</v>
      </c>
      <c r="P38" s="39">
        <v>28.1</v>
      </c>
      <c r="Q38" s="39">
        <v>40.700000000000003</v>
      </c>
      <c r="R38" s="39">
        <v>33</v>
      </c>
      <c r="S38" s="39">
        <v>44.6</v>
      </c>
      <c r="T38" s="39">
        <v>35.200000000000003</v>
      </c>
      <c r="U38" s="39">
        <v>44.3</v>
      </c>
      <c r="V38" s="5">
        <f t="shared" si="0"/>
        <v>37.258333333333333</v>
      </c>
      <c r="W38" s="4">
        <f t="shared" si="1"/>
        <v>1.7838695738662165</v>
      </c>
      <c r="X38" s="2">
        <f t="shared" si="2"/>
        <v>28.1</v>
      </c>
      <c r="Y38" s="3">
        <f t="shared" si="3"/>
        <v>32.075000000000003</v>
      </c>
      <c r="Z38" s="2">
        <f t="shared" si="4"/>
        <v>39.349999999999994</v>
      </c>
      <c r="AA38" s="3">
        <f t="shared" si="5"/>
        <v>42.15</v>
      </c>
      <c r="AB38" s="3">
        <f t="shared" si="6"/>
        <v>44.6</v>
      </c>
      <c r="AC38" s="3">
        <f t="shared" si="7"/>
        <v>-0.43535603914208015</v>
      </c>
      <c r="AD38" s="3">
        <f t="shared" si="8"/>
        <v>-1.4521557371655542</v>
      </c>
    </row>
    <row r="39" spans="1:30" x14ac:dyDescent="0.2">
      <c r="A39" s="1">
        <v>408</v>
      </c>
      <c r="B39" s="1" t="s">
        <v>62</v>
      </c>
      <c r="C39" s="1">
        <v>10</v>
      </c>
      <c r="D39" s="1">
        <v>2</v>
      </c>
      <c r="E39" s="1">
        <v>2</v>
      </c>
      <c r="F39" s="1">
        <v>1</v>
      </c>
      <c r="G39" s="1">
        <v>4</v>
      </c>
      <c r="H39" s="1">
        <v>1</v>
      </c>
      <c r="I39" s="4">
        <v>13.785</v>
      </c>
      <c r="J39" s="39">
        <v>53</v>
      </c>
      <c r="K39" s="39">
        <v>54.2</v>
      </c>
      <c r="L39" s="39">
        <v>36.1</v>
      </c>
      <c r="M39" s="39">
        <v>52.8</v>
      </c>
      <c r="N39" s="39">
        <v>37.700000000000003</v>
      </c>
      <c r="O39" s="39">
        <v>38.200000000000003</v>
      </c>
      <c r="P39" s="39">
        <v>43.6</v>
      </c>
      <c r="Q39" s="39">
        <v>42.4</v>
      </c>
      <c r="R39" s="39">
        <v>39</v>
      </c>
      <c r="S39" s="39">
        <v>44.8</v>
      </c>
      <c r="T39" s="39">
        <v>41.9</v>
      </c>
      <c r="U39" s="39">
        <v>44.8</v>
      </c>
      <c r="V39" s="5">
        <f t="shared" si="0"/>
        <v>44.041666666666664</v>
      </c>
      <c r="W39" s="4">
        <f t="shared" si="1"/>
        <v>1.8082495442115922</v>
      </c>
      <c r="X39" s="2">
        <f t="shared" si="2"/>
        <v>36.1</v>
      </c>
      <c r="Y39" s="3">
        <f t="shared" si="3"/>
        <v>38.799999999999997</v>
      </c>
      <c r="Z39" s="2">
        <f t="shared" si="4"/>
        <v>43</v>
      </c>
      <c r="AA39" s="3">
        <f t="shared" si="5"/>
        <v>46.8</v>
      </c>
      <c r="AB39" s="3">
        <f t="shared" si="6"/>
        <v>54.2</v>
      </c>
      <c r="AC39" s="3">
        <f t="shared" si="7"/>
        <v>0.59571309820840734</v>
      </c>
      <c r="AD39" s="3">
        <f t="shared" si="8"/>
        <v>-0.92104553525269317</v>
      </c>
    </row>
    <row r="40" spans="1:30" x14ac:dyDescent="0.2">
      <c r="A40" s="50">
        <v>901</v>
      </c>
      <c r="B40" s="57" t="s">
        <v>61</v>
      </c>
      <c r="C40" s="50">
        <v>32</v>
      </c>
      <c r="D40" s="50">
        <v>9</v>
      </c>
      <c r="E40" s="50">
        <v>0</v>
      </c>
      <c r="F40" s="50">
        <v>1</v>
      </c>
      <c r="G40" s="50">
        <v>1</v>
      </c>
      <c r="H40" s="50">
        <v>1</v>
      </c>
      <c r="I40" s="48">
        <v>13.574</v>
      </c>
      <c r="J40" s="47">
        <v>35.6</v>
      </c>
      <c r="K40" s="47">
        <v>38.799999999999997</v>
      </c>
      <c r="L40" s="47">
        <v>35</v>
      </c>
      <c r="M40" s="47">
        <v>43.2</v>
      </c>
      <c r="N40" s="47">
        <v>35.1</v>
      </c>
      <c r="O40" s="47">
        <v>38.1</v>
      </c>
      <c r="P40" s="47">
        <v>33.799999999999997</v>
      </c>
      <c r="Q40" s="47">
        <v>37.4</v>
      </c>
      <c r="R40" s="47">
        <v>35.299999999999997</v>
      </c>
      <c r="S40" s="47">
        <v>38</v>
      </c>
      <c r="T40" s="47">
        <v>34.700000000000003</v>
      </c>
      <c r="U40" s="47">
        <v>39.5</v>
      </c>
      <c r="V40" s="49">
        <f t="shared" si="0"/>
        <v>37.041666666666664</v>
      </c>
      <c r="W40" s="48">
        <f t="shared" si="1"/>
        <v>0.77003131905347366</v>
      </c>
      <c r="X40" s="47">
        <f t="shared" si="2"/>
        <v>33.799999999999997</v>
      </c>
      <c r="Y40" s="46">
        <f t="shared" si="3"/>
        <v>35.075000000000003</v>
      </c>
      <c r="Z40" s="47">
        <f t="shared" si="4"/>
        <v>36.5</v>
      </c>
      <c r="AA40" s="46">
        <f t="shared" si="5"/>
        <v>38.274999999999999</v>
      </c>
      <c r="AB40" s="46">
        <f t="shared" si="6"/>
        <v>43.2</v>
      </c>
      <c r="AC40" s="46">
        <f t="shared" si="7"/>
        <v>1.0629991363383202</v>
      </c>
      <c r="AD40" s="46">
        <f t="shared" si="8"/>
        <v>1.1709218397189076</v>
      </c>
    </row>
    <row r="41" spans="1:30" x14ac:dyDescent="0.2">
      <c r="A41" s="1">
        <v>902</v>
      </c>
      <c r="B41" s="1" t="s">
        <v>76</v>
      </c>
      <c r="C41" s="1">
        <v>22</v>
      </c>
      <c r="D41" s="1">
        <v>4</v>
      </c>
      <c r="E41" s="1">
        <v>2</v>
      </c>
      <c r="F41" s="1">
        <v>2</v>
      </c>
      <c r="G41" s="1">
        <v>1</v>
      </c>
      <c r="H41" s="1">
        <v>1</v>
      </c>
      <c r="I41" s="4">
        <v>13.551</v>
      </c>
      <c r="J41" s="39">
        <v>54.5</v>
      </c>
      <c r="K41" s="39">
        <v>54.4</v>
      </c>
      <c r="L41" s="39">
        <v>31.4</v>
      </c>
      <c r="M41" s="39">
        <v>47.1</v>
      </c>
      <c r="N41" s="39">
        <v>33.4</v>
      </c>
      <c r="O41" s="39">
        <v>48.7</v>
      </c>
      <c r="P41" s="39">
        <v>40.6</v>
      </c>
      <c r="Q41" s="39">
        <v>44.5</v>
      </c>
      <c r="R41" s="39">
        <v>37.6</v>
      </c>
      <c r="S41" s="39">
        <v>43</v>
      </c>
      <c r="T41" s="39">
        <v>33.299999999999997</v>
      </c>
      <c r="U41" s="39">
        <v>49.6</v>
      </c>
      <c r="V41" s="5">
        <f t="shared" si="0"/>
        <v>43.175000000000004</v>
      </c>
      <c r="W41" s="4">
        <f t="shared" si="1"/>
        <v>2.3235984697199332</v>
      </c>
      <c r="X41" s="2">
        <f t="shared" si="2"/>
        <v>31.4</v>
      </c>
      <c r="Y41" s="3">
        <f t="shared" si="3"/>
        <v>36.549999999999997</v>
      </c>
      <c r="Z41" s="2">
        <f t="shared" si="4"/>
        <v>43.75</v>
      </c>
      <c r="AA41" s="3">
        <f t="shared" si="5"/>
        <v>48.925000000000004</v>
      </c>
      <c r="AB41" s="3">
        <f t="shared" si="6"/>
        <v>54.5</v>
      </c>
      <c r="AC41" s="3">
        <f t="shared" si="7"/>
        <v>-7.4556464833696323E-2</v>
      </c>
      <c r="AD41" s="3">
        <f t="shared" si="8"/>
        <v>-1.2526263225920342</v>
      </c>
    </row>
    <row r="42" spans="1:30" x14ac:dyDescent="0.2">
      <c r="A42" s="50">
        <v>903</v>
      </c>
      <c r="B42" s="57" t="s">
        <v>74</v>
      </c>
      <c r="C42" s="50">
        <v>31</v>
      </c>
      <c r="D42" s="50">
        <v>8</v>
      </c>
      <c r="E42" s="50">
        <v>0</v>
      </c>
      <c r="F42" s="50">
        <v>1</v>
      </c>
      <c r="G42" s="50">
        <v>1</v>
      </c>
      <c r="H42" s="50">
        <v>1</v>
      </c>
      <c r="I42" s="48">
        <v>13.539</v>
      </c>
      <c r="J42" s="47">
        <v>61</v>
      </c>
      <c r="K42" s="47">
        <v>61</v>
      </c>
      <c r="L42" s="47">
        <v>62.8</v>
      </c>
      <c r="M42" s="47">
        <v>63.9</v>
      </c>
      <c r="N42" s="47">
        <v>62</v>
      </c>
      <c r="O42" s="47">
        <v>62.9</v>
      </c>
      <c r="P42" s="47">
        <v>61.5</v>
      </c>
      <c r="Q42" s="47">
        <v>64.5</v>
      </c>
      <c r="R42" s="47">
        <v>62.5</v>
      </c>
      <c r="S42" s="47">
        <v>63.1</v>
      </c>
      <c r="T42" s="47">
        <v>62.4</v>
      </c>
      <c r="U42" s="47">
        <v>63.6</v>
      </c>
      <c r="V42" s="49">
        <f t="shared" ref="V42:V73" si="9">AVERAGE(J42:U42)</f>
        <v>62.6</v>
      </c>
      <c r="W42" s="48">
        <f t="shared" ref="W42:W73" si="10">STDEV(J42:U42)/SQRT(COUNT(J42:U42))</f>
        <v>0.31885210782848322</v>
      </c>
      <c r="X42" s="47">
        <f t="shared" ref="X42:X73" si="11">MIN(J42:U42)</f>
        <v>61</v>
      </c>
      <c r="Y42" s="46">
        <f t="shared" ref="Y42:Y73" si="12">QUARTILE(J42:U42,1)</f>
        <v>61.875</v>
      </c>
      <c r="Z42" s="47">
        <f t="shared" ref="Z42:Z73" si="13">MEDIAN(J42:U42)</f>
        <v>62.65</v>
      </c>
      <c r="AA42" s="46">
        <f t="shared" ref="AA42:AA73" si="14">QUARTILE(J42:U42,3)</f>
        <v>63.225000000000001</v>
      </c>
      <c r="AB42" s="46">
        <f t="shared" ref="AB42:AB73" si="15">MAX(J42:U42)</f>
        <v>64.5</v>
      </c>
      <c r="AC42" s="46">
        <f t="shared" ref="AC42:AC73" si="16">SKEW(J42:U42)</f>
        <v>3.7887388209740532E-2</v>
      </c>
      <c r="AD42" s="46">
        <f t="shared" ref="AD42:AD73" si="17">KURT(J42:U42)</f>
        <v>-0.6811959965144605</v>
      </c>
    </row>
    <row r="43" spans="1:30" x14ac:dyDescent="0.2">
      <c r="A43" s="1">
        <v>904</v>
      </c>
      <c r="B43" s="1" t="s">
        <v>75</v>
      </c>
      <c r="C43" s="1">
        <v>21</v>
      </c>
      <c r="D43" s="1">
        <v>3</v>
      </c>
      <c r="E43" s="1">
        <v>2</v>
      </c>
      <c r="F43" s="1">
        <v>2</v>
      </c>
      <c r="G43" s="1">
        <v>1</v>
      </c>
      <c r="H43" s="1">
        <v>1</v>
      </c>
      <c r="I43" s="4">
        <v>13.518000000000001</v>
      </c>
      <c r="J43" s="39">
        <v>63.6</v>
      </c>
      <c r="K43" s="39">
        <v>61.5</v>
      </c>
      <c r="L43" s="39">
        <v>45.1</v>
      </c>
      <c r="M43" s="39">
        <v>62.7</v>
      </c>
      <c r="N43" s="39">
        <v>45.5</v>
      </c>
      <c r="O43" s="39">
        <v>58.4</v>
      </c>
      <c r="P43" s="39">
        <v>53.3</v>
      </c>
      <c r="Q43" s="39">
        <v>65</v>
      </c>
      <c r="R43" s="39">
        <v>51.9</v>
      </c>
      <c r="S43" s="39">
        <v>60.4</v>
      </c>
      <c r="T43" s="39">
        <v>41.9</v>
      </c>
      <c r="U43" s="39">
        <v>63.6</v>
      </c>
      <c r="V43" s="5">
        <f t="shared" si="9"/>
        <v>56.074999999999996</v>
      </c>
      <c r="W43" s="4">
        <f t="shared" si="10"/>
        <v>2.3815619079108865</v>
      </c>
      <c r="X43" s="2">
        <f t="shared" si="11"/>
        <v>41.9</v>
      </c>
      <c r="Y43" s="3">
        <f t="shared" si="12"/>
        <v>50.3</v>
      </c>
      <c r="Z43" s="2">
        <f t="shared" si="13"/>
        <v>59.4</v>
      </c>
      <c r="AA43" s="3">
        <f t="shared" si="14"/>
        <v>62.925000000000004</v>
      </c>
      <c r="AB43" s="3">
        <f t="shared" si="15"/>
        <v>65</v>
      </c>
      <c r="AC43" s="3">
        <f t="shared" si="16"/>
        <v>-0.64886848124342578</v>
      </c>
      <c r="AD43" s="3">
        <f t="shared" si="17"/>
        <v>-1.1868895250583256</v>
      </c>
    </row>
    <row r="44" spans="1:30" x14ac:dyDescent="0.2">
      <c r="A44" s="50">
        <v>905</v>
      </c>
      <c r="B44" s="57" t="s">
        <v>61</v>
      </c>
      <c r="C44" s="50">
        <v>32</v>
      </c>
      <c r="D44" s="50">
        <v>9</v>
      </c>
      <c r="E44" s="50">
        <v>0</v>
      </c>
      <c r="F44" s="50">
        <v>1</v>
      </c>
      <c r="G44" s="50">
        <v>2</v>
      </c>
      <c r="H44" s="50">
        <v>1</v>
      </c>
      <c r="I44" s="48">
        <v>13.506</v>
      </c>
      <c r="J44" s="47">
        <v>35.799999999999997</v>
      </c>
      <c r="K44" s="47">
        <v>35.700000000000003</v>
      </c>
      <c r="L44" s="47">
        <v>36.799999999999997</v>
      </c>
      <c r="M44" s="47">
        <v>35.9</v>
      </c>
      <c r="N44" s="47">
        <v>36.1</v>
      </c>
      <c r="O44" s="47">
        <v>36.299999999999997</v>
      </c>
      <c r="P44" s="47">
        <v>36.1</v>
      </c>
      <c r="Q44" s="47">
        <v>36</v>
      </c>
      <c r="R44" s="47">
        <v>35.5</v>
      </c>
      <c r="S44" s="47">
        <v>36.200000000000003</v>
      </c>
      <c r="T44" s="47">
        <v>35.9</v>
      </c>
      <c r="U44" s="47">
        <v>37.200000000000003</v>
      </c>
      <c r="V44" s="49">
        <f t="shared" si="9"/>
        <v>36.124999999999993</v>
      </c>
      <c r="W44" s="48">
        <f t="shared" si="10"/>
        <v>0.13602862889402326</v>
      </c>
      <c r="X44" s="47">
        <f t="shared" si="11"/>
        <v>35.5</v>
      </c>
      <c r="Y44" s="46">
        <f t="shared" si="12"/>
        <v>35.875</v>
      </c>
      <c r="Z44" s="47">
        <f t="shared" si="13"/>
        <v>36.049999999999997</v>
      </c>
      <c r="AA44" s="46">
        <f t="shared" si="14"/>
        <v>36.225000000000001</v>
      </c>
      <c r="AB44" s="46">
        <f t="shared" si="15"/>
        <v>37.200000000000003</v>
      </c>
      <c r="AC44" s="46">
        <f t="shared" si="16"/>
        <v>1.225729230228255</v>
      </c>
      <c r="AD44" s="46">
        <f t="shared" si="17"/>
        <v>1.5461439097189515</v>
      </c>
    </row>
    <row r="45" spans="1:30" x14ac:dyDescent="0.2">
      <c r="A45" s="1">
        <v>906</v>
      </c>
      <c r="B45" s="1" t="s">
        <v>76</v>
      </c>
      <c r="C45" s="1">
        <v>22</v>
      </c>
      <c r="D45" s="1">
        <v>4</v>
      </c>
      <c r="E45" s="1">
        <v>2</v>
      </c>
      <c r="F45" s="1">
        <v>2</v>
      </c>
      <c r="G45" s="1">
        <v>2</v>
      </c>
      <c r="H45" s="1">
        <v>1</v>
      </c>
      <c r="I45" s="4">
        <v>13.484</v>
      </c>
      <c r="J45" s="39">
        <v>52.4</v>
      </c>
      <c r="K45" s="39">
        <v>44.2</v>
      </c>
      <c r="L45" s="39">
        <v>35.799999999999997</v>
      </c>
      <c r="M45" s="39">
        <v>33</v>
      </c>
      <c r="N45" s="39">
        <v>36.299999999999997</v>
      </c>
      <c r="O45" s="39">
        <v>32.299999999999997</v>
      </c>
      <c r="P45" s="39">
        <v>44.6</v>
      </c>
      <c r="Q45" s="39">
        <v>36.9</v>
      </c>
      <c r="R45" s="39">
        <v>31.1</v>
      </c>
      <c r="S45" s="39">
        <v>35.4</v>
      </c>
      <c r="T45" s="39">
        <v>34.9</v>
      </c>
      <c r="U45" s="39">
        <v>34.4</v>
      </c>
      <c r="V45" s="5">
        <f t="shared" si="9"/>
        <v>37.608333333333327</v>
      </c>
      <c r="W45" s="4">
        <f t="shared" si="10"/>
        <v>1.806740675550002</v>
      </c>
      <c r="X45" s="2">
        <f t="shared" si="11"/>
        <v>31.1</v>
      </c>
      <c r="Y45" s="3">
        <f t="shared" si="12"/>
        <v>34.049999999999997</v>
      </c>
      <c r="Z45" s="2">
        <f t="shared" si="13"/>
        <v>35.599999999999994</v>
      </c>
      <c r="AA45" s="3">
        <f t="shared" si="14"/>
        <v>38.725000000000001</v>
      </c>
      <c r="AB45" s="3">
        <f t="shared" si="15"/>
        <v>52.4</v>
      </c>
      <c r="AC45" s="3">
        <f t="shared" si="16"/>
        <v>1.4546938892790815</v>
      </c>
      <c r="AD45" s="3">
        <f t="shared" si="17"/>
        <v>1.6543260943060512</v>
      </c>
    </row>
    <row r="46" spans="1:30" x14ac:dyDescent="0.2">
      <c r="A46" s="50">
        <v>907</v>
      </c>
      <c r="B46" s="57" t="s">
        <v>74</v>
      </c>
      <c r="C46" s="50">
        <v>31</v>
      </c>
      <c r="D46" s="50">
        <v>8</v>
      </c>
      <c r="E46" s="50">
        <v>0</v>
      </c>
      <c r="F46" s="50">
        <v>1</v>
      </c>
      <c r="G46" s="50">
        <v>2</v>
      </c>
      <c r="H46" s="50">
        <v>1</v>
      </c>
      <c r="I46" s="48">
        <v>13.472</v>
      </c>
      <c r="J46" s="47">
        <v>62</v>
      </c>
      <c r="K46" s="47">
        <v>62.8</v>
      </c>
      <c r="L46" s="47">
        <v>60.1</v>
      </c>
      <c r="M46" s="47">
        <v>63.8</v>
      </c>
      <c r="N46" s="47">
        <v>61.8</v>
      </c>
      <c r="O46" s="47">
        <v>64.599999999999994</v>
      </c>
      <c r="P46" s="47">
        <v>61.6</v>
      </c>
      <c r="Q46" s="47">
        <v>63.4</v>
      </c>
      <c r="R46" s="47">
        <v>62.5</v>
      </c>
      <c r="S46" s="47">
        <v>64.7</v>
      </c>
      <c r="T46" s="47">
        <v>62.8</v>
      </c>
      <c r="U46" s="47">
        <v>63.8</v>
      </c>
      <c r="V46" s="49">
        <f t="shared" si="9"/>
        <v>62.824999999999996</v>
      </c>
      <c r="W46" s="48">
        <f t="shared" si="10"/>
        <v>0.38595120589698012</v>
      </c>
      <c r="X46" s="47">
        <f t="shared" si="11"/>
        <v>60.1</v>
      </c>
      <c r="Y46" s="46">
        <f t="shared" si="12"/>
        <v>61.95</v>
      </c>
      <c r="Z46" s="47">
        <f t="shared" si="13"/>
        <v>62.8</v>
      </c>
      <c r="AA46" s="46">
        <f t="shared" si="14"/>
        <v>63.8</v>
      </c>
      <c r="AB46" s="46">
        <f t="shared" si="15"/>
        <v>64.7</v>
      </c>
      <c r="AC46" s="46">
        <f t="shared" si="16"/>
        <v>-0.43446968794535168</v>
      </c>
      <c r="AD46" s="46">
        <f t="shared" si="17"/>
        <v>6.8503265329705521E-2</v>
      </c>
    </row>
    <row r="47" spans="1:30" x14ac:dyDescent="0.2">
      <c r="A47" s="1">
        <v>908</v>
      </c>
      <c r="B47" s="1" t="s">
        <v>75</v>
      </c>
      <c r="C47" s="1">
        <v>21</v>
      </c>
      <c r="D47" s="1">
        <v>3</v>
      </c>
      <c r="E47" s="1">
        <v>2</v>
      </c>
      <c r="F47" s="1">
        <v>2</v>
      </c>
      <c r="G47" s="1">
        <v>2</v>
      </c>
      <c r="H47" s="1">
        <v>1</v>
      </c>
      <c r="I47" s="4">
        <v>13.449</v>
      </c>
      <c r="J47" s="39">
        <v>63.5</v>
      </c>
      <c r="K47" s="39">
        <v>63</v>
      </c>
      <c r="L47" s="39">
        <v>50.7</v>
      </c>
      <c r="M47" s="39">
        <v>56.5</v>
      </c>
      <c r="N47" s="39">
        <v>60.4</v>
      </c>
      <c r="O47" s="39">
        <v>49.6</v>
      </c>
      <c r="P47" s="39">
        <v>55.6</v>
      </c>
      <c r="Q47" s="39">
        <v>55.2</v>
      </c>
      <c r="R47" s="39">
        <v>52.2</v>
      </c>
      <c r="S47" s="39">
        <v>56</v>
      </c>
      <c r="T47" s="39">
        <v>58.3</v>
      </c>
      <c r="U47" s="39">
        <v>61.8</v>
      </c>
      <c r="V47" s="5">
        <f t="shared" si="9"/>
        <v>56.9</v>
      </c>
      <c r="W47" s="4">
        <f t="shared" si="10"/>
        <v>1.3437847951802309</v>
      </c>
      <c r="X47" s="2">
        <f t="shared" si="11"/>
        <v>49.6</v>
      </c>
      <c r="Y47" s="3">
        <f t="shared" si="12"/>
        <v>54.45</v>
      </c>
      <c r="Z47" s="2">
        <f t="shared" si="13"/>
        <v>56.25</v>
      </c>
      <c r="AA47" s="3">
        <f t="shared" si="14"/>
        <v>60.75</v>
      </c>
      <c r="AB47" s="3">
        <f t="shared" si="15"/>
        <v>63.5</v>
      </c>
      <c r="AC47" s="3">
        <f t="shared" si="16"/>
        <v>-6.6324221674608524E-2</v>
      </c>
      <c r="AD47" s="3">
        <f t="shared" si="17"/>
        <v>-1.0701617388978133</v>
      </c>
    </row>
    <row r="48" spans="1:30" x14ac:dyDescent="0.2">
      <c r="A48" s="1">
        <v>101</v>
      </c>
      <c r="B48" s="1" t="s">
        <v>71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2</v>
      </c>
      <c r="I48" s="4">
        <v>13.256</v>
      </c>
      <c r="J48" s="39">
        <v>28.5</v>
      </c>
      <c r="K48" s="39">
        <v>28.1</v>
      </c>
      <c r="L48" s="39">
        <v>26.8</v>
      </c>
      <c r="M48" s="39">
        <v>29.2</v>
      </c>
      <c r="N48" s="39">
        <v>29.4</v>
      </c>
      <c r="O48" s="39">
        <v>30.2</v>
      </c>
      <c r="P48" s="39">
        <v>31.5</v>
      </c>
      <c r="Q48" s="39">
        <v>28.3</v>
      </c>
      <c r="R48" s="39">
        <v>31.9</v>
      </c>
      <c r="S48" s="39">
        <v>28.2</v>
      </c>
      <c r="T48" s="39">
        <v>31</v>
      </c>
      <c r="U48" s="39">
        <v>28.8</v>
      </c>
      <c r="V48" s="5">
        <f t="shared" si="9"/>
        <v>29.324999999999999</v>
      </c>
      <c r="W48" s="4">
        <f t="shared" si="10"/>
        <v>0.44468664486491166</v>
      </c>
      <c r="X48" s="2">
        <f t="shared" si="11"/>
        <v>26.8</v>
      </c>
      <c r="Y48" s="3">
        <f t="shared" si="12"/>
        <v>28.274999999999999</v>
      </c>
      <c r="Z48" s="2">
        <f t="shared" si="13"/>
        <v>29</v>
      </c>
      <c r="AA48" s="3">
        <f t="shared" si="14"/>
        <v>30.4</v>
      </c>
      <c r="AB48" s="3">
        <f t="shared" si="15"/>
        <v>31.9</v>
      </c>
      <c r="AC48" s="3">
        <f t="shared" si="16"/>
        <v>0.34580408878469154</v>
      </c>
      <c r="AD48" s="3">
        <f t="shared" si="17"/>
        <v>-0.64873810908356955</v>
      </c>
    </row>
    <row r="49" spans="1:30" x14ac:dyDescent="0.2">
      <c r="A49" s="1">
        <v>102</v>
      </c>
      <c r="B49" s="1" t="s">
        <v>68</v>
      </c>
      <c r="C49" s="1">
        <v>4</v>
      </c>
      <c r="D49" s="1">
        <v>1</v>
      </c>
      <c r="E49" s="1">
        <v>2</v>
      </c>
      <c r="F49" s="1">
        <v>1</v>
      </c>
      <c r="G49" s="1">
        <v>1</v>
      </c>
      <c r="H49" s="1">
        <v>2</v>
      </c>
      <c r="I49" s="4">
        <v>13.239000000000001</v>
      </c>
      <c r="J49" s="39">
        <v>28.3</v>
      </c>
      <c r="K49" s="39">
        <v>27.1</v>
      </c>
      <c r="L49" s="39">
        <v>27.1</v>
      </c>
      <c r="M49" s="39">
        <v>28.8</v>
      </c>
      <c r="N49" s="39">
        <v>27.2</v>
      </c>
      <c r="O49" s="39">
        <v>27.6</v>
      </c>
      <c r="P49" s="39">
        <v>27.5</v>
      </c>
      <c r="Q49" s="39">
        <v>28.3</v>
      </c>
      <c r="R49" s="39">
        <v>27.5</v>
      </c>
      <c r="S49" s="39">
        <v>27</v>
      </c>
      <c r="T49" s="39">
        <v>30</v>
      </c>
      <c r="U49" s="39">
        <v>27.1</v>
      </c>
      <c r="V49" s="5">
        <f t="shared" si="9"/>
        <v>27.791666666666668</v>
      </c>
      <c r="W49" s="4">
        <f t="shared" si="10"/>
        <v>0.26153924710792026</v>
      </c>
      <c r="X49" s="2">
        <f t="shared" si="11"/>
        <v>27</v>
      </c>
      <c r="Y49" s="3">
        <f t="shared" si="12"/>
        <v>27.1</v>
      </c>
      <c r="Z49" s="2">
        <f t="shared" si="13"/>
        <v>27.5</v>
      </c>
      <c r="AA49" s="3">
        <f t="shared" si="14"/>
        <v>28.3</v>
      </c>
      <c r="AB49" s="3">
        <f t="shared" si="15"/>
        <v>30</v>
      </c>
      <c r="AC49" s="3">
        <f t="shared" si="16"/>
        <v>1.5116211467871374</v>
      </c>
      <c r="AD49" s="3">
        <f t="shared" si="17"/>
        <v>2.0865593782135727</v>
      </c>
    </row>
    <row r="50" spans="1:30" x14ac:dyDescent="0.2">
      <c r="A50" s="1">
        <v>103</v>
      </c>
      <c r="B50" s="1" t="s">
        <v>73</v>
      </c>
      <c r="C50" s="1">
        <v>5</v>
      </c>
      <c r="D50" s="1">
        <v>1</v>
      </c>
      <c r="E50" s="1">
        <v>3</v>
      </c>
      <c r="F50" s="1">
        <v>2</v>
      </c>
      <c r="G50" s="1">
        <v>1</v>
      </c>
      <c r="H50" s="1">
        <v>2</v>
      </c>
      <c r="I50" s="4">
        <v>13.222</v>
      </c>
      <c r="J50" s="39">
        <v>29.7</v>
      </c>
      <c r="K50" s="39">
        <v>30.8</v>
      </c>
      <c r="L50" s="39">
        <v>29.3</v>
      </c>
      <c r="M50" s="39">
        <v>29.2</v>
      </c>
      <c r="N50" s="39">
        <v>29.6</v>
      </c>
      <c r="O50" s="39">
        <v>27.7</v>
      </c>
      <c r="P50" s="39">
        <v>27.7</v>
      </c>
      <c r="Q50" s="39">
        <v>29.9</v>
      </c>
      <c r="R50" s="39">
        <v>26.7</v>
      </c>
      <c r="S50" s="39">
        <v>27.3</v>
      </c>
      <c r="T50" s="39">
        <v>29.2</v>
      </c>
      <c r="U50" s="39">
        <v>26.6</v>
      </c>
      <c r="V50" s="5">
        <f t="shared" si="9"/>
        <v>28.641666666666666</v>
      </c>
      <c r="W50" s="4">
        <f t="shared" si="10"/>
        <v>0.39742701508985562</v>
      </c>
      <c r="X50" s="2">
        <f t="shared" si="11"/>
        <v>26.6</v>
      </c>
      <c r="Y50" s="3">
        <f t="shared" si="12"/>
        <v>27.6</v>
      </c>
      <c r="Z50" s="2">
        <f t="shared" si="13"/>
        <v>29.2</v>
      </c>
      <c r="AA50" s="3">
        <f t="shared" si="14"/>
        <v>29.625</v>
      </c>
      <c r="AB50" s="3">
        <f t="shared" si="15"/>
        <v>30.8</v>
      </c>
      <c r="AC50" s="3">
        <f t="shared" si="16"/>
        <v>-0.21614054729421145</v>
      </c>
      <c r="AD50" s="3">
        <f t="shared" si="17"/>
        <v>-1.2660247977714647</v>
      </c>
    </row>
    <row r="51" spans="1:30" x14ac:dyDescent="0.2">
      <c r="A51" s="1">
        <v>104</v>
      </c>
      <c r="B51" s="1" t="s">
        <v>62</v>
      </c>
      <c r="C51" s="1">
        <v>10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4">
        <v>13.205</v>
      </c>
      <c r="J51" s="39">
        <v>30.7</v>
      </c>
      <c r="K51" s="39">
        <v>26</v>
      </c>
      <c r="L51" s="39">
        <v>29.2</v>
      </c>
      <c r="M51" s="39">
        <v>26.2</v>
      </c>
      <c r="N51" s="39">
        <v>26.4</v>
      </c>
      <c r="O51" s="39">
        <v>25.2</v>
      </c>
      <c r="P51" s="39">
        <v>27.4</v>
      </c>
      <c r="Q51" s="39">
        <v>27.2</v>
      </c>
      <c r="R51" s="39">
        <v>29.8</v>
      </c>
      <c r="S51" s="39">
        <v>26</v>
      </c>
      <c r="T51" s="39">
        <v>27.5</v>
      </c>
      <c r="U51" s="39">
        <v>27.4</v>
      </c>
      <c r="V51" s="5">
        <f t="shared" si="9"/>
        <v>27.416666666666668</v>
      </c>
      <c r="W51" s="4">
        <f t="shared" si="10"/>
        <v>0.48567873989277982</v>
      </c>
      <c r="X51" s="2">
        <f t="shared" si="11"/>
        <v>25.2</v>
      </c>
      <c r="Y51" s="3">
        <f t="shared" si="12"/>
        <v>26.15</v>
      </c>
      <c r="Z51" s="2">
        <f t="shared" si="13"/>
        <v>27.299999999999997</v>
      </c>
      <c r="AA51" s="3">
        <f t="shared" si="14"/>
        <v>27.925000000000001</v>
      </c>
      <c r="AB51" s="3">
        <f t="shared" si="15"/>
        <v>30.7</v>
      </c>
      <c r="AC51" s="3">
        <f t="shared" si="16"/>
        <v>0.80552941997136684</v>
      </c>
      <c r="AD51" s="3">
        <f t="shared" si="17"/>
        <v>-0.21691702210004493</v>
      </c>
    </row>
    <row r="52" spans="1:30" x14ac:dyDescent="0.2">
      <c r="A52" s="1">
        <v>105</v>
      </c>
      <c r="B52" s="1" t="s">
        <v>66</v>
      </c>
      <c r="C52" s="1">
        <v>12</v>
      </c>
      <c r="D52" s="1">
        <v>2</v>
      </c>
      <c r="E52" s="1">
        <v>3</v>
      </c>
      <c r="F52" s="1">
        <v>1</v>
      </c>
      <c r="G52" s="1">
        <v>2</v>
      </c>
      <c r="H52" s="1">
        <v>2</v>
      </c>
      <c r="I52" s="4">
        <v>13.189</v>
      </c>
      <c r="J52" s="39">
        <v>26.8</v>
      </c>
      <c r="K52" s="39">
        <v>28.6</v>
      </c>
      <c r="L52" s="39">
        <v>26.4</v>
      </c>
      <c r="M52" s="39">
        <v>26.9</v>
      </c>
      <c r="N52" s="39">
        <v>27.5</v>
      </c>
      <c r="O52" s="39">
        <v>27.1</v>
      </c>
      <c r="P52" s="39">
        <v>27.3</v>
      </c>
      <c r="Q52" s="39">
        <v>26</v>
      </c>
      <c r="R52" s="39">
        <v>26.6</v>
      </c>
      <c r="S52" s="39">
        <v>26.2</v>
      </c>
      <c r="T52" s="39">
        <v>26.3</v>
      </c>
      <c r="U52" s="39">
        <v>25.3</v>
      </c>
      <c r="V52" s="5">
        <f t="shared" si="9"/>
        <v>26.750000000000004</v>
      </c>
      <c r="W52" s="4">
        <f t="shared" si="10"/>
        <v>0.24230584229878002</v>
      </c>
      <c r="X52" s="2">
        <f t="shared" si="11"/>
        <v>25.3</v>
      </c>
      <c r="Y52" s="3">
        <f t="shared" si="12"/>
        <v>26.274999999999999</v>
      </c>
      <c r="Z52" s="2">
        <f t="shared" si="13"/>
        <v>26.700000000000003</v>
      </c>
      <c r="AA52" s="3">
        <f t="shared" si="14"/>
        <v>27.150000000000002</v>
      </c>
      <c r="AB52" s="3">
        <f t="shared" si="15"/>
        <v>28.6</v>
      </c>
      <c r="AC52" s="3">
        <f t="shared" si="16"/>
        <v>0.58882727343563612</v>
      </c>
      <c r="AD52" s="3">
        <f t="shared" si="17"/>
        <v>1.3702115851543395</v>
      </c>
    </row>
    <row r="53" spans="1:30" x14ac:dyDescent="0.2">
      <c r="A53" s="1">
        <v>106</v>
      </c>
      <c r="B53" s="1" t="s">
        <v>63</v>
      </c>
      <c r="C53" s="1">
        <v>9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4">
        <v>13.170999999999999</v>
      </c>
      <c r="J53" s="39">
        <v>27.9</v>
      </c>
      <c r="K53" s="39">
        <v>28.2</v>
      </c>
      <c r="L53" s="39">
        <v>28</v>
      </c>
      <c r="M53" s="39">
        <v>27.7</v>
      </c>
      <c r="N53" s="39">
        <v>27.6</v>
      </c>
      <c r="O53" s="39">
        <v>27.5</v>
      </c>
      <c r="P53" s="39">
        <v>26.6</v>
      </c>
      <c r="Q53" s="39">
        <v>27.6</v>
      </c>
      <c r="R53" s="39">
        <v>29.6</v>
      </c>
      <c r="S53" s="39">
        <v>29.2</v>
      </c>
      <c r="T53" s="39">
        <v>28.6</v>
      </c>
      <c r="U53" s="39">
        <v>26</v>
      </c>
      <c r="V53" s="5">
        <f t="shared" si="9"/>
        <v>27.875</v>
      </c>
      <c r="W53" s="4">
        <f t="shared" si="10"/>
        <v>0.28660103195060466</v>
      </c>
      <c r="X53" s="2">
        <f t="shared" si="11"/>
        <v>26</v>
      </c>
      <c r="Y53" s="3">
        <f t="shared" si="12"/>
        <v>27.575000000000003</v>
      </c>
      <c r="Z53" s="2">
        <f t="shared" si="13"/>
        <v>27.799999999999997</v>
      </c>
      <c r="AA53" s="3">
        <f t="shared" si="14"/>
        <v>28.3</v>
      </c>
      <c r="AB53" s="3">
        <f t="shared" si="15"/>
        <v>29.6</v>
      </c>
      <c r="AC53" s="3">
        <f t="shared" si="16"/>
        <v>-9.894935510099051E-2</v>
      </c>
      <c r="AD53" s="3">
        <f t="shared" si="17"/>
        <v>0.38766783013475958</v>
      </c>
    </row>
    <row r="54" spans="1:30" x14ac:dyDescent="0.2">
      <c r="A54" s="1">
        <v>107</v>
      </c>
      <c r="B54" s="1" t="s">
        <v>62</v>
      </c>
      <c r="C54" s="1">
        <v>10</v>
      </c>
      <c r="D54" s="1">
        <v>2</v>
      </c>
      <c r="E54" s="1">
        <v>2</v>
      </c>
      <c r="F54" s="1">
        <v>1</v>
      </c>
      <c r="G54" s="1">
        <v>2</v>
      </c>
      <c r="H54" s="1">
        <v>2</v>
      </c>
      <c r="I54" s="4">
        <v>13.153</v>
      </c>
      <c r="J54" s="39">
        <v>28.8</v>
      </c>
      <c r="K54" s="39">
        <v>28.5</v>
      </c>
      <c r="L54" s="39">
        <v>27.9</v>
      </c>
      <c r="M54" s="39">
        <v>27.1</v>
      </c>
      <c r="N54" s="39">
        <v>27</v>
      </c>
      <c r="O54" s="39">
        <v>26.7</v>
      </c>
      <c r="P54" s="39">
        <v>26.9</v>
      </c>
      <c r="Q54" s="39">
        <v>27.1</v>
      </c>
      <c r="R54" s="39">
        <v>26.3</v>
      </c>
      <c r="S54" s="39">
        <v>28.7</v>
      </c>
      <c r="T54" s="39">
        <v>25.9</v>
      </c>
      <c r="U54" s="39">
        <v>26.5</v>
      </c>
      <c r="V54" s="5">
        <f t="shared" si="9"/>
        <v>27.283333333333331</v>
      </c>
      <c r="W54" s="4">
        <f t="shared" si="10"/>
        <v>0.27929384258348866</v>
      </c>
      <c r="X54" s="2">
        <f t="shared" si="11"/>
        <v>25.9</v>
      </c>
      <c r="Y54" s="3">
        <f t="shared" si="12"/>
        <v>26.65</v>
      </c>
      <c r="Z54" s="2">
        <f t="shared" si="13"/>
        <v>27.05</v>
      </c>
      <c r="AA54" s="3">
        <f t="shared" si="14"/>
        <v>28.049999999999997</v>
      </c>
      <c r="AB54" s="3">
        <f t="shared" si="15"/>
        <v>28.8</v>
      </c>
      <c r="AC54" s="3">
        <f t="shared" si="16"/>
        <v>0.48169478605937466</v>
      </c>
      <c r="AD54" s="3">
        <f t="shared" si="17"/>
        <v>-1.016653271390525</v>
      </c>
    </row>
    <row r="55" spans="1:30" x14ac:dyDescent="0.2">
      <c r="A55" s="1">
        <v>108</v>
      </c>
      <c r="B55" s="1" t="s">
        <v>69</v>
      </c>
      <c r="C55" s="1">
        <v>3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4">
        <v>13.135</v>
      </c>
      <c r="J55" s="39">
        <v>29.7</v>
      </c>
      <c r="K55" s="39">
        <v>29.5</v>
      </c>
      <c r="L55" s="39">
        <v>29.7</v>
      </c>
      <c r="M55" s="39">
        <v>30.4</v>
      </c>
      <c r="N55" s="39">
        <v>29.1</v>
      </c>
      <c r="O55" s="39">
        <v>28.6</v>
      </c>
      <c r="P55" s="39">
        <v>31.1</v>
      </c>
      <c r="Q55" s="39">
        <v>30.4</v>
      </c>
      <c r="R55" s="39">
        <v>29.1</v>
      </c>
      <c r="S55" s="39">
        <v>28.8</v>
      </c>
      <c r="T55" s="39">
        <v>29.6</v>
      </c>
      <c r="U55" s="39">
        <v>29.5</v>
      </c>
      <c r="V55" s="5">
        <f t="shared" si="9"/>
        <v>29.625000000000004</v>
      </c>
      <c r="W55" s="4">
        <f t="shared" si="10"/>
        <v>0.20784791934430694</v>
      </c>
      <c r="X55" s="2">
        <f t="shared" si="11"/>
        <v>28.6</v>
      </c>
      <c r="Y55" s="3">
        <f t="shared" si="12"/>
        <v>29.1</v>
      </c>
      <c r="Z55" s="2">
        <f t="shared" si="13"/>
        <v>29.55</v>
      </c>
      <c r="AA55" s="3">
        <f t="shared" si="14"/>
        <v>29.875</v>
      </c>
      <c r="AB55" s="3">
        <f t="shared" si="15"/>
        <v>31.1</v>
      </c>
      <c r="AC55" s="3">
        <f t="shared" si="16"/>
        <v>0.6456541371097726</v>
      </c>
      <c r="AD55" s="3">
        <f t="shared" si="17"/>
        <v>0.17325175670801851</v>
      </c>
    </row>
    <row r="56" spans="1:30" x14ac:dyDescent="0.2">
      <c r="A56" s="1">
        <v>201</v>
      </c>
      <c r="B56" s="1" t="s">
        <v>66</v>
      </c>
      <c r="C56" s="1">
        <v>12</v>
      </c>
      <c r="D56" s="1">
        <v>2</v>
      </c>
      <c r="E56" s="1">
        <v>3</v>
      </c>
      <c r="F56" s="1">
        <v>1</v>
      </c>
      <c r="G56" s="1">
        <v>1</v>
      </c>
      <c r="H56" s="1">
        <v>2</v>
      </c>
      <c r="I56" s="4">
        <v>13.282999999999999</v>
      </c>
      <c r="J56" s="39">
        <v>28.1</v>
      </c>
      <c r="K56" s="39">
        <v>28.8</v>
      </c>
      <c r="L56" s="39">
        <v>29.1</v>
      </c>
      <c r="M56" s="39">
        <v>27.6</v>
      </c>
      <c r="N56" s="39">
        <v>27.4</v>
      </c>
      <c r="O56" s="39">
        <v>28</v>
      </c>
      <c r="P56" s="39">
        <v>28.3</v>
      </c>
      <c r="Q56" s="39">
        <v>27.7</v>
      </c>
      <c r="R56" s="39">
        <v>29.2</v>
      </c>
      <c r="S56" s="39">
        <v>28.3</v>
      </c>
      <c r="T56" s="39">
        <v>25.5</v>
      </c>
      <c r="U56" s="39">
        <v>28</v>
      </c>
      <c r="V56" s="5">
        <f t="shared" si="9"/>
        <v>28</v>
      </c>
      <c r="W56" s="4">
        <f t="shared" si="10"/>
        <v>0.2798809270624445</v>
      </c>
      <c r="X56" s="2">
        <f t="shared" si="11"/>
        <v>25.5</v>
      </c>
      <c r="Y56" s="3">
        <f t="shared" si="12"/>
        <v>27.675000000000001</v>
      </c>
      <c r="Z56" s="2">
        <f t="shared" si="13"/>
        <v>28.05</v>
      </c>
      <c r="AA56" s="3">
        <f t="shared" si="14"/>
        <v>28.425000000000001</v>
      </c>
      <c r="AB56" s="3">
        <f t="shared" si="15"/>
        <v>29.2</v>
      </c>
      <c r="AC56" s="3">
        <f t="shared" si="16"/>
        <v>-1.4730371206724215</v>
      </c>
      <c r="AD56" s="3">
        <f t="shared" si="17"/>
        <v>3.6687970698382593</v>
      </c>
    </row>
    <row r="57" spans="1:30" x14ac:dyDescent="0.2">
      <c r="A57" s="1">
        <v>202</v>
      </c>
      <c r="B57" s="1" t="s">
        <v>63</v>
      </c>
      <c r="C57" s="1">
        <v>9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4">
        <v>13.301</v>
      </c>
      <c r="J57" s="39">
        <v>28.8</v>
      </c>
      <c r="K57" s="39">
        <v>26.6</v>
      </c>
      <c r="L57" s="39">
        <v>30.4</v>
      </c>
      <c r="M57" s="39">
        <v>28.3</v>
      </c>
      <c r="N57" s="39">
        <v>32.299999999999997</v>
      </c>
      <c r="O57" s="39">
        <v>29.7</v>
      </c>
      <c r="P57" s="39">
        <v>28.5</v>
      </c>
      <c r="Q57" s="39">
        <v>28.6</v>
      </c>
      <c r="R57" s="39">
        <v>28.7</v>
      </c>
      <c r="S57" s="39">
        <v>28.5</v>
      </c>
      <c r="T57" s="39">
        <v>28.5</v>
      </c>
      <c r="U57" s="39">
        <v>29.1</v>
      </c>
      <c r="V57" s="5">
        <f t="shared" si="9"/>
        <v>29</v>
      </c>
      <c r="W57" s="4">
        <f t="shared" si="10"/>
        <v>0.39542842128966421</v>
      </c>
      <c r="X57" s="2">
        <f t="shared" si="11"/>
        <v>26.6</v>
      </c>
      <c r="Y57" s="3">
        <f t="shared" si="12"/>
        <v>28.5</v>
      </c>
      <c r="Z57" s="2">
        <f t="shared" si="13"/>
        <v>28.65</v>
      </c>
      <c r="AA57" s="3">
        <f t="shared" si="14"/>
        <v>29.25</v>
      </c>
      <c r="AB57" s="3">
        <f t="shared" si="15"/>
        <v>32.299999999999997</v>
      </c>
      <c r="AC57" s="3">
        <f t="shared" si="16"/>
        <v>1.0349467351577466</v>
      </c>
      <c r="AD57" s="3">
        <f t="shared" si="17"/>
        <v>2.9627403701700592</v>
      </c>
    </row>
    <row r="58" spans="1:30" x14ac:dyDescent="0.2">
      <c r="A58" s="1">
        <v>203</v>
      </c>
      <c r="B58" s="1" t="s">
        <v>69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1">
        <v>2</v>
      </c>
      <c r="I58" s="4">
        <v>13.321</v>
      </c>
      <c r="J58" s="39">
        <v>28.9</v>
      </c>
      <c r="K58" s="39">
        <v>28.4</v>
      </c>
      <c r="L58" s="39">
        <v>30.1</v>
      </c>
      <c r="M58" s="39">
        <v>31.1</v>
      </c>
      <c r="N58" s="39">
        <v>29.3</v>
      </c>
      <c r="O58" s="39">
        <v>29.8</v>
      </c>
      <c r="P58" s="39">
        <v>30.5</v>
      </c>
      <c r="Q58" s="39">
        <v>28.9</v>
      </c>
      <c r="R58" s="39">
        <v>28.5</v>
      </c>
      <c r="S58" s="39">
        <v>29.8</v>
      </c>
      <c r="T58" s="39">
        <v>30.1</v>
      </c>
      <c r="U58" s="39">
        <v>28.1</v>
      </c>
      <c r="V58" s="5">
        <f t="shared" si="9"/>
        <v>29.458333333333339</v>
      </c>
      <c r="W58" s="4">
        <f t="shared" si="10"/>
        <v>0.26641797115347798</v>
      </c>
      <c r="X58" s="2">
        <f t="shared" si="11"/>
        <v>28.1</v>
      </c>
      <c r="Y58" s="3">
        <f t="shared" si="12"/>
        <v>28.799999999999997</v>
      </c>
      <c r="Z58" s="2">
        <f t="shared" si="13"/>
        <v>29.55</v>
      </c>
      <c r="AA58" s="3">
        <f t="shared" si="14"/>
        <v>30.1</v>
      </c>
      <c r="AB58" s="3">
        <f t="shared" si="15"/>
        <v>31.1</v>
      </c>
      <c r="AC58" s="3">
        <f t="shared" si="16"/>
        <v>0.17195005393685864</v>
      </c>
      <c r="AD58" s="3">
        <f t="shared" si="17"/>
        <v>-0.88288954976791434</v>
      </c>
    </row>
    <row r="59" spans="1:30" x14ac:dyDescent="0.2">
      <c r="A59" s="1">
        <v>204</v>
      </c>
      <c r="B59" s="1" t="s">
        <v>67</v>
      </c>
      <c r="C59" s="1">
        <v>11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4">
        <v>13.337999999999999</v>
      </c>
      <c r="J59" s="39">
        <v>29.2</v>
      </c>
      <c r="K59" s="39">
        <v>27.7</v>
      </c>
      <c r="L59" s="39">
        <v>26.5</v>
      </c>
      <c r="M59" s="39">
        <v>27.6</v>
      </c>
      <c r="N59" s="39">
        <v>28</v>
      </c>
      <c r="O59" s="39">
        <v>28.9</v>
      </c>
      <c r="P59" s="39">
        <v>28.4</v>
      </c>
      <c r="Q59" s="39">
        <v>30.1</v>
      </c>
      <c r="R59" s="39">
        <v>28.9</v>
      </c>
      <c r="S59" s="39">
        <v>29.2</v>
      </c>
      <c r="T59" s="39">
        <v>30</v>
      </c>
      <c r="U59" s="39">
        <v>29.2</v>
      </c>
      <c r="V59" s="5">
        <f t="shared" si="9"/>
        <v>28.641666666666666</v>
      </c>
      <c r="W59" s="4">
        <f t="shared" si="10"/>
        <v>0.30237903500090879</v>
      </c>
      <c r="X59" s="2">
        <f t="shared" si="11"/>
        <v>26.5</v>
      </c>
      <c r="Y59" s="3">
        <f t="shared" si="12"/>
        <v>27.925000000000001</v>
      </c>
      <c r="Z59" s="2">
        <f t="shared" si="13"/>
        <v>28.9</v>
      </c>
      <c r="AA59" s="3">
        <f t="shared" si="14"/>
        <v>29.2</v>
      </c>
      <c r="AB59" s="3">
        <f t="shared" si="15"/>
        <v>30.1</v>
      </c>
      <c r="AC59" s="3">
        <f t="shared" si="16"/>
        <v>-0.56027169104979258</v>
      </c>
      <c r="AD59" s="3">
        <f t="shared" si="17"/>
        <v>7.7069337027900531E-2</v>
      </c>
    </row>
    <row r="60" spans="1:30" x14ac:dyDescent="0.2">
      <c r="A60" s="1">
        <v>205</v>
      </c>
      <c r="B60" s="1" t="s">
        <v>71</v>
      </c>
      <c r="C60" s="1">
        <v>1</v>
      </c>
      <c r="D60" s="1">
        <v>1</v>
      </c>
      <c r="E60" s="1">
        <v>1</v>
      </c>
      <c r="F60" s="1">
        <v>2</v>
      </c>
      <c r="G60" s="1">
        <v>2</v>
      </c>
      <c r="H60" s="1">
        <v>2</v>
      </c>
      <c r="I60" s="4">
        <v>13.358000000000001</v>
      </c>
      <c r="J60" s="39">
        <v>28</v>
      </c>
      <c r="K60" s="39">
        <v>28.2</v>
      </c>
      <c r="L60" s="39">
        <v>28.6</v>
      </c>
      <c r="M60" s="39">
        <v>27.3</v>
      </c>
      <c r="N60" s="39">
        <v>30.1</v>
      </c>
      <c r="O60" s="39">
        <v>27.5</v>
      </c>
      <c r="P60" s="39">
        <v>30.7</v>
      </c>
      <c r="Q60" s="39">
        <v>26.6</v>
      </c>
      <c r="R60" s="39">
        <v>27.4</v>
      </c>
      <c r="S60" s="39">
        <v>28.5</v>
      </c>
      <c r="T60" s="39">
        <v>26.2</v>
      </c>
      <c r="U60" s="39">
        <v>28.7</v>
      </c>
      <c r="V60" s="5">
        <f t="shared" si="9"/>
        <v>28.149999999999995</v>
      </c>
      <c r="W60" s="4">
        <f t="shared" si="10"/>
        <v>0.37809330257827295</v>
      </c>
      <c r="X60" s="2">
        <f t="shared" si="11"/>
        <v>26.2</v>
      </c>
      <c r="Y60" s="3">
        <f t="shared" si="12"/>
        <v>27.375</v>
      </c>
      <c r="Z60" s="2">
        <f t="shared" si="13"/>
        <v>28.1</v>
      </c>
      <c r="AA60" s="3">
        <f t="shared" si="14"/>
        <v>28.625</v>
      </c>
      <c r="AB60" s="3">
        <f t="shared" si="15"/>
        <v>30.7</v>
      </c>
      <c r="AC60" s="3">
        <f t="shared" si="16"/>
        <v>0.57506659031988894</v>
      </c>
      <c r="AD60" s="3">
        <f t="shared" si="17"/>
        <v>0.15065386156755611</v>
      </c>
    </row>
    <row r="61" spans="1:30" x14ac:dyDescent="0.2">
      <c r="A61" s="1">
        <v>206</v>
      </c>
      <c r="B61" s="1" t="s">
        <v>64</v>
      </c>
      <c r="C61" s="1">
        <v>8</v>
      </c>
      <c r="D61" s="1">
        <v>2</v>
      </c>
      <c r="E61" s="1">
        <v>1</v>
      </c>
      <c r="F61" s="1">
        <v>1</v>
      </c>
      <c r="G61" s="1">
        <v>2</v>
      </c>
      <c r="H61" s="1">
        <v>2</v>
      </c>
      <c r="I61" s="4">
        <v>13.388</v>
      </c>
      <c r="J61" s="39">
        <v>27.6</v>
      </c>
      <c r="K61" s="39">
        <v>28.2</v>
      </c>
      <c r="L61" s="39">
        <v>27.1</v>
      </c>
      <c r="M61" s="39">
        <v>27.6</v>
      </c>
      <c r="N61" s="39">
        <v>28.6</v>
      </c>
      <c r="O61" s="39">
        <v>26.5</v>
      </c>
      <c r="P61" s="39">
        <v>28.9</v>
      </c>
      <c r="Q61" s="39">
        <v>28.8</v>
      </c>
      <c r="R61" s="39">
        <v>28.5</v>
      </c>
      <c r="S61" s="39">
        <v>28.3</v>
      </c>
      <c r="T61" s="39">
        <v>28</v>
      </c>
      <c r="U61" s="39">
        <v>27.5</v>
      </c>
      <c r="V61" s="5">
        <f t="shared" si="9"/>
        <v>27.966666666666669</v>
      </c>
      <c r="W61" s="4">
        <f t="shared" si="10"/>
        <v>0.20973769091391029</v>
      </c>
      <c r="X61" s="2">
        <f t="shared" si="11"/>
        <v>26.5</v>
      </c>
      <c r="Y61" s="3">
        <f t="shared" si="12"/>
        <v>27.575000000000003</v>
      </c>
      <c r="Z61" s="2">
        <f t="shared" si="13"/>
        <v>28.1</v>
      </c>
      <c r="AA61" s="3">
        <f t="shared" si="14"/>
        <v>28.524999999999999</v>
      </c>
      <c r="AB61" s="3">
        <f t="shared" si="15"/>
        <v>28.9</v>
      </c>
      <c r="AC61" s="3">
        <f t="shared" si="16"/>
        <v>-0.61406951238593477</v>
      </c>
      <c r="AD61" s="3">
        <f t="shared" si="17"/>
        <v>-0.2031787103517888</v>
      </c>
    </row>
    <row r="62" spans="1:30" x14ac:dyDescent="0.2">
      <c r="A62" s="1">
        <v>207</v>
      </c>
      <c r="B62" s="1" t="s">
        <v>68</v>
      </c>
      <c r="C62" s="1">
        <v>4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4">
        <v>13.407</v>
      </c>
      <c r="J62" s="39">
        <v>27</v>
      </c>
      <c r="K62" s="39">
        <v>27.4</v>
      </c>
      <c r="L62" s="39">
        <v>27.9</v>
      </c>
      <c r="M62" s="39">
        <v>27.4</v>
      </c>
      <c r="N62" s="39">
        <v>26.5</v>
      </c>
      <c r="O62" s="39">
        <v>27.6</v>
      </c>
      <c r="P62" s="39">
        <v>25.4</v>
      </c>
      <c r="Q62" s="39">
        <v>27.1</v>
      </c>
      <c r="R62" s="39">
        <v>27.6</v>
      </c>
      <c r="S62" s="39">
        <v>28.5</v>
      </c>
      <c r="T62" s="39">
        <v>28.2</v>
      </c>
      <c r="U62" s="39">
        <v>27.4</v>
      </c>
      <c r="V62" s="5">
        <f t="shared" si="9"/>
        <v>27.333333333333329</v>
      </c>
      <c r="W62" s="4">
        <f t="shared" si="10"/>
        <v>0.23333333333333339</v>
      </c>
      <c r="X62" s="2">
        <f t="shared" si="11"/>
        <v>25.4</v>
      </c>
      <c r="Y62" s="3">
        <f t="shared" si="12"/>
        <v>27.075000000000003</v>
      </c>
      <c r="Z62" s="2">
        <f t="shared" si="13"/>
        <v>27.4</v>
      </c>
      <c r="AA62" s="3">
        <f t="shared" si="14"/>
        <v>27.675000000000001</v>
      </c>
      <c r="AB62" s="3">
        <f t="shared" si="15"/>
        <v>28.5</v>
      </c>
      <c r="AC62" s="3">
        <f t="shared" si="16"/>
        <v>-1.114517082060867</v>
      </c>
      <c r="AD62" s="3">
        <f t="shared" si="17"/>
        <v>2.2419522168792998</v>
      </c>
    </row>
    <row r="63" spans="1:30" x14ac:dyDescent="0.2">
      <c r="A63" s="1">
        <v>208</v>
      </c>
      <c r="B63" s="1" t="s">
        <v>70</v>
      </c>
      <c r="C63" s="1">
        <v>2</v>
      </c>
      <c r="D63" s="1">
        <v>1</v>
      </c>
      <c r="E63" s="1">
        <v>1</v>
      </c>
      <c r="F63" s="1">
        <v>1</v>
      </c>
      <c r="G63" s="1">
        <v>2</v>
      </c>
      <c r="H63" s="1">
        <v>2</v>
      </c>
      <c r="I63" s="4">
        <v>13.426</v>
      </c>
      <c r="J63" s="39">
        <v>27.6</v>
      </c>
      <c r="K63" s="39">
        <v>27.4</v>
      </c>
      <c r="L63" s="39">
        <v>25.8</v>
      </c>
      <c r="M63" s="39">
        <v>27.9</v>
      </c>
      <c r="N63" s="39">
        <v>27.9</v>
      </c>
      <c r="O63" s="39">
        <v>28.1</v>
      </c>
      <c r="P63" s="39">
        <v>25.6</v>
      </c>
      <c r="Q63" s="39">
        <v>28.7</v>
      </c>
      <c r="R63" s="39">
        <v>27.9</v>
      </c>
      <c r="S63" s="39">
        <v>28.8</v>
      </c>
      <c r="T63" s="39">
        <v>28.7</v>
      </c>
      <c r="U63" s="39">
        <v>28.3</v>
      </c>
      <c r="V63" s="5">
        <f t="shared" si="9"/>
        <v>27.724999999999998</v>
      </c>
      <c r="W63" s="4">
        <f t="shared" si="10"/>
        <v>0.30103986446980724</v>
      </c>
      <c r="X63" s="2">
        <f t="shared" si="11"/>
        <v>25.6</v>
      </c>
      <c r="Y63" s="3">
        <f t="shared" si="12"/>
        <v>27.55</v>
      </c>
      <c r="Z63" s="2">
        <f t="shared" si="13"/>
        <v>27.9</v>
      </c>
      <c r="AA63" s="3">
        <f t="shared" si="14"/>
        <v>28.4</v>
      </c>
      <c r="AB63" s="3">
        <f t="shared" si="15"/>
        <v>28.8</v>
      </c>
      <c r="AC63" s="3">
        <f t="shared" si="16"/>
        <v>-1.289987746037772</v>
      </c>
      <c r="AD63" s="3">
        <f t="shared" si="17"/>
        <v>0.95095526009198661</v>
      </c>
    </row>
    <row r="64" spans="1:30" x14ac:dyDescent="0.2">
      <c r="A64" s="1">
        <v>301</v>
      </c>
      <c r="B64" s="1" t="s">
        <v>62</v>
      </c>
      <c r="C64" s="1">
        <v>10</v>
      </c>
      <c r="D64" s="1">
        <v>2</v>
      </c>
      <c r="E64" s="1">
        <v>2</v>
      </c>
      <c r="F64" s="1">
        <v>1</v>
      </c>
      <c r="G64" s="1">
        <v>3</v>
      </c>
      <c r="H64" s="1">
        <v>2</v>
      </c>
      <c r="I64" s="4">
        <v>13.602</v>
      </c>
      <c r="J64" s="39">
        <v>26.7</v>
      </c>
      <c r="K64" s="39">
        <v>29.1</v>
      </c>
      <c r="L64" s="39">
        <v>26.8</v>
      </c>
      <c r="M64" s="39">
        <v>28</v>
      </c>
      <c r="N64" s="39">
        <v>27.7</v>
      </c>
      <c r="O64" s="39">
        <v>28.2</v>
      </c>
      <c r="P64" s="39">
        <v>30.7</v>
      </c>
      <c r="Q64" s="39">
        <v>27.3</v>
      </c>
      <c r="R64" s="39">
        <v>29.6</v>
      </c>
      <c r="S64" s="39">
        <v>28.3</v>
      </c>
      <c r="T64" s="39">
        <v>28.3</v>
      </c>
      <c r="U64" s="39">
        <v>28.2</v>
      </c>
      <c r="V64" s="5">
        <f t="shared" si="9"/>
        <v>28.241666666666664</v>
      </c>
      <c r="W64" s="4">
        <f t="shared" si="10"/>
        <v>0.32947578504238051</v>
      </c>
      <c r="X64" s="2">
        <f t="shared" si="11"/>
        <v>26.7</v>
      </c>
      <c r="Y64" s="3">
        <f t="shared" si="12"/>
        <v>27.6</v>
      </c>
      <c r="Z64" s="2">
        <f t="shared" si="13"/>
        <v>28.2</v>
      </c>
      <c r="AA64" s="3">
        <f t="shared" si="14"/>
        <v>28.5</v>
      </c>
      <c r="AB64" s="3">
        <f t="shared" si="15"/>
        <v>30.7</v>
      </c>
      <c r="AC64" s="3">
        <f t="shared" si="16"/>
        <v>0.75773924410303783</v>
      </c>
      <c r="AD64" s="3">
        <f t="shared" si="17"/>
        <v>0.73175311804515619</v>
      </c>
    </row>
    <row r="65" spans="1:30" x14ac:dyDescent="0.2">
      <c r="A65" s="1">
        <v>302</v>
      </c>
      <c r="B65" s="1" t="s">
        <v>68</v>
      </c>
      <c r="C65" s="1">
        <v>4</v>
      </c>
      <c r="D65" s="1">
        <v>1</v>
      </c>
      <c r="E65" s="1">
        <v>2</v>
      </c>
      <c r="F65" s="1">
        <v>1</v>
      </c>
      <c r="G65" s="1">
        <v>3</v>
      </c>
      <c r="H65" s="1">
        <v>2</v>
      </c>
      <c r="I65" s="4">
        <v>13.621</v>
      </c>
      <c r="J65" s="39">
        <v>27.8</v>
      </c>
      <c r="K65" s="39">
        <v>27.8</v>
      </c>
      <c r="L65" s="39">
        <v>28.6</v>
      </c>
      <c r="M65" s="39">
        <v>27.1</v>
      </c>
      <c r="N65" s="39">
        <v>28.7</v>
      </c>
      <c r="O65" s="39">
        <v>28</v>
      </c>
      <c r="P65" s="39">
        <v>30.3</v>
      </c>
      <c r="Q65" s="39">
        <v>29.5</v>
      </c>
      <c r="R65" s="39">
        <v>30.6</v>
      </c>
      <c r="S65" s="39">
        <v>29.2</v>
      </c>
      <c r="T65" s="39">
        <v>30.1</v>
      </c>
      <c r="U65" s="39">
        <v>29.2</v>
      </c>
      <c r="V65" s="5">
        <f t="shared" si="9"/>
        <v>28.908333333333335</v>
      </c>
      <c r="W65" s="4">
        <f t="shared" si="10"/>
        <v>0.31896098681674395</v>
      </c>
      <c r="X65" s="2">
        <f t="shared" si="11"/>
        <v>27.1</v>
      </c>
      <c r="Y65" s="3">
        <f t="shared" si="12"/>
        <v>27.95</v>
      </c>
      <c r="Z65" s="2">
        <f t="shared" si="13"/>
        <v>28.95</v>
      </c>
      <c r="AA65" s="3">
        <f t="shared" si="14"/>
        <v>29.65</v>
      </c>
      <c r="AB65" s="3">
        <f t="shared" si="15"/>
        <v>30.6</v>
      </c>
      <c r="AC65" s="3">
        <f t="shared" si="16"/>
        <v>4.9545994975387989E-3</v>
      </c>
      <c r="AD65" s="3">
        <f t="shared" si="17"/>
        <v>-1.0204886846778534</v>
      </c>
    </row>
    <row r="66" spans="1:30" x14ac:dyDescent="0.2">
      <c r="A66" s="1">
        <v>303</v>
      </c>
      <c r="B66" s="1" t="s">
        <v>64</v>
      </c>
      <c r="C66" s="1">
        <v>8</v>
      </c>
      <c r="D66" s="1">
        <v>2</v>
      </c>
      <c r="E66" s="1">
        <v>1</v>
      </c>
      <c r="F66" s="1">
        <v>1</v>
      </c>
      <c r="G66" s="1">
        <v>3</v>
      </c>
      <c r="H66" s="1">
        <v>2</v>
      </c>
      <c r="I66" s="4">
        <v>13.645</v>
      </c>
      <c r="J66" s="39">
        <v>29.5</v>
      </c>
      <c r="K66" s="39">
        <v>27.1</v>
      </c>
      <c r="L66" s="39">
        <v>27.2</v>
      </c>
      <c r="M66" s="39">
        <v>27.4</v>
      </c>
      <c r="N66" s="39">
        <v>27.5</v>
      </c>
      <c r="O66" s="39">
        <v>26.6</v>
      </c>
      <c r="P66" s="39">
        <v>28.5</v>
      </c>
      <c r="Q66" s="39">
        <v>26.5</v>
      </c>
      <c r="R66" s="39">
        <v>26.3</v>
      </c>
      <c r="S66" s="39">
        <v>28.6</v>
      </c>
      <c r="T66" s="39">
        <v>27</v>
      </c>
      <c r="U66" s="39">
        <v>25.9</v>
      </c>
      <c r="V66" s="5">
        <f t="shared" si="9"/>
        <v>27.341666666666665</v>
      </c>
      <c r="W66" s="4">
        <f t="shared" si="10"/>
        <v>0.30437674356001976</v>
      </c>
      <c r="X66" s="2">
        <f t="shared" si="11"/>
        <v>25.9</v>
      </c>
      <c r="Y66" s="3">
        <f t="shared" si="12"/>
        <v>26.575000000000003</v>
      </c>
      <c r="Z66" s="2">
        <f t="shared" si="13"/>
        <v>27.15</v>
      </c>
      <c r="AA66" s="3">
        <f t="shared" si="14"/>
        <v>27.75</v>
      </c>
      <c r="AB66" s="3">
        <f t="shared" si="15"/>
        <v>29.5</v>
      </c>
      <c r="AC66" s="3">
        <f t="shared" si="16"/>
        <v>0.78336596954023363</v>
      </c>
      <c r="AD66" s="3">
        <f t="shared" si="17"/>
        <v>8.8179826275732509E-2</v>
      </c>
    </row>
    <row r="67" spans="1:30" x14ac:dyDescent="0.2">
      <c r="A67" s="1">
        <v>304</v>
      </c>
      <c r="B67" s="1" t="s">
        <v>70</v>
      </c>
      <c r="C67" s="1">
        <v>2</v>
      </c>
      <c r="D67" s="1">
        <v>1</v>
      </c>
      <c r="E67" s="1">
        <v>1</v>
      </c>
      <c r="F67" s="1">
        <v>1</v>
      </c>
      <c r="G67" s="1">
        <v>3</v>
      </c>
      <c r="H67" s="1">
        <v>2</v>
      </c>
      <c r="I67" s="4">
        <v>13.675000000000001</v>
      </c>
      <c r="J67" s="39">
        <v>26.2</v>
      </c>
      <c r="K67" s="39">
        <v>27.5</v>
      </c>
      <c r="L67" s="39">
        <v>28.3</v>
      </c>
      <c r="M67" s="39">
        <v>25.8</v>
      </c>
      <c r="N67" s="39">
        <v>29.3</v>
      </c>
      <c r="O67" s="39">
        <v>27.4</v>
      </c>
      <c r="P67" s="39">
        <v>26.2</v>
      </c>
      <c r="Q67" s="39">
        <v>27.1</v>
      </c>
      <c r="R67" s="39">
        <v>28.4</v>
      </c>
      <c r="S67" s="39">
        <v>25.8</v>
      </c>
      <c r="T67" s="39">
        <v>27.8</v>
      </c>
      <c r="U67" s="39">
        <v>28.3</v>
      </c>
      <c r="V67" s="5">
        <f t="shared" si="9"/>
        <v>27.341666666666669</v>
      </c>
      <c r="W67" s="4">
        <f t="shared" si="10"/>
        <v>0.33085251070285659</v>
      </c>
      <c r="X67" s="2">
        <f t="shared" si="11"/>
        <v>25.8</v>
      </c>
      <c r="Y67" s="3">
        <f t="shared" si="12"/>
        <v>26.2</v>
      </c>
      <c r="Z67" s="2">
        <f t="shared" si="13"/>
        <v>27.45</v>
      </c>
      <c r="AA67" s="3">
        <f t="shared" si="14"/>
        <v>28.3</v>
      </c>
      <c r="AB67" s="3">
        <f t="shared" si="15"/>
        <v>29.3</v>
      </c>
      <c r="AC67" s="3">
        <f t="shared" si="16"/>
        <v>1.7245071531439653E-2</v>
      </c>
      <c r="AD67" s="3">
        <f t="shared" si="17"/>
        <v>-1.0750563580132182</v>
      </c>
    </row>
    <row r="68" spans="1:30" x14ac:dyDescent="0.2">
      <c r="A68" s="1">
        <v>305</v>
      </c>
      <c r="B68" s="1" t="s">
        <v>67</v>
      </c>
      <c r="C68" s="1">
        <v>11</v>
      </c>
      <c r="D68" s="1">
        <v>2</v>
      </c>
      <c r="E68" s="1">
        <v>3</v>
      </c>
      <c r="F68" s="1">
        <v>2</v>
      </c>
      <c r="G68" s="1">
        <v>4</v>
      </c>
      <c r="H68" s="1">
        <v>2</v>
      </c>
      <c r="I68" s="4">
        <v>13.698</v>
      </c>
      <c r="J68" s="39">
        <v>29.1</v>
      </c>
      <c r="K68" s="39">
        <v>27.5</v>
      </c>
      <c r="L68" s="39">
        <v>29.8</v>
      </c>
      <c r="M68" s="39">
        <v>28.6</v>
      </c>
      <c r="N68" s="39">
        <v>27.7</v>
      </c>
      <c r="O68" s="39">
        <v>28.8</v>
      </c>
      <c r="P68" s="39">
        <v>27.9</v>
      </c>
      <c r="Q68" s="39">
        <v>27.3</v>
      </c>
      <c r="R68" s="39">
        <v>26.9</v>
      </c>
      <c r="S68" s="39">
        <v>27.3</v>
      </c>
      <c r="T68" s="39">
        <v>27.4</v>
      </c>
      <c r="U68" s="39">
        <v>29.9</v>
      </c>
      <c r="V68" s="5">
        <f t="shared" si="9"/>
        <v>28.183333333333334</v>
      </c>
      <c r="W68" s="4">
        <f t="shared" si="10"/>
        <v>0.29588934595639821</v>
      </c>
      <c r="X68" s="2">
        <f t="shared" si="11"/>
        <v>26.9</v>
      </c>
      <c r="Y68" s="3">
        <f t="shared" si="12"/>
        <v>27.375</v>
      </c>
      <c r="Z68" s="2">
        <f t="shared" si="13"/>
        <v>27.799999999999997</v>
      </c>
      <c r="AA68" s="3">
        <f t="shared" si="14"/>
        <v>28.875</v>
      </c>
      <c r="AB68" s="3">
        <f t="shared" si="15"/>
        <v>29.9</v>
      </c>
      <c r="AC68" s="3">
        <f t="shared" si="16"/>
        <v>0.60112960658258663</v>
      </c>
      <c r="AD68" s="3">
        <f t="shared" si="17"/>
        <v>-1.0379318156462936</v>
      </c>
    </row>
    <row r="69" spans="1:30" x14ac:dyDescent="0.2">
      <c r="A69" s="1">
        <v>306</v>
      </c>
      <c r="B69" s="1" t="s">
        <v>68</v>
      </c>
      <c r="C69" s="1">
        <v>4</v>
      </c>
      <c r="D69" s="1">
        <v>1</v>
      </c>
      <c r="E69" s="1">
        <v>2</v>
      </c>
      <c r="F69" s="1">
        <v>1</v>
      </c>
      <c r="G69" s="1">
        <v>4</v>
      </c>
      <c r="H69" s="1">
        <v>2</v>
      </c>
      <c r="I69" s="4">
        <v>13.718</v>
      </c>
      <c r="J69" s="39">
        <v>30.3</v>
      </c>
      <c r="K69" s="39">
        <v>28.9</v>
      </c>
      <c r="L69" s="39">
        <v>27.2</v>
      </c>
      <c r="M69" s="39">
        <v>27.7</v>
      </c>
      <c r="N69" s="39">
        <v>27.3</v>
      </c>
      <c r="O69" s="39">
        <v>29</v>
      </c>
      <c r="P69" s="39">
        <v>28.2</v>
      </c>
      <c r="Q69" s="39">
        <v>28.3</v>
      </c>
      <c r="R69" s="39">
        <v>28.9</v>
      </c>
      <c r="S69" s="39">
        <v>30.8</v>
      </c>
      <c r="T69" s="39">
        <v>27.9</v>
      </c>
      <c r="U69" s="39">
        <v>26.6</v>
      </c>
      <c r="V69" s="5">
        <f t="shared" si="9"/>
        <v>28.425000000000001</v>
      </c>
      <c r="W69" s="4">
        <f t="shared" si="10"/>
        <v>0.35783968816251005</v>
      </c>
      <c r="X69" s="2">
        <f t="shared" si="11"/>
        <v>26.6</v>
      </c>
      <c r="Y69" s="3">
        <f t="shared" si="12"/>
        <v>27.6</v>
      </c>
      <c r="Z69" s="2">
        <f t="shared" si="13"/>
        <v>28.25</v>
      </c>
      <c r="AA69" s="3">
        <f t="shared" si="14"/>
        <v>28.924999999999997</v>
      </c>
      <c r="AB69" s="3">
        <f t="shared" si="15"/>
        <v>30.8</v>
      </c>
      <c r="AC69" s="3">
        <f t="shared" si="16"/>
        <v>0.60211992640458589</v>
      </c>
      <c r="AD69" s="3">
        <f t="shared" si="17"/>
        <v>-4.9798384948818164E-2</v>
      </c>
    </row>
    <row r="70" spans="1:30" x14ac:dyDescent="0.2">
      <c r="A70" s="1">
        <v>307</v>
      </c>
      <c r="B70" s="1" t="s">
        <v>63</v>
      </c>
      <c r="C70" s="1">
        <v>9</v>
      </c>
      <c r="D70" s="1">
        <v>2</v>
      </c>
      <c r="E70" s="1">
        <v>2</v>
      </c>
      <c r="F70" s="1">
        <v>2</v>
      </c>
      <c r="G70" s="1">
        <v>4</v>
      </c>
      <c r="H70" s="1">
        <v>2</v>
      </c>
      <c r="I70" s="4">
        <v>13.738</v>
      </c>
      <c r="J70" s="39">
        <v>28.9</v>
      </c>
      <c r="K70" s="39">
        <v>30.3</v>
      </c>
      <c r="L70" s="39">
        <v>28.3</v>
      </c>
      <c r="M70" s="39">
        <v>29.1</v>
      </c>
      <c r="N70" s="39">
        <v>26.8</v>
      </c>
      <c r="O70" s="39">
        <v>27.6</v>
      </c>
      <c r="P70" s="39">
        <v>26.4</v>
      </c>
      <c r="Q70" s="39">
        <v>28.5</v>
      </c>
      <c r="R70" s="39">
        <v>29.1</v>
      </c>
      <c r="S70" s="39">
        <v>27.9</v>
      </c>
      <c r="T70" s="39">
        <v>28.6</v>
      </c>
      <c r="U70" s="39">
        <v>28.4</v>
      </c>
      <c r="V70" s="5">
        <f t="shared" si="9"/>
        <v>28.324999999999999</v>
      </c>
      <c r="W70" s="4">
        <f t="shared" si="10"/>
        <v>0.30503973909024129</v>
      </c>
      <c r="X70" s="2">
        <f t="shared" si="11"/>
        <v>26.4</v>
      </c>
      <c r="Y70" s="3">
        <f t="shared" si="12"/>
        <v>27.824999999999999</v>
      </c>
      <c r="Z70" s="2">
        <f t="shared" si="13"/>
        <v>28.45</v>
      </c>
      <c r="AA70" s="3">
        <f t="shared" si="14"/>
        <v>28.95</v>
      </c>
      <c r="AB70" s="3">
        <f t="shared" si="15"/>
        <v>30.3</v>
      </c>
      <c r="AC70" s="3">
        <f t="shared" si="16"/>
        <v>-0.21139508819118638</v>
      </c>
      <c r="AD70" s="3">
        <f t="shared" si="17"/>
        <v>0.45357923161193447</v>
      </c>
    </row>
    <row r="71" spans="1:30" x14ac:dyDescent="0.2">
      <c r="A71" s="1">
        <v>308</v>
      </c>
      <c r="B71" s="1" t="s">
        <v>73</v>
      </c>
      <c r="C71" s="1">
        <v>5</v>
      </c>
      <c r="D71" s="1">
        <v>1</v>
      </c>
      <c r="E71" s="1">
        <v>3</v>
      </c>
      <c r="F71" s="1">
        <v>2</v>
      </c>
      <c r="G71" s="1">
        <v>4</v>
      </c>
      <c r="H71" s="1">
        <v>2</v>
      </c>
      <c r="I71" s="4">
        <v>13.759</v>
      </c>
      <c r="J71" s="39">
        <v>29.5</v>
      </c>
      <c r="K71" s="39">
        <v>27.3</v>
      </c>
      <c r="L71" s="39">
        <v>29.5</v>
      </c>
      <c r="M71" s="39">
        <v>28.8</v>
      </c>
      <c r="N71" s="39">
        <v>29.2</v>
      </c>
      <c r="O71" s="39">
        <v>29.5</v>
      </c>
      <c r="P71" s="39">
        <v>28.4</v>
      </c>
      <c r="Q71" s="39">
        <v>30.5</v>
      </c>
      <c r="R71" s="39">
        <v>30.1</v>
      </c>
      <c r="S71" s="39">
        <v>30.6</v>
      </c>
      <c r="T71" s="39">
        <v>29.5</v>
      </c>
      <c r="U71" s="39">
        <v>29.5</v>
      </c>
      <c r="V71" s="5">
        <f t="shared" si="9"/>
        <v>29.366666666666671</v>
      </c>
      <c r="W71" s="4">
        <f t="shared" si="10"/>
        <v>0.26092299262580931</v>
      </c>
      <c r="X71" s="2">
        <f t="shared" si="11"/>
        <v>27.3</v>
      </c>
      <c r="Y71" s="3">
        <f t="shared" si="12"/>
        <v>29.1</v>
      </c>
      <c r="Z71" s="2">
        <f t="shared" si="13"/>
        <v>29.5</v>
      </c>
      <c r="AA71" s="3">
        <f t="shared" si="14"/>
        <v>29.65</v>
      </c>
      <c r="AB71" s="3">
        <f t="shared" si="15"/>
        <v>30.6</v>
      </c>
      <c r="AC71" s="3">
        <f t="shared" si="16"/>
        <v>-0.91283025199557111</v>
      </c>
      <c r="AD71" s="3">
        <f t="shared" si="17"/>
        <v>1.508600278244959</v>
      </c>
    </row>
    <row r="72" spans="1:30" x14ac:dyDescent="0.2">
      <c r="A72" s="1">
        <v>403</v>
      </c>
      <c r="B72" s="1" t="s">
        <v>72</v>
      </c>
      <c r="C72" s="1">
        <v>6</v>
      </c>
      <c r="D72" s="1">
        <v>1</v>
      </c>
      <c r="E72" s="1">
        <v>3</v>
      </c>
      <c r="F72" s="1">
        <v>1</v>
      </c>
      <c r="G72" s="1">
        <v>3</v>
      </c>
      <c r="H72" s="1">
        <v>2</v>
      </c>
      <c r="I72" s="4">
        <v>13.904</v>
      </c>
      <c r="J72" s="39">
        <v>30.3</v>
      </c>
      <c r="K72" s="39">
        <v>29.8</v>
      </c>
      <c r="L72" s="39">
        <v>30.2</v>
      </c>
      <c r="M72" s="39">
        <v>30.3</v>
      </c>
      <c r="N72" s="39">
        <v>28.9</v>
      </c>
      <c r="O72" s="39">
        <v>30.6</v>
      </c>
      <c r="P72" s="39">
        <v>28.5</v>
      </c>
      <c r="Q72" s="39">
        <v>29.8</v>
      </c>
      <c r="R72" s="39">
        <v>27.7</v>
      </c>
      <c r="S72" s="39">
        <v>28.5</v>
      </c>
      <c r="T72" s="39">
        <v>29.1</v>
      </c>
      <c r="U72" s="39">
        <v>27.9</v>
      </c>
      <c r="V72" s="5">
        <f t="shared" si="9"/>
        <v>29.3</v>
      </c>
      <c r="W72" s="4">
        <f t="shared" si="10"/>
        <v>0.28867513459481303</v>
      </c>
      <c r="X72" s="2">
        <f t="shared" si="11"/>
        <v>27.7</v>
      </c>
      <c r="Y72" s="3">
        <f t="shared" si="12"/>
        <v>28.5</v>
      </c>
      <c r="Z72" s="2">
        <f t="shared" si="13"/>
        <v>29.450000000000003</v>
      </c>
      <c r="AA72" s="3">
        <f t="shared" si="14"/>
        <v>30.225000000000001</v>
      </c>
      <c r="AB72" s="3">
        <f t="shared" si="15"/>
        <v>30.6</v>
      </c>
      <c r="AC72" s="3">
        <f t="shared" si="16"/>
        <v>-0.30109090909091157</v>
      </c>
      <c r="AD72" s="3">
        <f t="shared" si="17"/>
        <v>-1.3736436363636328</v>
      </c>
    </row>
    <row r="73" spans="1:30" x14ac:dyDescent="0.2">
      <c r="A73" s="1">
        <v>404</v>
      </c>
      <c r="B73" s="1" t="s">
        <v>69</v>
      </c>
      <c r="C73" s="1">
        <v>3</v>
      </c>
      <c r="D73" s="1">
        <v>1</v>
      </c>
      <c r="E73" s="1">
        <v>2</v>
      </c>
      <c r="F73" s="1">
        <v>2</v>
      </c>
      <c r="G73" s="1">
        <v>3</v>
      </c>
      <c r="H73" s="1">
        <v>2</v>
      </c>
      <c r="I73" s="4">
        <v>13.881</v>
      </c>
      <c r="J73" s="39">
        <v>28.4</v>
      </c>
      <c r="K73" s="39">
        <v>30.6</v>
      </c>
      <c r="L73" s="39">
        <v>27.9</v>
      </c>
      <c r="M73" s="39">
        <v>29.7</v>
      </c>
      <c r="N73" s="39">
        <v>29.1</v>
      </c>
      <c r="O73" s="39">
        <v>28.8</v>
      </c>
      <c r="P73" s="39">
        <v>27.6</v>
      </c>
      <c r="Q73" s="39">
        <v>29.4</v>
      </c>
      <c r="R73" s="39">
        <v>29.4</v>
      </c>
      <c r="S73" s="39">
        <v>28.3</v>
      </c>
      <c r="T73" s="39">
        <v>29.2</v>
      </c>
      <c r="U73" s="39">
        <v>28.6</v>
      </c>
      <c r="V73" s="5">
        <f t="shared" si="9"/>
        <v>28.916666666666671</v>
      </c>
      <c r="W73" s="4">
        <f t="shared" si="10"/>
        <v>0.2392644452221741</v>
      </c>
      <c r="X73" s="2">
        <f t="shared" si="11"/>
        <v>27.6</v>
      </c>
      <c r="Y73" s="3">
        <f t="shared" si="12"/>
        <v>28.375</v>
      </c>
      <c r="Z73" s="2">
        <f t="shared" si="13"/>
        <v>28.950000000000003</v>
      </c>
      <c r="AA73" s="3">
        <f t="shared" si="14"/>
        <v>29.4</v>
      </c>
      <c r="AB73" s="3">
        <f t="shared" si="15"/>
        <v>30.6</v>
      </c>
      <c r="AC73" s="3">
        <f t="shared" si="16"/>
        <v>0.33837651507417643</v>
      </c>
      <c r="AD73" s="3">
        <f t="shared" si="17"/>
        <v>0.24806590950615348</v>
      </c>
    </row>
    <row r="74" spans="1:30" x14ac:dyDescent="0.2">
      <c r="A74" s="1">
        <v>405</v>
      </c>
      <c r="B74" s="1" t="s">
        <v>72</v>
      </c>
      <c r="C74" s="1">
        <v>6</v>
      </c>
      <c r="D74" s="1">
        <v>1</v>
      </c>
      <c r="E74" s="1">
        <v>3</v>
      </c>
      <c r="F74" s="1">
        <v>1</v>
      </c>
      <c r="G74" s="1">
        <v>4</v>
      </c>
      <c r="H74" s="1">
        <v>2</v>
      </c>
      <c r="I74" s="4">
        <v>13.856</v>
      </c>
      <c r="J74" s="39">
        <v>29.4</v>
      </c>
      <c r="K74" s="39">
        <v>31</v>
      </c>
      <c r="L74" s="39">
        <v>30</v>
      </c>
      <c r="M74" s="39">
        <v>31.1</v>
      </c>
      <c r="N74" s="39">
        <v>27.4</v>
      </c>
      <c r="O74" s="39">
        <v>28.7</v>
      </c>
      <c r="P74" s="39">
        <v>29</v>
      </c>
      <c r="Q74" s="39">
        <v>29.8</v>
      </c>
      <c r="R74" s="39">
        <v>28.3</v>
      </c>
      <c r="S74" s="39">
        <v>29.3</v>
      </c>
      <c r="T74" s="39">
        <v>28</v>
      </c>
      <c r="U74" s="39">
        <v>29.9</v>
      </c>
      <c r="V74" s="5">
        <f t="shared" ref="V74:V81" si="18">AVERAGE(J74:U74)</f>
        <v>29.324999999999999</v>
      </c>
      <c r="W74" s="4">
        <f t="shared" ref="W74:W81" si="19">STDEV(J74:U74)/SQRT(COUNT(J74:U74))</f>
        <v>0.32546586657133553</v>
      </c>
      <c r="X74" s="2">
        <f t="shared" ref="X74:X81" si="20">MIN(J74:U74)</f>
        <v>27.4</v>
      </c>
      <c r="Y74" s="3">
        <f t="shared" ref="Y74:Y81" si="21">QUARTILE(J74:U74,1)</f>
        <v>28.6</v>
      </c>
      <c r="Z74" s="2">
        <f t="shared" ref="Z74:Z81" si="22">MEDIAN(J74:U74)</f>
        <v>29.35</v>
      </c>
      <c r="AA74" s="3">
        <f t="shared" ref="AA74:AA81" si="23">QUARTILE(J74:U74,3)</f>
        <v>29.924999999999997</v>
      </c>
      <c r="AB74" s="3">
        <f t="shared" ref="AB74:AB81" si="24">MAX(J74:U74)</f>
        <v>31.1</v>
      </c>
      <c r="AC74" s="3">
        <f t="shared" ref="AC74:AC81" si="25">SKEW(J74:U74)</f>
        <v>6.2513775560376515E-3</v>
      </c>
      <c r="AD74" s="3">
        <f t="shared" ref="AD74:AD81" si="26">KURT(J74:U74)</f>
        <v>-0.49840866978165499</v>
      </c>
    </row>
    <row r="75" spans="1:30" x14ac:dyDescent="0.2">
      <c r="A75" s="1">
        <v>406</v>
      </c>
      <c r="B75" s="1" t="s">
        <v>69</v>
      </c>
      <c r="C75" s="1">
        <v>3</v>
      </c>
      <c r="D75" s="1">
        <v>1</v>
      </c>
      <c r="E75" s="1">
        <v>2</v>
      </c>
      <c r="F75" s="1">
        <v>2</v>
      </c>
      <c r="G75" s="1">
        <v>4</v>
      </c>
      <c r="H75" s="1">
        <v>2</v>
      </c>
      <c r="I75" s="4">
        <v>13.836</v>
      </c>
      <c r="J75" s="39">
        <v>28.8</v>
      </c>
      <c r="K75" s="39">
        <v>28</v>
      </c>
      <c r="L75" s="39">
        <v>27.8</v>
      </c>
      <c r="M75" s="39">
        <v>29.3</v>
      </c>
      <c r="N75" s="39">
        <v>30.4</v>
      </c>
      <c r="O75" s="39">
        <v>30.4</v>
      </c>
      <c r="P75" s="39">
        <v>30.5</v>
      </c>
      <c r="Q75" s="39">
        <v>30.7</v>
      </c>
      <c r="R75" s="39">
        <v>30.8</v>
      </c>
      <c r="S75" s="39">
        <v>31.1</v>
      </c>
      <c r="T75" s="39">
        <v>30.1</v>
      </c>
      <c r="U75" s="39">
        <v>29.2</v>
      </c>
      <c r="V75" s="5">
        <f t="shared" si="18"/>
        <v>29.758333333333336</v>
      </c>
      <c r="W75" s="4">
        <f t="shared" si="19"/>
        <v>0.32132734497123427</v>
      </c>
      <c r="X75" s="2">
        <f t="shared" si="20"/>
        <v>27.8</v>
      </c>
      <c r="Y75" s="3">
        <f t="shared" si="21"/>
        <v>29.1</v>
      </c>
      <c r="Z75" s="2">
        <f t="shared" si="22"/>
        <v>30.25</v>
      </c>
      <c r="AA75" s="3">
        <f t="shared" si="23"/>
        <v>30.55</v>
      </c>
      <c r="AB75" s="3">
        <f t="shared" si="24"/>
        <v>31.1</v>
      </c>
      <c r="AC75" s="3">
        <f t="shared" si="25"/>
        <v>-0.69136791676589249</v>
      </c>
      <c r="AD75" s="3">
        <f t="shared" si="26"/>
        <v>-0.84000335793242487</v>
      </c>
    </row>
    <row r="76" spans="1:30" x14ac:dyDescent="0.2">
      <c r="A76" s="1">
        <v>407</v>
      </c>
      <c r="B76" s="1" t="s">
        <v>65</v>
      </c>
      <c r="C76" s="1">
        <v>7</v>
      </c>
      <c r="D76" s="1">
        <v>2</v>
      </c>
      <c r="E76" s="1">
        <v>1</v>
      </c>
      <c r="F76" s="1">
        <v>2</v>
      </c>
      <c r="G76" s="1">
        <v>4</v>
      </c>
      <c r="H76" s="1">
        <v>2</v>
      </c>
      <c r="I76" s="4">
        <v>13.811999999999999</v>
      </c>
      <c r="J76" s="39">
        <v>29.7</v>
      </c>
      <c r="K76" s="39">
        <v>26.6</v>
      </c>
      <c r="L76" s="39">
        <v>27.6</v>
      </c>
      <c r="M76" s="39">
        <v>29.3</v>
      </c>
      <c r="N76" s="39">
        <v>27.9</v>
      </c>
      <c r="O76" s="39">
        <v>26.9</v>
      </c>
      <c r="P76" s="39">
        <v>27.1</v>
      </c>
      <c r="Q76" s="39">
        <v>25.9</v>
      </c>
      <c r="R76" s="39">
        <v>28.4</v>
      </c>
      <c r="S76" s="39">
        <v>27.6</v>
      </c>
      <c r="T76" s="39">
        <v>26.3</v>
      </c>
      <c r="U76" s="39">
        <v>27.5</v>
      </c>
      <c r="V76" s="5">
        <f t="shared" si="18"/>
        <v>27.566666666666666</v>
      </c>
      <c r="W76" s="4">
        <f t="shared" si="19"/>
        <v>0.32967691561113088</v>
      </c>
      <c r="X76" s="2">
        <f t="shared" si="20"/>
        <v>25.9</v>
      </c>
      <c r="Y76" s="3">
        <f t="shared" si="21"/>
        <v>26.824999999999999</v>
      </c>
      <c r="Z76" s="2">
        <f t="shared" si="22"/>
        <v>27.55</v>
      </c>
      <c r="AA76" s="3">
        <f t="shared" si="23"/>
        <v>28.024999999999999</v>
      </c>
      <c r="AB76" s="3">
        <f t="shared" si="24"/>
        <v>29.7</v>
      </c>
      <c r="AC76" s="3">
        <f t="shared" si="25"/>
        <v>0.55436519669303197</v>
      </c>
      <c r="AD76" s="3">
        <f t="shared" si="26"/>
        <v>-0.17581457898591868</v>
      </c>
    </row>
    <row r="77" spans="1:30" x14ac:dyDescent="0.2">
      <c r="A77" s="1">
        <v>408</v>
      </c>
      <c r="B77" s="1" t="s">
        <v>62</v>
      </c>
      <c r="C77" s="1">
        <v>10</v>
      </c>
      <c r="D77" s="1">
        <v>2</v>
      </c>
      <c r="E77" s="1">
        <v>2</v>
      </c>
      <c r="F77" s="1">
        <v>1</v>
      </c>
      <c r="G77" s="1">
        <v>4</v>
      </c>
      <c r="H77" s="1">
        <v>2</v>
      </c>
      <c r="I77" s="4">
        <v>13.79</v>
      </c>
      <c r="J77" s="39">
        <v>30.1</v>
      </c>
      <c r="K77" s="39">
        <v>31.2</v>
      </c>
      <c r="L77" s="39">
        <v>29.7</v>
      </c>
      <c r="M77" s="39">
        <v>28.4</v>
      </c>
      <c r="N77" s="39">
        <v>27</v>
      </c>
      <c r="O77" s="39">
        <v>29.5</v>
      </c>
      <c r="P77" s="39">
        <v>28.3</v>
      </c>
      <c r="Q77" s="39">
        <v>26.7</v>
      </c>
      <c r="R77" s="39">
        <v>29.1</v>
      </c>
      <c r="S77" s="39">
        <v>29.1</v>
      </c>
      <c r="T77" s="39">
        <v>30.8</v>
      </c>
      <c r="U77" s="39">
        <v>28.3</v>
      </c>
      <c r="V77" s="5">
        <f t="shared" si="18"/>
        <v>29.016666666666669</v>
      </c>
      <c r="W77" s="4">
        <f t="shared" si="19"/>
        <v>0.39577950192173195</v>
      </c>
      <c r="X77" s="2">
        <f t="shared" si="20"/>
        <v>26.7</v>
      </c>
      <c r="Y77" s="3">
        <f t="shared" si="21"/>
        <v>28.3</v>
      </c>
      <c r="Z77" s="2">
        <f t="shared" si="22"/>
        <v>29.1</v>
      </c>
      <c r="AA77" s="3">
        <f t="shared" si="23"/>
        <v>29.8</v>
      </c>
      <c r="AB77" s="3">
        <f t="shared" si="24"/>
        <v>31.2</v>
      </c>
      <c r="AC77" s="3">
        <f t="shared" si="25"/>
        <v>-0.16178373441860527</v>
      </c>
      <c r="AD77" s="3">
        <f t="shared" si="26"/>
        <v>-0.44301493905132316</v>
      </c>
    </row>
    <row r="78" spans="1:30" x14ac:dyDescent="0.2">
      <c r="A78" s="1">
        <v>902</v>
      </c>
      <c r="B78" s="1" t="s">
        <v>76</v>
      </c>
      <c r="C78" s="1">
        <v>22</v>
      </c>
      <c r="D78" s="1">
        <v>4</v>
      </c>
      <c r="E78" s="1">
        <v>2</v>
      </c>
      <c r="F78" s="1">
        <v>2</v>
      </c>
      <c r="G78" s="1">
        <v>1</v>
      </c>
      <c r="H78" s="1">
        <v>2</v>
      </c>
      <c r="I78" s="4">
        <v>13.555999999999999</v>
      </c>
      <c r="J78" s="39">
        <v>28.3</v>
      </c>
      <c r="K78" s="39">
        <v>27.1</v>
      </c>
      <c r="L78" s="39">
        <v>26.7</v>
      </c>
      <c r="M78" s="39">
        <v>26.9</v>
      </c>
      <c r="N78" s="39">
        <v>28.3</v>
      </c>
      <c r="O78" s="39">
        <v>27.9</v>
      </c>
      <c r="P78" s="39">
        <v>28.1</v>
      </c>
      <c r="Q78" s="39">
        <v>26.1</v>
      </c>
      <c r="R78" s="39">
        <v>27.2</v>
      </c>
      <c r="S78" s="39">
        <v>27.6</v>
      </c>
      <c r="T78" s="39">
        <v>26.5</v>
      </c>
      <c r="U78" s="39">
        <v>28.9</v>
      </c>
      <c r="V78" s="5">
        <f t="shared" si="18"/>
        <v>27.466666666666665</v>
      </c>
      <c r="W78" s="4">
        <f t="shared" si="19"/>
        <v>0.24566956537905818</v>
      </c>
      <c r="X78" s="2">
        <f t="shared" si="20"/>
        <v>26.1</v>
      </c>
      <c r="Y78" s="3">
        <f t="shared" si="21"/>
        <v>26.849999999999998</v>
      </c>
      <c r="Z78" s="2">
        <f t="shared" si="22"/>
        <v>27.4</v>
      </c>
      <c r="AA78" s="3">
        <f t="shared" si="23"/>
        <v>28.150000000000002</v>
      </c>
      <c r="AB78" s="3">
        <f t="shared" si="24"/>
        <v>28.9</v>
      </c>
      <c r="AC78" s="3">
        <f t="shared" si="25"/>
        <v>5.0109438178521287E-2</v>
      </c>
      <c r="AD78" s="3">
        <f t="shared" si="26"/>
        <v>-0.96452828206789754</v>
      </c>
    </row>
    <row r="79" spans="1:30" x14ac:dyDescent="0.2">
      <c r="A79" s="1">
        <v>904</v>
      </c>
      <c r="B79" s="1" t="s">
        <v>75</v>
      </c>
      <c r="C79" s="1">
        <v>21</v>
      </c>
      <c r="D79" s="1">
        <v>3</v>
      </c>
      <c r="E79" s="1">
        <v>2</v>
      </c>
      <c r="F79" s="1">
        <v>2</v>
      </c>
      <c r="G79" s="1">
        <v>1</v>
      </c>
      <c r="H79" s="1">
        <v>2</v>
      </c>
      <c r="I79" s="4">
        <v>13.525</v>
      </c>
      <c r="J79" s="39">
        <v>32.5</v>
      </c>
      <c r="K79" s="39"/>
      <c r="L79" s="39">
        <v>34.4</v>
      </c>
      <c r="M79" s="39">
        <v>34.1</v>
      </c>
      <c r="N79" s="39">
        <v>34.4</v>
      </c>
      <c r="O79" s="39">
        <v>35.9</v>
      </c>
      <c r="P79" s="39">
        <v>32.700000000000003</v>
      </c>
      <c r="Q79" s="39">
        <v>31.3</v>
      </c>
      <c r="R79" s="39">
        <v>31.2</v>
      </c>
      <c r="S79" s="39">
        <v>33.799999999999997</v>
      </c>
      <c r="T79" s="39">
        <v>33.200000000000003</v>
      </c>
      <c r="U79" s="39">
        <v>34.6</v>
      </c>
      <c r="V79" s="5">
        <f t="shared" si="18"/>
        <v>33.463636363636368</v>
      </c>
      <c r="W79" s="4">
        <f t="shared" si="19"/>
        <v>0.43573818813025922</v>
      </c>
      <c r="X79" s="2">
        <f t="shared" si="20"/>
        <v>31.2</v>
      </c>
      <c r="Y79" s="3">
        <f t="shared" si="21"/>
        <v>32.6</v>
      </c>
      <c r="Z79" s="2">
        <f t="shared" si="22"/>
        <v>33.799999999999997</v>
      </c>
      <c r="AA79" s="3">
        <f t="shared" si="23"/>
        <v>34.4</v>
      </c>
      <c r="AB79" s="3">
        <f t="shared" si="24"/>
        <v>35.9</v>
      </c>
      <c r="AC79" s="3">
        <f t="shared" si="25"/>
        <v>-0.21133741414125698</v>
      </c>
      <c r="AD79" s="3">
        <f t="shared" si="26"/>
        <v>-0.4683224140287785</v>
      </c>
    </row>
    <row r="80" spans="1:30" x14ac:dyDescent="0.2">
      <c r="A80" s="1">
        <v>906</v>
      </c>
      <c r="B80" s="1" t="s">
        <v>76</v>
      </c>
      <c r="C80" s="1">
        <v>22</v>
      </c>
      <c r="D80" s="1">
        <v>4</v>
      </c>
      <c r="E80" s="1">
        <v>2</v>
      </c>
      <c r="F80" s="1">
        <v>2</v>
      </c>
      <c r="G80" s="1">
        <v>2</v>
      </c>
      <c r="H80" s="1">
        <v>2</v>
      </c>
      <c r="I80" s="4">
        <v>13.489000000000001</v>
      </c>
      <c r="J80" s="39">
        <v>27.8</v>
      </c>
      <c r="K80" s="39">
        <v>26.3</v>
      </c>
      <c r="L80" s="39">
        <v>26.4</v>
      </c>
      <c r="M80" s="39">
        <v>25.6</v>
      </c>
      <c r="N80" s="39">
        <v>25.6</v>
      </c>
      <c r="O80" s="39">
        <v>26.3</v>
      </c>
      <c r="P80" s="39">
        <v>27.7</v>
      </c>
      <c r="Q80" s="39">
        <v>27.1</v>
      </c>
      <c r="R80" s="39">
        <v>26.4</v>
      </c>
      <c r="S80" s="39">
        <v>26.4</v>
      </c>
      <c r="T80" s="39">
        <v>28.3</v>
      </c>
      <c r="U80" s="39">
        <v>29</v>
      </c>
      <c r="V80" s="5">
        <f t="shared" si="18"/>
        <v>26.908333333333331</v>
      </c>
      <c r="W80" s="4">
        <f t="shared" si="19"/>
        <v>0.31029270964134115</v>
      </c>
      <c r="X80" s="2">
        <f t="shared" si="20"/>
        <v>25.6</v>
      </c>
      <c r="Y80" s="3">
        <f t="shared" si="21"/>
        <v>26.3</v>
      </c>
      <c r="Z80" s="2">
        <f t="shared" si="22"/>
        <v>26.4</v>
      </c>
      <c r="AA80" s="3">
        <f t="shared" si="23"/>
        <v>27.725000000000001</v>
      </c>
      <c r="AB80" s="3">
        <f t="shared" si="24"/>
        <v>29</v>
      </c>
      <c r="AC80" s="3">
        <f t="shared" si="25"/>
        <v>0.67948067625804653</v>
      </c>
      <c r="AD80" s="3">
        <f t="shared" si="26"/>
        <v>-0.46220333861206075</v>
      </c>
    </row>
    <row r="81" spans="1:30" x14ac:dyDescent="0.2">
      <c r="A81" s="1">
        <v>908</v>
      </c>
      <c r="B81" s="1" t="s">
        <v>75</v>
      </c>
      <c r="C81" s="1">
        <v>21</v>
      </c>
      <c r="D81" s="1">
        <v>3</v>
      </c>
      <c r="E81" s="1">
        <v>2</v>
      </c>
      <c r="F81" s="1">
        <v>2</v>
      </c>
      <c r="G81" s="1">
        <v>2</v>
      </c>
      <c r="H81" s="1">
        <v>2</v>
      </c>
      <c r="I81" s="4">
        <v>13.454000000000001</v>
      </c>
      <c r="J81" s="39">
        <v>34.5</v>
      </c>
      <c r="K81" s="39">
        <v>35.5</v>
      </c>
      <c r="L81" s="39">
        <v>32.299999999999997</v>
      </c>
      <c r="M81" s="39">
        <v>32.1</v>
      </c>
      <c r="N81" s="39">
        <v>28.7</v>
      </c>
      <c r="O81" s="39">
        <v>34.200000000000003</v>
      </c>
      <c r="P81" s="39">
        <v>31.7</v>
      </c>
      <c r="Q81" s="39">
        <v>34.6</v>
      </c>
      <c r="R81" s="39">
        <v>31.1</v>
      </c>
      <c r="S81" s="39">
        <v>36</v>
      </c>
      <c r="T81" s="39">
        <v>30.4</v>
      </c>
      <c r="U81" s="39">
        <v>32.9</v>
      </c>
      <c r="V81" s="5">
        <f t="shared" si="18"/>
        <v>32.833333333333336</v>
      </c>
      <c r="W81" s="4">
        <f t="shared" si="19"/>
        <v>0.63381162163309368</v>
      </c>
      <c r="X81" s="2">
        <f t="shared" si="20"/>
        <v>28.7</v>
      </c>
      <c r="Y81" s="3">
        <f t="shared" si="21"/>
        <v>31.55</v>
      </c>
      <c r="Z81" s="2">
        <f t="shared" si="22"/>
        <v>32.599999999999994</v>
      </c>
      <c r="AA81" s="3">
        <f t="shared" si="23"/>
        <v>34.524999999999999</v>
      </c>
      <c r="AB81" s="3">
        <f t="shared" si="24"/>
        <v>36</v>
      </c>
      <c r="AC81" s="3">
        <f t="shared" si="25"/>
        <v>-0.29704119176138327</v>
      </c>
      <c r="AD81" s="3">
        <f t="shared" si="26"/>
        <v>-0.5747136682138021</v>
      </c>
    </row>
    <row r="84" spans="1:30" x14ac:dyDescent="0.2">
      <c r="V84" s="3"/>
    </row>
  </sheetData>
  <autoFilter ref="A9:AD81" xr:uid="{2E47968F-0C48-4486-974B-ABF6B7AFF5B2}"/>
  <conditionalFormatting sqref="J10:U47">
    <cfRule type="cellIs" dxfId="39" priority="1" stopIfTrue="1" operator="lessThan">
      <formula>$V10-$U$5*$W10</formula>
    </cfRule>
    <cfRule type="cellIs" dxfId="38" priority="2" stopIfTrue="1" operator="greaterThan">
      <formula>$V10+$U$5*$W10</formula>
    </cfRule>
  </conditionalFormatting>
  <conditionalFormatting sqref="J48:U81">
    <cfRule type="cellIs" dxfId="37" priority="3" stopIfTrue="1" operator="lessThan">
      <formula>$V48-$U$6*$W48</formula>
    </cfRule>
    <cfRule type="cellIs" dxfId="36" priority="4" stopIfTrue="1" operator="greaterThan">
      <formula>$V48+$U$6*$W48</formula>
    </cfRule>
  </conditionalFormatting>
  <conditionalFormatting sqref="V10:V39">
    <cfRule type="cellIs" dxfId="35" priority="5" stopIfTrue="1" operator="lessThan">
      <formula>AVERAGE($V$10:$V$39)</formula>
    </cfRule>
    <cfRule type="cellIs" dxfId="34" priority="6" stopIfTrue="1" operator="greaterThan">
      <formula>AVERAGE($V$10:$V$39)</formula>
    </cfRule>
  </conditionalFormatting>
  <conditionalFormatting sqref="V48:V81">
    <cfRule type="cellIs" dxfId="33" priority="7" stopIfTrue="1" operator="lessThan">
      <formula>AVERAGE($V$48:$V$81)</formula>
    </cfRule>
    <cfRule type="cellIs" dxfId="32" priority="8" stopIfTrue="1" operator="greaterThan">
      <formula>AVERAGE($V$48:$V$81)</formula>
    </cfRule>
  </conditionalFormatting>
  <pageMargins left="0.75" right="0.75" top="1" bottom="1" header="0.5" footer="0.5"/>
  <pageSetup orientation="portrait" verticalDpi="0" r:id="rId2"/>
  <headerFooter alignWithMargins="0"/>
  <drawing r:id="rId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DF90-00A4-429D-99FF-8B1E17899D4B}">
  <dimension ref="A1:AN88"/>
  <sheetViews>
    <sheetView topLeftCell="A19" zoomScale="75" workbookViewId="0">
      <selection activeCell="V87" sqref="V87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143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38.1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13.356999999999999</v>
      </c>
      <c r="J10" s="39">
        <v>58.8</v>
      </c>
      <c r="K10" s="39">
        <v>45.2</v>
      </c>
      <c r="L10" s="39">
        <v>50.8</v>
      </c>
      <c r="M10" s="39">
        <v>40.4</v>
      </c>
      <c r="N10" s="39">
        <v>37.9</v>
      </c>
      <c r="O10" s="39">
        <v>41.8</v>
      </c>
      <c r="P10" s="39">
        <v>41.6</v>
      </c>
      <c r="Q10" s="39">
        <v>43</v>
      </c>
      <c r="R10" s="39">
        <v>45.3</v>
      </c>
      <c r="S10" s="39">
        <v>40.799999999999997</v>
      </c>
      <c r="T10" s="39">
        <v>46.6</v>
      </c>
      <c r="U10" s="39">
        <v>49</v>
      </c>
      <c r="V10" s="5">
        <f t="shared" ref="V10:V41" si="0">AVERAGE(J10:U10)</f>
        <v>45.1</v>
      </c>
      <c r="W10" s="4">
        <f t="shared" ref="W10:W41" si="1">STDEV(J10:U10)/SQRT(COUNT(J10:U10))</f>
        <v>1.6460696991760095</v>
      </c>
      <c r="X10" s="2">
        <f t="shared" ref="X10:X33" si="2">MIN(J10:U10)</f>
        <v>37.9</v>
      </c>
      <c r="Y10" s="3">
        <f t="shared" ref="Y10:Y33" si="3">QUARTILE(J10:U10,1)</f>
        <v>41.4</v>
      </c>
      <c r="Z10" s="2">
        <f t="shared" ref="Z10:Z33" si="4">MEDIAN(J10:U10)</f>
        <v>44.1</v>
      </c>
      <c r="AA10" s="3">
        <f t="shared" ref="AA10:AA33" si="5">QUARTILE(J10:U10,3)</f>
        <v>47.2</v>
      </c>
      <c r="AB10" s="3">
        <f t="shared" ref="AB10:AB33" si="6">MAX(J10:U10)</f>
        <v>58.8</v>
      </c>
      <c r="AC10" s="3">
        <f t="shared" ref="AC10:AC33" si="7">SKEW(J10:U10)</f>
        <v>1.2795315960297375</v>
      </c>
      <c r="AD10" s="3">
        <f t="shared" ref="AD10:AD33" si="8">KURT(J10:U10)</f>
        <v>1.9771185407966945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13.336</v>
      </c>
      <c r="J11" s="39">
        <v>55.5</v>
      </c>
      <c r="K11" s="39">
        <v>55.6</v>
      </c>
      <c r="L11" s="39">
        <v>40</v>
      </c>
      <c r="M11" s="39">
        <v>46.7</v>
      </c>
      <c r="N11" s="39">
        <v>42.2</v>
      </c>
      <c r="O11" s="39">
        <v>40.5</v>
      </c>
      <c r="P11" s="39">
        <v>48</v>
      </c>
      <c r="Q11" s="39">
        <v>40.1</v>
      </c>
      <c r="R11" s="39">
        <v>40.299999999999997</v>
      </c>
      <c r="S11" s="39">
        <v>41.9</v>
      </c>
      <c r="T11" s="39">
        <v>37.5</v>
      </c>
      <c r="U11" s="39">
        <v>44.8</v>
      </c>
      <c r="V11" s="5">
        <f t="shared" si="0"/>
        <v>44.425000000000004</v>
      </c>
      <c r="W11" s="4">
        <f t="shared" si="1"/>
        <v>1.7312250435790069</v>
      </c>
      <c r="X11" s="2">
        <f t="shared" si="2"/>
        <v>37.5</v>
      </c>
      <c r="Y11" s="3">
        <f t="shared" si="3"/>
        <v>40.25</v>
      </c>
      <c r="Z11" s="2">
        <f t="shared" si="4"/>
        <v>42.05</v>
      </c>
      <c r="AA11" s="3">
        <f t="shared" si="5"/>
        <v>47.025000000000006</v>
      </c>
      <c r="AB11" s="3">
        <f t="shared" si="6"/>
        <v>55.6</v>
      </c>
      <c r="AC11" s="3">
        <f t="shared" si="7"/>
        <v>1.0894671432421257</v>
      </c>
      <c r="AD11" s="3">
        <f t="shared" si="8"/>
        <v>0.16389318170763101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13.315</v>
      </c>
      <c r="J12" s="39">
        <v>48.2</v>
      </c>
      <c r="K12" s="39">
        <v>44.2</v>
      </c>
      <c r="L12" s="39">
        <v>36.9</v>
      </c>
      <c r="M12" s="39">
        <v>47.7</v>
      </c>
      <c r="N12" s="39">
        <v>34.9</v>
      </c>
      <c r="O12" s="39">
        <v>41</v>
      </c>
      <c r="P12" s="39">
        <v>38.5</v>
      </c>
      <c r="Q12" s="39">
        <v>46</v>
      </c>
      <c r="R12" s="39">
        <v>37.1</v>
      </c>
      <c r="S12" s="39">
        <v>43.4</v>
      </c>
      <c r="T12" s="39">
        <v>40.9</v>
      </c>
      <c r="U12" s="39">
        <v>40.6</v>
      </c>
      <c r="V12" s="5">
        <f t="shared" si="0"/>
        <v>41.616666666666667</v>
      </c>
      <c r="W12" s="4">
        <f t="shared" si="1"/>
        <v>1.257753729648394</v>
      </c>
      <c r="X12" s="2">
        <f t="shared" si="2"/>
        <v>34.9</v>
      </c>
      <c r="Y12" s="3">
        <f t="shared" si="3"/>
        <v>38.15</v>
      </c>
      <c r="Z12" s="2">
        <f t="shared" si="4"/>
        <v>40.950000000000003</v>
      </c>
      <c r="AA12" s="3">
        <f t="shared" si="5"/>
        <v>44.650000000000006</v>
      </c>
      <c r="AB12" s="3">
        <f t="shared" si="6"/>
        <v>48.2</v>
      </c>
      <c r="AC12" s="3">
        <f t="shared" si="7"/>
        <v>0.1128591357129914</v>
      </c>
      <c r="AD12" s="3">
        <f t="shared" si="8"/>
        <v>-1.0975927597928905</v>
      </c>
      <c r="AF12" s="17" t="s">
        <v>76</v>
      </c>
      <c r="AG12" s="16">
        <v>32.85</v>
      </c>
      <c r="AH12" s="15">
        <v>37.912500000000001</v>
      </c>
      <c r="AI12" s="15">
        <v>42.25</v>
      </c>
      <c r="AJ12" s="15">
        <v>43.1875</v>
      </c>
      <c r="AK12" s="16">
        <v>27.35</v>
      </c>
      <c r="AL12" s="15">
        <v>28.487500000000001</v>
      </c>
      <c r="AM12" s="15">
        <v>28.95</v>
      </c>
      <c r="AN12" s="14">
        <v>29.037500000000001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13.294</v>
      </c>
      <c r="J13" s="39">
        <v>58.6</v>
      </c>
      <c r="K13" s="39">
        <v>51.7</v>
      </c>
      <c r="L13" s="39">
        <v>40.200000000000003</v>
      </c>
      <c r="M13" s="39">
        <v>52.3</v>
      </c>
      <c r="N13" s="39">
        <v>46.2</v>
      </c>
      <c r="O13" s="39">
        <v>47.8</v>
      </c>
      <c r="P13" s="39">
        <v>43.1</v>
      </c>
      <c r="Q13" s="39">
        <v>45.6</v>
      </c>
      <c r="R13" s="39">
        <v>41</v>
      </c>
      <c r="S13" s="39">
        <v>43.3</v>
      </c>
      <c r="T13" s="39">
        <v>39.200000000000003</v>
      </c>
      <c r="U13" s="39">
        <v>44.7</v>
      </c>
      <c r="V13" s="5">
        <f t="shared" si="0"/>
        <v>46.141666666666673</v>
      </c>
      <c r="W13" s="4">
        <f t="shared" si="1"/>
        <v>1.6431888036511204</v>
      </c>
      <c r="X13" s="2">
        <f t="shared" si="2"/>
        <v>39.200000000000003</v>
      </c>
      <c r="Y13" s="3">
        <f t="shared" si="3"/>
        <v>42.575000000000003</v>
      </c>
      <c r="Z13" s="2">
        <f t="shared" si="4"/>
        <v>45.150000000000006</v>
      </c>
      <c r="AA13" s="3">
        <f t="shared" si="5"/>
        <v>48.774999999999999</v>
      </c>
      <c r="AB13" s="3">
        <f t="shared" si="6"/>
        <v>58.6</v>
      </c>
      <c r="AC13" s="3">
        <f t="shared" si="7"/>
        <v>0.95176448378549472</v>
      </c>
      <c r="AD13" s="3">
        <f t="shared" si="8"/>
        <v>0.60666069219122409</v>
      </c>
      <c r="AF13" s="13" t="s">
        <v>75</v>
      </c>
      <c r="AG13" s="12">
        <v>47.95</v>
      </c>
      <c r="AH13" s="11">
        <v>52.3125</v>
      </c>
      <c r="AI13" s="11">
        <v>59.975000000000001</v>
      </c>
      <c r="AJ13" s="11">
        <v>58.341666666666669</v>
      </c>
      <c r="AK13" s="12">
        <v>33.950000000000003</v>
      </c>
      <c r="AL13" s="11">
        <v>34.837499999999999</v>
      </c>
      <c r="AM13" s="11">
        <v>36.075000000000003</v>
      </c>
      <c r="AN13" s="10">
        <v>36.299999999999997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13.273999999999999</v>
      </c>
      <c r="J14" s="39">
        <v>49.7</v>
      </c>
      <c r="K14" s="39">
        <v>38.700000000000003</v>
      </c>
      <c r="L14" s="39">
        <v>35.200000000000003</v>
      </c>
      <c r="M14" s="39">
        <v>37.9</v>
      </c>
      <c r="N14" s="39">
        <v>33.799999999999997</v>
      </c>
      <c r="O14" s="39">
        <v>44.9</v>
      </c>
      <c r="P14" s="39">
        <v>30.6</v>
      </c>
      <c r="Q14" s="39">
        <v>44.8</v>
      </c>
      <c r="R14" s="39">
        <v>31.2</v>
      </c>
      <c r="S14" s="39">
        <v>41.9</v>
      </c>
      <c r="T14" s="39">
        <v>33.299999999999997</v>
      </c>
      <c r="U14" s="39">
        <v>47.1</v>
      </c>
      <c r="V14" s="5">
        <f t="shared" si="0"/>
        <v>39.091666666666669</v>
      </c>
      <c r="W14" s="4">
        <f t="shared" si="1"/>
        <v>1.8739222491767293</v>
      </c>
      <c r="X14" s="2">
        <f t="shared" si="2"/>
        <v>30.6</v>
      </c>
      <c r="Y14" s="3">
        <f t="shared" si="3"/>
        <v>33.674999999999997</v>
      </c>
      <c r="Z14" s="2">
        <f t="shared" si="4"/>
        <v>38.299999999999997</v>
      </c>
      <c r="AA14" s="3">
        <f t="shared" si="5"/>
        <v>44.824999999999996</v>
      </c>
      <c r="AB14" s="3">
        <f t="shared" si="6"/>
        <v>49.7</v>
      </c>
      <c r="AC14" s="3">
        <f t="shared" si="7"/>
        <v>0.24111717485016837</v>
      </c>
      <c r="AD14" s="3">
        <f t="shared" si="8"/>
        <v>-1.3481726233723244</v>
      </c>
      <c r="AF14" s="13" t="s">
        <v>74</v>
      </c>
      <c r="AG14" s="12">
        <v>64</v>
      </c>
      <c r="AH14" s="11">
        <v>64.974999999999994</v>
      </c>
      <c r="AI14" s="11">
        <v>65.95</v>
      </c>
      <c r="AJ14" s="11">
        <v>65.99166666666666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13.253</v>
      </c>
      <c r="J15" s="39">
        <v>56.9</v>
      </c>
      <c r="K15" s="39">
        <v>39.299999999999997</v>
      </c>
      <c r="L15" s="39">
        <v>35.299999999999997</v>
      </c>
      <c r="M15" s="39">
        <v>50.3</v>
      </c>
      <c r="N15" s="39">
        <v>34.299999999999997</v>
      </c>
      <c r="O15" s="39">
        <v>42</v>
      </c>
      <c r="P15" s="39">
        <v>33.700000000000003</v>
      </c>
      <c r="Q15" s="39">
        <v>43.6</v>
      </c>
      <c r="R15" s="39">
        <v>38.5</v>
      </c>
      <c r="S15" s="39">
        <v>46.1</v>
      </c>
      <c r="T15" s="39">
        <v>39.299999999999997</v>
      </c>
      <c r="U15" s="39">
        <v>48.4</v>
      </c>
      <c r="V15" s="5">
        <f t="shared" si="0"/>
        <v>42.308333333333337</v>
      </c>
      <c r="W15" s="4">
        <f t="shared" si="1"/>
        <v>2.0412213490847919</v>
      </c>
      <c r="X15" s="2">
        <f t="shared" si="2"/>
        <v>33.700000000000003</v>
      </c>
      <c r="Y15" s="3">
        <f t="shared" si="3"/>
        <v>37.700000000000003</v>
      </c>
      <c r="Z15" s="2">
        <f t="shared" si="4"/>
        <v>40.65</v>
      </c>
      <c r="AA15" s="3">
        <f t="shared" si="5"/>
        <v>46.674999999999997</v>
      </c>
      <c r="AB15" s="3">
        <f t="shared" si="6"/>
        <v>56.9</v>
      </c>
      <c r="AC15" s="3">
        <f t="shared" si="7"/>
        <v>0.70799615912953928</v>
      </c>
      <c r="AD15" s="3">
        <f t="shared" si="8"/>
        <v>-3.7683078227856992E-2</v>
      </c>
      <c r="AF15" s="13" t="s">
        <v>73</v>
      </c>
      <c r="AG15" s="12">
        <v>35.5</v>
      </c>
      <c r="AH15" s="11">
        <v>38.412500000000001</v>
      </c>
      <c r="AI15" s="11">
        <v>41.625</v>
      </c>
      <c r="AJ15" s="11">
        <v>43.06666666666667</v>
      </c>
      <c r="AK15" s="12">
        <v>32.049999999999997</v>
      </c>
      <c r="AL15" s="11">
        <v>32.799999999999997</v>
      </c>
      <c r="AM15" s="11">
        <v>33.924999999999997</v>
      </c>
      <c r="AN15" s="10">
        <v>34.170833333333334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13.231999999999999</v>
      </c>
      <c r="J16" s="39">
        <v>51.1</v>
      </c>
      <c r="K16" s="39">
        <v>36.799999999999997</v>
      </c>
      <c r="L16" s="39">
        <v>35.9</v>
      </c>
      <c r="M16" s="39">
        <v>44.2</v>
      </c>
      <c r="N16" s="39">
        <v>34.200000000000003</v>
      </c>
      <c r="O16" s="39">
        <v>43</v>
      </c>
      <c r="P16" s="39">
        <v>41.5</v>
      </c>
      <c r="Q16" s="39">
        <v>42.8</v>
      </c>
      <c r="R16" s="39">
        <v>32.6</v>
      </c>
      <c r="S16" s="39">
        <v>44.9</v>
      </c>
      <c r="T16" s="39">
        <v>34.200000000000003</v>
      </c>
      <c r="U16" s="39">
        <v>44.7</v>
      </c>
      <c r="V16" s="5">
        <f t="shared" si="0"/>
        <v>40.491666666666667</v>
      </c>
      <c r="W16" s="4">
        <f t="shared" si="1"/>
        <v>1.6335246486593997</v>
      </c>
      <c r="X16" s="2">
        <f t="shared" si="2"/>
        <v>32.6</v>
      </c>
      <c r="Y16" s="3">
        <f t="shared" si="3"/>
        <v>35.475000000000001</v>
      </c>
      <c r="Z16" s="2">
        <f t="shared" si="4"/>
        <v>42.15</v>
      </c>
      <c r="AA16" s="3">
        <f t="shared" si="5"/>
        <v>44.325000000000003</v>
      </c>
      <c r="AB16" s="3">
        <f t="shared" si="6"/>
        <v>51.1</v>
      </c>
      <c r="AC16" s="3">
        <f t="shared" si="7"/>
        <v>0.17906265476680253</v>
      </c>
      <c r="AD16" s="3">
        <f t="shared" si="8"/>
        <v>-0.76654634666687915</v>
      </c>
      <c r="AF16" s="13" t="s">
        <v>72</v>
      </c>
      <c r="AG16" s="12">
        <v>34.5</v>
      </c>
      <c r="AH16" s="11">
        <v>38.487499999999997</v>
      </c>
      <c r="AI16" s="11">
        <v>43.95</v>
      </c>
      <c r="AJ16" s="11">
        <v>43.041666666666671</v>
      </c>
      <c r="AK16" s="12">
        <v>31</v>
      </c>
      <c r="AL16" s="11">
        <v>31.625</v>
      </c>
      <c r="AM16" s="11">
        <v>32.15</v>
      </c>
      <c r="AN16" s="10">
        <v>32.420833333333334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13.208</v>
      </c>
      <c r="J17" s="39">
        <v>58.6</v>
      </c>
      <c r="K17" s="39">
        <v>58.8</v>
      </c>
      <c r="L17" s="39">
        <v>37.700000000000003</v>
      </c>
      <c r="M17" s="39">
        <v>50.3</v>
      </c>
      <c r="N17" s="39">
        <v>36.200000000000003</v>
      </c>
      <c r="O17" s="39">
        <v>55.3</v>
      </c>
      <c r="P17" s="39">
        <v>37</v>
      </c>
      <c r="Q17" s="39">
        <v>56.1</v>
      </c>
      <c r="R17" s="39">
        <v>35.200000000000003</v>
      </c>
      <c r="S17" s="39">
        <v>54.9</v>
      </c>
      <c r="T17" s="39">
        <v>34.799999999999997</v>
      </c>
      <c r="U17" s="39">
        <v>55.8</v>
      </c>
      <c r="V17" s="5">
        <f t="shared" si="0"/>
        <v>47.55833333333333</v>
      </c>
      <c r="W17" s="4">
        <f t="shared" si="1"/>
        <v>2.9691713550001739</v>
      </c>
      <c r="X17" s="2">
        <f t="shared" si="2"/>
        <v>34.799999999999997</v>
      </c>
      <c r="Y17" s="3">
        <f t="shared" si="3"/>
        <v>36.799999999999997</v>
      </c>
      <c r="Z17" s="2">
        <f t="shared" si="4"/>
        <v>52.599999999999994</v>
      </c>
      <c r="AA17" s="3">
        <f t="shared" si="5"/>
        <v>55.875</v>
      </c>
      <c r="AB17" s="3">
        <f t="shared" si="6"/>
        <v>58.8</v>
      </c>
      <c r="AC17" s="3">
        <f t="shared" si="7"/>
        <v>-0.27415202094256153</v>
      </c>
      <c r="AD17" s="3">
        <f t="shared" si="8"/>
        <v>-2.1232596737111162</v>
      </c>
      <c r="AF17" s="13" t="s">
        <v>71</v>
      </c>
      <c r="AG17" s="12">
        <v>35.85</v>
      </c>
      <c r="AH17" s="11">
        <v>39.825000000000003</v>
      </c>
      <c r="AI17" s="11">
        <v>42.25</v>
      </c>
      <c r="AJ17" s="11">
        <v>44.05</v>
      </c>
      <c r="AK17" s="12">
        <v>31.1</v>
      </c>
      <c r="AL17" s="11">
        <v>31.9</v>
      </c>
      <c r="AM17" s="11">
        <v>32.725000000000001</v>
      </c>
      <c r="AN17" s="10">
        <v>32.65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13.39</v>
      </c>
      <c r="J18" s="39">
        <v>54.5</v>
      </c>
      <c r="K18" s="39">
        <v>43.5</v>
      </c>
      <c r="L18" s="39">
        <v>34.9</v>
      </c>
      <c r="M18" s="39">
        <v>48.1</v>
      </c>
      <c r="N18" s="39">
        <v>35.799999999999997</v>
      </c>
      <c r="O18" s="39">
        <v>43.5</v>
      </c>
      <c r="P18" s="39">
        <v>35.799999999999997</v>
      </c>
      <c r="Q18" s="39">
        <v>45.9</v>
      </c>
      <c r="R18" s="39">
        <v>40.9</v>
      </c>
      <c r="S18" s="39">
        <v>36.200000000000003</v>
      </c>
      <c r="T18" s="39">
        <v>39.9</v>
      </c>
      <c r="U18" s="39">
        <v>34.1</v>
      </c>
      <c r="V18" s="5">
        <f t="shared" si="0"/>
        <v>41.091666666666661</v>
      </c>
      <c r="W18" s="4">
        <f t="shared" si="1"/>
        <v>1.8095478396103248</v>
      </c>
      <c r="X18" s="2">
        <f t="shared" si="2"/>
        <v>34.1</v>
      </c>
      <c r="Y18" s="3">
        <f t="shared" si="3"/>
        <v>35.799999999999997</v>
      </c>
      <c r="Z18" s="2">
        <f t="shared" si="4"/>
        <v>40.4</v>
      </c>
      <c r="AA18" s="3">
        <f t="shared" si="5"/>
        <v>44.1</v>
      </c>
      <c r="AB18" s="3">
        <f t="shared" si="6"/>
        <v>54.5</v>
      </c>
      <c r="AC18" s="3">
        <f t="shared" si="7"/>
        <v>0.84137104141063934</v>
      </c>
      <c r="AD18" s="3">
        <f t="shared" si="8"/>
        <v>0.1855788829057623</v>
      </c>
      <c r="AF18" s="13" t="s">
        <v>70</v>
      </c>
      <c r="AG18" s="12">
        <v>33.700000000000003</v>
      </c>
      <c r="AH18" s="11">
        <v>37.012500000000003</v>
      </c>
      <c r="AI18" s="11">
        <v>45.65</v>
      </c>
      <c r="AJ18" s="11">
        <v>44.520833333333343</v>
      </c>
      <c r="AK18" s="12">
        <v>28.35</v>
      </c>
      <c r="AL18" s="11">
        <v>30.375</v>
      </c>
      <c r="AM18" s="11">
        <v>30.774999999999999</v>
      </c>
      <c r="AN18" s="10">
        <v>30.758333333333333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13.412000000000001</v>
      </c>
      <c r="J19" s="39">
        <v>59.3</v>
      </c>
      <c r="K19" s="39">
        <v>48.4</v>
      </c>
      <c r="L19" s="39">
        <v>46.6</v>
      </c>
      <c r="M19" s="39">
        <v>59.3</v>
      </c>
      <c r="N19" s="39">
        <v>37.5</v>
      </c>
      <c r="O19" s="39">
        <v>56.7</v>
      </c>
      <c r="P19" s="39">
        <v>37.700000000000003</v>
      </c>
      <c r="Q19" s="39">
        <v>55.6</v>
      </c>
      <c r="R19" s="39">
        <v>47.3</v>
      </c>
      <c r="S19" s="39">
        <v>49.5</v>
      </c>
      <c r="T19" s="39">
        <v>39.5</v>
      </c>
      <c r="U19" s="39">
        <v>58.7</v>
      </c>
      <c r="V19" s="5">
        <f t="shared" si="0"/>
        <v>49.675000000000004</v>
      </c>
      <c r="W19" s="4">
        <f t="shared" si="1"/>
        <v>2.4043875614082166</v>
      </c>
      <c r="X19" s="2">
        <f t="shared" si="2"/>
        <v>37.5</v>
      </c>
      <c r="Y19" s="3">
        <f t="shared" si="3"/>
        <v>44.825000000000003</v>
      </c>
      <c r="Z19" s="2">
        <f t="shared" si="4"/>
        <v>48.95</v>
      </c>
      <c r="AA19" s="3">
        <f t="shared" si="5"/>
        <v>57.2</v>
      </c>
      <c r="AB19" s="3">
        <f t="shared" si="6"/>
        <v>59.3</v>
      </c>
      <c r="AC19" s="3">
        <f t="shared" si="7"/>
        <v>-0.29203521670153121</v>
      </c>
      <c r="AD19" s="3">
        <f t="shared" si="8"/>
        <v>-1.3862771493846355</v>
      </c>
      <c r="AF19" s="13" t="s">
        <v>69</v>
      </c>
      <c r="AG19" s="12">
        <v>35.024999999999999</v>
      </c>
      <c r="AH19" s="11">
        <v>37.743749999999999</v>
      </c>
      <c r="AI19" s="11">
        <v>45.274999999999999</v>
      </c>
      <c r="AJ19" s="11">
        <v>44.647916666666667</v>
      </c>
      <c r="AK19" s="12">
        <v>30.625</v>
      </c>
      <c r="AL19" s="11">
        <v>31.418749999999999</v>
      </c>
      <c r="AM19" s="11">
        <v>31.975000000000001</v>
      </c>
      <c r="AN19" s="10">
        <v>31.945833333333333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13.433</v>
      </c>
      <c r="J20" s="39">
        <v>48.1</v>
      </c>
      <c r="K20" s="39">
        <v>33.799999999999997</v>
      </c>
      <c r="L20" s="39">
        <v>54.6</v>
      </c>
      <c r="M20" s="39">
        <v>37.6</v>
      </c>
      <c r="N20" s="39">
        <v>43.3</v>
      </c>
      <c r="O20" s="39">
        <v>41.6</v>
      </c>
      <c r="P20" s="39">
        <v>41.6</v>
      </c>
      <c r="Q20" s="39">
        <v>44.4</v>
      </c>
      <c r="R20" s="39">
        <v>42.4</v>
      </c>
      <c r="S20" s="39">
        <v>49.1</v>
      </c>
      <c r="T20" s="39">
        <v>44.3</v>
      </c>
      <c r="U20" s="39">
        <v>36.1</v>
      </c>
      <c r="V20" s="5">
        <f t="shared" si="0"/>
        <v>43.074999999999996</v>
      </c>
      <c r="W20" s="4">
        <f t="shared" si="1"/>
        <v>1.6677477554347329</v>
      </c>
      <c r="X20" s="2">
        <f t="shared" si="2"/>
        <v>33.799999999999997</v>
      </c>
      <c r="Y20" s="3">
        <f t="shared" si="3"/>
        <v>40.6</v>
      </c>
      <c r="Z20" s="2">
        <f t="shared" si="4"/>
        <v>42.849999999999994</v>
      </c>
      <c r="AA20" s="3">
        <f t="shared" si="5"/>
        <v>45.325000000000003</v>
      </c>
      <c r="AB20" s="3">
        <f t="shared" si="6"/>
        <v>54.6</v>
      </c>
      <c r="AC20" s="3">
        <f t="shared" si="7"/>
        <v>0.32390332524215787</v>
      </c>
      <c r="AD20" s="3">
        <f t="shared" si="8"/>
        <v>0.24962993485918705</v>
      </c>
      <c r="AF20" s="13" t="s">
        <v>68</v>
      </c>
      <c r="AG20" s="12">
        <v>34.225000000000001</v>
      </c>
      <c r="AH20" s="11">
        <v>37.193750000000001</v>
      </c>
      <c r="AI20" s="11">
        <v>41.462499999999999</v>
      </c>
      <c r="AJ20" s="11">
        <v>43.410416666666663</v>
      </c>
      <c r="AK20" s="12">
        <v>29.2</v>
      </c>
      <c r="AL20" s="11">
        <v>30.524999999999999</v>
      </c>
      <c r="AM20" s="11">
        <v>31.262499999999999</v>
      </c>
      <c r="AN20" s="10">
        <v>31.114583333333332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13.46</v>
      </c>
      <c r="J21" s="39">
        <v>42.9</v>
      </c>
      <c r="K21" s="39">
        <v>38.9</v>
      </c>
      <c r="L21" s="39">
        <v>40.9</v>
      </c>
      <c r="M21" s="39">
        <v>42.4</v>
      </c>
      <c r="N21" s="39">
        <v>39.1</v>
      </c>
      <c r="O21" s="39">
        <v>38.200000000000003</v>
      </c>
      <c r="P21" s="39">
        <v>37.5</v>
      </c>
      <c r="Q21" s="39">
        <v>41.9</v>
      </c>
      <c r="R21" s="39">
        <v>37.799999999999997</v>
      </c>
      <c r="S21" s="39">
        <v>42.2</v>
      </c>
      <c r="T21" s="39">
        <v>37.9</v>
      </c>
      <c r="U21" s="39">
        <v>40.4</v>
      </c>
      <c r="V21" s="5">
        <f t="shared" si="0"/>
        <v>40.008333333333326</v>
      </c>
      <c r="W21" s="4">
        <f t="shared" si="1"/>
        <v>0.57963655453528418</v>
      </c>
      <c r="X21" s="2">
        <f t="shared" si="2"/>
        <v>37.5</v>
      </c>
      <c r="Y21" s="3">
        <f t="shared" si="3"/>
        <v>38.125</v>
      </c>
      <c r="Z21" s="2">
        <f t="shared" si="4"/>
        <v>39.75</v>
      </c>
      <c r="AA21" s="3">
        <f t="shared" si="5"/>
        <v>41.975000000000001</v>
      </c>
      <c r="AB21" s="3">
        <f t="shared" si="6"/>
        <v>42.9</v>
      </c>
      <c r="AC21" s="3">
        <f t="shared" si="7"/>
        <v>0.16141476927516837</v>
      </c>
      <c r="AD21" s="3">
        <f t="shared" si="8"/>
        <v>-1.7534810049302476</v>
      </c>
      <c r="AF21" s="13" t="s">
        <v>67</v>
      </c>
      <c r="AG21" s="12">
        <v>35.35</v>
      </c>
      <c r="AH21" s="11">
        <v>37.012500000000003</v>
      </c>
      <c r="AI21" s="11">
        <v>38.274999999999999</v>
      </c>
      <c r="AJ21" s="11">
        <v>38.80416666666666</v>
      </c>
      <c r="AK21" s="12">
        <v>31.35</v>
      </c>
      <c r="AL21" s="11">
        <v>31.925000000000001</v>
      </c>
      <c r="AM21" s="11">
        <v>32.325000000000003</v>
      </c>
      <c r="AN21" s="10">
        <v>32.5625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13.48</v>
      </c>
      <c r="J22" s="39">
        <v>58.1</v>
      </c>
      <c r="K22" s="39">
        <v>45.6</v>
      </c>
      <c r="L22" s="39">
        <v>33.799999999999997</v>
      </c>
      <c r="M22" s="39">
        <v>48.1</v>
      </c>
      <c r="N22" s="39">
        <v>33.799999999999997</v>
      </c>
      <c r="O22" s="39">
        <v>37.799999999999997</v>
      </c>
      <c r="P22" s="39">
        <v>38.4</v>
      </c>
      <c r="Q22" s="39">
        <v>38.5</v>
      </c>
      <c r="R22" s="39">
        <v>40.700000000000003</v>
      </c>
      <c r="S22" s="39">
        <v>49.6</v>
      </c>
      <c r="T22" s="39">
        <v>40.1</v>
      </c>
      <c r="U22" s="39">
        <v>51.5</v>
      </c>
      <c r="V22" s="5">
        <f t="shared" si="0"/>
        <v>43</v>
      </c>
      <c r="W22" s="4">
        <f t="shared" si="1"/>
        <v>2.1812215093216243</v>
      </c>
      <c r="X22" s="2">
        <f t="shared" si="2"/>
        <v>33.799999999999997</v>
      </c>
      <c r="Y22" s="3">
        <f t="shared" si="3"/>
        <v>38.25</v>
      </c>
      <c r="Z22" s="2">
        <f t="shared" si="4"/>
        <v>40.400000000000006</v>
      </c>
      <c r="AA22" s="3">
        <f t="shared" si="5"/>
        <v>48.475000000000001</v>
      </c>
      <c r="AB22" s="3">
        <f t="shared" si="6"/>
        <v>58.1</v>
      </c>
      <c r="AC22" s="3">
        <f t="shared" si="7"/>
        <v>0.65036061197359452</v>
      </c>
      <c r="AD22" s="3">
        <f t="shared" si="8"/>
        <v>-0.36686258708534814</v>
      </c>
      <c r="AF22" s="13" t="s">
        <v>66</v>
      </c>
      <c r="AG22" s="12">
        <v>32.35</v>
      </c>
      <c r="AH22" s="11">
        <v>34.737499999999997</v>
      </c>
      <c r="AI22" s="11">
        <v>39.35</v>
      </c>
      <c r="AJ22" s="11">
        <v>40.091666666666669</v>
      </c>
      <c r="AK22" s="12">
        <v>30.2</v>
      </c>
      <c r="AL22" s="11">
        <v>30.975000000000001</v>
      </c>
      <c r="AM22" s="11">
        <v>31.25</v>
      </c>
      <c r="AN22" s="10">
        <v>31.258333333333333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13.505000000000001</v>
      </c>
      <c r="J23" s="39">
        <v>55.9</v>
      </c>
      <c r="K23" s="39">
        <v>42.1</v>
      </c>
      <c r="L23" s="39">
        <v>53.2</v>
      </c>
      <c r="M23" s="39">
        <v>51.1</v>
      </c>
      <c r="N23" s="39">
        <v>37.1</v>
      </c>
      <c r="O23" s="39">
        <v>49.7</v>
      </c>
      <c r="P23" s="39">
        <v>40.200000000000003</v>
      </c>
      <c r="Q23" s="39">
        <v>49.4</v>
      </c>
      <c r="R23" s="39">
        <v>37.700000000000003</v>
      </c>
      <c r="S23" s="39">
        <v>45.3</v>
      </c>
      <c r="T23" s="39">
        <v>41.8</v>
      </c>
      <c r="U23" s="39">
        <v>53.9</v>
      </c>
      <c r="V23" s="5">
        <f t="shared" si="0"/>
        <v>46.449999999999996</v>
      </c>
      <c r="W23" s="4">
        <f t="shared" si="1"/>
        <v>1.8993021046817506</v>
      </c>
      <c r="X23" s="2">
        <f t="shared" si="2"/>
        <v>37.1</v>
      </c>
      <c r="Y23" s="3">
        <f t="shared" si="3"/>
        <v>41.4</v>
      </c>
      <c r="Z23" s="2">
        <f t="shared" si="4"/>
        <v>47.349999999999994</v>
      </c>
      <c r="AA23" s="3">
        <f t="shared" si="5"/>
        <v>51.625</v>
      </c>
      <c r="AB23" s="3">
        <f t="shared" si="6"/>
        <v>55.9</v>
      </c>
      <c r="AC23" s="3">
        <f t="shared" si="7"/>
        <v>-7.290890567486849E-2</v>
      </c>
      <c r="AD23" s="3">
        <f t="shared" si="8"/>
        <v>-1.5405354532141273</v>
      </c>
      <c r="AF23" s="13" t="s">
        <v>65</v>
      </c>
      <c r="AG23" s="12">
        <v>33.1</v>
      </c>
      <c r="AH23" s="11">
        <v>36.65</v>
      </c>
      <c r="AI23" s="11">
        <v>41.65</v>
      </c>
      <c r="AJ23" s="11">
        <v>42.912500000000001</v>
      </c>
      <c r="AK23" s="12">
        <v>29</v>
      </c>
      <c r="AL23" s="11">
        <v>29.75</v>
      </c>
      <c r="AM23" s="11">
        <v>30.65</v>
      </c>
      <c r="AN23" s="10">
        <v>30.558333333333334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13.529</v>
      </c>
      <c r="J24" s="39">
        <v>57.1</v>
      </c>
      <c r="K24" s="39">
        <v>33.4</v>
      </c>
      <c r="L24" s="39">
        <v>41.2</v>
      </c>
      <c r="M24" s="39">
        <v>39.6</v>
      </c>
      <c r="N24" s="39">
        <v>38.9</v>
      </c>
      <c r="O24" s="39">
        <v>38.200000000000003</v>
      </c>
      <c r="P24" s="39">
        <v>36.799999999999997</v>
      </c>
      <c r="Q24" s="39">
        <v>46.8</v>
      </c>
      <c r="R24" s="39">
        <v>34.9</v>
      </c>
      <c r="S24" s="39">
        <v>45.1</v>
      </c>
      <c r="T24" s="39">
        <v>36.4</v>
      </c>
      <c r="U24" s="39">
        <v>56.9</v>
      </c>
      <c r="V24" s="5">
        <f t="shared" si="0"/>
        <v>42.108333333333327</v>
      </c>
      <c r="W24" s="4">
        <f t="shared" si="1"/>
        <v>2.2958281774126812</v>
      </c>
      <c r="X24" s="2">
        <f t="shared" si="2"/>
        <v>33.4</v>
      </c>
      <c r="Y24" s="3">
        <f t="shared" si="3"/>
        <v>36.699999999999996</v>
      </c>
      <c r="Z24" s="2">
        <f t="shared" si="4"/>
        <v>39.25</v>
      </c>
      <c r="AA24" s="3">
        <f t="shared" si="5"/>
        <v>45.524999999999999</v>
      </c>
      <c r="AB24" s="3">
        <f t="shared" si="6"/>
        <v>57.1</v>
      </c>
      <c r="AC24" s="3">
        <f t="shared" si="7"/>
        <v>1.139857436563591</v>
      </c>
      <c r="AD24" s="3">
        <f t="shared" si="8"/>
        <v>0.28498219711009565</v>
      </c>
      <c r="AF24" s="13" t="s">
        <v>64</v>
      </c>
      <c r="AG24" s="12">
        <v>33.700000000000003</v>
      </c>
      <c r="AH24" s="11">
        <v>36.587499999999999</v>
      </c>
      <c r="AI24" s="11">
        <v>42.9</v>
      </c>
      <c r="AJ24" s="11">
        <v>42.670833333333334</v>
      </c>
      <c r="AK24" s="12">
        <v>28.7</v>
      </c>
      <c r="AL24" s="11">
        <v>29.212499999999999</v>
      </c>
      <c r="AM24" s="11">
        <v>29.8</v>
      </c>
      <c r="AN24" s="10">
        <v>29.870833333333337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13.555</v>
      </c>
      <c r="J25" s="39">
        <v>57.2</v>
      </c>
      <c r="K25" s="39">
        <v>40.200000000000003</v>
      </c>
      <c r="L25" s="39">
        <v>45.1</v>
      </c>
      <c r="M25" s="39">
        <v>59.1</v>
      </c>
      <c r="N25" s="39">
        <v>35.6</v>
      </c>
      <c r="O25" s="39">
        <v>51.3</v>
      </c>
      <c r="P25" s="39">
        <v>39.299999999999997</v>
      </c>
      <c r="Q25" s="39">
        <v>48.1</v>
      </c>
      <c r="R25" s="39">
        <v>35.5</v>
      </c>
      <c r="S25" s="39">
        <v>50.7</v>
      </c>
      <c r="T25" s="39">
        <v>34.299999999999997</v>
      </c>
      <c r="U25" s="39">
        <v>57</v>
      </c>
      <c r="V25" s="5">
        <f t="shared" si="0"/>
        <v>46.116666666666674</v>
      </c>
      <c r="W25" s="4">
        <f t="shared" si="1"/>
        <v>2.621468283156577</v>
      </c>
      <c r="X25" s="2">
        <f t="shared" si="2"/>
        <v>34.299999999999997</v>
      </c>
      <c r="Y25" s="3">
        <f t="shared" si="3"/>
        <v>38.375</v>
      </c>
      <c r="Z25" s="2">
        <f t="shared" si="4"/>
        <v>46.6</v>
      </c>
      <c r="AA25" s="3">
        <f t="shared" si="5"/>
        <v>52.724999999999994</v>
      </c>
      <c r="AB25" s="3">
        <f t="shared" si="6"/>
        <v>59.1</v>
      </c>
      <c r="AC25" s="3">
        <f t="shared" si="7"/>
        <v>7.9795140430383757E-2</v>
      </c>
      <c r="AD25" s="3">
        <f t="shared" si="8"/>
        <v>-1.5648388866589404</v>
      </c>
      <c r="AF25" s="13" t="s">
        <v>63</v>
      </c>
      <c r="AG25" s="12">
        <v>34.700000000000003</v>
      </c>
      <c r="AH25" s="11">
        <v>38.94166666666667</v>
      </c>
      <c r="AI25" s="11">
        <v>45.216666666666661</v>
      </c>
      <c r="AJ25" s="11">
        <v>44.745833333333337</v>
      </c>
      <c r="AK25" s="12">
        <v>29.1</v>
      </c>
      <c r="AL25" s="11">
        <v>30.116666666666664</v>
      </c>
      <c r="AM25" s="11">
        <v>30.916666666666668</v>
      </c>
      <c r="AN25" s="10">
        <v>30.195833333333333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13.718999999999999</v>
      </c>
      <c r="J26" s="39">
        <v>54.8</v>
      </c>
      <c r="K26" s="39">
        <v>51.8</v>
      </c>
      <c r="L26" s="39">
        <v>41.3</v>
      </c>
      <c r="M26" s="39">
        <v>52.1</v>
      </c>
      <c r="N26" s="39">
        <v>40.4</v>
      </c>
      <c r="O26" s="39">
        <v>50.3</v>
      </c>
      <c r="P26" s="39">
        <v>46.2</v>
      </c>
      <c r="Q26" s="39">
        <v>52.9</v>
      </c>
      <c r="R26" s="39">
        <v>37.4</v>
      </c>
      <c r="S26" s="39">
        <v>49.4</v>
      </c>
      <c r="T26" s="39">
        <v>38.200000000000003</v>
      </c>
      <c r="U26" s="39">
        <v>52.9</v>
      </c>
      <c r="V26" s="5">
        <f t="shared" si="0"/>
        <v>47.30833333333333</v>
      </c>
      <c r="W26" s="4">
        <f t="shared" si="1"/>
        <v>1.828455977765479</v>
      </c>
      <c r="X26" s="2">
        <f t="shared" si="2"/>
        <v>37.4</v>
      </c>
      <c r="Y26" s="3">
        <f t="shared" si="3"/>
        <v>41.074999999999996</v>
      </c>
      <c r="Z26" s="2">
        <f t="shared" si="4"/>
        <v>49.849999999999994</v>
      </c>
      <c r="AA26" s="3">
        <f t="shared" si="5"/>
        <v>52.3</v>
      </c>
      <c r="AB26" s="3">
        <f t="shared" si="6"/>
        <v>54.8</v>
      </c>
      <c r="AC26" s="3">
        <f t="shared" si="7"/>
        <v>-0.54506692437861803</v>
      </c>
      <c r="AD26" s="3">
        <f t="shared" si="8"/>
        <v>-1.4641966862459284</v>
      </c>
      <c r="AF26" s="13" t="s">
        <v>62</v>
      </c>
      <c r="AG26" s="12">
        <v>36.200000000000003</v>
      </c>
      <c r="AH26" s="11">
        <v>40.806249999999999</v>
      </c>
      <c r="AI26" s="11">
        <v>46.3125</v>
      </c>
      <c r="AJ26" s="11">
        <v>45.541666666666664</v>
      </c>
      <c r="AK26" s="12">
        <v>28.75</v>
      </c>
      <c r="AL26" s="11">
        <v>29.975000000000001</v>
      </c>
      <c r="AM26" s="11">
        <v>30.4375</v>
      </c>
      <c r="AN26" s="10">
        <v>30.447916666666668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13.743</v>
      </c>
      <c r="J27" s="39">
        <v>54.3</v>
      </c>
      <c r="K27" s="39">
        <v>37.1</v>
      </c>
      <c r="L27" s="39">
        <v>54.4</v>
      </c>
      <c r="M27" s="39">
        <v>40.5</v>
      </c>
      <c r="N27" s="39">
        <v>50.4</v>
      </c>
      <c r="O27" s="39">
        <v>35.299999999999997</v>
      </c>
      <c r="P27" s="39">
        <v>47.9</v>
      </c>
      <c r="Q27" s="39">
        <v>34.5</v>
      </c>
      <c r="R27" s="39">
        <v>49</v>
      </c>
      <c r="S27" s="39">
        <v>36.9</v>
      </c>
      <c r="T27" s="39">
        <v>36.5</v>
      </c>
      <c r="U27" s="39">
        <v>33.299999999999997</v>
      </c>
      <c r="V27" s="5">
        <f t="shared" si="0"/>
        <v>42.508333333333333</v>
      </c>
      <c r="W27" s="4">
        <f t="shared" si="1"/>
        <v>2.3284621772988152</v>
      </c>
      <c r="X27" s="2">
        <f t="shared" si="2"/>
        <v>33.299999999999997</v>
      </c>
      <c r="Y27" s="3">
        <f t="shared" si="3"/>
        <v>36.200000000000003</v>
      </c>
      <c r="Z27" s="2">
        <f t="shared" si="4"/>
        <v>38.799999999999997</v>
      </c>
      <c r="AA27" s="3">
        <f t="shared" si="5"/>
        <v>49.35</v>
      </c>
      <c r="AB27" s="3">
        <f t="shared" si="6"/>
        <v>54.4</v>
      </c>
      <c r="AC27" s="3">
        <f t="shared" si="7"/>
        <v>0.41875236188995996</v>
      </c>
      <c r="AD27" s="3">
        <f t="shared" si="8"/>
        <v>-1.6881801916012766</v>
      </c>
      <c r="AF27" s="9" t="s">
        <v>61</v>
      </c>
      <c r="AG27" s="8">
        <v>44.45</v>
      </c>
      <c r="AH27" s="7">
        <v>46.112499999999997</v>
      </c>
      <c r="AI27" s="7">
        <v>46.85</v>
      </c>
      <c r="AJ27" s="7">
        <v>46.875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13.773</v>
      </c>
      <c r="J28" s="39">
        <v>40.9</v>
      </c>
      <c r="K28" s="39">
        <v>30.3</v>
      </c>
      <c r="L28" s="39">
        <v>46.7</v>
      </c>
      <c r="M28" s="39">
        <v>30.4</v>
      </c>
      <c r="N28" s="39">
        <v>40.5</v>
      </c>
      <c r="O28" s="39">
        <v>34.1</v>
      </c>
      <c r="P28" s="39">
        <v>49</v>
      </c>
      <c r="Q28" s="39">
        <v>36.4</v>
      </c>
      <c r="R28" s="39">
        <v>47.8</v>
      </c>
      <c r="S28" s="39">
        <v>32</v>
      </c>
      <c r="T28" s="39">
        <v>47.5</v>
      </c>
      <c r="U28" s="39">
        <v>31.1</v>
      </c>
      <c r="V28" s="5">
        <f t="shared" si="0"/>
        <v>38.891666666666666</v>
      </c>
      <c r="W28" s="4">
        <f t="shared" si="1"/>
        <v>2.1435759676981139</v>
      </c>
      <c r="X28" s="2">
        <f t="shared" si="2"/>
        <v>30.3</v>
      </c>
      <c r="Y28" s="3">
        <f t="shared" si="3"/>
        <v>31.774999999999999</v>
      </c>
      <c r="Z28" s="2">
        <f t="shared" si="4"/>
        <v>38.450000000000003</v>
      </c>
      <c r="AA28" s="3">
        <f t="shared" si="5"/>
        <v>46.900000000000006</v>
      </c>
      <c r="AB28" s="3">
        <f t="shared" si="6"/>
        <v>49</v>
      </c>
      <c r="AC28" s="3">
        <f t="shared" si="7"/>
        <v>0.18482389677454666</v>
      </c>
      <c r="AD28" s="3">
        <f t="shared" si="8"/>
        <v>-1.7981870675142204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13.795</v>
      </c>
      <c r="J29" s="39">
        <v>61.1</v>
      </c>
      <c r="K29" s="39">
        <v>48</v>
      </c>
      <c r="L29" s="39">
        <v>36.299999999999997</v>
      </c>
      <c r="M29" s="39">
        <v>48.8</v>
      </c>
      <c r="N29" s="39">
        <v>33.1</v>
      </c>
      <c r="O29" s="39">
        <v>47.2</v>
      </c>
      <c r="P29" s="39">
        <v>33.5</v>
      </c>
      <c r="Q29" s="39">
        <v>46.6</v>
      </c>
      <c r="R29" s="39">
        <v>33.700000000000003</v>
      </c>
      <c r="S29" s="39">
        <v>42.8</v>
      </c>
      <c r="T29" s="39">
        <v>37.1</v>
      </c>
      <c r="U29" s="39">
        <v>46.9</v>
      </c>
      <c r="V29" s="5">
        <f t="shared" si="0"/>
        <v>42.925000000000004</v>
      </c>
      <c r="W29" s="4">
        <f t="shared" si="1"/>
        <v>2.4409425961246556</v>
      </c>
      <c r="X29" s="2">
        <f t="shared" si="2"/>
        <v>33.1</v>
      </c>
      <c r="Y29" s="3">
        <f t="shared" si="3"/>
        <v>35.65</v>
      </c>
      <c r="Z29" s="2">
        <f t="shared" si="4"/>
        <v>44.7</v>
      </c>
      <c r="AA29" s="3">
        <f t="shared" si="5"/>
        <v>47.400000000000006</v>
      </c>
      <c r="AB29" s="3">
        <f t="shared" si="6"/>
        <v>61.1</v>
      </c>
      <c r="AC29" s="3">
        <f t="shared" si="7"/>
        <v>0.62590808490133654</v>
      </c>
      <c r="AD29" s="3">
        <f t="shared" si="8"/>
        <v>0.25953588578227826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13.816000000000001</v>
      </c>
      <c r="J30" s="39">
        <v>43.3</v>
      </c>
      <c r="K30" s="39">
        <v>36</v>
      </c>
      <c r="L30" s="39">
        <v>40.700000000000003</v>
      </c>
      <c r="M30" s="39">
        <v>35.9</v>
      </c>
      <c r="N30" s="39">
        <v>36.9</v>
      </c>
      <c r="O30" s="39">
        <v>33.200000000000003</v>
      </c>
      <c r="P30" s="39">
        <v>41.3</v>
      </c>
      <c r="Q30" s="39">
        <v>33.200000000000003</v>
      </c>
      <c r="R30" s="39">
        <v>36.700000000000003</v>
      </c>
      <c r="S30" s="39">
        <v>39.9</v>
      </c>
      <c r="T30" s="39">
        <v>38.200000000000003</v>
      </c>
      <c r="U30" s="39">
        <v>35.9</v>
      </c>
      <c r="V30" s="5">
        <f t="shared" si="0"/>
        <v>37.599999999999994</v>
      </c>
      <c r="W30" s="4">
        <f t="shared" si="1"/>
        <v>0.91204066894968094</v>
      </c>
      <c r="X30" s="2">
        <f t="shared" si="2"/>
        <v>33.200000000000003</v>
      </c>
      <c r="Y30" s="3">
        <f t="shared" si="3"/>
        <v>35.9</v>
      </c>
      <c r="Z30" s="2">
        <f t="shared" si="4"/>
        <v>36.799999999999997</v>
      </c>
      <c r="AA30" s="3">
        <f t="shared" si="5"/>
        <v>40.1</v>
      </c>
      <c r="AB30" s="3">
        <f t="shared" si="6"/>
        <v>43.3</v>
      </c>
      <c r="AC30" s="3">
        <f t="shared" si="7"/>
        <v>0.32052137731624686</v>
      </c>
      <c r="AD30" s="3">
        <f t="shared" si="8"/>
        <v>-0.6532572486488113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13.837</v>
      </c>
      <c r="J31" s="39">
        <v>55.7</v>
      </c>
      <c r="K31" s="39">
        <v>34.6</v>
      </c>
      <c r="L31" s="39">
        <v>57.7</v>
      </c>
      <c r="M31" s="39">
        <v>41.1</v>
      </c>
      <c r="N31" s="39">
        <v>53.5</v>
      </c>
      <c r="O31" s="39">
        <v>32.700000000000003</v>
      </c>
      <c r="P31" s="39">
        <v>49.3</v>
      </c>
      <c r="Q31" s="39">
        <v>35.1</v>
      </c>
      <c r="R31" s="39">
        <v>48.2</v>
      </c>
      <c r="S31" s="39">
        <v>35.799999999999997</v>
      </c>
      <c r="T31" s="39">
        <v>43.4</v>
      </c>
      <c r="U31" s="39">
        <v>48.1</v>
      </c>
      <c r="V31" s="5">
        <f t="shared" si="0"/>
        <v>44.6</v>
      </c>
      <c r="W31" s="4">
        <f t="shared" si="1"/>
        <v>2.5291033265494836</v>
      </c>
      <c r="X31" s="2">
        <f t="shared" si="2"/>
        <v>32.700000000000003</v>
      </c>
      <c r="Y31" s="3">
        <f t="shared" si="3"/>
        <v>35.625</v>
      </c>
      <c r="Z31" s="2">
        <f t="shared" si="4"/>
        <v>45.75</v>
      </c>
      <c r="AA31" s="3">
        <f t="shared" si="5"/>
        <v>50.349999999999994</v>
      </c>
      <c r="AB31" s="3">
        <f t="shared" si="6"/>
        <v>57.7</v>
      </c>
      <c r="AC31" s="3">
        <f t="shared" si="7"/>
        <v>3.9815780889850758E-2</v>
      </c>
      <c r="AD31" s="3">
        <f t="shared" si="8"/>
        <v>-1.4641433168865179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13.86</v>
      </c>
      <c r="J32" s="39">
        <v>57.5</v>
      </c>
      <c r="K32" s="39">
        <v>32.9</v>
      </c>
      <c r="L32" s="39">
        <v>54.8</v>
      </c>
      <c r="M32" s="39">
        <v>37.6</v>
      </c>
      <c r="N32" s="39">
        <v>55.1</v>
      </c>
      <c r="O32" s="39">
        <v>34.299999999999997</v>
      </c>
      <c r="P32" s="39">
        <v>54.9</v>
      </c>
      <c r="Q32" s="39">
        <v>33.5</v>
      </c>
      <c r="R32" s="39">
        <v>54.3</v>
      </c>
      <c r="S32" s="39">
        <v>37.799999999999997</v>
      </c>
      <c r="T32" s="39">
        <v>54.3</v>
      </c>
      <c r="U32" s="39">
        <v>34.299999999999997</v>
      </c>
      <c r="V32" s="5">
        <f t="shared" si="0"/>
        <v>45.108333333333327</v>
      </c>
      <c r="W32" s="4">
        <f t="shared" si="1"/>
        <v>3.0641984055682339</v>
      </c>
      <c r="X32" s="2">
        <f t="shared" si="2"/>
        <v>32.9</v>
      </c>
      <c r="Y32" s="3">
        <f t="shared" si="3"/>
        <v>34.299999999999997</v>
      </c>
      <c r="Z32" s="2">
        <f t="shared" si="4"/>
        <v>46.05</v>
      </c>
      <c r="AA32" s="3">
        <f t="shared" si="5"/>
        <v>54.824999999999996</v>
      </c>
      <c r="AB32" s="3">
        <f t="shared" si="6"/>
        <v>57.5</v>
      </c>
      <c r="AC32" s="3">
        <f t="shared" si="7"/>
        <v>-3.8326675441706801E-2</v>
      </c>
      <c r="AD32" s="3">
        <f t="shared" si="8"/>
        <v>-2.3013732681326737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13.881</v>
      </c>
      <c r="J33" s="39">
        <v>52</v>
      </c>
      <c r="K33" s="39">
        <v>39.1</v>
      </c>
      <c r="L33" s="39">
        <v>57.2</v>
      </c>
      <c r="M33" s="39">
        <v>40</v>
      </c>
      <c r="N33" s="39">
        <v>53.7</v>
      </c>
      <c r="O33" s="39">
        <v>41.5</v>
      </c>
      <c r="P33" s="39">
        <v>50.5</v>
      </c>
      <c r="Q33" s="39">
        <v>37.4</v>
      </c>
      <c r="R33" s="39">
        <v>46.5</v>
      </c>
      <c r="S33" s="39">
        <v>36.1</v>
      </c>
      <c r="T33" s="39">
        <v>43.1</v>
      </c>
      <c r="U33" s="39">
        <v>37.1</v>
      </c>
      <c r="V33" s="5">
        <f t="shared" si="0"/>
        <v>44.516666666666673</v>
      </c>
      <c r="W33" s="4">
        <f t="shared" si="1"/>
        <v>2.0930561001520713</v>
      </c>
      <c r="X33" s="2">
        <f t="shared" si="2"/>
        <v>36.1</v>
      </c>
      <c r="Y33" s="3">
        <f t="shared" si="3"/>
        <v>38.674999999999997</v>
      </c>
      <c r="Z33" s="2">
        <f t="shared" si="4"/>
        <v>42.3</v>
      </c>
      <c r="AA33" s="3">
        <f t="shared" si="5"/>
        <v>50.875</v>
      </c>
      <c r="AB33" s="3">
        <f t="shared" si="6"/>
        <v>57.2</v>
      </c>
      <c r="AC33" s="3">
        <f t="shared" si="7"/>
        <v>0.51798727818241419</v>
      </c>
      <c r="AD33" s="3">
        <f t="shared" si="8"/>
        <v>-1.2168943092243163</v>
      </c>
    </row>
    <row r="34" spans="1:30" x14ac:dyDescent="0.2">
      <c r="A34" s="1">
        <v>401</v>
      </c>
      <c r="B34" s="1" t="s">
        <v>65</v>
      </c>
      <c r="C34" s="1">
        <v>7</v>
      </c>
      <c r="D34" s="1">
        <v>2</v>
      </c>
      <c r="E34" s="1">
        <v>1</v>
      </c>
      <c r="F34" s="1">
        <v>2</v>
      </c>
      <c r="G34" s="1">
        <v>3</v>
      </c>
      <c r="H34" s="1">
        <v>1</v>
      </c>
      <c r="I34" s="1">
        <v>14.118</v>
      </c>
      <c r="J34" s="39">
        <v>57.8</v>
      </c>
      <c r="K34" s="39">
        <v>36.200000000000003</v>
      </c>
      <c r="L34" s="39">
        <v>57.3</v>
      </c>
      <c r="M34" s="39">
        <v>39.4</v>
      </c>
      <c r="N34" s="39">
        <v>50.3</v>
      </c>
      <c r="O34" s="39">
        <v>36.4</v>
      </c>
      <c r="P34" s="39">
        <v>48.5</v>
      </c>
      <c r="Q34" s="39">
        <v>37.200000000000003</v>
      </c>
      <c r="R34" s="39">
        <v>48</v>
      </c>
      <c r="S34" s="39">
        <v>38.799999999999997</v>
      </c>
      <c r="T34" s="39">
        <v>51.6</v>
      </c>
      <c r="U34" s="39">
        <v>36.5</v>
      </c>
      <c r="V34" s="5">
        <f t="shared" si="0"/>
        <v>44.833333333333336</v>
      </c>
      <c r="W34" s="4">
        <f t="shared" si="1"/>
        <v>2.4026290314208456</v>
      </c>
      <c r="X34" s="2"/>
      <c r="Y34" s="3"/>
      <c r="Z34" s="2"/>
      <c r="AA34" s="3"/>
      <c r="AB34" s="3"/>
      <c r="AC34" s="3"/>
      <c r="AD34" s="3"/>
    </row>
    <row r="35" spans="1:30" x14ac:dyDescent="0.2">
      <c r="A35" s="1">
        <v>402</v>
      </c>
      <c r="B35" s="1" t="s">
        <v>63</v>
      </c>
      <c r="C35" s="1">
        <v>9</v>
      </c>
      <c r="D35" s="1">
        <v>2</v>
      </c>
      <c r="E35" s="1">
        <v>2</v>
      </c>
      <c r="F35" s="1">
        <v>2</v>
      </c>
      <c r="G35" s="1">
        <v>3</v>
      </c>
      <c r="H35" s="1">
        <v>1</v>
      </c>
      <c r="I35" s="1">
        <v>14.093999999999999</v>
      </c>
      <c r="J35" s="39">
        <v>51.3</v>
      </c>
      <c r="K35" s="39">
        <v>31.3</v>
      </c>
      <c r="L35" s="39">
        <v>50.9</v>
      </c>
      <c r="M35" s="39">
        <v>33.700000000000003</v>
      </c>
      <c r="N35" s="39">
        <v>49.1</v>
      </c>
      <c r="O35" s="39">
        <v>37.799999999999997</v>
      </c>
      <c r="P35" s="39">
        <v>48.2</v>
      </c>
      <c r="Q35" s="39">
        <v>36.5</v>
      </c>
      <c r="R35" s="39">
        <v>49.1</v>
      </c>
      <c r="S35" s="39">
        <v>33.6</v>
      </c>
      <c r="T35" s="39">
        <v>51.3</v>
      </c>
      <c r="U35" s="39">
        <v>29.9</v>
      </c>
      <c r="V35" s="5">
        <f t="shared" si="0"/>
        <v>41.891666666666666</v>
      </c>
      <c r="W35" s="4">
        <f t="shared" si="1"/>
        <v>2.5219478502926993</v>
      </c>
      <c r="X35" s="2"/>
      <c r="Y35" s="3"/>
      <c r="Z35" s="2"/>
      <c r="AA35" s="3"/>
      <c r="AB35" s="3"/>
      <c r="AC35" s="3"/>
      <c r="AD35" s="3"/>
    </row>
    <row r="36" spans="1:30" x14ac:dyDescent="0.2">
      <c r="A36" s="1">
        <v>403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3</v>
      </c>
      <c r="H36" s="1">
        <v>1</v>
      </c>
      <c r="I36" s="4">
        <v>14.067</v>
      </c>
      <c r="J36" s="39">
        <v>47.3</v>
      </c>
      <c r="K36" s="39">
        <v>35</v>
      </c>
      <c r="L36" s="39">
        <v>44.6</v>
      </c>
      <c r="M36" s="39">
        <v>38.700000000000003</v>
      </c>
      <c r="N36" s="39">
        <v>42</v>
      </c>
      <c r="O36" s="39">
        <v>46.9</v>
      </c>
      <c r="P36" s="39">
        <v>35.4</v>
      </c>
      <c r="Q36" s="39">
        <v>52.1</v>
      </c>
      <c r="R36" s="39">
        <v>40.700000000000003</v>
      </c>
      <c r="S36" s="39">
        <v>45</v>
      </c>
      <c r="T36" s="39">
        <v>37.5</v>
      </c>
      <c r="U36" s="39">
        <v>46</v>
      </c>
      <c r="V36" s="5">
        <f t="shared" si="0"/>
        <v>42.6</v>
      </c>
      <c r="W36" s="4">
        <f t="shared" si="1"/>
        <v>1.524894432510983</v>
      </c>
      <c r="X36" s="2">
        <f t="shared" ref="X36:X73" si="9">MIN(J36:U36)</f>
        <v>35</v>
      </c>
      <c r="Y36" s="3">
        <f t="shared" ref="Y36:Y73" si="10">QUARTILE(J36:U36,1)</f>
        <v>38.400000000000006</v>
      </c>
      <c r="Z36" s="2">
        <f t="shared" ref="Z36:Z73" si="11">MEDIAN(J36:U36)</f>
        <v>43.3</v>
      </c>
      <c r="AA36" s="3">
        <f t="shared" ref="AA36:AA73" si="12">QUARTILE(J36:U36,3)</f>
        <v>46.225000000000001</v>
      </c>
      <c r="AB36" s="3">
        <f t="shared" ref="AB36:AB73" si="13">MAX(J36:U36)</f>
        <v>52.1</v>
      </c>
      <c r="AC36" s="3">
        <f t="shared" ref="AC36:AC73" si="14">SKEW(J36:U36)</f>
        <v>6.7027489222250464E-2</v>
      </c>
      <c r="AD36" s="3">
        <f t="shared" ref="AD36:AD73" si="15">KURT(J36:U36)</f>
        <v>-0.77453800017248042</v>
      </c>
    </row>
    <row r="37" spans="1:30" x14ac:dyDescent="0.2">
      <c r="A37" s="1">
        <v>404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3</v>
      </c>
      <c r="H37" s="1">
        <v>1</v>
      </c>
      <c r="I37" s="4">
        <v>14.034000000000001</v>
      </c>
      <c r="J37" s="39">
        <v>59.6</v>
      </c>
      <c r="K37" s="39">
        <v>39.5</v>
      </c>
      <c r="L37" s="39">
        <v>40.700000000000003</v>
      </c>
      <c r="M37" s="39">
        <v>50.6</v>
      </c>
      <c r="N37" s="39">
        <v>35.9</v>
      </c>
      <c r="O37" s="39">
        <v>35.299999999999997</v>
      </c>
      <c r="P37" s="39">
        <v>35.5</v>
      </c>
      <c r="Q37" s="39">
        <v>36.6</v>
      </c>
      <c r="R37" s="39">
        <v>47.5</v>
      </c>
      <c r="S37" s="39">
        <v>43.3</v>
      </c>
      <c r="T37" s="39">
        <v>53.2</v>
      </c>
      <c r="U37" s="39">
        <v>38.6</v>
      </c>
      <c r="V37" s="5">
        <f t="shared" si="0"/>
        <v>43.025000000000006</v>
      </c>
      <c r="W37" s="4">
        <f t="shared" si="1"/>
        <v>2.3053010386471966</v>
      </c>
      <c r="X37" s="2">
        <f t="shared" si="9"/>
        <v>35.299999999999997</v>
      </c>
      <c r="Y37" s="3">
        <f t="shared" si="10"/>
        <v>36.424999999999997</v>
      </c>
      <c r="Z37" s="2">
        <f t="shared" si="11"/>
        <v>40.1</v>
      </c>
      <c r="AA37" s="3">
        <f t="shared" si="12"/>
        <v>48.274999999999999</v>
      </c>
      <c r="AB37" s="3">
        <f t="shared" si="13"/>
        <v>59.6</v>
      </c>
      <c r="AC37" s="3">
        <f t="shared" si="14"/>
        <v>0.9584330429319986</v>
      </c>
      <c r="AD37" s="3">
        <f t="shared" si="15"/>
        <v>-0.10051718284229771</v>
      </c>
    </row>
    <row r="38" spans="1:30" x14ac:dyDescent="0.2">
      <c r="A38" s="1">
        <v>405</v>
      </c>
      <c r="B38" s="1" t="s">
        <v>72</v>
      </c>
      <c r="C38" s="1">
        <v>6</v>
      </c>
      <c r="D38" s="1">
        <v>1</v>
      </c>
      <c r="E38" s="1">
        <v>3</v>
      </c>
      <c r="F38" s="1">
        <v>1</v>
      </c>
      <c r="G38" s="1">
        <v>4</v>
      </c>
      <c r="H38" s="1">
        <v>1</v>
      </c>
      <c r="I38" s="4">
        <v>13.988</v>
      </c>
      <c r="J38" s="39">
        <v>49.7</v>
      </c>
      <c r="K38" s="39">
        <v>39.1</v>
      </c>
      <c r="L38" s="39">
        <v>46.1</v>
      </c>
      <c r="M38" s="39">
        <v>38.5</v>
      </c>
      <c r="N38" s="39">
        <v>50.7</v>
      </c>
      <c r="O38" s="39">
        <v>34</v>
      </c>
      <c r="P38" s="39">
        <v>52.2</v>
      </c>
      <c r="Q38" s="39">
        <v>34.9</v>
      </c>
      <c r="R38" s="39">
        <v>38.6</v>
      </c>
      <c r="S38" s="39">
        <v>43.1</v>
      </c>
      <c r="T38" s="39">
        <v>47.5</v>
      </c>
      <c r="U38" s="39">
        <v>47.4</v>
      </c>
      <c r="V38" s="5">
        <f t="shared" si="0"/>
        <v>43.483333333333341</v>
      </c>
      <c r="W38" s="4">
        <f t="shared" si="1"/>
        <v>1.8188338477322594</v>
      </c>
      <c r="X38" s="2">
        <f t="shared" si="9"/>
        <v>34</v>
      </c>
      <c r="Y38" s="3">
        <f t="shared" si="10"/>
        <v>38.575000000000003</v>
      </c>
      <c r="Z38" s="2">
        <f t="shared" si="11"/>
        <v>44.6</v>
      </c>
      <c r="AA38" s="3">
        <f t="shared" si="12"/>
        <v>48.05</v>
      </c>
      <c r="AB38" s="3">
        <f t="shared" si="13"/>
        <v>52.2</v>
      </c>
      <c r="AC38" s="3">
        <f t="shared" si="14"/>
        <v>-0.16945372228117667</v>
      </c>
      <c r="AD38" s="3">
        <f t="shared" si="15"/>
        <v>-1.4744129388124438</v>
      </c>
    </row>
    <row r="39" spans="1:30" x14ac:dyDescent="0.2">
      <c r="A39" s="1">
        <v>406</v>
      </c>
      <c r="B39" s="1" t="s">
        <v>69</v>
      </c>
      <c r="C39" s="1">
        <v>3</v>
      </c>
      <c r="D39" s="1">
        <v>1</v>
      </c>
      <c r="E39" s="1">
        <v>2</v>
      </c>
      <c r="F39" s="1">
        <v>2</v>
      </c>
      <c r="G39" s="1">
        <v>4</v>
      </c>
      <c r="H39" s="1">
        <v>1</v>
      </c>
      <c r="I39" s="4">
        <v>13.965999999999999</v>
      </c>
      <c r="J39" s="39">
        <v>58</v>
      </c>
      <c r="K39" s="39">
        <v>37.799999999999997</v>
      </c>
      <c r="L39" s="39">
        <v>53.4</v>
      </c>
      <c r="M39" s="39">
        <v>36.200000000000003</v>
      </c>
      <c r="N39" s="39">
        <v>50.3</v>
      </c>
      <c r="O39" s="39">
        <v>37</v>
      </c>
      <c r="P39" s="39">
        <v>49</v>
      </c>
      <c r="Q39" s="39">
        <v>45.1</v>
      </c>
      <c r="R39" s="39">
        <v>53</v>
      </c>
      <c r="S39" s="39">
        <v>37.200000000000003</v>
      </c>
      <c r="T39" s="39">
        <v>46</v>
      </c>
      <c r="U39" s="39">
        <v>36.200000000000003</v>
      </c>
      <c r="V39" s="5">
        <f t="shared" si="0"/>
        <v>44.933333333333337</v>
      </c>
      <c r="W39" s="4">
        <f t="shared" si="1"/>
        <v>2.269973078646029</v>
      </c>
      <c r="X39" s="2">
        <f t="shared" si="9"/>
        <v>36.200000000000003</v>
      </c>
      <c r="Y39" s="3">
        <f t="shared" si="10"/>
        <v>37.150000000000006</v>
      </c>
      <c r="Z39" s="2">
        <f t="shared" si="11"/>
        <v>45.55</v>
      </c>
      <c r="AA39" s="3">
        <f t="shared" si="12"/>
        <v>50.974999999999994</v>
      </c>
      <c r="AB39" s="3">
        <f t="shared" si="13"/>
        <v>58</v>
      </c>
      <c r="AC39" s="3">
        <f t="shared" si="14"/>
        <v>0.20840675641418879</v>
      </c>
      <c r="AD39" s="3">
        <f t="shared" si="15"/>
        <v>-1.5032048089265162</v>
      </c>
    </row>
    <row r="40" spans="1:30" x14ac:dyDescent="0.2">
      <c r="A40" s="1">
        <v>407</v>
      </c>
      <c r="B40" s="1" t="s">
        <v>65</v>
      </c>
      <c r="C40" s="1">
        <v>7</v>
      </c>
      <c r="D40" s="1">
        <v>2</v>
      </c>
      <c r="E40" s="1">
        <v>1</v>
      </c>
      <c r="F40" s="1">
        <v>2</v>
      </c>
      <c r="G40" s="1">
        <v>4</v>
      </c>
      <c r="H40" s="1">
        <v>1</v>
      </c>
      <c r="I40" s="4">
        <v>13.946</v>
      </c>
      <c r="J40" s="39">
        <v>50.2</v>
      </c>
      <c r="K40" s="39">
        <v>33.1</v>
      </c>
      <c r="L40" s="39">
        <v>47.3</v>
      </c>
      <c r="M40" s="39">
        <v>34</v>
      </c>
      <c r="N40" s="39">
        <v>40.5</v>
      </c>
      <c r="O40" s="39">
        <v>36.5</v>
      </c>
      <c r="P40" s="39">
        <v>43.4</v>
      </c>
      <c r="Q40" s="39">
        <v>43</v>
      </c>
      <c r="R40" s="39">
        <v>46.3</v>
      </c>
      <c r="S40" s="39">
        <v>42.8</v>
      </c>
      <c r="T40" s="39">
        <v>38.1</v>
      </c>
      <c r="U40" s="39">
        <v>36.700000000000003</v>
      </c>
      <c r="V40" s="5">
        <f t="shared" si="0"/>
        <v>40.991666666666667</v>
      </c>
      <c r="W40" s="4">
        <f t="shared" si="1"/>
        <v>1.5672528722757282</v>
      </c>
      <c r="X40" s="2">
        <f t="shared" si="9"/>
        <v>33.1</v>
      </c>
      <c r="Y40" s="3">
        <f t="shared" si="10"/>
        <v>36.650000000000006</v>
      </c>
      <c r="Z40" s="2">
        <f t="shared" si="11"/>
        <v>41.65</v>
      </c>
      <c r="AA40" s="3">
        <f t="shared" si="12"/>
        <v>44.125</v>
      </c>
      <c r="AB40" s="3">
        <f t="shared" si="13"/>
        <v>50.2</v>
      </c>
      <c r="AC40" s="3">
        <f t="shared" si="14"/>
        <v>0.12419982718593539</v>
      </c>
      <c r="AD40" s="3">
        <f t="shared" si="15"/>
        <v>-1.0021279425432228</v>
      </c>
    </row>
    <row r="41" spans="1:30" x14ac:dyDescent="0.2">
      <c r="A41" s="1">
        <v>408</v>
      </c>
      <c r="B41" s="1" t="s">
        <v>62</v>
      </c>
      <c r="C41" s="1">
        <v>10</v>
      </c>
      <c r="D41" s="1">
        <v>2</v>
      </c>
      <c r="E41" s="1">
        <v>2</v>
      </c>
      <c r="F41" s="1">
        <v>1</v>
      </c>
      <c r="G41" s="1">
        <v>4</v>
      </c>
      <c r="H41" s="1">
        <v>1</v>
      </c>
      <c r="I41" s="4">
        <v>13.923999999999999</v>
      </c>
      <c r="J41" s="39">
        <v>58.8</v>
      </c>
      <c r="K41" s="39">
        <v>35.6</v>
      </c>
      <c r="L41" s="39">
        <v>56.9</v>
      </c>
      <c r="M41" s="39">
        <v>43.2</v>
      </c>
      <c r="N41" s="39">
        <v>44.4</v>
      </c>
      <c r="O41" s="39">
        <v>52.2</v>
      </c>
      <c r="P41" s="39">
        <v>47.7</v>
      </c>
      <c r="Q41" s="39">
        <v>48.5</v>
      </c>
      <c r="R41" s="39">
        <v>45.9</v>
      </c>
      <c r="S41" s="39">
        <v>53.1</v>
      </c>
      <c r="T41" s="39">
        <v>39.6</v>
      </c>
      <c r="U41" s="39">
        <v>52.8</v>
      </c>
      <c r="V41" s="5">
        <f t="shared" si="0"/>
        <v>48.224999999999994</v>
      </c>
      <c r="W41" s="4">
        <f t="shared" si="1"/>
        <v>1.9981099023372633</v>
      </c>
      <c r="X41" s="2">
        <f t="shared" si="9"/>
        <v>35.6</v>
      </c>
      <c r="Y41" s="3">
        <f t="shared" si="10"/>
        <v>44.1</v>
      </c>
      <c r="Z41" s="2">
        <f t="shared" si="11"/>
        <v>48.1</v>
      </c>
      <c r="AA41" s="3">
        <f t="shared" si="12"/>
        <v>52.875</v>
      </c>
      <c r="AB41" s="3">
        <f t="shared" si="13"/>
        <v>58.8</v>
      </c>
      <c r="AC41" s="3">
        <f t="shared" si="14"/>
        <v>-0.24330432335244548</v>
      </c>
      <c r="AD41" s="3">
        <f t="shared" si="15"/>
        <v>-0.51547463536798066</v>
      </c>
    </row>
    <row r="42" spans="1:30" x14ac:dyDescent="0.2">
      <c r="A42" s="50">
        <v>901</v>
      </c>
      <c r="B42" s="57" t="s">
        <v>61</v>
      </c>
      <c r="C42" s="50">
        <v>32</v>
      </c>
      <c r="D42" s="50">
        <v>9</v>
      </c>
      <c r="E42" s="50">
        <v>0</v>
      </c>
      <c r="F42" s="50">
        <v>1</v>
      </c>
      <c r="G42" s="50">
        <v>1</v>
      </c>
      <c r="H42" s="50">
        <v>1</v>
      </c>
      <c r="I42" s="48">
        <v>13.698</v>
      </c>
      <c r="J42" s="47">
        <v>38.200000000000003</v>
      </c>
      <c r="K42" s="47">
        <v>43</v>
      </c>
      <c r="L42" s="47">
        <v>41</v>
      </c>
      <c r="M42" s="47">
        <v>39.9</v>
      </c>
      <c r="N42" s="47">
        <v>42.7</v>
      </c>
      <c r="O42" s="47">
        <v>39.799999999999997</v>
      </c>
      <c r="P42" s="47">
        <v>42.5</v>
      </c>
      <c r="Q42" s="47">
        <v>38.9</v>
      </c>
      <c r="R42" s="47">
        <v>41</v>
      </c>
      <c r="S42" s="47">
        <v>41.6</v>
      </c>
      <c r="T42" s="47">
        <v>40.4</v>
      </c>
      <c r="U42" s="47">
        <v>40.299999999999997</v>
      </c>
      <c r="V42" s="49">
        <f t="shared" ref="V42:V73" si="16">AVERAGE(J42:U42)</f>
        <v>40.774999999999999</v>
      </c>
      <c r="W42" s="48">
        <f t="shared" ref="W42:W73" si="17">STDEV(J42:U42)/SQRT(COUNT(J42:U42))</f>
        <v>0.43207129742741091</v>
      </c>
      <c r="X42" s="47">
        <f t="shared" si="9"/>
        <v>38.200000000000003</v>
      </c>
      <c r="Y42" s="46">
        <f t="shared" si="10"/>
        <v>39.875</v>
      </c>
      <c r="Z42" s="47">
        <f t="shared" si="11"/>
        <v>40.700000000000003</v>
      </c>
      <c r="AA42" s="46">
        <f t="shared" si="12"/>
        <v>41.825000000000003</v>
      </c>
      <c r="AB42" s="46">
        <f t="shared" si="13"/>
        <v>43</v>
      </c>
      <c r="AC42" s="46">
        <f t="shared" si="14"/>
        <v>-5.064475119486353E-2</v>
      </c>
      <c r="AD42" s="46">
        <f t="shared" si="15"/>
        <v>-0.72243889280504048</v>
      </c>
    </row>
    <row r="43" spans="1:30" x14ac:dyDescent="0.2">
      <c r="A43" s="1">
        <v>902</v>
      </c>
      <c r="B43" s="1" t="s">
        <v>76</v>
      </c>
      <c r="C43" s="1">
        <v>22</v>
      </c>
      <c r="D43" s="1">
        <v>4</v>
      </c>
      <c r="E43" s="1">
        <v>2</v>
      </c>
      <c r="F43" s="1">
        <v>2</v>
      </c>
      <c r="G43" s="1">
        <v>1</v>
      </c>
      <c r="H43" s="1">
        <v>1</v>
      </c>
      <c r="I43" s="4">
        <v>13.678000000000001</v>
      </c>
      <c r="J43" s="39">
        <v>59.6</v>
      </c>
      <c r="K43" s="39">
        <v>35.6</v>
      </c>
      <c r="L43" s="39">
        <v>55.2</v>
      </c>
      <c r="M43" s="39">
        <v>38.1</v>
      </c>
      <c r="N43" s="39">
        <v>49.1</v>
      </c>
      <c r="O43" s="39">
        <v>42.8</v>
      </c>
      <c r="P43" s="39">
        <v>46.7</v>
      </c>
      <c r="Q43" s="39">
        <v>45</v>
      </c>
      <c r="R43" s="39">
        <v>41.9</v>
      </c>
      <c r="S43" s="39">
        <v>40.700000000000003</v>
      </c>
      <c r="T43" s="39">
        <v>50</v>
      </c>
      <c r="U43" s="39">
        <v>44.4</v>
      </c>
      <c r="V43" s="5">
        <f t="shared" si="16"/>
        <v>45.758333333333326</v>
      </c>
      <c r="W43" s="4">
        <f t="shared" si="17"/>
        <v>1.9929215014925294</v>
      </c>
      <c r="X43" s="2">
        <f t="shared" si="9"/>
        <v>35.6</v>
      </c>
      <c r="Y43" s="3">
        <f t="shared" si="10"/>
        <v>41.6</v>
      </c>
      <c r="Z43" s="2">
        <f t="shared" si="11"/>
        <v>44.7</v>
      </c>
      <c r="AA43" s="3">
        <f t="shared" si="12"/>
        <v>49.325000000000003</v>
      </c>
      <c r="AB43" s="3">
        <f t="shared" si="13"/>
        <v>59.6</v>
      </c>
      <c r="AC43" s="3">
        <f t="shared" si="14"/>
        <v>0.62827557234193221</v>
      </c>
      <c r="AD43" s="3">
        <f t="shared" si="15"/>
        <v>0.1391085452382077</v>
      </c>
    </row>
    <row r="44" spans="1:30" x14ac:dyDescent="0.2">
      <c r="A44" s="50">
        <v>903</v>
      </c>
      <c r="B44" s="57" t="s">
        <v>74</v>
      </c>
      <c r="C44" s="50">
        <v>31</v>
      </c>
      <c r="D44" s="50">
        <v>8</v>
      </c>
      <c r="E44" s="50">
        <v>0</v>
      </c>
      <c r="F44" s="50">
        <v>1</v>
      </c>
      <c r="G44" s="50">
        <v>1</v>
      </c>
      <c r="H44" s="50">
        <v>1</v>
      </c>
      <c r="I44" s="48">
        <v>13.667</v>
      </c>
      <c r="J44" s="47">
        <v>65.900000000000006</v>
      </c>
      <c r="K44" s="47">
        <v>67.8</v>
      </c>
      <c r="L44" s="47">
        <v>64</v>
      </c>
      <c r="M44" s="47">
        <v>66.099999999999994</v>
      </c>
      <c r="N44" s="47">
        <v>65.2</v>
      </c>
      <c r="O44" s="47">
        <v>68.099999999999994</v>
      </c>
      <c r="P44" s="47">
        <v>64.7</v>
      </c>
      <c r="Q44" s="47">
        <v>64.900000000000006</v>
      </c>
      <c r="R44" s="47">
        <v>65.5</v>
      </c>
      <c r="S44" s="47">
        <v>67.599999999999994</v>
      </c>
      <c r="T44" s="47">
        <v>64.900000000000006</v>
      </c>
      <c r="U44" s="47">
        <v>67.400000000000006</v>
      </c>
      <c r="V44" s="49">
        <f t="shared" si="16"/>
        <v>66.008333333333326</v>
      </c>
      <c r="W44" s="48">
        <f t="shared" si="17"/>
        <v>0.40065445198947852</v>
      </c>
      <c r="X44" s="47">
        <f t="shared" si="9"/>
        <v>64</v>
      </c>
      <c r="Y44" s="46">
        <f t="shared" si="10"/>
        <v>64.900000000000006</v>
      </c>
      <c r="Z44" s="47">
        <f t="shared" si="11"/>
        <v>65.7</v>
      </c>
      <c r="AA44" s="46">
        <f t="shared" si="12"/>
        <v>67.45</v>
      </c>
      <c r="AB44" s="46">
        <f t="shared" si="13"/>
        <v>68.099999999999994</v>
      </c>
      <c r="AC44" s="46">
        <f t="shared" si="14"/>
        <v>0.32265099287286864</v>
      </c>
      <c r="AD44" s="46">
        <f t="shared" si="15"/>
        <v>-1.3866012989429208</v>
      </c>
    </row>
    <row r="45" spans="1:30" x14ac:dyDescent="0.2">
      <c r="A45" s="1">
        <v>904</v>
      </c>
      <c r="B45" s="1" t="s">
        <v>75</v>
      </c>
      <c r="C45" s="1">
        <v>21</v>
      </c>
      <c r="D45" s="1">
        <v>3</v>
      </c>
      <c r="E45" s="1">
        <v>2</v>
      </c>
      <c r="F45" s="1">
        <v>2</v>
      </c>
      <c r="G45" s="1">
        <v>1</v>
      </c>
      <c r="H45" s="1">
        <v>1</v>
      </c>
      <c r="I45" s="4">
        <v>13.648</v>
      </c>
      <c r="J45" s="39">
        <v>68.2</v>
      </c>
      <c r="K45" s="39">
        <v>51.9</v>
      </c>
      <c r="L45" s="39">
        <v>55.8</v>
      </c>
      <c r="M45" s="39">
        <v>62.7</v>
      </c>
      <c r="N45" s="39">
        <v>48.7</v>
      </c>
      <c r="O45" s="39">
        <v>62.1</v>
      </c>
      <c r="P45" s="39">
        <v>50.4</v>
      </c>
      <c r="Q45" s="39">
        <v>67.599999999999994</v>
      </c>
      <c r="R45" s="39">
        <v>57.5</v>
      </c>
      <c r="S45" s="39">
        <v>62.6</v>
      </c>
      <c r="T45" s="39">
        <v>53.2</v>
      </c>
      <c r="U45" s="39">
        <v>62.6</v>
      </c>
      <c r="V45" s="5">
        <f t="shared" si="16"/>
        <v>58.608333333333341</v>
      </c>
      <c r="W45" s="4">
        <f t="shared" si="17"/>
        <v>1.9120217101806078</v>
      </c>
      <c r="X45" s="2">
        <f t="shared" si="9"/>
        <v>48.7</v>
      </c>
      <c r="Y45" s="3">
        <f t="shared" si="10"/>
        <v>52.875</v>
      </c>
      <c r="Z45" s="2">
        <f t="shared" si="11"/>
        <v>59.8</v>
      </c>
      <c r="AA45" s="3">
        <f t="shared" si="12"/>
        <v>62.625</v>
      </c>
      <c r="AB45" s="3">
        <f t="shared" si="13"/>
        <v>68.2</v>
      </c>
      <c r="AC45" s="3">
        <f t="shared" si="14"/>
        <v>-6.0711793104054668E-2</v>
      </c>
      <c r="AD45" s="3">
        <f t="shared" si="15"/>
        <v>-1.3265337539891533</v>
      </c>
    </row>
    <row r="46" spans="1:30" x14ac:dyDescent="0.2">
      <c r="A46" s="50">
        <v>905</v>
      </c>
      <c r="B46" s="57" t="s">
        <v>61</v>
      </c>
      <c r="C46" s="50">
        <v>32</v>
      </c>
      <c r="D46" s="50">
        <v>9</v>
      </c>
      <c r="E46" s="50">
        <v>0</v>
      </c>
      <c r="F46" s="50">
        <v>1</v>
      </c>
      <c r="G46" s="50">
        <v>2</v>
      </c>
      <c r="H46" s="50">
        <v>1</v>
      </c>
      <c r="I46" s="48">
        <v>13.638</v>
      </c>
      <c r="J46" s="47">
        <v>52.8</v>
      </c>
      <c r="K46" s="47">
        <v>53.7</v>
      </c>
      <c r="L46" s="47">
        <v>50.7</v>
      </c>
      <c r="M46" s="47">
        <v>53.3</v>
      </c>
      <c r="N46" s="47">
        <v>53.1</v>
      </c>
      <c r="O46" s="47">
        <v>51.3</v>
      </c>
      <c r="P46" s="47">
        <v>54.8</v>
      </c>
      <c r="Q46" s="47">
        <v>54.3</v>
      </c>
      <c r="R46" s="47">
        <v>55.4</v>
      </c>
      <c r="S46" s="47">
        <v>50.7</v>
      </c>
      <c r="T46" s="47">
        <v>52.9</v>
      </c>
      <c r="U46" s="47">
        <v>52.7</v>
      </c>
      <c r="V46" s="49">
        <f t="shared" si="16"/>
        <v>52.975000000000001</v>
      </c>
      <c r="W46" s="48">
        <f t="shared" si="17"/>
        <v>0.43417022914841547</v>
      </c>
      <c r="X46" s="47">
        <f t="shared" si="9"/>
        <v>50.7</v>
      </c>
      <c r="Y46" s="46">
        <f t="shared" si="10"/>
        <v>52.35</v>
      </c>
      <c r="Z46" s="47">
        <f t="shared" si="11"/>
        <v>53</v>
      </c>
      <c r="AA46" s="46">
        <f t="shared" si="12"/>
        <v>53.85</v>
      </c>
      <c r="AB46" s="46">
        <f t="shared" si="13"/>
        <v>55.4</v>
      </c>
      <c r="AC46" s="46">
        <f t="shared" si="14"/>
        <v>-0.16650356225707671</v>
      </c>
      <c r="AD46" s="46">
        <f t="shared" si="15"/>
        <v>-0.63052317357469789</v>
      </c>
    </row>
    <row r="47" spans="1:30" x14ac:dyDescent="0.2">
      <c r="A47" s="1">
        <v>906</v>
      </c>
      <c r="B47" s="1" t="s">
        <v>76</v>
      </c>
      <c r="C47" s="1">
        <v>22</v>
      </c>
      <c r="D47" s="1">
        <v>4</v>
      </c>
      <c r="E47" s="1">
        <v>2</v>
      </c>
      <c r="F47" s="1">
        <v>2</v>
      </c>
      <c r="G47" s="1">
        <v>2</v>
      </c>
      <c r="H47" s="1">
        <v>1</v>
      </c>
      <c r="I47" s="4">
        <v>13.618</v>
      </c>
      <c r="J47" s="39">
        <v>50.3</v>
      </c>
      <c r="K47" s="39">
        <v>42.3</v>
      </c>
      <c r="L47" s="39">
        <v>37.299999999999997</v>
      </c>
      <c r="M47" s="39">
        <v>46.7</v>
      </c>
      <c r="N47" s="39">
        <v>30.1</v>
      </c>
      <c r="O47" s="39">
        <v>46.5</v>
      </c>
      <c r="P47" s="39">
        <v>31.3</v>
      </c>
      <c r="Q47" s="39">
        <v>52.9</v>
      </c>
      <c r="R47" s="39">
        <v>31.2</v>
      </c>
      <c r="S47" s="39">
        <v>46.4</v>
      </c>
      <c r="T47" s="39">
        <v>35.200000000000003</v>
      </c>
      <c r="U47" s="39">
        <v>37.200000000000003</v>
      </c>
      <c r="V47" s="5">
        <f t="shared" si="16"/>
        <v>40.616666666666653</v>
      </c>
      <c r="W47" s="4">
        <f t="shared" si="17"/>
        <v>2.2873775288736358</v>
      </c>
      <c r="X47" s="2">
        <f t="shared" si="9"/>
        <v>30.1</v>
      </c>
      <c r="Y47" s="3">
        <f t="shared" si="10"/>
        <v>34.225000000000001</v>
      </c>
      <c r="Z47" s="2">
        <f t="shared" si="11"/>
        <v>39.799999999999997</v>
      </c>
      <c r="AA47" s="3">
        <f t="shared" si="12"/>
        <v>46.55</v>
      </c>
      <c r="AB47" s="3">
        <f t="shared" si="13"/>
        <v>52.9</v>
      </c>
      <c r="AC47" s="3">
        <f t="shared" si="14"/>
        <v>7.5898376261637451E-2</v>
      </c>
      <c r="AD47" s="3">
        <f t="shared" si="15"/>
        <v>-1.4750380023929925</v>
      </c>
    </row>
    <row r="48" spans="1:30" x14ac:dyDescent="0.2">
      <c r="A48" s="50">
        <v>907</v>
      </c>
      <c r="B48" s="57" t="s">
        <v>74</v>
      </c>
      <c r="C48" s="50">
        <v>31</v>
      </c>
      <c r="D48" s="50">
        <v>8</v>
      </c>
      <c r="E48" s="50">
        <v>0</v>
      </c>
      <c r="F48" s="50">
        <v>1</v>
      </c>
      <c r="G48" s="50">
        <v>2</v>
      </c>
      <c r="H48" s="50">
        <v>1</v>
      </c>
      <c r="I48" s="48">
        <v>13.606999999999999</v>
      </c>
      <c r="J48" s="47">
        <v>64.900000000000006</v>
      </c>
      <c r="K48" s="47">
        <v>67.900000000000006</v>
      </c>
      <c r="L48" s="47">
        <v>64</v>
      </c>
      <c r="M48" s="47">
        <v>66.400000000000006</v>
      </c>
      <c r="N48" s="47">
        <v>66.599999999999994</v>
      </c>
      <c r="O48" s="47">
        <v>67.400000000000006</v>
      </c>
      <c r="P48" s="47">
        <v>66.2</v>
      </c>
      <c r="Q48" s="47">
        <v>67.099999999999994</v>
      </c>
      <c r="R48" s="47">
        <v>65.099999999999994</v>
      </c>
      <c r="S48" s="47">
        <v>66.2</v>
      </c>
      <c r="T48" s="47">
        <v>64</v>
      </c>
      <c r="U48" s="47">
        <v>65.900000000000006</v>
      </c>
      <c r="V48" s="49">
        <f t="shared" si="16"/>
        <v>65.975000000000009</v>
      </c>
      <c r="W48" s="48">
        <f t="shared" si="17"/>
        <v>0.36309381874678254</v>
      </c>
      <c r="X48" s="47">
        <f t="shared" si="9"/>
        <v>64</v>
      </c>
      <c r="Y48" s="46">
        <f t="shared" si="10"/>
        <v>65.05</v>
      </c>
      <c r="Z48" s="47">
        <f t="shared" si="11"/>
        <v>66.2</v>
      </c>
      <c r="AA48" s="46">
        <f t="shared" si="12"/>
        <v>66.724999999999994</v>
      </c>
      <c r="AB48" s="46">
        <f t="shared" si="13"/>
        <v>67.900000000000006</v>
      </c>
      <c r="AC48" s="46">
        <f t="shared" si="14"/>
        <v>-0.30292947549083188</v>
      </c>
      <c r="AD48" s="46">
        <f t="shared" si="15"/>
        <v>-0.75959658480745418</v>
      </c>
    </row>
    <row r="49" spans="1:30" x14ac:dyDescent="0.2">
      <c r="A49" s="1">
        <v>908</v>
      </c>
      <c r="B49" s="1" t="s">
        <v>75</v>
      </c>
      <c r="C49" s="1">
        <v>21</v>
      </c>
      <c r="D49" s="1">
        <v>3</v>
      </c>
      <c r="E49" s="1">
        <v>2</v>
      </c>
      <c r="F49" s="1">
        <v>2</v>
      </c>
      <c r="G49" s="1">
        <v>2</v>
      </c>
      <c r="H49" s="1">
        <v>1</v>
      </c>
      <c r="I49" s="4">
        <v>13.584</v>
      </c>
      <c r="J49" s="39">
        <v>65.900000000000006</v>
      </c>
      <c r="K49" s="39">
        <v>60</v>
      </c>
      <c r="L49" s="39">
        <v>47.2</v>
      </c>
      <c r="M49" s="39">
        <v>64.3</v>
      </c>
      <c r="N49" s="39">
        <v>50.1</v>
      </c>
      <c r="O49" s="39">
        <v>60.3</v>
      </c>
      <c r="P49" s="39">
        <v>48.4</v>
      </c>
      <c r="Q49" s="39">
        <v>64</v>
      </c>
      <c r="R49" s="39">
        <v>52.3</v>
      </c>
      <c r="S49" s="39">
        <v>64.7</v>
      </c>
      <c r="T49" s="39">
        <v>55.4</v>
      </c>
      <c r="U49" s="39">
        <v>64.3</v>
      </c>
      <c r="V49" s="5">
        <f t="shared" si="16"/>
        <v>58.074999999999996</v>
      </c>
      <c r="W49" s="4">
        <f t="shared" si="17"/>
        <v>2.0270191953165853</v>
      </c>
      <c r="X49" s="2">
        <f t="shared" si="9"/>
        <v>47.2</v>
      </c>
      <c r="Y49" s="3">
        <f t="shared" si="10"/>
        <v>51.75</v>
      </c>
      <c r="Z49" s="2">
        <f t="shared" si="11"/>
        <v>60.15</v>
      </c>
      <c r="AA49" s="3">
        <f t="shared" si="12"/>
        <v>64.3</v>
      </c>
      <c r="AB49" s="3">
        <f t="shared" si="13"/>
        <v>65.900000000000006</v>
      </c>
      <c r="AC49" s="3">
        <f t="shared" si="14"/>
        <v>-0.45129005213058615</v>
      </c>
      <c r="AD49" s="3">
        <f t="shared" si="15"/>
        <v>-1.5762963805200059</v>
      </c>
    </row>
    <row r="50" spans="1:30" x14ac:dyDescent="0.2">
      <c r="A50" s="1">
        <v>101</v>
      </c>
      <c r="B50" s="1" t="s">
        <v>71</v>
      </c>
      <c r="C50" s="1">
        <v>1</v>
      </c>
      <c r="D50" s="1">
        <v>1</v>
      </c>
      <c r="E50" s="1">
        <v>1</v>
      </c>
      <c r="F50" s="1">
        <v>2</v>
      </c>
      <c r="G50" s="1">
        <v>1</v>
      </c>
      <c r="H50" s="1">
        <v>2</v>
      </c>
      <c r="I50" s="4">
        <v>13.362</v>
      </c>
      <c r="J50" s="39">
        <v>32</v>
      </c>
      <c r="K50" s="39">
        <v>32.200000000000003</v>
      </c>
      <c r="L50" s="39">
        <v>34.200000000000003</v>
      </c>
      <c r="M50" s="39">
        <v>33.9</v>
      </c>
      <c r="N50" s="39">
        <v>35.1</v>
      </c>
      <c r="O50" s="39">
        <v>35.700000000000003</v>
      </c>
      <c r="P50" s="39">
        <v>35.9</v>
      </c>
      <c r="Q50" s="39">
        <v>34.1</v>
      </c>
      <c r="R50" s="39">
        <v>35.1</v>
      </c>
      <c r="S50" s="39">
        <v>33.1</v>
      </c>
      <c r="T50" s="39">
        <v>33.799999999999997</v>
      </c>
      <c r="U50" s="39">
        <v>32.1</v>
      </c>
      <c r="V50" s="5">
        <f t="shared" si="16"/>
        <v>33.933333333333344</v>
      </c>
      <c r="W50" s="4">
        <f t="shared" si="17"/>
        <v>0.39530067829770577</v>
      </c>
      <c r="X50" s="2">
        <f t="shared" si="9"/>
        <v>32</v>
      </c>
      <c r="Y50" s="3">
        <f t="shared" si="10"/>
        <v>32.875</v>
      </c>
      <c r="Z50" s="2">
        <f t="shared" si="11"/>
        <v>34</v>
      </c>
      <c r="AA50" s="3">
        <f t="shared" si="12"/>
        <v>35.1</v>
      </c>
      <c r="AB50" s="3">
        <f t="shared" si="13"/>
        <v>35.9</v>
      </c>
      <c r="AC50" s="3">
        <f t="shared" si="14"/>
        <v>-0.12138391572594086</v>
      </c>
      <c r="AD50" s="3">
        <f t="shared" si="15"/>
        <v>-1.2015432417310787</v>
      </c>
    </row>
    <row r="51" spans="1:30" x14ac:dyDescent="0.2">
      <c r="A51" s="1">
        <v>102</v>
      </c>
      <c r="B51" s="1" t="s">
        <v>68</v>
      </c>
      <c r="C51" s="1">
        <v>4</v>
      </c>
      <c r="D51" s="1">
        <v>1</v>
      </c>
      <c r="E51" s="1">
        <v>2</v>
      </c>
      <c r="F51" s="1">
        <v>1</v>
      </c>
      <c r="G51" s="1">
        <v>1</v>
      </c>
      <c r="H51" s="1">
        <v>2</v>
      </c>
      <c r="I51" s="4">
        <v>13.340999999999999</v>
      </c>
      <c r="J51" s="39">
        <v>31.5</v>
      </c>
      <c r="K51" s="39">
        <v>31.6</v>
      </c>
      <c r="L51" s="39">
        <v>32.799999999999997</v>
      </c>
      <c r="M51" s="39">
        <v>31.8</v>
      </c>
      <c r="N51" s="39">
        <v>31.5</v>
      </c>
      <c r="O51" s="39">
        <v>30.7</v>
      </c>
      <c r="P51" s="39">
        <v>30.7</v>
      </c>
      <c r="Q51" s="39">
        <v>29.5</v>
      </c>
      <c r="R51" s="39">
        <v>31.7</v>
      </c>
      <c r="S51" s="39">
        <v>31.6</v>
      </c>
      <c r="T51" s="39">
        <v>32.1</v>
      </c>
      <c r="U51" s="39">
        <v>29.8</v>
      </c>
      <c r="V51" s="5">
        <f t="shared" si="16"/>
        <v>31.275000000000002</v>
      </c>
      <c r="W51" s="4">
        <f t="shared" si="17"/>
        <v>0.27195281453467862</v>
      </c>
      <c r="X51" s="2">
        <f t="shared" si="9"/>
        <v>29.5</v>
      </c>
      <c r="Y51" s="3">
        <f t="shared" si="10"/>
        <v>30.7</v>
      </c>
      <c r="Z51" s="2">
        <f t="shared" si="11"/>
        <v>31.55</v>
      </c>
      <c r="AA51" s="3">
        <f t="shared" si="12"/>
        <v>31.725000000000001</v>
      </c>
      <c r="AB51" s="3">
        <f t="shared" si="13"/>
        <v>32.799999999999997</v>
      </c>
      <c r="AC51" s="3">
        <f t="shared" si="14"/>
        <v>-0.62115500829786541</v>
      </c>
      <c r="AD51" s="3">
        <f t="shared" si="15"/>
        <v>0.14509155831274789</v>
      </c>
    </row>
    <row r="52" spans="1:30" x14ac:dyDescent="0.2">
      <c r="A52" s="1">
        <v>103</v>
      </c>
      <c r="B52" s="1" t="s">
        <v>73</v>
      </c>
      <c r="C52" s="1">
        <v>5</v>
      </c>
      <c r="D52" s="1">
        <v>1</v>
      </c>
      <c r="E52" s="1">
        <v>3</v>
      </c>
      <c r="F52" s="1">
        <v>2</v>
      </c>
      <c r="G52" s="1">
        <v>1</v>
      </c>
      <c r="H52" s="1">
        <v>2</v>
      </c>
      <c r="I52" s="4">
        <v>13.321</v>
      </c>
      <c r="J52" s="39">
        <v>33.799999999999997</v>
      </c>
      <c r="K52" s="39">
        <v>33</v>
      </c>
      <c r="L52" s="39">
        <v>34</v>
      </c>
      <c r="M52" s="39">
        <v>32.9</v>
      </c>
      <c r="N52" s="39">
        <v>33.5</v>
      </c>
      <c r="O52" s="39">
        <v>33.299999999999997</v>
      </c>
      <c r="P52" s="39">
        <v>34</v>
      </c>
      <c r="Q52" s="39">
        <v>32.299999999999997</v>
      </c>
      <c r="R52" s="39">
        <v>32.6</v>
      </c>
      <c r="S52" s="39">
        <v>34</v>
      </c>
      <c r="T52" s="39">
        <v>31.7</v>
      </c>
      <c r="U52" s="39">
        <v>31.9</v>
      </c>
      <c r="V52" s="5">
        <f t="shared" si="16"/>
        <v>33.083333333333336</v>
      </c>
      <c r="W52" s="4">
        <f t="shared" si="17"/>
        <v>0.23767603789591207</v>
      </c>
      <c r="X52" s="2">
        <f t="shared" si="9"/>
        <v>31.7</v>
      </c>
      <c r="Y52" s="3">
        <f t="shared" si="10"/>
        <v>32.524999999999999</v>
      </c>
      <c r="Z52" s="2">
        <f t="shared" si="11"/>
        <v>33.15</v>
      </c>
      <c r="AA52" s="3">
        <f t="shared" si="12"/>
        <v>33.849999999999994</v>
      </c>
      <c r="AB52" s="3">
        <f t="shared" si="13"/>
        <v>34</v>
      </c>
      <c r="AC52" s="3">
        <f t="shared" si="14"/>
        <v>-0.41889500570041971</v>
      </c>
      <c r="AD52" s="3">
        <f t="shared" si="15"/>
        <v>-1.1290920830211673</v>
      </c>
    </row>
    <row r="53" spans="1:30" x14ac:dyDescent="0.2">
      <c r="A53" s="1">
        <v>104</v>
      </c>
      <c r="B53" s="1" t="s">
        <v>62</v>
      </c>
      <c r="C53" s="1">
        <v>10</v>
      </c>
      <c r="D53" s="1">
        <v>2</v>
      </c>
      <c r="E53" s="1">
        <v>2</v>
      </c>
      <c r="F53" s="1">
        <v>1</v>
      </c>
      <c r="G53" s="1">
        <v>1</v>
      </c>
      <c r="H53" s="1">
        <v>2</v>
      </c>
      <c r="I53" s="4">
        <v>13.298999999999999</v>
      </c>
      <c r="J53" s="39">
        <v>31.6</v>
      </c>
      <c r="K53" s="39">
        <v>31.4</v>
      </c>
      <c r="L53" s="39">
        <v>31.7</v>
      </c>
      <c r="M53" s="39">
        <v>30.6</v>
      </c>
      <c r="N53" s="39">
        <v>30.8</v>
      </c>
      <c r="O53" s="39">
        <v>29.5</v>
      </c>
      <c r="P53" s="39">
        <v>31.7</v>
      </c>
      <c r="Q53" s="39">
        <v>32.1</v>
      </c>
      <c r="R53" s="39">
        <v>30.5</v>
      </c>
      <c r="S53" s="39">
        <v>29.9</v>
      </c>
      <c r="T53" s="39">
        <v>29.6</v>
      </c>
      <c r="U53" s="39">
        <v>30.1</v>
      </c>
      <c r="V53" s="5">
        <f t="shared" si="16"/>
        <v>30.791666666666668</v>
      </c>
      <c r="W53" s="4">
        <f t="shared" si="17"/>
        <v>0.25921160576960389</v>
      </c>
      <c r="X53" s="2">
        <f t="shared" si="9"/>
        <v>29.5</v>
      </c>
      <c r="Y53" s="3">
        <f t="shared" si="10"/>
        <v>30.05</v>
      </c>
      <c r="Z53" s="2">
        <f t="shared" si="11"/>
        <v>30.700000000000003</v>
      </c>
      <c r="AA53" s="3">
        <f t="shared" si="12"/>
        <v>31.625</v>
      </c>
      <c r="AB53" s="3">
        <f t="shared" si="13"/>
        <v>32.1</v>
      </c>
      <c r="AC53" s="3">
        <f t="shared" si="14"/>
        <v>-6.4379789672926555E-2</v>
      </c>
      <c r="AD53" s="3">
        <f t="shared" si="15"/>
        <v>-1.4821718794843064</v>
      </c>
    </row>
    <row r="54" spans="1:30" x14ac:dyDescent="0.2">
      <c r="A54" s="1">
        <v>105</v>
      </c>
      <c r="B54" s="1" t="s">
        <v>66</v>
      </c>
      <c r="C54" s="1">
        <v>12</v>
      </c>
      <c r="D54" s="1">
        <v>2</v>
      </c>
      <c r="E54" s="1">
        <v>3</v>
      </c>
      <c r="F54" s="1">
        <v>1</v>
      </c>
      <c r="G54" s="1">
        <v>2</v>
      </c>
      <c r="H54" s="1">
        <v>2</v>
      </c>
      <c r="I54" s="4">
        <v>13.279</v>
      </c>
      <c r="J54" s="39">
        <v>31.4</v>
      </c>
      <c r="K54" s="39">
        <v>31.3</v>
      </c>
      <c r="L54" s="39">
        <v>30.1</v>
      </c>
      <c r="M54" s="39">
        <v>31.1</v>
      </c>
      <c r="N54" s="39">
        <v>30.6</v>
      </c>
      <c r="O54" s="39">
        <v>31.7</v>
      </c>
      <c r="P54" s="39">
        <v>30.3</v>
      </c>
      <c r="Q54" s="39">
        <v>31.2</v>
      </c>
      <c r="R54" s="39">
        <v>31.7</v>
      </c>
      <c r="S54" s="39">
        <v>31.3</v>
      </c>
      <c r="T54" s="39">
        <v>32.4</v>
      </c>
      <c r="U54" s="39">
        <v>31.3</v>
      </c>
      <c r="V54" s="5">
        <f t="shared" si="16"/>
        <v>31.2</v>
      </c>
      <c r="W54" s="4">
        <f t="shared" si="17"/>
        <v>0.18257418583505516</v>
      </c>
      <c r="X54" s="2">
        <f t="shared" si="9"/>
        <v>30.1</v>
      </c>
      <c r="Y54" s="3">
        <f t="shared" si="10"/>
        <v>30.975000000000001</v>
      </c>
      <c r="Z54" s="2">
        <f t="shared" si="11"/>
        <v>31.3</v>
      </c>
      <c r="AA54" s="3">
        <f t="shared" si="12"/>
        <v>31.474999999999998</v>
      </c>
      <c r="AB54" s="3">
        <f t="shared" si="13"/>
        <v>32.4</v>
      </c>
      <c r="AC54" s="3">
        <f t="shared" si="14"/>
        <v>-0.12419126810842673</v>
      </c>
      <c r="AD54" s="3">
        <f t="shared" si="15"/>
        <v>0.34963636363636308</v>
      </c>
    </row>
    <row r="55" spans="1:30" x14ac:dyDescent="0.2">
      <c r="A55" s="1">
        <v>106</v>
      </c>
      <c r="B55" s="1" t="s">
        <v>63</v>
      </c>
      <c r="C55" s="1">
        <v>9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4">
        <v>13.257999999999999</v>
      </c>
      <c r="J55" s="39">
        <v>30.6</v>
      </c>
      <c r="K55" s="39">
        <v>31.6</v>
      </c>
      <c r="L55" s="39">
        <v>31.3</v>
      </c>
      <c r="M55" s="39">
        <v>29.5</v>
      </c>
      <c r="N55" s="39">
        <v>30.3</v>
      </c>
      <c r="O55" s="39">
        <v>30.5</v>
      </c>
      <c r="P55" s="39">
        <v>31.3</v>
      </c>
      <c r="Q55" s="39">
        <v>30</v>
      </c>
      <c r="R55" s="39">
        <v>31.9</v>
      </c>
      <c r="S55" s="39">
        <v>32.1</v>
      </c>
      <c r="T55" s="39">
        <v>31.9</v>
      </c>
      <c r="U55" s="39">
        <v>32.5</v>
      </c>
      <c r="V55" s="5">
        <f t="shared" si="16"/>
        <v>31.125</v>
      </c>
      <c r="W55" s="4">
        <f t="shared" si="17"/>
        <v>0.26943403083073408</v>
      </c>
      <c r="X55" s="2">
        <f t="shared" si="9"/>
        <v>29.5</v>
      </c>
      <c r="Y55" s="3">
        <f t="shared" si="10"/>
        <v>30.45</v>
      </c>
      <c r="Z55" s="2">
        <f t="shared" si="11"/>
        <v>31.3</v>
      </c>
      <c r="AA55" s="3">
        <f t="shared" si="12"/>
        <v>31.9</v>
      </c>
      <c r="AB55" s="3">
        <f t="shared" si="13"/>
        <v>32.5</v>
      </c>
      <c r="AC55" s="3">
        <f t="shared" si="14"/>
        <v>-0.28040106417095534</v>
      </c>
      <c r="AD55" s="3">
        <f t="shared" si="15"/>
        <v>-1.0185765492783116</v>
      </c>
    </row>
    <row r="56" spans="1:30" x14ac:dyDescent="0.2">
      <c r="A56" s="1">
        <v>107</v>
      </c>
      <c r="B56" s="1" t="s">
        <v>62</v>
      </c>
      <c r="C56" s="1">
        <v>10</v>
      </c>
      <c r="D56" s="1">
        <v>2</v>
      </c>
      <c r="E56" s="1">
        <v>2</v>
      </c>
      <c r="F56" s="1">
        <v>1</v>
      </c>
      <c r="G56" s="1">
        <v>2</v>
      </c>
      <c r="H56" s="1">
        <v>2</v>
      </c>
      <c r="I56" s="4">
        <v>13.237</v>
      </c>
      <c r="J56" s="39">
        <v>30.7</v>
      </c>
      <c r="K56" s="39">
        <v>29.8</v>
      </c>
      <c r="L56" s="39">
        <v>29.6</v>
      </c>
      <c r="M56" s="39">
        <v>29.2</v>
      </c>
      <c r="N56" s="39">
        <v>27.8</v>
      </c>
      <c r="O56" s="39">
        <v>27.3</v>
      </c>
      <c r="P56" s="39">
        <v>27.5</v>
      </c>
      <c r="Q56" s="39">
        <v>30.4</v>
      </c>
      <c r="R56" s="39">
        <v>29.3</v>
      </c>
      <c r="S56" s="39">
        <v>30.2</v>
      </c>
      <c r="T56" s="39">
        <v>28.9</v>
      </c>
      <c r="U56" s="39">
        <v>29</v>
      </c>
      <c r="V56" s="5">
        <f t="shared" si="16"/>
        <v>29.141666666666666</v>
      </c>
      <c r="W56" s="4">
        <f t="shared" si="17"/>
        <v>0.32297347985069708</v>
      </c>
      <c r="X56" s="2">
        <f t="shared" si="9"/>
        <v>27.3</v>
      </c>
      <c r="Y56" s="3">
        <f t="shared" si="10"/>
        <v>28.625</v>
      </c>
      <c r="Z56" s="2">
        <f t="shared" si="11"/>
        <v>29.25</v>
      </c>
      <c r="AA56" s="3">
        <f t="shared" si="12"/>
        <v>29.9</v>
      </c>
      <c r="AB56" s="3">
        <f t="shared" si="13"/>
        <v>30.7</v>
      </c>
      <c r="AC56" s="3">
        <f t="shared" si="14"/>
        <v>-0.44829353880303785</v>
      </c>
      <c r="AD56" s="3">
        <f t="shared" si="15"/>
        <v>-0.82493474870615424</v>
      </c>
    </row>
    <row r="57" spans="1:30" x14ac:dyDescent="0.2">
      <c r="A57" s="1">
        <v>108</v>
      </c>
      <c r="B57" s="1" t="s">
        <v>69</v>
      </c>
      <c r="C57" s="1">
        <v>3</v>
      </c>
      <c r="D57" s="1">
        <v>1</v>
      </c>
      <c r="E57" s="1">
        <v>2</v>
      </c>
      <c r="F57" s="1">
        <v>2</v>
      </c>
      <c r="G57" s="1">
        <v>2</v>
      </c>
      <c r="H57" s="1">
        <v>2</v>
      </c>
      <c r="I57" s="4">
        <v>13.215999999999999</v>
      </c>
      <c r="J57" s="39">
        <v>32.700000000000003</v>
      </c>
      <c r="K57" s="39">
        <v>31.8</v>
      </c>
      <c r="L57" s="39">
        <v>31.5</v>
      </c>
      <c r="M57" s="39">
        <v>32.299999999999997</v>
      </c>
      <c r="N57" s="39">
        <v>32.1</v>
      </c>
      <c r="O57" s="39">
        <v>32.9</v>
      </c>
      <c r="P57" s="39">
        <v>31.7</v>
      </c>
      <c r="Q57" s="39">
        <v>32.200000000000003</v>
      </c>
      <c r="R57" s="39">
        <v>32</v>
      </c>
      <c r="S57" s="39">
        <v>32</v>
      </c>
      <c r="T57" s="39">
        <v>31</v>
      </c>
      <c r="U57" s="39">
        <v>33.799999999999997</v>
      </c>
      <c r="V57" s="5">
        <f t="shared" si="16"/>
        <v>32.166666666666664</v>
      </c>
      <c r="W57" s="4">
        <f t="shared" si="17"/>
        <v>0.20828787382811875</v>
      </c>
      <c r="X57" s="2">
        <f t="shared" si="9"/>
        <v>31</v>
      </c>
      <c r="Y57" s="3">
        <f t="shared" si="10"/>
        <v>31.774999999999999</v>
      </c>
      <c r="Z57" s="2">
        <f t="shared" si="11"/>
        <v>32.049999999999997</v>
      </c>
      <c r="AA57" s="3">
        <f t="shared" si="12"/>
        <v>32.4</v>
      </c>
      <c r="AB57" s="3">
        <f t="shared" si="13"/>
        <v>33.799999999999997</v>
      </c>
      <c r="AC57" s="3">
        <f t="shared" si="14"/>
        <v>0.83092046485859683</v>
      </c>
      <c r="AD57" s="3">
        <f t="shared" si="15"/>
        <v>1.5507805459145896</v>
      </c>
    </row>
    <row r="58" spans="1:30" x14ac:dyDescent="0.2">
      <c r="A58" s="1">
        <v>201</v>
      </c>
      <c r="B58" s="1" t="s">
        <v>66</v>
      </c>
      <c r="C58" s="1">
        <v>12</v>
      </c>
      <c r="D58" s="1">
        <v>2</v>
      </c>
      <c r="E58" s="1">
        <v>3</v>
      </c>
      <c r="F58" s="1">
        <v>1</v>
      </c>
      <c r="G58" s="1">
        <v>1</v>
      </c>
      <c r="H58" s="1">
        <v>2</v>
      </c>
      <c r="I58" s="4">
        <v>13.397</v>
      </c>
      <c r="J58" s="39">
        <v>31.1</v>
      </c>
      <c r="K58" s="39">
        <v>31.3</v>
      </c>
      <c r="L58" s="39">
        <v>31.1</v>
      </c>
      <c r="M58" s="39">
        <v>32</v>
      </c>
      <c r="N58" s="39">
        <v>30.3</v>
      </c>
      <c r="O58" s="39">
        <v>32.9</v>
      </c>
      <c r="P58" s="39">
        <v>30.5</v>
      </c>
      <c r="Q58" s="39">
        <v>31.6</v>
      </c>
      <c r="R58" s="39">
        <v>30.6</v>
      </c>
      <c r="S58" s="39">
        <v>31.1</v>
      </c>
      <c r="T58" s="39">
        <v>31.4</v>
      </c>
      <c r="U58" s="39">
        <v>31.9</v>
      </c>
      <c r="V58" s="5">
        <f t="shared" si="16"/>
        <v>31.316666666666666</v>
      </c>
      <c r="W58" s="4">
        <f t="shared" si="17"/>
        <v>0.20883273476902761</v>
      </c>
      <c r="X58" s="2">
        <f t="shared" si="9"/>
        <v>30.3</v>
      </c>
      <c r="Y58" s="3">
        <f t="shared" si="10"/>
        <v>30.975000000000001</v>
      </c>
      <c r="Z58" s="2">
        <f t="shared" si="11"/>
        <v>31.200000000000003</v>
      </c>
      <c r="AA58" s="3">
        <f t="shared" si="12"/>
        <v>31.675000000000001</v>
      </c>
      <c r="AB58" s="3">
        <f t="shared" si="13"/>
        <v>32.9</v>
      </c>
      <c r="AC58" s="3">
        <f t="shared" si="14"/>
        <v>0.72502132383729723</v>
      </c>
      <c r="AD58" s="3">
        <f t="shared" si="15"/>
        <v>0.80459690417092666</v>
      </c>
    </row>
    <row r="59" spans="1:30" x14ac:dyDescent="0.2">
      <c r="A59" s="1">
        <v>202</v>
      </c>
      <c r="B59" s="1" t="s">
        <v>63</v>
      </c>
      <c r="C59" s="1">
        <v>9</v>
      </c>
      <c r="D59" s="1">
        <v>2</v>
      </c>
      <c r="E59" s="1">
        <v>2</v>
      </c>
      <c r="F59" s="1">
        <v>2</v>
      </c>
      <c r="G59" s="1">
        <v>1</v>
      </c>
      <c r="H59" s="1">
        <v>2</v>
      </c>
      <c r="I59" s="4">
        <v>13.420999999999999</v>
      </c>
      <c r="J59" s="39">
        <v>32.200000000000003</v>
      </c>
      <c r="K59" s="39">
        <v>30.6</v>
      </c>
      <c r="L59" s="39">
        <v>31.8</v>
      </c>
      <c r="M59" s="39">
        <v>30.6</v>
      </c>
      <c r="N59" s="39">
        <v>30.2</v>
      </c>
      <c r="O59" s="39">
        <v>32.200000000000003</v>
      </c>
      <c r="P59" s="39">
        <v>31.7</v>
      </c>
      <c r="Q59" s="39">
        <v>31.4</v>
      </c>
      <c r="R59" s="39">
        <v>32.1</v>
      </c>
      <c r="S59" s="39">
        <v>31.6</v>
      </c>
      <c r="T59" s="39">
        <v>32.6</v>
      </c>
      <c r="U59" s="39">
        <v>30.8</v>
      </c>
      <c r="V59" s="5">
        <f t="shared" si="16"/>
        <v>31.483333333333338</v>
      </c>
      <c r="W59" s="4">
        <f t="shared" si="17"/>
        <v>0.22184943479119301</v>
      </c>
      <c r="X59" s="2">
        <f t="shared" si="9"/>
        <v>30.2</v>
      </c>
      <c r="Y59" s="3">
        <f t="shared" si="10"/>
        <v>30.75</v>
      </c>
      <c r="Z59" s="2">
        <f t="shared" si="11"/>
        <v>31.65</v>
      </c>
      <c r="AA59" s="3">
        <f t="shared" si="12"/>
        <v>32.125</v>
      </c>
      <c r="AB59" s="3">
        <f t="shared" si="13"/>
        <v>32.6</v>
      </c>
      <c r="AC59" s="3">
        <f t="shared" si="14"/>
        <v>-0.33771657803471444</v>
      </c>
      <c r="AD59" s="3">
        <f t="shared" si="15"/>
        <v>-1.1477213847940235</v>
      </c>
    </row>
    <row r="60" spans="1:30" x14ac:dyDescent="0.2">
      <c r="A60" s="1">
        <v>203</v>
      </c>
      <c r="B60" s="1" t="s">
        <v>69</v>
      </c>
      <c r="C60" s="1">
        <v>3</v>
      </c>
      <c r="D60" s="1">
        <v>1</v>
      </c>
      <c r="E60" s="1">
        <v>2</v>
      </c>
      <c r="F60" s="1">
        <v>2</v>
      </c>
      <c r="G60" s="1">
        <v>1</v>
      </c>
      <c r="H60" s="1">
        <v>2</v>
      </c>
      <c r="I60" s="4">
        <v>13.443</v>
      </c>
      <c r="J60" s="39">
        <v>32</v>
      </c>
      <c r="K60" s="39">
        <v>31.9</v>
      </c>
      <c r="L60" s="39">
        <v>32.700000000000003</v>
      </c>
      <c r="M60" s="39">
        <v>32.9</v>
      </c>
      <c r="N60" s="39">
        <v>31.3</v>
      </c>
      <c r="O60" s="39">
        <v>32.9</v>
      </c>
      <c r="P60" s="39">
        <v>33.1</v>
      </c>
      <c r="Q60" s="39">
        <v>33.1</v>
      </c>
      <c r="R60" s="39">
        <v>33.299999999999997</v>
      </c>
      <c r="S60" s="39">
        <v>33.6</v>
      </c>
      <c r="T60" s="39">
        <v>32.200000000000003</v>
      </c>
      <c r="U60" s="39">
        <v>32.9</v>
      </c>
      <c r="V60" s="5">
        <f t="shared" si="16"/>
        <v>32.658333333333339</v>
      </c>
      <c r="W60" s="4">
        <f t="shared" si="17"/>
        <v>0.19324122675343297</v>
      </c>
      <c r="X60" s="2">
        <f t="shared" si="9"/>
        <v>31.3</v>
      </c>
      <c r="Y60" s="3">
        <f t="shared" si="10"/>
        <v>32.150000000000006</v>
      </c>
      <c r="Z60" s="2">
        <f t="shared" si="11"/>
        <v>32.9</v>
      </c>
      <c r="AA60" s="3">
        <f t="shared" si="12"/>
        <v>33.1</v>
      </c>
      <c r="AB60" s="3">
        <f t="shared" si="13"/>
        <v>33.6</v>
      </c>
      <c r="AC60" s="3">
        <f t="shared" si="14"/>
        <v>-0.73098824095305437</v>
      </c>
      <c r="AD60" s="3">
        <f t="shared" si="15"/>
        <v>-0.10245808291451697</v>
      </c>
    </row>
    <row r="61" spans="1:30" x14ac:dyDescent="0.2">
      <c r="A61" s="1">
        <v>204</v>
      </c>
      <c r="B61" s="1" t="s">
        <v>67</v>
      </c>
      <c r="C61" s="1">
        <v>11</v>
      </c>
      <c r="D61" s="1">
        <v>2</v>
      </c>
      <c r="E61" s="1">
        <v>3</v>
      </c>
      <c r="F61" s="1">
        <v>2</v>
      </c>
      <c r="G61" s="1">
        <v>1</v>
      </c>
      <c r="H61" s="1">
        <v>2</v>
      </c>
      <c r="I61" s="4">
        <v>13.464</v>
      </c>
      <c r="J61" s="39">
        <v>34</v>
      </c>
      <c r="K61" s="39">
        <v>33.200000000000003</v>
      </c>
      <c r="L61" s="39">
        <v>31.9</v>
      </c>
      <c r="M61" s="39">
        <v>31.8</v>
      </c>
      <c r="N61" s="39">
        <v>32.4</v>
      </c>
      <c r="O61" s="39">
        <v>32.200000000000003</v>
      </c>
      <c r="P61" s="39">
        <v>32</v>
      </c>
      <c r="Q61" s="39">
        <v>31.2</v>
      </c>
      <c r="R61" s="39">
        <v>33.6</v>
      </c>
      <c r="S61" s="39">
        <v>32.6</v>
      </c>
      <c r="T61" s="39">
        <v>33.299999999999997</v>
      </c>
      <c r="U61" s="39">
        <v>32</v>
      </c>
      <c r="V61" s="5">
        <f t="shared" si="16"/>
        <v>32.516666666666673</v>
      </c>
      <c r="W61" s="4">
        <f t="shared" si="17"/>
        <v>0.24209731743889923</v>
      </c>
      <c r="X61" s="2">
        <f t="shared" si="9"/>
        <v>31.2</v>
      </c>
      <c r="Y61" s="3">
        <f t="shared" si="10"/>
        <v>31.975000000000001</v>
      </c>
      <c r="Z61" s="2">
        <f t="shared" si="11"/>
        <v>32.299999999999997</v>
      </c>
      <c r="AA61" s="3">
        <f t="shared" si="12"/>
        <v>33.225000000000001</v>
      </c>
      <c r="AB61" s="3">
        <f t="shared" si="13"/>
        <v>34</v>
      </c>
      <c r="AC61" s="3">
        <f t="shared" si="14"/>
        <v>0.3959915924482913</v>
      </c>
      <c r="AD61" s="3">
        <f t="shared" si="15"/>
        <v>-0.72694029987892916</v>
      </c>
    </row>
    <row r="62" spans="1:30" x14ac:dyDescent="0.2">
      <c r="A62" s="1">
        <v>205</v>
      </c>
      <c r="B62" s="1" t="s">
        <v>71</v>
      </c>
      <c r="C62" s="1">
        <v>1</v>
      </c>
      <c r="D62" s="1">
        <v>1</v>
      </c>
      <c r="E62" s="1">
        <v>1</v>
      </c>
      <c r="F62" s="1">
        <v>2</v>
      </c>
      <c r="G62" s="1">
        <v>2</v>
      </c>
      <c r="H62" s="1">
        <v>2</v>
      </c>
      <c r="I62" s="4">
        <v>13.487</v>
      </c>
      <c r="J62" s="39">
        <v>30.4</v>
      </c>
      <c r="K62" s="39">
        <v>30.3</v>
      </c>
      <c r="L62" s="39">
        <v>31.5</v>
      </c>
      <c r="M62" s="39">
        <v>31.1</v>
      </c>
      <c r="N62" s="39">
        <v>32.4</v>
      </c>
      <c r="O62" s="39">
        <v>31.8</v>
      </c>
      <c r="P62" s="39">
        <v>32.4</v>
      </c>
      <c r="Q62" s="39">
        <v>31.5</v>
      </c>
      <c r="R62" s="39">
        <v>31.4</v>
      </c>
      <c r="S62" s="39">
        <v>32</v>
      </c>
      <c r="T62" s="39">
        <v>31.4</v>
      </c>
      <c r="U62" s="39">
        <v>30.2</v>
      </c>
      <c r="V62" s="5">
        <f t="shared" si="16"/>
        <v>31.366666666666664</v>
      </c>
      <c r="W62" s="4">
        <f t="shared" si="17"/>
        <v>0.21788700620906115</v>
      </c>
      <c r="X62" s="2">
        <f t="shared" si="9"/>
        <v>30.2</v>
      </c>
      <c r="Y62" s="3">
        <f t="shared" si="10"/>
        <v>30.925000000000001</v>
      </c>
      <c r="Z62" s="2">
        <f t="shared" si="11"/>
        <v>31.45</v>
      </c>
      <c r="AA62" s="3">
        <f t="shared" si="12"/>
        <v>31.85</v>
      </c>
      <c r="AB62" s="3">
        <f t="shared" si="13"/>
        <v>32.4</v>
      </c>
      <c r="AC62" s="3">
        <f t="shared" si="14"/>
        <v>-0.29857824395363292</v>
      </c>
      <c r="AD62" s="3">
        <f t="shared" si="15"/>
        <v>-0.87628519692169071</v>
      </c>
    </row>
    <row r="63" spans="1:30" x14ac:dyDescent="0.2">
      <c r="A63" s="1">
        <v>206</v>
      </c>
      <c r="B63" s="1" t="s">
        <v>64</v>
      </c>
      <c r="C63" s="1">
        <v>8</v>
      </c>
      <c r="D63" s="1">
        <v>2</v>
      </c>
      <c r="E63" s="1">
        <v>1</v>
      </c>
      <c r="F63" s="1">
        <v>1</v>
      </c>
      <c r="G63" s="1">
        <v>2</v>
      </c>
      <c r="H63" s="1">
        <v>2</v>
      </c>
      <c r="I63" s="4">
        <v>13.510999999999999</v>
      </c>
      <c r="J63" s="39">
        <v>32.200000000000003</v>
      </c>
      <c r="K63" s="39">
        <v>30.9</v>
      </c>
      <c r="L63" s="39">
        <v>30.6</v>
      </c>
      <c r="M63" s="39">
        <v>29.5</v>
      </c>
      <c r="N63" s="39">
        <v>30.1</v>
      </c>
      <c r="O63" s="39">
        <v>30.2</v>
      </c>
      <c r="P63" s="39">
        <v>29.8</v>
      </c>
      <c r="Q63" s="39">
        <v>30.7</v>
      </c>
      <c r="R63" s="39">
        <v>30.3</v>
      </c>
      <c r="S63" s="39">
        <v>30</v>
      </c>
      <c r="T63" s="39">
        <v>31.2</v>
      </c>
      <c r="U63" s="39">
        <v>30.6</v>
      </c>
      <c r="V63" s="5">
        <f t="shared" si="16"/>
        <v>30.508333333333336</v>
      </c>
      <c r="W63" s="4">
        <f t="shared" si="17"/>
        <v>0.20650714762497224</v>
      </c>
      <c r="X63" s="2">
        <f t="shared" si="9"/>
        <v>29.5</v>
      </c>
      <c r="Y63" s="3">
        <f t="shared" si="10"/>
        <v>30.075000000000003</v>
      </c>
      <c r="Z63" s="2">
        <f t="shared" si="11"/>
        <v>30.450000000000003</v>
      </c>
      <c r="AA63" s="3">
        <f t="shared" si="12"/>
        <v>30.75</v>
      </c>
      <c r="AB63" s="3">
        <f t="shared" si="13"/>
        <v>32.200000000000003</v>
      </c>
      <c r="AC63" s="3">
        <f t="shared" si="14"/>
        <v>1.0794226180937847</v>
      </c>
      <c r="AD63" s="3">
        <f t="shared" si="15"/>
        <v>1.8841217816558169</v>
      </c>
    </row>
    <row r="64" spans="1:30" x14ac:dyDescent="0.2">
      <c r="A64" s="1">
        <v>207</v>
      </c>
      <c r="B64" s="1" t="s">
        <v>68</v>
      </c>
      <c r="C64" s="1">
        <v>4</v>
      </c>
      <c r="D64" s="1">
        <v>1</v>
      </c>
      <c r="E64" s="1">
        <v>2</v>
      </c>
      <c r="F64" s="1">
        <v>1</v>
      </c>
      <c r="G64" s="1">
        <v>2</v>
      </c>
      <c r="H64" s="1">
        <v>2</v>
      </c>
      <c r="I64" s="4">
        <v>13.535</v>
      </c>
      <c r="J64" s="39">
        <v>31.7</v>
      </c>
      <c r="K64" s="39">
        <v>31.7</v>
      </c>
      <c r="L64" s="39">
        <v>30.7</v>
      </c>
      <c r="M64" s="39">
        <v>32.4</v>
      </c>
      <c r="N64" s="39">
        <v>30.6</v>
      </c>
      <c r="O64" s="39">
        <v>30.9</v>
      </c>
      <c r="P64" s="39">
        <v>32.5</v>
      </c>
      <c r="Q64" s="39">
        <v>31.4</v>
      </c>
      <c r="R64" s="39">
        <v>31.5</v>
      </c>
      <c r="S64" s="39">
        <v>30</v>
      </c>
      <c r="T64" s="39">
        <v>30.9</v>
      </c>
      <c r="U64" s="39">
        <v>29.6</v>
      </c>
      <c r="V64" s="5">
        <f t="shared" si="16"/>
        <v>31.158333333333331</v>
      </c>
      <c r="W64" s="4">
        <f t="shared" si="17"/>
        <v>0.25419460849888009</v>
      </c>
      <c r="X64" s="2">
        <f t="shared" si="9"/>
        <v>29.6</v>
      </c>
      <c r="Y64" s="3">
        <f t="shared" si="10"/>
        <v>30.675000000000001</v>
      </c>
      <c r="Z64" s="2">
        <f t="shared" si="11"/>
        <v>31.15</v>
      </c>
      <c r="AA64" s="3">
        <f t="shared" si="12"/>
        <v>31.7</v>
      </c>
      <c r="AB64" s="3">
        <f t="shared" si="13"/>
        <v>32.5</v>
      </c>
      <c r="AC64" s="3">
        <f t="shared" si="14"/>
        <v>-0.15050890172864326</v>
      </c>
      <c r="AD64" s="3">
        <f t="shared" si="15"/>
        <v>-0.45465941770446694</v>
      </c>
    </row>
    <row r="65" spans="1:30" x14ac:dyDescent="0.2">
      <c r="A65" s="1">
        <v>208</v>
      </c>
      <c r="B65" s="1" t="s">
        <v>70</v>
      </c>
      <c r="C65" s="1">
        <v>2</v>
      </c>
      <c r="D65" s="1">
        <v>1</v>
      </c>
      <c r="E65" s="1">
        <v>1</v>
      </c>
      <c r="F65" s="1">
        <v>1</v>
      </c>
      <c r="G65" s="1">
        <v>2</v>
      </c>
      <c r="H65" s="1">
        <v>2</v>
      </c>
      <c r="I65" s="4">
        <v>13.56</v>
      </c>
      <c r="J65" s="39">
        <v>31.9</v>
      </c>
      <c r="K65" s="39">
        <v>31.3</v>
      </c>
      <c r="L65" s="39">
        <v>30.7</v>
      </c>
      <c r="M65" s="39">
        <v>30.9</v>
      </c>
      <c r="N65" s="39">
        <v>30.9</v>
      </c>
      <c r="O65" s="39">
        <v>31.3</v>
      </c>
      <c r="P65" s="39">
        <v>30.4</v>
      </c>
      <c r="Q65" s="39">
        <v>31.1</v>
      </c>
      <c r="R65" s="39">
        <v>30.4</v>
      </c>
      <c r="S65" s="39">
        <v>29.9</v>
      </c>
      <c r="T65" s="39">
        <v>30.7</v>
      </c>
      <c r="U65" s="39">
        <v>28.7</v>
      </c>
      <c r="V65" s="5">
        <f t="shared" si="16"/>
        <v>30.683333333333334</v>
      </c>
      <c r="W65" s="4">
        <f t="shared" si="17"/>
        <v>0.23381983913200613</v>
      </c>
      <c r="X65" s="2">
        <f t="shared" si="9"/>
        <v>28.7</v>
      </c>
      <c r="Y65" s="3">
        <f t="shared" si="10"/>
        <v>30.4</v>
      </c>
      <c r="Z65" s="2">
        <f t="shared" si="11"/>
        <v>30.799999999999997</v>
      </c>
      <c r="AA65" s="3">
        <f t="shared" si="12"/>
        <v>31.150000000000002</v>
      </c>
      <c r="AB65" s="3">
        <f t="shared" si="13"/>
        <v>31.9</v>
      </c>
      <c r="AC65" s="3">
        <f t="shared" si="14"/>
        <v>-1.2245912649768513</v>
      </c>
      <c r="AD65" s="3">
        <f t="shared" si="15"/>
        <v>2.6947687811018231</v>
      </c>
    </row>
    <row r="66" spans="1:30" x14ac:dyDescent="0.2">
      <c r="A66" s="1">
        <v>301</v>
      </c>
      <c r="B66" s="1" t="s">
        <v>62</v>
      </c>
      <c r="C66" s="1">
        <v>10</v>
      </c>
      <c r="D66" s="1">
        <v>2</v>
      </c>
      <c r="E66" s="1">
        <v>2</v>
      </c>
      <c r="F66" s="1">
        <v>1</v>
      </c>
      <c r="G66" s="1">
        <v>3</v>
      </c>
      <c r="H66" s="1">
        <v>2</v>
      </c>
      <c r="I66" s="4">
        <v>13.725</v>
      </c>
      <c r="J66" s="39">
        <v>31.3</v>
      </c>
      <c r="K66" s="39">
        <v>31.5</v>
      </c>
      <c r="L66" s="39">
        <v>31</v>
      </c>
      <c r="M66" s="39">
        <v>31.2</v>
      </c>
      <c r="N66" s="39">
        <v>32.799999999999997</v>
      </c>
      <c r="O66" s="39">
        <v>29.6</v>
      </c>
      <c r="P66" s="39">
        <v>31</v>
      </c>
      <c r="Q66" s="39">
        <v>31.9</v>
      </c>
      <c r="R66" s="39">
        <v>29</v>
      </c>
      <c r="S66" s="39">
        <v>32.799999999999997</v>
      </c>
      <c r="T66" s="39">
        <v>30.9</v>
      </c>
      <c r="U66" s="39">
        <v>31.1</v>
      </c>
      <c r="V66" s="5">
        <f t="shared" si="16"/>
        <v>31.175000000000001</v>
      </c>
      <c r="W66" s="4">
        <f t="shared" si="17"/>
        <v>0.31721443851123776</v>
      </c>
      <c r="X66" s="2">
        <f t="shared" si="9"/>
        <v>29</v>
      </c>
      <c r="Y66" s="3">
        <f t="shared" si="10"/>
        <v>30.975000000000001</v>
      </c>
      <c r="Z66" s="2">
        <f t="shared" si="11"/>
        <v>31.15</v>
      </c>
      <c r="AA66" s="3">
        <f t="shared" si="12"/>
        <v>31.6</v>
      </c>
      <c r="AB66" s="3">
        <f t="shared" si="13"/>
        <v>32.799999999999997</v>
      </c>
      <c r="AC66" s="3">
        <f t="shared" si="14"/>
        <v>-0.42987812589453239</v>
      </c>
      <c r="AD66" s="3">
        <f t="shared" si="15"/>
        <v>0.58929669364452408</v>
      </c>
    </row>
    <row r="67" spans="1:30" x14ac:dyDescent="0.2">
      <c r="A67" s="1">
        <v>302</v>
      </c>
      <c r="B67" s="1" t="s">
        <v>68</v>
      </c>
      <c r="C67" s="1">
        <v>4</v>
      </c>
      <c r="D67" s="1">
        <v>1</v>
      </c>
      <c r="E67" s="1">
        <v>2</v>
      </c>
      <c r="F67" s="1">
        <v>1</v>
      </c>
      <c r="G67" s="1">
        <v>3</v>
      </c>
      <c r="H67" s="1">
        <v>2</v>
      </c>
      <c r="I67" s="4">
        <v>13.747999999999999</v>
      </c>
      <c r="J67" s="39">
        <v>28.7</v>
      </c>
      <c r="K67" s="39">
        <v>30</v>
      </c>
      <c r="L67" s="39">
        <v>29</v>
      </c>
      <c r="M67" s="39">
        <v>30.7</v>
      </c>
      <c r="N67" s="39">
        <v>30.9</v>
      </c>
      <c r="O67" s="39">
        <v>31.5</v>
      </c>
      <c r="P67" s="39">
        <v>31.7</v>
      </c>
      <c r="Q67" s="39">
        <v>32.6</v>
      </c>
      <c r="R67" s="39">
        <v>31.8</v>
      </c>
      <c r="S67" s="39">
        <v>32.299999999999997</v>
      </c>
      <c r="T67" s="39">
        <v>31.4</v>
      </c>
      <c r="U67" s="39">
        <v>32.700000000000003</v>
      </c>
      <c r="V67" s="5">
        <f t="shared" si="16"/>
        <v>31.108333333333331</v>
      </c>
      <c r="W67" s="4">
        <f t="shared" si="17"/>
        <v>0.37868559225005893</v>
      </c>
      <c r="X67" s="2">
        <f t="shared" si="9"/>
        <v>28.7</v>
      </c>
      <c r="Y67" s="3">
        <f t="shared" si="10"/>
        <v>30.524999999999999</v>
      </c>
      <c r="Z67" s="2">
        <f t="shared" si="11"/>
        <v>31.45</v>
      </c>
      <c r="AA67" s="3">
        <f t="shared" si="12"/>
        <v>31.925000000000001</v>
      </c>
      <c r="AB67" s="3">
        <f t="shared" si="13"/>
        <v>32.700000000000003</v>
      </c>
      <c r="AC67" s="3">
        <f t="shared" si="14"/>
        <v>-0.7303130754675331</v>
      </c>
      <c r="AD67" s="3">
        <f t="shared" si="15"/>
        <v>-0.37733357708078463</v>
      </c>
    </row>
    <row r="68" spans="1:30" x14ac:dyDescent="0.2">
      <c r="A68" s="1">
        <v>303</v>
      </c>
      <c r="B68" s="1" t="s">
        <v>64</v>
      </c>
      <c r="C68" s="1">
        <v>8</v>
      </c>
      <c r="D68" s="1">
        <v>2</v>
      </c>
      <c r="E68" s="1">
        <v>1</v>
      </c>
      <c r="F68" s="1">
        <v>1</v>
      </c>
      <c r="G68" s="1">
        <v>3</v>
      </c>
      <c r="H68" s="1">
        <v>2</v>
      </c>
      <c r="I68" s="4">
        <v>13.779</v>
      </c>
      <c r="J68" s="39">
        <v>27.9</v>
      </c>
      <c r="K68" s="39">
        <v>29.8</v>
      </c>
      <c r="L68" s="39">
        <v>29.2</v>
      </c>
      <c r="M68" s="39">
        <v>27.9</v>
      </c>
      <c r="N68" s="39">
        <v>29.6</v>
      </c>
      <c r="O68" s="39">
        <v>29</v>
      </c>
      <c r="P68" s="39">
        <v>29.5</v>
      </c>
      <c r="Q68" s="39">
        <v>28.4</v>
      </c>
      <c r="R68" s="39">
        <v>29.1</v>
      </c>
      <c r="S68" s="39">
        <v>28.2</v>
      </c>
      <c r="T68" s="39">
        <v>31.4</v>
      </c>
      <c r="U68" s="39">
        <v>30.8</v>
      </c>
      <c r="V68" s="5">
        <f t="shared" si="16"/>
        <v>29.233333333333334</v>
      </c>
      <c r="W68" s="4">
        <f t="shared" si="17"/>
        <v>0.31462660248284646</v>
      </c>
      <c r="X68" s="2">
        <f t="shared" si="9"/>
        <v>27.9</v>
      </c>
      <c r="Y68" s="3">
        <f t="shared" si="10"/>
        <v>28.349999999999998</v>
      </c>
      <c r="Z68" s="2">
        <f t="shared" si="11"/>
        <v>29.15</v>
      </c>
      <c r="AA68" s="3">
        <f t="shared" si="12"/>
        <v>29.650000000000002</v>
      </c>
      <c r="AB68" s="3">
        <f t="shared" si="13"/>
        <v>31.4</v>
      </c>
      <c r="AC68" s="3">
        <f t="shared" si="14"/>
        <v>0.65967571974689188</v>
      </c>
      <c r="AD68" s="3">
        <f t="shared" si="15"/>
        <v>1.9448146605469674E-3</v>
      </c>
    </row>
    <row r="69" spans="1:30" x14ac:dyDescent="0.2">
      <c r="A69" s="1">
        <v>304</v>
      </c>
      <c r="B69" s="1" t="s">
        <v>70</v>
      </c>
      <c r="C69" s="1">
        <v>2</v>
      </c>
      <c r="D69" s="1">
        <v>1</v>
      </c>
      <c r="E69" s="1">
        <v>1</v>
      </c>
      <c r="F69" s="1">
        <v>1</v>
      </c>
      <c r="G69" s="1">
        <v>3</v>
      </c>
      <c r="H69" s="1">
        <v>2</v>
      </c>
      <c r="I69" s="4">
        <v>13.801</v>
      </c>
      <c r="J69" s="39">
        <v>32.799999999999997</v>
      </c>
      <c r="K69" s="39">
        <v>31.6</v>
      </c>
      <c r="L69" s="39">
        <v>29.9</v>
      </c>
      <c r="M69" s="39">
        <v>28</v>
      </c>
      <c r="N69" s="39">
        <v>30.7</v>
      </c>
      <c r="O69" s="39">
        <v>30.8</v>
      </c>
      <c r="P69" s="39">
        <v>30.4</v>
      </c>
      <c r="Q69" s="39">
        <v>30.2</v>
      </c>
      <c r="R69" s="39">
        <v>32.4</v>
      </c>
      <c r="S69" s="39">
        <v>31.1</v>
      </c>
      <c r="T69" s="39">
        <v>30.4</v>
      </c>
      <c r="U69" s="39">
        <v>31.7</v>
      </c>
      <c r="V69" s="5">
        <f t="shared" si="16"/>
        <v>30.833333333333332</v>
      </c>
      <c r="W69" s="4">
        <f t="shared" si="17"/>
        <v>0.3633458435433134</v>
      </c>
      <c r="X69" s="2">
        <f t="shared" si="9"/>
        <v>28</v>
      </c>
      <c r="Y69" s="3">
        <f t="shared" si="10"/>
        <v>30.349999999999998</v>
      </c>
      <c r="Z69" s="2">
        <f t="shared" si="11"/>
        <v>30.75</v>
      </c>
      <c r="AA69" s="3">
        <f t="shared" si="12"/>
        <v>31.625</v>
      </c>
      <c r="AB69" s="3">
        <f t="shared" si="13"/>
        <v>32.799999999999997</v>
      </c>
      <c r="AC69" s="3">
        <f t="shared" si="14"/>
        <v>-0.62395838163541528</v>
      </c>
      <c r="AD69" s="3">
        <f t="shared" si="15"/>
        <v>1.449839162791835</v>
      </c>
    </row>
    <row r="70" spans="1:30" x14ac:dyDescent="0.2">
      <c r="A70" s="1">
        <v>305</v>
      </c>
      <c r="B70" s="1" t="s">
        <v>67</v>
      </c>
      <c r="C70" s="1">
        <v>11</v>
      </c>
      <c r="D70" s="1">
        <v>2</v>
      </c>
      <c r="E70" s="1">
        <v>3</v>
      </c>
      <c r="F70" s="1">
        <v>2</v>
      </c>
      <c r="G70" s="1">
        <v>4</v>
      </c>
      <c r="H70" s="1">
        <v>2</v>
      </c>
      <c r="I70" s="4">
        <v>13.821999999999999</v>
      </c>
      <c r="J70" s="39">
        <v>32</v>
      </c>
      <c r="K70" s="39">
        <v>33.700000000000003</v>
      </c>
      <c r="L70" s="39">
        <v>34.1</v>
      </c>
      <c r="M70" s="39">
        <v>31.7</v>
      </c>
      <c r="N70" s="39">
        <v>33.6</v>
      </c>
      <c r="O70" s="39">
        <v>31.9</v>
      </c>
      <c r="P70" s="39">
        <v>33.4</v>
      </c>
      <c r="Q70" s="39">
        <v>32.4</v>
      </c>
      <c r="R70" s="39">
        <v>31.8</v>
      </c>
      <c r="S70" s="39">
        <v>31.5</v>
      </c>
      <c r="T70" s="39">
        <v>32.299999999999997</v>
      </c>
      <c r="U70" s="39">
        <v>32.9</v>
      </c>
      <c r="V70" s="5">
        <f t="shared" si="16"/>
        <v>32.608333333333334</v>
      </c>
      <c r="W70" s="4">
        <f t="shared" si="17"/>
        <v>0.25862642220513038</v>
      </c>
      <c r="X70" s="2">
        <f t="shared" si="9"/>
        <v>31.5</v>
      </c>
      <c r="Y70" s="3">
        <f t="shared" si="10"/>
        <v>31.875</v>
      </c>
      <c r="Z70" s="2">
        <f t="shared" si="11"/>
        <v>32.349999999999994</v>
      </c>
      <c r="AA70" s="3">
        <f t="shared" si="12"/>
        <v>33.450000000000003</v>
      </c>
      <c r="AB70" s="3">
        <f t="shared" si="13"/>
        <v>34.1</v>
      </c>
      <c r="AC70" s="3">
        <f t="shared" si="14"/>
        <v>0.43361104753884405</v>
      </c>
      <c r="AD70" s="3">
        <f t="shared" si="15"/>
        <v>-1.4028993187549408</v>
      </c>
    </row>
    <row r="71" spans="1:30" x14ac:dyDescent="0.2">
      <c r="A71" s="1">
        <v>306</v>
      </c>
      <c r="B71" s="1" t="s">
        <v>68</v>
      </c>
      <c r="C71" s="1">
        <v>4</v>
      </c>
      <c r="D71" s="1">
        <v>1</v>
      </c>
      <c r="E71" s="1">
        <v>2</v>
      </c>
      <c r="F71" s="1">
        <v>1</v>
      </c>
      <c r="G71" s="1">
        <v>4</v>
      </c>
      <c r="H71" s="1">
        <v>2</v>
      </c>
      <c r="I71" s="4">
        <v>13.843</v>
      </c>
      <c r="J71" s="39">
        <v>32.6</v>
      </c>
      <c r="K71" s="39">
        <v>32.799999999999997</v>
      </c>
      <c r="L71" s="39">
        <v>30.9</v>
      </c>
      <c r="M71" s="39">
        <v>29.9</v>
      </c>
      <c r="N71" s="39">
        <v>29</v>
      </c>
      <c r="O71" s="39">
        <v>30.9</v>
      </c>
      <c r="P71" s="39">
        <v>31.7</v>
      </c>
      <c r="Q71" s="39">
        <v>30.8</v>
      </c>
      <c r="R71" s="39">
        <v>31</v>
      </c>
      <c r="S71" s="39">
        <v>30.3</v>
      </c>
      <c r="T71" s="39">
        <v>29.5</v>
      </c>
      <c r="U71" s="39">
        <v>31.6</v>
      </c>
      <c r="V71" s="5">
        <f t="shared" si="16"/>
        <v>30.916666666666671</v>
      </c>
      <c r="W71" s="4">
        <f t="shared" si="17"/>
        <v>0.33230903227160846</v>
      </c>
      <c r="X71" s="2">
        <f t="shared" si="9"/>
        <v>29</v>
      </c>
      <c r="Y71" s="3">
        <f t="shared" si="10"/>
        <v>30.2</v>
      </c>
      <c r="Z71" s="2">
        <f t="shared" si="11"/>
        <v>30.9</v>
      </c>
      <c r="AA71" s="3">
        <f t="shared" si="12"/>
        <v>31.625</v>
      </c>
      <c r="AB71" s="3">
        <f t="shared" si="13"/>
        <v>32.799999999999997</v>
      </c>
      <c r="AC71" s="3">
        <f t="shared" si="14"/>
        <v>7.717140709598945E-2</v>
      </c>
      <c r="AD71" s="3">
        <f t="shared" si="15"/>
        <v>-0.44924219253031827</v>
      </c>
    </row>
    <row r="72" spans="1:30" x14ac:dyDescent="0.2">
      <c r="A72" s="1">
        <v>307</v>
      </c>
      <c r="B72" s="1" t="s">
        <v>63</v>
      </c>
      <c r="C72" s="1">
        <v>9</v>
      </c>
      <c r="D72" s="1">
        <v>2</v>
      </c>
      <c r="E72" s="1">
        <v>2</v>
      </c>
      <c r="F72" s="1">
        <v>2</v>
      </c>
      <c r="G72" s="1">
        <v>4</v>
      </c>
      <c r="H72" s="1">
        <v>2</v>
      </c>
      <c r="I72" s="4">
        <v>13.866</v>
      </c>
      <c r="J72" s="39">
        <v>29.8</v>
      </c>
      <c r="K72" s="39">
        <v>30.1</v>
      </c>
      <c r="L72" s="39">
        <v>31.2</v>
      </c>
      <c r="M72" s="39">
        <v>27.6</v>
      </c>
      <c r="N72" s="39">
        <v>28.7</v>
      </c>
      <c r="O72" s="39">
        <v>29.3</v>
      </c>
      <c r="P72" s="39">
        <v>30.3</v>
      </c>
      <c r="Q72" s="39">
        <v>29.6</v>
      </c>
      <c r="R72" s="39">
        <v>31.1</v>
      </c>
      <c r="S72" s="39">
        <v>32.5</v>
      </c>
      <c r="T72" s="39">
        <v>27.7</v>
      </c>
      <c r="U72" s="39">
        <v>29.8</v>
      </c>
      <c r="V72" s="5">
        <f t="shared" si="16"/>
        <v>29.808333333333337</v>
      </c>
      <c r="W72" s="4">
        <f t="shared" si="17"/>
        <v>0.40851881996136519</v>
      </c>
      <c r="X72" s="2">
        <f t="shared" si="9"/>
        <v>27.6</v>
      </c>
      <c r="Y72" s="3">
        <f t="shared" si="10"/>
        <v>29.15</v>
      </c>
      <c r="Z72" s="2">
        <f t="shared" si="11"/>
        <v>29.8</v>
      </c>
      <c r="AA72" s="3">
        <f t="shared" si="12"/>
        <v>30.5</v>
      </c>
      <c r="AB72" s="3">
        <f t="shared" si="13"/>
        <v>32.5</v>
      </c>
      <c r="AC72" s="3">
        <f t="shared" si="14"/>
        <v>0.10979187177306429</v>
      </c>
      <c r="AD72" s="3">
        <f t="shared" si="15"/>
        <v>6.1047380706797938E-2</v>
      </c>
    </row>
    <row r="73" spans="1:30" x14ac:dyDescent="0.2">
      <c r="A73" s="1">
        <v>308</v>
      </c>
      <c r="B73" s="1" t="s">
        <v>73</v>
      </c>
      <c r="C73" s="1">
        <v>5</v>
      </c>
      <c r="D73" s="1">
        <v>1</v>
      </c>
      <c r="E73" s="1">
        <v>3</v>
      </c>
      <c r="F73" s="1">
        <v>2</v>
      </c>
      <c r="G73" s="1">
        <v>4</v>
      </c>
      <c r="H73" s="1">
        <v>2</v>
      </c>
      <c r="I73" s="4">
        <v>13.885999999999999</v>
      </c>
      <c r="J73" s="39">
        <v>33.1</v>
      </c>
      <c r="K73" s="39">
        <v>32.4</v>
      </c>
      <c r="L73" s="39">
        <v>33</v>
      </c>
      <c r="M73" s="39">
        <v>34.1</v>
      </c>
      <c r="N73" s="39">
        <v>33</v>
      </c>
      <c r="O73" s="39">
        <v>33.9</v>
      </c>
      <c r="P73" s="39">
        <v>35.299999999999997</v>
      </c>
      <c r="Q73" s="39">
        <v>36</v>
      </c>
      <c r="R73" s="39">
        <v>41.3</v>
      </c>
      <c r="S73" s="39">
        <v>36.700000000000003</v>
      </c>
      <c r="T73" s="39">
        <v>36.1</v>
      </c>
      <c r="U73" s="39">
        <v>38.200000000000003</v>
      </c>
      <c r="V73" s="5">
        <f t="shared" si="16"/>
        <v>35.258333333333333</v>
      </c>
      <c r="W73" s="4">
        <f t="shared" si="17"/>
        <v>0.7523154493651818</v>
      </c>
      <c r="X73" s="2">
        <f t="shared" si="9"/>
        <v>32.4</v>
      </c>
      <c r="Y73" s="3">
        <f t="shared" si="10"/>
        <v>33.075000000000003</v>
      </c>
      <c r="Z73" s="2">
        <f t="shared" si="11"/>
        <v>34.700000000000003</v>
      </c>
      <c r="AA73" s="3">
        <f t="shared" si="12"/>
        <v>36.25</v>
      </c>
      <c r="AB73" s="3">
        <f t="shared" si="13"/>
        <v>41.3</v>
      </c>
      <c r="AC73" s="3">
        <f t="shared" si="14"/>
        <v>1.1678591623388703</v>
      </c>
      <c r="AD73" s="3">
        <f t="shared" si="15"/>
        <v>1.2891080585664767</v>
      </c>
    </row>
    <row r="74" spans="1:30" x14ac:dyDescent="0.2">
      <c r="A74" s="1">
        <v>401</v>
      </c>
      <c r="B74" s="1" t="s">
        <v>65</v>
      </c>
      <c r="C74" s="1">
        <v>7</v>
      </c>
      <c r="D74" s="1">
        <v>2</v>
      </c>
      <c r="E74" s="1">
        <v>1</v>
      </c>
      <c r="F74" s="1">
        <v>2</v>
      </c>
      <c r="G74" s="1">
        <v>3</v>
      </c>
      <c r="H74" s="1">
        <v>2</v>
      </c>
      <c r="I74" s="1">
        <v>14.124000000000001</v>
      </c>
      <c r="J74" s="39">
        <v>29.8</v>
      </c>
      <c r="K74" s="39">
        <v>30.8</v>
      </c>
      <c r="L74" s="39">
        <v>32</v>
      </c>
      <c r="M74" s="39">
        <v>29.8</v>
      </c>
      <c r="N74" s="39">
        <v>30</v>
      </c>
      <c r="O74" s="39">
        <v>28.5</v>
      </c>
      <c r="P74" s="39">
        <v>30.3</v>
      </c>
      <c r="Q74" s="39">
        <v>30.9</v>
      </c>
      <c r="R74" s="39">
        <v>30.9</v>
      </c>
      <c r="S74" s="39">
        <v>32.200000000000003</v>
      </c>
      <c r="T74" s="39">
        <v>30.7</v>
      </c>
      <c r="U74" s="39">
        <v>27.6</v>
      </c>
      <c r="V74" s="5">
        <f t="shared" ref="V74:V85" si="18">AVERAGE(J74:U74)</f>
        <v>30.291666666666668</v>
      </c>
      <c r="W74" s="4">
        <f t="shared" ref="W74:W85" si="19">STDEV(J74:U74)/SQRT(COUNT(J74:U74))</f>
        <v>0.3768808053140163</v>
      </c>
      <c r="X74" s="2"/>
      <c r="Y74" s="3"/>
      <c r="Z74" s="2"/>
      <c r="AA74" s="3"/>
      <c r="AB74" s="3"/>
      <c r="AC74" s="3"/>
      <c r="AD74" s="3"/>
    </row>
    <row r="75" spans="1:30" x14ac:dyDescent="0.2">
      <c r="A75" s="1">
        <v>402</v>
      </c>
      <c r="B75" s="1" t="s">
        <v>63</v>
      </c>
      <c r="C75" s="1">
        <v>9</v>
      </c>
      <c r="D75" s="1">
        <v>2</v>
      </c>
      <c r="E75" s="1">
        <v>2</v>
      </c>
      <c r="F75" s="1">
        <v>2</v>
      </c>
      <c r="G75" s="1">
        <v>3</v>
      </c>
      <c r="H75" s="1">
        <v>2</v>
      </c>
      <c r="I75" s="1">
        <v>14.099</v>
      </c>
      <c r="J75" s="39">
        <v>29.1</v>
      </c>
      <c r="K75" s="39">
        <v>28.6</v>
      </c>
      <c r="L75" s="39">
        <v>29.4</v>
      </c>
      <c r="M75" s="39">
        <v>28.9</v>
      </c>
      <c r="N75" s="39">
        <v>27.9</v>
      </c>
      <c r="O75" s="39">
        <v>27.6</v>
      </c>
      <c r="P75" s="39">
        <v>28.6</v>
      </c>
      <c r="Q75" s="39">
        <v>28.9</v>
      </c>
      <c r="R75" s="39">
        <v>28.9</v>
      </c>
      <c r="S75" s="39">
        <v>27.5</v>
      </c>
      <c r="T75" s="39">
        <v>27</v>
      </c>
      <c r="U75" s="39">
        <v>28</v>
      </c>
      <c r="V75" s="5">
        <f t="shared" si="18"/>
        <v>28.366666666666664</v>
      </c>
      <c r="W75" s="4">
        <f t="shared" si="19"/>
        <v>0.21543941471824832</v>
      </c>
      <c r="X75" s="2"/>
      <c r="Y75" s="3"/>
      <c r="Z75" s="2"/>
      <c r="AA75" s="3"/>
      <c r="AB75" s="3"/>
      <c r="AC75" s="3"/>
      <c r="AD75" s="3"/>
    </row>
    <row r="76" spans="1:30" x14ac:dyDescent="0.2">
      <c r="A76" s="1">
        <v>403</v>
      </c>
      <c r="B76" s="1" t="s">
        <v>72</v>
      </c>
      <c r="C76" s="1">
        <v>6</v>
      </c>
      <c r="D76" s="1">
        <v>1</v>
      </c>
      <c r="E76" s="1">
        <v>3</v>
      </c>
      <c r="F76" s="1">
        <v>1</v>
      </c>
      <c r="G76" s="1">
        <v>3</v>
      </c>
      <c r="H76" s="1">
        <v>2</v>
      </c>
      <c r="I76" s="4">
        <v>14.073</v>
      </c>
      <c r="J76" s="39">
        <v>33</v>
      </c>
      <c r="K76" s="39">
        <v>33.4</v>
      </c>
      <c r="L76" s="39">
        <v>32.9</v>
      </c>
      <c r="M76" s="39">
        <v>33.700000000000003</v>
      </c>
      <c r="N76" s="39">
        <v>36.9</v>
      </c>
      <c r="O76" s="39">
        <v>31.9</v>
      </c>
      <c r="P76" s="39">
        <v>32</v>
      </c>
      <c r="Q76" s="39">
        <v>32.6</v>
      </c>
      <c r="R76" s="39">
        <v>32.5</v>
      </c>
      <c r="S76" s="39">
        <v>32.299999999999997</v>
      </c>
      <c r="T76" s="39">
        <v>31.9</v>
      </c>
      <c r="U76" s="39">
        <v>32.799999999999997</v>
      </c>
      <c r="V76" s="5">
        <f t="shared" si="18"/>
        <v>32.991666666666667</v>
      </c>
      <c r="W76" s="4">
        <f t="shared" si="19"/>
        <v>0.39147319528450814</v>
      </c>
      <c r="X76" s="2">
        <f t="shared" ref="X76:X85" si="20">MIN(J76:U76)</f>
        <v>31.9</v>
      </c>
      <c r="Y76" s="3">
        <f t="shared" ref="Y76:Y85" si="21">QUARTILE(J76:U76,1)</f>
        <v>32.224999999999994</v>
      </c>
      <c r="Z76" s="2">
        <f t="shared" ref="Z76:Z85" si="22">MEDIAN(J76:U76)</f>
        <v>32.700000000000003</v>
      </c>
      <c r="AA76" s="3">
        <f t="shared" ref="AA76:AA85" si="23">QUARTILE(J76:U76,3)</f>
        <v>33.1</v>
      </c>
      <c r="AB76" s="3">
        <f t="shared" ref="AB76:AB85" si="24">MAX(J76:U76)</f>
        <v>36.9</v>
      </c>
      <c r="AC76" s="3">
        <f t="shared" ref="AC76:AC85" si="25">SKEW(J76:U76)</f>
        <v>2.4508764887285075</v>
      </c>
      <c r="AD76" s="3">
        <f t="shared" ref="AD76:AD85" si="26">KURT(J76:U76)</f>
        <v>7.0430371485329726</v>
      </c>
    </row>
    <row r="77" spans="1:30" x14ac:dyDescent="0.2">
      <c r="A77" s="1">
        <v>404</v>
      </c>
      <c r="B77" s="1" t="s">
        <v>69</v>
      </c>
      <c r="C77" s="1">
        <v>3</v>
      </c>
      <c r="D77" s="1">
        <v>1</v>
      </c>
      <c r="E77" s="1">
        <v>2</v>
      </c>
      <c r="F77" s="1">
        <v>2</v>
      </c>
      <c r="G77" s="1">
        <v>3</v>
      </c>
      <c r="H77" s="1">
        <v>2</v>
      </c>
      <c r="I77" s="4">
        <v>14.039</v>
      </c>
      <c r="J77" s="39">
        <v>29.2</v>
      </c>
      <c r="K77" s="39">
        <v>30.5</v>
      </c>
      <c r="L77" s="39">
        <v>30.2</v>
      </c>
      <c r="M77" s="39">
        <v>31.2</v>
      </c>
      <c r="N77" s="39">
        <v>30.8</v>
      </c>
      <c r="O77" s="39">
        <v>31.2</v>
      </c>
      <c r="P77" s="39">
        <v>29.8</v>
      </c>
      <c r="Q77" s="39">
        <v>30.8</v>
      </c>
      <c r="R77" s="39">
        <v>30.4</v>
      </c>
      <c r="S77" s="39">
        <v>31.9</v>
      </c>
      <c r="T77" s="39">
        <v>31.7</v>
      </c>
      <c r="U77" s="39">
        <v>31.8</v>
      </c>
      <c r="V77" s="5">
        <f t="shared" si="18"/>
        <v>30.791666666666668</v>
      </c>
      <c r="W77" s="4">
        <f t="shared" si="19"/>
        <v>0.23851127072452208</v>
      </c>
      <c r="X77" s="2">
        <f t="shared" si="20"/>
        <v>29.2</v>
      </c>
      <c r="Y77" s="3">
        <f t="shared" si="21"/>
        <v>30.349999999999998</v>
      </c>
      <c r="Z77" s="2">
        <f t="shared" si="22"/>
        <v>30.8</v>
      </c>
      <c r="AA77" s="3">
        <f t="shared" si="23"/>
        <v>31.324999999999999</v>
      </c>
      <c r="AB77" s="3">
        <f t="shared" si="24"/>
        <v>31.9</v>
      </c>
      <c r="AC77" s="3">
        <f t="shared" si="25"/>
        <v>-0.39210308352804135</v>
      </c>
      <c r="AD77" s="3">
        <f t="shared" si="26"/>
        <v>-0.3755158521463775</v>
      </c>
    </row>
    <row r="78" spans="1:30" x14ac:dyDescent="0.2">
      <c r="A78" s="1">
        <v>405</v>
      </c>
      <c r="B78" s="1" t="s">
        <v>72</v>
      </c>
      <c r="C78" s="1">
        <v>6</v>
      </c>
      <c r="D78" s="1">
        <v>1</v>
      </c>
      <c r="E78" s="1">
        <v>3</v>
      </c>
      <c r="F78" s="1">
        <v>1</v>
      </c>
      <c r="G78" s="1">
        <v>4</v>
      </c>
      <c r="H78" s="1">
        <v>2</v>
      </c>
      <c r="I78" s="4">
        <v>14.015000000000001</v>
      </c>
      <c r="J78" s="39">
        <v>34.5</v>
      </c>
      <c r="K78" s="39">
        <v>32.700000000000003</v>
      </c>
      <c r="L78" s="39">
        <v>32.6</v>
      </c>
      <c r="M78" s="39">
        <v>32.700000000000003</v>
      </c>
      <c r="N78" s="39">
        <v>30.1</v>
      </c>
      <c r="O78" s="39">
        <v>30.8</v>
      </c>
      <c r="P78" s="39">
        <v>32.700000000000003</v>
      </c>
      <c r="Q78" s="39">
        <v>30.5</v>
      </c>
      <c r="R78" s="39">
        <v>31.4</v>
      </c>
      <c r="S78" s="39">
        <v>31.1</v>
      </c>
      <c r="T78" s="39">
        <v>31.3</v>
      </c>
      <c r="U78" s="39">
        <v>31.8</v>
      </c>
      <c r="V78" s="5">
        <f t="shared" si="18"/>
        <v>31.850000000000005</v>
      </c>
      <c r="W78" s="4">
        <f t="shared" si="19"/>
        <v>0.3568591947091807</v>
      </c>
      <c r="X78" s="2">
        <f t="shared" si="20"/>
        <v>30.1</v>
      </c>
      <c r="Y78" s="3">
        <f t="shared" si="21"/>
        <v>31.025000000000002</v>
      </c>
      <c r="Z78" s="2">
        <f t="shared" si="22"/>
        <v>31.6</v>
      </c>
      <c r="AA78" s="3">
        <f t="shared" si="23"/>
        <v>32.700000000000003</v>
      </c>
      <c r="AB78" s="3">
        <f t="shared" si="24"/>
        <v>34.5</v>
      </c>
      <c r="AC78" s="3">
        <f t="shared" si="25"/>
        <v>0.64774301487353536</v>
      </c>
      <c r="AD78" s="3">
        <f t="shared" si="26"/>
        <v>0.39047878901763688</v>
      </c>
    </row>
    <row r="79" spans="1:30" x14ac:dyDescent="0.2">
      <c r="A79" s="1">
        <v>406</v>
      </c>
      <c r="B79" s="1" t="s">
        <v>69</v>
      </c>
      <c r="C79" s="1">
        <v>3</v>
      </c>
      <c r="D79" s="1">
        <v>1</v>
      </c>
      <c r="E79" s="1">
        <v>2</v>
      </c>
      <c r="F79" s="1">
        <v>2</v>
      </c>
      <c r="G79" s="1">
        <v>4</v>
      </c>
      <c r="H79" s="1">
        <v>2</v>
      </c>
      <c r="I79" s="4">
        <v>13.972</v>
      </c>
      <c r="J79" s="39">
        <v>31.5</v>
      </c>
      <c r="K79" s="39">
        <v>31</v>
      </c>
      <c r="L79" s="39">
        <v>31.4</v>
      </c>
      <c r="M79" s="39">
        <v>32.1</v>
      </c>
      <c r="N79" s="39">
        <v>32.6</v>
      </c>
      <c r="O79" s="39">
        <v>33.299999999999997</v>
      </c>
      <c r="P79" s="39">
        <v>33.4</v>
      </c>
      <c r="Q79" s="39">
        <v>31.4</v>
      </c>
      <c r="R79" s="39">
        <v>32.9</v>
      </c>
      <c r="S79" s="39">
        <v>32.200000000000003</v>
      </c>
      <c r="T79" s="39">
        <v>32.799999999999997</v>
      </c>
      <c r="U79" s="39">
        <v>31.4</v>
      </c>
      <c r="V79" s="5">
        <f t="shared" si="18"/>
        <v>32.166666666666664</v>
      </c>
      <c r="W79" s="4">
        <f t="shared" si="19"/>
        <v>0.23847156406726319</v>
      </c>
      <c r="X79" s="2">
        <f t="shared" si="20"/>
        <v>31</v>
      </c>
      <c r="Y79" s="3">
        <f t="shared" si="21"/>
        <v>31.4</v>
      </c>
      <c r="Z79" s="2">
        <f t="shared" si="22"/>
        <v>32.150000000000006</v>
      </c>
      <c r="AA79" s="3">
        <f t="shared" si="23"/>
        <v>32.824999999999996</v>
      </c>
      <c r="AB79" s="3">
        <f t="shared" si="24"/>
        <v>33.4</v>
      </c>
      <c r="AC79" s="3">
        <f t="shared" si="25"/>
        <v>0.15966852997893308</v>
      </c>
      <c r="AD79" s="3">
        <f t="shared" si="26"/>
        <v>-1.483593979221943</v>
      </c>
    </row>
    <row r="80" spans="1:30" x14ac:dyDescent="0.2">
      <c r="A80" s="1">
        <v>407</v>
      </c>
      <c r="B80" s="1" t="s">
        <v>65</v>
      </c>
      <c r="C80" s="1">
        <v>7</v>
      </c>
      <c r="D80" s="1">
        <v>2</v>
      </c>
      <c r="E80" s="1">
        <v>1</v>
      </c>
      <c r="F80" s="1">
        <v>2</v>
      </c>
      <c r="G80" s="1">
        <v>4</v>
      </c>
      <c r="H80" s="1">
        <v>2</v>
      </c>
      <c r="I80" s="4">
        <v>13.951000000000001</v>
      </c>
      <c r="J80" s="39">
        <v>30.4</v>
      </c>
      <c r="K80" s="39">
        <v>32.799999999999997</v>
      </c>
      <c r="L80" s="39">
        <v>32.200000000000003</v>
      </c>
      <c r="M80" s="39">
        <v>32.5</v>
      </c>
      <c r="N80" s="39">
        <v>29.8</v>
      </c>
      <c r="O80" s="39">
        <v>30.6</v>
      </c>
      <c r="P80" s="39">
        <v>30.8</v>
      </c>
      <c r="Q80" s="39">
        <v>30.7</v>
      </c>
      <c r="R80" s="39">
        <v>29.6</v>
      </c>
      <c r="S80" s="39">
        <v>29</v>
      </c>
      <c r="T80" s="39">
        <v>29.3</v>
      </c>
      <c r="U80" s="39">
        <v>32.200000000000003</v>
      </c>
      <c r="V80" s="5">
        <f t="shared" si="18"/>
        <v>30.825000000000003</v>
      </c>
      <c r="W80" s="4">
        <f t="shared" si="19"/>
        <v>0.37881893812055895</v>
      </c>
      <c r="X80" s="2">
        <f t="shared" si="20"/>
        <v>29</v>
      </c>
      <c r="Y80" s="3">
        <f t="shared" si="21"/>
        <v>29.75</v>
      </c>
      <c r="Z80" s="2">
        <f t="shared" si="22"/>
        <v>30.65</v>
      </c>
      <c r="AA80" s="3">
        <f t="shared" si="23"/>
        <v>32.200000000000003</v>
      </c>
      <c r="AB80" s="3">
        <f t="shared" si="24"/>
        <v>32.799999999999997</v>
      </c>
      <c r="AC80" s="3">
        <f t="shared" si="25"/>
        <v>0.2400289819223245</v>
      </c>
      <c r="AD80" s="3">
        <f t="shared" si="26"/>
        <v>-1.36965989872765</v>
      </c>
    </row>
    <row r="81" spans="1:30" x14ac:dyDescent="0.2">
      <c r="A81" s="1">
        <v>408</v>
      </c>
      <c r="B81" s="1" t="s">
        <v>62</v>
      </c>
      <c r="C81" s="1">
        <v>10</v>
      </c>
      <c r="D81" s="1">
        <v>2</v>
      </c>
      <c r="E81" s="1">
        <v>2</v>
      </c>
      <c r="F81" s="1">
        <v>1</v>
      </c>
      <c r="G81" s="1">
        <v>4</v>
      </c>
      <c r="H81" s="1">
        <v>2</v>
      </c>
      <c r="I81" s="4">
        <v>13.929</v>
      </c>
      <c r="J81" s="39">
        <v>30.9</v>
      </c>
      <c r="K81" s="39">
        <v>30.3</v>
      </c>
      <c r="L81" s="39">
        <v>30.9</v>
      </c>
      <c r="M81" s="39">
        <v>30.5</v>
      </c>
      <c r="N81" s="39">
        <v>30.4</v>
      </c>
      <c r="O81" s="39">
        <v>30.8</v>
      </c>
      <c r="P81" s="39">
        <v>30.1</v>
      </c>
      <c r="Q81" s="39">
        <v>29.2</v>
      </c>
      <c r="R81" s="39">
        <v>31.1</v>
      </c>
      <c r="S81" s="39">
        <v>30.1</v>
      </c>
      <c r="T81" s="39">
        <v>31.7</v>
      </c>
      <c r="U81" s="39">
        <v>32.200000000000003</v>
      </c>
      <c r="V81" s="5">
        <f t="shared" si="18"/>
        <v>30.683333333333334</v>
      </c>
      <c r="W81" s="4">
        <f t="shared" si="19"/>
        <v>0.226245151742239</v>
      </c>
      <c r="X81" s="2">
        <f t="shared" si="20"/>
        <v>29.2</v>
      </c>
      <c r="Y81" s="3">
        <f t="shared" si="21"/>
        <v>30.25</v>
      </c>
      <c r="Z81" s="2">
        <f t="shared" si="22"/>
        <v>30.65</v>
      </c>
      <c r="AA81" s="3">
        <f t="shared" si="23"/>
        <v>30.95</v>
      </c>
      <c r="AB81" s="3">
        <f t="shared" si="24"/>
        <v>32.200000000000003</v>
      </c>
      <c r="AC81" s="3">
        <f t="shared" si="25"/>
        <v>0.20120439773925811</v>
      </c>
      <c r="AD81" s="3">
        <f t="shared" si="26"/>
        <v>0.76807927707084911</v>
      </c>
    </row>
    <row r="82" spans="1:30" x14ac:dyDescent="0.2">
      <c r="A82" s="1">
        <v>902</v>
      </c>
      <c r="B82" s="1" t="s">
        <v>76</v>
      </c>
      <c r="C82" s="1">
        <v>22</v>
      </c>
      <c r="D82" s="1">
        <v>4</v>
      </c>
      <c r="E82" s="1">
        <v>2</v>
      </c>
      <c r="F82" s="1">
        <v>2</v>
      </c>
      <c r="G82" s="1">
        <v>1</v>
      </c>
      <c r="H82" s="1">
        <v>2</v>
      </c>
      <c r="I82" s="4">
        <v>13.682</v>
      </c>
      <c r="J82" s="39">
        <v>28.3</v>
      </c>
      <c r="K82" s="39">
        <v>28.6</v>
      </c>
      <c r="L82" s="39">
        <v>29.2</v>
      </c>
      <c r="M82" s="39">
        <v>29.3</v>
      </c>
      <c r="N82" s="39">
        <v>30</v>
      </c>
      <c r="O82" s="39">
        <v>30.5</v>
      </c>
      <c r="P82" s="39">
        <v>29.7</v>
      </c>
      <c r="Q82" s="39">
        <v>30.6</v>
      </c>
      <c r="R82" s="39">
        <v>28.7</v>
      </c>
      <c r="S82" s="39">
        <v>27</v>
      </c>
      <c r="T82" s="39">
        <v>27.1</v>
      </c>
      <c r="U82" s="39">
        <v>30.2</v>
      </c>
      <c r="V82" s="5">
        <f t="shared" si="18"/>
        <v>29.099999999999998</v>
      </c>
      <c r="W82" s="4">
        <f t="shared" si="19"/>
        <v>0.34924160257577697</v>
      </c>
      <c r="X82" s="2">
        <f t="shared" si="20"/>
        <v>27</v>
      </c>
      <c r="Y82" s="3">
        <f t="shared" si="21"/>
        <v>28.525000000000002</v>
      </c>
      <c r="Z82" s="2">
        <f t="shared" si="22"/>
        <v>29.25</v>
      </c>
      <c r="AA82" s="3">
        <f t="shared" si="23"/>
        <v>30.05</v>
      </c>
      <c r="AB82" s="3">
        <f t="shared" si="24"/>
        <v>30.6</v>
      </c>
      <c r="AC82" s="3">
        <f t="shared" si="25"/>
        <v>-0.58885152044684408</v>
      </c>
      <c r="AD82" s="3">
        <f t="shared" si="26"/>
        <v>-0.56870352224066023</v>
      </c>
    </row>
    <row r="83" spans="1:30" x14ac:dyDescent="0.2">
      <c r="A83" s="1">
        <v>904</v>
      </c>
      <c r="B83" s="1" t="s">
        <v>75</v>
      </c>
      <c r="C83" s="1">
        <v>21</v>
      </c>
      <c r="D83" s="1">
        <v>3</v>
      </c>
      <c r="E83" s="1">
        <v>2</v>
      </c>
      <c r="F83" s="1">
        <v>2</v>
      </c>
      <c r="G83" s="1">
        <v>1</v>
      </c>
      <c r="H83" s="1">
        <v>2</v>
      </c>
      <c r="I83" s="4">
        <v>13.653</v>
      </c>
      <c r="J83" s="39">
        <v>37.700000000000003</v>
      </c>
      <c r="K83" s="39">
        <v>38.4</v>
      </c>
      <c r="L83" s="39">
        <v>36.9</v>
      </c>
      <c r="M83" s="39">
        <v>34.700000000000003</v>
      </c>
      <c r="N83" s="39">
        <v>36.5</v>
      </c>
      <c r="O83" s="39">
        <v>35.799999999999997</v>
      </c>
      <c r="P83" s="39">
        <v>35.200000000000003</v>
      </c>
      <c r="Q83" s="39">
        <v>34.6</v>
      </c>
      <c r="R83" s="39">
        <v>35.9</v>
      </c>
      <c r="S83" s="39">
        <v>40.6</v>
      </c>
      <c r="T83" s="39">
        <v>37.700000000000003</v>
      </c>
      <c r="U83" s="39">
        <v>35.1</v>
      </c>
      <c r="V83" s="5">
        <f t="shared" si="18"/>
        <v>36.591666666666669</v>
      </c>
      <c r="W83" s="4">
        <f t="shared" si="19"/>
        <v>0.51278478168061137</v>
      </c>
      <c r="X83" s="2">
        <f t="shared" si="20"/>
        <v>34.6</v>
      </c>
      <c r="Y83" s="3">
        <f t="shared" si="21"/>
        <v>35.175000000000004</v>
      </c>
      <c r="Z83" s="2">
        <f t="shared" si="22"/>
        <v>36.200000000000003</v>
      </c>
      <c r="AA83" s="3">
        <f t="shared" si="23"/>
        <v>37.700000000000003</v>
      </c>
      <c r="AB83" s="3">
        <f t="shared" si="24"/>
        <v>40.6</v>
      </c>
      <c r="AC83" s="3">
        <f t="shared" si="25"/>
        <v>1.0034133541292727</v>
      </c>
      <c r="AD83" s="3">
        <f t="shared" si="26"/>
        <v>0.86852956655521218</v>
      </c>
    </row>
    <row r="84" spans="1:30" x14ac:dyDescent="0.2">
      <c r="A84" s="1">
        <v>906</v>
      </c>
      <c r="B84" s="1" t="s">
        <v>76</v>
      </c>
      <c r="C84" s="1">
        <v>22</v>
      </c>
      <c r="D84" s="1">
        <v>4</v>
      </c>
      <c r="E84" s="1">
        <v>2</v>
      </c>
      <c r="F84" s="1">
        <v>2</v>
      </c>
      <c r="G84" s="1">
        <v>2</v>
      </c>
      <c r="H84" s="1">
        <v>2</v>
      </c>
      <c r="I84" s="4">
        <v>13.622999999999999</v>
      </c>
      <c r="J84" s="39">
        <v>28.1</v>
      </c>
      <c r="K84" s="39">
        <v>29.1</v>
      </c>
      <c r="L84" s="39">
        <v>28.6</v>
      </c>
      <c r="M84" s="39">
        <v>28.3</v>
      </c>
      <c r="N84" s="39">
        <v>28.6</v>
      </c>
      <c r="O84" s="39">
        <v>30.5</v>
      </c>
      <c r="P84" s="39">
        <v>30</v>
      </c>
      <c r="Q84" s="39">
        <v>28.7</v>
      </c>
      <c r="R84" s="39">
        <v>27.7</v>
      </c>
      <c r="S84" s="39">
        <v>28.5</v>
      </c>
      <c r="T84" s="39">
        <v>30.7</v>
      </c>
      <c r="U84" s="39">
        <v>28.9</v>
      </c>
      <c r="V84" s="5">
        <f t="shared" si="18"/>
        <v>28.974999999999998</v>
      </c>
      <c r="W84" s="4">
        <f t="shared" si="19"/>
        <v>0.27250938265748509</v>
      </c>
      <c r="X84" s="2">
        <f t="shared" si="20"/>
        <v>27.7</v>
      </c>
      <c r="Y84" s="3">
        <f t="shared" si="21"/>
        <v>28.45</v>
      </c>
      <c r="Z84" s="2">
        <f t="shared" si="22"/>
        <v>28.65</v>
      </c>
      <c r="AA84" s="3">
        <f t="shared" si="23"/>
        <v>29.325000000000003</v>
      </c>
      <c r="AB84" s="3">
        <f t="shared" si="24"/>
        <v>30.7</v>
      </c>
      <c r="AC84" s="3">
        <f t="shared" si="25"/>
        <v>0.83959561669704008</v>
      </c>
      <c r="AD84" s="3">
        <f t="shared" si="26"/>
        <v>-0.28314503460690243</v>
      </c>
    </row>
    <row r="85" spans="1:30" x14ac:dyDescent="0.2">
      <c r="A85" s="1">
        <v>908</v>
      </c>
      <c r="B85" s="1" t="s">
        <v>75</v>
      </c>
      <c r="C85" s="1">
        <v>21</v>
      </c>
      <c r="D85" s="1">
        <v>3</v>
      </c>
      <c r="E85" s="1">
        <v>2</v>
      </c>
      <c r="F85" s="1">
        <v>2</v>
      </c>
      <c r="G85" s="1">
        <v>2</v>
      </c>
      <c r="H85" s="1">
        <v>2</v>
      </c>
      <c r="I85" s="4">
        <v>13.590999999999999</v>
      </c>
      <c r="J85" s="39">
        <v>34.799999999999997</v>
      </c>
      <c r="K85" s="39">
        <v>39.6</v>
      </c>
      <c r="L85" s="39">
        <v>33.299999999999997</v>
      </c>
      <c r="M85" s="39">
        <v>37.1</v>
      </c>
      <c r="N85" s="39">
        <v>34.5</v>
      </c>
      <c r="O85" s="39">
        <v>34.5</v>
      </c>
      <c r="P85" s="39">
        <v>36.4</v>
      </c>
      <c r="Q85" s="39">
        <v>34.4</v>
      </c>
      <c r="R85" s="39">
        <v>38.1</v>
      </c>
      <c r="S85" s="39">
        <v>35.799999999999997</v>
      </c>
      <c r="T85" s="39">
        <v>36.1</v>
      </c>
      <c r="U85" s="39">
        <v>37.5</v>
      </c>
      <c r="V85" s="5">
        <f t="shared" si="18"/>
        <v>36.00833333333334</v>
      </c>
      <c r="W85" s="4">
        <f t="shared" si="19"/>
        <v>0.52821287222467306</v>
      </c>
      <c r="X85" s="2">
        <f t="shared" si="20"/>
        <v>33.299999999999997</v>
      </c>
      <c r="Y85" s="3">
        <f t="shared" si="21"/>
        <v>34.5</v>
      </c>
      <c r="Z85" s="2">
        <f t="shared" si="22"/>
        <v>35.950000000000003</v>
      </c>
      <c r="AA85" s="3">
        <f t="shared" si="23"/>
        <v>37.200000000000003</v>
      </c>
      <c r="AB85" s="3">
        <f t="shared" si="24"/>
        <v>39.6</v>
      </c>
      <c r="AC85" s="3">
        <f t="shared" si="25"/>
        <v>0.48973167599816669</v>
      </c>
      <c r="AD85" s="3">
        <f t="shared" si="26"/>
        <v>-0.30925726826905819</v>
      </c>
    </row>
    <row r="88" spans="1:30" x14ac:dyDescent="0.2">
      <c r="V88" s="3"/>
    </row>
  </sheetData>
  <autoFilter ref="A9:AD85" xr:uid="{4D796F7C-EC33-45FA-9C45-2F8CB1ED067D}"/>
  <conditionalFormatting sqref="J10:U49">
    <cfRule type="cellIs" dxfId="31" priority="1" stopIfTrue="1" operator="lessThan">
      <formula>$V10-$U$5*$W10</formula>
    </cfRule>
    <cfRule type="cellIs" dxfId="30" priority="2" stopIfTrue="1" operator="greaterThan">
      <formula>$V10+$U$5*$W10</formula>
    </cfRule>
  </conditionalFormatting>
  <conditionalFormatting sqref="J50:U85">
    <cfRule type="cellIs" dxfId="29" priority="3" stopIfTrue="1" operator="lessThan">
      <formula>$V50-$U$6*$W50</formula>
    </cfRule>
    <cfRule type="cellIs" dxfId="28" priority="4" stopIfTrue="1" operator="greaterThan">
      <formula>$V50+$U$6*$W50</formula>
    </cfRule>
  </conditionalFormatting>
  <conditionalFormatting sqref="V10:V41">
    <cfRule type="cellIs" dxfId="27" priority="5" stopIfTrue="1" operator="lessThan">
      <formula>AVERAGE($V$10:$V$39)</formula>
    </cfRule>
    <cfRule type="cellIs" dxfId="26" priority="6" stopIfTrue="1" operator="greaterThan">
      <formula>AVERAGE($V$10:$V$39)</formula>
    </cfRule>
  </conditionalFormatting>
  <conditionalFormatting sqref="V50:V85">
    <cfRule type="cellIs" dxfId="25" priority="7" stopIfTrue="1" operator="lessThan">
      <formula>AVERAGE($V$50:$V$83)</formula>
    </cfRule>
    <cfRule type="cellIs" dxfId="24" priority="8" stopIfTrue="1" operator="greaterThan">
      <formula>AVERAGE($V$50:$V$83)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B958-BE1F-4A67-AD83-6044F2090FFF}">
  <dimension ref="A1:AN88"/>
  <sheetViews>
    <sheetView topLeftCell="A19" zoomScale="75" workbookViewId="0">
      <selection activeCell="V87" sqref="V87"/>
    </sheetView>
  </sheetViews>
  <sheetFormatPr defaultRowHeight="12.75" x14ac:dyDescent="0.2"/>
  <cols>
    <col min="1" max="7" width="9.140625" style="1"/>
    <col min="8" max="8" width="6" style="1" customWidth="1"/>
    <col min="9" max="9" width="7.7109375" style="1" customWidth="1"/>
    <col min="10" max="21" width="6" style="1" customWidth="1"/>
    <col min="22" max="31" width="9.140625" style="1"/>
    <col min="32" max="32" width="13.28515625" style="1" customWidth="1"/>
    <col min="33" max="38" width="20.5703125" style="1" customWidth="1"/>
    <col min="39" max="40" width="20.5703125" style="1" bestFit="1" customWidth="1"/>
    <col min="41" max="16384" width="9.140625" style="1"/>
  </cols>
  <sheetData>
    <row r="1" spans="1:40" ht="15.75" x14ac:dyDescent="0.25">
      <c r="A1" s="56" t="s">
        <v>144</v>
      </c>
    </row>
    <row r="2" spans="1:40" x14ac:dyDescent="0.2">
      <c r="H2" s="32" t="s">
        <v>118</v>
      </c>
      <c r="I2" s="38"/>
    </row>
    <row r="3" spans="1:40" x14ac:dyDescent="0.2">
      <c r="H3" s="33" t="s">
        <v>117</v>
      </c>
      <c r="I3" s="32">
        <v>0</v>
      </c>
      <c r="S3" s="38" t="s">
        <v>131</v>
      </c>
      <c r="T3" s="38"/>
      <c r="U3" s="38"/>
      <c r="V3" s="38"/>
      <c r="W3" s="38"/>
    </row>
    <row r="4" spans="1:40" x14ac:dyDescent="0.2">
      <c r="H4" s="33" t="s">
        <v>116</v>
      </c>
      <c r="I4" s="32">
        <v>1</v>
      </c>
      <c r="N4" s="37" t="s">
        <v>115</v>
      </c>
      <c r="O4" s="36">
        <v>40.450000000000003</v>
      </c>
      <c r="S4" s="38" t="s">
        <v>130</v>
      </c>
      <c r="T4" s="38"/>
      <c r="U4" s="38" t="s">
        <v>129</v>
      </c>
      <c r="V4" s="38"/>
      <c r="W4" s="38"/>
    </row>
    <row r="5" spans="1:40" x14ac:dyDescent="0.2">
      <c r="H5" s="33" t="s">
        <v>114</v>
      </c>
      <c r="I5" s="32">
        <v>0</v>
      </c>
      <c r="N5" s="35" t="s">
        <v>113</v>
      </c>
      <c r="O5" s="34"/>
      <c r="S5" s="38" t="s">
        <v>128</v>
      </c>
      <c r="T5" s="38"/>
      <c r="U5" s="38">
        <v>5</v>
      </c>
      <c r="V5" s="38"/>
      <c r="W5" s="38"/>
    </row>
    <row r="6" spans="1:40" x14ac:dyDescent="0.2">
      <c r="H6" s="33" t="s">
        <v>112</v>
      </c>
      <c r="I6" s="32">
        <v>0</v>
      </c>
      <c r="S6" s="38" t="s">
        <v>126</v>
      </c>
      <c r="T6" s="38"/>
      <c r="U6" s="38">
        <v>5</v>
      </c>
      <c r="V6" s="38"/>
      <c r="W6" s="38"/>
    </row>
    <row r="7" spans="1:40" x14ac:dyDescent="0.2">
      <c r="H7" s="33" t="s">
        <v>111</v>
      </c>
      <c r="I7" s="32">
        <v>0</v>
      </c>
      <c r="N7" s="1" t="s">
        <v>105</v>
      </c>
      <c r="AF7" s="31" t="s">
        <v>107</v>
      </c>
      <c r="AG7" s="30" t="s">
        <v>110</v>
      </c>
    </row>
    <row r="9" spans="1:40" x14ac:dyDescent="0.2">
      <c r="A9" s="26" t="s">
        <v>109</v>
      </c>
      <c r="B9" s="29" t="s">
        <v>81</v>
      </c>
      <c r="C9" s="29" t="s">
        <v>108</v>
      </c>
      <c r="D9" s="28" t="s">
        <v>107</v>
      </c>
      <c r="E9" s="29" t="s">
        <v>106</v>
      </c>
      <c r="F9" s="28" t="s">
        <v>105</v>
      </c>
      <c r="G9" s="28" t="s">
        <v>104</v>
      </c>
      <c r="H9" s="26" t="s">
        <v>85</v>
      </c>
      <c r="I9" s="26" t="s">
        <v>103</v>
      </c>
      <c r="J9" s="27" t="s">
        <v>102</v>
      </c>
      <c r="K9" s="27" t="s">
        <v>101</v>
      </c>
      <c r="L9" s="27" t="s">
        <v>100</v>
      </c>
      <c r="M9" s="27" t="s">
        <v>99</v>
      </c>
      <c r="N9" s="27" t="s">
        <v>98</v>
      </c>
      <c r="O9" s="27" t="s">
        <v>97</v>
      </c>
      <c r="P9" s="27" t="s">
        <v>96</v>
      </c>
      <c r="Q9" s="27" t="s">
        <v>95</v>
      </c>
      <c r="R9" s="27" t="s">
        <v>94</v>
      </c>
      <c r="S9" s="27" t="s">
        <v>93</v>
      </c>
      <c r="T9" s="27" t="s">
        <v>92</v>
      </c>
      <c r="U9" s="27" t="s">
        <v>91</v>
      </c>
      <c r="V9" s="26" t="s">
        <v>90</v>
      </c>
      <c r="W9" s="26" t="s">
        <v>125</v>
      </c>
      <c r="X9" s="26" t="s">
        <v>88</v>
      </c>
      <c r="Y9" s="26" t="s">
        <v>87</v>
      </c>
      <c r="Z9" s="26" t="s">
        <v>86</v>
      </c>
      <c r="AA9" s="26" t="s">
        <v>124</v>
      </c>
      <c r="AB9" s="26" t="s">
        <v>123</v>
      </c>
      <c r="AC9" s="26" t="s">
        <v>122</v>
      </c>
      <c r="AD9" s="26" t="s">
        <v>121</v>
      </c>
      <c r="AE9" s="26"/>
      <c r="AF9" s="25"/>
      <c r="AG9" s="25" t="s">
        <v>85</v>
      </c>
      <c r="AH9" s="25" t="s">
        <v>84</v>
      </c>
      <c r="AI9" s="25"/>
      <c r="AJ9" s="25"/>
      <c r="AK9" s="25"/>
      <c r="AL9" s="25"/>
      <c r="AM9" s="25"/>
      <c r="AN9" s="25"/>
    </row>
    <row r="10" spans="1:40" x14ac:dyDescent="0.2">
      <c r="A10" s="1">
        <v>101</v>
      </c>
      <c r="B10" s="1" t="s">
        <v>71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1</v>
      </c>
      <c r="I10" s="4">
        <v>13.29</v>
      </c>
      <c r="J10" s="39">
        <v>61.9</v>
      </c>
      <c r="K10" s="39">
        <v>56.6</v>
      </c>
      <c r="L10" s="39">
        <v>36.5</v>
      </c>
      <c r="M10" s="39">
        <v>52.7</v>
      </c>
      <c r="N10" s="39">
        <v>34.4</v>
      </c>
      <c r="O10" s="39">
        <v>42.7</v>
      </c>
      <c r="P10" s="39">
        <v>34.5</v>
      </c>
      <c r="Q10" s="39">
        <v>50</v>
      </c>
      <c r="R10" s="39">
        <v>36</v>
      </c>
      <c r="S10" s="39">
        <v>46.4</v>
      </c>
      <c r="T10" s="39">
        <v>37</v>
      </c>
      <c r="U10" s="39">
        <v>59.3</v>
      </c>
      <c r="V10" s="5">
        <f t="shared" ref="V10:V41" si="0">AVERAGE(J10:U10)</f>
        <v>45.666666666666664</v>
      </c>
      <c r="W10" s="4">
        <f t="shared" ref="W10:W41" si="1">STDEV(J10:U10)/SQRT(COUNT(J10:U10))</f>
        <v>2.9525626602370791</v>
      </c>
      <c r="X10" s="2">
        <f t="shared" ref="X10:X33" si="2">MIN(J10:U10)</f>
        <v>34.4</v>
      </c>
      <c r="Y10" s="3">
        <f t="shared" ref="Y10:Y33" si="3">QUARTILE(J10:U10,1)</f>
        <v>36.375</v>
      </c>
      <c r="Z10" s="2">
        <f t="shared" ref="Z10:Z33" si="4">MEDIAN(J10:U10)</f>
        <v>44.55</v>
      </c>
      <c r="AA10" s="3">
        <f t="shared" ref="AA10:AA33" si="5">QUARTILE(J10:U10,3)</f>
        <v>53.675000000000004</v>
      </c>
      <c r="AB10" s="3">
        <f t="shared" ref="AB10:AB33" si="6">MAX(J10:U10)</f>
        <v>61.9</v>
      </c>
      <c r="AC10" s="3">
        <f t="shared" ref="AC10:AC33" si="7">SKEW(J10:U10)</f>
        <v>0.34413187178198684</v>
      </c>
      <c r="AD10" s="3">
        <f t="shared" ref="AD10:AD33" si="8">KURT(J10:U10)</f>
        <v>-1.5242751991974965</v>
      </c>
      <c r="AF10" s="25"/>
      <c r="AG10" s="24" t="s">
        <v>83</v>
      </c>
      <c r="AH10" s="23"/>
      <c r="AI10" s="23"/>
      <c r="AJ10" s="23"/>
      <c r="AK10" s="24" t="s">
        <v>82</v>
      </c>
      <c r="AL10" s="23"/>
      <c r="AM10" s="23"/>
      <c r="AN10" s="22"/>
    </row>
    <row r="11" spans="1:40" x14ac:dyDescent="0.2">
      <c r="A11" s="1">
        <v>102</v>
      </c>
      <c r="B11" s="1" t="s">
        <v>68</v>
      </c>
      <c r="C11" s="1">
        <v>4</v>
      </c>
      <c r="D11" s="1">
        <v>1</v>
      </c>
      <c r="E11" s="1">
        <v>2</v>
      </c>
      <c r="F11" s="1">
        <v>1</v>
      </c>
      <c r="G11" s="1">
        <v>1</v>
      </c>
      <c r="H11" s="1">
        <v>1</v>
      </c>
      <c r="I11" s="4">
        <v>13.272</v>
      </c>
      <c r="J11" s="39">
        <v>61.3</v>
      </c>
      <c r="K11" s="39">
        <v>51.6</v>
      </c>
      <c r="L11" s="39">
        <v>38.799999999999997</v>
      </c>
      <c r="M11" s="39">
        <v>59.3</v>
      </c>
      <c r="N11" s="39">
        <v>36.4</v>
      </c>
      <c r="O11" s="39">
        <v>51.1</v>
      </c>
      <c r="P11" s="39">
        <v>44.7</v>
      </c>
      <c r="Q11" s="39">
        <v>36.9</v>
      </c>
      <c r="R11" s="39">
        <v>48.7</v>
      </c>
      <c r="S11" s="39">
        <v>42.4</v>
      </c>
      <c r="T11" s="39">
        <v>49</v>
      </c>
      <c r="U11" s="39">
        <v>39.299999999999997</v>
      </c>
      <c r="V11" s="5">
        <f t="shared" si="0"/>
        <v>46.624999999999993</v>
      </c>
      <c r="W11" s="4">
        <f t="shared" si="1"/>
        <v>2.409423576230846</v>
      </c>
      <c r="X11" s="2">
        <f t="shared" si="2"/>
        <v>36.4</v>
      </c>
      <c r="Y11" s="3">
        <f t="shared" si="3"/>
        <v>39.174999999999997</v>
      </c>
      <c r="Z11" s="2">
        <f t="shared" si="4"/>
        <v>46.7</v>
      </c>
      <c r="AA11" s="3">
        <f t="shared" si="5"/>
        <v>51.225000000000001</v>
      </c>
      <c r="AB11" s="3">
        <f t="shared" si="6"/>
        <v>61.3</v>
      </c>
      <c r="AC11" s="3">
        <f t="shared" si="7"/>
        <v>0.46684268846243404</v>
      </c>
      <c r="AD11" s="3">
        <f t="shared" si="8"/>
        <v>-0.78353183086421563</v>
      </c>
      <c r="AF11" s="21" t="s">
        <v>81</v>
      </c>
      <c r="AG11" s="20" t="s">
        <v>80</v>
      </c>
      <c r="AH11" s="19" t="s">
        <v>79</v>
      </c>
      <c r="AI11" s="19" t="s">
        <v>78</v>
      </c>
      <c r="AJ11" s="19" t="s">
        <v>77</v>
      </c>
      <c r="AK11" s="20" t="s">
        <v>80</v>
      </c>
      <c r="AL11" s="19" t="s">
        <v>79</v>
      </c>
      <c r="AM11" s="19" t="s">
        <v>78</v>
      </c>
      <c r="AN11" s="18" t="s">
        <v>77</v>
      </c>
    </row>
    <row r="12" spans="1:40" x14ac:dyDescent="0.2">
      <c r="A12" s="1">
        <v>103</v>
      </c>
      <c r="B12" s="1" t="s">
        <v>73</v>
      </c>
      <c r="C12" s="1">
        <v>5</v>
      </c>
      <c r="D12" s="1">
        <v>1</v>
      </c>
      <c r="E12" s="1">
        <v>3</v>
      </c>
      <c r="F12" s="1">
        <v>2</v>
      </c>
      <c r="G12" s="1">
        <v>1</v>
      </c>
      <c r="H12" s="1">
        <v>1</v>
      </c>
      <c r="I12" s="4">
        <v>13.250999999999999</v>
      </c>
      <c r="J12" s="39">
        <v>55.3</v>
      </c>
      <c r="K12" s="39">
        <v>39.4</v>
      </c>
      <c r="L12" s="39">
        <v>41.4</v>
      </c>
      <c r="M12" s="39">
        <v>41.7</v>
      </c>
      <c r="N12" s="39">
        <v>41.7</v>
      </c>
      <c r="O12" s="39">
        <v>44</v>
      </c>
      <c r="P12" s="39">
        <v>41</v>
      </c>
      <c r="Q12" s="39">
        <v>43.8</v>
      </c>
      <c r="R12" s="39">
        <v>42.2</v>
      </c>
      <c r="S12" s="39">
        <v>42.1</v>
      </c>
      <c r="T12" s="39">
        <v>44</v>
      </c>
      <c r="U12" s="39">
        <v>42.4</v>
      </c>
      <c r="V12" s="5">
        <f t="shared" si="0"/>
        <v>43.25</v>
      </c>
      <c r="W12" s="4">
        <f t="shared" si="1"/>
        <v>1.1608839369857415</v>
      </c>
      <c r="X12" s="2">
        <f t="shared" si="2"/>
        <v>39.4</v>
      </c>
      <c r="Y12" s="3">
        <f t="shared" si="3"/>
        <v>41.625</v>
      </c>
      <c r="Z12" s="2">
        <f t="shared" si="4"/>
        <v>42.150000000000006</v>
      </c>
      <c r="AA12" s="3">
        <f t="shared" si="5"/>
        <v>43.849999999999994</v>
      </c>
      <c r="AB12" s="3">
        <f t="shared" si="6"/>
        <v>55.3</v>
      </c>
      <c r="AC12" s="3">
        <f t="shared" si="7"/>
        <v>2.7932456089746398</v>
      </c>
      <c r="AD12" s="3">
        <f t="shared" si="8"/>
        <v>8.834434092362212</v>
      </c>
      <c r="AF12" s="17" t="s">
        <v>76</v>
      </c>
      <c r="AG12" s="16">
        <v>33.15</v>
      </c>
      <c r="AH12" s="15">
        <v>38.4</v>
      </c>
      <c r="AI12" s="15">
        <v>42.35</v>
      </c>
      <c r="AJ12" s="15">
        <v>43.887500000000003</v>
      </c>
      <c r="AK12" s="16">
        <v>28.8</v>
      </c>
      <c r="AL12" s="15">
        <v>29.512499999999999</v>
      </c>
      <c r="AM12" s="15">
        <v>30.024999999999999</v>
      </c>
      <c r="AN12" s="14">
        <v>30.024999999999999</v>
      </c>
    </row>
    <row r="13" spans="1:40" x14ac:dyDescent="0.2">
      <c r="A13" s="1">
        <v>104</v>
      </c>
      <c r="B13" s="1" t="s">
        <v>62</v>
      </c>
      <c r="C13" s="1">
        <v>10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4">
        <v>13.231999999999999</v>
      </c>
      <c r="J13" s="39">
        <v>59.2</v>
      </c>
      <c r="K13" s="39">
        <v>56.7</v>
      </c>
      <c r="L13" s="39">
        <v>55.2</v>
      </c>
      <c r="M13" s="39">
        <v>39.6</v>
      </c>
      <c r="N13" s="39">
        <v>57.8</v>
      </c>
      <c r="O13" s="39">
        <v>35.700000000000003</v>
      </c>
      <c r="P13" s="39">
        <v>55.3</v>
      </c>
      <c r="Q13" s="39">
        <v>37.200000000000003</v>
      </c>
      <c r="R13" s="39">
        <v>45.7</v>
      </c>
      <c r="S13" s="39">
        <v>40.299999999999997</v>
      </c>
      <c r="T13" s="39">
        <v>53</v>
      </c>
      <c r="U13" s="39">
        <v>40.700000000000003</v>
      </c>
      <c r="V13" s="5">
        <f t="shared" si="0"/>
        <v>48.033333333333339</v>
      </c>
      <c r="W13" s="4">
        <f t="shared" si="1"/>
        <v>2.5873331693643378</v>
      </c>
      <c r="X13" s="2">
        <f t="shared" si="2"/>
        <v>35.700000000000003</v>
      </c>
      <c r="Y13" s="3">
        <f t="shared" si="3"/>
        <v>40.125</v>
      </c>
      <c r="Z13" s="2">
        <f t="shared" si="4"/>
        <v>49.35</v>
      </c>
      <c r="AA13" s="3">
        <f t="shared" si="5"/>
        <v>55.65</v>
      </c>
      <c r="AB13" s="3">
        <f t="shared" si="6"/>
        <v>59.2</v>
      </c>
      <c r="AC13" s="3">
        <f t="shared" si="7"/>
        <v>-0.11628536368412067</v>
      </c>
      <c r="AD13" s="3">
        <f t="shared" si="8"/>
        <v>-1.9628499426317694</v>
      </c>
      <c r="AF13" s="13" t="s">
        <v>75</v>
      </c>
      <c r="AG13" s="12">
        <v>48.55</v>
      </c>
      <c r="AH13" s="11">
        <v>56.1</v>
      </c>
      <c r="AI13" s="11">
        <v>61.774999999999999</v>
      </c>
      <c r="AJ13" s="11">
        <v>60.604166666666664</v>
      </c>
      <c r="AK13" s="12">
        <v>32.65</v>
      </c>
      <c r="AL13" s="11">
        <v>35.1</v>
      </c>
      <c r="AM13" s="11">
        <v>36.024999999999999</v>
      </c>
      <c r="AN13" s="10">
        <v>36.35</v>
      </c>
    </row>
    <row r="14" spans="1:40" x14ac:dyDescent="0.2">
      <c r="A14" s="1">
        <v>105</v>
      </c>
      <c r="B14" s="1" t="s">
        <v>66</v>
      </c>
      <c r="C14" s="1">
        <v>12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4">
        <v>13.212999999999999</v>
      </c>
      <c r="J14" s="39">
        <v>39.700000000000003</v>
      </c>
      <c r="K14" s="39">
        <v>34.5</v>
      </c>
      <c r="L14" s="39">
        <v>32.799999999999997</v>
      </c>
      <c r="M14" s="39">
        <v>31.1</v>
      </c>
      <c r="N14" s="39">
        <v>30.8</v>
      </c>
      <c r="O14" s="39">
        <v>34.200000000000003</v>
      </c>
      <c r="P14" s="39">
        <v>31.3</v>
      </c>
      <c r="Q14" s="39">
        <v>33.299999999999997</v>
      </c>
      <c r="R14" s="39">
        <v>32.1</v>
      </c>
      <c r="S14" s="39">
        <v>32.1</v>
      </c>
      <c r="T14" s="39">
        <v>34.700000000000003</v>
      </c>
      <c r="U14" s="39">
        <v>32.6</v>
      </c>
      <c r="V14" s="5">
        <f t="shared" si="0"/>
        <v>33.266666666666673</v>
      </c>
      <c r="W14" s="4">
        <f t="shared" si="1"/>
        <v>0.69558492208959233</v>
      </c>
      <c r="X14" s="2">
        <f t="shared" si="2"/>
        <v>30.8</v>
      </c>
      <c r="Y14" s="3">
        <f t="shared" si="3"/>
        <v>31.900000000000002</v>
      </c>
      <c r="Z14" s="2">
        <f t="shared" si="4"/>
        <v>32.700000000000003</v>
      </c>
      <c r="AA14" s="3">
        <f t="shared" si="5"/>
        <v>34.275000000000006</v>
      </c>
      <c r="AB14" s="3">
        <f t="shared" si="6"/>
        <v>39.700000000000003</v>
      </c>
      <c r="AC14" s="3">
        <f t="shared" si="7"/>
        <v>1.8366308290649029</v>
      </c>
      <c r="AD14" s="3">
        <f t="shared" si="8"/>
        <v>4.3722257922515784</v>
      </c>
      <c r="AF14" s="13" t="s">
        <v>74</v>
      </c>
      <c r="AG14" s="12">
        <v>64.599999999999994</v>
      </c>
      <c r="AH14" s="11">
        <v>66.237499999999997</v>
      </c>
      <c r="AI14" s="11">
        <v>67.174999999999997</v>
      </c>
      <c r="AJ14" s="11">
        <v>66.958333333333343</v>
      </c>
      <c r="AK14" s="12"/>
      <c r="AL14" s="11"/>
      <c r="AM14" s="11"/>
      <c r="AN14" s="10"/>
    </row>
    <row r="15" spans="1:40" x14ac:dyDescent="0.2">
      <c r="A15" s="1">
        <v>106</v>
      </c>
      <c r="B15" s="1" t="s">
        <v>63</v>
      </c>
      <c r="C15" s="1">
        <v>9</v>
      </c>
      <c r="D15" s="1">
        <v>2</v>
      </c>
      <c r="E15" s="1">
        <v>2</v>
      </c>
      <c r="F15" s="1">
        <v>2</v>
      </c>
      <c r="G15" s="1">
        <v>2</v>
      </c>
      <c r="H15" s="1">
        <v>1</v>
      </c>
      <c r="I15" s="4">
        <v>13.195</v>
      </c>
      <c r="J15" s="39">
        <v>60.1</v>
      </c>
      <c r="K15" s="39">
        <v>59.2</v>
      </c>
      <c r="L15" s="39">
        <v>49.1</v>
      </c>
      <c r="M15" s="39">
        <v>41.9</v>
      </c>
      <c r="N15" s="39">
        <v>53.5</v>
      </c>
      <c r="O15" s="39">
        <v>36.700000000000003</v>
      </c>
      <c r="P15" s="39">
        <v>50.2</v>
      </c>
      <c r="Q15" s="39">
        <v>39.4</v>
      </c>
      <c r="R15" s="39">
        <v>44.7</v>
      </c>
      <c r="S15" s="39">
        <v>40.799999999999997</v>
      </c>
      <c r="T15" s="39">
        <v>44.1</v>
      </c>
      <c r="U15" s="39">
        <v>44.7</v>
      </c>
      <c r="V15" s="5">
        <f t="shared" si="0"/>
        <v>47.033333333333331</v>
      </c>
      <c r="W15" s="4">
        <f t="shared" si="1"/>
        <v>2.175320712451438</v>
      </c>
      <c r="X15" s="2">
        <f t="shared" si="2"/>
        <v>36.700000000000003</v>
      </c>
      <c r="Y15" s="3">
        <f t="shared" si="3"/>
        <v>41.625</v>
      </c>
      <c r="Z15" s="2">
        <f t="shared" si="4"/>
        <v>44.7</v>
      </c>
      <c r="AA15" s="3">
        <f t="shared" si="5"/>
        <v>51.025000000000006</v>
      </c>
      <c r="AB15" s="3">
        <f t="shared" si="6"/>
        <v>60.1</v>
      </c>
      <c r="AC15" s="3">
        <f t="shared" si="7"/>
        <v>0.60338510438314674</v>
      </c>
      <c r="AD15" s="3">
        <f t="shared" si="8"/>
        <v>-0.60931809320471997</v>
      </c>
      <c r="AF15" s="13" t="s">
        <v>73</v>
      </c>
      <c r="AG15" s="12">
        <v>40.25</v>
      </c>
      <c r="AH15" s="11">
        <v>42.4375</v>
      </c>
      <c r="AI15" s="11">
        <v>43.125</v>
      </c>
      <c r="AJ15" s="11">
        <v>45.612499999999997</v>
      </c>
      <c r="AK15" s="12">
        <v>33.15</v>
      </c>
      <c r="AL15" s="11">
        <v>34.987499999999997</v>
      </c>
      <c r="AM15" s="11">
        <v>36.274999999999999</v>
      </c>
      <c r="AN15" s="10">
        <v>36.291666666666671</v>
      </c>
    </row>
    <row r="16" spans="1:40" x14ac:dyDescent="0.2">
      <c r="A16" s="1">
        <v>107</v>
      </c>
      <c r="B16" s="1" t="s">
        <v>62</v>
      </c>
      <c r="C16" s="1">
        <v>10</v>
      </c>
      <c r="D16" s="1">
        <v>2</v>
      </c>
      <c r="E16" s="1">
        <v>2</v>
      </c>
      <c r="F16" s="1">
        <v>1</v>
      </c>
      <c r="G16" s="1">
        <v>2</v>
      </c>
      <c r="H16" s="1">
        <v>1</v>
      </c>
      <c r="I16" s="4">
        <v>13.173999999999999</v>
      </c>
      <c r="J16" s="39">
        <v>58</v>
      </c>
      <c r="K16" s="39">
        <v>52</v>
      </c>
      <c r="L16" s="39">
        <v>42.6</v>
      </c>
      <c r="M16" s="39">
        <v>38.5</v>
      </c>
      <c r="N16" s="39">
        <v>46.2</v>
      </c>
      <c r="O16" s="39">
        <v>35.4</v>
      </c>
      <c r="P16" s="39">
        <v>49</v>
      </c>
      <c r="Q16" s="39">
        <v>37.6</v>
      </c>
      <c r="R16" s="39">
        <v>31.6</v>
      </c>
      <c r="S16" s="39">
        <v>46.7</v>
      </c>
      <c r="T16" s="39">
        <v>34</v>
      </c>
      <c r="U16" s="39">
        <v>51.1</v>
      </c>
      <c r="V16" s="5">
        <f t="shared" si="0"/>
        <v>43.558333333333337</v>
      </c>
      <c r="W16" s="4">
        <f t="shared" si="1"/>
        <v>2.3774336282146011</v>
      </c>
      <c r="X16" s="2">
        <f t="shared" si="2"/>
        <v>31.6</v>
      </c>
      <c r="Y16" s="3">
        <f t="shared" si="3"/>
        <v>37.049999999999997</v>
      </c>
      <c r="Z16" s="2">
        <f t="shared" si="4"/>
        <v>44.400000000000006</v>
      </c>
      <c r="AA16" s="3">
        <f t="shared" si="5"/>
        <v>49.524999999999999</v>
      </c>
      <c r="AB16" s="3">
        <f t="shared" si="6"/>
        <v>58</v>
      </c>
      <c r="AC16" s="3">
        <f t="shared" si="7"/>
        <v>0.15328737167174333</v>
      </c>
      <c r="AD16" s="3">
        <f t="shared" si="8"/>
        <v>-1.0199094230283952</v>
      </c>
      <c r="AF16" s="13" t="s">
        <v>72</v>
      </c>
      <c r="AG16" s="12">
        <v>36.75</v>
      </c>
      <c r="AH16" s="11">
        <v>40.587499999999999</v>
      </c>
      <c r="AI16" s="11">
        <v>46.15</v>
      </c>
      <c r="AJ16" s="11">
        <v>46.216666666666669</v>
      </c>
      <c r="AK16" s="12">
        <v>32.9</v>
      </c>
      <c r="AL16" s="11">
        <v>33.575000000000003</v>
      </c>
      <c r="AM16" s="11">
        <v>34.825000000000003</v>
      </c>
      <c r="AN16" s="10">
        <v>34.804166666666667</v>
      </c>
    </row>
    <row r="17" spans="1:40" x14ac:dyDescent="0.2">
      <c r="A17" s="1">
        <v>108</v>
      </c>
      <c r="B17" s="1" t="s">
        <v>69</v>
      </c>
      <c r="C17" s="1">
        <v>3</v>
      </c>
      <c r="D17" s="1">
        <v>1</v>
      </c>
      <c r="E17" s="1">
        <v>2</v>
      </c>
      <c r="F17" s="1">
        <v>2</v>
      </c>
      <c r="G17" s="1">
        <v>2</v>
      </c>
      <c r="H17" s="1">
        <v>1</v>
      </c>
      <c r="I17" s="4">
        <v>13.153</v>
      </c>
      <c r="J17" s="39">
        <v>62.4</v>
      </c>
      <c r="K17" s="39">
        <v>60.9</v>
      </c>
      <c r="L17" s="39">
        <v>50</v>
      </c>
      <c r="M17" s="39">
        <v>45.7</v>
      </c>
      <c r="N17" s="39">
        <v>55.6</v>
      </c>
      <c r="O17" s="39">
        <v>44.2</v>
      </c>
      <c r="P17" s="39">
        <v>53.4</v>
      </c>
      <c r="Q17" s="39">
        <v>43.8</v>
      </c>
      <c r="R17" s="39">
        <v>43.5</v>
      </c>
      <c r="S17" s="39">
        <v>51</v>
      </c>
      <c r="T17" s="39">
        <v>45.7</v>
      </c>
      <c r="U17" s="39">
        <v>50.2</v>
      </c>
      <c r="V17" s="5">
        <f t="shared" si="0"/>
        <v>50.533333333333339</v>
      </c>
      <c r="W17" s="4">
        <f t="shared" si="1"/>
        <v>1.8757355459615785</v>
      </c>
      <c r="X17" s="2">
        <f t="shared" si="2"/>
        <v>43.5</v>
      </c>
      <c r="Y17" s="3">
        <f t="shared" si="3"/>
        <v>45.325000000000003</v>
      </c>
      <c r="Z17" s="2">
        <f t="shared" si="4"/>
        <v>50.1</v>
      </c>
      <c r="AA17" s="3">
        <f t="shared" si="5"/>
        <v>53.95</v>
      </c>
      <c r="AB17" s="3">
        <f t="shared" si="6"/>
        <v>62.4</v>
      </c>
      <c r="AC17" s="3">
        <f t="shared" si="7"/>
        <v>0.71799785200116273</v>
      </c>
      <c r="AD17" s="3">
        <f t="shared" si="8"/>
        <v>-0.55854672700964336</v>
      </c>
      <c r="AF17" s="13" t="s">
        <v>71</v>
      </c>
      <c r="AG17" s="12">
        <v>35.75</v>
      </c>
      <c r="AH17" s="11">
        <v>39.4</v>
      </c>
      <c r="AI17" s="11">
        <v>44.825000000000003</v>
      </c>
      <c r="AJ17" s="11">
        <v>45.483333333333334</v>
      </c>
      <c r="AK17" s="12">
        <v>29.8</v>
      </c>
      <c r="AL17" s="11">
        <v>30.662500000000001</v>
      </c>
      <c r="AM17" s="11">
        <v>31.225000000000001</v>
      </c>
      <c r="AN17" s="10">
        <v>31.404166666666669</v>
      </c>
    </row>
    <row r="18" spans="1:40" x14ac:dyDescent="0.2">
      <c r="A18" s="1">
        <v>201</v>
      </c>
      <c r="B18" s="1" t="s">
        <v>66</v>
      </c>
      <c r="C18" s="1">
        <v>12</v>
      </c>
      <c r="D18" s="1">
        <v>2</v>
      </c>
      <c r="E18" s="1">
        <v>3</v>
      </c>
      <c r="F18" s="1">
        <v>1</v>
      </c>
      <c r="G18" s="1">
        <v>1</v>
      </c>
      <c r="H18" s="1">
        <v>1</v>
      </c>
      <c r="I18" s="4">
        <v>13.321999999999999</v>
      </c>
      <c r="J18" s="39">
        <v>40.5</v>
      </c>
      <c r="K18" s="39">
        <v>33.700000000000003</v>
      </c>
      <c r="L18" s="39">
        <v>34.799999999999997</v>
      </c>
      <c r="M18" s="39">
        <v>32</v>
      </c>
      <c r="N18" s="39">
        <v>33.6</v>
      </c>
      <c r="O18" s="39">
        <v>31.8</v>
      </c>
      <c r="P18" s="39">
        <v>36.200000000000003</v>
      </c>
      <c r="Q18" s="39">
        <v>34.1</v>
      </c>
      <c r="R18" s="39">
        <v>36.6</v>
      </c>
      <c r="S18" s="39">
        <v>31.1</v>
      </c>
      <c r="T18" s="39">
        <v>35.4</v>
      </c>
      <c r="U18" s="39">
        <v>31.5</v>
      </c>
      <c r="V18" s="5">
        <f t="shared" si="0"/>
        <v>34.275000000000006</v>
      </c>
      <c r="W18" s="4">
        <f t="shared" si="1"/>
        <v>0.77509774554666022</v>
      </c>
      <c r="X18" s="2">
        <f t="shared" si="2"/>
        <v>31.1</v>
      </c>
      <c r="Y18" s="3">
        <f t="shared" si="3"/>
        <v>31.95</v>
      </c>
      <c r="Z18" s="2">
        <f t="shared" si="4"/>
        <v>33.900000000000006</v>
      </c>
      <c r="AA18" s="3">
        <f t="shared" si="5"/>
        <v>35.6</v>
      </c>
      <c r="AB18" s="3">
        <f t="shared" si="6"/>
        <v>40.5</v>
      </c>
      <c r="AC18" s="3">
        <f t="shared" si="7"/>
        <v>1.0238862308634868</v>
      </c>
      <c r="AD18" s="3">
        <f t="shared" si="8"/>
        <v>1.3383793119235108</v>
      </c>
      <c r="AF18" s="13" t="s">
        <v>70</v>
      </c>
      <c r="AG18" s="12">
        <v>37.1</v>
      </c>
      <c r="AH18" s="11">
        <v>39.65</v>
      </c>
      <c r="AI18" s="11">
        <v>44.424999999999997</v>
      </c>
      <c r="AJ18" s="11">
        <v>46.091666666666669</v>
      </c>
      <c r="AK18" s="12">
        <v>30.3</v>
      </c>
      <c r="AL18" s="11">
        <v>31.487500000000001</v>
      </c>
      <c r="AM18" s="11">
        <v>32.274999999999999</v>
      </c>
      <c r="AN18" s="10">
        <v>32.354166666666664</v>
      </c>
    </row>
    <row r="19" spans="1:40" x14ac:dyDescent="0.2">
      <c r="A19" s="1">
        <v>202</v>
      </c>
      <c r="B19" s="1" t="s">
        <v>63</v>
      </c>
      <c r="C19" s="1">
        <v>9</v>
      </c>
      <c r="D19" s="1">
        <v>2</v>
      </c>
      <c r="E19" s="1">
        <v>2</v>
      </c>
      <c r="F19" s="1">
        <v>2</v>
      </c>
      <c r="G19" s="1">
        <v>1</v>
      </c>
      <c r="H19" s="1">
        <v>1</v>
      </c>
      <c r="I19" s="4">
        <v>13.342000000000001</v>
      </c>
      <c r="J19" s="39">
        <v>60.6</v>
      </c>
      <c r="K19" s="39">
        <v>60.8</v>
      </c>
      <c r="L19" s="39">
        <v>39.6</v>
      </c>
      <c r="M19" s="39">
        <v>60.5</v>
      </c>
      <c r="N19" s="39">
        <v>42.4</v>
      </c>
      <c r="O19" s="39">
        <v>52.5</v>
      </c>
      <c r="P19" s="39">
        <v>45.1</v>
      </c>
      <c r="Q19" s="39">
        <v>56.2</v>
      </c>
      <c r="R19" s="39">
        <v>52.4</v>
      </c>
      <c r="S19" s="39">
        <v>47.6</v>
      </c>
      <c r="T19" s="39">
        <v>46.8</v>
      </c>
      <c r="U19" s="39">
        <v>50.1</v>
      </c>
      <c r="V19" s="5">
        <f t="shared" si="0"/>
        <v>51.216666666666661</v>
      </c>
      <c r="W19" s="4">
        <f t="shared" si="1"/>
        <v>2.09233208056312</v>
      </c>
      <c r="X19" s="2">
        <f t="shared" si="2"/>
        <v>39.6</v>
      </c>
      <c r="Y19" s="3">
        <f t="shared" si="3"/>
        <v>46.375</v>
      </c>
      <c r="Z19" s="2">
        <f t="shared" si="4"/>
        <v>51.25</v>
      </c>
      <c r="AA19" s="3">
        <f t="shared" si="5"/>
        <v>57.275000000000006</v>
      </c>
      <c r="AB19" s="3">
        <f t="shared" si="6"/>
        <v>60.8</v>
      </c>
      <c r="AC19" s="3">
        <f t="shared" si="7"/>
        <v>4.9243963711286306E-3</v>
      </c>
      <c r="AD19" s="3">
        <f t="shared" si="8"/>
        <v>-1.1533357262307962</v>
      </c>
      <c r="AF19" s="13" t="s">
        <v>69</v>
      </c>
      <c r="AG19" s="12">
        <v>39.450000000000003</v>
      </c>
      <c r="AH19" s="11">
        <v>42.03125</v>
      </c>
      <c r="AI19" s="11">
        <v>46.9</v>
      </c>
      <c r="AJ19" s="11">
        <v>47.852083333333333</v>
      </c>
      <c r="AK19" s="12">
        <v>32.799999999999997</v>
      </c>
      <c r="AL19" s="11">
        <v>33.518749999999997</v>
      </c>
      <c r="AM19" s="11">
        <v>34.024999999999999</v>
      </c>
      <c r="AN19" s="10">
        <v>34.02708333333333</v>
      </c>
    </row>
    <row r="20" spans="1:40" x14ac:dyDescent="0.2">
      <c r="A20" s="1">
        <v>203</v>
      </c>
      <c r="B20" s="1" t="s">
        <v>69</v>
      </c>
      <c r="C20" s="1">
        <v>3</v>
      </c>
      <c r="D20" s="1">
        <v>1</v>
      </c>
      <c r="E20" s="1">
        <v>2</v>
      </c>
      <c r="F20" s="1">
        <v>2</v>
      </c>
      <c r="G20" s="1">
        <v>1</v>
      </c>
      <c r="H20" s="1">
        <v>1</v>
      </c>
      <c r="I20" s="4">
        <v>13.361000000000001</v>
      </c>
      <c r="J20" s="39">
        <v>59.5</v>
      </c>
      <c r="K20" s="39">
        <v>48.2</v>
      </c>
      <c r="L20" s="39">
        <v>40.9</v>
      </c>
      <c r="M20" s="39">
        <v>43.2</v>
      </c>
      <c r="N20" s="39">
        <v>51.7</v>
      </c>
      <c r="O20" s="39">
        <v>41.4</v>
      </c>
      <c r="P20" s="39">
        <v>46.2</v>
      </c>
      <c r="Q20" s="39">
        <v>42</v>
      </c>
      <c r="R20" s="39">
        <v>43.5</v>
      </c>
      <c r="S20" s="39">
        <v>44.3</v>
      </c>
      <c r="T20" s="39">
        <v>44.6</v>
      </c>
      <c r="U20" s="39">
        <v>49.5</v>
      </c>
      <c r="V20" s="5">
        <f t="shared" si="0"/>
        <v>46.25</v>
      </c>
      <c r="W20" s="4">
        <f t="shared" si="1"/>
        <v>1.540439724706729</v>
      </c>
      <c r="X20" s="2">
        <f t="shared" si="2"/>
        <v>40.9</v>
      </c>
      <c r="Y20" s="3">
        <f t="shared" si="3"/>
        <v>42.900000000000006</v>
      </c>
      <c r="Z20" s="2">
        <f t="shared" si="4"/>
        <v>44.45</v>
      </c>
      <c r="AA20" s="3">
        <f t="shared" si="5"/>
        <v>48.525000000000006</v>
      </c>
      <c r="AB20" s="3">
        <f t="shared" si="6"/>
        <v>59.5</v>
      </c>
      <c r="AC20" s="3">
        <f t="shared" si="7"/>
        <v>1.525436310928213</v>
      </c>
      <c r="AD20" s="3">
        <f t="shared" si="8"/>
        <v>2.5147134967427931</v>
      </c>
      <c r="AF20" s="13" t="s">
        <v>68</v>
      </c>
      <c r="AG20" s="12">
        <v>35.825000000000003</v>
      </c>
      <c r="AH20" s="11">
        <v>38.524999999999999</v>
      </c>
      <c r="AI20" s="11">
        <v>45.112499999999997</v>
      </c>
      <c r="AJ20" s="11">
        <v>45.572916666666664</v>
      </c>
      <c r="AK20" s="12">
        <v>30.875</v>
      </c>
      <c r="AL20" s="11">
        <v>31.368749999999999</v>
      </c>
      <c r="AM20" s="11">
        <v>32.25</v>
      </c>
      <c r="AN20" s="10">
        <v>32.24166666666666</v>
      </c>
    </row>
    <row r="21" spans="1:40" x14ac:dyDescent="0.2">
      <c r="A21" s="1">
        <v>204</v>
      </c>
      <c r="B21" s="1" t="s">
        <v>67</v>
      </c>
      <c r="C21" s="1">
        <v>11</v>
      </c>
      <c r="D21" s="1">
        <v>2</v>
      </c>
      <c r="E21" s="1">
        <v>3</v>
      </c>
      <c r="F21" s="1">
        <v>2</v>
      </c>
      <c r="G21" s="1">
        <v>1</v>
      </c>
      <c r="H21" s="1">
        <v>1</v>
      </c>
      <c r="I21" s="4">
        <v>13.38</v>
      </c>
      <c r="J21" s="39">
        <v>38.299999999999997</v>
      </c>
      <c r="K21" s="39">
        <v>33.9</v>
      </c>
      <c r="L21" s="39">
        <v>35</v>
      </c>
      <c r="M21" s="39">
        <v>34.1</v>
      </c>
      <c r="N21" s="39">
        <v>32.5</v>
      </c>
      <c r="O21" s="39">
        <v>36.200000000000003</v>
      </c>
      <c r="P21" s="39">
        <v>32.299999999999997</v>
      </c>
      <c r="Q21" s="39">
        <v>35</v>
      </c>
      <c r="R21" s="39">
        <v>31.5</v>
      </c>
      <c r="S21" s="39">
        <v>34</v>
      </c>
      <c r="T21" s="39">
        <v>32.6</v>
      </c>
      <c r="U21" s="39">
        <v>37</v>
      </c>
      <c r="V21" s="5">
        <f t="shared" si="0"/>
        <v>34.366666666666667</v>
      </c>
      <c r="W21" s="4">
        <f t="shared" si="1"/>
        <v>0.59088189525607748</v>
      </c>
      <c r="X21" s="2">
        <f t="shared" si="2"/>
        <v>31.5</v>
      </c>
      <c r="Y21" s="3">
        <f t="shared" si="3"/>
        <v>32.575000000000003</v>
      </c>
      <c r="Z21" s="2">
        <f t="shared" si="4"/>
        <v>34.049999999999997</v>
      </c>
      <c r="AA21" s="3">
        <f t="shared" si="5"/>
        <v>35.299999999999997</v>
      </c>
      <c r="AB21" s="3">
        <f t="shared" si="6"/>
        <v>38.299999999999997</v>
      </c>
      <c r="AC21" s="3">
        <f t="shared" si="7"/>
        <v>0.52423856454364226</v>
      </c>
      <c r="AD21" s="3">
        <f t="shared" si="8"/>
        <v>-0.38165531268968156</v>
      </c>
      <c r="AF21" s="13" t="s">
        <v>67</v>
      </c>
      <c r="AG21" s="12">
        <v>30.15</v>
      </c>
      <c r="AH21" s="11">
        <v>31.862500000000001</v>
      </c>
      <c r="AI21" s="11">
        <v>33.825000000000003</v>
      </c>
      <c r="AJ21" s="11">
        <v>33.908333333333331</v>
      </c>
      <c r="AK21" s="12">
        <v>28.55</v>
      </c>
      <c r="AL21" s="11">
        <v>29.587499999999999</v>
      </c>
      <c r="AM21" s="11">
        <v>30.3</v>
      </c>
      <c r="AN21" s="10">
        <v>30.429166666666667</v>
      </c>
    </row>
    <row r="22" spans="1:40" x14ac:dyDescent="0.2">
      <c r="A22" s="1">
        <v>205</v>
      </c>
      <c r="B22" s="1" t="s">
        <v>71</v>
      </c>
      <c r="C22" s="1">
        <v>1</v>
      </c>
      <c r="D22" s="1">
        <v>1</v>
      </c>
      <c r="E22" s="1">
        <v>1</v>
      </c>
      <c r="F22" s="1">
        <v>2</v>
      </c>
      <c r="G22" s="1">
        <v>2</v>
      </c>
      <c r="H22" s="1">
        <v>1</v>
      </c>
      <c r="I22" s="4">
        <v>13.398</v>
      </c>
      <c r="J22" s="39">
        <v>60.7</v>
      </c>
      <c r="K22" s="39">
        <v>46.9</v>
      </c>
      <c r="L22" s="39">
        <v>41.9</v>
      </c>
      <c r="M22" s="39">
        <v>45.3</v>
      </c>
      <c r="N22" s="39">
        <v>43.5</v>
      </c>
      <c r="O22" s="39">
        <v>37.1</v>
      </c>
      <c r="P22" s="39">
        <v>45.4</v>
      </c>
      <c r="Q22" s="39">
        <v>38.6</v>
      </c>
      <c r="R22" s="39">
        <v>47.3</v>
      </c>
      <c r="S22" s="39">
        <v>42.6</v>
      </c>
      <c r="T22" s="39">
        <v>49.4</v>
      </c>
      <c r="U22" s="39">
        <v>44.9</v>
      </c>
      <c r="V22" s="5">
        <f t="shared" si="0"/>
        <v>45.300000000000004</v>
      </c>
      <c r="W22" s="4">
        <f t="shared" si="1"/>
        <v>1.729687307526462</v>
      </c>
      <c r="X22" s="2">
        <f t="shared" si="2"/>
        <v>37.1</v>
      </c>
      <c r="Y22" s="3">
        <f t="shared" si="3"/>
        <v>42.424999999999997</v>
      </c>
      <c r="Z22" s="2">
        <f t="shared" si="4"/>
        <v>45.099999999999994</v>
      </c>
      <c r="AA22" s="3">
        <f t="shared" si="5"/>
        <v>47</v>
      </c>
      <c r="AB22" s="3">
        <f t="shared" si="6"/>
        <v>60.7</v>
      </c>
      <c r="AC22" s="3">
        <f t="shared" si="7"/>
        <v>1.428196211203872</v>
      </c>
      <c r="AD22" s="3">
        <f t="shared" si="8"/>
        <v>3.7032262144919601</v>
      </c>
      <c r="AF22" s="13" t="s">
        <v>66</v>
      </c>
      <c r="AG22" s="12">
        <v>30.95</v>
      </c>
      <c r="AH22" s="11">
        <v>31.925000000000001</v>
      </c>
      <c r="AI22" s="11">
        <v>33.299999999999997</v>
      </c>
      <c r="AJ22" s="11">
        <v>33.770833333333343</v>
      </c>
      <c r="AK22" s="12">
        <v>29.45</v>
      </c>
      <c r="AL22" s="11">
        <v>29.9</v>
      </c>
      <c r="AM22" s="11">
        <v>30.35</v>
      </c>
      <c r="AN22" s="10">
        <v>30.75</v>
      </c>
    </row>
    <row r="23" spans="1:40" x14ac:dyDescent="0.2">
      <c r="A23" s="1">
        <v>206</v>
      </c>
      <c r="B23" s="1" t="s">
        <v>64</v>
      </c>
      <c r="C23" s="1">
        <v>8</v>
      </c>
      <c r="D23" s="1">
        <v>2</v>
      </c>
      <c r="E23" s="1">
        <v>1</v>
      </c>
      <c r="F23" s="1">
        <v>1</v>
      </c>
      <c r="G23" s="1">
        <v>2</v>
      </c>
      <c r="H23" s="1">
        <v>1</v>
      </c>
      <c r="I23" s="4">
        <v>13.417</v>
      </c>
      <c r="J23" s="39">
        <v>59.3</v>
      </c>
      <c r="K23" s="39">
        <v>51.3</v>
      </c>
      <c r="L23" s="39">
        <v>48.2</v>
      </c>
      <c r="M23" s="39">
        <v>55.5</v>
      </c>
      <c r="N23" s="39">
        <v>45.5</v>
      </c>
      <c r="O23" s="39">
        <v>46.2</v>
      </c>
      <c r="P23" s="39">
        <v>49</v>
      </c>
      <c r="Q23" s="39">
        <v>39</v>
      </c>
      <c r="R23" s="39">
        <v>44.4</v>
      </c>
      <c r="S23" s="39">
        <v>38</v>
      </c>
      <c r="T23" s="39">
        <v>44.7</v>
      </c>
      <c r="U23" s="39">
        <v>54</v>
      </c>
      <c r="V23" s="5">
        <f t="shared" si="0"/>
        <v>47.925000000000004</v>
      </c>
      <c r="W23" s="4">
        <f t="shared" si="1"/>
        <v>1.83844157487869</v>
      </c>
      <c r="X23" s="2">
        <f t="shared" si="2"/>
        <v>38</v>
      </c>
      <c r="Y23" s="3">
        <f t="shared" si="3"/>
        <v>44.625</v>
      </c>
      <c r="Z23" s="2">
        <f t="shared" si="4"/>
        <v>47.2</v>
      </c>
      <c r="AA23" s="3">
        <f t="shared" si="5"/>
        <v>51.974999999999994</v>
      </c>
      <c r="AB23" s="3">
        <f t="shared" si="6"/>
        <v>59.3</v>
      </c>
      <c r="AC23" s="3">
        <f t="shared" si="7"/>
        <v>0.16262562327650421</v>
      </c>
      <c r="AD23" s="3">
        <f t="shared" si="8"/>
        <v>-0.40455804468661549</v>
      </c>
      <c r="AF23" s="13" t="s">
        <v>65</v>
      </c>
      <c r="AG23" s="12">
        <v>30.2</v>
      </c>
      <c r="AH23" s="11">
        <v>35.625</v>
      </c>
      <c r="AI23" s="11">
        <v>45.45</v>
      </c>
      <c r="AJ23" s="11">
        <v>46.3</v>
      </c>
      <c r="AK23" s="12">
        <v>28.6</v>
      </c>
      <c r="AL23" s="11">
        <v>29.25</v>
      </c>
      <c r="AM23" s="11">
        <v>29.55</v>
      </c>
      <c r="AN23" s="10">
        <v>30.620833333333334</v>
      </c>
    </row>
    <row r="24" spans="1:40" x14ac:dyDescent="0.2">
      <c r="A24" s="1">
        <v>207</v>
      </c>
      <c r="B24" s="1" t="s">
        <v>68</v>
      </c>
      <c r="C24" s="1">
        <v>4</v>
      </c>
      <c r="D24" s="1">
        <v>1</v>
      </c>
      <c r="E24" s="1">
        <v>2</v>
      </c>
      <c r="F24" s="1">
        <v>1</v>
      </c>
      <c r="G24" s="1">
        <v>2</v>
      </c>
      <c r="H24" s="1">
        <v>1</v>
      </c>
      <c r="I24" s="4">
        <v>13.438000000000001</v>
      </c>
      <c r="J24" s="39">
        <v>55.1</v>
      </c>
      <c r="K24" s="39">
        <v>37.200000000000003</v>
      </c>
      <c r="L24" s="39">
        <v>48.2</v>
      </c>
      <c r="M24" s="39">
        <v>38.299999999999997</v>
      </c>
      <c r="N24" s="39">
        <v>48.7</v>
      </c>
      <c r="O24" s="39">
        <v>36</v>
      </c>
      <c r="P24" s="39">
        <v>54.2</v>
      </c>
      <c r="Q24" s="39">
        <v>33.299999999999997</v>
      </c>
      <c r="R24" s="39">
        <v>53.8</v>
      </c>
      <c r="S24" s="39">
        <v>35.6</v>
      </c>
      <c r="T24" s="39">
        <v>52.4</v>
      </c>
      <c r="U24" s="39">
        <v>40.1</v>
      </c>
      <c r="V24" s="5">
        <f t="shared" si="0"/>
        <v>44.408333333333331</v>
      </c>
      <c r="W24" s="4">
        <f t="shared" si="1"/>
        <v>2.4223848233348919</v>
      </c>
      <c r="X24" s="2">
        <f t="shared" si="2"/>
        <v>33.299999999999997</v>
      </c>
      <c r="Y24" s="3">
        <f t="shared" si="3"/>
        <v>36.900000000000006</v>
      </c>
      <c r="Z24" s="2">
        <f t="shared" si="4"/>
        <v>44.150000000000006</v>
      </c>
      <c r="AA24" s="3">
        <f t="shared" si="5"/>
        <v>52.75</v>
      </c>
      <c r="AB24" s="3">
        <f t="shared" si="6"/>
        <v>55.1</v>
      </c>
      <c r="AC24" s="3">
        <f t="shared" si="7"/>
        <v>5.5810017563332932E-2</v>
      </c>
      <c r="AD24" s="3">
        <f t="shared" si="8"/>
        <v>-1.9566559523971914</v>
      </c>
      <c r="AF24" s="13" t="s">
        <v>64</v>
      </c>
      <c r="AG24" s="12">
        <v>35.5</v>
      </c>
      <c r="AH24" s="11">
        <v>39.3125</v>
      </c>
      <c r="AI24" s="11">
        <v>41.65</v>
      </c>
      <c r="AJ24" s="11">
        <v>43.966666666666669</v>
      </c>
      <c r="AK24" s="12">
        <v>28</v>
      </c>
      <c r="AL24" s="11">
        <v>29.125</v>
      </c>
      <c r="AM24" s="11">
        <v>29.725000000000001</v>
      </c>
      <c r="AN24" s="10">
        <v>29.858333333333331</v>
      </c>
    </row>
    <row r="25" spans="1:40" x14ac:dyDescent="0.2">
      <c r="A25" s="1">
        <v>208</v>
      </c>
      <c r="B25" s="1" t="s">
        <v>70</v>
      </c>
      <c r="C25" s="1">
        <v>2</v>
      </c>
      <c r="D25" s="1">
        <v>1</v>
      </c>
      <c r="E25" s="1">
        <v>1</v>
      </c>
      <c r="F25" s="1">
        <v>1</v>
      </c>
      <c r="G25" s="1">
        <v>2</v>
      </c>
      <c r="H25" s="1">
        <v>1</v>
      </c>
      <c r="I25" s="4">
        <v>13.458</v>
      </c>
      <c r="J25" s="39">
        <v>56.4</v>
      </c>
      <c r="K25" s="39">
        <v>38.700000000000003</v>
      </c>
      <c r="L25" s="39">
        <v>55.2</v>
      </c>
      <c r="M25" s="39">
        <v>42</v>
      </c>
      <c r="N25" s="39">
        <v>50.2</v>
      </c>
      <c r="O25" s="39">
        <v>38.700000000000003</v>
      </c>
      <c r="P25" s="39">
        <v>50.1</v>
      </c>
      <c r="Q25" s="39">
        <v>40.200000000000003</v>
      </c>
      <c r="R25" s="39">
        <v>47.5</v>
      </c>
      <c r="S25" s="39">
        <v>39.1</v>
      </c>
      <c r="T25" s="39">
        <v>46</v>
      </c>
      <c r="U25" s="39">
        <v>56.2</v>
      </c>
      <c r="V25" s="5">
        <f t="shared" si="0"/>
        <v>46.69166666666667</v>
      </c>
      <c r="W25" s="4">
        <f t="shared" si="1"/>
        <v>2.0068616511530268</v>
      </c>
      <c r="X25" s="2">
        <f t="shared" si="2"/>
        <v>38.700000000000003</v>
      </c>
      <c r="Y25" s="3">
        <f t="shared" si="3"/>
        <v>39.925000000000004</v>
      </c>
      <c r="Z25" s="2">
        <f t="shared" si="4"/>
        <v>46.75</v>
      </c>
      <c r="AA25" s="3">
        <f t="shared" si="5"/>
        <v>51.45</v>
      </c>
      <c r="AB25" s="3">
        <f t="shared" si="6"/>
        <v>56.4</v>
      </c>
      <c r="AC25" s="3">
        <f t="shared" si="7"/>
        <v>0.20727595492847423</v>
      </c>
      <c r="AD25" s="3">
        <f t="shared" si="8"/>
        <v>-1.5828075680068241</v>
      </c>
      <c r="AF25" s="13" t="s">
        <v>63</v>
      </c>
      <c r="AG25" s="12">
        <v>37.666666666666671</v>
      </c>
      <c r="AH25" s="11">
        <v>44</v>
      </c>
      <c r="AI25" s="11">
        <v>47.933333333333337</v>
      </c>
      <c r="AJ25" s="11">
        <v>47.597916666666663</v>
      </c>
      <c r="AK25" s="12">
        <v>29.7</v>
      </c>
      <c r="AL25" s="11">
        <v>30.691666666666666</v>
      </c>
      <c r="AM25" s="11">
        <v>31.2</v>
      </c>
      <c r="AN25" s="10">
        <v>30.9375</v>
      </c>
    </row>
    <row r="26" spans="1:40" x14ac:dyDescent="0.2">
      <c r="A26" s="1">
        <v>301</v>
      </c>
      <c r="B26" s="1" t="s">
        <v>62</v>
      </c>
      <c r="C26" s="1">
        <v>10</v>
      </c>
      <c r="D26" s="1">
        <v>2</v>
      </c>
      <c r="E26" s="1">
        <v>2</v>
      </c>
      <c r="F26" s="1">
        <v>1</v>
      </c>
      <c r="G26" s="1">
        <v>3</v>
      </c>
      <c r="H26" s="1">
        <v>1</v>
      </c>
      <c r="I26" s="4">
        <v>13.613</v>
      </c>
      <c r="J26" s="39">
        <v>60.3</v>
      </c>
      <c r="K26" s="39">
        <v>48.3</v>
      </c>
      <c r="L26" s="39">
        <v>39.299999999999997</v>
      </c>
      <c r="M26" s="39">
        <v>58.3</v>
      </c>
      <c r="N26" s="39">
        <v>38.9</v>
      </c>
      <c r="O26" s="39">
        <v>56.5</v>
      </c>
      <c r="P26" s="39">
        <v>37.200000000000003</v>
      </c>
      <c r="Q26" s="39">
        <v>52.3</v>
      </c>
      <c r="R26" s="39">
        <v>38.6</v>
      </c>
      <c r="S26" s="39">
        <v>51.3</v>
      </c>
      <c r="T26" s="39">
        <v>38.5</v>
      </c>
      <c r="U26" s="39">
        <v>59.9</v>
      </c>
      <c r="V26" s="5">
        <f t="shared" si="0"/>
        <v>48.283333333333331</v>
      </c>
      <c r="W26" s="4">
        <f t="shared" si="1"/>
        <v>2.6876494555576929</v>
      </c>
      <c r="X26" s="2">
        <f t="shared" si="2"/>
        <v>37.200000000000003</v>
      </c>
      <c r="Y26" s="3">
        <f t="shared" si="3"/>
        <v>38.825000000000003</v>
      </c>
      <c r="Z26" s="2">
        <f t="shared" si="4"/>
        <v>49.8</v>
      </c>
      <c r="AA26" s="3">
        <f t="shared" si="5"/>
        <v>56.95</v>
      </c>
      <c r="AB26" s="3">
        <f t="shared" si="6"/>
        <v>60.3</v>
      </c>
      <c r="AC26" s="3">
        <f t="shared" si="7"/>
        <v>2.6745725674317964E-2</v>
      </c>
      <c r="AD26" s="3">
        <f t="shared" si="8"/>
        <v>-1.9080892619253307</v>
      </c>
      <c r="AF26" s="13" t="s">
        <v>62</v>
      </c>
      <c r="AG26" s="12">
        <v>35.15</v>
      </c>
      <c r="AH26" s="11">
        <v>39.393749999999997</v>
      </c>
      <c r="AI26" s="11">
        <v>47.45</v>
      </c>
      <c r="AJ26" s="11">
        <v>47.037500000000001</v>
      </c>
      <c r="AK26" s="12">
        <v>29.6</v>
      </c>
      <c r="AL26" s="11">
        <v>31.118749999999999</v>
      </c>
      <c r="AM26" s="11">
        <v>31.712499999999999</v>
      </c>
      <c r="AN26" s="10">
        <v>31.714583333333334</v>
      </c>
    </row>
    <row r="27" spans="1:40" x14ac:dyDescent="0.2">
      <c r="A27" s="1">
        <v>302</v>
      </c>
      <c r="B27" s="1" t="s">
        <v>68</v>
      </c>
      <c r="C27" s="1">
        <v>4</v>
      </c>
      <c r="D27" s="1">
        <v>1</v>
      </c>
      <c r="E27" s="1">
        <v>2</v>
      </c>
      <c r="F27" s="1">
        <v>1</v>
      </c>
      <c r="G27" s="1">
        <v>3</v>
      </c>
      <c r="H27" s="1">
        <v>1</v>
      </c>
      <c r="I27" s="4">
        <v>13.63</v>
      </c>
      <c r="J27" s="39">
        <v>61.4</v>
      </c>
      <c r="K27" s="39">
        <v>39.1</v>
      </c>
      <c r="L27" s="39">
        <v>58.9</v>
      </c>
      <c r="M27" s="39">
        <v>43.4</v>
      </c>
      <c r="N27" s="39">
        <v>44.6</v>
      </c>
      <c r="O27" s="39">
        <v>43.2</v>
      </c>
      <c r="P27" s="39">
        <v>39</v>
      </c>
      <c r="Q27" s="39">
        <v>38.700000000000003</v>
      </c>
      <c r="R27" s="39">
        <v>40.4</v>
      </c>
      <c r="S27" s="39">
        <v>46.7</v>
      </c>
      <c r="T27" s="39">
        <v>37.700000000000003</v>
      </c>
      <c r="U27" s="39">
        <v>42.4</v>
      </c>
      <c r="V27" s="5">
        <f t="shared" si="0"/>
        <v>44.625</v>
      </c>
      <c r="W27" s="4">
        <f t="shared" si="1"/>
        <v>2.2378332661913616</v>
      </c>
      <c r="X27" s="2">
        <f t="shared" si="2"/>
        <v>37.700000000000003</v>
      </c>
      <c r="Y27" s="3">
        <f t="shared" si="3"/>
        <v>39.075000000000003</v>
      </c>
      <c r="Z27" s="2">
        <f t="shared" si="4"/>
        <v>42.8</v>
      </c>
      <c r="AA27" s="3">
        <f t="shared" si="5"/>
        <v>45.125</v>
      </c>
      <c r="AB27" s="3">
        <f t="shared" si="6"/>
        <v>61.4</v>
      </c>
      <c r="AC27" s="3">
        <f t="shared" si="7"/>
        <v>1.5596820901829889</v>
      </c>
      <c r="AD27" s="3">
        <f t="shared" si="8"/>
        <v>1.4881717844078972</v>
      </c>
      <c r="AF27" s="9" t="s">
        <v>61</v>
      </c>
      <c r="AG27" s="8">
        <v>53.05</v>
      </c>
      <c r="AH27" s="7">
        <v>53.662500000000001</v>
      </c>
      <c r="AI27" s="7">
        <v>54.075000000000003</v>
      </c>
      <c r="AJ27" s="7">
        <v>54.15</v>
      </c>
      <c r="AK27" s="8"/>
      <c r="AL27" s="7"/>
      <c r="AM27" s="7"/>
      <c r="AN27" s="6"/>
    </row>
    <row r="28" spans="1:40" x14ac:dyDescent="0.2">
      <c r="A28" s="1">
        <v>303</v>
      </c>
      <c r="B28" s="1" t="s">
        <v>64</v>
      </c>
      <c r="C28" s="1">
        <v>8</v>
      </c>
      <c r="D28" s="1">
        <v>2</v>
      </c>
      <c r="E28" s="1">
        <v>1</v>
      </c>
      <c r="F28" s="1">
        <v>1</v>
      </c>
      <c r="G28" s="1">
        <v>3</v>
      </c>
      <c r="H28" s="1">
        <v>1</v>
      </c>
      <c r="I28" s="4">
        <v>13.65</v>
      </c>
      <c r="J28" s="39">
        <v>51.8</v>
      </c>
      <c r="K28" s="39">
        <v>33</v>
      </c>
      <c r="L28" s="39">
        <v>33.1</v>
      </c>
      <c r="M28" s="39">
        <v>34.700000000000003</v>
      </c>
      <c r="N28" s="39">
        <v>38.9</v>
      </c>
      <c r="O28" s="39">
        <v>33.1</v>
      </c>
      <c r="P28" s="39">
        <v>47.6</v>
      </c>
      <c r="Q28" s="39">
        <v>36.9</v>
      </c>
      <c r="R28" s="39">
        <v>50.3</v>
      </c>
      <c r="S28" s="39">
        <v>35.299999999999997</v>
      </c>
      <c r="T28" s="39">
        <v>51.1</v>
      </c>
      <c r="U28" s="39">
        <v>34.299999999999997</v>
      </c>
      <c r="V28" s="5">
        <f t="shared" si="0"/>
        <v>40.00833333333334</v>
      </c>
      <c r="W28" s="4">
        <f t="shared" si="1"/>
        <v>2.2428491868040186</v>
      </c>
      <c r="X28" s="2">
        <f t="shared" si="2"/>
        <v>33</v>
      </c>
      <c r="Y28" s="3">
        <f t="shared" si="3"/>
        <v>34</v>
      </c>
      <c r="Z28" s="2">
        <f t="shared" si="4"/>
        <v>36.099999999999994</v>
      </c>
      <c r="AA28" s="3">
        <f t="shared" si="5"/>
        <v>48.274999999999999</v>
      </c>
      <c r="AB28" s="3">
        <f t="shared" si="6"/>
        <v>51.8</v>
      </c>
      <c r="AC28" s="3">
        <f t="shared" si="7"/>
        <v>0.71100711769489156</v>
      </c>
      <c r="AD28" s="3">
        <f t="shared" si="8"/>
        <v>-1.5070802887022121</v>
      </c>
      <c r="AF28" s="59"/>
      <c r="AG28" s="58"/>
      <c r="AH28" s="58"/>
      <c r="AI28" s="58"/>
      <c r="AJ28" s="58"/>
      <c r="AK28" s="58"/>
      <c r="AL28" s="58"/>
    </row>
    <row r="29" spans="1:40" x14ac:dyDescent="0.2">
      <c r="A29" s="1">
        <v>304</v>
      </c>
      <c r="B29" s="1" t="s">
        <v>70</v>
      </c>
      <c r="C29" s="1">
        <v>2</v>
      </c>
      <c r="D29" s="1">
        <v>1</v>
      </c>
      <c r="E29" s="1">
        <v>1</v>
      </c>
      <c r="F29" s="1">
        <v>1</v>
      </c>
      <c r="G29" s="1">
        <v>3</v>
      </c>
      <c r="H29" s="1">
        <v>1</v>
      </c>
      <c r="I29" s="4">
        <v>13.667</v>
      </c>
      <c r="J29" s="39">
        <v>62.8</v>
      </c>
      <c r="K29" s="39">
        <v>54.8</v>
      </c>
      <c r="L29" s="39">
        <v>39.9</v>
      </c>
      <c r="M29" s="39">
        <v>50.3</v>
      </c>
      <c r="N29" s="39">
        <v>37.799999999999997</v>
      </c>
      <c r="O29" s="39">
        <v>42.5</v>
      </c>
      <c r="P29" s="39">
        <v>41.1</v>
      </c>
      <c r="Q29" s="39">
        <v>41.7</v>
      </c>
      <c r="R29" s="39">
        <v>37.200000000000003</v>
      </c>
      <c r="S29" s="39">
        <v>47.7</v>
      </c>
      <c r="T29" s="39">
        <v>35.5</v>
      </c>
      <c r="U29" s="39">
        <v>54.6</v>
      </c>
      <c r="V29" s="5">
        <f t="shared" si="0"/>
        <v>45.491666666666667</v>
      </c>
      <c r="W29" s="4">
        <f t="shared" si="1"/>
        <v>2.4599968690954852</v>
      </c>
      <c r="X29" s="2">
        <f t="shared" si="2"/>
        <v>35.5</v>
      </c>
      <c r="Y29" s="3">
        <f t="shared" si="3"/>
        <v>39.375</v>
      </c>
      <c r="Z29" s="2">
        <f t="shared" si="4"/>
        <v>42.1</v>
      </c>
      <c r="AA29" s="3">
        <f t="shared" si="5"/>
        <v>51.375</v>
      </c>
      <c r="AB29" s="3">
        <f t="shared" si="6"/>
        <v>62.8</v>
      </c>
      <c r="AC29" s="3">
        <f t="shared" si="7"/>
        <v>0.79431183676857997</v>
      </c>
      <c r="AD29" s="3">
        <f t="shared" si="8"/>
        <v>-0.31244022074861499</v>
      </c>
    </row>
    <row r="30" spans="1:40" x14ac:dyDescent="0.2">
      <c r="A30" s="1">
        <v>305</v>
      </c>
      <c r="B30" s="1" t="s">
        <v>67</v>
      </c>
      <c r="C30" s="1">
        <v>11</v>
      </c>
      <c r="D30" s="1">
        <v>2</v>
      </c>
      <c r="E30" s="1">
        <v>3</v>
      </c>
      <c r="F30" s="1">
        <v>2</v>
      </c>
      <c r="G30" s="1">
        <v>4</v>
      </c>
      <c r="H30" s="1">
        <v>1</v>
      </c>
      <c r="I30" s="4">
        <v>13.683</v>
      </c>
      <c r="J30" s="39">
        <v>38.700000000000003</v>
      </c>
      <c r="K30" s="39">
        <v>35.299999999999997</v>
      </c>
      <c r="L30" s="39">
        <v>32.4</v>
      </c>
      <c r="M30" s="39">
        <v>36.5</v>
      </c>
      <c r="N30" s="39">
        <v>31.2</v>
      </c>
      <c r="O30" s="39">
        <v>35.299999999999997</v>
      </c>
      <c r="P30" s="39">
        <v>31</v>
      </c>
      <c r="Q30" s="39">
        <v>34.799999999999997</v>
      </c>
      <c r="R30" s="39">
        <v>29.7</v>
      </c>
      <c r="S30" s="39">
        <v>32.1</v>
      </c>
      <c r="T30" s="39">
        <v>28.8</v>
      </c>
      <c r="U30" s="39">
        <v>35.6</v>
      </c>
      <c r="V30" s="5">
        <f t="shared" si="0"/>
        <v>33.450000000000003</v>
      </c>
      <c r="W30" s="4">
        <f t="shared" si="1"/>
        <v>0.86964813504536342</v>
      </c>
      <c r="X30" s="2">
        <f t="shared" si="2"/>
        <v>28.8</v>
      </c>
      <c r="Y30" s="3">
        <f t="shared" si="3"/>
        <v>31.15</v>
      </c>
      <c r="Z30" s="2">
        <f t="shared" si="4"/>
        <v>33.599999999999994</v>
      </c>
      <c r="AA30" s="3">
        <f t="shared" si="5"/>
        <v>35.375</v>
      </c>
      <c r="AB30" s="3">
        <f t="shared" si="6"/>
        <v>38.700000000000003</v>
      </c>
      <c r="AC30" s="3">
        <f t="shared" si="7"/>
        <v>6.0426380755437659E-2</v>
      </c>
      <c r="AD30" s="3">
        <f t="shared" si="8"/>
        <v>-0.92285794194315107</v>
      </c>
    </row>
    <row r="31" spans="1:40" x14ac:dyDescent="0.2">
      <c r="A31" s="1">
        <v>306</v>
      </c>
      <c r="B31" s="1" t="s">
        <v>68</v>
      </c>
      <c r="C31" s="1">
        <v>4</v>
      </c>
      <c r="D31" s="1">
        <v>1</v>
      </c>
      <c r="E31" s="1">
        <v>2</v>
      </c>
      <c r="F31" s="1">
        <v>1</v>
      </c>
      <c r="G31" s="1">
        <v>4</v>
      </c>
      <c r="H31" s="1">
        <v>1</v>
      </c>
      <c r="I31" s="4">
        <v>13.7</v>
      </c>
      <c r="J31" s="39">
        <v>61.1</v>
      </c>
      <c r="K31" s="39">
        <v>49.4</v>
      </c>
      <c r="L31" s="39">
        <v>37.299999999999997</v>
      </c>
      <c r="M31" s="39">
        <v>60.3</v>
      </c>
      <c r="N31" s="39">
        <v>46.1</v>
      </c>
      <c r="O31" s="39">
        <v>44.2</v>
      </c>
      <c r="P31" s="39">
        <v>37.299999999999997</v>
      </c>
      <c r="Q31" s="39">
        <v>51.3</v>
      </c>
      <c r="R31" s="39">
        <v>35.9</v>
      </c>
      <c r="S31" s="39">
        <v>49.7</v>
      </c>
      <c r="T31" s="39">
        <v>39.5</v>
      </c>
      <c r="U31" s="39">
        <v>47.5</v>
      </c>
      <c r="V31" s="5">
        <f t="shared" si="0"/>
        <v>46.633333333333333</v>
      </c>
      <c r="W31" s="4">
        <f t="shared" si="1"/>
        <v>2.434236030155053</v>
      </c>
      <c r="X31" s="2">
        <f t="shared" si="2"/>
        <v>35.9</v>
      </c>
      <c r="Y31" s="3">
        <f t="shared" si="3"/>
        <v>38.950000000000003</v>
      </c>
      <c r="Z31" s="2">
        <f t="shared" si="4"/>
        <v>46.8</v>
      </c>
      <c r="AA31" s="3">
        <f t="shared" si="5"/>
        <v>50.1</v>
      </c>
      <c r="AB31" s="3">
        <f t="shared" si="6"/>
        <v>61.1</v>
      </c>
      <c r="AC31" s="3">
        <f t="shared" si="7"/>
        <v>0.45347479349600367</v>
      </c>
      <c r="AD31" s="3">
        <f t="shared" si="8"/>
        <v>-0.59324072533324657</v>
      </c>
    </row>
    <row r="32" spans="1:40" x14ac:dyDescent="0.2">
      <c r="A32" s="1">
        <v>307</v>
      </c>
      <c r="B32" s="1" t="s">
        <v>63</v>
      </c>
      <c r="C32" s="1">
        <v>9</v>
      </c>
      <c r="D32" s="1">
        <v>2</v>
      </c>
      <c r="E32" s="1">
        <v>2</v>
      </c>
      <c r="F32" s="1">
        <v>2</v>
      </c>
      <c r="G32" s="1">
        <v>4</v>
      </c>
      <c r="H32" s="1">
        <v>1</v>
      </c>
      <c r="I32" s="4">
        <v>13.715999999999999</v>
      </c>
      <c r="J32" s="39">
        <v>58.9</v>
      </c>
      <c r="K32" s="39">
        <v>50.8</v>
      </c>
      <c r="L32" s="39">
        <v>42.2</v>
      </c>
      <c r="M32" s="39">
        <v>55.8</v>
      </c>
      <c r="N32" s="39">
        <v>44.6</v>
      </c>
      <c r="O32" s="39">
        <v>48.2</v>
      </c>
      <c r="P32" s="39">
        <v>46.3</v>
      </c>
      <c r="Q32" s="39">
        <v>47.5</v>
      </c>
      <c r="R32" s="39">
        <v>41.5</v>
      </c>
      <c r="S32" s="39">
        <v>53.3</v>
      </c>
      <c r="T32" s="39">
        <v>36.700000000000003</v>
      </c>
      <c r="U32" s="39">
        <v>51.8</v>
      </c>
      <c r="V32" s="5">
        <f t="shared" si="0"/>
        <v>48.133333333333333</v>
      </c>
      <c r="W32" s="4">
        <f t="shared" si="1"/>
        <v>1.8425251666935076</v>
      </c>
      <c r="X32" s="2">
        <f t="shared" si="2"/>
        <v>36.700000000000003</v>
      </c>
      <c r="Y32" s="3">
        <f t="shared" si="3"/>
        <v>44</v>
      </c>
      <c r="Z32" s="2">
        <f t="shared" si="4"/>
        <v>47.85</v>
      </c>
      <c r="AA32" s="3">
        <f t="shared" si="5"/>
        <v>52.174999999999997</v>
      </c>
      <c r="AB32" s="3">
        <f t="shared" si="6"/>
        <v>58.9</v>
      </c>
      <c r="AC32" s="3">
        <f t="shared" si="7"/>
        <v>-5.9140915657618261E-2</v>
      </c>
      <c r="AD32" s="3">
        <f t="shared" si="8"/>
        <v>-0.40004251831550119</v>
      </c>
    </row>
    <row r="33" spans="1:30" x14ac:dyDescent="0.2">
      <c r="A33" s="1">
        <v>308</v>
      </c>
      <c r="B33" s="1" t="s">
        <v>73</v>
      </c>
      <c r="C33" s="1">
        <v>5</v>
      </c>
      <c r="D33" s="1">
        <v>1</v>
      </c>
      <c r="E33" s="1">
        <v>3</v>
      </c>
      <c r="F33" s="1">
        <v>2</v>
      </c>
      <c r="G33" s="1">
        <v>4</v>
      </c>
      <c r="H33" s="1">
        <v>1</v>
      </c>
      <c r="I33" s="4">
        <v>13.734</v>
      </c>
      <c r="J33" s="39">
        <v>62</v>
      </c>
      <c r="K33" s="39">
        <v>56.2</v>
      </c>
      <c r="L33" s="39">
        <v>43.3</v>
      </c>
      <c r="M33" s="39">
        <v>53</v>
      </c>
      <c r="N33" s="39">
        <v>44.7</v>
      </c>
      <c r="O33" s="39">
        <v>53.8</v>
      </c>
      <c r="P33" s="39">
        <v>43.5</v>
      </c>
      <c r="Q33" s="39">
        <v>50.1</v>
      </c>
      <c r="R33" s="39">
        <v>41.1</v>
      </c>
      <c r="S33" s="39">
        <v>43.1</v>
      </c>
      <c r="T33" s="39">
        <v>43.4</v>
      </c>
      <c r="U33" s="39">
        <v>41.5</v>
      </c>
      <c r="V33" s="5">
        <f t="shared" si="0"/>
        <v>47.975000000000001</v>
      </c>
      <c r="W33" s="4">
        <f t="shared" si="1"/>
        <v>1.9743478017877802</v>
      </c>
      <c r="X33" s="2">
        <f t="shared" si="2"/>
        <v>41.1</v>
      </c>
      <c r="Y33" s="3">
        <f t="shared" si="3"/>
        <v>43.25</v>
      </c>
      <c r="Z33" s="2">
        <f t="shared" si="4"/>
        <v>44.1</v>
      </c>
      <c r="AA33" s="3">
        <f t="shared" si="5"/>
        <v>53.2</v>
      </c>
      <c r="AB33" s="3">
        <f t="shared" si="6"/>
        <v>62</v>
      </c>
      <c r="AC33" s="3">
        <f t="shared" si="7"/>
        <v>0.89146801093833317</v>
      </c>
      <c r="AD33" s="3">
        <f t="shared" si="8"/>
        <v>-0.35577677175216138</v>
      </c>
    </row>
    <row r="34" spans="1:30" x14ac:dyDescent="0.2">
      <c r="A34" s="1">
        <v>401</v>
      </c>
      <c r="B34" s="1" t="s">
        <v>65</v>
      </c>
      <c r="C34" s="1">
        <v>7</v>
      </c>
      <c r="D34" s="1">
        <v>2</v>
      </c>
      <c r="E34" s="1">
        <v>1</v>
      </c>
      <c r="F34" s="1">
        <v>2</v>
      </c>
      <c r="G34" s="1">
        <v>3</v>
      </c>
      <c r="H34" s="1">
        <v>1</v>
      </c>
      <c r="I34" s="1">
        <v>13.912000000000001</v>
      </c>
      <c r="J34" s="39">
        <v>61.3</v>
      </c>
      <c r="K34" s="39">
        <v>60.2</v>
      </c>
      <c r="L34" s="39">
        <v>43.5</v>
      </c>
      <c r="M34" s="39">
        <v>58.1</v>
      </c>
      <c r="N34" s="39">
        <v>49</v>
      </c>
      <c r="O34" s="39">
        <v>44.1</v>
      </c>
      <c r="P34" s="39">
        <v>48.3</v>
      </c>
      <c r="Q34" s="39">
        <v>39.4</v>
      </c>
      <c r="R34" s="39">
        <v>47.5</v>
      </c>
      <c r="S34" s="39">
        <v>43.3</v>
      </c>
      <c r="T34" s="39">
        <v>42.2</v>
      </c>
      <c r="U34" s="39">
        <v>52.7</v>
      </c>
      <c r="V34" s="5">
        <f t="shared" si="0"/>
        <v>49.133333333333347</v>
      </c>
      <c r="W34" s="4">
        <f t="shared" si="1"/>
        <v>2.1336174053290677</v>
      </c>
      <c r="X34" s="2"/>
      <c r="Y34" s="3"/>
      <c r="Z34" s="2"/>
      <c r="AA34" s="3"/>
      <c r="AB34" s="3"/>
      <c r="AC34" s="3"/>
      <c r="AD34" s="3"/>
    </row>
    <row r="35" spans="1:30" x14ac:dyDescent="0.2">
      <c r="A35" s="1">
        <v>402</v>
      </c>
      <c r="B35" s="1" t="s">
        <v>63</v>
      </c>
      <c r="C35" s="1">
        <v>9</v>
      </c>
      <c r="D35" s="1">
        <v>2</v>
      </c>
      <c r="E35" s="1">
        <v>2</v>
      </c>
      <c r="F35" s="1">
        <v>2</v>
      </c>
      <c r="G35" s="1">
        <v>3</v>
      </c>
      <c r="H35" s="1">
        <v>1</v>
      </c>
      <c r="I35" s="1">
        <v>13.894</v>
      </c>
      <c r="J35" s="39">
        <v>57.7</v>
      </c>
      <c r="K35" s="39">
        <v>58.9</v>
      </c>
      <c r="L35" s="39">
        <v>33.1</v>
      </c>
      <c r="M35" s="39">
        <v>48.8</v>
      </c>
      <c r="N35" s="39">
        <v>39.200000000000003</v>
      </c>
      <c r="O35" s="39">
        <v>37.9</v>
      </c>
      <c r="P35" s="39">
        <v>48.5</v>
      </c>
      <c r="Q35" s="39">
        <v>40.700000000000003</v>
      </c>
      <c r="R35" s="39">
        <v>38.1</v>
      </c>
      <c r="S35" s="39">
        <v>45.3</v>
      </c>
      <c r="T35" s="39">
        <v>37.1</v>
      </c>
      <c r="U35" s="39">
        <v>42.8</v>
      </c>
      <c r="V35" s="5">
        <f t="shared" si="0"/>
        <v>44.008333333333333</v>
      </c>
      <c r="W35" s="4">
        <f t="shared" si="1"/>
        <v>2.3492248345427251</v>
      </c>
      <c r="X35" s="2"/>
      <c r="Y35" s="3"/>
      <c r="Z35" s="2"/>
      <c r="AA35" s="3"/>
      <c r="AB35" s="3"/>
      <c r="AC35" s="3"/>
      <c r="AD35" s="3"/>
    </row>
    <row r="36" spans="1:30" x14ac:dyDescent="0.2">
      <c r="A36" s="1">
        <v>403</v>
      </c>
      <c r="B36" s="1" t="s">
        <v>72</v>
      </c>
      <c r="C36" s="1">
        <v>6</v>
      </c>
      <c r="D36" s="1">
        <v>1</v>
      </c>
      <c r="E36" s="1">
        <v>3</v>
      </c>
      <c r="F36" s="1">
        <v>1</v>
      </c>
      <c r="G36" s="1">
        <v>3</v>
      </c>
      <c r="H36" s="1">
        <v>1</v>
      </c>
      <c r="I36" s="4">
        <v>13.872</v>
      </c>
      <c r="J36" s="39">
        <v>47.9</v>
      </c>
      <c r="K36" s="39">
        <v>54.5</v>
      </c>
      <c r="L36" s="39">
        <v>37.200000000000003</v>
      </c>
      <c r="M36" s="39">
        <v>43</v>
      </c>
      <c r="N36" s="39">
        <v>46.7</v>
      </c>
      <c r="O36" s="39">
        <v>43.6</v>
      </c>
      <c r="P36" s="39">
        <v>38</v>
      </c>
      <c r="Q36" s="39">
        <v>46.7</v>
      </c>
      <c r="R36" s="39">
        <v>49.8</v>
      </c>
      <c r="S36" s="39">
        <v>41.7</v>
      </c>
      <c r="T36" s="39">
        <v>43.7</v>
      </c>
      <c r="U36" s="39">
        <v>39.799999999999997</v>
      </c>
      <c r="V36" s="5">
        <f t="shared" si="0"/>
        <v>44.383333333333333</v>
      </c>
      <c r="W36" s="4">
        <f t="shared" si="1"/>
        <v>1.4521057506638695</v>
      </c>
      <c r="X36" s="2">
        <f t="shared" ref="X36:X73" si="9">MIN(J36:U36)</f>
        <v>37.200000000000003</v>
      </c>
      <c r="Y36" s="3">
        <f t="shared" ref="Y36:Y73" si="10">QUARTILE(J36:U36,1)</f>
        <v>41.225000000000001</v>
      </c>
      <c r="Z36" s="2">
        <f t="shared" ref="Z36:Z73" si="11">MEDIAN(J36:U36)</f>
        <v>43.650000000000006</v>
      </c>
      <c r="AA36" s="3">
        <f t="shared" ref="AA36:AA73" si="12">QUARTILE(J36:U36,3)</f>
        <v>47</v>
      </c>
      <c r="AB36" s="3">
        <f t="shared" ref="AB36:AB73" si="13">MAX(J36:U36)</f>
        <v>54.5</v>
      </c>
      <c r="AC36" s="3">
        <f t="shared" ref="AC36:AC73" si="14">SKEW(J36:U36)</f>
        <v>0.43958055437997812</v>
      </c>
      <c r="AD36" s="3">
        <f t="shared" ref="AD36:AD73" si="15">KURT(J36:U36)</f>
        <v>-5.3078754748447921E-3</v>
      </c>
    </row>
    <row r="37" spans="1:30" x14ac:dyDescent="0.2">
      <c r="A37" s="1">
        <v>404</v>
      </c>
      <c r="B37" s="1" t="s">
        <v>69</v>
      </c>
      <c r="C37" s="1">
        <v>3</v>
      </c>
      <c r="D37" s="1">
        <v>1</v>
      </c>
      <c r="E37" s="1">
        <v>2</v>
      </c>
      <c r="F37" s="1">
        <v>2</v>
      </c>
      <c r="G37" s="1">
        <v>3</v>
      </c>
      <c r="H37" s="1">
        <v>1</v>
      </c>
      <c r="I37" s="4">
        <v>13.853999999999999</v>
      </c>
      <c r="J37" s="39">
        <v>61.4</v>
      </c>
      <c r="K37" s="39">
        <v>49.7</v>
      </c>
      <c r="L37" s="39">
        <v>36.200000000000003</v>
      </c>
      <c r="M37" s="39">
        <v>57.7</v>
      </c>
      <c r="N37" s="39">
        <v>36.799999999999997</v>
      </c>
      <c r="O37" s="39">
        <v>43</v>
      </c>
      <c r="P37" s="39">
        <v>35.1</v>
      </c>
      <c r="Q37" s="39">
        <v>56.6</v>
      </c>
      <c r="R37" s="39">
        <v>35</v>
      </c>
      <c r="S37" s="39">
        <v>57.2</v>
      </c>
      <c r="T37" s="39">
        <v>36.700000000000003</v>
      </c>
      <c r="U37" s="39">
        <v>58.6</v>
      </c>
      <c r="V37" s="5">
        <f t="shared" si="0"/>
        <v>47</v>
      </c>
      <c r="W37" s="4">
        <f t="shared" si="1"/>
        <v>3.1240513711680484</v>
      </c>
      <c r="X37" s="2">
        <f t="shared" si="9"/>
        <v>35</v>
      </c>
      <c r="Y37" s="3">
        <f t="shared" si="10"/>
        <v>36.575000000000003</v>
      </c>
      <c r="Z37" s="2">
        <f t="shared" si="11"/>
        <v>46.35</v>
      </c>
      <c r="AA37" s="3">
        <f t="shared" si="12"/>
        <v>57.325000000000003</v>
      </c>
      <c r="AB37" s="3">
        <f t="shared" si="13"/>
        <v>61.4</v>
      </c>
      <c r="AC37" s="3">
        <f t="shared" si="14"/>
        <v>7.288099944423615E-2</v>
      </c>
      <c r="AD37" s="3">
        <f t="shared" si="15"/>
        <v>-2.0767316802965445</v>
      </c>
    </row>
    <row r="38" spans="1:30" x14ac:dyDescent="0.2">
      <c r="A38" s="1">
        <v>405</v>
      </c>
      <c r="B38" s="1" t="s">
        <v>72</v>
      </c>
      <c r="C38" s="1">
        <v>6</v>
      </c>
      <c r="D38" s="1">
        <v>1</v>
      </c>
      <c r="E38" s="1">
        <v>3</v>
      </c>
      <c r="F38" s="1">
        <v>1</v>
      </c>
      <c r="G38" s="1">
        <v>4</v>
      </c>
      <c r="H38" s="1">
        <v>1</v>
      </c>
      <c r="I38" s="4">
        <v>13.829000000000001</v>
      </c>
      <c r="J38" s="39">
        <v>59.6</v>
      </c>
      <c r="K38" s="39">
        <v>59.4</v>
      </c>
      <c r="L38" s="39">
        <v>40</v>
      </c>
      <c r="M38" s="39">
        <v>52.7</v>
      </c>
      <c r="N38" s="39">
        <v>39.799999999999997</v>
      </c>
      <c r="O38" s="39">
        <v>55.5</v>
      </c>
      <c r="P38" s="39">
        <v>36.299999999999997</v>
      </c>
      <c r="Q38" s="39">
        <v>56</v>
      </c>
      <c r="R38" s="39">
        <v>36.4</v>
      </c>
      <c r="S38" s="39">
        <v>44.6</v>
      </c>
      <c r="T38" s="39">
        <v>40.1</v>
      </c>
      <c r="U38" s="39">
        <v>56.2</v>
      </c>
      <c r="V38" s="5">
        <f t="shared" si="0"/>
        <v>48.050000000000004</v>
      </c>
      <c r="W38" s="4">
        <f t="shared" si="1"/>
        <v>2.6837473800639282</v>
      </c>
      <c r="X38" s="2">
        <f t="shared" si="9"/>
        <v>36.299999999999997</v>
      </c>
      <c r="Y38" s="3">
        <f t="shared" si="10"/>
        <v>39.950000000000003</v>
      </c>
      <c r="Z38" s="2">
        <f t="shared" si="11"/>
        <v>48.650000000000006</v>
      </c>
      <c r="AA38" s="3">
        <f t="shared" si="12"/>
        <v>56.05</v>
      </c>
      <c r="AB38" s="3">
        <f t="shared" si="13"/>
        <v>59.6</v>
      </c>
      <c r="AC38" s="3">
        <f t="shared" si="14"/>
        <v>-3.6565242660342986E-2</v>
      </c>
      <c r="AD38" s="3">
        <f t="shared" si="15"/>
        <v>-1.9915123403733794</v>
      </c>
    </row>
    <row r="39" spans="1:30" x14ac:dyDescent="0.2">
      <c r="A39" s="1">
        <v>406</v>
      </c>
      <c r="B39" s="1" t="s">
        <v>69</v>
      </c>
      <c r="C39" s="1">
        <v>3</v>
      </c>
      <c r="D39" s="1">
        <v>1</v>
      </c>
      <c r="E39" s="1">
        <v>2</v>
      </c>
      <c r="F39" s="1">
        <v>2</v>
      </c>
      <c r="G39" s="1">
        <v>4</v>
      </c>
      <c r="H39" s="1">
        <v>1</v>
      </c>
      <c r="I39" s="4">
        <v>13.811</v>
      </c>
      <c r="J39" s="39">
        <v>56.9</v>
      </c>
      <c r="K39" s="39">
        <v>59.6</v>
      </c>
      <c r="L39" s="39">
        <v>39.9</v>
      </c>
      <c r="M39" s="39">
        <v>55.9</v>
      </c>
      <c r="N39" s="39">
        <v>38.4</v>
      </c>
      <c r="O39" s="39">
        <v>47.7</v>
      </c>
      <c r="P39" s="39">
        <v>44</v>
      </c>
      <c r="Q39" s="39">
        <v>49.2</v>
      </c>
      <c r="R39" s="39">
        <v>45.7</v>
      </c>
      <c r="S39" s="39">
        <v>48.4</v>
      </c>
      <c r="T39" s="39">
        <v>44.5</v>
      </c>
      <c r="U39" s="39">
        <v>41.3</v>
      </c>
      <c r="V39" s="5">
        <f t="shared" si="0"/>
        <v>47.625</v>
      </c>
      <c r="W39" s="4">
        <f t="shared" si="1"/>
        <v>1.970199382311504</v>
      </c>
      <c r="X39" s="2">
        <f t="shared" si="9"/>
        <v>38.4</v>
      </c>
      <c r="Y39" s="3">
        <f t="shared" si="10"/>
        <v>43.325000000000003</v>
      </c>
      <c r="Z39" s="2">
        <f t="shared" si="11"/>
        <v>46.7</v>
      </c>
      <c r="AA39" s="3">
        <f t="shared" si="12"/>
        <v>50.875</v>
      </c>
      <c r="AB39" s="3">
        <f t="shared" si="13"/>
        <v>59.6</v>
      </c>
      <c r="AC39" s="3">
        <f t="shared" si="14"/>
        <v>0.51532810994715705</v>
      </c>
      <c r="AD39" s="3">
        <f t="shared" si="15"/>
        <v>-0.74014544048678044</v>
      </c>
    </row>
    <row r="40" spans="1:30" x14ac:dyDescent="0.2">
      <c r="A40" s="1">
        <v>407</v>
      </c>
      <c r="B40" s="1" t="s">
        <v>65</v>
      </c>
      <c r="C40" s="1">
        <v>7</v>
      </c>
      <c r="D40" s="1">
        <v>2</v>
      </c>
      <c r="E40" s="1">
        <v>1</v>
      </c>
      <c r="F40" s="1">
        <v>2</v>
      </c>
      <c r="G40" s="1">
        <v>4</v>
      </c>
      <c r="H40" s="1">
        <v>1</v>
      </c>
      <c r="I40" s="4">
        <v>13.789</v>
      </c>
      <c r="J40" s="39">
        <v>52.5</v>
      </c>
      <c r="K40" s="39">
        <v>51.2</v>
      </c>
      <c r="L40" s="39">
        <v>32.9</v>
      </c>
      <c r="M40" s="39">
        <v>48.2</v>
      </c>
      <c r="N40" s="39">
        <v>33.9</v>
      </c>
      <c r="O40" s="39">
        <v>42.7</v>
      </c>
      <c r="P40" s="39">
        <v>30.2</v>
      </c>
      <c r="Q40" s="39">
        <v>51.3</v>
      </c>
      <c r="R40" s="39">
        <v>37.200000000000003</v>
      </c>
      <c r="S40" s="39">
        <v>56.5</v>
      </c>
      <c r="T40" s="39">
        <v>36.200000000000003</v>
      </c>
      <c r="U40" s="39">
        <v>48.8</v>
      </c>
      <c r="V40" s="5">
        <f t="shared" si="0"/>
        <v>43.466666666666669</v>
      </c>
      <c r="W40" s="4">
        <f t="shared" si="1"/>
        <v>2.6043766582001462</v>
      </c>
      <c r="X40" s="2">
        <f t="shared" si="9"/>
        <v>30.2</v>
      </c>
      <c r="Y40" s="3">
        <f t="shared" si="10"/>
        <v>35.625</v>
      </c>
      <c r="Z40" s="2">
        <f t="shared" si="11"/>
        <v>45.45</v>
      </c>
      <c r="AA40" s="3">
        <f t="shared" si="12"/>
        <v>51.225000000000001</v>
      </c>
      <c r="AB40" s="3">
        <f t="shared" si="13"/>
        <v>56.5</v>
      </c>
      <c r="AC40" s="3">
        <f t="shared" si="14"/>
        <v>-0.12904719748259716</v>
      </c>
      <c r="AD40" s="3">
        <f t="shared" si="15"/>
        <v>-1.6472255545750163</v>
      </c>
    </row>
    <row r="41" spans="1:30" x14ac:dyDescent="0.2">
      <c r="A41" s="1">
        <v>408</v>
      </c>
      <c r="B41" s="1" t="s">
        <v>62</v>
      </c>
      <c r="C41" s="1">
        <v>10</v>
      </c>
      <c r="D41" s="1">
        <v>2</v>
      </c>
      <c r="E41" s="1">
        <v>2</v>
      </c>
      <c r="F41" s="1">
        <v>1</v>
      </c>
      <c r="G41" s="1">
        <v>4</v>
      </c>
      <c r="H41" s="1">
        <v>1</v>
      </c>
      <c r="I41" s="4">
        <v>13.766999999999999</v>
      </c>
      <c r="J41" s="39">
        <v>60.4</v>
      </c>
      <c r="K41" s="39">
        <v>61.6</v>
      </c>
      <c r="L41" s="39">
        <v>36.1</v>
      </c>
      <c r="M41" s="39">
        <v>60.8</v>
      </c>
      <c r="N41" s="39">
        <v>38.5</v>
      </c>
      <c r="O41" s="39">
        <v>46.2</v>
      </c>
      <c r="P41" s="39">
        <v>50.4</v>
      </c>
      <c r="Q41" s="39">
        <v>41.9</v>
      </c>
      <c r="R41" s="39">
        <v>40.6</v>
      </c>
      <c r="S41" s="39">
        <v>46.3</v>
      </c>
      <c r="T41" s="39">
        <v>53</v>
      </c>
      <c r="U41" s="39">
        <v>43.5</v>
      </c>
      <c r="V41" s="5">
        <f t="shared" si="0"/>
        <v>48.274999999999999</v>
      </c>
      <c r="W41" s="4">
        <f t="shared" si="1"/>
        <v>2.5858333455404909</v>
      </c>
      <c r="X41" s="2">
        <f t="shared" si="9"/>
        <v>36.1</v>
      </c>
      <c r="Y41" s="3">
        <f t="shared" si="10"/>
        <v>41.575000000000003</v>
      </c>
      <c r="Z41" s="2">
        <f t="shared" si="11"/>
        <v>46.25</v>
      </c>
      <c r="AA41" s="3">
        <f t="shared" si="12"/>
        <v>54.85</v>
      </c>
      <c r="AB41" s="3">
        <f t="shared" si="13"/>
        <v>61.6</v>
      </c>
      <c r="AC41" s="3">
        <f t="shared" si="14"/>
        <v>0.40267799017896372</v>
      </c>
      <c r="AD41" s="3">
        <f t="shared" si="15"/>
        <v>-1.2175744719476218</v>
      </c>
    </row>
    <row r="42" spans="1:30" x14ac:dyDescent="0.2">
      <c r="A42" s="50">
        <v>901</v>
      </c>
      <c r="B42" s="57" t="s">
        <v>61</v>
      </c>
      <c r="C42" s="50">
        <v>32</v>
      </c>
      <c r="D42" s="50">
        <v>9</v>
      </c>
      <c r="E42" s="50">
        <v>0</v>
      </c>
      <c r="F42" s="50">
        <v>1</v>
      </c>
      <c r="G42" s="50">
        <v>1</v>
      </c>
      <c r="H42" s="50">
        <v>1</v>
      </c>
      <c r="I42" s="48">
        <v>13.593999999999999</v>
      </c>
      <c r="J42" s="47">
        <v>51.8</v>
      </c>
      <c r="K42" s="47">
        <v>51.9</v>
      </c>
      <c r="L42" s="47">
        <v>52.4</v>
      </c>
      <c r="M42" s="47">
        <v>51.9</v>
      </c>
      <c r="N42" s="47">
        <v>52.2</v>
      </c>
      <c r="O42" s="47">
        <v>51.5</v>
      </c>
      <c r="P42" s="47">
        <v>52.4</v>
      </c>
      <c r="Q42" s="47">
        <v>52.8</v>
      </c>
      <c r="R42" s="47">
        <v>51.6</v>
      </c>
      <c r="S42" s="47">
        <v>52.8</v>
      </c>
      <c r="T42" s="47">
        <v>52.4</v>
      </c>
      <c r="U42" s="47">
        <v>51.9</v>
      </c>
      <c r="V42" s="49">
        <f t="shared" ref="V42:V73" si="16">AVERAGE(J42:U42)</f>
        <v>52.133333333333326</v>
      </c>
      <c r="W42" s="48">
        <f t="shared" ref="W42:W73" si="17">STDEV(J42:U42)/SQRT(COUNT(J42:U42))</f>
        <v>0.12512619892159116</v>
      </c>
      <c r="X42" s="47">
        <f t="shared" si="9"/>
        <v>51.5</v>
      </c>
      <c r="Y42" s="46">
        <f t="shared" si="10"/>
        <v>51.875</v>
      </c>
      <c r="Z42" s="47">
        <f t="shared" si="11"/>
        <v>52.05</v>
      </c>
      <c r="AA42" s="46">
        <f t="shared" si="12"/>
        <v>52.4</v>
      </c>
      <c r="AB42" s="46">
        <f t="shared" si="13"/>
        <v>52.8</v>
      </c>
      <c r="AC42" s="46">
        <f t="shared" si="14"/>
        <v>0.22624188728268996</v>
      </c>
      <c r="AD42" s="46">
        <f t="shared" si="15"/>
        <v>-1.0277044745057111</v>
      </c>
    </row>
    <row r="43" spans="1:30" x14ac:dyDescent="0.2">
      <c r="A43" s="1">
        <v>902</v>
      </c>
      <c r="B43" s="1" t="s">
        <v>76</v>
      </c>
      <c r="C43" s="1">
        <v>22</v>
      </c>
      <c r="D43" s="1">
        <v>4</v>
      </c>
      <c r="E43" s="1">
        <v>2</v>
      </c>
      <c r="F43" s="1">
        <v>2</v>
      </c>
      <c r="G43" s="1">
        <v>1</v>
      </c>
      <c r="H43" s="1">
        <v>1</v>
      </c>
      <c r="I43" s="4">
        <v>13.576000000000001</v>
      </c>
      <c r="J43" s="39">
        <v>61.9</v>
      </c>
      <c r="K43" s="39">
        <v>58.3</v>
      </c>
      <c r="L43" s="39">
        <v>32.700000000000003</v>
      </c>
      <c r="M43" s="39">
        <v>56.2</v>
      </c>
      <c r="N43" s="39">
        <v>35.9</v>
      </c>
      <c r="O43" s="39">
        <v>52.8</v>
      </c>
      <c r="P43" s="39">
        <v>43.8</v>
      </c>
      <c r="Q43" s="39">
        <v>45.3</v>
      </c>
      <c r="R43" s="39">
        <v>45.9</v>
      </c>
      <c r="S43" s="39">
        <v>45.6</v>
      </c>
      <c r="T43" s="39">
        <v>38.6</v>
      </c>
      <c r="U43" s="39">
        <v>48.7</v>
      </c>
      <c r="V43" s="5">
        <f t="shared" si="16"/>
        <v>47.141666666666673</v>
      </c>
      <c r="W43" s="4">
        <f t="shared" si="17"/>
        <v>2.5895904184549168</v>
      </c>
      <c r="X43" s="2">
        <f t="shared" si="9"/>
        <v>32.700000000000003</v>
      </c>
      <c r="Y43" s="3">
        <f t="shared" si="10"/>
        <v>42.5</v>
      </c>
      <c r="Z43" s="2">
        <f t="shared" si="11"/>
        <v>45.75</v>
      </c>
      <c r="AA43" s="3">
        <f t="shared" si="12"/>
        <v>53.65</v>
      </c>
      <c r="AB43" s="3">
        <f t="shared" si="13"/>
        <v>61.9</v>
      </c>
      <c r="AC43" s="3">
        <f t="shared" si="14"/>
        <v>6.4531711115130022E-2</v>
      </c>
      <c r="AD43" s="3">
        <f t="shared" si="15"/>
        <v>-0.73268860208146958</v>
      </c>
    </row>
    <row r="44" spans="1:30" x14ac:dyDescent="0.2">
      <c r="A44" s="50">
        <v>903</v>
      </c>
      <c r="B44" s="57" t="s">
        <v>74</v>
      </c>
      <c r="C44" s="50">
        <v>31</v>
      </c>
      <c r="D44" s="50">
        <v>8</v>
      </c>
      <c r="E44" s="50">
        <v>0</v>
      </c>
      <c r="F44" s="50">
        <v>1</v>
      </c>
      <c r="G44" s="50">
        <v>1</v>
      </c>
      <c r="H44" s="50">
        <v>1</v>
      </c>
      <c r="I44" s="48">
        <v>13.567</v>
      </c>
      <c r="J44" s="47">
        <v>64.8</v>
      </c>
      <c r="K44" s="47">
        <v>68.7</v>
      </c>
      <c r="L44" s="47">
        <v>66.5</v>
      </c>
      <c r="M44" s="47">
        <v>68.7</v>
      </c>
      <c r="N44" s="47">
        <v>64.7</v>
      </c>
      <c r="O44" s="47">
        <v>68.400000000000006</v>
      </c>
      <c r="P44" s="47">
        <v>66.8</v>
      </c>
      <c r="Q44" s="47">
        <v>69.8</v>
      </c>
      <c r="R44" s="47">
        <v>65</v>
      </c>
      <c r="S44" s="47">
        <v>68.2</v>
      </c>
      <c r="T44" s="47">
        <v>67.099999999999994</v>
      </c>
      <c r="U44" s="47">
        <v>69.5</v>
      </c>
      <c r="V44" s="49">
        <f t="shared" si="16"/>
        <v>67.350000000000009</v>
      </c>
      <c r="W44" s="48">
        <f t="shared" si="17"/>
        <v>0.52389855599123114</v>
      </c>
      <c r="X44" s="47">
        <f t="shared" si="9"/>
        <v>64.7</v>
      </c>
      <c r="Y44" s="46">
        <f t="shared" si="10"/>
        <v>66.125</v>
      </c>
      <c r="Z44" s="47">
        <f t="shared" si="11"/>
        <v>67.650000000000006</v>
      </c>
      <c r="AA44" s="46">
        <f t="shared" si="12"/>
        <v>68.7</v>
      </c>
      <c r="AB44" s="46">
        <f t="shared" si="13"/>
        <v>69.8</v>
      </c>
      <c r="AC44" s="46">
        <f t="shared" si="14"/>
        <v>-0.32172005139758009</v>
      </c>
      <c r="AD44" s="46">
        <f t="shared" si="15"/>
        <v>-1.2953561861231098</v>
      </c>
    </row>
    <row r="45" spans="1:30" x14ac:dyDescent="0.2">
      <c r="A45" s="1">
        <v>904</v>
      </c>
      <c r="B45" s="1" t="s">
        <v>75</v>
      </c>
      <c r="C45" s="1">
        <v>21</v>
      </c>
      <c r="D45" s="1">
        <v>3</v>
      </c>
      <c r="E45" s="1">
        <v>2</v>
      </c>
      <c r="F45" s="1">
        <v>2</v>
      </c>
      <c r="G45" s="1">
        <v>1</v>
      </c>
      <c r="H45" s="1">
        <v>1</v>
      </c>
      <c r="I45" s="4">
        <v>13.544</v>
      </c>
      <c r="J45" s="39">
        <v>71.8</v>
      </c>
      <c r="K45" s="39">
        <v>69.8</v>
      </c>
      <c r="L45" s="39">
        <v>49.4</v>
      </c>
      <c r="M45" s="39">
        <v>60.6</v>
      </c>
      <c r="N45" s="39">
        <v>51.8</v>
      </c>
      <c r="O45" s="39">
        <v>61.8</v>
      </c>
      <c r="P45" s="39">
        <v>56.9</v>
      </c>
      <c r="Q45" s="39">
        <v>65.599999999999994</v>
      </c>
      <c r="R45" s="39">
        <v>61.7</v>
      </c>
      <c r="S45" s="39">
        <v>61.5</v>
      </c>
      <c r="T45" s="39">
        <v>53.5</v>
      </c>
      <c r="U45" s="39">
        <v>63.8</v>
      </c>
      <c r="V45" s="5">
        <f t="shared" si="16"/>
        <v>60.68333333333333</v>
      </c>
      <c r="W45" s="4">
        <f t="shared" si="17"/>
        <v>1.9765225559404747</v>
      </c>
      <c r="X45" s="2">
        <f t="shared" si="9"/>
        <v>49.4</v>
      </c>
      <c r="Y45" s="3">
        <f t="shared" si="10"/>
        <v>56.05</v>
      </c>
      <c r="Z45" s="2">
        <f t="shared" si="11"/>
        <v>61.6</v>
      </c>
      <c r="AA45" s="3">
        <f t="shared" si="12"/>
        <v>64.25</v>
      </c>
      <c r="AB45" s="3">
        <f t="shared" si="13"/>
        <v>71.8</v>
      </c>
      <c r="AC45" s="3">
        <f t="shared" si="14"/>
        <v>-9.472760504583376E-2</v>
      </c>
      <c r="AD45" s="3">
        <f t="shared" si="15"/>
        <v>-0.57987431453928062</v>
      </c>
    </row>
    <row r="46" spans="1:30" x14ac:dyDescent="0.2">
      <c r="A46" s="50">
        <v>905</v>
      </c>
      <c r="B46" s="57" t="s">
        <v>61</v>
      </c>
      <c r="C46" s="50">
        <v>32</v>
      </c>
      <c r="D46" s="50">
        <v>9</v>
      </c>
      <c r="E46" s="50">
        <v>0</v>
      </c>
      <c r="F46" s="50">
        <v>1</v>
      </c>
      <c r="G46" s="50">
        <v>2</v>
      </c>
      <c r="H46" s="50">
        <v>1</v>
      </c>
      <c r="I46" s="48">
        <v>13.535</v>
      </c>
      <c r="J46" s="47">
        <v>56.9</v>
      </c>
      <c r="K46" s="47">
        <v>57.4</v>
      </c>
      <c r="L46" s="47">
        <v>57.2</v>
      </c>
      <c r="M46" s="47">
        <v>55.5</v>
      </c>
      <c r="N46" s="47">
        <v>57</v>
      </c>
      <c r="O46" s="47">
        <v>55.3</v>
      </c>
      <c r="P46" s="47">
        <v>55.5</v>
      </c>
      <c r="Q46" s="47">
        <v>56.5</v>
      </c>
      <c r="R46" s="47">
        <v>54.6</v>
      </c>
      <c r="S46" s="47">
        <v>55</v>
      </c>
      <c r="T46" s="47">
        <v>55.7</v>
      </c>
      <c r="U46" s="47">
        <v>57.4</v>
      </c>
      <c r="V46" s="49">
        <f t="shared" si="16"/>
        <v>56.166666666666679</v>
      </c>
      <c r="W46" s="48">
        <f t="shared" si="17"/>
        <v>0.29033244615944892</v>
      </c>
      <c r="X46" s="47">
        <f t="shared" si="9"/>
        <v>54.6</v>
      </c>
      <c r="Y46" s="46">
        <f t="shared" si="10"/>
        <v>55.45</v>
      </c>
      <c r="Z46" s="47">
        <f t="shared" si="11"/>
        <v>56.1</v>
      </c>
      <c r="AA46" s="46">
        <f t="shared" si="12"/>
        <v>57.05</v>
      </c>
      <c r="AB46" s="46">
        <f t="shared" si="13"/>
        <v>57.4</v>
      </c>
      <c r="AC46" s="46">
        <f t="shared" si="14"/>
        <v>-9.7892155937833888E-2</v>
      </c>
      <c r="AD46" s="46">
        <f t="shared" si="15"/>
        <v>-1.6561988410952027</v>
      </c>
    </row>
    <row r="47" spans="1:30" x14ac:dyDescent="0.2">
      <c r="A47" s="1">
        <v>906</v>
      </c>
      <c r="B47" s="1" t="s">
        <v>76</v>
      </c>
      <c r="C47" s="1">
        <v>22</v>
      </c>
      <c r="D47" s="1">
        <v>4</v>
      </c>
      <c r="E47" s="1">
        <v>2</v>
      </c>
      <c r="F47" s="1">
        <v>2</v>
      </c>
      <c r="G47" s="1">
        <v>2</v>
      </c>
      <c r="H47" s="1">
        <v>1</v>
      </c>
      <c r="I47" s="4">
        <v>13.515000000000001</v>
      </c>
      <c r="J47" s="39">
        <v>55.1</v>
      </c>
      <c r="K47" s="39">
        <v>55.1</v>
      </c>
      <c r="L47" s="39">
        <v>34.299999999999997</v>
      </c>
      <c r="M47" s="39">
        <v>45.2</v>
      </c>
      <c r="N47" s="39">
        <v>34.299999999999997</v>
      </c>
      <c r="O47" s="39">
        <v>34.299999999999997</v>
      </c>
      <c r="P47" s="39">
        <v>40.4</v>
      </c>
      <c r="Q47" s="39">
        <v>40.6</v>
      </c>
      <c r="R47" s="39">
        <v>33.6</v>
      </c>
      <c r="S47" s="39">
        <v>37.5</v>
      </c>
      <c r="T47" s="39">
        <v>35.299999999999997</v>
      </c>
      <c r="U47" s="39">
        <v>41.9</v>
      </c>
      <c r="V47" s="5">
        <f t="shared" si="16"/>
        <v>40.633333333333333</v>
      </c>
      <c r="W47" s="4">
        <f t="shared" si="17"/>
        <v>2.2176063171306541</v>
      </c>
      <c r="X47" s="2">
        <f t="shared" si="9"/>
        <v>33.6</v>
      </c>
      <c r="Y47" s="3">
        <f t="shared" si="10"/>
        <v>34.299999999999997</v>
      </c>
      <c r="Z47" s="2">
        <f t="shared" si="11"/>
        <v>38.950000000000003</v>
      </c>
      <c r="AA47" s="3">
        <f t="shared" si="12"/>
        <v>42.725000000000001</v>
      </c>
      <c r="AB47" s="3">
        <f t="shared" si="13"/>
        <v>55.1</v>
      </c>
      <c r="AC47" s="3">
        <f t="shared" si="14"/>
        <v>1.1695105888716506</v>
      </c>
      <c r="AD47" s="3">
        <f t="shared" si="15"/>
        <v>0.32017609445917916</v>
      </c>
    </row>
    <row r="48" spans="1:30" x14ac:dyDescent="0.2">
      <c r="A48" s="50">
        <v>907</v>
      </c>
      <c r="B48" s="57" t="s">
        <v>74</v>
      </c>
      <c r="C48" s="50">
        <v>31</v>
      </c>
      <c r="D48" s="50">
        <v>8</v>
      </c>
      <c r="E48" s="50">
        <v>0</v>
      </c>
      <c r="F48" s="50">
        <v>1</v>
      </c>
      <c r="G48" s="50">
        <v>2</v>
      </c>
      <c r="H48" s="50">
        <v>1</v>
      </c>
      <c r="I48" s="48">
        <v>13.505000000000001</v>
      </c>
      <c r="J48" s="47">
        <v>64.5</v>
      </c>
      <c r="K48" s="47">
        <v>66.599999999999994</v>
      </c>
      <c r="L48" s="47">
        <v>66.5</v>
      </c>
      <c r="M48" s="47">
        <v>66.900000000000006</v>
      </c>
      <c r="N48" s="47">
        <v>65.2</v>
      </c>
      <c r="O48" s="47">
        <v>65.900000000000006</v>
      </c>
      <c r="P48" s="47">
        <v>67.599999999999994</v>
      </c>
      <c r="Q48" s="47">
        <v>67.2</v>
      </c>
      <c r="R48" s="47">
        <v>67.099999999999994</v>
      </c>
      <c r="S48" s="47">
        <v>67.900000000000006</v>
      </c>
      <c r="T48" s="47">
        <v>66.599999999999994</v>
      </c>
      <c r="U48" s="47">
        <v>66.8</v>
      </c>
      <c r="V48" s="49">
        <f t="shared" si="16"/>
        <v>66.566666666666677</v>
      </c>
      <c r="W48" s="48">
        <f t="shared" si="17"/>
        <v>0.27915818621221344</v>
      </c>
      <c r="X48" s="47">
        <f t="shared" si="9"/>
        <v>64.5</v>
      </c>
      <c r="Y48" s="46">
        <f t="shared" si="10"/>
        <v>66.349999999999994</v>
      </c>
      <c r="Z48" s="47">
        <f t="shared" si="11"/>
        <v>66.699999999999989</v>
      </c>
      <c r="AA48" s="46">
        <f t="shared" si="12"/>
        <v>67.125</v>
      </c>
      <c r="AB48" s="46">
        <f t="shared" si="13"/>
        <v>67.900000000000006</v>
      </c>
      <c r="AC48" s="46">
        <f t="shared" si="14"/>
        <v>-0.93452928484494391</v>
      </c>
      <c r="AD48" s="46">
        <f t="shared" si="15"/>
        <v>0.73917342091000471</v>
      </c>
    </row>
    <row r="49" spans="1:30" x14ac:dyDescent="0.2">
      <c r="A49" s="1">
        <v>908</v>
      </c>
      <c r="B49" s="1" t="s">
        <v>75</v>
      </c>
      <c r="C49" s="1">
        <v>21</v>
      </c>
      <c r="D49" s="1">
        <v>3</v>
      </c>
      <c r="E49" s="1">
        <v>2</v>
      </c>
      <c r="F49" s="1">
        <v>2</v>
      </c>
      <c r="G49" s="1">
        <v>2</v>
      </c>
      <c r="H49" s="1">
        <v>1</v>
      </c>
      <c r="I49" s="4">
        <v>13.484</v>
      </c>
      <c r="J49" s="39">
        <v>67.400000000000006</v>
      </c>
      <c r="K49" s="39">
        <v>65.400000000000006</v>
      </c>
      <c r="L49" s="39">
        <v>47.7</v>
      </c>
      <c r="M49" s="39">
        <v>60.8</v>
      </c>
      <c r="N49" s="39">
        <v>63.1</v>
      </c>
      <c r="O49" s="39">
        <v>59.8</v>
      </c>
      <c r="P49" s="39">
        <v>55.1</v>
      </c>
      <c r="Q49" s="39">
        <v>65.3</v>
      </c>
      <c r="R49" s="39">
        <v>53.3</v>
      </c>
      <c r="S49" s="39">
        <v>66</v>
      </c>
      <c r="T49" s="39">
        <v>56.5</v>
      </c>
      <c r="U49" s="39">
        <v>65.900000000000006</v>
      </c>
      <c r="V49" s="5">
        <f t="shared" si="16"/>
        <v>60.525000000000006</v>
      </c>
      <c r="W49" s="4">
        <f t="shared" si="17"/>
        <v>1.7885208464487687</v>
      </c>
      <c r="X49" s="2">
        <f t="shared" si="9"/>
        <v>47.7</v>
      </c>
      <c r="Y49" s="3">
        <f t="shared" si="10"/>
        <v>56.15</v>
      </c>
      <c r="Z49" s="2">
        <f t="shared" si="11"/>
        <v>61.95</v>
      </c>
      <c r="AA49" s="3">
        <f t="shared" si="12"/>
        <v>65.525000000000006</v>
      </c>
      <c r="AB49" s="3">
        <f t="shared" si="13"/>
        <v>67.400000000000006</v>
      </c>
      <c r="AC49" s="3">
        <f t="shared" si="14"/>
        <v>-0.83745240300029888</v>
      </c>
      <c r="AD49" s="3">
        <f t="shared" si="15"/>
        <v>-0.18301670589877705</v>
      </c>
    </row>
    <row r="50" spans="1:30" x14ac:dyDescent="0.2">
      <c r="A50" s="1">
        <v>101</v>
      </c>
      <c r="B50" s="1" t="s">
        <v>71</v>
      </c>
      <c r="C50" s="1">
        <v>1</v>
      </c>
      <c r="D50" s="1">
        <v>1</v>
      </c>
      <c r="E50" s="1">
        <v>1</v>
      </c>
      <c r="F50" s="1">
        <v>2</v>
      </c>
      <c r="G50" s="1">
        <v>1</v>
      </c>
      <c r="H50" s="1">
        <v>2</v>
      </c>
      <c r="I50" s="4">
        <v>13.295999999999999</v>
      </c>
      <c r="J50" s="39">
        <v>34.1</v>
      </c>
      <c r="K50" s="39">
        <v>33.700000000000003</v>
      </c>
      <c r="L50" s="39">
        <v>31.9</v>
      </c>
      <c r="M50" s="39">
        <v>32.5</v>
      </c>
      <c r="N50" s="39">
        <v>32.299999999999997</v>
      </c>
      <c r="O50" s="39">
        <v>32.9</v>
      </c>
      <c r="P50" s="39">
        <v>31.8</v>
      </c>
      <c r="Q50" s="39">
        <v>30.6</v>
      </c>
      <c r="R50" s="39">
        <v>31</v>
      </c>
      <c r="S50" s="39">
        <v>33.6</v>
      </c>
      <c r="T50" s="39">
        <v>32.299999999999997</v>
      </c>
      <c r="U50" s="39">
        <v>35.799999999999997</v>
      </c>
      <c r="V50" s="5">
        <f t="shared" si="16"/>
        <v>32.708333333333336</v>
      </c>
      <c r="W50" s="4">
        <f t="shared" si="17"/>
        <v>0.41312892061740852</v>
      </c>
      <c r="X50" s="2">
        <f t="shared" si="9"/>
        <v>30.6</v>
      </c>
      <c r="Y50" s="3">
        <f t="shared" si="10"/>
        <v>31.875</v>
      </c>
      <c r="Z50" s="2">
        <f t="shared" si="11"/>
        <v>32.4</v>
      </c>
      <c r="AA50" s="3">
        <f t="shared" si="12"/>
        <v>33.625</v>
      </c>
      <c r="AB50" s="3">
        <f t="shared" si="13"/>
        <v>35.799999999999997</v>
      </c>
      <c r="AC50" s="3">
        <f t="shared" si="14"/>
        <v>0.67580633940870005</v>
      </c>
      <c r="AD50" s="3">
        <f t="shared" si="15"/>
        <v>0.70570857380314855</v>
      </c>
    </row>
    <row r="51" spans="1:30" x14ac:dyDescent="0.2">
      <c r="A51" s="1">
        <v>102</v>
      </c>
      <c r="B51" s="1" t="s">
        <v>68</v>
      </c>
      <c r="C51" s="1">
        <v>4</v>
      </c>
      <c r="D51" s="1">
        <v>1</v>
      </c>
      <c r="E51" s="1">
        <v>2</v>
      </c>
      <c r="F51" s="1">
        <v>1</v>
      </c>
      <c r="G51" s="1">
        <v>1</v>
      </c>
      <c r="H51" s="1">
        <v>2</v>
      </c>
      <c r="I51" s="4">
        <v>13.278</v>
      </c>
      <c r="J51" s="39">
        <v>29.8</v>
      </c>
      <c r="K51" s="39">
        <v>30.3</v>
      </c>
      <c r="L51" s="39">
        <v>30.6</v>
      </c>
      <c r="M51" s="39">
        <v>29.8</v>
      </c>
      <c r="N51" s="39">
        <v>29.9</v>
      </c>
      <c r="O51" s="39">
        <v>31.7</v>
      </c>
      <c r="P51" s="39">
        <v>30.9</v>
      </c>
      <c r="Q51" s="39">
        <v>31.1</v>
      </c>
      <c r="R51" s="39">
        <v>30.4</v>
      </c>
      <c r="S51" s="39">
        <v>31.6</v>
      </c>
      <c r="T51" s="39">
        <v>31.5</v>
      </c>
      <c r="U51" s="39">
        <v>31.4</v>
      </c>
      <c r="V51" s="5">
        <f t="shared" si="16"/>
        <v>30.75</v>
      </c>
      <c r="W51" s="4">
        <f t="shared" si="17"/>
        <v>0.20652243256245836</v>
      </c>
      <c r="X51" s="2">
        <f t="shared" si="9"/>
        <v>29.8</v>
      </c>
      <c r="Y51" s="3">
        <f t="shared" si="10"/>
        <v>30.2</v>
      </c>
      <c r="Z51" s="2">
        <f t="shared" si="11"/>
        <v>30.75</v>
      </c>
      <c r="AA51" s="3">
        <f t="shared" si="12"/>
        <v>31.424999999999997</v>
      </c>
      <c r="AB51" s="3">
        <f t="shared" si="13"/>
        <v>31.7</v>
      </c>
      <c r="AC51" s="3">
        <f t="shared" si="14"/>
        <v>-7.5078491339532399E-2</v>
      </c>
      <c r="AD51" s="3">
        <f t="shared" si="15"/>
        <v>-1.5944410967634077</v>
      </c>
    </row>
    <row r="52" spans="1:30" x14ac:dyDescent="0.2">
      <c r="A52" s="1">
        <v>103</v>
      </c>
      <c r="B52" s="1" t="s">
        <v>73</v>
      </c>
      <c r="C52" s="1">
        <v>5</v>
      </c>
      <c r="D52" s="1">
        <v>1</v>
      </c>
      <c r="E52" s="1">
        <v>3</v>
      </c>
      <c r="F52" s="1">
        <v>2</v>
      </c>
      <c r="G52" s="1">
        <v>1</v>
      </c>
      <c r="H52" s="1">
        <v>2</v>
      </c>
      <c r="I52" s="4">
        <v>13.257</v>
      </c>
      <c r="J52" s="39">
        <v>37.5</v>
      </c>
      <c r="K52" s="39">
        <v>36</v>
      </c>
      <c r="L52" s="39">
        <v>37.1</v>
      </c>
      <c r="M52" s="39">
        <v>32.5</v>
      </c>
      <c r="N52" s="39">
        <v>36.799999999999997</v>
      </c>
      <c r="O52" s="39">
        <v>35.299999999999997</v>
      </c>
      <c r="P52" s="39">
        <v>33.299999999999997</v>
      </c>
      <c r="Q52" s="39">
        <v>34.1</v>
      </c>
      <c r="R52" s="39">
        <v>35.299999999999997</v>
      </c>
      <c r="S52" s="39">
        <v>35.5</v>
      </c>
      <c r="T52" s="39">
        <v>34.200000000000003</v>
      </c>
      <c r="U52" s="39">
        <v>33.700000000000003</v>
      </c>
      <c r="V52" s="5">
        <f t="shared" si="16"/>
        <v>35.108333333333334</v>
      </c>
      <c r="W52" s="4">
        <f t="shared" si="17"/>
        <v>0.45617951233560178</v>
      </c>
      <c r="X52" s="2">
        <f t="shared" si="9"/>
        <v>32.5</v>
      </c>
      <c r="Y52" s="3">
        <f t="shared" si="10"/>
        <v>34</v>
      </c>
      <c r="Z52" s="2">
        <f t="shared" si="11"/>
        <v>35.299999999999997</v>
      </c>
      <c r="AA52" s="3">
        <f t="shared" si="12"/>
        <v>36.200000000000003</v>
      </c>
      <c r="AB52" s="3">
        <f t="shared" si="13"/>
        <v>37.5</v>
      </c>
      <c r="AC52" s="3">
        <f t="shared" si="14"/>
        <v>-2.8245424419558587E-2</v>
      </c>
      <c r="AD52" s="3">
        <f t="shared" si="15"/>
        <v>-1.002848982474696</v>
      </c>
    </row>
    <row r="53" spans="1:30" x14ac:dyDescent="0.2">
      <c r="A53" s="1">
        <v>104</v>
      </c>
      <c r="B53" s="1" t="s">
        <v>62</v>
      </c>
      <c r="C53" s="1">
        <v>10</v>
      </c>
      <c r="D53" s="1">
        <v>2</v>
      </c>
      <c r="E53" s="1">
        <v>2</v>
      </c>
      <c r="F53" s="1">
        <v>1</v>
      </c>
      <c r="G53" s="1">
        <v>1</v>
      </c>
      <c r="H53" s="1">
        <v>2</v>
      </c>
      <c r="I53" s="4">
        <v>13.237</v>
      </c>
      <c r="J53" s="39">
        <v>33.700000000000003</v>
      </c>
      <c r="K53" s="39">
        <v>30.4</v>
      </c>
      <c r="L53" s="39">
        <v>32</v>
      </c>
      <c r="M53" s="39">
        <v>29.2</v>
      </c>
      <c r="N53" s="39">
        <v>30.8</v>
      </c>
      <c r="O53" s="39">
        <v>28.4</v>
      </c>
      <c r="P53" s="39">
        <v>32</v>
      </c>
      <c r="Q53" s="39">
        <v>32.1</v>
      </c>
      <c r="R53" s="39">
        <v>31.1</v>
      </c>
      <c r="S53" s="39">
        <v>32.1</v>
      </c>
      <c r="T53" s="39">
        <v>31.8</v>
      </c>
      <c r="U53" s="39">
        <v>31.5</v>
      </c>
      <c r="V53" s="5">
        <f t="shared" si="16"/>
        <v>31.258333333333336</v>
      </c>
      <c r="W53" s="4">
        <f t="shared" si="17"/>
        <v>0.4101844251385745</v>
      </c>
      <c r="X53" s="2">
        <f t="shared" si="9"/>
        <v>28.4</v>
      </c>
      <c r="Y53" s="3">
        <f t="shared" si="10"/>
        <v>30.7</v>
      </c>
      <c r="Z53" s="2">
        <f t="shared" si="11"/>
        <v>31.65</v>
      </c>
      <c r="AA53" s="3">
        <f t="shared" si="12"/>
        <v>32.024999999999999</v>
      </c>
      <c r="AB53" s="3">
        <f t="shared" si="13"/>
        <v>33.700000000000003</v>
      </c>
      <c r="AC53" s="3">
        <f t="shared" si="14"/>
        <v>-0.61099919975507699</v>
      </c>
      <c r="AD53" s="3">
        <f t="shared" si="15"/>
        <v>0.70304101040323541</v>
      </c>
    </row>
    <row r="54" spans="1:30" x14ac:dyDescent="0.2">
      <c r="A54" s="1">
        <v>105</v>
      </c>
      <c r="B54" s="1" t="s">
        <v>66</v>
      </c>
      <c r="C54" s="1">
        <v>12</v>
      </c>
      <c r="D54" s="1">
        <v>2</v>
      </c>
      <c r="E54" s="1">
        <v>3</v>
      </c>
      <c r="F54" s="1">
        <v>1</v>
      </c>
      <c r="G54" s="1">
        <v>2</v>
      </c>
      <c r="H54" s="1">
        <v>2</v>
      </c>
      <c r="I54" s="4">
        <v>13.218999999999999</v>
      </c>
      <c r="J54" s="39">
        <v>30.4</v>
      </c>
      <c r="K54" s="39">
        <v>29.7</v>
      </c>
      <c r="L54" s="39">
        <v>30.7</v>
      </c>
      <c r="M54" s="39">
        <v>31.7</v>
      </c>
      <c r="N54" s="39">
        <v>30.6</v>
      </c>
      <c r="O54" s="39">
        <v>32.6</v>
      </c>
      <c r="P54" s="39">
        <v>30.1</v>
      </c>
      <c r="Q54" s="39">
        <v>30.1</v>
      </c>
      <c r="R54" s="39">
        <v>33.1</v>
      </c>
      <c r="S54" s="39">
        <v>31.7</v>
      </c>
      <c r="T54" s="39">
        <v>31.4</v>
      </c>
      <c r="U54" s="39">
        <v>30.1</v>
      </c>
      <c r="V54" s="5">
        <f t="shared" si="16"/>
        <v>31.016666666666666</v>
      </c>
      <c r="W54" s="4">
        <f t="shared" si="17"/>
        <v>0.31184527372957693</v>
      </c>
      <c r="X54" s="2">
        <f t="shared" si="9"/>
        <v>29.7</v>
      </c>
      <c r="Y54" s="3">
        <f t="shared" si="10"/>
        <v>30.1</v>
      </c>
      <c r="Z54" s="2">
        <f t="shared" si="11"/>
        <v>30.65</v>
      </c>
      <c r="AA54" s="3">
        <f t="shared" si="12"/>
        <v>31.7</v>
      </c>
      <c r="AB54" s="3">
        <f t="shared" si="13"/>
        <v>33.1</v>
      </c>
      <c r="AC54" s="3">
        <f t="shared" si="14"/>
        <v>0.7592806332070311</v>
      </c>
      <c r="AD54" s="3">
        <f t="shared" si="15"/>
        <v>-0.4591882200382762</v>
      </c>
    </row>
    <row r="55" spans="1:30" x14ac:dyDescent="0.2">
      <c r="A55" s="1">
        <v>106</v>
      </c>
      <c r="B55" s="1" t="s">
        <v>63</v>
      </c>
      <c r="C55" s="1">
        <v>9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4">
        <v>13.2</v>
      </c>
      <c r="J55" s="39">
        <v>32</v>
      </c>
      <c r="K55" s="39">
        <v>31.4</v>
      </c>
      <c r="L55" s="39">
        <v>32.299999999999997</v>
      </c>
      <c r="M55" s="39">
        <v>30.9</v>
      </c>
      <c r="N55" s="39">
        <v>32.4</v>
      </c>
      <c r="O55" s="39">
        <v>30.6</v>
      </c>
      <c r="P55" s="39">
        <v>30.7</v>
      </c>
      <c r="Q55" s="39">
        <v>31</v>
      </c>
      <c r="R55" s="39">
        <v>31.5</v>
      </c>
      <c r="S55" s="39">
        <v>31.3</v>
      </c>
      <c r="T55" s="39">
        <v>31.6</v>
      </c>
      <c r="U55" s="39">
        <v>30.3</v>
      </c>
      <c r="V55" s="5">
        <f t="shared" si="16"/>
        <v>31.333333333333332</v>
      </c>
      <c r="W55" s="4">
        <f t="shared" si="17"/>
        <v>0.19319221600062528</v>
      </c>
      <c r="X55" s="2">
        <f t="shared" si="9"/>
        <v>30.3</v>
      </c>
      <c r="Y55" s="3">
        <f t="shared" si="10"/>
        <v>30.849999999999998</v>
      </c>
      <c r="Z55" s="2">
        <f t="shared" si="11"/>
        <v>31.35</v>
      </c>
      <c r="AA55" s="3">
        <f t="shared" si="12"/>
        <v>31.700000000000003</v>
      </c>
      <c r="AB55" s="3">
        <f t="shared" si="13"/>
        <v>32.4</v>
      </c>
      <c r="AC55" s="3">
        <f t="shared" si="14"/>
        <v>0.20632210709660934</v>
      </c>
      <c r="AD55" s="3">
        <f t="shared" si="15"/>
        <v>-0.88413758123200026</v>
      </c>
    </row>
    <row r="56" spans="1:30" x14ac:dyDescent="0.2">
      <c r="A56" s="1">
        <v>107</v>
      </c>
      <c r="B56" s="1" t="s">
        <v>62</v>
      </c>
      <c r="C56" s="1">
        <v>10</v>
      </c>
      <c r="D56" s="1">
        <v>2</v>
      </c>
      <c r="E56" s="1">
        <v>2</v>
      </c>
      <c r="F56" s="1">
        <v>1</v>
      </c>
      <c r="G56" s="1">
        <v>2</v>
      </c>
      <c r="H56" s="1">
        <v>2</v>
      </c>
      <c r="I56" s="4">
        <v>13.18</v>
      </c>
      <c r="J56" s="39">
        <v>29.6</v>
      </c>
      <c r="K56" s="39">
        <v>32.299999999999997</v>
      </c>
      <c r="L56" s="39">
        <v>34.700000000000003</v>
      </c>
      <c r="M56" s="39">
        <v>31.6</v>
      </c>
      <c r="N56" s="39">
        <v>32.4</v>
      </c>
      <c r="O56" s="39">
        <v>32</v>
      </c>
      <c r="P56" s="39">
        <v>31.1</v>
      </c>
      <c r="Q56" s="39">
        <v>33.5</v>
      </c>
      <c r="R56" s="39">
        <v>32.200000000000003</v>
      </c>
      <c r="S56" s="39">
        <v>36.5</v>
      </c>
      <c r="T56" s="39">
        <v>34.799999999999997</v>
      </c>
      <c r="U56" s="39">
        <v>33.299999999999997</v>
      </c>
      <c r="V56" s="5">
        <f t="shared" si="16"/>
        <v>32.833333333333336</v>
      </c>
      <c r="W56" s="4">
        <f t="shared" si="17"/>
        <v>0.53659043313247101</v>
      </c>
      <c r="X56" s="2">
        <f t="shared" si="9"/>
        <v>29.6</v>
      </c>
      <c r="Y56" s="3">
        <f t="shared" si="10"/>
        <v>31.9</v>
      </c>
      <c r="Z56" s="2">
        <f t="shared" si="11"/>
        <v>32.349999999999994</v>
      </c>
      <c r="AA56" s="3">
        <f t="shared" si="12"/>
        <v>33.799999999999997</v>
      </c>
      <c r="AB56" s="3">
        <f t="shared" si="13"/>
        <v>36.5</v>
      </c>
      <c r="AC56" s="3">
        <f t="shared" si="14"/>
        <v>0.37119043216740055</v>
      </c>
      <c r="AD56" s="3">
        <f t="shared" si="15"/>
        <v>0.31580379873470577</v>
      </c>
    </row>
    <row r="57" spans="1:30" x14ac:dyDescent="0.2">
      <c r="A57" s="1">
        <v>108</v>
      </c>
      <c r="B57" s="1" t="s">
        <v>69</v>
      </c>
      <c r="C57" s="1">
        <v>3</v>
      </c>
      <c r="D57" s="1">
        <v>1</v>
      </c>
      <c r="E57" s="1">
        <v>2</v>
      </c>
      <c r="F57" s="1">
        <v>2</v>
      </c>
      <c r="G57" s="1">
        <v>2</v>
      </c>
      <c r="H57" s="1">
        <v>2</v>
      </c>
      <c r="I57" s="4">
        <v>13.159000000000001</v>
      </c>
      <c r="J57" s="39">
        <v>35.700000000000003</v>
      </c>
      <c r="K57" s="39">
        <v>35.6</v>
      </c>
      <c r="L57" s="39">
        <v>34.700000000000003</v>
      </c>
      <c r="M57" s="39">
        <v>35.1</v>
      </c>
      <c r="N57" s="39">
        <v>36</v>
      </c>
      <c r="O57" s="39">
        <v>34.799999999999997</v>
      </c>
      <c r="P57" s="39">
        <v>35.700000000000003</v>
      </c>
      <c r="Q57" s="39">
        <v>34.700000000000003</v>
      </c>
      <c r="R57" s="39">
        <v>35.4</v>
      </c>
      <c r="S57" s="39">
        <v>35.4</v>
      </c>
      <c r="T57" s="39">
        <v>34.6</v>
      </c>
      <c r="U57" s="39">
        <v>35</v>
      </c>
      <c r="V57" s="5">
        <f t="shared" si="16"/>
        <v>35.225000000000001</v>
      </c>
      <c r="W57" s="4">
        <f t="shared" si="17"/>
        <v>0.13602862889402317</v>
      </c>
      <c r="X57" s="2">
        <f t="shared" si="9"/>
        <v>34.6</v>
      </c>
      <c r="Y57" s="3">
        <f t="shared" si="10"/>
        <v>34.774999999999999</v>
      </c>
      <c r="Z57" s="2">
        <f t="shared" si="11"/>
        <v>35.25</v>
      </c>
      <c r="AA57" s="3">
        <f t="shared" si="12"/>
        <v>35.625</v>
      </c>
      <c r="AB57" s="3">
        <f t="shared" si="13"/>
        <v>36</v>
      </c>
      <c r="AC57" s="3">
        <f t="shared" si="14"/>
        <v>0.12472332518111341</v>
      </c>
      <c r="AD57" s="3">
        <f t="shared" si="15"/>
        <v>-1.3992819495269444</v>
      </c>
    </row>
    <row r="58" spans="1:30" x14ac:dyDescent="0.2">
      <c r="A58" s="1">
        <v>201</v>
      </c>
      <c r="B58" s="1" t="s">
        <v>66</v>
      </c>
      <c r="C58" s="1">
        <v>12</v>
      </c>
      <c r="D58" s="1">
        <v>2</v>
      </c>
      <c r="E58" s="1">
        <v>3</v>
      </c>
      <c r="F58" s="1">
        <v>1</v>
      </c>
      <c r="G58" s="1">
        <v>1</v>
      </c>
      <c r="H58" s="1">
        <v>2</v>
      </c>
      <c r="I58" s="4">
        <v>13.327999999999999</v>
      </c>
      <c r="J58" s="39">
        <v>29.8</v>
      </c>
      <c r="K58" s="39">
        <v>30.3</v>
      </c>
      <c r="L58" s="39">
        <v>29.8</v>
      </c>
      <c r="M58" s="39">
        <v>31.6</v>
      </c>
      <c r="N58" s="39">
        <v>31.6</v>
      </c>
      <c r="O58" s="39">
        <v>32.9</v>
      </c>
      <c r="P58" s="39">
        <v>29.7</v>
      </c>
      <c r="Q58" s="39">
        <v>29.7</v>
      </c>
      <c r="R58" s="39">
        <v>29.3</v>
      </c>
      <c r="S58" s="39">
        <v>29.2</v>
      </c>
      <c r="T58" s="39">
        <v>30.9</v>
      </c>
      <c r="U58" s="39">
        <v>31</v>
      </c>
      <c r="V58" s="5">
        <f t="shared" si="16"/>
        <v>30.483333333333331</v>
      </c>
      <c r="W58" s="4">
        <f t="shared" si="17"/>
        <v>0.32586326685723366</v>
      </c>
      <c r="X58" s="2">
        <f t="shared" si="9"/>
        <v>29.2</v>
      </c>
      <c r="Y58" s="3">
        <f t="shared" si="10"/>
        <v>29.7</v>
      </c>
      <c r="Z58" s="2">
        <f t="shared" si="11"/>
        <v>30.05</v>
      </c>
      <c r="AA58" s="3">
        <f t="shared" si="12"/>
        <v>31.15</v>
      </c>
      <c r="AB58" s="3">
        <f t="shared" si="13"/>
        <v>32.9</v>
      </c>
      <c r="AC58" s="3">
        <f t="shared" si="14"/>
        <v>0.88984717987731143</v>
      </c>
      <c r="AD58" s="3">
        <f t="shared" si="15"/>
        <v>0.15751962798379182</v>
      </c>
    </row>
    <row r="59" spans="1:30" x14ac:dyDescent="0.2">
      <c r="A59" s="1">
        <v>202</v>
      </c>
      <c r="B59" s="1" t="s">
        <v>63</v>
      </c>
      <c r="C59" s="1">
        <v>9</v>
      </c>
      <c r="D59" s="1">
        <v>2</v>
      </c>
      <c r="E59" s="1">
        <v>2</v>
      </c>
      <c r="F59" s="1">
        <v>2</v>
      </c>
      <c r="G59" s="1">
        <v>1</v>
      </c>
      <c r="H59" s="1">
        <v>2</v>
      </c>
      <c r="I59" s="4">
        <v>13.347</v>
      </c>
      <c r="J59" s="39">
        <v>31</v>
      </c>
      <c r="K59" s="39">
        <v>29.5</v>
      </c>
      <c r="L59" s="39">
        <v>30.4</v>
      </c>
      <c r="M59" s="39">
        <v>32.299999999999997</v>
      </c>
      <c r="N59" s="39">
        <v>30.6</v>
      </c>
      <c r="O59" s="39">
        <v>30.2</v>
      </c>
      <c r="P59" s="39">
        <v>30.7</v>
      </c>
      <c r="Q59" s="39">
        <v>31</v>
      </c>
      <c r="R59" s="39">
        <v>31</v>
      </c>
      <c r="S59" s="39">
        <v>30.9</v>
      </c>
      <c r="T59" s="39">
        <v>32.1</v>
      </c>
      <c r="U59" s="39">
        <v>31.3</v>
      </c>
      <c r="V59" s="5">
        <f t="shared" si="16"/>
        <v>30.916666666666668</v>
      </c>
      <c r="W59" s="4">
        <f t="shared" si="17"/>
        <v>0.22047927592204922</v>
      </c>
      <c r="X59" s="2">
        <f t="shared" si="9"/>
        <v>29.5</v>
      </c>
      <c r="Y59" s="3">
        <f t="shared" si="10"/>
        <v>30.55</v>
      </c>
      <c r="Z59" s="2">
        <f t="shared" si="11"/>
        <v>30.95</v>
      </c>
      <c r="AA59" s="3">
        <f t="shared" si="12"/>
        <v>31.074999999999999</v>
      </c>
      <c r="AB59" s="3">
        <f t="shared" si="13"/>
        <v>32.299999999999997</v>
      </c>
      <c r="AC59" s="3">
        <f t="shared" si="14"/>
        <v>0.23778381639428636</v>
      </c>
      <c r="AD59" s="3">
        <f t="shared" si="15"/>
        <v>0.60652408163264404</v>
      </c>
    </row>
    <row r="60" spans="1:30" x14ac:dyDescent="0.2">
      <c r="A60" s="1">
        <v>203</v>
      </c>
      <c r="B60" s="1" t="s">
        <v>69</v>
      </c>
      <c r="C60" s="1">
        <v>3</v>
      </c>
      <c r="D60" s="1">
        <v>1</v>
      </c>
      <c r="E60" s="1">
        <v>2</v>
      </c>
      <c r="F60" s="1">
        <v>2</v>
      </c>
      <c r="G60" s="1">
        <v>1</v>
      </c>
      <c r="H60" s="1">
        <v>2</v>
      </c>
      <c r="I60" s="4">
        <v>13.366</v>
      </c>
      <c r="J60" s="39">
        <v>33.799999999999997</v>
      </c>
      <c r="K60" s="39">
        <v>33.4</v>
      </c>
      <c r="L60" s="39">
        <v>33.4</v>
      </c>
      <c r="M60" s="39">
        <v>34.1</v>
      </c>
      <c r="N60" s="39">
        <v>32.9</v>
      </c>
      <c r="O60" s="39">
        <v>34.299999999999997</v>
      </c>
      <c r="P60" s="39">
        <v>33.9</v>
      </c>
      <c r="Q60" s="39">
        <v>34.700000000000003</v>
      </c>
      <c r="R60" s="39">
        <v>31.8</v>
      </c>
      <c r="S60" s="39">
        <v>34.6</v>
      </c>
      <c r="T60" s="39">
        <v>33.5</v>
      </c>
      <c r="U60" s="39">
        <v>33.200000000000003</v>
      </c>
      <c r="V60" s="5">
        <f t="shared" si="16"/>
        <v>33.633333333333333</v>
      </c>
      <c r="W60" s="4">
        <f t="shared" si="17"/>
        <v>0.23104942844300316</v>
      </c>
      <c r="X60" s="2">
        <f t="shared" si="9"/>
        <v>31.8</v>
      </c>
      <c r="Y60" s="3">
        <f t="shared" si="10"/>
        <v>33.35</v>
      </c>
      <c r="Z60" s="2">
        <f t="shared" si="11"/>
        <v>33.65</v>
      </c>
      <c r="AA60" s="3">
        <f t="shared" si="12"/>
        <v>34.15</v>
      </c>
      <c r="AB60" s="3">
        <f t="shared" si="13"/>
        <v>34.700000000000003</v>
      </c>
      <c r="AC60" s="3">
        <f t="shared" si="14"/>
        <v>-0.87810845221835021</v>
      </c>
      <c r="AD60" s="3">
        <f t="shared" si="15"/>
        <v>1.3601446946920399</v>
      </c>
    </row>
    <row r="61" spans="1:30" x14ac:dyDescent="0.2">
      <c r="A61" s="1">
        <v>204</v>
      </c>
      <c r="B61" s="1" t="s">
        <v>67</v>
      </c>
      <c r="C61" s="1">
        <v>11</v>
      </c>
      <c r="D61" s="1">
        <v>2</v>
      </c>
      <c r="E61" s="1">
        <v>3</v>
      </c>
      <c r="F61" s="1">
        <v>2</v>
      </c>
      <c r="G61" s="1">
        <v>1</v>
      </c>
      <c r="H61" s="1">
        <v>2</v>
      </c>
      <c r="I61" s="4">
        <v>13.385999999999999</v>
      </c>
      <c r="J61" s="39">
        <v>31.2</v>
      </c>
      <c r="K61" s="39">
        <v>30.6</v>
      </c>
      <c r="L61" s="39">
        <v>31.1</v>
      </c>
      <c r="M61" s="39">
        <v>29.1</v>
      </c>
      <c r="N61" s="39">
        <v>27.8</v>
      </c>
      <c r="O61" s="39">
        <v>29.6</v>
      </c>
      <c r="P61" s="39">
        <v>29</v>
      </c>
      <c r="Q61" s="39">
        <v>30</v>
      </c>
      <c r="R61" s="39">
        <v>30.7</v>
      </c>
      <c r="S61" s="39">
        <v>30.9</v>
      </c>
      <c r="T61" s="39">
        <v>30.7</v>
      </c>
      <c r="U61" s="39">
        <v>30.1</v>
      </c>
      <c r="V61" s="5">
        <f t="shared" si="16"/>
        <v>30.066666666666666</v>
      </c>
      <c r="W61" s="4">
        <f t="shared" si="17"/>
        <v>0.29601733500972977</v>
      </c>
      <c r="X61" s="2">
        <f t="shared" si="9"/>
        <v>27.8</v>
      </c>
      <c r="Y61" s="3">
        <f t="shared" si="10"/>
        <v>29.475000000000001</v>
      </c>
      <c r="Z61" s="2">
        <f t="shared" si="11"/>
        <v>30.35</v>
      </c>
      <c r="AA61" s="3">
        <f t="shared" si="12"/>
        <v>30.75</v>
      </c>
      <c r="AB61" s="3">
        <f t="shared" si="13"/>
        <v>31.2</v>
      </c>
      <c r="AC61" s="3">
        <f t="shared" si="14"/>
        <v>-1.0184988283239884</v>
      </c>
      <c r="AD61" s="3">
        <f t="shared" si="15"/>
        <v>0.56799936881794189</v>
      </c>
    </row>
    <row r="62" spans="1:30" x14ac:dyDescent="0.2">
      <c r="A62" s="1">
        <v>205</v>
      </c>
      <c r="B62" s="1" t="s">
        <v>71</v>
      </c>
      <c r="C62" s="1">
        <v>1</v>
      </c>
      <c r="D62" s="1">
        <v>1</v>
      </c>
      <c r="E62" s="1">
        <v>1</v>
      </c>
      <c r="F62" s="1">
        <v>2</v>
      </c>
      <c r="G62" s="1">
        <v>2</v>
      </c>
      <c r="H62" s="1">
        <v>2</v>
      </c>
      <c r="I62" s="4">
        <v>13.403</v>
      </c>
      <c r="J62" s="39">
        <v>29.1</v>
      </c>
      <c r="K62" s="39">
        <v>31</v>
      </c>
      <c r="L62" s="39">
        <v>29.6</v>
      </c>
      <c r="M62" s="39">
        <v>29</v>
      </c>
      <c r="N62" s="39">
        <v>31</v>
      </c>
      <c r="O62" s="39">
        <v>29.5</v>
      </c>
      <c r="P62" s="39">
        <v>29.6</v>
      </c>
      <c r="Q62" s="39">
        <v>30.5</v>
      </c>
      <c r="R62" s="39">
        <v>30.7</v>
      </c>
      <c r="S62" s="39">
        <v>30.5</v>
      </c>
      <c r="T62" s="39">
        <v>31.4</v>
      </c>
      <c r="U62" s="39">
        <v>29.3</v>
      </c>
      <c r="V62" s="5">
        <f t="shared" si="16"/>
        <v>30.099999999999998</v>
      </c>
      <c r="W62" s="4">
        <f t="shared" si="17"/>
        <v>0.24152294576982383</v>
      </c>
      <c r="X62" s="2">
        <f t="shared" si="9"/>
        <v>29</v>
      </c>
      <c r="Y62" s="3">
        <f t="shared" si="10"/>
        <v>29.45</v>
      </c>
      <c r="Z62" s="2">
        <f t="shared" si="11"/>
        <v>30.05</v>
      </c>
      <c r="AA62" s="3">
        <f t="shared" si="12"/>
        <v>30.774999999999999</v>
      </c>
      <c r="AB62" s="3">
        <f t="shared" si="13"/>
        <v>31.4</v>
      </c>
      <c r="AC62" s="3">
        <f t="shared" si="14"/>
        <v>0.1285258816271363</v>
      </c>
      <c r="AD62" s="3">
        <f t="shared" si="15"/>
        <v>-1.6287272727272724</v>
      </c>
    </row>
    <row r="63" spans="1:30" x14ac:dyDescent="0.2">
      <c r="A63" s="1">
        <v>206</v>
      </c>
      <c r="B63" s="1" t="s">
        <v>64</v>
      </c>
      <c r="C63" s="1">
        <v>8</v>
      </c>
      <c r="D63" s="1">
        <v>2</v>
      </c>
      <c r="E63" s="1">
        <v>1</v>
      </c>
      <c r="F63" s="1">
        <v>1</v>
      </c>
      <c r="G63" s="1">
        <v>2</v>
      </c>
      <c r="H63" s="1">
        <v>2</v>
      </c>
      <c r="I63" s="4">
        <v>13.422000000000001</v>
      </c>
      <c r="J63" s="39">
        <v>31.6</v>
      </c>
      <c r="K63" s="39">
        <v>32.1</v>
      </c>
      <c r="L63" s="39">
        <v>29.5</v>
      </c>
      <c r="M63" s="39">
        <v>28.6</v>
      </c>
      <c r="N63" s="39">
        <v>29.5</v>
      </c>
      <c r="O63" s="39">
        <v>27.3</v>
      </c>
      <c r="P63" s="39">
        <v>28.9</v>
      </c>
      <c r="Q63" s="39">
        <v>29</v>
      </c>
      <c r="R63" s="39">
        <v>28.8</v>
      </c>
      <c r="S63" s="39">
        <v>28.3</v>
      </c>
      <c r="T63" s="39">
        <v>30.7</v>
      </c>
      <c r="U63" s="39">
        <v>30.6</v>
      </c>
      <c r="V63" s="5">
        <f t="shared" si="16"/>
        <v>29.575000000000003</v>
      </c>
      <c r="W63" s="4">
        <f t="shared" si="17"/>
        <v>0.40771443512103017</v>
      </c>
      <c r="X63" s="2">
        <f t="shared" si="9"/>
        <v>27.3</v>
      </c>
      <c r="Y63" s="3">
        <f t="shared" si="10"/>
        <v>28.75</v>
      </c>
      <c r="Z63" s="2">
        <f t="shared" si="11"/>
        <v>29.25</v>
      </c>
      <c r="AA63" s="3">
        <f t="shared" si="12"/>
        <v>30.625</v>
      </c>
      <c r="AB63" s="3">
        <f t="shared" si="13"/>
        <v>32.1</v>
      </c>
      <c r="AC63" s="3">
        <f t="shared" si="14"/>
        <v>0.43231697969585275</v>
      </c>
      <c r="AD63" s="3">
        <f t="shared" si="15"/>
        <v>-0.42252428610106785</v>
      </c>
    </row>
    <row r="64" spans="1:30" x14ac:dyDescent="0.2">
      <c r="A64" s="1">
        <v>207</v>
      </c>
      <c r="B64" s="1" t="s">
        <v>68</v>
      </c>
      <c r="C64" s="1">
        <v>4</v>
      </c>
      <c r="D64" s="1">
        <v>1</v>
      </c>
      <c r="E64" s="1">
        <v>2</v>
      </c>
      <c r="F64" s="1">
        <v>1</v>
      </c>
      <c r="G64" s="1">
        <v>2</v>
      </c>
      <c r="H64" s="1">
        <v>2</v>
      </c>
      <c r="I64" s="4">
        <v>13.444000000000001</v>
      </c>
      <c r="J64" s="39">
        <v>31.8</v>
      </c>
      <c r="K64" s="39">
        <v>33.5</v>
      </c>
      <c r="L64" s="39">
        <v>30.4</v>
      </c>
      <c r="M64" s="39">
        <v>30.8</v>
      </c>
      <c r="N64" s="39">
        <v>30.3</v>
      </c>
      <c r="O64" s="39">
        <v>30.5</v>
      </c>
      <c r="P64" s="39">
        <v>30</v>
      </c>
      <c r="Q64" s="39">
        <v>30.8</v>
      </c>
      <c r="R64" s="39">
        <v>29.9</v>
      </c>
      <c r="S64" s="39">
        <v>29.6</v>
      </c>
      <c r="T64" s="39">
        <v>29.7</v>
      </c>
      <c r="U64" s="39">
        <v>30.4</v>
      </c>
      <c r="V64" s="5">
        <f t="shared" si="16"/>
        <v>30.641666666666666</v>
      </c>
      <c r="W64" s="4">
        <f t="shared" si="17"/>
        <v>0.310780623526622</v>
      </c>
      <c r="X64" s="2">
        <f t="shared" si="9"/>
        <v>29.6</v>
      </c>
      <c r="Y64" s="3">
        <f t="shared" si="10"/>
        <v>29.975000000000001</v>
      </c>
      <c r="Z64" s="2">
        <f t="shared" si="11"/>
        <v>30.4</v>
      </c>
      <c r="AA64" s="3">
        <f t="shared" si="12"/>
        <v>30.8</v>
      </c>
      <c r="AB64" s="3">
        <f t="shared" si="13"/>
        <v>33.5</v>
      </c>
      <c r="AC64" s="3">
        <f t="shared" si="14"/>
        <v>1.9414881013391978</v>
      </c>
      <c r="AD64" s="3">
        <f t="shared" si="15"/>
        <v>4.2961785517002227</v>
      </c>
    </row>
    <row r="65" spans="1:30" x14ac:dyDescent="0.2">
      <c r="A65" s="1">
        <v>208</v>
      </c>
      <c r="B65" s="1" t="s">
        <v>70</v>
      </c>
      <c r="C65" s="1">
        <v>2</v>
      </c>
      <c r="D65" s="1">
        <v>1</v>
      </c>
      <c r="E65" s="1">
        <v>1</v>
      </c>
      <c r="F65" s="1">
        <v>1</v>
      </c>
      <c r="G65" s="1">
        <v>2</v>
      </c>
      <c r="H65" s="1">
        <v>2</v>
      </c>
      <c r="I65" s="4">
        <v>13.462999999999999</v>
      </c>
      <c r="J65" s="39">
        <v>33.700000000000003</v>
      </c>
      <c r="K65" s="39">
        <v>34.200000000000003</v>
      </c>
      <c r="L65" s="39">
        <v>30</v>
      </c>
      <c r="M65" s="39">
        <v>32</v>
      </c>
      <c r="N65" s="39">
        <v>31.9</v>
      </c>
      <c r="O65" s="39">
        <v>32</v>
      </c>
      <c r="P65" s="39">
        <v>32.299999999999997</v>
      </c>
      <c r="Q65" s="39">
        <v>32.4</v>
      </c>
      <c r="R65" s="39">
        <v>32.4</v>
      </c>
      <c r="S65" s="39">
        <v>32.9</v>
      </c>
      <c r="T65" s="39">
        <v>32.700000000000003</v>
      </c>
      <c r="U65" s="39">
        <v>33.4</v>
      </c>
      <c r="V65" s="5">
        <f t="shared" si="16"/>
        <v>32.49166666666666</v>
      </c>
      <c r="W65" s="4">
        <f t="shared" si="17"/>
        <v>0.30784154063643565</v>
      </c>
      <c r="X65" s="2">
        <f t="shared" si="9"/>
        <v>30</v>
      </c>
      <c r="Y65" s="3">
        <f t="shared" si="10"/>
        <v>32</v>
      </c>
      <c r="Z65" s="2">
        <f t="shared" si="11"/>
        <v>32.4</v>
      </c>
      <c r="AA65" s="3">
        <f t="shared" si="12"/>
        <v>33.024999999999999</v>
      </c>
      <c r="AB65" s="3">
        <f t="shared" si="13"/>
        <v>34.200000000000003</v>
      </c>
      <c r="AC65" s="3">
        <f t="shared" si="14"/>
        <v>-0.75080495860939189</v>
      </c>
      <c r="AD65" s="3">
        <f t="shared" si="15"/>
        <v>2.0766656722293826</v>
      </c>
    </row>
    <row r="66" spans="1:30" x14ac:dyDescent="0.2">
      <c r="A66" s="1">
        <v>301</v>
      </c>
      <c r="B66" s="1" t="s">
        <v>62</v>
      </c>
      <c r="C66" s="1">
        <v>10</v>
      </c>
      <c r="D66" s="1">
        <v>2</v>
      </c>
      <c r="E66" s="1">
        <v>2</v>
      </c>
      <c r="F66" s="1">
        <v>1</v>
      </c>
      <c r="G66" s="1">
        <v>3</v>
      </c>
      <c r="H66" s="1">
        <v>2</v>
      </c>
      <c r="I66" s="4">
        <v>13.618</v>
      </c>
      <c r="J66" s="39">
        <v>31.3</v>
      </c>
      <c r="K66" s="39">
        <v>31.9</v>
      </c>
      <c r="L66" s="39">
        <v>31</v>
      </c>
      <c r="M66" s="39">
        <v>32</v>
      </c>
      <c r="N66" s="39">
        <v>30.6</v>
      </c>
      <c r="O66" s="39">
        <v>31.2</v>
      </c>
      <c r="P66" s="39">
        <v>31.4</v>
      </c>
      <c r="Q66" s="39">
        <v>30.4</v>
      </c>
      <c r="R66" s="39">
        <v>31</v>
      </c>
      <c r="S66" s="39">
        <v>30.1</v>
      </c>
      <c r="T66" s="39">
        <v>30.3</v>
      </c>
      <c r="U66" s="39">
        <v>30.5</v>
      </c>
      <c r="V66" s="5">
        <f t="shared" si="16"/>
        <v>30.975000000000005</v>
      </c>
      <c r="W66" s="4">
        <f t="shared" si="17"/>
        <v>0.1775784077783413</v>
      </c>
      <c r="X66" s="2">
        <f t="shared" si="9"/>
        <v>30.1</v>
      </c>
      <c r="Y66" s="3">
        <f t="shared" si="10"/>
        <v>30.475000000000001</v>
      </c>
      <c r="Z66" s="2">
        <f t="shared" si="11"/>
        <v>31</v>
      </c>
      <c r="AA66" s="3">
        <f t="shared" si="12"/>
        <v>31.324999999999999</v>
      </c>
      <c r="AB66" s="3">
        <f t="shared" si="13"/>
        <v>32</v>
      </c>
      <c r="AC66" s="3">
        <f t="shared" si="14"/>
        <v>0.31088897391454162</v>
      </c>
      <c r="AD66" s="3">
        <f t="shared" si="15"/>
        <v>-0.89045153261371013</v>
      </c>
    </row>
    <row r="67" spans="1:30" x14ac:dyDescent="0.2">
      <c r="A67" s="1">
        <v>302</v>
      </c>
      <c r="B67" s="1" t="s">
        <v>68</v>
      </c>
      <c r="C67" s="1">
        <v>4</v>
      </c>
      <c r="D67" s="1">
        <v>1</v>
      </c>
      <c r="E67" s="1">
        <v>2</v>
      </c>
      <c r="F67" s="1">
        <v>1</v>
      </c>
      <c r="G67" s="1">
        <v>3</v>
      </c>
      <c r="H67" s="1">
        <v>2</v>
      </c>
      <c r="I67" s="4">
        <v>13.635999999999999</v>
      </c>
      <c r="J67" s="39">
        <v>32</v>
      </c>
      <c r="K67" s="39">
        <v>32.200000000000003</v>
      </c>
      <c r="L67" s="39">
        <v>31.9</v>
      </c>
      <c r="M67" s="39">
        <v>32.6</v>
      </c>
      <c r="N67" s="39">
        <v>34.6</v>
      </c>
      <c r="O67" s="39">
        <v>33.200000000000003</v>
      </c>
      <c r="P67" s="39">
        <v>33.6</v>
      </c>
      <c r="Q67" s="39">
        <v>34</v>
      </c>
      <c r="R67" s="39">
        <v>33.700000000000003</v>
      </c>
      <c r="S67" s="39">
        <v>35.1</v>
      </c>
      <c r="T67" s="39">
        <v>34.9</v>
      </c>
      <c r="U67" s="39">
        <v>34.9</v>
      </c>
      <c r="V67" s="5">
        <f t="shared" si="16"/>
        <v>33.55833333333333</v>
      </c>
      <c r="W67" s="4">
        <f t="shared" si="17"/>
        <v>0.34100082940744536</v>
      </c>
      <c r="X67" s="2">
        <f t="shared" si="9"/>
        <v>31.9</v>
      </c>
      <c r="Y67" s="3">
        <f t="shared" si="10"/>
        <v>32.5</v>
      </c>
      <c r="Z67" s="2">
        <f t="shared" si="11"/>
        <v>33.650000000000006</v>
      </c>
      <c r="AA67" s="3">
        <f t="shared" si="12"/>
        <v>34.674999999999997</v>
      </c>
      <c r="AB67" s="3">
        <f t="shared" si="13"/>
        <v>35.1</v>
      </c>
      <c r="AC67" s="3">
        <f t="shared" si="14"/>
        <v>-0.13656893917135968</v>
      </c>
      <c r="AD67" s="3">
        <f t="shared" si="15"/>
        <v>-1.5189070482821276</v>
      </c>
    </row>
    <row r="68" spans="1:30" x14ac:dyDescent="0.2">
      <c r="A68" s="1">
        <v>303</v>
      </c>
      <c r="B68" s="1" t="s">
        <v>64</v>
      </c>
      <c r="C68" s="1">
        <v>8</v>
      </c>
      <c r="D68" s="1">
        <v>2</v>
      </c>
      <c r="E68" s="1">
        <v>1</v>
      </c>
      <c r="F68" s="1">
        <v>1</v>
      </c>
      <c r="G68" s="1">
        <v>3</v>
      </c>
      <c r="H68" s="1">
        <v>2</v>
      </c>
      <c r="I68" s="4">
        <v>13.656000000000001</v>
      </c>
      <c r="J68" s="39">
        <v>29.2</v>
      </c>
      <c r="K68" s="39">
        <v>30.8</v>
      </c>
      <c r="L68" s="39">
        <v>28.7</v>
      </c>
      <c r="M68" s="39">
        <v>28.8</v>
      </c>
      <c r="N68" s="39">
        <v>29.7</v>
      </c>
      <c r="O68" s="39">
        <v>31.2</v>
      </c>
      <c r="P68" s="39">
        <v>30.2</v>
      </c>
      <c r="Q68" s="39">
        <v>29.6</v>
      </c>
      <c r="R68" s="39">
        <v>30.2</v>
      </c>
      <c r="S68" s="39">
        <v>31.4</v>
      </c>
      <c r="T68" s="39">
        <v>31.2</v>
      </c>
      <c r="U68" s="39">
        <v>30.7</v>
      </c>
      <c r="V68" s="5">
        <f t="shared" si="16"/>
        <v>30.141666666666662</v>
      </c>
      <c r="W68" s="4">
        <f t="shared" si="17"/>
        <v>0.27287979741707485</v>
      </c>
      <c r="X68" s="2">
        <f t="shared" si="9"/>
        <v>28.7</v>
      </c>
      <c r="Y68" s="3">
        <f t="shared" si="10"/>
        <v>29.5</v>
      </c>
      <c r="Z68" s="2">
        <f t="shared" si="11"/>
        <v>30.2</v>
      </c>
      <c r="AA68" s="3">
        <f t="shared" si="12"/>
        <v>30.9</v>
      </c>
      <c r="AB68" s="3">
        <f t="shared" si="13"/>
        <v>31.4</v>
      </c>
      <c r="AC68" s="3">
        <f t="shared" si="14"/>
        <v>-0.21549260241803178</v>
      </c>
      <c r="AD68" s="3">
        <f t="shared" si="15"/>
        <v>-1.3154494725044499</v>
      </c>
    </row>
    <row r="69" spans="1:30" x14ac:dyDescent="0.2">
      <c r="A69" s="1">
        <v>304</v>
      </c>
      <c r="B69" s="1" t="s">
        <v>70</v>
      </c>
      <c r="C69" s="1">
        <v>2</v>
      </c>
      <c r="D69" s="1">
        <v>1</v>
      </c>
      <c r="E69" s="1">
        <v>1</v>
      </c>
      <c r="F69" s="1">
        <v>1</v>
      </c>
      <c r="G69" s="1">
        <v>3</v>
      </c>
      <c r="H69" s="1">
        <v>2</v>
      </c>
      <c r="I69" s="4">
        <v>13.672000000000001</v>
      </c>
      <c r="J69" s="39">
        <v>32.700000000000003</v>
      </c>
      <c r="K69" s="39">
        <v>32.299999999999997</v>
      </c>
      <c r="L69" s="39">
        <v>31</v>
      </c>
      <c r="M69" s="39">
        <v>30.8</v>
      </c>
      <c r="N69" s="39">
        <v>32</v>
      </c>
      <c r="O69" s="39">
        <v>33.1</v>
      </c>
      <c r="P69" s="39">
        <v>31.2</v>
      </c>
      <c r="Q69" s="39">
        <v>32.700000000000003</v>
      </c>
      <c r="R69" s="39">
        <v>30.6</v>
      </c>
      <c r="S69" s="39">
        <v>34.6</v>
      </c>
      <c r="T69" s="39">
        <v>30.9</v>
      </c>
      <c r="U69" s="39">
        <v>34.700000000000003</v>
      </c>
      <c r="V69" s="5">
        <f t="shared" si="16"/>
        <v>32.216666666666669</v>
      </c>
      <c r="W69" s="4">
        <f t="shared" si="17"/>
        <v>0.40840290069113067</v>
      </c>
      <c r="X69" s="2">
        <f t="shared" si="9"/>
        <v>30.6</v>
      </c>
      <c r="Y69" s="3">
        <f t="shared" si="10"/>
        <v>30.975000000000001</v>
      </c>
      <c r="Z69" s="2">
        <f t="shared" si="11"/>
        <v>32.15</v>
      </c>
      <c r="AA69" s="3">
        <f t="shared" si="12"/>
        <v>32.800000000000004</v>
      </c>
      <c r="AB69" s="3">
        <f t="shared" si="13"/>
        <v>34.700000000000003</v>
      </c>
      <c r="AC69" s="3">
        <f t="shared" si="14"/>
        <v>0.67632247589101802</v>
      </c>
      <c r="AD69" s="3">
        <f t="shared" si="15"/>
        <v>-0.56637637740317182</v>
      </c>
    </row>
    <row r="70" spans="1:30" x14ac:dyDescent="0.2">
      <c r="A70" s="1">
        <v>305</v>
      </c>
      <c r="B70" s="1" t="s">
        <v>67</v>
      </c>
      <c r="C70" s="1">
        <v>11</v>
      </c>
      <c r="D70" s="1">
        <v>2</v>
      </c>
      <c r="E70" s="1">
        <v>3</v>
      </c>
      <c r="F70" s="1">
        <v>2</v>
      </c>
      <c r="G70" s="1">
        <v>4</v>
      </c>
      <c r="H70" s="1">
        <v>2</v>
      </c>
      <c r="I70" s="4">
        <v>13.689</v>
      </c>
      <c r="J70" s="39">
        <v>30.5</v>
      </c>
      <c r="K70" s="39">
        <v>29.7</v>
      </c>
      <c r="L70" s="39">
        <v>29.7</v>
      </c>
      <c r="M70" s="39">
        <v>29.3</v>
      </c>
      <c r="N70" s="39">
        <v>30.1</v>
      </c>
      <c r="O70" s="39">
        <v>33.700000000000003</v>
      </c>
      <c r="P70" s="39">
        <v>31.4</v>
      </c>
      <c r="Q70" s="39">
        <v>34.4</v>
      </c>
      <c r="R70" s="39">
        <v>30.4</v>
      </c>
      <c r="S70" s="39">
        <v>29.6</v>
      </c>
      <c r="T70" s="39">
        <v>29.8</v>
      </c>
      <c r="U70" s="39">
        <v>30.9</v>
      </c>
      <c r="V70" s="5">
        <f t="shared" si="16"/>
        <v>30.791666666666668</v>
      </c>
      <c r="W70" s="4">
        <f t="shared" si="17"/>
        <v>0.47345575668202999</v>
      </c>
      <c r="X70" s="2">
        <f t="shared" si="9"/>
        <v>29.3</v>
      </c>
      <c r="Y70" s="3">
        <f t="shared" si="10"/>
        <v>29.7</v>
      </c>
      <c r="Z70" s="2">
        <f t="shared" si="11"/>
        <v>30.25</v>
      </c>
      <c r="AA70" s="3">
        <f t="shared" si="12"/>
        <v>31.024999999999999</v>
      </c>
      <c r="AB70" s="3">
        <f t="shared" si="13"/>
        <v>34.4</v>
      </c>
      <c r="AC70" s="3">
        <f t="shared" si="14"/>
        <v>1.5529484958854374</v>
      </c>
      <c r="AD70" s="3">
        <f t="shared" si="15"/>
        <v>1.4598089174666695</v>
      </c>
    </row>
    <row r="71" spans="1:30" x14ac:dyDescent="0.2">
      <c r="A71" s="1">
        <v>306</v>
      </c>
      <c r="B71" s="1" t="s">
        <v>68</v>
      </c>
      <c r="C71" s="1">
        <v>4</v>
      </c>
      <c r="D71" s="1">
        <v>1</v>
      </c>
      <c r="E71" s="1">
        <v>2</v>
      </c>
      <c r="F71" s="1">
        <v>1</v>
      </c>
      <c r="G71" s="1">
        <v>4</v>
      </c>
      <c r="H71" s="1">
        <v>2</v>
      </c>
      <c r="I71" s="4">
        <v>13.705</v>
      </c>
      <c r="J71" s="39">
        <v>35.4</v>
      </c>
      <c r="K71" s="39">
        <v>35</v>
      </c>
      <c r="L71" s="39">
        <v>32.799999999999997</v>
      </c>
      <c r="M71" s="39">
        <v>34.200000000000003</v>
      </c>
      <c r="N71" s="39">
        <v>32.200000000000003</v>
      </c>
      <c r="O71" s="39">
        <v>34.200000000000003</v>
      </c>
      <c r="P71" s="39">
        <v>32.799999999999997</v>
      </c>
      <c r="Q71" s="39">
        <v>35.5</v>
      </c>
      <c r="R71" s="39">
        <v>34.5</v>
      </c>
      <c r="S71" s="39">
        <v>35</v>
      </c>
      <c r="T71" s="39">
        <v>32.4</v>
      </c>
      <c r="U71" s="39">
        <v>34.200000000000003</v>
      </c>
      <c r="V71" s="5">
        <f t="shared" si="16"/>
        <v>34.016666666666666</v>
      </c>
      <c r="W71" s="4">
        <f t="shared" si="17"/>
        <v>0.3399717754179134</v>
      </c>
      <c r="X71" s="2">
        <f t="shared" si="9"/>
        <v>32.200000000000003</v>
      </c>
      <c r="Y71" s="3">
        <f t="shared" si="10"/>
        <v>32.799999999999997</v>
      </c>
      <c r="Z71" s="2">
        <f t="shared" si="11"/>
        <v>34.200000000000003</v>
      </c>
      <c r="AA71" s="3">
        <f t="shared" si="12"/>
        <v>35</v>
      </c>
      <c r="AB71" s="3">
        <f t="shared" si="13"/>
        <v>35.5</v>
      </c>
      <c r="AC71" s="3">
        <f t="shared" si="14"/>
        <v>-0.39262988620931399</v>
      </c>
      <c r="AD71" s="3">
        <f t="shared" si="15"/>
        <v>-1.3681714993640051</v>
      </c>
    </row>
    <row r="72" spans="1:30" x14ac:dyDescent="0.2">
      <c r="A72" s="1">
        <v>307</v>
      </c>
      <c r="B72" s="1" t="s">
        <v>63</v>
      </c>
      <c r="C72" s="1">
        <v>9</v>
      </c>
      <c r="D72" s="1">
        <v>2</v>
      </c>
      <c r="E72" s="1">
        <v>2</v>
      </c>
      <c r="F72" s="1">
        <v>2</v>
      </c>
      <c r="G72" s="1">
        <v>4</v>
      </c>
      <c r="H72" s="1">
        <v>2</v>
      </c>
      <c r="I72" s="4">
        <v>13.722</v>
      </c>
      <c r="J72" s="39">
        <v>32.4</v>
      </c>
      <c r="K72" s="39">
        <v>32.200000000000003</v>
      </c>
      <c r="L72" s="39">
        <v>31.9</v>
      </c>
      <c r="M72" s="39">
        <v>30.3</v>
      </c>
      <c r="N72" s="39">
        <v>31.8</v>
      </c>
      <c r="O72" s="39">
        <v>31.7</v>
      </c>
      <c r="P72" s="39">
        <v>30.7</v>
      </c>
      <c r="Q72" s="39">
        <v>30.8</v>
      </c>
      <c r="R72" s="39">
        <v>30.9</v>
      </c>
      <c r="S72" s="39">
        <v>32.700000000000003</v>
      </c>
      <c r="T72" s="39">
        <v>29.3</v>
      </c>
      <c r="U72" s="39">
        <v>30.6</v>
      </c>
      <c r="V72" s="5">
        <f t="shared" si="16"/>
        <v>31.275000000000002</v>
      </c>
      <c r="W72" s="4">
        <f t="shared" si="17"/>
        <v>0.28870793672372908</v>
      </c>
      <c r="X72" s="2">
        <f t="shared" si="9"/>
        <v>29.3</v>
      </c>
      <c r="Y72" s="3">
        <f t="shared" si="10"/>
        <v>30.675000000000001</v>
      </c>
      <c r="Z72" s="2">
        <f t="shared" si="11"/>
        <v>31.299999999999997</v>
      </c>
      <c r="AA72" s="3">
        <f t="shared" si="12"/>
        <v>31.975000000000001</v>
      </c>
      <c r="AB72" s="3">
        <f t="shared" si="13"/>
        <v>32.700000000000003</v>
      </c>
      <c r="AC72" s="3">
        <f t="shared" si="14"/>
        <v>-0.40498465647747128</v>
      </c>
      <c r="AD72" s="3">
        <f t="shared" si="15"/>
        <v>-0.3753507302800978</v>
      </c>
    </row>
    <row r="73" spans="1:30" x14ac:dyDescent="0.2">
      <c r="A73" s="1">
        <v>308</v>
      </c>
      <c r="B73" s="1" t="s">
        <v>73</v>
      </c>
      <c r="C73" s="1">
        <v>5</v>
      </c>
      <c r="D73" s="1">
        <v>1</v>
      </c>
      <c r="E73" s="1">
        <v>3</v>
      </c>
      <c r="F73" s="1">
        <v>2</v>
      </c>
      <c r="G73" s="1">
        <v>4</v>
      </c>
      <c r="H73" s="1">
        <v>2</v>
      </c>
      <c r="I73" s="4">
        <v>13.74</v>
      </c>
      <c r="J73" s="39">
        <v>37.700000000000003</v>
      </c>
      <c r="K73" s="39">
        <v>36.4</v>
      </c>
      <c r="L73" s="39">
        <v>35.299999999999997</v>
      </c>
      <c r="M73" s="39">
        <v>36.200000000000003</v>
      </c>
      <c r="N73" s="39">
        <v>33.799999999999997</v>
      </c>
      <c r="O73" s="39">
        <v>34.5</v>
      </c>
      <c r="P73" s="39">
        <v>36.799999999999997</v>
      </c>
      <c r="Q73" s="39">
        <v>40.799999999999997</v>
      </c>
      <c r="R73" s="39">
        <v>41</v>
      </c>
      <c r="S73" s="39">
        <v>39.6</v>
      </c>
      <c r="T73" s="39">
        <v>38.799999999999997</v>
      </c>
      <c r="U73" s="39">
        <v>38.799999999999997</v>
      </c>
      <c r="V73" s="5">
        <f t="shared" si="16"/>
        <v>37.475000000000001</v>
      </c>
      <c r="W73" s="4">
        <f t="shared" si="17"/>
        <v>0.68469468975728021</v>
      </c>
      <c r="X73" s="2">
        <f t="shared" si="9"/>
        <v>33.799999999999997</v>
      </c>
      <c r="Y73" s="3">
        <f t="shared" si="10"/>
        <v>35.975000000000001</v>
      </c>
      <c r="Z73" s="2">
        <f t="shared" si="11"/>
        <v>37.25</v>
      </c>
      <c r="AA73" s="3">
        <f t="shared" si="12"/>
        <v>39</v>
      </c>
      <c r="AB73" s="3">
        <f t="shared" si="13"/>
        <v>41</v>
      </c>
      <c r="AC73" s="3">
        <f t="shared" si="14"/>
        <v>4.0423807278327041E-2</v>
      </c>
      <c r="AD73" s="3">
        <f t="shared" si="15"/>
        <v>-1.0933497334956468</v>
      </c>
    </row>
    <row r="74" spans="1:30" x14ac:dyDescent="0.2">
      <c r="A74" s="1">
        <v>401</v>
      </c>
      <c r="B74" s="1" t="s">
        <v>65</v>
      </c>
      <c r="C74" s="1">
        <v>7</v>
      </c>
      <c r="D74" s="1">
        <v>2</v>
      </c>
      <c r="E74" s="1">
        <v>1</v>
      </c>
      <c r="F74" s="1">
        <v>2</v>
      </c>
      <c r="G74" s="1">
        <v>3</v>
      </c>
      <c r="H74" s="1">
        <v>2</v>
      </c>
      <c r="I74" s="1">
        <v>13.917</v>
      </c>
      <c r="J74" s="39">
        <v>33.1</v>
      </c>
      <c r="K74" s="39">
        <v>30.8</v>
      </c>
      <c r="L74" s="39">
        <v>34.6</v>
      </c>
      <c r="M74" s="39">
        <v>30.9</v>
      </c>
      <c r="N74" s="39">
        <v>30.2</v>
      </c>
      <c r="O74" s="39">
        <v>31.2</v>
      </c>
      <c r="P74" s="39">
        <v>30.5</v>
      </c>
      <c r="Q74" s="39">
        <v>29.9</v>
      </c>
      <c r="R74" s="39">
        <v>33.5</v>
      </c>
      <c r="S74" s="39">
        <v>30.7</v>
      </c>
      <c r="T74" s="39">
        <v>31.2</v>
      </c>
      <c r="U74" s="39">
        <v>30.2</v>
      </c>
      <c r="V74" s="5">
        <f t="shared" ref="V74:V85" si="18">AVERAGE(J74:U74)</f>
        <v>31.399999999999995</v>
      </c>
      <c r="W74" s="4">
        <f t="shared" ref="W74:W85" si="19">STDEV(J74:U74)/SQRT(COUNT(J74:U74))</f>
        <v>0.43222468904284267</v>
      </c>
      <c r="X74" s="2"/>
      <c r="Y74" s="3"/>
      <c r="Z74" s="2"/>
      <c r="AA74" s="3"/>
      <c r="AB74" s="3"/>
      <c r="AC74" s="3"/>
      <c r="AD74" s="3"/>
    </row>
    <row r="75" spans="1:30" x14ac:dyDescent="0.2">
      <c r="A75" s="1">
        <v>402</v>
      </c>
      <c r="B75" s="1" t="s">
        <v>63</v>
      </c>
      <c r="C75" s="1">
        <v>9</v>
      </c>
      <c r="D75" s="1">
        <v>2</v>
      </c>
      <c r="E75" s="1">
        <v>2</v>
      </c>
      <c r="F75" s="1">
        <v>2</v>
      </c>
      <c r="G75" s="1">
        <v>3</v>
      </c>
      <c r="H75" s="1">
        <v>2</v>
      </c>
      <c r="I75" s="1">
        <v>13.898999999999999</v>
      </c>
      <c r="J75" s="39">
        <v>29.7</v>
      </c>
      <c r="K75" s="39">
        <v>28.8</v>
      </c>
      <c r="L75" s="39">
        <v>31</v>
      </c>
      <c r="M75" s="39">
        <v>31</v>
      </c>
      <c r="N75" s="39">
        <v>30.3</v>
      </c>
      <c r="O75" s="39">
        <v>29.5</v>
      </c>
      <c r="P75" s="39">
        <v>30.7</v>
      </c>
      <c r="Q75" s="39">
        <v>31.1</v>
      </c>
      <c r="R75" s="39">
        <v>29.6</v>
      </c>
      <c r="S75" s="39">
        <v>30.4</v>
      </c>
      <c r="T75" s="39">
        <v>29.7</v>
      </c>
      <c r="U75" s="39">
        <v>30.9</v>
      </c>
      <c r="V75" s="5">
        <f t="shared" si="18"/>
        <v>30.224999999999994</v>
      </c>
      <c r="W75" s="4">
        <f t="shared" si="19"/>
        <v>0.2164188559532676</v>
      </c>
      <c r="X75" s="2"/>
      <c r="Y75" s="3"/>
      <c r="Z75" s="2"/>
      <c r="AA75" s="3"/>
      <c r="AB75" s="3"/>
      <c r="AC75" s="3"/>
      <c r="AD75" s="3"/>
    </row>
    <row r="76" spans="1:30" x14ac:dyDescent="0.2">
      <c r="A76" s="1">
        <v>403</v>
      </c>
      <c r="B76" s="1" t="s">
        <v>72</v>
      </c>
      <c r="C76" s="1">
        <v>6</v>
      </c>
      <c r="D76" s="1">
        <v>1</v>
      </c>
      <c r="E76" s="1">
        <v>3</v>
      </c>
      <c r="F76" s="1">
        <v>1</v>
      </c>
      <c r="G76" s="1">
        <v>3</v>
      </c>
      <c r="H76" s="1">
        <v>2</v>
      </c>
      <c r="I76" s="4">
        <v>13.878</v>
      </c>
      <c r="J76" s="39">
        <v>34.299999999999997</v>
      </c>
      <c r="K76" s="39">
        <v>33.799999999999997</v>
      </c>
      <c r="L76" s="39">
        <v>34.5</v>
      </c>
      <c r="M76" s="39">
        <v>35.299999999999997</v>
      </c>
      <c r="N76" s="39">
        <v>33.200000000000003</v>
      </c>
      <c r="O76" s="39">
        <v>34.700000000000003</v>
      </c>
      <c r="P76" s="39">
        <v>34.700000000000003</v>
      </c>
      <c r="Q76" s="39">
        <v>34.6</v>
      </c>
      <c r="R76" s="39">
        <v>33.4</v>
      </c>
      <c r="S76" s="39">
        <v>34.1</v>
      </c>
      <c r="T76" s="39">
        <v>34.200000000000003</v>
      </c>
      <c r="U76" s="39">
        <v>33.1</v>
      </c>
      <c r="V76" s="5">
        <f t="shared" si="18"/>
        <v>34.158333333333331</v>
      </c>
      <c r="W76" s="4">
        <f t="shared" si="19"/>
        <v>0.19402371509741276</v>
      </c>
      <c r="X76" s="2">
        <f t="shared" ref="X76:X85" si="20">MIN(J76:U76)</f>
        <v>33.1</v>
      </c>
      <c r="Y76" s="3">
        <f t="shared" ref="Y76:Y85" si="21">QUARTILE(J76:U76,1)</f>
        <v>33.699999999999996</v>
      </c>
      <c r="Z76" s="2">
        <f t="shared" ref="Z76:Z85" si="22">MEDIAN(J76:U76)</f>
        <v>34.25</v>
      </c>
      <c r="AA76" s="3">
        <f t="shared" ref="AA76:AA85" si="23">QUARTILE(J76:U76,3)</f>
        <v>34.625</v>
      </c>
      <c r="AB76" s="3">
        <f t="shared" ref="AB76:AB85" si="24">MAX(J76:U76)</f>
        <v>35.299999999999997</v>
      </c>
      <c r="AC76" s="3">
        <f t="shared" ref="AC76:AC85" si="25">SKEW(J76:U76)</f>
        <v>-0.22024338748826608</v>
      </c>
      <c r="AD76" s="3">
        <f t="shared" ref="AD76:AD85" si="26">KURT(J76:U76)</f>
        <v>-0.66027528639705313</v>
      </c>
    </row>
    <row r="77" spans="1:30" x14ac:dyDescent="0.2">
      <c r="A77" s="1">
        <v>404</v>
      </c>
      <c r="B77" s="1" t="s">
        <v>69</v>
      </c>
      <c r="C77" s="1">
        <v>3</v>
      </c>
      <c r="D77" s="1">
        <v>1</v>
      </c>
      <c r="E77" s="1">
        <v>2</v>
      </c>
      <c r="F77" s="1">
        <v>2</v>
      </c>
      <c r="G77" s="1">
        <v>3</v>
      </c>
      <c r="H77" s="1">
        <v>2</v>
      </c>
      <c r="I77" s="4">
        <v>13.859</v>
      </c>
      <c r="J77" s="39">
        <v>33</v>
      </c>
      <c r="K77" s="39">
        <v>32.4</v>
      </c>
      <c r="L77" s="39">
        <v>33.299999999999997</v>
      </c>
      <c r="M77" s="39">
        <v>33</v>
      </c>
      <c r="N77" s="39">
        <v>32.700000000000003</v>
      </c>
      <c r="O77" s="39">
        <v>34</v>
      </c>
      <c r="P77" s="39">
        <v>32.4</v>
      </c>
      <c r="Q77" s="39">
        <v>32.4</v>
      </c>
      <c r="R77" s="39">
        <v>33.299999999999997</v>
      </c>
      <c r="S77" s="39">
        <v>32.1</v>
      </c>
      <c r="T77" s="39">
        <v>33.9</v>
      </c>
      <c r="U77" s="39">
        <v>33.4</v>
      </c>
      <c r="V77" s="5">
        <f t="shared" si="18"/>
        <v>32.991666666666667</v>
      </c>
      <c r="W77" s="4">
        <f t="shared" si="19"/>
        <v>0.17686595392150978</v>
      </c>
      <c r="X77" s="2">
        <f t="shared" si="20"/>
        <v>32.1</v>
      </c>
      <c r="Y77" s="3">
        <f t="shared" si="21"/>
        <v>32.4</v>
      </c>
      <c r="Z77" s="2">
        <f t="shared" si="22"/>
        <v>33</v>
      </c>
      <c r="AA77" s="3">
        <f t="shared" si="23"/>
        <v>33.324999999999996</v>
      </c>
      <c r="AB77" s="3">
        <f t="shared" si="24"/>
        <v>34</v>
      </c>
      <c r="AC77" s="3">
        <f t="shared" si="25"/>
        <v>0.25909818872789697</v>
      </c>
      <c r="AD77" s="3">
        <f t="shared" si="26"/>
        <v>-0.93862377543196462</v>
      </c>
    </row>
    <row r="78" spans="1:30" x14ac:dyDescent="0.2">
      <c r="A78" s="1">
        <v>405</v>
      </c>
      <c r="B78" s="1" t="s">
        <v>72</v>
      </c>
      <c r="C78" s="1">
        <v>6</v>
      </c>
      <c r="D78" s="1">
        <v>1</v>
      </c>
      <c r="E78" s="1">
        <v>3</v>
      </c>
      <c r="F78" s="1">
        <v>1</v>
      </c>
      <c r="G78" s="1">
        <v>4</v>
      </c>
      <c r="H78" s="1">
        <v>2</v>
      </c>
      <c r="I78" s="4">
        <v>13.836</v>
      </c>
      <c r="J78" s="39">
        <v>39</v>
      </c>
      <c r="K78" s="39">
        <v>38.700000000000003</v>
      </c>
      <c r="L78" s="39">
        <v>36.1</v>
      </c>
      <c r="M78" s="39">
        <v>35.6</v>
      </c>
      <c r="N78" s="39">
        <v>32.9</v>
      </c>
      <c r="O78" s="39">
        <v>32.700000000000003</v>
      </c>
      <c r="P78" s="39">
        <v>33.5</v>
      </c>
      <c r="Q78" s="39">
        <v>33.299999999999997</v>
      </c>
      <c r="R78" s="39">
        <v>34.700000000000003</v>
      </c>
      <c r="S78" s="39">
        <v>36.200000000000003</v>
      </c>
      <c r="T78" s="39">
        <v>35.200000000000003</v>
      </c>
      <c r="U78" s="39">
        <v>37.5</v>
      </c>
      <c r="V78" s="5">
        <f t="shared" si="18"/>
        <v>35.449999999999996</v>
      </c>
      <c r="W78" s="4">
        <f t="shared" si="19"/>
        <v>0.62456045149829797</v>
      </c>
      <c r="X78" s="2">
        <f t="shared" si="20"/>
        <v>32.700000000000003</v>
      </c>
      <c r="Y78" s="3">
        <f t="shared" si="21"/>
        <v>33.450000000000003</v>
      </c>
      <c r="Z78" s="2">
        <f t="shared" si="22"/>
        <v>35.400000000000006</v>
      </c>
      <c r="AA78" s="3">
        <f t="shared" si="23"/>
        <v>36.525000000000006</v>
      </c>
      <c r="AB78" s="3">
        <f t="shared" si="24"/>
        <v>39</v>
      </c>
      <c r="AC78" s="3">
        <f t="shared" si="25"/>
        <v>0.35776788730217651</v>
      </c>
      <c r="AD78" s="3">
        <f t="shared" si="26"/>
        <v>-0.98287264292642229</v>
      </c>
    </row>
    <row r="79" spans="1:30" x14ac:dyDescent="0.2">
      <c r="A79" s="1">
        <v>406</v>
      </c>
      <c r="B79" s="1" t="s">
        <v>69</v>
      </c>
      <c r="C79" s="1">
        <v>3</v>
      </c>
      <c r="D79" s="1">
        <v>1</v>
      </c>
      <c r="E79" s="1">
        <v>2</v>
      </c>
      <c r="F79" s="1">
        <v>2</v>
      </c>
      <c r="G79" s="1">
        <v>4</v>
      </c>
      <c r="H79" s="1">
        <v>2</v>
      </c>
      <c r="I79" s="4">
        <v>13.816000000000001</v>
      </c>
      <c r="J79" s="39">
        <v>33.4</v>
      </c>
      <c r="K79" s="39">
        <v>34</v>
      </c>
      <c r="L79" s="39">
        <v>34.9</v>
      </c>
      <c r="M79" s="39">
        <v>33.299999999999997</v>
      </c>
      <c r="N79" s="39">
        <v>35.5</v>
      </c>
      <c r="O79" s="39">
        <v>34.200000000000003</v>
      </c>
      <c r="P79" s="39">
        <v>35.5</v>
      </c>
      <c r="Q79" s="39">
        <v>35</v>
      </c>
      <c r="R79" s="39">
        <v>33.6</v>
      </c>
      <c r="S79" s="39">
        <v>34.799999999999997</v>
      </c>
      <c r="T79" s="39">
        <v>32.700000000000003</v>
      </c>
      <c r="U79" s="39">
        <v>34.200000000000003</v>
      </c>
      <c r="V79" s="5">
        <f t="shared" si="18"/>
        <v>34.258333333333333</v>
      </c>
      <c r="W79" s="4">
        <f t="shared" si="19"/>
        <v>0.2600869124354433</v>
      </c>
      <c r="X79" s="2">
        <f t="shared" si="20"/>
        <v>32.700000000000003</v>
      </c>
      <c r="Y79" s="3">
        <f t="shared" si="21"/>
        <v>33.549999999999997</v>
      </c>
      <c r="Z79" s="2">
        <f t="shared" si="22"/>
        <v>34.200000000000003</v>
      </c>
      <c r="AA79" s="3">
        <f t="shared" si="23"/>
        <v>34.924999999999997</v>
      </c>
      <c r="AB79" s="3">
        <f t="shared" si="24"/>
        <v>35.5</v>
      </c>
      <c r="AC79" s="3">
        <f t="shared" si="25"/>
        <v>-0.14021117580653428</v>
      </c>
      <c r="AD79" s="3">
        <f t="shared" si="26"/>
        <v>-0.97525700993086906</v>
      </c>
    </row>
    <row r="80" spans="1:30" x14ac:dyDescent="0.2">
      <c r="A80" s="1">
        <v>407</v>
      </c>
      <c r="B80" s="1" t="s">
        <v>65</v>
      </c>
      <c r="C80" s="1">
        <v>7</v>
      </c>
      <c r="D80" s="1">
        <v>2</v>
      </c>
      <c r="E80" s="1">
        <v>1</v>
      </c>
      <c r="F80" s="1">
        <v>2</v>
      </c>
      <c r="G80" s="1">
        <v>4</v>
      </c>
      <c r="H80" s="1">
        <v>2</v>
      </c>
      <c r="I80" s="4">
        <v>13.795</v>
      </c>
      <c r="J80" s="39">
        <v>30.4</v>
      </c>
      <c r="K80" s="39">
        <v>29.3</v>
      </c>
      <c r="L80" s="39">
        <v>30.2</v>
      </c>
      <c r="M80" s="39">
        <v>31.2</v>
      </c>
      <c r="N80" s="39">
        <v>30.7</v>
      </c>
      <c r="O80" s="39">
        <v>29.6</v>
      </c>
      <c r="P80" s="39">
        <v>29.1</v>
      </c>
      <c r="Q80" s="39">
        <v>31.2</v>
      </c>
      <c r="R80" s="39">
        <v>28.6</v>
      </c>
      <c r="S80" s="39">
        <v>29.3</v>
      </c>
      <c r="T80" s="39">
        <v>29</v>
      </c>
      <c r="U80" s="39">
        <v>29.5</v>
      </c>
      <c r="V80" s="5">
        <f t="shared" si="18"/>
        <v>29.841666666666669</v>
      </c>
      <c r="W80" s="4">
        <f t="shared" si="19"/>
        <v>0.25270006575448911</v>
      </c>
      <c r="X80" s="2">
        <f t="shared" si="20"/>
        <v>28.6</v>
      </c>
      <c r="Y80" s="3">
        <f t="shared" si="21"/>
        <v>29.25</v>
      </c>
      <c r="Z80" s="2">
        <f t="shared" si="22"/>
        <v>29.55</v>
      </c>
      <c r="AA80" s="3">
        <f t="shared" si="23"/>
        <v>30.474999999999998</v>
      </c>
      <c r="AB80" s="3">
        <f t="shared" si="24"/>
        <v>31.2</v>
      </c>
      <c r="AC80" s="3">
        <f t="shared" si="25"/>
        <v>0.41868864254400245</v>
      </c>
      <c r="AD80" s="3">
        <f t="shared" si="26"/>
        <v>-1.125579650138095</v>
      </c>
    </row>
    <row r="81" spans="1:30" x14ac:dyDescent="0.2">
      <c r="A81" s="1">
        <v>408</v>
      </c>
      <c r="B81" s="1" t="s">
        <v>62</v>
      </c>
      <c r="C81" s="1">
        <v>10</v>
      </c>
      <c r="D81" s="1">
        <v>2</v>
      </c>
      <c r="E81" s="1">
        <v>2</v>
      </c>
      <c r="F81" s="1">
        <v>1</v>
      </c>
      <c r="G81" s="1">
        <v>4</v>
      </c>
      <c r="H81" s="1">
        <v>2</v>
      </c>
      <c r="I81" s="4">
        <v>13.773</v>
      </c>
      <c r="J81" s="39">
        <v>30.8</v>
      </c>
      <c r="K81" s="39">
        <v>31.6</v>
      </c>
      <c r="L81" s="39">
        <v>30.4</v>
      </c>
      <c r="M81" s="39">
        <v>33</v>
      </c>
      <c r="N81" s="39">
        <v>33.700000000000003</v>
      </c>
      <c r="O81" s="39">
        <v>32.200000000000003</v>
      </c>
      <c r="P81" s="39">
        <v>31.9</v>
      </c>
      <c r="Q81" s="39">
        <v>31.8</v>
      </c>
      <c r="R81" s="39">
        <v>31.9</v>
      </c>
      <c r="S81" s="39">
        <v>32.299999999999997</v>
      </c>
      <c r="T81" s="39">
        <v>30.3</v>
      </c>
      <c r="U81" s="39">
        <v>31.6</v>
      </c>
      <c r="V81" s="5">
        <f t="shared" si="18"/>
        <v>31.791666666666671</v>
      </c>
      <c r="W81" s="4">
        <f t="shared" si="19"/>
        <v>0.28563017340539504</v>
      </c>
      <c r="X81" s="2">
        <f t="shared" si="20"/>
        <v>30.3</v>
      </c>
      <c r="Y81" s="3">
        <f t="shared" si="21"/>
        <v>31.400000000000002</v>
      </c>
      <c r="Z81" s="2">
        <f t="shared" si="22"/>
        <v>31.85</v>
      </c>
      <c r="AA81" s="3">
        <f t="shared" si="23"/>
        <v>32.225000000000001</v>
      </c>
      <c r="AB81" s="3">
        <f t="shared" si="24"/>
        <v>33.700000000000003</v>
      </c>
      <c r="AC81" s="3">
        <f t="shared" si="25"/>
        <v>0.21535053571207793</v>
      </c>
      <c r="AD81" s="3">
        <f t="shared" si="26"/>
        <v>0.10314521881697569</v>
      </c>
    </row>
    <row r="82" spans="1:30" x14ac:dyDescent="0.2">
      <c r="A82" s="1">
        <v>902</v>
      </c>
      <c r="B82" s="1" t="s">
        <v>76</v>
      </c>
      <c r="C82" s="1">
        <v>22</v>
      </c>
      <c r="D82" s="1">
        <v>4</v>
      </c>
      <c r="E82" s="1">
        <v>2</v>
      </c>
      <c r="F82" s="1">
        <v>2</v>
      </c>
      <c r="G82" s="1">
        <v>1</v>
      </c>
      <c r="H82" s="1">
        <v>2</v>
      </c>
      <c r="I82" s="4">
        <v>13.58</v>
      </c>
      <c r="J82" s="39">
        <v>31</v>
      </c>
      <c r="K82" s="39">
        <v>31.3</v>
      </c>
      <c r="L82" s="39">
        <v>30.4</v>
      </c>
      <c r="M82" s="39">
        <v>31.8</v>
      </c>
      <c r="N82" s="39">
        <v>31.3</v>
      </c>
      <c r="O82" s="39">
        <v>31.3</v>
      </c>
      <c r="P82" s="39">
        <v>30.3</v>
      </c>
      <c r="Q82" s="39">
        <v>31.7</v>
      </c>
      <c r="R82" s="39">
        <v>30</v>
      </c>
      <c r="S82" s="39">
        <v>30</v>
      </c>
      <c r="T82" s="39">
        <v>31.2</v>
      </c>
      <c r="U82" s="39">
        <v>30.9</v>
      </c>
      <c r="V82" s="5">
        <f t="shared" si="18"/>
        <v>30.933333333333334</v>
      </c>
      <c r="W82" s="4">
        <f t="shared" si="19"/>
        <v>0.17936476011668845</v>
      </c>
      <c r="X82" s="2">
        <f t="shared" si="20"/>
        <v>30</v>
      </c>
      <c r="Y82" s="3">
        <f t="shared" si="21"/>
        <v>30.375</v>
      </c>
      <c r="Z82" s="2">
        <f t="shared" si="22"/>
        <v>31.1</v>
      </c>
      <c r="AA82" s="3">
        <f t="shared" si="23"/>
        <v>31.3</v>
      </c>
      <c r="AB82" s="3">
        <f t="shared" si="24"/>
        <v>31.8</v>
      </c>
      <c r="AC82" s="3">
        <f t="shared" si="25"/>
        <v>-0.34705084467728908</v>
      </c>
      <c r="AD82" s="3">
        <f t="shared" si="26"/>
        <v>-1.1487040656136887</v>
      </c>
    </row>
    <row r="83" spans="1:30" x14ac:dyDescent="0.2">
      <c r="A83" s="1">
        <v>904</v>
      </c>
      <c r="B83" s="1" t="s">
        <v>75</v>
      </c>
      <c r="C83" s="1">
        <v>21</v>
      </c>
      <c r="D83" s="1">
        <v>3</v>
      </c>
      <c r="E83" s="1">
        <v>2</v>
      </c>
      <c r="F83" s="1">
        <v>2</v>
      </c>
      <c r="G83" s="1">
        <v>1</v>
      </c>
      <c r="H83" s="1">
        <v>2</v>
      </c>
      <c r="I83" s="4">
        <v>13.55</v>
      </c>
      <c r="J83" s="39">
        <v>34.799999999999997</v>
      </c>
      <c r="K83" s="39">
        <v>34.9</v>
      </c>
      <c r="L83" s="39">
        <v>36</v>
      </c>
      <c r="M83" s="39">
        <v>38.299999999999997</v>
      </c>
      <c r="N83" s="39">
        <v>35.799999999999997</v>
      </c>
      <c r="O83" s="39">
        <v>36.1</v>
      </c>
      <c r="P83" s="39">
        <v>32.299999999999997</v>
      </c>
      <c r="Q83" s="39">
        <v>37.799999999999997</v>
      </c>
      <c r="R83" s="39">
        <v>37.6</v>
      </c>
      <c r="S83" s="39">
        <v>38.4</v>
      </c>
      <c r="T83" s="39">
        <v>32</v>
      </c>
      <c r="U83" s="39">
        <v>39.5</v>
      </c>
      <c r="V83" s="5">
        <f t="shared" si="18"/>
        <v>36.125</v>
      </c>
      <c r="W83" s="4">
        <f t="shared" si="19"/>
        <v>0.68147845071423863</v>
      </c>
      <c r="X83" s="2">
        <f t="shared" si="20"/>
        <v>32</v>
      </c>
      <c r="Y83" s="3">
        <f t="shared" si="21"/>
        <v>34.875</v>
      </c>
      <c r="Z83" s="2">
        <f t="shared" si="22"/>
        <v>36.049999999999997</v>
      </c>
      <c r="AA83" s="3">
        <f t="shared" si="23"/>
        <v>37.924999999999997</v>
      </c>
      <c r="AB83" s="3">
        <f t="shared" si="24"/>
        <v>39.5</v>
      </c>
      <c r="AC83" s="3">
        <f t="shared" si="25"/>
        <v>-0.51358176922062526</v>
      </c>
      <c r="AD83" s="3">
        <f t="shared" si="26"/>
        <v>-0.47951595537755853</v>
      </c>
    </row>
    <row r="84" spans="1:30" x14ac:dyDescent="0.2">
      <c r="A84" s="1">
        <v>906</v>
      </c>
      <c r="B84" s="1" t="s">
        <v>76</v>
      </c>
      <c r="C84" s="1">
        <v>22</v>
      </c>
      <c r="D84" s="1">
        <v>4</v>
      </c>
      <c r="E84" s="1">
        <v>2</v>
      </c>
      <c r="F84" s="1">
        <v>2</v>
      </c>
      <c r="G84" s="1">
        <v>2</v>
      </c>
      <c r="H84" s="1">
        <v>2</v>
      </c>
      <c r="I84" s="4">
        <v>13.52</v>
      </c>
      <c r="J84" s="39">
        <v>29.8</v>
      </c>
      <c r="K84" s="39">
        <v>27.6</v>
      </c>
      <c r="L84" s="39">
        <v>28.7</v>
      </c>
      <c r="M84" s="39">
        <v>29</v>
      </c>
      <c r="N84" s="39">
        <v>28.8</v>
      </c>
      <c r="O84" s="39">
        <v>28.5</v>
      </c>
      <c r="P84" s="39">
        <v>29.5</v>
      </c>
      <c r="Q84" s="39">
        <v>29.9</v>
      </c>
      <c r="R84" s="39">
        <v>28.9</v>
      </c>
      <c r="S84" s="39">
        <v>28.2</v>
      </c>
      <c r="T84" s="39">
        <v>30.3</v>
      </c>
      <c r="U84" s="39">
        <v>30.2</v>
      </c>
      <c r="V84" s="5">
        <f t="shared" si="18"/>
        <v>29.116666666666664</v>
      </c>
      <c r="W84" s="4">
        <f t="shared" si="19"/>
        <v>0.24084237688797727</v>
      </c>
      <c r="X84" s="2">
        <f t="shared" si="20"/>
        <v>27.6</v>
      </c>
      <c r="Y84" s="3">
        <f t="shared" si="21"/>
        <v>28.65</v>
      </c>
      <c r="Z84" s="2">
        <f t="shared" si="22"/>
        <v>28.95</v>
      </c>
      <c r="AA84" s="3">
        <f t="shared" si="23"/>
        <v>29.824999999999999</v>
      </c>
      <c r="AB84" s="3">
        <f t="shared" si="24"/>
        <v>30.3</v>
      </c>
      <c r="AC84" s="3">
        <f t="shared" si="25"/>
        <v>-0.15495779635659249</v>
      </c>
      <c r="AD84" s="3">
        <f t="shared" si="26"/>
        <v>-0.73584583173260043</v>
      </c>
    </row>
    <row r="85" spans="1:30" x14ac:dyDescent="0.2">
      <c r="A85" s="1">
        <v>908</v>
      </c>
      <c r="B85" s="1" t="s">
        <v>75</v>
      </c>
      <c r="C85" s="1">
        <v>21</v>
      </c>
      <c r="D85" s="1">
        <v>3</v>
      </c>
      <c r="E85" s="1">
        <v>2</v>
      </c>
      <c r="F85" s="1">
        <v>2</v>
      </c>
      <c r="G85" s="1">
        <v>2</v>
      </c>
      <c r="H85" s="1">
        <v>2</v>
      </c>
      <c r="I85" s="4">
        <v>13.489000000000001</v>
      </c>
      <c r="J85" s="39">
        <v>33.299999999999997</v>
      </c>
      <c r="K85" s="39">
        <v>36.700000000000003</v>
      </c>
      <c r="L85" s="39">
        <v>35.9</v>
      </c>
      <c r="M85" s="39">
        <v>39.4</v>
      </c>
      <c r="N85" s="39">
        <v>35.799999999999997</v>
      </c>
      <c r="O85" s="39">
        <v>34.6</v>
      </c>
      <c r="P85" s="39">
        <v>34.799999999999997</v>
      </c>
      <c r="Q85" s="39">
        <v>35.5</v>
      </c>
      <c r="R85" s="39">
        <v>36.1</v>
      </c>
      <c r="S85" s="39">
        <v>37.5</v>
      </c>
      <c r="T85" s="39">
        <v>38.9</v>
      </c>
      <c r="U85" s="39">
        <v>40.4</v>
      </c>
      <c r="V85" s="5">
        <f t="shared" si="18"/>
        <v>36.574999999999996</v>
      </c>
      <c r="W85" s="4">
        <f t="shared" si="19"/>
        <v>0.60990871150003789</v>
      </c>
      <c r="X85" s="2">
        <f t="shared" si="20"/>
        <v>33.299999999999997</v>
      </c>
      <c r="Y85" s="3">
        <f t="shared" si="21"/>
        <v>35.325000000000003</v>
      </c>
      <c r="Z85" s="2">
        <f t="shared" si="22"/>
        <v>36</v>
      </c>
      <c r="AA85" s="3">
        <f t="shared" si="23"/>
        <v>37.85</v>
      </c>
      <c r="AB85" s="3">
        <f t="shared" si="24"/>
        <v>40.4</v>
      </c>
      <c r="AC85" s="3">
        <f t="shared" si="25"/>
        <v>0.47799485425638127</v>
      </c>
      <c r="AD85" s="3">
        <f t="shared" si="26"/>
        <v>-0.47604063947293396</v>
      </c>
    </row>
    <row r="88" spans="1:30" x14ac:dyDescent="0.2">
      <c r="V88" s="3"/>
    </row>
  </sheetData>
  <autoFilter ref="A9:AD85" xr:uid="{50B5ED75-8469-4201-A2AA-4B3F17C72BB4}"/>
  <conditionalFormatting sqref="J10:U49">
    <cfRule type="cellIs" dxfId="23" priority="1" stopIfTrue="1" operator="lessThan">
      <formula>$V10-$U$5*$W10</formula>
    </cfRule>
    <cfRule type="cellIs" dxfId="22" priority="2" stopIfTrue="1" operator="greaterThan">
      <formula>$V10+$U$5*$W10</formula>
    </cfRule>
  </conditionalFormatting>
  <conditionalFormatting sqref="J50:U85">
    <cfRule type="cellIs" dxfId="21" priority="3" stopIfTrue="1" operator="lessThan">
      <formula>$V50-$U$6*$W50</formula>
    </cfRule>
    <cfRule type="cellIs" dxfId="20" priority="4" stopIfTrue="1" operator="greaterThan">
      <formula>$V50+$U$6*$W50</formula>
    </cfRule>
  </conditionalFormatting>
  <conditionalFormatting sqref="V10:V41">
    <cfRule type="cellIs" dxfId="19" priority="5" stopIfTrue="1" operator="lessThan">
      <formula>AVERAGE($V$10:$V$39)</formula>
    </cfRule>
    <cfRule type="cellIs" dxfId="18" priority="6" stopIfTrue="1" operator="greaterThan">
      <formula>AVERAGE($V$10:$V$39)</formula>
    </cfRule>
  </conditionalFormatting>
  <conditionalFormatting sqref="V50:V85">
    <cfRule type="cellIs" dxfId="17" priority="7" stopIfTrue="1" operator="lessThan">
      <formula>AVERAGE($V$50:$V$83)</formula>
    </cfRule>
    <cfRule type="cellIs" dxfId="16" priority="8" stopIfTrue="1" operator="greaterThan">
      <formula>AVERAGE($V$50:$V$83)</formula>
    </cfRule>
  </conditionalFormatting>
  <pageMargins left="0.75" right="0.75" top="1" bottom="1" header="0.5" footer="0.5"/>
  <pageSetup orientation="portrait" verticalDpi="0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83AF-4E9D-41F5-A0A5-810B475DA624}">
  <dimension ref="A1:AO88"/>
  <sheetViews>
    <sheetView topLeftCell="A19" zoomScale="75" workbookViewId="0">
      <selection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28515625" style="1" customWidth="1"/>
    <col min="34" max="41" width="20.5703125" style="1" customWidth="1"/>
    <col min="42" max="45" width="21.7109375" style="1" bestFit="1" customWidth="1"/>
    <col min="46" max="16384" width="9.140625" style="1"/>
  </cols>
  <sheetData>
    <row r="1" spans="1:41" ht="15.75" x14ac:dyDescent="0.25">
      <c r="B1" s="56" t="s">
        <v>145</v>
      </c>
    </row>
    <row r="2" spans="1:41" ht="15" x14ac:dyDescent="0.25">
      <c r="I2" s="32" t="s">
        <v>132</v>
      </c>
      <c r="J2" s="38"/>
      <c r="Q2" s="55">
        <v>5481</v>
      </c>
    </row>
    <row r="3" spans="1:41" x14ac:dyDescent="0.2">
      <c r="A3" s="54"/>
      <c r="I3" s="33" t="s">
        <v>117</v>
      </c>
      <c r="J3" s="52">
        <v>-1.6531146818483371</v>
      </c>
      <c r="T3" s="38" t="s">
        <v>131</v>
      </c>
      <c r="U3" s="38"/>
      <c r="V3" s="38"/>
      <c r="W3" s="38"/>
      <c r="X3" s="38"/>
    </row>
    <row r="4" spans="1:41" x14ac:dyDescent="0.2">
      <c r="I4" s="33" t="s">
        <v>116</v>
      </c>
      <c r="J4" s="52">
        <v>1.0981139989847872</v>
      </c>
      <c r="O4" s="37" t="s">
        <v>115</v>
      </c>
      <c r="P4" s="53">
        <v>38.6</v>
      </c>
      <c r="T4" s="38" t="s">
        <v>130</v>
      </c>
      <c r="U4" s="38"/>
      <c r="V4" s="38" t="s">
        <v>129</v>
      </c>
      <c r="W4" s="38"/>
      <c r="X4" s="38"/>
    </row>
    <row r="5" spans="1:41" x14ac:dyDescent="0.2">
      <c r="I5" s="33" t="s">
        <v>114</v>
      </c>
      <c r="J5" s="52">
        <v>2.673489260619941E-2</v>
      </c>
      <c r="O5" s="35" t="s">
        <v>113</v>
      </c>
      <c r="P5" s="34"/>
      <c r="T5" s="38" t="s">
        <v>128</v>
      </c>
      <c r="U5" s="38"/>
      <c r="V5" s="38">
        <v>5</v>
      </c>
      <c r="W5" s="38"/>
      <c r="X5" s="38"/>
    </row>
    <row r="6" spans="1:41" x14ac:dyDescent="0.2">
      <c r="I6" s="33" t="s">
        <v>127</v>
      </c>
      <c r="J6" s="51">
        <v>-2.1134268965570043E-3</v>
      </c>
      <c r="T6" s="38" t="s">
        <v>126</v>
      </c>
      <c r="U6" s="38"/>
      <c r="V6" s="38">
        <v>5</v>
      </c>
      <c r="W6" s="38"/>
      <c r="X6" s="38"/>
    </row>
    <row r="7" spans="1:41" x14ac:dyDescent="0.2">
      <c r="I7" s="33" t="s">
        <v>111</v>
      </c>
      <c r="J7" s="51"/>
      <c r="AG7" s="31" t="s">
        <v>107</v>
      </c>
      <c r="AH7" s="30" t="s">
        <v>110</v>
      </c>
    </row>
    <row r="9" spans="1:41" x14ac:dyDescent="0.2">
      <c r="B9" s="26" t="s">
        <v>109</v>
      </c>
      <c r="C9" s="29" t="s">
        <v>81</v>
      </c>
      <c r="D9" s="29" t="s">
        <v>108</v>
      </c>
      <c r="E9" s="28" t="s">
        <v>107</v>
      </c>
      <c r="F9" s="29" t="s">
        <v>106</v>
      </c>
      <c r="G9" s="28" t="s">
        <v>105</v>
      </c>
      <c r="H9" s="28" t="s">
        <v>104</v>
      </c>
      <c r="I9" s="26" t="s">
        <v>85</v>
      </c>
      <c r="J9" s="26" t="s">
        <v>103</v>
      </c>
      <c r="K9" s="27" t="s">
        <v>102</v>
      </c>
      <c r="L9" s="27" t="s">
        <v>101</v>
      </c>
      <c r="M9" s="27" t="s">
        <v>100</v>
      </c>
      <c r="N9" s="27" t="s">
        <v>99</v>
      </c>
      <c r="O9" s="27" t="s">
        <v>98</v>
      </c>
      <c r="P9" s="27" t="s">
        <v>97</v>
      </c>
      <c r="Q9" s="27" t="s">
        <v>96</v>
      </c>
      <c r="R9" s="27" t="s">
        <v>95</v>
      </c>
      <c r="S9" s="27" t="s">
        <v>94</v>
      </c>
      <c r="T9" s="27" t="s">
        <v>93</v>
      </c>
      <c r="U9" s="27" t="s">
        <v>92</v>
      </c>
      <c r="V9" s="27" t="s">
        <v>91</v>
      </c>
      <c r="W9" s="26" t="s">
        <v>90</v>
      </c>
      <c r="X9" s="26" t="s">
        <v>125</v>
      </c>
      <c r="Y9" s="26" t="s">
        <v>88</v>
      </c>
      <c r="Z9" s="26" t="s">
        <v>87</v>
      </c>
      <c r="AA9" s="26" t="s">
        <v>86</v>
      </c>
      <c r="AB9" s="26" t="s">
        <v>124</v>
      </c>
      <c r="AC9" s="26" t="s">
        <v>123</v>
      </c>
      <c r="AD9" s="26" t="s">
        <v>122</v>
      </c>
      <c r="AE9" s="26" t="s">
        <v>121</v>
      </c>
      <c r="AF9" s="26"/>
      <c r="AG9" s="25"/>
      <c r="AH9" s="25" t="s">
        <v>85</v>
      </c>
      <c r="AI9" s="25" t="s">
        <v>84</v>
      </c>
      <c r="AJ9" s="25"/>
      <c r="AK9" s="25"/>
      <c r="AL9" s="25"/>
      <c r="AM9" s="25"/>
      <c r="AN9" s="25"/>
      <c r="AO9" s="25"/>
    </row>
    <row r="10" spans="1:41" x14ac:dyDescent="0.2">
      <c r="B10" s="1">
        <v>101</v>
      </c>
      <c r="C10" s="1" t="s">
        <v>71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1">
        <v>1</v>
      </c>
      <c r="J10" s="4">
        <v>13.183999999999999</v>
      </c>
      <c r="K10" s="39">
        <v>33.123282147060095</v>
      </c>
      <c r="L10" s="39">
        <v>33.410933897010601</v>
      </c>
      <c r="M10" s="39">
        <v>35.128855643044638</v>
      </c>
      <c r="N10" s="39">
        <v>34.748278774099141</v>
      </c>
      <c r="O10" s="39">
        <v>34.653028885517948</v>
      </c>
      <c r="P10" s="39">
        <v>34.462402302741758</v>
      </c>
      <c r="Q10" s="39">
        <v>33.88950810950282</v>
      </c>
      <c r="R10" s="39">
        <v>33.31509224889836</v>
      </c>
      <c r="S10" s="39">
        <v>33.506733276584903</v>
      </c>
      <c r="T10" s="39">
        <v>34.367025608546754</v>
      </c>
      <c r="U10" s="39">
        <v>38.897428019120156</v>
      </c>
      <c r="V10" s="39">
        <v>33.027313693334065</v>
      </c>
      <c r="W10" s="5">
        <f t="shared" ref="W10:W41" si="0">AVERAGE(K10:V10)</f>
        <v>34.377490217121775</v>
      </c>
      <c r="X10" s="4">
        <f t="shared" ref="X10:X41" si="1">STDEV(K10:V10)/SQRT(COUNT(K10:V10))</f>
        <v>0.45784733707968739</v>
      </c>
      <c r="Y10" s="2">
        <f t="shared" ref="Y10:Y41" si="2">MIN(K10:V10)</f>
        <v>33.027313693334065</v>
      </c>
      <c r="Z10" s="3">
        <f t="shared" ref="Z10:Z41" si="3">QUARTILE(K10:V10,1)</f>
        <v>33.386973484982541</v>
      </c>
      <c r="AA10" s="2">
        <f t="shared" ref="AA10:AA41" si="4">MEDIAN(K10:V10)</f>
        <v>34.128266859024791</v>
      </c>
      <c r="AB10" s="3">
        <f t="shared" ref="AB10:AB41" si="5">QUARTILE(K10:V10,3)</f>
        <v>34.67684135766325</v>
      </c>
      <c r="AC10" s="3">
        <f t="shared" ref="AC10:AC41" si="6">MAX(K10:V10)</f>
        <v>38.897428019120156</v>
      </c>
      <c r="AD10" s="3">
        <f t="shared" ref="AD10:AD41" si="7">SKEW(K10:V10)</f>
        <v>2.3385692817808441</v>
      </c>
      <c r="AE10" s="3">
        <f t="shared" ref="AE10:AE41" si="8">KURT(K10:V10)</f>
        <v>6.5825748492451304</v>
      </c>
      <c r="AG10" s="25"/>
      <c r="AH10" s="24" t="s">
        <v>83</v>
      </c>
      <c r="AI10" s="23"/>
      <c r="AJ10" s="23"/>
      <c r="AK10" s="23"/>
      <c r="AL10" s="24" t="s">
        <v>82</v>
      </c>
      <c r="AM10" s="23"/>
      <c r="AN10" s="23"/>
      <c r="AO10" s="22"/>
    </row>
    <row r="11" spans="1:41" x14ac:dyDescent="0.2">
      <c r="B11" s="1">
        <v>102</v>
      </c>
      <c r="C11" s="1" t="s">
        <v>68</v>
      </c>
      <c r="D11" s="1">
        <v>4</v>
      </c>
      <c r="E11" s="1">
        <v>1</v>
      </c>
      <c r="F11" s="1">
        <v>2</v>
      </c>
      <c r="G11" s="1">
        <v>1</v>
      </c>
      <c r="H11" s="1">
        <v>1</v>
      </c>
      <c r="I11" s="1">
        <v>1</v>
      </c>
      <c r="J11" s="4">
        <v>13.173999999999999</v>
      </c>
      <c r="K11" s="39">
        <v>33.410933897010601</v>
      </c>
      <c r="L11" s="39">
        <v>33.793877804080232</v>
      </c>
      <c r="M11" s="39">
        <v>37.492138728953925</v>
      </c>
      <c r="N11" s="39">
        <v>35.887980491114931</v>
      </c>
      <c r="O11" s="39">
        <v>34.462402302741758</v>
      </c>
      <c r="P11" s="39">
        <v>33.506733276584903</v>
      </c>
      <c r="Q11" s="39">
        <v>35.033774828615158</v>
      </c>
      <c r="R11" s="39">
        <v>33.698205230119726</v>
      </c>
      <c r="S11" s="39">
        <v>35.223894188936178</v>
      </c>
      <c r="T11" s="39">
        <v>35.887980491114931</v>
      </c>
      <c r="U11" s="39">
        <v>35.413844475105485</v>
      </c>
      <c r="V11" s="39">
        <v>32.643017193050632</v>
      </c>
      <c r="W11" s="5">
        <f t="shared" si="0"/>
        <v>34.704565242285703</v>
      </c>
      <c r="X11" s="4">
        <f t="shared" si="1"/>
        <v>0.39611452459816116</v>
      </c>
      <c r="Y11" s="2">
        <f t="shared" si="2"/>
        <v>32.643017193050632</v>
      </c>
      <c r="Z11" s="3">
        <f t="shared" si="3"/>
        <v>33.650337241736018</v>
      </c>
      <c r="AA11" s="2">
        <f t="shared" si="4"/>
        <v>34.748088565678458</v>
      </c>
      <c r="AB11" s="3">
        <f t="shared" si="5"/>
        <v>35.532378479107848</v>
      </c>
      <c r="AC11" s="3">
        <f t="shared" si="6"/>
        <v>37.492138728953925</v>
      </c>
      <c r="AD11" s="3">
        <f t="shared" si="7"/>
        <v>0.46760546303192324</v>
      </c>
      <c r="AE11" s="3">
        <f t="shared" si="8"/>
        <v>-6.5075322456444429E-2</v>
      </c>
      <c r="AG11" s="21" t="s">
        <v>81</v>
      </c>
      <c r="AH11" s="20" t="s">
        <v>80</v>
      </c>
      <c r="AI11" s="19" t="s">
        <v>79</v>
      </c>
      <c r="AJ11" s="19" t="s">
        <v>78</v>
      </c>
      <c r="AK11" s="19" t="s">
        <v>77</v>
      </c>
      <c r="AL11" s="20" t="s">
        <v>80</v>
      </c>
      <c r="AM11" s="19" t="s">
        <v>79</v>
      </c>
      <c r="AN11" s="19" t="s">
        <v>78</v>
      </c>
      <c r="AO11" s="18" t="s">
        <v>77</v>
      </c>
    </row>
    <row r="12" spans="1:41" x14ac:dyDescent="0.2">
      <c r="B12" s="1">
        <v>103</v>
      </c>
      <c r="C12" s="1" t="s">
        <v>73</v>
      </c>
      <c r="D12" s="1">
        <v>5</v>
      </c>
      <c r="E12" s="1">
        <v>1</v>
      </c>
      <c r="F12" s="1">
        <v>3</v>
      </c>
      <c r="G12" s="1">
        <v>2</v>
      </c>
      <c r="H12" s="1">
        <v>1</v>
      </c>
      <c r="I12" s="1">
        <v>1</v>
      </c>
      <c r="J12" s="4">
        <v>13.16</v>
      </c>
      <c r="K12" s="39">
        <v>33.31509224889836</v>
      </c>
      <c r="L12" s="39">
        <v>33.31509224889836</v>
      </c>
      <c r="M12" s="39">
        <v>33.793877804080232</v>
      </c>
      <c r="N12" s="39">
        <v>33.698205230119726</v>
      </c>
      <c r="O12" s="39">
        <v>33.88950810950282</v>
      </c>
      <c r="P12" s="39">
        <v>32.546837396634949</v>
      </c>
      <c r="Q12" s="39">
        <v>33.123282147060095</v>
      </c>
      <c r="R12" s="39">
        <v>32.546837396634949</v>
      </c>
      <c r="S12" s="39">
        <v>34.176145414542972</v>
      </c>
      <c r="T12" s="39">
        <v>33.506733276584903</v>
      </c>
      <c r="U12" s="39">
        <v>34.843486394142417</v>
      </c>
      <c r="V12" s="39">
        <v>35.698452890324944</v>
      </c>
      <c r="W12" s="5">
        <f t="shared" si="0"/>
        <v>33.704462546452056</v>
      </c>
      <c r="X12" s="4">
        <f t="shared" si="1"/>
        <v>0.25963861249292519</v>
      </c>
      <c r="Y12" s="2">
        <f t="shared" si="2"/>
        <v>32.546837396634949</v>
      </c>
      <c r="Z12" s="3">
        <f t="shared" si="3"/>
        <v>33.267139723438795</v>
      </c>
      <c r="AA12" s="2">
        <f t="shared" si="4"/>
        <v>33.602469253352311</v>
      </c>
      <c r="AB12" s="3">
        <f t="shared" si="5"/>
        <v>33.96116743576286</v>
      </c>
      <c r="AC12" s="3">
        <f t="shared" si="6"/>
        <v>35.698452890324944</v>
      </c>
      <c r="AD12" s="3">
        <f t="shared" si="7"/>
        <v>0.9135777678522059</v>
      </c>
      <c r="AE12" s="3">
        <f t="shared" si="8"/>
        <v>1.0946108986517764</v>
      </c>
      <c r="AG12" s="17" t="s">
        <v>73</v>
      </c>
      <c r="AH12" s="16">
        <v>32.113077270660909</v>
      </c>
      <c r="AI12" s="15">
        <v>33.207185857696231</v>
      </c>
      <c r="AJ12" s="15">
        <v>33.65032667460153</v>
      </c>
      <c r="AK12" s="15">
        <v>33.672267002754296</v>
      </c>
      <c r="AL12" s="16">
        <v>31.340891444369895</v>
      </c>
      <c r="AM12" s="15">
        <v>31.824062360362124</v>
      </c>
      <c r="AN12" s="15">
        <v>32.40248316493556</v>
      </c>
      <c r="AO12" s="14">
        <v>32.520915019971248</v>
      </c>
    </row>
    <row r="13" spans="1:41" x14ac:dyDescent="0.2">
      <c r="B13" s="1">
        <v>104</v>
      </c>
      <c r="C13" s="1" t="s">
        <v>62</v>
      </c>
      <c r="D13" s="1">
        <v>10</v>
      </c>
      <c r="E13" s="1">
        <v>2</v>
      </c>
      <c r="F13" s="1">
        <v>2</v>
      </c>
      <c r="G13" s="1">
        <v>1</v>
      </c>
      <c r="H13" s="1">
        <v>1</v>
      </c>
      <c r="I13" s="1">
        <v>1</v>
      </c>
      <c r="J13" s="4">
        <v>13.145</v>
      </c>
      <c r="K13" s="39">
        <v>34.176145414542972</v>
      </c>
      <c r="L13" s="39">
        <v>41.310733658024326</v>
      </c>
      <c r="M13" s="39">
        <v>36.549995634935044</v>
      </c>
      <c r="N13" s="39">
        <v>42.047540718066976</v>
      </c>
      <c r="O13" s="39">
        <v>35.508756215383229</v>
      </c>
      <c r="P13" s="39">
        <v>33.602490387621273</v>
      </c>
      <c r="Q13" s="39">
        <v>36.927360094997773</v>
      </c>
      <c r="R13" s="39">
        <v>36.738762402042269</v>
      </c>
      <c r="S13" s="39">
        <v>38.710605604757767</v>
      </c>
      <c r="T13" s="39">
        <v>33.88950810950282</v>
      </c>
      <c r="U13" s="39">
        <v>36.266528470239727</v>
      </c>
      <c r="V13" s="39">
        <v>33.506733276584903</v>
      </c>
      <c r="W13" s="5">
        <f t="shared" si="0"/>
        <v>36.602929998891589</v>
      </c>
      <c r="X13" s="4">
        <f t="shared" si="1"/>
        <v>0.8235519939129905</v>
      </c>
      <c r="Y13" s="2">
        <f t="shared" si="2"/>
        <v>33.506733276584903</v>
      </c>
      <c r="Z13" s="3">
        <f t="shared" si="3"/>
        <v>34.104486088282933</v>
      </c>
      <c r="AA13" s="2">
        <f t="shared" si="4"/>
        <v>36.408262052587389</v>
      </c>
      <c r="AB13" s="3">
        <f t="shared" si="5"/>
        <v>37.373171472437775</v>
      </c>
      <c r="AC13" s="3">
        <f t="shared" si="6"/>
        <v>42.047540718066976</v>
      </c>
      <c r="AD13" s="3">
        <f t="shared" si="7"/>
        <v>0.85898600629347688</v>
      </c>
      <c r="AE13" s="3">
        <f t="shared" si="8"/>
        <v>-0.10112746903362879</v>
      </c>
      <c r="AG13" s="13" t="s">
        <v>72</v>
      </c>
      <c r="AH13" s="12">
        <v>33.984335312704701</v>
      </c>
      <c r="AI13" s="11">
        <v>34.902594889126362</v>
      </c>
      <c r="AJ13" s="11">
        <v>35.863069036983418</v>
      </c>
      <c r="AK13" s="11">
        <v>36.121296191548453</v>
      </c>
      <c r="AL13" s="12">
        <v>32.927160654352846</v>
      </c>
      <c r="AM13" s="11">
        <v>33.823557394941275</v>
      </c>
      <c r="AN13" s="11">
        <v>34.671240776387371</v>
      </c>
      <c r="AO13" s="10">
        <v>34.833176393265376</v>
      </c>
    </row>
    <row r="14" spans="1:41" x14ac:dyDescent="0.2">
      <c r="B14" s="1">
        <v>105</v>
      </c>
      <c r="C14" s="1" t="s">
        <v>66</v>
      </c>
      <c r="D14" s="1">
        <v>12</v>
      </c>
      <c r="E14" s="1">
        <v>2</v>
      </c>
      <c r="F14" s="1">
        <v>3</v>
      </c>
      <c r="G14" s="1">
        <v>1</v>
      </c>
      <c r="H14" s="1">
        <v>2</v>
      </c>
      <c r="I14" s="1">
        <v>1</v>
      </c>
      <c r="J14" s="4">
        <v>13.132</v>
      </c>
      <c r="K14" s="39">
        <v>33.027313693334065</v>
      </c>
      <c r="L14" s="39">
        <v>33.123282147060095</v>
      </c>
      <c r="M14" s="39">
        <v>33.698205230119726</v>
      </c>
      <c r="N14" s="39">
        <v>33.98509614638747</v>
      </c>
      <c r="O14" s="39">
        <v>34.367025608546754</v>
      </c>
      <c r="P14" s="39">
        <v>33.123282147060095</v>
      </c>
      <c r="Q14" s="39">
        <v>33.98509614638747</v>
      </c>
      <c r="R14" s="39">
        <v>34.938651745647761</v>
      </c>
      <c r="S14" s="39">
        <v>35.223894188936178</v>
      </c>
      <c r="T14" s="39">
        <v>36.171954878265424</v>
      </c>
      <c r="U14" s="39">
        <v>36.361059793676098</v>
      </c>
      <c r="V14" s="39">
        <v>35.413844475105485</v>
      </c>
      <c r="W14" s="5">
        <f t="shared" si="0"/>
        <v>34.451558850043881</v>
      </c>
      <c r="X14" s="4">
        <f t="shared" si="1"/>
        <v>0.33634269653530707</v>
      </c>
      <c r="Y14" s="2">
        <f t="shared" si="2"/>
        <v>33.027313693334065</v>
      </c>
      <c r="Z14" s="3">
        <f t="shared" si="3"/>
        <v>33.554474459354822</v>
      </c>
      <c r="AA14" s="2">
        <f t="shared" si="4"/>
        <v>34.176060877467108</v>
      </c>
      <c r="AB14" s="3">
        <f t="shared" si="5"/>
        <v>35.271381760478505</v>
      </c>
      <c r="AC14" s="3">
        <f t="shared" si="6"/>
        <v>36.361059793676098</v>
      </c>
      <c r="AD14" s="3">
        <f t="shared" si="7"/>
        <v>0.36655007909482173</v>
      </c>
      <c r="AE14" s="3">
        <f t="shared" si="8"/>
        <v>-1.1191289448345283</v>
      </c>
      <c r="AG14" s="13" t="s">
        <v>71</v>
      </c>
      <c r="AH14" s="12">
        <v>32.0147629130797</v>
      </c>
      <c r="AI14" s="11">
        <v>32.508989410818714</v>
      </c>
      <c r="AJ14" s="11">
        <v>33.120883407532503</v>
      </c>
      <c r="AK14" s="11">
        <v>33.26096147214453</v>
      </c>
      <c r="AL14" s="12">
        <v>31.194170174546358</v>
      </c>
      <c r="AM14" s="11">
        <v>31.784819512794165</v>
      </c>
      <c r="AN14" s="11">
        <v>32.232150198521893</v>
      </c>
      <c r="AO14" s="10">
        <v>32.287326933118962</v>
      </c>
    </row>
    <row r="15" spans="1:41" x14ac:dyDescent="0.2">
      <c r="B15" s="1">
        <v>106</v>
      </c>
      <c r="C15" s="1" t="s">
        <v>63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1</v>
      </c>
      <c r="J15" s="4">
        <v>13.118</v>
      </c>
      <c r="K15" s="39">
        <v>34.271606645813826</v>
      </c>
      <c r="L15" s="39">
        <v>34.271606645813826</v>
      </c>
      <c r="M15" s="39">
        <v>34.938651745647761</v>
      </c>
      <c r="N15" s="39">
        <v>32.643017193050632</v>
      </c>
      <c r="O15" s="39">
        <v>34.557736728398808</v>
      </c>
      <c r="P15" s="39">
        <v>32.643017193050632</v>
      </c>
      <c r="Q15" s="39">
        <v>35.7932378249889</v>
      </c>
      <c r="R15" s="39">
        <v>33.219208332248193</v>
      </c>
      <c r="S15" s="39">
        <v>36.266528470239727</v>
      </c>
      <c r="T15" s="39">
        <v>32.546837396634949</v>
      </c>
      <c r="U15" s="39">
        <v>34.557736728398808</v>
      </c>
      <c r="V15" s="39">
        <v>33.31509224889836</v>
      </c>
      <c r="W15" s="5">
        <f t="shared" si="0"/>
        <v>34.085356429432032</v>
      </c>
      <c r="X15" s="4">
        <f t="shared" si="1"/>
        <v>0.35664039484910348</v>
      </c>
      <c r="Y15" s="2">
        <f t="shared" si="2"/>
        <v>32.546837396634949</v>
      </c>
      <c r="Z15" s="3">
        <f t="shared" si="3"/>
        <v>33.075160547448803</v>
      </c>
      <c r="AA15" s="2">
        <f t="shared" si="4"/>
        <v>34.271606645813826</v>
      </c>
      <c r="AB15" s="3">
        <f t="shared" si="5"/>
        <v>34.652965482711046</v>
      </c>
      <c r="AC15" s="3">
        <f t="shared" si="6"/>
        <v>36.266528470239727</v>
      </c>
      <c r="AD15" s="3">
        <f t="shared" si="7"/>
        <v>0.31552848483261059</v>
      </c>
      <c r="AE15" s="3">
        <f t="shared" si="8"/>
        <v>-0.85779674636063152</v>
      </c>
      <c r="AG15" s="13" t="s">
        <v>70</v>
      </c>
      <c r="AH15" s="12">
        <v>31.96783539966496</v>
      </c>
      <c r="AI15" s="11">
        <v>33.014921369075211</v>
      </c>
      <c r="AJ15" s="11">
        <v>33.386392292585988</v>
      </c>
      <c r="AK15" s="11">
        <v>33.799882295544251</v>
      </c>
      <c r="AL15" s="12">
        <v>31.290941730493081</v>
      </c>
      <c r="AM15" s="11">
        <v>32.004219837355329</v>
      </c>
      <c r="AN15" s="11">
        <v>32.257146189729262</v>
      </c>
      <c r="AO15" s="10">
        <v>32.464183155416123</v>
      </c>
    </row>
    <row r="16" spans="1:41" x14ac:dyDescent="0.2">
      <c r="B16" s="1">
        <v>107</v>
      </c>
      <c r="C16" s="1" t="s">
        <v>62</v>
      </c>
      <c r="D16" s="1">
        <v>10</v>
      </c>
      <c r="E16" s="1">
        <v>2</v>
      </c>
      <c r="F16" s="1">
        <v>2</v>
      </c>
      <c r="G16" s="1">
        <v>1</v>
      </c>
      <c r="H16" s="1">
        <v>2</v>
      </c>
      <c r="I16" s="1">
        <v>1</v>
      </c>
      <c r="J16" s="4">
        <v>13.103</v>
      </c>
      <c r="K16" s="39">
        <v>32.739154720928383</v>
      </c>
      <c r="L16" s="39">
        <v>32.931302971070103</v>
      </c>
      <c r="M16" s="39">
        <v>33.027313693334065</v>
      </c>
      <c r="N16" s="39">
        <v>37.586120561397195</v>
      </c>
      <c r="O16" s="39">
        <v>33.506733276584903</v>
      </c>
      <c r="P16" s="39">
        <v>33.602490387621273</v>
      </c>
      <c r="Q16" s="39">
        <v>31.292653606279288</v>
      </c>
      <c r="R16" s="39">
        <v>33.410933897010601</v>
      </c>
      <c r="S16" s="39">
        <v>31.67931714468687</v>
      </c>
      <c r="T16" s="39">
        <v>37.867812447499411</v>
      </c>
      <c r="U16" s="39">
        <v>31.968870978844279</v>
      </c>
      <c r="V16" s="39">
        <v>34.08064191473418</v>
      </c>
      <c r="W16" s="5">
        <f t="shared" si="0"/>
        <v>33.641112133332548</v>
      </c>
      <c r="X16" s="4">
        <f t="shared" si="1"/>
        <v>0.60017798536851363</v>
      </c>
      <c r="Y16" s="2">
        <f t="shared" si="2"/>
        <v>31.292653606279288</v>
      </c>
      <c r="Z16" s="3">
        <f t="shared" si="3"/>
        <v>32.546583785407357</v>
      </c>
      <c r="AA16" s="2">
        <f t="shared" si="4"/>
        <v>33.219123795172337</v>
      </c>
      <c r="AB16" s="3">
        <f t="shared" si="5"/>
        <v>33.722028269399502</v>
      </c>
      <c r="AC16" s="3">
        <f t="shared" si="6"/>
        <v>37.867812447499411</v>
      </c>
      <c r="AD16" s="3">
        <f t="shared" si="7"/>
        <v>1.3410395241525208</v>
      </c>
      <c r="AE16" s="3">
        <f t="shared" si="8"/>
        <v>1.1576053609132115</v>
      </c>
      <c r="AG16" s="13" t="s">
        <v>69</v>
      </c>
      <c r="AH16" s="12">
        <v>32.594398938118651</v>
      </c>
      <c r="AI16" s="11">
        <v>33.206073666791916</v>
      </c>
      <c r="AJ16" s="11">
        <v>33.541353002816649</v>
      </c>
      <c r="AK16" s="11">
        <v>34.130981936701403</v>
      </c>
      <c r="AL16" s="12">
        <v>31.267763286416745</v>
      </c>
      <c r="AM16" s="11">
        <v>32.22673600434419</v>
      </c>
      <c r="AN16" s="11">
        <v>32.73840445438011</v>
      </c>
      <c r="AO16" s="10">
        <v>32.902151941642288</v>
      </c>
    </row>
    <row r="17" spans="2:41" x14ac:dyDescent="0.2">
      <c r="B17" s="1">
        <v>108</v>
      </c>
      <c r="C17" s="1" t="s">
        <v>69</v>
      </c>
      <c r="D17" s="1">
        <v>3</v>
      </c>
      <c r="E17" s="1">
        <v>1</v>
      </c>
      <c r="F17" s="1">
        <v>2</v>
      </c>
      <c r="G17" s="1">
        <v>2</v>
      </c>
      <c r="H17" s="1">
        <v>2</v>
      </c>
      <c r="I17" s="1">
        <v>1</v>
      </c>
      <c r="J17" s="4">
        <v>13.085000000000001</v>
      </c>
      <c r="K17" s="39">
        <v>36.266528470239727</v>
      </c>
      <c r="L17" s="39">
        <v>33.506733276584903</v>
      </c>
      <c r="M17" s="39">
        <v>33.698205230119726</v>
      </c>
      <c r="N17" s="39">
        <v>35.698452890324944</v>
      </c>
      <c r="O17" s="39">
        <v>33.698205230119726</v>
      </c>
      <c r="P17" s="39">
        <v>34.462402302741758</v>
      </c>
      <c r="Q17" s="39">
        <v>33.027313693334065</v>
      </c>
      <c r="R17" s="39">
        <v>34.08064191473418</v>
      </c>
      <c r="S17" s="39">
        <v>33.602490387621273</v>
      </c>
      <c r="T17" s="39">
        <v>37.492138728953925</v>
      </c>
      <c r="U17" s="39">
        <v>32.739154720928383</v>
      </c>
      <c r="V17" s="39">
        <v>37.021595538668628</v>
      </c>
      <c r="W17" s="5">
        <f t="shared" si="0"/>
        <v>34.607821865364279</v>
      </c>
      <c r="X17" s="4">
        <f t="shared" si="1"/>
        <v>0.46264433934412597</v>
      </c>
      <c r="Y17" s="2">
        <f t="shared" si="2"/>
        <v>32.739154720928383</v>
      </c>
      <c r="Z17" s="3">
        <f t="shared" si="3"/>
        <v>33.578551109862182</v>
      </c>
      <c r="AA17" s="2">
        <f t="shared" si="4"/>
        <v>33.889423572426949</v>
      </c>
      <c r="AB17" s="3">
        <f t="shared" si="5"/>
        <v>35.840471785303642</v>
      </c>
      <c r="AC17" s="3">
        <f t="shared" si="6"/>
        <v>37.492138728953925</v>
      </c>
      <c r="AD17" s="3">
        <f t="shared" si="7"/>
        <v>0.78022568161234884</v>
      </c>
      <c r="AE17" s="3">
        <f t="shared" si="8"/>
        <v>-0.82040543203301075</v>
      </c>
      <c r="AG17" s="13" t="s">
        <v>68</v>
      </c>
      <c r="AH17" s="12">
        <v>31.87162390184583</v>
      </c>
      <c r="AI17" s="11">
        <v>32.888275909818411</v>
      </c>
      <c r="AJ17" s="11">
        <v>33.815756490615186</v>
      </c>
      <c r="AK17" s="11">
        <v>34.123443748492654</v>
      </c>
      <c r="AL17" s="12">
        <v>31.12300750360701</v>
      </c>
      <c r="AM17" s="11">
        <v>31.901714431412795</v>
      </c>
      <c r="AN17" s="11">
        <v>32.293308717595494</v>
      </c>
      <c r="AO17" s="10">
        <v>32.299986958118062</v>
      </c>
    </row>
    <row r="18" spans="2:41" x14ac:dyDescent="0.2">
      <c r="B18" s="1">
        <v>201</v>
      </c>
      <c r="C18" s="1" t="s">
        <v>66</v>
      </c>
      <c r="D18" s="1">
        <v>12</v>
      </c>
      <c r="E18" s="1">
        <v>2</v>
      </c>
      <c r="F18" s="1">
        <v>3</v>
      </c>
      <c r="G18" s="1">
        <v>1</v>
      </c>
      <c r="H18" s="1">
        <v>1</v>
      </c>
      <c r="I18" s="1">
        <v>1</v>
      </c>
      <c r="J18" s="4">
        <v>13.21</v>
      </c>
      <c r="K18" s="39">
        <v>33.698205230119726</v>
      </c>
      <c r="L18" s="39">
        <v>33.698205230119726</v>
      </c>
      <c r="M18" s="39">
        <v>34.843486394142417</v>
      </c>
      <c r="N18" s="39">
        <v>34.08064191473418</v>
      </c>
      <c r="O18" s="39">
        <v>34.462402302741758</v>
      </c>
      <c r="P18" s="39">
        <v>33.698205230119726</v>
      </c>
      <c r="Q18" s="39">
        <v>32.258044396160294</v>
      </c>
      <c r="R18" s="39">
        <v>34.271606645813826</v>
      </c>
      <c r="S18" s="39">
        <v>35.128855643044638</v>
      </c>
      <c r="T18" s="39">
        <v>35.318890466289801</v>
      </c>
      <c r="U18" s="39">
        <v>34.271606645813826</v>
      </c>
      <c r="V18" s="39">
        <v>35.603625687123049</v>
      </c>
      <c r="W18" s="5">
        <f t="shared" si="0"/>
        <v>34.277814648851916</v>
      </c>
      <c r="X18" s="4">
        <f t="shared" si="1"/>
        <v>0.2617859543803655</v>
      </c>
      <c r="Y18" s="2">
        <f t="shared" si="2"/>
        <v>32.258044396160294</v>
      </c>
      <c r="Z18" s="3">
        <f t="shared" si="3"/>
        <v>33.698205230119726</v>
      </c>
      <c r="AA18" s="2">
        <f t="shared" si="4"/>
        <v>34.271606645813826</v>
      </c>
      <c r="AB18" s="3">
        <f t="shared" si="5"/>
        <v>34.91482870636797</v>
      </c>
      <c r="AC18" s="3">
        <f t="shared" si="6"/>
        <v>35.603625687123049</v>
      </c>
      <c r="AD18" s="3">
        <f t="shared" si="7"/>
        <v>-0.66832758149104809</v>
      </c>
      <c r="AE18" s="3">
        <f t="shared" si="8"/>
        <v>1.0633221650500175</v>
      </c>
      <c r="AG18" s="13" t="s">
        <v>67</v>
      </c>
      <c r="AH18" s="12">
        <v>31.82371364492419</v>
      </c>
      <c r="AI18" s="11">
        <v>32.329539931835853</v>
      </c>
      <c r="AJ18" s="11">
        <v>32.498198007433999</v>
      </c>
      <c r="AK18" s="11">
        <v>32.685495156488855</v>
      </c>
      <c r="AL18" s="12">
        <v>30.46848917629077</v>
      </c>
      <c r="AM18" s="11">
        <v>31.824062360362124</v>
      </c>
      <c r="AN18" s="11">
        <v>32.065219849411683</v>
      </c>
      <c r="AO18" s="10">
        <v>32.22810043846664</v>
      </c>
    </row>
    <row r="19" spans="2:41" x14ac:dyDescent="0.2">
      <c r="B19" s="1">
        <v>202</v>
      </c>
      <c r="C19" s="1" t="s">
        <v>63</v>
      </c>
      <c r="D19" s="1">
        <v>9</v>
      </c>
      <c r="E19" s="1">
        <v>2</v>
      </c>
      <c r="F19" s="1">
        <v>2</v>
      </c>
      <c r="G19" s="1">
        <v>2</v>
      </c>
      <c r="H19" s="1">
        <v>1</v>
      </c>
      <c r="I19" s="1">
        <v>1</v>
      </c>
      <c r="J19" s="4">
        <v>13.221</v>
      </c>
      <c r="K19" s="39">
        <v>38.617130994769674</v>
      </c>
      <c r="L19" s="39">
        <v>41.12610920763435</v>
      </c>
      <c r="M19" s="39">
        <v>33.123282147060095</v>
      </c>
      <c r="N19" s="39">
        <v>41.402982480412419</v>
      </c>
      <c r="O19" s="39">
        <v>31.968870978844279</v>
      </c>
      <c r="P19" s="39">
        <v>32.450615331681334</v>
      </c>
      <c r="Q19" s="39">
        <v>31.775877357943934</v>
      </c>
      <c r="R19" s="39">
        <v>33.31509224889836</v>
      </c>
      <c r="S19" s="39">
        <v>31.775877357943934</v>
      </c>
      <c r="T19" s="39">
        <v>34.462402302741758</v>
      </c>
      <c r="U19" s="39">
        <v>32.450615331681334</v>
      </c>
      <c r="V19" s="39">
        <v>33.602490387621273</v>
      </c>
      <c r="W19" s="5">
        <f t="shared" si="0"/>
        <v>34.672612177269393</v>
      </c>
      <c r="X19" s="4">
        <f t="shared" si="1"/>
        <v>1.0368376726091544</v>
      </c>
      <c r="Y19" s="2">
        <f t="shared" si="2"/>
        <v>31.775877357943934</v>
      </c>
      <c r="Z19" s="3">
        <f t="shared" si="3"/>
        <v>32.330179243472074</v>
      </c>
      <c r="AA19" s="2">
        <f t="shared" si="4"/>
        <v>33.219187197979224</v>
      </c>
      <c r="AB19" s="3">
        <f t="shared" si="5"/>
        <v>35.50108447574874</v>
      </c>
      <c r="AC19" s="3">
        <f t="shared" si="6"/>
        <v>41.402982480412419</v>
      </c>
      <c r="AD19" s="3">
        <f t="shared" si="7"/>
        <v>1.264896853723025</v>
      </c>
      <c r="AE19" s="3">
        <f t="shared" si="8"/>
        <v>2.1100071652398356E-2</v>
      </c>
      <c r="AG19" s="13" t="s">
        <v>66</v>
      </c>
      <c r="AH19" s="12">
        <v>32.642679044747183</v>
      </c>
      <c r="AI19" s="11">
        <v>33.626339844737274</v>
      </c>
      <c r="AJ19" s="11">
        <v>34.223833761640464</v>
      </c>
      <c r="AK19" s="11">
        <v>34.364686749447898</v>
      </c>
      <c r="AL19" s="12">
        <v>32.113373150426426</v>
      </c>
      <c r="AM19" s="11">
        <v>32.630772808674536</v>
      </c>
      <c r="AN19" s="11">
        <v>33.553618521461715</v>
      </c>
      <c r="AO19" s="10">
        <v>33.57508508975183</v>
      </c>
    </row>
    <row r="20" spans="2:41" x14ac:dyDescent="0.2">
      <c r="B20" s="1">
        <v>203</v>
      </c>
      <c r="C20" s="1" t="s">
        <v>69</v>
      </c>
      <c r="D20" s="1">
        <v>3</v>
      </c>
      <c r="E20" s="1">
        <v>1</v>
      </c>
      <c r="F20" s="1">
        <v>2</v>
      </c>
      <c r="G20" s="1">
        <v>2</v>
      </c>
      <c r="H20" s="1">
        <v>1</v>
      </c>
      <c r="I20" s="1">
        <v>1</v>
      </c>
      <c r="J20" s="4">
        <v>13.237</v>
      </c>
      <c r="K20" s="39">
        <v>34.367025608546754</v>
      </c>
      <c r="L20" s="39">
        <v>33.31509224889836</v>
      </c>
      <c r="M20" s="39">
        <v>33.88950810950282</v>
      </c>
      <c r="N20" s="39">
        <v>33.793877804080232</v>
      </c>
      <c r="O20" s="39">
        <v>34.938651745647761</v>
      </c>
      <c r="P20" s="39">
        <v>34.462402302741758</v>
      </c>
      <c r="Q20" s="39">
        <v>36.077339017753189</v>
      </c>
      <c r="R20" s="39">
        <v>34.08064191473418</v>
      </c>
      <c r="S20" s="39">
        <v>35.603625687123049</v>
      </c>
      <c r="T20" s="39">
        <v>34.748278774099141</v>
      </c>
      <c r="U20" s="39">
        <v>42.047540718066976</v>
      </c>
      <c r="V20" s="39">
        <v>34.271606645813826</v>
      </c>
      <c r="W20" s="5">
        <f t="shared" si="0"/>
        <v>35.132965881417341</v>
      </c>
      <c r="X20" s="4">
        <f t="shared" si="1"/>
        <v>0.66651571812116817</v>
      </c>
      <c r="Y20" s="2">
        <f t="shared" si="2"/>
        <v>33.31509224889836</v>
      </c>
      <c r="Z20" s="3">
        <f t="shared" si="3"/>
        <v>34.032858463426336</v>
      </c>
      <c r="AA20" s="2">
        <f t="shared" si="4"/>
        <v>34.41471395564426</v>
      </c>
      <c r="AB20" s="3">
        <f t="shared" si="5"/>
        <v>35.104895231016584</v>
      </c>
      <c r="AC20" s="3">
        <f t="shared" si="6"/>
        <v>42.047540718066976</v>
      </c>
      <c r="AD20" s="3">
        <f t="shared" si="7"/>
        <v>2.8237011545331296</v>
      </c>
      <c r="AE20" s="3">
        <f t="shared" si="8"/>
        <v>8.7509771488333712</v>
      </c>
      <c r="AG20" s="13" t="s">
        <v>65</v>
      </c>
      <c r="AH20" s="12">
        <v>31.241478104802475</v>
      </c>
      <c r="AI20" s="11">
        <v>32.027329595057523</v>
      </c>
      <c r="AJ20" s="11">
        <v>33.025570116144408</v>
      </c>
      <c r="AK20" s="11">
        <v>33.732515584962016</v>
      </c>
      <c r="AL20" s="12">
        <v>30.513725948188263</v>
      </c>
      <c r="AM20" s="11">
        <v>31.250510080295811</v>
      </c>
      <c r="AN20" s="11">
        <v>31.577631871205654</v>
      </c>
      <c r="AO20" s="10">
        <v>31.737035086656505</v>
      </c>
    </row>
    <row r="21" spans="2:41" x14ac:dyDescent="0.2">
      <c r="B21" s="1">
        <v>204</v>
      </c>
      <c r="C21" s="1" t="s">
        <v>67</v>
      </c>
      <c r="D21" s="1">
        <v>11</v>
      </c>
      <c r="E21" s="1">
        <v>2</v>
      </c>
      <c r="F21" s="1">
        <v>3</v>
      </c>
      <c r="G21" s="1">
        <v>2</v>
      </c>
      <c r="H21" s="1">
        <v>1</v>
      </c>
      <c r="I21" s="1">
        <v>1</v>
      </c>
      <c r="J21" s="4">
        <v>13.250999999999999</v>
      </c>
      <c r="K21" s="39">
        <v>34.367025608546754</v>
      </c>
      <c r="L21" s="39">
        <v>34.462402302741758</v>
      </c>
      <c r="M21" s="39">
        <v>33.88950810950282</v>
      </c>
      <c r="N21" s="39">
        <v>32.931302971070103</v>
      </c>
      <c r="O21" s="39">
        <v>33.027313693334065</v>
      </c>
      <c r="P21" s="39">
        <v>33.027313693334065</v>
      </c>
      <c r="Q21" s="39">
        <v>32.450615331681334</v>
      </c>
      <c r="R21" s="39">
        <v>32.931302971070103</v>
      </c>
      <c r="S21" s="39">
        <v>32.931302971070103</v>
      </c>
      <c r="T21" s="39">
        <v>33.123282147060095</v>
      </c>
      <c r="U21" s="39">
        <v>32.739154720928383</v>
      </c>
      <c r="V21" s="39">
        <v>32.258044396160294</v>
      </c>
      <c r="W21" s="5">
        <f t="shared" si="0"/>
        <v>33.178214076374992</v>
      </c>
      <c r="X21" s="4">
        <f t="shared" si="1"/>
        <v>0.20167276604404383</v>
      </c>
      <c r="Y21" s="2">
        <f t="shared" si="2"/>
        <v>32.258044396160294</v>
      </c>
      <c r="Z21" s="3">
        <f t="shared" si="3"/>
        <v>32.883265908534675</v>
      </c>
      <c r="AA21" s="2">
        <f t="shared" si="4"/>
        <v>32.979308332202081</v>
      </c>
      <c r="AB21" s="3">
        <f t="shared" si="5"/>
        <v>33.314838637670775</v>
      </c>
      <c r="AC21" s="3">
        <f t="shared" si="6"/>
        <v>34.462402302741758</v>
      </c>
      <c r="AD21" s="3">
        <f t="shared" si="7"/>
        <v>0.91396895182433469</v>
      </c>
      <c r="AE21" s="3">
        <f t="shared" si="8"/>
        <v>-5.1347660673677797E-2</v>
      </c>
      <c r="AG21" s="13" t="s">
        <v>64</v>
      </c>
      <c r="AH21" s="12">
        <v>30.711200034109304</v>
      </c>
      <c r="AI21" s="11">
        <v>31.834737525267528</v>
      </c>
      <c r="AJ21" s="11">
        <v>32.762734716115069</v>
      </c>
      <c r="AK21" s="11">
        <v>33.411080673592984</v>
      </c>
      <c r="AL21" s="12">
        <v>30.420166801124306</v>
      </c>
      <c r="AM21" s="11">
        <v>31.110757835663673</v>
      </c>
      <c r="AN21" s="11">
        <v>31.992651749586127</v>
      </c>
      <c r="AO21" s="10">
        <v>32.073797438122263</v>
      </c>
    </row>
    <row r="22" spans="2:41" x14ac:dyDescent="0.2">
      <c r="B22" s="1">
        <v>205</v>
      </c>
      <c r="C22" s="1" t="s">
        <v>71</v>
      </c>
      <c r="D22" s="1">
        <v>1</v>
      </c>
      <c r="E22" s="1">
        <v>1</v>
      </c>
      <c r="F22" s="1">
        <v>1</v>
      </c>
      <c r="G22" s="1">
        <v>2</v>
      </c>
      <c r="H22" s="1">
        <v>2</v>
      </c>
      <c r="I22" s="1">
        <v>1</v>
      </c>
      <c r="J22" s="4">
        <v>13.276</v>
      </c>
      <c r="K22" s="39">
        <v>32.835249980268209</v>
      </c>
      <c r="L22" s="39">
        <v>33.602490387621273</v>
      </c>
      <c r="M22" s="39">
        <v>32.450615331681334</v>
      </c>
      <c r="N22" s="39">
        <v>31.389382893688087</v>
      </c>
      <c r="O22" s="39">
        <v>32.16169552559289</v>
      </c>
      <c r="P22" s="39">
        <v>31.002212132825331</v>
      </c>
      <c r="Q22" s="39">
        <v>33.123282147060095</v>
      </c>
      <c r="R22" s="39">
        <v>31.775877357943934</v>
      </c>
      <c r="S22" s="39">
        <v>32.16169552559289</v>
      </c>
      <c r="T22" s="39">
        <v>31.486069912558943</v>
      </c>
      <c r="U22" s="39">
        <v>32.065304386487547</v>
      </c>
      <c r="V22" s="39">
        <v>31.67931714468687</v>
      </c>
      <c r="W22" s="5">
        <f t="shared" si="0"/>
        <v>32.144432727167285</v>
      </c>
      <c r="X22" s="4">
        <f t="shared" si="1"/>
        <v>0.21885181082398947</v>
      </c>
      <c r="Y22" s="2">
        <f t="shared" si="2"/>
        <v>31.002212132825331</v>
      </c>
      <c r="Z22" s="3">
        <f t="shared" si="3"/>
        <v>31.631005336654887</v>
      </c>
      <c r="AA22" s="2">
        <f t="shared" si="4"/>
        <v>32.113499956040215</v>
      </c>
      <c r="AB22" s="3">
        <f t="shared" si="5"/>
        <v>32.546773993828054</v>
      </c>
      <c r="AC22" s="3">
        <f t="shared" si="6"/>
        <v>33.602490387621273</v>
      </c>
      <c r="AD22" s="3">
        <f t="shared" si="7"/>
        <v>0.51043372531953268</v>
      </c>
      <c r="AE22" s="3">
        <f t="shared" si="8"/>
        <v>-0.23896675413490565</v>
      </c>
      <c r="AG22" s="13" t="s">
        <v>63</v>
      </c>
      <c r="AH22" s="12">
        <v>31.533325007142647</v>
      </c>
      <c r="AI22" s="11">
        <v>32.438183380668164</v>
      </c>
      <c r="AJ22" s="11">
        <v>33.362310358511372</v>
      </c>
      <c r="AK22" s="11">
        <v>33.704520870400792</v>
      </c>
      <c r="AL22" s="12">
        <v>31.098296825030673</v>
      </c>
      <c r="AM22" s="11">
        <v>31.455231758227313</v>
      </c>
      <c r="AN22" s="11">
        <v>31.847975220285015</v>
      </c>
      <c r="AO22" s="10">
        <v>31.925217814874475</v>
      </c>
    </row>
    <row r="23" spans="2:41" x14ac:dyDescent="0.2">
      <c r="B23" s="1">
        <v>206</v>
      </c>
      <c r="C23" s="1" t="s">
        <v>64</v>
      </c>
      <c r="D23" s="1">
        <v>8</v>
      </c>
      <c r="E23" s="1">
        <v>2</v>
      </c>
      <c r="F23" s="1">
        <v>1</v>
      </c>
      <c r="G23" s="1">
        <v>1</v>
      </c>
      <c r="H23" s="1">
        <v>2</v>
      </c>
      <c r="I23" s="1">
        <v>1</v>
      </c>
      <c r="J23" s="4">
        <v>13.289</v>
      </c>
      <c r="K23" s="39">
        <v>31.099068225847912</v>
      </c>
      <c r="L23" s="39">
        <v>35.982680888703015</v>
      </c>
      <c r="M23" s="39">
        <v>36.171954878265424</v>
      </c>
      <c r="N23" s="39">
        <v>35.887980491114931</v>
      </c>
      <c r="O23" s="39">
        <v>32.16169552559289</v>
      </c>
      <c r="P23" s="39">
        <v>31.099068225847912</v>
      </c>
      <c r="Q23" s="39">
        <v>32.16169552559289</v>
      </c>
      <c r="R23" s="39">
        <v>30.420187935393276</v>
      </c>
      <c r="S23" s="39">
        <v>36.077339017753189</v>
      </c>
      <c r="T23" s="39">
        <v>32.546837396634949</v>
      </c>
      <c r="U23" s="39">
        <v>40.200450843408618</v>
      </c>
      <c r="V23" s="39">
        <v>30.711390242529994</v>
      </c>
      <c r="W23" s="5">
        <f t="shared" si="0"/>
        <v>33.710029099723748</v>
      </c>
      <c r="X23" s="4">
        <f t="shared" si="1"/>
        <v>0.88461616192129622</v>
      </c>
      <c r="Y23" s="2">
        <f t="shared" si="2"/>
        <v>30.420187935393276</v>
      </c>
      <c r="Z23" s="3">
        <f t="shared" si="3"/>
        <v>31.099068225847912</v>
      </c>
      <c r="AA23" s="2">
        <f t="shared" si="4"/>
        <v>32.354266461113923</v>
      </c>
      <c r="AB23" s="3">
        <f t="shared" si="5"/>
        <v>36.006345420965559</v>
      </c>
      <c r="AC23" s="3">
        <f t="shared" si="6"/>
        <v>40.200450843408618</v>
      </c>
      <c r="AD23" s="3">
        <f t="shared" si="7"/>
        <v>0.82076800954472884</v>
      </c>
      <c r="AE23" s="3">
        <f t="shared" si="8"/>
        <v>-0.10897275487025615</v>
      </c>
      <c r="AG23" s="13" t="s">
        <v>62</v>
      </c>
      <c r="AH23" s="12">
        <v>31.700857682918368</v>
      </c>
      <c r="AI23" s="11">
        <v>32.713205045833945</v>
      </c>
      <c r="AJ23" s="11">
        <v>34.9569428900258</v>
      </c>
      <c r="AK23" s="11">
        <v>35.027915856197893</v>
      </c>
      <c r="AL23" s="12">
        <v>31.09479910351687</v>
      </c>
      <c r="AM23" s="11">
        <v>31.772873649967202</v>
      </c>
      <c r="AN23" s="11">
        <v>32.134887270821721</v>
      </c>
      <c r="AO23" s="10">
        <v>32.153991298195677</v>
      </c>
    </row>
    <row r="24" spans="2:41" x14ac:dyDescent="0.2">
      <c r="B24" s="1">
        <v>207</v>
      </c>
      <c r="C24" s="1" t="s">
        <v>68</v>
      </c>
      <c r="D24" s="1">
        <v>4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4">
        <v>13.303000000000001</v>
      </c>
      <c r="K24" s="39">
        <v>31.775877357943934</v>
      </c>
      <c r="L24" s="39">
        <v>31.002212132825331</v>
      </c>
      <c r="M24" s="39">
        <v>32.35435099818978</v>
      </c>
      <c r="N24" s="39">
        <v>31.775877357943934</v>
      </c>
      <c r="O24" s="39">
        <v>32.643017193050632</v>
      </c>
      <c r="P24" s="39">
        <v>31.872395302663072</v>
      </c>
      <c r="Q24" s="39">
        <v>32.546837396634949</v>
      </c>
      <c r="R24" s="39">
        <v>32.450615331681334</v>
      </c>
      <c r="S24" s="39">
        <v>34.843486394142417</v>
      </c>
      <c r="T24" s="39">
        <v>32.546837396634949</v>
      </c>
      <c r="U24" s="39">
        <v>35.887980491114931</v>
      </c>
      <c r="V24" s="39">
        <v>32.35435099818978</v>
      </c>
      <c r="W24" s="5">
        <f t="shared" si="0"/>
        <v>32.671153195917917</v>
      </c>
      <c r="X24" s="4">
        <f t="shared" si="1"/>
        <v>0.39287682309529137</v>
      </c>
      <c r="Y24" s="2">
        <f t="shared" si="2"/>
        <v>31.002212132825331</v>
      </c>
      <c r="Z24" s="3">
        <f t="shared" si="3"/>
        <v>31.848265816483288</v>
      </c>
      <c r="AA24" s="2">
        <f t="shared" si="4"/>
        <v>32.40248316493556</v>
      </c>
      <c r="AB24" s="3">
        <f t="shared" si="5"/>
        <v>32.570882345738866</v>
      </c>
      <c r="AC24" s="3">
        <f t="shared" si="6"/>
        <v>35.887980491114931</v>
      </c>
      <c r="AD24" s="3">
        <f t="shared" si="7"/>
        <v>1.5954747228585606</v>
      </c>
      <c r="AE24" s="3">
        <f t="shared" si="8"/>
        <v>2.3428813847992815</v>
      </c>
      <c r="AG24" s="13" t="s">
        <v>120</v>
      </c>
      <c r="AH24" s="12">
        <v>44.965159847416807</v>
      </c>
      <c r="AI24" s="11">
        <v>55.484693868081962</v>
      </c>
      <c r="AJ24" s="11">
        <v>57.170894402084336</v>
      </c>
      <c r="AK24" s="11">
        <v>56.06089844034112</v>
      </c>
      <c r="AL24" s="12">
        <v>41.079498708254107</v>
      </c>
      <c r="AM24" s="11">
        <v>42.769350655200761</v>
      </c>
      <c r="AN24" s="11">
        <v>43.763828145588462</v>
      </c>
      <c r="AO24" s="10">
        <v>43.937006628144502</v>
      </c>
    </row>
    <row r="25" spans="2:41" x14ac:dyDescent="0.2">
      <c r="B25" s="1">
        <v>208</v>
      </c>
      <c r="C25" s="1" t="s">
        <v>70</v>
      </c>
      <c r="D25" s="1">
        <v>2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4">
        <v>13.316000000000001</v>
      </c>
      <c r="K25" s="39">
        <v>32.643017193050632</v>
      </c>
      <c r="L25" s="39">
        <v>32.835249980268209</v>
      </c>
      <c r="M25" s="39">
        <v>32.546837396634949</v>
      </c>
      <c r="N25" s="39">
        <v>32.16169552559289</v>
      </c>
      <c r="O25" s="39">
        <v>32.643017193050632</v>
      </c>
      <c r="P25" s="39">
        <v>31.292653606279288</v>
      </c>
      <c r="Q25" s="39">
        <v>32.931302971070103</v>
      </c>
      <c r="R25" s="39">
        <v>34.462402302741758</v>
      </c>
      <c r="S25" s="39">
        <v>33.027313693334065</v>
      </c>
      <c r="T25" s="39">
        <v>37.021595538668628</v>
      </c>
      <c r="U25" s="39">
        <v>33.410933897010601</v>
      </c>
      <c r="V25" s="39">
        <v>33.98509614638747</v>
      </c>
      <c r="W25" s="5">
        <f t="shared" si="0"/>
        <v>33.246759620340768</v>
      </c>
      <c r="X25" s="4">
        <f t="shared" si="1"/>
        <v>0.41588780826948157</v>
      </c>
      <c r="Y25" s="2">
        <f t="shared" si="2"/>
        <v>31.292653606279288</v>
      </c>
      <c r="Z25" s="3">
        <f t="shared" si="3"/>
        <v>32.618972243946715</v>
      </c>
      <c r="AA25" s="2">
        <f t="shared" si="4"/>
        <v>32.883276475669156</v>
      </c>
      <c r="AB25" s="3">
        <f t="shared" si="5"/>
        <v>33.554474459354822</v>
      </c>
      <c r="AC25" s="3">
        <f t="shared" si="6"/>
        <v>37.021595538668628</v>
      </c>
      <c r="AD25" s="3">
        <f t="shared" si="7"/>
        <v>1.6912871919887327</v>
      </c>
      <c r="AE25" s="3">
        <f t="shared" si="8"/>
        <v>4.0885142035791837</v>
      </c>
      <c r="AG25" s="13" t="s">
        <v>119</v>
      </c>
      <c r="AH25" s="12">
        <v>40.987101945983255</v>
      </c>
      <c r="AI25" s="11">
        <v>42.883974819444489</v>
      </c>
      <c r="AJ25" s="11">
        <v>43.831387423669177</v>
      </c>
      <c r="AK25" s="11">
        <v>45.016109949168381</v>
      </c>
      <c r="AL25" s="12">
        <v>38.329606050432965</v>
      </c>
      <c r="AM25" s="11">
        <v>40.823431557860985</v>
      </c>
      <c r="AN25" s="11">
        <v>41.701755573994397</v>
      </c>
      <c r="AO25" s="10">
        <v>42.247085208464433</v>
      </c>
    </row>
    <row r="26" spans="2:41" x14ac:dyDescent="0.2">
      <c r="B26" s="1">
        <v>301</v>
      </c>
      <c r="C26" s="1" t="s">
        <v>62</v>
      </c>
      <c r="D26" s="1">
        <v>10</v>
      </c>
      <c r="E26" s="1">
        <v>2</v>
      </c>
      <c r="F26" s="1">
        <v>2</v>
      </c>
      <c r="G26" s="1">
        <v>1</v>
      </c>
      <c r="H26" s="1">
        <v>3</v>
      </c>
      <c r="I26" s="1">
        <v>1</v>
      </c>
      <c r="J26" s="4">
        <v>13.468999999999999</v>
      </c>
      <c r="K26" s="39">
        <v>31.002212132825331</v>
      </c>
      <c r="L26" s="39">
        <v>34.462402302741758</v>
      </c>
      <c r="M26" s="39">
        <v>36.361059793676098</v>
      </c>
      <c r="N26" s="39">
        <v>33.027313693334065</v>
      </c>
      <c r="O26" s="39">
        <v>34.462402302741758</v>
      </c>
      <c r="P26" s="39">
        <v>31.67931714468687</v>
      </c>
      <c r="Q26" s="39">
        <v>36.361059793676098</v>
      </c>
      <c r="R26" s="39">
        <v>30.711390242529994</v>
      </c>
      <c r="S26" s="39">
        <v>36.644400152757626</v>
      </c>
      <c r="T26" s="39">
        <v>31.582714662891874</v>
      </c>
      <c r="U26" s="39">
        <v>40.663808382245627</v>
      </c>
      <c r="V26" s="39">
        <v>31.872395302663072</v>
      </c>
      <c r="W26" s="5">
        <f t="shared" si="0"/>
        <v>34.069206325564181</v>
      </c>
      <c r="X26" s="4">
        <f t="shared" si="1"/>
        <v>0.86786878705460058</v>
      </c>
      <c r="Y26" s="2">
        <f t="shared" si="2"/>
        <v>30.711390242529994</v>
      </c>
      <c r="Z26" s="3">
        <f t="shared" si="3"/>
        <v>31.655166524238119</v>
      </c>
      <c r="AA26" s="2">
        <f t="shared" si="4"/>
        <v>33.744857998037915</v>
      </c>
      <c r="AB26" s="3">
        <f t="shared" si="5"/>
        <v>36.361059793676098</v>
      </c>
      <c r="AC26" s="3">
        <f t="shared" si="6"/>
        <v>40.663808382245627</v>
      </c>
      <c r="AD26" s="3">
        <f t="shared" si="7"/>
        <v>0.88565468615719056</v>
      </c>
      <c r="AE26" s="3">
        <f t="shared" si="8"/>
        <v>0.40584709143982245</v>
      </c>
      <c r="AG26" s="13" t="s">
        <v>74</v>
      </c>
      <c r="AH26" s="12">
        <v>59.54665520703351</v>
      </c>
      <c r="AI26" s="11">
        <v>59.984571804191553</v>
      </c>
      <c r="AJ26" s="11">
        <v>60.379639801845222</v>
      </c>
      <c r="AK26" s="11">
        <v>60.623218769886925</v>
      </c>
      <c r="AL26" s="12"/>
      <c r="AM26" s="11"/>
      <c r="AN26" s="11"/>
      <c r="AO26" s="10"/>
    </row>
    <row r="27" spans="2:41" x14ac:dyDescent="0.2">
      <c r="B27" s="1">
        <v>302</v>
      </c>
      <c r="C27" s="1" t="s">
        <v>68</v>
      </c>
      <c r="D27" s="1">
        <v>4</v>
      </c>
      <c r="E27" s="1">
        <v>1</v>
      </c>
      <c r="F27" s="1">
        <v>2</v>
      </c>
      <c r="G27" s="1">
        <v>1</v>
      </c>
      <c r="H27" s="1">
        <v>3</v>
      </c>
      <c r="I27" s="1">
        <v>1</v>
      </c>
      <c r="J27" s="4">
        <v>13.483000000000001</v>
      </c>
      <c r="K27" s="39">
        <v>32.739154720928383</v>
      </c>
      <c r="L27" s="39">
        <v>37.304048258453605</v>
      </c>
      <c r="M27" s="39">
        <v>35.033774828615158</v>
      </c>
      <c r="N27" s="39">
        <v>36.361059793676098</v>
      </c>
      <c r="O27" s="39">
        <v>33.31509224889836</v>
      </c>
      <c r="P27" s="39">
        <v>32.931302971070103</v>
      </c>
      <c r="Q27" s="39">
        <v>34.653028885517948</v>
      </c>
      <c r="R27" s="39">
        <v>31.968870978844279</v>
      </c>
      <c r="S27" s="39">
        <v>35.128855643044638</v>
      </c>
      <c r="T27" s="39">
        <v>33.31509224889836</v>
      </c>
      <c r="U27" s="39">
        <v>35.698452890324944</v>
      </c>
      <c r="V27" s="39">
        <v>31.872395302663072</v>
      </c>
      <c r="W27" s="5">
        <f t="shared" si="0"/>
        <v>34.193427397577906</v>
      </c>
      <c r="X27" s="4">
        <f t="shared" si="1"/>
        <v>0.50765944660598616</v>
      </c>
      <c r="Y27" s="2">
        <f t="shared" si="2"/>
        <v>31.872395302663072</v>
      </c>
      <c r="Z27" s="3">
        <f t="shared" si="3"/>
        <v>32.883265908534675</v>
      </c>
      <c r="AA27" s="2">
        <f t="shared" si="4"/>
        <v>33.984060567208154</v>
      </c>
      <c r="AB27" s="3">
        <f t="shared" si="5"/>
        <v>35.271254954864716</v>
      </c>
      <c r="AC27" s="3">
        <f t="shared" si="6"/>
        <v>37.304048258453605</v>
      </c>
      <c r="AD27" s="3">
        <f t="shared" si="7"/>
        <v>0.3058415971465675</v>
      </c>
      <c r="AE27" s="3">
        <f t="shared" si="8"/>
        <v>-1.0042791685180763</v>
      </c>
      <c r="AG27" s="9" t="s">
        <v>61</v>
      </c>
      <c r="AH27" s="8">
        <v>38.52308575951951</v>
      </c>
      <c r="AI27" s="7">
        <v>39.747567693921845</v>
      </c>
      <c r="AJ27" s="7">
        <v>40.038022093588083</v>
      </c>
      <c r="AK27" s="7">
        <v>39.979021031138053</v>
      </c>
      <c r="AL27" s="8"/>
      <c r="AM27" s="7"/>
      <c r="AN27" s="7"/>
      <c r="AO27" s="6"/>
    </row>
    <row r="28" spans="2:41" x14ac:dyDescent="0.2">
      <c r="B28" s="1">
        <v>303</v>
      </c>
      <c r="C28" s="1" t="s">
        <v>64</v>
      </c>
      <c r="D28" s="1">
        <v>8</v>
      </c>
      <c r="E28" s="1">
        <v>2</v>
      </c>
      <c r="F28" s="1">
        <v>1</v>
      </c>
      <c r="G28" s="1">
        <v>1</v>
      </c>
      <c r="H28" s="1">
        <v>3</v>
      </c>
      <c r="I28" s="1">
        <v>1</v>
      </c>
      <c r="J28" s="4">
        <v>13.497999999999999</v>
      </c>
      <c r="K28" s="39">
        <v>31.775877357943934</v>
      </c>
      <c r="L28" s="39">
        <v>34.176145414542972</v>
      </c>
      <c r="M28" s="39">
        <v>34.938651745647761</v>
      </c>
      <c r="N28" s="39">
        <v>33.31509224889836</v>
      </c>
      <c r="O28" s="39">
        <v>33.027313693334065</v>
      </c>
      <c r="P28" s="39">
        <v>32.835249980268209</v>
      </c>
      <c r="Q28" s="39">
        <v>33.793877804080232</v>
      </c>
      <c r="R28" s="39">
        <v>31.002212132825331</v>
      </c>
      <c r="S28" s="39">
        <v>33.88950810950282</v>
      </c>
      <c r="T28" s="39">
        <v>31.389382893688087</v>
      </c>
      <c r="U28" s="39">
        <v>34.367025608546754</v>
      </c>
      <c r="V28" s="39">
        <v>32.835249980268209</v>
      </c>
      <c r="W28" s="5">
        <f t="shared" si="0"/>
        <v>33.11213224746222</v>
      </c>
      <c r="X28" s="4">
        <f t="shared" si="1"/>
        <v>0.35375758868013446</v>
      </c>
      <c r="Y28" s="2">
        <f t="shared" si="2"/>
        <v>31.002212132825331</v>
      </c>
      <c r="Z28" s="3">
        <f t="shared" si="3"/>
        <v>32.57040682468714</v>
      </c>
      <c r="AA28" s="2">
        <f t="shared" si="4"/>
        <v>33.171202971116216</v>
      </c>
      <c r="AB28" s="3">
        <f t="shared" si="5"/>
        <v>33.96116743576286</v>
      </c>
      <c r="AC28" s="3">
        <f t="shared" si="6"/>
        <v>34.938651745647761</v>
      </c>
      <c r="AD28" s="3">
        <f t="shared" si="7"/>
        <v>-0.40697683149630604</v>
      </c>
      <c r="AE28" s="3">
        <f t="shared" si="8"/>
        <v>-0.72831008328983593</v>
      </c>
    </row>
    <row r="29" spans="2:41" x14ac:dyDescent="0.2">
      <c r="B29" s="1">
        <v>304</v>
      </c>
      <c r="C29" s="1" t="s">
        <v>70</v>
      </c>
      <c r="D29" s="1">
        <v>2</v>
      </c>
      <c r="E29" s="1">
        <v>1</v>
      </c>
      <c r="F29" s="1">
        <v>1</v>
      </c>
      <c r="G29" s="1">
        <v>1</v>
      </c>
      <c r="H29" s="1">
        <v>3</v>
      </c>
      <c r="I29" s="1">
        <v>1</v>
      </c>
      <c r="J29" s="4">
        <v>13.513</v>
      </c>
      <c r="K29" s="39">
        <v>32.643017193050632</v>
      </c>
      <c r="L29" s="39">
        <v>33.88950810950282</v>
      </c>
      <c r="M29" s="39">
        <v>34.271606645813826</v>
      </c>
      <c r="N29" s="39">
        <v>33.123282147060095</v>
      </c>
      <c r="O29" s="39">
        <v>33.506733276584903</v>
      </c>
      <c r="P29" s="39">
        <v>34.176145414542972</v>
      </c>
      <c r="Q29" s="39">
        <v>35.128855643044638</v>
      </c>
      <c r="R29" s="39">
        <v>33.602490387621273</v>
      </c>
      <c r="S29" s="39">
        <v>33.88950810950282</v>
      </c>
      <c r="T29" s="39">
        <v>32.931302971070103</v>
      </c>
      <c r="U29" s="39">
        <v>38.52361411624365</v>
      </c>
      <c r="V29" s="39">
        <v>36.549995634935044</v>
      </c>
      <c r="W29" s="5">
        <f t="shared" si="0"/>
        <v>34.353004970747733</v>
      </c>
      <c r="X29" s="4">
        <f t="shared" si="1"/>
        <v>0.48482437837262077</v>
      </c>
      <c r="Y29" s="2">
        <f t="shared" si="2"/>
        <v>32.643017193050632</v>
      </c>
      <c r="Z29" s="3">
        <f t="shared" si="3"/>
        <v>33.410870494203699</v>
      </c>
      <c r="AA29" s="2">
        <f t="shared" si="4"/>
        <v>33.88950810950282</v>
      </c>
      <c r="AB29" s="3">
        <f t="shared" si="5"/>
        <v>34.485918895121529</v>
      </c>
      <c r="AC29" s="3">
        <f t="shared" si="6"/>
        <v>38.52361411624365</v>
      </c>
      <c r="AD29" s="3">
        <f t="shared" si="7"/>
        <v>1.6729547280133164</v>
      </c>
      <c r="AE29" s="3">
        <f t="shared" si="8"/>
        <v>2.7413165302403897</v>
      </c>
    </row>
    <row r="30" spans="2:41" x14ac:dyDescent="0.2">
      <c r="B30" s="1">
        <v>305</v>
      </c>
      <c r="C30" s="1" t="s">
        <v>67</v>
      </c>
      <c r="D30" s="1">
        <v>11</v>
      </c>
      <c r="E30" s="1">
        <v>2</v>
      </c>
      <c r="F30" s="1">
        <v>3</v>
      </c>
      <c r="G30" s="1">
        <v>2</v>
      </c>
      <c r="H30" s="1">
        <v>4</v>
      </c>
      <c r="I30" s="1">
        <v>1</v>
      </c>
      <c r="J30" s="4">
        <v>13.528</v>
      </c>
      <c r="K30" s="39">
        <v>32.065304386487547</v>
      </c>
      <c r="L30" s="39">
        <v>32.35435099818978</v>
      </c>
      <c r="M30" s="39">
        <v>31.872395302663072</v>
      </c>
      <c r="N30" s="39">
        <v>32.35435099818978</v>
      </c>
      <c r="O30" s="39">
        <v>33.88950810950282</v>
      </c>
      <c r="P30" s="39">
        <v>31.486069912558943</v>
      </c>
      <c r="Q30" s="39">
        <v>32.931302971070103</v>
      </c>
      <c r="R30" s="39">
        <v>31.389382893688087</v>
      </c>
      <c r="S30" s="39">
        <v>32.546837396634949</v>
      </c>
      <c r="T30" s="39">
        <v>31.968870978844279</v>
      </c>
      <c r="U30" s="39">
        <v>31.968870978844279</v>
      </c>
      <c r="V30" s="39">
        <v>31.486069912558943</v>
      </c>
      <c r="W30" s="5">
        <f t="shared" si="0"/>
        <v>32.192776236602718</v>
      </c>
      <c r="X30" s="4">
        <f t="shared" si="1"/>
        <v>0.20348035350922175</v>
      </c>
      <c r="Y30" s="2">
        <f t="shared" si="2"/>
        <v>31.389382893688087</v>
      </c>
      <c r="Z30" s="3">
        <f t="shared" si="3"/>
        <v>31.775813955137039</v>
      </c>
      <c r="AA30" s="2">
        <f t="shared" si="4"/>
        <v>32.017087682665917</v>
      </c>
      <c r="AB30" s="3">
        <f t="shared" si="5"/>
        <v>32.402472597801072</v>
      </c>
      <c r="AC30" s="3">
        <f t="shared" si="6"/>
        <v>33.88950810950282</v>
      </c>
      <c r="AD30" s="3">
        <f t="shared" si="7"/>
        <v>1.2641951309349393</v>
      </c>
      <c r="AE30" s="3">
        <f t="shared" si="8"/>
        <v>2.0523323414837673</v>
      </c>
    </row>
    <row r="31" spans="2:41" x14ac:dyDescent="0.2">
      <c r="B31" s="1">
        <v>306</v>
      </c>
      <c r="C31" s="1" t="s">
        <v>68</v>
      </c>
      <c r="D31" s="1">
        <v>4</v>
      </c>
      <c r="E31" s="1">
        <v>1</v>
      </c>
      <c r="F31" s="1">
        <v>2</v>
      </c>
      <c r="G31" s="1">
        <v>1</v>
      </c>
      <c r="H31" s="1">
        <v>4</v>
      </c>
      <c r="I31" s="1">
        <v>1</v>
      </c>
      <c r="J31" s="4">
        <v>13.542999999999999</v>
      </c>
      <c r="K31" s="39">
        <v>33.602490387621273</v>
      </c>
      <c r="L31" s="39">
        <v>35.698452890324944</v>
      </c>
      <c r="M31" s="39">
        <v>39.177344626629264</v>
      </c>
      <c r="N31" s="39">
        <v>33.027313693334065</v>
      </c>
      <c r="O31" s="39">
        <v>34.843486394142417</v>
      </c>
      <c r="P31" s="39">
        <v>34.176145414542972</v>
      </c>
      <c r="Q31" s="39">
        <v>38.990775823494459</v>
      </c>
      <c r="R31" s="39">
        <v>34.08064191473418</v>
      </c>
      <c r="S31" s="39">
        <v>38.149123916760246</v>
      </c>
      <c r="T31" s="39">
        <v>31.968870978844279</v>
      </c>
      <c r="U31" s="39">
        <v>33.219208332248193</v>
      </c>
      <c r="V31" s="39">
        <v>32.16169552559289</v>
      </c>
      <c r="W31" s="5">
        <f t="shared" si="0"/>
        <v>34.924629158189099</v>
      </c>
      <c r="X31" s="4">
        <f t="shared" si="1"/>
        <v>0.73608845129834266</v>
      </c>
      <c r="Y31" s="2">
        <f t="shared" si="2"/>
        <v>31.968870978844279</v>
      </c>
      <c r="Z31" s="3">
        <f t="shared" si="3"/>
        <v>33.17123467251966</v>
      </c>
      <c r="AA31" s="2">
        <f t="shared" si="4"/>
        <v>34.12839366463858</v>
      </c>
      <c r="AB31" s="3">
        <f t="shared" si="5"/>
        <v>36.311120646933773</v>
      </c>
      <c r="AC31" s="3">
        <f t="shared" si="6"/>
        <v>39.177344626629264</v>
      </c>
      <c r="AD31" s="3">
        <f t="shared" si="7"/>
        <v>0.76389534764831346</v>
      </c>
      <c r="AE31" s="3">
        <f t="shared" si="8"/>
        <v>-0.79493638584326343</v>
      </c>
    </row>
    <row r="32" spans="2:41" x14ac:dyDescent="0.2">
      <c r="B32" s="1">
        <v>307</v>
      </c>
      <c r="C32" s="1" t="s">
        <v>63</v>
      </c>
      <c r="D32" s="1">
        <v>9</v>
      </c>
      <c r="E32" s="1">
        <v>2</v>
      </c>
      <c r="F32" s="1">
        <v>2</v>
      </c>
      <c r="G32" s="1">
        <v>2</v>
      </c>
      <c r="H32" s="1">
        <v>4</v>
      </c>
      <c r="I32" s="1">
        <v>1</v>
      </c>
      <c r="J32" s="4">
        <v>13.561</v>
      </c>
      <c r="K32" s="39">
        <v>31.002212132825331</v>
      </c>
      <c r="L32" s="39">
        <v>32.065304386487547</v>
      </c>
      <c r="M32" s="39">
        <v>31.389382893688087</v>
      </c>
      <c r="N32" s="39">
        <v>33.219208332248193</v>
      </c>
      <c r="O32" s="39">
        <v>33.123282147060095</v>
      </c>
      <c r="P32" s="39">
        <v>33.602490387621273</v>
      </c>
      <c r="Q32" s="39">
        <v>33.219208332248193</v>
      </c>
      <c r="R32" s="39">
        <v>32.065304386487547</v>
      </c>
      <c r="S32" s="39">
        <v>33.219208332248193</v>
      </c>
      <c r="T32" s="39">
        <v>32.35435099818978</v>
      </c>
      <c r="U32" s="39">
        <v>38.149123916760246</v>
      </c>
      <c r="V32" s="39">
        <v>33.410933897010601</v>
      </c>
      <c r="W32" s="5">
        <f t="shared" si="0"/>
        <v>33.068334178572918</v>
      </c>
      <c r="X32" s="4">
        <f t="shared" si="1"/>
        <v>0.52149317473396872</v>
      </c>
      <c r="Y32" s="2">
        <f t="shared" si="2"/>
        <v>31.002212132825331</v>
      </c>
      <c r="Z32" s="3">
        <f t="shared" si="3"/>
        <v>32.065304386487547</v>
      </c>
      <c r="AA32" s="2">
        <f t="shared" si="4"/>
        <v>33.171245239654141</v>
      </c>
      <c r="AB32" s="3">
        <f t="shared" si="5"/>
        <v>33.267139723438795</v>
      </c>
      <c r="AC32" s="3">
        <f t="shared" si="6"/>
        <v>38.149123916760246</v>
      </c>
      <c r="AD32" s="3">
        <f t="shared" si="7"/>
        <v>2.1358645816095176</v>
      </c>
      <c r="AE32" s="3">
        <f t="shared" si="8"/>
        <v>6.2486382669828728</v>
      </c>
      <c r="AN32" s="3"/>
    </row>
    <row r="33" spans="2:40" x14ac:dyDescent="0.2">
      <c r="B33" s="1">
        <v>308</v>
      </c>
      <c r="C33" s="1" t="s">
        <v>73</v>
      </c>
      <c r="D33" s="1">
        <v>5</v>
      </c>
      <c r="E33" s="1">
        <v>1</v>
      </c>
      <c r="F33" s="1">
        <v>3</v>
      </c>
      <c r="G33" s="1">
        <v>2</v>
      </c>
      <c r="H33" s="1">
        <v>4</v>
      </c>
      <c r="I33" s="1">
        <v>1</v>
      </c>
      <c r="J33" s="4">
        <v>13.573</v>
      </c>
      <c r="K33" s="39">
        <v>33.31509224889836</v>
      </c>
      <c r="L33" s="39">
        <v>33.793877804080232</v>
      </c>
      <c r="M33" s="39">
        <v>33.602490387621273</v>
      </c>
      <c r="N33" s="39">
        <v>33.793877804080232</v>
      </c>
      <c r="O33" s="39">
        <v>33.98509614638747</v>
      </c>
      <c r="P33" s="39">
        <v>33.98509614638747</v>
      </c>
      <c r="Q33" s="39">
        <v>32.931302971070103</v>
      </c>
      <c r="R33" s="39">
        <v>35.603625687123049</v>
      </c>
      <c r="S33" s="39">
        <v>32.643017193050632</v>
      </c>
      <c r="T33" s="39">
        <v>35.128855643044638</v>
      </c>
      <c r="U33" s="39">
        <v>31.67931714468687</v>
      </c>
      <c r="V33" s="39">
        <v>33.219208332248193</v>
      </c>
      <c r="W33" s="5">
        <f t="shared" si="0"/>
        <v>33.640071459056543</v>
      </c>
      <c r="X33" s="4">
        <f t="shared" si="1"/>
        <v>0.3012926376470309</v>
      </c>
      <c r="Y33" s="2">
        <f t="shared" si="2"/>
        <v>31.67931714468687</v>
      </c>
      <c r="Z33" s="3">
        <f t="shared" si="3"/>
        <v>33.147231991953674</v>
      </c>
      <c r="AA33" s="2">
        <f t="shared" si="4"/>
        <v>33.698184095850749</v>
      </c>
      <c r="AB33" s="3">
        <f t="shared" si="5"/>
        <v>33.98509614638747</v>
      </c>
      <c r="AC33" s="3">
        <f t="shared" si="6"/>
        <v>35.603625687123049</v>
      </c>
      <c r="AD33" s="3">
        <f t="shared" si="7"/>
        <v>0.1885883944326302</v>
      </c>
      <c r="AE33" s="3">
        <f t="shared" si="8"/>
        <v>0.73009117735013618</v>
      </c>
      <c r="AN33" s="3"/>
    </row>
    <row r="34" spans="2:40" x14ac:dyDescent="0.2">
      <c r="B34" s="1">
        <v>401</v>
      </c>
      <c r="C34" s="1" t="s">
        <v>65</v>
      </c>
      <c r="D34" s="1">
        <v>7</v>
      </c>
      <c r="E34" s="1">
        <v>2</v>
      </c>
      <c r="F34" s="1">
        <v>1</v>
      </c>
      <c r="G34" s="1">
        <v>2</v>
      </c>
      <c r="H34" s="1">
        <v>3</v>
      </c>
      <c r="I34" s="1">
        <v>1</v>
      </c>
      <c r="J34" s="4">
        <v>13.709</v>
      </c>
      <c r="K34" s="39">
        <v>32.35435099818978</v>
      </c>
      <c r="L34" s="39">
        <v>32.35435099818978</v>
      </c>
      <c r="M34" s="39">
        <v>37.961625205790945</v>
      </c>
      <c r="N34" s="39">
        <v>33.88950810950282</v>
      </c>
      <c r="O34" s="39">
        <v>36.738762402042269</v>
      </c>
      <c r="P34" s="39">
        <v>32.546837396634949</v>
      </c>
      <c r="Q34" s="39">
        <v>36.077339017753189</v>
      </c>
      <c r="R34" s="39">
        <v>33.410933897010601</v>
      </c>
      <c r="S34" s="39">
        <v>36.927360094997773</v>
      </c>
      <c r="T34" s="39">
        <v>33.027313693334065</v>
      </c>
      <c r="U34" s="39">
        <v>37.021595538668628</v>
      </c>
      <c r="V34" s="39">
        <v>33.793877804080232</v>
      </c>
      <c r="W34" s="5">
        <f t="shared" si="0"/>
        <v>34.675321263016251</v>
      </c>
      <c r="X34" s="4">
        <f t="shared" si="1"/>
        <v>0.60686238115272562</v>
      </c>
      <c r="Y34" s="2">
        <f t="shared" si="2"/>
        <v>32.35435099818978</v>
      </c>
      <c r="Z34" s="3">
        <f t="shared" si="3"/>
        <v>32.907194619159284</v>
      </c>
      <c r="AA34" s="2">
        <f t="shared" si="4"/>
        <v>33.841692956791526</v>
      </c>
      <c r="AB34" s="3">
        <f t="shared" si="5"/>
        <v>36.785911825281147</v>
      </c>
      <c r="AC34" s="3">
        <f t="shared" si="6"/>
        <v>37.961625205790945</v>
      </c>
      <c r="AD34" s="3">
        <f t="shared" si="7"/>
        <v>0.34116575156232998</v>
      </c>
      <c r="AE34" s="3">
        <f t="shared" si="8"/>
        <v>-1.7409358577443204</v>
      </c>
    </row>
    <row r="35" spans="2:40" x14ac:dyDescent="0.2">
      <c r="B35" s="1">
        <v>402</v>
      </c>
      <c r="C35" s="1" t="s">
        <v>63</v>
      </c>
      <c r="D35" s="1">
        <v>9</v>
      </c>
      <c r="E35" s="1">
        <v>2</v>
      </c>
      <c r="F35" s="1">
        <v>2</v>
      </c>
      <c r="G35" s="1">
        <v>2</v>
      </c>
      <c r="H35" s="1">
        <v>3</v>
      </c>
      <c r="I35" s="1">
        <v>1</v>
      </c>
      <c r="J35" s="4">
        <v>13.69</v>
      </c>
      <c r="K35" s="39">
        <v>32.739154720928383</v>
      </c>
      <c r="L35" s="39">
        <v>32.835249980268209</v>
      </c>
      <c r="M35" s="39">
        <v>35.033774828615158</v>
      </c>
      <c r="N35" s="39">
        <v>32.35435099818978</v>
      </c>
      <c r="O35" s="39">
        <v>33.602490387621273</v>
      </c>
      <c r="P35" s="39">
        <v>32.35435099818978</v>
      </c>
      <c r="Q35" s="39">
        <v>33.506733276584903</v>
      </c>
      <c r="R35" s="39">
        <v>32.065304386487547</v>
      </c>
      <c r="S35" s="39">
        <v>35.033774828615158</v>
      </c>
      <c r="T35" s="39">
        <v>31.582714662891874</v>
      </c>
      <c r="U35" s="39">
        <v>33.98509614638747</v>
      </c>
      <c r="V35" s="39">
        <v>30.808373141166371</v>
      </c>
      <c r="W35" s="5">
        <f t="shared" si="0"/>
        <v>32.991780696328824</v>
      </c>
      <c r="X35" s="4">
        <f t="shared" si="1"/>
        <v>0.37412875683034968</v>
      </c>
      <c r="Y35" s="2">
        <f t="shared" si="2"/>
        <v>30.808373141166371</v>
      </c>
      <c r="Z35" s="3">
        <f t="shared" si="3"/>
        <v>32.282089345264225</v>
      </c>
      <c r="AA35" s="2">
        <f t="shared" si="4"/>
        <v>32.787202350598292</v>
      </c>
      <c r="AB35" s="3">
        <f t="shared" si="5"/>
        <v>33.698141827312824</v>
      </c>
      <c r="AC35" s="3">
        <f t="shared" si="6"/>
        <v>35.033774828615158</v>
      </c>
      <c r="AD35" s="3">
        <f t="shared" si="7"/>
        <v>0.19212602094988535</v>
      </c>
      <c r="AE35" s="3">
        <f t="shared" si="8"/>
        <v>-0.4756981726449987</v>
      </c>
    </row>
    <row r="36" spans="2:40" x14ac:dyDescent="0.2">
      <c r="B36" s="1">
        <v>403</v>
      </c>
      <c r="C36" s="1" t="s">
        <v>72</v>
      </c>
      <c r="D36" s="1">
        <v>6</v>
      </c>
      <c r="E36" s="1">
        <v>1</v>
      </c>
      <c r="F36" s="1">
        <v>3</v>
      </c>
      <c r="G36" s="1">
        <v>1</v>
      </c>
      <c r="H36" s="1">
        <v>3</v>
      </c>
      <c r="I36" s="1">
        <v>1</v>
      </c>
      <c r="J36" s="4">
        <v>13.678000000000001</v>
      </c>
      <c r="K36" s="39">
        <v>33.410933897010601</v>
      </c>
      <c r="L36" s="39">
        <v>34.653028885517948</v>
      </c>
      <c r="M36" s="39">
        <v>35.508756215383229</v>
      </c>
      <c r="N36" s="39">
        <v>34.843486394142417</v>
      </c>
      <c r="O36" s="39">
        <v>37.586120561397195</v>
      </c>
      <c r="P36" s="39">
        <v>35.128855643044638</v>
      </c>
      <c r="Q36" s="39">
        <v>35.413844475105485</v>
      </c>
      <c r="R36" s="39">
        <v>34.176145414542972</v>
      </c>
      <c r="S36" s="39">
        <v>36.644400152757626</v>
      </c>
      <c r="T36" s="39">
        <v>35.7932378249889</v>
      </c>
      <c r="U36" s="39">
        <v>37.20993962039654</v>
      </c>
      <c r="V36" s="39">
        <v>34.176145414542972</v>
      </c>
      <c r="W36" s="5">
        <f t="shared" si="0"/>
        <v>35.37874120823588</v>
      </c>
      <c r="X36" s="4">
        <f t="shared" si="1"/>
        <v>0.36574938815180985</v>
      </c>
      <c r="Y36" s="2">
        <f t="shared" si="2"/>
        <v>33.410933897010601</v>
      </c>
      <c r="Z36" s="3">
        <f t="shared" si="3"/>
        <v>34.533808017774206</v>
      </c>
      <c r="AA36" s="2">
        <f t="shared" si="4"/>
        <v>35.271350059075061</v>
      </c>
      <c r="AB36" s="3">
        <f t="shared" si="5"/>
        <v>36.00602840693108</v>
      </c>
      <c r="AC36" s="3">
        <f t="shared" si="6"/>
        <v>37.586120561397195</v>
      </c>
      <c r="AD36" s="3">
        <f t="shared" si="7"/>
        <v>0.39409606802620045</v>
      </c>
      <c r="AE36" s="3">
        <f t="shared" si="8"/>
        <v>-0.54030125634335313</v>
      </c>
    </row>
    <row r="37" spans="2:40" x14ac:dyDescent="0.2">
      <c r="B37" s="1">
        <v>404</v>
      </c>
      <c r="C37" s="1" t="s">
        <v>69</v>
      </c>
      <c r="D37" s="1">
        <v>3</v>
      </c>
      <c r="E37" s="1">
        <v>1</v>
      </c>
      <c r="F37" s="1">
        <v>2</v>
      </c>
      <c r="G37" s="1">
        <v>2</v>
      </c>
      <c r="H37" s="1">
        <v>3</v>
      </c>
      <c r="I37" s="1">
        <v>1</v>
      </c>
      <c r="J37" s="4">
        <v>13.663</v>
      </c>
      <c r="K37" s="39">
        <v>35.128855643044638</v>
      </c>
      <c r="L37" s="39">
        <v>33.219208332248193</v>
      </c>
      <c r="M37" s="39">
        <v>36.738762402042269</v>
      </c>
      <c r="N37" s="39">
        <v>33.698205230119726</v>
      </c>
      <c r="O37" s="39">
        <v>34.462402302741758</v>
      </c>
      <c r="P37" s="39">
        <v>32.931302971070103</v>
      </c>
      <c r="Q37" s="39">
        <v>35.128855643044638</v>
      </c>
      <c r="R37" s="39">
        <v>33.410933897010601</v>
      </c>
      <c r="S37" s="39">
        <v>32.931302971070103</v>
      </c>
      <c r="T37" s="39">
        <v>33.123282147060095</v>
      </c>
      <c r="U37" s="39">
        <v>33.506733276584903</v>
      </c>
      <c r="V37" s="39">
        <v>32.258044396160294</v>
      </c>
      <c r="W37" s="5">
        <f t="shared" si="0"/>
        <v>33.878157434349774</v>
      </c>
      <c r="X37" s="4">
        <f t="shared" si="1"/>
        <v>0.36372874325909255</v>
      </c>
      <c r="Y37" s="2">
        <f t="shared" si="2"/>
        <v>32.258044396160294</v>
      </c>
      <c r="Z37" s="3">
        <f t="shared" si="3"/>
        <v>33.075287353062599</v>
      </c>
      <c r="AA37" s="2">
        <f t="shared" si="4"/>
        <v>33.458833586797752</v>
      </c>
      <c r="AB37" s="3">
        <f t="shared" si="5"/>
        <v>34.629015637817474</v>
      </c>
      <c r="AC37" s="3">
        <f t="shared" si="6"/>
        <v>36.738762402042269</v>
      </c>
      <c r="AD37" s="3">
        <f t="shared" si="7"/>
        <v>1.1286347246327344</v>
      </c>
      <c r="AE37" s="3">
        <f t="shared" si="8"/>
        <v>1.0339243129699298</v>
      </c>
    </row>
    <row r="38" spans="2:40" x14ac:dyDescent="0.2">
      <c r="B38" s="1">
        <v>405</v>
      </c>
      <c r="C38" s="1" t="s">
        <v>72</v>
      </c>
      <c r="D38" s="1">
        <v>6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4">
        <v>13.644</v>
      </c>
      <c r="K38" s="39">
        <v>34.653028885517948</v>
      </c>
      <c r="L38" s="39">
        <v>34.557736728398808</v>
      </c>
      <c r="M38" s="39">
        <v>35.318890466289801</v>
      </c>
      <c r="N38" s="39">
        <v>35.128855643044638</v>
      </c>
      <c r="O38" s="39">
        <v>37.20993962039654</v>
      </c>
      <c r="P38" s="39">
        <v>35.887980491114931</v>
      </c>
      <c r="Q38" s="39">
        <v>37.021595538668628</v>
      </c>
      <c r="R38" s="39">
        <v>35.698452890324944</v>
      </c>
      <c r="S38" s="39">
        <v>38.990775823494459</v>
      </c>
      <c r="T38" s="39">
        <v>40.571221411554092</v>
      </c>
      <c r="U38" s="39">
        <v>38.710605604757767</v>
      </c>
      <c r="V38" s="39">
        <v>38.617130994769674</v>
      </c>
      <c r="W38" s="5">
        <f t="shared" si="0"/>
        <v>36.863851174861018</v>
      </c>
      <c r="X38" s="4">
        <f t="shared" si="1"/>
        <v>0.56949634816222672</v>
      </c>
      <c r="Y38" s="2">
        <f t="shared" si="2"/>
        <v>34.557736728398808</v>
      </c>
      <c r="Z38" s="3">
        <f t="shared" si="3"/>
        <v>35.271381760478512</v>
      </c>
      <c r="AA38" s="2">
        <f t="shared" si="4"/>
        <v>36.454788014891776</v>
      </c>
      <c r="AB38" s="3">
        <f t="shared" si="5"/>
        <v>38.640499647266694</v>
      </c>
      <c r="AC38" s="3">
        <f t="shared" si="6"/>
        <v>40.571221411554092</v>
      </c>
      <c r="AD38" s="3">
        <f t="shared" si="7"/>
        <v>0.53734140815045317</v>
      </c>
      <c r="AE38" s="3">
        <f t="shared" si="8"/>
        <v>-0.91076112545247678</v>
      </c>
    </row>
    <row r="39" spans="2:40" x14ac:dyDescent="0.2">
      <c r="B39" s="1">
        <v>406</v>
      </c>
      <c r="C39" s="1" t="s">
        <v>69</v>
      </c>
      <c r="D39" s="1">
        <v>3</v>
      </c>
      <c r="E39" s="1">
        <v>1</v>
      </c>
      <c r="F39" s="1">
        <v>2</v>
      </c>
      <c r="G39" s="1">
        <v>2</v>
      </c>
      <c r="H39" s="1">
        <v>4</v>
      </c>
      <c r="I39" s="1">
        <v>1</v>
      </c>
      <c r="J39" s="4">
        <v>13.629</v>
      </c>
      <c r="K39" s="39">
        <v>33.698205230119726</v>
      </c>
      <c r="L39" s="39">
        <v>32.258044396160294</v>
      </c>
      <c r="M39" s="39">
        <v>33.123282147060095</v>
      </c>
      <c r="N39" s="39">
        <v>32.546837396634949</v>
      </c>
      <c r="O39" s="39">
        <v>32.065304386487547</v>
      </c>
      <c r="P39" s="39">
        <v>32.065304386487547</v>
      </c>
      <c r="Q39" s="39">
        <v>34.653028885517948</v>
      </c>
      <c r="R39" s="39">
        <v>33.027313693334065</v>
      </c>
      <c r="S39" s="39">
        <v>35.033774828615158</v>
      </c>
      <c r="T39" s="39">
        <v>32.16169552559289</v>
      </c>
      <c r="U39" s="39">
        <v>32.065304386487547</v>
      </c>
      <c r="V39" s="39">
        <v>32.16169552559289</v>
      </c>
      <c r="W39" s="5">
        <f t="shared" si="0"/>
        <v>32.904982565674224</v>
      </c>
      <c r="X39" s="4">
        <f t="shared" si="1"/>
        <v>0.30209082997787057</v>
      </c>
      <c r="Y39" s="2">
        <f t="shared" si="2"/>
        <v>32.065304386487547</v>
      </c>
      <c r="Z39" s="3">
        <f t="shared" si="3"/>
        <v>32.137597740816553</v>
      </c>
      <c r="AA39" s="2">
        <f t="shared" si="4"/>
        <v>32.402440896397621</v>
      </c>
      <c r="AB39" s="3">
        <f t="shared" si="5"/>
        <v>33.267012917824999</v>
      </c>
      <c r="AC39" s="3">
        <f t="shared" si="6"/>
        <v>35.033774828615158</v>
      </c>
      <c r="AD39" s="3">
        <f t="shared" si="7"/>
        <v>1.198084953430169</v>
      </c>
      <c r="AE39" s="3">
        <f t="shared" si="8"/>
        <v>0.2456169287473271</v>
      </c>
    </row>
    <row r="40" spans="2:40" x14ac:dyDescent="0.2">
      <c r="B40" s="1">
        <v>407</v>
      </c>
      <c r="C40" s="1" t="s">
        <v>65</v>
      </c>
      <c r="D40" s="1">
        <v>7</v>
      </c>
      <c r="E40" s="1">
        <v>2</v>
      </c>
      <c r="F40" s="1">
        <v>1</v>
      </c>
      <c r="G40" s="1">
        <v>2</v>
      </c>
      <c r="H40" s="1">
        <v>4</v>
      </c>
      <c r="I40" s="1">
        <v>1</v>
      </c>
      <c r="J40" s="4">
        <v>13.613</v>
      </c>
      <c r="K40" s="39">
        <v>31.292653606279288</v>
      </c>
      <c r="L40" s="39">
        <v>31.195882050332571</v>
      </c>
      <c r="M40" s="39">
        <v>32.931302971070103</v>
      </c>
      <c r="N40" s="39">
        <v>30.12860521141517</v>
      </c>
      <c r="O40" s="39">
        <v>32.643017193050632</v>
      </c>
      <c r="P40" s="39">
        <v>31.775877357943934</v>
      </c>
      <c r="Q40" s="39">
        <v>34.462402302741758</v>
      </c>
      <c r="R40" s="39">
        <v>30.711390242529994</v>
      </c>
      <c r="S40" s="39">
        <v>39.084081359330831</v>
      </c>
      <c r="T40" s="39">
        <v>35.413844475105485</v>
      </c>
      <c r="U40" s="39">
        <v>32.835249980268209</v>
      </c>
      <c r="V40" s="39">
        <v>31.002212132825331</v>
      </c>
      <c r="W40" s="5">
        <f t="shared" si="0"/>
        <v>32.789709906907774</v>
      </c>
      <c r="X40" s="4">
        <f t="shared" si="1"/>
        <v>0.7269284471041213</v>
      </c>
      <c r="Y40" s="2">
        <f t="shared" si="2"/>
        <v>30.12860521141517</v>
      </c>
      <c r="Z40" s="3">
        <f t="shared" si="3"/>
        <v>31.147464570955762</v>
      </c>
      <c r="AA40" s="2">
        <f t="shared" si="4"/>
        <v>32.209447275497283</v>
      </c>
      <c r="AB40" s="3">
        <f t="shared" si="5"/>
        <v>33.314077803988013</v>
      </c>
      <c r="AC40" s="3">
        <f t="shared" si="6"/>
        <v>39.084081359330831</v>
      </c>
      <c r="AD40" s="3">
        <f t="shared" si="7"/>
        <v>1.5723501797270181</v>
      </c>
      <c r="AE40" s="3">
        <f t="shared" si="8"/>
        <v>2.6932696525659496</v>
      </c>
    </row>
    <row r="41" spans="2:40" x14ac:dyDescent="0.2">
      <c r="B41" s="1">
        <v>408</v>
      </c>
      <c r="C41" s="1" t="s">
        <v>62</v>
      </c>
      <c r="D41" s="1">
        <v>10</v>
      </c>
      <c r="E41" s="1">
        <v>2</v>
      </c>
      <c r="F41" s="1">
        <v>2</v>
      </c>
      <c r="G41" s="1">
        <v>1</v>
      </c>
      <c r="H41" s="1">
        <v>4</v>
      </c>
      <c r="I41" s="1">
        <v>1</v>
      </c>
      <c r="J41" s="4">
        <v>13.596</v>
      </c>
      <c r="K41" s="39">
        <v>31.968870978844279</v>
      </c>
      <c r="L41" s="39">
        <v>36.549995634935044</v>
      </c>
      <c r="M41" s="39">
        <v>37.304048258453605</v>
      </c>
      <c r="N41" s="39">
        <v>32.835249980268209</v>
      </c>
      <c r="O41" s="39">
        <v>39.363744355612347</v>
      </c>
      <c r="P41" s="39">
        <v>32.739154720928383</v>
      </c>
      <c r="Q41" s="39">
        <v>40.014811948108303</v>
      </c>
      <c r="R41" s="39">
        <v>31.292653606279288</v>
      </c>
      <c r="S41" s="39">
        <v>39.73603659112333</v>
      </c>
      <c r="T41" s="39">
        <v>31.67931714468687</v>
      </c>
      <c r="U41" s="39">
        <v>39.73603659112333</v>
      </c>
      <c r="V41" s="39">
        <v>36.361059793676098</v>
      </c>
      <c r="W41" s="5">
        <f t="shared" si="0"/>
        <v>35.798414967003247</v>
      </c>
      <c r="X41" s="4">
        <f t="shared" si="1"/>
        <v>1.0102555895828866</v>
      </c>
      <c r="Y41" s="2">
        <f t="shared" si="2"/>
        <v>31.292653606279288</v>
      </c>
      <c r="Z41" s="3">
        <f t="shared" si="3"/>
        <v>32.546583785407357</v>
      </c>
      <c r="AA41" s="2">
        <f t="shared" si="4"/>
        <v>36.455527714305575</v>
      </c>
      <c r="AB41" s="3">
        <f t="shared" si="5"/>
        <v>39.456817414490089</v>
      </c>
      <c r="AC41" s="3">
        <f t="shared" si="6"/>
        <v>40.014811948108303</v>
      </c>
      <c r="AD41" s="3">
        <f t="shared" si="7"/>
        <v>-6.5602299840346101E-2</v>
      </c>
      <c r="AE41" s="3">
        <f t="shared" si="8"/>
        <v>-1.8862855462505248</v>
      </c>
    </row>
    <row r="42" spans="2:40" x14ac:dyDescent="0.2">
      <c r="B42" s="50">
        <v>901</v>
      </c>
      <c r="C42" s="50" t="s">
        <v>61</v>
      </c>
      <c r="D42" s="50">
        <v>32</v>
      </c>
      <c r="E42" s="50">
        <v>9</v>
      </c>
      <c r="F42" s="50">
        <v>0</v>
      </c>
      <c r="G42" s="50">
        <v>1</v>
      </c>
      <c r="H42" s="50">
        <v>1</v>
      </c>
      <c r="I42" s="50">
        <v>1</v>
      </c>
      <c r="J42" s="48">
        <v>13.457000000000001</v>
      </c>
      <c r="K42" s="47">
        <v>40.10765253002743</v>
      </c>
      <c r="L42" s="47">
        <v>39.921929097651244</v>
      </c>
      <c r="M42" s="47">
        <v>38.990775823494459</v>
      </c>
      <c r="N42" s="47">
        <v>40.478592172324618</v>
      </c>
      <c r="O42" s="47">
        <v>39.921929097651244</v>
      </c>
      <c r="P42" s="47">
        <v>40.014811948108303</v>
      </c>
      <c r="Q42" s="47">
        <v>40.014811948108303</v>
      </c>
      <c r="R42" s="47">
        <v>39.829003978656253</v>
      </c>
      <c r="S42" s="47">
        <v>40.014811948108303</v>
      </c>
      <c r="T42" s="47">
        <v>41.49518903426258</v>
      </c>
      <c r="U42" s="47">
        <v>40.10765253002743</v>
      </c>
      <c r="V42" s="47">
        <v>40.848855518014908</v>
      </c>
      <c r="W42" s="49">
        <f t="shared" ref="W42:W73" si="9">AVERAGE(K42:V42)</f>
        <v>40.145501302202923</v>
      </c>
      <c r="X42" s="48">
        <f t="shared" ref="X42:X73" si="10">STDEV(K42:V42)/SQRT(COUNT(K42:V42))</f>
        <v>0.17440262508340115</v>
      </c>
      <c r="Y42" s="47">
        <f t="shared" ref="Y42:Y73" si="11">MIN(K42:V42)</f>
        <v>38.990775823494459</v>
      </c>
      <c r="Z42" s="46">
        <f t="shared" ref="Z42:Z73" si="12">QUARTILE(K42:V42,1)</f>
        <v>39.921929097651244</v>
      </c>
      <c r="AA42" s="47">
        <f t="shared" ref="AA42:AA73" si="13">MEDIAN(K42:V42)</f>
        <v>40.014811948108303</v>
      </c>
      <c r="AB42" s="46">
        <f t="shared" ref="AB42:AB73" si="14">QUARTILE(K42:V42,3)</f>
        <v>40.20038744060173</v>
      </c>
      <c r="AC42" s="46">
        <f t="shared" ref="AC42:AC73" si="15">MAX(K42:V42)</f>
        <v>41.49518903426258</v>
      </c>
      <c r="AD42" s="46">
        <f t="shared" ref="AD42:AD73" si="16">SKEW(K42:V42)</f>
        <v>0.61494394920316264</v>
      </c>
      <c r="AE42" s="46">
        <f t="shared" ref="AE42:AE73" si="17">KURT(K42:V42)</f>
        <v>2.317550829794258</v>
      </c>
    </row>
    <row r="43" spans="2:40" x14ac:dyDescent="0.2">
      <c r="B43" s="1">
        <v>902</v>
      </c>
      <c r="C43" s="1" t="s">
        <v>119</v>
      </c>
      <c r="D43" s="1">
        <v>22</v>
      </c>
      <c r="E43" s="1">
        <v>4</v>
      </c>
      <c r="F43" s="1">
        <v>2</v>
      </c>
      <c r="G43" s="1">
        <v>2</v>
      </c>
      <c r="H43" s="1">
        <v>1</v>
      </c>
      <c r="I43" s="1">
        <v>1</v>
      </c>
      <c r="J43" s="4">
        <v>13.44</v>
      </c>
      <c r="K43" s="39">
        <v>43.968788480878892</v>
      </c>
      <c r="L43" s="39">
        <v>44.514292661538448</v>
      </c>
      <c r="M43" s="39">
        <v>54.761614646555756</v>
      </c>
      <c r="N43" s="39">
        <v>43.513039278869492</v>
      </c>
      <c r="O43" s="39">
        <v>42.873215117463225</v>
      </c>
      <c r="P43" s="39">
        <v>44.241730779629364</v>
      </c>
      <c r="Q43" s="39">
        <v>45.51043155111774</v>
      </c>
      <c r="R43" s="39">
        <v>47.308489921775973</v>
      </c>
      <c r="S43" s="39">
        <v>46.231683789201732</v>
      </c>
      <c r="T43" s="39">
        <v>48.823546081656133</v>
      </c>
      <c r="U43" s="39">
        <v>42.598370734505856</v>
      </c>
      <c r="V43" s="39">
        <v>40.571221411554092</v>
      </c>
      <c r="W43" s="5">
        <f t="shared" si="9"/>
        <v>45.409702037895556</v>
      </c>
      <c r="X43" s="4">
        <f t="shared" si="10"/>
        <v>1.0624140504826958</v>
      </c>
      <c r="Y43" s="2">
        <f t="shared" si="11"/>
        <v>40.571221411554092</v>
      </c>
      <c r="Z43" s="3">
        <f t="shared" si="12"/>
        <v>43.353083238517925</v>
      </c>
      <c r="AA43" s="2">
        <f t="shared" si="13"/>
        <v>44.378011720583906</v>
      </c>
      <c r="AB43" s="3">
        <f t="shared" si="14"/>
        <v>46.50088532234529</v>
      </c>
      <c r="AC43" s="3">
        <f t="shared" si="15"/>
        <v>54.761614646555756</v>
      </c>
      <c r="AD43" s="3">
        <f t="shared" si="16"/>
        <v>1.5344329193261639</v>
      </c>
      <c r="AE43" s="3">
        <f t="shared" si="17"/>
        <v>3.2416271897973044</v>
      </c>
    </row>
    <row r="44" spans="2:40" x14ac:dyDescent="0.2">
      <c r="B44" s="50">
        <v>903</v>
      </c>
      <c r="C44" s="50" t="s">
        <v>74</v>
      </c>
      <c r="D44" s="50">
        <v>31</v>
      </c>
      <c r="E44" s="50">
        <v>8</v>
      </c>
      <c r="F44" s="50">
        <v>0</v>
      </c>
      <c r="G44" s="50">
        <v>1</v>
      </c>
      <c r="H44" s="50">
        <v>1</v>
      </c>
      <c r="I44" s="50">
        <v>1</v>
      </c>
      <c r="J44" s="48">
        <v>13.430999999999999</v>
      </c>
      <c r="K44" s="47">
        <v>60.005393777278222</v>
      </c>
      <c r="L44" s="47">
        <v>59.922105884931554</v>
      </c>
      <c r="M44" s="47">
        <v>61.001551539479863</v>
      </c>
      <c r="N44" s="47">
        <v>60.255003843090705</v>
      </c>
      <c r="O44" s="47">
        <v>61.001551539479863</v>
      </c>
      <c r="P44" s="47">
        <v>61.991622632219418</v>
      </c>
      <c r="Q44" s="47">
        <v>60.421199210942696</v>
      </c>
      <c r="R44" s="47">
        <v>59.838775724046918</v>
      </c>
      <c r="S44" s="47">
        <v>61.166986073649106</v>
      </c>
      <c r="T44" s="47">
        <v>59.337907119442654</v>
      </c>
      <c r="U44" s="47">
        <v>61.827033468808793</v>
      </c>
      <c r="V44" s="47">
        <v>60.504233492061807</v>
      </c>
      <c r="W44" s="49">
        <f t="shared" si="9"/>
        <v>60.606113692119301</v>
      </c>
      <c r="X44" s="48">
        <f t="shared" si="10"/>
        <v>0.2340573901072793</v>
      </c>
      <c r="Y44" s="47">
        <f t="shared" si="11"/>
        <v>59.337907119442654</v>
      </c>
      <c r="Z44" s="46">
        <f t="shared" si="12"/>
        <v>59.984571804191553</v>
      </c>
      <c r="AA44" s="47">
        <f t="shared" si="13"/>
        <v>60.462716351502252</v>
      </c>
      <c r="AB44" s="46">
        <f t="shared" si="14"/>
        <v>61.042910173022172</v>
      </c>
      <c r="AC44" s="46">
        <f t="shared" si="15"/>
        <v>61.991622632219418</v>
      </c>
      <c r="AD44" s="46">
        <f t="shared" si="16"/>
        <v>0.34808648555893995</v>
      </c>
      <c r="AE44" s="46">
        <f t="shared" si="17"/>
        <v>-0.62271656437641898</v>
      </c>
    </row>
    <row r="45" spans="2:40" x14ac:dyDescent="0.2">
      <c r="B45" s="1">
        <v>904</v>
      </c>
      <c r="C45" s="1" t="s">
        <v>120</v>
      </c>
      <c r="D45" s="1">
        <v>21</v>
      </c>
      <c r="E45" s="1">
        <v>3</v>
      </c>
      <c r="F45" s="1">
        <v>2</v>
      </c>
      <c r="G45" s="1">
        <v>2</v>
      </c>
      <c r="H45" s="1">
        <v>1</v>
      </c>
      <c r="I45" s="1">
        <v>1</v>
      </c>
      <c r="J45" s="4">
        <v>13.407</v>
      </c>
      <c r="K45" s="39">
        <v>43.968788480878892</v>
      </c>
      <c r="L45" s="39">
        <v>44.69578924012152</v>
      </c>
      <c r="M45" s="39">
        <v>58.919354230812658</v>
      </c>
      <c r="N45" s="39">
        <v>56.895590914188624</v>
      </c>
      <c r="O45" s="39">
        <v>52.253105910901574</v>
      </c>
      <c r="P45" s="39">
        <v>55.789220200978157</v>
      </c>
      <c r="Q45" s="39">
        <v>58.75163719559513</v>
      </c>
      <c r="R45" s="39">
        <v>59.505032395129128</v>
      </c>
      <c r="S45" s="39">
        <v>55.447361312777588</v>
      </c>
      <c r="T45" s="39">
        <v>58.079078313207823</v>
      </c>
      <c r="U45" s="39">
        <v>57.319216027370359</v>
      </c>
      <c r="V45" s="39">
        <v>60.587225504642973</v>
      </c>
      <c r="W45" s="5">
        <f t="shared" si="9"/>
        <v>55.18428331055037</v>
      </c>
      <c r="X45" s="4">
        <f t="shared" si="10"/>
        <v>1.5936107439264549</v>
      </c>
      <c r="Y45" s="2">
        <f t="shared" si="11"/>
        <v>43.968788480878892</v>
      </c>
      <c r="Z45" s="3">
        <f t="shared" si="12"/>
        <v>54.648797462308586</v>
      </c>
      <c r="AA45" s="2">
        <f t="shared" si="13"/>
        <v>57.107403470779488</v>
      </c>
      <c r="AB45" s="3">
        <f t="shared" si="14"/>
        <v>58.79356645439951</v>
      </c>
      <c r="AC45" s="3">
        <f t="shared" si="15"/>
        <v>60.587225504642973</v>
      </c>
      <c r="AD45" s="3">
        <f t="shared" si="16"/>
        <v>-1.4360644972286278</v>
      </c>
      <c r="AE45" s="3">
        <f t="shared" si="17"/>
        <v>0.99816735796667722</v>
      </c>
    </row>
    <row r="46" spans="2:40" x14ac:dyDescent="0.2">
      <c r="B46" s="50">
        <v>905</v>
      </c>
      <c r="C46" s="50" t="s">
        <v>61</v>
      </c>
      <c r="D46" s="50">
        <v>32</v>
      </c>
      <c r="E46" s="50">
        <v>9</v>
      </c>
      <c r="F46" s="50">
        <v>0</v>
      </c>
      <c r="G46" s="50">
        <v>1</v>
      </c>
      <c r="H46" s="50">
        <v>2</v>
      </c>
      <c r="I46" s="50">
        <v>1</v>
      </c>
      <c r="J46" s="48">
        <v>13.398999999999999</v>
      </c>
      <c r="K46" s="47">
        <v>40.014811948108303</v>
      </c>
      <c r="L46" s="47">
        <v>40.014811948108303</v>
      </c>
      <c r="M46" s="47">
        <v>39.363744355612347</v>
      </c>
      <c r="N46" s="47">
        <v>39.270565625389771</v>
      </c>
      <c r="O46" s="47">
        <v>40.385920664557212</v>
      </c>
      <c r="P46" s="47">
        <v>40.200450843408618</v>
      </c>
      <c r="Q46" s="47">
        <v>39.643026935052482</v>
      </c>
      <c r="R46" s="47">
        <v>40.200450843408618</v>
      </c>
      <c r="S46" s="47">
        <v>38.055395695544561</v>
      </c>
      <c r="T46" s="47">
        <v>40.200450843408618</v>
      </c>
      <c r="U46" s="47">
        <v>40.293206888251888</v>
      </c>
      <c r="V46" s="47">
        <v>40.10765253002743</v>
      </c>
      <c r="W46" s="49">
        <f t="shared" si="9"/>
        <v>39.812540760073183</v>
      </c>
      <c r="X46" s="48">
        <f t="shared" si="10"/>
        <v>0.19052547625780272</v>
      </c>
      <c r="Y46" s="47">
        <f t="shared" si="11"/>
        <v>38.055395695544561</v>
      </c>
      <c r="Z46" s="46">
        <f t="shared" si="12"/>
        <v>39.573206290192445</v>
      </c>
      <c r="AA46" s="47">
        <f t="shared" si="13"/>
        <v>40.061232239067863</v>
      </c>
      <c r="AB46" s="46">
        <f t="shared" si="14"/>
        <v>40.200450843408618</v>
      </c>
      <c r="AC46" s="46">
        <f t="shared" si="15"/>
        <v>40.385920664557212</v>
      </c>
      <c r="AD46" s="46">
        <f t="shared" si="16"/>
        <v>-1.9590489488975167</v>
      </c>
      <c r="AE46" s="46">
        <f t="shared" si="17"/>
        <v>4.188992560515711</v>
      </c>
    </row>
    <row r="47" spans="2:40" x14ac:dyDescent="0.2">
      <c r="B47" s="1">
        <v>906</v>
      </c>
      <c r="C47" s="1" t="s">
        <v>119</v>
      </c>
      <c r="D47" s="1">
        <v>22</v>
      </c>
      <c r="E47" s="1">
        <v>4</v>
      </c>
      <c r="F47" s="1">
        <v>2</v>
      </c>
      <c r="G47" s="1">
        <v>2</v>
      </c>
      <c r="H47" s="1">
        <v>2</v>
      </c>
      <c r="I47" s="1">
        <v>1</v>
      </c>
      <c r="J47" s="4">
        <v>13.378</v>
      </c>
      <c r="K47" s="39">
        <v>43.330443718300216</v>
      </c>
      <c r="L47" s="39">
        <v>43.239082535208681</v>
      </c>
      <c r="M47" s="39">
        <v>52.427247763884615</v>
      </c>
      <c r="N47" s="39">
        <v>42.506671403110865</v>
      </c>
      <c r="O47" s="39">
        <v>44.786474126606159</v>
      </c>
      <c r="P47" s="39">
        <v>41.402982480412419</v>
      </c>
      <c r="Q47" s="39">
        <v>47.933815974671859</v>
      </c>
      <c r="R47" s="39">
        <v>41.49518903426258</v>
      </c>
      <c r="S47" s="39">
        <v>43.239082535208681</v>
      </c>
      <c r="T47" s="39">
        <v>43.968788480878892</v>
      </c>
      <c r="U47" s="39">
        <v>49.000984880597812</v>
      </c>
      <c r="V47" s="39">
        <v>42.139451392151621</v>
      </c>
      <c r="W47" s="5">
        <f t="shared" si="9"/>
        <v>44.622517860441199</v>
      </c>
      <c r="X47" s="4">
        <f t="shared" si="10"/>
        <v>0.98391989090470466</v>
      </c>
      <c r="Y47" s="2">
        <f t="shared" si="11"/>
        <v>41.402982480412419</v>
      </c>
      <c r="Z47" s="3">
        <f t="shared" si="12"/>
        <v>42.414866400371054</v>
      </c>
      <c r="AA47" s="2">
        <f t="shared" si="13"/>
        <v>43.284763126754449</v>
      </c>
      <c r="AB47" s="3">
        <f t="shared" si="14"/>
        <v>45.573309588622585</v>
      </c>
      <c r="AC47" s="3">
        <f t="shared" si="15"/>
        <v>52.427247763884615</v>
      </c>
      <c r="AD47" s="3">
        <f t="shared" si="16"/>
        <v>1.3753341733787607</v>
      </c>
      <c r="AE47" s="3">
        <f t="shared" si="17"/>
        <v>1.1854025783102102</v>
      </c>
    </row>
    <row r="48" spans="2:40" x14ac:dyDescent="0.2">
      <c r="B48" s="50">
        <v>907</v>
      </c>
      <c r="C48" s="50" t="s">
        <v>74</v>
      </c>
      <c r="D48" s="50">
        <v>31</v>
      </c>
      <c r="E48" s="50">
        <v>8</v>
      </c>
      <c r="F48" s="50">
        <v>0</v>
      </c>
      <c r="G48" s="50">
        <v>1</v>
      </c>
      <c r="H48" s="50">
        <v>2</v>
      </c>
      <c r="I48" s="50">
        <v>1</v>
      </c>
      <c r="J48" s="48">
        <v>13.368</v>
      </c>
      <c r="K48" s="47">
        <v>60.504233492061807</v>
      </c>
      <c r="L48" s="47">
        <v>60.171842756357812</v>
      </c>
      <c r="M48" s="47">
        <v>61.084289940833443</v>
      </c>
      <c r="N48" s="47">
        <v>60.005393777278222</v>
      </c>
      <c r="O48" s="47">
        <v>61.166986073649106</v>
      </c>
      <c r="P48" s="47">
        <v>59.922105884931554</v>
      </c>
      <c r="Q48" s="47">
        <v>60.338122661285681</v>
      </c>
      <c r="R48" s="47">
        <v>62.156042721478293</v>
      </c>
      <c r="S48" s="47">
        <v>59.755403294624372</v>
      </c>
      <c r="T48" s="47">
        <v>60.255003843090705</v>
      </c>
      <c r="U48" s="47">
        <v>62.402355841332152</v>
      </c>
      <c r="V48" s="47">
        <v>59.922105884931554</v>
      </c>
      <c r="W48" s="49">
        <f t="shared" si="9"/>
        <v>60.64032384765455</v>
      </c>
      <c r="X48" s="48">
        <f t="shared" si="10"/>
        <v>0.25483693965883858</v>
      </c>
      <c r="Y48" s="47">
        <f t="shared" si="11"/>
        <v>59.755403294624372</v>
      </c>
      <c r="Z48" s="46">
        <f t="shared" si="12"/>
        <v>59.984571804191553</v>
      </c>
      <c r="AA48" s="47">
        <f t="shared" si="13"/>
        <v>60.296563252188193</v>
      </c>
      <c r="AB48" s="46">
        <f t="shared" si="14"/>
        <v>61.104963974037361</v>
      </c>
      <c r="AC48" s="46">
        <f t="shared" si="15"/>
        <v>62.402355841332152</v>
      </c>
      <c r="AD48" s="46">
        <f t="shared" si="16"/>
        <v>1.1586055060364209</v>
      </c>
      <c r="AE48" s="46">
        <f t="shared" si="17"/>
        <v>0.2271141243805177</v>
      </c>
    </row>
    <row r="49" spans="2:31" ht="13.5" thickBot="1" x14ac:dyDescent="0.25">
      <c r="B49" s="45">
        <v>908</v>
      </c>
      <c r="C49" s="45" t="s">
        <v>120</v>
      </c>
      <c r="D49" s="45">
        <v>21</v>
      </c>
      <c r="E49" s="45">
        <v>3</v>
      </c>
      <c r="F49" s="45">
        <v>2</v>
      </c>
      <c r="G49" s="45">
        <v>2</v>
      </c>
      <c r="H49" s="45">
        <v>2</v>
      </c>
      <c r="I49" s="45">
        <v>1</v>
      </c>
      <c r="J49" s="42">
        <v>13.339</v>
      </c>
      <c r="K49" s="44">
        <v>45.961531213954721</v>
      </c>
      <c r="L49" s="44">
        <v>56.980400473900829</v>
      </c>
      <c r="M49" s="44">
        <v>57.488370192877532</v>
      </c>
      <c r="N49" s="44">
        <v>56.725844989150403</v>
      </c>
      <c r="O49" s="44">
        <v>60.005393777278222</v>
      </c>
      <c r="P49" s="44">
        <v>60.91877086958835</v>
      </c>
      <c r="Q49" s="44">
        <v>55.104826127970128</v>
      </c>
      <c r="R49" s="44">
        <v>60.088639401086994</v>
      </c>
      <c r="S49" s="44">
        <v>52.078794983766791</v>
      </c>
      <c r="T49" s="44">
        <v>59.922105884931554</v>
      </c>
      <c r="U49" s="44">
        <v>61.249639937926808</v>
      </c>
      <c r="V49" s="44">
        <v>56.725844989150403</v>
      </c>
      <c r="W49" s="43">
        <f t="shared" si="9"/>
        <v>56.937513570131877</v>
      </c>
      <c r="X49" s="42">
        <f t="shared" si="10"/>
        <v>1.2628943592804927</v>
      </c>
      <c r="Y49" s="41">
        <f t="shared" si="11"/>
        <v>45.961531213954721</v>
      </c>
      <c r="Z49" s="40">
        <f t="shared" si="12"/>
        <v>56.320590273855331</v>
      </c>
      <c r="AA49" s="41">
        <f t="shared" si="13"/>
        <v>57.234385333389184</v>
      </c>
      <c r="AB49" s="40">
        <f t="shared" si="14"/>
        <v>60.026205183230417</v>
      </c>
      <c r="AC49" s="40">
        <f t="shared" si="15"/>
        <v>61.249639937926808</v>
      </c>
      <c r="AD49" s="40">
        <f t="shared" si="16"/>
        <v>-1.5803979619160795</v>
      </c>
      <c r="AE49" s="40">
        <f t="shared" si="17"/>
        <v>2.8263412106487111</v>
      </c>
    </row>
    <row r="50" spans="2:31" ht="13.5" thickTop="1" x14ac:dyDescent="0.2">
      <c r="B50" s="1">
        <v>101</v>
      </c>
      <c r="C50" s="1" t="s">
        <v>71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1">
        <v>2</v>
      </c>
      <c r="J50" s="4">
        <v>13.191000000000001</v>
      </c>
      <c r="K50" s="39">
        <v>32.065304386487547</v>
      </c>
      <c r="L50" s="39">
        <v>32.643017193050632</v>
      </c>
      <c r="M50" s="39">
        <v>33.123282147060095</v>
      </c>
      <c r="N50" s="39">
        <v>33.698205230119726</v>
      </c>
      <c r="O50" s="39">
        <v>33.219208332248193</v>
      </c>
      <c r="P50" s="39">
        <v>33.123282147060095</v>
      </c>
      <c r="Q50" s="39">
        <v>33.027313693334065</v>
      </c>
      <c r="R50" s="39">
        <v>34.367025608546754</v>
      </c>
      <c r="S50" s="39">
        <v>33.219208332248193</v>
      </c>
      <c r="T50" s="39">
        <v>33.698205230119726</v>
      </c>
      <c r="U50" s="39">
        <v>32.739154720928383</v>
      </c>
      <c r="V50" s="39">
        <v>33.027313693334065</v>
      </c>
      <c r="W50" s="5">
        <f t="shared" si="9"/>
        <v>33.162543392878113</v>
      </c>
      <c r="X50" s="4">
        <f t="shared" si="10"/>
        <v>0.16796063656439009</v>
      </c>
      <c r="Y50" s="2">
        <f t="shared" si="11"/>
        <v>32.065304386487547</v>
      </c>
      <c r="Z50" s="3">
        <f t="shared" si="12"/>
        <v>32.955273950232645</v>
      </c>
      <c r="AA50" s="2">
        <f t="shared" si="13"/>
        <v>33.123282147060095</v>
      </c>
      <c r="AB50" s="3">
        <f t="shared" si="14"/>
        <v>33.338957556716075</v>
      </c>
      <c r="AC50" s="3">
        <f t="shared" si="15"/>
        <v>34.367025608546754</v>
      </c>
      <c r="AD50" s="3">
        <f t="shared" si="16"/>
        <v>0.28413121259225854</v>
      </c>
      <c r="AE50" s="3">
        <f t="shared" si="17"/>
        <v>1.2253526335957297</v>
      </c>
    </row>
    <row r="51" spans="2:31" x14ac:dyDescent="0.2">
      <c r="B51" s="1">
        <v>102</v>
      </c>
      <c r="C51" s="1" t="s">
        <v>68</v>
      </c>
      <c r="D51" s="1">
        <v>4</v>
      </c>
      <c r="E51" s="1">
        <v>1</v>
      </c>
      <c r="F51" s="1">
        <v>2</v>
      </c>
      <c r="G51" s="1">
        <v>1</v>
      </c>
      <c r="H51" s="1">
        <v>1</v>
      </c>
      <c r="I51" s="1">
        <v>2</v>
      </c>
      <c r="J51" s="4">
        <v>13.178000000000001</v>
      </c>
      <c r="K51" s="39">
        <v>31.486069912558943</v>
      </c>
      <c r="L51" s="39">
        <v>31.67931714468687</v>
      </c>
      <c r="M51" s="39">
        <v>31.582714662891874</v>
      </c>
      <c r="N51" s="39">
        <v>33.88950810950282</v>
      </c>
      <c r="O51" s="39">
        <v>32.835249980268209</v>
      </c>
      <c r="P51" s="39">
        <v>32.739154720928383</v>
      </c>
      <c r="Q51" s="39">
        <v>32.546837396634949</v>
      </c>
      <c r="R51" s="39">
        <v>32.16169552559289</v>
      </c>
      <c r="S51" s="39">
        <v>33.602490387621273</v>
      </c>
      <c r="T51" s="39">
        <v>32.739154720928383</v>
      </c>
      <c r="U51" s="39">
        <v>32.931302971070103</v>
      </c>
      <c r="V51" s="39">
        <v>32.258044396160294</v>
      </c>
      <c r="W51" s="5">
        <f t="shared" si="9"/>
        <v>32.537628327403752</v>
      </c>
      <c r="X51" s="4">
        <f t="shared" si="10"/>
        <v>0.21777464454274534</v>
      </c>
      <c r="Y51" s="2">
        <f t="shared" si="11"/>
        <v>31.486069912558943</v>
      </c>
      <c r="Z51" s="3">
        <f t="shared" si="12"/>
        <v>32.041100930366383</v>
      </c>
      <c r="AA51" s="2">
        <f t="shared" si="13"/>
        <v>32.642996058781662</v>
      </c>
      <c r="AB51" s="3">
        <f t="shared" si="14"/>
        <v>32.859263227968682</v>
      </c>
      <c r="AC51" s="3">
        <f t="shared" si="15"/>
        <v>33.88950810950282</v>
      </c>
      <c r="AD51" s="3">
        <f t="shared" si="16"/>
        <v>0.26452670231837339</v>
      </c>
      <c r="AE51" s="3">
        <f t="shared" si="17"/>
        <v>-0.48952554958083239</v>
      </c>
    </row>
    <row r="52" spans="2:31" x14ac:dyDescent="0.2">
      <c r="B52" s="1">
        <v>103</v>
      </c>
      <c r="C52" s="1" t="s">
        <v>73</v>
      </c>
      <c r="D52" s="1">
        <v>5</v>
      </c>
      <c r="E52" s="1">
        <v>1</v>
      </c>
      <c r="F52" s="1">
        <v>3</v>
      </c>
      <c r="G52" s="1">
        <v>2</v>
      </c>
      <c r="H52" s="1">
        <v>1</v>
      </c>
      <c r="I52" s="1">
        <v>2</v>
      </c>
      <c r="J52" s="4">
        <v>13.164999999999999</v>
      </c>
      <c r="K52" s="39">
        <v>34.938651745647761</v>
      </c>
      <c r="L52" s="39">
        <v>33.219208332248193</v>
      </c>
      <c r="M52" s="39">
        <v>32.835249980268209</v>
      </c>
      <c r="N52" s="39">
        <v>33.123282147060095</v>
      </c>
      <c r="O52" s="39">
        <v>32.258044396160294</v>
      </c>
      <c r="P52" s="39">
        <v>31.582714662891874</v>
      </c>
      <c r="Q52" s="39">
        <v>32.35435099818978</v>
      </c>
      <c r="R52" s="39">
        <v>31.582714662891874</v>
      </c>
      <c r="S52" s="39">
        <v>31.67931714468687</v>
      </c>
      <c r="T52" s="39">
        <v>32.35435099818978</v>
      </c>
      <c r="U52" s="39">
        <v>32.065304386487547</v>
      </c>
      <c r="V52" s="39">
        <v>32.546837396634949</v>
      </c>
      <c r="W52" s="5">
        <f t="shared" si="9"/>
        <v>32.545002237613097</v>
      </c>
      <c r="X52" s="4">
        <f t="shared" si="10"/>
        <v>0.26952993106020595</v>
      </c>
      <c r="Y52" s="2">
        <f t="shared" si="11"/>
        <v>31.582714662891874</v>
      </c>
      <c r="Z52" s="3">
        <f t="shared" si="12"/>
        <v>31.968807576037378</v>
      </c>
      <c r="AA52" s="2">
        <f t="shared" si="13"/>
        <v>32.35435099818978</v>
      </c>
      <c r="AB52" s="3">
        <f t="shared" si="14"/>
        <v>32.907258021966179</v>
      </c>
      <c r="AC52" s="3">
        <f t="shared" si="15"/>
        <v>34.938651745647761</v>
      </c>
      <c r="AD52" s="3">
        <f t="shared" si="16"/>
        <v>1.5627766680512876</v>
      </c>
      <c r="AE52" s="3">
        <f t="shared" si="17"/>
        <v>3.3259105406187004</v>
      </c>
    </row>
    <row r="53" spans="2:31" x14ac:dyDescent="0.2">
      <c r="B53" s="1">
        <v>104</v>
      </c>
      <c r="C53" s="1" t="s">
        <v>62</v>
      </c>
      <c r="D53" s="1">
        <v>10</v>
      </c>
      <c r="E53" s="1">
        <v>2</v>
      </c>
      <c r="F53" s="1">
        <v>2</v>
      </c>
      <c r="G53" s="1">
        <v>1</v>
      </c>
      <c r="H53" s="1">
        <v>1</v>
      </c>
      <c r="I53" s="1">
        <v>2</v>
      </c>
      <c r="J53" s="4">
        <v>13.151</v>
      </c>
      <c r="K53" s="39">
        <v>33.219208332248193</v>
      </c>
      <c r="L53" s="39">
        <v>33.219208332248193</v>
      </c>
      <c r="M53" s="39">
        <v>33.88950810950282</v>
      </c>
      <c r="N53" s="39">
        <v>33.602490387621273</v>
      </c>
      <c r="O53" s="39">
        <v>34.367025608546754</v>
      </c>
      <c r="P53" s="39">
        <v>33.88950810950282</v>
      </c>
      <c r="Q53" s="39">
        <v>33.98509614638747</v>
      </c>
      <c r="R53" s="39">
        <v>33.506733276584903</v>
      </c>
      <c r="S53" s="39">
        <v>34.08064191473418</v>
      </c>
      <c r="T53" s="39">
        <v>34.271606645813826</v>
      </c>
      <c r="U53" s="39">
        <v>33.98509614638747</v>
      </c>
      <c r="V53" s="39">
        <v>33.88950810950282</v>
      </c>
      <c r="W53" s="5">
        <f t="shared" si="9"/>
        <v>33.825469259923402</v>
      </c>
      <c r="X53" s="4">
        <f t="shared" si="10"/>
        <v>0.10685292098843681</v>
      </c>
      <c r="Y53" s="2">
        <f t="shared" si="11"/>
        <v>33.219208332248193</v>
      </c>
      <c r="Z53" s="3">
        <f t="shared" si="12"/>
        <v>33.578551109862182</v>
      </c>
      <c r="AA53" s="2">
        <f t="shared" si="13"/>
        <v>33.88950810950282</v>
      </c>
      <c r="AB53" s="3">
        <f t="shared" si="14"/>
        <v>34.008982588474147</v>
      </c>
      <c r="AC53" s="3">
        <f t="shared" si="15"/>
        <v>34.367025608546754</v>
      </c>
      <c r="AD53" s="3">
        <f t="shared" si="16"/>
        <v>-0.46456354784566578</v>
      </c>
      <c r="AE53" s="3">
        <f t="shared" si="17"/>
        <v>-0.55641748858287521</v>
      </c>
    </row>
    <row r="54" spans="2:31" x14ac:dyDescent="0.2">
      <c r="B54" s="1">
        <v>105</v>
      </c>
      <c r="C54" s="1" t="s">
        <v>66</v>
      </c>
      <c r="D54" s="1">
        <v>12</v>
      </c>
      <c r="E54" s="1">
        <v>2</v>
      </c>
      <c r="F54" s="1">
        <v>3</v>
      </c>
      <c r="G54" s="1">
        <v>1</v>
      </c>
      <c r="H54" s="1">
        <v>2</v>
      </c>
      <c r="I54" s="1">
        <v>2</v>
      </c>
      <c r="J54" s="4">
        <v>13.135999999999999</v>
      </c>
      <c r="K54" s="39">
        <v>34.938651745647761</v>
      </c>
      <c r="L54" s="39">
        <v>34.462402302741758</v>
      </c>
      <c r="M54" s="39">
        <v>35.887980491114931</v>
      </c>
      <c r="N54" s="39">
        <v>33.31509224889836</v>
      </c>
      <c r="O54" s="39">
        <v>32.450615331681334</v>
      </c>
      <c r="P54" s="39">
        <v>32.835249980268209</v>
      </c>
      <c r="Q54" s="39">
        <v>33.027313693334065</v>
      </c>
      <c r="R54" s="39">
        <v>31.968870978844279</v>
      </c>
      <c r="S54" s="39">
        <v>33.027313693334065</v>
      </c>
      <c r="T54" s="39">
        <v>32.35435099818978</v>
      </c>
      <c r="U54" s="39">
        <v>31.872395302663072</v>
      </c>
      <c r="V54" s="39">
        <v>32.35435099818978</v>
      </c>
      <c r="W54" s="5">
        <f t="shared" si="9"/>
        <v>33.207882313742282</v>
      </c>
      <c r="X54" s="4">
        <f t="shared" si="10"/>
        <v>0.36220105425880328</v>
      </c>
      <c r="Y54" s="2">
        <f t="shared" si="11"/>
        <v>31.872395302663072</v>
      </c>
      <c r="Z54" s="3">
        <f t="shared" si="12"/>
        <v>32.35435099818978</v>
      </c>
      <c r="AA54" s="2">
        <f t="shared" si="13"/>
        <v>32.931281836801134</v>
      </c>
      <c r="AB54" s="3">
        <f t="shared" si="14"/>
        <v>33.601919762359209</v>
      </c>
      <c r="AC54" s="3">
        <f t="shared" si="15"/>
        <v>35.887980491114931</v>
      </c>
      <c r="AD54" s="3">
        <f t="shared" si="16"/>
        <v>1.1258916135899339</v>
      </c>
      <c r="AE54" s="3">
        <f t="shared" si="17"/>
        <v>0.41697783388072018</v>
      </c>
    </row>
    <row r="55" spans="2:31" x14ac:dyDescent="0.2">
      <c r="B55" s="1">
        <v>106</v>
      </c>
      <c r="C55" s="1" t="s">
        <v>63</v>
      </c>
      <c r="D55" s="1">
        <v>9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4">
        <v>13.122999999999999</v>
      </c>
      <c r="K55" s="39">
        <v>31.872395302663072</v>
      </c>
      <c r="L55" s="39">
        <v>32.065304386487547</v>
      </c>
      <c r="M55" s="39">
        <v>31.968870978844279</v>
      </c>
      <c r="N55" s="39">
        <v>32.931302971070103</v>
      </c>
      <c r="O55" s="39">
        <v>31.389382893688087</v>
      </c>
      <c r="P55" s="39">
        <v>31.486069912558943</v>
      </c>
      <c r="Q55" s="39">
        <v>31.968870978844279</v>
      </c>
      <c r="R55" s="39">
        <v>31.582714662891874</v>
      </c>
      <c r="S55" s="39">
        <v>32.065304386487547</v>
      </c>
      <c r="T55" s="39">
        <v>33.123282147060095</v>
      </c>
      <c r="U55" s="39">
        <v>33.219208332248193</v>
      </c>
      <c r="V55" s="39">
        <v>34.176145414542972</v>
      </c>
      <c r="W55" s="5">
        <f t="shared" si="9"/>
        <v>32.320737697282247</v>
      </c>
      <c r="X55" s="4">
        <f t="shared" si="10"/>
        <v>0.24548264978102527</v>
      </c>
      <c r="Y55" s="2">
        <f t="shared" si="11"/>
        <v>31.389382893688087</v>
      </c>
      <c r="Z55" s="3">
        <f t="shared" si="12"/>
        <v>31.799975142720271</v>
      </c>
      <c r="AA55" s="2">
        <f t="shared" si="13"/>
        <v>32.017087682665917</v>
      </c>
      <c r="AB55" s="3">
        <f t="shared" si="14"/>
        <v>32.979297765067599</v>
      </c>
      <c r="AC55" s="3">
        <f t="shared" si="15"/>
        <v>34.176145414542972</v>
      </c>
      <c r="AD55" s="3">
        <f t="shared" si="16"/>
        <v>1.0387106860169042</v>
      </c>
      <c r="AE55" s="3">
        <f t="shared" si="17"/>
        <v>0.38735646976763149</v>
      </c>
    </row>
    <row r="56" spans="2:31" x14ac:dyDescent="0.2">
      <c r="B56" s="1">
        <v>107</v>
      </c>
      <c r="C56" s="1" t="s">
        <v>62</v>
      </c>
      <c r="D56" s="1">
        <v>10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4">
        <v>13.108000000000001</v>
      </c>
      <c r="K56" s="39">
        <v>33.31509224889836</v>
      </c>
      <c r="L56" s="39">
        <v>32.065304386487547</v>
      </c>
      <c r="M56" s="39">
        <v>32.450615331681334</v>
      </c>
      <c r="N56" s="39">
        <v>32.065304386487547</v>
      </c>
      <c r="O56" s="39">
        <v>31.486069912558943</v>
      </c>
      <c r="P56" s="39">
        <v>31.292653606279288</v>
      </c>
      <c r="Q56" s="39">
        <v>32.065304386487547</v>
      </c>
      <c r="R56" s="39">
        <v>31.389382893688087</v>
      </c>
      <c r="S56" s="39">
        <v>32.258044396160294</v>
      </c>
      <c r="T56" s="39">
        <v>32.16169552559289</v>
      </c>
      <c r="U56" s="39">
        <v>32.546837396634949</v>
      </c>
      <c r="V56" s="39">
        <v>31.968870978844279</v>
      </c>
      <c r="W56" s="5">
        <f t="shared" si="9"/>
        <v>32.088764620816754</v>
      </c>
      <c r="X56" s="4">
        <f t="shared" si="10"/>
        <v>0.16003822241719551</v>
      </c>
      <c r="Y56" s="2">
        <f t="shared" si="11"/>
        <v>31.292653606279288</v>
      </c>
      <c r="Z56" s="3">
        <f t="shared" si="12"/>
        <v>31.848170712272946</v>
      </c>
      <c r="AA56" s="2">
        <f t="shared" si="13"/>
        <v>32.065304386487547</v>
      </c>
      <c r="AB56" s="3">
        <f t="shared" si="14"/>
        <v>32.306187130040556</v>
      </c>
      <c r="AC56" s="3">
        <f t="shared" si="15"/>
        <v>33.31509224889836</v>
      </c>
      <c r="AD56" s="3">
        <f t="shared" si="16"/>
        <v>0.59263406151723108</v>
      </c>
      <c r="AE56" s="3">
        <f t="shared" si="17"/>
        <v>1.1325130431603636</v>
      </c>
    </row>
    <row r="57" spans="2:31" x14ac:dyDescent="0.2">
      <c r="B57" s="1">
        <v>108</v>
      </c>
      <c r="C57" s="1" t="s">
        <v>69</v>
      </c>
      <c r="D57" s="1">
        <v>3</v>
      </c>
      <c r="E57" s="1">
        <v>1</v>
      </c>
      <c r="F57" s="1">
        <v>2</v>
      </c>
      <c r="G57" s="1">
        <v>2</v>
      </c>
      <c r="H57" s="1">
        <v>2</v>
      </c>
      <c r="I57" s="1">
        <v>2</v>
      </c>
      <c r="J57" s="4">
        <v>13.093</v>
      </c>
      <c r="K57" s="39">
        <v>32.546837396634949</v>
      </c>
      <c r="L57" s="39">
        <v>32.931302971070103</v>
      </c>
      <c r="M57" s="39">
        <v>34.462402302741758</v>
      </c>
      <c r="N57" s="39">
        <v>30.711390242529994</v>
      </c>
      <c r="O57" s="39">
        <v>32.643017193050632</v>
      </c>
      <c r="P57" s="39">
        <v>31.486069912558943</v>
      </c>
      <c r="Q57" s="39">
        <v>33.027313693334065</v>
      </c>
      <c r="R57" s="39">
        <v>30.614365075355682</v>
      </c>
      <c r="S57" s="39">
        <v>31.099068225847912</v>
      </c>
      <c r="T57" s="39">
        <v>31.195882050332571</v>
      </c>
      <c r="U57" s="39">
        <v>31.486069912558943</v>
      </c>
      <c r="V57" s="39">
        <v>32.450615331681334</v>
      </c>
      <c r="W57" s="5">
        <f t="shared" si="9"/>
        <v>32.054527858974744</v>
      </c>
      <c r="X57" s="4">
        <f t="shared" si="10"/>
        <v>0.33066773566211471</v>
      </c>
      <c r="Y57" s="2">
        <f t="shared" si="11"/>
        <v>30.614365075355682</v>
      </c>
      <c r="Z57" s="3">
        <f t="shared" si="12"/>
        <v>31.171678594211407</v>
      </c>
      <c r="AA57" s="2">
        <f t="shared" si="13"/>
        <v>31.96834262212014</v>
      </c>
      <c r="AB57" s="3">
        <f t="shared" si="14"/>
        <v>32.715088637555496</v>
      </c>
      <c r="AC57" s="3">
        <f t="shared" si="15"/>
        <v>34.462402302741758</v>
      </c>
      <c r="AD57" s="3">
        <f t="shared" si="16"/>
        <v>0.6284052964322262</v>
      </c>
      <c r="AE57" s="3">
        <f t="shared" si="17"/>
        <v>3.4862639187058342E-2</v>
      </c>
    </row>
    <row r="58" spans="2:31" x14ac:dyDescent="0.2">
      <c r="B58" s="1">
        <v>201</v>
      </c>
      <c r="C58" s="1" t="s">
        <v>66</v>
      </c>
      <c r="D58" s="1">
        <v>12</v>
      </c>
      <c r="E58" s="1">
        <v>2</v>
      </c>
      <c r="F58" s="1">
        <v>3</v>
      </c>
      <c r="G58" s="1">
        <v>1</v>
      </c>
      <c r="H58" s="1">
        <v>1</v>
      </c>
      <c r="I58" s="1">
        <v>2</v>
      </c>
      <c r="J58" s="4">
        <v>13.215</v>
      </c>
      <c r="K58" s="39">
        <v>34.462402302741758</v>
      </c>
      <c r="L58" s="39">
        <v>33.88950810950282</v>
      </c>
      <c r="M58" s="39">
        <v>36.361059793676098</v>
      </c>
      <c r="N58" s="39">
        <v>34.938651745647761</v>
      </c>
      <c r="O58" s="39">
        <v>32.546837396634949</v>
      </c>
      <c r="P58" s="39">
        <v>32.35435099818978</v>
      </c>
      <c r="Q58" s="39">
        <v>32.450615331681334</v>
      </c>
      <c r="R58" s="39">
        <v>33.027313693334065</v>
      </c>
      <c r="S58" s="39">
        <v>34.462402302741758</v>
      </c>
      <c r="T58" s="39">
        <v>33.88950810950282</v>
      </c>
      <c r="U58" s="39">
        <v>34.462402302741758</v>
      </c>
      <c r="V58" s="39">
        <v>34.462402302741758</v>
      </c>
      <c r="W58" s="5">
        <f t="shared" si="9"/>
        <v>33.942287865761379</v>
      </c>
      <c r="X58" s="4">
        <f t="shared" si="10"/>
        <v>0.34225119616288002</v>
      </c>
      <c r="Y58" s="2">
        <f t="shared" si="11"/>
        <v>32.35435099818978</v>
      </c>
      <c r="Z58" s="3">
        <f t="shared" si="12"/>
        <v>32.907194619159284</v>
      </c>
      <c r="AA58" s="2">
        <f t="shared" si="13"/>
        <v>34.175955206122289</v>
      </c>
      <c r="AB58" s="3">
        <f t="shared" si="14"/>
        <v>34.462402302741758</v>
      </c>
      <c r="AC58" s="3">
        <f t="shared" si="15"/>
        <v>36.361059793676098</v>
      </c>
      <c r="AD58" s="3">
        <f t="shared" si="16"/>
        <v>0.32050157000363422</v>
      </c>
      <c r="AE58" s="3">
        <f t="shared" si="17"/>
        <v>5.8640962654072482E-2</v>
      </c>
    </row>
    <row r="59" spans="2:31" x14ac:dyDescent="0.2">
      <c r="B59" s="1">
        <v>202</v>
      </c>
      <c r="C59" s="1" t="s">
        <v>63</v>
      </c>
      <c r="D59" s="1">
        <v>9</v>
      </c>
      <c r="E59" s="1">
        <v>2</v>
      </c>
      <c r="F59" s="1">
        <v>2</v>
      </c>
      <c r="G59" s="1">
        <v>2</v>
      </c>
      <c r="H59" s="1">
        <v>1</v>
      </c>
      <c r="I59" s="1">
        <v>2</v>
      </c>
      <c r="J59" s="4">
        <v>13.227</v>
      </c>
      <c r="K59" s="39">
        <v>32.450615331681334</v>
      </c>
      <c r="L59" s="39">
        <v>32.450615331681334</v>
      </c>
      <c r="M59" s="39">
        <v>32.835249980268209</v>
      </c>
      <c r="N59" s="39">
        <v>32.35435099818978</v>
      </c>
      <c r="O59" s="39">
        <v>32.16169552559289</v>
      </c>
      <c r="P59" s="39">
        <v>32.065304386487547</v>
      </c>
      <c r="Q59" s="39">
        <v>31.968870978844279</v>
      </c>
      <c r="R59" s="39">
        <v>32.065304386487547</v>
      </c>
      <c r="S59" s="39">
        <v>31.872395302663072</v>
      </c>
      <c r="T59" s="39">
        <v>32.258044396160294</v>
      </c>
      <c r="U59" s="39">
        <v>32.931302971070103</v>
      </c>
      <c r="V59" s="39">
        <v>32.35435099818978</v>
      </c>
      <c r="W59" s="5">
        <f t="shared" si="9"/>
        <v>32.314008382276349</v>
      </c>
      <c r="X59" s="4">
        <f t="shared" si="10"/>
        <v>9.3642771074244638E-2</v>
      </c>
      <c r="Y59" s="2">
        <f t="shared" si="11"/>
        <v>31.872395302663072</v>
      </c>
      <c r="Z59" s="3">
        <f t="shared" si="12"/>
        <v>32.065304386487547</v>
      </c>
      <c r="AA59" s="2">
        <f t="shared" si="13"/>
        <v>32.306197697175037</v>
      </c>
      <c r="AB59" s="3">
        <f t="shared" si="14"/>
        <v>32.450615331681334</v>
      </c>
      <c r="AC59" s="3">
        <f t="shared" si="15"/>
        <v>32.931302971070103</v>
      </c>
      <c r="AD59" s="3">
        <f t="shared" si="16"/>
        <v>0.70423962546892593</v>
      </c>
      <c r="AE59" s="3">
        <f t="shared" si="17"/>
        <v>-4.667204983954365E-2</v>
      </c>
    </row>
    <row r="60" spans="2:31" x14ac:dyDescent="0.2">
      <c r="B60" s="1">
        <v>203</v>
      </c>
      <c r="C60" s="1" t="s">
        <v>69</v>
      </c>
      <c r="D60" s="1">
        <v>3</v>
      </c>
      <c r="E60" s="1">
        <v>1</v>
      </c>
      <c r="F60" s="1">
        <v>2</v>
      </c>
      <c r="G60" s="1">
        <v>2</v>
      </c>
      <c r="H60" s="1">
        <v>1</v>
      </c>
      <c r="I60" s="1">
        <v>2</v>
      </c>
      <c r="J60" s="4">
        <v>13.242000000000001</v>
      </c>
      <c r="K60" s="39">
        <v>33.31509224889836</v>
      </c>
      <c r="L60" s="39">
        <v>34.367025608546754</v>
      </c>
      <c r="M60" s="39">
        <v>34.462402302741758</v>
      </c>
      <c r="N60" s="39">
        <v>34.462402302741758</v>
      </c>
      <c r="O60" s="39">
        <v>33.410933897010601</v>
      </c>
      <c r="P60" s="39">
        <v>33.31509224889836</v>
      </c>
      <c r="Q60" s="39">
        <v>33.506733276584903</v>
      </c>
      <c r="R60" s="39">
        <v>33.219208332248193</v>
      </c>
      <c r="S60" s="39">
        <v>33.410933897010601</v>
      </c>
      <c r="T60" s="39">
        <v>33.123282147060095</v>
      </c>
      <c r="U60" s="39">
        <v>31.486069912558943</v>
      </c>
      <c r="V60" s="39">
        <v>32.835249980268209</v>
      </c>
      <c r="W60" s="5">
        <f t="shared" si="9"/>
        <v>33.409535512880709</v>
      </c>
      <c r="X60" s="4">
        <f t="shared" si="10"/>
        <v>0.23530804806408406</v>
      </c>
      <c r="Y60" s="2">
        <f t="shared" si="11"/>
        <v>31.486069912558943</v>
      </c>
      <c r="Z60" s="3">
        <f t="shared" si="12"/>
        <v>33.195226785951171</v>
      </c>
      <c r="AA60" s="2">
        <f t="shared" si="13"/>
        <v>33.36301307295448</v>
      </c>
      <c r="AB60" s="3">
        <f t="shared" si="14"/>
        <v>33.721806359575368</v>
      </c>
      <c r="AC60" s="3">
        <f t="shared" si="15"/>
        <v>34.462402302741758</v>
      </c>
      <c r="AD60" s="3">
        <f t="shared" si="16"/>
        <v>-0.83080870825539788</v>
      </c>
      <c r="AE60" s="3">
        <f t="shared" si="17"/>
        <v>2.0712454712263444</v>
      </c>
    </row>
    <row r="61" spans="2:31" x14ac:dyDescent="0.2">
      <c r="B61" s="1">
        <v>204</v>
      </c>
      <c r="C61" s="1" t="s">
        <v>67</v>
      </c>
      <c r="D61" s="1">
        <v>11</v>
      </c>
      <c r="E61" s="1">
        <v>2</v>
      </c>
      <c r="F61" s="1">
        <v>3</v>
      </c>
      <c r="G61" s="1">
        <v>2</v>
      </c>
      <c r="H61" s="1">
        <v>1</v>
      </c>
      <c r="I61" s="1">
        <v>2</v>
      </c>
      <c r="J61" s="4">
        <v>13.256</v>
      </c>
      <c r="K61" s="39">
        <v>31.67931714468687</v>
      </c>
      <c r="L61" s="39">
        <v>31.389382893688087</v>
      </c>
      <c r="M61" s="39">
        <v>32.931302971070103</v>
      </c>
      <c r="N61" s="39">
        <v>32.065304386487547</v>
      </c>
      <c r="O61" s="39">
        <v>32.258044396160294</v>
      </c>
      <c r="P61" s="39">
        <v>32.16169552559289</v>
      </c>
      <c r="Q61" s="39">
        <v>30.808373141166371</v>
      </c>
      <c r="R61" s="39">
        <v>32.258044396160294</v>
      </c>
      <c r="S61" s="39">
        <v>33.410933897010601</v>
      </c>
      <c r="T61" s="39">
        <v>33.698205230119726</v>
      </c>
      <c r="U61" s="39">
        <v>33.98509614638747</v>
      </c>
      <c r="V61" s="39">
        <v>33.698205230119726</v>
      </c>
      <c r="W61" s="5">
        <f t="shared" si="9"/>
        <v>32.5286587798875</v>
      </c>
      <c r="X61" s="4">
        <f t="shared" si="10"/>
        <v>0.29222184881684193</v>
      </c>
      <c r="Y61" s="2">
        <f t="shared" si="11"/>
        <v>30.808373141166371</v>
      </c>
      <c r="Z61" s="3">
        <f t="shared" si="12"/>
        <v>31.968807576037378</v>
      </c>
      <c r="AA61" s="2">
        <f t="shared" si="13"/>
        <v>32.258044396160294</v>
      </c>
      <c r="AB61" s="3">
        <f t="shared" si="14"/>
        <v>33.48275173028788</v>
      </c>
      <c r="AC61" s="3">
        <f t="shared" si="15"/>
        <v>33.98509614638747</v>
      </c>
      <c r="AD61" s="3">
        <f t="shared" si="16"/>
        <v>-3.4702645391575221E-2</v>
      </c>
      <c r="AE61" s="3">
        <f t="shared" si="17"/>
        <v>-1.0453113350055023</v>
      </c>
    </row>
    <row r="62" spans="2:31" x14ac:dyDescent="0.2">
      <c r="B62" s="1">
        <v>205</v>
      </c>
      <c r="C62" s="1" t="s">
        <v>71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2</v>
      </c>
      <c r="J62" s="4">
        <v>13.281000000000001</v>
      </c>
      <c r="K62" s="39">
        <v>31.099068225847912</v>
      </c>
      <c r="L62" s="39">
        <v>31.389382893688087</v>
      </c>
      <c r="M62" s="39">
        <v>30.323035962605168</v>
      </c>
      <c r="N62" s="39">
        <v>32.643017193050632</v>
      </c>
      <c r="O62" s="39">
        <v>30.517297639643445</v>
      </c>
      <c r="P62" s="39">
        <v>32.258044396160294</v>
      </c>
      <c r="Q62" s="39">
        <v>31.292653606279288</v>
      </c>
      <c r="R62" s="39">
        <v>31.389382893688087</v>
      </c>
      <c r="S62" s="39">
        <v>30.614365075355682</v>
      </c>
      <c r="T62" s="39">
        <v>30.614365075355682</v>
      </c>
      <c r="U62" s="39">
        <v>32.16169552559289</v>
      </c>
      <c r="V62" s="39">
        <v>32.643017193050632</v>
      </c>
      <c r="W62" s="5">
        <f t="shared" si="9"/>
        <v>31.412110473359817</v>
      </c>
      <c r="X62" s="4">
        <f t="shared" si="10"/>
        <v>0.2412186841418392</v>
      </c>
      <c r="Y62" s="2">
        <f t="shared" si="11"/>
        <v>30.323035962605168</v>
      </c>
      <c r="Z62" s="3">
        <f t="shared" si="12"/>
        <v>30.614365075355682</v>
      </c>
      <c r="AA62" s="2">
        <f t="shared" si="13"/>
        <v>31.341018249983687</v>
      </c>
      <c r="AB62" s="3">
        <f t="shared" si="14"/>
        <v>32.185782743234739</v>
      </c>
      <c r="AC62" s="3">
        <f t="shared" si="15"/>
        <v>32.643017193050632</v>
      </c>
      <c r="AD62" s="3">
        <f t="shared" si="16"/>
        <v>0.31795635131012845</v>
      </c>
      <c r="AE62" s="3">
        <f t="shared" si="17"/>
        <v>-1.3549825929787147</v>
      </c>
    </row>
    <row r="63" spans="2:31" x14ac:dyDescent="0.2">
      <c r="B63" s="1">
        <v>206</v>
      </c>
      <c r="C63" s="1" t="s">
        <v>64</v>
      </c>
      <c r="D63" s="1">
        <v>8</v>
      </c>
      <c r="E63" s="1">
        <v>2</v>
      </c>
      <c r="F63" s="1">
        <v>1</v>
      </c>
      <c r="G63" s="1">
        <v>1</v>
      </c>
      <c r="H63" s="1">
        <v>2</v>
      </c>
      <c r="I63" s="1">
        <v>2</v>
      </c>
      <c r="J63" s="4">
        <v>13.294</v>
      </c>
      <c r="K63" s="39">
        <v>30.711390242529994</v>
      </c>
      <c r="L63" s="39">
        <v>30.517297639643445</v>
      </c>
      <c r="M63" s="39">
        <v>30.323035962605168</v>
      </c>
      <c r="N63" s="39">
        <v>31.389382893688087</v>
      </c>
      <c r="O63" s="39">
        <v>30.614365075355682</v>
      </c>
      <c r="P63" s="39">
        <v>32.065304386487547</v>
      </c>
      <c r="Q63" s="39">
        <v>32.16169552559289</v>
      </c>
      <c r="R63" s="39">
        <v>31.292653606279288</v>
      </c>
      <c r="S63" s="39">
        <v>33.027313693334065</v>
      </c>
      <c r="T63" s="39">
        <v>32.450615331681334</v>
      </c>
      <c r="U63" s="39">
        <v>32.546837396634949</v>
      </c>
      <c r="V63" s="39">
        <v>33.027313693334065</v>
      </c>
      <c r="W63" s="5">
        <f t="shared" si="9"/>
        <v>31.677267120597211</v>
      </c>
      <c r="X63" s="4">
        <f t="shared" si="10"/>
        <v>0.28680146004448909</v>
      </c>
      <c r="Y63" s="2">
        <f t="shared" si="11"/>
        <v>30.323035962605168</v>
      </c>
      <c r="Z63" s="3">
        <f t="shared" si="12"/>
        <v>30.687133950736417</v>
      </c>
      <c r="AA63" s="2">
        <f t="shared" si="13"/>
        <v>31.727343640087817</v>
      </c>
      <c r="AB63" s="3">
        <f t="shared" si="14"/>
        <v>32.474670847919739</v>
      </c>
      <c r="AC63" s="3">
        <f t="shared" si="15"/>
        <v>33.027313693334065</v>
      </c>
      <c r="AD63" s="3">
        <f t="shared" si="16"/>
        <v>-1.5136609409426717E-3</v>
      </c>
      <c r="AE63" s="3">
        <f t="shared" si="17"/>
        <v>-1.6072639135005242</v>
      </c>
    </row>
    <row r="64" spans="2:31" x14ac:dyDescent="0.2">
      <c r="B64" s="1">
        <v>207</v>
      </c>
      <c r="C64" s="1" t="s">
        <v>68</v>
      </c>
      <c r="D64" s="1">
        <v>4</v>
      </c>
      <c r="E64" s="1">
        <v>1</v>
      </c>
      <c r="F64" s="1">
        <v>2</v>
      </c>
      <c r="G64" s="1">
        <v>1</v>
      </c>
      <c r="H64" s="1">
        <v>2</v>
      </c>
      <c r="I64" s="1">
        <v>2</v>
      </c>
      <c r="J64" s="4">
        <v>13.307</v>
      </c>
      <c r="K64" s="39">
        <v>31.775877357943934</v>
      </c>
      <c r="L64" s="39">
        <v>31.872395302663072</v>
      </c>
      <c r="M64" s="39">
        <v>32.16169552559289</v>
      </c>
      <c r="N64" s="39">
        <v>32.643017193050632</v>
      </c>
      <c r="O64" s="39">
        <v>31.968870978844279</v>
      </c>
      <c r="P64" s="39">
        <v>32.065304386487547</v>
      </c>
      <c r="Q64" s="39">
        <v>31.968870978844279</v>
      </c>
      <c r="R64" s="39">
        <v>31.486069912558943</v>
      </c>
      <c r="S64" s="39">
        <v>32.739154720928383</v>
      </c>
      <c r="T64" s="39">
        <v>32.546837396634949</v>
      </c>
      <c r="U64" s="39">
        <v>31.389382893688087</v>
      </c>
      <c r="V64" s="39">
        <v>31.389382893688087</v>
      </c>
      <c r="W64" s="5">
        <f t="shared" si="9"/>
        <v>32.000571628410427</v>
      </c>
      <c r="X64" s="4">
        <f t="shared" si="10"/>
        <v>0.13392503331438563</v>
      </c>
      <c r="Y64" s="2">
        <f t="shared" si="11"/>
        <v>31.389382893688087</v>
      </c>
      <c r="Z64" s="3">
        <f t="shared" si="12"/>
        <v>31.703425496597685</v>
      </c>
      <c r="AA64" s="2">
        <f t="shared" si="13"/>
        <v>31.968870978844279</v>
      </c>
      <c r="AB64" s="3">
        <f t="shared" si="14"/>
        <v>32.257980993353407</v>
      </c>
      <c r="AC64" s="3">
        <f t="shared" si="15"/>
        <v>32.739154720928383</v>
      </c>
      <c r="AD64" s="3">
        <f t="shared" si="16"/>
        <v>0.25040122477088511</v>
      </c>
      <c r="AE64" s="3">
        <f t="shared" si="17"/>
        <v>-0.93912648139372479</v>
      </c>
    </row>
    <row r="65" spans="2:31" x14ac:dyDescent="0.2">
      <c r="B65" s="1">
        <v>208</v>
      </c>
      <c r="C65" s="1" t="s">
        <v>70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2</v>
      </c>
      <c r="J65" s="4">
        <v>13.321</v>
      </c>
      <c r="K65" s="39">
        <v>32.450615331681334</v>
      </c>
      <c r="L65" s="39">
        <v>32.450615331681334</v>
      </c>
      <c r="M65" s="39">
        <v>33.410933897010601</v>
      </c>
      <c r="N65" s="39">
        <v>32.16169552559289</v>
      </c>
      <c r="O65" s="39">
        <v>31.195882050332571</v>
      </c>
      <c r="P65" s="39">
        <v>32.065304386487547</v>
      </c>
      <c r="Q65" s="39">
        <v>30.420187935393276</v>
      </c>
      <c r="R65" s="39">
        <v>31.486069912558943</v>
      </c>
      <c r="S65" s="39">
        <v>31.67931714468687</v>
      </c>
      <c r="T65" s="39">
        <v>31.486069912558943</v>
      </c>
      <c r="U65" s="39">
        <v>31.582714662891874</v>
      </c>
      <c r="V65" s="39">
        <v>30.905313771264819</v>
      </c>
      <c r="W65" s="5">
        <f t="shared" si="9"/>
        <v>31.774559988511754</v>
      </c>
      <c r="X65" s="4">
        <f t="shared" si="10"/>
        <v>0.22967924155564082</v>
      </c>
      <c r="Y65" s="2">
        <f t="shared" si="11"/>
        <v>30.420187935393276</v>
      </c>
      <c r="Z65" s="3">
        <f t="shared" si="12"/>
        <v>31.413522947002349</v>
      </c>
      <c r="AA65" s="2">
        <f t="shared" si="13"/>
        <v>31.631015903789372</v>
      </c>
      <c r="AB65" s="3">
        <f t="shared" si="14"/>
        <v>32.233925477115001</v>
      </c>
      <c r="AC65" s="3">
        <f t="shared" si="15"/>
        <v>33.410933897010601</v>
      </c>
      <c r="AD65" s="3">
        <f t="shared" si="16"/>
        <v>0.36636376259486231</v>
      </c>
      <c r="AE65" s="3">
        <f t="shared" si="17"/>
        <v>0.5597838669181634</v>
      </c>
    </row>
    <row r="66" spans="2:31" x14ac:dyDescent="0.2">
      <c r="B66" s="1">
        <v>301</v>
      </c>
      <c r="C66" s="1" t="s">
        <v>62</v>
      </c>
      <c r="D66" s="1">
        <v>10</v>
      </c>
      <c r="E66" s="1">
        <v>2</v>
      </c>
      <c r="F66" s="1">
        <v>2</v>
      </c>
      <c r="G66" s="1">
        <v>1</v>
      </c>
      <c r="H66" s="1">
        <v>3</v>
      </c>
      <c r="I66" s="1">
        <v>2</v>
      </c>
      <c r="J66" s="4">
        <v>13.474</v>
      </c>
      <c r="K66" s="39">
        <v>30.905313771264819</v>
      </c>
      <c r="L66" s="39">
        <v>30.323035962605168</v>
      </c>
      <c r="M66" s="39">
        <v>32.065304386487547</v>
      </c>
      <c r="N66" s="39">
        <v>31.195882050332571</v>
      </c>
      <c r="O66" s="39">
        <v>31.775877357943934</v>
      </c>
      <c r="P66" s="39">
        <v>30.323035962605168</v>
      </c>
      <c r="Q66" s="39">
        <v>31.195882050332571</v>
      </c>
      <c r="R66" s="39">
        <v>32.931302971070103</v>
      </c>
      <c r="S66" s="39">
        <v>31.486069912558943</v>
      </c>
      <c r="T66" s="39">
        <v>32.450615331681334</v>
      </c>
      <c r="U66" s="39">
        <v>34.08064191473418</v>
      </c>
      <c r="V66" s="39">
        <v>32.35435099818978</v>
      </c>
      <c r="W66" s="5">
        <f t="shared" si="9"/>
        <v>31.757276055817172</v>
      </c>
      <c r="X66" s="4">
        <f t="shared" si="10"/>
        <v>0.31685745847093638</v>
      </c>
      <c r="Y66" s="2">
        <f t="shared" si="11"/>
        <v>30.323035962605168</v>
      </c>
      <c r="Z66" s="3">
        <f t="shared" si="12"/>
        <v>31.123239980565632</v>
      </c>
      <c r="AA66" s="2">
        <f t="shared" si="13"/>
        <v>31.630973635251436</v>
      </c>
      <c r="AB66" s="3">
        <f t="shared" si="14"/>
        <v>32.378417081562667</v>
      </c>
      <c r="AC66" s="3">
        <f t="shared" si="15"/>
        <v>34.08064191473418</v>
      </c>
      <c r="AD66" s="3">
        <f t="shared" si="16"/>
        <v>0.6469550875644513</v>
      </c>
      <c r="AE66" s="3">
        <f t="shared" si="17"/>
        <v>0.37416136968518199</v>
      </c>
    </row>
    <row r="67" spans="2:31" x14ac:dyDescent="0.2">
      <c r="B67" s="1">
        <v>302</v>
      </c>
      <c r="C67" s="1" t="s">
        <v>68</v>
      </c>
      <c r="D67" s="1">
        <v>4</v>
      </c>
      <c r="E67" s="1">
        <v>1</v>
      </c>
      <c r="F67" s="1">
        <v>2</v>
      </c>
      <c r="G67" s="1">
        <v>1</v>
      </c>
      <c r="H67" s="1">
        <v>3</v>
      </c>
      <c r="I67" s="1">
        <v>2</v>
      </c>
      <c r="J67" s="4">
        <v>13.488</v>
      </c>
      <c r="K67" s="39">
        <v>31.002212132825331</v>
      </c>
      <c r="L67" s="39">
        <v>31.099068225847912</v>
      </c>
      <c r="M67" s="39">
        <v>32.450615331681334</v>
      </c>
      <c r="N67" s="39">
        <v>33.698205230119726</v>
      </c>
      <c r="O67" s="39">
        <v>32.931302971070103</v>
      </c>
      <c r="P67" s="39">
        <v>32.835249980268209</v>
      </c>
      <c r="Q67" s="39">
        <v>34.271606645813826</v>
      </c>
      <c r="R67" s="39">
        <v>33.88950810950282</v>
      </c>
      <c r="S67" s="39">
        <v>33.793877804080232</v>
      </c>
      <c r="T67" s="39">
        <v>34.938651745647761</v>
      </c>
      <c r="U67" s="39">
        <v>33.027313693334065</v>
      </c>
      <c r="V67" s="39">
        <v>33.123282147060095</v>
      </c>
      <c r="W67" s="5">
        <f t="shared" si="9"/>
        <v>33.088407834770948</v>
      </c>
      <c r="X67" s="4">
        <f t="shared" si="10"/>
        <v>0.33872362650382382</v>
      </c>
      <c r="Y67" s="2">
        <f t="shared" si="11"/>
        <v>31.002212132825331</v>
      </c>
      <c r="Z67" s="3">
        <f t="shared" si="12"/>
        <v>32.739091318121488</v>
      </c>
      <c r="AA67" s="2">
        <f t="shared" si="13"/>
        <v>33.07529792019708</v>
      </c>
      <c r="AB67" s="3">
        <f t="shared" si="14"/>
        <v>33.817785380435879</v>
      </c>
      <c r="AC67" s="3">
        <f t="shared" si="15"/>
        <v>34.938651745647761</v>
      </c>
      <c r="AD67" s="3">
        <f t="shared" si="16"/>
        <v>-0.55031596673610161</v>
      </c>
      <c r="AE67" s="3">
        <f t="shared" si="17"/>
        <v>6.077613784693181E-2</v>
      </c>
    </row>
    <row r="68" spans="2:31" x14ac:dyDescent="0.2">
      <c r="B68" s="1">
        <v>303</v>
      </c>
      <c r="C68" s="1" t="s">
        <v>64</v>
      </c>
      <c r="D68" s="1">
        <v>8</v>
      </c>
      <c r="E68" s="1">
        <v>2</v>
      </c>
      <c r="F68" s="1">
        <v>1</v>
      </c>
      <c r="G68" s="1">
        <v>1</v>
      </c>
      <c r="H68" s="1">
        <v>3</v>
      </c>
      <c r="I68" s="1">
        <v>2</v>
      </c>
      <c r="J68" s="4">
        <v>13.503</v>
      </c>
      <c r="K68" s="39">
        <v>32.450615331681334</v>
      </c>
      <c r="L68" s="39">
        <v>33.506733276584903</v>
      </c>
      <c r="M68" s="39">
        <v>31.389382893688087</v>
      </c>
      <c r="N68" s="39">
        <v>31.872395302663072</v>
      </c>
      <c r="O68" s="39">
        <v>30.517297639643445</v>
      </c>
      <c r="P68" s="39">
        <v>32.450615331681334</v>
      </c>
      <c r="Q68" s="39">
        <v>32.065304386487547</v>
      </c>
      <c r="R68" s="39">
        <v>32.450615331681334</v>
      </c>
      <c r="S68" s="39">
        <v>31.195882050332571</v>
      </c>
      <c r="T68" s="39">
        <v>35.318890466289801</v>
      </c>
      <c r="U68" s="39">
        <v>31.582714662891874</v>
      </c>
      <c r="V68" s="39">
        <v>34.843486394142417</v>
      </c>
      <c r="W68" s="5">
        <f t="shared" si="9"/>
        <v>32.470327755647311</v>
      </c>
      <c r="X68" s="4">
        <f t="shared" si="10"/>
        <v>0.41503831529468693</v>
      </c>
      <c r="Y68" s="2">
        <f t="shared" si="11"/>
        <v>30.517297639643445</v>
      </c>
      <c r="Z68" s="3">
        <f t="shared" si="12"/>
        <v>31.534381720590929</v>
      </c>
      <c r="AA68" s="2">
        <f t="shared" si="13"/>
        <v>32.257959859084437</v>
      </c>
      <c r="AB68" s="3">
        <f t="shared" si="14"/>
        <v>32.714644817907228</v>
      </c>
      <c r="AC68" s="3">
        <f t="shared" si="15"/>
        <v>35.318890466289801</v>
      </c>
      <c r="AD68" s="3">
        <f t="shared" si="16"/>
        <v>0.94817353179136821</v>
      </c>
      <c r="AE68" s="3">
        <f t="shared" si="17"/>
        <v>0.319878056757811</v>
      </c>
    </row>
    <row r="69" spans="2:31" x14ac:dyDescent="0.2">
      <c r="B69" s="1">
        <v>304</v>
      </c>
      <c r="C69" s="1" t="s">
        <v>70</v>
      </c>
      <c r="D69" s="1">
        <v>2</v>
      </c>
      <c r="E69" s="1">
        <v>1</v>
      </c>
      <c r="F69" s="1">
        <v>1</v>
      </c>
      <c r="G69" s="1">
        <v>1</v>
      </c>
      <c r="H69" s="1">
        <v>3</v>
      </c>
      <c r="I69" s="1">
        <v>2</v>
      </c>
      <c r="J69" s="4">
        <v>13.518000000000001</v>
      </c>
      <c r="K69" s="39">
        <v>33.88950810950282</v>
      </c>
      <c r="L69" s="39">
        <v>34.938651745647761</v>
      </c>
      <c r="M69" s="39">
        <v>32.835249980268209</v>
      </c>
      <c r="N69" s="39">
        <v>34.08064191473418</v>
      </c>
      <c r="O69" s="39">
        <v>32.258044396160294</v>
      </c>
      <c r="P69" s="39">
        <v>33.219208332248193</v>
      </c>
      <c r="Q69" s="39">
        <v>32.643017193050632</v>
      </c>
      <c r="R69" s="39">
        <v>33.602490387621273</v>
      </c>
      <c r="S69" s="39">
        <v>32.835249980268209</v>
      </c>
      <c r="T69" s="39">
        <v>32.16169552559289</v>
      </c>
      <c r="U69" s="39">
        <v>32.450615331681334</v>
      </c>
      <c r="V69" s="39">
        <v>32.931302971070103</v>
      </c>
      <c r="W69" s="5">
        <f t="shared" si="9"/>
        <v>33.153806322320492</v>
      </c>
      <c r="X69" s="4">
        <f t="shared" si="10"/>
        <v>0.23972948337400016</v>
      </c>
      <c r="Y69" s="2">
        <f t="shared" si="11"/>
        <v>32.16169552559289</v>
      </c>
      <c r="Z69" s="3">
        <f t="shared" si="12"/>
        <v>32.594916727708309</v>
      </c>
      <c r="AA69" s="2">
        <f t="shared" si="13"/>
        <v>32.883276475669156</v>
      </c>
      <c r="AB69" s="3">
        <f t="shared" si="14"/>
        <v>33.674244818091658</v>
      </c>
      <c r="AC69" s="3">
        <f t="shared" si="15"/>
        <v>34.938651745647761</v>
      </c>
      <c r="AD69" s="3">
        <f t="shared" si="16"/>
        <v>0.89888179315517036</v>
      </c>
      <c r="AE69" s="3">
        <f t="shared" si="17"/>
        <v>0.32949310020875977</v>
      </c>
    </row>
    <row r="70" spans="2:31" x14ac:dyDescent="0.2">
      <c r="B70" s="1">
        <v>305</v>
      </c>
      <c r="C70" s="1" t="s">
        <v>67</v>
      </c>
      <c r="D70" s="1">
        <v>11</v>
      </c>
      <c r="E70" s="1">
        <v>2</v>
      </c>
      <c r="F70" s="1">
        <v>3</v>
      </c>
      <c r="G70" s="1">
        <v>2</v>
      </c>
      <c r="H70" s="1">
        <v>4</v>
      </c>
      <c r="I70" s="1">
        <v>2</v>
      </c>
      <c r="J70" s="4">
        <v>13.532</v>
      </c>
      <c r="K70" s="39">
        <v>32.643017193050632</v>
      </c>
      <c r="L70" s="39">
        <v>31.486069912558943</v>
      </c>
      <c r="M70" s="39">
        <v>31.67931714468687</v>
      </c>
      <c r="N70" s="39">
        <v>31.872395302663072</v>
      </c>
      <c r="O70" s="39">
        <v>32.643017193050632</v>
      </c>
      <c r="P70" s="39">
        <v>32.16169552559289</v>
      </c>
      <c r="Q70" s="39">
        <v>31.67931714468687</v>
      </c>
      <c r="R70" s="39">
        <v>30.12860521141517</v>
      </c>
      <c r="S70" s="39">
        <v>31.67931714468687</v>
      </c>
      <c r="T70" s="39">
        <v>32.258044396160294</v>
      </c>
      <c r="U70" s="39">
        <v>31.872395302663072</v>
      </c>
      <c r="V70" s="39">
        <v>33.027313693334065</v>
      </c>
      <c r="W70" s="5">
        <f t="shared" si="9"/>
        <v>31.927542097045784</v>
      </c>
      <c r="X70" s="4">
        <f t="shared" si="10"/>
        <v>0.21354453113707811</v>
      </c>
      <c r="Y70" s="2">
        <f t="shared" si="11"/>
        <v>30.12860521141517</v>
      </c>
      <c r="Z70" s="3">
        <f t="shared" si="12"/>
        <v>31.67931714468687</v>
      </c>
      <c r="AA70" s="2">
        <f t="shared" si="13"/>
        <v>31.872395302663072</v>
      </c>
      <c r="AB70" s="3">
        <f t="shared" si="14"/>
        <v>32.354287595382878</v>
      </c>
      <c r="AC70" s="3">
        <f t="shared" si="15"/>
        <v>33.027313693334065</v>
      </c>
      <c r="AD70" s="3">
        <f t="shared" si="16"/>
        <v>-1.035485623571119</v>
      </c>
      <c r="AE70" s="3">
        <f t="shared" si="17"/>
        <v>2.5572012415566805</v>
      </c>
    </row>
    <row r="71" spans="2:31" x14ac:dyDescent="0.2">
      <c r="B71" s="1">
        <v>306</v>
      </c>
      <c r="C71" s="1" t="s">
        <v>68</v>
      </c>
      <c r="D71" s="1">
        <v>4</v>
      </c>
      <c r="E71" s="1">
        <v>1</v>
      </c>
      <c r="F71" s="1">
        <v>2</v>
      </c>
      <c r="G71" s="1">
        <v>1</v>
      </c>
      <c r="H71" s="1">
        <v>4</v>
      </c>
      <c r="I71" s="1">
        <v>2</v>
      </c>
      <c r="J71" s="4">
        <v>13.551</v>
      </c>
      <c r="K71" s="39">
        <v>31.486069912558943</v>
      </c>
      <c r="L71" s="39">
        <v>30.711390242529994</v>
      </c>
      <c r="M71" s="39">
        <v>30.614365075355682</v>
      </c>
      <c r="N71" s="39">
        <v>31.195882050332571</v>
      </c>
      <c r="O71" s="39">
        <v>31.389382893688087</v>
      </c>
      <c r="P71" s="39">
        <v>30.905313771264819</v>
      </c>
      <c r="Q71" s="39">
        <v>32.065304386487547</v>
      </c>
      <c r="R71" s="39">
        <v>31.968870978844279</v>
      </c>
      <c r="S71" s="39">
        <v>31.486069912558943</v>
      </c>
      <c r="T71" s="39">
        <v>31.486069912558943</v>
      </c>
      <c r="U71" s="39">
        <v>33.602490387621273</v>
      </c>
      <c r="V71" s="39">
        <v>31.968870978844279</v>
      </c>
      <c r="W71" s="5">
        <f t="shared" si="9"/>
        <v>31.573340041887111</v>
      </c>
      <c r="X71" s="4">
        <f t="shared" si="10"/>
        <v>0.22996017477340649</v>
      </c>
      <c r="Y71" s="2">
        <f t="shared" si="11"/>
        <v>30.614365075355682</v>
      </c>
      <c r="Z71" s="3">
        <f t="shared" si="12"/>
        <v>31.123239980565632</v>
      </c>
      <c r="AA71" s="2">
        <f t="shared" si="13"/>
        <v>31.486069912558943</v>
      </c>
      <c r="AB71" s="3">
        <f t="shared" si="14"/>
        <v>31.968870978844279</v>
      </c>
      <c r="AC71" s="3">
        <f t="shared" si="15"/>
        <v>33.602490387621273</v>
      </c>
      <c r="AD71" s="3">
        <f t="shared" si="16"/>
        <v>1.4491965134955438</v>
      </c>
      <c r="AE71" s="3">
        <f t="shared" si="17"/>
        <v>3.2760290040552551</v>
      </c>
    </row>
    <row r="72" spans="2:31" x14ac:dyDescent="0.2">
      <c r="B72" s="1">
        <v>307</v>
      </c>
      <c r="C72" s="1" t="s">
        <v>63</v>
      </c>
      <c r="D72" s="1">
        <v>9</v>
      </c>
      <c r="E72" s="1">
        <v>2</v>
      </c>
      <c r="F72" s="1">
        <v>2</v>
      </c>
      <c r="G72" s="1">
        <v>2</v>
      </c>
      <c r="H72" s="1">
        <v>4</v>
      </c>
      <c r="I72" s="1">
        <v>2</v>
      </c>
      <c r="J72" s="4">
        <v>13.566000000000001</v>
      </c>
      <c r="K72" s="39">
        <v>30.808373141166371</v>
      </c>
      <c r="L72" s="39">
        <v>31.872395302663072</v>
      </c>
      <c r="M72" s="39">
        <v>31.002212132825331</v>
      </c>
      <c r="N72" s="39">
        <v>31.292653606279288</v>
      </c>
      <c r="O72" s="39">
        <v>31.002212132825331</v>
      </c>
      <c r="P72" s="39">
        <v>32.16169552559289</v>
      </c>
      <c r="Q72" s="39">
        <v>31.292653606279288</v>
      </c>
      <c r="R72" s="39">
        <v>31.872395302663072</v>
      </c>
      <c r="S72" s="39">
        <v>31.872395302663072</v>
      </c>
      <c r="T72" s="39">
        <v>32.35435099818978</v>
      </c>
      <c r="U72" s="39">
        <v>33.410933897010601</v>
      </c>
      <c r="V72" s="39">
        <v>31.389382893688087</v>
      </c>
      <c r="W72" s="5">
        <f t="shared" si="9"/>
        <v>31.694304486820513</v>
      </c>
      <c r="X72" s="4">
        <f t="shared" si="10"/>
        <v>0.21060093254374024</v>
      </c>
      <c r="Y72" s="2">
        <f t="shared" si="11"/>
        <v>30.808373141166371</v>
      </c>
      <c r="Z72" s="3">
        <f t="shared" si="12"/>
        <v>31.220043237915799</v>
      </c>
      <c r="AA72" s="2">
        <f t="shared" si="13"/>
        <v>31.630889098175579</v>
      </c>
      <c r="AB72" s="3">
        <f t="shared" si="14"/>
        <v>31.944720358395529</v>
      </c>
      <c r="AC72" s="3">
        <f t="shared" si="15"/>
        <v>33.410933897010601</v>
      </c>
      <c r="AD72" s="3">
        <f t="shared" si="16"/>
        <v>1.1094600600435134</v>
      </c>
      <c r="AE72" s="3">
        <f t="shared" si="17"/>
        <v>1.5626653122994592</v>
      </c>
    </row>
    <row r="73" spans="2:31" x14ac:dyDescent="0.2">
      <c r="B73" s="1">
        <v>308</v>
      </c>
      <c r="C73" s="1" t="s">
        <v>73</v>
      </c>
      <c r="D73" s="1">
        <v>5</v>
      </c>
      <c r="E73" s="1">
        <v>1</v>
      </c>
      <c r="F73" s="1">
        <v>3</v>
      </c>
      <c r="G73" s="1">
        <v>2</v>
      </c>
      <c r="H73" s="1">
        <v>4</v>
      </c>
      <c r="I73" s="1">
        <v>2</v>
      </c>
      <c r="J73" s="4">
        <v>13.579000000000001</v>
      </c>
      <c r="K73" s="39">
        <v>31.67931714468687</v>
      </c>
      <c r="L73" s="39">
        <v>31.099068225847912</v>
      </c>
      <c r="M73" s="39">
        <v>31.67931714468687</v>
      </c>
      <c r="N73" s="39">
        <v>32.835249980268209</v>
      </c>
      <c r="O73" s="39">
        <v>32.643017193050632</v>
      </c>
      <c r="P73" s="39">
        <v>32.450615331681334</v>
      </c>
      <c r="Q73" s="39">
        <v>33.506733276584903</v>
      </c>
      <c r="R73" s="39">
        <v>33.698205230119726</v>
      </c>
      <c r="S73" s="39">
        <v>34.271606645813826</v>
      </c>
      <c r="T73" s="39">
        <v>31.968870978844279</v>
      </c>
      <c r="U73" s="39">
        <v>32.450615331681334</v>
      </c>
      <c r="V73" s="39">
        <v>31.67931714468687</v>
      </c>
      <c r="W73" s="5">
        <f t="shared" si="9"/>
        <v>32.496827802329399</v>
      </c>
      <c r="X73" s="4">
        <f t="shared" si="10"/>
        <v>0.27511251272406317</v>
      </c>
      <c r="Y73" s="2">
        <f t="shared" si="11"/>
        <v>31.099068225847912</v>
      </c>
      <c r="Z73" s="3">
        <f t="shared" si="12"/>
        <v>31.67931714468687</v>
      </c>
      <c r="AA73" s="2">
        <f t="shared" si="13"/>
        <v>32.450615331681334</v>
      </c>
      <c r="AB73" s="3">
        <f t="shared" si="14"/>
        <v>33.003120804347382</v>
      </c>
      <c r="AC73" s="3">
        <f t="shared" si="15"/>
        <v>34.271606645813826</v>
      </c>
      <c r="AD73" s="3">
        <f t="shared" si="16"/>
        <v>0.48886216609545863</v>
      </c>
      <c r="AE73" s="3">
        <f t="shared" si="17"/>
        <v>-0.53892021330254858</v>
      </c>
    </row>
    <row r="74" spans="2:31" x14ac:dyDescent="0.2">
      <c r="B74" s="1">
        <v>401</v>
      </c>
      <c r="C74" s="1" t="s">
        <v>65</v>
      </c>
      <c r="D74" s="1">
        <v>7</v>
      </c>
      <c r="E74" s="1">
        <v>2</v>
      </c>
      <c r="F74" s="1">
        <v>1</v>
      </c>
      <c r="G74" s="1">
        <v>2</v>
      </c>
      <c r="H74" s="1">
        <v>3</v>
      </c>
      <c r="I74" s="1">
        <v>2</v>
      </c>
      <c r="J74" s="4">
        <v>13.712999999999999</v>
      </c>
      <c r="K74" s="39">
        <v>33.31509224889836</v>
      </c>
      <c r="L74" s="39">
        <v>33.123282147060095</v>
      </c>
      <c r="M74" s="39">
        <v>32.643017193050632</v>
      </c>
      <c r="N74" s="39">
        <v>35.033774828615158</v>
      </c>
      <c r="O74" s="39">
        <v>33.98509614638747</v>
      </c>
      <c r="P74" s="39">
        <v>34.557736728398808</v>
      </c>
      <c r="Q74" s="39">
        <v>33.027313693334065</v>
      </c>
      <c r="R74" s="39">
        <v>33.602490387621273</v>
      </c>
      <c r="S74" s="39">
        <v>31.775877357943934</v>
      </c>
      <c r="T74" s="39">
        <v>32.258044396160294</v>
      </c>
      <c r="U74" s="39">
        <v>33.027313693334065</v>
      </c>
      <c r="V74" s="39">
        <v>32.931302971070103</v>
      </c>
      <c r="W74" s="5">
        <f t="shared" ref="W74:W85" si="18">AVERAGE(K74:V74)</f>
        <v>33.273361815989524</v>
      </c>
      <c r="X74" s="4">
        <f t="shared" ref="X74:X85" si="19">STDEV(K74:V74)/SQRT(COUNT(K74:V74))</f>
        <v>0.26538389460269179</v>
      </c>
      <c r="Y74" s="2">
        <f t="shared" ref="Y74:Y85" si="20">MIN(K74:V74)</f>
        <v>31.775877357943934</v>
      </c>
      <c r="Z74" s="3">
        <f t="shared" ref="Z74:Z85" si="21">QUARTILE(K74:V74,1)</f>
        <v>32.859231526565239</v>
      </c>
      <c r="AA74" s="2">
        <f t="shared" ref="AA74:AA85" si="22">MEDIAN(K74:V74)</f>
        <v>33.07529792019708</v>
      </c>
      <c r="AB74" s="3">
        <f t="shared" ref="AB74:AB85" si="23">QUARTILE(K74:V74,3)</f>
        <v>33.698141827312824</v>
      </c>
      <c r="AC74" s="3">
        <f t="shared" ref="AC74:AC85" si="24">MAX(K74:V74)</f>
        <v>35.033774828615158</v>
      </c>
      <c r="AD74" s="3">
        <f t="shared" ref="AD74:AD85" si="25">SKEW(K74:V74)</f>
        <v>0.45523906336829106</v>
      </c>
      <c r="AE74" s="3">
        <f t="shared" ref="AE74:AE85" si="26">KURT(K74:V74)</f>
        <v>0.12838481301103499</v>
      </c>
    </row>
    <row r="75" spans="2:31" x14ac:dyDescent="0.2">
      <c r="B75" s="1">
        <v>402</v>
      </c>
      <c r="C75" s="1" t="s">
        <v>63</v>
      </c>
      <c r="D75" s="1">
        <v>9</v>
      </c>
      <c r="E75" s="1">
        <v>2</v>
      </c>
      <c r="F75" s="1">
        <v>2</v>
      </c>
      <c r="G75" s="1">
        <v>2</v>
      </c>
      <c r="H75" s="1">
        <v>3</v>
      </c>
      <c r="I75" s="1">
        <v>2</v>
      </c>
      <c r="J75" s="4">
        <v>13.698</v>
      </c>
      <c r="K75" s="39">
        <v>30.323035962605168</v>
      </c>
      <c r="L75" s="39">
        <v>30.420187935393276</v>
      </c>
      <c r="M75" s="39">
        <v>31.389382893688087</v>
      </c>
      <c r="N75" s="39">
        <v>32.546837396634949</v>
      </c>
      <c r="O75" s="39">
        <v>31.486069912558943</v>
      </c>
      <c r="P75" s="39">
        <v>31.486069912558943</v>
      </c>
      <c r="Q75" s="39">
        <v>30.808373141166371</v>
      </c>
      <c r="R75" s="39">
        <v>30.808373141166371</v>
      </c>
      <c r="S75" s="39">
        <v>30.517297639643445</v>
      </c>
      <c r="T75" s="39">
        <v>32.35435099818978</v>
      </c>
      <c r="U75" s="39">
        <v>32.739154720928383</v>
      </c>
      <c r="V75" s="39">
        <v>31.582714662891874</v>
      </c>
      <c r="W75" s="5">
        <f t="shared" si="18"/>
        <v>31.371820693118796</v>
      </c>
      <c r="X75" s="4">
        <f t="shared" si="19"/>
        <v>0.24085128563030445</v>
      </c>
      <c r="Y75" s="2">
        <f t="shared" si="20"/>
        <v>30.323035962605168</v>
      </c>
      <c r="Z75" s="3">
        <f t="shared" si="21"/>
        <v>30.735604265785639</v>
      </c>
      <c r="AA75" s="2">
        <f t="shared" si="22"/>
        <v>31.437726403123513</v>
      </c>
      <c r="AB75" s="3">
        <f t="shared" si="23"/>
        <v>31.775623746716349</v>
      </c>
      <c r="AC75" s="3">
        <f t="shared" si="24"/>
        <v>32.739154720928383</v>
      </c>
      <c r="AD75" s="3">
        <f t="shared" si="25"/>
        <v>0.40240959043291341</v>
      </c>
      <c r="AE75" s="3">
        <f t="shared" si="26"/>
        <v>-1.073921734675277</v>
      </c>
    </row>
    <row r="76" spans="2:31" x14ac:dyDescent="0.2">
      <c r="B76" s="1">
        <v>403</v>
      </c>
      <c r="C76" s="1" t="s">
        <v>72</v>
      </c>
      <c r="D76" s="1">
        <v>6</v>
      </c>
      <c r="E76" s="1">
        <v>1</v>
      </c>
      <c r="F76" s="1">
        <v>3</v>
      </c>
      <c r="G76" s="1">
        <v>1</v>
      </c>
      <c r="H76" s="1">
        <v>3</v>
      </c>
      <c r="I76" s="1">
        <v>2</v>
      </c>
      <c r="J76" s="4">
        <v>13.683999999999999</v>
      </c>
      <c r="K76" s="39">
        <v>34.462402302741758</v>
      </c>
      <c r="L76" s="39">
        <v>34.938651745647761</v>
      </c>
      <c r="M76" s="39">
        <v>35.033774828615158</v>
      </c>
      <c r="N76" s="39">
        <v>35.128855643044638</v>
      </c>
      <c r="O76" s="39">
        <v>32.546837396634949</v>
      </c>
      <c r="P76" s="39">
        <v>32.35435099818978</v>
      </c>
      <c r="Q76" s="39">
        <v>33.123282147060095</v>
      </c>
      <c r="R76" s="39">
        <v>33.123282147060095</v>
      </c>
      <c r="S76" s="39">
        <v>31.582714662891874</v>
      </c>
      <c r="T76" s="39">
        <v>31.67931714468687</v>
      </c>
      <c r="U76" s="39">
        <v>33.31509224889836</v>
      </c>
      <c r="V76" s="39">
        <v>31.775877357943934</v>
      </c>
      <c r="W76" s="5">
        <f t="shared" si="18"/>
        <v>33.255369885284601</v>
      </c>
      <c r="X76" s="4">
        <f t="shared" si="19"/>
        <v>0.38716107760951418</v>
      </c>
      <c r="Y76" s="2">
        <f t="shared" si="20"/>
        <v>31.582714662891874</v>
      </c>
      <c r="Z76" s="3">
        <f t="shared" si="21"/>
        <v>32.209732588128318</v>
      </c>
      <c r="AA76" s="2">
        <f t="shared" si="22"/>
        <v>33.123282147060095</v>
      </c>
      <c r="AB76" s="3">
        <f t="shared" si="23"/>
        <v>34.58146466346826</v>
      </c>
      <c r="AC76" s="3">
        <f t="shared" si="24"/>
        <v>35.128855643044638</v>
      </c>
      <c r="AD76" s="3">
        <f t="shared" si="25"/>
        <v>0.26245945752544425</v>
      </c>
      <c r="AE76" s="3">
        <f t="shared" si="26"/>
        <v>-1.4922729564433217</v>
      </c>
    </row>
    <row r="77" spans="2:31" x14ac:dyDescent="0.2">
      <c r="B77" s="1">
        <v>404</v>
      </c>
      <c r="C77" s="1" t="s">
        <v>69</v>
      </c>
      <c r="D77" s="1">
        <v>3</v>
      </c>
      <c r="E77" s="1">
        <v>1</v>
      </c>
      <c r="F77" s="1">
        <v>2</v>
      </c>
      <c r="G77" s="1">
        <v>2</v>
      </c>
      <c r="H77" s="1">
        <v>3</v>
      </c>
      <c r="I77" s="1">
        <v>2</v>
      </c>
      <c r="J77" s="4">
        <v>13.667</v>
      </c>
      <c r="K77" s="39">
        <v>32.450615331681334</v>
      </c>
      <c r="L77" s="39">
        <v>32.065304386487547</v>
      </c>
      <c r="M77" s="39">
        <v>32.35435099818978</v>
      </c>
      <c r="N77" s="39">
        <v>32.835249980268209</v>
      </c>
      <c r="O77" s="39">
        <v>32.931302971070103</v>
      </c>
      <c r="P77" s="39">
        <v>33.027313693334065</v>
      </c>
      <c r="Q77" s="39">
        <v>32.931302971070103</v>
      </c>
      <c r="R77" s="39">
        <v>32.065304386487547</v>
      </c>
      <c r="S77" s="39">
        <v>33.88950810950282</v>
      </c>
      <c r="T77" s="39">
        <v>36.266528470239727</v>
      </c>
      <c r="U77" s="39">
        <v>33.98509614638747</v>
      </c>
      <c r="V77" s="39">
        <v>35.128855643044638</v>
      </c>
      <c r="W77" s="5">
        <f t="shared" si="18"/>
        <v>33.327561090646945</v>
      </c>
      <c r="X77" s="4">
        <f t="shared" si="19"/>
        <v>0.37111261431624654</v>
      </c>
      <c r="Y77" s="2">
        <f t="shared" si="20"/>
        <v>32.065304386487547</v>
      </c>
      <c r="Z77" s="3">
        <f t="shared" si="21"/>
        <v>32.426549248308447</v>
      </c>
      <c r="AA77" s="2">
        <f t="shared" si="22"/>
        <v>32.931302971070103</v>
      </c>
      <c r="AB77" s="3">
        <f t="shared" si="23"/>
        <v>33.913405118723986</v>
      </c>
      <c r="AC77" s="3">
        <f t="shared" si="24"/>
        <v>36.266528470239727</v>
      </c>
      <c r="AD77" s="3">
        <f t="shared" si="25"/>
        <v>1.3248319401047153</v>
      </c>
      <c r="AE77" s="3">
        <f t="shared" si="26"/>
        <v>1.280144037420393</v>
      </c>
    </row>
    <row r="78" spans="2:31" x14ac:dyDescent="0.2">
      <c r="B78" s="1">
        <v>405</v>
      </c>
      <c r="C78" s="1" t="s">
        <v>72</v>
      </c>
      <c r="D78" s="1">
        <v>6</v>
      </c>
      <c r="E78" s="1">
        <v>1</v>
      </c>
      <c r="F78" s="1">
        <v>3</v>
      </c>
      <c r="G78" s="1">
        <v>1</v>
      </c>
      <c r="H78" s="1">
        <v>4</v>
      </c>
      <c r="I78" s="1">
        <v>2</v>
      </c>
      <c r="J78" s="4">
        <v>13.648999999999999</v>
      </c>
      <c r="K78" s="39">
        <v>37.680060125302525</v>
      </c>
      <c r="L78" s="39">
        <v>36.549995634935044</v>
      </c>
      <c r="M78" s="39">
        <v>39.829003978656253</v>
      </c>
      <c r="N78" s="39">
        <v>38.149123916760246</v>
      </c>
      <c r="O78" s="39">
        <v>35.603625687123049</v>
      </c>
      <c r="P78" s="39">
        <v>36.549995634935044</v>
      </c>
      <c r="Q78" s="39">
        <v>36.361059793676098</v>
      </c>
      <c r="R78" s="39">
        <v>35.982680888703015</v>
      </c>
      <c r="S78" s="39">
        <v>36.077339017753189</v>
      </c>
      <c r="T78" s="39">
        <v>34.271606645813826</v>
      </c>
      <c r="U78" s="39">
        <v>34.938651745647761</v>
      </c>
      <c r="V78" s="39">
        <v>34.938651745647761</v>
      </c>
      <c r="W78" s="5">
        <f t="shared" si="18"/>
        <v>36.41098290124615</v>
      </c>
      <c r="X78" s="4">
        <f t="shared" si="19"/>
        <v>0.44564165541072487</v>
      </c>
      <c r="Y78" s="2">
        <f t="shared" si="20"/>
        <v>34.271606645813826</v>
      </c>
      <c r="Z78" s="3">
        <f t="shared" si="21"/>
        <v>35.437382201754225</v>
      </c>
      <c r="AA78" s="2">
        <f t="shared" si="22"/>
        <v>36.219199405714647</v>
      </c>
      <c r="AB78" s="3">
        <f t="shared" si="23"/>
        <v>36.832511757526916</v>
      </c>
      <c r="AC78" s="3">
        <f t="shared" si="24"/>
        <v>39.829003978656253</v>
      </c>
      <c r="AD78" s="3">
        <f t="shared" si="25"/>
        <v>0.90189318016218611</v>
      </c>
      <c r="AE78" s="3">
        <f t="shared" si="26"/>
        <v>0.93381223865042973</v>
      </c>
    </row>
    <row r="79" spans="2:31" x14ac:dyDescent="0.2">
      <c r="B79" s="1">
        <v>406</v>
      </c>
      <c r="C79" s="1" t="s">
        <v>69</v>
      </c>
      <c r="D79" s="1">
        <v>3</v>
      </c>
      <c r="E79" s="1">
        <v>1</v>
      </c>
      <c r="F79" s="1">
        <v>2</v>
      </c>
      <c r="G79" s="1">
        <v>2</v>
      </c>
      <c r="H79" s="1">
        <v>4</v>
      </c>
      <c r="I79" s="1">
        <v>2</v>
      </c>
      <c r="J79" s="4">
        <v>13.634</v>
      </c>
      <c r="K79" s="39">
        <v>31.872395302663072</v>
      </c>
      <c r="L79" s="39">
        <v>30.905313771264819</v>
      </c>
      <c r="M79" s="39">
        <v>31.968870978844279</v>
      </c>
      <c r="N79" s="39">
        <v>32.16169552559289</v>
      </c>
      <c r="O79" s="39">
        <v>34.176145414542972</v>
      </c>
      <c r="P79" s="39">
        <v>33.88950810950282</v>
      </c>
      <c r="Q79" s="39">
        <v>32.450615331681334</v>
      </c>
      <c r="R79" s="39">
        <v>32.931302971070103</v>
      </c>
      <c r="S79" s="39">
        <v>33.027313693334065</v>
      </c>
      <c r="T79" s="39">
        <v>32.450615331681334</v>
      </c>
      <c r="U79" s="39">
        <v>34.176145414542972</v>
      </c>
      <c r="V79" s="39">
        <v>33.793877804080232</v>
      </c>
      <c r="W79" s="5">
        <f t="shared" si="18"/>
        <v>32.816983304066746</v>
      </c>
      <c r="X79" s="4">
        <f t="shared" si="19"/>
        <v>0.29924726186291606</v>
      </c>
      <c r="Y79" s="2">
        <f t="shared" si="20"/>
        <v>30.905313771264819</v>
      </c>
      <c r="Z79" s="3">
        <f t="shared" si="21"/>
        <v>32.113489388905734</v>
      </c>
      <c r="AA79" s="2">
        <f t="shared" si="22"/>
        <v>32.690959151375722</v>
      </c>
      <c r="AB79" s="3">
        <f t="shared" si="23"/>
        <v>33.817785380435879</v>
      </c>
      <c r="AC79" s="3">
        <f t="shared" si="24"/>
        <v>34.176145414542972</v>
      </c>
      <c r="AD79" s="3">
        <f t="shared" si="25"/>
        <v>-0.1586811745247414</v>
      </c>
      <c r="AE79" s="3">
        <f t="shared" si="26"/>
        <v>-0.76505558142424857</v>
      </c>
    </row>
    <row r="80" spans="2:31" x14ac:dyDescent="0.2">
      <c r="B80" s="1">
        <v>407</v>
      </c>
      <c r="C80" s="1" t="s">
        <v>65</v>
      </c>
      <c r="D80" s="1">
        <v>7</v>
      </c>
      <c r="E80" s="1">
        <v>2</v>
      </c>
      <c r="F80" s="1">
        <v>1</v>
      </c>
      <c r="G80" s="1">
        <v>2</v>
      </c>
      <c r="H80" s="1">
        <v>4</v>
      </c>
      <c r="I80" s="1">
        <v>2</v>
      </c>
      <c r="J80" s="4">
        <v>13.618</v>
      </c>
      <c r="K80" s="39">
        <v>30.031326433013277</v>
      </c>
      <c r="L80" s="39">
        <v>29.64178863402638</v>
      </c>
      <c r="M80" s="39">
        <v>30.031326433013277</v>
      </c>
      <c r="N80" s="39">
        <v>29.64178863402638</v>
      </c>
      <c r="O80" s="39">
        <v>30.225841721279139</v>
      </c>
      <c r="P80" s="39">
        <v>30.12860521141517</v>
      </c>
      <c r="Q80" s="39">
        <v>30.905313771264819</v>
      </c>
      <c r="R80" s="39">
        <v>31.002212132825331</v>
      </c>
      <c r="S80" s="39">
        <v>29.544298512934834</v>
      </c>
      <c r="T80" s="39">
        <v>29.251574538432592</v>
      </c>
      <c r="U80" s="39">
        <v>31.002212132825331</v>
      </c>
      <c r="V80" s="39">
        <v>31.002212132825331</v>
      </c>
      <c r="W80" s="5">
        <f t="shared" si="18"/>
        <v>30.200708357323482</v>
      </c>
      <c r="X80" s="4">
        <f t="shared" si="19"/>
        <v>0.18347273189644703</v>
      </c>
      <c r="Y80" s="2">
        <f t="shared" si="20"/>
        <v>29.251574538432592</v>
      </c>
      <c r="Z80" s="3">
        <f t="shared" si="21"/>
        <v>29.64178863402638</v>
      </c>
      <c r="AA80" s="2">
        <f t="shared" si="22"/>
        <v>30.079965822214223</v>
      </c>
      <c r="AB80" s="3">
        <f t="shared" si="23"/>
        <v>30.929538361654949</v>
      </c>
      <c r="AC80" s="3">
        <f t="shared" si="24"/>
        <v>31.002212132825331</v>
      </c>
      <c r="AD80" s="3">
        <f t="shared" si="25"/>
        <v>0.16883972199031358</v>
      </c>
      <c r="AE80" s="3">
        <f t="shared" si="26"/>
        <v>-1.4466285839130735</v>
      </c>
    </row>
    <row r="81" spans="2:31" x14ac:dyDescent="0.2">
      <c r="B81" s="1">
        <v>408</v>
      </c>
      <c r="C81" s="1" t="s">
        <v>62</v>
      </c>
      <c r="D81" s="1">
        <v>10</v>
      </c>
      <c r="E81" s="1">
        <v>2</v>
      </c>
      <c r="F81" s="1">
        <v>2</v>
      </c>
      <c r="G81" s="1">
        <v>1</v>
      </c>
      <c r="H81" s="1">
        <v>4</v>
      </c>
      <c r="I81" s="1">
        <v>2</v>
      </c>
      <c r="J81" s="4">
        <v>13.601000000000001</v>
      </c>
      <c r="K81" s="39">
        <v>30.031326433013277</v>
      </c>
      <c r="L81" s="39">
        <v>29.544298512934834</v>
      </c>
      <c r="M81" s="39">
        <v>30.614365075355682</v>
      </c>
      <c r="N81" s="39">
        <v>30.323035962605168</v>
      </c>
      <c r="O81" s="39">
        <v>31.486069912558943</v>
      </c>
      <c r="P81" s="39">
        <v>31.002212132825331</v>
      </c>
      <c r="Q81" s="39">
        <v>30.905313771264819</v>
      </c>
      <c r="R81" s="39">
        <v>31.099068225847912</v>
      </c>
      <c r="S81" s="39">
        <v>31.582714662891874</v>
      </c>
      <c r="T81" s="39">
        <v>30.808373141166371</v>
      </c>
      <c r="U81" s="39">
        <v>31.486069912558943</v>
      </c>
      <c r="V81" s="39">
        <v>32.450615331681334</v>
      </c>
      <c r="W81" s="5">
        <f t="shared" si="18"/>
        <v>30.944455256225371</v>
      </c>
      <c r="X81" s="4">
        <f t="shared" si="19"/>
        <v>0.22359395963430564</v>
      </c>
      <c r="Y81" s="2">
        <f t="shared" si="20"/>
        <v>29.544298512934834</v>
      </c>
      <c r="Z81" s="3">
        <f t="shared" si="21"/>
        <v>30.541532797168053</v>
      </c>
      <c r="AA81" s="2">
        <f t="shared" si="22"/>
        <v>30.953762952045075</v>
      </c>
      <c r="AB81" s="3">
        <f t="shared" si="23"/>
        <v>31.486069912558943</v>
      </c>
      <c r="AC81" s="3">
        <f t="shared" si="24"/>
        <v>32.450615331681334</v>
      </c>
      <c r="AD81" s="3">
        <f t="shared" si="25"/>
        <v>5.0147404474488344E-2</v>
      </c>
      <c r="AE81" s="3">
        <f t="shared" si="26"/>
        <v>0.42564216681216482</v>
      </c>
    </row>
    <row r="82" spans="2:31" x14ac:dyDescent="0.2">
      <c r="B82" s="1">
        <v>902</v>
      </c>
      <c r="C82" s="1" t="s">
        <v>119</v>
      </c>
      <c r="D82" s="1">
        <v>22</v>
      </c>
      <c r="E82" s="1">
        <v>4</v>
      </c>
      <c r="F82" s="1">
        <v>2</v>
      </c>
      <c r="G82" s="1">
        <v>2</v>
      </c>
      <c r="H82" s="1">
        <v>1</v>
      </c>
      <c r="I82" s="1">
        <v>2</v>
      </c>
      <c r="J82" s="4">
        <v>13.445</v>
      </c>
      <c r="K82" s="39">
        <v>41.587353319574802</v>
      </c>
      <c r="L82" s="39">
        <v>40.848855518014908</v>
      </c>
      <c r="M82" s="39">
        <v>41.218442567098307</v>
      </c>
      <c r="N82" s="39">
        <v>44.605062085098957</v>
      </c>
      <c r="O82" s="39">
        <v>40.200450843408618</v>
      </c>
      <c r="P82" s="39">
        <v>43.695465765287054</v>
      </c>
      <c r="Q82" s="39">
        <v>44.967717093961639</v>
      </c>
      <c r="R82" s="39">
        <v>39.084081359330831</v>
      </c>
      <c r="S82" s="39">
        <v>36.644400152757626</v>
      </c>
      <c r="T82" s="39">
        <v>44.69578924012152</v>
      </c>
      <c r="U82" s="39">
        <v>41.12610920763435</v>
      </c>
      <c r="V82" s="39">
        <v>38.149123916760246</v>
      </c>
      <c r="W82" s="5">
        <f t="shared" si="18"/>
        <v>41.401904255754069</v>
      </c>
      <c r="X82" s="4">
        <f t="shared" si="19"/>
        <v>0.77638213915290077</v>
      </c>
      <c r="Y82" s="2">
        <f t="shared" si="20"/>
        <v>36.644400152757626</v>
      </c>
      <c r="Z82" s="3">
        <f t="shared" si="21"/>
        <v>39.921358472389173</v>
      </c>
      <c r="AA82" s="2">
        <f t="shared" si="22"/>
        <v>41.172275887366325</v>
      </c>
      <c r="AB82" s="3">
        <f t="shared" si="23"/>
        <v>43.922864845240028</v>
      </c>
      <c r="AC82" s="3">
        <f t="shared" si="24"/>
        <v>44.967717093961639</v>
      </c>
      <c r="AD82" s="3">
        <f t="shared" si="25"/>
        <v>-0.17084622206132388</v>
      </c>
      <c r="AE82" s="3">
        <f t="shared" si="26"/>
        <v>-0.81789137734153572</v>
      </c>
    </row>
    <row r="83" spans="2:31" x14ac:dyDescent="0.2">
      <c r="B83" s="1">
        <v>904</v>
      </c>
      <c r="C83" s="1" t="s">
        <v>120</v>
      </c>
      <c r="D83" s="1">
        <v>21</v>
      </c>
      <c r="E83" s="1">
        <v>3</v>
      </c>
      <c r="F83" s="1">
        <v>2</v>
      </c>
      <c r="G83" s="1">
        <v>2</v>
      </c>
      <c r="H83" s="1">
        <v>1</v>
      </c>
      <c r="I83" s="1">
        <v>2</v>
      </c>
      <c r="J83" s="4">
        <v>13.412000000000001</v>
      </c>
      <c r="K83" s="39">
        <v>42.598370734505856</v>
      </c>
      <c r="L83" s="39">
        <v>42.690027797362916</v>
      </c>
      <c r="M83" s="39">
        <v>42.414929803177955</v>
      </c>
      <c r="N83" s="39">
        <v>46.950230840858126</v>
      </c>
      <c r="O83" s="39">
        <v>47.487365851007311</v>
      </c>
      <c r="P83" s="39">
        <v>43.78661560568893</v>
      </c>
      <c r="Q83" s="39">
        <v>43.695465765287054</v>
      </c>
      <c r="R83" s="39">
        <v>43.87772317755288</v>
      </c>
      <c r="S83" s="39">
        <v>45.600736020760998</v>
      </c>
      <c r="T83" s="39">
        <v>45.148790987165398</v>
      </c>
      <c r="U83" s="39">
        <v>40.663808382245627</v>
      </c>
      <c r="V83" s="39">
        <v>41.49518903426258</v>
      </c>
      <c r="W83" s="5">
        <f t="shared" si="18"/>
        <v>43.867437833322974</v>
      </c>
      <c r="X83" s="4">
        <f t="shared" si="19"/>
        <v>0.60482469161245089</v>
      </c>
      <c r="Y83" s="2">
        <f t="shared" si="20"/>
        <v>40.663808382245627</v>
      </c>
      <c r="Z83" s="3">
        <f t="shared" si="21"/>
        <v>42.552510501673879</v>
      </c>
      <c r="AA83" s="2">
        <f t="shared" si="22"/>
        <v>43.741040685487988</v>
      </c>
      <c r="AB83" s="3">
        <f t="shared" si="23"/>
        <v>45.261777245564296</v>
      </c>
      <c r="AC83" s="3">
        <f t="shared" si="24"/>
        <v>47.487365851007311</v>
      </c>
      <c r="AD83" s="3">
        <f t="shared" si="25"/>
        <v>0.36850532944102016</v>
      </c>
      <c r="AE83" s="3">
        <f t="shared" si="26"/>
        <v>-0.60113849500435457</v>
      </c>
    </row>
    <row r="84" spans="2:31" x14ac:dyDescent="0.2">
      <c r="B84" s="1">
        <v>906</v>
      </c>
      <c r="C84" s="1" t="s">
        <v>119</v>
      </c>
      <c r="D84" s="1">
        <v>22</v>
      </c>
      <c r="E84" s="1">
        <v>4</v>
      </c>
      <c r="F84" s="1">
        <v>2</v>
      </c>
      <c r="G84" s="1">
        <v>2</v>
      </c>
      <c r="H84" s="1">
        <v>2</v>
      </c>
      <c r="I84" s="1">
        <v>2</v>
      </c>
      <c r="J84" s="4">
        <v>13.382999999999999</v>
      </c>
      <c r="K84" s="39">
        <v>41.587353319574802</v>
      </c>
      <c r="L84" s="39">
        <v>41.955587775444407</v>
      </c>
      <c r="M84" s="39">
        <v>41.587353319574802</v>
      </c>
      <c r="N84" s="39">
        <v>42.414929803177955</v>
      </c>
      <c r="O84" s="39">
        <v>43.513039278869492</v>
      </c>
      <c r="P84" s="39">
        <v>42.047540718066976</v>
      </c>
      <c r="Q84" s="39">
        <v>41.771555084585472</v>
      </c>
      <c r="R84" s="39">
        <v>40.014811948108303</v>
      </c>
      <c r="S84" s="39">
        <v>45.329695806217437</v>
      </c>
      <c r="T84" s="39">
        <v>44.423480969440014</v>
      </c>
      <c r="U84" s="39">
        <v>45.690998221866323</v>
      </c>
      <c r="V84" s="39">
        <v>46.77084768917161</v>
      </c>
      <c r="W84" s="5">
        <f t="shared" si="18"/>
        <v>43.092266161174798</v>
      </c>
      <c r="X84" s="4">
        <f t="shared" si="19"/>
        <v>0.58921780281997349</v>
      </c>
      <c r="Y84" s="2">
        <f t="shared" si="20"/>
        <v>40.014811948108303</v>
      </c>
      <c r="Z84" s="3">
        <f t="shared" si="21"/>
        <v>41.725504643332805</v>
      </c>
      <c r="AA84" s="2">
        <f t="shared" si="22"/>
        <v>42.231235260622469</v>
      </c>
      <c r="AB84" s="3">
        <f t="shared" si="23"/>
        <v>44.65003467863437</v>
      </c>
      <c r="AC84" s="3">
        <f t="shared" si="24"/>
        <v>46.77084768917161</v>
      </c>
      <c r="AD84" s="3">
        <f t="shared" si="25"/>
        <v>0.51030108915908834</v>
      </c>
      <c r="AE84" s="3">
        <f t="shared" si="26"/>
        <v>-0.73756869974235162</v>
      </c>
    </row>
    <row r="85" spans="2:31" x14ac:dyDescent="0.2">
      <c r="B85" s="1">
        <v>908</v>
      </c>
      <c r="C85" s="1" t="s">
        <v>120</v>
      </c>
      <c r="D85" s="1">
        <v>21</v>
      </c>
      <c r="E85" s="1">
        <v>3</v>
      </c>
      <c r="F85" s="1">
        <v>2</v>
      </c>
      <c r="G85" s="1">
        <v>2</v>
      </c>
      <c r="H85" s="1">
        <v>2</v>
      </c>
      <c r="I85" s="1">
        <v>2</v>
      </c>
      <c r="J85" s="4">
        <v>13.343999999999999</v>
      </c>
      <c r="K85" s="39">
        <v>41.587353319574802</v>
      </c>
      <c r="L85" s="39">
        <v>43.695465765287054</v>
      </c>
      <c r="M85" s="39">
        <v>45.781218154433724</v>
      </c>
      <c r="N85" s="39">
        <v>41.49518903426258</v>
      </c>
      <c r="O85" s="39">
        <v>43.42176263285382</v>
      </c>
      <c r="P85" s="39">
        <v>43.78661560568893</v>
      </c>
      <c r="Q85" s="39">
        <v>45.600736020760998</v>
      </c>
      <c r="R85" s="39">
        <v>46.681092710521462</v>
      </c>
      <c r="S85" s="39">
        <v>43.78661560568893</v>
      </c>
      <c r="T85" s="39">
        <v>46.321650110541533</v>
      </c>
      <c r="U85" s="39">
        <v>41.6794753363491</v>
      </c>
      <c r="V85" s="39">
        <v>44.241730779629364</v>
      </c>
      <c r="W85" s="5">
        <f t="shared" si="18"/>
        <v>44.00657542296603</v>
      </c>
      <c r="X85" s="4">
        <f t="shared" si="19"/>
        <v>0.52490452422764267</v>
      </c>
      <c r="Y85" s="2">
        <f t="shared" si="20"/>
        <v>41.49518903426258</v>
      </c>
      <c r="Z85" s="3">
        <f t="shared" si="21"/>
        <v>42.986190808727642</v>
      </c>
      <c r="AA85" s="2">
        <f t="shared" si="22"/>
        <v>43.78661560568893</v>
      </c>
      <c r="AB85" s="3">
        <f t="shared" si="23"/>
        <v>45.645856554179176</v>
      </c>
      <c r="AC85" s="3">
        <f t="shared" si="24"/>
        <v>46.681092710521462</v>
      </c>
      <c r="AD85" s="3">
        <f t="shared" si="25"/>
        <v>-3.0118713873417791E-2</v>
      </c>
      <c r="AE85" s="3">
        <f t="shared" si="26"/>
        <v>-1.1538401521985318</v>
      </c>
    </row>
    <row r="88" spans="2:31" x14ac:dyDescent="0.2">
      <c r="W88" s="3"/>
    </row>
  </sheetData>
  <autoFilter ref="B9:AE85" xr:uid="{72350E3A-D670-442F-9F59-2F3EF08BEE77}"/>
  <conditionalFormatting sqref="K10:V85">
    <cfRule type="cellIs" dxfId="15" priority="3" stopIfTrue="1" operator="lessThan">
      <formula>$W10-$V$5*$X10</formula>
    </cfRule>
    <cfRule type="cellIs" dxfId="14" priority="4" stopIfTrue="1" operator="greaterThan">
      <formula>$W10+$V$5*$X10</formula>
    </cfRule>
  </conditionalFormatting>
  <conditionalFormatting sqref="W10:W85">
    <cfRule type="cellIs" dxfId="13" priority="1" stopIfTrue="1" operator="lessThan">
      <formula>AVERAGE($W$10:$W$41)</formula>
    </cfRule>
    <cfRule type="cellIs" dxfId="12" priority="2" stopIfTrue="1" operator="greaterThan">
      <formula>AVERAGE($W$10:$W$41)</formula>
    </cfRule>
  </conditionalFormatting>
  <pageMargins left="0.75" right="0.75" top="1" bottom="1" header="0.5" footer="0.5"/>
  <pageSetup orientation="portrait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124A-23A5-470E-A990-989FD47F9B17}">
  <dimension ref="A1:AO88"/>
  <sheetViews>
    <sheetView topLeftCell="A19" zoomScale="75" workbookViewId="0">
      <selection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28515625" style="1" customWidth="1"/>
    <col min="34" max="41" width="20.5703125" style="1" customWidth="1"/>
    <col min="42" max="45" width="21.7109375" style="1" bestFit="1" customWidth="1"/>
    <col min="46" max="16384" width="9.140625" style="1"/>
  </cols>
  <sheetData>
    <row r="1" spans="1:41" ht="15.75" x14ac:dyDescent="0.25">
      <c r="B1" s="56" t="s">
        <v>146</v>
      </c>
    </row>
    <row r="2" spans="1:41" ht="15" x14ac:dyDescent="0.25">
      <c r="I2" s="32" t="s">
        <v>132</v>
      </c>
      <c r="J2" s="38"/>
      <c r="Q2" s="55">
        <v>5481</v>
      </c>
    </row>
    <row r="3" spans="1:41" x14ac:dyDescent="0.2">
      <c r="A3" s="54"/>
      <c r="I3" s="33" t="s">
        <v>117</v>
      </c>
      <c r="J3" s="52">
        <v>-1.6531146818483371</v>
      </c>
      <c r="T3" s="38" t="s">
        <v>131</v>
      </c>
      <c r="U3" s="38"/>
      <c r="V3" s="38"/>
      <c r="W3" s="38"/>
      <c r="X3" s="38"/>
    </row>
    <row r="4" spans="1:41" x14ac:dyDescent="0.2">
      <c r="I4" s="33" t="s">
        <v>116</v>
      </c>
      <c r="J4" s="52">
        <v>1.0981139989847872</v>
      </c>
      <c r="O4" s="37" t="s">
        <v>115</v>
      </c>
      <c r="P4" s="53">
        <v>39.1</v>
      </c>
      <c r="T4" s="38" t="s">
        <v>130</v>
      </c>
      <c r="U4" s="38"/>
      <c r="V4" s="38" t="s">
        <v>129</v>
      </c>
      <c r="W4" s="38"/>
      <c r="X4" s="38"/>
    </row>
    <row r="5" spans="1:41" x14ac:dyDescent="0.2">
      <c r="I5" s="33" t="s">
        <v>114</v>
      </c>
      <c r="J5" s="52">
        <v>2.673489260619941E-2</v>
      </c>
      <c r="O5" s="35" t="s">
        <v>113</v>
      </c>
      <c r="P5" s="34"/>
      <c r="T5" s="38" t="s">
        <v>128</v>
      </c>
      <c r="U5" s="38"/>
      <c r="V5" s="38">
        <v>5</v>
      </c>
      <c r="W5" s="38"/>
      <c r="X5" s="38"/>
    </row>
    <row r="6" spans="1:41" x14ac:dyDescent="0.2">
      <c r="I6" s="33" t="s">
        <v>127</v>
      </c>
      <c r="J6" s="51">
        <v>-2.1134268965570043E-3</v>
      </c>
      <c r="T6" s="38" t="s">
        <v>126</v>
      </c>
      <c r="U6" s="38"/>
      <c r="V6" s="38">
        <v>5</v>
      </c>
      <c r="W6" s="38"/>
      <c r="X6" s="38"/>
    </row>
    <row r="7" spans="1:41" x14ac:dyDescent="0.2">
      <c r="I7" s="33" t="s">
        <v>111</v>
      </c>
      <c r="J7" s="51"/>
      <c r="AG7" s="31" t="s">
        <v>107</v>
      </c>
      <c r="AH7" s="30" t="s">
        <v>110</v>
      </c>
    </row>
    <row r="9" spans="1:41" x14ac:dyDescent="0.2">
      <c r="B9" s="26" t="s">
        <v>109</v>
      </c>
      <c r="C9" s="29" t="s">
        <v>81</v>
      </c>
      <c r="D9" s="29" t="s">
        <v>108</v>
      </c>
      <c r="E9" s="28" t="s">
        <v>107</v>
      </c>
      <c r="F9" s="29" t="s">
        <v>106</v>
      </c>
      <c r="G9" s="28" t="s">
        <v>105</v>
      </c>
      <c r="H9" s="28" t="s">
        <v>104</v>
      </c>
      <c r="I9" s="26" t="s">
        <v>85</v>
      </c>
      <c r="J9" s="26" t="s">
        <v>103</v>
      </c>
      <c r="K9" s="27" t="s">
        <v>102</v>
      </c>
      <c r="L9" s="27" t="s">
        <v>101</v>
      </c>
      <c r="M9" s="27" t="s">
        <v>100</v>
      </c>
      <c r="N9" s="27" t="s">
        <v>99</v>
      </c>
      <c r="O9" s="27" t="s">
        <v>98</v>
      </c>
      <c r="P9" s="27" t="s">
        <v>97</v>
      </c>
      <c r="Q9" s="27" t="s">
        <v>96</v>
      </c>
      <c r="R9" s="27" t="s">
        <v>95</v>
      </c>
      <c r="S9" s="27" t="s">
        <v>94</v>
      </c>
      <c r="T9" s="27" t="s">
        <v>93</v>
      </c>
      <c r="U9" s="27" t="s">
        <v>92</v>
      </c>
      <c r="V9" s="27" t="s">
        <v>91</v>
      </c>
      <c r="W9" s="26" t="s">
        <v>90</v>
      </c>
      <c r="X9" s="26" t="s">
        <v>125</v>
      </c>
      <c r="Y9" s="26" t="s">
        <v>88</v>
      </c>
      <c r="Z9" s="26" t="s">
        <v>87</v>
      </c>
      <c r="AA9" s="26" t="s">
        <v>86</v>
      </c>
      <c r="AB9" s="26" t="s">
        <v>124</v>
      </c>
      <c r="AC9" s="26" t="s">
        <v>123</v>
      </c>
      <c r="AD9" s="26" t="s">
        <v>122</v>
      </c>
      <c r="AE9" s="26" t="s">
        <v>121</v>
      </c>
      <c r="AF9" s="26"/>
      <c r="AG9" s="25"/>
      <c r="AH9" s="25" t="s">
        <v>85</v>
      </c>
      <c r="AI9" s="25" t="s">
        <v>84</v>
      </c>
      <c r="AJ9" s="25"/>
      <c r="AK9" s="25"/>
      <c r="AL9" s="25"/>
      <c r="AM9" s="25"/>
      <c r="AN9" s="25"/>
      <c r="AO9" s="25"/>
    </row>
    <row r="10" spans="1:41" x14ac:dyDescent="0.2">
      <c r="B10" s="1">
        <v>101</v>
      </c>
      <c r="C10" s="1" t="s">
        <v>71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1">
        <v>1</v>
      </c>
      <c r="J10" s="4">
        <v>13.124000000000001</v>
      </c>
      <c r="K10" s="39">
        <v>34.856853840445517</v>
      </c>
      <c r="L10" s="39">
        <v>33.615857833924373</v>
      </c>
      <c r="M10" s="39">
        <v>34.380393054849854</v>
      </c>
      <c r="N10" s="39">
        <v>33.520100722888003</v>
      </c>
      <c r="O10" s="39">
        <v>33.520100722888003</v>
      </c>
      <c r="P10" s="39">
        <v>32.944670417373203</v>
      </c>
      <c r="Q10" s="39">
        <v>33.32845969520146</v>
      </c>
      <c r="R10" s="39">
        <v>33.32845969520146</v>
      </c>
      <c r="S10" s="39">
        <v>32.36771844449288</v>
      </c>
      <c r="T10" s="39">
        <v>31.789244804247033</v>
      </c>
      <c r="U10" s="39">
        <v>32.463982777984434</v>
      </c>
      <c r="V10" s="39">
        <v>31.596082109194974</v>
      </c>
      <c r="W10" s="5">
        <f t="shared" ref="W10:W41" si="0">AVERAGE(K10:V10)</f>
        <v>33.142660343224271</v>
      </c>
      <c r="X10" s="4">
        <f t="shared" ref="X10:X41" si="1">STDEV(K10:V10)/SQRT(COUNT(K10:V10))</f>
        <v>0.28031771483668172</v>
      </c>
      <c r="Y10" s="2">
        <f t="shared" ref="Y10:Y41" si="2">MIN(K10:V10)</f>
        <v>31.596082109194974</v>
      </c>
      <c r="Z10" s="3">
        <f t="shared" ref="Z10:Z41" si="3">QUARTILE(K10:V10,1)</f>
        <v>32.439916694611547</v>
      </c>
      <c r="AA10" s="2">
        <f t="shared" ref="AA10:AA41" si="4">MEDIAN(K10:V10)</f>
        <v>33.32845969520146</v>
      </c>
      <c r="AB10" s="3">
        <f t="shared" ref="AB10:AB41" si="5">QUARTILE(K10:V10,3)</f>
        <v>33.544040000647094</v>
      </c>
      <c r="AC10" s="3">
        <f t="shared" ref="AC10:AC41" si="6">MAX(K10:V10)</f>
        <v>34.856853840445517</v>
      </c>
      <c r="AD10" s="3">
        <f t="shared" ref="AD10:AD41" si="7">SKEW(K10:V10)</f>
        <v>2.3291375914046498E-2</v>
      </c>
      <c r="AE10" s="3">
        <f t="shared" ref="AE10:AE41" si="8">KURT(K10:V10)</f>
        <v>-0.36027407471973705</v>
      </c>
      <c r="AG10" s="25"/>
      <c r="AH10" s="24" t="s">
        <v>83</v>
      </c>
      <c r="AI10" s="23"/>
      <c r="AJ10" s="23"/>
      <c r="AK10" s="23"/>
      <c r="AL10" s="24" t="s">
        <v>82</v>
      </c>
      <c r="AM10" s="23"/>
      <c r="AN10" s="23"/>
      <c r="AO10" s="22"/>
    </row>
    <row r="11" spans="1:41" x14ac:dyDescent="0.2">
      <c r="B11" s="1">
        <v>102</v>
      </c>
      <c r="C11" s="1" t="s">
        <v>68</v>
      </c>
      <c r="D11" s="1">
        <v>4</v>
      </c>
      <c r="E11" s="1">
        <v>1</v>
      </c>
      <c r="F11" s="1">
        <v>2</v>
      </c>
      <c r="G11" s="1">
        <v>1</v>
      </c>
      <c r="H11" s="1">
        <v>1</v>
      </c>
      <c r="I11" s="1">
        <v>1</v>
      </c>
      <c r="J11" s="4">
        <v>13.105</v>
      </c>
      <c r="K11" s="39">
        <v>33.615857833924373</v>
      </c>
      <c r="L11" s="39">
        <v>31.982238425147379</v>
      </c>
      <c r="M11" s="39">
        <v>35.427211921408585</v>
      </c>
      <c r="N11" s="39">
        <v>34.380393054849854</v>
      </c>
      <c r="O11" s="39">
        <v>31.789244804247033</v>
      </c>
      <c r="P11" s="39">
        <v>33.232575778551293</v>
      </c>
      <c r="Q11" s="39">
        <v>31.596082109194974</v>
      </c>
      <c r="R11" s="39">
        <v>32.560204842938049</v>
      </c>
      <c r="S11" s="39">
        <v>31.596082109194974</v>
      </c>
      <c r="T11" s="39">
        <v>34.284974092116926</v>
      </c>
      <c r="U11" s="39">
        <v>31.209249496635671</v>
      </c>
      <c r="V11" s="39">
        <v>31.982238425147379</v>
      </c>
      <c r="W11" s="5">
        <f t="shared" si="0"/>
        <v>32.804696074446376</v>
      </c>
      <c r="X11" s="4">
        <f t="shared" si="1"/>
        <v>0.39219113907699721</v>
      </c>
      <c r="Y11" s="2">
        <f t="shared" si="2"/>
        <v>31.209249496635671</v>
      </c>
      <c r="Z11" s="3">
        <f t="shared" si="3"/>
        <v>31.74095413048402</v>
      </c>
      <c r="AA11" s="2">
        <f t="shared" si="4"/>
        <v>32.271221634042718</v>
      </c>
      <c r="AB11" s="3">
        <f t="shared" si="5"/>
        <v>33.783136898472513</v>
      </c>
      <c r="AC11" s="3">
        <f t="shared" si="6"/>
        <v>35.427211921408585</v>
      </c>
      <c r="AD11" s="3">
        <f t="shared" si="7"/>
        <v>0.69770730124084945</v>
      </c>
      <c r="AE11" s="3">
        <f t="shared" si="8"/>
        <v>-0.72801439390057965</v>
      </c>
      <c r="AG11" s="21" t="s">
        <v>81</v>
      </c>
      <c r="AH11" s="20" t="s">
        <v>80</v>
      </c>
      <c r="AI11" s="19" t="s">
        <v>79</v>
      </c>
      <c r="AJ11" s="19" t="s">
        <v>78</v>
      </c>
      <c r="AK11" s="19" t="s">
        <v>77</v>
      </c>
      <c r="AL11" s="20" t="s">
        <v>80</v>
      </c>
      <c r="AM11" s="19" t="s">
        <v>79</v>
      </c>
      <c r="AN11" s="19" t="s">
        <v>78</v>
      </c>
      <c r="AO11" s="18" t="s">
        <v>77</v>
      </c>
    </row>
    <row r="12" spans="1:41" x14ac:dyDescent="0.2">
      <c r="B12" s="1">
        <v>103</v>
      </c>
      <c r="C12" s="1" t="s">
        <v>73</v>
      </c>
      <c r="D12" s="1">
        <v>5</v>
      </c>
      <c r="E12" s="1">
        <v>1</v>
      </c>
      <c r="F12" s="1">
        <v>3</v>
      </c>
      <c r="G12" s="1">
        <v>2</v>
      </c>
      <c r="H12" s="1">
        <v>1</v>
      </c>
      <c r="I12" s="1">
        <v>1</v>
      </c>
      <c r="J12" s="4">
        <v>13.087999999999999</v>
      </c>
      <c r="K12" s="39">
        <v>33.136649593363188</v>
      </c>
      <c r="L12" s="39">
        <v>32.463982777984434</v>
      </c>
      <c r="M12" s="39">
        <v>32.078671832790647</v>
      </c>
      <c r="N12" s="39">
        <v>32.17506297189599</v>
      </c>
      <c r="O12" s="39">
        <v>31.789244804247033</v>
      </c>
      <c r="P12" s="39">
        <v>31.112435672151012</v>
      </c>
      <c r="Q12" s="39">
        <v>31.789244804247033</v>
      </c>
      <c r="R12" s="39">
        <v>32.848617426571309</v>
      </c>
      <c r="S12" s="39">
        <v>31.885762748966172</v>
      </c>
      <c r="T12" s="39">
        <v>31.209249496635671</v>
      </c>
      <c r="U12" s="39">
        <v>31.306021052582388</v>
      </c>
      <c r="V12" s="39">
        <v>31.596082109194974</v>
      </c>
      <c r="W12" s="5">
        <f t="shared" si="0"/>
        <v>31.949252107552486</v>
      </c>
      <c r="X12" s="4">
        <f t="shared" si="1"/>
        <v>0.18242962243258898</v>
      </c>
      <c r="Y12" s="2">
        <f t="shared" si="2"/>
        <v>31.112435672151012</v>
      </c>
      <c r="Z12" s="3">
        <f t="shared" si="3"/>
        <v>31.523566845041827</v>
      </c>
      <c r="AA12" s="2">
        <f t="shared" si="4"/>
        <v>31.837503776606603</v>
      </c>
      <c r="AB12" s="3">
        <f t="shared" si="5"/>
        <v>32.247292923418101</v>
      </c>
      <c r="AC12" s="3">
        <f t="shared" si="6"/>
        <v>33.136649593363188</v>
      </c>
      <c r="AD12" s="3">
        <f t="shared" si="7"/>
        <v>0.53675895597045475</v>
      </c>
      <c r="AE12" s="3">
        <f t="shared" si="8"/>
        <v>-0.38426148750930533</v>
      </c>
      <c r="AG12" s="17" t="s">
        <v>73</v>
      </c>
      <c r="AH12" s="16">
        <v>31.836320257544529</v>
      </c>
      <c r="AI12" s="15">
        <v>32.330076517799064</v>
      </c>
      <c r="AJ12" s="15">
        <v>32.822374513494964</v>
      </c>
      <c r="AK12" s="15">
        <v>32.750283695910213</v>
      </c>
      <c r="AL12" s="16">
        <v>31.787532928460827</v>
      </c>
      <c r="AM12" s="15">
        <v>32.390040950676109</v>
      </c>
      <c r="AN12" s="15">
        <v>33.253070170469002</v>
      </c>
      <c r="AO12" s="14">
        <v>33.255173816590336</v>
      </c>
    </row>
    <row r="13" spans="1:41" x14ac:dyDescent="0.2">
      <c r="B13" s="1">
        <v>104</v>
      </c>
      <c r="C13" s="1" t="s">
        <v>62</v>
      </c>
      <c r="D13" s="1">
        <v>10</v>
      </c>
      <c r="E13" s="1">
        <v>2</v>
      </c>
      <c r="F13" s="1">
        <v>2</v>
      </c>
      <c r="G13" s="1">
        <v>1</v>
      </c>
      <c r="H13" s="1">
        <v>1</v>
      </c>
      <c r="I13" s="1">
        <v>1</v>
      </c>
      <c r="J13" s="4">
        <v>13.069000000000001</v>
      </c>
      <c r="K13" s="39">
        <v>48.125467590675271</v>
      </c>
      <c r="L13" s="39">
        <v>43.252449981511781</v>
      </c>
      <c r="M13" s="39">
        <v>42.520038849413964</v>
      </c>
      <c r="N13" s="39">
        <v>35.142223089347738</v>
      </c>
      <c r="O13" s="39">
        <v>43.526406725172592</v>
      </c>
      <c r="P13" s="39">
        <v>33.615857833924373</v>
      </c>
      <c r="Q13" s="39">
        <v>36.657767599060726</v>
      </c>
      <c r="R13" s="39">
        <v>33.32845969520146</v>
      </c>
      <c r="S13" s="39">
        <v>35.806605271292</v>
      </c>
      <c r="T13" s="39">
        <v>34.189512860846072</v>
      </c>
      <c r="U13" s="39">
        <v>33.520100722888003</v>
      </c>
      <c r="V13" s="39">
        <v>34.95201919195086</v>
      </c>
      <c r="W13" s="5">
        <f t="shared" si="0"/>
        <v>37.886409117607073</v>
      </c>
      <c r="X13" s="4">
        <f t="shared" si="1"/>
        <v>1.4580844579535228</v>
      </c>
      <c r="Y13" s="2">
        <f t="shared" si="2"/>
        <v>33.32845969520146</v>
      </c>
      <c r="Z13" s="3">
        <f t="shared" si="3"/>
        <v>34.046099104115648</v>
      </c>
      <c r="AA13" s="2">
        <f t="shared" si="4"/>
        <v>35.474414180319869</v>
      </c>
      <c r="AB13" s="3">
        <f t="shared" si="5"/>
        <v>42.703141632438417</v>
      </c>
      <c r="AC13" s="3">
        <f t="shared" si="6"/>
        <v>48.125467590675271</v>
      </c>
      <c r="AD13" s="3">
        <f t="shared" si="7"/>
        <v>0.96825467950933908</v>
      </c>
      <c r="AE13" s="3">
        <f t="shared" si="8"/>
        <v>-0.46009038158531457</v>
      </c>
      <c r="AG13" s="13" t="s">
        <v>72</v>
      </c>
      <c r="AH13" s="12">
        <v>29.995145716549906</v>
      </c>
      <c r="AI13" s="11">
        <v>30.213547446902446</v>
      </c>
      <c r="AJ13" s="11">
        <v>30.3106677182871</v>
      </c>
      <c r="AK13" s="11">
        <v>30.597226744648456</v>
      </c>
      <c r="AL13" s="12">
        <v>29.313116420019394</v>
      </c>
      <c r="AM13" s="11">
        <v>29.73992101242597</v>
      </c>
      <c r="AN13" s="11">
        <v>30.044154955457756</v>
      </c>
      <c r="AO13" s="10">
        <v>30.286117307917088</v>
      </c>
    </row>
    <row r="14" spans="1:41" x14ac:dyDescent="0.2">
      <c r="B14" s="1">
        <v>105</v>
      </c>
      <c r="C14" s="1" t="s">
        <v>66</v>
      </c>
      <c r="D14" s="1">
        <v>12</v>
      </c>
      <c r="E14" s="1">
        <v>2</v>
      </c>
      <c r="F14" s="1">
        <v>3</v>
      </c>
      <c r="G14" s="1">
        <v>1</v>
      </c>
      <c r="H14" s="1">
        <v>2</v>
      </c>
      <c r="I14" s="1">
        <v>1</v>
      </c>
      <c r="J14" s="4">
        <v>13.048999999999999</v>
      </c>
      <c r="K14" s="39">
        <v>33.232575778551293</v>
      </c>
      <c r="L14" s="39">
        <v>33.615857833924373</v>
      </c>
      <c r="M14" s="39">
        <v>34.761646220402241</v>
      </c>
      <c r="N14" s="39">
        <v>35.616993133426149</v>
      </c>
      <c r="O14" s="39">
        <v>35.901347937418031</v>
      </c>
      <c r="P14" s="39">
        <v>34.284974092116926</v>
      </c>
      <c r="Q14" s="39">
        <v>33.99846359269057</v>
      </c>
      <c r="R14" s="39">
        <v>34.856853840445517</v>
      </c>
      <c r="S14" s="39">
        <v>35.901347937418031</v>
      </c>
      <c r="T14" s="39">
        <v>38.630498441072774</v>
      </c>
      <c r="U14" s="39">
        <v>36.279895916542827</v>
      </c>
      <c r="V14" s="39">
        <v>36.752129848345369</v>
      </c>
      <c r="W14" s="5">
        <f t="shared" si="0"/>
        <v>35.319382047696173</v>
      </c>
      <c r="X14" s="4">
        <f t="shared" si="1"/>
        <v>0.43780935388147402</v>
      </c>
      <c r="Y14" s="2">
        <f t="shared" si="2"/>
        <v>33.232575778551293</v>
      </c>
      <c r="Z14" s="3">
        <f t="shared" si="3"/>
        <v>34.213346467260337</v>
      </c>
      <c r="AA14" s="2">
        <f t="shared" si="4"/>
        <v>35.236923486935837</v>
      </c>
      <c r="AB14" s="3">
        <f t="shared" si="5"/>
        <v>35.995984932199228</v>
      </c>
      <c r="AC14" s="3">
        <f t="shared" si="6"/>
        <v>38.630498441072774</v>
      </c>
      <c r="AD14" s="3">
        <f t="shared" si="7"/>
        <v>0.71407535013225287</v>
      </c>
      <c r="AE14" s="3">
        <f t="shared" si="8"/>
        <v>0.64928155938061938</v>
      </c>
      <c r="AG14" s="13" t="s">
        <v>71</v>
      </c>
      <c r="AH14" s="12">
        <v>30.674343021039039</v>
      </c>
      <c r="AI14" s="11">
        <v>31.473152177247776</v>
      </c>
      <c r="AJ14" s="11">
        <v>32.123570456384691</v>
      </c>
      <c r="AK14" s="11">
        <v>31.949615698862331</v>
      </c>
      <c r="AL14" s="12">
        <v>29.752075576158965</v>
      </c>
      <c r="AM14" s="11">
        <v>30.868108042756624</v>
      </c>
      <c r="AN14" s="11">
        <v>31.569691256235874</v>
      </c>
      <c r="AO14" s="10">
        <v>31.447157591831779</v>
      </c>
    </row>
    <row r="15" spans="1:41" x14ac:dyDescent="0.2">
      <c r="B15" s="1">
        <v>106</v>
      </c>
      <c r="C15" s="1" t="s">
        <v>63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1</v>
      </c>
      <c r="J15" s="4">
        <v>13.03</v>
      </c>
      <c r="K15" s="39">
        <v>38.349820999880905</v>
      </c>
      <c r="L15" s="39">
        <v>34.380393054849854</v>
      </c>
      <c r="M15" s="39">
        <v>38.256177315741091</v>
      </c>
      <c r="N15" s="39">
        <v>35.237261635239278</v>
      </c>
      <c r="O15" s="39">
        <v>31.306021052582388</v>
      </c>
      <c r="P15" s="39">
        <v>31.306021052582388</v>
      </c>
      <c r="Q15" s="39">
        <v>33.424301343313701</v>
      </c>
      <c r="R15" s="39">
        <v>31.596082109194974</v>
      </c>
      <c r="S15" s="39">
        <v>33.040681139637165</v>
      </c>
      <c r="T15" s="39">
        <v>33.32845969520146</v>
      </c>
      <c r="U15" s="39">
        <v>32.560204842938049</v>
      </c>
      <c r="V15" s="39">
        <v>32.656384639353732</v>
      </c>
      <c r="W15" s="5">
        <f t="shared" si="0"/>
        <v>33.786817406709581</v>
      </c>
      <c r="X15" s="4">
        <f t="shared" si="1"/>
        <v>0.69653366961106233</v>
      </c>
      <c r="Y15" s="2">
        <f t="shared" si="2"/>
        <v>31.306021052582388</v>
      </c>
      <c r="Z15" s="3">
        <f t="shared" si="3"/>
        <v>32.319174159502282</v>
      </c>
      <c r="AA15" s="2">
        <f t="shared" si="4"/>
        <v>33.184570417419309</v>
      </c>
      <c r="AB15" s="3">
        <f t="shared" si="5"/>
        <v>34.594610199947212</v>
      </c>
      <c r="AC15" s="3">
        <f t="shared" si="6"/>
        <v>38.349820999880905</v>
      </c>
      <c r="AD15" s="3">
        <f t="shared" si="7"/>
        <v>1.1077575982064767</v>
      </c>
      <c r="AE15" s="3">
        <f t="shared" si="8"/>
        <v>0.33729928082089522</v>
      </c>
      <c r="AG15" s="13" t="s">
        <v>70</v>
      </c>
      <c r="AH15" s="12">
        <v>29.801264456353017</v>
      </c>
      <c r="AI15" s="11">
        <v>30.469939819386738</v>
      </c>
      <c r="AJ15" s="11">
        <v>30.748971712088739</v>
      </c>
      <c r="AK15" s="11">
        <v>30.985434845879595</v>
      </c>
      <c r="AL15" s="12">
        <v>29.26460383643224</v>
      </c>
      <c r="AM15" s="11">
        <v>29.789062340514853</v>
      </c>
      <c r="AN15" s="11">
        <v>30.554551528033222</v>
      </c>
      <c r="AO15" s="10">
        <v>30.652535568426575</v>
      </c>
    </row>
    <row r="16" spans="1:41" x14ac:dyDescent="0.2">
      <c r="B16" s="1">
        <v>107</v>
      </c>
      <c r="C16" s="1" t="s">
        <v>62</v>
      </c>
      <c r="D16" s="1">
        <v>10</v>
      </c>
      <c r="E16" s="1">
        <v>2</v>
      </c>
      <c r="F16" s="1">
        <v>2</v>
      </c>
      <c r="G16" s="1">
        <v>1</v>
      </c>
      <c r="H16" s="1">
        <v>2</v>
      </c>
      <c r="I16" s="1">
        <v>1</v>
      </c>
      <c r="J16" s="4">
        <v>13.013</v>
      </c>
      <c r="K16" s="39">
        <v>34.571104174701908</v>
      </c>
      <c r="L16" s="39">
        <v>31.982238425147379</v>
      </c>
      <c r="M16" s="39">
        <v>35.142223089347738</v>
      </c>
      <c r="N16" s="39">
        <v>31.69268459098997</v>
      </c>
      <c r="O16" s="39">
        <v>30.627732521658782</v>
      </c>
      <c r="P16" s="39">
        <v>32.271411842463394</v>
      </c>
      <c r="Q16" s="39">
        <v>30.724757688833094</v>
      </c>
      <c r="R16" s="39">
        <v>37.034962984971727</v>
      </c>
      <c r="S16" s="39">
        <v>32.560204842938049</v>
      </c>
      <c r="T16" s="39">
        <v>35.142223089347738</v>
      </c>
      <c r="U16" s="39">
        <v>33.807245250383332</v>
      </c>
      <c r="V16" s="39">
        <v>38.910795465423256</v>
      </c>
      <c r="W16" s="5">
        <f t="shared" si="0"/>
        <v>33.705631997183865</v>
      </c>
      <c r="X16" s="4">
        <f t="shared" si="1"/>
        <v>0.73760072316067538</v>
      </c>
      <c r="Y16" s="2">
        <f t="shared" si="2"/>
        <v>30.627732521658782</v>
      </c>
      <c r="Z16" s="3">
        <f t="shared" si="3"/>
        <v>31.909849966608029</v>
      </c>
      <c r="AA16" s="2">
        <f t="shared" si="4"/>
        <v>33.18372504666069</v>
      </c>
      <c r="AB16" s="3">
        <f t="shared" si="5"/>
        <v>35.142223089347738</v>
      </c>
      <c r="AC16" s="3">
        <f t="shared" si="6"/>
        <v>38.910795465423256</v>
      </c>
      <c r="AD16" s="3">
        <f t="shared" si="7"/>
        <v>0.72679271980873905</v>
      </c>
      <c r="AE16" s="3">
        <f t="shared" si="8"/>
        <v>-9.2744535912356429E-2</v>
      </c>
      <c r="AG16" s="13" t="s">
        <v>69</v>
      </c>
      <c r="AH16" s="12">
        <v>31.03671856624959</v>
      </c>
      <c r="AI16" s="11">
        <v>31.594010950836346</v>
      </c>
      <c r="AJ16" s="11">
        <v>32.015553110270488</v>
      </c>
      <c r="AK16" s="11">
        <v>32.074496053480871</v>
      </c>
      <c r="AL16" s="12">
        <v>29.796699454256455</v>
      </c>
      <c r="AM16" s="11">
        <v>30.781800309025648</v>
      </c>
      <c r="AN16" s="11">
        <v>31.230087320424069</v>
      </c>
      <c r="AO16" s="10">
        <v>31.154089792279212</v>
      </c>
    </row>
    <row r="17" spans="2:41" x14ac:dyDescent="0.2">
      <c r="B17" s="1">
        <v>108</v>
      </c>
      <c r="C17" s="1" t="s">
        <v>69</v>
      </c>
      <c r="D17" s="1">
        <v>3</v>
      </c>
      <c r="E17" s="1">
        <v>1</v>
      </c>
      <c r="F17" s="1">
        <v>2</v>
      </c>
      <c r="G17" s="1">
        <v>2</v>
      </c>
      <c r="H17" s="1">
        <v>2</v>
      </c>
      <c r="I17" s="1">
        <v>1</v>
      </c>
      <c r="J17" s="4">
        <v>12.983000000000001</v>
      </c>
      <c r="K17" s="39">
        <v>32.078671832790647</v>
      </c>
      <c r="L17" s="39">
        <v>30.918681217567919</v>
      </c>
      <c r="M17" s="39">
        <v>32.271411842463394</v>
      </c>
      <c r="N17" s="39">
        <v>32.078671832790647</v>
      </c>
      <c r="O17" s="39">
        <v>31.885762748966172</v>
      </c>
      <c r="P17" s="39">
        <v>31.982238425147379</v>
      </c>
      <c r="Q17" s="39">
        <v>31.69268459098997</v>
      </c>
      <c r="R17" s="39">
        <v>32.36771844449288</v>
      </c>
      <c r="S17" s="39">
        <v>35.047142274918258</v>
      </c>
      <c r="T17" s="39">
        <v>31.885762748966172</v>
      </c>
      <c r="U17" s="39">
        <v>32.656384639353732</v>
      </c>
      <c r="V17" s="39">
        <v>31.306021052582388</v>
      </c>
      <c r="W17" s="5">
        <f t="shared" si="0"/>
        <v>32.180929304252466</v>
      </c>
      <c r="X17" s="4">
        <f t="shared" si="1"/>
        <v>0.2927930707366983</v>
      </c>
      <c r="Y17" s="2">
        <f t="shared" si="2"/>
        <v>30.918681217567919</v>
      </c>
      <c r="Z17" s="3">
        <f t="shared" si="3"/>
        <v>31.837493209472122</v>
      </c>
      <c r="AA17" s="2">
        <f t="shared" si="4"/>
        <v>32.03045512896901</v>
      </c>
      <c r="AB17" s="3">
        <f t="shared" si="5"/>
        <v>32.295488492970762</v>
      </c>
      <c r="AC17" s="3">
        <f t="shared" si="6"/>
        <v>35.047142274918258</v>
      </c>
      <c r="AD17" s="3">
        <f t="shared" si="7"/>
        <v>2.174959888201065</v>
      </c>
      <c r="AE17" s="3">
        <f t="shared" si="8"/>
        <v>6.4995490272181247</v>
      </c>
      <c r="AG17" s="13" t="s">
        <v>68</v>
      </c>
      <c r="AH17" s="12">
        <v>30.651492158131674</v>
      </c>
      <c r="AI17" s="11">
        <v>31.130178787780679</v>
      </c>
      <c r="AJ17" s="11">
        <v>31.559322538230468</v>
      </c>
      <c r="AK17" s="11">
        <v>32.004631772073452</v>
      </c>
      <c r="AL17" s="12">
        <v>29.80112708360474</v>
      </c>
      <c r="AM17" s="11">
        <v>30.427340727081599</v>
      </c>
      <c r="AN17" s="11">
        <v>30.954753924791042</v>
      </c>
      <c r="AO17" s="10">
        <v>30.967733998787864</v>
      </c>
    </row>
    <row r="18" spans="2:41" x14ac:dyDescent="0.2">
      <c r="B18" s="1">
        <v>201</v>
      </c>
      <c r="C18" s="1" t="s">
        <v>66</v>
      </c>
      <c r="D18" s="1">
        <v>12</v>
      </c>
      <c r="E18" s="1">
        <v>2</v>
      </c>
      <c r="F18" s="1">
        <v>3</v>
      </c>
      <c r="G18" s="1">
        <v>1</v>
      </c>
      <c r="H18" s="1">
        <v>1</v>
      </c>
      <c r="I18" s="1">
        <v>1</v>
      </c>
      <c r="J18" s="4">
        <v>13.146000000000001</v>
      </c>
      <c r="K18" s="39">
        <v>39.004143269797559</v>
      </c>
      <c r="L18" s="39">
        <v>38.443422415482786</v>
      </c>
      <c r="M18" s="39">
        <v>41.324101104327426</v>
      </c>
      <c r="N18" s="39">
        <v>36.752129848345369</v>
      </c>
      <c r="O18" s="39">
        <v>39.377111801915447</v>
      </c>
      <c r="P18" s="39">
        <v>36.846449829092094</v>
      </c>
      <c r="Q18" s="39">
        <v>35.142223089347738</v>
      </c>
      <c r="R18" s="39">
        <v>37.034962984971727</v>
      </c>
      <c r="S18" s="39">
        <v>38.443422415482786</v>
      </c>
      <c r="T18" s="39">
        <v>41.047101025935575</v>
      </c>
      <c r="U18" s="39">
        <v>37.505506175257025</v>
      </c>
      <c r="V18" s="39">
        <v>37.974992652094045</v>
      </c>
      <c r="W18" s="5">
        <f t="shared" si="0"/>
        <v>38.241297217670798</v>
      </c>
      <c r="X18" s="4">
        <f t="shared" si="1"/>
        <v>0.51614069669154228</v>
      </c>
      <c r="Y18" s="2">
        <f t="shared" si="2"/>
        <v>35.142223089347738</v>
      </c>
      <c r="Z18" s="3">
        <f t="shared" si="3"/>
        <v>36.987834696001819</v>
      </c>
      <c r="AA18" s="2">
        <f t="shared" si="4"/>
        <v>38.209207533788415</v>
      </c>
      <c r="AB18" s="3">
        <f t="shared" si="5"/>
        <v>39.09738540282703</v>
      </c>
      <c r="AC18" s="3">
        <f t="shared" si="6"/>
        <v>41.324101104327426</v>
      </c>
      <c r="AD18" s="3">
        <f t="shared" si="7"/>
        <v>0.29314432666242923</v>
      </c>
      <c r="AE18" s="3">
        <f t="shared" si="8"/>
        <v>-6.0429502761738974E-2</v>
      </c>
      <c r="AG18" s="13" t="s">
        <v>67</v>
      </c>
      <c r="AH18" s="12">
        <v>33.604677805641593</v>
      </c>
      <c r="AI18" s="11">
        <v>34.284839078446439</v>
      </c>
      <c r="AJ18" s="11">
        <v>34.703771155663347</v>
      </c>
      <c r="AK18" s="11">
        <v>34.842744954721915</v>
      </c>
      <c r="AL18" s="12">
        <v>32.123020965391589</v>
      </c>
      <c r="AM18" s="11">
        <v>33.21671743418208</v>
      </c>
      <c r="AN18" s="11">
        <v>34.159983568945584</v>
      </c>
      <c r="AO18" s="10">
        <v>34.223001715217606</v>
      </c>
    </row>
    <row r="19" spans="2:41" x14ac:dyDescent="0.2">
      <c r="B19" s="1">
        <v>202</v>
      </c>
      <c r="C19" s="1" t="s">
        <v>63</v>
      </c>
      <c r="D19" s="1">
        <v>9</v>
      </c>
      <c r="E19" s="1">
        <v>2</v>
      </c>
      <c r="F19" s="1">
        <v>2</v>
      </c>
      <c r="G19" s="1">
        <v>2</v>
      </c>
      <c r="H19" s="1">
        <v>1</v>
      </c>
      <c r="I19" s="1">
        <v>1</v>
      </c>
      <c r="J19" s="4">
        <v>13.166</v>
      </c>
      <c r="K19" s="39">
        <v>42.886582563766325</v>
      </c>
      <c r="L19" s="39">
        <v>35.427211921408585</v>
      </c>
      <c r="M19" s="39">
        <v>39.935296543954344</v>
      </c>
      <c r="N19" s="39">
        <v>34.761646220402241</v>
      </c>
      <c r="O19" s="39">
        <v>35.901347937418031</v>
      </c>
      <c r="P19" s="39">
        <v>33.136649593363188</v>
      </c>
      <c r="Q19" s="39">
        <v>35.047142274918258</v>
      </c>
      <c r="R19" s="39">
        <v>34.380393054849854</v>
      </c>
      <c r="S19" s="39">
        <v>34.856853840445517</v>
      </c>
      <c r="T19" s="39">
        <v>38.349820999880905</v>
      </c>
      <c r="U19" s="39">
        <v>33.90287555580592</v>
      </c>
      <c r="V19" s="39">
        <v>32.752522167231483</v>
      </c>
      <c r="W19" s="5">
        <f t="shared" si="0"/>
        <v>35.944861889453712</v>
      </c>
      <c r="X19" s="4">
        <f t="shared" si="1"/>
        <v>0.8627333210633894</v>
      </c>
      <c r="Y19" s="2">
        <f t="shared" si="2"/>
        <v>32.752522167231483</v>
      </c>
      <c r="Z19" s="3">
        <f t="shared" si="3"/>
        <v>34.261013680088872</v>
      </c>
      <c r="AA19" s="2">
        <f t="shared" si="4"/>
        <v>34.951998057681891</v>
      </c>
      <c r="AB19" s="3">
        <f t="shared" si="5"/>
        <v>36.513466203033751</v>
      </c>
      <c r="AC19" s="3">
        <f t="shared" si="6"/>
        <v>42.886582563766325</v>
      </c>
      <c r="AD19" s="3">
        <f t="shared" si="7"/>
        <v>1.3941277482490571</v>
      </c>
      <c r="AE19" s="3">
        <f t="shared" si="8"/>
        <v>1.5023913314774591</v>
      </c>
      <c r="AG19" s="13" t="s">
        <v>66</v>
      </c>
      <c r="AH19" s="12">
        <v>34.187399433949516</v>
      </c>
      <c r="AI19" s="11">
        <v>35.600590581631081</v>
      </c>
      <c r="AJ19" s="11">
        <v>36.723065510362126</v>
      </c>
      <c r="AK19" s="11">
        <v>36.780339632683486</v>
      </c>
      <c r="AL19" s="12">
        <v>33.614822254745064</v>
      </c>
      <c r="AM19" s="11">
        <v>35.137467878830485</v>
      </c>
      <c r="AN19" s="11">
        <v>36.08621543190111</v>
      </c>
      <c r="AO19" s="10">
        <v>35.901553808069892</v>
      </c>
    </row>
    <row r="20" spans="2:41" x14ac:dyDescent="0.2">
      <c r="B20" s="1">
        <v>203</v>
      </c>
      <c r="C20" s="1" t="s">
        <v>69</v>
      </c>
      <c r="D20" s="1">
        <v>3</v>
      </c>
      <c r="E20" s="1">
        <v>1</v>
      </c>
      <c r="F20" s="1">
        <v>2</v>
      </c>
      <c r="G20" s="1">
        <v>2</v>
      </c>
      <c r="H20" s="1">
        <v>1</v>
      </c>
      <c r="I20" s="1">
        <v>1</v>
      </c>
      <c r="J20" s="4">
        <v>13.182</v>
      </c>
      <c r="K20" s="39">
        <v>33.424301343313701</v>
      </c>
      <c r="L20" s="39">
        <v>33.90287555580592</v>
      </c>
      <c r="M20" s="39">
        <v>33.232575778551293</v>
      </c>
      <c r="N20" s="39">
        <v>33.32845969520146</v>
      </c>
      <c r="O20" s="39">
        <v>32.078671832790647</v>
      </c>
      <c r="P20" s="39">
        <v>32.078671832790647</v>
      </c>
      <c r="Q20" s="39">
        <v>32.848617426571309</v>
      </c>
      <c r="R20" s="39">
        <v>32.36771844449288</v>
      </c>
      <c r="S20" s="39">
        <v>34.571104174701908</v>
      </c>
      <c r="T20" s="39">
        <v>34.189512860846072</v>
      </c>
      <c r="U20" s="39">
        <v>33.520100722888003</v>
      </c>
      <c r="V20" s="39">
        <v>32.17506297189599</v>
      </c>
      <c r="W20" s="5">
        <f t="shared" si="0"/>
        <v>33.143139386654155</v>
      </c>
      <c r="X20" s="4">
        <f t="shared" si="1"/>
        <v>0.24411325960129393</v>
      </c>
      <c r="Y20" s="2">
        <f t="shared" si="2"/>
        <v>32.078671832790647</v>
      </c>
      <c r="Z20" s="3">
        <f t="shared" si="3"/>
        <v>32.319554576343656</v>
      </c>
      <c r="AA20" s="2">
        <f t="shared" si="4"/>
        <v>33.280517736876376</v>
      </c>
      <c r="AB20" s="3">
        <f t="shared" si="5"/>
        <v>33.615794431117479</v>
      </c>
      <c r="AC20" s="3">
        <f t="shared" si="6"/>
        <v>34.571104174701908</v>
      </c>
      <c r="AD20" s="3">
        <f t="shared" si="7"/>
        <v>0.13845529181938782</v>
      </c>
      <c r="AE20" s="3">
        <f t="shared" si="8"/>
        <v>-1.0958531252471237</v>
      </c>
      <c r="AG20" s="13" t="s">
        <v>65</v>
      </c>
      <c r="AH20" s="12">
        <v>31.499247150441352</v>
      </c>
      <c r="AI20" s="11">
        <v>32.199144905970599</v>
      </c>
      <c r="AJ20" s="11">
        <v>33.088031338431215</v>
      </c>
      <c r="AK20" s="11">
        <v>33.447560613617178</v>
      </c>
      <c r="AL20" s="12">
        <v>31.111907315426876</v>
      </c>
      <c r="AM20" s="11">
        <v>32.5703252332831</v>
      </c>
      <c r="AN20" s="11">
        <v>33.014660136384961</v>
      </c>
      <c r="AO20" s="10">
        <v>33.152590525148639</v>
      </c>
    </row>
    <row r="21" spans="2:41" x14ac:dyDescent="0.2">
      <c r="B21" s="1">
        <v>204</v>
      </c>
      <c r="C21" s="1" t="s">
        <v>67</v>
      </c>
      <c r="D21" s="1">
        <v>11</v>
      </c>
      <c r="E21" s="1">
        <v>2</v>
      </c>
      <c r="F21" s="1">
        <v>3</v>
      </c>
      <c r="G21" s="1">
        <v>2</v>
      </c>
      <c r="H21" s="1">
        <v>1</v>
      </c>
      <c r="I21" s="1">
        <v>1</v>
      </c>
      <c r="J21" s="4">
        <v>13.201000000000001</v>
      </c>
      <c r="K21" s="39">
        <v>38.068763141847661</v>
      </c>
      <c r="L21" s="39">
        <v>38.817405392511027</v>
      </c>
      <c r="M21" s="39">
        <v>38.349820999880905</v>
      </c>
      <c r="N21" s="39">
        <v>38.068763141847661</v>
      </c>
      <c r="O21" s="39">
        <v>36.563363081238144</v>
      </c>
      <c r="P21" s="39">
        <v>36.563363081238144</v>
      </c>
      <c r="Q21" s="39">
        <v>36.374427239979198</v>
      </c>
      <c r="R21" s="39">
        <v>36.563363081238144</v>
      </c>
      <c r="S21" s="39">
        <v>36.940727541300873</v>
      </c>
      <c r="T21" s="39">
        <v>37.22330706669964</v>
      </c>
      <c r="U21" s="39">
        <v>35.806605271292</v>
      </c>
      <c r="V21" s="39">
        <v>36.657767599060726</v>
      </c>
      <c r="W21" s="5">
        <f t="shared" si="0"/>
        <v>37.166473053177846</v>
      </c>
      <c r="X21" s="4">
        <f t="shared" si="1"/>
        <v>0.27016996627959206</v>
      </c>
      <c r="Y21" s="2">
        <f t="shared" si="2"/>
        <v>35.806605271292</v>
      </c>
      <c r="Z21" s="3">
        <f t="shared" si="3"/>
        <v>36.563363081238144</v>
      </c>
      <c r="AA21" s="2">
        <f t="shared" si="4"/>
        <v>36.799247570180796</v>
      </c>
      <c r="AB21" s="3">
        <f t="shared" si="5"/>
        <v>38.068763141847661</v>
      </c>
      <c r="AC21" s="3">
        <f t="shared" si="6"/>
        <v>38.817405392511027</v>
      </c>
      <c r="AD21" s="3">
        <f t="shared" si="7"/>
        <v>0.50746072864718839</v>
      </c>
      <c r="AE21" s="3">
        <f t="shared" si="8"/>
        <v>-0.9535159595160656</v>
      </c>
      <c r="AG21" s="13" t="s">
        <v>64</v>
      </c>
      <c r="AH21" s="12">
        <v>30.724229332108955</v>
      </c>
      <c r="AI21" s="11">
        <v>31.678728330827656</v>
      </c>
      <c r="AJ21" s="11">
        <v>32.745114605959046</v>
      </c>
      <c r="AK21" s="11">
        <v>33.09376872704371</v>
      </c>
      <c r="AL21" s="12">
        <v>29.703457321226981</v>
      </c>
      <c r="AM21" s="11">
        <v>30.190495808439913</v>
      </c>
      <c r="AN21" s="11">
        <v>30.603074678754858</v>
      </c>
      <c r="AO21" s="10">
        <v>30.726841961874541</v>
      </c>
    </row>
    <row r="22" spans="2:41" x14ac:dyDescent="0.2">
      <c r="B22" s="1">
        <v>205</v>
      </c>
      <c r="C22" s="1" t="s">
        <v>71</v>
      </c>
      <c r="D22" s="1">
        <v>1</v>
      </c>
      <c r="E22" s="1">
        <v>1</v>
      </c>
      <c r="F22" s="1">
        <v>1</v>
      </c>
      <c r="G22" s="1">
        <v>2</v>
      </c>
      <c r="H22" s="1">
        <v>2</v>
      </c>
      <c r="I22" s="1">
        <v>1</v>
      </c>
      <c r="J22" s="4">
        <v>13.223000000000001</v>
      </c>
      <c r="K22" s="39">
        <v>31.015579579128431</v>
      </c>
      <c r="L22" s="39">
        <v>30.918681217567919</v>
      </c>
      <c r="M22" s="39">
        <v>31.112435672151012</v>
      </c>
      <c r="N22" s="39">
        <v>30.14197265771827</v>
      </c>
      <c r="O22" s="39">
        <v>31.015579579128431</v>
      </c>
      <c r="P22" s="39">
        <v>30.918681217567919</v>
      </c>
      <c r="Q22" s="39">
        <v>31.69268459098997</v>
      </c>
      <c r="R22" s="39">
        <v>30.530665085946545</v>
      </c>
      <c r="S22" s="39">
        <v>30.918681217567919</v>
      </c>
      <c r="T22" s="39">
        <v>30.627732521658782</v>
      </c>
      <c r="U22" s="39">
        <v>30.433555381696376</v>
      </c>
      <c r="V22" s="39">
        <v>29.752603932883105</v>
      </c>
      <c r="W22" s="5">
        <f t="shared" si="0"/>
        <v>30.756571054500387</v>
      </c>
      <c r="X22" s="4">
        <f t="shared" si="1"/>
        <v>0.14495587875045235</v>
      </c>
      <c r="Y22" s="2">
        <f t="shared" si="2"/>
        <v>29.752603932883105</v>
      </c>
      <c r="Z22" s="3">
        <f t="shared" si="3"/>
        <v>30.506387659884002</v>
      </c>
      <c r="AA22" s="2">
        <f t="shared" si="4"/>
        <v>30.918681217567919</v>
      </c>
      <c r="AB22" s="3">
        <f t="shared" si="5"/>
        <v>31.015579579128431</v>
      </c>
      <c r="AC22" s="3">
        <f t="shared" si="6"/>
        <v>31.69268459098997</v>
      </c>
      <c r="AD22" s="3">
        <f t="shared" si="7"/>
        <v>-0.32616073950590202</v>
      </c>
      <c r="AE22" s="3">
        <f t="shared" si="8"/>
        <v>0.84290094879190747</v>
      </c>
      <c r="AG22" s="13" t="s">
        <v>63</v>
      </c>
      <c r="AH22" s="12">
        <v>31.399611901049795</v>
      </c>
      <c r="AI22" s="11">
        <v>32.574561191965977</v>
      </c>
      <c r="AJ22" s="11">
        <v>33.120262892269842</v>
      </c>
      <c r="AK22" s="11">
        <v>33.882266608601228</v>
      </c>
      <c r="AL22" s="12">
        <v>31.736906917977109</v>
      </c>
      <c r="AM22" s="11">
        <v>32.508939520818132</v>
      </c>
      <c r="AN22" s="11">
        <v>33.204319826355984</v>
      </c>
      <c r="AO22" s="10">
        <v>33.343744977234067</v>
      </c>
    </row>
    <row r="23" spans="2:41" x14ac:dyDescent="0.2">
      <c r="B23" s="1">
        <v>206</v>
      </c>
      <c r="C23" s="1" t="s">
        <v>64</v>
      </c>
      <c r="D23" s="1">
        <v>8</v>
      </c>
      <c r="E23" s="1">
        <v>2</v>
      </c>
      <c r="F23" s="1">
        <v>1</v>
      </c>
      <c r="G23" s="1">
        <v>1</v>
      </c>
      <c r="H23" s="1">
        <v>2</v>
      </c>
      <c r="I23" s="1">
        <v>1</v>
      </c>
      <c r="J23" s="4">
        <v>13.247</v>
      </c>
      <c r="K23" s="39">
        <v>37.12915616010465</v>
      </c>
      <c r="L23" s="39">
        <v>35.522123661686329</v>
      </c>
      <c r="M23" s="39">
        <v>32.944670417373203</v>
      </c>
      <c r="N23" s="39">
        <v>37.411482074275831</v>
      </c>
      <c r="O23" s="39">
        <v>38.443422415482786</v>
      </c>
      <c r="P23" s="39">
        <v>32.656384639353732</v>
      </c>
      <c r="Q23" s="39">
        <v>32.36771844449288</v>
      </c>
      <c r="R23" s="39">
        <v>31.69268459098997</v>
      </c>
      <c r="S23" s="39">
        <v>37.787324866973037</v>
      </c>
      <c r="T23" s="39">
        <v>33.136649593363188</v>
      </c>
      <c r="U23" s="39">
        <v>40.028179394411403</v>
      </c>
      <c r="V23" s="39">
        <v>31.209249496635671</v>
      </c>
      <c r="W23" s="5">
        <f t="shared" si="0"/>
        <v>35.027420479595222</v>
      </c>
      <c r="X23" s="4">
        <f t="shared" si="1"/>
        <v>0.87450023092373907</v>
      </c>
      <c r="Y23" s="2">
        <f t="shared" si="2"/>
        <v>31.209249496635671</v>
      </c>
      <c r="Z23" s="3">
        <f t="shared" si="3"/>
        <v>32.584218090638515</v>
      </c>
      <c r="AA23" s="2">
        <f t="shared" si="4"/>
        <v>34.329386627524755</v>
      </c>
      <c r="AB23" s="3">
        <f t="shared" si="5"/>
        <v>37.505442772450131</v>
      </c>
      <c r="AC23" s="3">
        <f t="shared" si="6"/>
        <v>40.028179394411403</v>
      </c>
      <c r="AD23" s="3">
        <f t="shared" si="7"/>
        <v>0.26766532052776182</v>
      </c>
      <c r="AE23" s="3">
        <f t="shared" si="8"/>
        <v>-1.5618843543475029</v>
      </c>
      <c r="AG23" s="13" t="s">
        <v>62</v>
      </c>
      <c r="AH23" s="12">
        <v>32.052164741352243</v>
      </c>
      <c r="AI23" s="11">
        <v>33.444410034822781</v>
      </c>
      <c r="AJ23" s="11">
        <v>35.120748313000924</v>
      </c>
      <c r="AK23" s="11">
        <v>36.368463697759253</v>
      </c>
      <c r="AL23" s="12">
        <v>30.408707330371762</v>
      </c>
      <c r="AM23" s="11">
        <v>31.347521162901323</v>
      </c>
      <c r="AN23" s="11">
        <v>32.053977004916035</v>
      </c>
      <c r="AO23" s="10">
        <v>32.049548982388117</v>
      </c>
    </row>
    <row r="24" spans="2:41" x14ac:dyDescent="0.2">
      <c r="B24" s="1">
        <v>207</v>
      </c>
      <c r="C24" s="1" t="s">
        <v>68</v>
      </c>
      <c r="D24" s="1">
        <v>4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4">
        <v>13.263999999999999</v>
      </c>
      <c r="K24" s="39">
        <v>32.36771844449288</v>
      </c>
      <c r="L24" s="39">
        <v>31.499437358862043</v>
      </c>
      <c r="M24" s="39">
        <v>32.944670417373203</v>
      </c>
      <c r="N24" s="39">
        <v>30.918681217567919</v>
      </c>
      <c r="O24" s="39">
        <v>32.271411842463394</v>
      </c>
      <c r="P24" s="39">
        <v>31.112435672151012</v>
      </c>
      <c r="Q24" s="39">
        <v>31.402750339991186</v>
      </c>
      <c r="R24" s="39">
        <v>31.306021052582388</v>
      </c>
      <c r="S24" s="39">
        <v>31.69268459098997</v>
      </c>
      <c r="T24" s="39">
        <v>32.463982777984434</v>
      </c>
      <c r="U24" s="39">
        <v>31.306021052582388</v>
      </c>
      <c r="V24" s="39">
        <v>33.040681139637165</v>
      </c>
      <c r="W24" s="5">
        <f t="shared" si="0"/>
        <v>31.860541325556497</v>
      </c>
      <c r="X24" s="4">
        <f t="shared" si="1"/>
        <v>0.20940288862962103</v>
      </c>
      <c r="Y24" s="2">
        <f t="shared" si="2"/>
        <v>30.918681217567919</v>
      </c>
      <c r="Z24" s="3">
        <f t="shared" si="3"/>
        <v>31.306021052582388</v>
      </c>
      <c r="AA24" s="2">
        <f t="shared" si="4"/>
        <v>31.596060974926004</v>
      </c>
      <c r="AB24" s="3">
        <f t="shared" si="5"/>
        <v>32.391784527865767</v>
      </c>
      <c r="AC24" s="3">
        <f t="shared" si="6"/>
        <v>33.040681139637165</v>
      </c>
      <c r="AD24" s="3">
        <f t="shared" si="7"/>
        <v>0.45568692098516628</v>
      </c>
      <c r="AE24" s="3">
        <f t="shared" si="8"/>
        <v>-1.2450553602923025</v>
      </c>
      <c r="AG24" s="13" t="s">
        <v>120</v>
      </c>
      <c r="AH24" s="12">
        <v>46.064991787211426</v>
      </c>
      <c r="AI24" s="11">
        <v>51.715749577522274</v>
      </c>
      <c r="AJ24" s="11">
        <v>57.817226808691053</v>
      </c>
      <c r="AK24" s="11">
        <v>55.851388376949515</v>
      </c>
      <c r="AL24" s="12">
        <v>41.092105320874438</v>
      </c>
      <c r="AM24" s="11">
        <v>42.393032928045869</v>
      </c>
      <c r="AN24" s="11">
        <v>43.091754241746415</v>
      </c>
      <c r="AO24" s="10">
        <v>43.007852292299361</v>
      </c>
    </row>
    <row r="25" spans="2:41" x14ac:dyDescent="0.2">
      <c r="B25" s="1">
        <v>208</v>
      </c>
      <c r="C25" s="1" t="s">
        <v>70</v>
      </c>
      <c r="D25" s="1">
        <v>2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4">
        <v>13.282999999999999</v>
      </c>
      <c r="K25" s="39">
        <v>30.530665085946545</v>
      </c>
      <c r="L25" s="39">
        <v>32.656384639353732</v>
      </c>
      <c r="M25" s="39">
        <v>30.530665085946545</v>
      </c>
      <c r="N25" s="39">
        <v>30.821740587469471</v>
      </c>
      <c r="O25" s="39">
        <v>30.627732521658782</v>
      </c>
      <c r="P25" s="39">
        <v>29.947372832376555</v>
      </c>
      <c r="Q25" s="39">
        <v>32.36771844449288</v>
      </c>
      <c r="R25" s="39">
        <v>29.947372832376555</v>
      </c>
      <c r="S25" s="39">
        <v>30.724757688833094</v>
      </c>
      <c r="T25" s="39">
        <v>32.752522167231483</v>
      </c>
      <c r="U25" s="39">
        <v>30.433555381696376</v>
      </c>
      <c r="V25" s="39">
        <v>30.627732521658782</v>
      </c>
      <c r="W25" s="5">
        <f t="shared" si="0"/>
        <v>30.997351649086728</v>
      </c>
      <c r="X25" s="4">
        <f t="shared" si="1"/>
        <v>0.28929999677900026</v>
      </c>
      <c r="Y25" s="2">
        <f t="shared" si="2"/>
        <v>29.947372832376555</v>
      </c>
      <c r="Z25" s="3">
        <f t="shared" si="3"/>
        <v>30.506387659884002</v>
      </c>
      <c r="AA25" s="2">
        <f t="shared" si="4"/>
        <v>30.627732521658782</v>
      </c>
      <c r="AB25" s="3">
        <f t="shared" si="5"/>
        <v>31.208235051725325</v>
      </c>
      <c r="AC25" s="3">
        <f t="shared" si="6"/>
        <v>32.752522167231483</v>
      </c>
      <c r="AD25" s="3">
        <f t="shared" si="7"/>
        <v>1.053775652230371</v>
      </c>
      <c r="AE25" s="3">
        <f t="shared" si="8"/>
        <v>-0.39922404286812885</v>
      </c>
      <c r="AG25" s="13" t="s">
        <v>119</v>
      </c>
      <c r="AH25" s="12">
        <v>39.795634119965314</v>
      </c>
      <c r="AI25" s="11">
        <v>42.128779172918044</v>
      </c>
      <c r="AJ25" s="11">
        <v>43.388540714045632</v>
      </c>
      <c r="AK25" s="11">
        <v>44.782032649875212</v>
      </c>
      <c r="AL25" s="12">
        <v>39.33039563119037</v>
      </c>
      <c r="AM25" s="11">
        <v>42.313297951963179</v>
      </c>
      <c r="AN25" s="11">
        <v>43.776931413529496</v>
      </c>
      <c r="AO25" s="10">
        <v>43.305509578363598</v>
      </c>
    </row>
    <row r="26" spans="2:41" x14ac:dyDescent="0.2">
      <c r="B26" s="1">
        <v>301</v>
      </c>
      <c r="C26" s="1" t="s">
        <v>62</v>
      </c>
      <c r="D26" s="1">
        <v>10</v>
      </c>
      <c r="E26" s="1">
        <v>2</v>
      </c>
      <c r="F26" s="1">
        <v>2</v>
      </c>
      <c r="G26" s="1">
        <v>1</v>
      </c>
      <c r="H26" s="1">
        <v>3</v>
      </c>
      <c r="I26" s="1">
        <v>1</v>
      </c>
      <c r="J26" s="4">
        <v>13.446</v>
      </c>
      <c r="K26" s="39">
        <v>42.978112821009589</v>
      </c>
      <c r="L26" s="39">
        <v>36.657767599060726</v>
      </c>
      <c r="M26" s="39">
        <v>33.807245250383332</v>
      </c>
      <c r="N26" s="39">
        <v>33.615857833924373</v>
      </c>
      <c r="O26" s="39">
        <v>34.189512860846072</v>
      </c>
      <c r="P26" s="39">
        <v>31.596082109194974</v>
      </c>
      <c r="Q26" s="39">
        <v>33.807245250383332</v>
      </c>
      <c r="R26" s="39">
        <v>33.32845969520146</v>
      </c>
      <c r="S26" s="39">
        <v>32.463982777984434</v>
      </c>
      <c r="T26" s="39">
        <v>39.935296543954344</v>
      </c>
      <c r="U26" s="39">
        <v>32.656384639353732</v>
      </c>
      <c r="V26" s="39">
        <v>32.463982777984434</v>
      </c>
      <c r="W26" s="5">
        <f t="shared" si="0"/>
        <v>34.791660846606732</v>
      </c>
      <c r="X26" s="4">
        <f t="shared" si="1"/>
        <v>0.98622649959087183</v>
      </c>
      <c r="Y26" s="2">
        <f t="shared" si="2"/>
        <v>31.596082109194974</v>
      </c>
      <c r="Z26" s="3">
        <f t="shared" si="3"/>
        <v>32.608284174011409</v>
      </c>
      <c r="AA26" s="2">
        <f t="shared" si="4"/>
        <v>33.711551542153856</v>
      </c>
      <c r="AB26" s="3">
        <f t="shared" si="5"/>
        <v>34.806576545399736</v>
      </c>
      <c r="AC26" s="3">
        <f t="shared" si="6"/>
        <v>42.978112821009589</v>
      </c>
      <c r="AD26" s="3">
        <f t="shared" si="7"/>
        <v>1.6873071970088571</v>
      </c>
      <c r="AE26" s="3">
        <f t="shared" si="8"/>
        <v>2.207974788820569</v>
      </c>
      <c r="AG26" s="13" t="s">
        <v>74</v>
      </c>
      <c r="AH26" s="12">
        <v>57.839348539319118</v>
      </c>
      <c r="AI26" s="11">
        <v>58.376390238924103</v>
      </c>
      <c r="AJ26" s="11">
        <v>58.533997450931032</v>
      </c>
      <c r="AK26" s="11">
        <v>58.523149689495753</v>
      </c>
      <c r="AL26" s="12"/>
      <c r="AM26" s="11"/>
      <c r="AN26" s="11"/>
      <c r="AO26" s="10"/>
    </row>
    <row r="27" spans="2:41" x14ac:dyDescent="0.2">
      <c r="B27" s="1">
        <v>302</v>
      </c>
      <c r="C27" s="1" t="s">
        <v>68</v>
      </c>
      <c r="D27" s="1">
        <v>4</v>
      </c>
      <c r="E27" s="1">
        <v>1</v>
      </c>
      <c r="F27" s="1">
        <v>2</v>
      </c>
      <c r="G27" s="1">
        <v>1</v>
      </c>
      <c r="H27" s="1">
        <v>3</v>
      </c>
      <c r="I27" s="1">
        <v>1</v>
      </c>
      <c r="J27" s="4">
        <v>13.462</v>
      </c>
      <c r="K27" s="39">
        <v>30.821740587469471</v>
      </c>
      <c r="L27" s="39">
        <v>33.424301343313701</v>
      </c>
      <c r="M27" s="39">
        <v>31.402750339991186</v>
      </c>
      <c r="N27" s="39">
        <v>33.32845969520146</v>
      </c>
      <c r="O27" s="39">
        <v>31.499437358862043</v>
      </c>
      <c r="P27" s="39">
        <v>30.433555381696376</v>
      </c>
      <c r="Q27" s="39">
        <v>31.69268459098997</v>
      </c>
      <c r="R27" s="39">
        <v>30.918681217567919</v>
      </c>
      <c r="S27" s="39">
        <v>30.627732521658782</v>
      </c>
      <c r="T27" s="39">
        <v>31.112435672151012</v>
      </c>
      <c r="U27" s="39">
        <v>31.015579579128431</v>
      </c>
      <c r="V27" s="39">
        <v>29.947372832376555</v>
      </c>
      <c r="W27" s="5">
        <f t="shared" si="0"/>
        <v>31.352060926700577</v>
      </c>
      <c r="X27" s="4">
        <f t="shared" si="1"/>
        <v>0.30552731933703925</v>
      </c>
      <c r="Y27" s="2">
        <f t="shared" si="2"/>
        <v>29.947372832376555</v>
      </c>
      <c r="Z27" s="3">
        <f t="shared" si="3"/>
        <v>30.773238571016797</v>
      </c>
      <c r="AA27" s="2">
        <f t="shared" si="4"/>
        <v>31.064007625639722</v>
      </c>
      <c r="AB27" s="3">
        <f t="shared" si="5"/>
        <v>31.547749166894025</v>
      </c>
      <c r="AC27" s="3">
        <f t="shared" si="6"/>
        <v>33.424301343313701</v>
      </c>
      <c r="AD27" s="3">
        <f t="shared" si="7"/>
        <v>1.1458434569420772</v>
      </c>
      <c r="AE27" s="3">
        <f t="shared" si="8"/>
        <v>0.82954073690474139</v>
      </c>
      <c r="AG27" s="9" t="s">
        <v>61</v>
      </c>
      <c r="AH27" s="8">
        <v>36.515717002678585</v>
      </c>
      <c r="AI27" s="7">
        <v>37.517142949400366</v>
      </c>
      <c r="AJ27" s="7">
        <v>38.909146992443944</v>
      </c>
      <c r="AK27" s="7">
        <v>39.639152340257837</v>
      </c>
      <c r="AL27" s="8"/>
      <c r="AM27" s="7"/>
      <c r="AN27" s="7"/>
      <c r="AO27" s="6"/>
    </row>
    <row r="28" spans="2:41" x14ac:dyDescent="0.2">
      <c r="B28" s="1">
        <v>303</v>
      </c>
      <c r="C28" s="1" t="s">
        <v>64</v>
      </c>
      <c r="D28" s="1">
        <v>8</v>
      </c>
      <c r="E28" s="1">
        <v>2</v>
      </c>
      <c r="F28" s="1">
        <v>1</v>
      </c>
      <c r="G28" s="1">
        <v>1</v>
      </c>
      <c r="H28" s="1">
        <v>3</v>
      </c>
      <c r="I28" s="1">
        <v>1</v>
      </c>
      <c r="J28" s="4">
        <v>13.481</v>
      </c>
      <c r="K28" s="39">
        <v>31.885762748966172</v>
      </c>
      <c r="L28" s="39">
        <v>31.596082109194974</v>
      </c>
      <c r="M28" s="39">
        <v>30.821740587469471</v>
      </c>
      <c r="N28" s="39">
        <v>30.239209167582239</v>
      </c>
      <c r="O28" s="39">
        <v>30.627732521658782</v>
      </c>
      <c r="P28" s="39">
        <v>30.433555381696376</v>
      </c>
      <c r="Q28" s="39">
        <v>31.596082109194974</v>
      </c>
      <c r="R28" s="39">
        <v>30.821740587469471</v>
      </c>
      <c r="S28" s="39">
        <v>31.209249496635671</v>
      </c>
      <c r="T28" s="39">
        <v>32.17506297189599</v>
      </c>
      <c r="U28" s="39">
        <v>31.402750339991186</v>
      </c>
      <c r="V28" s="39">
        <v>31.112435672151012</v>
      </c>
      <c r="W28" s="5">
        <f t="shared" si="0"/>
        <v>31.160116974492198</v>
      </c>
      <c r="X28" s="4">
        <f t="shared" si="1"/>
        <v>0.17164004193834509</v>
      </c>
      <c r="Y28" s="2">
        <f t="shared" si="2"/>
        <v>30.239209167582239</v>
      </c>
      <c r="Z28" s="3">
        <f t="shared" si="3"/>
        <v>30.773238571016797</v>
      </c>
      <c r="AA28" s="2">
        <f t="shared" si="4"/>
        <v>31.160842584393343</v>
      </c>
      <c r="AB28" s="3">
        <f t="shared" si="5"/>
        <v>31.596082109194974</v>
      </c>
      <c r="AC28" s="3">
        <f t="shared" si="6"/>
        <v>32.17506297189599</v>
      </c>
      <c r="AD28" s="3">
        <f t="shared" si="7"/>
        <v>0.11142924786719836</v>
      </c>
      <c r="AE28" s="3">
        <f t="shared" si="8"/>
        <v>-0.85786145660525737</v>
      </c>
    </row>
    <row r="29" spans="2:41" x14ac:dyDescent="0.2">
      <c r="B29" s="1">
        <v>304</v>
      </c>
      <c r="C29" s="1" t="s">
        <v>70</v>
      </c>
      <c r="D29" s="1">
        <v>2</v>
      </c>
      <c r="E29" s="1">
        <v>1</v>
      </c>
      <c r="F29" s="1">
        <v>1</v>
      </c>
      <c r="G29" s="1">
        <v>1</v>
      </c>
      <c r="H29" s="1">
        <v>3</v>
      </c>
      <c r="I29" s="1">
        <v>1</v>
      </c>
      <c r="J29" s="4">
        <v>13.5</v>
      </c>
      <c r="K29" s="39">
        <v>30.821740587469471</v>
      </c>
      <c r="L29" s="39">
        <v>33.136649593363188</v>
      </c>
      <c r="M29" s="39">
        <v>30.14197265771827</v>
      </c>
      <c r="N29" s="39">
        <v>31.499437358862043</v>
      </c>
      <c r="O29" s="39">
        <v>30.918681217567919</v>
      </c>
      <c r="P29" s="39">
        <v>30.821740587469471</v>
      </c>
      <c r="Q29" s="39">
        <v>31.499437358862043</v>
      </c>
      <c r="R29" s="39">
        <v>31.306021052582388</v>
      </c>
      <c r="S29" s="39">
        <v>30.530665085946545</v>
      </c>
      <c r="T29" s="39">
        <v>30.044693879316377</v>
      </c>
      <c r="U29" s="39">
        <v>31.306021052582388</v>
      </c>
      <c r="V29" s="39">
        <v>29.65515608032948</v>
      </c>
      <c r="W29" s="5">
        <f t="shared" si="0"/>
        <v>30.973518042672463</v>
      </c>
      <c r="X29" s="4">
        <f t="shared" si="1"/>
        <v>0.26098438056979045</v>
      </c>
      <c r="Y29" s="2">
        <f t="shared" si="2"/>
        <v>29.65515608032948</v>
      </c>
      <c r="Z29" s="3">
        <f t="shared" si="3"/>
        <v>30.433491978889478</v>
      </c>
      <c r="AA29" s="2">
        <f t="shared" si="4"/>
        <v>30.870210902518693</v>
      </c>
      <c r="AB29" s="3">
        <f t="shared" si="5"/>
        <v>31.354375129152302</v>
      </c>
      <c r="AC29" s="3">
        <f t="shared" si="6"/>
        <v>33.136649593363188</v>
      </c>
      <c r="AD29" s="3">
        <f t="shared" si="7"/>
        <v>0.99270797742382266</v>
      </c>
      <c r="AE29" s="3">
        <f t="shared" si="8"/>
        <v>2.1828797737006163</v>
      </c>
    </row>
    <row r="30" spans="2:41" x14ac:dyDescent="0.2">
      <c r="B30" s="1">
        <v>305</v>
      </c>
      <c r="C30" s="1" t="s">
        <v>67</v>
      </c>
      <c r="D30" s="1">
        <v>11</v>
      </c>
      <c r="E30" s="1">
        <v>2</v>
      </c>
      <c r="F30" s="1">
        <v>3</v>
      </c>
      <c r="G30" s="1">
        <v>2</v>
      </c>
      <c r="H30" s="1">
        <v>4</v>
      </c>
      <c r="I30" s="1">
        <v>1</v>
      </c>
      <c r="J30" s="4">
        <v>13.516</v>
      </c>
      <c r="K30" s="39">
        <v>32.944670417373203</v>
      </c>
      <c r="L30" s="39">
        <v>32.944670417373203</v>
      </c>
      <c r="M30" s="39">
        <v>32.656384639353732</v>
      </c>
      <c r="N30" s="39">
        <v>32.36771844449288</v>
      </c>
      <c r="O30" s="39">
        <v>31.402750339991186</v>
      </c>
      <c r="P30" s="39">
        <v>31.789244804247033</v>
      </c>
      <c r="Q30" s="39">
        <v>31.402750339991186</v>
      </c>
      <c r="R30" s="39">
        <v>33.520100722888003</v>
      </c>
      <c r="S30" s="39">
        <v>32.560204842938049</v>
      </c>
      <c r="T30" s="39">
        <v>33.32845969520146</v>
      </c>
      <c r="U30" s="39">
        <v>33.232575778551293</v>
      </c>
      <c r="V30" s="39">
        <v>32.078671832790647</v>
      </c>
      <c r="W30" s="5">
        <f t="shared" si="0"/>
        <v>32.519016856265985</v>
      </c>
      <c r="X30" s="4">
        <f t="shared" si="1"/>
        <v>0.20945320745708296</v>
      </c>
      <c r="Y30" s="2">
        <f t="shared" si="2"/>
        <v>31.402750339991186</v>
      </c>
      <c r="Z30" s="3">
        <f t="shared" si="3"/>
        <v>32.00631507565474</v>
      </c>
      <c r="AA30" s="2">
        <f t="shared" si="4"/>
        <v>32.60829474114589</v>
      </c>
      <c r="AB30" s="3">
        <f t="shared" si="5"/>
        <v>33.016646757667729</v>
      </c>
      <c r="AC30" s="3">
        <f t="shared" si="6"/>
        <v>33.520100722888003</v>
      </c>
      <c r="AD30" s="3">
        <f t="shared" si="7"/>
        <v>-0.34429662346797435</v>
      </c>
      <c r="AE30" s="3">
        <f t="shared" si="8"/>
        <v>-1.0848063163476289</v>
      </c>
    </row>
    <row r="31" spans="2:41" x14ac:dyDescent="0.2">
      <c r="B31" s="1">
        <v>306</v>
      </c>
      <c r="C31" s="1" t="s">
        <v>68</v>
      </c>
      <c r="D31" s="1">
        <v>4</v>
      </c>
      <c r="E31" s="1">
        <v>1</v>
      </c>
      <c r="F31" s="1">
        <v>2</v>
      </c>
      <c r="G31" s="1">
        <v>1</v>
      </c>
      <c r="H31" s="1">
        <v>4</v>
      </c>
      <c r="I31" s="1">
        <v>1</v>
      </c>
      <c r="J31" s="4">
        <v>13.534000000000001</v>
      </c>
      <c r="K31" s="39">
        <v>32.560204842938049</v>
      </c>
      <c r="L31" s="39">
        <v>30.627732521658782</v>
      </c>
      <c r="M31" s="39">
        <v>34.666396331821048</v>
      </c>
      <c r="N31" s="39">
        <v>31.209249496635671</v>
      </c>
      <c r="O31" s="39">
        <v>31.402750339991186</v>
      </c>
      <c r="P31" s="39">
        <v>34.380393054849854</v>
      </c>
      <c r="Q31" s="39">
        <v>30.530665085946545</v>
      </c>
      <c r="R31" s="39">
        <v>33.99846359269057</v>
      </c>
      <c r="S31" s="39">
        <v>30.627732521658782</v>
      </c>
      <c r="T31" s="39">
        <v>32.36771844449288</v>
      </c>
      <c r="U31" s="39">
        <v>30.918681217567919</v>
      </c>
      <c r="V31" s="39">
        <v>30.724757688833094</v>
      </c>
      <c r="W31" s="5">
        <f t="shared" si="0"/>
        <v>32.001228761590369</v>
      </c>
      <c r="X31" s="4">
        <f t="shared" si="1"/>
        <v>0.45160902034325029</v>
      </c>
      <c r="Y31" s="2">
        <f t="shared" si="2"/>
        <v>30.530665085946545</v>
      </c>
      <c r="Z31" s="3">
        <f t="shared" si="3"/>
        <v>30.700501397039517</v>
      </c>
      <c r="AA31" s="2">
        <f t="shared" si="4"/>
        <v>31.305999918313429</v>
      </c>
      <c r="AB31" s="3">
        <f t="shared" si="5"/>
        <v>32.919769530376179</v>
      </c>
      <c r="AC31" s="3">
        <f t="shared" si="6"/>
        <v>34.666396331821048</v>
      </c>
      <c r="AD31" s="3">
        <f t="shared" si="7"/>
        <v>0.80254070229464003</v>
      </c>
      <c r="AE31" s="3">
        <f t="shared" si="8"/>
        <v>-1.0115083299171097</v>
      </c>
    </row>
    <row r="32" spans="2:41" x14ac:dyDescent="0.2">
      <c r="B32" s="1">
        <v>307</v>
      </c>
      <c r="C32" s="1" t="s">
        <v>63</v>
      </c>
      <c r="D32" s="1">
        <v>9</v>
      </c>
      <c r="E32" s="1">
        <v>2</v>
      </c>
      <c r="F32" s="1">
        <v>2</v>
      </c>
      <c r="G32" s="1">
        <v>2</v>
      </c>
      <c r="H32" s="1">
        <v>4</v>
      </c>
      <c r="I32" s="1">
        <v>1</v>
      </c>
      <c r="J32" s="4">
        <v>13.551</v>
      </c>
      <c r="K32" s="39">
        <v>32.848617426571309</v>
      </c>
      <c r="L32" s="39">
        <v>33.520100722888003</v>
      </c>
      <c r="M32" s="39">
        <v>32.560204842938049</v>
      </c>
      <c r="N32" s="39">
        <v>31.982238425147379</v>
      </c>
      <c r="O32" s="39">
        <v>32.944670417373203</v>
      </c>
      <c r="P32" s="39">
        <v>33.136649593363188</v>
      </c>
      <c r="Q32" s="39">
        <v>33.520100722888003</v>
      </c>
      <c r="R32" s="39">
        <v>33.232575778551293</v>
      </c>
      <c r="S32" s="39">
        <v>33.520100722888003</v>
      </c>
      <c r="T32" s="39">
        <v>41.6928427826522</v>
      </c>
      <c r="U32" s="39">
        <v>33.32845969520146</v>
      </c>
      <c r="V32" s="39">
        <v>35.522123661686329</v>
      </c>
      <c r="W32" s="5">
        <f t="shared" si="0"/>
        <v>33.984057066012369</v>
      </c>
      <c r="X32" s="4">
        <f t="shared" si="1"/>
        <v>0.74138284393824139</v>
      </c>
      <c r="Y32" s="2">
        <f t="shared" si="2"/>
        <v>31.982238425147379</v>
      </c>
      <c r="Z32" s="3">
        <f t="shared" si="3"/>
        <v>32.920657169672729</v>
      </c>
      <c r="AA32" s="2">
        <f t="shared" si="4"/>
        <v>33.280517736876376</v>
      </c>
      <c r="AB32" s="3">
        <f t="shared" si="5"/>
        <v>33.520100722888003</v>
      </c>
      <c r="AC32" s="3">
        <f t="shared" si="6"/>
        <v>41.6928427826522</v>
      </c>
      <c r="AD32" s="3">
        <f t="shared" si="7"/>
        <v>2.8762962103202092</v>
      </c>
      <c r="AE32" s="3">
        <f t="shared" si="8"/>
        <v>8.865318883755144</v>
      </c>
    </row>
    <row r="33" spans="2:31" x14ac:dyDescent="0.2">
      <c r="B33" s="1">
        <v>308</v>
      </c>
      <c r="C33" s="1" t="s">
        <v>73</v>
      </c>
      <c r="D33" s="1">
        <v>5</v>
      </c>
      <c r="E33" s="1">
        <v>1</v>
      </c>
      <c r="F33" s="1">
        <v>3</v>
      </c>
      <c r="G33" s="1">
        <v>2</v>
      </c>
      <c r="H33" s="1">
        <v>4</v>
      </c>
      <c r="I33" s="1">
        <v>1</v>
      </c>
      <c r="J33" s="4">
        <v>13.567</v>
      </c>
      <c r="K33" s="39">
        <v>32.752522167231483</v>
      </c>
      <c r="L33" s="39">
        <v>33.807245250383332</v>
      </c>
      <c r="M33" s="39">
        <v>33.99846359269057</v>
      </c>
      <c r="N33" s="39">
        <v>33.807245250383332</v>
      </c>
      <c r="O33" s="39">
        <v>33.90287555580592</v>
      </c>
      <c r="P33" s="39">
        <v>32.848617426571309</v>
      </c>
      <c r="Q33" s="39">
        <v>34.189512860846072</v>
      </c>
      <c r="R33" s="39">
        <v>34.284974092116926</v>
      </c>
      <c r="S33" s="39">
        <v>33.807245250383332</v>
      </c>
      <c r="T33" s="39">
        <v>33.232575778551293</v>
      </c>
      <c r="U33" s="39">
        <v>33.424301343313701</v>
      </c>
      <c r="V33" s="39">
        <v>32.560204842938049</v>
      </c>
      <c r="W33" s="5">
        <f t="shared" si="0"/>
        <v>33.551315284267936</v>
      </c>
      <c r="X33" s="4">
        <f t="shared" si="1"/>
        <v>0.16736528082202268</v>
      </c>
      <c r="Y33" s="2">
        <f t="shared" si="2"/>
        <v>32.560204842938049</v>
      </c>
      <c r="Z33" s="3">
        <f t="shared" si="3"/>
        <v>33.136586190556301</v>
      </c>
      <c r="AA33" s="2">
        <f t="shared" si="4"/>
        <v>33.807245250383332</v>
      </c>
      <c r="AB33" s="3">
        <f t="shared" si="5"/>
        <v>33.926772565027079</v>
      </c>
      <c r="AC33" s="3">
        <f t="shared" si="6"/>
        <v>34.284974092116926</v>
      </c>
      <c r="AD33" s="3">
        <f t="shared" si="7"/>
        <v>-0.57472504878229358</v>
      </c>
      <c r="AE33" s="3">
        <f t="shared" si="8"/>
        <v>-1.0345783539861624</v>
      </c>
    </row>
    <row r="34" spans="2:31" x14ac:dyDescent="0.2">
      <c r="B34" s="1">
        <v>401</v>
      </c>
      <c r="C34" s="1" t="s">
        <v>65</v>
      </c>
      <c r="D34" s="1">
        <v>7</v>
      </c>
      <c r="E34" s="1">
        <v>2</v>
      </c>
      <c r="F34" s="1">
        <v>1</v>
      </c>
      <c r="G34" s="1">
        <v>2</v>
      </c>
      <c r="H34" s="1">
        <v>3</v>
      </c>
      <c r="I34" s="1">
        <v>1</v>
      </c>
      <c r="J34" s="4">
        <v>13.765000000000001</v>
      </c>
      <c r="K34" s="39">
        <v>33.99846359269057</v>
      </c>
      <c r="L34" s="39">
        <v>35.996048335006122</v>
      </c>
      <c r="M34" s="39">
        <v>35.047142274918258</v>
      </c>
      <c r="N34" s="39">
        <v>31.209249496635671</v>
      </c>
      <c r="O34" s="39">
        <v>32.17506297189599</v>
      </c>
      <c r="P34" s="39">
        <v>31.69268459098997</v>
      </c>
      <c r="Q34" s="39">
        <v>32.17506297189599</v>
      </c>
      <c r="R34" s="39">
        <v>35.996048335006122</v>
      </c>
      <c r="S34" s="39">
        <v>32.078671832790647</v>
      </c>
      <c r="T34" s="39">
        <v>36.752129848345369</v>
      </c>
      <c r="U34" s="39">
        <v>34.189512860846072</v>
      </c>
      <c r="V34" s="39">
        <v>32.752522167231483</v>
      </c>
      <c r="W34" s="5">
        <f t="shared" si="0"/>
        <v>33.671883273187682</v>
      </c>
      <c r="X34" s="4">
        <f t="shared" si="1"/>
        <v>0.55325222997657886</v>
      </c>
      <c r="Y34" s="2">
        <f t="shared" si="2"/>
        <v>31.209249496635671</v>
      </c>
      <c r="Z34" s="3">
        <f t="shared" si="3"/>
        <v>32.150965187119652</v>
      </c>
      <c r="AA34" s="2">
        <f t="shared" si="4"/>
        <v>33.37549287996103</v>
      </c>
      <c r="AB34" s="3">
        <f t="shared" si="5"/>
        <v>35.284368789940224</v>
      </c>
      <c r="AC34" s="3">
        <f t="shared" si="6"/>
        <v>36.752129848345369</v>
      </c>
      <c r="AD34" s="3">
        <f t="shared" si="7"/>
        <v>0.35476824073840452</v>
      </c>
      <c r="AE34" s="3">
        <f t="shared" si="8"/>
        <v>-1.4479101614253489</v>
      </c>
    </row>
    <row r="35" spans="2:31" x14ac:dyDescent="0.2">
      <c r="B35" s="1">
        <v>402</v>
      </c>
      <c r="C35" s="1" t="s">
        <v>63</v>
      </c>
      <c r="D35" s="1">
        <v>9</v>
      </c>
      <c r="E35" s="1">
        <v>2</v>
      </c>
      <c r="F35" s="1">
        <v>2</v>
      </c>
      <c r="G35" s="1">
        <v>2</v>
      </c>
      <c r="H35" s="1">
        <v>3</v>
      </c>
      <c r="I35" s="1">
        <v>1</v>
      </c>
      <c r="J35" s="4">
        <v>13.746</v>
      </c>
      <c r="K35" s="39">
        <v>36.657767599060726</v>
      </c>
      <c r="L35" s="39">
        <v>33.040681139637165</v>
      </c>
      <c r="M35" s="39">
        <v>32.752522167231483</v>
      </c>
      <c r="N35" s="39">
        <v>33.807245250383332</v>
      </c>
      <c r="O35" s="39">
        <v>30.918681217567919</v>
      </c>
      <c r="P35" s="39">
        <v>31.209249496635671</v>
      </c>
      <c r="Q35" s="39">
        <v>30.918681217567919</v>
      </c>
      <c r="R35" s="39">
        <v>30.918681217567919</v>
      </c>
      <c r="S35" s="39">
        <v>30.239209167582239</v>
      </c>
      <c r="T35" s="39">
        <v>30.433555381696376</v>
      </c>
      <c r="U35" s="39">
        <v>31.306021052582388</v>
      </c>
      <c r="V35" s="39">
        <v>29.557665959237934</v>
      </c>
      <c r="W35" s="5">
        <f t="shared" si="0"/>
        <v>31.813330072229249</v>
      </c>
      <c r="X35" s="4">
        <f t="shared" si="1"/>
        <v>0.56626009948456835</v>
      </c>
      <c r="Y35" s="2">
        <f t="shared" si="2"/>
        <v>29.557665959237934</v>
      </c>
      <c r="Z35" s="3">
        <f t="shared" si="3"/>
        <v>30.797399758600033</v>
      </c>
      <c r="AA35" s="2">
        <f t="shared" si="4"/>
        <v>31.063965357101793</v>
      </c>
      <c r="AB35" s="3">
        <f t="shared" si="5"/>
        <v>32.824561910332903</v>
      </c>
      <c r="AC35" s="3">
        <f t="shared" si="6"/>
        <v>36.657767599060726</v>
      </c>
      <c r="AD35" s="3">
        <f t="shared" si="7"/>
        <v>1.5001611170704026</v>
      </c>
      <c r="AE35" s="3">
        <f t="shared" si="8"/>
        <v>2.4312192577954272</v>
      </c>
    </row>
    <row r="36" spans="2:31" x14ac:dyDescent="0.2">
      <c r="B36" s="1">
        <v>403</v>
      </c>
      <c r="C36" s="1" t="s">
        <v>72</v>
      </c>
      <c r="D36" s="1">
        <v>6</v>
      </c>
      <c r="E36" s="1">
        <v>1</v>
      </c>
      <c r="F36" s="1">
        <v>3</v>
      </c>
      <c r="G36" s="1">
        <v>1</v>
      </c>
      <c r="H36" s="1">
        <v>3</v>
      </c>
      <c r="I36" s="1">
        <v>1</v>
      </c>
      <c r="J36" s="4">
        <v>13.726000000000001</v>
      </c>
      <c r="K36" s="39">
        <v>29.362558911441035</v>
      </c>
      <c r="L36" s="39">
        <v>29.362558911441035</v>
      </c>
      <c r="M36" s="39">
        <v>29.460133569608448</v>
      </c>
      <c r="N36" s="39">
        <v>29.362558911441035</v>
      </c>
      <c r="O36" s="39">
        <v>30.044693879316377</v>
      </c>
      <c r="P36" s="39">
        <v>30.530665085946545</v>
      </c>
      <c r="Q36" s="39">
        <v>29.460133569608448</v>
      </c>
      <c r="R36" s="39">
        <v>30.918681217567919</v>
      </c>
      <c r="S36" s="39">
        <v>29.460133569608448</v>
      </c>
      <c r="T36" s="39">
        <v>30.821740587469471</v>
      </c>
      <c r="U36" s="39">
        <v>29.85000951689879</v>
      </c>
      <c r="V36" s="39">
        <v>29.557665959237934</v>
      </c>
      <c r="W36" s="5">
        <f t="shared" si="0"/>
        <v>29.849294474132126</v>
      </c>
      <c r="X36" s="4">
        <f t="shared" si="1"/>
        <v>0.17060070214052916</v>
      </c>
      <c r="Y36" s="2">
        <f t="shared" si="2"/>
        <v>29.362558911441035</v>
      </c>
      <c r="Z36" s="3">
        <f t="shared" si="3"/>
        <v>29.435739905066594</v>
      </c>
      <c r="AA36" s="2">
        <f t="shared" si="4"/>
        <v>29.508899764423191</v>
      </c>
      <c r="AB36" s="3">
        <f t="shared" si="5"/>
        <v>30.166186680973919</v>
      </c>
      <c r="AC36" s="3">
        <f t="shared" si="6"/>
        <v>30.918681217567919</v>
      </c>
      <c r="AD36" s="3">
        <f t="shared" si="7"/>
        <v>1.014142394733347</v>
      </c>
      <c r="AE36" s="3">
        <f t="shared" si="8"/>
        <v>-0.5925927244863316</v>
      </c>
    </row>
    <row r="37" spans="2:31" x14ac:dyDescent="0.2">
      <c r="B37" s="1">
        <v>404</v>
      </c>
      <c r="C37" s="1" t="s">
        <v>69</v>
      </c>
      <c r="D37" s="1">
        <v>3</v>
      </c>
      <c r="E37" s="1">
        <v>1</v>
      </c>
      <c r="F37" s="1">
        <v>2</v>
      </c>
      <c r="G37" s="1">
        <v>2</v>
      </c>
      <c r="H37" s="1">
        <v>3</v>
      </c>
      <c r="I37" s="1">
        <v>1</v>
      </c>
      <c r="J37" s="4">
        <v>13.694000000000001</v>
      </c>
      <c r="K37" s="39">
        <v>29.752603932883105</v>
      </c>
      <c r="L37" s="39">
        <v>29.167282789492415</v>
      </c>
      <c r="M37" s="39">
        <v>30.336403408908268</v>
      </c>
      <c r="N37" s="39">
        <v>30.14197265771827</v>
      </c>
      <c r="O37" s="39">
        <v>30.044693879316377</v>
      </c>
      <c r="P37" s="39">
        <v>31.596082109194974</v>
      </c>
      <c r="Q37" s="39">
        <v>29.557665959237934</v>
      </c>
      <c r="R37" s="39">
        <v>30.627732521658782</v>
      </c>
      <c r="S37" s="39">
        <v>30.530665085946545</v>
      </c>
      <c r="T37" s="39">
        <v>30.821740587469471</v>
      </c>
      <c r="U37" s="39">
        <v>30.433555381696376</v>
      </c>
      <c r="V37" s="39">
        <v>30.044693879316377</v>
      </c>
      <c r="W37" s="5">
        <f t="shared" si="0"/>
        <v>30.254591016069906</v>
      </c>
      <c r="X37" s="4">
        <f t="shared" si="1"/>
        <v>0.1824945253037748</v>
      </c>
      <c r="Y37" s="2">
        <f t="shared" si="2"/>
        <v>29.167282789492415</v>
      </c>
      <c r="Z37" s="3">
        <f t="shared" si="3"/>
        <v>29.97167139270806</v>
      </c>
      <c r="AA37" s="2">
        <f t="shared" si="4"/>
        <v>30.239188033313269</v>
      </c>
      <c r="AB37" s="3">
        <f t="shared" si="5"/>
        <v>30.554931944874603</v>
      </c>
      <c r="AC37" s="3">
        <f t="shared" si="6"/>
        <v>31.596082109194974</v>
      </c>
      <c r="AD37" s="3">
        <f t="shared" si="7"/>
        <v>0.39096867919114725</v>
      </c>
      <c r="AE37" s="3">
        <f t="shared" si="8"/>
        <v>0.96800531011377622</v>
      </c>
    </row>
    <row r="38" spans="2:31" x14ac:dyDescent="0.2">
      <c r="B38" s="1">
        <v>405</v>
      </c>
      <c r="C38" s="1" t="s">
        <v>72</v>
      </c>
      <c r="D38" s="1">
        <v>6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4">
        <v>13.675000000000001</v>
      </c>
      <c r="K38" s="39">
        <v>32.463982777984434</v>
      </c>
      <c r="L38" s="39">
        <v>31.112435672151012</v>
      </c>
      <c r="M38" s="39">
        <v>31.306021052582388</v>
      </c>
      <c r="N38" s="39">
        <v>30.627732521658782</v>
      </c>
      <c r="O38" s="39">
        <v>30.918681217567919</v>
      </c>
      <c r="P38" s="39">
        <v>31.015579579128431</v>
      </c>
      <c r="Q38" s="39">
        <v>31.306021052582388</v>
      </c>
      <c r="R38" s="39">
        <v>31.112435672151012</v>
      </c>
      <c r="S38" s="39">
        <v>31.112435672151012</v>
      </c>
      <c r="T38" s="39">
        <v>33.232575778551293</v>
      </c>
      <c r="U38" s="39">
        <v>30.724757688833094</v>
      </c>
      <c r="V38" s="39">
        <v>31.209249496635671</v>
      </c>
      <c r="W38" s="5">
        <f t="shared" si="0"/>
        <v>31.345159015164786</v>
      </c>
      <c r="X38" s="4">
        <f t="shared" si="1"/>
        <v>0.21651909719414655</v>
      </c>
      <c r="Y38" s="2">
        <f t="shared" si="2"/>
        <v>30.627732521658782</v>
      </c>
      <c r="Z38" s="3">
        <f t="shared" si="3"/>
        <v>30.991354988738301</v>
      </c>
      <c r="AA38" s="2">
        <f t="shared" si="4"/>
        <v>31.112435672151012</v>
      </c>
      <c r="AB38" s="3">
        <f t="shared" si="5"/>
        <v>31.306021052582388</v>
      </c>
      <c r="AC38" s="3">
        <f t="shared" si="6"/>
        <v>33.232575778551293</v>
      </c>
      <c r="AD38" s="3">
        <f t="shared" si="7"/>
        <v>1.9034419132939393</v>
      </c>
      <c r="AE38" s="3">
        <f t="shared" si="8"/>
        <v>3.2978898603234095</v>
      </c>
    </row>
    <row r="39" spans="2:31" x14ac:dyDescent="0.2">
      <c r="B39" s="1">
        <v>406</v>
      </c>
      <c r="C39" s="1" t="s">
        <v>69</v>
      </c>
      <c r="D39" s="1">
        <v>3</v>
      </c>
      <c r="E39" s="1">
        <v>1</v>
      </c>
      <c r="F39" s="1">
        <v>2</v>
      </c>
      <c r="G39" s="1">
        <v>2</v>
      </c>
      <c r="H39" s="1">
        <v>4</v>
      </c>
      <c r="I39" s="1">
        <v>1</v>
      </c>
      <c r="J39" s="4">
        <v>13.656000000000001</v>
      </c>
      <c r="K39" s="39">
        <v>34.380393054849854</v>
      </c>
      <c r="L39" s="39">
        <v>32.078671832790647</v>
      </c>
      <c r="M39" s="39">
        <v>32.656384639353732</v>
      </c>
      <c r="N39" s="39">
        <v>32.944670417373203</v>
      </c>
      <c r="O39" s="39">
        <v>32.271411842463394</v>
      </c>
      <c r="P39" s="39">
        <v>32.944670417373203</v>
      </c>
      <c r="Q39" s="39">
        <v>32.656384639353732</v>
      </c>
      <c r="R39" s="39">
        <v>33.90287555580592</v>
      </c>
      <c r="S39" s="39">
        <v>32.36771844449288</v>
      </c>
      <c r="T39" s="39">
        <v>32.271411842463394</v>
      </c>
      <c r="U39" s="39">
        <v>32.17506297189599</v>
      </c>
      <c r="V39" s="39">
        <v>31.982238425147379</v>
      </c>
      <c r="W39" s="5">
        <f t="shared" si="0"/>
        <v>32.719324506946947</v>
      </c>
      <c r="X39" s="4">
        <f t="shared" si="1"/>
        <v>0.2139855721423313</v>
      </c>
      <c r="Y39" s="2">
        <f t="shared" si="2"/>
        <v>31.982238425147379</v>
      </c>
      <c r="Z39" s="3">
        <f t="shared" si="3"/>
        <v>32.247324624821545</v>
      </c>
      <c r="AA39" s="2">
        <f t="shared" si="4"/>
        <v>32.512051541923306</v>
      </c>
      <c r="AB39" s="3">
        <f t="shared" si="5"/>
        <v>32.944670417373203</v>
      </c>
      <c r="AC39" s="3">
        <f t="shared" si="6"/>
        <v>34.380393054849854</v>
      </c>
      <c r="AD39" s="3">
        <f t="shared" si="7"/>
        <v>1.3969111119443096</v>
      </c>
      <c r="AE39" s="3">
        <f t="shared" si="8"/>
        <v>1.3044041847035439</v>
      </c>
    </row>
    <row r="40" spans="2:31" x14ac:dyDescent="0.2">
      <c r="B40" s="1">
        <v>407</v>
      </c>
      <c r="C40" s="1" t="s">
        <v>65</v>
      </c>
      <c r="D40" s="1">
        <v>7</v>
      </c>
      <c r="E40" s="1">
        <v>2</v>
      </c>
      <c r="F40" s="1">
        <v>1</v>
      </c>
      <c r="G40" s="1">
        <v>2</v>
      </c>
      <c r="H40" s="1">
        <v>4</v>
      </c>
      <c r="I40" s="1">
        <v>1</v>
      </c>
      <c r="J40" s="4">
        <v>13.625</v>
      </c>
      <c r="K40" s="39">
        <v>32.848617426571309</v>
      </c>
      <c r="L40" s="39">
        <v>32.752522167231483</v>
      </c>
      <c r="M40" s="39">
        <v>32.17506297189599</v>
      </c>
      <c r="N40" s="39">
        <v>31.789244804247033</v>
      </c>
      <c r="O40" s="39">
        <v>33.136649593363188</v>
      </c>
      <c r="P40" s="39">
        <v>33.32845969520146</v>
      </c>
      <c r="Q40" s="39">
        <v>33.040681139637165</v>
      </c>
      <c r="R40" s="39">
        <v>39.656394381355582</v>
      </c>
      <c r="S40" s="39">
        <v>32.848617426571309</v>
      </c>
      <c r="T40" s="39">
        <v>32.752522167231483</v>
      </c>
      <c r="U40" s="39">
        <v>32.078671832790647</v>
      </c>
      <c r="V40" s="39">
        <v>32.271411842463394</v>
      </c>
      <c r="W40" s="5">
        <f t="shared" si="0"/>
        <v>33.223237954046674</v>
      </c>
      <c r="X40" s="4">
        <f t="shared" si="1"/>
        <v>0.6000772503953794</v>
      </c>
      <c r="Y40" s="2">
        <f t="shared" si="2"/>
        <v>31.789244804247033</v>
      </c>
      <c r="Z40" s="3">
        <f t="shared" si="3"/>
        <v>32.247324624821545</v>
      </c>
      <c r="AA40" s="2">
        <f t="shared" si="4"/>
        <v>32.800569796901399</v>
      </c>
      <c r="AB40" s="3">
        <f t="shared" si="5"/>
        <v>33.064673253068669</v>
      </c>
      <c r="AC40" s="3">
        <f t="shared" si="6"/>
        <v>39.656394381355582</v>
      </c>
      <c r="AD40" s="3">
        <f t="shared" si="7"/>
        <v>3.1511003038780356</v>
      </c>
      <c r="AE40" s="3">
        <f t="shared" si="8"/>
        <v>10.4893418261021</v>
      </c>
    </row>
    <row r="41" spans="2:31" x14ac:dyDescent="0.2">
      <c r="B41" s="1">
        <v>408</v>
      </c>
      <c r="C41" s="1" t="s">
        <v>62</v>
      </c>
      <c r="D41" s="1">
        <v>10</v>
      </c>
      <c r="E41" s="1">
        <v>2</v>
      </c>
      <c r="F41" s="1">
        <v>2</v>
      </c>
      <c r="G41" s="1">
        <v>1</v>
      </c>
      <c r="H41" s="1">
        <v>4</v>
      </c>
      <c r="I41" s="1">
        <v>1</v>
      </c>
      <c r="J41" s="4">
        <v>13.598000000000001</v>
      </c>
      <c r="K41" s="39">
        <v>44.164159728220241</v>
      </c>
      <c r="L41" s="39">
        <v>34.856853840445517</v>
      </c>
      <c r="M41" s="39">
        <v>39.097448805633931</v>
      </c>
      <c r="N41" s="39">
        <v>40.954683129395761</v>
      </c>
      <c r="O41" s="39">
        <v>35.332257912592901</v>
      </c>
      <c r="P41" s="39">
        <v>36.657767599060726</v>
      </c>
      <c r="Q41" s="39">
        <v>45.433452259239651</v>
      </c>
      <c r="R41" s="39">
        <v>34.189512860846072</v>
      </c>
      <c r="S41" s="39">
        <v>48.303582686223848</v>
      </c>
      <c r="T41" s="39">
        <v>32.656384639353732</v>
      </c>
      <c r="U41" s="39">
        <v>37.12915616010465</v>
      </c>
      <c r="V41" s="39">
        <v>40.306574334554988</v>
      </c>
      <c r="W41" s="5">
        <f t="shared" si="0"/>
        <v>39.090152829639337</v>
      </c>
      <c r="X41" s="4">
        <f t="shared" si="1"/>
        <v>1.4116419001108587</v>
      </c>
      <c r="Y41" s="2">
        <f t="shared" si="2"/>
        <v>32.656384639353732</v>
      </c>
      <c r="Z41" s="3">
        <f t="shared" si="3"/>
        <v>35.213406894556059</v>
      </c>
      <c r="AA41" s="2">
        <f t="shared" si="4"/>
        <v>38.113302482869287</v>
      </c>
      <c r="AB41" s="3">
        <f t="shared" si="5"/>
        <v>41.757052279101885</v>
      </c>
      <c r="AC41" s="3">
        <f t="shared" si="6"/>
        <v>48.303582686223848</v>
      </c>
      <c r="AD41" s="3">
        <f t="shared" si="7"/>
        <v>0.59835552859771435</v>
      </c>
      <c r="AE41" s="3">
        <f t="shared" si="8"/>
        <v>-0.62660258357733012</v>
      </c>
    </row>
    <row r="42" spans="2:31" x14ac:dyDescent="0.2">
      <c r="B42" s="50">
        <v>901</v>
      </c>
      <c r="C42" s="50" t="s">
        <v>61</v>
      </c>
      <c r="D42" s="50">
        <v>32</v>
      </c>
      <c r="E42" s="50">
        <v>9</v>
      </c>
      <c r="F42" s="50">
        <v>0</v>
      </c>
      <c r="G42" s="50">
        <v>1</v>
      </c>
      <c r="H42" s="50">
        <v>1</v>
      </c>
      <c r="I42" s="50">
        <v>1</v>
      </c>
      <c r="J42" s="48">
        <v>13.436</v>
      </c>
      <c r="K42" s="47">
        <v>40.306574334554988</v>
      </c>
      <c r="L42" s="47">
        <v>36.940727541300873</v>
      </c>
      <c r="M42" s="47">
        <v>41.6928427826522</v>
      </c>
      <c r="N42" s="47">
        <v>43.252449981511781</v>
      </c>
      <c r="O42" s="47">
        <v>37.505506175257025</v>
      </c>
      <c r="P42" s="47">
        <v>40.213818289711718</v>
      </c>
      <c r="Q42" s="47">
        <v>37.317415704756705</v>
      </c>
      <c r="R42" s="47">
        <v>44.70915668642462</v>
      </c>
      <c r="S42" s="47">
        <v>37.787324866973037</v>
      </c>
      <c r="T42" s="47">
        <v>38.53698156254675</v>
      </c>
      <c r="U42" s="47">
        <v>44.345994455106755</v>
      </c>
      <c r="V42" s="47">
        <v>38.256177315741091</v>
      </c>
      <c r="W42" s="49">
        <f t="shared" ref="W42:W73" si="9">AVERAGE(K42:V42)</f>
        <v>40.072080808044795</v>
      </c>
      <c r="X42" s="48">
        <f t="shared" ref="X42:X73" si="10">STDEV(K42:V42)/SQRT(COUNT(K42:V42))</f>
        <v>0.81389685569242542</v>
      </c>
      <c r="Y42" s="47">
        <f t="shared" ref="Y42:Y73" si="11">MIN(K42:V42)</f>
        <v>36.940727541300873</v>
      </c>
      <c r="Z42" s="46">
        <f t="shared" ref="Z42:Z73" si="12">QUARTILE(K42:V42,1)</f>
        <v>37.716870194044034</v>
      </c>
      <c r="AA42" s="47">
        <f t="shared" ref="AA42:AA73" si="13">MEDIAN(K42:V42)</f>
        <v>39.375399926129234</v>
      </c>
      <c r="AB42" s="46">
        <f t="shared" ref="AB42:AB73" si="14">QUARTILE(K42:V42,3)</f>
        <v>42.082744582367098</v>
      </c>
      <c r="AC42" s="46">
        <f t="shared" ref="AC42:AC73" si="15">MAX(K42:V42)</f>
        <v>44.70915668642462</v>
      </c>
      <c r="AD42" s="46">
        <f t="shared" ref="AD42:AD73" si="16">SKEW(K42:V42)</f>
        <v>0.60441730384825754</v>
      </c>
      <c r="AE42" s="46">
        <f t="shared" ref="AE42:AE73" si="17">KURT(K42:V42)</f>
        <v>-1.1754634992202062</v>
      </c>
    </row>
    <row r="43" spans="2:31" x14ac:dyDescent="0.2">
      <c r="B43" s="1">
        <v>902</v>
      </c>
      <c r="C43" s="1" t="s">
        <v>119</v>
      </c>
      <c r="D43" s="1">
        <v>22</v>
      </c>
      <c r="E43" s="1">
        <v>4</v>
      </c>
      <c r="F43" s="1">
        <v>2</v>
      </c>
      <c r="G43" s="1">
        <v>2</v>
      </c>
      <c r="H43" s="1">
        <v>1</v>
      </c>
      <c r="I43" s="1">
        <v>1</v>
      </c>
      <c r="J43" s="4">
        <v>13.412000000000001</v>
      </c>
      <c r="K43" s="39">
        <v>55.717186328038018</v>
      </c>
      <c r="L43" s="39">
        <v>45.704365668169423</v>
      </c>
      <c r="M43" s="39">
        <v>51.917682428783387</v>
      </c>
      <c r="N43" s="39">
        <v>42.886582563766325</v>
      </c>
      <c r="O43" s="39">
        <v>43.526406725172592</v>
      </c>
      <c r="P43" s="39">
        <v>39.470248263600091</v>
      </c>
      <c r="Q43" s="39">
        <v>51.130430130366555</v>
      </c>
      <c r="R43" s="39">
        <v>43.799983051992029</v>
      </c>
      <c r="S43" s="39">
        <v>44.164159728220241</v>
      </c>
      <c r="T43" s="39">
        <v>47.232356000656516</v>
      </c>
      <c r="U43" s="39">
        <v>40.954683129395761</v>
      </c>
      <c r="V43" s="39">
        <v>40.584588857857192</v>
      </c>
      <c r="W43" s="5">
        <f t="shared" si="9"/>
        <v>45.590722739668173</v>
      </c>
      <c r="X43" s="4">
        <f t="shared" si="10"/>
        <v>1.4480968938463981</v>
      </c>
      <c r="Y43" s="2">
        <f t="shared" si="11"/>
        <v>39.470248263600091</v>
      </c>
      <c r="Z43" s="3">
        <f t="shared" si="12"/>
        <v>42.403607705173684</v>
      </c>
      <c r="AA43" s="2">
        <f t="shared" si="13"/>
        <v>43.982071390106135</v>
      </c>
      <c r="AB43" s="3">
        <f t="shared" si="14"/>
        <v>48.206874533084026</v>
      </c>
      <c r="AC43" s="3">
        <f t="shared" si="15"/>
        <v>55.717186328038018</v>
      </c>
      <c r="AD43" s="3">
        <f t="shared" si="16"/>
        <v>0.84220656016640283</v>
      </c>
      <c r="AE43" s="3">
        <f t="shared" si="17"/>
        <v>-0.13975204207928282</v>
      </c>
    </row>
    <row r="44" spans="2:31" x14ac:dyDescent="0.2">
      <c r="B44" s="50">
        <v>903</v>
      </c>
      <c r="C44" s="50" t="s">
        <v>74</v>
      </c>
      <c r="D44" s="50">
        <v>31</v>
      </c>
      <c r="E44" s="50">
        <v>8</v>
      </c>
      <c r="F44" s="50">
        <v>0</v>
      </c>
      <c r="G44" s="50">
        <v>1</v>
      </c>
      <c r="H44" s="50">
        <v>1</v>
      </c>
      <c r="I44" s="50">
        <v>1</v>
      </c>
      <c r="J44" s="48">
        <v>13.404999999999999</v>
      </c>
      <c r="K44" s="47">
        <v>58.092445759510916</v>
      </c>
      <c r="L44" s="47">
        <v>59.01651679191761</v>
      </c>
      <c r="M44" s="47">
        <v>58.932721677115751</v>
      </c>
      <c r="N44" s="47">
        <v>58.681082721482568</v>
      </c>
      <c r="O44" s="47">
        <v>58.429063349008011</v>
      </c>
      <c r="P44" s="47">
        <v>58.597118532528988</v>
      </c>
      <c r="Q44" s="47">
        <v>59.183980215907532</v>
      </c>
      <c r="R44" s="47">
        <v>58.513112075037469</v>
      </c>
      <c r="S44" s="47">
        <v>59.01651679191761</v>
      </c>
      <c r="T44" s="47">
        <v>58.932721677115751</v>
      </c>
      <c r="U44" s="47">
        <v>58.765004641898223</v>
      </c>
      <c r="V44" s="47">
        <v>58.597118532528988</v>
      </c>
      <c r="W44" s="49">
        <f t="shared" si="9"/>
        <v>58.729783563830786</v>
      </c>
      <c r="X44" s="48">
        <f t="shared" si="10"/>
        <v>8.8569661784748357E-2</v>
      </c>
      <c r="Y44" s="47">
        <f t="shared" si="11"/>
        <v>58.092445759510916</v>
      </c>
      <c r="Z44" s="46">
        <f t="shared" si="12"/>
        <v>58.57611691815611</v>
      </c>
      <c r="AA44" s="47">
        <f t="shared" si="13"/>
        <v>58.723043681690399</v>
      </c>
      <c r="AB44" s="46">
        <f t="shared" si="14"/>
        <v>58.953670455816216</v>
      </c>
      <c r="AC44" s="46">
        <f t="shared" si="15"/>
        <v>59.183980215907532</v>
      </c>
      <c r="AD44" s="46">
        <f t="shared" si="16"/>
        <v>-0.54176427481871559</v>
      </c>
      <c r="AE44" s="46">
        <f t="shared" si="17"/>
        <v>0.15395064392180657</v>
      </c>
    </row>
    <row r="45" spans="2:31" x14ac:dyDescent="0.2">
      <c r="B45" s="1">
        <v>904</v>
      </c>
      <c r="C45" s="1" t="s">
        <v>120</v>
      </c>
      <c r="D45" s="1">
        <v>21</v>
      </c>
      <c r="E45" s="1">
        <v>3</v>
      </c>
      <c r="F45" s="1">
        <v>2</v>
      </c>
      <c r="G45" s="1">
        <v>2</v>
      </c>
      <c r="H45" s="1">
        <v>1</v>
      </c>
      <c r="I45" s="1">
        <v>1</v>
      </c>
      <c r="J45" s="4">
        <v>13.382</v>
      </c>
      <c r="K45" s="39">
        <v>62.988974501799959</v>
      </c>
      <c r="L45" s="39">
        <v>46.064991787211426</v>
      </c>
      <c r="M45" s="39">
        <v>62.004990078522511</v>
      </c>
      <c r="N45" s="39">
        <v>55.460728759080688</v>
      </c>
      <c r="O45" s="39">
        <v>57.586251319127314</v>
      </c>
      <c r="P45" s="39">
        <v>47.142812364696013</v>
      </c>
      <c r="Q45" s="39">
        <v>60.102006847390086</v>
      </c>
      <c r="R45" s="39">
        <v>58.681082721482568</v>
      </c>
      <c r="S45" s="39">
        <v>57.923883353534769</v>
      </c>
      <c r="T45" s="39">
        <v>52.440615210187715</v>
      </c>
      <c r="U45" s="39">
        <v>59.183980215907532</v>
      </c>
      <c r="V45" s="39">
        <v>53.308788362827102</v>
      </c>
      <c r="W45" s="5">
        <f t="shared" si="9"/>
        <v>56.07409212681398</v>
      </c>
      <c r="X45" s="4">
        <f t="shared" si="10"/>
        <v>1.5632292831195775</v>
      </c>
      <c r="Y45" s="2">
        <f t="shared" si="11"/>
        <v>46.064991787211426</v>
      </c>
      <c r="Z45" s="3">
        <f t="shared" si="12"/>
        <v>53.091745074667259</v>
      </c>
      <c r="AA45" s="2">
        <f t="shared" si="13"/>
        <v>57.755067336331038</v>
      </c>
      <c r="AB45" s="3">
        <f t="shared" si="14"/>
        <v>59.413486873778169</v>
      </c>
      <c r="AC45" s="3">
        <f t="shared" si="15"/>
        <v>62.988974501799959</v>
      </c>
      <c r="AD45" s="3">
        <f t="shared" si="16"/>
        <v>-0.77101519679110075</v>
      </c>
      <c r="AE45" s="3">
        <f t="shared" si="17"/>
        <v>-0.26288642726456546</v>
      </c>
    </row>
    <row r="46" spans="2:31" x14ac:dyDescent="0.2">
      <c r="B46" s="50">
        <v>905</v>
      </c>
      <c r="C46" s="50" t="s">
        <v>61</v>
      </c>
      <c r="D46" s="50">
        <v>32</v>
      </c>
      <c r="E46" s="50">
        <v>9</v>
      </c>
      <c r="F46" s="50">
        <v>0</v>
      </c>
      <c r="G46" s="50">
        <v>1</v>
      </c>
      <c r="H46" s="50">
        <v>2</v>
      </c>
      <c r="I46" s="50">
        <v>1</v>
      </c>
      <c r="J46" s="48">
        <v>13.371</v>
      </c>
      <c r="K46" s="47">
        <v>36.090706464056289</v>
      </c>
      <c r="L46" s="47">
        <v>39.377111801915447</v>
      </c>
      <c r="M46" s="47">
        <v>37.317415704756705</v>
      </c>
      <c r="N46" s="47">
        <v>42.520038849413964</v>
      </c>
      <c r="O46" s="47">
        <v>37.317415704756705</v>
      </c>
      <c r="P46" s="47">
        <v>39.74940403742643</v>
      </c>
      <c r="Q46" s="47">
        <v>36.752129848345369</v>
      </c>
      <c r="R46" s="47">
        <v>38.910795465423256</v>
      </c>
      <c r="S46" s="47">
        <v>42.795010037985129</v>
      </c>
      <c r="T46" s="47">
        <v>37.974992652094045</v>
      </c>
      <c r="U46" s="47">
        <v>44.164159728220241</v>
      </c>
      <c r="V46" s="47">
        <v>37.505506175257025</v>
      </c>
      <c r="W46" s="49">
        <f t="shared" si="9"/>
        <v>39.206223872470886</v>
      </c>
      <c r="X46" s="48">
        <f t="shared" si="10"/>
        <v>0.75941563911220933</v>
      </c>
      <c r="Y46" s="47">
        <f t="shared" si="11"/>
        <v>36.090706464056289</v>
      </c>
      <c r="Z46" s="46">
        <f t="shared" si="12"/>
        <v>37.317415704756705</v>
      </c>
      <c r="AA46" s="47">
        <f t="shared" si="13"/>
        <v>38.442894058758654</v>
      </c>
      <c r="AB46" s="46">
        <f t="shared" si="14"/>
        <v>40.44206274042331</v>
      </c>
      <c r="AC46" s="46">
        <f t="shared" si="15"/>
        <v>44.164159728220241</v>
      </c>
      <c r="AD46" s="46">
        <f t="shared" si="16"/>
        <v>0.83493397496048138</v>
      </c>
      <c r="AE46" s="46">
        <f t="shared" si="17"/>
        <v>-0.55437514116729636</v>
      </c>
    </row>
    <row r="47" spans="2:31" x14ac:dyDescent="0.2">
      <c r="B47" s="1">
        <v>906</v>
      </c>
      <c r="C47" s="1" t="s">
        <v>119</v>
      </c>
      <c r="D47" s="1">
        <v>22</v>
      </c>
      <c r="E47" s="1">
        <v>4</v>
      </c>
      <c r="F47" s="1">
        <v>2</v>
      </c>
      <c r="G47" s="1">
        <v>2</v>
      </c>
      <c r="H47" s="1">
        <v>2</v>
      </c>
      <c r="I47" s="1">
        <v>1</v>
      </c>
      <c r="J47" s="4">
        <v>13.342000000000001</v>
      </c>
      <c r="K47" s="39">
        <v>51.480742726153345</v>
      </c>
      <c r="L47" s="39">
        <v>44.981084540264739</v>
      </c>
      <c r="M47" s="39">
        <v>45.162158433468498</v>
      </c>
      <c r="N47" s="39">
        <v>46.514823393910468</v>
      </c>
      <c r="O47" s="39">
        <v>42.244687244001433</v>
      </c>
      <c r="P47" s="39">
        <v>41.784922530888572</v>
      </c>
      <c r="Q47" s="39">
        <v>42.795010037985129</v>
      </c>
      <c r="R47" s="39">
        <v>41.876960010587005</v>
      </c>
      <c r="S47" s="39">
        <v>41.13947665393745</v>
      </c>
      <c r="T47" s="39">
        <v>42.795010037985129</v>
      </c>
      <c r="U47" s="39">
        <v>46.78421513547471</v>
      </c>
      <c r="V47" s="39">
        <v>40.12101997633053</v>
      </c>
      <c r="W47" s="5">
        <f t="shared" si="9"/>
        <v>43.973342560082251</v>
      </c>
      <c r="X47" s="4">
        <f t="shared" si="10"/>
        <v>0.91688861780656494</v>
      </c>
      <c r="Y47" s="2">
        <f t="shared" si="11"/>
        <v>40.12101997633053</v>
      </c>
      <c r="Z47" s="3">
        <f t="shared" si="12"/>
        <v>41.853950640662397</v>
      </c>
      <c r="AA47" s="2">
        <f t="shared" si="13"/>
        <v>42.795010037985129</v>
      </c>
      <c r="AB47" s="3">
        <f t="shared" si="14"/>
        <v>45.500324673578987</v>
      </c>
      <c r="AC47" s="3">
        <f t="shared" si="15"/>
        <v>51.480742726153345</v>
      </c>
      <c r="AD47" s="3">
        <f t="shared" si="16"/>
        <v>1.2133782356652554</v>
      </c>
      <c r="AE47" s="3">
        <f t="shared" si="17"/>
        <v>1.5770186695593535</v>
      </c>
    </row>
    <row r="48" spans="2:31" x14ac:dyDescent="0.2">
      <c r="B48" s="50">
        <v>907</v>
      </c>
      <c r="C48" s="50" t="s">
        <v>74</v>
      </c>
      <c r="D48" s="50">
        <v>31</v>
      </c>
      <c r="E48" s="50">
        <v>8</v>
      </c>
      <c r="F48" s="50">
        <v>0</v>
      </c>
      <c r="G48" s="50">
        <v>1</v>
      </c>
      <c r="H48" s="50">
        <v>2</v>
      </c>
      <c r="I48" s="50">
        <v>1</v>
      </c>
      <c r="J48" s="48">
        <v>13.334</v>
      </c>
      <c r="K48" s="47">
        <v>58.176663559692088</v>
      </c>
      <c r="L48" s="47">
        <v>58.848884293775946</v>
      </c>
      <c r="M48" s="47">
        <v>58.429063349008011</v>
      </c>
      <c r="N48" s="47">
        <v>57.755151873406909</v>
      </c>
      <c r="O48" s="47">
        <v>58.176663559692088</v>
      </c>
      <c r="P48" s="47">
        <v>58.513112075037469</v>
      </c>
      <c r="Q48" s="47">
        <v>58.932721677115751</v>
      </c>
      <c r="R48" s="47">
        <v>57.586251319127314</v>
      </c>
      <c r="S48" s="47">
        <v>58.429063349008011</v>
      </c>
      <c r="T48" s="47">
        <v>58.260839091335328</v>
      </c>
      <c r="U48" s="47">
        <v>58.176663559692088</v>
      </c>
      <c r="V48" s="47">
        <v>58.513112075037469</v>
      </c>
      <c r="W48" s="49">
        <f t="shared" si="9"/>
        <v>58.31651581516072</v>
      </c>
      <c r="X48" s="48">
        <f t="shared" si="10"/>
        <v>0.11267920077085428</v>
      </c>
      <c r="Y48" s="47">
        <f t="shared" si="11"/>
        <v>57.586251319127314</v>
      </c>
      <c r="Z48" s="46">
        <f t="shared" si="12"/>
        <v>58.176663559692088</v>
      </c>
      <c r="AA48" s="47">
        <f t="shared" si="13"/>
        <v>58.344951220171666</v>
      </c>
      <c r="AB48" s="46">
        <f t="shared" si="14"/>
        <v>58.513112075037469</v>
      </c>
      <c r="AC48" s="46">
        <f t="shared" si="15"/>
        <v>58.932721677115751</v>
      </c>
      <c r="AD48" s="46">
        <f t="shared" si="16"/>
        <v>-0.3151647956430893</v>
      </c>
      <c r="AE48" s="46">
        <f t="shared" si="17"/>
        <v>0.12557197527633068</v>
      </c>
    </row>
    <row r="49" spans="2:31" ht="13.5" thickBot="1" x14ac:dyDescent="0.25">
      <c r="B49" s="45">
        <v>908</v>
      </c>
      <c r="C49" s="45" t="s">
        <v>120</v>
      </c>
      <c r="D49" s="45">
        <v>21</v>
      </c>
      <c r="E49" s="45">
        <v>3</v>
      </c>
      <c r="F49" s="45">
        <v>2</v>
      </c>
      <c r="G49" s="45">
        <v>2</v>
      </c>
      <c r="H49" s="45">
        <v>2</v>
      </c>
      <c r="I49" s="45">
        <v>1</v>
      </c>
      <c r="J49" s="42">
        <v>13.304</v>
      </c>
      <c r="K49" s="44">
        <v>61.758042930599686</v>
      </c>
      <c r="L49" s="44">
        <v>51.305670965335814</v>
      </c>
      <c r="M49" s="44">
        <v>62.251556809603933</v>
      </c>
      <c r="N49" s="44">
        <v>47.76873017712294</v>
      </c>
      <c r="O49" s="44">
        <v>60.018761223581315</v>
      </c>
      <c r="P49" s="44">
        <v>46.064991787211426</v>
      </c>
      <c r="Q49" s="44">
        <v>58.765004641898223</v>
      </c>
      <c r="R49" s="44">
        <v>56.993767920203922</v>
      </c>
      <c r="S49" s="44">
        <v>59.768770740927465</v>
      </c>
      <c r="T49" s="44">
        <v>50.33975408037729</v>
      </c>
      <c r="U49" s="44">
        <v>62.169410167781386</v>
      </c>
      <c r="V49" s="44">
        <v>50.33975408037729</v>
      </c>
      <c r="W49" s="43">
        <f t="shared" si="9"/>
        <v>55.62868462708505</v>
      </c>
      <c r="X49" s="42">
        <f t="shared" si="10"/>
        <v>1.741217628230431</v>
      </c>
      <c r="Y49" s="41">
        <f t="shared" si="11"/>
        <v>46.064991787211426</v>
      </c>
      <c r="Z49" s="40">
        <f t="shared" si="12"/>
        <v>50.33975408037729</v>
      </c>
      <c r="AA49" s="41">
        <f t="shared" si="13"/>
        <v>57.879386281051069</v>
      </c>
      <c r="AB49" s="40">
        <f t="shared" si="14"/>
        <v>60.453581650335906</v>
      </c>
      <c r="AC49" s="40">
        <f t="shared" si="15"/>
        <v>62.251556809603933</v>
      </c>
      <c r="AD49" s="40">
        <f t="shared" si="16"/>
        <v>-0.3715658556656502</v>
      </c>
      <c r="AE49" s="40">
        <f t="shared" si="17"/>
        <v>-1.6491315949353549</v>
      </c>
    </row>
    <row r="50" spans="2:31" ht="13.5" thickTop="1" x14ac:dyDescent="0.2">
      <c r="B50" s="1">
        <v>101</v>
      </c>
      <c r="C50" s="1" t="s">
        <v>71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1">
        <v>2</v>
      </c>
      <c r="J50" s="4">
        <v>13.129</v>
      </c>
      <c r="K50" s="39">
        <v>33.232575778551293</v>
      </c>
      <c r="L50" s="39">
        <v>33.520100722888003</v>
      </c>
      <c r="M50" s="39">
        <v>32.752522167231483</v>
      </c>
      <c r="N50" s="39">
        <v>32.656384639353732</v>
      </c>
      <c r="O50" s="39">
        <v>32.463982777984434</v>
      </c>
      <c r="P50" s="39">
        <v>33.232575778551293</v>
      </c>
      <c r="Q50" s="39">
        <v>31.306021052582388</v>
      </c>
      <c r="R50" s="39">
        <v>33.99846359269057</v>
      </c>
      <c r="S50" s="39">
        <v>31.209249496635671</v>
      </c>
      <c r="T50" s="39">
        <v>30.239209167582239</v>
      </c>
      <c r="U50" s="39">
        <v>32.078671832790647</v>
      </c>
      <c r="V50" s="39">
        <v>31.982238425147379</v>
      </c>
      <c r="W50" s="5">
        <f t="shared" si="9"/>
        <v>32.389332952665761</v>
      </c>
      <c r="X50" s="4">
        <f t="shared" si="10"/>
        <v>0.31322225519821639</v>
      </c>
      <c r="Y50" s="2">
        <f t="shared" si="11"/>
        <v>30.239209167582239</v>
      </c>
      <c r="Z50" s="3">
        <f t="shared" si="12"/>
        <v>31.813184082006131</v>
      </c>
      <c r="AA50" s="2">
        <f t="shared" si="13"/>
        <v>32.560183708669086</v>
      </c>
      <c r="AB50" s="3">
        <f t="shared" si="14"/>
        <v>33.232575778551293</v>
      </c>
      <c r="AC50" s="3">
        <f t="shared" si="15"/>
        <v>33.99846359269057</v>
      </c>
      <c r="AD50" s="3">
        <f t="shared" si="16"/>
        <v>-0.5186639510932114</v>
      </c>
      <c r="AE50" s="3">
        <f t="shared" si="17"/>
        <v>-0.1566808389705967</v>
      </c>
    </row>
    <row r="51" spans="2:31" x14ac:dyDescent="0.2">
      <c r="B51" s="1">
        <v>102</v>
      </c>
      <c r="C51" s="1" t="s">
        <v>68</v>
      </c>
      <c r="D51" s="1">
        <v>4</v>
      </c>
      <c r="E51" s="1">
        <v>1</v>
      </c>
      <c r="F51" s="1">
        <v>2</v>
      </c>
      <c r="G51" s="1">
        <v>1</v>
      </c>
      <c r="H51" s="1">
        <v>1</v>
      </c>
      <c r="I51" s="1">
        <v>2</v>
      </c>
      <c r="J51" s="4">
        <v>13.11</v>
      </c>
      <c r="K51" s="39">
        <v>29.752603932883105</v>
      </c>
      <c r="L51" s="39">
        <v>31.499437358862043</v>
      </c>
      <c r="M51" s="39">
        <v>30.530665085946545</v>
      </c>
      <c r="N51" s="39">
        <v>30.14197265771827</v>
      </c>
      <c r="O51" s="39">
        <v>31.112435672151012</v>
      </c>
      <c r="P51" s="39">
        <v>30.044693879316377</v>
      </c>
      <c r="Q51" s="39">
        <v>29.85000951689879</v>
      </c>
      <c r="R51" s="39">
        <v>31.306021052582388</v>
      </c>
      <c r="S51" s="39">
        <v>31.306021052582388</v>
      </c>
      <c r="T51" s="39">
        <v>31.306021052582388</v>
      </c>
      <c r="U51" s="39">
        <v>31.015579579128431</v>
      </c>
      <c r="V51" s="39">
        <v>31.499437358862043</v>
      </c>
      <c r="W51" s="5">
        <f t="shared" si="9"/>
        <v>30.78040818329281</v>
      </c>
      <c r="X51" s="4">
        <f t="shared" si="10"/>
        <v>0.19387653721634421</v>
      </c>
      <c r="Y51" s="2">
        <f t="shared" si="11"/>
        <v>29.752603932883105</v>
      </c>
      <c r="Z51" s="3">
        <f t="shared" si="12"/>
        <v>30.117652963117798</v>
      </c>
      <c r="AA51" s="2">
        <f t="shared" si="13"/>
        <v>31.064007625639722</v>
      </c>
      <c r="AB51" s="3">
        <f t="shared" si="14"/>
        <v>31.306021052582388</v>
      </c>
      <c r="AC51" s="3">
        <f t="shared" si="15"/>
        <v>31.499437358862043</v>
      </c>
      <c r="AD51" s="3">
        <f t="shared" si="16"/>
        <v>-0.48127574796400324</v>
      </c>
      <c r="AE51" s="3">
        <f t="shared" si="17"/>
        <v>-1.6268949636022976</v>
      </c>
    </row>
    <row r="52" spans="2:31" x14ac:dyDescent="0.2">
      <c r="B52" s="1">
        <v>103</v>
      </c>
      <c r="C52" s="1" t="s">
        <v>73</v>
      </c>
      <c r="D52" s="1">
        <v>5</v>
      </c>
      <c r="E52" s="1">
        <v>1</v>
      </c>
      <c r="F52" s="1">
        <v>3</v>
      </c>
      <c r="G52" s="1">
        <v>2</v>
      </c>
      <c r="H52" s="1">
        <v>1</v>
      </c>
      <c r="I52" s="1">
        <v>2</v>
      </c>
      <c r="J52" s="4">
        <v>13.093</v>
      </c>
      <c r="K52" s="39">
        <v>31.596082109194974</v>
      </c>
      <c r="L52" s="39">
        <v>31.69268459098997</v>
      </c>
      <c r="M52" s="39">
        <v>30.918681217567919</v>
      </c>
      <c r="N52" s="39">
        <v>32.078671832790647</v>
      </c>
      <c r="O52" s="39">
        <v>33.136649593363188</v>
      </c>
      <c r="P52" s="39">
        <v>32.944670417373203</v>
      </c>
      <c r="Q52" s="39">
        <v>32.944670417373203</v>
      </c>
      <c r="R52" s="39">
        <v>31.982238425147379</v>
      </c>
      <c r="S52" s="39">
        <v>33.040681139637165</v>
      </c>
      <c r="T52" s="39">
        <v>31.306021052582388</v>
      </c>
      <c r="U52" s="39">
        <v>31.015579579128431</v>
      </c>
      <c r="V52" s="39">
        <v>32.752522167231483</v>
      </c>
      <c r="W52" s="5">
        <f t="shared" si="9"/>
        <v>32.117429378531661</v>
      </c>
      <c r="X52" s="4">
        <f t="shared" si="10"/>
        <v>0.2374843765187766</v>
      </c>
      <c r="Y52" s="2">
        <f t="shared" si="11"/>
        <v>30.918681217567919</v>
      </c>
      <c r="Z52" s="3">
        <f t="shared" si="12"/>
        <v>31.523566845041827</v>
      </c>
      <c r="AA52" s="2">
        <f t="shared" si="13"/>
        <v>32.03045512896901</v>
      </c>
      <c r="AB52" s="3">
        <f t="shared" si="14"/>
        <v>32.944670417373203</v>
      </c>
      <c r="AC52" s="3">
        <f t="shared" si="15"/>
        <v>33.136649593363188</v>
      </c>
      <c r="AD52" s="3">
        <f t="shared" si="16"/>
        <v>-0.11389368192567699</v>
      </c>
      <c r="AE52" s="3">
        <f t="shared" si="17"/>
        <v>-1.6306262708722201</v>
      </c>
    </row>
    <row r="53" spans="2:31" x14ac:dyDescent="0.2">
      <c r="B53" s="1">
        <v>104</v>
      </c>
      <c r="C53" s="1" t="s">
        <v>62</v>
      </c>
      <c r="D53" s="1">
        <v>10</v>
      </c>
      <c r="E53" s="1">
        <v>2</v>
      </c>
      <c r="F53" s="1">
        <v>2</v>
      </c>
      <c r="G53" s="1">
        <v>1</v>
      </c>
      <c r="H53" s="1">
        <v>1</v>
      </c>
      <c r="I53" s="1">
        <v>2</v>
      </c>
      <c r="J53" s="4">
        <v>13.074</v>
      </c>
      <c r="K53" s="39">
        <v>33.424301343313701</v>
      </c>
      <c r="L53" s="39">
        <v>33.32845969520146</v>
      </c>
      <c r="M53" s="39">
        <v>32.560204842938049</v>
      </c>
      <c r="N53" s="39">
        <v>30.821740587469471</v>
      </c>
      <c r="O53" s="39">
        <v>34.571104174701908</v>
      </c>
      <c r="P53" s="39">
        <v>32.944670417373203</v>
      </c>
      <c r="Q53" s="39">
        <v>32.848617426571309</v>
      </c>
      <c r="R53" s="39">
        <v>33.90287555580592</v>
      </c>
      <c r="S53" s="39">
        <v>32.36771844449288</v>
      </c>
      <c r="T53" s="39">
        <v>33.040681139637165</v>
      </c>
      <c r="U53" s="39">
        <v>30.724757688833094</v>
      </c>
      <c r="V53" s="39">
        <v>31.982238425147379</v>
      </c>
      <c r="W53" s="5">
        <f t="shared" si="9"/>
        <v>32.709780811790459</v>
      </c>
      <c r="X53" s="4">
        <f t="shared" si="10"/>
        <v>0.32728169782961475</v>
      </c>
      <c r="Y53" s="2">
        <f t="shared" si="11"/>
        <v>30.724757688833094</v>
      </c>
      <c r="Z53" s="3">
        <f t="shared" si="12"/>
        <v>32.271348439656506</v>
      </c>
      <c r="AA53" s="2">
        <f t="shared" si="13"/>
        <v>32.896643921972256</v>
      </c>
      <c r="AB53" s="3">
        <f t="shared" si="14"/>
        <v>33.35242010722952</v>
      </c>
      <c r="AC53" s="3">
        <f t="shared" si="15"/>
        <v>34.571104174701908</v>
      </c>
      <c r="AD53" s="3">
        <f t="shared" si="16"/>
        <v>-0.46263457721656592</v>
      </c>
      <c r="AE53" s="3">
        <f t="shared" si="17"/>
        <v>6.5868928282799111E-2</v>
      </c>
    </row>
    <row r="54" spans="2:31" x14ac:dyDescent="0.2">
      <c r="B54" s="1">
        <v>105</v>
      </c>
      <c r="C54" s="1" t="s">
        <v>66</v>
      </c>
      <c r="D54" s="1">
        <v>12</v>
      </c>
      <c r="E54" s="1">
        <v>2</v>
      </c>
      <c r="F54" s="1">
        <v>3</v>
      </c>
      <c r="G54" s="1">
        <v>1</v>
      </c>
      <c r="H54" s="1">
        <v>2</v>
      </c>
      <c r="I54" s="1">
        <v>2</v>
      </c>
      <c r="J54" s="4">
        <v>13.054</v>
      </c>
      <c r="K54" s="39">
        <v>34.571104174701908</v>
      </c>
      <c r="L54" s="39">
        <v>35.901347937418031</v>
      </c>
      <c r="M54" s="39">
        <v>36.846449829092094</v>
      </c>
      <c r="N54" s="39">
        <v>35.332257912592901</v>
      </c>
      <c r="O54" s="39">
        <v>33.711572676422826</v>
      </c>
      <c r="P54" s="39">
        <v>33.807245250383332</v>
      </c>
      <c r="Q54" s="39">
        <v>33.711572676422826</v>
      </c>
      <c r="R54" s="39">
        <v>33.136649593363188</v>
      </c>
      <c r="S54" s="39">
        <v>35.142223089347738</v>
      </c>
      <c r="T54" s="39">
        <v>35.522123661686329</v>
      </c>
      <c r="U54" s="39">
        <v>32.944670417373203</v>
      </c>
      <c r="V54" s="39">
        <v>34.856853840445517</v>
      </c>
      <c r="W54" s="5">
        <f t="shared" si="9"/>
        <v>34.623672588270828</v>
      </c>
      <c r="X54" s="4">
        <f t="shared" si="10"/>
        <v>0.34343655167663367</v>
      </c>
      <c r="Y54" s="2">
        <f t="shared" si="11"/>
        <v>32.944670417373203</v>
      </c>
      <c r="Z54" s="3">
        <f t="shared" si="12"/>
        <v>33.711572676422826</v>
      </c>
      <c r="AA54" s="2">
        <f t="shared" si="13"/>
        <v>34.713979007573712</v>
      </c>
      <c r="AB54" s="3">
        <f t="shared" si="14"/>
        <v>35.379724349866258</v>
      </c>
      <c r="AC54" s="3">
        <f t="shared" si="15"/>
        <v>36.846449829092094</v>
      </c>
      <c r="AD54" s="3">
        <f t="shared" si="16"/>
        <v>0.27324889513345196</v>
      </c>
      <c r="AE54" s="3">
        <f t="shared" si="17"/>
        <v>-0.67308989087973004</v>
      </c>
    </row>
    <row r="55" spans="2:31" x14ac:dyDescent="0.2">
      <c r="B55" s="1">
        <v>106</v>
      </c>
      <c r="C55" s="1" t="s">
        <v>63</v>
      </c>
      <c r="D55" s="1">
        <v>9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4">
        <v>13.035</v>
      </c>
      <c r="K55" s="39">
        <v>32.463982777984434</v>
      </c>
      <c r="L55" s="39">
        <v>33.136649593363188</v>
      </c>
      <c r="M55" s="39">
        <v>31.499437358862043</v>
      </c>
      <c r="N55" s="39">
        <v>32.463982777984434</v>
      </c>
      <c r="O55" s="39">
        <v>32.078671832790647</v>
      </c>
      <c r="P55" s="39">
        <v>31.596082109194974</v>
      </c>
      <c r="Q55" s="39">
        <v>33.520100722888003</v>
      </c>
      <c r="R55" s="39">
        <v>32.271411842463394</v>
      </c>
      <c r="S55" s="39">
        <v>31.982238425147379</v>
      </c>
      <c r="T55" s="39">
        <v>32.17506297189599</v>
      </c>
      <c r="U55" s="39">
        <v>32.271411842463394</v>
      </c>
      <c r="V55" s="39">
        <v>31.596082109194974</v>
      </c>
      <c r="W55" s="5">
        <f t="shared" si="9"/>
        <v>32.254592863686078</v>
      </c>
      <c r="X55" s="4">
        <f t="shared" si="10"/>
        <v>0.17444220762195056</v>
      </c>
      <c r="Y55" s="2">
        <f t="shared" si="11"/>
        <v>31.499437358862043</v>
      </c>
      <c r="Z55" s="3">
        <f t="shared" si="12"/>
        <v>31.885699346159278</v>
      </c>
      <c r="AA55" s="2">
        <f t="shared" si="13"/>
        <v>32.223237407179695</v>
      </c>
      <c r="AB55" s="3">
        <f t="shared" si="14"/>
        <v>32.463982777984434</v>
      </c>
      <c r="AC55" s="3">
        <f t="shared" si="15"/>
        <v>33.520100722888003</v>
      </c>
      <c r="AD55" s="3">
        <f t="shared" si="16"/>
        <v>0.84215981399337736</v>
      </c>
      <c r="AE55" s="3">
        <f t="shared" si="17"/>
        <v>0.55390545698170612</v>
      </c>
    </row>
    <row r="56" spans="2:31" x14ac:dyDescent="0.2">
      <c r="B56" s="1">
        <v>107</v>
      </c>
      <c r="C56" s="1" t="s">
        <v>62</v>
      </c>
      <c r="D56" s="1">
        <v>10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4">
        <v>13.018000000000001</v>
      </c>
      <c r="K56" s="39">
        <v>33.711572676422826</v>
      </c>
      <c r="L56" s="39">
        <v>34.09400936103728</v>
      </c>
      <c r="M56" s="39">
        <v>32.271411842463394</v>
      </c>
      <c r="N56" s="39">
        <v>32.560204842938049</v>
      </c>
      <c r="O56" s="39">
        <v>31.112435672151012</v>
      </c>
      <c r="P56" s="39">
        <v>30.336403408908268</v>
      </c>
      <c r="Q56" s="39">
        <v>31.499437358862043</v>
      </c>
      <c r="R56" s="39">
        <v>30.821740587469471</v>
      </c>
      <c r="S56" s="39">
        <v>29.557665959237934</v>
      </c>
      <c r="T56" s="39">
        <v>33.520100722888003</v>
      </c>
      <c r="U56" s="39">
        <v>31.982238425147379</v>
      </c>
      <c r="V56" s="39">
        <v>30.433555381696376</v>
      </c>
      <c r="W56" s="5">
        <f t="shared" si="9"/>
        <v>31.825064686601834</v>
      </c>
      <c r="X56" s="4">
        <f t="shared" si="10"/>
        <v>0.41976337096405664</v>
      </c>
      <c r="Y56" s="2">
        <f t="shared" si="11"/>
        <v>29.557665959237934</v>
      </c>
      <c r="Z56" s="3">
        <f t="shared" si="12"/>
        <v>30.724694286026196</v>
      </c>
      <c r="AA56" s="2">
        <f t="shared" si="13"/>
        <v>31.740837892004713</v>
      </c>
      <c r="AB56" s="3">
        <f t="shared" si="14"/>
        <v>32.800178812925537</v>
      </c>
      <c r="AC56" s="3">
        <f t="shared" si="15"/>
        <v>34.09400936103728</v>
      </c>
      <c r="AD56" s="3">
        <f t="shared" si="16"/>
        <v>0.1666964741481281</v>
      </c>
      <c r="AE56" s="3">
        <f t="shared" si="17"/>
        <v>-1.0680938418069363</v>
      </c>
    </row>
    <row r="57" spans="2:31" x14ac:dyDescent="0.2">
      <c r="B57" s="1">
        <v>108</v>
      </c>
      <c r="C57" s="1" t="s">
        <v>69</v>
      </c>
      <c r="D57" s="1">
        <v>3</v>
      </c>
      <c r="E57" s="1">
        <v>1</v>
      </c>
      <c r="F57" s="1">
        <v>2</v>
      </c>
      <c r="G57" s="1">
        <v>2</v>
      </c>
      <c r="H57" s="1">
        <v>2</v>
      </c>
      <c r="I57" s="1">
        <v>2</v>
      </c>
      <c r="J57" s="4">
        <v>12.988</v>
      </c>
      <c r="K57" s="39">
        <v>31.499437358862043</v>
      </c>
      <c r="L57" s="39">
        <v>30.724757688833094</v>
      </c>
      <c r="M57" s="39">
        <v>31.306021052582388</v>
      </c>
      <c r="N57" s="39">
        <v>31.789244804247033</v>
      </c>
      <c r="O57" s="39">
        <v>32.36771844449288</v>
      </c>
      <c r="P57" s="39">
        <v>31.015579579128431</v>
      </c>
      <c r="Q57" s="39">
        <v>31.306021052582388</v>
      </c>
      <c r="R57" s="39">
        <v>30.336403408908268</v>
      </c>
      <c r="S57" s="39">
        <v>30.724757688833094</v>
      </c>
      <c r="T57" s="39">
        <v>30.044693879316377</v>
      </c>
      <c r="U57" s="39">
        <v>31.306021052582388</v>
      </c>
      <c r="V57" s="39">
        <v>30.239209167582239</v>
      </c>
      <c r="W57" s="5">
        <f t="shared" si="9"/>
        <v>31.054988764829218</v>
      </c>
      <c r="X57" s="4">
        <f t="shared" si="10"/>
        <v>0.19600542193064077</v>
      </c>
      <c r="Y57" s="2">
        <f t="shared" si="11"/>
        <v>30.044693879316377</v>
      </c>
      <c r="Z57" s="3">
        <f t="shared" si="12"/>
        <v>30.627669118851887</v>
      </c>
      <c r="AA57" s="2">
        <f t="shared" si="13"/>
        <v>31.160800315855411</v>
      </c>
      <c r="AB57" s="3">
        <f t="shared" si="14"/>
        <v>31.354375129152302</v>
      </c>
      <c r="AC57" s="3">
        <f t="shared" si="15"/>
        <v>32.36771844449288</v>
      </c>
      <c r="AD57" s="3">
        <f t="shared" si="16"/>
        <v>0.27045797273081673</v>
      </c>
      <c r="AE57" s="3">
        <f t="shared" si="17"/>
        <v>-0.26230043973004369</v>
      </c>
    </row>
    <row r="58" spans="2:31" x14ac:dyDescent="0.2">
      <c r="B58" s="1">
        <v>201</v>
      </c>
      <c r="C58" s="1" t="s">
        <v>66</v>
      </c>
      <c r="D58" s="1">
        <v>12</v>
      </c>
      <c r="E58" s="1">
        <v>2</v>
      </c>
      <c r="F58" s="1">
        <v>3</v>
      </c>
      <c r="G58" s="1">
        <v>1</v>
      </c>
      <c r="H58" s="1">
        <v>1</v>
      </c>
      <c r="I58" s="1">
        <v>2</v>
      </c>
      <c r="J58" s="4">
        <v>13.151</v>
      </c>
      <c r="K58" s="39">
        <v>37.317415704756705</v>
      </c>
      <c r="L58" s="39">
        <v>38.162491363063346</v>
      </c>
      <c r="M58" s="39">
        <v>38.443422415482786</v>
      </c>
      <c r="N58" s="39">
        <v>37.974992652094045</v>
      </c>
      <c r="O58" s="39">
        <v>34.284974092116926</v>
      </c>
      <c r="P58" s="39">
        <v>34.95201919195086</v>
      </c>
      <c r="Q58" s="39">
        <v>37.599488007700295</v>
      </c>
      <c r="R58" s="39">
        <v>36.563363081238144</v>
      </c>
      <c r="S58" s="39">
        <v>37.974992652094045</v>
      </c>
      <c r="T58" s="39">
        <v>36.846449829092094</v>
      </c>
      <c r="U58" s="39">
        <v>36.563363081238144</v>
      </c>
      <c r="V58" s="39">
        <v>39.470248263600091</v>
      </c>
      <c r="W58" s="5">
        <f t="shared" si="9"/>
        <v>37.179435027868955</v>
      </c>
      <c r="X58" s="4">
        <f t="shared" si="10"/>
        <v>0.42177879129104295</v>
      </c>
      <c r="Y58" s="2">
        <f t="shared" si="11"/>
        <v>34.284974092116926</v>
      </c>
      <c r="Z58" s="3">
        <f t="shared" si="12"/>
        <v>36.563363081238144</v>
      </c>
      <c r="AA58" s="2">
        <f t="shared" si="13"/>
        <v>37.4584518562285</v>
      </c>
      <c r="AB58" s="3">
        <f t="shared" si="14"/>
        <v>38.021867329836368</v>
      </c>
      <c r="AC58" s="3">
        <f t="shared" si="15"/>
        <v>39.470248263600091</v>
      </c>
      <c r="AD58" s="3">
        <f t="shared" si="16"/>
        <v>-0.69006888828907076</v>
      </c>
      <c r="AE58" s="3">
        <f t="shared" si="17"/>
        <v>0.35669929360824337</v>
      </c>
    </row>
    <row r="59" spans="2:31" x14ac:dyDescent="0.2">
      <c r="B59" s="1">
        <v>202</v>
      </c>
      <c r="C59" s="1" t="s">
        <v>63</v>
      </c>
      <c r="D59" s="1">
        <v>9</v>
      </c>
      <c r="E59" s="1">
        <v>2</v>
      </c>
      <c r="F59" s="1">
        <v>2</v>
      </c>
      <c r="G59" s="1">
        <v>2</v>
      </c>
      <c r="H59" s="1">
        <v>1</v>
      </c>
      <c r="I59" s="1">
        <v>2</v>
      </c>
      <c r="J59" s="4">
        <v>13.170999999999999</v>
      </c>
      <c r="K59" s="39">
        <v>32.656384639353732</v>
      </c>
      <c r="L59" s="39">
        <v>34.95201919195086</v>
      </c>
      <c r="M59" s="39">
        <v>33.711572676422826</v>
      </c>
      <c r="N59" s="39">
        <v>34.09400936103728</v>
      </c>
      <c r="O59" s="39">
        <v>37.22330706669964</v>
      </c>
      <c r="P59" s="39">
        <v>35.047142274918258</v>
      </c>
      <c r="Q59" s="39">
        <v>34.666396331821048</v>
      </c>
      <c r="R59" s="39">
        <v>33.424301343313701</v>
      </c>
      <c r="S59" s="39">
        <v>35.806605271292</v>
      </c>
      <c r="T59" s="39">
        <v>32.848617426571309</v>
      </c>
      <c r="U59" s="39">
        <v>36.46891629487763</v>
      </c>
      <c r="V59" s="39">
        <v>36.185322324568524</v>
      </c>
      <c r="W59" s="5">
        <f t="shared" si="9"/>
        <v>34.757049516902235</v>
      </c>
      <c r="X59" s="4">
        <f t="shared" si="10"/>
        <v>0.42326828463082145</v>
      </c>
      <c r="Y59" s="2">
        <f t="shared" si="11"/>
        <v>32.656384639353732</v>
      </c>
      <c r="Z59" s="3">
        <f t="shared" si="12"/>
        <v>33.639754843145546</v>
      </c>
      <c r="AA59" s="2">
        <f t="shared" si="13"/>
        <v>34.809207761885958</v>
      </c>
      <c r="AB59" s="3">
        <f t="shared" si="14"/>
        <v>35.901284534611129</v>
      </c>
      <c r="AC59" s="3">
        <f t="shared" si="15"/>
        <v>37.22330706669964</v>
      </c>
      <c r="AD59" s="3">
        <f t="shared" si="16"/>
        <v>0.14176253962654523</v>
      </c>
      <c r="AE59" s="3">
        <f t="shared" si="17"/>
        <v>-1.0247093235917846</v>
      </c>
    </row>
    <row r="60" spans="2:31" x14ac:dyDescent="0.2">
      <c r="B60" s="1">
        <v>203</v>
      </c>
      <c r="C60" s="1" t="s">
        <v>69</v>
      </c>
      <c r="D60" s="1">
        <v>3</v>
      </c>
      <c r="E60" s="1">
        <v>1</v>
      </c>
      <c r="F60" s="1">
        <v>2</v>
      </c>
      <c r="G60" s="1">
        <v>2</v>
      </c>
      <c r="H60" s="1">
        <v>1</v>
      </c>
      <c r="I60" s="1">
        <v>2</v>
      </c>
      <c r="J60" s="4">
        <v>13.186999999999999</v>
      </c>
      <c r="K60" s="39">
        <v>31.69268459098997</v>
      </c>
      <c r="L60" s="39">
        <v>33.32845969520146</v>
      </c>
      <c r="M60" s="39">
        <v>33.32845969520146</v>
      </c>
      <c r="N60" s="39">
        <v>32.560204842938049</v>
      </c>
      <c r="O60" s="39">
        <v>31.209249496635671</v>
      </c>
      <c r="P60" s="39">
        <v>32.848617426571309</v>
      </c>
      <c r="Q60" s="39">
        <v>33.615857833924373</v>
      </c>
      <c r="R60" s="39">
        <v>32.848617426571309</v>
      </c>
      <c r="S60" s="39">
        <v>34.189512860846072</v>
      </c>
      <c r="T60" s="39">
        <v>32.17506297189599</v>
      </c>
      <c r="U60" s="39">
        <v>33.040681139637165</v>
      </c>
      <c r="V60" s="39">
        <v>33.424301343313701</v>
      </c>
      <c r="W60" s="5">
        <f t="shared" si="9"/>
        <v>32.855142443643878</v>
      </c>
      <c r="X60" s="4">
        <f t="shared" si="10"/>
        <v>0.24270431095559769</v>
      </c>
      <c r="Y60" s="2">
        <f t="shared" si="11"/>
        <v>31.209249496635671</v>
      </c>
      <c r="Z60" s="3">
        <f t="shared" si="12"/>
        <v>32.463919375177532</v>
      </c>
      <c r="AA60" s="2">
        <f t="shared" si="13"/>
        <v>32.944649283104241</v>
      </c>
      <c r="AB60" s="3">
        <f t="shared" si="14"/>
        <v>33.35242010722952</v>
      </c>
      <c r="AC60" s="3">
        <f t="shared" si="15"/>
        <v>34.189512860846072</v>
      </c>
      <c r="AD60" s="3">
        <f t="shared" si="16"/>
        <v>-0.57835878909194793</v>
      </c>
      <c r="AE60" s="3">
        <f t="shared" si="17"/>
        <v>9.7261415532288176E-2</v>
      </c>
    </row>
    <row r="61" spans="2:31" x14ac:dyDescent="0.2">
      <c r="B61" s="1">
        <v>204</v>
      </c>
      <c r="C61" s="1" t="s">
        <v>67</v>
      </c>
      <c r="D61" s="1">
        <v>11</v>
      </c>
      <c r="E61" s="1">
        <v>2</v>
      </c>
      <c r="F61" s="1">
        <v>3</v>
      </c>
      <c r="G61" s="1">
        <v>2</v>
      </c>
      <c r="H61" s="1">
        <v>1</v>
      </c>
      <c r="I61" s="1">
        <v>2</v>
      </c>
      <c r="J61" s="4">
        <v>13.206</v>
      </c>
      <c r="K61" s="39">
        <v>33.424301343313701</v>
      </c>
      <c r="L61" s="39">
        <v>33.99846359269057</v>
      </c>
      <c r="M61" s="39">
        <v>35.616993133426149</v>
      </c>
      <c r="N61" s="39">
        <v>36.563363081238144</v>
      </c>
      <c r="O61" s="39">
        <v>35.142223089347738</v>
      </c>
      <c r="P61" s="39">
        <v>36.563363081238144</v>
      </c>
      <c r="Q61" s="39">
        <v>34.284974092116926</v>
      </c>
      <c r="R61" s="39">
        <v>34.571104174701908</v>
      </c>
      <c r="S61" s="39">
        <v>39.097448805633931</v>
      </c>
      <c r="T61" s="39">
        <v>37.505506175257025</v>
      </c>
      <c r="U61" s="39">
        <v>36.279895916542827</v>
      </c>
      <c r="V61" s="39">
        <v>35.806605271292</v>
      </c>
      <c r="W61" s="5">
        <f t="shared" si="9"/>
        <v>35.737853479733253</v>
      </c>
      <c r="X61" s="4">
        <f t="shared" si="10"/>
        <v>0.46296550472318476</v>
      </c>
      <c r="Y61" s="2">
        <f t="shared" si="11"/>
        <v>33.424301343313701</v>
      </c>
      <c r="Z61" s="3">
        <f t="shared" si="12"/>
        <v>34.499571654055664</v>
      </c>
      <c r="AA61" s="2">
        <f t="shared" si="13"/>
        <v>35.711799202359074</v>
      </c>
      <c r="AB61" s="3">
        <f t="shared" si="14"/>
        <v>36.563363081238144</v>
      </c>
      <c r="AC61" s="3">
        <f t="shared" si="15"/>
        <v>39.097448805633931</v>
      </c>
      <c r="AD61" s="3">
        <f t="shared" si="16"/>
        <v>0.58746537527502285</v>
      </c>
      <c r="AE61" s="3">
        <f t="shared" si="17"/>
        <v>0.31157635811920148</v>
      </c>
    </row>
    <row r="62" spans="2:31" x14ac:dyDescent="0.2">
      <c r="B62" s="1">
        <v>205</v>
      </c>
      <c r="C62" s="1" t="s">
        <v>71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2</v>
      </c>
      <c r="J62" s="4">
        <v>13.233000000000001</v>
      </c>
      <c r="K62" s="39">
        <v>30.724757688833094</v>
      </c>
      <c r="L62" s="39">
        <v>30.724757688833094</v>
      </c>
      <c r="M62" s="39">
        <v>30.336403408908268</v>
      </c>
      <c r="N62" s="39">
        <v>29.947372832376555</v>
      </c>
      <c r="O62" s="39">
        <v>30.530665085946545</v>
      </c>
      <c r="P62" s="39">
        <v>32.17506297189599</v>
      </c>
      <c r="Q62" s="39">
        <v>29.557665959237934</v>
      </c>
      <c r="R62" s="39">
        <v>29.264941984735692</v>
      </c>
      <c r="S62" s="39">
        <v>29.85000951689879</v>
      </c>
      <c r="T62" s="39">
        <v>31.69268459098997</v>
      </c>
      <c r="U62" s="39">
        <v>30.627732521658782</v>
      </c>
      <c r="V62" s="39">
        <v>30.627732521658782</v>
      </c>
      <c r="W62" s="5">
        <f t="shared" si="9"/>
        <v>30.504982230997797</v>
      </c>
      <c r="X62" s="4">
        <f t="shared" si="10"/>
        <v>0.23885218272689929</v>
      </c>
      <c r="Y62" s="2">
        <f t="shared" si="11"/>
        <v>29.264941984735692</v>
      </c>
      <c r="Z62" s="3">
        <f t="shared" si="12"/>
        <v>29.923032003507114</v>
      </c>
      <c r="AA62" s="2">
        <f t="shared" si="13"/>
        <v>30.579198803802662</v>
      </c>
      <c r="AB62" s="3">
        <f t="shared" si="14"/>
        <v>30.724757688833094</v>
      </c>
      <c r="AC62" s="3">
        <f t="shared" si="15"/>
        <v>32.17506297189599</v>
      </c>
      <c r="AD62" s="3">
        <f t="shared" si="16"/>
        <v>0.60519208310445194</v>
      </c>
      <c r="AE62" s="3">
        <f t="shared" si="17"/>
        <v>0.41332797262080856</v>
      </c>
    </row>
    <row r="63" spans="2:31" x14ac:dyDescent="0.2">
      <c r="B63" s="1">
        <v>206</v>
      </c>
      <c r="C63" s="1" t="s">
        <v>64</v>
      </c>
      <c r="D63" s="1">
        <v>8</v>
      </c>
      <c r="E63" s="1">
        <v>2</v>
      </c>
      <c r="F63" s="1">
        <v>1</v>
      </c>
      <c r="G63" s="1">
        <v>1</v>
      </c>
      <c r="H63" s="1">
        <v>2</v>
      </c>
      <c r="I63" s="1">
        <v>2</v>
      </c>
      <c r="J63" s="4">
        <v>13.252000000000001</v>
      </c>
      <c r="K63" s="39">
        <v>30.14197265771827</v>
      </c>
      <c r="L63" s="39">
        <v>31.112435672151012</v>
      </c>
      <c r="M63" s="39">
        <v>30.433555381696376</v>
      </c>
      <c r="N63" s="39">
        <v>30.821740587469471</v>
      </c>
      <c r="O63" s="39">
        <v>30.239209167582239</v>
      </c>
      <c r="P63" s="39">
        <v>30.918681217567919</v>
      </c>
      <c r="Q63" s="39">
        <v>31.69268459098997</v>
      </c>
      <c r="R63" s="39">
        <v>31.789244804247033</v>
      </c>
      <c r="S63" s="39">
        <v>33.807245250383332</v>
      </c>
      <c r="T63" s="39">
        <v>31.306021052582388</v>
      </c>
      <c r="U63" s="39">
        <v>32.078671832790647</v>
      </c>
      <c r="V63" s="39">
        <v>30.14197265771827</v>
      </c>
      <c r="W63" s="5">
        <f t="shared" si="9"/>
        <v>31.206952906074736</v>
      </c>
      <c r="X63" s="4">
        <f t="shared" si="10"/>
        <v>0.30338604173658179</v>
      </c>
      <c r="Y63" s="2">
        <f t="shared" si="11"/>
        <v>30.14197265771827</v>
      </c>
      <c r="Z63" s="3">
        <f t="shared" si="12"/>
        <v>30.384968828167843</v>
      </c>
      <c r="AA63" s="2">
        <f t="shared" si="13"/>
        <v>31.015558444859465</v>
      </c>
      <c r="AB63" s="3">
        <f t="shared" si="14"/>
        <v>31.716824644304236</v>
      </c>
      <c r="AC63" s="3">
        <f t="shared" si="15"/>
        <v>33.807245250383332</v>
      </c>
      <c r="AD63" s="3">
        <f t="shared" si="16"/>
        <v>1.3806146869948348</v>
      </c>
      <c r="AE63" s="3">
        <f t="shared" si="17"/>
        <v>2.4640396103145878</v>
      </c>
    </row>
    <row r="64" spans="2:31" x14ac:dyDescent="0.2">
      <c r="B64" s="1">
        <v>207</v>
      </c>
      <c r="C64" s="1" t="s">
        <v>68</v>
      </c>
      <c r="D64" s="1">
        <v>4</v>
      </c>
      <c r="E64" s="1">
        <v>1</v>
      </c>
      <c r="F64" s="1">
        <v>2</v>
      </c>
      <c r="G64" s="1">
        <v>1</v>
      </c>
      <c r="H64" s="1">
        <v>2</v>
      </c>
      <c r="I64" s="1">
        <v>2</v>
      </c>
      <c r="J64" s="4">
        <v>13.269</v>
      </c>
      <c r="K64" s="39">
        <v>30.433555381696376</v>
      </c>
      <c r="L64" s="39">
        <v>31.015579579128431</v>
      </c>
      <c r="M64" s="39">
        <v>30.044693879316377</v>
      </c>
      <c r="N64" s="39">
        <v>32.17506297189599</v>
      </c>
      <c r="O64" s="39">
        <v>30.530665085946545</v>
      </c>
      <c r="P64" s="39">
        <v>30.336403408908268</v>
      </c>
      <c r="Q64" s="39">
        <v>32.36771844449288</v>
      </c>
      <c r="R64" s="39">
        <v>30.530665085946545</v>
      </c>
      <c r="S64" s="39">
        <v>29.947372832376555</v>
      </c>
      <c r="T64" s="39">
        <v>31.885762748966172</v>
      </c>
      <c r="U64" s="39">
        <v>29.947372832376555</v>
      </c>
      <c r="V64" s="39">
        <v>30.821740587469471</v>
      </c>
      <c r="W64" s="5">
        <f t="shared" si="9"/>
        <v>30.836382736543346</v>
      </c>
      <c r="X64" s="4">
        <f t="shared" si="10"/>
        <v>0.24736799923605618</v>
      </c>
      <c r="Y64" s="2">
        <f t="shared" si="11"/>
        <v>29.947372832376555</v>
      </c>
      <c r="Z64" s="3">
        <f t="shared" si="12"/>
        <v>30.263476026510297</v>
      </c>
      <c r="AA64" s="2">
        <f t="shared" si="13"/>
        <v>30.530665085946545</v>
      </c>
      <c r="AB64" s="3">
        <f t="shared" si="14"/>
        <v>31.233125371587867</v>
      </c>
      <c r="AC64" s="3">
        <f t="shared" si="15"/>
        <v>32.36771844449288</v>
      </c>
      <c r="AD64" s="3">
        <f t="shared" si="16"/>
        <v>0.8672818377511391</v>
      </c>
      <c r="AE64" s="3">
        <f t="shared" si="17"/>
        <v>-0.62204569886603966</v>
      </c>
    </row>
    <row r="65" spans="2:31" x14ac:dyDescent="0.2">
      <c r="B65" s="1">
        <v>208</v>
      </c>
      <c r="C65" s="1" t="s">
        <v>70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2</v>
      </c>
      <c r="J65" s="4">
        <v>13.288</v>
      </c>
      <c r="K65" s="39">
        <v>30.14197265771827</v>
      </c>
      <c r="L65" s="39">
        <v>29.752603932883105</v>
      </c>
      <c r="M65" s="39">
        <v>30.14197265771827</v>
      </c>
      <c r="N65" s="39">
        <v>29.362558911441035</v>
      </c>
      <c r="O65" s="39">
        <v>28.97183759339207</v>
      </c>
      <c r="P65" s="39">
        <v>32.560204842938049</v>
      </c>
      <c r="Q65" s="39">
        <v>30.821740587469471</v>
      </c>
      <c r="R65" s="39">
        <v>29.752603932883105</v>
      </c>
      <c r="S65" s="39">
        <v>30.821740587469471</v>
      </c>
      <c r="T65" s="39">
        <v>30.239209167582239</v>
      </c>
      <c r="U65" s="39">
        <v>31.015579579128431</v>
      </c>
      <c r="V65" s="39">
        <v>28.874051592535</v>
      </c>
      <c r="W65" s="5">
        <f t="shared" si="9"/>
        <v>30.20467300359655</v>
      </c>
      <c r="X65" s="4">
        <f t="shared" si="10"/>
        <v>0.29368383151246452</v>
      </c>
      <c r="Y65" s="2">
        <f t="shared" si="11"/>
        <v>28.874051592535</v>
      </c>
      <c r="Z65" s="3">
        <f t="shared" si="12"/>
        <v>29.655092677522589</v>
      </c>
      <c r="AA65" s="2">
        <f t="shared" si="13"/>
        <v>30.14197265771827</v>
      </c>
      <c r="AB65" s="3">
        <f t="shared" si="14"/>
        <v>30.821740587469471</v>
      </c>
      <c r="AC65" s="3">
        <f t="shared" si="15"/>
        <v>32.560204842938049</v>
      </c>
      <c r="AD65" s="3">
        <f t="shared" si="16"/>
        <v>0.93873234903734393</v>
      </c>
      <c r="AE65" s="3">
        <f t="shared" si="17"/>
        <v>1.4887153161233773</v>
      </c>
    </row>
    <row r="66" spans="2:31" x14ac:dyDescent="0.2">
      <c r="B66" s="1">
        <v>301</v>
      </c>
      <c r="C66" s="1" t="s">
        <v>62</v>
      </c>
      <c r="D66" s="1">
        <v>10</v>
      </c>
      <c r="E66" s="1">
        <v>2</v>
      </c>
      <c r="F66" s="1">
        <v>2</v>
      </c>
      <c r="G66" s="1">
        <v>1</v>
      </c>
      <c r="H66" s="1">
        <v>3</v>
      </c>
      <c r="I66" s="1">
        <v>2</v>
      </c>
      <c r="J66" s="4">
        <v>13.451000000000001</v>
      </c>
      <c r="K66" s="39">
        <v>31.209249496635671</v>
      </c>
      <c r="L66" s="39">
        <v>33.32845969520146</v>
      </c>
      <c r="M66" s="39">
        <v>31.69268459098997</v>
      </c>
      <c r="N66" s="39">
        <v>31.885762748966172</v>
      </c>
      <c r="O66" s="39">
        <v>30.530665085946545</v>
      </c>
      <c r="P66" s="39">
        <v>31.69268459098997</v>
      </c>
      <c r="Q66" s="39">
        <v>30.627732521658782</v>
      </c>
      <c r="R66" s="39">
        <v>30.918681217567919</v>
      </c>
      <c r="S66" s="39">
        <v>31.015579579128431</v>
      </c>
      <c r="T66" s="39">
        <v>31.982238425147379</v>
      </c>
      <c r="U66" s="39">
        <v>31.789244804247033</v>
      </c>
      <c r="V66" s="39">
        <v>32.078671832790647</v>
      </c>
      <c r="W66" s="5">
        <f t="shared" si="9"/>
        <v>31.562637882439162</v>
      </c>
      <c r="X66" s="4">
        <f t="shared" si="10"/>
        <v>0.22238240351624597</v>
      </c>
      <c r="Y66" s="2">
        <f t="shared" si="11"/>
        <v>30.530665085946545</v>
      </c>
      <c r="Z66" s="3">
        <f t="shared" si="12"/>
        <v>30.991354988738301</v>
      </c>
      <c r="AA66" s="2">
        <f t="shared" si="13"/>
        <v>31.69268459098997</v>
      </c>
      <c r="AB66" s="3">
        <f t="shared" si="14"/>
        <v>31.909881668011472</v>
      </c>
      <c r="AC66" s="3">
        <f t="shared" si="15"/>
        <v>33.32845969520146</v>
      </c>
      <c r="AD66" s="3">
        <f t="shared" si="16"/>
        <v>0.80561197998044709</v>
      </c>
      <c r="AE66" s="3">
        <f t="shared" si="17"/>
        <v>1.3420789672453477</v>
      </c>
    </row>
    <row r="67" spans="2:31" x14ac:dyDescent="0.2">
      <c r="B67" s="1">
        <v>302</v>
      </c>
      <c r="C67" s="1" t="s">
        <v>68</v>
      </c>
      <c r="D67" s="1">
        <v>4</v>
      </c>
      <c r="E67" s="1">
        <v>1</v>
      </c>
      <c r="F67" s="1">
        <v>2</v>
      </c>
      <c r="G67" s="1">
        <v>1</v>
      </c>
      <c r="H67" s="1">
        <v>3</v>
      </c>
      <c r="I67" s="1">
        <v>2</v>
      </c>
      <c r="J67" s="4">
        <v>13.467000000000001</v>
      </c>
      <c r="K67" s="39">
        <v>31.209249496635671</v>
      </c>
      <c r="L67" s="39">
        <v>30.627732521658782</v>
      </c>
      <c r="M67" s="39">
        <v>31.306021052582388</v>
      </c>
      <c r="N67" s="39">
        <v>31.499437358862043</v>
      </c>
      <c r="O67" s="39">
        <v>29.362558911441035</v>
      </c>
      <c r="P67" s="39">
        <v>31.209249496635671</v>
      </c>
      <c r="Q67" s="39">
        <v>30.724757688833094</v>
      </c>
      <c r="R67" s="39">
        <v>30.627732521658782</v>
      </c>
      <c r="S67" s="39">
        <v>30.821740587469471</v>
      </c>
      <c r="T67" s="39">
        <v>30.14197265771827</v>
      </c>
      <c r="U67" s="39">
        <v>31.306021052582388</v>
      </c>
      <c r="V67" s="39">
        <v>30.724757688833094</v>
      </c>
      <c r="W67" s="5">
        <f t="shared" si="9"/>
        <v>30.796769252909218</v>
      </c>
      <c r="X67" s="4">
        <f t="shared" si="10"/>
        <v>0.172032343174184</v>
      </c>
      <c r="Y67" s="2">
        <f t="shared" si="11"/>
        <v>29.362558911441035</v>
      </c>
      <c r="Z67" s="3">
        <f t="shared" si="12"/>
        <v>30.627732521658782</v>
      </c>
      <c r="AA67" s="2">
        <f t="shared" si="13"/>
        <v>30.773249138151282</v>
      </c>
      <c r="AB67" s="3">
        <f t="shared" si="14"/>
        <v>31.23344238562235</v>
      </c>
      <c r="AC67" s="3">
        <f t="shared" si="15"/>
        <v>31.499437358862043</v>
      </c>
      <c r="AD67" s="3">
        <f t="shared" si="16"/>
        <v>-1.2833778824340263</v>
      </c>
      <c r="AE67" s="3">
        <f t="shared" si="17"/>
        <v>2.0295343969585824</v>
      </c>
    </row>
    <row r="68" spans="2:31" x14ac:dyDescent="0.2">
      <c r="B68" s="1">
        <v>303</v>
      </c>
      <c r="C68" s="1" t="s">
        <v>64</v>
      </c>
      <c r="D68" s="1">
        <v>8</v>
      </c>
      <c r="E68" s="1">
        <v>2</v>
      </c>
      <c r="F68" s="1">
        <v>1</v>
      </c>
      <c r="G68" s="1">
        <v>1</v>
      </c>
      <c r="H68" s="1">
        <v>3</v>
      </c>
      <c r="I68" s="1">
        <v>2</v>
      </c>
      <c r="J68" s="4">
        <v>13.486000000000001</v>
      </c>
      <c r="K68" s="39">
        <v>30.918681217567919</v>
      </c>
      <c r="L68" s="39">
        <v>29.85000951689879</v>
      </c>
      <c r="M68" s="39">
        <v>31.015579579128431</v>
      </c>
      <c r="N68" s="39">
        <v>30.044693879316377</v>
      </c>
      <c r="O68" s="39">
        <v>31.015579579128431</v>
      </c>
      <c r="P68" s="39">
        <v>30.239209167582239</v>
      </c>
      <c r="Q68" s="39">
        <v>30.044693879316377</v>
      </c>
      <c r="R68" s="39">
        <v>29.264941984735692</v>
      </c>
      <c r="S68" s="39">
        <v>29.752603932883105</v>
      </c>
      <c r="T68" s="39">
        <v>30.14197265771827</v>
      </c>
      <c r="U68" s="39">
        <v>30.336403408908268</v>
      </c>
      <c r="V68" s="39">
        <v>30.336403408908268</v>
      </c>
      <c r="W68" s="5">
        <f t="shared" si="9"/>
        <v>30.246731017674346</v>
      </c>
      <c r="X68" s="4">
        <f t="shared" si="10"/>
        <v>0.15344487956636607</v>
      </c>
      <c r="Y68" s="2">
        <f t="shared" si="11"/>
        <v>29.264941984735692</v>
      </c>
      <c r="Z68" s="3">
        <f t="shared" si="12"/>
        <v>29.996022788711979</v>
      </c>
      <c r="AA68" s="2">
        <f t="shared" si="13"/>
        <v>30.190590912650254</v>
      </c>
      <c r="AB68" s="3">
        <f t="shared" si="14"/>
        <v>30.481972861073181</v>
      </c>
      <c r="AC68" s="3">
        <f t="shared" si="15"/>
        <v>31.015579579128431</v>
      </c>
      <c r="AD68" s="3">
        <f t="shared" si="16"/>
        <v>4.84702097780405E-2</v>
      </c>
      <c r="AE68" s="3">
        <f t="shared" si="17"/>
        <v>-0.2438641836518407</v>
      </c>
    </row>
    <row r="69" spans="2:31" x14ac:dyDescent="0.2">
      <c r="B69" s="1">
        <v>304</v>
      </c>
      <c r="C69" s="1" t="s">
        <v>70</v>
      </c>
      <c r="D69" s="1">
        <v>2</v>
      </c>
      <c r="E69" s="1">
        <v>1</v>
      </c>
      <c r="F69" s="1">
        <v>1</v>
      </c>
      <c r="G69" s="1">
        <v>1</v>
      </c>
      <c r="H69" s="1">
        <v>3</v>
      </c>
      <c r="I69" s="1">
        <v>2</v>
      </c>
      <c r="J69" s="4">
        <v>13.504</v>
      </c>
      <c r="K69" s="39">
        <v>29.65515608032948</v>
      </c>
      <c r="L69" s="39">
        <v>29.85000951689879</v>
      </c>
      <c r="M69" s="39">
        <v>30.433555381696376</v>
      </c>
      <c r="N69" s="39">
        <v>30.918681217567919</v>
      </c>
      <c r="O69" s="39">
        <v>29.65515608032948</v>
      </c>
      <c r="P69" s="39">
        <v>31.789244804247033</v>
      </c>
      <c r="Q69" s="39">
        <v>31.015579579128431</v>
      </c>
      <c r="R69" s="39">
        <v>32.944670417373203</v>
      </c>
      <c r="S69" s="39">
        <v>29.947372832376555</v>
      </c>
      <c r="T69" s="39">
        <v>31.015579579128431</v>
      </c>
      <c r="U69" s="39">
        <v>34.09400936103728</v>
      </c>
      <c r="V69" s="39">
        <v>31.885762748966172</v>
      </c>
      <c r="W69" s="5">
        <f t="shared" si="9"/>
        <v>31.100398133256601</v>
      </c>
      <c r="X69" s="4">
        <f t="shared" si="10"/>
        <v>0.39902184039951566</v>
      </c>
      <c r="Y69" s="2">
        <f t="shared" si="11"/>
        <v>29.65515608032948</v>
      </c>
      <c r="Z69" s="3">
        <f t="shared" si="12"/>
        <v>29.923032003507114</v>
      </c>
      <c r="AA69" s="2">
        <f t="shared" si="13"/>
        <v>30.967130398348175</v>
      </c>
      <c r="AB69" s="3">
        <f t="shared" si="14"/>
        <v>31.813374290426818</v>
      </c>
      <c r="AC69" s="3">
        <f t="shared" si="15"/>
        <v>34.09400936103728</v>
      </c>
      <c r="AD69" s="3">
        <f t="shared" si="16"/>
        <v>0.99480794818475349</v>
      </c>
      <c r="AE69" s="3">
        <f t="shared" si="17"/>
        <v>0.52598688101269353</v>
      </c>
    </row>
    <row r="70" spans="2:31" x14ac:dyDescent="0.2">
      <c r="B70" s="1">
        <v>305</v>
      </c>
      <c r="C70" s="1" t="s">
        <v>67</v>
      </c>
      <c r="D70" s="1">
        <v>11</v>
      </c>
      <c r="E70" s="1">
        <v>2</v>
      </c>
      <c r="F70" s="1">
        <v>3</v>
      </c>
      <c r="G70" s="1">
        <v>2</v>
      </c>
      <c r="H70" s="1">
        <v>4</v>
      </c>
      <c r="I70" s="1">
        <v>2</v>
      </c>
      <c r="J70" s="4">
        <v>13.521000000000001</v>
      </c>
      <c r="K70" s="39">
        <v>36.374427239979198</v>
      </c>
      <c r="L70" s="39">
        <v>31.499437358862043</v>
      </c>
      <c r="M70" s="39">
        <v>32.944670417373203</v>
      </c>
      <c r="N70" s="39">
        <v>33.232575778551293</v>
      </c>
      <c r="O70" s="39">
        <v>32.271411842463394</v>
      </c>
      <c r="P70" s="39">
        <v>33.136649593363188</v>
      </c>
      <c r="Q70" s="39">
        <v>32.848617426571309</v>
      </c>
      <c r="R70" s="39">
        <v>30.821740587469471</v>
      </c>
      <c r="S70" s="39">
        <v>33.615857833924373</v>
      </c>
      <c r="T70" s="39">
        <v>32.36771844449288</v>
      </c>
      <c r="U70" s="39">
        <v>31.306021052582388</v>
      </c>
      <c r="V70" s="39">
        <v>32.078671832790647</v>
      </c>
      <c r="W70" s="5">
        <f t="shared" si="9"/>
        <v>32.708149950701952</v>
      </c>
      <c r="X70" s="4">
        <f t="shared" si="10"/>
        <v>0.41275312295850886</v>
      </c>
      <c r="Y70" s="2">
        <f t="shared" si="11"/>
        <v>30.821740587469471</v>
      </c>
      <c r="Z70" s="3">
        <f t="shared" si="12"/>
        <v>31.933863214308495</v>
      </c>
      <c r="AA70" s="2">
        <f t="shared" si="13"/>
        <v>32.608167935532094</v>
      </c>
      <c r="AB70" s="3">
        <f t="shared" si="14"/>
        <v>33.160631139660211</v>
      </c>
      <c r="AC70" s="3">
        <f t="shared" si="15"/>
        <v>36.374427239979198</v>
      </c>
      <c r="AD70" s="3">
        <f t="shared" si="16"/>
        <v>1.4428004946885218</v>
      </c>
      <c r="AE70" s="3">
        <f t="shared" si="17"/>
        <v>3.5198126234897025</v>
      </c>
    </row>
    <row r="71" spans="2:31" x14ac:dyDescent="0.2">
      <c r="B71" s="1">
        <v>306</v>
      </c>
      <c r="C71" s="1" t="s">
        <v>68</v>
      </c>
      <c r="D71" s="1">
        <v>4</v>
      </c>
      <c r="E71" s="1">
        <v>1</v>
      </c>
      <c r="F71" s="1">
        <v>2</v>
      </c>
      <c r="G71" s="1">
        <v>1</v>
      </c>
      <c r="H71" s="1">
        <v>4</v>
      </c>
      <c r="I71" s="1">
        <v>2</v>
      </c>
      <c r="J71" s="4">
        <v>13.539</v>
      </c>
      <c r="K71" s="39">
        <v>30.14197265771827</v>
      </c>
      <c r="L71" s="39">
        <v>30.627732521658782</v>
      </c>
      <c r="M71" s="39">
        <v>31.402750339991186</v>
      </c>
      <c r="N71" s="39">
        <v>31.596082109194974</v>
      </c>
      <c r="O71" s="39">
        <v>32.560204842938049</v>
      </c>
      <c r="P71" s="39">
        <v>32.656384639353732</v>
      </c>
      <c r="Q71" s="39">
        <v>31.499437358862043</v>
      </c>
      <c r="R71" s="39">
        <v>32.463982777984434</v>
      </c>
      <c r="S71" s="39">
        <v>32.463982777984434</v>
      </c>
      <c r="T71" s="39">
        <v>31.209249496635671</v>
      </c>
      <c r="U71" s="39">
        <v>30.14197265771827</v>
      </c>
      <c r="V71" s="39">
        <v>30.724757688833094</v>
      </c>
      <c r="W71" s="5">
        <f t="shared" si="9"/>
        <v>31.457375822406078</v>
      </c>
      <c r="X71" s="4">
        <f t="shared" si="10"/>
        <v>0.26758652875302852</v>
      </c>
      <c r="Y71" s="2">
        <f t="shared" si="11"/>
        <v>30.14197265771827</v>
      </c>
      <c r="Z71" s="3">
        <f t="shared" si="12"/>
        <v>30.700501397039517</v>
      </c>
      <c r="AA71" s="2">
        <f t="shared" si="13"/>
        <v>31.451093849426613</v>
      </c>
      <c r="AB71" s="3">
        <f t="shared" si="14"/>
        <v>32.463982777984434</v>
      </c>
      <c r="AC71" s="3">
        <f t="shared" si="15"/>
        <v>32.656384639353732</v>
      </c>
      <c r="AD71" s="3">
        <f t="shared" si="16"/>
        <v>-5.8087189557732288E-2</v>
      </c>
      <c r="AE71" s="3">
        <f t="shared" si="17"/>
        <v>-1.3967119124673264</v>
      </c>
    </row>
    <row r="72" spans="2:31" x14ac:dyDescent="0.2">
      <c r="B72" s="1">
        <v>307</v>
      </c>
      <c r="C72" s="1" t="s">
        <v>63</v>
      </c>
      <c r="D72" s="1">
        <v>9</v>
      </c>
      <c r="E72" s="1">
        <v>2</v>
      </c>
      <c r="F72" s="1">
        <v>2</v>
      </c>
      <c r="G72" s="1">
        <v>2</v>
      </c>
      <c r="H72" s="1">
        <v>4</v>
      </c>
      <c r="I72" s="1">
        <v>2</v>
      </c>
      <c r="J72" s="4">
        <v>13.555</v>
      </c>
      <c r="K72" s="39">
        <v>33.232575778551293</v>
      </c>
      <c r="L72" s="39">
        <v>33.615857833924373</v>
      </c>
      <c r="M72" s="39">
        <v>34.475769749044858</v>
      </c>
      <c r="N72" s="39">
        <v>35.237261635239278</v>
      </c>
      <c r="O72" s="39">
        <v>35.332257912592901</v>
      </c>
      <c r="P72" s="39">
        <v>34.09400936103728</v>
      </c>
      <c r="Q72" s="39">
        <v>33.615857833924373</v>
      </c>
      <c r="R72" s="39">
        <v>34.475769749044858</v>
      </c>
      <c r="S72" s="39">
        <v>34.380393054849854</v>
      </c>
      <c r="T72" s="39">
        <v>33.615857833924373</v>
      </c>
      <c r="U72" s="39">
        <v>36.279895916542827</v>
      </c>
      <c r="V72" s="39">
        <v>33.136649593363188</v>
      </c>
      <c r="W72" s="5">
        <f t="shared" si="9"/>
        <v>34.291013021003288</v>
      </c>
      <c r="X72" s="4">
        <f t="shared" si="10"/>
        <v>0.27345502324186372</v>
      </c>
      <c r="Y72" s="2">
        <f t="shared" si="11"/>
        <v>33.136649593363188</v>
      </c>
      <c r="Z72" s="3">
        <f t="shared" si="12"/>
        <v>33.615857833924373</v>
      </c>
      <c r="AA72" s="2">
        <f t="shared" si="13"/>
        <v>34.237201207943571</v>
      </c>
      <c r="AB72" s="3">
        <f t="shared" si="14"/>
        <v>34.666142720593463</v>
      </c>
      <c r="AC72" s="3">
        <f t="shared" si="15"/>
        <v>36.279895916542827</v>
      </c>
      <c r="AD72" s="3">
        <f t="shared" si="16"/>
        <v>0.79594586947523227</v>
      </c>
      <c r="AE72" s="3">
        <f t="shared" si="17"/>
        <v>0.13156035740637861</v>
      </c>
    </row>
    <row r="73" spans="2:31" x14ac:dyDescent="0.2">
      <c r="B73" s="1">
        <v>308</v>
      </c>
      <c r="C73" s="1" t="s">
        <v>73</v>
      </c>
      <c r="D73" s="1">
        <v>5</v>
      </c>
      <c r="E73" s="1">
        <v>1</v>
      </c>
      <c r="F73" s="1">
        <v>3</v>
      </c>
      <c r="G73" s="1">
        <v>2</v>
      </c>
      <c r="H73" s="1">
        <v>4</v>
      </c>
      <c r="I73" s="1">
        <v>2</v>
      </c>
      <c r="J73" s="4">
        <v>13.571999999999999</v>
      </c>
      <c r="K73" s="39">
        <v>34.189512860846072</v>
      </c>
      <c r="L73" s="39">
        <v>32.656384639353732</v>
      </c>
      <c r="M73" s="39">
        <v>34.284974092116926</v>
      </c>
      <c r="N73" s="39">
        <v>33.32845969520146</v>
      </c>
      <c r="O73" s="39">
        <v>35.332257912592901</v>
      </c>
      <c r="P73" s="39">
        <v>32.848617426571309</v>
      </c>
      <c r="Q73" s="39">
        <v>35.522123661686329</v>
      </c>
      <c r="R73" s="39">
        <v>35.047142274918258</v>
      </c>
      <c r="S73" s="39">
        <v>36.846449829092094</v>
      </c>
      <c r="T73" s="39">
        <v>34.666396331821048</v>
      </c>
      <c r="U73" s="39">
        <v>34.95201919195086</v>
      </c>
      <c r="V73" s="39">
        <v>33.040681139637165</v>
      </c>
      <c r="W73" s="5">
        <f t="shared" si="9"/>
        <v>34.392918254649011</v>
      </c>
      <c r="X73" s="4">
        <f t="shared" si="10"/>
        <v>0.3631483877112599</v>
      </c>
      <c r="Y73" s="2">
        <f t="shared" si="11"/>
        <v>32.656384639353732</v>
      </c>
      <c r="Z73" s="3">
        <f t="shared" si="12"/>
        <v>33.256515056310384</v>
      </c>
      <c r="AA73" s="2">
        <f t="shared" si="13"/>
        <v>34.475685211968987</v>
      </c>
      <c r="AB73" s="3">
        <f t="shared" si="14"/>
        <v>35.118421184336917</v>
      </c>
      <c r="AC73" s="3">
        <f t="shared" si="15"/>
        <v>36.846449829092094</v>
      </c>
      <c r="AD73" s="3">
        <f t="shared" si="16"/>
        <v>0.26882674609916252</v>
      </c>
      <c r="AE73" s="3">
        <f t="shared" si="17"/>
        <v>-0.36259475427115095</v>
      </c>
    </row>
    <row r="74" spans="2:31" x14ac:dyDescent="0.2">
      <c r="B74" s="1">
        <v>401</v>
      </c>
      <c r="C74" s="1" t="s">
        <v>65</v>
      </c>
      <c r="D74" s="1">
        <v>7</v>
      </c>
      <c r="E74" s="1">
        <v>2</v>
      </c>
      <c r="F74" s="1">
        <v>1</v>
      </c>
      <c r="G74" s="1">
        <v>2</v>
      </c>
      <c r="H74" s="1">
        <v>3</v>
      </c>
      <c r="I74" s="1">
        <v>2</v>
      </c>
      <c r="J74" s="4">
        <v>13.77</v>
      </c>
      <c r="K74" s="39">
        <v>35.332257912592901</v>
      </c>
      <c r="L74" s="39">
        <v>33.99846359269057</v>
      </c>
      <c r="M74" s="39">
        <v>34.475769749044858</v>
      </c>
      <c r="N74" s="39">
        <v>34.09400936103728</v>
      </c>
      <c r="O74" s="39">
        <v>33.520100722888003</v>
      </c>
      <c r="P74" s="39">
        <v>31.596082109194974</v>
      </c>
      <c r="Q74" s="39">
        <v>33.99846359269057</v>
      </c>
      <c r="R74" s="39">
        <v>33.232575778551293</v>
      </c>
      <c r="S74" s="39">
        <v>33.90287555580592</v>
      </c>
      <c r="T74" s="39">
        <v>33.807245250383332</v>
      </c>
      <c r="U74" s="39">
        <v>33.040681139637165</v>
      </c>
      <c r="V74" s="39">
        <v>33.99846359269057</v>
      </c>
      <c r="W74" s="5">
        <f t="shared" ref="W74:W85" si="18">AVERAGE(K74:V74)</f>
        <v>33.749749029767287</v>
      </c>
      <c r="X74" s="4">
        <f t="shared" ref="X74:X85" si="19">STDEV(K74:V74)/SQRT(COUNT(K74:V74))</f>
        <v>0.25854416082445159</v>
      </c>
      <c r="Y74" s="2">
        <f t="shared" ref="Y74:Y85" si="20">MIN(K74:V74)</f>
        <v>31.596082109194974</v>
      </c>
      <c r="Z74" s="3">
        <f t="shared" ref="Z74:Z85" si="21">QUARTILE(K74:V74,1)</f>
        <v>33.448219486803822</v>
      </c>
      <c r="AA74" s="2">
        <f t="shared" ref="AA74:AA85" si="22">MEDIAN(K74:V74)</f>
        <v>33.950669574248245</v>
      </c>
      <c r="AB74" s="3">
        <f t="shared" ref="AB74:AB85" si="23">QUARTILE(K74:V74,3)</f>
        <v>34.022350034777247</v>
      </c>
      <c r="AC74" s="3">
        <f t="shared" ref="AC74:AC85" si="24">MAX(K74:V74)</f>
        <v>35.332257912592901</v>
      </c>
      <c r="AD74" s="3">
        <f t="shared" ref="AD74:AD85" si="25">SKEW(K74:V74)</f>
        <v>-0.9201601179810911</v>
      </c>
      <c r="AE74" s="3">
        <f t="shared" ref="AE74:AE85" si="26">KURT(K74:V74)</f>
        <v>2.9258241116372767</v>
      </c>
    </row>
    <row r="75" spans="2:31" x14ac:dyDescent="0.2">
      <c r="B75" s="1">
        <v>402</v>
      </c>
      <c r="C75" s="1" t="s">
        <v>63</v>
      </c>
      <c r="D75" s="1">
        <v>9</v>
      </c>
      <c r="E75" s="1">
        <v>2</v>
      </c>
      <c r="F75" s="1">
        <v>2</v>
      </c>
      <c r="G75" s="1">
        <v>2</v>
      </c>
      <c r="H75" s="1">
        <v>3</v>
      </c>
      <c r="I75" s="1">
        <v>2</v>
      </c>
      <c r="J75" s="4">
        <v>13.750999999999999</v>
      </c>
      <c r="K75" s="39">
        <v>31.306021052582388</v>
      </c>
      <c r="L75" s="39">
        <v>30.821740587469471</v>
      </c>
      <c r="M75" s="39">
        <v>32.944670417373203</v>
      </c>
      <c r="N75" s="39">
        <v>30.918681217567919</v>
      </c>
      <c r="O75" s="39">
        <v>30.530665085946545</v>
      </c>
      <c r="P75" s="39">
        <v>29.65515608032948</v>
      </c>
      <c r="Q75" s="39">
        <v>34.571104174701908</v>
      </c>
      <c r="R75" s="39">
        <v>33.136649593363188</v>
      </c>
      <c r="S75" s="39">
        <v>31.789244804247033</v>
      </c>
      <c r="T75" s="39">
        <v>35.616993133426149</v>
      </c>
      <c r="U75" s="39">
        <v>31.209249496635671</v>
      </c>
      <c r="V75" s="39">
        <v>32.36771844449288</v>
      </c>
      <c r="W75" s="5">
        <f t="shared" si="18"/>
        <v>32.072324507344653</v>
      </c>
      <c r="X75" s="4">
        <f t="shared" si="19"/>
        <v>0.50238923008218184</v>
      </c>
      <c r="Y75" s="2">
        <f t="shared" si="20"/>
        <v>29.65515608032948</v>
      </c>
      <c r="Z75" s="3">
        <f t="shared" si="21"/>
        <v>30.894446060043308</v>
      </c>
      <c r="AA75" s="2">
        <f t="shared" si="22"/>
        <v>31.547632928414711</v>
      </c>
      <c r="AB75" s="3">
        <f t="shared" si="23"/>
        <v>32.992665211370699</v>
      </c>
      <c r="AC75" s="3">
        <f t="shared" si="24"/>
        <v>35.616993133426149</v>
      </c>
      <c r="AD75" s="3">
        <f t="shared" si="25"/>
        <v>0.82043432845634734</v>
      </c>
      <c r="AE75" s="3">
        <f t="shared" si="26"/>
        <v>0.15178908142447423</v>
      </c>
    </row>
    <row r="76" spans="2:31" x14ac:dyDescent="0.2">
      <c r="B76" s="1">
        <v>403</v>
      </c>
      <c r="C76" s="1" t="s">
        <v>72</v>
      </c>
      <c r="D76" s="1">
        <v>6</v>
      </c>
      <c r="E76" s="1">
        <v>1</v>
      </c>
      <c r="F76" s="1">
        <v>3</v>
      </c>
      <c r="G76" s="1">
        <v>1</v>
      </c>
      <c r="H76" s="1">
        <v>3</v>
      </c>
      <c r="I76" s="1">
        <v>2</v>
      </c>
      <c r="J76" s="4">
        <v>13.731</v>
      </c>
      <c r="K76" s="39">
        <v>30.918681217567919</v>
      </c>
      <c r="L76" s="39">
        <v>30.918681217567919</v>
      </c>
      <c r="M76" s="39">
        <v>29.460133569608448</v>
      </c>
      <c r="N76" s="39">
        <v>29.362558911441035</v>
      </c>
      <c r="O76" s="39">
        <v>30.530665085946545</v>
      </c>
      <c r="P76" s="39">
        <v>29.264941984735692</v>
      </c>
      <c r="Q76" s="39">
        <v>29.264941984735692</v>
      </c>
      <c r="R76" s="39">
        <v>28.776223323139998</v>
      </c>
      <c r="S76" s="39">
        <v>29.167282789492415</v>
      </c>
      <c r="T76" s="39">
        <v>30.239209167582239</v>
      </c>
      <c r="U76" s="39">
        <v>29.65515608032948</v>
      </c>
      <c r="V76" s="39">
        <v>30.14197265771827</v>
      </c>
      <c r="W76" s="5">
        <f t="shared" si="18"/>
        <v>29.808370665822139</v>
      </c>
      <c r="X76" s="4">
        <f t="shared" si="19"/>
        <v>0.20770469176182929</v>
      </c>
      <c r="Y76" s="2">
        <f t="shared" si="20"/>
        <v>28.776223323139998</v>
      </c>
      <c r="Z76" s="3">
        <f t="shared" si="21"/>
        <v>29.264941984735692</v>
      </c>
      <c r="AA76" s="2">
        <f t="shared" si="22"/>
        <v>29.557644824968964</v>
      </c>
      <c r="AB76" s="3">
        <f t="shared" si="23"/>
        <v>30.312073147173315</v>
      </c>
      <c r="AC76" s="3">
        <f t="shared" si="24"/>
        <v>30.918681217567919</v>
      </c>
      <c r="AD76" s="3">
        <f t="shared" si="25"/>
        <v>0.41383708492248866</v>
      </c>
      <c r="AE76" s="3">
        <f t="shared" si="26"/>
        <v>-1.1573197459049998</v>
      </c>
    </row>
    <row r="77" spans="2:31" x14ac:dyDescent="0.2">
      <c r="B77" s="1">
        <v>404</v>
      </c>
      <c r="C77" s="1" t="s">
        <v>69</v>
      </c>
      <c r="D77" s="1">
        <v>3</v>
      </c>
      <c r="E77" s="1">
        <v>1</v>
      </c>
      <c r="F77" s="1">
        <v>2</v>
      </c>
      <c r="G77" s="1">
        <v>2</v>
      </c>
      <c r="H77" s="1">
        <v>3</v>
      </c>
      <c r="I77" s="1">
        <v>2</v>
      </c>
      <c r="J77" s="4">
        <v>13.705</v>
      </c>
      <c r="K77" s="39">
        <v>28.874051592535</v>
      </c>
      <c r="L77" s="39">
        <v>28.97183759339207</v>
      </c>
      <c r="M77" s="39">
        <v>29.65515608032948</v>
      </c>
      <c r="N77" s="39">
        <v>27.40218935512722</v>
      </c>
      <c r="O77" s="39">
        <v>28.482484903727411</v>
      </c>
      <c r="P77" s="39">
        <v>29.460133569608448</v>
      </c>
      <c r="Q77" s="39">
        <v>30.433555381696376</v>
      </c>
      <c r="R77" s="39">
        <v>29.65515608032948</v>
      </c>
      <c r="S77" s="39">
        <v>30.336403408908268</v>
      </c>
      <c r="T77" s="39">
        <v>29.65515608032948</v>
      </c>
      <c r="U77" s="39">
        <v>29.069581325711209</v>
      </c>
      <c r="V77" s="39">
        <v>29.557665959237934</v>
      </c>
      <c r="W77" s="5">
        <f t="shared" si="18"/>
        <v>29.296114277577701</v>
      </c>
      <c r="X77" s="4">
        <f t="shared" si="19"/>
        <v>0.23743535367348248</v>
      </c>
      <c r="Y77" s="2">
        <f t="shared" si="20"/>
        <v>27.40218935512722</v>
      </c>
      <c r="Z77" s="3">
        <f t="shared" si="21"/>
        <v>28.947391093177803</v>
      </c>
      <c r="AA77" s="2">
        <f t="shared" si="22"/>
        <v>29.508899764423191</v>
      </c>
      <c r="AB77" s="3">
        <f t="shared" si="23"/>
        <v>29.65515608032948</v>
      </c>
      <c r="AC77" s="3">
        <f t="shared" si="24"/>
        <v>30.433555381696376</v>
      </c>
      <c r="AD77" s="3">
        <f t="shared" si="25"/>
        <v>-0.92036468723859344</v>
      </c>
      <c r="AE77" s="3">
        <f t="shared" si="26"/>
        <v>1.5616989969488637</v>
      </c>
    </row>
    <row r="78" spans="2:31" x14ac:dyDescent="0.2">
      <c r="B78" s="1">
        <v>405</v>
      </c>
      <c r="C78" s="1" t="s">
        <v>72</v>
      </c>
      <c r="D78" s="1">
        <v>6</v>
      </c>
      <c r="E78" s="1">
        <v>1</v>
      </c>
      <c r="F78" s="1">
        <v>3</v>
      </c>
      <c r="G78" s="1">
        <v>1</v>
      </c>
      <c r="H78" s="1">
        <v>4</v>
      </c>
      <c r="I78" s="1">
        <v>2</v>
      </c>
      <c r="J78" s="4">
        <v>13.68</v>
      </c>
      <c r="K78" s="39">
        <v>29.947372832376555</v>
      </c>
      <c r="L78" s="39">
        <v>30.239209167582239</v>
      </c>
      <c r="M78" s="39">
        <v>30.14197265771827</v>
      </c>
      <c r="N78" s="39">
        <v>30.530665085946545</v>
      </c>
      <c r="O78" s="39">
        <v>32.271411842463394</v>
      </c>
      <c r="P78" s="39">
        <v>30.627732521658782</v>
      </c>
      <c r="Q78" s="39">
        <v>31.402750339991186</v>
      </c>
      <c r="R78" s="39">
        <v>30.530665085946545</v>
      </c>
      <c r="S78" s="39">
        <v>29.85000951689879</v>
      </c>
      <c r="T78" s="39">
        <v>30.239209167582239</v>
      </c>
      <c r="U78" s="39">
        <v>31.69268459098997</v>
      </c>
      <c r="V78" s="39">
        <v>31.69268459098997</v>
      </c>
      <c r="W78" s="5">
        <f t="shared" si="18"/>
        <v>30.763863950012041</v>
      </c>
      <c r="X78" s="4">
        <f t="shared" si="19"/>
        <v>0.22983276117974749</v>
      </c>
      <c r="Y78" s="2">
        <f t="shared" si="20"/>
        <v>29.85000951689879</v>
      </c>
      <c r="Z78" s="3">
        <f t="shared" si="21"/>
        <v>30.214900040116248</v>
      </c>
      <c r="AA78" s="2">
        <f t="shared" si="22"/>
        <v>30.530665085946545</v>
      </c>
      <c r="AB78" s="3">
        <f t="shared" si="23"/>
        <v>31.475233902740882</v>
      </c>
      <c r="AC78" s="3">
        <f t="shared" si="24"/>
        <v>32.271411842463394</v>
      </c>
      <c r="AD78" s="3">
        <f t="shared" si="25"/>
        <v>0.74032280935554906</v>
      </c>
      <c r="AE78" s="3">
        <f t="shared" si="26"/>
        <v>-0.79022742461168605</v>
      </c>
    </row>
    <row r="79" spans="2:31" x14ac:dyDescent="0.2">
      <c r="B79" s="1">
        <v>406</v>
      </c>
      <c r="C79" s="1" t="s">
        <v>69</v>
      </c>
      <c r="D79" s="1">
        <v>3</v>
      </c>
      <c r="E79" s="1">
        <v>1</v>
      </c>
      <c r="F79" s="1">
        <v>2</v>
      </c>
      <c r="G79" s="1">
        <v>2</v>
      </c>
      <c r="H79" s="1">
        <v>4</v>
      </c>
      <c r="I79" s="1">
        <v>2</v>
      </c>
      <c r="J79" s="4">
        <v>13.661</v>
      </c>
      <c r="K79" s="39">
        <v>32.36771844449288</v>
      </c>
      <c r="L79" s="39">
        <v>32.17506297189599</v>
      </c>
      <c r="M79" s="39">
        <v>31.982238425147379</v>
      </c>
      <c r="N79" s="39">
        <v>31.112435672151012</v>
      </c>
      <c r="O79" s="39">
        <v>31.015579579128431</v>
      </c>
      <c r="P79" s="39">
        <v>31.209249496635671</v>
      </c>
      <c r="Q79" s="39">
        <v>31.499437358862043</v>
      </c>
      <c r="R79" s="39">
        <v>31.402750339991186</v>
      </c>
      <c r="S79" s="39">
        <v>30.627732521658782</v>
      </c>
      <c r="T79" s="39">
        <v>30.530665085946545</v>
      </c>
      <c r="U79" s="39">
        <v>31.789244804247033</v>
      </c>
      <c r="V79" s="39">
        <v>31.209249496635671</v>
      </c>
      <c r="W79" s="5">
        <f t="shared" si="18"/>
        <v>31.410113683066058</v>
      </c>
      <c r="X79" s="4">
        <f t="shared" si="19"/>
        <v>0.16723614849219839</v>
      </c>
      <c r="Y79" s="2">
        <f t="shared" si="20"/>
        <v>30.530665085946545</v>
      </c>
      <c r="Z79" s="3">
        <f t="shared" si="21"/>
        <v>31.088221648895367</v>
      </c>
      <c r="AA79" s="2">
        <f t="shared" si="22"/>
        <v>31.305999918313429</v>
      </c>
      <c r="AB79" s="3">
        <f t="shared" si="23"/>
        <v>31.837493209472122</v>
      </c>
      <c r="AC79" s="3">
        <f t="shared" si="24"/>
        <v>32.36771844449288</v>
      </c>
      <c r="AD79" s="3">
        <f t="shared" si="25"/>
        <v>0.1711957768325702</v>
      </c>
      <c r="AE79" s="3">
        <f t="shared" si="26"/>
        <v>-0.78859387497276412</v>
      </c>
    </row>
    <row r="80" spans="2:31" x14ac:dyDescent="0.2">
      <c r="B80" s="1">
        <v>407</v>
      </c>
      <c r="C80" s="1" t="s">
        <v>65</v>
      </c>
      <c r="D80" s="1">
        <v>7</v>
      </c>
      <c r="E80" s="1">
        <v>2</v>
      </c>
      <c r="F80" s="1">
        <v>1</v>
      </c>
      <c r="G80" s="1">
        <v>2</v>
      </c>
      <c r="H80" s="1">
        <v>4</v>
      </c>
      <c r="I80" s="1">
        <v>2</v>
      </c>
      <c r="J80" s="4">
        <v>13.63</v>
      </c>
      <c r="K80" s="39">
        <v>34.761646220402241</v>
      </c>
      <c r="L80" s="39">
        <v>31.015579579128431</v>
      </c>
      <c r="M80" s="39">
        <v>30.627732521658782</v>
      </c>
      <c r="N80" s="39">
        <v>31.982238425147379</v>
      </c>
      <c r="O80" s="39">
        <v>32.17506297189599</v>
      </c>
      <c r="P80" s="39">
        <v>31.982238425147379</v>
      </c>
      <c r="Q80" s="39">
        <v>31.885762748966172</v>
      </c>
      <c r="R80" s="39">
        <v>31.112435672151012</v>
      </c>
      <c r="S80" s="39">
        <v>34.571104174701908</v>
      </c>
      <c r="T80" s="39">
        <v>33.424301343313701</v>
      </c>
      <c r="U80" s="39">
        <v>32.17506297189599</v>
      </c>
      <c r="V80" s="39">
        <v>34.95201919195086</v>
      </c>
      <c r="W80" s="5">
        <f t="shared" si="18"/>
        <v>32.555432020529985</v>
      </c>
      <c r="X80" s="4">
        <f t="shared" si="19"/>
        <v>0.4351350244547838</v>
      </c>
      <c r="Y80" s="2">
        <f t="shared" si="20"/>
        <v>30.627732521658782</v>
      </c>
      <c r="Z80" s="3">
        <f t="shared" si="21"/>
        <v>31.692430979762381</v>
      </c>
      <c r="AA80" s="2">
        <f t="shared" si="22"/>
        <v>32.078650698521685</v>
      </c>
      <c r="AB80" s="3">
        <f t="shared" si="23"/>
        <v>33.711002051160754</v>
      </c>
      <c r="AC80" s="3">
        <f t="shared" si="24"/>
        <v>34.95201919195086</v>
      </c>
      <c r="AD80" s="3">
        <f t="shared" si="25"/>
        <v>0.59700622693055694</v>
      </c>
      <c r="AE80" s="3">
        <f t="shared" si="26"/>
        <v>-1.0425492744620724</v>
      </c>
    </row>
    <row r="81" spans="2:31" x14ac:dyDescent="0.2">
      <c r="B81" s="1">
        <v>408</v>
      </c>
      <c r="C81" s="1" t="s">
        <v>62</v>
      </c>
      <c r="D81" s="1">
        <v>10</v>
      </c>
      <c r="E81" s="1">
        <v>2</v>
      </c>
      <c r="F81" s="1">
        <v>2</v>
      </c>
      <c r="G81" s="1">
        <v>1</v>
      </c>
      <c r="H81" s="1">
        <v>4</v>
      </c>
      <c r="I81" s="1">
        <v>2</v>
      </c>
      <c r="J81" s="4">
        <v>13.603</v>
      </c>
      <c r="K81" s="39">
        <v>32.848617426571309</v>
      </c>
      <c r="L81" s="39">
        <v>33.711572676422826</v>
      </c>
      <c r="M81" s="39">
        <v>33.615857833924373</v>
      </c>
      <c r="N81" s="39">
        <v>31.596082109194974</v>
      </c>
      <c r="O81" s="39">
        <v>33.040681139637165</v>
      </c>
      <c r="P81" s="39">
        <v>31.499437358862043</v>
      </c>
      <c r="Q81" s="39">
        <v>31.789244804247033</v>
      </c>
      <c r="R81" s="39">
        <v>32.17506297189599</v>
      </c>
      <c r="S81" s="39">
        <v>31.015579579128431</v>
      </c>
      <c r="T81" s="39">
        <v>31.982238425147379</v>
      </c>
      <c r="U81" s="39">
        <v>30.821740587469471</v>
      </c>
      <c r="V81" s="39">
        <v>31.112435672151012</v>
      </c>
      <c r="W81" s="5">
        <f t="shared" si="18"/>
        <v>32.100712548721006</v>
      </c>
      <c r="X81" s="4">
        <f t="shared" si="19"/>
        <v>0.28678167525125242</v>
      </c>
      <c r="Y81" s="2">
        <f t="shared" si="20"/>
        <v>30.821740587469471</v>
      </c>
      <c r="Z81" s="3">
        <f t="shared" si="21"/>
        <v>31.402686937184285</v>
      </c>
      <c r="AA81" s="2">
        <f t="shared" si="22"/>
        <v>31.885741614697206</v>
      </c>
      <c r="AB81" s="3">
        <f t="shared" si="23"/>
        <v>32.896633354837775</v>
      </c>
      <c r="AC81" s="3">
        <f t="shared" si="24"/>
        <v>33.711572676422826</v>
      </c>
      <c r="AD81" s="3">
        <f t="shared" si="25"/>
        <v>0.46672008382834618</v>
      </c>
      <c r="AE81" s="3">
        <f t="shared" si="26"/>
        <v>-1.069813332686945</v>
      </c>
    </row>
    <row r="82" spans="2:31" x14ac:dyDescent="0.2">
      <c r="B82" s="1">
        <v>902</v>
      </c>
      <c r="C82" s="1" t="s">
        <v>119</v>
      </c>
      <c r="D82" s="1">
        <v>22</v>
      </c>
      <c r="E82" s="1">
        <v>4</v>
      </c>
      <c r="F82" s="1">
        <v>2</v>
      </c>
      <c r="G82" s="1">
        <v>2</v>
      </c>
      <c r="H82" s="1">
        <v>1</v>
      </c>
      <c r="I82" s="1">
        <v>2</v>
      </c>
      <c r="J82" s="4">
        <v>13.417</v>
      </c>
      <c r="K82" s="39">
        <v>40.584588857857192</v>
      </c>
      <c r="L82" s="39">
        <v>39.097448805633931</v>
      </c>
      <c r="M82" s="39">
        <v>42.428297249481055</v>
      </c>
      <c r="N82" s="39">
        <v>42.152818838454721</v>
      </c>
      <c r="O82" s="39">
        <v>44.255098225932464</v>
      </c>
      <c r="P82" s="39">
        <v>45.162158433468498</v>
      </c>
      <c r="Q82" s="39">
        <v>45.52379899742084</v>
      </c>
      <c r="R82" s="39">
        <v>44.70915668642462</v>
      </c>
      <c r="S82" s="39">
        <v>45.252631977263476</v>
      </c>
      <c r="T82" s="39">
        <v>43.526406725172592</v>
      </c>
      <c r="U82" s="39">
        <v>43.708833211590154</v>
      </c>
      <c r="V82" s="39">
        <v>44.890484190855958</v>
      </c>
      <c r="W82" s="5">
        <f t="shared" si="18"/>
        <v>43.440976849962965</v>
      </c>
      <c r="X82" s="4">
        <f t="shared" si="19"/>
        <v>0.58221076997146648</v>
      </c>
      <c r="Y82" s="2">
        <f t="shared" si="20"/>
        <v>39.097448805633931</v>
      </c>
      <c r="Z82" s="3">
        <f t="shared" si="21"/>
        <v>42.35942764672447</v>
      </c>
      <c r="AA82" s="2">
        <f t="shared" si="22"/>
        <v>43.981965718761309</v>
      </c>
      <c r="AB82" s="3">
        <f t="shared" si="23"/>
        <v>44.958402751509091</v>
      </c>
      <c r="AC82" s="3">
        <f t="shared" si="24"/>
        <v>45.52379899742084</v>
      </c>
      <c r="AD82" s="3">
        <f t="shared" si="25"/>
        <v>-1.0997461907826125</v>
      </c>
      <c r="AE82" s="3">
        <f t="shared" si="26"/>
        <v>0.46301710099220017</v>
      </c>
    </row>
    <row r="83" spans="2:31" x14ac:dyDescent="0.2">
      <c r="B83" s="1">
        <v>904</v>
      </c>
      <c r="C83" s="1" t="s">
        <v>120</v>
      </c>
      <c r="D83" s="1">
        <v>21</v>
      </c>
      <c r="E83" s="1">
        <v>3</v>
      </c>
      <c r="F83" s="1">
        <v>2</v>
      </c>
      <c r="G83" s="1">
        <v>2</v>
      </c>
      <c r="H83" s="1">
        <v>1</v>
      </c>
      <c r="I83" s="1">
        <v>2</v>
      </c>
      <c r="J83" s="4">
        <v>13.387</v>
      </c>
      <c r="K83" s="39">
        <v>43.252449981511781</v>
      </c>
      <c r="L83" s="39">
        <v>42.152818838454721</v>
      </c>
      <c r="M83" s="39">
        <v>43.069600809714913</v>
      </c>
      <c r="N83" s="39">
        <v>43.89109062385598</v>
      </c>
      <c r="O83" s="39">
        <v>43.89109062385598</v>
      </c>
      <c r="P83" s="39">
        <v>44.255098225932464</v>
      </c>
      <c r="Q83" s="39">
        <v>43.526406725172592</v>
      </c>
      <c r="R83" s="39">
        <v>46.694460156824562</v>
      </c>
      <c r="S83" s="39">
        <v>42.520038849413964</v>
      </c>
      <c r="T83" s="39">
        <v>41.784922530888572</v>
      </c>
      <c r="U83" s="39">
        <v>43.708833211590154</v>
      </c>
      <c r="V83" s="39">
        <v>45.974898660257821</v>
      </c>
      <c r="W83" s="5">
        <f t="shared" si="18"/>
        <v>43.726809103122783</v>
      </c>
      <c r="X83" s="4">
        <f t="shared" si="19"/>
        <v>0.41374135977153176</v>
      </c>
      <c r="Y83" s="2">
        <f t="shared" si="20"/>
        <v>41.784922530888572</v>
      </c>
      <c r="Z83" s="3">
        <f t="shared" si="21"/>
        <v>42.93221031963968</v>
      </c>
      <c r="AA83" s="2">
        <f t="shared" si="22"/>
        <v>43.617619968381376</v>
      </c>
      <c r="AB83" s="3">
        <f t="shared" si="23"/>
        <v>43.982092524375105</v>
      </c>
      <c r="AC83" s="3">
        <f t="shared" si="24"/>
        <v>46.694460156824562</v>
      </c>
      <c r="AD83" s="3">
        <f t="shared" si="25"/>
        <v>0.89949932752708439</v>
      </c>
      <c r="AE83" s="3">
        <f t="shared" si="26"/>
        <v>0.66820638922894915</v>
      </c>
    </row>
    <row r="84" spans="2:31" x14ac:dyDescent="0.2">
      <c r="B84" s="1">
        <v>906</v>
      </c>
      <c r="C84" s="1" t="s">
        <v>119</v>
      </c>
      <c r="D84" s="1">
        <v>22</v>
      </c>
      <c r="E84" s="1">
        <v>4</v>
      </c>
      <c r="F84" s="1">
        <v>2</v>
      </c>
      <c r="G84" s="1">
        <v>2</v>
      </c>
      <c r="H84" s="1">
        <v>2</v>
      </c>
      <c r="I84" s="1">
        <v>2</v>
      </c>
      <c r="J84" s="4">
        <v>13.346</v>
      </c>
      <c r="K84" s="39">
        <v>41.416349926715519</v>
      </c>
      <c r="L84" s="39">
        <v>41.50855648056568</v>
      </c>
      <c r="M84" s="39">
        <v>44.255098225932464</v>
      </c>
      <c r="N84" s="39">
        <v>43.89109062385598</v>
      </c>
      <c r="O84" s="39">
        <v>42.520038849413964</v>
      </c>
      <c r="P84" s="39">
        <v>39.563342456746803</v>
      </c>
      <c r="Q84" s="39">
        <v>43.799983051992029</v>
      </c>
      <c r="R84" s="39">
        <v>43.252449981511781</v>
      </c>
      <c r="S84" s="39">
        <v>44.527660107841555</v>
      </c>
      <c r="T84" s="39">
        <v>43.343811164603316</v>
      </c>
      <c r="U84" s="39">
        <v>45.071642621135588</v>
      </c>
      <c r="V84" s="39">
        <v>44.890484190855958</v>
      </c>
      <c r="W84" s="5">
        <f t="shared" si="18"/>
        <v>43.170042306764223</v>
      </c>
      <c r="X84" s="4">
        <f t="shared" si="19"/>
        <v>0.47527471760560869</v>
      </c>
      <c r="Y84" s="2">
        <f t="shared" si="20"/>
        <v>39.563342456746803</v>
      </c>
      <c r="Z84" s="3">
        <f t="shared" si="21"/>
        <v>42.267168257201895</v>
      </c>
      <c r="AA84" s="2">
        <f t="shared" si="22"/>
        <v>43.571897108297676</v>
      </c>
      <c r="AB84" s="3">
        <f t="shared" si="23"/>
        <v>44.323238696409739</v>
      </c>
      <c r="AC84" s="3">
        <f t="shared" si="24"/>
        <v>45.071642621135588</v>
      </c>
      <c r="AD84" s="3">
        <f t="shared" si="25"/>
        <v>-0.99715392987187057</v>
      </c>
      <c r="AE84" s="3">
        <f t="shared" si="26"/>
        <v>0.54587820605560466</v>
      </c>
    </row>
    <row r="85" spans="2:31" x14ac:dyDescent="0.2">
      <c r="B85" s="1">
        <v>908</v>
      </c>
      <c r="C85" s="1" t="s">
        <v>120</v>
      </c>
      <c r="D85" s="1">
        <v>21</v>
      </c>
      <c r="E85" s="1">
        <v>3</v>
      </c>
      <c r="F85" s="1">
        <v>2</v>
      </c>
      <c r="G85" s="1">
        <v>2</v>
      </c>
      <c r="H85" s="1">
        <v>2</v>
      </c>
      <c r="I85" s="1">
        <v>2</v>
      </c>
      <c r="J85" s="4">
        <v>13.31</v>
      </c>
      <c r="K85" s="39">
        <v>42.978112821009589</v>
      </c>
      <c r="L85" s="39">
        <v>41.324101104327426</v>
      </c>
      <c r="M85" s="39">
        <v>42.520038849413964</v>
      </c>
      <c r="N85" s="39">
        <v>41.50855648056568</v>
      </c>
      <c r="O85" s="39">
        <v>40.399288110860311</v>
      </c>
      <c r="P85" s="39">
        <v>41.968955221747507</v>
      </c>
      <c r="Q85" s="39">
        <v>42.978112821009589</v>
      </c>
      <c r="R85" s="39">
        <v>43.526406725172592</v>
      </c>
      <c r="S85" s="39">
        <v>42.244687244001433</v>
      </c>
      <c r="T85" s="39">
        <v>42.795010037985129</v>
      </c>
      <c r="U85" s="39">
        <v>42.611738180808956</v>
      </c>
      <c r="V85" s="39">
        <v>42.611738180808956</v>
      </c>
      <c r="W85" s="5">
        <f t="shared" si="18"/>
        <v>42.288895481475933</v>
      </c>
      <c r="X85" s="4">
        <f t="shared" si="19"/>
        <v>0.24945696291903957</v>
      </c>
      <c r="Y85" s="2">
        <f t="shared" si="20"/>
        <v>40.399288110860311</v>
      </c>
      <c r="Z85" s="3">
        <f t="shared" si="21"/>
        <v>41.853855536452052</v>
      </c>
      <c r="AA85" s="2">
        <f t="shared" si="22"/>
        <v>42.56588851511146</v>
      </c>
      <c r="AB85" s="3">
        <f t="shared" si="23"/>
        <v>42.840785733741242</v>
      </c>
      <c r="AC85" s="3">
        <f t="shared" si="24"/>
        <v>43.526406725172592</v>
      </c>
      <c r="AD85" s="3">
        <f t="shared" si="25"/>
        <v>-0.91186710624475098</v>
      </c>
      <c r="AE85" s="3">
        <f t="shared" si="26"/>
        <v>0.73772077775580147</v>
      </c>
    </row>
    <row r="88" spans="2:31" x14ac:dyDescent="0.2">
      <c r="W88" s="3"/>
    </row>
  </sheetData>
  <autoFilter ref="B9:AE85" xr:uid="{82016C94-038C-4AAE-B078-906221A49B13}"/>
  <conditionalFormatting sqref="K10:V85">
    <cfRule type="cellIs" dxfId="11" priority="3" stopIfTrue="1" operator="lessThan">
      <formula>$W10-$V$5*$X10</formula>
    </cfRule>
    <cfRule type="cellIs" dxfId="10" priority="4" stopIfTrue="1" operator="greaterThan">
      <formula>$W10+$V$5*$X10</formula>
    </cfRule>
  </conditionalFormatting>
  <conditionalFormatting sqref="W10:W85">
    <cfRule type="cellIs" dxfId="9" priority="1" stopIfTrue="1" operator="lessThan">
      <formula>AVERAGE($W$10:$W$41)</formula>
    </cfRule>
    <cfRule type="cellIs" dxfId="8" priority="2" stopIfTrue="1" operator="greaterThan">
      <formula>AVERAGE($W$10:$W$41)</formula>
    </cfRule>
  </conditionalFormatting>
  <pageMargins left="0.75" right="0.75" top="1" bottom="1" header="0.5" footer="0.5"/>
  <pageSetup orientation="portrait" r:id="rId2"/>
  <headerFooter alignWithMargins="0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8C61-32FC-42DA-BCFF-89A0E6E050C9}">
  <dimension ref="A1:AO88"/>
  <sheetViews>
    <sheetView topLeftCell="A18" zoomScale="75" workbookViewId="0">
      <selection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28515625" style="1" customWidth="1"/>
    <col min="34" max="41" width="20.5703125" style="1" customWidth="1"/>
    <col min="42" max="45" width="21.7109375" style="1" bestFit="1" customWidth="1"/>
    <col min="46" max="16384" width="9.140625" style="1"/>
  </cols>
  <sheetData>
    <row r="1" spans="1:41" ht="15.75" x14ac:dyDescent="0.25">
      <c r="B1" s="56" t="s">
        <v>147</v>
      </c>
    </row>
    <row r="2" spans="1:41" ht="15" x14ac:dyDescent="0.25">
      <c r="I2" s="32" t="s">
        <v>132</v>
      </c>
      <c r="J2" s="38"/>
      <c r="Q2" s="55">
        <v>5481</v>
      </c>
    </row>
    <row r="3" spans="1:41" x14ac:dyDescent="0.2">
      <c r="A3" s="54"/>
      <c r="I3" s="33" t="s">
        <v>117</v>
      </c>
      <c r="J3" s="52">
        <v>-1.6531146818483371</v>
      </c>
      <c r="T3" s="38" t="s">
        <v>131</v>
      </c>
      <c r="U3" s="38"/>
      <c r="V3" s="38"/>
      <c r="W3" s="38"/>
      <c r="X3" s="38"/>
    </row>
    <row r="4" spans="1:41" x14ac:dyDescent="0.2">
      <c r="I4" s="33" t="s">
        <v>116</v>
      </c>
      <c r="J4" s="52">
        <v>1.0981139989847872</v>
      </c>
      <c r="O4" s="37" t="s">
        <v>115</v>
      </c>
      <c r="P4" s="53">
        <v>40.1</v>
      </c>
      <c r="T4" s="38" t="s">
        <v>130</v>
      </c>
      <c r="U4" s="38"/>
      <c r="V4" s="38" t="s">
        <v>129</v>
      </c>
      <c r="W4" s="38"/>
      <c r="X4" s="38"/>
    </row>
    <row r="5" spans="1:41" x14ac:dyDescent="0.2">
      <c r="I5" s="33" t="s">
        <v>114</v>
      </c>
      <c r="J5" s="52">
        <v>2.673489260619941E-2</v>
      </c>
      <c r="O5" s="35" t="s">
        <v>113</v>
      </c>
      <c r="P5" s="34"/>
      <c r="T5" s="38" t="s">
        <v>128</v>
      </c>
      <c r="U5" s="38"/>
      <c r="V5" s="38">
        <v>5</v>
      </c>
      <c r="W5" s="38"/>
      <c r="X5" s="38"/>
    </row>
    <row r="6" spans="1:41" x14ac:dyDescent="0.2">
      <c r="I6" s="33" t="s">
        <v>127</v>
      </c>
      <c r="J6" s="51">
        <v>-2.1134268965570043E-3</v>
      </c>
      <c r="T6" s="38" t="s">
        <v>126</v>
      </c>
      <c r="U6" s="38"/>
      <c r="V6" s="38">
        <v>5</v>
      </c>
      <c r="W6" s="38"/>
      <c r="X6" s="38"/>
    </row>
    <row r="7" spans="1:41" x14ac:dyDescent="0.2">
      <c r="I7" s="33" t="s">
        <v>111</v>
      </c>
      <c r="J7" s="51"/>
      <c r="AG7" s="31" t="s">
        <v>107</v>
      </c>
      <c r="AH7" s="30" t="s">
        <v>110</v>
      </c>
    </row>
    <row r="9" spans="1:41" x14ac:dyDescent="0.2">
      <c r="B9" s="26" t="s">
        <v>109</v>
      </c>
      <c r="C9" s="29" t="s">
        <v>81</v>
      </c>
      <c r="D9" s="29" t="s">
        <v>108</v>
      </c>
      <c r="E9" s="28" t="s">
        <v>107</v>
      </c>
      <c r="F9" s="29" t="s">
        <v>106</v>
      </c>
      <c r="G9" s="28" t="s">
        <v>105</v>
      </c>
      <c r="H9" s="28" t="s">
        <v>104</v>
      </c>
      <c r="I9" s="26" t="s">
        <v>85</v>
      </c>
      <c r="J9" s="26" t="s">
        <v>103</v>
      </c>
      <c r="K9" s="27" t="s">
        <v>102</v>
      </c>
      <c r="L9" s="27" t="s">
        <v>101</v>
      </c>
      <c r="M9" s="27" t="s">
        <v>100</v>
      </c>
      <c r="N9" s="27" t="s">
        <v>99</v>
      </c>
      <c r="O9" s="27" t="s">
        <v>98</v>
      </c>
      <c r="P9" s="27" t="s">
        <v>97</v>
      </c>
      <c r="Q9" s="27" t="s">
        <v>96</v>
      </c>
      <c r="R9" s="27" t="s">
        <v>95</v>
      </c>
      <c r="S9" s="27" t="s">
        <v>94</v>
      </c>
      <c r="T9" s="27" t="s">
        <v>93</v>
      </c>
      <c r="U9" s="27" t="s">
        <v>92</v>
      </c>
      <c r="V9" s="27" t="s">
        <v>91</v>
      </c>
      <c r="W9" s="26" t="s">
        <v>90</v>
      </c>
      <c r="X9" s="26" t="s">
        <v>125</v>
      </c>
      <c r="Y9" s="26" t="s">
        <v>88</v>
      </c>
      <c r="Z9" s="26" t="s">
        <v>87</v>
      </c>
      <c r="AA9" s="26" t="s">
        <v>86</v>
      </c>
      <c r="AB9" s="26" t="s">
        <v>124</v>
      </c>
      <c r="AC9" s="26" t="s">
        <v>123</v>
      </c>
      <c r="AD9" s="26" t="s">
        <v>122</v>
      </c>
      <c r="AE9" s="26" t="s">
        <v>121</v>
      </c>
      <c r="AF9" s="26"/>
      <c r="AG9" s="25"/>
      <c r="AH9" s="25" t="s">
        <v>85</v>
      </c>
      <c r="AI9" s="25" t="s">
        <v>84</v>
      </c>
      <c r="AJ9" s="25"/>
      <c r="AK9" s="25"/>
      <c r="AL9" s="25"/>
      <c r="AM9" s="25"/>
      <c r="AN9" s="25"/>
      <c r="AO9" s="25"/>
    </row>
    <row r="10" spans="1:41" x14ac:dyDescent="0.2">
      <c r="B10" s="1">
        <v>101</v>
      </c>
      <c r="C10" s="1" t="s">
        <v>71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1">
        <v>1</v>
      </c>
      <c r="J10" s="4">
        <v>13.016</v>
      </c>
      <c r="K10" s="39">
        <v>32.20179786450219</v>
      </c>
      <c r="L10" s="39">
        <v>32.490717670590634</v>
      </c>
      <c r="M10" s="39">
        <v>32.683119531959932</v>
      </c>
      <c r="N10" s="39">
        <v>32.490717670590634</v>
      </c>
      <c r="O10" s="39">
        <v>32.779257059837683</v>
      </c>
      <c r="P10" s="39">
        <v>32.39445333709908</v>
      </c>
      <c r="Q10" s="39">
        <v>32.875352319177509</v>
      </c>
      <c r="R10" s="39">
        <v>32.683119531959932</v>
      </c>
      <c r="S10" s="39">
        <v>32.39445333709908</v>
      </c>
      <c r="T10" s="39">
        <v>32.298146735069594</v>
      </c>
      <c r="U10" s="39">
        <v>32.779257059837683</v>
      </c>
      <c r="V10" s="39">
        <v>32.105406725396847</v>
      </c>
      <c r="W10" s="5">
        <f t="shared" ref="W10:W41" si="0">AVERAGE(K10:V10)</f>
        <v>32.514649903593401</v>
      </c>
      <c r="X10" s="4">
        <f t="shared" ref="X10:X41" si="1">STDEV(K10:V10)/SQRT(COUNT(K10:V10))</f>
        <v>7.1200426147608256E-2</v>
      </c>
      <c r="Y10" s="2">
        <f t="shared" ref="Y10:Y41" si="2">MIN(K10:V10)</f>
        <v>32.105406725396847</v>
      </c>
      <c r="Z10" s="3">
        <f t="shared" ref="Z10:Z41" si="3">QUARTILE(K10:V10,1)</f>
        <v>32.370376686591712</v>
      </c>
      <c r="AA10" s="2">
        <f t="shared" ref="AA10:AA41" si="4">MEDIAN(K10:V10)</f>
        <v>32.490717670590634</v>
      </c>
      <c r="AB10" s="3">
        <f t="shared" ref="AB10:AB41" si="5">QUARTILE(K10:V10,3)</f>
        <v>32.707153913929368</v>
      </c>
      <c r="AC10" s="3">
        <f t="shared" ref="AC10:AC41" si="6">MAX(K10:V10)</f>
        <v>32.875352319177509</v>
      </c>
      <c r="AD10" s="3">
        <f t="shared" ref="AD10:AD41" si="7">SKEW(K10:V10)</f>
        <v>-0.14005287984663312</v>
      </c>
      <c r="AE10" s="3">
        <f t="shared" ref="AE10:AE41" si="8">KURT(K10:V10)</f>
        <v>-1.1129165647301202</v>
      </c>
      <c r="AG10" s="25"/>
      <c r="AH10" s="24" t="s">
        <v>83</v>
      </c>
      <c r="AI10" s="23"/>
      <c r="AJ10" s="23"/>
      <c r="AK10" s="23"/>
      <c r="AL10" s="24" t="s">
        <v>82</v>
      </c>
      <c r="AM10" s="23"/>
      <c r="AN10" s="23"/>
      <c r="AO10" s="22"/>
    </row>
    <row r="11" spans="1:41" x14ac:dyDescent="0.2">
      <c r="B11" s="1">
        <v>102</v>
      </c>
      <c r="C11" s="1" t="s">
        <v>68</v>
      </c>
      <c r="D11" s="1">
        <v>4</v>
      </c>
      <c r="E11" s="1">
        <v>1</v>
      </c>
      <c r="F11" s="1">
        <v>2</v>
      </c>
      <c r="G11" s="1">
        <v>1</v>
      </c>
      <c r="H11" s="1">
        <v>1</v>
      </c>
      <c r="I11" s="1">
        <v>1</v>
      </c>
      <c r="J11" s="4">
        <v>12.997999999999999</v>
      </c>
      <c r="K11" s="39">
        <v>33.833980142989532</v>
      </c>
      <c r="L11" s="39">
        <v>32.105406725396847</v>
      </c>
      <c r="M11" s="39">
        <v>33.355194587807659</v>
      </c>
      <c r="N11" s="39">
        <v>32.298146735069594</v>
      </c>
      <c r="O11" s="39">
        <v>32.008973317753579</v>
      </c>
      <c r="P11" s="39">
        <v>32.008973317753579</v>
      </c>
      <c r="Q11" s="39">
        <v>31.912497641572372</v>
      </c>
      <c r="R11" s="39">
        <v>32.105406725396847</v>
      </c>
      <c r="S11" s="39">
        <v>31.815979696853233</v>
      </c>
      <c r="T11" s="39">
        <v>35.263996527845478</v>
      </c>
      <c r="U11" s="39">
        <v>31.332755945188588</v>
      </c>
      <c r="V11" s="39">
        <v>30.460290274302576</v>
      </c>
      <c r="W11" s="5">
        <f t="shared" si="0"/>
        <v>32.375133469827482</v>
      </c>
      <c r="X11" s="4">
        <f t="shared" si="1"/>
        <v>0.36027895234188922</v>
      </c>
      <c r="Y11" s="2">
        <f t="shared" si="2"/>
        <v>30.460290274302576</v>
      </c>
      <c r="Z11" s="3">
        <f t="shared" si="3"/>
        <v>31.888368155392588</v>
      </c>
      <c r="AA11" s="2">
        <f t="shared" si="4"/>
        <v>32.057190021575209</v>
      </c>
      <c r="AB11" s="3">
        <f t="shared" si="5"/>
        <v>32.56240869825411</v>
      </c>
      <c r="AC11" s="3">
        <f t="shared" si="6"/>
        <v>35.263996527845478</v>
      </c>
      <c r="AD11" s="3">
        <f t="shared" si="7"/>
        <v>1.0993401183354734</v>
      </c>
      <c r="AE11" s="3">
        <f t="shared" si="8"/>
        <v>1.80652177697268</v>
      </c>
      <c r="AG11" s="21" t="s">
        <v>81</v>
      </c>
      <c r="AH11" s="20" t="s">
        <v>80</v>
      </c>
      <c r="AI11" s="19" t="s">
        <v>79</v>
      </c>
      <c r="AJ11" s="19" t="s">
        <v>78</v>
      </c>
      <c r="AK11" s="19" t="s">
        <v>77</v>
      </c>
      <c r="AL11" s="20" t="s">
        <v>80</v>
      </c>
      <c r="AM11" s="19" t="s">
        <v>79</v>
      </c>
      <c r="AN11" s="19" t="s">
        <v>78</v>
      </c>
      <c r="AO11" s="18" t="s">
        <v>77</v>
      </c>
    </row>
    <row r="12" spans="1:41" x14ac:dyDescent="0.2">
      <c r="B12" s="1">
        <v>103</v>
      </c>
      <c r="C12" s="1" t="s">
        <v>73</v>
      </c>
      <c r="D12" s="1">
        <v>5</v>
      </c>
      <c r="E12" s="1">
        <v>1</v>
      </c>
      <c r="F12" s="1">
        <v>3</v>
      </c>
      <c r="G12" s="1">
        <v>2</v>
      </c>
      <c r="H12" s="1">
        <v>1</v>
      </c>
      <c r="I12" s="1">
        <v>1</v>
      </c>
      <c r="J12" s="4">
        <v>12.981</v>
      </c>
      <c r="K12" s="39">
        <v>30.363138301514468</v>
      </c>
      <c r="L12" s="39">
        <v>31.042314471734631</v>
      </c>
      <c r="M12" s="39">
        <v>30.84847548007567</v>
      </c>
      <c r="N12" s="39">
        <v>30.654467414264982</v>
      </c>
      <c r="O12" s="39">
        <v>30.265944060188438</v>
      </c>
      <c r="P12" s="39">
        <v>30.460290274302576</v>
      </c>
      <c r="Q12" s="39">
        <v>30.460290274302576</v>
      </c>
      <c r="R12" s="39">
        <v>30.654467414264982</v>
      </c>
      <c r="S12" s="39">
        <v>30.84847548007567</v>
      </c>
      <c r="T12" s="39">
        <v>30.363138301514468</v>
      </c>
      <c r="U12" s="39">
        <v>31.042314471734631</v>
      </c>
      <c r="V12" s="39">
        <v>30.557399978552745</v>
      </c>
      <c r="W12" s="5">
        <f t="shared" si="0"/>
        <v>30.630059660210488</v>
      </c>
      <c r="X12" s="4">
        <f t="shared" si="1"/>
        <v>7.6599479222145883E-2</v>
      </c>
      <c r="Y12" s="2">
        <f t="shared" si="2"/>
        <v>30.265944060188438</v>
      </c>
      <c r="Z12" s="3">
        <f t="shared" si="3"/>
        <v>30.436002281105548</v>
      </c>
      <c r="AA12" s="2">
        <f t="shared" si="4"/>
        <v>30.605933696408862</v>
      </c>
      <c r="AB12" s="3">
        <f t="shared" si="5"/>
        <v>30.84847548007567</v>
      </c>
      <c r="AC12" s="3">
        <f t="shared" si="6"/>
        <v>31.042314471734631</v>
      </c>
      <c r="AD12" s="3">
        <f t="shared" si="7"/>
        <v>0.37672242842337689</v>
      </c>
      <c r="AE12" s="3">
        <f t="shared" si="8"/>
        <v>-1.1173646797600729</v>
      </c>
      <c r="AG12" s="17" t="s">
        <v>73</v>
      </c>
      <c r="AH12" s="16">
        <v>30.022641442838871</v>
      </c>
      <c r="AI12" s="15">
        <v>30.387421011144255</v>
      </c>
      <c r="AJ12" s="15">
        <v>30.70295886358317</v>
      </c>
      <c r="AK12" s="15">
        <v>30.694493016143937</v>
      </c>
      <c r="AL12" s="16">
        <v>29.486678253793961</v>
      </c>
      <c r="AM12" s="15">
        <v>30.799825523740239</v>
      </c>
      <c r="AN12" s="15">
        <v>31.259955368404412</v>
      </c>
      <c r="AO12" s="14">
        <v>31.382341879285015</v>
      </c>
    </row>
    <row r="13" spans="1:41" x14ac:dyDescent="0.2">
      <c r="B13" s="1">
        <v>104</v>
      </c>
      <c r="C13" s="1" t="s">
        <v>62</v>
      </c>
      <c r="D13" s="1">
        <v>10</v>
      </c>
      <c r="E13" s="1">
        <v>2</v>
      </c>
      <c r="F13" s="1">
        <v>2</v>
      </c>
      <c r="G13" s="1">
        <v>1</v>
      </c>
      <c r="H13" s="1">
        <v>1</v>
      </c>
      <c r="I13" s="1">
        <v>1</v>
      </c>
      <c r="J13" s="4">
        <v>12.962</v>
      </c>
      <c r="K13" s="39">
        <v>46.541558286516668</v>
      </c>
      <c r="L13" s="39">
        <v>37.626222900306495</v>
      </c>
      <c r="M13" s="39">
        <v>40.888957856924208</v>
      </c>
      <c r="N13" s="39">
        <v>44.281833118538664</v>
      </c>
      <c r="O13" s="39">
        <v>37.626222900306495</v>
      </c>
      <c r="P13" s="39">
        <v>36.49565118748383</v>
      </c>
      <c r="Q13" s="39">
        <v>36.873184721698294</v>
      </c>
      <c r="R13" s="39">
        <v>40.426023003466511</v>
      </c>
      <c r="S13" s="39">
        <v>34.883588733051717</v>
      </c>
      <c r="T13" s="39">
        <v>36.306630809149027</v>
      </c>
      <c r="U13" s="39">
        <v>34.883588733051717</v>
      </c>
      <c r="V13" s="39">
        <v>37.438216966882031</v>
      </c>
      <c r="W13" s="5">
        <f t="shared" si="0"/>
        <v>38.689306601447974</v>
      </c>
      <c r="X13" s="4">
        <f t="shared" si="1"/>
        <v>1.0566130915749401</v>
      </c>
      <c r="Y13" s="2">
        <f t="shared" si="2"/>
        <v>34.883588733051717</v>
      </c>
      <c r="Z13" s="3">
        <f t="shared" si="3"/>
        <v>36.448396092900126</v>
      </c>
      <c r="AA13" s="2">
        <f t="shared" si="4"/>
        <v>37.532219933594263</v>
      </c>
      <c r="AB13" s="3">
        <f t="shared" si="5"/>
        <v>40.541756716830932</v>
      </c>
      <c r="AC13" s="3">
        <f t="shared" si="6"/>
        <v>46.541558286516668</v>
      </c>
      <c r="AD13" s="3">
        <f t="shared" si="7"/>
        <v>1.1796925537529792</v>
      </c>
      <c r="AE13" s="3">
        <f t="shared" si="8"/>
        <v>0.62255745608129143</v>
      </c>
      <c r="AG13" s="13" t="s">
        <v>72</v>
      </c>
      <c r="AH13" s="12">
        <v>29.925003381864556</v>
      </c>
      <c r="AI13" s="11">
        <v>30.180449995812637</v>
      </c>
      <c r="AJ13" s="11">
        <v>30.41128103539473</v>
      </c>
      <c r="AK13" s="11">
        <v>30.596566120160425</v>
      </c>
      <c r="AL13" s="12">
        <v>29.242847279720252</v>
      </c>
      <c r="AM13" s="11">
        <v>29.828009916093702</v>
      </c>
      <c r="AN13" s="11">
        <v>30.04709851018762</v>
      </c>
      <c r="AO13" s="10">
        <v>30.123364132252334</v>
      </c>
    </row>
    <row r="14" spans="1:41" x14ac:dyDescent="0.2">
      <c r="B14" s="1">
        <v>105</v>
      </c>
      <c r="C14" s="1" t="s">
        <v>66</v>
      </c>
      <c r="D14" s="1">
        <v>12</v>
      </c>
      <c r="E14" s="1">
        <v>2</v>
      </c>
      <c r="F14" s="1">
        <v>3</v>
      </c>
      <c r="G14" s="1">
        <v>1</v>
      </c>
      <c r="H14" s="1">
        <v>2</v>
      </c>
      <c r="I14" s="1">
        <v>1</v>
      </c>
      <c r="J14" s="4">
        <v>12.941000000000001</v>
      </c>
      <c r="K14" s="39">
        <v>37.90791478640871</v>
      </c>
      <c r="L14" s="39">
        <v>38.282912208347291</v>
      </c>
      <c r="M14" s="39">
        <v>38.937530358029456</v>
      </c>
      <c r="N14" s="39">
        <v>39.869106317565553</v>
      </c>
      <c r="O14" s="39">
        <v>37.438216966882031</v>
      </c>
      <c r="P14" s="39">
        <v>37.25004195930584</v>
      </c>
      <c r="Q14" s="39">
        <v>38.189226255669546</v>
      </c>
      <c r="R14" s="39">
        <v>38.844140285117227</v>
      </c>
      <c r="S14" s="39">
        <v>40.611323750463391</v>
      </c>
      <c r="T14" s="39">
        <v>40.703910721154926</v>
      </c>
      <c r="U14" s="39">
        <v>39.310667964299071</v>
      </c>
      <c r="V14" s="39">
        <v>39.590077349353002</v>
      </c>
      <c r="W14" s="5">
        <f t="shared" si="0"/>
        <v>38.911255743549667</v>
      </c>
      <c r="X14" s="4">
        <f t="shared" si="1"/>
        <v>0.33142431701679981</v>
      </c>
      <c r="Y14" s="2">
        <f t="shared" si="2"/>
        <v>37.25004195930584</v>
      </c>
      <c r="Z14" s="3">
        <f t="shared" si="3"/>
        <v>38.118898388354339</v>
      </c>
      <c r="AA14" s="2">
        <f t="shared" si="4"/>
        <v>38.890835321573341</v>
      </c>
      <c r="AB14" s="3">
        <f t="shared" si="5"/>
        <v>39.659834591406138</v>
      </c>
      <c r="AC14" s="3">
        <f t="shared" si="6"/>
        <v>40.703910721154926</v>
      </c>
      <c r="AD14" s="3">
        <f t="shared" si="7"/>
        <v>0.18125671320727091</v>
      </c>
      <c r="AE14" s="3">
        <f t="shared" si="8"/>
        <v>-0.99272404338870723</v>
      </c>
      <c r="AG14" s="13" t="s">
        <v>71</v>
      </c>
      <c r="AH14" s="12">
        <v>31.379937069830916</v>
      </c>
      <c r="AI14" s="11">
        <v>31.863562372605905</v>
      </c>
      <c r="AJ14" s="11">
        <v>32.105068577093405</v>
      </c>
      <c r="AK14" s="11">
        <v>32.080444196782011</v>
      </c>
      <c r="AL14" s="12">
        <v>30.605046057112311</v>
      </c>
      <c r="AM14" s="11">
        <v>31.174868138706202</v>
      </c>
      <c r="AN14" s="11">
        <v>31.525601626206168</v>
      </c>
      <c r="AO14" s="10">
        <v>31.792851352430418</v>
      </c>
    </row>
    <row r="15" spans="1:41" x14ac:dyDescent="0.2">
      <c r="B15" s="1">
        <v>106</v>
      </c>
      <c r="C15" s="1" t="s">
        <v>63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1</v>
      </c>
      <c r="J15" s="4">
        <v>12.923999999999999</v>
      </c>
      <c r="K15" s="39">
        <v>39.124183698240131</v>
      </c>
      <c r="L15" s="39">
        <v>35.358992805199101</v>
      </c>
      <c r="M15" s="39">
        <v>36.401162132585398</v>
      </c>
      <c r="N15" s="39">
        <v>34.597839067308108</v>
      </c>
      <c r="O15" s="39">
        <v>34.502504641651058</v>
      </c>
      <c r="P15" s="39">
        <v>33.451036235919901</v>
      </c>
      <c r="Q15" s="39">
        <v>34.311708984723126</v>
      </c>
      <c r="R15" s="39">
        <v>35.073877167524458</v>
      </c>
      <c r="S15" s="39">
        <v>34.025198485296769</v>
      </c>
      <c r="T15" s="39">
        <v>35.168957981953938</v>
      </c>
      <c r="U15" s="39">
        <v>35.548858554292529</v>
      </c>
      <c r="V15" s="39">
        <v>33.92961044841212</v>
      </c>
      <c r="W15" s="5">
        <f t="shared" si="0"/>
        <v>35.124494183592219</v>
      </c>
      <c r="X15" s="4">
        <f t="shared" si="1"/>
        <v>0.43194878306026513</v>
      </c>
      <c r="Y15" s="2">
        <f t="shared" si="2"/>
        <v>33.451036235919901</v>
      </c>
      <c r="Z15" s="3">
        <f t="shared" si="3"/>
        <v>34.240081359866537</v>
      </c>
      <c r="AA15" s="2">
        <f t="shared" si="4"/>
        <v>34.835858117416279</v>
      </c>
      <c r="AB15" s="3">
        <f t="shared" si="5"/>
        <v>35.406459242472458</v>
      </c>
      <c r="AC15" s="3">
        <f t="shared" si="6"/>
        <v>39.124183698240131</v>
      </c>
      <c r="AD15" s="3">
        <f t="shared" si="7"/>
        <v>1.8726999881252671</v>
      </c>
      <c r="AE15" s="3">
        <f t="shared" si="8"/>
        <v>4.4732045907697504</v>
      </c>
      <c r="AG15" s="13" t="s">
        <v>70</v>
      </c>
      <c r="AH15" s="12">
        <v>31.039271137003588</v>
      </c>
      <c r="AI15" s="11">
        <v>31.692664064497414</v>
      </c>
      <c r="AJ15" s="11">
        <v>32.389687559447346</v>
      </c>
      <c r="AK15" s="11">
        <v>32.440684205997215</v>
      </c>
      <c r="AL15" s="12">
        <v>30.553828287097563</v>
      </c>
      <c r="AM15" s="11">
        <v>31.230383807965993</v>
      </c>
      <c r="AN15" s="11">
        <v>32.002072978936312</v>
      </c>
      <c r="AO15" s="10">
        <v>32.028344857397215</v>
      </c>
    </row>
    <row r="16" spans="1:41" x14ac:dyDescent="0.2">
      <c r="B16" s="1">
        <v>107</v>
      </c>
      <c r="C16" s="1" t="s">
        <v>62</v>
      </c>
      <c r="D16" s="1">
        <v>10</v>
      </c>
      <c r="E16" s="1">
        <v>2</v>
      </c>
      <c r="F16" s="1">
        <v>2</v>
      </c>
      <c r="G16" s="1">
        <v>1</v>
      </c>
      <c r="H16" s="1">
        <v>2</v>
      </c>
      <c r="I16" s="1">
        <v>1</v>
      </c>
      <c r="J16" s="4">
        <v>12.907999999999999</v>
      </c>
      <c r="K16" s="39">
        <v>37.438216966882031</v>
      </c>
      <c r="L16" s="39">
        <v>34.883588733051717</v>
      </c>
      <c r="M16" s="39">
        <v>35.168957981953938</v>
      </c>
      <c r="N16" s="39">
        <v>33.642592726530573</v>
      </c>
      <c r="O16" s="39">
        <v>32.971405309979403</v>
      </c>
      <c r="P16" s="39">
        <v>32.971405309979403</v>
      </c>
      <c r="Q16" s="39">
        <v>32.971405309979403</v>
      </c>
      <c r="R16" s="39">
        <v>37.90791478640871</v>
      </c>
      <c r="S16" s="39">
        <v>35.168957981953938</v>
      </c>
      <c r="T16" s="39">
        <v>37.720162464211825</v>
      </c>
      <c r="U16" s="39">
        <v>35.8333401638982</v>
      </c>
      <c r="V16" s="39">
        <v>40.240553182317917</v>
      </c>
      <c r="W16" s="5">
        <f t="shared" si="0"/>
        <v>35.576541743095582</v>
      </c>
      <c r="X16" s="4">
        <f t="shared" si="1"/>
        <v>0.67547958304728073</v>
      </c>
      <c r="Y16" s="2">
        <f t="shared" si="2"/>
        <v>32.971405309979403</v>
      </c>
      <c r="Z16" s="3">
        <f t="shared" si="3"/>
        <v>33.474795872392782</v>
      </c>
      <c r="AA16" s="2">
        <f t="shared" si="4"/>
        <v>35.168957981953938</v>
      </c>
      <c r="AB16" s="3">
        <f t="shared" si="5"/>
        <v>37.508703341214478</v>
      </c>
      <c r="AC16" s="3">
        <f t="shared" si="6"/>
        <v>40.240553182317917</v>
      </c>
      <c r="AD16" s="3">
        <f t="shared" si="7"/>
        <v>0.59352979813350937</v>
      </c>
      <c r="AE16" s="3">
        <f t="shared" si="8"/>
        <v>-0.41532991718993095</v>
      </c>
      <c r="AG16" s="13" t="s">
        <v>69</v>
      </c>
      <c r="AH16" s="12">
        <v>30.313167453368692</v>
      </c>
      <c r="AI16" s="11">
        <v>30.719544877986969</v>
      </c>
      <c r="AJ16" s="11">
        <v>30.919643434582262</v>
      </c>
      <c r="AK16" s="11">
        <v>31.108090640106656</v>
      </c>
      <c r="AL16" s="12">
        <v>29.557238598067787</v>
      </c>
      <c r="AM16" s="11">
        <v>30.518867770778751</v>
      </c>
      <c r="AN16" s="11">
        <v>31.135387530612377</v>
      </c>
      <c r="AO16" s="10">
        <v>31.146493306247958</v>
      </c>
    </row>
    <row r="17" spans="2:41" x14ac:dyDescent="0.2">
      <c r="B17" s="1">
        <v>108</v>
      </c>
      <c r="C17" s="1" t="s">
        <v>69</v>
      </c>
      <c r="D17" s="1">
        <v>3</v>
      </c>
      <c r="E17" s="1">
        <v>1</v>
      </c>
      <c r="F17" s="1">
        <v>2</v>
      </c>
      <c r="G17" s="1">
        <v>2</v>
      </c>
      <c r="H17" s="1">
        <v>2</v>
      </c>
      <c r="I17" s="1">
        <v>1</v>
      </c>
      <c r="J17" s="4">
        <v>12.89</v>
      </c>
      <c r="K17" s="39">
        <v>31.815979696853233</v>
      </c>
      <c r="L17" s="39">
        <v>31.815979696853233</v>
      </c>
      <c r="M17" s="39">
        <v>31.815979696853233</v>
      </c>
      <c r="N17" s="39">
        <v>31.622817001801174</v>
      </c>
      <c r="O17" s="39">
        <v>31.622817001801174</v>
      </c>
      <c r="P17" s="39">
        <v>31.042314471734631</v>
      </c>
      <c r="Q17" s="39">
        <v>31.429485232597386</v>
      </c>
      <c r="R17" s="39">
        <v>32.298146735069594</v>
      </c>
      <c r="S17" s="39">
        <v>32.298146735069594</v>
      </c>
      <c r="T17" s="39">
        <v>33.738307569029026</v>
      </c>
      <c r="U17" s="39">
        <v>32.298146735069594</v>
      </c>
      <c r="V17" s="39">
        <v>31.912497641572372</v>
      </c>
      <c r="W17" s="5">
        <f t="shared" si="0"/>
        <v>31.975884851192017</v>
      </c>
      <c r="X17" s="4">
        <f t="shared" si="1"/>
        <v>0.19301905472729761</v>
      </c>
      <c r="Y17" s="2">
        <f t="shared" si="2"/>
        <v>31.042314471734631</v>
      </c>
      <c r="Z17" s="3">
        <f t="shared" si="3"/>
        <v>31.622817001801174</v>
      </c>
      <c r="AA17" s="2">
        <f t="shared" si="4"/>
        <v>31.815979696853233</v>
      </c>
      <c r="AB17" s="3">
        <f t="shared" si="5"/>
        <v>32.298146735069594</v>
      </c>
      <c r="AC17" s="3">
        <f t="shared" si="6"/>
        <v>33.738307569029026</v>
      </c>
      <c r="AD17" s="3">
        <f t="shared" si="7"/>
        <v>1.6412584436089614</v>
      </c>
      <c r="AE17" s="3">
        <f t="shared" si="8"/>
        <v>4.2935283563858615</v>
      </c>
      <c r="AG17" s="13" t="s">
        <v>68</v>
      </c>
      <c r="AH17" s="12">
        <v>31.136285737043416</v>
      </c>
      <c r="AI17" s="11">
        <v>31.866884274156014</v>
      </c>
      <c r="AJ17" s="11">
        <v>32.138203620930305</v>
      </c>
      <c r="AK17" s="11">
        <v>32.387113188426611</v>
      </c>
      <c r="AL17" s="12">
        <v>30.554113599728602</v>
      </c>
      <c r="AM17" s="11">
        <v>31.032385469349162</v>
      </c>
      <c r="AN17" s="11">
        <v>31.545974496077324</v>
      </c>
      <c r="AO17" s="10">
        <v>31.563972984123655</v>
      </c>
    </row>
    <row r="18" spans="2:41" x14ac:dyDescent="0.2">
      <c r="B18" s="1">
        <v>201</v>
      </c>
      <c r="C18" s="1" t="s">
        <v>66</v>
      </c>
      <c r="D18" s="1">
        <v>12</v>
      </c>
      <c r="E18" s="1">
        <v>2</v>
      </c>
      <c r="F18" s="1">
        <v>3</v>
      </c>
      <c r="G18" s="1">
        <v>1</v>
      </c>
      <c r="H18" s="1">
        <v>1</v>
      </c>
      <c r="I18" s="1">
        <v>1</v>
      </c>
      <c r="J18" s="4">
        <v>13.038</v>
      </c>
      <c r="K18" s="39">
        <v>43.46186497176312</v>
      </c>
      <c r="L18" s="39">
        <v>42.271422136607633</v>
      </c>
      <c r="M18" s="39">
        <v>45.55053389002704</v>
      </c>
      <c r="N18" s="39">
        <v>41.16621154654365</v>
      </c>
      <c r="O18" s="39">
        <v>42.730130136272209</v>
      </c>
      <c r="P18" s="39">
        <v>40.333309227161187</v>
      </c>
      <c r="Q18" s="39">
        <v>39.030878162403759</v>
      </c>
      <c r="R18" s="39">
        <v>43.370546057209516</v>
      </c>
      <c r="S18" s="39">
        <v>42.179553731060921</v>
      </c>
      <c r="T18" s="39">
        <v>42.730130136272209</v>
      </c>
      <c r="U18" s="39">
        <v>41.53529137317188</v>
      </c>
      <c r="V18" s="39">
        <v>39.496983156206291</v>
      </c>
      <c r="W18" s="5">
        <f t="shared" si="0"/>
        <v>41.988071210391624</v>
      </c>
      <c r="X18" s="4">
        <f t="shared" si="1"/>
        <v>0.5262928657052387</v>
      </c>
      <c r="Y18" s="2">
        <f t="shared" si="2"/>
        <v>39.030878162403759</v>
      </c>
      <c r="Z18" s="3">
        <f t="shared" si="3"/>
        <v>40.957985966698033</v>
      </c>
      <c r="AA18" s="2">
        <f t="shared" si="4"/>
        <v>42.225487933834273</v>
      </c>
      <c r="AB18" s="3">
        <f t="shared" si="5"/>
        <v>42.890234116506534</v>
      </c>
      <c r="AC18" s="3">
        <f t="shared" si="6"/>
        <v>45.55053389002704</v>
      </c>
      <c r="AD18" s="3">
        <f t="shared" si="7"/>
        <v>9.7284537693066858E-2</v>
      </c>
      <c r="AE18" s="3">
        <f t="shared" si="8"/>
        <v>0.14620539098048013</v>
      </c>
      <c r="AG18" s="13" t="s">
        <v>67</v>
      </c>
      <c r="AH18" s="12">
        <v>36.954253515803586</v>
      </c>
      <c r="AI18" s="11">
        <v>37.42393020106131</v>
      </c>
      <c r="AJ18" s="11">
        <v>37.870967366101311</v>
      </c>
      <c r="AK18" s="11">
        <v>37.879031662430194</v>
      </c>
      <c r="AL18" s="12">
        <v>34.6862837212824</v>
      </c>
      <c r="AM18" s="11">
        <v>35.401704031955205</v>
      </c>
      <c r="AN18" s="11">
        <v>36.44107306870356</v>
      </c>
      <c r="AO18" s="10">
        <v>36.415133080149062</v>
      </c>
    </row>
    <row r="19" spans="2:41" x14ac:dyDescent="0.2">
      <c r="B19" s="1">
        <v>202</v>
      </c>
      <c r="C19" s="1" t="s">
        <v>63</v>
      </c>
      <c r="D19" s="1">
        <v>9</v>
      </c>
      <c r="E19" s="1">
        <v>2</v>
      </c>
      <c r="F19" s="1">
        <v>2</v>
      </c>
      <c r="G19" s="1">
        <v>2</v>
      </c>
      <c r="H19" s="1">
        <v>1</v>
      </c>
      <c r="I19" s="1">
        <v>1</v>
      </c>
      <c r="J19" s="4">
        <v>13.057</v>
      </c>
      <c r="K19" s="39">
        <v>36.212057217174724</v>
      </c>
      <c r="L19" s="39">
        <v>44.73589157903082</v>
      </c>
      <c r="M19" s="39">
        <v>35.738555229234244</v>
      </c>
      <c r="N19" s="39">
        <v>40.611323750463391</v>
      </c>
      <c r="O19" s="39">
        <v>35.548858554292529</v>
      </c>
      <c r="P19" s="39">
        <v>36.684502491666926</v>
      </c>
      <c r="Q19" s="39">
        <v>38.001727544700245</v>
      </c>
      <c r="R19" s="39">
        <v>36.212057217174724</v>
      </c>
      <c r="S19" s="39">
        <v>36.873184721698294</v>
      </c>
      <c r="T19" s="39">
        <v>37.438216966882031</v>
      </c>
      <c r="U19" s="39">
        <v>34.883588733051717</v>
      </c>
      <c r="V19" s="39">
        <v>34.12074425364348</v>
      </c>
      <c r="W19" s="5">
        <f t="shared" si="0"/>
        <v>37.255059021584422</v>
      </c>
      <c r="X19" s="4">
        <f t="shared" si="1"/>
        <v>0.83086392534791054</v>
      </c>
      <c r="Y19" s="2">
        <f t="shared" si="2"/>
        <v>34.12074425364348</v>
      </c>
      <c r="Z19" s="3">
        <f t="shared" si="3"/>
        <v>35.691131060498819</v>
      </c>
      <c r="AA19" s="2">
        <f t="shared" si="4"/>
        <v>36.448279854420825</v>
      </c>
      <c r="AB19" s="3">
        <f t="shared" si="5"/>
        <v>37.579094611336586</v>
      </c>
      <c r="AC19" s="3">
        <f t="shared" si="6"/>
        <v>44.73589157903082</v>
      </c>
      <c r="AD19" s="3">
        <f t="shared" si="7"/>
        <v>1.8383157898623317</v>
      </c>
      <c r="AE19" s="3">
        <f t="shared" si="8"/>
        <v>3.7815967612103378</v>
      </c>
      <c r="AG19" s="13" t="s">
        <v>66</v>
      </c>
      <c r="AH19" s="12">
        <v>38.140460060854799</v>
      </c>
      <c r="AI19" s="11">
        <v>39.538442177526186</v>
      </c>
      <c r="AJ19" s="11">
        <v>40.558161627703811</v>
      </c>
      <c r="AK19" s="11">
        <v>40.449663476970642</v>
      </c>
      <c r="AL19" s="12">
        <v>35.826492660753352</v>
      </c>
      <c r="AM19" s="11">
        <v>38.186415397897122</v>
      </c>
      <c r="AN19" s="11">
        <v>39.004085758334313</v>
      </c>
      <c r="AO19" s="10">
        <v>38.878872538979564</v>
      </c>
    </row>
    <row r="20" spans="2:41" x14ac:dyDescent="0.2">
      <c r="B20" s="1">
        <v>203</v>
      </c>
      <c r="C20" s="1" t="s">
        <v>69</v>
      </c>
      <c r="D20" s="1">
        <v>3</v>
      </c>
      <c r="E20" s="1">
        <v>1</v>
      </c>
      <c r="F20" s="1">
        <v>2</v>
      </c>
      <c r="G20" s="1">
        <v>2</v>
      </c>
      <c r="H20" s="1">
        <v>1</v>
      </c>
      <c r="I20" s="1">
        <v>1</v>
      </c>
      <c r="J20" s="4">
        <v>13.073</v>
      </c>
      <c r="K20" s="39">
        <v>31.332755945188588</v>
      </c>
      <c r="L20" s="39">
        <v>31.332755945188588</v>
      </c>
      <c r="M20" s="39">
        <v>31.042314471734631</v>
      </c>
      <c r="N20" s="39">
        <v>31.332755945188588</v>
      </c>
      <c r="O20" s="39">
        <v>30.945416110174119</v>
      </c>
      <c r="P20" s="39">
        <v>31.526172251468243</v>
      </c>
      <c r="Q20" s="39">
        <v>31.526172251468243</v>
      </c>
      <c r="R20" s="39">
        <v>30.751492581439294</v>
      </c>
      <c r="S20" s="39">
        <v>32.39445333709908</v>
      </c>
      <c r="T20" s="39">
        <v>33.92961044841212</v>
      </c>
      <c r="U20" s="39">
        <v>32.298146735069594</v>
      </c>
      <c r="V20" s="39">
        <v>31.71941948359617</v>
      </c>
      <c r="W20" s="5">
        <f t="shared" si="0"/>
        <v>31.677622125502268</v>
      </c>
      <c r="X20" s="4">
        <f t="shared" si="1"/>
        <v>0.24881881223533897</v>
      </c>
      <c r="Y20" s="2">
        <f t="shared" si="2"/>
        <v>30.751492581439294</v>
      </c>
      <c r="Z20" s="3">
        <f t="shared" si="3"/>
        <v>31.260145576825099</v>
      </c>
      <c r="AA20" s="2">
        <f t="shared" si="4"/>
        <v>31.429464098328417</v>
      </c>
      <c r="AB20" s="3">
        <f t="shared" si="5"/>
        <v>31.864101296464526</v>
      </c>
      <c r="AC20" s="3">
        <f t="shared" si="6"/>
        <v>33.92961044841212</v>
      </c>
      <c r="AD20" s="3">
        <f t="shared" si="7"/>
        <v>1.7810895408820424</v>
      </c>
      <c r="AE20" s="3">
        <f t="shared" si="8"/>
        <v>3.7781368769270083</v>
      </c>
      <c r="AG20" s="13" t="s">
        <v>65</v>
      </c>
      <c r="AH20" s="12">
        <v>34.629507638529709</v>
      </c>
      <c r="AI20" s="11">
        <v>35.118033167215259</v>
      </c>
      <c r="AJ20" s="11">
        <v>35.602543184797355</v>
      </c>
      <c r="AK20" s="11">
        <v>36.019902331694844</v>
      </c>
      <c r="AL20" s="12">
        <v>32.002125814608732</v>
      </c>
      <c r="AM20" s="11">
        <v>33.558342659534304</v>
      </c>
      <c r="AN20" s="11">
        <v>34.109046435771042</v>
      </c>
      <c r="AO20" s="10">
        <v>34.290881351128114</v>
      </c>
    </row>
    <row r="21" spans="2:41" x14ac:dyDescent="0.2">
      <c r="B21" s="1">
        <v>204</v>
      </c>
      <c r="C21" s="1" t="s">
        <v>67</v>
      </c>
      <c r="D21" s="1">
        <v>11</v>
      </c>
      <c r="E21" s="1">
        <v>2</v>
      </c>
      <c r="F21" s="1">
        <v>3</v>
      </c>
      <c r="G21" s="1">
        <v>2</v>
      </c>
      <c r="H21" s="1">
        <v>1</v>
      </c>
      <c r="I21" s="1">
        <v>1</v>
      </c>
      <c r="J21" s="4">
        <v>13.087999999999999</v>
      </c>
      <c r="K21" s="39">
        <v>40.14775486893673</v>
      </c>
      <c r="L21" s="39">
        <v>40.333309227161187</v>
      </c>
      <c r="M21" s="39">
        <v>40.518694511233917</v>
      </c>
      <c r="N21" s="39">
        <v>40.703910721154926</v>
      </c>
      <c r="O21" s="39">
        <v>39.869106317565553</v>
      </c>
      <c r="P21" s="39">
        <v>39.590077349353002</v>
      </c>
      <c r="Q21" s="39">
        <v>39.310667964299071</v>
      </c>
      <c r="R21" s="39">
        <v>39.869106317565553</v>
      </c>
      <c r="S21" s="39">
        <v>39.869106317565553</v>
      </c>
      <c r="T21" s="39">
        <v>40.611323750463391</v>
      </c>
      <c r="U21" s="39">
        <v>40.426023003466511</v>
      </c>
      <c r="V21" s="39">
        <v>40.426023003466511</v>
      </c>
      <c r="W21" s="5">
        <f t="shared" si="0"/>
        <v>40.139591946019323</v>
      </c>
      <c r="X21" s="4">
        <f t="shared" si="1"/>
        <v>0.12597957190497044</v>
      </c>
      <c r="Y21" s="2">
        <f t="shared" si="2"/>
        <v>39.310667964299071</v>
      </c>
      <c r="Z21" s="3">
        <f t="shared" si="3"/>
        <v>39.869106317565553</v>
      </c>
      <c r="AA21" s="2">
        <f t="shared" si="4"/>
        <v>40.240532048048962</v>
      </c>
      <c r="AB21" s="3">
        <f t="shared" si="5"/>
        <v>40.449190880408366</v>
      </c>
      <c r="AC21" s="3">
        <f t="shared" si="6"/>
        <v>40.703910721154926</v>
      </c>
      <c r="AD21" s="3">
        <f t="shared" si="7"/>
        <v>-0.52689795091460312</v>
      </c>
      <c r="AE21" s="3">
        <f t="shared" si="8"/>
        <v>-0.7062952951914947</v>
      </c>
      <c r="AG21" s="13" t="s">
        <v>64</v>
      </c>
      <c r="AH21" s="12">
        <v>32.055287937368306</v>
      </c>
      <c r="AI21" s="11">
        <v>33.204595179628946</v>
      </c>
      <c r="AJ21" s="11">
        <v>33.634487734382276</v>
      </c>
      <c r="AK21" s="11">
        <v>34.736839505150499</v>
      </c>
      <c r="AL21" s="12">
        <v>30.891197273966263</v>
      </c>
      <c r="AM21" s="11">
        <v>31.874237537511313</v>
      </c>
      <c r="AN21" s="11">
        <v>32.31993031739421</v>
      </c>
      <c r="AO21" s="10">
        <v>32.561213637227738</v>
      </c>
    </row>
    <row r="22" spans="2:41" x14ac:dyDescent="0.2">
      <c r="B22" s="1">
        <v>205</v>
      </c>
      <c r="C22" s="1" t="s">
        <v>71</v>
      </c>
      <c r="D22" s="1">
        <v>1</v>
      </c>
      <c r="E22" s="1">
        <v>1</v>
      </c>
      <c r="F22" s="1">
        <v>1</v>
      </c>
      <c r="G22" s="1">
        <v>2</v>
      </c>
      <c r="H22" s="1">
        <v>2</v>
      </c>
      <c r="I22" s="1">
        <v>1</v>
      </c>
      <c r="J22" s="4">
        <v>13.106</v>
      </c>
      <c r="K22" s="39">
        <v>30.84847548007567</v>
      </c>
      <c r="L22" s="39">
        <v>30.84847548007567</v>
      </c>
      <c r="M22" s="39">
        <v>31.622817001801174</v>
      </c>
      <c r="N22" s="39">
        <v>30.654467414264982</v>
      </c>
      <c r="O22" s="39">
        <v>31.912497641572372</v>
      </c>
      <c r="P22" s="39">
        <v>32.586939735544249</v>
      </c>
      <c r="Q22" s="39">
        <v>31.71941948359617</v>
      </c>
      <c r="R22" s="39">
        <v>31.526172251468243</v>
      </c>
      <c r="S22" s="39">
        <v>32.105406725396847</v>
      </c>
      <c r="T22" s="39">
        <v>32.20179786450219</v>
      </c>
      <c r="U22" s="39">
        <v>32.008973317753579</v>
      </c>
      <c r="V22" s="39">
        <v>31.71941948359617</v>
      </c>
      <c r="W22" s="5">
        <f t="shared" si="0"/>
        <v>31.646238489970614</v>
      </c>
      <c r="X22" s="4">
        <f t="shared" si="1"/>
        <v>0.17164550990888663</v>
      </c>
      <c r="Y22" s="2">
        <f t="shared" si="2"/>
        <v>30.654467414264982</v>
      </c>
      <c r="Z22" s="3">
        <f t="shared" si="3"/>
        <v>31.356748058620099</v>
      </c>
      <c r="AA22" s="2">
        <f t="shared" si="4"/>
        <v>31.71941948359617</v>
      </c>
      <c r="AB22" s="3">
        <f t="shared" si="5"/>
        <v>32.033081669664398</v>
      </c>
      <c r="AC22" s="3">
        <f t="shared" si="6"/>
        <v>32.586939735544249</v>
      </c>
      <c r="AD22" s="3">
        <f t="shared" si="7"/>
        <v>-0.42791054047342553</v>
      </c>
      <c r="AE22" s="3">
        <f t="shared" si="8"/>
        <v>-0.60060918429652244</v>
      </c>
      <c r="AG22" s="13" t="s">
        <v>63</v>
      </c>
      <c r="AH22" s="12">
        <v>33.25853927034025</v>
      </c>
      <c r="AI22" s="11">
        <v>34.626183377901803</v>
      </c>
      <c r="AJ22" s="11">
        <v>35.322111712188047</v>
      </c>
      <c r="AK22" s="11">
        <v>36.248602144019017</v>
      </c>
      <c r="AL22" s="12">
        <v>32.225050278519902</v>
      </c>
      <c r="AM22" s="11">
        <v>34.01607258513198</v>
      </c>
      <c r="AN22" s="11">
        <v>34.580723233935451</v>
      </c>
      <c r="AO22" s="10">
        <v>34.633517079706657</v>
      </c>
    </row>
    <row r="23" spans="2:41" x14ac:dyDescent="0.2">
      <c r="B23" s="1">
        <v>206</v>
      </c>
      <c r="C23" s="1" t="s">
        <v>64</v>
      </c>
      <c r="D23" s="1">
        <v>8</v>
      </c>
      <c r="E23" s="1">
        <v>2</v>
      </c>
      <c r="F23" s="1">
        <v>1</v>
      </c>
      <c r="G23" s="1">
        <v>1</v>
      </c>
      <c r="H23" s="1">
        <v>2</v>
      </c>
      <c r="I23" s="1">
        <v>1</v>
      </c>
      <c r="J23" s="4">
        <v>13.122</v>
      </c>
      <c r="K23" s="39">
        <v>32.971405309979403</v>
      </c>
      <c r="L23" s="39">
        <v>37.720162464211825</v>
      </c>
      <c r="M23" s="39">
        <v>43.91782551646218</v>
      </c>
      <c r="N23" s="39">
        <v>35.263996527845478</v>
      </c>
      <c r="O23" s="39">
        <v>35.738555229234244</v>
      </c>
      <c r="P23" s="39">
        <v>40.426023003466511</v>
      </c>
      <c r="Q23" s="39">
        <v>34.12074425364348</v>
      </c>
      <c r="R23" s="39">
        <v>42.821744930591329</v>
      </c>
      <c r="S23" s="39">
        <v>35.073877167524458</v>
      </c>
      <c r="T23" s="39">
        <v>40.240553182317917</v>
      </c>
      <c r="U23" s="39">
        <v>34.407127947456054</v>
      </c>
      <c r="V23" s="39">
        <v>35.073877167524458</v>
      </c>
      <c r="W23" s="5">
        <f t="shared" si="0"/>
        <v>37.314657725021441</v>
      </c>
      <c r="X23" s="4">
        <f t="shared" si="1"/>
        <v>1.0538022291434961</v>
      </c>
      <c r="Y23" s="2">
        <f t="shared" si="2"/>
        <v>32.971405309979403</v>
      </c>
      <c r="Z23" s="3">
        <f t="shared" si="3"/>
        <v>34.907189862507359</v>
      </c>
      <c r="AA23" s="2">
        <f t="shared" si="4"/>
        <v>35.501275878539857</v>
      </c>
      <c r="AB23" s="3">
        <f t="shared" si="5"/>
        <v>40.286920637605064</v>
      </c>
      <c r="AC23" s="3">
        <f t="shared" si="6"/>
        <v>43.91782551646218</v>
      </c>
      <c r="AD23" s="3">
        <f t="shared" si="7"/>
        <v>0.75356285707514392</v>
      </c>
      <c r="AE23" s="3">
        <f t="shared" si="8"/>
        <v>-0.84459763489121631</v>
      </c>
      <c r="AG23" s="13" t="s">
        <v>62</v>
      </c>
      <c r="AH23" s="12">
        <v>33.952450744185001</v>
      </c>
      <c r="AI23" s="11">
        <v>35.592428360725364</v>
      </c>
      <c r="AJ23" s="11">
        <v>37.019506799489271</v>
      </c>
      <c r="AK23" s="11">
        <v>38.309703874773056</v>
      </c>
      <c r="AL23" s="12">
        <v>32.080231092903261</v>
      </c>
      <c r="AM23" s="11">
        <v>33.20971495628585</v>
      </c>
      <c r="AN23" s="11">
        <v>33.976580230364782</v>
      </c>
      <c r="AO23" s="10">
        <v>33.933454935704219</v>
      </c>
    </row>
    <row r="24" spans="2:41" x14ac:dyDescent="0.2">
      <c r="B24" s="1">
        <v>207</v>
      </c>
      <c r="C24" s="1" t="s">
        <v>68</v>
      </c>
      <c r="D24" s="1">
        <v>4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4">
        <v>13.137</v>
      </c>
      <c r="K24" s="39">
        <v>33.738307569029026</v>
      </c>
      <c r="L24" s="39">
        <v>34.12074425364348</v>
      </c>
      <c r="M24" s="39">
        <v>34.025198485296769</v>
      </c>
      <c r="N24" s="39">
        <v>34.693131224427248</v>
      </c>
      <c r="O24" s="39">
        <v>34.12074425364348</v>
      </c>
      <c r="P24" s="39">
        <v>33.067416032243365</v>
      </c>
      <c r="Q24" s="39">
        <v>35.168957981953938</v>
      </c>
      <c r="R24" s="39">
        <v>33.833980142989532</v>
      </c>
      <c r="S24" s="39">
        <v>34.788381113008441</v>
      </c>
      <c r="T24" s="39">
        <v>34.502504641651058</v>
      </c>
      <c r="U24" s="39">
        <v>34.12074425364348</v>
      </c>
      <c r="V24" s="39">
        <v>33.738307569029026</v>
      </c>
      <c r="W24" s="5">
        <f t="shared" si="0"/>
        <v>34.159868126713228</v>
      </c>
      <c r="X24" s="4">
        <f t="shared" si="1"/>
        <v>0.16266877788772202</v>
      </c>
      <c r="Y24" s="2">
        <f t="shared" si="2"/>
        <v>33.067416032243365</v>
      </c>
      <c r="Z24" s="3">
        <f t="shared" si="3"/>
        <v>33.810061999499403</v>
      </c>
      <c r="AA24" s="2">
        <f t="shared" si="4"/>
        <v>34.12074425364348</v>
      </c>
      <c r="AB24" s="3">
        <f t="shared" si="5"/>
        <v>34.550161287345105</v>
      </c>
      <c r="AC24" s="3">
        <f t="shared" si="6"/>
        <v>35.168957981953938</v>
      </c>
      <c r="AD24" s="3">
        <f t="shared" si="7"/>
        <v>-1.4136593927209453E-2</v>
      </c>
      <c r="AE24" s="3">
        <f t="shared" si="8"/>
        <v>0.32172637804993798</v>
      </c>
      <c r="AG24" s="13" t="s">
        <v>120</v>
      </c>
      <c r="AH24" s="12">
        <v>50.058031666059691</v>
      </c>
      <c r="AI24" s="11">
        <v>53.700291125780886</v>
      </c>
      <c r="AJ24" s="11">
        <v>58.789594406204422</v>
      </c>
      <c r="AK24" s="11">
        <v>57.485694444799776</v>
      </c>
      <c r="AL24" s="12">
        <v>42.268864890062794</v>
      </c>
      <c r="AM24" s="11">
        <v>43.529397832007632</v>
      </c>
      <c r="AN24" s="11">
        <v>44.212350621982075</v>
      </c>
      <c r="AO24" s="10">
        <v>44.37381581290505</v>
      </c>
    </row>
    <row r="25" spans="2:41" x14ac:dyDescent="0.2">
      <c r="B25" s="1">
        <v>208</v>
      </c>
      <c r="C25" s="1" t="s">
        <v>70</v>
      </c>
      <c r="D25" s="1">
        <v>2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4">
        <v>13.154</v>
      </c>
      <c r="K25" s="39">
        <v>33.738307569029026</v>
      </c>
      <c r="L25" s="39">
        <v>35.8333401638982</v>
      </c>
      <c r="M25" s="39">
        <v>32.39445333709908</v>
      </c>
      <c r="N25" s="39">
        <v>32.875352319177509</v>
      </c>
      <c r="O25" s="39">
        <v>34.025198485296769</v>
      </c>
      <c r="P25" s="39">
        <v>32.298146735069594</v>
      </c>
      <c r="Q25" s="39">
        <v>34.407127947456054</v>
      </c>
      <c r="R25" s="39">
        <v>32.20179786450219</v>
      </c>
      <c r="S25" s="39">
        <v>33.642592726530573</v>
      </c>
      <c r="T25" s="39">
        <v>34.693131224427248</v>
      </c>
      <c r="U25" s="39">
        <v>34.788381113008441</v>
      </c>
      <c r="V25" s="39">
        <v>33.92961044841212</v>
      </c>
      <c r="W25" s="5">
        <f t="shared" si="0"/>
        <v>33.735619994492232</v>
      </c>
      <c r="X25" s="4">
        <f t="shared" si="1"/>
        <v>0.32525472577593356</v>
      </c>
      <c r="Y25" s="2">
        <f t="shared" si="2"/>
        <v>32.20179786450219</v>
      </c>
      <c r="Z25" s="3">
        <f t="shared" si="3"/>
        <v>32.755127573657902</v>
      </c>
      <c r="AA25" s="2">
        <f t="shared" si="4"/>
        <v>33.833959008720569</v>
      </c>
      <c r="AB25" s="3">
        <f t="shared" si="5"/>
        <v>34.478628766698854</v>
      </c>
      <c r="AC25" s="3">
        <f t="shared" si="6"/>
        <v>35.8333401638982</v>
      </c>
      <c r="AD25" s="3">
        <f t="shared" si="7"/>
        <v>0.15110933626642839</v>
      </c>
      <c r="AE25" s="3">
        <f t="shared" si="8"/>
        <v>-0.58847245742095522</v>
      </c>
      <c r="AG25" s="13" t="s">
        <v>119</v>
      </c>
      <c r="AH25" s="12">
        <v>42.500776136439924</v>
      </c>
      <c r="AI25" s="11">
        <v>44.563236767520394</v>
      </c>
      <c r="AJ25" s="11">
        <v>45.640024690315123</v>
      </c>
      <c r="AK25" s="11">
        <v>46.837728973003493</v>
      </c>
      <c r="AL25" s="12">
        <v>41.524111344889093</v>
      </c>
      <c r="AM25" s="11">
        <v>44.360928782985134</v>
      </c>
      <c r="AN25" s="11">
        <v>45.166200970184576</v>
      </c>
      <c r="AO25" s="10">
        <v>44.873359372955044</v>
      </c>
    </row>
    <row r="26" spans="2:41" x14ac:dyDescent="0.2">
      <c r="B26" s="1">
        <v>301</v>
      </c>
      <c r="C26" s="1" t="s">
        <v>62</v>
      </c>
      <c r="D26" s="1">
        <v>10</v>
      </c>
      <c r="E26" s="1">
        <v>2</v>
      </c>
      <c r="F26" s="1">
        <v>2</v>
      </c>
      <c r="G26" s="1">
        <v>1</v>
      </c>
      <c r="H26" s="1">
        <v>3</v>
      </c>
      <c r="I26" s="1">
        <v>1</v>
      </c>
      <c r="J26" s="4">
        <v>13.291</v>
      </c>
      <c r="K26" s="39">
        <v>50.102169455970973</v>
      </c>
      <c r="L26" s="39">
        <v>36.117441356662489</v>
      </c>
      <c r="M26" s="39">
        <v>42.087643056976276</v>
      </c>
      <c r="N26" s="39">
        <v>35.643728026032349</v>
      </c>
      <c r="O26" s="39">
        <v>36.873184721698294</v>
      </c>
      <c r="P26" s="39">
        <v>37.90791478640871</v>
      </c>
      <c r="Q26" s="39">
        <v>35.8333401638982</v>
      </c>
      <c r="R26" s="39">
        <v>36.49565118748383</v>
      </c>
      <c r="S26" s="39">
        <v>35.263996527845478</v>
      </c>
      <c r="T26" s="39">
        <v>43.279184874117981</v>
      </c>
      <c r="U26" s="39">
        <v>36.022783227612322</v>
      </c>
      <c r="V26" s="39">
        <v>33.92961044841212</v>
      </c>
      <c r="W26" s="5">
        <f t="shared" si="0"/>
        <v>38.296387319426579</v>
      </c>
      <c r="X26" s="4">
        <f t="shared" si="1"/>
        <v>1.3350799215672837</v>
      </c>
      <c r="Y26" s="2">
        <f t="shared" si="2"/>
        <v>33.92961044841212</v>
      </c>
      <c r="Z26" s="3">
        <f t="shared" si="3"/>
        <v>35.785937129431737</v>
      </c>
      <c r="AA26" s="2">
        <f t="shared" si="4"/>
        <v>36.306546272073163</v>
      </c>
      <c r="AB26" s="3">
        <f t="shared" si="5"/>
        <v>38.952846854050605</v>
      </c>
      <c r="AC26" s="3">
        <f t="shared" si="6"/>
        <v>50.102169455970973</v>
      </c>
      <c r="AD26" s="3">
        <f t="shared" si="7"/>
        <v>1.8174256312941963</v>
      </c>
      <c r="AE26" s="3">
        <f t="shared" si="8"/>
        <v>3.147031132618773</v>
      </c>
      <c r="AG26" s="13" t="s">
        <v>74</v>
      </c>
      <c r="AH26" s="12">
        <v>57.697457623142284</v>
      </c>
      <c r="AI26" s="11">
        <v>58.466293765233416</v>
      </c>
      <c r="AJ26" s="11">
        <v>58.770727352997056</v>
      </c>
      <c r="AK26" s="11">
        <v>58.727994991971997</v>
      </c>
      <c r="AL26" s="12"/>
      <c r="AM26" s="11"/>
      <c r="AN26" s="11"/>
      <c r="AO26" s="10"/>
    </row>
    <row r="27" spans="2:41" x14ac:dyDescent="0.2">
      <c r="B27" s="1">
        <v>302</v>
      </c>
      <c r="C27" s="1" t="s">
        <v>68</v>
      </c>
      <c r="D27" s="1">
        <v>4</v>
      </c>
      <c r="E27" s="1">
        <v>1</v>
      </c>
      <c r="F27" s="1">
        <v>2</v>
      </c>
      <c r="G27" s="1">
        <v>1</v>
      </c>
      <c r="H27" s="1">
        <v>3</v>
      </c>
      <c r="I27" s="1">
        <v>1</v>
      </c>
      <c r="J27" s="4">
        <v>13.308</v>
      </c>
      <c r="K27" s="39">
        <v>30.557399978552745</v>
      </c>
      <c r="L27" s="39">
        <v>31.139170564757212</v>
      </c>
      <c r="M27" s="39">
        <v>31.526172251468243</v>
      </c>
      <c r="N27" s="39">
        <v>30.460290274302576</v>
      </c>
      <c r="O27" s="39">
        <v>31.139170564757212</v>
      </c>
      <c r="P27" s="39">
        <v>30.363138301514468</v>
      </c>
      <c r="Q27" s="39">
        <v>31.042314471734631</v>
      </c>
      <c r="R27" s="39">
        <v>31.042314471734631</v>
      </c>
      <c r="S27" s="39">
        <v>30.84847548007567</v>
      </c>
      <c r="T27" s="39">
        <v>31.622817001801174</v>
      </c>
      <c r="U27" s="39">
        <v>30.84847548007567</v>
      </c>
      <c r="V27" s="39">
        <v>30.265944060188438</v>
      </c>
      <c r="W27" s="5">
        <f t="shared" si="0"/>
        <v>30.90464024174689</v>
      </c>
      <c r="X27" s="4">
        <f t="shared" si="1"/>
        <v>0.12539289913590373</v>
      </c>
      <c r="Y27" s="2">
        <f t="shared" si="2"/>
        <v>30.265944060188438</v>
      </c>
      <c r="Z27" s="3">
        <f t="shared" si="3"/>
        <v>30.533122552490202</v>
      </c>
      <c r="AA27" s="2">
        <f t="shared" si="4"/>
        <v>30.945394975905153</v>
      </c>
      <c r="AB27" s="3">
        <f t="shared" si="5"/>
        <v>31.139170564757212</v>
      </c>
      <c r="AC27" s="3">
        <f t="shared" si="6"/>
        <v>31.622817001801174</v>
      </c>
      <c r="AD27" s="3">
        <f t="shared" si="7"/>
        <v>0.12279417799520109</v>
      </c>
      <c r="AE27" s="3">
        <f t="shared" si="8"/>
        <v>-0.81121088518796025</v>
      </c>
      <c r="AG27" s="9" t="s">
        <v>61</v>
      </c>
      <c r="AH27" s="8">
        <v>36.353642859639621</v>
      </c>
      <c r="AI27" s="7">
        <v>36.896526956359104</v>
      </c>
      <c r="AJ27" s="7">
        <v>37.414309390526384</v>
      </c>
      <c r="AK27" s="7">
        <v>38.35061219308389</v>
      </c>
      <c r="AL27" s="8"/>
      <c r="AM27" s="7"/>
      <c r="AN27" s="7"/>
      <c r="AO27" s="6"/>
    </row>
    <row r="28" spans="2:41" x14ac:dyDescent="0.2">
      <c r="B28" s="1">
        <v>303</v>
      </c>
      <c r="C28" s="1" t="s">
        <v>64</v>
      </c>
      <c r="D28" s="1">
        <v>8</v>
      </c>
      <c r="E28" s="1">
        <v>2</v>
      </c>
      <c r="F28" s="1">
        <v>1</v>
      </c>
      <c r="G28" s="1">
        <v>1</v>
      </c>
      <c r="H28" s="1">
        <v>3</v>
      </c>
      <c r="I28" s="1">
        <v>1</v>
      </c>
      <c r="J28" s="4">
        <v>13.324999999999999</v>
      </c>
      <c r="K28" s="39">
        <v>32.20179786450219</v>
      </c>
      <c r="L28" s="39">
        <v>32.105406725396847</v>
      </c>
      <c r="M28" s="39">
        <v>31.71941948359617</v>
      </c>
      <c r="N28" s="39">
        <v>31.429485232597386</v>
      </c>
      <c r="O28" s="39">
        <v>31.526172251468243</v>
      </c>
      <c r="P28" s="39">
        <v>35.073877167524458</v>
      </c>
      <c r="Q28" s="39">
        <v>32.971405309979403</v>
      </c>
      <c r="R28" s="39">
        <v>31.526172251468243</v>
      </c>
      <c r="S28" s="39">
        <v>31.815979696853233</v>
      </c>
      <c r="T28" s="39">
        <v>33.163384485969388</v>
      </c>
      <c r="U28" s="39">
        <v>31.139170564757212</v>
      </c>
      <c r="V28" s="39">
        <v>31.235984389241871</v>
      </c>
      <c r="W28" s="5">
        <f t="shared" si="0"/>
        <v>32.159021285279557</v>
      </c>
      <c r="X28" s="4">
        <f t="shared" si="1"/>
        <v>0.32223228192459324</v>
      </c>
      <c r="Y28" s="2">
        <f t="shared" si="2"/>
        <v>31.139170564757212</v>
      </c>
      <c r="Z28" s="3">
        <f t="shared" si="3"/>
        <v>31.502000496750529</v>
      </c>
      <c r="AA28" s="2">
        <f t="shared" si="4"/>
        <v>31.767699590224701</v>
      </c>
      <c r="AB28" s="3">
        <f t="shared" si="5"/>
        <v>32.394199725871495</v>
      </c>
      <c r="AC28" s="3">
        <f t="shared" si="6"/>
        <v>35.073877167524458</v>
      </c>
      <c r="AD28" s="3">
        <f t="shared" si="7"/>
        <v>1.8390860995582308</v>
      </c>
      <c r="AE28" s="3">
        <f t="shared" si="8"/>
        <v>3.6910152660741131</v>
      </c>
    </row>
    <row r="29" spans="2:41" x14ac:dyDescent="0.2">
      <c r="B29" s="1">
        <v>304</v>
      </c>
      <c r="C29" s="1" t="s">
        <v>70</v>
      </c>
      <c r="D29" s="1">
        <v>2</v>
      </c>
      <c r="E29" s="1">
        <v>1</v>
      </c>
      <c r="F29" s="1">
        <v>1</v>
      </c>
      <c r="G29" s="1">
        <v>1</v>
      </c>
      <c r="H29" s="1">
        <v>3</v>
      </c>
      <c r="I29" s="1">
        <v>1</v>
      </c>
      <c r="J29" s="4">
        <v>13.342000000000001</v>
      </c>
      <c r="K29" s="39">
        <v>30.557399978552745</v>
      </c>
      <c r="L29" s="39">
        <v>33.259310671157493</v>
      </c>
      <c r="M29" s="39">
        <v>30.460290274302576</v>
      </c>
      <c r="N29" s="39">
        <v>31.526172251468243</v>
      </c>
      <c r="O29" s="39">
        <v>30.945416110174119</v>
      </c>
      <c r="P29" s="39">
        <v>30.654467414264982</v>
      </c>
      <c r="Q29" s="39">
        <v>31.526172251468243</v>
      </c>
      <c r="R29" s="39">
        <v>30.945416110174119</v>
      </c>
      <c r="S29" s="39">
        <v>31.332755945188588</v>
      </c>
      <c r="T29" s="39">
        <v>30.945416110174119</v>
      </c>
      <c r="U29" s="39">
        <v>31.71941948359617</v>
      </c>
      <c r="V29" s="39">
        <v>29.87674440950499</v>
      </c>
      <c r="W29" s="5">
        <f t="shared" si="0"/>
        <v>31.14574841750219</v>
      </c>
      <c r="X29" s="4">
        <f t="shared" si="1"/>
        <v>0.24477562921318685</v>
      </c>
      <c r="Y29" s="2">
        <f t="shared" si="2"/>
        <v>29.87674440950499</v>
      </c>
      <c r="Z29" s="3">
        <f t="shared" si="3"/>
        <v>30.630200555336923</v>
      </c>
      <c r="AA29" s="2">
        <f t="shared" si="4"/>
        <v>30.945416110174119</v>
      </c>
      <c r="AB29" s="3">
        <f t="shared" si="5"/>
        <v>31.526172251468243</v>
      </c>
      <c r="AC29" s="3">
        <f t="shared" si="6"/>
        <v>33.259310671157493</v>
      </c>
      <c r="AD29" s="3">
        <f t="shared" si="7"/>
        <v>1.2588657063262054</v>
      </c>
      <c r="AE29" s="3">
        <f t="shared" si="8"/>
        <v>3.0093323786468673</v>
      </c>
    </row>
    <row r="30" spans="2:41" x14ac:dyDescent="0.2">
      <c r="B30" s="1">
        <v>305</v>
      </c>
      <c r="C30" s="1" t="s">
        <v>67</v>
      </c>
      <c r="D30" s="1">
        <v>11</v>
      </c>
      <c r="E30" s="1">
        <v>2</v>
      </c>
      <c r="F30" s="1">
        <v>3</v>
      </c>
      <c r="G30" s="1">
        <v>2</v>
      </c>
      <c r="H30" s="1">
        <v>4</v>
      </c>
      <c r="I30" s="1">
        <v>1</v>
      </c>
      <c r="J30" s="4">
        <v>13.358000000000001</v>
      </c>
      <c r="K30" s="39">
        <v>34.597839067308108</v>
      </c>
      <c r="L30" s="39">
        <v>35.8333401638982</v>
      </c>
      <c r="M30" s="39">
        <v>35.453946814014785</v>
      </c>
      <c r="N30" s="39">
        <v>34.97875408455706</v>
      </c>
      <c r="O30" s="39">
        <v>34.788381113008441</v>
      </c>
      <c r="P30" s="39">
        <v>34.97875408455706</v>
      </c>
      <c r="Q30" s="39">
        <v>35.548858554292529</v>
      </c>
      <c r="R30" s="39">
        <v>37.532241067863225</v>
      </c>
      <c r="S30" s="39">
        <v>36.401162132585398</v>
      </c>
      <c r="T30" s="39">
        <v>36.401162132585398</v>
      </c>
      <c r="U30" s="39">
        <v>35.8333401638982</v>
      </c>
      <c r="V30" s="39">
        <v>35.073877167524458</v>
      </c>
      <c r="W30" s="5">
        <f t="shared" si="0"/>
        <v>35.618471378841072</v>
      </c>
      <c r="X30" s="4">
        <f t="shared" si="1"/>
        <v>0.24398483210054514</v>
      </c>
      <c r="Y30" s="2">
        <f t="shared" si="2"/>
        <v>34.597839067308108</v>
      </c>
      <c r="Z30" s="3">
        <f t="shared" si="3"/>
        <v>34.97875408455706</v>
      </c>
      <c r="AA30" s="2">
        <f t="shared" si="4"/>
        <v>35.501402684153661</v>
      </c>
      <c r="AB30" s="3">
        <f t="shared" si="5"/>
        <v>35.975295656070003</v>
      </c>
      <c r="AC30" s="3">
        <f t="shared" si="6"/>
        <v>37.532241067863225</v>
      </c>
      <c r="AD30" s="3">
        <f t="shared" si="7"/>
        <v>1.0232248290896306</v>
      </c>
      <c r="AE30" s="3">
        <f t="shared" si="8"/>
        <v>0.95451517038577993</v>
      </c>
    </row>
    <row r="31" spans="2:41" x14ac:dyDescent="0.2">
      <c r="B31" s="1">
        <v>306</v>
      </c>
      <c r="C31" s="1" t="s">
        <v>68</v>
      </c>
      <c r="D31" s="1">
        <v>4</v>
      </c>
      <c r="E31" s="1">
        <v>1</v>
      </c>
      <c r="F31" s="1">
        <v>2</v>
      </c>
      <c r="G31" s="1">
        <v>1</v>
      </c>
      <c r="H31" s="1">
        <v>4</v>
      </c>
      <c r="I31" s="1">
        <v>1</v>
      </c>
      <c r="J31" s="4">
        <v>13.372999999999999</v>
      </c>
      <c r="K31" s="39">
        <v>30.945416110174119</v>
      </c>
      <c r="L31" s="39">
        <v>31.429485232597386</v>
      </c>
      <c r="M31" s="39">
        <v>34.788381113008441</v>
      </c>
      <c r="N31" s="39">
        <v>30.751492581439294</v>
      </c>
      <c r="O31" s="39">
        <v>31.71941948359617</v>
      </c>
      <c r="P31" s="39">
        <v>34.97875408455706</v>
      </c>
      <c r="Q31" s="39">
        <v>31.332755945188588</v>
      </c>
      <c r="R31" s="39">
        <v>33.642592726530573</v>
      </c>
      <c r="S31" s="39">
        <v>31.235984389241871</v>
      </c>
      <c r="T31" s="39">
        <v>31.815979696853233</v>
      </c>
      <c r="U31" s="39">
        <v>31.429485232597386</v>
      </c>
      <c r="V31" s="39">
        <v>31.235984389241871</v>
      </c>
      <c r="W31" s="5">
        <f t="shared" si="0"/>
        <v>32.108810915418829</v>
      </c>
      <c r="X31" s="4">
        <f t="shared" si="1"/>
        <v>0.42862724497197197</v>
      </c>
      <c r="Y31" s="2">
        <f t="shared" si="2"/>
        <v>30.751492581439294</v>
      </c>
      <c r="Z31" s="3">
        <f t="shared" si="3"/>
        <v>31.235984389241871</v>
      </c>
      <c r="AA31" s="2">
        <f t="shared" si="4"/>
        <v>31.429485232597386</v>
      </c>
      <c r="AB31" s="3">
        <f t="shared" si="5"/>
        <v>32.272632954272567</v>
      </c>
      <c r="AC31" s="3">
        <f t="shared" si="6"/>
        <v>34.97875408455706</v>
      </c>
      <c r="AD31" s="3">
        <f t="shared" si="7"/>
        <v>1.3297764934721477</v>
      </c>
      <c r="AE31" s="3">
        <f t="shared" si="8"/>
        <v>0.25042977694588853</v>
      </c>
    </row>
    <row r="32" spans="2:41" x14ac:dyDescent="0.2">
      <c r="B32" s="1">
        <v>307</v>
      </c>
      <c r="C32" s="1" t="s">
        <v>63</v>
      </c>
      <c r="D32" s="1">
        <v>9</v>
      </c>
      <c r="E32" s="1">
        <v>2</v>
      </c>
      <c r="F32" s="1">
        <v>2</v>
      </c>
      <c r="G32" s="1">
        <v>2</v>
      </c>
      <c r="H32" s="1">
        <v>4</v>
      </c>
      <c r="I32" s="1">
        <v>1</v>
      </c>
      <c r="J32" s="4">
        <v>13.388999999999999</v>
      </c>
      <c r="K32" s="39">
        <v>33.546835615494203</v>
      </c>
      <c r="L32" s="39">
        <v>35.168957981953938</v>
      </c>
      <c r="M32" s="39">
        <v>34.12074425364348</v>
      </c>
      <c r="N32" s="39">
        <v>34.597839067308108</v>
      </c>
      <c r="O32" s="39">
        <v>33.642592726530573</v>
      </c>
      <c r="P32" s="39">
        <v>34.693131224427248</v>
      </c>
      <c r="Q32" s="39">
        <v>34.597839067308108</v>
      </c>
      <c r="R32" s="39">
        <v>35.073877167524458</v>
      </c>
      <c r="S32" s="39">
        <v>32.683119531959932</v>
      </c>
      <c r="T32" s="39">
        <v>42.638473073415156</v>
      </c>
      <c r="U32" s="39">
        <v>32.875352319177509</v>
      </c>
      <c r="V32" s="39">
        <v>41.53529137317188</v>
      </c>
      <c r="W32" s="5">
        <f t="shared" si="0"/>
        <v>35.431171116826228</v>
      </c>
      <c r="X32" s="4">
        <f t="shared" si="1"/>
        <v>0.92885738103096183</v>
      </c>
      <c r="Y32" s="2">
        <f t="shared" si="2"/>
        <v>32.683119531959932</v>
      </c>
      <c r="Z32" s="3">
        <f t="shared" si="3"/>
        <v>33.618653448771482</v>
      </c>
      <c r="AA32" s="2">
        <f t="shared" si="4"/>
        <v>34.597839067308108</v>
      </c>
      <c r="AB32" s="3">
        <f t="shared" si="5"/>
        <v>35.097647371131828</v>
      </c>
      <c r="AC32" s="3">
        <f t="shared" si="6"/>
        <v>42.638473073415156</v>
      </c>
      <c r="AD32" s="3">
        <f t="shared" si="7"/>
        <v>1.7948301219499598</v>
      </c>
      <c r="AE32" s="3">
        <f t="shared" si="8"/>
        <v>2.1605626091524091</v>
      </c>
    </row>
    <row r="33" spans="2:31" x14ac:dyDescent="0.2">
      <c r="B33" s="1">
        <v>308</v>
      </c>
      <c r="C33" s="1" t="s">
        <v>73</v>
      </c>
      <c r="D33" s="1">
        <v>5</v>
      </c>
      <c r="E33" s="1">
        <v>1</v>
      </c>
      <c r="F33" s="1">
        <v>3</v>
      </c>
      <c r="G33" s="1">
        <v>2</v>
      </c>
      <c r="H33" s="1">
        <v>4</v>
      </c>
      <c r="I33" s="1">
        <v>1</v>
      </c>
      <c r="J33" s="4">
        <v>13.406000000000001</v>
      </c>
      <c r="K33" s="39">
        <v>29.779338825489305</v>
      </c>
      <c r="L33" s="39">
        <v>30.071428771922577</v>
      </c>
      <c r="M33" s="39">
        <v>30.84847548007567</v>
      </c>
      <c r="N33" s="39">
        <v>31.235984389241871</v>
      </c>
      <c r="O33" s="39">
        <v>31.139170564757212</v>
      </c>
      <c r="P33" s="39">
        <v>31.332755945188588</v>
      </c>
      <c r="Q33" s="39">
        <v>31.139170564757212</v>
      </c>
      <c r="R33" s="39">
        <v>31.622817001801174</v>
      </c>
      <c r="S33" s="39">
        <v>30.265944060188438</v>
      </c>
      <c r="T33" s="39">
        <v>30.557399978552745</v>
      </c>
      <c r="U33" s="39">
        <v>30.751492581439294</v>
      </c>
      <c r="V33" s="39">
        <v>30.363138301514468</v>
      </c>
      <c r="W33" s="5">
        <f t="shared" si="0"/>
        <v>30.758926372077383</v>
      </c>
      <c r="X33" s="4">
        <f t="shared" si="1"/>
        <v>0.16220438618602126</v>
      </c>
      <c r="Y33" s="2">
        <f t="shared" si="2"/>
        <v>29.779338825489305</v>
      </c>
      <c r="Z33" s="3">
        <f t="shared" si="3"/>
        <v>30.338839741182959</v>
      </c>
      <c r="AA33" s="2">
        <f t="shared" si="4"/>
        <v>30.799984030757482</v>
      </c>
      <c r="AB33" s="3">
        <f t="shared" si="5"/>
        <v>31.163374020878376</v>
      </c>
      <c r="AC33" s="3">
        <f t="shared" si="6"/>
        <v>31.622817001801174</v>
      </c>
      <c r="AD33" s="3">
        <f t="shared" si="7"/>
        <v>-0.24721810754077597</v>
      </c>
      <c r="AE33" s="3">
        <f t="shared" si="8"/>
        <v>-0.88985487706029343</v>
      </c>
    </row>
    <row r="34" spans="2:31" x14ac:dyDescent="0.2">
      <c r="B34" s="1">
        <v>401</v>
      </c>
      <c r="C34" s="1" t="s">
        <v>65</v>
      </c>
      <c r="D34" s="1">
        <v>7</v>
      </c>
      <c r="E34" s="1">
        <v>2</v>
      </c>
      <c r="F34" s="1">
        <v>1</v>
      </c>
      <c r="G34" s="1">
        <v>2</v>
      </c>
      <c r="H34" s="1">
        <v>3</v>
      </c>
      <c r="I34" s="1">
        <v>1</v>
      </c>
      <c r="J34" s="4">
        <v>13.56</v>
      </c>
      <c r="K34" s="39">
        <v>41.073835918541775</v>
      </c>
      <c r="L34" s="39">
        <v>38.937530358029456</v>
      </c>
      <c r="M34" s="39">
        <v>38.282912208347291</v>
      </c>
      <c r="N34" s="39">
        <v>37.532241067863225</v>
      </c>
      <c r="O34" s="39">
        <v>37.720162464211825</v>
      </c>
      <c r="P34" s="39">
        <v>37.25004195930584</v>
      </c>
      <c r="Q34" s="39">
        <v>40.426023003466511</v>
      </c>
      <c r="R34" s="39">
        <v>38.376555892487104</v>
      </c>
      <c r="S34" s="39">
        <v>38.750707943667067</v>
      </c>
      <c r="T34" s="39">
        <v>38.937530358029456</v>
      </c>
      <c r="U34" s="39">
        <v>38.001727544700245</v>
      </c>
      <c r="V34" s="39">
        <v>37.438216966882031</v>
      </c>
      <c r="W34" s="5">
        <f t="shared" si="0"/>
        <v>38.560623807127648</v>
      </c>
      <c r="X34" s="4">
        <f t="shared" si="1"/>
        <v>0.34024207444652754</v>
      </c>
      <c r="Y34" s="2">
        <f t="shared" si="2"/>
        <v>37.25004195930584</v>
      </c>
      <c r="Z34" s="3">
        <f t="shared" si="3"/>
        <v>37.673182115124675</v>
      </c>
      <c r="AA34" s="2">
        <f t="shared" si="4"/>
        <v>38.329734050417201</v>
      </c>
      <c r="AB34" s="3">
        <f t="shared" si="5"/>
        <v>38.937530358029456</v>
      </c>
      <c r="AC34" s="3">
        <f t="shared" si="6"/>
        <v>41.073835918541775</v>
      </c>
      <c r="AD34" s="3">
        <f t="shared" si="7"/>
        <v>1.1280314351255503</v>
      </c>
      <c r="AE34" s="3">
        <f t="shared" si="8"/>
        <v>0.72741866104625874</v>
      </c>
    </row>
    <row r="35" spans="2:31" x14ac:dyDescent="0.2">
      <c r="B35" s="1">
        <v>402</v>
      </c>
      <c r="C35" s="1" t="s">
        <v>63</v>
      </c>
      <c r="D35" s="1">
        <v>9</v>
      </c>
      <c r="E35" s="1">
        <v>2</v>
      </c>
      <c r="F35" s="1">
        <v>2</v>
      </c>
      <c r="G35" s="1">
        <v>2</v>
      </c>
      <c r="H35" s="1">
        <v>3</v>
      </c>
      <c r="I35" s="1">
        <v>1</v>
      </c>
      <c r="J35" s="4">
        <v>13.541</v>
      </c>
      <c r="K35" s="39">
        <v>49.483944517447519</v>
      </c>
      <c r="L35" s="39">
        <v>43.370546057209516</v>
      </c>
      <c r="M35" s="39">
        <v>36.778864740951569</v>
      </c>
      <c r="N35" s="39">
        <v>38.282912208347291</v>
      </c>
      <c r="O35" s="39">
        <v>36.117441356662489</v>
      </c>
      <c r="P35" s="39">
        <v>35.453946814014785</v>
      </c>
      <c r="Q35" s="39">
        <v>35.358992805199101</v>
      </c>
      <c r="R35" s="39">
        <v>35.073877167524458</v>
      </c>
      <c r="S35" s="39">
        <v>34.597839067308108</v>
      </c>
      <c r="T35" s="39">
        <v>33.642592726530573</v>
      </c>
      <c r="U35" s="39">
        <v>35.263996527845478</v>
      </c>
      <c r="V35" s="39">
        <v>32.779257059837683</v>
      </c>
      <c r="W35" s="5">
        <f t="shared" si="0"/>
        <v>37.183684254073214</v>
      </c>
      <c r="X35" s="4">
        <f t="shared" si="1"/>
        <v>1.362833493290339</v>
      </c>
      <c r="Y35" s="2">
        <f t="shared" si="2"/>
        <v>32.779257059837683</v>
      </c>
      <c r="Z35" s="3">
        <f t="shared" si="3"/>
        <v>34.954867642470369</v>
      </c>
      <c r="AA35" s="2">
        <f t="shared" si="4"/>
        <v>35.406469809606946</v>
      </c>
      <c r="AB35" s="3">
        <f t="shared" si="5"/>
        <v>37.154876607800503</v>
      </c>
      <c r="AC35" s="3">
        <f t="shared" si="6"/>
        <v>49.483944517447519</v>
      </c>
      <c r="AD35" s="3">
        <f t="shared" si="7"/>
        <v>1.9937353202465495</v>
      </c>
      <c r="AE35" s="3">
        <f t="shared" si="8"/>
        <v>3.8939781649381153</v>
      </c>
    </row>
    <row r="36" spans="2:31" x14ac:dyDescent="0.2">
      <c r="B36" s="1">
        <v>403</v>
      </c>
      <c r="C36" s="1" t="s">
        <v>72</v>
      </c>
      <c r="D36" s="1">
        <v>6</v>
      </c>
      <c r="E36" s="1">
        <v>1</v>
      </c>
      <c r="F36" s="1">
        <v>3</v>
      </c>
      <c r="G36" s="1">
        <v>1</v>
      </c>
      <c r="H36" s="1">
        <v>3</v>
      </c>
      <c r="I36" s="1">
        <v>1</v>
      </c>
      <c r="J36" s="4">
        <v>13.521000000000001</v>
      </c>
      <c r="K36" s="39">
        <v>29.486868462214648</v>
      </c>
      <c r="L36" s="39">
        <v>29.68189097293568</v>
      </c>
      <c r="M36" s="39">
        <v>29.68189097293568</v>
      </c>
      <c r="N36" s="39">
        <v>30.945416110174119</v>
      </c>
      <c r="O36" s="39">
        <v>29.974107724982755</v>
      </c>
      <c r="P36" s="39">
        <v>29.87674440950499</v>
      </c>
      <c r="Q36" s="39">
        <v>29.779338825489305</v>
      </c>
      <c r="R36" s="39">
        <v>31.429485232597386</v>
      </c>
      <c r="S36" s="39">
        <v>29.974107724982755</v>
      </c>
      <c r="T36" s="39">
        <v>30.071428771922577</v>
      </c>
      <c r="U36" s="39">
        <v>30.654467414264982</v>
      </c>
      <c r="V36" s="39">
        <v>30.265944060188438</v>
      </c>
      <c r="W36" s="5">
        <f t="shared" si="0"/>
        <v>30.151807556849437</v>
      </c>
      <c r="X36" s="4">
        <f t="shared" si="1"/>
        <v>0.16732666165181934</v>
      </c>
      <c r="Y36" s="2">
        <f t="shared" si="2"/>
        <v>29.486868462214648</v>
      </c>
      <c r="Z36" s="3">
        <f t="shared" si="3"/>
        <v>29.754976862350897</v>
      </c>
      <c r="AA36" s="2">
        <f t="shared" si="4"/>
        <v>29.974107724982755</v>
      </c>
      <c r="AB36" s="3">
        <f t="shared" si="5"/>
        <v>30.363074898707573</v>
      </c>
      <c r="AC36" s="3">
        <f t="shared" si="6"/>
        <v>31.429485232597386</v>
      </c>
      <c r="AD36" s="3">
        <f t="shared" si="7"/>
        <v>1.1922223983367761</v>
      </c>
      <c r="AE36" s="3">
        <f t="shared" si="8"/>
        <v>0.77654905334105262</v>
      </c>
    </row>
    <row r="37" spans="2:31" x14ac:dyDescent="0.2">
      <c r="B37" s="1">
        <v>404</v>
      </c>
      <c r="C37" s="1" t="s">
        <v>69</v>
      </c>
      <c r="D37" s="1">
        <v>3</v>
      </c>
      <c r="E37" s="1">
        <v>1</v>
      </c>
      <c r="F37" s="1">
        <v>2</v>
      </c>
      <c r="G37" s="1">
        <v>2</v>
      </c>
      <c r="H37" s="1">
        <v>3</v>
      </c>
      <c r="I37" s="1">
        <v>1</v>
      </c>
      <c r="J37" s="4">
        <v>13.504</v>
      </c>
      <c r="K37" s="39">
        <v>28.99857248599827</v>
      </c>
      <c r="L37" s="39">
        <v>29.486868462214648</v>
      </c>
      <c r="M37" s="39">
        <v>29.68189097293568</v>
      </c>
      <c r="N37" s="39">
        <v>29.194017682098615</v>
      </c>
      <c r="O37" s="39">
        <v>29.389293804047234</v>
      </c>
      <c r="P37" s="39">
        <v>30.84847548007567</v>
      </c>
      <c r="Q37" s="39">
        <v>29.974107724982755</v>
      </c>
      <c r="R37" s="39">
        <v>30.071428771922577</v>
      </c>
      <c r="S37" s="39">
        <v>30.460290274302576</v>
      </c>
      <c r="T37" s="39">
        <v>29.68189097293568</v>
      </c>
      <c r="U37" s="39">
        <v>29.584400851844133</v>
      </c>
      <c r="V37" s="39">
        <v>29.389293804047234</v>
      </c>
      <c r="W37" s="5">
        <f t="shared" si="0"/>
        <v>29.730044273950423</v>
      </c>
      <c r="X37" s="4">
        <f t="shared" si="1"/>
        <v>0.153243694301155</v>
      </c>
      <c r="Y37" s="2">
        <f t="shared" si="2"/>
        <v>28.99857248599827</v>
      </c>
      <c r="Z37" s="3">
        <f t="shared" si="3"/>
        <v>29.389293804047234</v>
      </c>
      <c r="AA37" s="2">
        <f t="shared" si="4"/>
        <v>29.633145912389907</v>
      </c>
      <c r="AB37" s="3">
        <f t="shared" si="5"/>
        <v>29.998437986717711</v>
      </c>
      <c r="AC37" s="3">
        <f t="shared" si="6"/>
        <v>30.84847548007567</v>
      </c>
      <c r="AD37" s="3">
        <f t="shared" si="7"/>
        <v>0.87549053286978995</v>
      </c>
      <c r="AE37" s="3">
        <f t="shared" si="8"/>
        <v>0.46292562348378397</v>
      </c>
    </row>
    <row r="38" spans="2:31" x14ac:dyDescent="0.2">
      <c r="B38" s="1">
        <v>405</v>
      </c>
      <c r="C38" s="1" t="s">
        <v>72</v>
      </c>
      <c r="D38" s="1">
        <v>6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4">
        <v>13.481999999999999</v>
      </c>
      <c r="K38" s="39">
        <v>30.945416110174119</v>
      </c>
      <c r="L38" s="39">
        <v>30.363138301514468</v>
      </c>
      <c r="M38" s="39">
        <v>30.654467414264982</v>
      </c>
      <c r="N38" s="39">
        <v>30.363138301514468</v>
      </c>
      <c r="O38" s="39">
        <v>30.460290274302576</v>
      </c>
      <c r="P38" s="39">
        <v>31.815979696853233</v>
      </c>
      <c r="Q38" s="39">
        <v>30.654467414264982</v>
      </c>
      <c r="R38" s="39">
        <v>30.945416110174119</v>
      </c>
      <c r="S38" s="39">
        <v>31.815979696853233</v>
      </c>
      <c r="T38" s="39">
        <v>31.139170564757212</v>
      </c>
      <c r="U38" s="39">
        <v>30.751492581439294</v>
      </c>
      <c r="V38" s="39">
        <v>32.586939735544249</v>
      </c>
      <c r="W38" s="5">
        <f t="shared" si="0"/>
        <v>31.041324683471416</v>
      </c>
      <c r="X38" s="4">
        <f t="shared" si="1"/>
        <v>0.19958046256334216</v>
      </c>
      <c r="Y38" s="2">
        <f t="shared" si="2"/>
        <v>30.363138301514468</v>
      </c>
      <c r="Z38" s="3">
        <f t="shared" si="3"/>
        <v>30.60592312927438</v>
      </c>
      <c r="AA38" s="2">
        <f t="shared" si="4"/>
        <v>30.848454345806708</v>
      </c>
      <c r="AB38" s="3">
        <f t="shared" si="5"/>
        <v>31.308372847781218</v>
      </c>
      <c r="AC38" s="3">
        <f t="shared" si="6"/>
        <v>32.586939735544249</v>
      </c>
      <c r="AD38" s="3">
        <f t="shared" si="7"/>
        <v>1.208581646240469</v>
      </c>
      <c r="AE38" s="3">
        <f t="shared" si="8"/>
        <v>0.80578613246342368</v>
      </c>
    </row>
    <row r="39" spans="2:31" x14ac:dyDescent="0.2">
      <c r="B39" s="1">
        <v>406</v>
      </c>
      <c r="C39" s="1" t="s">
        <v>69</v>
      </c>
      <c r="D39" s="1">
        <v>3</v>
      </c>
      <c r="E39" s="1">
        <v>1</v>
      </c>
      <c r="F39" s="1">
        <v>2</v>
      </c>
      <c r="G39" s="1">
        <v>2</v>
      </c>
      <c r="H39" s="1">
        <v>4</v>
      </c>
      <c r="I39" s="1">
        <v>1</v>
      </c>
      <c r="J39" s="4">
        <v>13.464</v>
      </c>
      <c r="K39" s="39">
        <v>31.139170564757212</v>
      </c>
      <c r="L39" s="39">
        <v>31.815979696853233</v>
      </c>
      <c r="M39" s="39">
        <v>30.751492581439294</v>
      </c>
      <c r="N39" s="39">
        <v>30.84847548007567</v>
      </c>
      <c r="O39" s="39">
        <v>30.460290274302576</v>
      </c>
      <c r="P39" s="39">
        <v>30.460290274302576</v>
      </c>
      <c r="Q39" s="39">
        <v>30.751492581439294</v>
      </c>
      <c r="R39" s="39">
        <v>33.546835615494203</v>
      </c>
      <c r="S39" s="39">
        <v>30.84847548007567</v>
      </c>
      <c r="T39" s="39">
        <v>30.84847548007567</v>
      </c>
      <c r="U39" s="39">
        <v>30.460290274302576</v>
      </c>
      <c r="V39" s="39">
        <v>30.654467414264982</v>
      </c>
      <c r="W39" s="5">
        <f t="shared" si="0"/>
        <v>31.048811309781907</v>
      </c>
      <c r="X39" s="4">
        <f t="shared" si="1"/>
        <v>0.2511883255071895</v>
      </c>
      <c r="Y39" s="2">
        <f t="shared" si="2"/>
        <v>30.460290274302576</v>
      </c>
      <c r="Z39" s="3">
        <f t="shared" si="3"/>
        <v>30.60592312927438</v>
      </c>
      <c r="AA39" s="2">
        <f t="shared" si="4"/>
        <v>30.799984030757482</v>
      </c>
      <c r="AB39" s="3">
        <f t="shared" si="5"/>
        <v>30.921149251246057</v>
      </c>
      <c r="AC39" s="3">
        <f t="shared" si="6"/>
        <v>33.546835615494203</v>
      </c>
      <c r="AD39" s="3">
        <f t="shared" si="7"/>
        <v>2.5318972652486438</v>
      </c>
      <c r="AE39" s="3">
        <f t="shared" si="8"/>
        <v>6.8763433603024495</v>
      </c>
    </row>
    <row r="40" spans="2:31" x14ac:dyDescent="0.2">
      <c r="B40" s="1">
        <v>407</v>
      </c>
      <c r="C40" s="1" t="s">
        <v>65</v>
      </c>
      <c r="D40" s="1">
        <v>7</v>
      </c>
      <c r="E40" s="1">
        <v>2</v>
      </c>
      <c r="F40" s="1">
        <v>1</v>
      </c>
      <c r="G40" s="1">
        <v>2</v>
      </c>
      <c r="H40" s="1">
        <v>4</v>
      </c>
      <c r="I40" s="1">
        <v>1</v>
      </c>
      <c r="J40" s="4">
        <v>13.446</v>
      </c>
      <c r="K40" s="39">
        <v>33.546835615494203</v>
      </c>
      <c r="L40" s="39">
        <v>32.490717670590634</v>
      </c>
      <c r="M40" s="39">
        <v>32.875352319177509</v>
      </c>
      <c r="N40" s="39">
        <v>32.008973317753579</v>
      </c>
      <c r="O40" s="39">
        <v>32.875352319177509</v>
      </c>
      <c r="P40" s="39">
        <v>33.833980142989532</v>
      </c>
      <c r="Q40" s="39">
        <v>32.875352319177509</v>
      </c>
      <c r="R40" s="39">
        <v>40.703910721154926</v>
      </c>
      <c r="S40" s="39">
        <v>32.779257059837683</v>
      </c>
      <c r="T40" s="39">
        <v>32.875352319177509</v>
      </c>
      <c r="U40" s="39">
        <v>32.586939735544249</v>
      </c>
      <c r="V40" s="39">
        <v>32.298146735069594</v>
      </c>
      <c r="W40" s="5">
        <f t="shared" si="0"/>
        <v>33.47918085626204</v>
      </c>
      <c r="X40" s="4">
        <f t="shared" si="1"/>
        <v>0.67197704539625425</v>
      </c>
      <c r="Y40" s="2">
        <f t="shared" si="2"/>
        <v>32.008973317753579</v>
      </c>
      <c r="Z40" s="3">
        <f t="shared" si="3"/>
        <v>32.562884219305843</v>
      </c>
      <c r="AA40" s="2">
        <f t="shared" si="4"/>
        <v>32.875352319177509</v>
      </c>
      <c r="AB40" s="3">
        <f t="shared" si="5"/>
        <v>33.043223143256682</v>
      </c>
      <c r="AC40" s="3">
        <f t="shared" si="6"/>
        <v>40.703910721154926</v>
      </c>
      <c r="AD40" s="3">
        <f t="shared" si="7"/>
        <v>3.1950849070393104</v>
      </c>
      <c r="AE40" s="3">
        <f t="shared" si="8"/>
        <v>10.636557642939671</v>
      </c>
    </row>
    <row r="41" spans="2:31" x14ac:dyDescent="0.2">
      <c r="B41" s="1">
        <v>408</v>
      </c>
      <c r="C41" s="1" t="s">
        <v>62</v>
      </c>
      <c r="D41" s="1">
        <v>10</v>
      </c>
      <c r="E41" s="1">
        <v>2</v>
      </c>
      <c r="F41" s="1">
        <v>2</v>
      </c>
      <c r="G41" s="1">
        <v>1</v>
      </c>
      <c r="H41" s="1">
        <v>4</v>
      </c>
      <c r="I41" s="1">
        <v>1</v>
      </c>
      <c r="J41" s="4">
        <v>13.43</v>
      </c>
      <c r="K41" s="39">
        <v>46.900662738193134</v>
      </c>
      <c r="L41" s="39">
        <v>36.873184721698294</v>
      </c>
      <c r="M41" s="39">
        <v>47.259090893262716</v>
      </c>
      <c r="N41" s="39">
        <v>37.061697877577927</v>
      </c>
      <c r="O41" s="39">
        <v>36.022783227612322</v>
      </c>
      <c r="P41" s="39">
        <v>43.826717944598229</v>
      </c>
      <c r="Q41" s="39">
        <v>35.738555229234244</v>
      </c>
      <c r="R41" s="39">
        <v>45.369798145126737</v>
      </c>
      <c r="S41" s="39">
        <v>37.344150597362905</v>
      </c>
      <c r="T41" s="39">
        <v>46.900662738193134</v>
      </c>
      <c r="U41" s="39">
        <v>34.025198485296769</v>
      </c>
      <c r="V41" s="39">
        <v>40.796455423308537</v>
      </c>
      <c r="W41" s="5">
        <f t="shared" si="0"/>
        <v>40.676579835122077</v>
      </c>
      <c r="X41" s="4">
        <f t="shared" si="1"/>
        <v>1.4608345489552816</v>
      </c>
      <c r="Y41" s="2">
        <f t="shared" si="2"/>
        <v>34.025198485296769</v>
      </c>
      <c r="Z41" s="3">
        <f t="shared" si="3"/>
        <v>36.660584348176798</v>
      </c>
      <c r="AA41" s="2">
        <f t="shared" si="4"/>
        <v>39.070303010335721</v>
      </c>
      <c r="AB41" s="3">
        <f t="shared" si="5"/>
        <v>45.752514293393332</v>
      </c>
      <c r="AC41" s="3">
        <f t="shared" si="6"/>
        <v>47.259090893262716</v>
      </c>
      <c r="AD41" s="3">
        <f t="shared" si="7"/>
        <v>0.20822841255021507</v>
      </c>
      <c r="AE41" s="3">
        <f t="shared" si="8"/>
        <v>-1.8739680209459375</v>
      </c>
    </row>
    <row r="42" spans="2:31" x14ac:dyDescent="0.2">
      <c r="B42" s="50">
        <v>901</v>
      </c>
      <c r="C42" s="50" t="s">
        <v>61</v>
      </c>
      <c r="D42" s="50">
        <v>32</v>
      </c>
      <c r="E42" s="50">
        <v>9</v>
      </c>
      <c r="F42" s="50">
        <v>0</v>
      </c>
      <c r="G42" s="50">
        <v>1</v>
      </c>
      <c r="H42" s="50">
        <v>1</v>
      </c>
      <c r="I42" s="50">
        <v>1</v>
      </c>
      <c r="J42" s="48">
        <v>13.281000000000001</v>
      </c>
      <c r="K42" s="47">
        <v>38.376555892487104</v>
      </c>
      <c r="L42" s="47">
        <v>36.590097973844344</v>
      </c>
      <c r="M42" s="47">
        <v>36.778864740951569</v>
      </c>
      <c r="N42" s="47">
        <v>42.546773742020164</v>
      </c>
      <c r="O42" s="47">
        <v>36.590097973844344</v>
      </c>
      <c r="P42" s="47">
        <v>36.212057217174724</v>
      </c>
      <c r="Q42" s="47">
        <v>41.443084819321719</v>
      </c>
      <c r="R42" s="47">
        <v>36.022783227612322</v>
      </c>
      <c r="S42" s="47">
        <v>39.77613893003263</v>
      </c>
      <c r="T42" s="47">
        <v>36.778864740951569</v>
      </c>
      <c r="U42" s="47">
        <v>43.46186497176312</v>
      </c>
      <c r="V42" s="47">
        <v>37.90791478640871</v>
      </c>
      <c r="W42" s="49">
        <f t="shared" ref="W42:W73" si="9">AVERAGE(K42:V42)</f>
        <v>38.540424918034361</v>
      </c>
      <c r="X42" s="48">
        <f t="shared" ref="X42:X73" si="10">STDEV(K42:V42)/SQRT(COUNT(K42:V42))</f>
        <v>0.75990581340827834</v>
      </c>
      <c r="Y42" s="47">
        <f t="shared" ref="Y42:Y73" si="11">MIN(K42:V42)</f>
        <v>36.022783227612322</v>
      </c>
      <c r="Z42" s="46">
        <f t="shared" ref="Z42:Z73" si="12">QUARTILE(K42:V42,1)</f>
        <v>36.590097973844344</v>
      </c>
      <c r="AA42" s="47">
        <f t="shared" ref="AA42:AA73" si="13">MEDIAN(K42:V42)</f>
        <v>37.343389763680136</v>
      </c>
      <c r="AB42" s="46">
        <f t="shared" ref="AB42:AB73" si="14">QUARTILE(K42:V42,3)</f>
        <v>40.1928754023549</v>
      </c>
      <c r="AC42" s="46">
        <f t="shared" ref="AC42:AC73" si="15">MAX(K42:V42)</f>
        <v>43.46186497176312</v>
      </c>
      <c r="AD42" s="46">
        <f t="shared" ref="AD42:AD73" si="16">SKEW(K42:V42)</f>
        <v>0.92841432651068789</v>
      </c>
      <c r="AE42" s="46">
        <f t="shared" ref="AE42:AE73" si="17">KURT(K42:V42)</f>
        <v>-0.63519046081000141</v>
      </c>
    </row>
    <row r="43" spans="2:31" x14ac:dyDescent="0.2">
      <c r="B43" s="1">
        <v>902</v>
      </c>
      <c r="C43" s="1" t="s">
        <v>119</v>
      </c>
      <c r="D43" s="1">
        <v>22</v>
      </c>
      <c r="E43" s="1">
        <v>4</v>
      </c>
      <c r="F43" s="1">
        <v>2</v>
      </c>
      <c r="G43" s="1">
        <v>2</v>
      </c>
      <c r="H43" s="1">
        <v>1</v>
      </c>
      <c r="I43" s="1">
        <v>1</v>
      </c>
      <c r="J43" s="4">
        <v>13.260999999999999</v>
      </c>
      <c r="K43" s="39">
        <v>58.034920583398005</v>
      </c>
      <c r="L43" s="39">
        <v>48.241281165324722</v>
      </c>
      <c r="M43" s="39">
        <v>49.306928403885145</v>
      </c>
      <c r="N43" s="39">
        <v>49.218356944297071</v>
      </c>
      <c r="O43" s="39">
        <v>42.271422136607633</v>
      </c>
      <c r="P43" s="39">
        <v>53.595150964735467</v>
      </c>
      <c r="Q43" s="39">
        <v>46.091726679817626</v>
      </c>
      <c r="R43" s="39">
        <v>45.731100560775623</v>
      </c>
      <c r="S43" s="39">
        <v>46.271786128111032</v>
      </c>
      <c r="T43" s="39">
        <v>45.640838359670298</v>
      </c>
      <c r="U43" s="39">
        <v>42.913317456372525</v>
      </c>
      <c r="V43" s="39">
        <v>45.188893326074698</v>
      </c>
      <c r="W43" s="5">
        <f t="shared" si="9"/>
        <v>47.708810225755826</v>
      </c>
      <c r="X43" s="4">
        <f t="shared" si="10"/>
        <v>1.285624369730515</v>
      </c>
      <c r="Y43" s="2">
        <f t="shared" si="11"/>
        <v>42.271422136607633</v>
      </c>
      <c r="Z43" s="3">
        <f t="shared" si="12"/>
        <v>45.527852101271399</v>
      </c>
      <c r="AA43" s="2">
        <f t="shared" si="13"/>
        <v>46.181756403964329</v>
      </c>
      <c r="AB43" s="3">
        <f t="shared" si="14"/>
        <v>49.240499809194091</v>
      </c>
      <c r="AC43" s="3">
        <f t="shared" si="15"/>
        <v>58.034920583398005</v>
      </c>
      <c r="AD43" s="3">
        <f t="shared" si="16"/>
        <v>1.2373326264628599</v>
      </c>
      <c r="AE43" s="3">
        <f t="shared" si="17"/>
        <v>1.6025685046032772</v>
      </c>
    </row>
    <row r="44" spans="2:31" x14ac:dyDescent="0.2">
      <c r="B44" s="50">
        <v>903</v>
      </c>
      <c r="C44" s="50" t="s">
        <v>74</v>
      </c>
      <c r="D44" s="50">
        <v>31</v>
      </c>
      <c r="E44" s="50">
        <v>8</v>
      </c>
      <c r="F44" s="50">
        <v>0</v>
      </c>
      <c r="G44" s="50">
        <v>1</v>
      </c>
      <c r="H44" s="50">
        <v>1</v>
      </c>
      <c r="I44" s="50">
        <v>1</v>
      </c>
      <c r="J44" s="48">
        <v>13.254</v>
      </c>
      <c r="K44" s="47">
        <v>57.697457623142284</v>
      </c>
      <c r="L44" s="47">
        <v>58.791739534504423</v>
      </c>
      <c r="M44" s="47">
        <v>58.707817614088768</v>
      </c>
      <c r="N44" s="47">
        <v>58.707817614088768</v>
      </c>
      <c r="O44" s="47">
        <v>57.950618246140969</v>
      </c>
      <c r="P44" s="47">
        <v>58.455798241614211</v>
      </c>
      <c r="Q44" s="47">
        <v>58.959456569721951</v>
      </c>
      <c r="R44" s="47">
        <v>58.623853425135188</v>
      </c>
      <c r="S44" s="47">
        <v>58.371707247046835</v>
      </c>
      <c r="T44" s="47">
        <v>59.127004530787737</v>
      </c>
      <c r="U44" s="47">
        <v>59.04325168452381</v>
      </c>
      <c r="V44" s="47">
        <v>58.623853425135188</v>
      </c>
      <c r="W44" s="49">
        <f t="shared" si="9"/>
        <v>58.588364646327513</v>
      </c>
      <c r="X44" s="48">
        <f t="shared" si="10"/>
        <v>0.12223092614694525</v>
      </c>
      <c r="Y44" s="47">
        <f t="shared" si="11"/>
        <v>57.697457623142284</v>
      </c>
      <c r="Z44" s="46">
        <f t="shared" si="12"/>
        <v>58.434775492972364</v>
      </c>
      <c r="AA44" s="47">
        <f t="shared" si="13"/>
        <v>58.665835519611974</v>
      </c>
      <c r="AB44" s="46">
        <f t="shared" si="14"/>
        <v>58.833668793308803</v>
      </c>
      <c r="AC44" s="46">
        <f t="shared" si="15"/>
        <v>59.127004530787737</v>
      </c>
      <c r="AD44" s="46">
        <f t="shared" si="16"/>
        <v>-0.95649572702797669</v>
      </c>
      <c r="AE44" s="46">
        <f t="shared" si="17"/>
        <v>0.6042541886601418</v>
      </c>
    </row>
    <row r="45" spans="2:31" x14ac:dyDescent="0.2">
      <c r="B45" s="1">
        <v>904</v>
      </c>
      <c r="C45" s="1" t="s">
        <v>120</v>
      </c>
      <c r="D45" s="1">
        <v>21</v>
      </c>
      <c r="E45" s="1">
        <v>3</v>
      </c>
      <c r="F45" s="1">
        <v>2</v>
      </c>
      <c r="G45" s="1">
        <v>2</v>
      </c>
      <c r="H45" s="1">
        <v>1</v>
      </c>
      <c r="I45" s="1">
        <v>1</v>
      </c>
      <c r="J45" s="4">
        <v>13.234</v>
      </c>
      <c r="K45" s="39">
        <v>62.03172497112871</v>
      </c>
      <c r="L45" s="39">
        <v>50.454510941578469</v>
      </c>
      <c r="M45" s="39">
        <v>59.461593230464146</v>
      </c>
      <c r="N45" s="39">
        <v>59.378009458351947</v>
      </c>
      <c r="O45" s="39">
        <v>49.92574510193964</v>
      </c>
      <c r="P45" s="39">
        <v>63.586889450212254</v>
      </c>
      <c r="Q45" s="39">
        <v>53.681608997426977</v>
      </c>
      <c r="R45" s="39">
        <v>60.958873208497643</v>
      </c>
      <c r="S45" s="39">
        <v>54.113265132815627</v>
      </c>
      <c r="T45" s="39">
        <v>61.45492319977776</v>
      </c>
      <c r="U45" s="39">
        <v>52.815126586304842</v>
      </c>
      <c r="V45" s="39">
        <v>60.295106181999998</v>
      </c>
      <c r="W45" s="5">
        <f t="shared" si="9"/>
        <v>57.346448038374838</v>
      </c>
      <c r="X45" s="4">
        <f t="shared" si="10"/>
        <v>1.3901787506696128</v>
      </c>
      <c r="Y45" s="2">
        <f t="shared" si="11"/>
        <v>49.92574510193964</v>
      </c>
      <c r="Z45" s="3">
        <f t="shared" si="12"/>
        <v>53.46498839464644</v>
      </c>
      <c r="AA45" s="2">
        <f t="shared" si="13"/>
        <v>59.419801344408043</v>
      </c>
      <c r="AB45" s="3">
        <f t="shared" si="14"/>
        <v>61.082885706317668</v>
      </c>
      <c r="AC45" s="3">
        <f t="shared" si="15"/>
        <v>63.586889450212254</v>
      </c>
      <c r="AD45" s="3">
        <f t="shared" si="16"/>
        <v>-0.39678263309375633</v>
      </c>
      <c r="AE45" s="3">
        <f t="shared" si="17"/>
        <v>-1.5236111098909739</v>
      </c>
    </row>
    <row r="46" spans="2:31" x14ac:dyDescent="0.2">
      <c r="B46" s="50">
        <v>905</v>
      </c>
      <c r="C46" s="50" t="s">
        <v>61</v>
      </c>
      <c r="D46" s="50">
        <v>32</v>
      </c>
      <c r="E46" s="50">
        <v>9</v>
      </c>
      <c r="F46" s="50">
        <v>0</v>
      </c>
      <c r="G46" s="50">
        <v>1</v>
      </c>
      <c r="H46" s="50">
        <v>2</v>
      </c>
      <c r="I46" s="50">
        <v>1</v>
      </c>
      <c r="J46" s="48">
        <v>13.228</v>
      </c>
      <c r="K46" s="47">
        <v>36.684502491666926</v>
      </c>
      <c r="L46" s="47">
        <v>39.403846694521647</v>
      </c>
      <c r="M46" s="47">
        <v>37.25004195930584</v>
      </c>
      <c r="N46" s="47">
        <v>41.258544906007607</v>
      </c>
      <c r="O46" s="47">
        <v>37.532241067863225</v>
      </c>
      <c r="P46" s="47">
        <v>37.061697877577927</v>
      </c>
      <c r="Q46" s="47">
        <v>37.814059759579237</v>
      </c>
      <c r="R46" s="47">
        <v>36.684502491666926</v>
      </c>
      <c r="S46" s="47">
        <v>40.054914287017603</v>
      </c>
      <c r="T46" s="47">
        <v>37.438216966882031</v>
      </c>
      <c r="U46" s="47">
        <v>39.496983156206291</v>
      </c>
      <c r="V46" s="47">
        <v>37.25004195930584</v>
      </c>
      <c r="W46" s="49">
        <f t="shared" si="9"/>
        <v>38.160799468133426</v>
      </c>
      <c r="X46" s="48">
        <f t="shared" si="10"/>
        <v>0.43325388727754022</v>
      </c>
      <c r="Y46" s="47">
        <f t="shared" si="11"/>
        <v>36.684502491666926</v>
      </c>
      <c r="Z46" s="46">
        <f t="shared" si="12"/>
        <v>37.202955938873863</v>
      </c>
      <c r="AA46" s="47">
        <f t="shared" si="13"/>
        <v>37.485229017372632</v>
      </c>
      <c r="AB46" s="46">
        <f t="shared" si="14"/>
        <v>39.42713080994281</v>
      </c>
      <c r="AC46" s="46">
        <f t="shared" si="15"/>
        <v>41.258544906007607</v>
      </c>
      <c r="AD46" s="46">
        <f t="shared" si="16"/>
        <v>0.99669605380212545</v>
      </c>
      <c r="AE46" s="46">
        <f t="shared" si="17"/>
        <v>-0.20375227449644084</v>
      </c>
    </row>
    <row r="47" spans="2:31" x14ac:dyDescent="0.2">
      <c r="B47" s="1">
        <v>906</v>
      </c>
      <c r="C47" s="1" t="s">
        <v>119</v>
      </c>
      <c r="D47" s="1">
        <v>22</v>
      </c>
      <c r="E47" s="1">
        <v>4</v>
      </c>
      <c r="F47" s="1">
        <v>2</v>
      </c>
      <c r="G47" s="1">
        <v>2</v>
      </c>
      <c r="H47" s="1">
        <v>2</v>
      </c>
      <c r="I47" s="1">
        <v>1</v>
      </c>
      <c r="J47" s="4">
        <v>13.206</v>
      </c>
      <c r="K47" s="39">
        <v>53.768024761580577</v>
      </c>
      <c r="L47" s="39">
        <v>45.279366869869676</v>
      </c>
      <c r="M47" s="39">
        <v>46.181777538233284</v>
      </c>
      <c r="N47" s="39">
        <v>47.079961352803778</v>
      </c>
      <c r="O47" s="39">
        <v>43.187781422488513</v>
      </c>
      <c r="P47" s="39">
        <v>46.271786128111032</v>
      </c>
      <c r="Q47" s="39">
        <v>43.187781422488513</v>
      </c>
      <c r="R47" s="39">
        <v>44.917219083462157</v>
      </c>
      <c r="S47" s="39">
        <v>44.190894620826441</v>
      </c>
      <c r="T47" s="39">
        <v>51.069481202681224</v>
      </c>
      <c r="U47" s="39">
        <v>43.735568104196354</v>
      </c>
      <c r="V47" s="39">
        <v>42.730130136272209</v>
      </c>
      <c r="W47" s="5">
        <f t="shared" si="9"/>
        <v>45.966647720251153</v>
      </c>
      <c r="X47" s="4">
        <f t="shared" si="10"/>
        <v>0.96884484266428306</v>
      </c>
      <c r="Y47" s="2">
        <f t="shared" si="11"/>
        <v>42.730130136272209</v>
      </c>
      <c r="Z47" s="3">
        <f t="shared" si="12"/>
        <v>43.598621433769395</v>
      </c>
      <c r="AA47" s="2">
        <f t="shared" si="13"/>
        <v>45.098292976665917</v>
      </c>
      <c r="AB47" s="3">
        <f t="shared" si="14"/>
        <v>46.473829934284218</v>
      </c>
      <c r="AC47" s="3">
        <f t="shared" si="15"/>
        <v>53.768024761580577</v>
      </c>
      <c r="AD47" s="3">
        <f t="shared" si="16"/>
        <v>1.4835142884520909</v>
      </c>
      <c r="AE47" s="3">
        <f t="shared" si="17"/>
        <v>1.7403681290699087</v>
      </c>
    </row>
    <row r="48" spans="2:31" x14ac:dyDescent="0.2">
      <c r="B48" s="50">
        <v>907</v>
      </c>
      <c r="C48" s="50" t="s">
        <v>74</v>
      </c>
      <c r="D48" s="50">
        <v>31</v>
      </c>
      <c r="E48" s="50">
        <v>8</v>
      </c>
      <c r="F48" s="50">
        <v>0</v>
      </c>
      <c r="G48" s="50">
        <v>1</v>
      </c>
      <c r="H48" s="50">
        <v>2</v>
      </c>
      <c r="I48" s="50">
        <v>1</v>
      </c>
      <c r="J48" s="48">
        <v>13.199</v>
      </c>
      <c r="K48" s="47">
        <v>59.378009458351947</v>
      </c>
      <c r="L48" s="47">
        <v>58.623853425135188</v>
      </c>
      <c r="M48" s="47">
        <v>58.539846967643669</v>
      </c>
      <c r="N48" s="47">
        <v>59.628633969074762</v>
      </c>
      <c r="O48" s="47">
        <v>59.628633969074762</v>
      </c>
      <c r="P48" s="47">
        <v>57.697457623142284</v>
      </c>
      <c r="Q48" s="47">
        <v>59.210715108513732</v>
      </c>
      <c r="R48" s="47">
        <v>58.875619186382146</v>
      </c>
      <c r="S48" s="47">
        <v>59.378009458351947</v>
      </c>
      <c r="T48" s="47">
        <v>58.203398452298288</v>
      </c>
      <c r="U48" s="47">
        <v>58.371707247046835</v>
      </c>
      <c r="V48" s="47">
        <v>58.875619186382146</v>
      </c>
      <c r="W48" s="49">
        <f t="shared" si="9"/>
        <v>58.867625337616481</v>
      </c>
      <c r="X48" s="48">
        <f t="shared" si="10"/>
        <v>0.17452052416212646</v>
      </c>
      <c r="Y48" s="47">
        <f t="shared" si="11"/>
        <v>57.697457623142284</v>
      </c>
      <c r="Z48" s="46">
        <f t="shared" si="12"/>
        <v>58.497812037494462</v>
      </c>
      <c r="AA48" s="47">
        <f t="shared" si="13"/>
        <v>58.875619186382146</v>
      </c>
      <c r="AB48" s="46">
        <f t="shared" si="14"/>
        <v>59.378009458351947</v>
      </c>
      <c r="AC48" s="46">
        <f t="shared" si="15"/>
        <v>59.628633969074762</v>
      </c>
      <c r="AD48" s="46">
        <f t="shared" si="16"/>
        <v>-0.43411568243065146</v>
      </c>
      <c r="AE48" s="46">
        <f t="shared" si="17"/>
        <v>-0.53513797918123629</v>
      </c>
    </row>
    <row r="49" spans="2:31" ht="13.5" thickBot="1" x14ac:dyDescent="0.25">
      <c r="B49" s="45">
        <v>908</v>
      </c>
      <c r="C49" s="45" t="s">
        <v>120</v>
      </c>
      <c r="D49" s="45">
        <v>21</v>
      </c>
      <c r="E49" s="45">
        <v>3</v>
      </c>
      <c r="F49" s="45">
        <v>2</v>
      </c>
      <c r="G49" s="45">
        <v>2</v>
      </c>
      <c r="H49" s="45">
        <v>2</v>
      </c>
      <c r="I49" s="45">
        <v>1</v>
      </c>
      <c r="J49" s="42">
        <v>13.176</v>
      </c>
      <c r="K49" s="44">
        <v>63.668317526889986</v>
      </c>
      <c r="L49" s="44">
        <v>51.244806574726347</v>
      </c>
      <c r="M49" s="44">
        <v>55.487463651686888</v>
      </c>
      <c r="N49" s="44">
        <v>61.041653878389155</v>
      </c>
      <c r="O49" s="44">
        <v>54.71580844376664</v>
      </c>
      <c r="P49" s="44">
        <v>51.594950096361423</v>
      </c>
      <c r="Q49" s="44">
        <v>61.45492319977776</v>
      </c>
      <c r="R49" s="44">
        <v>58.959456569721951</v>
      </c>
      <c r="S49" s="44">
        <v>57.359318366279652</v>
      </c>
      <c r="T49" s="44">
        <v>62.1139561500271</v>
      </c>
      <c r="U49" s="44">
        <v>50.190318230179741</v>
      </c>
      <c r="V49" s="44">
        <v>63.668317526889986</v>
      </c>
      <c r="W49" s="43">
        <f t="shared" si="9"/>
        <v>57.624940851224714</v>
      </c>
      <c r="X49" s="42">
        <f t="shared" si="10"/>
        <v>1.4215937955987092</v>
      </c>
      <c r="Y49" s="41">
        <f t="shared" si="11"/>
        <v>50.190318230179741</v>
      </c>
      <c r="Z49" s="40">
        <f t="shared" si="12"/>
        <v>53.935593856915332</v>
      </c>
      <c r="AA49" s="41">
        <f t="shared" si="13"/>
        <v>58.159387468000801</v>
      </c>
      <c r="AB49" s="40">
        <f t="shared" si="14"/>
        <v>61.619681437340091</v>
      </c>
      <c r="AC49" s="40">
        <f t="shared" si="15"/>
        <v>63.668317526889986</v>
      </c>
      <c r="AD49" s="40">
        <f t="shared" si="16"/>
        <v>-0.26852831265148586</v>
      </c>
      <c r="AE49" s="40">
        <f t="shared" si="17"/>
        <v>-1.4731775690404083</v>
      </c>
    </row>
    <row r="50" spans="2:31" ht="13.5" thickTop="1" x14ac:dyDescent="0.2">
      <c r="B50" s="1">
        <v>101</v>
      </c>
      <c r="C50" s="1" t="s">
        <v>71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1">
        <v>2</v>
      </c>
      <c r="J50" s="4">
        <v>13.021000000000001</v>
      </c>
      <c r="K50" s="39">
        <v>31.235984389241871</v>
      </c>
      <c r="L50" s="39">
        <v>31.71941948359617</v>
      </c>
      <c r="M50" s="39">
        <v>32.490717670590634</v>
      </c>
      <c r="N50" s="39">
        <v>31.526172251468243</v>
      </c>
      <c r="O50" s="39">
        <v>34.597839067308108</v>
      </c>
      <c r="P50" s="39">
        <v>31.71941948359617</v>
      </c>
      <c r="Q50" s="39">
        <v>33.067416032243365</v>
      </c>
      <c r="R50" s="39">
        <v>31.815979696853233</v>
      </c>
      <c r="S50" s="39">
        <v>31.622817001801174</v>
      </c>
      <c r="T50" s="39">
        <v>32.20179786450219</v>
      </c>
      <c r="U50" s="39">
        <v>34.597839067308108</v>
      </c>
      <c r="V50" s="39">
        <v>33.259310671157493</v>
      </c>
      <c r="W50" s="5">
        <f t="shared" si="9"/>
        <v>32.487892723305556</v>
      </c>
      <c r="X50" s="4">
        <f t="shared" si="10"/>
        <v>0.33472789057014674</v>
      </c>
      <c r="Y50" s="2">
        <f t="shared" si="11"/>
        <v>31.235984389241871</v>
      </c>
      <c r="Z50" s="3">
        <f t="shared" si="12"/>
        <v>31.695268863147419</v>
      </c>
      <c r="AA50" s="2">
        <f t="shared" si="13"/>
        <v>32.008888780677708</v>
      </c>
      <c r="AB50" s="3">
        <f t="shared" si="14"/>
        <v>33.115389691971899</v>
      </c>
      <c r="AC50" s="3">
        <f t="shared" si="15"/>
        <v>34.597839067308108</v>
      </c>
      <c r="AD50" s="3">
        <f t="shared" si="16"/>
        <v>1.0290996525583038</v>
      </c>
      <c r="AE50" s="3">
        <f t="shared" si="17"/>
        <v>-0.12076557051500636</v>
      </c>
    </row>
    <row r="51" spans="2:31" x14ac:dyDescent="0.2">
      <c r="B51" s="1">
        <v>102</v>
      </c>
      <c r="C51" s="1" t="s">
        <v>68</v>
      </c>
      <c r="D51" s="1">
        <v>4</v>
      </c>
      <c r="E51" s="1">
        <v>1</v>
      </c>
      <c r="F51" s="1">
        <v>2</v>
      </c>
      <c r="G51" s="1">
        <v>1</v>
      </c>
      <c r="H51" s="1">
        <v>1</v>
      </c>
      <c r="I51" s="1">
        <v>2</v>
      </c>
      <c r="J51" s="4">
        <v>13.003</v>
      </c>
      <c r="K51" s="39">
        <v>30.751492581439294</v>
      </c>
      <c r="L51" s="39">
        <v>31.042314471734631</v>
      </c>
      <c r="M51" s="39">
        <v>31.332755945188588</v>
      </c>
      <c r="N51" s="39">
        <v>31.332755945188588</v>
      </c>
      <c r="O51" s="39">
        <v>31.429485232597386</v>
      </c>
      <c r="P51" s="39">
        <v>31.042314471734631</v>
      </c>
      <c r="Q51" s="39">
        <v>30.460290274302576</v>
      </c>
      <c r="R51" s="39">
        <v>32.20179786450219</v>
      </c>
      <c r="S51" s="39">
        <v>32.20179786450219</v>
      </c>
      <c r="T51" s="39">
        <v>31.622817001801174</v>
      </c>
      <c r="U51" s="39">
        <v>32.105406725396847</v>
      </c>
      <c r="V51" s="39">
        <v>32.20179786450219</v>
      </c>
      <c r="W51" s="5">
        <f t="shared" si="9"/>
        <v>31.477085520240859</v>
      </c>
      <c r="X51" s="4">
        <f t="shared" si="10"/>
        <v>0.17351068435868583</v>
      </c>
      <c r="Y51" s="2">
        <f t="shared" si="11"/>
        <v>30.460290274302576</v>
      </c>
      <c r="Z51" s="3">
        <f t="shared" si="12"/>
        <v>31.042314471734631</v>
      </c>
      <c r="AA51" s="2">
        <f t="shared" si="13"/>
        <v>31.381120588892987</v>
      </c>
      <c r="AB51" s="3">
        <f t="shared" si="14"/>
        <v>32.129504510173184</v>
      </c>
      <c r="AC51" s="3">
        <f t="shared" si="15"/>
        <v>32.20179786450219</v>
      </c>
      <c r="AD51" s="3">
        <f t="shared" si="16"/>
        <v>-0.10586036711738657</v>
      </c>
      <c r="AE51" s="3">
        <f t="shared" si="17"/>
        <v>-1.1330487888966374</v>
      </c>
    </row>
    <row r="52" spans="2:31" x14ac:dyDescent="0.2">
      <c r="B52" s="1">
        <v>103</v>
      </c>
      <c r="C52" s="1" t="s">
        <v>73</v>
      </c>
      <c r="D52" s="1">
        <v>5</v>
      </c>
      <c r="E52" s="1">
        <v>1</v>
      </c>
      <c r="F52" s="1">
        <v>3</v>
      </c>
      <c r="G52" s="1">
        <v>2</v>
      </c>
      <c r="H52" s="1">
        <v>1</v>
      </c>
      <c r="I52" s="1">
        <v>2</v>
      </c>
      <c r="J52" s="4">
        <v>12.986000000000001</v>
      </c>
      <c r="K52" s="39">
        <v>30.654467414264982</v>
      </c>
      <c r="L52" s="39">
        <v>30.460290274302576</v>
      </c>
      <c r="M52" s="39">
        <v>29.779338825489305</v>
      </c>
      <c r="N52" s="39">
        <v>30.071428771922577</v>
      </c>
      <c r="O52" s="39">
        <v>32.298146735069594</v>
      </c>
      <c r="P52" s="39">
        <v>30.751492581439294</v>
      </c>
      <c r="Q52" s="39">
        <v>31.622817001801174</v>
      </c>
      <c r="R52" s="39">
        <v>31.235984389241871</v>
      </c>
      <c r="S52" s="39">
        <v>32.683119531959932</v>
      </c>
      <c r="T52" s="39">
        <v>32.008973317753579</v>
      </c>
      <c r="U52" s="39">
        <v>30.751492581439294</v>
      </c>
      <c r="V52" s="39">
        <v>32.779257059837683</v>
      </c>
      <c r="W52" s="5">
        <f t="shared" si="9"/>
        <v>31.258067373710158</v>
      </c>
      <c r="X52" s="4">
        <f t="shared" si="10"/>
        <v>0.2917127195848257</v>
      </c>
      <c r="Y52" s="2">
        <f t="shared" si="11"/>
        <v>29.779338825489305</v>
      </c>
      <c r="Z52" s="3">
        <f t="shared" si="12"/>
        <v>30.60592312927438</v>
      </c>
      <c r="AA52" s="2">
        <f t="shared" si="13"/>
        <v>30.993738485340582</v>
      </c>
      <c r="AB52" s="3">
        <f t="shared" si="14"/>
        <v>32.081266672082585</v>
      </c>
      <c r="AC52" s="3">
        <f t="shared" si="15"/>
        <v>32.779257059837683</v>
      </c>
      <c r="AD52" s="3">
        <f t="shared" si="16"/>
        <v>0.22402272643583609</v>
      </c>
      <c r="AE52" s="3">
        <f t="shared" si="17"/>
        <v>-1.2500732669962185</v>
      </c>
    </row>
    <row r="53" spans="2:31" x14ac:dyDescent="0.2">
      <c r="B53" s="1">
        <v>104</v>
      </c>
      <c r="C53" s="1" t="s">
        <v>62</v>
      </c>
      <c r="D53" s="1">
        <v>10</v>
      </c>
      <c r="E53" s="1">
        <v>2</v>
      </c>
      <c r="F53" s="1">
        <v>2</v>
      </c>
      <c r="G53" s="1">
        <v>1</v>
      </c>
      <c r="H53" s="1">
        <v>1</v>
      </c>
      <c r="I53" s="1">
        <v>2</v>
      </c>
      <c r="J53" s="4">
        <v>12.967000000000001</v>
      </c>
      <c r="K53" s="39">
        <v>34.597839067308108</v>
      </c>
      <c r="L53" s="39">
        <v>34.97875408455706</v>
      </c>
      <c r="M53" s="39">
        <v>34.311708984723126</v>
      </c>
      <c r="N53" s="39">
        <v>33.546835615494203</v>
      </c>
      <c r="O53" s="39">
        <v>33.92961044841212</v>
      </c>
      <c r="P53" s="39">
        <v>36.873184721698294</v>
      </c>
      <c r="Q53" s="39">
        <v>34.407127947456054</v>
      </c>
      <c r="R53" s="39">
        <v>32.683119531959932</v>
      </c>
      <c r="S53" s="39">
        <v>33.451036235919901</v>
      </c>
      <c r="T53" s="39">
        <v>33.546835615494203</v>
      </c>
      <c r="U53" s="39">
        <v>32.39445333709908</v>
      </c>
      <c r="V53" s="39">
        <v>34.502504641651058</v>
      </c>
      <c r="W53" s="5">
        <f t="shared" si="9"/>
        <v>34.101917519314426</v>
      </c>
      <c r="X53" s="4">
        <f t="shared" si="10"/>
        <v>0.33699123304877904</v>
      </c>
      <c r="Y53" s="2">
        <f t="shared" si="11"/>
        <v>32.39445333709908</v>
      </c>
      <c r="Z53" s="3">
        <f t="shared" si="12"/>
        <v>33.522885770600624</v>
      </c>
      <c r="AA53" s="2">
        <f t="shared" si="13"/>
        <v>34.120659716567623</v>
      </c>
      <c r="AB53" s="3">
        <f t="shared" si="14"/>
        <v>34.526338248065322</v>
      </c>
      <c r="AC53" s="3">
        <f t="shared" si="15"/>
        <v>36.873184721698294</v>
      </c>
      <c r="AD53" s="3">
        <f t="shared" si="16"/>
        <v>0.94112889820974444</v>
      </c>
      <c r="AE53" s="3">
        <f t="shared" si="17"/>
        <v>2.1260454768014654</v>
      </c>
    </row>
    <row r="54" spans="2:31" x14ac:dyDescent="0.2">
      <c r="B54" s="1">
        <v>105</v>
      </c>
      <c r="C54" s="1" t="s">
        <v>66</v>
      </c>
      <c r="D54" s="1">
        <v>12</v>
      </c>
      <c r="E54" s="1">
        <v>2</v>
      </c>
      <c r="F54" s="1">
        <v>3</v>
      </c>
      <c r="G54" s="1">
        <v>1</v>
      </c>
      <c r="H54" s="1">
        <v>2</v>
      </c>
      <c r="I54" s="1">
        <v>2</v>
      </c>
      <c r="J54" s="4">
        <v>12.946</v>
      </c>
      <c r="K54" s="39">
        <v>36.967462433907073</v>
      </c>
      <c r="L54" s="39">
        <v>38.750707943667067</v>
      </c>
      <c r="M54" s="39">
        <v>39.403846694521647</v>
      </c>
      <c r="N54" s="39">
        <v>38.844140285117227</v>
      </c>
      <c r="O54" s="39">
        <v>37.438216966882031</v>
      </c>
      <c r="P54" s="39">
        <v>37.814059759579237</v>
      </c>
      <c r="Q54" s="39">
        <v>35.453946814014785</v>
      </c>
      <c r="R54" s="39">
        <v>37.155891052710849</v>
      </c>
      <c r="S54" s="39">
        <v>40.054914287017603</v>
      </c>
      <c r="T54" s="39">
        <v>40.796455423308537</v>
      </c>
      <c r="U54" s="39">
        <v>37.814059759579237</v>
      </c>
      <c r="V54" s="39">
        <v>34.12074425364348</v>
      </c>
      <c r="W54" s="5">
        <f t="shared" si="9"/>
        <v>37.884537139495734</v>
      </c>
      <c r="X54" s="4">
        <f t="shared" si="10"/>
        <v>0.54233075707472167</v>
      </c>
      <c r="Y54" s="2">
        <f t="shared" si="11"/>
        <v>34.12074425364348</v>
      </c>
      <c r="Z54" s="3">
        <f t="shared" si="12"/>
        <v>37.108783898009904</v>
      </c>
      <c r="AA54" s="2">
        <f t="shared" si="13"/>
        <v>37.814059759579237</v>
      </c>
      <c r="AB54" s="3">
        <f t="shared" si="14"/>
        <v>38.98406688746833</v>
      </c>
      <c r="AC54" s="3">
        <f t="shared" si="15"/>
        <v>40.796455423308537</v>
      </c>
      <c r="AD54" s="3">
        <f t="shared" si="16"/>
        <v>-0.47662735882053958</v>
      </c>
      <c r="AE54" s="3">
        <f t="shared" si="17"/>
        <v>0.23503424957304464</v>
      </c>
    </row>
    <row r="55" spans="2:31" x14ac:dyDescent="0.2">
      <c r="B55" s="1">
        <v>106</v>
      </c>
      <c r="C55" s="1" t="s">
        <v>63</v>
      </c>
      <c r="D55" s="1">
        <v>9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4">
        <v>12.93</v>
      </c>
      <c r="K55" s="39">
        <v>34.97875408455706</v>
      </c>
      <c r="L55" s="39">
        <v>36.022783227612322</v>
      </c>
      <c r="M55" s="39">
        <v>34.311708984723126</v>
      </c>
      <c r="N55" s="39">
        <v>32.683119531959932</v>
      </c>
      <c r="O55" s="39">
        <v>34.502504641651058</v>
      </c>
      <c r="P55" s="39">
        <v>33.451036235919901</v>
      </c>
      <c r="Q55" s="39">
        <v>36.117441356662489</v>
      </c>
      <c r="R55" s="39">
        <v>37.532241067863225</v>
      </c>
      <c r="S55" s="39">
        <v>34.216247753452272</v>
      </c>
      <c r="T55" s="39">
        <v>36.306630809149027</v>
      </c>
      <c r="U55" s="39">
        <v>36.684502491666926</v>
      </c>
      <c r="V55" s="39">
        <v>34.025198485296769</v>
      </c>
      <c r="W55" s="5">
        <f t="shared" si="9"/>
        <v>35.069347389209504</v>
      </c>
      <c r="X55" s="4">
        <f t="shared" si="10"/>
        <v>0.41966397541143408</v>
      </c>
      <c r="Y55" s="2">
        <f t="shared" si="11"/>
        <v>32.683119531959932</v>
      </c>
      <c r="Z55" s="3">
        <f t="shared" si="12"/>
        <v>34.168485436413398</v>
      </c>
      <c r="AA55" s="2">
        <f t="shared" si="13"/>
        <v>34.740629363104063</v>
      </c>
      <c r="AB55" s="3">
        <f t="shared" si="14"/>
        <v>36.164738719784125</v>
      </c>
      <c r="AC55" s="3">
        <f t="shared" si="15"/>
        <v>37.532241067863225</v>
      </c>
      <c r="AD55" s="3">
        <f t="shared" si="16"/>
        <v>0.10163988632622095</v>
      </c>
      <c r="AE55" s="3">
        <f t="shared" si="17"/>
        <v>-0.879043604717201</v>
      </c>
    </row>
    <row r="56" spans="2:31" x14ac:dyDescent="0.2">
      <c r="B56" s="1">
        <v>107</v>
      </c>
      <c r="C56" s="1" t="s">
        <v>62</v>
      </c>
      <c r="D56" s="1">
        <v>10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4">
        <v>12.913</v>
      </c>
      <c r="K56" s="39">
        <v>36.401162132585398</v>
      </c>
      <c r="L56" s="39">
        <v>34.693131224427248</v>
      </c>
      <c r="M56" s="39">
        <v>33.833980142989532</v>
      </c>
      <c r="N56" s="39">
        <v>33.067416032243365</v>
      </c>
      <c r="O56" s="39">
        <v>32.971405309979403</v>
      </c>
      <c r="P56" s="39">
        <v>32.39445333709908</v>
      </c>
      <c r="Q56" s="39">
        <v>32.875352319177509</v>
      </c>
      <c r="R56" s="39">
        <v>34.216247753452272</v>
      </c>
      <c r="S56" s="39">
        <v>36.212057217174724</v>
      </c>
      <c r="T56" s="39">
        <v>32.20179786450219</v>
      </c>
      <c r="U56" s="39">
        <v>35.263996527845478</v>
      </c>
      <c r="V56" s="39">
        <v>35.8333401638982</v>
      </c>
      <c r="W56" s="5">
        <f t="shared" si="9"/>
        <v>34.16369500211453</v>
      </c>
      <c r="X56" s="4">
        <f t="shared" si="10"/>
        <v>0.43392733766764857</v>
      </c>
      <c r="Y56" s="2">
        <f t="shared" si="11"/>
        <v>32.20179786450219</v>
      </c>
      <c r="Z56" s="3">
        <f t="shared" si="12"/>
        <v>32.947392062278929</v>
      </c>
      <c r="AA56" s="2">
        <f t="shared" si="13"/>
        <v>34.025113948220906</v>
      </c>
      <c r="AB56" s="3">
        <f t="shared" si="14"/>
        <v>35.406332436858662</v>
      </c>
      <c r="AC56" s="3">
        <f t="shared" si="15"/>
        <v>36.401162132585398</v>
      </c>
      <c r="AD56" s="3">
        <f t="shared" si="16"/>
        <v>0.2458642565127491</v>
      </c>
      <c r="AE56" s="3">
        <f t="shared" si="17"/>
        <v>-1.4768809263043661</v>
      </c>
    </row>
    <row r="57" spans="2:31" x14ac:dyDescent="0.2">
      <c r="B57" s="1">
        <v>108</v>
      </c>
      <c r="C57" s="1" t="s">
        <v>69</v>
      </c>
      <c r="D57" s="1">
        <v>3</v>
      </c>
      <c r="E57" s="1">
        <v>1</v>
      </c>
      <c r="F57" s="1">
        <v>2</v>
      </c>
      <c r="G57" s="1">
        <v>2</v>
      </c>
      <c r="H57" s="1">
        <v>2</v>
      </c>
      <c r="I57" s="1">
        <v>2</v>
      </c>
      <c r="J57" s="4">
        <v>12.895</v>
      </c>
      <c r="K57" s="39">
        <v>33.067416032243365</v>
      </c>
      <c r="L57" s="39">
        <v>32.586939735544249</v>
      </c>
      <c r="M57" s="39">
        <v>31.042314471734631</v>
      </c>
      <c r="N57" s="39">
        <v>31.526172251468243</v>
      </c>
      <c r="O57" s="39">
        <v>32.008973317753579</v>
      </c>
      <c r="P57" s="39">
        <v>32.20179786450219</v>
      </c>
      <c r="Q57" s="39">
        <v>33.259310671157493</v>
      </c>
      <c r="R57" s="39">
        <v>31.139170564757212</v>
      </c>
      <c r="S57" s="39">
        <v>30.460290274302576</v>
      </c>
      <c r="T57" s="39">
        <v>31.042314471734631</v>
      </c>
      <c r="U57" s="39">
        <v>33.067416032243365</v>
      </c>
      <c r="V57" s="39">
        <v>33.833980142989532</v>
      </c>
      <c r="W57" s="5">
        <f t="shared" si="9"/>
        <v>32.103007985869255</v>
      </c>
      <c r="X57" s="4">
        <f t="shared" si="10"/>
        <v>0.3096508682370106</v>
      </c>
      <c r="Y57" s="2">
        <f t="shared" si="11"/>
        <v>30.460290274302576</v>
      </c>
      <c r="Z57" s="3">
        <f t="shared" si="12"/>
        <v>31.114956541501567</v>
      </c>
      <c r="AA57" s="2">
        <f t="shared" si="13"/>
        <v>32.105385591127884</v>
      </c>
      <c r="AB57" s="3">
        <f t="shared" si="14"/>
        <v>33.067416032243365</v>
      </c>
      <c r="AC57" s="3">
        <f t="shared" si="15"/>
        <v>33.833980142989532</v>
      </c>
      <c r="AD57" s="3">
        <f t="shared" si="16"/>
        <v>6.4784822992284094E-2</v>
      </c>
      <c r="AE57" s="3">
        <f t="shared" si="17"/>
        <v>-1.2555662347024832</v>
      </c>
    </row>
    <row r="58" spans="2:31" x14ac:dyDescent="0.2">
      <c r="B58" s="1">
        <v>201</v>
      </c>
      <c r="C58" s="1" t="s">
        <v>66</v>
      </c>
      <c r="D58" s="1">
        <v>12</v>
      </c>
      <c r="E58" s="1">
        <v>2</v>
      </c>
      <c r="F58" s="1">
        <v>3</v>
      </c>
      <c r="G58" s="1">
        <v>1</v>
      </c>
      <c r="H58" s="1">
        <v>1</v>
      </c>
      <c r="I58" s="1">
        <v>2</v>
      </c>
      <c r="J58" s="4">
        <v>13.042999999999999</v>
      </c>
      <c r="K58" s="39">
        <v>41.7195776752584</v>
      </c>
      <c r="L58" s="39">
        <v>40.333309227161187</v>
      </c>
      <c r="M58" s="39">
        <v>40.796455423308537</v>
      </c>
      <c r="N58" s="39">
        <v>40.611323750463391</v>
      </c>
      <c r="O58" s="39">
        <v>40.054914287017603</v>
      </c>
      <c r="P58" s="39">
        <v>37.814059759579237</v>
      </c>
      <c r="Q58" s="39">
        <v>37.532241067863225</v>
      </c>
      <c r="R58" s="39">
        <v>39.310667964299071</v>
      </c>
      <c r="S58" s="39">
        <v>40.888957856924208</v>
      </c>
      <c r="T58" s="39">
        <v>39.124183698240131</v>
      </c>
      <c r="U58" s="39">
        <v>39.403846694521647</v>
      </c>
      <c r="V58" s="39">
        <v>40.888957856924208</v>
      </c>
      <c r="W58" s="5">
        <f t="shared" si="9"/>
        <v>39.873207938463402</v>
      </c>
      <c r="X58" s="4">
        <f t="shared" si="10"/>
        <v>0.36858137013256242</v>
      </c>
      <c r="Y58" s="2">
        <f t="shared" si="11"/>
        <v>37.532241067863225</v>
      </c>
      <c r="Z58" s="3">
        <f t="shared" si="12"/>
        <v>39.26404689778434</v>
      </c>
      <c r="AA58" s="2">
        <f t="shared" si="13"/>
        <v>40.194111757089395</v>
      </c>
      <c r="AB58" s="3">
        <f t="shared" si="14"/>
        <v>40.819581031712453</v>
      </c>
      <c r="AC58" s="3">
        <f t="shared" si="15"/>
        <v>41.7195776752584</v>
      </c>
      <c r="AD58" s="3">
        <f t="shared" si="16"/>
        <v>-0.65924266203313042</v>
      </c>
      <c r="AE58" s="3">
        <f t="shared" si="17"/>
        <v>-0.28054543451545788</v>
      </c>
    </row>
    <row r="59" spans="2:31" x14ac:dyDescent="0.2">
      <c r="B59" s="1">
        <v>202</v>
      </c>
      <c r="C59" s="1" t="s">
        <v>63</v>
      </c>
      <c r="D59" s="1">
        <v>9</v>
      </c>
      <c r="E59" s="1">
        <v>2</v>
      </c>
      <c r="F59" s="1">
        <v>2</v>
      </c>
      <c r="G59" s="1">
        <v>2</v>
      </c>
      <c r="H59" s="1">
        <v>1</v>
      </c>
      <c r="I59" s="1">
        <v>2</v>
      </c>
      <c r="J59" s="4">
        <v>13.061999999999999</v>
      </c>
      <c r="K59" s="39">
        <v>34.025198485296769</v>
      </c>
      <c r="L59" s="39">
        <v>32.008973317753579</v>
      </c>
      <c r="M59" s="39">
        <v>32.008973317753579</v>
      </c>
      <c r="N59" s="39">
        <v>34.788381113008441</v>
      </c>
      <c r="O59" s="39">
        <v>35.738555229234244</v>
      </c>
      <c r="P59" s="39">
        <v>37.344150597362905</v>
      </c>
      <c r="Q59" s="39">
        <v>37.438216966882031</v>
      </c>
      <c r="R59" s="39">
        <v>35.073877167524458</v>
      </c>
      <c r="S59" s="39">
        <v>34.597839067308108</v>
      </c>
      <c r="T59" s="39">
        <v>35.263996527845478</v>
      </c>
      <c r="U59" s="39">
        <v>34.502504641651058</v>
      </c>
      <c r="V59" s="39">
        <v>35.643728026032349</v>
      </c>
      <c r="W59" s="5">
        <f t="shared" si="9"/>
        <v>34.86953287147108</v>
      </c>
      <c r="X59" s="4">
        <f t="shared" si="10"/>
        <v>0.48902672638352923</v>
      </c>
      <c r="Y59" s="2">
        <f t="shared" si="11"/>
        <v>32.008973317753579</v>
      </c>
      <c r="Z59" s="3">
        <f t="shared" si="12"/>
        <v>34.383178102562482</v>
      </c>
      <c r="AA59" s="2">
        <f t="shared" si="13"/>
        <v>34.931129140266449</v>
      </c>
      <c r="AB59" s="3">
        <f t="shared" si="14"/>
        <v>35.667434826832825</v>
      </c>
      <c r="AC59" s="3">
        <f t="shared" si="15"/>
        <v>37.438216966882031</v>
      </c>
      <c r="AD59" s="3">
        <f t="shared" si="16"/>
        <v>-0.31851214256929922</v>
      </c>
      <c r="AE59" s="3">
        <f t="shared" si="17"/>
        <v>0.10792996680644329</v>
      </c>
    </row>
    <row r="60" spans="2:31" x14ac:dyDescent="0.2">
      <c r="B60" s="1">
        <v>203</v>
      </c>
      <c r="C60" s="1" t="s">
        <v>69</v>
      </c>
      <c r="D60" s="1">
        <v>3</v>
      </c>
      <c r="E60" s="1">
        <v>1</v>
      </c>
      <c r="F60" s="1">
        <v>2</v>
      </c>
      <c r="G60" s="1">
        <v>2</v>
      </c>
      <c r="H60" s="1">
        <v>1</v>
      </c>
      <c r="I60" s="1">
        <v>2</v>
      </c>
      <c r="J60" s="4">
        <v>13.077999999999999</v>
      </c>
      <c r="K60" s="39">
        <v>32.105406725396847</v>
      </c>
      <c r="L60" s="39">
        <v>31.815979696853233</v>
      </c>
      <c r="M60" s="39">
        <v>33.259310671157493</v>
      </c>
      <c r="N60" s="39">
        <v>33.546835615494203</v>
      </c>
      <c r="O60" s="39">
        <v>30.945416110174119</v>
      </c>
      <c r="P60" s="39">
        <v>33.067416032243365</v>
      </c>
      <c r="Q60" s="39">
        <v>32.39445333709908</v>
      </c>
      <c r="R60" s="39">
        <v>33.067416032243365</v>
      </c>
      <c r="S60" s="39">
        <v>31.71941948359617</v>
      </c>
      <c r="T60" s="39">
        <v>32.971405309979403</v>
      </c>
      <c r="U60" s="39">
        <v>33.738307569029026</v>
      </c>
      <c r="V60" s="39">
        <v>30.84847548007567</v>
      </c>
      <c r="W60" s="5">
        <f t="shared" si="9"/>
        <v>32.456653505278496</v>
      </c>
      <c r="X60" s="4">
        <f t="shared" si="10"/>
        <v>0.28120033521852345</v>
      </c>
      <c r="Y60" s="2">
        <f t="shared" si="11"/>
        <v>30.84847548007567</v>
      </c>
      <c r="Z60" s="3">
        <f t="shared" si="12"/>
        <v>31.791839643538967</v>
      </c>
      <c r="AA60" s="2">
        <f t="shared" si="13"/>
        <v>32.682929323539241</v>
      </c>
      <c r="AB60" s="3">
        <f t="shared" si="14"/>
        <v>33.115389691971899</v>
      </c>
      <c r="AC60" s="3">
        <f t="shared" si="15"/>
        <v>33.738307569029026</v>
      </c>
      <c r="AD60" s="3">
        <f t="shared" si="16"/>
        <v>-0.44939251505162159</v>
      </c>
      <c r="AE60" s="3">
        <f t="shared" si="17"/>
        <v>-1.0130014336264672</v>
      </c>
    </row>
    <row r="61" spans="2:31" x14ac:dyDescent="0.2">
      <c r="B61" s="1">
        <v>204</v>
      </c>
      <c r="C61" s="1" t="s">
        <v>67</v>
      </c>
      <c r="D61" s="1">
        <v>11</v>
      </c>
      <c r="E61" s="1">
        <v>2</v>
      </c>
      <c r="F61" s="1">
        <v>3</v>
      </c>
      <c r="G61" s="1">
        <v>2</v>
      </c>
      <c r="H61" s="1">
        <v>1</v>
      </c>
      <c r="I61" s="1">
        <v>2</v>
      </c>
      <c r="J61" s="4">
        <v>13.093</v>
      </c>
      <c r="K61" s="39">
        <v>36.401162132585398</v>
      </c>
      <c r="L61" s="39">
        <v>36.873184721698294</v>
      </c>
      <c r="M61" s="39">
        <v>39.030878162403759</v>
      </c>
      <c r="N61" s="39">
        <v>36.684502491666926</v>
      </c>
      <c r="O61" s="39">
        <v>37.90791478640871</v>
      </c>
      <c r="P61" s="39">
        <v>39.869106317565553</v>
      </c>
      <c r="Q61" s="39">
        <v>36.967462433907073</v>
      </c>
      <c r="R61" s="39">
        <v>36.49565118748383</v>
      </c>
      <c r="S61" s="39">
        <v>39.683129273961782</v>
      </c>
      <c r="T61" s="39">
        <v>38.470157308088986</v>
      </c>
      <c r="U61" s="39">
        <v>39.77613893003263</v>
      </c>
      <c r="V61" s="39">
        <v>38.470157308088986</v>
      </c>
      <c r="W61" s="5">
        <f t="shared" si="9"/>
        <v>38.05245375449099</v>
      </c>
      <c r="X61" s="4">
        <f t="shared" si="10"/>
        <v>0.38775918653423352</v>
      </c>
      <c r="Y61" s="2">
        <f t="shared" si="11"/>
        <v>36.401162132585398</v>
      </c>
      <c r="Z61" s="3">
        <f t="shared" si="12"/>
        <v>36.826014164190454</v>
      </c>
      <c r="AA61" s="2">
        <f t="shared" si="13"/>
        <v>38.189036047248848</v>
      </c>
      <c r="AB61" s="3">
        <f t="shared" si="14"/>
        <v>39.193940940293267</v>
      </c>
      <c r="AC61" s="3">
        <f t="shared" si="15"/>
        <v>39.869106317565553</v>
      </c>
      <c r="AD61" s="3">
        <f t="shared" si="16"/>
        <v>0.12510003285505367</v>
      </c>
      <c r="AE61" s="3">
        <f t="shared" si="17"/>
        <v>-1.7148815268068573</v>
      </c>
    </row>
    <row r="62" spans="2:31" x14ac:dyDescent="0.2">
      <c r="B62" s="1">
        <v>205</v>
      </c>
      <c r="C62" s="1" t="s">
        <v>71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2</v>
      </c>
      <c r="J62" s="4">
        <v>13.11</v>
      </c>
      <c r="K62" s="39">
        <v>31.042314471734631</v>
      </c>
      <c r="L62" s="39">
        <v>31.139170564757212</v>
      </c>
      <c r="M62" s="39">
        <v>32.008973317753579</v>
      </c>
      <c r="N62" s="39">
        <v>30.16870755032447</v>
      </c>
      <c r="O62" s="39">
        <v>31.042314471734631</v>
      </c>
      <c r="P62" s="39">
        <v>32.105406725396847</v>
      </c>
      <c r="Q62" s="39">
        <v>30.84847548007567</v>
      </c>
      <c r="R62" s="39">
        <v>30.654467414264982</v>
      </c>
      <c r="S62" s="39">
        <v>31.912497641572372</v>
      </c>
      <c r="T62" s="39">
        <v>29.974107724982755</v>
      </c>
      <c r="U62" s="39">
        <v>31.622817001801174</v>
      </c>
      <c r="V62" s="39">
        <v>30.654467414264982</v>
      </c>
      <c r="W62" s="5">
        <f t="shared" si="9"/>
        <v>31.097809981555276</v>
      </c>
      <c r="X62" s="4">
        <f t="shared" si="10"/>
        <v>0.20177056100221161</v>
      </c>
      <c r="Y62" s="2">
        <f t="shared" si="11"/>
        <v>29.974107724982755</v>
      </c>
      <c r="Z62" s="3">
        <f t="shared" si="12"/>
        <v>30.654467414264982</v>
      </c>
      <c r="AA62" s="2">
        <f t="shared" si="13"/>
        <v>31.042314471734631</v>
      </c>
      <c r="AB62" s="3">
        <f t="shared" si="14"/>
        <v>31.695237161743975</v>
      </c>
      <c r="AC62" s="3">
        <f t="shared" si="15"/>
        <v>32.105406725396847</v>
      </c>
      <c r="AD62" s="3">
        <f t="shared" si="16"/>
        <v>1.721038675674226E-2</v>
      </c>
      <c r="AE62" s="3">
        <f t="shared" si="17"/>
        <v>-0.9584809980451201</v>
      </c>
    </row>
    <row r="63" spans="2:31" x14ac:dyDescent="0.2">
      <c r="B63" s="1">
        <v>206</v>
      </c>
      <c r="C63" s="1" t="s">
        <v>64</v>
      </c>
      <c r="D63" s="1">
        <v>8</v>
      </c>
      <c r="E63" s="1">
        <v>2</v>
      </c>
      <c r="F63" s="1">
        <v>1</v>
      </c>
      <c r="G63" s="1">
        <v>1</v>
      </c>
      <c r="H63" s="1">
        <v>2</v>
      </c>
      <c r="I63" s="1">
        <v>2</v>
      </c>
      <c r="J63" s="4">
        <v>13.125999999999999</v>
      </c>
      <c r="K63" s="39">
        <v>32.586939735544249</v>
      </c>
      <c r="L63" s="39">
        <v>33.067416032243365</v>
      </c>
      <c r="M63" s="39">
        <v>33.067416032243365</v>
      </c>
      <c r="N63" s="39">
        <v>33.546835615494203</v>
      </c>
      <c r="O63" s="39">
        <v>32.683119531959932</v>
      </c>
      <c r="P63" s="39">
        <v>32.875352319177509</v>
      </c>
      <c r="Q63" s="39">
        <v>32.490717670590634</v>
      </c>
      <c r="R63" s="39">
        <v>34.407127947456054</v>
      </c>
      <c r="S63" s="39">
        <v>35.358992805199101</v>
      </c>
      <c r="T63" s="39">
        <v>33.738307569029026</v>
      </c>
      <c r="U63" s="39">
        <v>35.453946814014785</v>
      </c>
      <c r="V63" s="39">
        <v>34.216247753452272</v>
      </c>
      <c r="W63" s="5">
        <f t="shared" si="9"/>
        <v>33.624368318867035</v>
      </c>
      <c r="X63" s="4">
        <f t="shared" si="10"/>
        <v>0.29857102545914449</v>
      </c>
      <c r="Y63" s="2">
        <f t="shared" si="11"/>
        <v>32.490717670590634</v>
      </c>
      <c r="Z63" s="3">
        <f t="shared" si="12"/>
        <v>32.827294122373118</v>
      </c>
      <c r="AA63" s="2">
        <f t="shared" si="13"/>
        <v>33.307125823868788</v>
      </c>
      <c r="AB63" s="3">
        <f t="shared" si="14"/>
        <v>34.263967801953214</v>
      </c>
      <c r="AC63" s="3">
        <f t="shared" si="15"/>
        <v>35.453946814014785</v>
      </c>
      <c r="AD63" s="3">
        <f t="shared" si="16"/>
        <v>0.77483838314055731</v>
      </c>
      <c r="AE63" s="3">
        <f t="shared" si="17"/>
        <v>-0.61025320604253697</v>
      </c>
    </row>
    <row r="64" spans="2:31" x14ac:dyDescent="0.2">
      <c r="B64" s="1">
        <v>207</v>
      </c>
      <c r="C64" s="1" t="s">
        <v>68</v>
      </c>
      <c r="D64" s="1">
        <v>4</v>
      </c>
      <c r="E64" s="1">
        <v>1</v>
      </c>
      <c r="F64" s="1">
        <v>2</v>
      </c>
      <c r="G64" s="1">
        <v>1</v>
      </c>
      <c r="H64" s="1">
        <v>2</v>
      </c>
      <c r="I64" s="1">
        <v>2</v>
      </c>
      <c r="J64" s="4">
        <v>13.141999999999999</v>
      </c>
      <c r="K64" s="39">
        <v>33.067416032243365</v>
      </c>
      <c r="L64" s="39">
        <v>32.971405309979403</v>
      </c>
      <c r="M64" s="39">
        <v>34.502504641651058</v>
      </c>
      <c r="N64" s="39">
        <v>33.738307569029026</v>
      </c>
      <c r="O64" s="39">
        <v>33.067416032243365</v>
      </c>
      <c r="P64" s="39">
        <v>33.833980142989532</v>
      </c>
      <c r="Q64" s="39">
        <v>32.490717670590634</v>
      </c>
      <c r="R64" s="39">
        <v>33.067416032243365</v>
      </c>
      <c r="S64" s="39">
        <v>34.025198485296769</v>
      </c>
      <c r="T64" s="39">
        <v>33.92961044841212</v>
      </c>
      <c r="U64" s="39">
        <v>34.12074425364348</v>
      </c>
      <c r="V64" s="39">
        <v>34.025198485296769</v>
      </c>
      <c r="W64" s="5">
        <f t="shared" si="9"/>
        <v>33.56999292530157</v>
      </c>
      <c r="X64" s="4">
        <f t="shared" si="10"/>
        <v>0.17614486919950426</v>
      </c>
      <c r="Y64" s="2">
        <f t="shared" si="11"/>
        <v>32.490717670590634</v>
      </c>
      <c r="Z64" s="3">
        <f t="shared" si="12"/>
        <v>33.067416032243365</v>
      </c>
      <c r="AA64" s="2">
        <f t="shared" si="13"/>
        <v>33.786143856009275</v>
      </c>
      <c r="AB64" s="3">
        <f t="shared" si="14"/>
        <v>34.025198485296769</v>
      </c>
      <c r="AC64" s="3">
        <f t="shared" si="15"/>
        <v>34.502504641651058</v>
      </c>
      <c r="AD64" s="3">
        <f t="shared" si="16"/>
        <v>-0.29589507181529451</v>
      </c>
      <c r="AE64" s="3">
        <f t="shared" si="17"/>
        <v>-1.0403367021944399</v>
      </c>
    </row>
    <row r="65" spans="2:31" x14ac:dyDescent="0.2">
      <c r="B65" s="1">
        <v>208</v>
      </c>
      <c r="C65" s="1" t="s">
        <v>70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2</v>
      </c>
      <c r="J65" s="4">
        <v>13.159000000000001</v>
      </c>
      <c r="K65" s="39">
        <v>34.407127947456054</v>
      </c>
      <c r="L65" s="39">
        <v>34.407127947456054</v>
      </c>
      <c r="M65" s="39">
        <v>34.216247753452272</v>
      </c>
      <c r="N65" s="39">
        <v>33.259310671157493</v>
      </c>
      <c r="O65" s="39">
        <v>31.815979696853233</v>
      </c>
      <c r="P65" s="39">
        <v>36.212057217174724</v>
      </c>
      <c r="Q65" s="39">
        <v>32.875352319177509</v>
      </c>
      <c r="R65" s="39">
        <v>32.586939735544249</v>
      </c>
      <c r="S65" s="39">
        <v>33.546835615494203</v>
      </c>
      <c r="T65" s="39">
        <v>32.490717670590634</v>
      </c>
      <c r="U65" s="39">
        <v>34.97875408455706</v>
      </c>
      <c r="V65" s="39">
        <v>33.92961044841212</v>
      </c>
      <c r="W65" s="5">
        <f t="shared" si="9"/>
        <v>33.727171758943804</v>
      </c>
      <c r="X65" s="4">
        <f t="shared" si="10"/>
        <v>0.35252966782907019</v>
      </c>
      <c r="Y65" s="2">
        <f t="shared" si="11"/>
        <v>31.815979696853233</v>
      </c>
      <c r="Z65" s="3">
        <f t="shared" si="12"/>
        <v>32.803249173269194</v>
      </c>
      <c r="AA65" s="2">
        <f t="shared" si="13"/>
        <v>33.738223031953162</v>
      </c>
      <c r="AB65" s="3">
        <f t="shared" si="14"/>
        <v>34.407127947456054</v>
      </c>
      <c r="AC65" s="3">
        <f t="shared" si="15"/>
        <v>36.212057217174724</v>
      </c>
      <c r="AD65" s="3">
        <f t="shared" si="16"/>
        <v>0.41797566263338337</v>
      </c>
      <c r="AE65" s="3">
        <f t="shared" si="17"/>
        <v>0.14767706686814286</v>
      </c>
    </row>
    <row r="66" spans="2:31" x14ac:dyDescent="0.2">
      <c r="B66" s="1">
        <v>301</v>
      </c>
      <c r="C66" s="1" t="s">
        <v>62</v>
      </c>
      <c r="D66" s="1">
        <v>10</v>
      </c>
      <c r="E66" s="1">
        <v>2</v>
      </c>
      <c r="F66" s="1">
        <v>2</v>
      </c>
      <c r="G66" s="1">
        <v>1</v>
      </c>
      <c r="H66" s="1">
        <v>3</v>
      </c>
      <c r="I66" s="1">
        <v>2</v>
      </c>
      <c r="J66" s="4">
        <v>13.295999999999999</v>
      </c>
      <c r="K66" s="39">
        <v>34.693131224427248</v>
      </c>
      <c r="L66" s="39">
        <v>35.168957981953938</v>
      </c>
      <c r="M66" s="39">
        <v>36.022783227612322</v>
      </c>
      <c r="N66" s="39">
        <v>34.97875408455706</v>
      </c>
      <c r="O66" s="39">
        <v>35.643728026032349</v>
      </c>
      <c r="P66" s="39">
        <v>34.693131224427248</v>
      </c>
      <c r="Q66" s="39">
        <v>34.407127947456054</v>
      </c>
      <c r="R66" s="39">
        <v>34.693131224427248</v>
      </c>
      <c r="S66" s="39">
        <v>32.779257059837683</v>
      </c>
      <c r="T66" s="39">
        <v>33.451036235919901</v>
      </c>
      <c r="U66" s="39">
        <v>34.12074425364348</v>
      </c>
      <c r="V66" s="39">
        <v>34.597839067308108</v>
      </c>
      <c r="W66" s="5">
        <f t="shared" si="9"/>
        <v>34.60413512980022</v>
      </c>
      <c r="X66" s="4">
        <f t="shared" si="10"/>
        <v>0.25389057808053256</v>
      </c>
      <c r="Y66" s="2">
        <f t="shared" si="11"/>
        <v>32.779257059837683</v>
      </c>
      <c r="Z66" s="3">
        <f t="shared" si="12"/>
        <v>34.335532024002909</v>
      </c>
      <c r="AA66" s="2">
        <f t="shared" si="13"/>
        <v>34.693131224427248</v>
      </c>
      <c r="AB66" s="3">
        <f t="shared" si="14"/>
        <v>35.026305058906281</v>
      </c>
      <c r="AC66" s="3">
        <f t="shared" si="15"/>
        <v>36.022783227612322</v>
      </c>
      <c r="AD66" s="3">
        <f t="shared" si="16"/>
        <v>-0.56403056185708489</v>
      </c>
      <c r="AE66" s="3">
        <f t="shared" si="17"/>
        <v>0.77399983541019157</v>
      </c>
    </row>
    <row r="67" spans="2:31" x14ac:dyDescent="0.2">
      <c r="B67" s="1">
        <v>302</v>
      </c>
      <c r="C67" s="1" t="s">
        <v>68</v>
      </c>
      <c r="D67" s="1">
        <v>4</v>
      </c>
      <c r="E67" s="1">
        <v>1</v>
      </c>
      <c r="F67" s="1">
        <v>2</v>
      </c>
      <c r="G67" s="1">
        <v>1</v>
      </c>
      <c r="H67" s="1">
        <v>3</v>
      </c>
      <c r="I67" s="1">
        <v>2</v>
      </c>
      <c r="J67" s="4">
        <v>13.311999999999999</v>
      </c>
      <c r="K67" s="39">
        <v>29.194017682098615</v>
      </c>
      <c r="L67" s="39">
        <v>32.20179786450219</v>
      </c>
      <c r="M67" s="39">
        <v>30.557399978552745</v>
      </c>
      <c r="N67" s="39">
        <v>29.974107724982755</v>
      </c>
      <c r="O67" s="39">
        <v>30.751492581439294</v>
      </c>
      <c r="P67" s="39">
        <v>29.974107724982755</v>
      </c>
      <c r="Q67" s="39">
        <v>31.71941948359617</v>
      </c>
      <c r="R67" s="39">
        <v>30.071428771922577</v>
      </c>
      <c r="S67" s="39">
        <v>29.389293804047234</v>
      </c>
      <c r="T67" s="39">
        <v>30.460290274302576</v>
      </c>
      <c r="U67" s="39">
        <v>29.486868462214648</v>
      </c>
      <c r="V67" s="39">
        <v>29.389293804047234</v>
      </c>
      <c r="W67" s="5">
        <f t="shared" si="9"/>
        <v>30.264126513057395</v>
      </c>
      <c r="X67" s="4">
        <f t="shared" si="10"/>
        <v>0.27135664873428644</v>
      </c>
      <c r="Y67" s="2">
        <f t="shared" si="11"/>
        <v>29.194017682098615</v>
      </c>
      <c r="Z67" s="3">
        <f t="shared" si="12"/>
        <v>29.462474797672794</v>
      </c>
      <c r="AA67" s="2">
        <f t="shared" si="13"/>
        <v>30.022768248452664</v>
      </c>
      <c r="AB67" s="3">
        <f t="shared" si="14"/>
        <v>30.60592312927438</v>
      </c>
      <c r="AC67" s="3">
        <f t="shared" si="15"/>
        <v>32.20179786450219</v>
      </c>
      <c r="AD67" s="3">
        <f t="shared" si="16"/>
        <v>0.97398603525445671</v>
      </c>
      <c r="AE67" s="3">
        <f t="shared" si="17"/>
        <v>0.3079843158936848</v>
      </c>
    </row>
    <row r="68" spans="2:31" x14ac:dyDescent="0.2">
      <c r="B68" s="1">
        <v>303</v>
      </c>
      <c r="C68" s="1" t="s">
        <v>64</v>
      </c>
      <c r="D68" s="1">
        <v>8</v>
      </c>
      <c r="E68" s="1">
        <v>2</v>
      </c>
      <c r="F68" s="1">
        <v>1</v>
      </c>
      <c r="G68" s="1">
        <v>1</v>
      </c>
      <c r="H68" s="1">
        <v>3</v>
      </c>
      <c r="I68" s="1">
        <v>2</v>
      </c>
      <c r="J68" s="4">
        <v>13.33</v>
      </c>
      <c r="K68" s="39">
        <v>31.912497641572372</v>
      </c>
      <c r="L68" s="39">
        <v>29.291676877341892</v>
      </c>
      <c r="M68" s="39">
        <v>32.105406725396847</v>
      </c>
      <c r="N68" s="39">
        <v>30.84847548007567</v>
      </c>
      <c r="O68" s="39">
        <v>32.683119531959932</v>
      </c>
      <c r="P68" s="39">
        <v>32.683119531959932</v>
      </c>
      <c r="Q68" s="39">
        <v>31.429485232597386</v>
      </c>
      <c r="R68" s="39">
        <v>30.945416110174119</v>
      </c>
      <c r="S68" s="39">
        <v>31.235984389241871</v>
      </c>
      <c r="T68" s="39">
        <v>29.584400851844133</v>
      </c>
      <c r="U68" s="39">
        <v>34.311708984723126</v>
      </c>
      <c r="V68" s="39">
        <v>30.945416110174119</v>
      </c>
      <c r="W68" s="5">
        <f t="shared" si="9"/>
        <v>31.498058955588448</v>
      </c>
      <c r="X68" s="4">
        <f t="shared" si="10"/>
        <v>0.39793382969427166</v>
      </c>
      <c r="Y68" s="2">
        <f t="shared" si="11"/>
        <v>29.291676877341892</v>
      </c>
      <c r="Z68" s="3">
        <f t="shared" si="12"/>
        <v>30.921180952649507</v>
      </c>
      <c r="AA68" s="2">
        <f t="shared" si="13"/>
        <v>31.332734810919629</v>
      </c>
      <c r="AB68" s="3">
        <f t="shared" si="14"/>
        <v>32.249834927037618</v>
      </c>
      <c r="AC68" s="3">
        <f t="shared" si="15"/>
        <v>34.311708984723126</v>
      </c>
      <c r="AD68" s="3">
        <f t="shared" si="16"/>
        <v>0.31316269278923742</v>
      </c>
      <c r="AE68" s="3">
        <f t="shared" si="17"/>
        <v>0.5166418620574964</v>
      </c>
    </row>
    <row r="69" spans="2:31" x14ac:dyDescent="0.2">
      <c r="B69" s="1">
        <v>304</v>
      </c>
      <c r="C69" s="1" t="s">
        <v>70</v>
      </c>
      <c r="D69" s="1">
        <v>2</v>
      </c>
      <c r="E69" s="1">
        <v>1</v>
      </c>
      <c r="F69" s="1">
        <v>1</v>
      </c>
      <c r="G69" s="1">
        <v>1</v>
      </c>
      <c r="H69" s="1">
        <v>3</v>
      </c>
      <c r="I69" s="1">
        <v>2</v>
      </c>
      <c r="J69" s="4">
        <v>13.347</v>
      </c>
      <c r="K69" s="39">
        <v>29.68189097293568</v>
      </c>
      <c r="L69" s="39">
        <v>29.584400851844133</v>
      </c>
      <c r="M69" s="39">
        <v>31.139170564757212</v>
      </c>
      <c r="N69" s="39">
        <v>30.16870755032447</v>
      </c>
      <c r="O69" s="39">
        <v>29.486868462214648</v>
      </c>
      <c r="P69" s="39">
        <v>31.815979696853233</v>
      </c>
      <c r="Q69" s="39">
        <v>30.16870755032447</v>
      </c>
      <c r="R69" s="39">
        <v>30.557399978552745</v>
      </c>
      <c r="S69" s="39">
        <v>31.235984389241871</v>
      </c>
      <c r="T69" s="39">
        <v>30.363138301514468</v>
      </c>
      <c r="U69" s="39">
        <v>30.460290274302576</v>
      </c>
      <c r="V69" s="39">
        <v>29.291676877341892</v>
      </c>
      <c r="W69" s="5">
        <f t="shared" si="9"/>
        <v>30.329517955850619</v>
      </c>
      <c r="X69" s="4">
        <f t="shared" si="10"/>
        <v>0.22310585961913854</v>
      </c>
      <c r="Y69" s="2">
        <f t="shared" si="11"/>
        <v>29.291676877341892</v>
      </c>
      <c r="Z69" s="3">
        <f t="shared" si="12"/>
        <v>29.657518442662791</v>
      </c>
      <c r="AA69" s="2">
        <f t="shared" si="13"/>
        <v>30.265922925919469</v>
      </c>
      <c r="AB69" s="3">
        <f t="shared" si="14"/>
        <v>30.702842625103862</v>
      </c>
      <c r="AC69" s="3">
        <f t="shared" si="15"/>
        <v>31.815979696853233</v>
      </c>
      <c r="AD69" s="3">
        <f t="shared" si="16"/>
        <v>0.5114463169161646</v>
      </c>
      <c r="AE69" s="3">
        <f t="shared" si="17"/>
        <v>-0.43829460588808633</v>
      </c>
    </row>
    <row r="70" spans="2:31" x14ac:dyDescent="0.2">
      <c r="B70" s="1">
        <v>305</v>
      </c>
      <c r="C70" s="1" t="s">
        <v>67</v>
      </c>
      <c r="D70" s="1">
        <v>11</v>
      </c>
      <c r="E70" s="1">
        <v>2</v>
      </c>
      <c r="F70" s="1">
        <v>3</v>
      </c>
      <c r="G70" s="1">
        <v>2</v>
      </c>
      <c r="H70" s="1">
        <v>4</v>
      </c>
      <c r="I70" s="1">
        <v>2</v>
      </c>
      <c r="J70" s="4">
        <v>13.363</v>
      </c>
      <c r="K70" s="39">
        <v>37.061697877577927</v>
      </c>
      <c r="L70" s="39">
        <v>34.025198485296769</v>
      </c>
      <c r="M70" s="39">
        <v>35.548858554292529</v>
      </c>
      <c r="N70" s="39">
        <v>35.073877167524458</v>
      </c>
      <c r="O70" s="39">
        <v>34.597839067308108</v>
      </c>
      <c r="P70" s="39">
        <v>34.788381113008441</v>
      </c>
      <c r="Q70" s="39">
        <v>35.548858554292529</v>
      </c>
      <c r="R70" s="39">
        <v>32.971405309979403</v>
      </c>
      <c r="S70" s="39">
        <v>35.738555229234244</v>
      </c>
      <c r="T70" s="39">
        <v>34.502504641651058</v>
      </c>
      <c r="U70" s="39">
        <v>33.833980142989532</v>
      </c>
      <c r="V70" s="39">
        <v>33.642592726530573</v>
      </c>
      <c r="W70" s="5">
        <f t="shared" si="9"/>
        <v>34.777812405807133</v>
      </c>
      <c r="X70" s="4">
        <f t="shared" si="10"/>
        <v>0.32019421337910703</v>
      </c>
      <c r="Y70" s="2">
        <f t="shared" si="11"/>
        <v>32.971405309979403</v>
      </c>
      <c r="Z70" s="3">
        <f t="shared" si="12"/>
        <v>33.977393899719956</v>
      </c>
      <c r="AA70" s="2">
        <f t="shared" si="13"/>
        <v>34.693110090158271</v>
      </c>
      <c r="AB70" s="3">
        <f t="shared" si="14"/>
        <v>35.548858554292529</v>
      </c>
      <c r="AC70" s="3">
        <f t="shared" si="15"/>
        <v>37.061697877577927</v>
      </c>
      <c r="AD70" s="3">
        <f t="shared" si="16"/>
        <v>0.40701159138049686</v>
      </c>
      <c r="AE70" s="3">
        <f t="shared" si="17"/>
        <v>0.3603762003325075</v>
      </c>
    </row>
    <row r="71" spans="2:31" x14ac:dyDescent="0.2">
      <c r="B71" s="1">
        <v>306</v>
      </c>
      <c r="C71" s="1" t="s">
        <v>68</v>
      </c>
      <c r="D71" s="1">
        <v>4</v>
      </c>
      <c r="E71" s="1">
        <v>1</v>
      </c>
      <c r="F71" s="1">
        <v>2</v>
      </c>
      <c r="G71" s="1">
        <v>1</v>
      </c>
      <c r="H71" s="1">
        <v>4</v>
      </c>
      <c r="I71" s="1">
        <v>2</v>
      </c>
      <c r="J71" s="4">
        <v>13.378</v>
      </c>
      <c r="K71" s="39">
        <v>31.526172251468243</v>
      </c>
      <c r="L71" s="39">
        <v>31.912497641572372</v>
      </c>
      <c r="M71" s="39">
        <v>31.139170564757212</v>
      </c>
      <c r="N71" s="39">
        <v>30.945416110174119</v>
      </c>
      <c r="O71" s="39">
        <v>30.654467414264982</v>
      </c>
      <c r="P71" s="39">
        <v>30.654467414264982</v>
      </c>
      <c r="Q71" s="39">
        <v>31.042314471734631</v>
      </c>
      <c r="R71" s="39">
        <v>31.429485232597386</v>
      </c>
      <c r="S71" s="39">
        <v>31.526172251468243</v>
      </c>
      <c r="T71" s="39">
        <v>30.265944060188438</v>
      </c>
      <c r="U71" s="39">
        <v>30.16870755032447</v>
      </c>
      <c r="V71" s="39">
        <v>30.071428771922577</v>
      </c>
      <c r="W71" s="5">
        <f t="shared" si="9"/>
        <v>30.944686977894804</v>
      </c>
      <c r="X71" s="4">
        <f t="shared" si="10"/>
        <v>0.17164893932172726</v>
      </c>
      <c r="Y71" s="2">
        <f t="shared" si="11"/>
        <v>30.071428771922577</v>
      </c>
      <c r="Z71" s="3">
        <f t="shared" si="12"/>
        <v>30.557336575745847</v>
      </c>
      <c r="AA71" s="2">
        <f t="shared" si="13"/>
        <v>30.993865290954375</v>
      </c>
      <c r="AB71" s="3">
        <f t="shared" si="14"/>
        <v>31.4536569873151</v>
      </c>
      <c r="AC71" s="3">
        <f t="shared" si="15"/>
        <v>31.912497641572372</v>
      </c>
      <c r="AD71" s="3">
        <f t="shared" si="16"/>
        <v>-3.777454803210549E-2</v>
      </c>
      <c r="AE71" s="3">
        <f t="shared" si="17"/>
        <v>-1.092106593438587</v>
      </c>
    </row>
    <row r="72" spans="2:31" x14ac:dyDescent="0.2">
      <c r="B72" s="1">
        <v>307</v>
      </c>
      <c r="C72" s="1" t="s">
        <v>63</v>
      </c>
      <c r="D72" s="1">
        <v>9</v>
      </c>
      <c r="E72" s="1">
        <v>2</v>
      </c>
      <c r="F72" s="1">
        <v>2</v>
      </c>
      <c r="G72" s="1">
        <v>2</v>
      </c>
      <c r="H72" s="1">
        <v>4</v>
      </c>
      <c r="I72" s="1">
        <v>2</v>
      </c>
      <c r="J72" s="4">
        <v>13.394</v>
      </c>
      <c r="K72" s="39">
        <v>31.332755945188588</v>
      </c>
      <c r="L72" s="39">
        <v>32.39445333709908</v>
      </c>
      <c r="M72" s="39">
        <v>32.008973317753579</v>
      </c>
      <c r="N72" s="39">
        <v>34.597839067308108</v>
      </c>
      <c r="O72" s="39">
        <v>33.163384485969388</v>
      </c>
      <c r="P72" s="39">
        <v>33.259310671157493</v>
      </c>
      <c r="Q72" s="39">
        <v>32.298146735069594</v>
      </c>
      <c r="R72" s="39">
        <v>32.20179786450219</v>
      </c>
      <c r="S72" s="39">
        <v>32.105406725396847</v>
      </c>
      <c r="T72" s="39">
        <v>32.779257059837683</v>
      </c>
      <c r="U72" s="39">
        <v>32.20179786450219</v>
      </c>
      <c r="V72" s="39">
        <v>32.20179786450219</v>
      </c>
      <c r="W72" s="5">
        <f t="shared" si="9"/>
        <v>32.545410078190578</v>
      </c>
      <c r="X72" s="4">
        <f t="shared" si="10"/>
        <v>0.23913873469447233</v>
      </c>
      <c r="Y72" s="2">
        <f t="shared" si="11"/>
        <v>31.332755945188588</v>
      </c>
      <c r="Z72" s="3">
        <f t="shared" si="12"/>
        <v>32.177700079725852</v>
      </c>
      <c r="AA72" s="2">
        <f t="shared" si="13"/>
        <v>32.249972299785895</v>
      </c>
      <c r="AB72" s="3">
        <f t="shared" si="14"/>
        <v>32.875288916370607</v>
      </c>
      <c r="AC72" s="3">
        <f t="shared" si="15"/>
        <v>34.597839067308108</v>
      </c>
      <c r="AD72" s="3">
        <f t="shared" si="16"/>
        <v>1.3615722369982033</v>
      </c>
      <c r="AE72" s="3">
        <f t="shared" si="17"/>
        <v>2.8200529338062124</v>
      </c>
    </row>
    <row r="73" spans="2:31" x14ac:dyDescent="0.2">
      <c r="B73" s="1">
        <v>308</v>
      </c>
      <c r="C73" s="1" t="s">
        <v>73</v>
      </c>
      <c r="D73" s="1">
        <v>5</v>
      </c>
      <c r="E73" s="1">
        <v>1</v>
      </c>
      <c r="F73" s="1">
        <v>3</v>
      </c>
      <c r="G73" s="1">
        <v>2</v>
      </c>
      <c r="H73" s="1">
        <v>4</v>
      </c>
      <c r="I73" s="1">
        <v>2</v>
      </c>
      <c r="J73" s="4">
        <v>13.411</v>
      </c>
      <c r="K73" s="39">
        <v>32.105406725396847</v>
      </c>
      <c r="L73" s="39">
        <v>29.194017682098615</v>
      </c>
      <c r="M73" s="39">
        <v>31.526172251468243</v>
      </c>
      <c r="N73" s="39">
        <v>32.298146735069594</v>
      </c>
      <c r="O73" s="39">
        <v>31.526172251468243</v>
      </c>
      <c r="P73" s="39">
        <v>34.407127947456054</v>
      </c>
      <c r="Q73" s="39">
        <v>31.526172251468243</v>
      </c>
      <c r="R73" s="39">
        <v>31.139170564757212</v>
      </c>
      <c r="S73" s="39">
        <v>32.298146735069594</v>
      </c>
      <c r="T73" s="39">
        <v>31.332755945188588</v>
      </c>
      <c r="U73" s="39">
        <v>30.16870755032447</v>
      </c>
      <c r="V73" s="39">
        <v>30.557399978552745</v>
      </c>
      <c r="W73" s="5">
        <f t="shared" si="9"/>
        <v>31.506616384859871</v>
      </c>
      <c r="X73" s="4">
        <f t="shared" si="10"/>
        <v>0.37162698757252538</v>
      </c>
      <c r="Y73" s="2">
        <f t="shared" si="11"/>
        <v>29.194017682098615</v>
      </c>
      <c r="Z73" s="3">
        <f t="shared" si="12"/>
        <v>30.993727918206094</v>
      </c>
      <c r="AA73" s="2">
        <f t="shared" si="13"/>
        <v>31.526172251468243</v>
      </c>
      <c r="AB73" s="3">
        <f t="shared" si="14"/>
        <v>32.153591727815034</v>
      </c>
      <c r="AC73" s="3">
        <f t="shared" si="15"/>
        <v>34.407127947456054</v>
      </c>
      <c r="AD73" s="3">
        <f t="shared" si="16"/>
        <v>0.50802095466327923</v>
      </c>
      <c r="AE73" s="3">
        <f t="shared" si="17"/>
        <v>1.9522021891041295</v>
      </c>
    </row>
    <row r="74" spans="2:31" x14ac:dyDescent="0.2">
      <c r="B74" s="1">
        <v>401</v>
      </c>
      <c r="C74" s="1" t="s">
        <v>65</v>
      </c>
      <c r="D74" s="1">
        <v>7</v>
      </c>
      <c r="E74" s="1">
        <v>2</v>
      </c>
      <c r="F74" s="1">
        <v>1</v>
      </c>
      <c r="G74" s="1">
        <v>2</v>
      </c>
      <c r="H74" s="1">
        <v>3</v>
      </c>
      <c r="I74" s="1">
        <v>2</v>
      </c>
      <c r="J74" s="4">
        <v>13.565</v>
      </c>
      <c r="K74" s="39">
        <v>37.155891052710849</v>
      </c>
      <c r="L74" s="39">
        <v>36.117441356662489</v>
      </c>
      <c r="M74" s="39">
        <v>37.532241067863225</v>
      </c>
      <c r="N74" s="39">
        <v>36.306630809149027</v>
      </c>
      <c r="O74" s="39">
        <v>35.643728026032349</v>
      </c>
      <c r="P74" s="39">
        <v>36.401162132585398</v>
      </c>
      <c r="Q74" s="39">
        <v>33.738307569029026</v>
      </c>
      <c r="R74" s="39">
        <v>35.928082830024231</v>
      </c>
      <c r="S74" s="39">
        <v>37.061697877577927</v>
      </c>
      <c r="T74" s="39">
        <v>35.738555229234244</v>
      </c>
      <c r="U74" s="39">
        <v>36.590097973844344</v>
      </c>
      <c r="V74" s="39">
        <v>36.590097973844344</v>
      </c>
      <c r="W74" s="5">
        <f t="shared" ref="W74:W85" si="18">AVERAGE(K74:V74)</f>
        <v>36.233661158213117</v>
      </c>
      <c r="X74" s="4">
        <f t="shared" ref="X74:X85" si="19">STDEV(K74:V74)/SQRT(COUNT(K74:V74))</f>
        <v>0.28118746840821557</v>
      </c>
      <c r="Y74" s="2">
        <f t="shared" ref="Y74:Y85" si="20">MIN(K74:V74)</f>
        <v>33.738307569029026</v>
      </c>
      <c r="Z74" s="3">
        <f t="shared" ref="Z74:Z85" si="21">QUARTILE(K74:V74,1)</f>
        <v>35.88070092982673</v>
      </c>
      <c r="AA74" s="2">
        <f t="shared" ref="AA74:AA85" si="22">MEDIAN(K74:V74)</f>
        <v>36.353896470867213</v>
      </c>
      <c r="AB74" s="3">
        <f t="shared" ref="AB74:AB85" si="23">QUARTILE(K74:V74,3)</f>
        <v>36.707997949777742</v>
      </c>
      <c r="AC74" s="3">
        <f t="shared" ref="AC74:AC85" si="24">MAX(K74:V74)</f>
        <v>37.532241067863225</v>
      </c>
      <c r="AD74" s="3">
        <f t="shared" ref="AD74:AD85" si="25">SKEW(K74:V74)</f>
        <v>-1.446844779317312</v>
      </c>
      <c r="AE74" s="3">
        <f t="shared" ref="AE74:AE85" si="26">KURT(K74:V74)</f>
        <v>3.4993027990579399</v>
      </c>
    </row>
    <row r="75" spans="2:31" x14ac:dyDescent="0.2">
      <c r="B75" s="1">
        <v>402</v>
      </c>
      <c r="C75" s="1" t="s">
        <v>63</v>
      </c>
      <c r="D75" s="1">
        <v>9</v>
      </c>
      <c r="E75" s="1">
        <v>2</v>
      </c>
      <c r="F75" s="1">
        <v>2</v>
      </c>
      <c r="G75" s="1">
        <v>2</v>
      </c>
      <c r="H75" s="1">
        <v>3</v>
      </c>
      <c r="I75" s="1">
        <v>2</v>
      </c>
      <c r="J75" s="4">
        <v>13.547000000000001</v>
      </c>
      <c r="K75" s="39">
        <v>32.875352319177509</v>
      </c>
      <c r="L75" s="39">
        <v>37.626222900306495</v>
      </c>
      <c r="M75" s="39">
        <v>35.928082830024231</v>
      </c>
      <c r="N75" s="39">
        <v>34.693131224427248</v>
      </c>
      <c r="O75" s="39">
        <v>36.401162132585398</v>
      </c>
      <c r="P75" s="39">
        <v>35.548858554292529</v>
      </c>
      <c r="Q75" s="39">
        <v>37.438216966882031</v>
      </c>
      <c r="R75" s="39">
        <v>36.401162132585398</v>
      </c>
      <c r="S75" s="39">
        <v>34.311708984723126</v>
      </c>
      <c r="T75" s="39">
        <v>37.25004195930584</v>
      </c>
      <c r="U75" s="39">
        <v>37.061697877577927</v>
      </c>
      <c r="V75" s="39">
        <v>37.061697877577927</v>
      </c>
      <c r="W75" s="5">
        <f t="shared" si="18"/>
        <v>36.049777979955472</v>
      </c>
      <c r="X75" s="4">
        <f t="shared" si="19"/>
        <v>0.4206106936339048</v>
      </c>
      <c r="Y75" s="2">
        <f t="shared" si="20"/>
        <v>32.875352319177509</v>
      </c>
      <c r="Z75" s="3">
        <f t="shared" si="21"/>
        <v>35.334926721826207</v>
      </c>
      <c r="AA75" s="2">
        <f t="shared" si="22"/>
        <v>36.401162132585398</v>
      </c>
      <c r="AB75" s="3">
        <f t="shared" si="23"/>
        <v>37.108783898009904</v>
      </c>
      <c r="AC75" s="3">
        <f t="shared" si="24"/>
        <v>37.626222900306495</v>
      </c>
      <c r="AD75" s="3">
        <f t="shared" si="25"/>
        <v>-1.0361933388913143</v>
      </c>
      <c r="AE75" s="3">
        <f t="shared" si="26"/>
        <v>0.44949314951057406</v>
      </c>
    </row>
    <row r="76" spans="2:31" x14ac:dyDescent="0.2">
      <c r="B76" s="1">
        <v>403</v>
      </c>
      <c r="C76" s="1" t="s">
        <v>72</v>
      </c>
      <c r="D76" s="1">
        <v>6</v>
      </c>
      <c r="E76" s="1">
        <v>1</v>
      </c>
      <c r="F76" s="1">
        <v>3</v>
      </c>
      <c r="G76" s="1">
        <v>1</v>
      </c>
      <c r="H76" s="1">
        <v>3</v>
      </c>
      <c r="I76" s="1">
        <v>2</v>
      </c>
      <c r="J76" s="4">
        <v>13.526</v>
      </c>
      <c r="K76" s="39">
        <v>30.071428771922577</v>
      </c>
      <c r="L76" s="39">
        <v>29.779338825489305</v>
      </c>
      <c r="M76" s="39">
        <v>29.779338825489305</v>
      </c>
      <c r="N76" s="39">
        <v>30.363138301514468</v>
      </c>
      <c r="O76" s="39">
        <v>30.363138301514468</v>
      </c>
      <c r="P76" s="39">
        <v>29.974107724982755</v>
      </c>
      <c r="Q76" s="39">
        <v>29.87674440950499</v>
      </c>
      <c r="R76" s="39">
        <v>29.68189097293568</v>
      </c>
      <c r="S76" s="39">
        <v>30.265944060188438</v>
      </c>
      <c r="T76" s="39">
        <v>30.265944060188438</v>
      </c>
      <c r="U76" s="39">
        <v>30.265944060188438</v>
      </c>
      <c r="V76" s="39">
        <v>29.291676877341892</v>
      </c>
      <c r="W76" s="5">
        <f t="shared" si="18"/>
        <v>29.998219599271724</v>
      </c>
      <c r="X76" s="4">
        <f t="shared" si="19"/>
        <v>9.5232636634134143E-2</v>
      </c>
      <c r="Y76" s="2">
        <f t="shared" si="20"/>
        <v>29.291676877341892</v>
      </c>
      <c r="Z76" s="3">
        <f t="shared" si="21"/>
        <v>29.779338825489305</v>
      </c>
      <c r="AA76" s="2">
        <f t="shared" si="22"/>
        <v>30.022768248452664</v>
      </c>
      <c r="AB76" s="3">
        <f t="shared" si="23"/>
        <v>30.265944060188438</v>
      </c>
      <c r="AC76" s="3">
        <f t="shared" si="24"/>
        <v>30.363138301514468</v>
      </c>
      <c r="AD76" s="3">
        <f t="shared" si="25"/>
        <v>-0.76567155501174167</v>
      </c>
      <c r="AE76" s="3">
        <f t="shared" si="26"/>
        <v>0.15653631235149135</v>
      </c>
    </row>
    <row r="77" spans="2:31" x14ac:dyDescent="0.2">
      <c r="B77" s="1">
        <v>404</v>
      </c>
      <c r="C77" s="1" t="s">
        <v>69</v>
      </c>
      <c r="D77" s="1">
        <v>3</v>
      </c>
      <c r="E77" s="1">
        <v>1</v>
      </c>
      <c r="F77" s="1">
        <v>2</v>
      </c>
      <c r="G77" s="1">
        <v>2</v>
      </c>
      <c r="H77" s="1">
        <v>3</v>
      </c>
      <c r="I77" s="1">
        <v>2</v>
      </c>
      <c r="J77" s="4">
        <v>13.509</v>
      </c>
      <c r="K77" s="39">
        <v>29.68189097293568</v>
      </c>
      <c r="L77" s="39">
        <v>29.68189097293568</v>
      </c>
      <c r="M77" s="39">
        <v>30.557399978552745</v>
      </c>
      <c r="N77" s="39">
        <v>29.486868462214648</v>
      </c>
      <c r="O77" s="39">
        <v>30.363138301514468</v>
      </c>
      <c r="P77" s="39">
        <v>29.291676877341892</v>
      </c>
      <c r="Q77" s="39">
        <v>31.042314471734631</v>
      </c>
      <c r="R77" s="39">
        <v>28.705087677813268</v>
      </c>
      <c r="S77" s="39">
        <v>30.557399978552745</v>
      </c>
      <c r="T77" s="39">
        <v>29.584400851844133</v>
      </c>
      <c r="U77" s="39">
        <v>30.071428771922577</v>
      </c>
      <c r="V77" s="39">
        <v>28.99857248599827</v>
      </c>
      <c r="W77" s="5">
        <f t="shared" si="18"/>
        <v>29.835172483613395</v>
      </c>
      <c r="X77" s="4">
        <f t="shared" si="19"/>
        <v>0.20110590212953336</v>
      </c>
      <c r="Y77" s="2">
        <f t="shared" si="20"/>
        <v>28.705087677813268</v>
      </c>
      <c r="Z77" s="3">
        <f t="shared" si="21"/>
        <v>29.438070565996458</v>
      </c>
      <c r="AA77" s="2">
        <f t="shared" si="22"/>
        <v>29.68189097293568</v>
      </c>
      <c r="AB77" s="3">
        <f t="shared" si="23"/>
        <v>30.411703720774035</v>
      </c>
      <c r="AC77" s="3">
        <f t="shared" si="24"/>
        <v>31.042314471734631</v>
      </c>
      <c r="AD77" s="3">
        <f t="shared" si="25"/>
        <v>0.13497179490633718</v>
      </c>
      <c r="AE77" s="3">
        <f t="shared" si="26"/>
        <v>-0.70421996959509592</v>
      </c>
    </row>
    <row r="78" spans="2:31" x14ac:dyDescent="0.2">
      <c r="B78" s="1">
        <v>405</v>
      </c>
      <c r="C78" s="1" t="s">
        <v>72</v>
      </c>
      <c r="D78" s="1">
        <v>6</v>
      </c>
      <c r="E78" s="1">
        <v>1</v>
      </c>
      <c r="F78" s="1">
        <v>3</v>
      </c>
      <c r="G78" s="1">
        <v>1</v>
      </c>
      <c r="H78" s="1">
        <v>4</v>
      </c>
      <c r="I78" s="1">
        <v>2</v>
      </c>
      <c r="J78" s="4">
        <v>13.487</v>
      </c>
      <c r="K78" s="39">
        <v>31.912497641572372</v>
      </c>
      <c r="L78" s="39">
        <v>29.194017682098615</v>
      </c>
      <c r="M78" s="39">
        <v>29.291676877341892</v>
      </c>
      <c r="N78" s="39">
        <v>29.974107724982755</v>
      </c>
      <c r="O78" s="39">
        <v>30.751492581439294</v>
      </c>
      <c r="P78" s="39">
        <v>30.071428771922577</v>
      </c>
      <c r="Q78" s="39">
        <v>30.751492581439294</v>
      </c>
      <c r="R78" s="39">
        <v>29.584400851844133</v>
      </c>
      <c r="S78" s="39">
        <v>29.974107724982755</v>
      </c>
      <c r="T78" s="39">
        <v>31.042314471734631</v>
      </c>
      <c r="U78" s="39">
        <v>30.363138301514468</v>
      </c>
      <c r="V78" s="39">
        <v>30.071428771922577</v>
      </c>
      <c r="W78" s="5">
        <f t="shared" si="18"/>
        <v>30.248508665232947</v>
      </c>
      <c r="X78" s="4">
        <f t="shared" si="19"/>
        <v>0.22360572013435354</v>
      </c>
      <c r="Y78" s="2">
        <f t="shared" si="20"/>
        <v>29.194017682098615</v>
      </c>
      <c r="Z78" s="3">
        <f t="shared" si="21"/>
        <v>29.876681006698099</v>
      </c>
      <c r="AA78" s="2">
        <f t="shared" si="22"/>
        <v>30.071428771922577</v>
      </c>
      <c r="AB78" s="3">
        <f t="shared" si="23"/>
        <v>30.751492581439294</v>
      </c>
      <c r="AC78" s="3">
        <f t="shared" si="24"/>
        <v>31.912497641572372</v>
      </c>
      <c r="AD78" s="3">
        <f t="shared" si="25"/>
        <v>0.69707330656038702</v>
      </c>
      <c r="AE78" s="3">
        <f t="shared" si="26"/>
        <v>0.55145348247259207</v>
      </c>
    </row>
    <row r="79" spans="2:31" x14ac:dyDescent="0.2">
      <c r="B79" s="1">
        <v>406</v>
      </c>
      <c r="C79" s="1" t="s">
        <v>69</v>
      </c>
      <c r="D79" s="1">
        <v>3</v>
      </c>
      <c r="E79" s="1">
        <v>1</v>
      </c>
      <c r="F79" s="1">
        <v>2</v>
      </c>
      <c r="G79" s="1">
        <v>2</v>
      </c>
      <c r="H79" s="1">
        <v>4</v>
      </c>
      <c r="I79" s="1">
        <v>2</v>
      </c>
      <c r="J79" s="4">
        <v>13.468999999999999</v>
      </c>
      <c r="K79" s="39">
        <v>29.87674440950499</v>
      </c>
      <c r="L79" s="39">
        <v>29.87674440950499</v>
      </c>
      <c r="M79" s="39">
        <v>31.815979696853233</v>
      </c>
      <c r="N79" s="39">
        <v>30.265944060188438</v>
      </c>
      <c r="O79" s="39">
        <v>29.584400851844133</v>
      </c>
      <c r="P79" s="39">
        <v>30.460290274302576</v>
      </c>
      <c r="Q79" s="39">
        <v>30.945416110174119</v>
      </c>
      <c r="R79" s="39">
        <v>29.584400851844133</v>
      </c>
      <c r="S79" s="39">
        <v>31.526172251468243</v>
      </c>
      <c r="T79" s="39">
        <v>28.215100960079642</v>
      </c>
      <c r="U79" s="39">
        <v>30.363138301514468</v>
      </c>
      <c r="V79" s="39">
        <v>29.779338825489305</v>
      </c>
      <c r="W79" s="5">
        <f t="shared" si="18"/>
        <v>30.191139250230691</v>
      </c>
      <c r="X79" s="4">
        <f t="shared" si="19"/>
        <v>0.27671275164292936</v>
      </c>
      <c r="Y79" s="2">
        <f t="shared" si="20"/>
        <v>28.215100960079642</v>
      </c>
      <c r="Z79" s="3">
        <f t="shared" si="21"/>
        <v>29.730604332078013</v>
      </c>
      <c r="AA79" s="2">
        <f t="shared" si="22"/>
        <v>30.071344234846713</v>
      </c>
      <c r="AB79" s="3">
        <f t="shared" si="23"/>
        <v>30.581571733270462</v>
      </c>
      <c r="AC79" s="3">
        <f t="shared" si="24"/>
        <v>31.815979696853233</v>
      </c>
      <c r="AD79" s="3">
        <f t="shared" si="25"/>
        <v>-0.14507136932611994</v>
      </c>
      <c r="AE79" s="3">
        <f t="shared" si="26"/>
        <v>0.82737065508784458</v>
      </c>
    </row>
    <row r="80" spans="2:31" x14ac:dyDescent="0.2">
      <c r="B80" s="1">
        <v>407</v>
      </c>
      <c r="C80" s="1" t="s">
        <v>65</v>
      </c>
      <c r="D80" s="1">
        <v>7</v>
      </c>
      <c r="E80" s="1">
        <v>2</v>
      </c>
      <c r="F80" s="1">
        <v>1</v>
      </c>
      <c r="G80" s="1">
        <v>2</v>
      </c>
      <c r="H80" s="1">
        <v>4</v>
      </c>
      <c r="I80" s="1">
        <v>2</v>
      </c>
      <c r="J80" s="4">
        <v>13.452</v>
      </c>
      <c r="K80" s="39">
        <v>36.117441356662489</v>
      </c>
      <c r="L80" s="39">
        <v>32.008973317753579</v>
      </c>
      <c r="M80" s="39">
        <v>32.39445333709908</v>
      </c>
      <c r="N80" s="39">
        <v>31.622817001801174</v>
      </c>
      <c r="O80" s="39">
        <v>34.502504641651058</v>
      </c>
      <c r="P80" s="39">
        <v>30.265944060188438</v>
      </c>
      <c r="Q80" s="39">
        <v>34.216247753452272</v>
      </c>
      <c r="R80" s="39">
        <v>32.008973317753579</v>
      </c>
      <c r="S80" s="39">
        <v>31.71941948359617</v>
      </c>
      <c r="T80" s="39">
        <v>31.235984389241871</v>
      </c>
      <c r="U80" s="39">
        <v>30.84847548007567</v>
      </c>
      <c r="V80" s="39">
        <v>31.235984389241871</v>
      </c>
      <c r="W80" s="5">
        <f t="shared" si="18"/>
        <v>32.348101544043111</v>
      </c>
      <c r="X80" s="4">
        <f t="shared" si="19"/>
        <v>0.49658421146301851</v>
      </c>
      <c r="Y80" s="2">
        <f t="shared" si="20"/>
        <v>30.265944060188438</v>
      </c>
      <c r="Z80" s="3">
        <f t="shared" si="21"/>
        <v>31.235984389241871</v>
      </c>
      <c r="AA80" s="2">
        <f t="shared" si="22"/>
        <v>31.864196400674874</v>
      </c>
      <c r="AB80" s="3">
        <f t="shared" si="23"/>
        <v>32.849901941187376</v>
      </c>
      <c r="AC80" s="3">
        <f t="shared" si="24"/>
        <v>36.117441356662489</v>
      </c>
      <c r="AD80" s="3">
        <f t="shared" si="25"/>
        <v>1.1618814321605102</v>
      </c>
      <c r="AE80" s="3">
        <f t="shared" si="26"/>
        <v>0.69866516937340162</v>
      </c>
    </row>
    <row r="81" spans="2:31" x14ac:dyDescent="0.2">
      <c r="B81" s="1">
        <v>408</v>
      </c>
      <c r="C81" s="1" t="s">
        <v>62</v>
      </c>
      <c r="D81" s="1">
        <v>10</v>
      </c>
      <c r="E81" s="1">
        <v>2</v>
      </c>
      <c r="F81" s="1">
        <v>2</v>
      </c>
      <c r="G81" s="1">
        <v>1</v>
      </c>
      <c r="H81" s="1">
        <v>4</v>
      </c>
      <c r="I81" s="1">
        <v>2</v>
      </c>
      <c r="J81" s="4">
        <v>13.435</v>
      </c>
      <c r="K81" s="39">
        <v>33.163384485969388</v>
      </c>
      <c r="L81" s="39">
        <v>33.067416032243365</v>
      </c>
      <c r="M81" s="39">
        <v>34.693131224427248</v>
      </c>
      <c r="N81" s="39">
        <v>31.235984389241871</v>
      </c>
      <c r="O81" s="39">
        <v>31.815979696853233</v>
      </c>
      <c r="P81" s="39">
        <v>30.945416110174119</v>
      </c>
      <c r="Q81" s="39">
        <v>34.883588733051717</v>
      </c>
      <c r="R81" s="39">
        <v>32.105406725396847</v>
      </c>
      <c r="S81" s="39">
        <v>33.738307569029026</v>
      </c>
      <c r="T81" s="39">
        <v>33.451036235919901</v>
      </c>
      <c r="U81" s="39">
        <v>33.067416032243365</v>
      </c>
      <c r="V81" s="39">
        <v>32.20179786450219</v>
      </c>
      <c r="W81" s="5">
        <f t="shared" si="18"/>
        <v>32.864072091587687</v>
      </c>
      <c r="X81" s="4">
        <f t="shared" si="19"/>
        <v>0.36044577911835152</v>
      </c>
      <c r="Y81" s="2">
        <f t="shared" si="20"/>
        <v>30.945416110174119</v>
      </c>
      <c r="Z81" s="3">
        <f t="shared" si="21"/>
        <v>32.03304996826094</v>
      </c>
      <c r="AA81" s="2">
        <f t="shared" si="22"/>
        <v>33.067416032243365</v>
      </c>
      <c r="AB81" s="3">
        <f t="shared" si="23"/>
        <v>33.52285406919718</v>
      </c>
      <c r="AC81" s="3">
        <f t="shared" si="24"/>
        <v>34.883588733051717</v>
      </c>
      <c r="AD81" s="3">
        <f t="shared" si="25"/>
        <v>0.11278157736062322</v>
      </c>
      <c r="AE81" s="3">
        <f t="shared" si="26"/>
        <v>-0.73692243182440009</v>
      </c>
    </row>
    <row r="82" spans="2:31" x14ac:dyDescent="0.2">
      <c r="B82" s="1">
        <v>902</v>
      </c>
      <c r="C82" s="1" t="s">
        <v>119</v>
      </c>
      <c r="D82" s="1">
        <v>22</v>
      </c>
      <c r="E82" s="1">
        <v>4</v>
      </c>
      <c r="F82" s="1">
        <v>2</v>
      </c>
      <c r="G82" s="1">
        <v>2</v>
      </c>
      <c r="H82" s="1">
        <v>1</v>
      </c>
      <c r="I82" s="1">
        <v>2</v>
      </c>
      <c r="J82" s="4">
        <v>13.266</v>
      </c>
      <c r="K82" s="39">
        <v>42.455032142087255</v>
      </c>
      <c r="L82" s="39">
        <v>45.007819432870939</v>
      </c>
      <c r="M82" s="39">
        <v>45.007819432870939</v>
      </c>
      <c r="N82" s="39">
        <v>44.826576465515458</v>
      </c>
      <c r="O82" s="39">
        <v>39.403846694521647</v>
      </c>
      <c r="P82" s="39">
        <v>44.463583308349314</v>
      </c>
      <c r="Q82" s="39">
        <v>46.001633552864021</v>
      </c>
      <c r="R82" s="39">
        <v>46.181777538233284</v>
      </c>
      <c r="S82" s="39">
        <v>45.098377513741788</v>
      </c>
      <c r="T82" s="39">
        <v>45.911498157372485</v>
      </c>
      <c r="U82" s="39">
        <v>44.826576465515458</v>
      </c>
      <c r="V82" s="39">
        <v>45.731100560775623</v>
      </c>
      <c r="W82" s="5">
        <f t="shared" si="18"/>
        <v>44.576303438726519</v>
      </c>
      <c r="X82" s="4">
        <f t="shared" si="19"/>
        <v>0.54884498199690213</v>
      </c>
      <c r="Y82" s="2">
        <f t="shared" si="20"/>
        <v>39.403846694521647</v>
      </c>
      <c r="Z82" s="3">
        <f t="shared" si="21"/>
        <v>44.735828176223919</v>
      </c>
      <c r="AA82" s="2">
        <f t="shared" si="22"/>
        <v>45.007819432870939</v>
      </c>
      <c r="AB82" s="3">
        <f t="shared" si="23"/>
        <v>45.776199959924838</v>
      </c>
      <c r="AC82" s="3">
        <f t="shared" si="24"/>
        <v>46.181777538233284</v>
      </c>
      <c r="AD82" s="3">
        <f t="shared" si="25"/>
        <v>-2.1689887719523826</v>
      </c>
      <c r="AE82" s="3">
        <f t="shared" si="26"/>
        <v>5.0344256902140039</v>
      </c>
    </row>
    <row r="83" spans="2:31" x14ac:dyDescent="0.2">
      <c r="B83" s="1">
        <v>904</v>
      </c>
      <c r="C83" s="1" t="s">
        <v>120</v>
      </c>
      <c r="D83" s="1">
        <v>21</v>
      </c>
      <c r="E83" s="1">
        <v>3</v>
      </c>
      <c r="F83" s="1">
        <v>2</v>
      </c>
      <c r="G83" s="1">
        <v>2</v>
      </c>
      <c r="H83" s="1">
        <v>1</v>
      </c>
      <c r="I83" s="1">
        <v>2</v>
      </c>
      <c r="J83" s="4">
        <v>13.239000000000001</v>
      </c>
      <c r="K83" s="39">
        <v>44.826576465515458</v>
      </c>
      <c r="L83" s="39">
        <v>47.79546506972914</v>
      </c>
      <c r="M83" s="39">
        <v>43.46186497176312</v>
      </c>
      <c r="N83" s="39">
        <v>48.419311723797435</v>
      </c>
      <c r="O83" s="39">
        <v>44.826576465515458</v>
      </c>
      <c r="P83" s="39">
        <v>45.731100560775623</v>
      </c>
      <c r="Q83" s="39">
        <v>45.369798145126737</v>
      </c>
      <c r="R83" s="39">
        <v>44.190894620826441</v>
      </c>
      <c r="S83" s="39">
        <v>43.91782551646218</v>
      </c>
      <c r="T83" s="39">
        <v>43.279184874117981</v>
      </c>
      <c r="U83" s="39">
        <v>45.007819432870939</v>
      </c>
      <c r="V83" s="39">
        <v>45.55053389002704</v>
      </c>
      <c r="W83" s="5">
        <f t="shared" si="18"/>
        <v>45.198079311377292</v>
      </c>
      <c r="X83" s="4">
        <f t="shared" si="19"/>
        <v>0.45412977635334856</v>
      </c>
      <c r="Y83" s="2">
        <f t="shared" si="20"/>
        <v>43.279184874117981</v>
      </c>
      <c r="Z83" s="3">
        <f t="shared" si="21"/>
        <v>44.122627344735378</v>
      </c>
      <c r="AA83" s="2">
        <f t="shared" si="22"/>
        <v>44.917197949193195</v>
      </c>
      <c r="AB83" s="3">
        <f t="shared" si="23"/>
        <v>45.595675557714188</v>
      </c>
      <c r="AC83" s="3">
        <f t="shared" si="24"/>
        <v>48.419311723797435</v>
      </c>
      <c r="AD83" s="3">
        <f t="shared" si="25"/>
        <v>0.99806402337819844</v>
      </c>
      <c r="AE83" s="3">
        <f t="shared" si="26"/>
        <v>0.58947280684692238</v>
      </c>
    </row>
    <row r="84" spans="2:31" x14ac:dyDescent="0.2">
      <c r="B84" s="1">
        <v>906</v>
      </c>
      <c r="C84" s="1" t="s">
        <v>119</v>
      </c>
      <c r="D84" s="1">
        <v>22</v>
      </c>
      <c r="E84" s="1">
        <v>4</v>
      </c>
      <c r="F84" s="1">
        <v>2</v>
      </c>
      <c r="G84" s="1">
        <v>2</v>
      </c>
      <c r="H84" s="1">
        <v>2</v>
      </c>
      <c r="I84" s="1">
        <v>2</v>
      </c>
      <c r="J84" s="4">
        <v>13.211</v>
      </c>
      <c r="K84" s="39">
        <v>43.644375995256539</v>
      </c>
      <c r="L84" s="39">
        <v>46.361752449450833</v>
      </c>
      <c r="M84" s="39">
        <v>47.259090893262716</v>
      </c>
      <c r="N84" s="39">
        <v>45.369798145126737</v>
      </c>
      <c r="O84" s="39">
        <v>45.007819432870939</v>
      </c>
      <c r="P84" s="39">
        <v>43.644375995256539</v>
      </c>
      <c r="Q84" s="39">
        <v>44.099913854576286</v>
      </c>
      <c r="R84" s="39">
        <v>45.640838359670298</v>
      </c>
      <c r="S84" s="39">
        <v>45.279366869869676</v>
      </c>
      <c r="T84" s="39">
        <v>43.644375995256539</v>
      </c>
      <c r="U84" s="39">
        <v>46.181777538233284</v>
      </c>
      <c r="V84" s="39">
        <v>45.911498157372485</v>
      </c>
      <c r="W84" s="5">
        <f t="shared" si="18"/>
        <v>45.170415307183568</v>
      </c>
      <c r="X84" s="4">
        <f t="shared" si="19"/>
        <v>0.34581510839974366</v>
      </c>
      <c r="Y84" s="2">
        <f t="shared" si="20"/>
        <v>43.644375995256539</v>
      </c>
      <c r="Z84" s="3">
        <f t="shared" si="21"/>
        <v>43.986029389746349</v>
      </c>
      <c r="AA84" s="2">
        <f t="shared" si="22"/>
        <v>45.324582507498206</v>
      </c>
      <c r="AB84" s="3">
        <f t="shared" si="23"/>
        <v>45.979068002587681</v>
      </c>
      <c r="AC84" s="3">
        <f t="shared" si="24"/>
        <v>47.259090893262716</v>
      </c>
      <c r="AD84" s="3">
        <f t="shared" si="25"/>
        <v>2.9512119785991553E-2</v>
      </c>
      <c r="AE84" s="3">
        <f t="shared" si="26"/>
        <v>-0.97050415317337224</v>
      </c>
    </row>
    <row r="85" spans="2:31" x14ac:dyDescent="0.2">
      <c r="B85" s="1">
        <v>908</v>
      </c>
      <c r="C85" s="1" t="s">
        <v>120</v>
      </c>
      <c r="D85" s="1">
        <v>21</v>
      </c>
      <c r="E85" s="1">
        <v>3</v>
      </c>
      <c r="F85" s="1">
        <v>2</v>
      </c>
      <c r="G85" s="1">
        <v>2</v>
      </c>
      <c r="H85" s="1">
        <v>2</v>
      </c>
      <c r="I85" s="1">
        <v>2</v>
      </c>
      <c r="J85" s="4">
        <v>13.182</v>
      </c>
      <c r="K85" s="39">
        <v>43.46186497176312</v>
      </c>
      <c r="L85" s="39">
        <v>41.258544906007607</v>
      </c>
      <c r="M85" s="39">
        <v>43.553141617778792</v>
      </c>
      <c r="N85" s="39">
        <v>42.730130136272209</v>
      </c>
      <c r="O85" s="39">
        <v>44.281833118538664</v>
      </c>
      <c r="P85" s="39">
        <v>41.903694903193205</v>
      </c>
      <c r="Q85" s="39">
        <v>45.007819432870939</v>
      </c>
      <c r="R85" s="39">
        <v>44.554395000447755</v>
      </c>
      <c r="S85" s="39">
        <v>45.460187151845851</v>
      </c>
      <c r="T85" s="39">
        <v>43.096335702321113</v>
      </c>
      <c r="U85" s="39">
        <v>44.281833118538664</v>
      </c>
      <c r="V85" s="39">
        <v>43.004847713615789</v>
      </c>
      <c r="W85" s="5">
        <f t="shared" si="18"/>
        <v>43.549552314432809</v>
      </c>
      <c r="X85" s="4">
        <f t="shared" si="19"/>
        <v>0.3588499334878289</v>
      </c>
      <c r="Y85" s="2">
        <f t="shared" si="20"/>
        <v>41.258544906007607</v>
      </c>
      <c r="Z85" s="3">
        <f t="shared" si="21"/>
        <v>42.936168319279894</v>
      </c>
      <c r="AA85" s="2">
        <f t="shared" si="22"/>
        <v>43.507503294770956</v>
      </c>
      <c r="AB85" s="3">
        <f t="shared" si="23"/>
        <v>44.349973589015939</v>
      </c>
      <c r="AC85" s="3">
        <f t="shared" si="24"/>
        <v>45.460187151845851</v>
      </c>
      <c r="AD85" s="3">
        <f t="shared" si="25"/>
        <v>-0.30740692514392909</v>
      </c>
      <c r="AE85" s="3">
        <f t="shared" si="26"/>
        <v>-0.40977101929107818</v>
      </c>
    </row>
    <row r="88" spans="2:31" x14ac:dyDescent="0.2">
      <c r="W88" s="3"/>
    </row>
  </sheetData>
  <autoFilter ref="B9:AE85" xr:uid="{10725146-E5C5-4528-9EB4-AA827984935D}"/>
  <conditionalFormatting sqref="K10:V85">
    <cfRule type="cellIs" dxfId="7" priority="3" stopIfTrue="1" operator="lessThan">
      <formula>$W10-$V$5*$X10</formula>
    </cfRule>
    <cfRule type="cellIs" dxfId="6" priority="4" stopIfTrue="1" operator="greaterThan">
      <formula>$W10+$V$5*$X10</formula>
    </cfRule>
  </conditionalFormatting>
  <conditionalFormatting sqref="W10:W85">
    <cfRule type="cellIs" dxfId="5" priority="1" stopIfTrue="1" operator="lessThan">
      <formula>AVERAGE($W$10:$W$41)</formula>
    </cfRule>
    <cfRule type="cellIs" dxfId="4" priority="2" stopIfTrue="1" operator="greaterThan">
      <formula>AVERAGE($W$10:$W$41)</formula>
    </cfRule>
  </conditionalFormatting>
  <pageMargins left="0.75" right="0.75" top="1" bottom="1" header="0.5" footer="0.5"/>
  <pageSetup orientation="portrait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B378-4B0B-4966-B699-BF4B26BF4E9A}">
  <dimension ref="A1:AO88"/>
  <sheetViews>
    <sheetView topLeftCell="A19" zoomScale="75" workbookViewId="0">
      <selection activeCell="W87" sqref="W87"/>
    </sheetView>
  </sheetViews>
  <sheetFormatPr defaultRowHeight="12.75" x14ac:dyDescent="0.2"/>
  <cols>
    <col min="1" max="8" width="9.140625" style="1"/>
    <col min="9" max="9" width="6" style="1" customWidth="1"/>
    <col min="10" max="10" width="10.42578125" style="1" customWidth="1"/>
    <col min="11" max="22" width="6" style="1" customWidth="1"/>
    <col min="23" max="32" width="9.140625" style="1"/>
    <col min="33" max="33" width="13.28515625" style="1" customWidth="1"/>
    <col min="34" max="41" width="20.5703125" style="1" customWidth="1"/>
    <col min="42" max="45" width="21.7109375" style="1" bestFit="1" customWidth="1"/>
    <col min="46" max="16384" width="9.140625" style="1"/>
  </cols>
  <sheetData>
    <row r="1" spans="1:41" ht="15.75" x14ac:dyDescent="0.25">
      <c r="B1" s="56" t="s">
        <v>148</v>
      </c>
    </row>
    <row r="2" spans="1:41" ht="15" x14ac:dyDescent="0.25">
      <c r="I2" s="32" t="s">
        <v>132</v>
      </c>
      <c r="J2" s="38"/>
      <c r="Q2" s="55">
        <v>5481</v>
      </c>
    </row>
    <row r="3" spans="1:41" x14ac:dyDescent="0.2">
      <c r="A3" s="54"/>
      <c r="I3" s="33" t="s">
        <v>117</v>
      </c>
      <c r="J3" s="52">
        <v>-1.6531146818483371</v>
      </c>
      <c r="T3" s="38" t="s">
        <v>131</v>
      </c>
      <c r="U3" s="38"/>
      <c r="V3" s="38"/>
      <c r="W3" s="38"/>
      <c r="X3" s="38"/>
    </row>
    <row r="4" spans="1:41" x14ac:dyDescent="0.2">
      <c r="I4" s="33" t="s">
        <v>116</v>
      </c>
      <c r="J4" s="52">
        <v>1.0981139989847872</v>
      </c>
      <c r="O4" s="37" t="s">
        <v>115</v>
      </c>
      <c r="P4" s="53">
        <v>40.35</v>
      </c>
      <c r="T4" s="38" t="s">
        <v>130</v>
      </c>
      <c r="U4" s="38"/>
      <c r="V4" s="38" t="s">
        <v>129</v>
      </c>
      <c r="W4" s="38"/>
      <c r="X4" s="38"/>
    </row>
    <row r="5" spans="1:41" x14ac:dyDescent="0.2">
      <c r="I5" s="33" t="s">
        <v>114</v>
      </c>
      <c r="J5" s="52">
        <v>2.673489260619941E-2</v>
      </c>
      <c r="O5" s="35" t="s">
        <v>113</v>
      </c>
      <c r="P5" s="34"/>
      <c r="T5" s="38" t="s">
        <v>128</v>
      </c>
      <c r="U5" s="38"/>
      <c r="V5" s="38">
        <v>5</v>
      </c>
      <c r="W5" s="38"/>
      <c r="X5" s="38"/>
    </row>
    <row r="6" spans="1:41" x14ac:dyDescent="0.2">
      <c r="I6" s="33" t="s">
        <v>127</v>
      </c>
      <c r="J6" s="51">
        <v>-2.1134268965570043E-3</v>
      </c>
      <c r="T6" s="38" t="s">
        <v>126</v>
      </c>
      <c r="U6" s="38"/>
      <c r="V6" s="38">
        <v>5</v>
      </c>
      <c r="W6" s="38"/>
      <c r="X6" s="38"/>
    </row>
    <row r="7" spans="1:41" x14ac:dyDescent="0.2">
      <c r="I7" s="33" t="s">
        <v>111</v>
      </c>
      <c r="J7" s="51"/>
      <c r="AG7" s="31" t="s">
        <v>107</v>
      </c>
      <c r="AH7" s="30" t="s">
        <v>110</v>
      </c>
    </row>
    <row r="9" spans="1:41" x14ac:dyDescent="0.2">
      <c r="B9" s="26" t="s">
        <v>109</v>
      </c>
      <c r="C9" s="29" t="s">
        <v>81</v>
      </c>
      <c r="D9" s="29" t="s">
        <v>108</v>
      </c>
      <c r="E9" s="28" t="s">
        <v>107</v>
      </c>
      <c r="F9" s="29" t="s">
        <v>106</v>
      </c>
      <c r="G9" s="28" t="s">
        <v>105</v>
      </c>
      <c r="H9" s="28" t="s">
        <v>104</v>
      </c>
      <c r="I9" s="26" t="s">
        <v>85</v>
      </c>
      <c r="J9" s="26" t="s">
        <v>103</v>
      </c>
      <c r="K9" s="27" t="s">
        <v>102</v>
      </c>
      <c r="L9" s="27" t="s">
        <v>101</v>
      </c>
      <c r="M9" s="27" t="s">
        <v>100</v>
      </c>
      <c r="N9" s="27" t="s">
        <v>99</v>
      </c>
      <c r="O9" s="27" t="s">
        <v>98</v>
      </c>
      <c r="P9" s="27" t="s">
        <v>97</v>
      </c>
      <c r="Q9" s="27" t="s">
        <v>96</v>
      </c>
      <c r="R9" s="27" t="s">
        <v>95</v>
      </c>
      <c r="S9" s="27" t="s">
        <v>94</v>
      </c>
      <c r="T9" s="27" t="s">
        <v>93</v>
      </c>
      <c r="U9" s="27" t="s">
        <v>92</v>
      </c>
      <c r="V9" s="27" t="s">
        <v>91</v>
      </c>
      <c r="W9" s="26" t="s">
        <v>90</v>
      </c>
      <c r="X9" s="26" t="s">
        <v>125</v>
      </c>
      <c r="Y9" s="26" t="s">
        <v>88</v>
      </c>
      <c r="Z9" s="26" t="s">
        <v>87</v>
      </c>
      <c r="AA9" s="26" t="s">
        <v>86</v>
      </c>
      <c r="AB9" s="26" t="s">
        <v>124</v>
      </c>
      <c r="AC9" s="26" t="s">
        <v>123</v>
      </c>
      <c r="AD9" s="26" t="s">
        <v>122</v>
      </c>
      <c r="AE9" s="26" t="s">
        <v>121</v>
      </c>
      <c r="AF9" s="26"/>
      <c r="AG9" s="25"/>
      <c r="AH9" s="25" t="s">
        <v>85</v>
      </c>
      <c r="AI9" s="25" t="s">
        <v>84</v>
      </c>
      <c r="AJ9" s="25"/>
      <c r="AK9" s="25"/>
      <c r="AL9" s="25"/>
      <c r="AM9" s="25"/>
      <c r="AN9" s="25"/>
      <c r="AO9" s="25"/>
    </row>
    <row r="10" spans="1:41" x14ac:dyDescent="0.2">
      <c r="B10" s="1">
        <v>101</v>
      </c>
      <c r="C10" s="1" t="s">
        <v>71</v>
      </c>
      <c r="D10" s="1">
        <v>1</v>
      </c>
      <c r="E10" s="1">
        <v>1</v>
      </c>
      <c r="F10" s="1">
        <v>1</v>
      </c>
      <c r="G10" s="1">
        <v>2</v>
      </c>
      <c r="H10" s="1">
        <v>1</v>
      </c>
      <c r="I10" s="1">
        <v>1</v>
      </c>
      <c r="J10" s="4">
        <v>13.079000000000001</v>
      </c>
      <c r="K10" s="39">
        <v>31.62950072495272</v>
      </c>
      <c r="L10" s="39">
        <v>32.015657040905126</v>
      </c>
      <c r="M10" s="39">
        <v>31.62950072495272</v>
      </c>
      <c r="N10" s="39">
        <v>33.744991292180572</v>
      </c>
      <c r="O10" s="39">
        <v>31.82266342000478</v>
      </c>
      <c r="P10" s="39">
        <v>32.208481587653736</v>
      </c>
      <c r="Q10" s="39">
        <v>29.786022548640855</v>
      </c>
      <c r="R10" s="39">
        <v>31.919181364723919</v>
      </c>
      <c r="S10" s="39">
        <v>31.145854287908758</v>
      </c>
      <c r="T10" s="39">
        <v>30.564083701704291</v>
      </c>
      <c r="U10" s="39">
        <v>32.49740139374218</v>
      </c>
      <c r="V10" s="39">
        <v>29.68857469608723</v>
      </c>
      <c r="W10" s="5">
        <f t="shared" ref="W10:W41" si="0">AVERAGE(K10:V10)</f>
        <v>31.554326065288077</v>
      </c>
      <c r="X10" s="4">
        <f t="shared" ref="X10:X41" si="1">STDEV(K10:V10)/SQRT(COUNT(K10:V10))</f>
        <v>0.32915102390004786</v>
      </c>
      <c r="Y10" s="2">
        <f t="shared" ref="Y10:Y41" si="2">MIN(K10:V10)</f>
        <v>29.68857469608723</v>
      </c>
      <c r="Z10" s="3">
        <f t="shared" ref="Z10:Z41" si="3">QUARTILE(K10:V10,1)</f>
        <v>31.00041164135764</v>
      </c>
      <c r="AA10" s="2">
        <f t="shared" ref="AA10:AA41" si="4">MEDIAN(K10:V10)</f>
        <v>31.72608207247875</v>
      </c>
      <c r="AB10" s="3">
        <f t="shared" ref="AB10:AB41" si="5">QUARTILE(K10:V10,3)</f>
        <v>32.063863177592282</v>
      </c>
      <c r="AC10" s="3">
        <f t="shared" ref="AC10:AC41" si="6">MAX(K10:V10)</f>
        <v>33.744991292180572</v>
      </c>
      <c r="AD10" s="3">
        <f t="shared" ref="AD10:AD41" si="7">SKEW(K10:V10)</f>
        <v>-9.3061274644657757E-2</v>
      </c>
      <c r="AE10" s="3">
        <f t="shared" ref="AE10:AE41" si="8">KURT(K10:V10)</f>
        <v>0.34440370762310746</v>
      </c>
      <c r="AG10" s="25"/>
      <c r="AH10" s="24" t="s">
        <v>83</v>
      </c>
      <c r="AI10" s="23"/>
      <c r="AJ10" s="23"/>
      <c r="AK10" s="23"/>
      <c r="AL10" s="24" t="s">
        <v>82</v>
      </c>
      <c r="AM10" s="23"/>
      <c r="AN10" s="23"/>
      <c r="AO10" s="22"/>
    </row>
    <row r="11" spans="1:41" x14ac:dyDescent="0.2">
      <c r="B11" s="1">
        <v>102</v>
      </c>
      <c r="C11" s="1" t="s">
        <v>68</v>
      </c>
      <c r="D11" s="1">
        <v>4</v>
      </c>
      <c r="E11" s="1">
        <v>1</v>
      </c>
      <c r="F11" s="1">
        <v>2</v>
      </c>
      <c r="G11" s="1">
        <v>1</v>
      </c>
      <c r="H11" s="1">
        <v>1</v>
      </c>
      <c r="I11" s="1">
        <v>1</v>
      </c>
      <c r="J11" s="4">
        <v>13.058999999999999</v>
      </c>
      <c r="K11" s="39">
        <v>30.564083701704291</v>
      </c>
      <c r="L11" s="39">
        <v>29.980791448134305</v>
      </c>
      <c r="M11" s="39">
        <v>31.82266342000478</v>
      </c>
      <c r="N11" s="39">
        <v>30.661151137416528</v>
      </c>
      <c r="O11" s="39">
        <v>30.564083701704291</v>
      </c>
      <c r="P11" s="39">
        <v>30.564083701704291</v>
      </c>
      <c r="Q11" s="39">
        <v>31.145854287908758</v>
      </c>
      <c r="R11" s="39">
        <v>31.62950072495272</v>
      </c>
      <c r="S11" s="39">
        <v>31.339439668340134</v>
      </c>
      <c r="T11" s="39">
        <v>32.208481587653736</v>
      </c>
      <c r="U11" s="39">
        <v>30.078112495074127</v>
      </c>
      <c r="V11" s="39">
        <v>29.395977527198784</v>
      </c>
      <c r="W11" s="5">
        <f t="shared" si="0"/>
        <v>30.829518616816401</v>
      </c>
      <c r="X11" s="4">
        <f t="shared" si="1"/>
        <v>0.23785083014432543</v>
      </c>
      <c r="Y11" s="2">
        <f t="shared" si="2"/>
        <v>29.395977527198784</v>
      </c>
      <c r="Z11" s="3">
        <f t="shared" si="3"/>
        <v>30.442590900046749</v>
      </c>
      <c r="AA11" s="2">
        <f t="shared" si="4"/>
        <v>30.612617419560408</v>
      </c>
      <c r="AB11" s="3">
        <f t="shared" si="5"/>
        <v>31.411954932493281</v>
      </c>
      <c r="AC11" s="3">
        <f t="shared" si="6"/>
        <v>32.208481587653736</v>
      </c>
      <c r="AD11" s="3">
        <f t="shared" si="7"/>
        <v>4.5920541134866155E-2</v>
      </c>
      <c r="AE11" s="3">
        <f t="shared" si="8"/>
        <v>-0.56213614905625064</v>
      </c>
      <c r="AG11" s="21" t="s">
        <v>81</v>
      </c>
      <c r="AH11" s="20" t="s">
        <v>80</v>
      </c>
      <c r="AI11" s="19" t="s">
        <v>79</v>
      </c>
      <c r="AJ11" s="19" t="s">
        <v>78</v>
      </c>
      <c r="AK11" s="19" t="s">
        <v>77</v>
      </c>
      <c r="AL11" s="20" t="s">
        <v>80</v>
      </c>
      <c r="AM11" s="19" t="s">
        <v>79</v>
      </c>
      <c r="AN11" s="19" t="s">
        <v>78</v>
      </c>
      <c r="AO11" s="18" t="s">
        <v>77</v>
      </c>
    </row>
    <row r="12" spans="1:41" x14ac:dyDescent="0.2">
      <c r="B12" s="1">
        <v>103</v>
      </c>
      <c r="C12" s="1" t="s">
        <v>73</v>
      </c>
      <c r="D12" s="1">
        <v>5</v>
      </c>
      <c r="E12" s="1">
        <v>1</v>
      </c>
      <c r="F12" s="1">
        <v>3</v>
      </c>
      <c r="G12" s="1">
        <v>2</v>
      </c>
      <c r="H12" s="1">
        <v>1</v>
      </c>
      <c r="I12" s="1">
        <v>1</v>
      </c>
      <c r="J12" s="4">
        <v>13.042</v>
      </c>
      <c r="K12" s="39">
        <v>30.952099833325665</v>
      </c>
      <c r="L12" s="39">
        <v>30.564083701704291</v>
      </c>
      <c r="M12" s="39">
        <v>29.980791448134305</v>
      </c>
      <c r="N12" s="39">
        <v>31.339439668340134</v>
      </c>
      <c r="O12" s="39">
        <v>29.88342813265654</v>
      </c>
      <c r="P12" s="39">
        <v>30.75817630459084</v>
      </c>
      <c r="Q12" s="39">
        <v>30.564083701704291</v>
      </c>
      <c r="R12" s="39">
        <v>30.855159203227217</v>
      </c>
      <c r="S12" s="39">
        <v>32.401137060250626</v>
      </c>
      <c r="T12" s="39">
        <v>31.62950072495272</v>
      </c>
      <c r="U12" s="39">
        <v>29.68857469608723</v>
      </c>
      <c r="V12" s="39">
        <v>29.591084574995683</v>
      </c>
      <c r="W12" s="5">
        <f t="shared" si="0"/>
        <v>30.68396325416413</v>
      </c>
      <c r="X12" s="4">
        <f t="shared" si="1"/>
        <v>0.24196669953264699</v>
      </c>
      <c r="Y12" s="2">
        <f t="shared" si="2"/>
        <v>29.591084574995683</v>
      </c>
      <c r="Z12" s="3">
        <f t="shared" si="3"/>
        <v>29.956450619264864</v>
      </c>
      <c r="AA12" s="2">
        <f t="shared" si="4"/>
        <v>30.661130003147566</v>
      </c>
      <c r="AB12" s="3">
        <f t="shared" si="5"/>
        <v>31.048934792079283</v>
      </c>
      <c r="AC12" s="3">
        <f t="shared" si="6"/>
        <v>32.401137060250626</v>
      </c>
      <c r="AD12" s="3">
        <f t="shared" si="7"/>
        <v>0.56673956548082793</v>
      </c>
      <c r="AE12" s="3">
        <f t="shared" si="8"/>
        <v>3.6390870211189252E-2</v>
      </c>
      <c r="AG12" s="17" t="s">
        <v>73</v>
      </c>
      <c r="AH12" s="16">
        <v>29.639829635541457</v>
      </c>
      <c r="AI12" s="15">
        <v>30.320833920027141</v>
      </c>
      <c r="AJ12" s="15">
        <v>30.95189905777049</v>
      </c>
      <c r="AK12" s="15">
        <v>30.910062953516828</v>
      </c>
      <c r="AL12" s="16">
        <v>29.150963034063011</v>
      </c>
      <c r="AM12" s="15">
        <v>31.616976311512826</v>
      </c>
      <c r="AN12" s="15">
        <v>32.447980036589499</v>
      </c>
      <c r="AO12" s="14">
        <v>32.741193244715006</v>
      </c>
    </row>
    <row r="13" spans="1:41" x14ac:dyDescent="0.2">
      <c r="B13" s="1">
        <v>104</v>
      </c>
      <c r="C13" s="1" t="s">
        <v>62</v>
      </c>
      <c r="D13" s="1">
        <v>10</v>
      </c>
      <c r="E13" s="1">
        <v>2</v>
      </c>
      <c r="F13" s="1">
        <v>2</v>
      </c>
      <c r="G13" s="1">
        <v>1</v>
      </c>
      <c r="H13" s="1">
        <v>1</v>
      </c>
      <c r="I13" s="1">
        <v>1</v>
      </c>
      <c r="J13" s="4">
        <v>13.023</v>
      </c>
      <c r="K13" s="39">
        <v>46.548242009668215</v>
      </c>
      <c r="L13" s="39">
        <v>40.061598010169149</v>
      </c>
      <c r="M13" s="39">
        <v>42.278105859759179</v>
      </c>
      <c r="N13" s="39">
        <v>40.988101745153507</v>
      </c>
      <c r="O13" s="39">
        <v>42.736813859423762</v>
      </c>
      <c r="P13" s="39">
        <v>38.476841031240539</v>
      </c>
      <c r="Q13" s="39">
        <v>38.850824008268773</v>
      </c>
      <c r="R13" s="39">
        <v>38.289595931498837</v>
      </c>
      <c r="S13" s="39">
        <v>36.313314532300573</v>
      </c>
      <c r="T13" s="39">
        <v>34.4138116706076</v>
      </c>
      <c r="U13" s="39">
        <v>34.699814947578794</v>
      </c>
      <c r="V13" s="39">
        <v>36.502334910635376</v>
      </c>
      <c r="W13" s="5">
        <f t="shared" si="0"/>
        <v>39.179949876358684</v>
      </c>
      <c r="X13" s="4">
        <f t="shared" si="1"/>
        <v>1.0304405352952195</v>
      </c>
      <c r="Y13" s="2">
        <f t="shared" si="2"/>
        <v>34.4138116706076</v>
      </c>
      <c r="Z13" s="3">
        <f t="shared" si="3"/>
        <v>36.455079816051679</v>
      </c>
      <c r="AA13" s="2">
        <f t="shared" si="4"/>
        <v>38.663832519754656</v>
      </c>
      <c r="AB13" s="3">
        <f t="shared" si="5"/>
        <v>41.310602773804924</v>
      </c>
      <c r="AC13" s="3">
        <f t="shared" si="6"/>
        <v>46.548242009668215</v>
      </c>
      <c r="AD13" s="3">
        <f t="shared" si="7"/>
        <v>0.57405847636678309</v>
      </c>
      <c r="AE13" s="3">
        <f t="shared" si="8"/>
        <v>9.1453595413078403E-2</v>
      </c>
      <c r="AG13" s="13" t="s">
        <v>72</v>
      </c>
      <c r="AH13" s="12">
        <v>29.34564739648059</v>
      </c>
      <c r="AI13" s="11">
        <v>30.318768045235757</v>
      </c>
      <c r="AJ13" s="11">
        <v>31.144956081477726</v>
      </c>
      <c r="AK13" s="11">
        <v>31.313843898015591</v>
      </c>
      <c r="AL13" s="12">
        <v>29.295317265762399</v>
      </c>
      <c r="AM13" s="11">
        <v>31.047883362198249</v>
      </c>
      <c r="AN13" s="11">
        <v>32.208027200870973</v>
      </c>
      <c r="AO13" s="10">
        <v>32.700881355375209</v>
      </c>
    </row>
    <row r="14" spans="1:41" x14ac:dyDescent="0.2">
      <c r="B14" s="1">
        <v>105</v>
      </c>
      <c r="C14" s="1" t="s">
        <v>66</v>
      </c>
      <c r="D14" s="1">
        <v>12</v>
      </c>
      <c r="E14" s="1">
        <v>2</v>
      </c>
      <c r="F14" s="1">
        <v>3</v>
      </c>
      <c r="G14" s="1">
        <v>1</v>
      </c>
      <c r="H14" s="1">
        <v>2</v>
      </c>
      <c r="I14" s="1">
        <v>1</v>
      </c>
      <c r="J14" s="4">
        <v>13.005000000000001</v>
      </c>
      <c r="K14" s="39">
        <v>37.632906623458041</v>
      </c>
      <c r="L14" s="39">
        <v>38.383239615638651</v>
      </c>
      <c r="M14" s="39">
        <v>39.596761072504549</v>
      </c>
      <c r="N14" s="39">
        <v>39.96871515971209</v>
      </c>
      <c r="O14" s="39">
        <v>39.596761072504549</v>
      </c>
      <c r="P14" s="39">
        <v>39.037561885555306</v>
      </c>
      <c r="Q14" s="39">
        <v>39.410530417673193</v>
      </c>
      <c r="R14" s="39">
        <v>39.96871515971209</v>
      </c>
      <c r="S14" s="39">
        <v>40.710594444306473</v>
      </c>
      <c r="T14" s="39">
        <v>42.920001179524071</v>
      </c>
      <c r="U14" s="39">
        <v>40.247236905469464</v>
      </c>
      <c r="V14" s="39">
        <v>40.061598010169149</v>
      </c>
      <c r="W14" s="5">
        <f t="shared" si="0"/>
        <v>39.79455179551897</v>
      </c>
      <c r="X14" s="4">
        <f t="shared" si="1"/>
        <v>0.37343341088678295</v>
      </c>
      <c r="Y14" s="2">
        <f t="shared" si="2"/>
        <v>37.632906623458041</v>
      </c>
      <c r="Z14" s="3">
        <f t="shared" si="3"/>
        <v>39.317288284643723</v>
      </c>
      <c r="AA14" s="2">
        <f t="shared" si="4"/>
        <v>39.78273811610832</v>
      </c>
      <c r="AB14" s="3">
        <f t="shared" si="5"/>
        <v>40.108007733994228</v>
      </c>
      <c r="AC14" s="3">
        <f t="shared" si="6"/>
        <v>42.920001179524071</v>
      </c>
      <c r="AD14" s="3">
        <f t="shared" si="7"/>
        <v>0.90729616011069247</v>
      </c>
      <c r="AE14" s="3">
        <f t="shared" si="8"/>
        <v>2.8501351177774241</v>
      </c>
      <c r="AG14" s="13" t="s">
        <v>71</v>
      </c>
      <c r="AH14" s="12">
        <v>29.786001414371885</v>
      </c>
      <c r="AI14" s="11">
        <v>31.012545070821673</v>
      </c>
      <c r="AJ14" s="11">
        <v>31.701942019164484</v>
      </c>
      <c r="AK14" s="11">
        <v>31.474507338488799</v>
      </c>
      <c r="AL14" s="12">
        <v>29.005171672073956</v>
      </c>
      <c r="AM14" s="11">
        <v>31.242329964089969</v>
      </c>
      <c r="AN14" s="11">
        <v>33.049251704070301</v>
      </c>
      <c r="AO14" s="10">
        <v>33.055069321021229</v>
      </c>
    </row>
    <row r="15" spans="1:41" x14ac:dyDescent="0.2">
      <c r="B15" s="1">
        <v>106</v>
      </c>
      <c r="C15" s="1" t="s">
        <v>63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1</v>
      </c>
      <c r="J15" s="4">
        <v>12.987</v>
      </c>
      <c r="K15" s="39">
        <v>40.618007473614938</v>
      </c>
      <c r="L15" s="39">
        <v>37.162574775862396</v>
      </c>
      <c r="M15" s="39">
        <v>38.850824008268773</v>
      </c>
      <c r="N15" s="39">
        <v>37.068381600729474</v>
      </c>
      <c r="O15" s="39">
        <v>35.840023887049746</v>
      </c>
      <c r="P15" s="39">
        <v>36.124125079814036</v>
      </c>
      <c r="Q15" s="39">
        <v>34.4138116706076</v>
      </c>
      <c r="R15" s="39">
        <v>34.604522790459654</v>
      </c>
      <c r="S15" s="39">
        <v>37.256725682457386</v>
      </c>
      <c r="T15" s="39">
        <v>37.350834320514451</v>
      </c>
      <c r="U15" s="39">
        <v>37.350834320514451</v>
      </c>
      <c r="V15" s="39">
        <v>36.313314532300573</v>
      </c>
      <c r="W15" s="5">
        <f t="shared" si="0"/>
        <v>36.91283167851612</v>
      </c>
      <c r="X15" s="4">
        <f t="shared" si="1"/>
        <v>0.49065858213933689</v>
      </c>
      <c r="Y15" s="2">
        <f t="shared" si="2"/>
        <v>34.4138116706076</v>
      </c>
      <c r="Z15" s="3">
        <f t="shared" si="3"/>
        <v>36.053099781622961</v>
      </c>
      <c r="AA15" s="2">
        <f t="shared" si="4"/>
        <v>37.115478188295938</v>
      </c>
      <c r="AB15" s="3">
        <f t="shared" si="5"/>
        <v>37.350834320514451</v>
      </c>
      <c r="AC15" s="3">
        <f t="shared" si="6"/>
        <v>40.618007473614938</v>
      </c>
      <c r="AD15" s="3">
        <f t="shared" si="7"/>
        <v>0.63374963466539103</v>
      </c>
      <c r="AE15" s="3">
        <f t="shared" si="8"/>
        <v>1.1001856210467169</v>
      </c>
      <c r="AG15" s="13" t="s">
        <v>70</v>
      </c>
      <c r="AH15" s="12">
        <v>29.782979213909812</v>
      </c>
      <c r="AI15" s="11">
        <v>30.624127388089953</v>
      </c>
      <c r="AJ15" s="11">
        <v>31.14549500533635</v>
      </c>
      <c r="AK15" s="11">
        <v>31.018649163704019</v>
      </c>
      <c r="AL15" s="12">
        <v>29.539528656677483</v>
      </c>
      <c r="AM15" s="11">
        <v>31.86822777307124</v>
      </c>
      <c r="AN15" s="11">
        <v>32.445697535541214</v>
      </c>
      <c r="AO15" s="10">
        <v>32.68250215154314</v>
      </c>
    </row>
    <row r="16" spans="1:41" x14ac:dyDescent="0.2">
      <c r="B16" s="1">
        <v>107</v>
      </c>
      <c r="C16" s="1" t="s">
        <v>62</v>
      </c>
      <c r="D16" s="1">
        <v>10</v>
      </c>
      <c r="E16" s="1">
        <v>2</v>
      </c>
      <c r="F16" s="1">
        <v>2</v>
      </c>
      <c r="G16" s="1">
        <v>1</v>
      </c>
      <c r="H16" s="1">
        <v>2</v>
      </c>
      <c r="I16" s="1">
        <v>1</v>
      </c>
      <c r="J16" s="4">
        <v>12.97</v>
      </c>
      <c r="K16" s="39">
        <v>36.97414615705862</v>
      </c>
      <c r="L16" s="39">
        <v>36.59678169699589</v>
      </c>
      <c r="M16" s="39">
        <v>36.502334910635376</v>
      </c>
      <c r="N16" s="39">
        <v>35.650411749183895</v>
      </c>
      <c r="O16" s="39">
        <v>36.691186214818472</v>
      </c>
      <c r="P16" s="39">
        <v>39.037561885555306</v>
      </c>
      <c r="Q16" s="39">
        <v>41.818341146646318</v>
      </c>
      <c r="R16" s="39">
        <v>39.503666879357837</v>
      </c>
      <c r="S16" s="39">
        <v>41.172895269695196</v>
      </c>
      <c r="T16" s="39">
        <v>38.570400178304496</v>
      </c>
      <c r="U16" s="39">
        <v>38.476841031240539</v>
      </c>
      <c r="V16" s="39">
        <v>38.289595931498837</v>
      </c>
      <c r="W16" s="5">
        <f t="shared" si="0"/>
        <v>38.273680254249228</v>
      </c>
      <c r="X16" s="4">
        <f t="shared" si="1"/>
        <v>0.55199560904746758</v>
      </c>
      <c r="Y16" s="2">
        <f t="shared" si="2"/>
        <v>35.650411749183895</v>
      </c>
      <c r="Z16" s="3">
        <f t="shared" si="3"/>
        <v>36.66758508536283</v>
      </c>
      <c r="AA16" s="2">
        <f t="shared" si="4"/>
        <v>38.383218481369688</v>
      </c>
      <c r="AB16" s="3">
        <f t="shared" si="5"/>
        <v>39.154088134005939</v>
      </c>
      <c r="AC16" s="3">
        <f t="shared" si="6"/>
        <v>41.818341146646318</v>
      </c>
      <c r="AD16" s="3">
        <f t="shared" si="7"/>
        <v>0.57363860053365345</v>
      </c>
      <c r="AE16" s="3">
        <f t="shared" si="8"/>
        <v>-0.43384358923866762</v>
      </c>
      <c r="AG16" s="13" t="s">
        <v>69</v>
      </c>
      <c r="AH16" s="12">
        <v>29.34465408583921</v>
      </c>
      <c r="AI16" s="11">
        <v>30.568713286146647</v>
      </c>
      <c r="AJ16" s="11">
        <v>31.168678732979924</v>
      </c>
      <c r="AK16" s="11">
        <v>31.082030209161882</v>
      </c>
      <c r="AL16" s="12">
        <v>29.931845612033349</v>
      </c>
      <c r="AM16" s="11">
        <v>31.681842432545157</v>
      </c>
      <c r="AN16" s="11">
        <v>32.759650317807711</v>
      </c>
      <c r="AO16" s="10">
        <v>32.745974873068469</v>
      </c>
    </row>
    <row r="17" spans="2:41" x14ac:dyDescent="0.2">
      <c r="B17" s="1">
        <v>108</v>
      </c>
      <c r="C17" s="1" t="s">
        <v>69</v>
      </c>
      <c r="D17" s="1">
        <v>3</v>
      </c>
      <c r="E17" s="1">
        <v>1</v>
      </c>
      <c r="F17" s="1">
        <v>2</v>
      </c>
      <c r="G17" s="1">
        <v>2</v>
      </c>
      <c r="H17" s="1">
        <v>2</v>
      </c>
      <c r="I17" s="1">
        <v>1</v>
      </c>
      <c r="J17" s="4">
        <v>12.952</v>
      </c>
      <c r="K17" s="39">
        <v>31.532855974619789</v>
      </c>
      <c r="L17" s="39">
        <v>32.882036042329055</v>
      </c>
      <c r="M17" s="39">
        <v>31.726103206747716</v>
      </c>
      <c r="N17" s="39">
        <v>32.208481587653736</v>
      </c>
      <c r="O17" s="39">
        <v>32.882036042329055</v>
      </c>
      <c r="P17" s="39">
        <v>31.919181364723919</v>
      </c>
      <c r="Q17" s="39">
        <v>31.145854287908758</v>
      </c>
      <c r="R17" s="39">
        <v>31.62950072495272</v>
      </c>
      <c r="S17" s="39">
        <v>31.82266342000478</v>
      </c>
      <c r="T17" s="39">
        <v>30.564083701704291</v>
      </c>
      <c r="U17" s="39">
        <v>32.208481587653736</v>
      </c>
      <c r="V17" s="39">
        <v>32.401137060250626</v>
      </c>
      <c r="W17" s="5">
        <f t="shared" si="0"/>
        <v>31.910201250073186</v>
      </c>
      <c r="X17" s="4">
        <f t="shared" si="1"/>
        <v>0.19398068074264202</v>
      </c>
      <c r="Y17" s="2">
        <f t="shared" si="2"/>
        <v>30.564083701704291</v>
      </c>
      <c r="Z17" s="3">
        <f t="shared" si="3"/>
        <v>31.605339537369488</v>
      </c>
      <c r="AA17" s="2">
        <f t="shared" si="4"/>
        <v>31.870922392364349</v>
      </c>
      <c r="AB17" s="3">
        <f t="shared" si="5"/>
        <v>32.25664545580296</v>
      </c>
      <c r="AC17" s="3">
        <f t="shared" si="6"/>
        <v>32.882036042329055</v>
      </c>
      <c r="AD17" s="3">
        <f t="shared" si="7"/>
        <v>-0.34565419988004903</v>
      </c>
      <c r="AE17" s="3">
        <f t="shared" si="8"/>
        <v>0.22536840971814609</v>
      </c>
      <c r="AG17" s="13" t="s">
        <v>68</v>
      </c>
      <c r="AH17" s="12">
        <v>29.395935258660856</v>
      </c>
      <c r="AI17" s="11">
        <v>30.563758762318944</v>
      </c>
      <c r="AJ17" s="11">
        <v>30.915313844524952</v>
      </c>
      <c r="AK17" s="11">
        <v>31.070865433692106</v>
      </c>
      <c r="AL17" s="12">
        <v>29.295190460148604</v>
      </c>
      <c r="AM17" s="11">
        <v>30.624243626569267</v>
      </c>
      <c r="AN17" s="11">
        <v>31.93034261781553</v>
      </c>
      <c r="AO17" s="10">
        <v>32.132070384784051</v>
      </c>
    </row>
    <row r="18" spans="2:41" x14ac:dyDescent="0.2">
      <c r="B18" s="1">
        <v>201</v>
      </c>
      <c r="C18" s="1" t="s">
        <v>66</v>
      </c>
      <c r="D18" s="1">
        <v>12</v>
      </c>
      <c r="E18" s="1">
        <v>2</v>
      </c>
      <c r="F18" s="1">
        <v>3</v>
      </c>
      <c r="G18" s="1">
        <v>1</v>
      </c>
      <c r="H18" s="1">
        <v>1</v>
      </c>
      <c r="I18" s="1">
        <v>1</v>
      </c>
      <c r="J18" s="4">
        <v>13.1</v>
      </c>
      <c r="K18" s="39">
        <v>37.350834320514451</v>
      </c>
      <c r="L18" s="39">
        <v>38.850824008268773</v>
      </c>
      <c r="M18" s="39">
        <v>38.476841031240539</v>
      </c>
      <c r="N18" s="39">
        <v>37.068381600729474</v>
      </c>
      <c r="O18" s="39">
        <v>38.383239615638651</v>
      </c>
      <c r="P18" s="39">
        <v>36.59678169699589</v>
      </c>
      <c r="Q18" s="39">
        <v>34.985437807708607</v>
      </c>
      <c r="R18" s="39">
        <v>41.172895269695196</v>
      </c>
      <c r="S18" s="39">
        <v>39.782822653184176</v>
      </c>
      <c r="T18" s="39">
        <v>40.988101745153507</v>
      </c>
      <c r="U18" s="39">
        <v>38.383239615638651</v>
      </c>
      <c r="V18" s="39">
        <v>37.068381600729474</v>
      </c>
      <c r="W18" s="5">
        <f t="shared" si="0"/>
        <v>38.258981747124785</v>
      </c>
      <c r="X18" s="4">
        <f t="shared" si="1"/>
        <v>0.52098745948929515</v>
      </c>
      <c r="Y18" s="2">
        <f t="shared" si="2"/>
        <v>34.985437807708607</v>
      </c>
      <c r="Z18" s="3">
        <f t="shared" si="3"/>
        <v>37.068381600729474</v>
      </c>
      <c r="AA18" s="2">
        <f t="shared" si="4"/>
        <v>38.383239615638651</v>
      </c>
      <c r="AB18" s="3">
        <f t="shared" si="5"/>
        <v>39.083823669497626</v>
      </c>
      <c r="AC18" s="3">
        <f t="shared" si="6"/>
        <v>41.172895269695196</v>
      </c>
      <c r="AD18" s="3">
        <f t="shared" si="7"/>
        <v>9.3383907839230812E-2</v>
      </c>
      <c r="AE18" s="3">
        <f t="shared" si="8"/>
        <v>-0.16774640395660878</v>
      </c>
      <c r="AG18" s="13" t="s">
        <v>67</v>
      </c>
      <c r="AH18" s="12">
        <v>34.642404836757137</v>
      </c>
      <c r="AI18" s="11">
        <v>35.73868732900646</v>
      </c>
      <c r="AJ18" s="11">
        <v>36.377893878457144</v>
      </c>
      <c r="AK18" s="11">
        <v>36.356688752510202</v>
      </c>
      <c r="AL18" s="12">
        <v>33.933736925018835</v>
      </c>
      <c r="AM18" s="11">
        <v>36.367715368872439</v>
      </c>
      <c r="AN18" s="11">
        <v>37.228887132074149</v>
      </c>
      <c r="AO18" s="10">
        <v>37.510180800973629</v>
      </c>
    </row>
    <row r="19" spans="2:41" x14ac:dyDescent="0.2">
      <c r="B19" s="1">
        <v>202</v>
      </c>
      <c r="C19" s="1" t="s">
        <v>63</v>
      </c>
      <c r="D19" s="1">
        <v>9</v>
      </c>
      <c r="E19" s="1">
        <v>2</v>
      </c>
      <c r="F19" s="1">
        <v>2</v>
      </c>
      <c r="G19" s="1">
        <v>2</v>
      </c>
      <c r="H19" s="1">
        <v>1</v>
      </c>
      <c r="I19" s="1">
        <v>1</v>
      </c>
      <c r="J19" s="4">
        <v>13.115</v>
      </c>
      <c r="K19" s="39">
        <v>33.457719959071447</v>
      </c>
      <c r="L19" s="39">
        <v>34.509188364802604</v>
      </c>
      <c r="M19" s="39">
        <v>35.365676528350647</v>
      </c>
      <c r="N19" s="39">
        <v>33.457719959071447</v>
      </c>
      <c r="O19" s="39">
        <v>34.318392707874672</v>
      </c>
      <c r="P19" s="39">
        <v>34.985437807708607</v>
      </c>
      <c r="Q19" s="39">
        <v>34.699814947578794</v>
      </c>
      <c r="R19" s="39">
        <v>33.457719959071447</v>
      </c>
      <c r="S19" s="39">
        <v>34.031882208448316</v>
      </c>
      <c r="T19" s="39">
        <v>34.795064836159987</v>
      </c>
      <c r="U19" s="39">
        <v>32.401137060250626</v>
      </c>
      <c r="V19" s="39">
        <v>30.175391273476016</v>
      </c>
      <c r="W19" s="5">
        <f t="shared" si="0"/>
        <v>33.804595467655389</v>
      </c>
      <c r="X19" s="4">
        <f t="shared" si="1"/>
        <v>0.40757686256279285</v>
      </c>
      <c r="Y19" s="2">
        <f t="shared" si="2"/>
        <v>30.175391273476016</v>
      </c>
      <c r="Z19" s="3">
        <f t="shared" si="3"/>
        <v>33.457719959071447</v>
      </c>
      <c r="AA19" s="2">
        <f t="shared" si="4"/>
        <v>34.175137458161494</v>
      </c>
      <c r="AB19" s="3">
        <f t="shared" si="5"/>
        <v>34.723627419724096</v>
      </c>
      <c r="AC19" s="3">
        <f t="shared" si="6"/>
        <v>35.365676528350647</v>
      </c>
      <c r="AD19" s="3">
        <f t="shared" si="7"/>
        <v>-1.6687559217907013</v>
      </c>
      <c r="AE19" s="3">
        <f t="shared" si="8"/>
        <v>3.3902553452368931</v>
      </c>
      <c r="AG19" s="13" t="s">
        <v>66</v>
      </c>
      <c r="AH19" s="12">
        <v>36.309172215583324</v>
      </c>
      <c r="AI19" s="11">
        <v>38.192834942686602</v>
      </c>
      <c r="AJ19" s="11">
        <v>39.082988865873489</v>
      </c>
      <c r="AK19" s="11">
        <v>39.026766771321874</v>
      </c>
      <c r="AL19" s="12">
        <v>36.922569104471457</v>
      </c>
      <c r="AM19" s="11">
        <v>38.494646087432379</v>
      </c>
      <c r="AN19" s="11">
        <v>39.496016273992296</v>
      </c>
      <c r="AO19" s="10">
        <v>39.376478392214075</v>
      </c>
    </row>
    <row r="20" spans="2:41" x14ac:dyDescent="0.2">
      <c r="B20" s="1">
        <v>203</v>
      </c>
      <c r="C20" s="1" t="s">
        <v>69</v>
      </c>
      <c r="D20" s="1">
        <v>3</v>
      </c>
      <c r="E20" s="1">
        <v>1</v>
      </c>
      <c r="F20" s="1">
        <v>2</v>
      </c>
      <c r="G20" s="1">
        <v>2</v>
      </c>
      <c r="H20" s="1">
        <v>1</v>
      </c>
      <c r="I20" s="1">
        <v>1</v>
      </c>
      <c r="J20" s="4">
        <v>13.13</v>
      </c>
      <c r="K20" s="39">
        <v>30.952099833325665</v>
      </c>
      <c r="L20" s="39">
        <v>30.855159203227217</v>
      </c>
      <c r="M20" s="39">
        <v>30.952099833325665</v>
      </c>
      <c r="N20" s="39">
        <v>30.369822024666014</v>
      </c>
      <c r="O20" s="39">
        <v>29.102999941468958</v>
      </c>
      <c r="P20" s="39">
        <v>31.242668112393417</v>
      </c>
      <c r="Q20" s="39">
        <v>29.591084574995683</v>
      </c>
      <c r="R20" s="39">
        <v>30.272627783339985</v>
      </c>
      <c r="S20" s="39">
        <v>31.62950072495272</v>
      </c>
      <c r="T20" s="39">
        <v>33.074099755394911</v>
      </c>
      <c r="U20" s="39">
        <v>32.112090448548393</v>
      </c>
      <c r="V20" s="39">
        <v>31.339439668340134</v>
      </c>
      <c r="W20" s="5">
        <f t="shared" si="0"/>
        <v>30.957807658664894</v>
      </c>
      <c r="X20" s="4">
        <f t="shared" si="1"/>
        <v>0.30923984425641549</v>
      </c>
      <c r="Y20" s="2">
        <f t="shared" si="2"/>
        <v>29.102999941468958</v>
      </c>
      <c r="Z20" s="3">
        <f t="shared" si="3"/>
        <v>30.345523464334505</v>
      </c>
      <c r="AA20" s="2">
        <f t="shared" si="4"/>
        <v>30.952099833325665</v>
      </c>
      <c r="AB20" s="3">
        <f t="shared" si="5"/>
        <v>31.411954932493281</v>
      </c>
      <c r="AC20" s="3">
        <f t="shared" si="6"/>
        <v>33.074099755394911</v>
      </c>
      <c r="AD20" s="3">
        <f t="shared" si="7"/>
        <v>0.17196452104609825</v>
      </c>
      <c r="AE20" s="3">
        <f t="shared" si="8"/>
        <v>0.48142203579874643</v>
      </c>
      <c r="AG20" s="13" t="s">
        <v>65</v>
      </c>
      <c r="AH20" s="12">
        <v>31.581136081248324</v>
      </c>
      <c r="AI20" s="11">
        <v>33.64876922722695</v>
      </c>
      <c r="AJ20" s="11">
        <v>34.484868670202118</v>
      </c>
      <c r="AK20" s="11">
        <v>34.352410893800162</v>
      </c>
      <c r="AL20" s="12">
        <v>30.951761685022213</v>
      </c>
      <c r="AM20" s="11">
        <v>33.625099411397173</v>
      </c>
      <c r="AN20" s="11">
        <v>35.197647197254227</v>
      </c>
      <c r="AO20" s="10">
        <v>35.126705272838649</v>
      </c>
    </row>
    <row r="21" spans="2:41" x14ac:dyDescent="0.2">
      <c r="B21" s="1">
        <v>204</v>
      </c>
      <c r="C21" s="1" t="s">
        <v>67</v>
      </c>
      <c r="D21" s="1">
        <v>11</v>
      </c>
      <c r="E21" s="1">
        <v>2</v>
      </c>
      <c r="F21" s="1">
        <v>3</v>
      </c>
      <c r="G21" s="1">
        <v>2</v>
      </c>
      <c r="H21" s="1">
        <v>1</v>
      </c>
      <c r="I21" s="1">
        <v>1</v>
      </c>
      <c r="J21" s="4">
        <v>13.147</v>
      </c>
      <c r="K21" s="39">
        <v>36.691186214818472</v>
      </c>
      <c r="L21" s="39">
        <v>38.476841031240539</v>
      </c>
      <c r="M21" s="39">
        <v>38.476841031240539</v>
      </c>
      <c r="N21" s="39">
        <v>38.757391666818613</v>
      </c>
      <c r="O21" s="39">
        <v>38.383239615638651</v>
      </c>
      <c r="P21" s="39">
        <v>37.632906623458041</v>
      </c>
      <c r="Q21" s="39">
        <v>37.162574775862396</v>
      </c>
      <c r="R21" s="39">
        <v>38.570400178304496</v>
      </c>
      <c r="S21" s="39">
        <v>37.914598509560257</v>
      </c>
      <c r="T21" s="39">
        <v>38.102181757605408</v>
      </c>
      <c r="U21" s="39">
        <v>37.256725682457386</v>
      </c>
      <c r="V21" s="39">
        <v>37.444900690033577</v>
      </c>
      <c r="W21" s="5">
        <f t="shared" si="0"/>
        <v>37.905815648086538</v>
      </c>
      <c r="X21" s="4">
        <f t="shared" si="1"/>
        <v>0.19111982784051618</v>
      </c>
      <c r="Y21" s="2">
        <f t="shared" si="2"/>
        <v>36.691186214818472</v>
      </c>
      <c r="Z21" s="3">
        <f t="shared" si="3"/>
        <v>37.397856938139526</v>
      </c>
      <c r="AA21" s="2">
        <f t="shared" si="4"/>
        <v>38.008390133582836</v>
      </c>
      <c r="AB21" s="3">
        <f t="shared" si="5"/>
        <v>38.476841031240539</v>
      </c>
      <c r="AC21" s="3">
        <f t="shared" si="6"/>
        <v>38.757391666818613</v>
      </c>
      <c r="AD21" s="3">
        <f t="shared" si="7"/>
        <v>-0.44900425812985728</v>
      </c>
      <c r="AE21" s="3">
        <f t="shared" si="8"/>
        <v>-1.001188180703223</v>
      </c>
      <c r="AG21" s="13" t="s">
        <v>64</v>
      </c>
      <c r="AH21" s="12">
        <v>32.396381849733373</v>
      </c>
      <c r="AI21" s="11">
        <v>34.364252940706649</v>
      </c>
      <c r="AJ21" s="11">
        <v>35.267108559541846</v>
      </c>
      <c r="AK21" s="11">
        <v>35.36516540657621</v>
      </c>
      <c r="AL21" s="12">
        <v>32.303477865007352</v>
      </c>
      <c r="AM21" s="11">
        <v>34.126265592001928</v>
      </c>
      <c r="AN21" s="11">
        <v>35.412878787261931</v>
      </c>
      <c r="AO21" s="10">
        <v>35.365132132454228</v>
      </c>
    </row>
    <row r="22" spans="2:41" x14ac:dyDescent="0.2">
      <c r="B22" s="1">
        <v>205</v>
      </c>
      <c r="C22" s="1" t="s">
        <v>71</v>
      </c>
      <c r="D22" s="1">
        <v>1</v>
      </c>
      <c r="E22" s="1">
        <v>1</v>
      </c>
      <c r="F22" s="1">
        <v>1</v>
      </c>
      <c r="G22" s="1">
        <v>2</v>
      </c>
      <c r="H22" s="1">
        <v>2</v>
      </c>
      <c r="I22" s="1">
        <v>1</v>
      </c>
      <c r="J22" s="4">
        <v>13.163</v>
      </c>
      <c r="K22" s="39">
        <v>31.242668112393417</v>
      </c>
      <c r="L22" s="39">
        <v>31.145854287908758</v>
      </c>
      <c r="M22" s="39">
        <v>31.726103206747716</v>
      </c>
      <c r="N22" s="39">
        <v>31.919181364723919</v>
      </c>
      <c r="O22" s="39">
        <v>29.88342813265654</v>
      </c>
      <c r="P22" s="39">
        <v>31.726103206747716</v>
      </c>
      <c r="Q22" s="39">
        <v>30.661151137416528</v>
      </c>
      <c r="R22" s="39">
        <v>32.015657040905126</v>
      </c>
      <c r="S22" s="39">
        <v>31.62950072495272</v>
      </c>
      <c r="T22" s="39">
        <v>32.401137060250626</v>
      </c>
      <c r="U22" s="39">
        <v>30.369822024666014</v>
      </c>
      <c r="V22" s="39">
        <v>32.015657040905126</v>
      </c>
      <c r="W22" s="5">
        <f t="shared" si="0"/>
        <v>31.394688611689521</v>
      </c>
      <c r="X22" s="4">
        <f t="shared" si="1"/>
        <v>0.21831670835981692</v>
      </c>
      <c r="Y22" s="2">
        <f t="shared" si="2"/>
        <v>29.88342813265654</v>
      </c>
      <c r="Z22" s="3">
        <f t="shared" si="3"/>
        <v>31.024678500285702</v>
      </c>
      <c r="AA22" s="2">
        <f t="shared" si="4"/>
        <v>31.677801965850218</v>
      </c>
      <c r="AB22" s="3">
        <f t="shared" si="5"/>
        <v>31.943300283769219</v>
      </c>
      <c r="AC22" s="3">
        <f t="shared" si="6"/>
        <v>32.401137060250626</v>
      </c>
      <c r="AD22" s="3">
        <f t="shared" si="7"/>
        <v>-0.81040773059115989</v>
      </c>
      <c r="AE22" s="3">
        <f t="shared" si="8"/>
        <v>-0.1606196485245035</v>
      </c>
      <c r="AG22" s="13" t="s">
        <v>63</v>
      </c>
      <c r="AH22" s="12">
        <v>31.889239954578599</v>
      </c>
      <c r="AI22" s="11">
        <v>33.734526007720099</v>
      </c>
      <c r="AJ22" s="11">
        <v>34.491597010378214</v>
      </c>
      <c r="AK22" s="11">
        <v>34.433678497562475</v>
      </c>
      <c r="AL22" s="12">
        <v>32.685608102721808</v>
      </c>
      <c r="AM22" s="11">
        <v>33.550528839587123</v>
      </c>
      <c r="AN22" s="11">
        <v>34.754627902395484</v>
      </c>
      <c r="AO22" s="10">
        <v>35.042763303457647</v>
      </c>
    </row>
    <row r="23" spans="2:41" x14ac:dyDescent="0.2">
      <c r="B23" s="1">
        <v>206</v>
      </c>
      <c r="C23" s="1" t="s">
        <v>64</v>
      </c>
      <c r="D23" s="1">
        <v>8</v>
      </c>
      <c r="E23" s="1">
        <v>2</v>
      </c>
      <c r="F23" s="1">
        <v>1</v>
      </c>
      <c r="G23" s="1">
        <v>1</v>
      </c>
      <c r="H23" s="1">
        <v>2</v>
      </c>
      <c r="I23" s="1">
        <v>1</v>
      </c>
      <c r="J23" s="4">
        <v>13.18</v>
      </c>
      <c r="K23" s="39">
        <v>33.840663866141078</v>
      </c>
      <c r="L23" s="39">
        <v>34.795064836159987</v>
      </c>
      <c r="M23" s="39">
        <v>44.379413070864501</v>
      </c>
      <c r="N23" s="39">
        <v>35.934766553175777</v>
      </c>
      <c r="O23" s="39">
        <v>36.785548464103115</v>
      </c>
      <c r="P23" s="39">
        <v>36.691186214818472</v>
      </c>
      <c r="Q23" s="39">
        <v>36.502334910635376</v>
      </c>
      <c r="R23" s="39">
        <v>39.782822653184176</v>
      </c>
      <c r="S23" s="39">
        <v>38.195909978821092</v>
      </c>
      <c r="T23" s="39">
        <v>36.502334910635376</v>
      </c>
      <c r="U23" s="39">
        <v>35.365676528350647</v>
      </c>
      <c r="V23" s="39">
        <v>34.4138116706076</v>
      </c>
      <c r="W23" s="5">
        <f t="shared" si="0"/>
        <v>36.932461138124772</v>
      </c>
      <c r="X23" s="4">
        <f t="shared" si="1"/>
        <v>0.82365247091225768</v>
      </c>
      <c r="Y23" s="2">
        <f t="shared" si="2"/>
        <v>33.840663866141078</v>
      </c>
      <c r="Z23" s="3">
        <f t="shared" si="3"/>
        <v>35.223023605302984</v>
      </c>
      <c r="AA23" s="2">
        <f t="shared" si="4"/>
        <v>36.502334910635376</v>
      </c>
      <c r="AB23" s="3">
        <f t="shared" si="5"/>
        <v>37.13813884278261</v>
      </c>
      <c r="AC23" s="3">
        <f t="shared" si="6"/>
        <v>44.379413070864501</v>
      </c>
      <c r="AD23" s="3">
        <f t="shared" si="7"/>
        <v>1.7746073195429652</v>
      </c>
      <c r="AE23" s="3">
        <f t="shared" si="8"/>
        <v>3.8215857653705907</v>
      </c>
      <c r="AG23" s="13" t="s">
        <v>62</v>
      </c>
      <c r="AH23" s="12">
        <v>34.603328704263099</v>
      </c>
      <c r="AI23" s="11">
        <v>36.145618065940369</v>
      </c>
      <c r="AJ23" s="11">
        <v>37.734065899292908</v>
      </c>
      <c r="AK23" s="11">
        <v>38.174612312450662</v>
      </c>
      <c r="AL23" s="12">
        <v>32.735832562095176</v>
      </c>
      <c r="AM23" s="11">
        <v>35.059586873678228</v>
      </c>
      <c r="AN23" s="11">
        <v>36.568763505326444</v>
      </c>
      <c r="AO23" s="10">
        <v>36.701566884206336</v>
      </c>
    </row>
    <row r="24" spans="2:41" x14ac:dyDescent="0.2">
      <c r="B24" s="1">
        <v>207</v>
      </c>
      <c r="C24" s="1" t="s">
        <v>68</v>
      </c>
      <c r="D24" s="1">
        <v>4</v>
      </c>
      <c r="E24" s="1">
        <v>1</v>
      </c>
      <c r="F24" s="1">
        <v>2</v>
      </c>
      <c r="G24" s="1">
        <v>1</v>
      </c>
      <c r="H24" s="1">
        <v>2</v>
      </c>
      <c r="I24" s="1">
        <v>1</v>
      </c>
      <c r="J24" s="4">
        <v>13.198</v>
      </c>
      <c r="K24" s="39">
        <v>31.62950072495272</v>
      </c>
      <c r="L24" s="39">
        <v>30.952099833325665</v>
      </c>
      <c r="M24" s="39">
        <v>30.952099833325665</v>
      </c>
      <c r="N24" s="39">
        <v>31.339439668340134</v>
      </c>
      <c r="O24" s="39">
        <v>30.078112495074127</v>
      </c>
      <c r="P24" s="39">
        <v>30.466973997454122</v>
      </c>
      <c r="Q24" s="39">
        <v>29.200701405250165</v>
      </c>
      <c r="R24" s="39">
        <v>29.68857469608723</v>
      </c>
      <c r="S24" s="39">
        <v>31.726103206747716</v>
      </c>
      <c r="T24" s="39">
        <v>31.919181364723919</v>
      </c>
      <c r="U24" s="39">
        <v>32.015657040905126</v>
      </c>
      <c r="V24" s="39">
        <v>31.919181364723919</v>
      </c>
      <c r="W24" s="5">
        <f t="shared" si="0"/>
        <v>30.990635469242537</v>
      </c>
      <c r="X24" s="4">
        <f t="shared" si="1"/>
        <v>0.27323685301898565</v>
      </c>
      <c r="Y24" s="2">
        <f t="shared" si="2"/>
        <v>29.200701405250165</v>
      </c>
      <c r="Z24" s="3">
        <f t="shared" si="3"/>
        <v>30.369758621859123</v>
      </c>
      <c r="AA24" s="2">
        <f t="shared" si="4"/>
        <v>31.145769750832898</v>
      </c>
      <c r="AB24" s="3">
        <f t="shared" si="5"/>
        <v>31.774372746241767</v>
      </c>
      <c r="AC24" s="3">
        <f t="shared" si="6"/>
        <v>32.015657040905126</v>
      </c>
      <c r="AD24" s="3">
        <f t="shared" si="7"/>
        <v>-0.70325888499794664</v>
      </c>
      <c r="AE24" s="3">
        <f t="shared" si="8"/>
        <v>-0.70130383441664979</v>
      </c>
      <c r="AG24" s="13" t="s">
        <v>120</v>
      </c>
      <c r="AH24" s="12">
        <v>49.557431403152606</v>
      </c>
      <c r="AI24" s="11">
        <v>53.410397360245085</v>
      </c>
      <c r="AJ24" s="11">
        <v>57.024196036903042</v>
      </c>
      <c r="AK24" s="11">
        <v>56.692210628112228</v>
      </c>
      <c r="AL24" s="12">
        <v>41.40360186274129</v>
      </c>
      <c r="AM24" s="11">
        <v>42.449814912733395</v>
      </c>
      <c r="AN24" s="11">
        <v>44.127895071866227</v>
      </c>
      <c r="AO24" s="10">
        <v>43.742827547706653</v>
      </c>
    </row>
    <row r="25" spans="2:41" x14ac:dyDescent="0.2">
      <c r="B25" s="1">
        <v>208</v>
      </c>
      <c r="C25" s="1" t="s">
        <v>70</v>
      </c>
      <c r="D25" s="1">
        <v>2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4">
        <v>13.215</v>
      </c>
      <c r="K25" s="39">
        <v>32.112090448548393</v>
      </c>
      <c r="L25" s="39">
        <v>32.015657040905126</v>
      </c>
      <c r="M25" s="39">
        <v>31.339439668340134</v>
      </c>
      <c r="N25" s="39">
        <v>33.170068209120942</v>
      </c>
      <c r="O25" s="39">
        <v>31.436168955748933</v>
      </c>
      <c r="P25" s="39">
        <v>31.726103206747716</v>
      </c>
      <c r="Q25" s="39">
        <v>31.726103206747716</v>
      </c>
      <c r="R25" s="39">
        <v>31.62950072495272</v>
      </c>
      <c r="S25" s="39">
        <v>31.145854287908758</v>
      </c>
      <c r="T25" s="39">
        <v>30.952099833325665</v>
      </c>
      <c r="U25" s="39">
        <v>30.952099833325665</v>
      </c>
      <c r="V25" s="39">
        <v>31.048998194886178</v>
      </c>
      <c r="W25" s="5">
        <f t="shared" si="0"/>
        <v>31.604515300879836</v>
      </c>
      <c r="X25" s="4">
        <f t="shared" si="1"/>
        <v>0.18208980730279428</v>
      </c>
      <c r="Y25" s="2">
        <f t="shared" si="2"/>
        <v>30.952099833325665</v>
      </c>
      <c r="Z25" s="3">
        <f t="shared" si="3"/>
        <v>31.121640264653113</v>
      </c>
      <c r="AA25" s="2">
        <f t="shared" si="4"/>
        <v>31.532834840350827</v>
      </c>
      <c r="AB25" s="3">
        <f t="shared" si="5"/>
        <v>31.798491665287067</v>
      </c>
      <c r="AC25" s="3">
        <f t="shared" si="6"/>
        <v>33.170068209120942</v>
      </c>
      <c r="AD25" s="3">
        <f t="shared" si="7"/>
        <v>1.3884514498774383</v>
      </c>
      <c r="AE25" s="3">
        <f t="shared" si="8"/>
        <v>2.5462078204333984</v>
      </c>
      <c r="AG25" s="13" t="s">
        <v>119</v>
      </c>
      <c r="AH25" s="12">
        <v>41.675128165471065</v>
      </c>
      <c r="AI25" s="11">
        <v>45.669194710234379</v>
      </c>
      <c r="AJ25" s="11">
        <v>46.323051460822128</v>
      </c>
      <c r="AK25" s="11">
        <v>48.102968453128277</v>
      </c>
      <c r="AL25" s="12">
        <v>41.953079285966368</v>
      </c>
      <c r="AM25" s="11">
        <v>43.399610405783946</v>
      </c>
      <c r="AN25" s="11">
        <v>44.424248291651651</v>
      </c>
      <c r="AO25" s="10">
        <v>44.452784870799462</v>
      </c>
    </row>
    <row r="26" spans="2:41" x14ac:dyDescent="0.2">
      <c r="B26" s="1">
        <v>301</v>
      </c>
      <c r="C26" s="1" t="s">
        <v>62</v>
      </c>
      <c r="D26" s="1">
        <v>10</v>
      </c>
      <c r="E26" s="1">
        <v>2</v>
      </c>
      <c r="F26" s="1">
        <v>2</v>
      </c>
      <c r="G26" s="1">
        <v>1</v>
      </c>
      <c r="H26" s="1">
        <v>3</v>
      </c>
      <c r="I26" s="1">
        <v>1</v>
      </c>
      <c r="J26" s="4">
        <v>13.364000000000001</v>
      </c>
      <c r="K26" s="39">
        <v>33.64927644968212</v>
      </c>
      <c r="L26" s="39">
        <v>44.015574542939738</v>
      </c>
      <c r="M26" s="39">
        <v>34.604522790459654</v>
      </c>
      <c r="N26" s="39">
        <v>38.850824008268773</v>
      </c>
      <c r="O26" s="39">
        <v>34.4138116706076</v>
      </c>
      <c r="P26" s="39">
        <v>35.74523895238579</v>
      </c>
      <c r="Q26" s="39">
        <v>35.080560890676004</v>
      </c>
      <c r="R26" s="39">
        <v>34.795064836159987</v>
      </c>
      <c r="S26" s="39">
        <v>37.914598509560257</v>
      </c>
      <c r="T26" s="39">
        <v>39.130867421391677</v>
      </c>
      <c r="U26" s="39">
        <v>35.840023887049746</v>
      </c>
      <c r="V26" s="39">
        <v>33.840663866141078</v>
      </c>
      <c r="W26" s="5">
        <f t="shared" si="0"/>
        <v>36.490085652110203</v>
      </c>
      <c r="X26" s="4">
        <f t="shared" si="1"/>
        <v>0.87039768021011543</v>
      </c>
      <c r="Y26" s="2">
        <f t="shared" si="2"/>
        <v>33.64927644968212</v>
      </c>
      <c r="Z26" s="3">
        <f t="shared" si="3"/>
        <v>34.556845010496644</v>
      </c>
      <c r="AA26" s="2">
        <f t="shared" si="4"/>
        <v>35.412899921530894</v>
      </c>
      <c r="AB26" s="3">
        <f t="shared" si="5"/>
        <v>38.148654884237388</v>
      </c>
      <c r="AC26" s="3">
        <f t="shared" si="6"/>
        <v>44.015574542939738</v>
      </c>
      <c r="AD26" s="3">
        <f t="shared" si="7"/>
        <v>1.5724994702698984</v>
      </c>
      <c r="AE26" s="3">
        <f t="shared" si="8"/>
        <v>2.5432729348838192</v>
      </c>
      <c r="AG26" s="13" t="s">
        <v>74</v>
      </c>
      <c r="AH26" s="12">
        <v>56.857334939578635</v>
      </c>
      <c r="AI26" s="11">
        <v>57.54570461422999</v>
      </c>
      <c r="AJ26" s="11">
        <v>57.830668822120764</v>
      </c>
      <c r="AK26" s="11">
        <v>57.938122210788102</v>
      </c>
      <c r="AL26" s="12"/>
      <c r="AM26" s="11"/>
      <c r="AN26" s="11"/>
      <c r="AO26" s="10"/>
    </row>
    <row r="27" spans="2:41" x14ac:dyDescent="0.2">
      <c r="B27" s="1">
        <v>302</v>
      </c>
      <c r="C27" s="1" t="s">
        <v>68</v>
      </c>
      <c r="D27" s="1">
        <v>4</v>
      </c>
      <c r="E27" s="1">
        <v>1</v>
      </c>
      <c r="F27" s="1">
        <v>2</v>
      </c>
      <c r="G27" s="1">
        <v>1</v>
      </c>
      <c r="H27" s="1">
        <v>3</v>
      </c>
      <c r="I27" s="1">
        <v>1</v>
      </c>
      <c r="J27" s="4">
        <v>13.38</v>
      </c>
      <c r="K27" s="39">
        <v>31.339439668340134</v>
      </c>
      <c r="L27" s="39">
        <v>32.112090448548393</v>
      </c>
      <c r="M27" s="39">
        <v>32.208481587653736</v>
      </c>
      <c r="N27" s="39">
        <v>32.401137060250626</v>
      </c>
      <c r="O27" s="39">
        <v>32.30483045822114</v>
      </c>
      <c r="P27" s="39">
        <v>31.242668112393417</v>
      </c>
      <c r="Q27" s="39">
        <v>31.339439668340134</v>
      </c>
      <c r="R27" s="39">
        <v>30.175391273476016</v>
      </c>
      <c r="S27" s="39">
        <v>32.112090448548393</v>
      </c>
      <c r="T27" s="39">
        <v>29.395977527198784</v>
      </c>
      <c r="U27" s="39">
        <v>31.62950072495272</v>
      </c>
      <c r="V27" s="39">
        <v>30.855159203227217</v>
      </c>
      <c r="W27" s="5">
        <f t="shared" si="0"/>
        <v>31.426350515095894</v>
      </c>
      <c r="X27" s="4">
        <f t="shared" si="1"/>
        <v>0.26654115292493541</v>
      </c>
      <c r="Y27" s="2">
        <f t="shared" si="2"/>
        <v>29.395977527198784</v>
      </c>
      <c r="Z27" s="3">
        <f t="shared" si="3"/>
        <v>31.145790885101867</v>
      </c>
      <c r="AA27" s="2">
        <f t="shared" si="4"/>
        <v>31.484470196646427</v>
      </c>
      <c r="AB27" s="3">
        <f t="shared" si="5"/>
        <v>32.136188233324731</v>
      </c>
      <c r="AC27" s="3">
        <f t="shared" si="6"/>
        <v>32.401137060250626</v>
      </c>
      <c r="AD27" s="3">
        <f t="shared" si="7"/>
        <v>-1.0789826853277023</v>
      </c>
      <c r="AE27" s="3">
        <f t="shared" si="8"/>
        <v>0.7076628620440033</v>
      </c>
      <c r="AG27" s="9" t="s">
        <v>61</v>
      </c>
      <c r="AH27" s="8">
        <v>35.74523895238579</v>
      </c>
      <c r="AI27" s="7">
        <v>36.914868587922953</v>
      </c>
      <c r="AJ27" s="7">
        <v>37.468237641127146</v>
      </c>
      <c r="AK27" s="7">
        <v>37.485170122364892</v>
      </c>
      <c r="AL27" s="8"/>
      <c r="AM27" s="7"/>
      <c r="AN27" s="7"/>
      <c r="AO27" s="6"/>
    </row>
    <row r="28" spans="2:41" x14ac:dyDescent="0.2">
      <c r="B28" s="1">
        <v>303</v>
      </c>
      <c r="C28" s="1" t="s">
        <v>64</v>
      </c>
      <c r="D28" s="1">
        <v>8</v>
      </c>
      <c r="E28" s="1">
        <v>2</v>
      </c>
      <c r="F28" s="1">
        <v>1</v>
      </c>
      <c r="G28" s="1">
        <v>1</v>
      </c>
      <c r="H28" s="1">
        <v>3</v>
      </c>
      <c r="I28" s="1">
        <v>1</v>
      </c>
      <c r="J28" s="4">
        <v>13.4</v>
      </c>
      <c r="K28" s="39">
        <v>34.985437807708607</v>
      </c>
      <c r="L28" s="39">
        <v>34.031882208448316</v>
      </c>
      <c r="M28" s="39">
        <v>30.952099833325665</v>
      </c>
      <c r="N28" s="39">
        <v>33.840663866141078</v>
      </c>
      <c r="O28" s="39">
        <v>32.401137060250626</v>
      </c>
      <c r="P28" s="39">
        <v>33.074099755394911</v>
      </c>
      <c r="Q28" s="39">
        <v>34.318392707874672</v>
      </c>
      <c r="R28" s="39">
        <v>35.080560890676004</v>
      </c>
      <c r="S28" s="39">
        <v>34.699814947578794</v>
      </c>
      <c r="T28" s="39">
        <v>34.031882208448316</v>
      </c>
      <c r="U28" s="39">
        <v>33.64927644968212</v>
      </c>
      <c r="V28" s="39">
        <v>34.509188364802604</v>
      </c>
      <c r="W28" s="5">
        <f t="shared" si="0"/>
        <v>33.797869675027641</v>
      </c>
      <c r="X28" s="4">
        <f t="shared" si="1"/>
        <v>0.34103879313664048</v>
      </c>
      <c r="Y28" s="2">
        <f t="shared" si="2"/>
        <v>30.952099833325665</v>
      </c>
      <c r="Z28" s="3">
        <f t="shared" si="3"/>
        <v>33.505482276110314</v>
      </c>
      <c r="AA28" s="2">
        <f t="shared" si="4"/>
        <v>34.031882208448316</v>
      </c>
      <c r="AB28" s="3">
        <f t="shared" si="5"/>
        <v>34.556845010496652</v>
      </c>
      <c r="AC28" s="3">
        <f t="shared" si="6"/>
        <v>35.080560890676004</v>
      </c>
      <c r="AD28" s="3">
        <f t="shared" si="7"/>
        <v>-1.3965244448775791</v>
      </c>
      <c r="AE28" s="3">
        <f t="shared" si="8"/>
        <v>2.0626254414704501</v>
      </c>
    </row>
    <row r="29" spans="2:41" x14ac:dyDescent="0.2">
      <c r="B29" s="1">
        <v>304</v>
      </c>
      <c r="C29" s="1" t="s">
        <v>70</v>
      </c>
      <c r="D29" s="1">
        <v>2</v>
      </c>
      <c r="E29" s="1">
        <v>1</v>
      </c>
      <c r="F29" s="1">
        <v>1</v>
      </c>
      <c r="G29" s="1">
        <v>1</v>
      </c>
      <c r="H29" s="1">
        <v>3</v>
      </c>
      <c r="I29" s="1">
        <v>1</v>
      </c>
      <c r="J29" s="4">
        <v>13.417</v>
      </c>
      <c r="K29" s="39">
        <v>31.726103206747716</v>
      </c>
      <c r="L29" s="39">
        <v>31.048998194886178</v>
      </c>
      <c r="M29" s="39">
        <v>28.613858594493955</v>
      </c>
      <c r="N29" s="39">
        <v>30.952099833325665</v>
      </c>
      <c r="O29" s="39">
        <v>28.809641938897748</v>
      </c>
      <c r="P29" s="39">
        <v>30.272627783339985</v>
      </c>
      <c r="Q29" s="39">
        <v>30.661151137416528</v>
      </c>
      <c r="R29" s="39">
        <v>30.564083701704291</v>
      </c>
      <c r="S29" s="39">
        <v>30.855159203227217</v>
      </c>
      <c r="T29" s="39">
        <v>31.048998194886178</v>
      </c>
      <c r="U29" s="39">
        <v>30.952099833325665</v>
      </c>
      <c r="V29" s="39">
        <v>29.68857469608723</v>
      </c>
      <c r="W29" s="5">
        <f t="shared" si="0"/>
        <v>30.432783026528202</v>
      </c>
      <c r="X29" s="4">
        <f t="shared" si="1"/>
        <v>0.27166520121108095</v>
      </c>
      <c r="Y29" s="2">
        <f t="shared" si="2"/>
        <v>28.613858594493955</v>
      </c>
      <c r="Z29" s="3">
        <f t="shared" si="3"/>
        <v>30.126614511526796</v>
      </c>
      <c r="AA29" s="2">
        <f t="shared" si="4"/>
        <v>30.758155170321871</v>
      </c>
      <c r="AB29" s="3">
        <f t="shared" si="5"/>
        <v>30.976324423715795</v>
      </c>
      <c r="AC29" s="3">
        <f t="shared" si="6"/>
        <v>31.726103206747716</v>
      </c>
      <c r="AD29" s="3">
        <f t="shared" si="7"/>
        <v>-1.0091227321960337</v>
      </c>
      <c r="AE29" s="3">
        <f t="shared" si="8"/>
        <v>0.27830345433710502</v>
      </c>
    </row>
    <row r="30" spans="2:41" x14ac:dyDescent="0.2">
      <c r="B30" s="1">
        <v>305</v>
      </c>
      <c r="C30" s="1" t="s">
        <v>67</v>
      </c>
      <c r="D30" s="1">
        <v>11</v>
      </c>
      <c r="E30" s="1">
        <v>2</v>
      </c>
      <c r="F30" s="1">
        <v>3</v>
      </c>
      <c r="G30" s="1">
        <v>2</v>
      </c>
      <c r="H30" s="1">
        <v>4</v>
      </c>
      <c r="I30" s="1">
        <v>1</v>
      </c>
      <c r="J30" s="4">
        <v>13.438000000000001</v>
      </c>
      <c r="K30" s="39">
        <v>35.74523895238579</v>
      </c>
      <c r="L30" s="39">
        <v>34.222931476603819</v>
      </c>
      <c r="M30" s="39">
        <v>34.509188364802604</v>
      </c>
      <c r="N30" s="39">
        <v>34.604522790459654</v>
      </c>
      <c r="O30" s="39">
        <v>33.64927644968212</v>
      </c>
      <c r="P30" s="39">
        <v>33.074099755394911</v>
      </c>
      <c r="Q30" s="39">
        <v>32.593623458695795</v>
      </c>
      <c r="R30" s="39">
        <v>35.934766553175777</v>
      </c>
      <c r="S30" s="39">
        <v>36.313314532300573</v>
      </c>
      <c r="T30" s="39">
        <v>36.218740940326271</v>
      </c>
      <c r="U30" s="39">
        <v>35.934766553175777</v>
      </c>
      <c r="V30" s="39">
        <v>34.890272456203263</v>
      </c>
      <c r="W30" s="5">
        <f t="shared" si="0"/>
        <v>34.807561856933866</v>
      </c>
      <c r="X30" s="4">
        <f t="shared" si="1"/>
        <v>0.36313096827670127</v>
      </c>
      <c r="Y30" s="2">
        <f t="shared" si="2"/>
        <v>32.593623458695795</v>
      </c>
      <c r="Z30" s="3">
        <f t="shared" si="3"/>
        <v>34.079517719873394</v>
      </c>
      <c r="AA30" s="2">
        <f t="shared" si="4"/>
        <v>34.747397623331459</v>
      </c>
      <c r="AB30" s="3">
        <f t="shared" si="5"/>
        <v>35.934766553175777</v>
      </c>
      <c r="AC30" s="3">
        <f t="shared" si="6"/>
        <v>36.313314532300573</v>
      </c>
      <c r="AD30" s="3">
        <f t="shared" si="7"/>
        <v>-0.43491711032999592</v>
      </c>
      <c r="AE30" s="3">
        <f t="shared" si="8"/>
        <v>-1.006980900385138</v>
      </c>
    </row>
    <row r="31" spans="2:41" x14ac:dyDescent="0.2">
      <c r="B31" s="1">
        <v>306</v>
      </c>
      <c r="C31" s="1" t="s">
        <v>68</v>
      </c>
      <c r="D31" s="1">
        <v>4</v>
      </c>
      <c r="E31" s="1">
        <v>1</v>
      </c>
      <c r="F31" s="1">
        <v>2</v>
      </c>
      <c r="G31" s="1">
        <v>1</v>
      </c>
      <c r="H31" s="1">
        <v>4</v>
      </c>
      <c r="I31" s="1">
        <v>1</v>
      </c>
      <c r="J31" s="4">
        <v>13.454000000000001</v>
      </c>
      <c r="K31" s="39">
        <v>30.369822024666014</v>
      </c>
      <c r="L31" s="39">
        <v>30.078112495074127</v>
      </c>
      <c r="M31" s="39">
        <v>30.466973997454122</v>
      </c>
      <c r="N31" s="39">
        <v>30.75817630459084</v>
      </c>
      <c r="O31" s="39">
        <v>31.919181364723919</v>
      </c>
      <c r="P31" s="39">
        <v>34.222931476603819</v>
      </c>
      <c r="Q31" s="39">
        <v>30.369822024666014</v>
      </c>
      <c r="R31" s="39">
        <v>33.074099755394911</v>
      </c>
      <c r="S31" s="39">
        <v>30.369822024666014</v>
      </c>
      <c r="T31" s="39">
        <v>31.242668112393417</v>
      </c>
      <c r="U31" s="39">
        <v>29.591084574995683</v>
      </c>
      <c r="V31" s="39">
        <v>29.980791448134305</v>
      </c>
      <c r="W31" s="5">
        <f t="shared" si="0"/>
        <v>31.036957133613598</v>
      </c>
      <c r="X31" s="4">
        <f t="shared" si="1"/>
        <v>0.39871234898839369</v>
      </c>
      <c r="Y31" s="2">
        <f t="shared" si="2"/>
        <v>29.591084574995683</v>
      </c>
      <c r="Z31" s="3">
        <f t="shared" si="3"/>
        <v>30.296894642268043</v>
      </c>
      <c r="AA31" s="2">
        <f t="shared" si="4"/>
        <v>30.41839801106007</v>
      </c>
      <c r="AB31" s="3">
        <f t="shared" si="5"/>
        <v>31.411796425476041</v>
      </c>
      <c r="AC31" s="3">
        <f t="shared" si="6"/>
        <v>34.222931476603819</v>
      </c>
      <c r="AD31" s="3">
        <f t="shared" si="7"/>
        <v>1.4618957396125902</v>
      </c>
      <c r="AE31" s="3">
        <f t="shared" si="8"/>
        <v>1.5102282826389652</v>
      </c>
    </row>
    <row r="32" spans="2:41" x14ac:dyDescent="0.2">
      <c r="B32" s="1">
        <v>307</v>
      </c>
      <c r="C32" s="1" t="s">
        <v>63</v>
      </c>
      <c r="D32" s="1">
        <v>9</v>
      </c>
      <c r="E32" s="1">
        <v>2</v>
      </c>
      <c r="F32" s="1">
        <v>2</v>
      </c>
      <c r="G32" s="1">
        <v>2</v>
      </c>
      <c r="H32" s="1">
        <v>4</v>
      </c>
      <c r="I32" s="1">
        <v>1</v>
      </c>
      <c r="J32" s="4">
        <v>13.47</v>
      </c>
      <c r="K32" s="39">
        <v>33.457719959071447</v>
      </c>
      <c r="L32" s="39">
        <v>33.361878310959206</v>
      </c>
      <c r="M32" s="39">
        <v>32.689803255111478</v>
      </c>
      <c r="N32" s="39">
        <v>34.031882208448316</v>
      </c>
      <c r="O32" s="39">
        <v>32.015657040905126</v>
      </c>
      <c r="P32" s="39">
        <v>32.978089033130949</v>
      </c>
      <c r="Q32" s="39">
        <v>33.64927644968212</v>
      </c>
      <c r="R32" s="39">
        <v>35.175641705105484</v>
      </c>
      <c r="S32" s="39">
        <v>32.978089033130949</v>
      </c>
      <c r="T32" s="39">
        <v>38.008411267851791</v>
      </c>
      <c r="U32" s="39">
        <v>32.49740139374218</v>
      </c>
      <c r="V32" s="39">
        <v>35.650411749183895</v>
      </c>
      <c r="W32" s="5">
        <f t="shared" si="0"/>
        <v>33.874521783860239</v>
      </c>
      <c r="X32" s="4">
        <f t="shared" si="1"/>
        <v>0.48312700967088829</v>
      </c>
      <c r="Y32" s="2">
        <f t="shared" si="2"/>
        <v>32.015657040905126</v>
      </c>
      <c r="Z32" s="3">
        <f t="shared" si="3"/>
        <v>32.906017588626085</v>
      </c>
      <c r="AA32" s="2">
        <f t="shared" si="4"/>
        <v>33.409799135015326</v>
      </c>
      <c r="AB32" s="3">
        <f t="shared" si="5"/>
        <v>34.317822082612608</v>
      </c>
      <c r="AC32" s="3">
        <f t="shared" si="6"/>
        <v>38.008411267851791</v>
      </c>
      <c r="AD32" s="3">
        <f t="shared" si="7"/>
        <v>1.5381528487393223</v>
      </c>
      <c r="AE32" s="3">
        <f t="shared" si="8"/>
        <v>2.4692882034176513</v>
      </c>
    </row>
    <row r="33" spans="2:31" x14ac:dyDescent="0.2">
      <c r="B33" s="1">
        <v>308</v>
      </c>
      <c r="C33" s="1" t="s">
        <v>73</v>
      </c>
      <c r="D33" s="1">
        <v>5</v>
      </c>
      <c r="E33" s="1">
        <v>1</v>
      </c>
      <c r="F33" s="1">
        <v>3</v>
      </c>
      <c r="G33" s="1">
        <v>2</v>
      </c>
      <c r="H33" s="1">
        <v>4</v>
      </c>
      <c r="I33" s="1">
        <v>1</v>
      </c>
      <c r="J33" s="4">
        <v>13.486000000000001</v>
      </c>
      <c r="K33" s="39">
        <v>30.175391273476016</v>
      </c>
      <c r="L33" s="39">
        <v>31.62950072495272</v>
      </c>
      <c r="M33" s="39">
        <v>31.242668112393417</v>
      </c>
      <c r="N33" s="39">
        <v>32.401137060250626</v>
      </c>
      <c r="O33" s="39">
        <v>31.242668112393417</v>
      </c>
      <c r="P33" s="39">
        <v>32.49740139374218</v>
      </c>
      <c r="Q33" s="39">
        <v>29.88342813265654</v>
      </c>
      <c r="R33" s="39">
        <v>31.436168955748933</v>
      </c>
      <c r="S33" s="39">
        <v>31.532855974619789</v>
      </c>
      <c r="T33" s="39">
        <v>29.68857469608723</v>
      </c>
      <c r="U33" s="39">
        <v>31.048998194886178</v>
      </c>
      <c r="V33" s="39">
        <v>30.855159203227217</v>
      </c>
      <c r="W33" s="5">
        <f t="shared" si="0"/>
        <v>31.136162652869526</v>
      </c>
      <c r="X33" s="4">
        <f t="shared" si="1"/>
        <v>0.25585665241344696</v>
      </c>
      <c r="Y33" s="2">
        <f t="shared" si="2"/>
        <v>29.68857469608723</v>
      </c>
      <c r="Z33" s="3">
        <f t="shared" si="3"/>
        <v>30.685217220789418</v>
      </c>
      <c r="AA33" s="2">
        <f t="shared" si="4"/>
        <v>31.242668112393417</v>
      </c>
      <c r="AB33" s="3">
        <f t="shared" si="5"/>
        <v>31.557017162203021</v>
      </c>
      <c r="AC33" s="3">
        <f t="shared" si="6"/>
        <v>32.49740139374218</v>
      </c>
      <c r="AD33" s="3">
        <f t="shared" si="7"/>
        <v>-0.18029984895360968</v>
      </c>
      <c r="AE33" s="3">
        <f t="shared" si="8"/>
        <v>-0.50978863495197979</v>
      </c>
    </row>
    <row r="34" spans="2:31" x14ac:dyDescent="0.2">
      <c r="B34" s="1">
        <v>401</v>
      </c>
      <c r="C34" s="1" t="s">
        <v>65</v>
      </c>
      <c r="D34" s="1">
        <v>7</v>
      </c>
      <c r="E34" s="1">
        <v>2</v>
      </c>
      <c r="F34" s="1">
        <v>1</v>
      </c>
      <c r="G34" s="1">
        <v>2</v>
      </c>
      <c r="H34" s="1">
        <v>3</v>
      </c>
      <c r="I34" s="1">
        <v>1</v>
      </c>
      <c r="J34" s="4">
        <v>13.653</v>
      </c>
      <c r="K34" s="39">
        <v>36.029466950763862</v>
      </c>
      <c r="L34" s="39">
        <v>34.604522790459654</v>
      </c>
      <c r="M34" s="39">
        <v>32.978089033130949</v>
      </c>
      <c r="N34" s="39">
        <v>31.436168955748933</v>
      </c>
      <c r="O34" s="39">
        <v>33.64927644968212</v>
      </c>
      <c r="P34" s="39">
        <v>34.222931476603819</v>
      </c>
      <c r="Q34" s="39">
        <v>34.222931476603819</v>
      </c>
      <c r="R34" s="39">
        <v>35.365676528350647</v>
      </c>
      <c r="S34" s="39">
        <v>35.175641705105484</v>
      </c>
      <c r="T34" s="39">
        <v>37.538924791014772</v>
      </c>
      <c r="U34" s="39">
        <v>36.218740940326271</v>
      </c>
      <c r="V34" s="39">
        <v>35.175641705105484</v>
      </c>
      <c r="W34" s="5">
        <f t="shared" si="0"/>
        <v>34.718167733574653</v>
      </c>
      <c r="X34" s="4">
        <f t="shared" si="1"/>
        <v>0.46229893240516517</v>
      </c>
      <c r="Y34" s="2">
        <f t="shared" si="2"/>
        <v>31.436168955748933</v>
      </c>
      <c r="Z34" s="3">
        <f t="shared" si="3"/>
        <v>34.079517719873394</v>
      </c>
      <c r="AA34" s="2">
        <f t="shared" si="4"/>
        <v>34.890082247782573</v>
      </c>
      <c r="AB34" s="3">
        <f t="shared" si="5"/>
        <v>35.531624133953954</v>
      </c>
      <c r="AC34" s="3">
        <f t="shared" si="6"/>
        <v>37.538924791014772</v>
      </c>
      <c r="AD34" s="3">
        <f t="shared" si="7"/>
        <v>-0.35979873340336249</v>
      </c>
      <c r="AE34" s="3">
        <f t="shared" si="8"/>
        <v>0.71541553302045191</v>
      </c>
    </row>
    <row r="35" spans="2:31" x14ac:dyDescent="0.2">
      <c r="B35" s="1">
        <v>402</v>
      </c>
      <c r="C35" s="1" t="s">
        <v>63</v>
      </c>
      <c r="D35" s="1">
        <v>9</v>
      </c>
      <c r="E35" s="1">
        <v>2</v>
      </c>
      <c r="F35" s="1">
        <v>2</v>
      </c>
      <c r="G35" s="1">
        <v>2</v>
      </c>
      <c r="H35" s="1">
        <v>3</v>
      </c>
      <c r="I35" s="1">
        <v>1</v>
      </c>
      <c r="J35" s="4">
        <v>13.635999999999999</v>
      </c>
      <c r="K35" s="39">
        <v>34.318392707874672</v>
      </c>
      <c r="L35" s="39">
        <v>33.361878310959206</v>
      </c>
      <c r="M35" s="39">
        <v>34.795064836159987</v>
      </c>
      <c r="N35" s="39">
        <v>32.978089033130949</v>
      </c>
      <c r="O35" s="39">
        <v>33.170068209120942</v>
      </c>
      <c r="P35" s="39">
        <v>31.436168955748933</v>
      </c>
      <c r="Q35" s="39">
        <v>33.553519338645749</v>
      </c>
      <c r="R35" s="39">
        <v>32.015657040905126</v>
      </c>
      <c r="S35" s="39">
        <v>32.689803255111478</v>
      </c>
      <c r="T35" s="39">
        <v>30.952099833325665</v>
      </c>
      <c r="U35" s="39">
        <v>35.080560890676004</v>
      </c>
      <c r="V35" s="39">
        <v>33.361878310959206</v>
      </c>
      <c r="W35" s="5">
        <f t="shared" si="0"/>
        <v>33.14276506021816</v>
      </c>
      <c r="X35" s="4">
        <f t="shared" si="1"/>
        <v>0.36251314340463842</v>
      </c>
      <c r="Y35" s="2">
        <f t="shared" si="2"/>
        <v>30.952099833325665</v>
      </c>
      <c r="Z35" s="3">
        <f t="shared" si="3"/>
        <v>32.521266701559888</v>
      </c>
      <c r="AA35" s="2">
        <f t="shared" si="4"/>
        <v>33.26597326004007</v>
      </c>
      <c r="AB35" s="3">
        <f t="shared" si="5"/>
        <v>33.74473768095298</v>
      </c>
      <c r="AC35" s="3">
        <f t="shared" si="6"/>
        <v>35.080560890676004</v>
      </c>
      <c r="AD35" s="3">
        <f t="shared" si="7"/>
        <v>-0.19335566643926705</v>
      </c>
      <c r="AE35" s="3">
        <f t="shared" si="8"/>
        <v>-0.44278588032710697</v>
      </c>
    </row>
    <row r="36" spans="2:31" x14ac:dyDescent="0.2">
      <c r="B36" s="1">
        <v>403</v>
      </c>
      <c r="C36" s="1" t="s">
        <v>72</v>
      </c>
      <c r="D36" s="1">
        <v>6</v>
      </c>
      <c r="E36" s="1">
        <v>1</v>
      </c>
      <c r="F36" s="1">
        <v>3</v>
      </c>
      <c r="G36" s="1">
        <v>1</v>
      </c>
      <c r="H36" s="1">
        <v>3</v>
      </c>
      <c r="I36" s="1">
        <v>1</v>
      </c>
      <c r="J36" s="4">
        <v>13.614000000000001</v>
      </c>
      <c r="K36" s="39">
        <v>28.515903519485164</v>
      </c>
      <c r="L36" s="39">
        <v>30.564083701704291</v>
      </c>
      <c r="M36" s="39">
        <v>29.102999941468958</v>
      </c>
      <c r="N36" s="39">
        <v>29.200701405250165</v>
      </c>
      <c r="O36" s="39">
        <v>30.466973997454122</v>
      </c>
      <c r="P36" s="39">
        <v>31.145854287908758</v>
      </c>
      <c r="Q36" s="39">
        <v>31.145854287908758</v>
      </c>
      <c r="R36" s="39">
        <v>31.82266342000478</v>
      </c>
      <c r="S36" s="39">
        <v>31.145854287908758</v>
      </c>
      <c r="T36" s="39">
        <v>30.369822024666014</v>
      </c>
      <c r="U36" s="39">
        <v>31.62950072495272</v>
      </c>
      <c r="V36" s="39">
        <v>29.298360600493442</v>
      </c>
      <c r="W36" s="5">
        <f t="shared" si="0"/>
        <v>30.36738101660049</v>
      </c>
      <c r="X36" s="4">
        <f t="shared" si="1"/>
        <v>0.31512438612017712</v>
      </c>
      <c r="Y36" s="2">
        <f t="shared" si="2"/>
        <v>28.515903519485164</v>
      </c>
      <c r="Z36" s="3">
        <f t="shared" si="3"/>
        <v>29.273945801682622</v>
      </c>
      <c r="AA36" s="2">
        <f t="shared" si="4"/>
        <v>30.515528849579205</v>
      </c>
      <c r="AB36" s="3">
        <f t="shared" si="5"/>
        <v>31.145854287908758</v>
      </c>
      <c r="AC36" s="3">
        <f t="shared" si="6"/>
        <v>31.82266342000478</v>
      </c>
      <c r="AD36" s="3">
        <f t="shared" si="7"/>
        <v>-0.39091537901717938</v>
      </c>
      <c r="AE36" s="3">
        <f t="shared" si="8"/>
        <v>-1.1934860446189499</v>
      </c>
    </row>
    <row r="37" spans="2:31" x14ac:dyDescent="0.2">
      <c r="B37" s="1">
        <v>404</v>
      </c>
      <c r="C37" s="1" t="s">
        <v>69</v>
      </c>
      <c r="D37" s="1">
        <v>3</v>
      </c>
      <c r="E37" s="1">
        <v>1</v>
      </c>
      <c r="F37" s="1">
        <v>2</v>
      </c>
      <c r="G37" s="1">
        <v>2</v>
      </c>
      <c r="H37" s="1">
        <v>3</v>
      </c>
      <c r="I37" s="1">
        <v>1</v>
      </c>
      <c r="J37" s="4">
        <v>13.593</v>
      </c>
      <c r="K37" s="39">
        <v>27.730741252049288</v>
      </c>
      <c r="L37" s="39">
        <v>30.466973997454122</v>
      </c>
      <c r="M37" s="39">
        <v>28.809641938897748</v>
      </c>
      <c r="N37" s="39">
        <v>31.145854287908758</v>
      </c>
      <c r="O37" s="39">
        <v>29.591084574995683</v>
      </c>
      <c r="P37" s="39">
        <v>30.272627783339985</v>
      </c>
      <c r="Q37" s="39">
        <v>29.591084574995683</v>
      </c>
      <c r="R37" s="39">
        <v>30.078112495074127</v>
      </c>
      <c r="S37" s="39">
        <v>29.00525620914982</v>
      </c>
      <c r="T37" s="39">
        <v>30.75817630459084</v>
      </c>
      <c r="U37" s="39">
        <v>29.88342813265654</v>
      </c>
      <c r="V37" s="39">
        <v>30.078112495074127</v>
      </c>
      <c r="W37" s="5">
        <f t="shared" si="0"/>
        <v>29.784257837182228</v>
      </c>
      <c r="X37" s="4">
        <f t="shared" si="1"/>
        <v>0.26880609171602182</v>
      </c>
      <c r="Y37" s="2">
        <f t="shared" si="2"/>
        <v>27.730741252049288</v>
      </c>
      <c r="Z37" s="3">
        <f t="shared" si="3"/>
        <v>29.444627483534219</v>
      </c>
      <c r="AA37" s="2">
        <f t="shared" si="4"/>
        <v>29.980770313865335</v>
      </c>
      <c r="AB37" s="3">
        <f t="shared" si="5"/>
        <v>30.321214336868518</v>
      </c>
      <c r="AC37" s="3">
        <f t="shared" si="6"/>
        <v>31.145854287908758</v>
      </c>
      <c r="AD37" s="3">
        <f t="shared" si="7"/>
        <v>-0.82931821286360774</v>
      </c>
      <c r="AE37" s="3">
        <f t="shared" si="8"/>
        <v>0.93012418545759079</v>
      </c>
    </row>
    <row r="38" spans="2:31" x14ac:dyDescent="0.2">
      <c r="B38" s="1">
        <v>405</v>
      </c>
      <c r="C38" s="1" t="s">
        <v>72</v>
      </c>
      <c r="D38" s="1">
        <v>6</v>
      </c>
      <c r="E38" s="1">
        <v>1</v>
      </c>
      <c r="F38" s="1">
        <v>3</v>
      </c>
      <c r="G38" s="1">
        <v>1</v>
      </c>
      <c r="H38" s="1">
        <v>4</v>
      </c>
      <c r="I38" s="1">
        <v>1</v>
      </c>
      <c r="J38" s="4">
        <v>13.568</v>
      </c>
      <c r="K38" s="39">
        <v>30.175391273476016</v>
      </c>
      <c r="L38" s="39">
        <v>31.048998194886178</v>
      </c>
      <c r="M38" s="39">
        <v>31.436168955748933</v>
      </c>
      <c r="N38" s="39">
        <v>31.532855974619789</v>
      </c>
      <c r="O38" s="39">
        <v>31.145854287908758</v>
      </c>
      <c r="P38" s="39">
        <v>34.4138116706076</v>
      </c>
      <c r="Q38" s="39">
        <v>33.744991292180572</v>
      </c>
      <c r="R38" s="39">
        <v>33.744991292180572</v>
      </c>
      <c r="S38" s="39">
        <v>34.509188364802604</v>
      </c>
      <c r="T38" s="39">
        <v>31.82266342000478</v>
      </c>
      <c r="U38" s="39">
        <v>31.82266342000478</v>
      </c>
      <c r="V38" s="39">
        <v>31.726103206747716</v>
      </c>
      <c r="W38" s="5">
        <f t="shared" si="0"/>
        <v>32.260306779430692</v>
      </c>
      <c r="X38" s="4">
        <f t="shared" si="1"/>
        <v>0.41775552984912234</v>
      </c>
      <c r="Y38" s="2">
        <f t="shared" si="2"/>
        <v>30.175391273476016</v>
      </c>
      <c r="Z38" s="3">
        <f t="shared" si="3"/>
        <v>31.363590288788888</v>
      </c>
      <c r="AA38" s="2">
        <f t="shared" si="4"/>
        <v>31.774383313376248</v>
      </c>
      <c r="AB38" s="3">
        <f t="shared" si="5"/>
        <v>33.744991292180572</v>
      </c>
      <c r="AC38" s="3">
        <f t="shared" si="6"/>
        <v>34.509188364802604</v>
      </c>
      <c r="AD38" s="3">
        <f t="shared" si="7"/>
        <v>0.51894622034561033</v>
      </c>
      <c r="AE38" s="3">
        <f t="shared" si="8"/>
        <v>-1.1486460779532548</v>
      </c>
    </row>
    <row r="39" spans="2:31" x14ac:dyDescent="0.2">
      <c r="B39" s="1">
        <v>406</v>
      </c>
      <c r="C39" s="1" t="s">
        <v>69</v>
      </c>
      <c r="D39" s="1">
        <v>3</v>
      </c>
      <c r="E39" s="1">
        <v>1</v>
      </c>
      <c r="F39" s="1">
        <v>2</v>
      </c>
      <c r="G39" s="1">
        <v>2</v>
      </c>
      <c r="H39" s="1">
        <v>4</v>
      </c>
      <c r="I39" s="1">
        <v>1</v>
      </c>
      <c r="J39" s="4">
        <v>13.548</v>
      </c>
      <c r="K39" s="39">
        <v>31.726103206747716</v>
      </c>
      <c r="L39" s="39">
        <v>32.978089033130949</v>
      </c>
      <c r="M39" s="39">
        <v>33.074099755394911</v>
      </c>
      <c r="N39" s="39">
        <v>32.593623458695795</v>
      </c>
      <c r="O39" s="39">
        <v>31.919181364723919</v>
      </c>
      <c r="P39" s="39">
        <v>31.82266342000478</v>
      </c>
      <c r="Q39" s="39">
        <v>30.661151137416528</v>
      </c>
      <c r="R39" s="39">
        <v>30.564083701704291</v>
      </c>
      <c r="S39" s="39">
        <v>30.952099833325665</v>
      </c>
      <c r="T39" s="39">
        <v>31.919181364723919</v>
      </c>
      <c r="U39" s="39">
        <v>29.980791448134305</v>
      </c>
      <c r="V39" s="39">
        <v>31.919181364723919</v>
      </c>
      <c r="W39" s="5">
        <f t="shared" si="0"/>
        <v>31.675854090727224</v>
      </c>
      <c r="X39" s="4">
        <f t="shared" si="1"/>
        <v>0.28011933205471645</v>
      </c>
      <c r="Y39" s="2">
        <f t="shared" si="2"/>
        <v>29.980791448134305</v>
      </c>
      <c r="Z39" s="3">
        <f t="shared" si="3"/>
        <v>30.879362659348381</v>
      </c>
      <c r="AA39" s="2">
        <f t="shared" si="4"/>
        <v>31.870922392364349</v>
      </c>
      <c r="AB39" s="3">
        <f t="shared" si="5"/>
        <v>32.087791888216884</v>
      </c>
      <c r="AC39" s="3">
        <f t="shared" si="6"/>
        <v>33.074099755394911</v>
      </c>
      <c r="AD39" s="3">
        <f t="shared" si="7"/>
        <v>-0.22766099494967709</v>
      </c>
      <c r="AE39" s="3">
        <f t="shared" si="8"/>
        <v>-0.73890375715722056</v>
      </c>
    </row>
    <row r="40" spans="2:31" x14ac:dyDescent="0.2">
      <c r="B40" s="1">
        <v>407</v>
      </c>
      <c r="C40" s="1" t="s">
        <v>65</v>
      </c>
      <c r="D40" s="1">
        <v>7</v>
      </c>
      <c r="E40" s="1">
        <v>2</v>
      </c>
      <c r="F40" s="1">
        <v>1</v>
      </c>
      <c r="G40" s="1">
        <v>2</v>
      </c>
      <c r="H40" s="1">
        <v>4</v>
      </c>
      <c r="I40" s="1">
        <v>1</v>
      </c>
      <c r="J40" s="4">
        <v>13.529</v>
      </c>
      <c r="K40" s="39">
        <v>32.015657040905126</v>
      </c>
      <c r="L40" s="39">
        <v>31.726103206747716</v>
      </c>
      <c r="M40" s="39">
        <v>33.074099755394911</v>
      </c>
      <c r="N40" s="39">
        <v>33.361878310959206</v>
      </c>
      <c r="O40" s="39">
        <v>34.127427976795026</v>
      </c>
      <c r="P40" s="39">
        <v>35.650411749183895</v>
      </c>
      <c r="Q40" s="39">
        <v>34.222931476603819</v>
      </c>
      <c r="R40" s="39">
        <v>34.127427976795026</v>
      </c>
      <c r="S40" s="39">
        <v>37.726846187363371</v>
      </c>
      <c r="T40" s="39">
        <v>34.031882208448316</v>
      </c>
      <c r="U40" s="39">
        <v>34.509188364802604</v>
      </c>
      <c r="V40" s="39">
        <v>33.26599439430904</v>
      </c>
      <c r="W40" s="5">
        <f t="shared" si="0"/>
        <v>33.986654054025671</v>
      </c>
      <c r="X40" s="4">
        <f t="shared" si="1"/>
        <v>0.45945493027996381</v>
      </c>
      <c r="Y40" s="2">
        <f t="shared" si="2"/>
        <v>31.726103206747716</v>
      </c>
      <c r="Z40" s="3">
        <f t="shared" si="3"/>
        <v>33.218020734580506</v>
      </c>
      <c r="AA40" s="2">
        <f t="shared" si="4"/>
        <v>34.079655092621671</v>
      </c>
      <c r="AB40" s="3">
        <f t="shared" si="5"/>
        <v>34.294495698653513</v>
      </c>
      <c r="AC40" s="3">
        <f t="shared" si="6"/>
        <v>37.726846187363371</v>
      </c>
      <c r="AD40" s="3">
        <f t="shared" si="7"/>
        <v>0.98765244612922809</v>
      </c>
      <c r="AE40" s="3">
        <f t="shared" si="8"/>
        <v>2.0013795289405083</v>
      </c>
    </row>
    <row r="41" spans="2:31" x14ac:dyDescent="0.2">
      <c r="B41" s="1">
        <v>408</v>
      </c>
      <c r="C41" s="1" t="s">
        <v>62</v>
      </c>
      <c r="D41" s="1">
        <v>10</v>
      </c>
      <c r="E41" s="1">
        <v>2</v>
      </c>
      <c r="F41" s="1">
        <v>2</v>
      </c>
      <c r="G41" s="1">
        <v>1</v>
      </c>
      <c r="H41" s="1">
        <v>4</v>
      </c>
      <c r="I41" s="1">
        <v>1</v>
      </c>
      <c r="J41" s="4">
        <v>13.512</v>
      </c>
      <c r="K41" s="39">
        <v>43.833401667749776</v>
      </c>
      <c r="L41" s="39">
        <v>39.037561885555306</v>
      </c>
      <c r="M41" s="39">
        <v>46.368436172602379</v>
      </c>
      <c r="N41" s="39">
        <v>36.124125079814036</v>
      </c>
      <c r="O41" s="39">
        <v>38.944214081181002</v>
      </c>
      <c r="P41" s="39">
        <v>35.080560890676004</v>
      </c>
      <c r="Q41" s="39">
        <v>38.008411267851791</v>
      </c>
      <c r="R41" s="39">
        <v>38.944214081181002</v>
      </c>
      <c r="S41" s="39">
        <v>39.596761072504549</v>
      </c>
      <c r="T41" s="39">
        <v>37.162574775862396</v>
      </c>
      <c r="U41" s="39">
        <v>37.256725682457386</v>
      </c>
      <c r="V41" s="39">
        <v>34.699814947578794</v>
      </c>
      <c r="W41" s="5">
        <f t="shared" si="0"/>
        <v>38.754733467084534</v>
      </c>
      <c r="X41" s="4">
        <f t="shared" si="1"/>
        <v>0.98018299947009424</v>
      </c>
      <c r="Y41" s="2">
        <f t="shared" si="2"/>
        <v>34.699814947578794</v>
      </c>
      <c r="Z41" s="3">
        <f t="shared" si="3"/>
        <v>36.902962351850306</v>
      </c>
      <c r="AA41" s="2">
        <f t="shared" si="4"/>
        <v>38.476312674516393</v>
      </c>
      <c r="AB41" s="3">
        <f t="shared" si="5"/>
        <v>39.177361682292613</v>
      </c>
      <c r="AC41" s="3">
        <f t="shared" si="6"/>
        <v>46.368436172602379</v>
      </c>
      <c r="AD41" s="3">
        <f t="shared" si="7"/>
        <v>1.2002226983688826</v>
      </c>
      <c r="AE41" s="3">
        <f t="shared" si="8"/>
        <v>1.3468704526583872</v>
      </c>
    </row>
    <row r="42" spans="2:31" x14ac:dyDescent="0.2">
      <c r="B42" s="50">
        <v>901</v>
      </c>
      <c r="C42" s="50" t="s">
        <v>61</v>
      </c>
      <c r="D42" s="50">
        <v>32</v>
      </c>
      <c r="E42" s="50">
        <v>9</v>
      </c>
      <c r="F42" s="50">
        <v>0</v>
      </c>
      <c r="G42" s="50">
        <v>1</v>
      </c>
      <c r="H42" s="50">
        <v>1</v>
      </c>
      <c r="I42" s="50">
        <v>1</v>
      </c>
      <c r="J42" s="48">
        <v>13.353999999999999</v>
      </c>
      <c r="K42" s="47">
        <v>37.444900690033577</v>
      </c>
      <c r="L42" s="47">
        <v>36.691186214818472</v>
      </c>
      <c r="M42" s="47">
        <v>38.195909978821092</v>
      </c>
      <c r="N42" s="47">
        <v>38.102181757605408</v>
      </c>
      <c r="O42" s="47">
        <v>37.538924791014772</v>
      </c>
      <c r="P42" s="47">
        <v>35.74523895238579</v>
      </c>
      <c r="Q42" s="47">
        <v>36.785548464103115</v>
      </c>
      <c r="R42" s="47">
        <v>38.476841031240539</v>
      </c>
      <c r="S42" s="47">
        <v>37.068381600729474</v>
      </c>
      <c r="T42" s="47">
        <v>39.130867421391677</v>
      </c>
      <c r="U42" s="47">
        <v>36.218740940326271</v>
      </c>
      <c r="V42" s="47">
        <v>35.74523895238579</v>
      </c>
      <c r="W42" s="49">
        <f t="shared" ref="W42:W73" si="9">AVERAGE(K42:V42)</f>
        <v>37.261996732904663</v>
      </c>
      <c r="X42" s="48">
        <f t="shared" ref="X42:X73" si="10">STDEV(K42:V42)/SQRT(COUNT(K42:V42))</f>
        <v>0.31305650510274563</v>
      </c>
      <c r="Y42" s="47">
        <f t="shared" ref="Y42:Y73" si="11">MIN(K42:V42)</f>
        <v>35.74523895238579</v>
      </c>
      <c r="Z42" s="46">
        <f t="shared" ref="Z42:Z73" si="12">QUARTILE(K42:V42,1)</f>
        <v>36.573074896195422</v>
      </c>
      <c r="AA42" s="47">
        <f t="shared" ref="AA42:AA73" si="13">MEDIAN(K42:V42)</f>
        <v>37.256641145381522</v>
      </c>
      <c r="AB42" s="46">
        <f t="shared" ref="AB42:AB73" si="14">QUARTILE(K42:V42,3)</f>
        <v>38.125613812909329</v>
      </c>
      <c r="AC42" s="46">
        <f t="shared" ref="AC42:AC73" si="15">MAX(K42:V42)</f>
        <v>39.130867421391677</v>
      </c>
      <c r="AD42" s="46">
        <f t="shared" ref="AD42:AD73" si="16">SKEW(K42:V42)</f>
        <v>0.11458960292539999</v>
      </c>
      <c r="AE42" s="46">
        <f t="shared" ref="AE42:AE73" si="17">KURT(K42:V42)</f>
        <v>-0.89210184678808346</v>
      </c>
    </row>
    <row r="43" spans="2:31" x14ac:dyDescent="0.2">
      <c r="B43" s="1">
        <v>902</v>
      </c>
      <c r="C43" s="1" t="s">
        <v>119</v>
      </c>
      <c r="D43" s="1">
        <v>22</v>
      </c>
      <c r="E43" s="1">
        <v>4</v>
      </c>
      <c r="F43" s="1">
        <v>2</v>
      </c>
      <c r="G43" s="1">
        <v>2</v>
      </c>
      <c r="H43" s="1">
        <v>1</v>
      </c>
      <c r="I43" s="1">
        <v>1</v>
      </c>
      <c r="J43" s="4">
        <v>13.333</v>
      </c>
      <c r="K43" s="39">
        <v>57.535156254938379</v>
      </c>
      <c r="L43" s="39">
        <v>45.557217613178587</v>
      </c>
      <c r="M43" s="39">
        <v>52.648006604776789</v>
      </c>
      <c r="N43" s="39">
        <v>45.557217613178587</v>
      </c>
      <c r="O43" s="39">
        <v>40.525378234385464</v>
      </c>
      <c r="P43" s="39">
        <v>40.247236905469464</v>
      </c>
      <c r="Q43" s="39">
        <v>50.373172696135036</v>
      </c>
      <c r="R43" s="39">
        <v>52.561041349630088</v>
      </c>
      <c r="S43" s="39">
        <v>45.737784283927169</v>
      </c>
      <c r="T43" s="39">
        <v>51.863797641090997</v>
      </c>
      <c r="U43" s="39">
        <v>44.28851684169021</v>
      </c>
      <c r="V43" s="39">
        <v>46.18846126138483</v>
      </c>
      <c r="W43" s="5">
        <f t="shared" si="9"/>
        <v>47.756915608315474</v>
      </c>
      <c r="X43" s="4">
        <f t="shared" si="10"/>
        <v>1.5157310129958708</v>
      </c>
      <c r="Y43" s="2">
        <f t="shared" si="11"/>
        <v>40.247236905469464</v>
      </c>
      <c r="Z43" s="3">
        <f t="shared" si="12"/>
        <v>45.240042420306494</v>
      </c>
      <c r="AA43" s="2">
        <f t="shared" si="13"/>
        <v>45.963122772656</v>
      </c>
      <c r="AB43" s="3">
        <f t="shared" si="14"/>
        <v>52.038108568225766</v>
      </c>
      <c r="AC43" s="3">
        <f t="shared" si="15"/>
        <v>57.535156254938379</v>
      </c>
      <c r="AD43" s="3">
        <f t="shared" si="16"/>
        <v>0.28125916157878472</v>
      </c>
      <c r="AE43" s="3">
        <f t="shared" si="17"/>
        <v>-0.56950424865470062</v>
      </c>
    </row>
    <row r="44" spans="2:31" x14ac:dyDescent="0.2">
      <c r="B44" s="50">
        <v>903</v>
      </c>
      <c r="C44" s="50" t="s">
        <v>74</v>
      </c>
      <c r="D44" s="50">
        <v>31</v>
      </c>
      <c r="E44" s="50">
        <v>8</v>
      </c>
      <c r="F44" s="50">
        <v>0</v>
      </c>
      <c r="G44" s="50">
        <v>1</v>
      </c>
      <c r="H44" s="50">
        <v>1</v>
      </c>
      <c r="I44" s="50">
        <v>1</v>
      </c>
      <c r="J44" s="48">
        <v>13.326000000000001</v>
      </c>
      <c r="K44" s="47">
        <v>58.882302909533699</v>
      </c>
      <c r="L44" s="47">
        <v>57.196678849772297</v>
      </c>
      <c r="M44" s="47">
        <v>58.714501337240321</v>
      </c>
      <c r="N44" s="47">
        <v>57.619669934885067</v>
      </c>
      <c r="O44" s="47">
        <v>57.619669934885067</v>
      </c>
      <c r="P44" s="47">
        <v>58.546530690795223</v>
      </c>
      <c r="Q44" s="47">
        <v>58.125864375268669</v>
      </c>
      <c r="R44" s="47">
        <v>58.798423257655976</v>
      </c>
      <c r="S44" s="47">
        <v>57.111953827135956</v>
      </c>
      <c r="T44" s="47">
        <v>57.788570489164663</v>
      </c>
      <c r="U44" s="47">
        <v>57.535156254938379</v>
      </c>
      <c r="V44" s="47">
        <v>58.210082175449841</v>
      </c>
      <c r="W44" s="49">
        <f t="shared" si="9"/>
        <v>58.012450336393762</v>
      </c>
      <c r="X44" s="48">
        <f t="shared" si="10"/>
        <v>0.17979991505926077</v>
      </c>
      <c r="Y44" s="47">
        <f t="shared" si="11"/>
        <v>57.111953827135956</v>
      </c>
      <c r="Z44" s="46">
        <f t="shared" si="12"/>
        <v>57.598541514898393</v>
      </c>
      <c r="AA44" s="47">
        <f t="shared" si="13"/>
        <v>57.957217432216666</v>
      </c>
      <c r="AB44" s="46">
        <f t="shared" si="14"/>
        <v>58.588523352406497</v>
      </c>
      <c r="AC44" s="46">
        <f t="shared" si="15"/>
        <v>58.882302909533699</v>
      </c>
      <c r="AD44" s="46">
        <f t="shared" si="16"/>
        <v>6.1860113504536719E-2</v>
      </c>
      <c r="AE44" s="46">
        <f t="shared" si="17"/>
        <v>-1.4339829249146194</v>
      </c>
    </row>
    <row r="45" spans="2:31" x14ac:dyDescent="0.2">
      <c r="B45" s="1">
        <v>904</v>
      </c>
      <c r="C45" s="1" t="s">
        <v>120</v>
      </c>
      <c r="D45" s="1">
        <v>21</v>
      </c>
      <c r="E45" s="1">
        <v>3</v>
      </c>
      <c r="F45" s="1">
        <v>2</v>
      </c>
      <c r="G45" s="1">
        <v>2</v>
      </c>
      <c r="H45" s="1">
        <v>1</v>
      </c>
      <c r="I45" s="1">
        <v>1</v>
      </c>
      <c r="J45" s="4">
        <v>13.305999999999999</v>
      </c>
      <c r="K45" s="39">
        <v>60.71696131074706</v>
      </c>
      <c r="L45" s="39">
        <v>46.727878772582308</v>
      </c>
      <c r="M45" s="39">
        <v>60.551019554122654</v>
      </c>
      <c r="N45" s="39">
        <v>58.462481964765765</v>
      </c>
      <c r="O45" s="39">
        <v>57.366002089431205</v>
      </c>
      <c r="P45" s="39">
        <v>50.108853179122519</v>
      </c>
      <c r="Q45" s="39">
        <v>60.301789905151551</v>
      </c>
      <c r="R45" s="39">
        <v>52.561041349630088</v>
      </c>
      <c r="S45" s="39">
        <v>59.71877465872474</v>
      </c>
      <c r="T45" s="39">
        <v>48.781549341439245</v>
      </c>
      <c r="U45" s="39">
        <v>62.284975425361687</v>
      </c>
      <c r="V45" s="39">
        <v>57.111953827135956</v>
      </c>
      <c r="W45" s="5">
        <f t="shared" si="9"/>
        <v>56.224440114851241</v>
      </c>
      <c r="X45" s="4">
        <f t="shared" si="10"/>
        <v>1.527448729323498</v>
      </c>
      <c r="Y45" s="2">
        <f t="shared" si="11"/>
        <v>46.727878772582308</v>
      </c>
      <c r="Z45" s="3">
        <f t="shared" si="12"/>
        <v>51.947994307003199</v>
      </c>
      <c r="AA45" s="2">
        <f t="shared" si="13"/>
        <v>57.914242027098481</v>
      </c>
      <c r="AB45" s="3">
        <f t="shared" si="14"/>
        <v>60.364097317394325</v>
      </c>
      <c r="AC45" s="3">
        <f t="shared" si="15"/>
        <v>62.284975425361687</v>
      </c>
      <c r="AD45" s="3">
        <f t="shared" si="16"/>
        <v>-0.75741513024997886</v>
      </c>
      <c r="AE45" s="3">
        <f t="shared" si="17"/>
        <v>-0.94939621015934028</v>
      </c>
    </row>
    <row r="46" spans="2:31" x14ac:dyDescent="0.2">
      <c r="B46" s="50">
        <v>905</v>
      </c>
      <c r="C46" s="50" t="s">
        <v>61</v>
      </c>
      <c r="D46" s="50">
        <v>32</v>
      </c>
      <c r="E46" s="50">
        <v>9</v>
      </c>
      <c r="F46" s="50">
        <v>0</v>
      </c>
      <c r="G46" s="50">
        <v>1</v>
      </c>
      <c r="H46" s="50">
        <v>2</v>
      </c>
      <c r="I46" s="50">
        <v>1</v>
      </c>
      <c r="J46" s="48">
        <v>13.298999999999999</v>
      </c>
      <c r="K46" s="47">
        <v>38.383239615638651</v>
      </c>
      <c r="L46" s="47">
        <v>35.934766553175777</v>
      </c>
      <c r="M46" s="47">
        <v>38.757391666818613</v>
      </c>
      <c r="N46" s="47">
        <v>37.350834320514451</v>
      </c>
      <c r="O46" s="47">
        <v>39.037561885555306</v>
      </c>
      <c r="P46" s="47">
        <v>37.820743482730784</v>
      </c>
      <c r="Q46" s="47">
        <v>37.538924791014772</v>
      </c>
      <c r="R46" s="47">
        <v>35.74523895238579</v>
      </c>
      <c r="S46" s="47">
        <v>37.350834320514451</v>
      </c>
      <c r="T46" s="47">
        <v>38.195909978821092</v>
      </c>
      <c r="U46" s="47">
        <v>36.97414615705862</v>
      </c>
      <c r="V46" s="47">
        <v>39.410530417673193</v>
      </c>
      <c r="W46" s="49">
        <f t="shared" si="9"/>
        <v>37.708343511825127</v>
      </c>
      <c r="X46" s="48">
        <f t="shared" si="10"/>
        <v>0.32906354946170924</v>
      </c>
      <c r="Y46" s="47">
        <f t="shared" si="11"/>
        <v>35.74523895238579</v>
      </c>
      <c r="Z46" s="46">
        <f t="shared" si="12"/>
        <v>37.256662279650492</v>
      </c>
      <c r="AA46" s="47">
        <f t="shared" si="13"/>
        <v>37.679834136872778</v>
      </c>
      <c r="AB46" s="46">
        <f t="shared" si="14"/>
        <v>38.476777628433638</v>
      </c>
      <c r="AC46" s="46">
        <f t="shared" si="15"/>
        <v>39.410530417673193</v>
      </c>
      <c r="AD46" s="46">
        <f t="shared" si="16"/>
        <v>-0.35180203928952702</v>
      </c>
      <c r="AE46" s="46">
        <f t="shared" si="17"/>
        <v>-0.481080929407252</v>
      </c>
    </row>
    <row r="47" spans="2:31" x14ac:dyDescent="0.2">
      <c r="B47" s="1">
        <v>906</v>
      </c>
      <c r="C47" s="1" t="s">
        <v>119</v>
      </c>
      <c r="D47" s="1">
        <v>22</v>
      </c>
      <c r="E47" s="1">
        <v>4</v>
      </c>
      <c r="F47" s="1">
        <v>2</v>
      </c>
      <c r="G47" s="1">
        <v>2</v>
      </c>
      <c r="H47" s="1">
        <v>2</v>
      </c>
      <c r="I47" s="1">
        <v>1</v>
      </c>
      <c r="J47" s="4">
        <v>13.278</v>
      </c>
      <c r="K47" s="39">
        <v>56.262378831186261</v>
      </c>
      <c r="L47" s="39">
        <v>45.82800421649457</v>
      </c>
      <c r="M47" s="39">
        <v>49.932428825091186</v>
      </c>
      <c r="N47" s="39">
        <v>50.461194664730016</v>
      </c>
      <c r="O47" s="39">
        <v>46.18846126138483</v>
      </c>
      <c r="P47" s="39">
        <v>46.458360225404263</v>
      </c>
      <c r="Q47" s="39">
        <v>46.63808152539422</v>
      </c>
      <c r="R47" s="39">
        <v>48.069765255851827</v>
      </c>
      <c r="S47" s="39">
        <v>46.727878772582308</v>
      </c>
      <c r="T47" s="39">
        <v>56.432631978679659</v>
      </c>
      <c r="U47" s="39">
        <v>45.286050593021223</v>
      </c>
      <c r="V47" s="39">
        <v>43.10301942547266</v>
      </c>
      <c r="W47" s="5">
        <f t="shared" si="9"/>
        <v>48.44902129794108</v>
      </c>
      <c r="X47" s="4">
        <f t="shared" si="10"/>
        <v>1.2058830475537556</v>
      </c>
      <c r="Y47" s="2">
        <f t="shared" si="11"/>
        <v>43.10301942547266</v>
      </c>
      <c r="Z47" s="3">
        <f t="shared" si="12"/>
        <v>46.098347000162263</v>
      </c>
      <c r="AA47" s="2">
        <f t="shared" si="13"/>
        <v>46.682980148988264</v>
      </c>
      <c r="AB47" s="3">
        <f t="shared" si="14"/>
        <v>50.064620285000892</v>
      </c>
      <c r="AC47" s="3">
        <f t="shared" si="15"/>
        <v>56.432631978679659</v>
      </c>
      <c r="AD47" s="3">
        <f t="shared" si="16"/>
        <v>1.1438334923474205</v>
      </c>
      <c r="AE47" s="3">
        <f t="shared" si="17"/>
        <v>0.53932968643483736</v>
      </c>
    </row>
    <row r="48" spans="2:31" x14ac:dyDescent="0.2">
      <c r="B48" s="50">
        <v>907</v>
      </c>
      <c r="C48" s="50" t="s">
        <v>74</v>
      </c>
      <c r="D48" s="50">
        <v>31</v>
      </c>
      <c r="E48" s="50">
        <v>8</v>
      </c>
      <c r="F48" s="50">
        <v>0</v>
      </c>
      <c r="G48" s="50">
        <v>1</v>
      </c>
      <c r="H48" s="50">
        <v>2</v>
      </c>
      <c r="I48" s="50">
        <v>1</v>
      </c>
      <c r="J48" s="48">
        <v>13.272</v>
      </c>
      <c r="K48" s="47">
        <v>58.462481964765765</v>
      </c>
      <c r="L48" s="47">
        <v>57.619669934885067</v>
      </c>
      <c r="M48" s="47">
        <v>57.619669934885067</v>
      </c>
      <c r="N48" s="47">
        <v>58.378390970198389</v>
      </c>
      <c r="O48" s="47">
        <v>57.788570489164663</v>
      </c>
      <c r="P48" s="47">
        <v>59.9688919469924</v>
      </c>
      <c r="Q48" s="47">
        <v>58.378390970198389</v>
      </c>
      <c r="R48" s="47">
        <v>56.772631051211249</v>
      </c>
      <c r="S48" s="47">
        <v>57.872957363497555</v>
      </c>
      <c r="T48" s="47">
        <v>57.366002089431205</v>
      </c>
      <c r="U48" s="47">
        <v>56.602716052021314</v>
      </c>
      <c r="V48" s="47">
        <v>57.535156254938379</v>
      </c>
      <c r="W48" s="49">
        <f t="shared" si="9"/>
        <v>57.863794085182441</v>
      </c>
      <c r="X48" s="48">
        <f t="shared" si="10"/>
        <v>0.25496841926554153</v>
      </c>
      <c r="Y48" s="47">
        <f t="shared" si="11"/>
        <v>56.602716052021314</v>
      </c>
      <c r="Z48" s="46">
        <f t="shared" si="12"/>
        <v>57.492867713561587</v>
      </c>
      <c r="AA48" s="47">
        <f t="shared" si="13"/>
        <v>57.704120212024861</v>
      </c>
      <c r="AB48" s="46">
        <f t="shared" si="14"/>
        <v>58.378390970198389</v>
      </c>
      <c r="AC48" s="46">
        <f t="shared" si="15"/>
        <v>59.9688919469924</v>
      </c>
      <c r="AD48" s="46">
        <f t="shared" si="16"/>
        <v>1.0010558033058659</v>
      </c>
      <c r="AE48" s="46">
        <f t="shared" si="17"/>
        <v>2.1636969197883085</v>
      </c>
    </row>
    <row r="49" spans="2:31" ht="13.5" thickBot="1" x14ac:dyDescent="0.25">
      <c r="B49" s="45">
        <v>908</v>
      </c>
      <c r="C49" s="45" t="s">
        <v>120</v>
      </c>
      <c r="D49" s="45">
        <v>21</v>
      </c>
      <c r="E49" s="45">
        <v>3</v>
      </c>
      <c r="F49" s="45">
        <v>2</v>
      </c>
      <c r="G49" s="45">
        <v>2</v>
      </c>
      <c r="H49" s="45">
        <v>2</v>
      </c>
      <c r="I49" s="45">
        <v>1</v>
      </c>
      <c r="J49" s="42">
        <v>13.250999999999999</v>
      </c>
      <c r="K49" s="44">
        <v>60.71696131074706</v>
      </c>
      <c r="L49" s="44">
        <v>57.196678849772297</v>
      </c>
      <c r="M49" s="44">
        <v>61.544133981593241</v>
      </c>
      <c r="N49" s="44">
        <v>55.065872722484272</v>
      </c>
      <c r="O49" s="44">
        <v>56.517695149619449</v>
      </c>
      <c r="P49" s="44">
        <v>54.894266981777093</v>
      </c>
      <c r="Q49" s="44">
        <v>54.808400708616603</v>
      </c>
      <c r="R49" s="44">
        <v>55.750604943795764</v>
      </c>
      <c r="S49" s="44">
        <v>61.048337601540709</v>
      </c>
      <c r="T49" s="44">
        <v>54.033702165965316</v>
      </c>
      <c r="U49" s="44">
        <v>61.956135246843914</v>
      </c>
      <c r="V49" s="44">
        <v>52.386984033722904</v>
      </c>
      <c r="W49" s="43">
        <f t="shared" si="9"/>
        <v>57.159981141373216</v>
      </c>
      <c r="X49" s="42">
        <f t="shared" si="10"/>
        <v>0.95345995282363816</v>
      </c>
      <c r="Y49" s="41">
        <f t="shared" si="11"/>
        <v>52.386984033722904</v>
      </c>
      <c r="Z49" s="40">
        <f t="shared" si="12"/>
        <v>54.872800413486971</v>
      </c>
      <c r="AA49" s="41">
        <f t="shared" si="13"/>
        <v>56.134150046707603</v>
      </c>
      <c r="AB49" s="40">
        <f t="shared" si="14"/>
        <v>60.799805383445474</v>
      </c>
      <c r="AC49" s="40">
        <f t="shared" si="15"/>
        <v>61.956135246843914</v>
      </c>
      <c r="AD49" s="40">
        <f t="shared" si="16"/>
        <v>0.37001844493846275</v>
      </c>
      <c r="AE49" s="40">
        <f t="shared" si="17"/>
        <v>-1.4089227460210205</v>
      </c>
    </row>
    <row r="50" spans="2:31" ht="13.5" thickTop="1" x14ac:dyDescent="0.2">
      <c r="B50" s="1">
        <v>101</v>
      </c>
      <c r="C50" s="1" t="s">
        <v>71</v>
      </c>
      <c r="D50" s="1">
        <v>1</v>
      </c>
      <c r="E50" s="1">
        <v>1</v>
      </c>
      <c r="F50" s="1">
        <v>1</v>
      </c>
      <c r="G50" s="1">
        <v>2</v>
      </c>
      <c r="H50" s="1">
        <v>1</v>
      </c>
      <c r="I50" s="1">
        <v>2</v>
      </c>
      <c r="J50" s="4">
        <v>13.084</v>
      </c>
      <c r="K50" s="39">
        <v>35.460630537166331</v>
      </c>
      <c r="L50" s="39">
        <v>30.272627783339985</v>
      </c>
      <c r="M50" s="39">
        <v>34.4138116706076</v>
      </c>
      <c r="N50" s="39">
        <v>28.809641938897748</v>
      </c>
      <c r="O50" s="39">
        <v>32.015657040905126</v>
      </c>
      <c r="P50" s="39">
        <v>30.078112495074127</v>
      </c>
      <c r="Q50" s="39">
        <v>34.985437807708607</v>
      </c>
      <c r="R50" s="39">
        <v>31.242668112393417</v>
      </c>
      <c r="S50" s="39">
        <v>36.218740940326271</v>
      </c>
      <c r="T50" s="39">
        <v>34.031882208448316</v>
      </c>
      <c r="U50" s="39">
        <v>38.850824008268773</v>
      </c>
      <c r="V50" s="39">
        <v>32.49740139374218</v>
      </c>
      <c r="W50" s="5">
        <f t="shared" si="9"/>
        <v>33.239786328073201</v>
      </c>
      <c r="X50" s="4">
        <f t="shared" si="10"/>
        <v>0.84749011589434164</v>
      </c>
      <c r="Y50" s="2">
        <f t="shared" si="11"/>
        <v>28.809641938897748</v>
      </c>
      <c r="Z50" s="3">
        <f t="shared" si="12"/>
        <v>31.000158030130059</v>
      </c>
      <c r="AA50" s="2">
        <f t="shared" si="13"/>
        <v>33.264641801095252</v>
      </c>
      <c r="AB50" s="3">
        <f t="shared" si="14"/>
        <v>35.104235990073036</v>
      </c>
      <c r="AC50" s="3">
        <f t="shared" si="15"/>
        <v>38.850824008268773</v>
      </c>
      <c r="AD50" s="3">
        <f t="shared" si="16"/>
        <v>0.28712288674358794</v>
      </c>
      <c r="AE50" s="3">
        <f t="shared" si="17"/>
        <v>-0.45489554981641289</v>
      </c>
    </row>
    <row r="51" spans="2:31" x14ac:dyDescent="0.2">
      <c r="B51" s="1">
        <v>102</v>
      </c>
      <c r="C51" s="1" t="s">
        <v>68</v>
      </c>
      <c r="D51" s="1">
        <v>4</v>
      </c>
      <c r="E51" s="1">
        <v>1</v>
      </c>
      <c r="F51" s="1">
        <v>2</v>
      </c>
      <c r="G51" s="1">
        <v>1</v>
      </c>
      <c r="H51" s="1">
        <v>1</v>
      </c>
      <c r="I51" s="1">
        <v>2</v>
      </c>
      <c r="J51" s="4">
        <v>13.064</v>
      </c>
      <c r="K51" s="39">
        <v>30.952099833325665</v>
      </c>
      <c r="L51" s="39">
        <v>29.786022548640855</v>
      </c>
      <c r="M51" s="39">
        <v>28.221784683231192</v>
      </c>
      <c r="N51" s="39">
        <v>27.534027999811009</v>
      </c>
      <c r="O51" s="39">
        <v>29.980791448134305</v>
      </c>
      <c r="P51" s="39">
        <v>34.031882208448316</v>
      </c>
      <c r="Q51" s="39">
        <v>31.048998194886178</v>
      </c>
      <c r="R51" s="39">
        <v>31.339439668340134</v>
      </c>
      <c r="S51" s="39">
        <v>34.509188364802604</v>
      </c>
      <c r="T51" s="39">
        <v>31.339439668340134</v>
      </c>
      <c r="U51" s="39">
        <v>33.457719959071447</v>
      </c>
      <c r="V51" s="39">
        <v>29.88342813265654</v>
      </c>
      <c r="W51" s="5">
        <f t="shared" si="9"/>
        <v>31.007068559140691</v>
      </c>
      <c r="X51" s="4">
        <f t="shared" si="10"/>
        <v>0.62323895331332224</v>
      </c>
      <c r="Y51" s="2">
        <f t="shared" si="11"/>
        <v>27.534027999811009</v>
      </c>
      <c r="Z51" s="3">
        <f t="shared" si="12"/>
        <v>29.859076736652618</v>
      </c>
      <c r="AA51" s="2">
        <f t="shared" si="13"/>
        <v>31.000549014105921</v>
      </c>
      <c r="AB51" s="3">
        <f t="shared" si="14"/>
        <v>31.869009741022964</v>
      </c>
      <c r="AC51" s="3">
        <f t="shared" si="15"/>
        <v>34.509188364802604</v>
      </c>
      <c r="AD51" s="3">
        <f t="shared" si="16"/>
        <v>0.19079454364103676</v>
      </c>
      <c r="AE51" s="3">
        <f t="shared" si="17"/>
        <v>-0.54591434955784202</v>
      </c>
    </row>
    <row r="52" spans="2:31" x14ac:dyDescent="0.2">
      <c r="B52" s="1">
        <v>103</v>
      </c>
      <c r="C52" s="1" t="s">
        <v>73</v>
      </c>
      <c r="D52" s="1">
        <v>5</v>
      </c>
      <c r="E52" s="1">
        <v>1</v>
      </c>
      <c r="F52" s="1">
        <v>3</v>
      </c>
      <c r="G52" s="1">
        <v>2</v>
      </c>
      <c r="H52" s="1">
        <v>1</v>
      </c>
      <c r="I52" s="1">
        <v>2</v>
      </c>
      <c r="J52" s="4">
        <v>13.045999999999999</v>
      </c>
      <c r="K52" s="39">
        <v>31.532855974619789</v>
      </c>
      <c r="L52" s="39">
        <v>28.515903519485164</v>
      </c>
      <c r="M52" s="39">
        <v>32.112090448548393</v>
      </c>
      <c r="N52" s="39">
        <v>32.689803255111478</v>
      </c>
      <c r="O52" s="39">
        <v>33.840663866141078</v>
      </c>
      <c r="P52" s="39">
        <v>33.457719959071447</v>
      </c>
      <c r="Q52" s="39">
        <v>32.882036042329055</v>
      </c>
      <c r="R52" s="39">
        <v>29.68857469608723</v>
      </c>
      <c r="S52" s="39">
        <v>34.890272456203263</v>
      </c>
      <c r="T52" s="39">
        <v>34.4138116706076</v>
      </c>
      <c r="U52" s="39">
        <v>34.890272456203263</v>
      </c>
      <c r="V52" s="39">
        <v>36.785548464103115</v>
      </c>
      <c r="W52" s="5">
        <f t="shared" si="9"/>
        <v>32.974962734042577</v>
      </c>
      <c r="X52" s="4">
        <f t="shared" si="10"/>
        <v>0.66576393077338458</v>
      </c>
      <c r="Y52" s="2">
        <f t="shared" si="11"/>
        <v>28.515903519485164</v>
      </c>
      <c r="Z52" s="3">
        <f t="shared" si="12"/>
        <v>31.967281830066241</v>
      </c>
      <c r="AA52" s="2">
        <f t="shared" si="13"/>
        <v>33.169878000700251</v>
      </c>
      <c r="AB52" s="3">
        <f t="shared" si="14"/>
        <v>34.532926867006516</v>
      </c>
      <c r="AC52" s="3">
        <f t="shared" si="15"/>
        <v>36.785548464103115</v>
      </c>
      <c r="AD52" s="3">
        <f t="shared" si="16"/>
        <v>-0.48641842989652873</v>
      </c>
      <c r="AE52" s="3">
        <f t="shared" si="17"/>
        <v>0.19720723376421123</v>
      </c>
    </row>
    <row r="53" spans="2:31" x14ac:dyDescent="0.2">
      <c r="B53" s="1">
        <v>104</v>
      </c>
      <c r="C53" s="1" t="s">
        <v>62</v>
      </c>
      <c r="D53" s="1">
        <v>10</v>
      </c>
      <c r="E53" s="1">
        <v>2</v>
      </c>
      <c r="F53" s="1">
        <v>2</v>
      </c>
      <c r="G53" s="1">
        <v>1</v>
      </c>
      <c r="H53" s="1">
        <v>1</v>
      </c>
      <c r="I53" s="1">
        <v>2</v>
      </c>
      <c r="J53" s="4">
        <v>13.028</v>
      </c>
      <c r="K53" s="39">
        <v>39.410530417673193</v>
      </c>
      <c r="L53" s="39">
        <v>38.476841031240539</v>
      </c>
      <c r="M53" s="39">
        <v>36.879868444849841</v>
      </c>
      <c r="N53" s="39">
        <v>33.074099755394911</v>
      </c>
      <c r="O53" s="39">
        <v>37.820743482730784</v>
      </c>
      <c r="P53" s="39">
        <v>37.820743482730784</v>
      </c>
      <c r="Q53" s="39">
        <v>40.247236905469464</v>
      </c>
      <c r="R53" s="39">
        <v>39.96871515971209</v>
      </c>
      <c r="S53" s="39">
        <v>42.186237454212467</v>
      </c>
      <c r="T53" s="39">
        <v>39.317351687450618</v>
      </c>
      <c r="U53" s="39">
        <v>34.127427976795026</v>
      </c>
      <c r="V53" s="39">
        <v>34.890272456203263</v>
      </c>
      <c r="W53" s="5">
        <f t="shared" si="9"/>
        <v>37.851672354538586</v>
      </c>
      <c r="X53" s="4">
        <f t="shared" si="10"/>
        <v>0.78039202519490991</v>
      </c>
      <c r="Y53" s="2">
        <f t="shared" si="11"/>
        <v>33.074099755394911</v>
      </c>
      <c r="Z53" s="3">
        <f t="shared" si="12"/>
        <v>36.382469447688194</v>
      </c>
      <c r="AA53" s="2">
        <f t="shared" si="13"/>
        <v>38.148792256985658</v>
      </c>
      <c r="AB53" s="3">
        <f t="shared" si="14"/>
        <v>39.550076603182916</v>
      </c>
      <c r="AC53" s="3">
        <f t="shared" si="15"/>
        <v>42.186237454212467</v>
      </c>
      <c r="AD53" s="3">
        <f t="shared" si="16"/>
        <v>-0.41820044893419839</v>
      </c>
      <c r="AE53" s="3">
        <f t="shared" si="17"/>
        <v>-0.46968207591683475</v>
      </c>
    </row>
    <row r="54" spans="2:31" x14ac:dyDescent="0.2">
      <c r="B54" s="1">
        <v>105</v>
      </c>
      <c r="C54" s="1" t="s">
        <v>66</v>
      </c>
      <c r="D54" s="1">
        <v>12</v>
      </c>
      <c r="E54" s="1">
        <v>2</v>
      </c>
      <c r="F54" s="1">
        <v>3</v>
      </c>
      <c r="G54" s="1">
        <v>1</v>
      </c>
      <c r="H54" s="1">
        <v>2</v>
      </c>
      <c r="I54" s="1">
        <v>2</v>
      </c>
      <c r="J54" s="4">
        <v>13.01</v>
      </c>
      <c r="K54" s="39">
        <v>42.369931996767953</v>
      </c>
      <c r="L54" s="39">
        <v>43.377229780361063</v>
      </c>
      <c r="M54" s="39">
        <v>41.357519720085172</v>
      </c>
      <c r="N54" s="39">
        <v>40.803139146460083</v>
      </c>
      <c r="O54" s="39">
        <v>40.061598010169149</v>
      </c>
      <c r="P54" s="39">
        <v>41.910378626344752</v>
      </c>
      <c r="Q54" s="39">
        <v>41.172895269695196</v>
      </c>
      <c r="R54" s="39">
        <v>39.875790040717099</v>
      </c>
      <c r="S54" s="39">
        <v>41.541975096323426</v>
      </c>
      <c r="T54" s="39">
        <v>42.002373837505253</v>
      </c>
      <c r="U54" s="39">
        <v>38.289595931498837</v>
      </c>
      <c r="V54" s="39">
        <v>38.476841031240539</v>
      </c>
      <c r="W54" s="5">
        <f t="shared" si="9"/>
        <v>40.936605707264043</v>
      </c>
      <c r="X54" s="4">
        <f t="shared" si="10"/>
        <v>0.4409057797211407</v>
      </c>
      <c r="Y54" s="2">
        <f t="shared" si="11"/>
        <v>38.289595931498837</v>
      </c>
      <c r="Z54" s="3">
        <f t="shared" si="12"/>
        <v>40.015146017806138</v>
      </c>
      <c r="AA54" s="2">
        <f t="shared" si="13"/>
        <v>41.265207494890184</v>
      </c>
      <c r="AB54" s="3">
        <f t="shared" si="14"/>
        <v>41.933377429134879</v>
      </c>
      <c r="AC54" s="3">
        <f t="shared" si="15"/>
        <v>43.377229780361063</v>
      </c>
      <c r="AD54" s="3">
        <f t="shared" si="16"/>
        <v>-0.4705802007829557</v>
      </c>
      <c r="AE54" s="3">
        <f t="shared" si="17"/>
        <v>-0.28017232364188738</v>
      </c>
    </row>
    <row r="55" spans="2:31" x14ac:dyDescent="0.2">
      <c r="B55" s="1">
        <v>106</v>
      </c>
      <c r="C55" s="1" t="s">
        <v>63</v>
      </c>
      <c r="D55" s="1">
        <v>9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4">
        <v>12.992000000000001</v>
      </c>
      <c r="K55" s="39">
        <v>37.538924791014772</v>
      </c>
      <c r="L55" s="39">
        <v>37.068381600729474</v>
      </c>
      <c r="M55" s="39">
        <v>35.650411749183895</v>
      </c>
      <c r="N55" s="39">
        <v>38.944214081181002</v>
      </c>
      <c r="O55" s="39">
        <v>37.538924791014772</v>
      </c>
      <c r="P55" s="39">
        <v>35.365676528350647</v>
      </c>
      <c r="Q55" s="39">
        <v>38.570400178304496</v>
      </c>
      <c r="R55" s="39">
        <v>34.985437807708607</v>
      </c>
      <c r="S55" s="39">
        <v>38.570400178304496</v>
      </c>
      <c r="T55" s="39">
        <v>36.879868444849841</v>
      </c>
      <c r="U55" s="39">
        <v>34.795064836159987</v>
      </c>
      <c r="V55" s="39">
        <v>34.795064836159987</v>
      </c>
      <c r="W55" s="5">
        <f t="shared" si="9"/>
        <v>36.725230818580165</v>
      </c>
      <c r="X55" s="4">
        <f t="shared" si="10"/>
        <v>0.44958425852868072</v>
      </c>
      <c r="Y55" s="2">
        <f t="shared" si="11"/>
        <v>34.795064836159987</v>
      </c>
      <c r="Z55" s="3">
        <f t="shared" si="12"/>
        <v>35.270616848190137</v>
      </c>
      <c r="AA55" s="2">
        <f t="shared" si="13"/>
        <v>36.974125022789657</v>
      </c>
      <c r="AB55" s="3">
        <f t="shared" si="14"/>
        <v>37.796793637837204</v>
      </c>
      <c r="AC55" s="3">
        <f t="shared" si="15"/>
        <v>38.944214081181002</v>
      </c>
      <c r="AD55" s="3">
        <f t="shared" si="16"/>
        <v>3.4923680558697191E-2</v>
      </c>
      <c r="AE55" s="3">
        <f t="shared" si="17"/>
        <v>-1.622960476233767</v>
      </c>
    </row>
    <row r="56" spans="2:31" x14ac:dyDescent="0.2">
      <c r="B56" s="1">
        <v>107</v>
      </c>
      <c r="C56" s="1" t="s">
        <v>62</v>
      </c>
      <c r="D56" s="1">
        <v>10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4">
        <v>12.975</v>
      </c>
      <c r="K56" s="39">
        <v>38.66391705683052</v>
      </c>
      <c r="L56" s="39">
        <v>37.820743482730784</v>
      </c>
      <c r="M56" s="39">
        <v>41.265228629159154</v>
      </c>
      <c r="N56" s="39">
        <v>39.782822653184176</v>
      </c>
      <c r="O56" s="39">
        <v>37.350834320514451</v>
      </c>
      <c r="P56" s="39">
        <v>33.64927644968212</v>
      </c>
      <c r="Q56" s="39">
        <v>34.4138116706076</v>
      </c>
      <c r="R56" s="39">
        <v>39.037561885555306</v>
      </c>
      <c r="S56" s="39">
        <v>37.256725682457386</v>
      </c>
      <c r="T56" s="39">
        <v>34.890272456203263</v>
      </c>
      <c r="U56" s="39">
        <v>36.029466950763862</v>
      </c>
      <c r="V56" s="39">
        <v>41.634139381635649</v>
      </c>
      <c r="W56" s="5">
        <f t="shared" si="9"/>
        <v>37.649566718277022</v>
      </c>
      <c r="X56" s="4">
        <f t="shared" si="10"/>
        <v>0.74589673554846458</v>
      </c>
      <c r="Y56" s="2">
        <f t="shared" si="11"/>
        <v>33.64927644968212</v>
      </c>
      <c r="Z56" s="3">
        <f t="shared" si="12"/>
        <v>35.744668327123712</v>
      </c>
      <c r="AA56" s="2">
        <f t="shared" si="13"/>
        <v>37.585788901622621</v>
      </c>
      <c r="AB56" s="3">
        <f t="shared" si="14"/>
        <v>39.223877077462525</v>
      </c>
      <c r="AC56" s="3">
        <f t="shared" si="15"/>
        <v>41.634139381635649</v>
      </c>
      <c r="AD56" s="3">
        <f t="shared" si="16"/>
        <v>4.5526188119209554E-3</v>
      </c>
      <c r="AE56" s="3">
        <f t="shared" si="17"/>
        <v>-0.92574836393268489</v>
      </c>
    </row>
    <row r="57" spans="2:31" x14ac:dyDescent="0.2">
      <c r="B57" s="1">
        <v>108</v>
      </c>
      <c r="C57" s="1" t="s">
        <v>69</v>
      </c>
      <c r="D57" s="1">
        <v>3</v>
      </c>
      <c r="E57" s="1">
        <v>1</v>
      </c>
      <c r="F57" s="1">
        <v>2</v>
      </c>
      <c r="G57" s="1">
        <v>2</v>
      </c>
      <c r="H57" s="1">
        <v>2</v>
      </c>
      <c r="I57" s="1">
        <v>2</v>
      </c>
      <c r="J57" s="4">
        <v>12.958</v>
      </c>
      <c r="K57" s="39">
        <v>34.4138116706076</v>
      </c>
      <c r="L57" s="39">
        <v>32.689803255111478</v>
      </c>
      <c r="M57" s="39">
        <v>33.64927644968212</v>
      </c>
      <c r="N57" s="39">
        <v>31.62950072495272</v>
      </c>
      <c r="O57" s="39">
        <v>34.4138116706076</v>
      </c>
      <c r="P57" s="39">
        <v>35.555542277444076</v>
      </c>
      <c r="Q57" s="39">
        <v>30.369822024666014</v>
      </c>
      <c r="R57" s="39">
        <v>30.272627783339985</v>
      </c>
      <c r="S57" s="39">
        <v>33.074099755394911</v>
      </c>
      <c r="T57" s="39">
        <v>34.604522790459654</v>
      </c>
      <c r="U57" s="39">
        <v>34.509188364802604</v>
      </c>
      <c r="V57" s="39">
        <v>36.879868444849841</v>
      </c>
      <c r="W57" s="5">
        <f t="shared" si="9"/>
        <v>33.505156267659878</v>
      </c>
      <c r="X57" s="4">
        <f t="shared" si="10"/>
        <v>0.57820115093863245</v>
      </c>
      <c r="Y57" s="2">
        <f t="shared" si="11"/>
        <v>30.272627783339985</v>
      </c>
      <c r="Z57" s="3">
        <f t="shared" si="12"/>
        <v>32.424727622571787</v>
      </c>
      <c r="AA57" s="2">
        <f t="shared" si="13"/>
        <v>34.03154406014486</v>
      </c>
      <c r="AB57" s="3">
        <f t="shared" si="14"/>
        <v>34.533021971216868</v>
      </c>
      <c r="AC57" s="3">
        <f t="shared" si="15"/>
        <v>36.879868444849841</v>
      </c>
      <c r="AD57" s="3">
        <f t="shared" si="16"/>
        <v>-0.28404006511825231</v>
      </c>
      <c r="AE57" s="3">
        <f t="shared" si="17"/>
        <v>-0.4118495688532775</v>
      </c>
    </row>
    <row r="58" spans="2:31" x14ac:dyDescent="0.2">
      <c r="B58" s="1">
        <v>201</v>
      </c>
      <c r="C58" s="1" t="s">
        <v>66</v>
      </c>
      <c r="D58" s="1">
        <v>12</v>
      </c>
      <c r="E58" s="1">
        <v>2</v>
      </c>
      <c r="F58" s="1">
        <v>3</v>
      </c>
      <c r="G58" s="1">
        <v>1</v>
      </c>
      <c r="H58" s="1">
        <v>1</v>
      </c>
      <c r="I58" s="1">
        <v>2</v>
      </c>
      <c r="J58" s="4">
        <v>13.105</v>
      </c>
      <c r="K58" s="39">
        <v>37.820743482730784</v>
      </c>
      <c r="L58" s="39">
        <v>40.432706726618058</v>
      </c>
      <c r="M58" s="39">
        <v>39.689812997113329</v>
      </c>
      <c r="N58" s="39">
        <v>37.632906623458041</v>
      </c>
      <c r="O58" s="39">
        <v>36.97414615705862</v>
      </c>
      <c r="P58" s="39">
        <v>35.934766553175777</v>
      </c>
      <c r="Q58" s="39">
        <v>36.97414615705862</v>
      </c>
      <c r="R58" s="39">
        <v>38.757391666818613</v>
      </c>
      <c r="S58" s="39">
        <v>38.195909978821092</v>
      </c>
      <c r="T58" s="39">
        <v>35.555542277444076</v>
      </c>
      <c r="U58" s="39">
        <v>37.444900690033577</v>
      </c>
      <c r="V58" s="39">
        <v>38.383239615638651</v>
      </c>
      <c r="W58" s="5">
        <f t="shared" si="9"/>
        <v>37.816351077164107</v>
      </c>
      <c r="X58" s="4">
        <f t="shared" si="10"/>
        <v>0.4077659289552823</v>
      </c>
      <c r="Y58" s="2">
        <f t="shared" si="11"/>
        <v>35.555542277444076</v>
      </c>
      <c r="Z58" s="3">
        <f t="shared" si="12"/>
        <v>36.97414615705862</v>
      </c>
      <c r="AA58" s="2">
        <f t="shared" si="13"/>
        <v>37.726825053094416</v>
      </c>
      <c r="AB58" s="3">
        <f t="shared" si="14"/>
        <v>38.476777628433638</v>
      </c>
      <c r="AC58" s="3">
        <f t="shared" si="15"/>
        <v>40.432706726618058</v>
      </c>
      <c r="AD58" s="3">
        <f t="shared" si="16"/>
        <v>0.2355802508051498</v>
      </c>
      <c r="AE58" s="3">
        <f t="shared" si="17"/>
        <v>-8.4321336536581804E-2</v>
      </c>
    </row>
    <row r="59" spans="2:31" x14ac:dyDescent="0.2">
      <c r="B59" s="1">
        <v>202</v>
      </c>
      <c r="C59" s="1" t="s">
        <v>63</v>
      </c>
      <c r="D59" s="1">
        <v>9</v>
      </c>
      <c r="E59" s="1">
        <v>2</v>
      </c>
      <c r="F59" s="1">
        <v>2</v>
      </c>
      <c r="G59" s="1">
        <v>2</v>
      </c>
      <c r="H59" s="1">
        <v>1</v>
      </c>
      <c r="I59" s="1">
        <v>2</v>
      </c>
      <c r="J59" s="4">
        <v>13.12</v>
      </c>
      <c r="K59" s="39">
        <v>34.795064836159987</v>
      </c>
      <c r="L59" s="39">
        <v>37.726846187363371</v>
      </c>
      <c r="M59" s="39">
        <v>32.689803255111478</v>
      </c>
      <c r="N59" s="39">
        <v>35.175641705105484</v>
      </c>
      <c r="O59" s="39">
        <v>34.222931476603819</v>
      </c>
      <c r="P59" s="39">
        <v>34.031882208448316</v>
      </c>
      <c r="Q59" s="39">
        <v>34.4138116706076</v>
      </c>
      <c r="R59" s="39">
        <v>36.59678169699589</v>
      </c>
      <c r="S59" s="39">
        <v>34.890272456203263</v>
      </c>
      <c r="T59" s="39">
        <v>31.919181364723919</v>
      </c>
      <c r="U59" s="39">
        <v>32.785940782989229</v>
      </c>
      <c r="V59" s="39">
        <v>31.82266342000478</v>
      </c>
      <c r="W59" s="5">
        <f t="shared" si="9"/>
        <v>34.255901755026429</v>
      </c>
      <c r="X59" s="4">
        <f t="shared" si="10"/>
        <v>0.51593389017125468</v>
      </c>
      <c r="Y59" s="2">
        <f t="shared" si="11"/>
        <v>31.82266342000478</v>
      </c>
      <c r="Z59" s="3">
        <f t="shared" si="12"/>
        <v>32.761906401019793</v>
      </c>
      <c r="AA59" s="2">
        <f t="shared" si="13"/>
        <v>34.31837157360571</v>
      </c>
      <c r="AB59" s="3">
        <f t="shared" si="14"/>
        <v>34.961614768428817</v>
      </c>
      <c r="AC59" s="3">
        <f t="shared" si="15"/>
        <v>37.726846187363371</v>
      </c>
      <c r="AD59" s="3">
        <f t="shared" si="16"/>
        <v>0.41357815628833899</v>
      </c>
      <c r="AE59" s="3">
        <f t="shared" si="17"/>
        <v>-0.14636428635082366</v>
      </c>
    </row>
    <row r="60" spans="2:31" x14ac:dyDescent="0.2">
      <c r="B60" s="1">
        <v>203</v>
      </c>
      <c r="C60" s="1" t="s">
        <v>69</v>
      </c>
      <c r="D60" s="1">
        <v>3</v>
      </c>
      <c r="E60" s="1">
        <v>1</v>
      </c>
      <c r="F60" s="1">
        <v>2</v>
      </c>
      <c r="G60" s="1">
        <v>2</v>
      </c>
      <c r="H60" s="1">
        <v>1</v>
      </c>
      <c r="I60" s="1">
        <v>2</v>
      </c>
      <c r="J60" s="4">
        <v>13.135</v>
      </c>
      <c r="K60" s="39">
        <v>33.26599439430904</v>
      </c>
      <c r="L60" s="39">
        <v>32.593623458695795</v>
      </c>
      <c r="M60" s="39">
        <v>31.532855974619789</v>
      </c>
      <c r="N60" s="39">
        <v>32.978089033130949</v>
      </c>
      <c r="O60" s="39">
        <v>34.509188364802604</v>
      </c>
      <c r="P60" s="39">
        <v>32.785940782989229</v>
      </c>
      <c r="Q60" s="39">
        <v>31.82266342000478</v>
      </c>
      <c r="R60" s="39">
        <v>30.272627783339985</v>
      </c>
      <c r="S60" s="39">
        <v>35.840023887049746</v>
      </c>
      <c r="T60" s="39">
        <v>34.318392707874672</v>
      </c>
      <c r="U60" s="39">
        <v>35.460630537166331</v>
      </c>
      <c r="V60" s="39">
        <v>31.919181364723919</v>
      </c>
      <c r="W60" s="5">
        <f t="shared" si="9"/>
        <v>33.108267642392235</v>
      </c>
      <c r="X60" s="4">
        <f t="shared" si="10"/>
        <v>0.48008160668160244</v>
      </c>
      <c r="Y60" s="2">
        <f t="shared" si="11"/>
        <v>30.272627783339985</v>
      </c>
      <c r="Z60" s="3">
        <f t="shared" si="12"/>
        <v>31.895051878544134</v>
      </c>
      <c r="AA60" s="2">
        <f t="shared" si="13"/>
        <v>32.882014908060086</v>
      </c>
      <c r="AB60" s="3">
        <f t="shared" si="14"/>
        <v>34.366091622106651</v>
      </c>
      <c r="AC60" s="3">
        <f t="shared" si="15"/>
        <v>35.840023887049746</v>
      </c>
      <c r="AD60" s="3">
        <f t="shared" si="16"/>
        <v>0.17169458385610253</v>
      </c>
      <c r="AE60" s="3">
        <f t="shared" si="17"/>
        <v>-0.57390151631107322</v>
      </c>
    </row>
    <row r="61" spans="2:31" x14ac:dyDescent="0.2">
      <c r="B61" s="1">
        <v>204</v>
      </c>
      <c r="C61" s="1" t="s">
        <v>67</v>
      </c>
      <c r="D61" s="1">
        <v>11</v>
      </c>
      <c r="E61" s="1">
        <v>2</v>
      </c>
      <c r="F61" s="1">
        <v>3</v>
      </c>
      <c r="G61" s="1">
        <v>2</v>
      </c>
      <c r="H61" s="1">
        <v>1</v>
      </c>
      <c r="I61" s="1">
        <v>2</v>
      </c>
      <c r="J61" s="4">
        <v>13.154</v>
      </c>
      <c r="K61" s="39">
        <v>41.541975096323426</v>
      </c>
      <c r="L61" s="39">
        <v>39.22413068869011</v>
      </c>
      <c r="M61" s="39">
        <v>38.66391705683052</v>
      </c>
      <c r="N61" s="39">
        <v>39.689812997113329</v>
      </c>
      <c r="O61" s="39">
        <v>38.476841031240539</v>
      </c>
      <c r="P61" s="39">
        <v>34.985437807708607</v>
      </c>
      <c r="Q61" s="39">
        <v>38.289595931498837</v>
      </c>
      <c r="R61" s="39">
        <v>36.407845855736944</v>
      </c>
      <c r="S61" s="39">
        <v>38.944214081181002</v>
      </c>
      <c r="T61" s="39">
        <v>37.632906623458041</v>
      </c>
      <c r="U61" s="39">
        <v>41.818341146646318</v>
      </c>
      <c r="V61" s="39">
        <v>37.820743482730784</v>
      </c>
      <c r="W61" s="5">
        <f t="shared" si="9"/>
        <v>38.624646816596538</v>
      </c>
      <c r="X61" s="4">
        <f t="shared" si="10"/>
        <v>0.55206277500417422</v>
      </c>
      <c r="Y61" s="2">
        <f t="shared" si="11"/>
        <v>34.985437807708607</v>
      </c>
      <c r="Z61" s="3">
        <f t="shared" si="12"/>
        <v>37.773784267912596</v>
      </c>
      <c r="AA61" s="2">
        <f t="shared" si="13"/>
        <v>38.570379044035533</v>
      </c>
      <c r="AB61" s="3">
        <f t="shared" si="14"/>
        <v>39.340551265795916</v>
      </c>
      <c r="AC61" s="3">
        <f t="shared" si="15"/>
        <v>41.818341146646318</v>
      </c>
      <c r="AD61" s="3">
        <f t="shared" si="16"/>
        <v>-2.755414512623108E-2</v>
      </c>
      <c r="AE61" s="3">
        <f t="shared" si="17"/>
        <v>0.4296997904160138</v>
      </c>
    </row>
    <row r="62" spans="2:31" x14ac:dyDescent="0.2">
      <c r="B62" s="1">
        <v>205</v>
      </c>
      <c r="C62" s="1" t="s">
        <v>71</v>
      </c>
      <c r="D62" s="1">
        <v>1</v>
      </c>
      <c r="E62" s="1">
        <v>1</v>
      </c>
      <c r="F62" s="1">
        <v>1</v>
      </c>
      <c r="G62" s="1">
        <v>2</v>
      </c>
      <c r="H62" s="1">
        <v>2</v>
      </c>
      <c r="I62" s="1">
        <v>2</v>
      </c>
      <c r="J62" s="4">
        <v>13.167999999999999</v>
      </c>
      <c r="K62" s="39">
        <v>32.593623458695795</v>
      </c>
      <c r="L62" s="39">
        <v>33.361878310959206</v>
      </c>
      <c r="M62" s="39">
        <v>33.26599439430904</v>
      </c>
      <c r="N62" s="39">
        <v>31.339439668340134</v>
      </c>
      <c r="O62" s="39">
        <v>29.200701405250165</v>
      </c>
      <c r="P62" s="39">
        <v>34.699814947578794</v>
      </c>
      <c r="Q62" s="39">
        <v>30.272627783339985</v>
      </c>
      <c r="R62" s="39">
        <v>31.62950072495272</v>
      </c>
      <c r="S62" s="39">
        <v>31.532855974619789</v>
      </c>
      <c r="T62" s="39">
        <v>33.074099755394911</v>
      </c>
      <c r="U62" s="39">
        <v>35.934766553175777</v>
      </c>
      <c r="V62" s="39">
        <v>37.538924791014772</v>
      </c>
      <c r="W62" s="5">
        <f t="shared" si="9"/>
        <v>32.870352313969256</v>
      </c>
      <c r="X62" s="4">
        <f t="shared" si="10"/>
        <v>0.67943923319893507</v>
      </c>
      <c r="Y62" s="2">
        <f t="shared" si="11"/>
        <v>29.200701405250165</v>
      </c>
      <c r="Z62" s="3">
        <f t="shared" si="12"/>
        <v>31.484501898049874</v>
      </c>
      <c r="AA62" s="2">
        <f t="shared" si="13"/>
        <v>32.83386160704535</v>
      </c>
      <c r="AB62" s="3">
        <f t="shared" si="14"/>
        <v>33.696362470114103</v>
      </c>
      <c r="AC62" s="3">
        <f t="shared" si="15"/>
        <v>37.538924791014772</v>
      </c>
      <c r="AD62" s="3">
        <f t="shared" si="16"/>
        <v>0.51861579202248953</v>
      </c>
      <c r="AE62" s="3">
        <f t="shared" si="17"/>
        <v>0.1385314512071254</v>
      </c>
    </row>
    <row r="63" spans="2:31" x14ac:dyDescent="0.2">
      <c r="B63" s="1">
        <v>206</v>
      </c>
      <c r="C63" s="1" t="s">
        <v>64</v>
      </c>
      <c r="D63" s="1">
        <v>8</v>
      </c>
      <c r="E63" s="1">
        <v>2</v>
      </c>
      <c r="F63" s="1">
        <v>1</v>
      </c>
      <c r="G63" s="1">
        <v>1</v>
      </c>
      <c r="H63" s="1">
        <v>2</v>
      </c>
      <c r="I63" s="1">
        <v>2</v>
      </c>
      <c r="J63" s="4">
        <v>13.183999999999999</v>
      </c>
      <c r="K63" s="39">
        <v>36.785548464103115</v>
      </c>
      <c r="L63" s="39">
        <v>33.074099755394911</v>
      </c>
      <c r="M63" s="39">
        <v>38.850824008268773</v>
      </c>
      <c r="N63" s="39">
        <v>34.031882208448316</v>
      </c>
      <c r="O63" s="39">
        <v>38.383239615638651</v>
      </c>
      <c r="P63" s="39">
        <v>35.175641705105484</v>
      </c>
      <c r="Q63" s="39">
        <v>35.934766553175777</v>
      </c>
      <c r="R63" s="39">
        <v>35.934766553175777</v>
      </c>
      <c r="S63" s="39">
        <v>33.744991292180572</v>
      </c>
      <c r="T63" s="39">
        <v>36.218740940326271</v>
      </c>
      <c r="U63" s="39">
        <v>34.985437807708607</v>
      </c>
      <c r="V63" s="39">
        <v>35.460630537166331</v>
      </c>
      <c r="W63" s="5">
        <f t="shared" si="9"/>
        <v>35.715047453391044</v>
      </c>
      <c r="X63" s="4">
        <f t="shared" si="10"/>
        <v>0.50019211879046532</v>
      </c>
      <c r="Y63" s="2">
        <f t="shared" si="11"/>
        <v>33.074099755394911</v>
      </c>
      <c r="Z63" s="3">
        <f t="shared" si="12"/>
        <v>34.747048907893536</v>
      </c>
      <c r="AA63" s="2">
        <f t="shared" si="13"/>
        <v>35.69769854517105</v>
      </c>
      <c r="AB63" s="3">
        <f t="shared" si="14"/>
        <v>36.360442821270482</v>
      </c>
      <c r="AC63" s="3">
        <f t="shared" si="15"/>
        <v>38.850824008268773</v>
      </c>
      <c r="AD63" s="3">
        <f t="shared" si="16"/>
        <v>0.41541890594929293</v>
      </c>
      <c r="AE63" s="3">
        <f t="shared" si="17"/>
        <v>-0.17232115572195505</v>
      </c>
    </row>
    <row r="64" spans="2:31" x14ac:dyDescent="0.2">
      <c r="B64" s="1">
        <v>207</v>
      </c>
      <c r="C64" s="1" t="s">
        <v>68</v>
      </c>
      <c r="D64" s="1">
        <v>4</v>
      </c>
      <c r="E64" s="1">
        <v>1</v>
      </c>
      <c r="F64" s="1">
        <v>2</v>
      </c>
      <c r="G64" s="1">
        <v>1</v>
      </c>
      <c r="H64" s="1">
        <v>2</v>
      </c>
      <c r="I64" s="1">
        <v>2</v>
      </c>
      <c r="J64" s="4">
        <v>13.202999999999999</v>
      </c>
      <c r="K64" s="39">
        <v>32.401137060250626</v>
      </c>
      <c r="L64" s="39">
        <v>35.365676528350647</v>
      </c>
      <c r="M64" s="39">
        <v>39.22413068869011</v>
      </c>
      <c r="N64" s="39">
        <v>31.048998194886178</v>
      </c>
      <c r="O64" s="39">
        <v>29.102999941468958</v>
      </c>
      <c r="P64" s="39">
        <v>28.90747020829275</v>
      </c>
      <c r="Q64" s="39">
        <v>31.145854287908758</v>
      </c>
      <c r="R64" s="39">
        <v>30.369822024666014</v>
      </c>
      <c r="S64" s="39">
        <v>32.208481587653736</v>
      </c>
      <c r="T64" s="39">
        <v>32.30483045822114</v>
      </c>
      <c r="U64" s="39">
        <v>36.313314532300573</v>
      </c>
      <c r="V64" s="39">
        <v>33.840663866141078</v>
      </c>
      <c r="W64" s="5">
        <f t="shared" si="9"/>
        <v>32.686114948235883</v>
      </c>
      <c r="X64" s="4">
        <f t="shared" si="10"/>
        <v>0.88079088209113687</v>
      </c>
      <c r="Y64" s="2">
        <f t="shared" si="11"/>
        <v>28.90747020829275</v>
      </c>
      <c r="Z64" s="3">
        <f t="shared" si="12"/>
        <v>30.879204152331138</v>
      </c>
      <c r="AA64" s="2">
        <f t="shared" si="13"/>
        <v>32.256656022937435</v>
      </c>
      <c r="AB64" s="3">
        <f t="shared" si="14"/>
        <v>34.221917031693472</v>
      </c>
      <c r="AC64" s="3">
        <f t="shared" si="15"/>
        <v>39.22413068869011</v>
      </c>
      <c r="AD64" s="3">
        <f t="shared" si="16"/>
        <v>0.87319792366761106</v>
      </c>
      <c r="AE64" s="3">
        <f t="shared" si="17"/>
        <v>0.44663365437813152</v>
      </c>
    </row>
    <row r="65" spans="2:31" x14ac:dyDescent="0.2">
      <c r="B65" s="1">
        <v>208</v>
      </c>
      <c r="C65" s="1" t="s">
        <v>70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2</v>
      </c>
      <c r="J65" s="4">
        <v>13.218999999999999</v>
      </c>
      <c r="K65" s="39">
        <v>38.102181757605408</v>
      </c>
      <c r="L65" s="39">
        <v>33.26599439430904</v>
      </c>
      <c r="M65" s="39">
        <v>34.031882208448316</v>
      </c>
      <c r="N65" s="39">
        <v>33.744991292180572</v>
      </c>
      <c r="O65" s="39">
        <v>30.661151137416528</v>
      </c>
      <c r="P65" s="39">
        <v>36.029466950763862</v>
      </c>
      <c r="Q65" s="39">
        <v>31.532855974619789</v>
      </c>
      <c r="R65" s="39">
        <v>34.4138116706076</v>
      </c>
      <c r="S65" s="39">
        <v>33.074099755394911</v>
      </c>
      <c r="T65" s="39">
        <v>35.840023887049746</v>
      </c>
      <c r="U65" s="39">
        <v>32.49740139374218</v>
      </c>
      <c r="V65" s="39">
        <v>33.64927644968212</v>
      </c>
      <c r="W65" s="5">
        <f t="shared" si="9"/>
        <v>33.903594739318343</v>
      </c>
      <c r="X65" s="4">
        <f t="shared" si="10"/>
        <v>0.58691317531123788</v>
      </c>
      <c r="Y65" s="2">
        <f t="shared" si="11"/>
        <v>30.661151137416528</v>
      </c>
      <c r="Z65" s="3">
        <f t="shared" si="12"/>
        <v>32.929925164981725</v>
      </c>
      <c r="AA65" s="2">
        <f t="shared" si="13"/>
        <v>33.697133870931346</v>
      </c>
      <c r="AB65" s="3">
        <f t="shared" si="14"/>
        <v>34.770364724718135</v>
      </c>
      <c r="AC65" s="3">
        <f t="shared" si="15"/>
        <v>38.102181757605408</v>
      </c>
      <c r="AD65" s="3">
        <f t="shared" si="16"/>
        <v>0.51886271798098216</v>
      </c>
      <c r="AE65" s="3">
        <f t="shared" si="17"/>
        <v>0.50376398334312267</v>
      </c>
    </row>
    <row r="66" spans="2:31" x14ac:dyDescent="0.2">
      <c r="B66" s="1">
        <v>301</v>
      </c>
      <c r="C66" s="1" t="s">
        <v>62</v>
      </c>
      <c r="D66" s="1">
        <v>10</v>
      </c>
      <c r="E66" s="1">
        <v>2</v>
      </c>
      <c r="F66" s="1">
        <v>2</v>
      </c>
      <c r="G66" s="1">
        <v>1</v>
      </c>
      <c r="H66" s="1">
        <v>3</v>
      </c>
      <c r="I66" s="1">
        <v>2</v>
      </c>
      <c r="J66" s="4">
        <v>13.369</v>
      </c>
      <c r="K66" s="39">
        <v>33.074099755394911</v>
      </c>
      <c r="L66" s="39">
        <v>34.318392707874672</v>
      </c>
      <c r="M66" s="39">
        <v>36.407845855736944</v>
      </c>
      <c r="N66" s="39">
        <v>39.317351687450618</v>
      </c>
      <c r="O66" s="39">
        <v>34.604522790459654</v>
      </c>
      <c r="P66" s="39">
        <v>38.476841031240539</v>
      </c>
      <c r="Q66" s="39">
        <v>33.744991292180572</v>
      </c>
      <c r="R66" s="39">
        <v>37.632906623458041</v>
      </c>
      <c r="S66" s="39">
        <v>34.604522790459654</v>
      </c>
      <c r="T66" s="39">
        <v>34.318392707874672</v>
      </c>
      <c r="U66" s="39">
        <v>35.74523895238579</v>
      </c>
      <c r="V66" s="39">
        <v>40.525378234385464</v>
      </c>
      <c r="W66" s="5">
        <f t="shared" si="9"/>
        <v>36.064207035741795</v>
      </c>
      <c r="X66" s="4">
        <f t="shared" si="10"/>
        <v>0.69447518225767713</v>
      </c>
      <c r="Y66" s="2">
        <f t="shared" si="11"/>
        <v>33.074099755394911</v>
      </c>
      <c r="Z66" s="3">
        <f t="shared" si="12"/>
        <v>34.318392707874672</v>
      </c>
      <c r="AA66" s="2">
        <f t="shared" si="13"/>
        <v>35.174880871422722</v>
      </c>
      <c r="AB66" s="3">
        <f t="shared" si="14"/>
        <v>37.843890225403669</v>
      </c>
      <c r="AC66" s="3">
        <f t="shared" si="15"/>
        <v>40.525378234385464</v>
      </c>
      <c r="AD66" s="3">
        <f t="shared" si="16"/>
        <v>0.66642252816819592</v>
      </c>
      <c r="AE66" s="3">
        <f t="shared" si="17"/>
        <v>-0.81283355644481725</v>
      </c>
    </row>
    <row r="67" spans="2:31" x14ac:dyDescent="0.2">
      <c r="B67" s="1">
        <v>302</v>
      </c>
      <c r="C67" s="1" t="s">
        <v>68</v>
      </c>
      <c r="D67" s="1">
        <v>4</v>
      </c>
      <c r="E67" s="1">
        <v>1</v>
      </c>
      <c r="F67" s="1">
        <v>2</v>
      </c>
      <c r="G67" s="1">
        <v>1</v>
      </c>
      <c r="H67" s="1">
        <v>3</v>
      </c>
      <c r="I67" s="1">
        <v>2</v>
      </c>
      <c r="J67" s="4">
        <v>13.385</v>
      </c>
      <c r="K67" s="39">
        <v>33.936294171563667</v>
      </c>
      <c r="L67" s="39">
        <v>31.726103206747716</v>
      </c>
      <c r="M67" s="39">
        <v>30.952099833325665</v>
      </c>
      <c r="N67" s="39">
        <v>33.553519338645749</v>
      </c>
      <c r="O67" s="39">
        <v>31.048998194886178</v>
      </c>
      <c r="P67" s="39">
        <v>33.074099755394911</v>
      </c>
      <c r="Q67" s="39">
        <v>32.882036042329055</v>
      </c>
      <c r="R67" s="39">
        <v>31.048998194886178</v>
      </c>
      <c r="S67" s="39">
        <v>31.82266342000478</v>
      </c>
      <c r="T67" s="39">
        <v>30.661151137416528</v>
      </c>
      <c r="U67" s="39">
        <v>35.175641705105484</v>
      </c>
      <c r="V67" s="39">
        <v>30.75817630459084</v>
      </c>
      <c r="W67" s="5">
        <f t="shared" si="9"/>
        <v>32.219981775408066</v>
      </c>
      <c r="X67" s="4">
        <f t="shared" si="10"/>
        <v>0.425924533516852</v>
      </c>
      <c r="Y67" s="2">
        <f t="shared" si="11"/>
        <v>30.661151137416528</v>
      </c>
      <c r="Z67" s="3">
        <f t="shared" si="12"/>
        <v>31.024773604496048</v>
      </c>
      <c r="AA67" s="2">
        <f t="shared" si="13"/>
        <v>31.774383313376248</v>
      </c>
      <c r="AB67" s="3">
        <f t="shared" si="14"/>
        <v>33.193954651207619</v>
      </c>
      <c r="AC67" s="3">
        <f t="shared" si="15"/>
        <v>35.175641705105484</v>
      </c>
      <c r="AD67" s="3">
        <f t="shared" si="16"/>
        <v>0.74098315433188411</v>
      </c>
      <c r="AE67" s="3">
        <f t="shared" si="17"/>
        <v>-0.51610049820487447</v>
      </c>
    </row>
    <row r="68" spans="2:31" x14ac:dyDescent="0.2">
      <c r="B68" s="1">
        <v>303</v>
      </c>
      <c r="C68" s="1" t="s">
        <v>64</v>
      </c>
      <c r="D68" s="1">
        <v>8</v>
      </c>
      <c r="E68" s="1">
        <v>2</v>
      </c>
      <c r="F68" s="1">
        <v>1</v>
      </c>
      <c r="G68" s="1">
        <v>1</v>
      </c>
      <c r="H68" s="1">
        <v>3</v>
      </c>
      <c r="I68" s="1">
        <v>2</v>
      </c>
      <c r="J68" s="4">
        <v>13.404999999999999</v>
      </c>
      <c r="K68" s="39">
        <v>36.59678169699589</v>
      </c>
      <c r="L68" s="39">
        <v>35.74523895238579</v>
      </c>
      <c r="M68" s="39">
        <v>35.270680250997025</v>
      </c>
      <c r="N68" s="39">
        <v>34.509188364802604</v>
      </c>
      <c r="O68" s="39">
        <v>34.985437807708607</v>
      </c>
      <c r="P68" s="39">
        <v>35.934766553175777</v>
      </c>
      <c r="Q68" s="39">
        <v>33.64927644968212</v>
      </c>
      <c r="R68" s="39">
        <v>33.074099755394911</v>
      </c>
      <c r="S68" s="39">
        <v>38.944214081181002</v>
      </c>
      <c r="T68" s="39">
        <v>37.538924791014772</v>
      </c>
      <c r="U68" s="39">
        <v>32.401137060250626</v>
      </c>
      <c r="V68" s="39">
        <v>31.532855974619789</v>
      </c>
      <c r="W68" s="5">
        <f t="shared" si="9"/>
        <v>35.015216811517412</v>
      </c>
      <c r="X68" s="4">
        <f t="shared" si="10"/>
        <v>0.61915243044232426</v>
      </c>
      <c r="Y68" s="2">
        <f t="shared" si="11"/>
        <v>31.532855974619789</v>
      </c>
      <c r="Z68" s="3">
        <f t="shared" si="12"/>
        <v>33.505482276110314</v>
      </c>
      <c r="AA68" s="2">
        <f t="shared" si="13"/>
        <v>35.128059029352812</v>
      </c>
      <c r="AB68" s="3">
        <f t="shared" si="14"/>
        <v>36.100270339130802</v>
      </c>
      <c r="AC68" s="3">
        <f t="shared" si="15"/>
        <v>38.944214081181002</v>
      </c>
      <c r="AD68" s="3">
        <f t="shared" si="16"/>
        <v>0.13024520908611109</v>
      </c>
      <c r="AE68" s="3">
        <f t="shared" si="17"/>
        <v>-0.3278882746006504</v>
      </c>
    </row>
    <row r="69" spans="2:31" x14ac:dyDescent="0.2">
      <c r="B69" s="1">
        <v>304</v>
      </c>
      <c r="C69" s="1" t="s">
        <v>70</v>
      </c>
      <c r="D69" s="1">
        <v>2</v>
      </c>
      <c r="E69" s="1">
        <v>1</v>
      </c>
      <c r="F69" s="1">
        <v>1</v>
      </c>
      <c r="G69" s="1">
        <v>1</v>
      </c>
      <c r="H69" s="1">
        <v>3</v>
      </c>
      <c r="I69" s="1">
        <v>2</v>
      </c>
      <c r="J69" s="4">
        <v>13.422000000000001</v>
      </c>
      <c r="K69" s="39">
        <v>28.417906175938434</v>
      </c>
      <c r="L69" s="39">
        <v>31.82266342000478</v>
      </c>
      <c r="M69" s="39">
        <v>35.270680250997025</v>
      </c>
      <c r="N69" s="39">
        <v>31.242668112393417</v>
      </c>
      <c r="O69" s="39">
        <v>32.49740139374218</v>
      </c>
      <c r="P69" s="39">
        <v>33.361878310959206</v>
      </c>
      <c r="Q69" s="39">
        <v>30.369822024666014</v>
      </c>
      <c r="R69" s="39">
        <v>32.30483045822114</v>
      </c>
      <c r="S69" s="39">
        <v>31.145854287908758</v>
      </c>
      <c r="T69" s="39">
        <v>30.952099833325665</v>
      </c>
      <c r="U69" s="39">
        <v>29.00525620914982</v>
      </c>
      <c r="V69" s="39">
        <v>31.145854287908758</v>
      </c>
      <c r="W69" s="5">
        <f t="shared" si="9"/>
        <v>31.461409563767941</v>
      </c>
      <c r="X69" s="4">
        <f t="shared" si="10"/>
        <v>0.52965845820697421</v>
      </c>
      <c r="Y69" s="2">
        <f t="shared" si="11"/>
        <v>28.417906175938434</v>
      </c>
      <c r="Z69" s="3">
        <f t="shared" si="12"/>
        <v>30.806530381160751</v>
      </c>
      <c r="AA69" s="2">
        <f t="shared" si="13"/>
        <v>31.194261200151089</v>
      </c>
      <c r="AB69" s="3">
        <f t="shared" si="14"/>
        <v>32.352973192101402</v>
      </c>
      <c r="AC69" s="3">
        <f t="shared" si="15"/>
        <v>35.270680250997025</v>
      </c>
      <c r="AD69" s="3">
        <f t="shared" si="16"/>
        <v>0.34232789691539162</v>
      </c>
      <c r="AE69" s="3">
        <f t="shared" si="17"/>
        <v>0.81892295908436807</v>
      </c>
    </row>
    <row r="70" spans="2:31" x14ac:dyDescent="0.2">
      <c r="B70" s="1">
        <v>305</v>
      </c>
      <c r="C70" s="1" t="s">
        <v>67</v>
      </c>
      <c r="D70" s="1">
        <v>11</v>
      </c>
      <c r="E70" s="1">
        <v>2</v>
      </c>
      <c r="F70" s="1">
        <v>3</v>
      </c>
      <c r="G70" s="1">
        <v>2</v>
      </c>
      <c r="H70" s="1">
        <v>4</v>
      </c>
      <c r="I70" s="1">
        <v>2</v>
      </c>
      <c r="J70" s="4">
        <v>13.443</v>
      </c>
      <c r="K70" s="39">
        <v>36.97414615705862</v>
      </c>
      <c r="L70" s="39">
        <v>32.882036042329055</v>
      </c>
      <c r="M70" s="39">
        <v>36.785548464103115</v>
      </c>
      <c r="N70" s="39">
        <v>39.22413068869011</v>
      </c>
      <c r="O70" s="39">
        <v>39.96871515971209</v>
      </c>
      <c r="P70" s="39">
        <v>35.934766553175777</v>
      </c>
      <c r="Q70" s="39">
        <v>40.154438592088276</v>
      </c>
      <c r="R70" s="39">
        <v>35.840023887049746</v>
      </c>
      <c r="S70" s="39">
        <v>34.890272456203263</v>
      </c>
      <c r="T70" s="39">
        <v>35.555542277444076</v>
      </c>
      <c r="U70" s="39">
        <v>33.553519338645749</v>
      </c>
      <c r="V70" s="39">
        <v>34.985437807708607</v>
      </c>
      <c r="W70" s="5">
        <f t="shared" si="9"/>
        <v>36.395714785350712</v>
      </c>
      <c r="X70" s="4">
        <f t="shared" si="10"/>
        <v>0.68139358380333093</v>
      </c>
      <c r="Y70" s="2">
        <f t="shared" si="11"/>
        <v>32.882036042329055</v>
      </c>
      <c r="Z70" s="3">
        <f t="shared" si="12"/>
        <v>34.961646469832274</v>
      </c>
      <c r="AA70" s="2">
        <f t="shared" si="13"/>
        <v>35.887395220112765</v>
      </c>
      <c r="AB70" s="3">
        <f t="shared" si="14"/>
        <v>37.536642289966494</v>
      </c>
      <c r="AC70" s="3">
        <f t="shared" si="15"/>
        <v>40.154438592088276</v>
      </c>
      <c r="AD70" s="3">
        <f t="shared" si="16"/>
        <v>0.39964905442842297</v>
      </c>
      <c r="AE70" s="3">
        <f t="shared" si="17"/>
        <v>-0.71290934721432153</v>
      </c>
    </row>
    <row r="71" spans="2:31" x14ac:dyDescent="0.2">
      <c r="B71" s="1">
        <v>306</v>
      </c>
      <c r="C71" s="1" t="s">
        <v>68</v>
      </c>
      <c r="D71" s="1">
        <v>4</v>
      </c>
      <c r="E71" s="1">
        <v>1</v>
      </c>
      <c r="F71" s="1">
        <v>2</v>
      </c>
      <c r="G71" s="1">
        <v>1</v>
      </c>
      <c r="H71" s="1">
        <v>4</v>
      </c>
      <c r="I71" s="1">
        <v>2</v>
      </c>
      <c r="J71" s="4">
        <v>13.458</v>
      </c>
      <c r="K71" s="39">
        <v>32.593623458695795</v>
      </c>
      <c r="L71" s="39">
        <v>30.078112495074127</v>
      </c>
      <c r="M71" s="39">
        <v>34.4138116706076</v>
      </c>
      <c r="N71" s="39">
        <v>33.26599439430904</v>
      </c>
      <c r="O71" s="39">
        <v>38.102181757605408</v>
      </c>
      <c r="P71" s="39">
        <v>32.208481587653736</v>
      </c>
      <c r="Q71" s="39">
        <v>32.978089033130949</v>
      </c>
      <c r="R71" s="39">
        <v>30.75817630459084</v>
      </c>
      <c r="S71" s="39">
        <v>30.078112495074127</v>
      </c>
      <c r="T71" s="39">
        <v>30.661151137416528</v>
      </c>
      <c r="U71" s="39">
        <v>33.457719959071447</v>
      </c>
      <c r="V71" s="39">
        <v>32.785940782989229</v>
      </c>
      <c r="W71" s="5">
        <f t="shared" si="9"/>
        <v>32.61511625635157</v>
      </c>
      <c r="X71" s="4">
        <f t="shared" si="10"/>
        <v>0.64515996459110403</v>
      </c>
      <c r="Y71" s="2">
        <f t="shared" si="11"/>
        <v>30.078112495074127</v>
      </c>
      <c r="Z71" s="3">
        <f t="shared" si="12"/>
        <v>30.733920012797263</v>
      </c>
      <c r="AA71" s="2">
        <f t="shared" si="13"/>
        <v>32.689782120842509</v>
      </c>
      <c r="AB71" s="3">
        <f t="shared" si="14"/>
        <v>33.313925785499642</v>
      </c>
      <c r="AC71" s="3">
        <f t="shared" si="15"/>
        <v>38.102181757605408</v>
      </c>
      <c r="AD71" s="3">
        <f t="shared" si="16"/>
        <v>1.2251169369842949</v>
      </c>
      <c r="AE71" s="3">
        <f t="shared" si="17"/>
        <v>2.4534415338191922</v>
      </c>
    </row>
    <row r="72" spans="2:31" x14ac:dyDescent="0.2">
      <c r="B72" s="1">
        <v>307</v>
      </c>
      <c r="C72" s="1" t="s">
        <v>63</v>
      </c>
      <c r="D72" s="1">
        <v>9</v>
      </c>
      <c r="E72" s="1">
        <v>2</v>
      </c>
      <c r="F72" s="1">
        <v>2</v>
      </c>
      <c r="G72" s="1">
        <v>2</v>
      </c>
      <c r="H72" s="1">
        <v>4</v>
      </c>
      <c r="I72" s="1">
        <v>2</v>
      </c>
      <c r="J72" s="4">
        <v>13.475</v>
      </c>
      <c r="K72" s="39">
        <v>31.242668112393417</v>
      </c>
      <c r="L72" s="39">
        <v>31.339439668340134</v>
      </c>
      <c r="M72" s="39">
        <v>32.785940782989229</v>
      </c>
      <c r="N72" s="39">
        <v>31.919181364723919</v>
      </c>
      <c r="O72" s="39">
        <v>39.22413068869011</v>
      </c>
      <c r="P72" s="39">
        <v>32.689803255111478</v>
      </c>
      <c r="Q72" s="39">
        <v>33.457719959071447</v>
      </c>
      <c r="R72" s="39">
        <v>39.503666879357837</v>
      </c>
      <c r="S72" s="39">
        <v>36.029466950763862</v>
      </c>
      <c r="T72" s="39">
        <v>35.080560890676004</v>
      </c>
      <c r="U72" s="39">
        <v>32.49740139374218</v>
      </c>
      <c r="V72" s="39">
        <v>33.64927644968212</v>
      </c>
      <c r="W72" s="5">
        <f t="shared" si="9"/>
        <v>34.118271366295147</v>
      </c>
      <c r="X72" s="4">
        <f t="shared" si="10"/>
        <v>0.81453221491925976</v>
      </c>
      <c r="Y72" s="2">
        <f t="shared" si="11"/>
        <v>31.242668112393417</v>
      </c>
      <c r="Z72" s="3">
        <f t="shared" si="12"/>
        <v>32.352846386487613</v>
      </c>
      <c r="AA72" s="2">
        <f t="shared" si="13"/>
        <v>33.121830371030342</v>
      </c>
      <c r="AB72" s="3">
        <f t="shared" si="14"/>
        <v>35.31778740569797</v>
      </c>
      <c r="AC72" s="3">
        <f t="shared" si="15"/>
        <v>39.503666879357837</v>
      </c>
      <c r="AD72" s="3">
        <f t="shared" si="16"/>
        <v>1.1235655580323216</v>
      </c>
      <c r="AE72" s="3">
        <f t="shared" si="17"/>
        <v>0.19485030273917392</v>
      </c>
    </row>
    <row r="73" spans="2:31" x14ac:dyDescent="0.2">
      <c r="B73" s="1">
        <v>308</v>
      </c>
      <c r="C73" s="1" t="s">
        <v>73</v>
      </c>
      <c r="D73" s="1">
        <v>5</v>
      </c>
      <c r="E73" s="1">
        <v>1</v>
      </c>
      <c r="F73" s="1">
        <v>3</v>
      </c>
      <c r="G73" s="1">
        <v>2</v>
      </c>
      <c r="H73" s="1">
        <v>4</v>
      </c>
      <c r="I73" s="1">
        <v>2</v>
      </c>
      <c r="J73" s="4">
        <v>13.491</v>
      </c>
      <c r="K73" s="39">
        <v>32.689803255111478</v>
      </c>
      <c r="L73" s="39">
        <v>30.75817630459084</v>
      </c>
      <c r="M73" s="39">
        <v>35.840023887049746</v>
      </c>
      <c r="N73" s="39">
        <v>31.436168955748933</v>
      </c>
      <c r="O73" s="39">
        <v>31.62950072495272</v>
      </c>
      <c r="P73" s="39">
        <v>31.436168955748933</v>
      </c>
      <c r="Q73" s="39">
        <v>32.882036042329055</v>
      </c>
      <c r="R73" s="39">
        <v>30.369822024666014</v>
      </c>
      <c r="S73" s="39">
        <v>39.037561885555306</v>
      </c>
      <c r="T73" s="39">
        <v>31.82266342000478</v>
      </c>
      <c r="U73" s="39">
        <v>32.401137060250626</v>
      </c>
      <c r="V73" s="39">
        <v>29.786022548640855</v>
      </c>
      <c r="W73" s="5">
        <f t="shared" si="9"/>
        <v>32.507423755387443</v>
      </c>
      <c r="X73" s="4">
        <f t="shared" si="10"/>
        <v>0.74112870888076587</v>
      </c>
      <c r="Y73" s="2">
        <f t="shared" si="11"/>
        <v>29.786022548640855</v>
      </c>
      <c r="Z73" s="3">
        <f t="shared" si="12"/>
        <v>31.26667079295941</v>
      </c>
      <c r="AA73" s="2">
        <f t="shared" si="13"/>
        <v>31.72608207247875</v>
      </c>
      <c r="AB73" s="3">
        <f t="shared" si="14"/>
        <v>32.737861451915876</v>
      </c>
      <c r="AC73" s="3">
        <f t="shared" si="15"/>
        <v>39.037561885555306</v>
      </c>
      <c r="AD73" s="3">
        <f t="shared" si="16"/>
        <v>1.7844504331022382</v>
      </c>
      <c r="AE73" s="3">
        <f t="shared" si="17"/>
        <v>3.3306754236526039</v>
      </c>
    </row>
    <row r="74" spans="2:31" x14ac:dyDescent="0.2">
      <c r="B74" s="1">
        <v>401</v>
      </c>
      <c r="C74" s="1" t="s">
        <v>65</v>
      </c>
      <c r="D74" s="1">
        <v>7</v>
      </c>
      <c r="E74" s="1">
        <v>2</v>
      </c>
      <c r="F74" s="1">
        <v>1</v>
      </c>
      <c r="G74" s="1">
        <v>2</v>
      </c>
      <c r="H74" s="1">
        <v>3</v>
      </c>
      <c r="I74" s="1">
        <v>2</v>
      </c>
      <c r="J74" s="4">
        <v>13.657999999999999</v>
      </c>
      <c r="K74" s="39">
        <v>39.22413068869011</v>
      </c>
      <c r="L74" s="39">
        <v>36.879868444849841</v>
      </c>
      <c r="M74" s="39">
        <v>34.985437807708607</v>
      </c>
      <c r="N74" s="39">
        <v>38.66391705683052</v>
      </c>
      <c r="O74" s="39">
        <v>39.22413068869011</v>
      </c>
      <c r="P74" s="39">
        <v>30.564083701704291</v>
      </c>
      <c r="Q74" s="39">
        <v>33.26599439430904</v>
      </c>
      <c r="R74" s="39">
        <v>33.64927644968212</v>
      </c>
      <c r="S74" s="39">
        <v>39.782822653184176</v>
      </c>
      <c r="T74" s="39">
        <v>33.361878310959206</v>
      </c>
      <c r="U74" s="39">
        <v>32.30483045822114</v>
      </c>
      <c r="V74" s="39">
        <v>36.59678169699589</v>
      </c>
      <c r="W74" s="5">
        <f t="shared" ref="W74:W85" si="18">AVERAGE(K74:V74)</f>
        <v>35.708596029318748</v>
      </c>
      <c r="X74" s="4">
        <f t="shared" ref="X74:X85" si="19">STDEV(K74:V74)/SQRT(COUNT(K74:V74))</f>
        <v>0.89823368165704875</v>
      </c>
      <c r="Y74" s="2">
        <f t="shared" ref="Y74:Y85" si="20">MIN(K74:V74)</f>
        <v>30.564083701704291</v>
      </c>
      <c r="Z74" s="3">
        <f t="shared" ref="Z74:Z85" si="21">QUARTILE(K74:V74,1)</f>
        <v>33.337907331796664</v>
      </c>
      <c r="AA74" s="2">
        <f t="shared" ref="AA74:AA85" si="22">MEDIAN(K74:V74)</f>
        <v>35.791109752352249</v>
      </c>
      <c r="AB74" s="3">
        <f t="shared" ref="AB74:AB85" si="23">QUARTILE(K74:V74,3)</f>
        <v>38.80397046479542</v>
      </c>
      <c r="AC74" s="3">
        <f t="shared" ref="AC74:AC85" si="24">MAX(K74:V74)</f>
        <v>39.782822653184176</v>
      </c>
      <c r="AD74" s="3">
        <f t="shared" ref="AD74:AD85" si="25">SKEW(K74:V74)</f>
        <v>-0.10701389994892668</v>
      </c>
      <c r="AE74" s="3">
        <f t="shared" ref="AE74:AE85" si="26">KURT(K74:V74)</f>
        <v>-1.379576113571801</v>
      </c>
    </row>
    <row r="75" spans="2:31" x14ac:dyDescent="0.2">
      <c r="B75" s="1">
        <v>402</v>
      </c>
      <c r="C75" s="1" t="s">
        <v>63</v>
      </c>
      <c r="D75" s="1">
        <v>9</v>
      </c>
      <c r="E75" s="1">
        <v>2</v>
      </c>
      <c r="F75" s="1">
        <v>2</v>
      </c>
      <c r="G75" s="1">
        <v>2</v>
      </c>
      <c r="H75" s="1">
        <v>3</v>
      </c>
      <c r="I75" s="1">
        <v>2</v>
      </c>
      <c r="J75" s="4">
        <v>13.641</v>
      </c>
      <c r="K75" s="39">
        <v>33.553519338645749</v>
      </c>
      <c r="L75" s="39">
        <v>36.218740940326271</v>
      </c>
      <c r="M75" s="39">
        <v>36.691186214818472</v>
      </c>
      <c r="N75" s="39">
        <v>34.222931476603819</v>
      </c>
      <c r="O75" s="39">
        <v>35.175641705105484</v>
      </c>
      <c r="P75" s="39">
        <v>33.744991292180572</v>
      </c>
      <c r="Q75" s="39">
        <v>34.985437807708607</v>
      </c>
      <c r="R75" s="39">
        <v>33.936294171563667</v>
      </c>
      <c r="S75" s="39">
        <v>40.432706726618058</v>
      </c>
      <c r="T75" s="39">
        <v>35.175641705105484</v>
      </c>
      <c r="U75" s="39">
        <v>32.882036042329055</v>
      </c>
      <c r="V75" s="39">
        <v>33.840663866141078</v>
      </c>
      <c r="W75" s="5">
        <f t="shared" si="18"/>
        <v>35.071649273928855</v>
      </c>
      <c r="X75" s="4">
        <f t="shared" si="19"/>
        <v>0.58447426298766281</v>
      </c>
      <c r="Y75" s="2">
        <f t="shared" si="20"/>
        <v>32.882036042329055</v>
      </c>
      <c r="Z75" s="3">
        <f t="shared" si="21"/>
        <v>33.81674572265095</v>
      </c>
      <c r="AA75" s="2">
        <f t="shared" si="22"/>
        <v>34.604184642156213</v>
      </c>
      <c r="AB75" s="3">
        <f t="shared" si="23"/>
        <v>35.436416513910679</v>
      </c>
      <c r="AC75" s="3">
        <f t="shared" si="24"/>
        <v>40.432706726618058</v>
      </c>
      <c r="AD75" s="3">
        <f t="shared" si="25"/>
        <v>1.8344621565205597</v>
      </c>
      <c r="AE75" s="3">
        <f t="shared" si="26"/>
        <v>4.1296077528470452</v>
      </c>
    </row>
    <row r="76" spans="2:31" x14ac:dyDescent="0.2">
      <c r="B76" s="1">
        <v>403</v>
      </c>
      <c r="C76" s="1" t="s">
        <v>72</v>
      </c>
      <c r="D76" s="1">
        <v>6</v>
      </c>
      <c r="E76" s="1">
        <v>1</v>
      </c>
      <c r="F76" s="1">
        <v>3</v>
      </c>
      <c r="G76" s="1">
        <v>1</v>
      </c>
      <c r="H76" s="1">
        <v>3</v>
      </c>
      <c r="I76" s="1">
        <v>2</v>
      </c>
      <c r="J76" s="4">
        <v>13.619</v>
      </c>
      <c r="K76" s="39">
        <v>31.532855974619789</v>
      </c>
      <c r="L76" s="39">
        <v>28.123660534070677</v>
      </c>
      <c r="M76" s="39">
        <v>32.785940782989229</v>
      </c>
      <c r="N76" s="39">
        <v>34.031882208448316</v>
      </c>
      <c r="O76" s="39">
        <v>35.74523895238579</v>
      </c>
      <c r="P76" s="39">
        <v>32.30483045822114</v>
      </c>
      <c r="Q76" s="39">
        <v>33.074099755394911</v>
      </c>
      <c r="R76" s="39">
        <v>41.818341146646318</v>
      </c>
      <c r="S76" s="39">
        <v>30.078112495074127</v>
      </c>
      <c r="T76" s="39">
        <v>31.532855974619789</v>
      </c>
      <c r="U76" s="39">
        <v>30.564083701704291</v>
      </c>
      <c r="V76" s="39">
        <v>29.786022548640855</v>
      </c>
      <c r="W76" s="5">
        <f t="shared" si="18"/>
        <v>32.614827044401274</v>
      </c>
      <c r="X76" s="4">
        <f t="shared" si="19"/>
        <v>1.0224858610294776</v>
      </c>
      <c r="Y76" s="2">
        <f t="shared" si="20"/>
        <v>28.123660534070677</v>
      </c>
      <c r="Z76" s="3">
        <f t="shared" si="21"/>
        <v>30.442590900046749</v>
      </c>
      <c r="AA76" s="2">
        <f t="shared" si="22"/>
        <v>31.918843216420463</v>
      </c>
      <c r="AB76" s="3">
        <f t="shared" si="23"/>
        <v>33.313545368658261</v>
      </c>
      <c r="AC76" s="3">
        <f t="shared" si="24"/>
        <v>41.818341146646318</v>
      </c>
      <c r="AD76" s="3">
        <f t="shared" si="25"/>
        <v>1.6508819963843635</v>
      </c>
      <c r="AE76" s="3">
        <f t="shared" si="26"/>
        <v>3.7833389178899353</v>
      </c>
    </row>
    <row r="77" spans="2:31" x14ac:dyDescent="0.2">
      <c r="B77" s="1">
        <v>404</v>
      </c>
      <c r="C77" s="1" t="s">
        <v>69</v>
      </c>
      <c r="D77" s="1">
        <v>3</v>
      </c>
      <c r="E77" s="1">
        <v>1</v>
      </c>
      <c r="F77" s="1">
        <v>2</v>
      </c>
      <c r="G77" s="1">
        <v>2</v>
      </c>
      <c r="H77" s="1">
        <v>3</v>
      </c>
      <c r="I77" s="1">
        <v>2</v>
      </c>
      <c r="J77" s="4">
        <v>13.598000000000001</v>
      </c>
      <c r="K77" s="39">
        <v>31.62950072495272</v>
      </c>
      <c r="L77" s="39">
        <v>32.112090448548393</v>
      </c>
      <c r="M77" s="39">
        <v>31.339439668340134</v>
      </c>
      <c r="N77" s="39">
        <v>30.078112495074127</v>
      </c>
      <c r="O77" s="39">
        <v>29.493552185366198</v>
      </c>
      <c r="P77" s="39">
        <v>31.436168955748933</v>
      </c>
      <c r="Q77" s="39">
        <v>31.242668112393417</v>
      </c>
      <c r="R77" s="39">
        <v>35.840023887049746</v>
      </c>
      <c r="S77" s="39">
        <v>31.048998194886178</v>
      </c>
      <c r="T77" s="39">
        <v>32.401137060250626</v>
      </c>
      <c r="U77" s="39">
        <v>29.786022548640855</v>
      </c>
      <c r="V77" s="39">
        <v>30.175391273476016</v>
      </c>
      <c r="W77" s="5">
        <f t="shared" si="18"/>
        <v>31.381925462893946</v>
      </c>
      <c r="X77" s="4">
        <f t="shared" si="19"/>
        <v>0.48391836263124788</v>
      </c>
      <c r="Y77" s="2">
        <f t="shared" si="20"/>
        <v>29.493552185366198</v>
      </c>
      <c r="Z77" s="3">
        <f t="shared" si="21"/>
        <v>30.151071578875545</v>
      </c>
      <c r="AA77" s="2">
        <f t="shared" si="22"/>
        <v>31.291053890366776</v>
      </c>
      <c r="AB77" s="3">
        <f t="shared" si="23"/>
        <v>31.75014815585164</v>
      </c>
      <c r="AC77" s="3">
        <f t="shared" si="24"/>
        <v>35.840023887049746</v>
      </c>
      <c r="AD77" s="3">
        <f t="shared" si="25"/>
        <v>1.7427655206165573</v>
      </c>
      <c r="AE77" s="3">
        <f t="shared" si="26"/>
        <v>4.3593400056632294</v>
      </c>
    </row>
    <row r="78" spans="2:31" x14ac:dyDescent="0.2">
      <c r="B78" s="1">
        <v>405</v>
      </c>
      <c r="C78" s="1" t="s">
        <v>72</v>
      </c>
      <c r="D78" s="1">
        <v>6</v>
      </c>
      <c r="E78" s="1">
        <v>1</v>
      </c>
      <c r="F78" s="1">
        <v>3</v>
      </c>
      <c r="G78" s="1">
        <v>1</v>
      </c>
      <c r="H78" s="1">
        <v>4</v>
      </c>
      <c r="I78" s="1">
        <v>2</v>
      </c>
      <c r="J78" s="4">
        <v>13.573</v>
      </c>
      <c r="K78" s="39">
        <v>32.978089033130949</v>
      </c>
      <c r="L78" s="39">
        <v>30.564083701704291</v>
      </c>
      <c r="M78" s="39">
        <v>34.890272456203263</v>
      </c>
      <c r="N78" s="39">
        <v>32.208481587653736</v>
      </c>
      <c r="O78" s="39">
        <v>30.855159203227217</v>
      </c>
      <c r="P78" s="39">
        <v>36.124125079814036</v>
      </c>
      <c r="Q78" s="39">
        <v>35.080560890676004</v>
      </c>
      <c r="R78" s="39">
        <v>32.208481587653736</v>
      </c>
      <c r="S78" s="39">
        <v>31.919181364723919</v>
      </c>
      <c r="T78" s="39">
        <v>32.785940782989229</v>
      </c>
      <c r="U78" s="39">
        <v>33.361878310959206</v>
      </c>
      <c r="V78" s="39">
        <v>30.466973997454122</v>
      </c>
      <c r="W78" s="5">
        <f t="shared" si="18"/>
        <v>32.786935666349144</v>
      </c>
      <c r="X78" s="4">
        <f t="shared" si="19"/>
        <v>0.52704108446481424</v>
      </c>
      <c r="Y78" s="2">
        <f t="shared" si="20"/>
        <v>30.466973997454122</v>
      </c>
      <c r="Z78" s="3">
        <f t="shared" si="21"/>
        <v>31.653175824349745</v>
      </c>
      <c r="AA78" s="2">
        <f t="shared" si="22"/>
        <v>32.497211185321483</v>
      </c>
      <c r="AB78" s="3">
        <f t="shared" si="23"/>
        <v>33.743976847270218</v>
      </c>
      <c r="AC78" s="3">
        <f t="shared" si="24"/>
        <v>36.124125079814036</v>
      </c>
      <c r="AD78" s="3">
        <f t="shared" si="25"/>
        <v>0.48426742187127625</v>
      </c>
      <c r="AE78" s="3">
        <f t="shared" si="26"/>
        <v>-0.6368488426550698</v>
      </c>
    </row>
    <row r="79" spans="2:31" x14ac:dyDescent="0.2">
      <c r="B79" s="1">
        <v>406</v>
      </c>
      <c r="C79" s="1" t="s">
        <v>69</v>
      </c>
      <c r="D79" s="1">
        <v>3</v>
      </c>
      <c r="E79" s="1">
        <v>1</v>
      </c>
      <c r="F79" s="1">
        <v>2</v>
      </c>
      <c r="G79" s="1">
        <v>2</v>
      </c>
      <c r="H79" s="1">
        <v>4</v>
      </c>
      <c r="I79" s="1">
        <v>2</v>
      </c>
      <c r="J79" s="4">
        <v>13.553000000000001</v>
      </c>
      <c r="K79" s="39">
        <v>32.882036042329055</v>
      </c>
      <c r="L79" s="39">
        <v>32.401137060250626</v>
      </c>
      <c r="M79" s="39">
        <v>32.978089033130949</v>
      </c>
      <c r="N79" s="39">
        <v>33.457719959071447</v>
      </c>
      <c r="O79" s="39">
        <v>32.785940782989229</v>
      </c>
      <c r="P79" s="39">
        <v>35.650411749183895</v>
      </c>
      <c r="Q79" s="39">
        <v>32.689803255111478</v>
      </c>
      <c r="R79" s="39">
        <v>31.82266342000478</v>
      </c>
      <c r="S79" s="39">
        <v>34.222931476603819</v>
      </c>
      <c r="T79" s="39">
        <v>35.460630537166331</v>
      </c>
      <c r="U79" s="39">
        <v>31.82266342000478</v>
      </c>
      <c r="V79" s="39">
        <v>29.68857469608723</v>
      </c>
      <c r="W79" s="5">
        <f t="shared" si="18"/>
        <v>32.988550119327805</v>
      </c>
      <c r="X79" s="4">
        <f t="shared" si="19"/>
        <v>0.46900714768680563</v>
      </c>
      <c r="Y79" s="2">
        <f t="shared" si="20"/>
        <v>29.68857469608723</v>
      </c>
      <c r="Z79" s="3">
        <f t="shared" si="21"/>
        <v>32.256518650189165</v>
      </c>
      <c r="AA79" s="2">
        <f t="shared" si="22"/>
        <v>32.833988412659139</v>
      </c>
      <c r="AB79" s="3">
        <f t="shared" si="23"/>
        <v>33.649022838454542</v>
      </c>
      <c r="AC79" s="3">
        <f t="shared" si="24"/>
        <v>35.650411749183895</v>
      </c>
      <c r="AD79" s="3">
        <f t="shared" si="25"/>
        <v>-8.6299189685953404E-2</v>
      </c>
      <c r="AE79" s="3">
        <f t="shared" si="26"/>
        <v>0.76873389488182298</v>
      </c>
    </row>
    <row r="80" spans="2:31" x14ac:dyDescent="0.2">
      <c r="B80" s="1">
        <v>407</v>
      </c>
      <c r="C80" s="1" t="s">
        <v>65</v>
      </c>
      <c r="D80" s="1">
        <v>7</v>
      </c>
      <c r="E80" s="1">
        <v>2</v>
      </c>
      <c r="F80" s="1">
        <v>1</v>
      </c>
      <c r="G80" s="1">
        <v>2</v>
      </c>
      <c r="H80" s="1">
        <v>4</v>
      </c>
      <c r="I80" s="1">
        <v>2</v>
      </c>
      <c r="J80" s="4">
        <v>13.534000000000001</v>
      </c>
      <c r="K80" s="39">
        <v>34.031882208448316</v>
      </c>
      <c r="L80" s="39">
        <v>31.339439668340134</v>
      </c>
      <c r="M80" s="39">
        <v>35.840023887049746</v>
      </c>
      <c r="N80" s="39">
        <v>33.553519338645749</v>
      </c>
      <c r="O80" s="39">
        <v>36.691186214818472</v>
      </c>
      <c r="P80" s="39">
        <v>35.555542277444076</v>
      </c>
      <c r="Q80" s="39">
        <v>34.222931476603819</v>
      </c>
      <c r="R80" s="39">
        <v>34.985437807708607</v>
      </c>
      <c r="S80" s="39">
        <v>33.553519338645749</v>
      </c>
      <c r="T80" s="39">
        <v>35.270680250997025</v>
      </c>
      <c r="U80" s="39">
        <v>35.270680250997025</v>
      </c>
      <c r="V80" s="39">
        <v>34.222931476603819</v>
      </c>
      <c r="W80" s="5">
        <f t="shared" si="18"/>
        <v>34.544814516358549</v>
      </c>
      <c r="X80" s="4">
        <f t="shared" si="19"/>
        <v>0.40136167390855731</v>
      </c>
      <c r="Y80" s="2">
        <f t="shared" si="20"/>
        <v>31.339439668340134</v>
      </c>
      <c r="Z80" s="3">
        <f t="shared" si="21"/>
        <v>33.912291490997674</v>
      </c>
      <c r="AA80" s="2">
        <f t="shared" si="22"/>
        <v>34.604184642156213</v>
      </c>
      <c r="AB80" s="3">
        <f t="shared" si="23"/>
        <v>35.341895757608789</v>
      </c>
      <c r="AC80" s="3">
        <f t="shared" si="24"/>
        <v>36.691186214818472</v>
      </c>
      <c r="AD80" s="3">
        <f t="shared" si="25"/>
        <v>-0.8580266636270959</v>
      </c>
      <c r="AE80" s="3">
        <f t="shared" si="26"/>
        <v>1.5859867377754222</v>
      </c>
    </row>
    <row r="81" spans="2:31" x14ac:dyDescent="0.2">
      <c r="B81" s="1">
        <v>408</v>
      </c>
      <c r="C81" s="1" t="s">
        <v>62</v>
      </c>
      <c r="D81" s="1">
        <v>10</v>
      </c>
      <c r="E81" s="1">
        <v>2</v>
      </c>
      <c r="F81" s="1">
        <v>2</v>
      </c>
      <c r="G81" s="1">
        <v>1</v>
      </c>
      <c r="H81" s="1">
        <v>4</v>
      </c>
      <c r="I81" s="1">
        <v>2</v>
      </c>
      <c r="J81" s="4">
        <v>13.516999999999999</v>
      </c>
      <c r="K81" s="39">
        <v>36.502334910635376</v>
      </c>
      <c r="L81" s="39">
        <v>38.944214081181002</v>
      </c>
      <c r="M81" s="39">
        <v>37.256725682457386</v>
      </c>
      <c r="N81" s="39">
        <v>31.726103206747716</v>
      </c>
      <c r="O81" s="39">
        <v>35.555542277444076</v>
      </c>
      <c r="P81" s="39">
        <v>31.145854287908758</v>
      </c>
      <c r="Q81" s="39">
        <v>33.840663866141078</v>
      </c>
      <c r="R81" s="39">
        <v>34.127427976795026</v>
      </c>
      <c r="S81" s="39">
        <v>33.64927644968212</v>
      </c>
      <c r="T81" s="39">
        <v>39.410530417673193</v>
      </c>
      <c r="U81" s="39">
        <v>35.555542277444076</v>
      </c>
      <c r="V81" s="39">
        <v>35.175641705105484</v>
      </c>
      <c r="W81" s="5">
        <f t="shared" si="18"/>
        <v>35.240821428267942</v>
      </c>
      <c r="X81" s="4">
        <f t="shared" si="19"/>
        <v>0.73759603843658006</v>
      </c>
      <c r="Y81" s="2">
        <f t="shared" si="20"/>
        <v>31.145854287908758</v>
      </c>
      <c r="Z81" s="3">
        <f t="shared" si="21"/>
        <v>33.79281701202634</v>
      </c>
      <c r="AA81" s="2">
        <f t="shared" si="22"/>
        <v>35.365591991274783</v>
      </c>
      <c r="AB81" s="3">
        <f t="shared" si="23"/>
        <v>36.69093260359088</v>
      </c>
      <c r="AC81" s="3">
        <f t="shared" si="24"/>
        <v>39.410530417673193</v>
      </c>
      <c r="AD81" s="3">
        <f t="shared" si="25"/>
        <v>8.7036239564464102E-2</v>
      </c>
      <c r="AE81" s="3">
        <f t="shared" si="26"/>
        <v>-0.50248336378460134</v>
      </c>
    </row>
    <row r="82" spans="2:31" x14ac:dyDescent="0.2">
      <c r="B82" s="1">
        <v>902</v>
      </c>
      <c r="C82" s="1" t="s">
        <v>119</v>
      </c>
      <c r="D82" s="1">
        <v>22</v>
      </c>
      <c r="E82" s="1">
        <v>4</v>
      </c>
      <c r="F82" s="1">
        <v>2</v>
      </c>
      <c r="G82" s="1">
        <v>2</v>
      </c>
      <c r="H82" s="1">
        <v>1</v>
      </c>
      <c r="I82" s="1">
        <v>2</v>
      </c>
      <c r="J82" s="4">
        <v>13.337999999999999</v>
      </c>
      <c r="K82" s="39">
        <v>45.82800421649457</v>
      </c>
      <c r="L82" s="39">
        <v>43.559825340930338</v>
      </c>
      <c r="M82" s="39">
        <v>43.833401667749776</v>
      </c>
      <c r="N82" s="39">
        <v>44.833260188667005</v>
      </c>
      <c r="O82" s="39">
        <v>46.008317276015568</v>
      </c>
      <c r="P82" s="39">
        <v>44.561078723599294</v>
      </c>
      <c r="Q82" s="39">
        <v>44.833260188667005</v>
      </c>
      <c r="R82" s="39">
        <v>43.10301942547266</v>
      </c>
      <c r="S82" s="39">
        <v>46.458360225404263</v>
      </c>
      <c r="T82" s="39">
        <v>43.10301942547266</v>
      </c>
      <c r="U82" s="39">
        <v>45.647522082821844</v>
      </c>
      <c r="V82" s="39">
        <v>45.376481868278283</v>
      </c>
      <c r="W82" s="5">
        <f t="shared" si="18"/>
        <v>44.762129219131104</v>
      </c>
      <c r="X82" s="4">
        <f t="shared" si="19"/>
        <v>0.33247834443973456</v>
      </c>
      <c r="Y82" s="2">
        <f t="shared" si="20"/>
        <v>43.10301942547266</v>
      </c>
      <c r="Z82" s="3">
        <f t="shared" si="21"/>
        <v>43.765007586044916</v>
      </c>
      <c r="AA82" s="2">
        <f t="shared" si="22"/>
        <v>44.833260188667005</v>
      </c>
      <c r="AB82" s="3">
        <f t="shared" si="23"/>
        <v>45.692642616240022</v>
      </c>
      <c r="AC82" s="3">
        <f t="shared" si="24"/>
        <v>46.458360225404263</v>
      </c>
      <c r="AD82" s="3">
        <f t="shared" si="25"/>
        <v>-0.1947728288960005</v>
      </c>
      <c r="AE82" s="3">
        <f t="shared" si="26"/>
        <v>-1.2816755447302981</v>
      </c>
    </row>
    <row r="83" spans="2:31" x14ac:dyDescent="0.2">
      <c r="B83" s="1">
        <v>904</v>
      </c>
      <c r="C83" s="1" t="s">
        <v>120</v>
      </c>
      <c r="D83" s="1">
        <v>21</v>
      </c>
      <c r="E83" s="1">
        <v>3</v>
      </c>
      <c r="F83" s="1">
        <v>2</v>
      </c>
      <c r="G83" s="1">
        <v>2</v>
      </c>
      <c r="H83" s="1">
        <v>1</v>
      </c>
      <c r="I83" s="1">
        <v>2</v>
      </c>
      <c r="J83" s="4">
        <v>13.311</v>
      </c>
      <c r="K83" s="39">
        <v>44.923902806613711</v>
      </c>
      <c r="L83" s="39">
        <v>43.468548694914666</v>
      </c>
      <c r="M83" s="39">
        <v>41.910378626344752</v>
      </c>
      <c r="N83" s="39">
        <v>41.726261398409946</v>
      </c>
      <c r="O83" s="39">
        <v>42.094326780127822</v>
      </c>
      <c r="P83" s="39">
        <v>44.742575302182367</v>
      </c>
      <c r="Q83" s="39">
        <v>42.369931996767953</v>
      </c>
      <c r="R83" s="39">
        <v>44.197578343977995</v>
      </c>
      <c r="S83" s="39">
        <v>41.265228629159154</v>
      </c>
      <c r="T83" s="39">
        <v>43.285868597269527</v>
      </c>
      <c r="U83" s="39">
        <v>43.559825340930338</v>
      </c>
      <c r="V83" s="39">
        <v>43.924509239613727</v>
      </c>
      <c r="W83" s="5">
        <f t="shared" si="18"/>
        <v>43.122411313025992</v>
      </c>
      <c r="X83" s="4">
        <f t="shared" si="19"/>
        <v>0.35353278587977333</v>
      </c>
      <c r="Y83" s="2">
        <f t="shared" si="20"/>
        <v>41.265228629159154</v>
      </c>
      <c r="Z83" s="3">
        <f t="shared" si="21"/>
        <v>42.048339741682057</v>
      </c>
      <c r="AA83" s="2">
        <f t="shared" si="22"/>
        <v>43.3772086460921</v>
      </c>
      <c r="AB83" s="3">
        <f t="shared" si="23"/>
        <v>43.99277651570479</v>
      </c>
      <c r="AC83" s="3">
        <f t="shared" si="24"/>
        <v>44.923902806613711</v>
      </c>
      <c r="AD83" s="3">
        <f t="shared" si="25"/>
        <v>-2.5688798975958826E-2</v>
      </c>
      <c r="AE83" s="3">
        <f t="shared" si="26"/>
        <v>-1.3352605247264466</v>
      </c>
    </row>
    <row r="84" spans="2:31" x14ac:dyDescent="0.2">
      <c r="B84" s="1">
        <v>906</v>
      </c>
      <c r="C84" s="1" t="s">
        <v>119</v>
      </c>
      <c r="D84" s="1">
        <v>22</v>
      </c>
      <c r="E84" s="1">
        <v>4</v>
      </c>
      <c r="F84" s="1">
        <v>2</v>
      </c>
      <c r="G84" s="1">
        <v>2</v>
      </c>
      <c r="H84" s="1">
        <v>2</v>
      </c>
      <c r="I84" s="1">
        <v>2</v>
      </c>
      <c r="J84" s="4">
        <v>13.282999999999999</v>
      </c>
      <c r="K84" s="39">
        <v>40.803139146460083</v>
      </c>
      <c r="L84" s="39">
        <v>42.553457465171711</v>
      </c>
      <c r="M84" s="39">
        <v>46.727878772582308</v>
      </c>
      <c r="N84" s="39">
        <v>43.651059718408085</v>
      </c>
      <c r="O84" s="39">
        <v>44.561078723599294</v>
      </c>
      <c r="P84" s="39">
        <v>44.379413070864501</v>
      </c>
      <c r="Q84" s="39">
        <v>45.82800421649457</v>
      </c>
      <c r="R84" s="39">
        <v>43.194465145640059</v>
      </c>
      <c r="S84" s="39">
        <v>46.548242009668215</v>
      </c>
      <c r="T84" s="39">
        <v>46.18846126138483</v>
      </c>
      <c r="U84" s="39">
        <v>43.559825340930338</v>
      </c>
      <c r="V84" s="39">
        <v>41.726261398409946</v>
      </c>
      <c r="W84" s="5">
        <f t="shared" si="18"/>
        <v>44.14344052246782</v>
      </c>
      <c r="X84" s="4">
        <f t="shared" si="19"/>
        <v>0.55544395810750191</v>
      </c>
      <c r="Y84" s="2">
        <f t="shared" si="20"/>
        <v>40.803139146460083</v>
      </c>
      <c r="Z84" s="3">
        <f t="shared" si="21"/>
        <v>43.034213225522976</v>
      </c>
      <c r="AA84" s="2">
        <f t="shared" si="22"/>
        <v>44.01523639463629</v>
      </c>
      <c r="AB84" s="3">
        <f t="shared" si="23"/>
        <v>45.918118477717137</v>
      </c>
      <c r="AC84" s="3">
        <f t="shared" si="24"/>
        <v>46.727878772582308</v>
      </c>
      <c r="AD84" s="3">
        <f t="shared" si="25"/>
        <v>-0.18372197089631562</v>
      </c>
      <c r="AE84" s="3">
        <f t="shared" si="26"/>
        <v>-0.93340848532282239</v>
      </c>
    </row>
    <row r="85" spans="2:31" x14ac:dyDescent="0.2">
      <c r="B85" s="1">
        <v>908</v>
      </c>
      <c r="C85" s="1" t="s">
        <v>120</v>
      </c>
      <c r="D85" s="1">
        <v>21</v>
      </c>
      <c r="E85" s="1">
        <v>3</v>
      </c>
      <c r="F85" s="1">
        <v>2</v>
      </c>
      <c r="G85" s="1">
        <v>2</v>
      </c>
      <c r="H85" s="1">
        <v>2</v>
      </c>
      <c r="I85" s="1">
        <v>2</v>
      </c>
      <c r="J85" s="4">
        <v>13.256</v>
      </c>
      <c r="K85" s="39">
        <v>41.541975096323426</v>
      </c>
      <c r="L85" s="39">
        <v>42.645156796566702</v>
      </c>
      <c r="M85" s="39">
        <v>44.833260188667005</v>
      </c>
      <c r="N85" s="39">
        <v>43.285868597269527</v>
      </c>
      <c r="O85" s="39">
        <v>44.923902806613711</v>
      </c>
      <c r="P85" s="39">
        <v>47.086645075955325</v>
      </c>
      <c r="Q85" s="39">
        <v>45.918181880524031</v>
      </c>
      <c r="R85" s="39">
        <v>41.541975096323426</v>
      </c>
      <c r="S85" s="39">
        <v>45.105061236893334</v>
      </c>
      <c r="T85" s="39">
        <v>46.18846126138483</v>
      </c>
      <c r="U85" s="39">
        <v>42.920001179524071</v>
      </c>
      <c r="V85" s="39">
        <v>46.368436172602379</v>
      </c>
      <c r="W85" s="5">
        <f t="shared" si="18"/>
        <v>44.363243782387315</v>
      </c>
      <c r="X85" s="4">
        <f t="shared" si="19"/>
        <v>0.55313933905872248</v>
      </c>
      <c r="Y85" s="2">
        <f t="shared" si="20"/>
        <v>41.541975096323426</v>
      </c>
      <c r="Z85" s="3">
        <f t="shared" si="21"/>
        <v>42.851290083784733</v>
      </c>
      <c r="AA85" s="2">
        <f t="shared" si="22"/>
        <v>44.878581497640354</v>
      </c>
      <c r="AB85" s="3">
        <f t="shared" si="23"/>
        <v>45.985751725739235</v>
      </c>
      <c r="AC85" s="3">
        <f t="shared" si="24"/>
        <v>47.086645075955325</v>
      </c>
      <c r="AD85" s="3">
        <f t="shared" si="25"/>
        <v>-0.23957812421132896</v>
      </c>
      <c r="AE85" s="3">
        <f t="shared" si="26"/>
        <v>-1.3485280549940661</v>
      </c>
    </row>
    <row r="88" spans="2:31" x14ac:dyDescent="0.2">
      <c r="W88" s="3"/>
    </row>
  </sheetData>
  <autoFilter ref="B9:AE85" xr:uid="{5503AB64-6712-4B33-A3B2-598A98FD7507}"/>
  <conditionalFormatting sqref="K10:V85">
    <cfRule type="cellIs" dxfId="3" priority="3" stopIfTrue="1" operator="lessThan">
      <formula>$W10-$V$5*$X10</formula>
    </cfRule>
    <cfRule type="cellIs" dxfId="2" priority="4" stopIfTrue="1" operator="greaterThan">
      <formula>$W10+$V$5*$X10</formula>
    </cfRule>
  </conditionalFormatting>
  <conditionalFormatting sqref="W10:W85">
    <cfRule type="cellIs" dxfId="1" priority="1" stopIfTrue="1" operator="lessThan">
      <formula>AVERAGE($W$10:$W$41)</formula>
    </cfRule>
    <cfRule type="cellIs" dxfId="0" priority="2" stopIfTrue="1" operator="greaterThan">
      <formula>AVERAGE($W$10:$W$41)</formula>
    </cfRule>
  </conditionalFormatting>
  <pageMargins left="0.75" right="0.75" top="1" bottom="1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Composite</vt:lpstr>
      <vt:lpstr>Canopy</vt:lpstr>
      <vt:lpstr>DOY162</vt:lpstr>
      <vt:lpstr>DOY163</vt:lpstr>
      <vt:lpstr>DOY164</vt:lpstr>
      <vt:lpstr>DOY165</vt:lpstr>
      <vt:lpstr>DOY167</vt:lpstr>
      <vt:lpstr>DOY168</vt:lpstr>
      <vt:lpstr>DOY169</vt:lpstr>
      <vt:lpstr>DOY170</vt:lpstr>
      <vt:lpstr>DOY171</vt:lpstr>
      <vt:lpstr>DOY172</vt:lpstr>
      <vt:lpstr>DOY175</vt:lpstr>
      <vt:lpstr>DOY179</vt:lpstr>
      <vt:lpstr>DOY180</vt:lpstr>
      <vt:lpstr>DOY185</vt:lpstr>
      <vt:lpstr>DOY187</vt:lpstr>
      <vt:lpstr>DOY188</vt:lpstr>
      <vt:lpstr>DOY223</vt:lpstr>
      <vt:lpstr>DOY225</vt:lpstr>
      <vt:lpstr>DOY226</vt:lpstr>
      <vt:lpstr>DOY238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2025-12-08T21:03:41Z</dcterms:created>
  <dcterms:modified xsi:type="dcterms:W3CDTF">2025-12-08T22:02:05Z</dcterms:modified>
</cp:coreProperties>
</file>