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pivotCache/pivotCacheDefinition23.xml" ContentType="application/vnd.openxmlformats-officedocument.spreadsheetml.pivotCacheDefinition+xml"/>
  <Override PartName="/xl/pivotCache/pivotCacheRecords23.xml" ContentType="application/vnd.openxmlformats-officedocument.spreadsheetml.pivotCacheRecords+xml"/>
  <Override PartName="/xl/pivotCache/pivotCacheDefinition24.xml" ContentType="application/vnd.openxmlformats-officedocument.spreadsheetml.pivotCacheDefinition+xml"/>
  <Override PartName="/xl/pivotCache/pivotCacheRecords24.xml" ContentType="application/vnd.openxmlformats-officedocument.spreadsheetml.pivotCacheRecords+xml"/>
  <Override PartName="/xl/pivotCache/pivotCacheDefinition25.xml" ContentType="application/vnd.openxmlformats-officedocument.spreadsheetml.pivotCacheDefinition+xml"/>
  <Override PartName="/xl/pivotCache/pivotCacheRecords25.xml" ContentType="application/vnd.openxmlformats-officedocument.spreadsheetml.pivotCacheRecords+xml"/>
  <Override PartName="/xl/pivotCache/pivotCacheDefinition26.xml" ContentType="application/vnd.openxmlformats-officedocument.spreadsheetml.pivotCacheDefinition+xml"/>
  <Override PartName="/xl/pivotCache/pivotCacheRecords26.xml" ContentType="application/vnd.openxmlformats-officedocument.spreadsheetml.pivotCacheRecords+xml"/>
  <Override PartName="/xl/pivotCache/pivotCacheDefinition27.xml" ContentType="application/vnd.openxmlformats-officedocument.spreadsheetml.pivotCacheDefinition+xml"/>
  <Override PartName="/xl/pivotCache/pivotCacheRecords27.xml" ContentType="application/vnd.openxmlformats-officedocument.spreadsheetml.pivotCacheRecords+xml"/>
  <Override PartName="/xl/pivotCache/pivotCacheDefinition28.xml" ContentType="application/vnd.openxmlformats-officedocument.spreadsheetml.pivotCacheDefinition+xml"/>
  <Override PartName="/xl/pivotCache/pivotCacheRecords28.xml" ContentType="application/vnd.openxmlformats-officedocument.spreadsheetml.pivotCacheRecords+xml"/>
  <Override PartName="/xl/pivotCache/pivotCacheDefinition29.xml" ContentType="application/vnd.openxmlformats-officedocument.spreadsheetml.pivotCacheDefinition+xml"/>
  <Override PartName="/xl/pivotCache/pivotCacheRecords29.xml" ContentType="application/vnd.openxmlformats-officedocument.spreadsheetml.pivotCacheRecords+xml"/>
  <Override PartName="/xl/pivotCache/pivotCacheDefinition30.xml" ContentType="application/vnd.openxmlformats-officedocument.spreadsheetml.pivotCacheDefinition+xml"/>
  <Override PartName="/xl/pivotCache/pivotCacheRecords30.xml" ContentType="application/vnd.openxmlformats-officedocument.spreadsheetml.pivotCacheRecords+xml"/>
  <Override PartName="/xl/pivotCache/pivotCacheDefinition31.xml" ContentType="application/vnd.openxmlformats-officedocument.spreadsheetml.pivotCacheDefinition+xml"/>
  <Override PartName="/xl/pivotCache/pivotCacheRecords31.xml" ContentType="application/vnd.openxmlformats-officedocument.spreadsheetml.pivotCacheRecords+xml"/>
  <Override PartName="/xl/pivotCache/pivotCacheDefinition32.xml" ContentType="application/vnd.openxmlformats-officedocument.spreadsheetml.pivotCacheDefinition+xml"/>
  <Override PartName="/xl/pivotCache/pivotCacheRecords32.xml" ContentType="application/vnd.openxmlformats-officedocument.spreadsheetml.pivotCacheRecords+xml"/>
  <Override PartName="/xl/pivotCache/pivotCacheDefinition33.xml" ContentType="application/vnd.openxmlformats-officedocument.spreadsheetml.pivotCacheDefinition+xml"/>
  <Override PartName="/xl/pivotCache/pivotCacheRecords33.xml" ContentType="application/vnd.openxmlformats-officedocument.spreadsheetml.pivotCacheRecords+xml"/>
  <Override PartName="/xl/pivotCache/pivotCacheDefinition34.xml" ContentType="application/vnd.openxmlformats-officedocument.spreadsheetml.pivotCacheDefinition+xml"/>
  <Override PartName="/xl/pivotCache/pivotCacheRecords3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4.xml" ContentType="application/vnd.openxmlformats-officedocument.drawingml.chart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harts/chart5.xml" ContentType="application/vnd.openxmlformats-officedocument.drawingml.chart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charts/chart6.xml" ContentType="application/vnd.openxmlformats-officedocument.drawingml.chart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charts/chart7.xml" ContentType="application/vnd.openxmlformats-officedocument.drawingml.chart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charts/chart8.xml" ContentType="application/vnd.openxmlformats-officedocument.drawingml.chart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charts/chart9.xml" ContentType="application/vnd.openxmlformats-officedocument.drawingml.chart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charts/chart10.xml" ContentType="application/vnd.openxmlformats-officedocument.drawingml.chart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charts/chart11.xml" ContentType="application/vnd.openxmlformats-officedocument.drawingml.chart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charts/chart12.xml" ContentType="application/vnd.openxmlformats-officedocument.drawingml.chart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charts/chart13.xml" ContentType="application/vnd.openxmlformats-officedocument.drawingml.chart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drawings/drawing15.xml" ContentType="application/vnd.openxmlformats-officedocument.drawing+xml"/>
  <Override PartName="/xl/comments13.xml" ContentType="application/vnd.openxmlformats-officedocument.spreadsheetml.comments+xml"/>
  <Override PartName="/xl/charts/chart18.xml" ContentType="application/vnd.openxmlformats-officedocument.drawingml.chart+xml"/>
  <Override PartName="/xl/pivotTables/pivotTable29.xml" ContentType="application/vnd.openxmlformats-officedocument.spreadsheetml.pivotTable+xml"/>
  <Override PartName="/xl/drawings/drawing16.xml" ContentType="application/vnd.openxmlformats-officedocument.drawing+xml"/>
  <Override PartName="/xl/pivotTables/pivotTable30.xml" ContentType="application/vnd.openxmlformats-officedocument.spreadsheetml.pivotTable+xml"/>
  <Override PartName="/xl/drawings/drawing17.xml" ContentType="application/vnd.openxmlformats-officedocument.drawing+xml"/>
  <Override PartName="/xl/pivotTables/pivotTable31.xml" ContentType="application/vnd.openxmlformats-officedocument.spreadsheetml.pivotTable+xml"/>
  <Override PartName="/xl/drawings/drawing18.xml" ContentType="application/vnd.openxmlformats-officedocument.drawing+xml"/>
  <Override PartName="/xl/pivotTables/pivotTable32.xml" ContentType="application/vnd.openxmlformats-officedocument.spreadsheetml.pivotTable+xml"/>
  <Override PartName="/xl/drawings/drawing19.xml" ContentType="application/vnd.openxmlformats-officedocument.drawing+xml"/>
  <Override PartName="/xl/pivotTables/pivotTable33.xml" ContentType="application/vnd.openxmlformats-officedocument.spreadsheetml.pivotTable+xml"/>
  <Override PartName="/xl/drawings/drawing20.xml" ContentType="application/vnd.openxmlformats-officedocument.drawing+xml"/>
  <Override PartName="/xl/pivotTables/pivotTable34.xml" ContentType="application/vnd.openxmlformats-officedocument.spreadsheetml.pivotTable+xml"/>
  <Override PartName="/xl/drawings/drawing21.xml" ContentType="application/vnd.openxmlformats-officedocument.drawing+xml"/>
  <Override PartName="/xl/pivotTables/pivotTable35.xml" ContentType="application/vnd.openxmlformats-officedocument.spreadsheetml.pivotTable+xml"/>
  <Override PartName="/xl/drawings/drawing22.xml" ContentType="application/vnd.openxmlformats-officedocument.drawing+xml"/>
  <Override PartName="/xl/pivotTables/pivotTable36.xml" ContentType="application/vnd.openxmlformats-officedocument.spreadsheetml.pivotTable+xml"/>
  <Override PartName="/xl/drawings/drawing23.xml" ContentType="application/vnd.openxmlformats-officedocument.drawing+xml"/>
  <Override PartName="/xl/pivotTables/pivotTable37.xml" ContentType="application/vnd.openxmlformats-officedocument.spreadsheetml.pivotTable+xml"/>
  <Override PartName="/xl/drawings/drawing24.xml" ContentType="application/vnd.openxmlformats-officedocument.drawing+xml"/>
  <Override PartName="/xl/pivotTables/pivotTable38.xml" ContentType="application/vnd.openxmlformats-officedocument.spreadsheetml.pivotTable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02_F105_CO_FISE\"/>
    </mc:Choice>
  </mc:AlternateContent>
  <xr:revisionPtr revIDLastSave="0" documentId="13_ncr:1_{B2781ECF-4B9F-417B-9E2D-C5CC9721427A}" xr6:coauthVersionLast="47" xr6:coauthVersionMax="47" xr10:uidLastSave="{00000000-0000-0000-0000-000000000000}"/>
  <bookViews>
    <workbookView xWindow="16440" yWindow="-24315" windowWidth="18015" windowHeight="23505" activeTab="1" xr2:uid="{B1D67A54-2484-40DB-99A8-6D638F6EB250}"/>
  </bookViews>
  <sheets>
    <sheet name="Height" sheetId="16" r:id="rId1"/>
    <sheet name="Width" sheetId="17" r:id="rId2"/>
    <sheet name="SPAD" sheetId="34" r:id="rId3"/>
    <sheet name="Density" sheetId="35" r:id="rId4"/>
    <sheet name="Develop" sheetId="36" r:id="rId5"/>
    <sheet name="template" sheetId="1" r:id="rId6"/>
    <sheet name="HgtDOY163" sheetId="2" r:id="rId7"/>
    <sheet name="HgtDOY170" sheetId="3" r:id="rId8"/>
    <sheet name="HgtDOY176" sheetId="4" r:id="rId9"/>
    <sheet name="HgtDOY183" sheetId="5" r:id="rId10"/>
    <sheet name="HgtDOY190" sheetId="6" r:id="rId11"/>
    <sheet name="HgtDOY199" sheetId="7" r:id="rId12"/>
    <sheet name="HgtDOY204" sheetId="8" r:id="rId13"/>
    <sheet name="HgtDOY212" sheetId="9" r:id="rId14"/>
    <sheet name="HgtDOY218" sheetId="10" r:id="rId15"/>
    <sheet name="HgtDOY225" sheetId="11" r:id="rId16"/>
    <sheet name="HgtDOY232" sheetId="12" r:id="rId17"/>
    <sheet name="HgtDOY239" sheetId="13" r:id="rId18"/>
    <sheet name="HgtDOY246" sheetId="14" r:id="rId19"/>
    <sheet name="HgtDOY260" sheetId="15" r:id="rId20"/>
    <sheet name="EmgSummary1" sheetId="18" r:id="rId21"/>
    <sheet name="EmgSummary2" sheetId="19" r:id="rId22"/>
    <sheet name="EmgDOY118" sheetId="20" r:id="rId23"/>
    <sheet name="EmgDOY119" sheetId="21" r:id="rId24"/>
    <sheet name="EmgDOY120" sheetId="22" r:id="rId25"/>
    <sheet name="EmgDOY121" sheetId="23" r:id="rId26"/>
    <sheet name="EmgDOY122" sheetId="24" r:id="rId27"/>
    <sheet name="EmgDOY123" sheetId="25" r:id="rId28"/>
    <sheet name="EmgDOY125" sheetId="26" r:id="rId29"/>
    <sheet name="EmgDOY133" sheetId="27" r:id="rId30"/>
    <sheet name="EmgDOY134" sheetId="28" r:id="rId31"/>
    <sheet name="EmgDOY135" sheetId="29" r:id="rId32"/>
    <sheet name="EmgDOY137" sheetId="30" r:id="rId33"/>
    <sheet name="EmgDOY140" sheetId="31" r:id="rId34"/>
    <sheet name="EmgDOY141" sheetId="32" r:id="rId35"/>
    <sheet name="EmgDOY149" sheetId="33" r:id="rId36"/>
    <sheet name="SPADDOY186" sheetId="37" r:id="rId37"/>
    <sheet name="SPADDOY192" sheetId="38" r:id="rId38"/>
    <sheet name="SPADDOY197" sheetId="39" r:id="rId39"/>
    <sheet name="SPADDOY206" sheetId="40" r:id="rId40"/>
    <sheet name="SPADDOY224" sheetId="41" r:id="rId41"/>
    <sheet name="SPADDOY227" sheetId="42" r:id="rId42"/>
    <sheet name="SPADDOY242" sheetId="43" r:id="rId43"/>
    <sheet name="SPADDOY249" sheetId="44" r:id="rId44"/>
    <sheet name="SPADDOY256" sheetId="45" r:id="rId45"/>
    <sheet name="SPADDOY266" sheetId="46" r:id="rId46"/>
  </sheets>
  <externalReferences>
    <externalReference r:id="rId47"/>
  </externalReferences>
  <definedNames>
    <definedName name="_xlnm._FilterDatabase" localSheetId="35" hidden="1">EmgDOY149!$B$9:$T$49</definedName>
    <definedName name="_xlnm.Print_Area" localSheetId="34">EmgDOY141!$A$1:$S$50</definedName>
    <definedName name="_xlnm.Print_Area" localSheetId="36">SPADDOY186!$A$6:$R$50</definedName>
    <definedName name="_xlnm.Print_Area" localSheetId="37">SPADDOY192!$A$6:$R$50</definedName>
    <definedName name="_xlnm.Print_Area" localSheetId="38">SPADDOY197!$A$6:$R$50</definedName>
    <definedName name="_xlnm.Print_Area" localSheetId="39">SPADDOY206!$A$6:$R$50</definedName>
    <definedName name="_xlnm.Print_Area" localSheetId="40">SPADDOY224!$A$6:$R$50</definedName>
    <definedName name="_xlnm.Print_Area" localSheetId="41">SPADDOY227!$A$6:$R$50</definedName>
    <definedName name="_xlnm.Print_Area" localSheetId="42">SPADDOY242!$A$6:$R$50</definedName>
    <definedName name="_xlnm.Print_Area" localSheetId="43">SPADDOY249!$A$6:$R$50</definedName>
    <definedName name="_xlnm.Print_Area" localSheetId="44">SPADDOY256!$A$6:$R$50</definedName>
    <definedName name="_xlnm.Print_Area" localSheetId="45">SPADDOY266!$A$6:$R$50</definedName>
    <definedName name="trt." localSheetId="37">SPADDOY192!$U$9</definedName>
    <definedName name="trt." localSheetId="38">SPADDOY197!$U$9</definedName>
    <definedName name="trt." localSheetId="39">SPADDOY206!$U$9</definedName>
    <definedName name="trt." localSheetId="40">SPADDOY224!$U$9</definedName>
    <definedName name="trt." localSheetId="41">SPADDOY227!$U$9</definedName>
    <definedName name="trt." localSheetId="42">SPADDOY242!$U$9</definedName>
    <definedName name="trt." localSheetId="43">SPADDOY249!$U$9</definedName>
    <definedName name="trt." localSheetId="44">SPADDOY256!$U$9</definedName>
    <definedName name="trt." localSheetId="45">SPADDOY266!$U$9</definedName>
    <definedName name="trt.">SPADDOY186!$U$9</definedName>
  </definedNames>
  <calcPr calcId="191029"/>
  <pivotCaches>
    <pivotCache cacheId="0" r:id="rId48"/>
    <pivotCache cacheId="1" r:id="rId49"/>
    <pivotCache cacheId="2" r:id="rId50"/>
    <pivotCache cacheId="3" r:id="rId51"/>
    <pivotCache cacheId="4" r:id="rId52"/>
    <pivotCache cacheId="5" r:id="rId53"/>
    <pivotCache cacheId="6" r:id="rId54"/>
    <pivotCache cacheId="7" r:id="rId55"/>
    <pivotCache cacheId="8" r:id="rId56"/>
    <pivotCache cacheId="9" r:id="rId57"/>
    <pivotCache cacheId="10" r:id="rId58"/>
    <pivotCache cacheId="11" r:id="rId59"/>
    <pivotCache cacheId="12" r:id="rId60"/>
    <pivotCache cacheId="13" r:id="rId61"/>
    <pivotCache cacheId="14" r:id="rId62"/>
    <pivotCache cacheId="15" r:id="rId63"/>
    <pivotCache cacheId="16" r:id="rId64"/>
    <pivotCache cacheId="17" r:id="rId65"/>
    <pivotCache cacheId="18" r:id="rId66"/>
    <pivotCache cacheId="19" r:id="rId67"/>
    <pivotCache cacheId="20" r:id="rId68"/>
    <pivotCache cacheId="21" r:id="rId69"/>
    <pivotCache cacheId="22" r:id="rId70"/>
    <pivotCache cacheId="23" r:id="rId71"/>
    <pivotCache cacheId="24" r:id="rId72"/>
    <pivotCache cacheId="25" r:id="rId73"/>
    <pivotCache cacheId="26" r:id="rId74"/>
    <pivotCache cacheId="27" r:id="rId75"/>
    <pivotCache cacheId="112" r:id="rId76"/>
    <pivotCache cacheId="117" r:id="rId77"/>
    <pivotCache cacheId="116" r:id="rId78"/>
    <pivotCache cacheId="113" r:id="rId79"/>
    <pivotCache cacheId="114" r:id="rId80"/>
    <pivotCache cacheId="115" r:id="rId8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46" l="1"/>
  <c r="H11" i="46"/>
  <c r="K11" i="46" s="1"/>
  <c r="I11" i="46"/>
  <c r="G12" i="46"/>
  <c r="H12" i="46"/>
  <c r="I12" i="46"/>
  <c r="K12" i="46"/>
  <c r="G13" i="46"/>
  <c r="H13" i="46"/>
  <c r="I13" i="46"/>
  <c r="K13" i="46"/>
  <c r="G14" i="46"/>
  <c r="H14" i="46"/>
  <c r="I14" i="46"/>
  <c r="K14" i="46"/>
  <c r="G15" i="46"/>
  <c r="K15" i="46" s="1"/>
  <c r="H15" i="46"/>
  <c r="I15" i="46"/>
  <c r="G16" i="46"/>
  <c r="H16" i="46"/>
  <c r="I16" i="46"/>
  <c r="K16" i="46"/>
  <c r="G17" i="46"/>
  <c r="H17" i="46"/>
  <c r="I17" i="46"/>
  <c r="K17" i="46"/>
  <c r="G18" i="46"/>
  <c r="K18" i="46" s="1"/>
  <c r="H18" i="46"/>
  <c r="I18" i="46"/>
  <c r="G19" i="46"/>
  <c r="H19" i="46"/>
  <c r="K19" i="46" s="1"/>
  <c r="I19" i="46"/>
  <c r="G20" i="46"/>
  <c r="H20" i="46"/>
  <c r="I20" i="46"/>
  <c r="K20" i="46"/>
  <c r="G21" i="46"/>
  <c r="H21" i="46"/>
  <c r="I21" i="46"/>
  <c r="K21" i="46"/>
  <c r="G22" i="46"/>
  <c r="H22" i="46"/>
  <c r="I22" i="46"/>
  <c r="K22" i="46"/>
  <c r="G23" i="46"/>
  <c r="K23" i="46" s="1"/>
  <c r="H23" i="46"/>
  <c r="I23" i="46"/>
  <c r="G24" i="46"/>
  <c r="H24" i="46"/>
  <c r="I24" i="46"/>
  <c r="K24" i="46"/>
  <c r="G25" i="46"/>
  <c r="H25" i="46"/>
  <c r="I25" i="46"/>
  <c r="K25" i="46"/>
  <c r="G26" i="46"/>
  <c r="K26" i="46" s="1"/>
  <c r="H26" i="46"/>
  <c r="I26" i="46"/>
  <c r="K27" i="46"/>
  <c r="K28" i="46"/>
  <c r="K29" i="46"/>
  <c r="K30" i="46"/>
  <c r="K31" i="46"/>
  <c r="K32" i="46"/>
  <c r="K33" i="46"/>
  <c r="K34" i="46"/>
  <c r="G35" i="46"/>
  <c r="H35" i="46"/>
  <c r="I35" i="46"/>
  <c r="K35" i="46"/>
  <c r="G36" i="46"/>
  <c r="H36" i="46"/>
  <c r="I36" i="46"/>
  <c r="K36" i="46"/>
  <c r="G37" i="46"/>
  <c r="K37" i="46" s="1"/>
  <c r="H37" i="46"/>
  <c r="I37" i="46"/>
  <c r="G38" i="46"/>
  <c r="H38" i="46"/>
  <c r="I38" i="46"/>
  <c r="K38" i="46"/>
  <c r="G39" i="46"/>
  <c r="H39" i="46"/>
  <c r="I39" i="46"/>
  <c r="K39" i="46"/>
  <c r="G40" i="46"/>
  <c r="K40" i="46" s="1"/>
  <c r="H40" i="46"/>
  <c r="I40" i="46"/>
  <c r="G41" i="46"/>
  <c r="H41" i="46"/>
  <c r="K41" i="46" s="1"/>
  <c r="I41" i="46"/>
  <c r="G42" i="46"/>
  <c r="H42" i="46"/>
  <c r="I42" i="46"/>
  <c r="K42" i="46"/>
  <c r="G43" i="46"/>
  <c r="H43" i="46"/>
  <c r="I43" i="46"/>
  <c r="K43" i="46"/>
  <c r="G44" i="46"/>
  <c r="H44" i="46"/>
  <c r="I44" i="46"/>
  <c r="K44" i="46"/>
  <c r="G45" i="46"/>
  <c r="K45" i="46" s="1"/>
  <c r="H45" i="46"/>
  <c r="I45" i="46"/>
  <c r="G46" i="46"/>
  <c r="H46" i="46"/>
  <c r="I46" i="46"/>
  <c r="K46" i="46"/>
  <c r="G47" i="46"/>
  <c r="H47" i="46"/>
  <c r="I47" i="46"/>
  <c r="K47" i="46"/>
  <c r="G48" i="46"/>
  <c r="K48" i="46" s="1"/>
  <c r="H48" i="46"/>
  <c r="I48" i="46"/>
  <c r="G49" i="46"/>
  <c r="H49" i="46"/>
  <c r="K49" i="46" s="1"/>
  <c r="I49" i="46"/>
  <c r="G50" i="46"/>
  <c r="H50" i="46"/>
  <c r="I50" i="46"/>
  <c r="K50" i="46"/>
  <c r="G11" i="45"/>
  <c r="H11" i="45"/>
  <c r="I11" i="45"/>
  <c r="K11" i="45" s="1"/>
  <c r="G12" i="45"/>
  <c r="H12" i="45"/>
  <c r="I12" i="45"/>
  <c r="K12" i="45"/>
  <c r="G13" i="45"/>
  <c r="H13" i="45"/>
  <c r="I13" i="45"/>
  <c r="K13" i="45"/>
  <c r="G14" i="45"/>
  <c r="H14" i="45"/>
  <c r="I14" i="45"/>
  <c r="K14" i="45"/>
  <c r="G15" i="45"/>
  <c r="K15" i="45" s="1"/>
  <c r="H15" i="45"/>
  <c r="I15" i="45"/>
  <c r="G16" i="45"/>
  <c r="H16" i="45"/>
  <c r="I16" i="45"/>
  <c r="K16" i="45"/>
  <c r="G17" i="45"/>
  <c r="H17" i="45"/>
  <c r="I17" i="45"/>
  <c r="K17" i="45"/>
  <c r="G18" i="45"/>
  <c r="K18" i="45" s="1"/>
  <c r="H18" i="45"/>
  <c r="I18" i="45"/>
  <c r="G19" i="45"/>
  <c r="H19" i="45"/>
  <c r="I19" i="45"/>
  <c r="K19" i="45" s="1"/>
  <c r="G20" i="45"/>
  <c r="H20" i="45"/>
  <c r="I20" i="45"/>
  <c r="K20" i="45"/>
  <c r="G21" i="45"/>
  <c r="H21" i="45"/>
  <c r="I21" i="45"/>
  <c r="K21" i="45"/>
  <c r="G22" i="45"/>
  <c r="H22" i="45"/>
  <c r="I22" i="45"/>
  <c r="K22" i="45"/>
  <c r="G23" i="45"/>
  <c r="K23" i="45" s="1"/>
  <c r="H23" i="45"/>
  <c r="I23" i="45"/>
  <c r="G24" i="45"/>
  <c r="H24" i="45"/>
  <c r="I24" i="45"/>
  <c r="K24" i="45"/>
  <c r="G25" i="45"/>
  <c r="H25" i="45"/>
  <c r="I25" i="45"/>
  <c r="K25" i="45"/>
  <c r="G26" i="45"/>
  <c r="K26" i="45" s="1"/>
  <c r="H26" i="45"/>
  <c r="I26" i="45"/>
  <c r="K27" i="45"/>
  <c r="K28" i="45"/>
  <c r="K29" i="45"/>
  <c r="K30" i="45"/>
  <c r="K31" i="45"/>
  <c r="K32" i="45"/>
  <c r="K33" i="45"/>
  <c r="K34" i="45"/>
  <c r="G35" i="45"/>
  <c r="H35" i="45"/>
  <c r="I35" i="45"/>
  <c r="K35" i="45"/>
  <c r="G36" i="45"/>
  <c r="H36" i="45"/>
  <c r="I36" i="45"/>
  <c r="K36" i="45"/>
  <c r="G37" i="45"/>
  <c r="K37" i="45" s="1"/>
  <c r="H37" i="45"/>
  <c r="I37" i="45"/>
  <c r="G38" i="45"/>
  <c r="H38" i="45"/>
  <c r="I38" i="45"/>
  <c r="K38" i="45"/>
  <c r="G39" i="45"/>
  <c r="H39" i="45"/>
  <c r="I39" i="45"/>
  <c r="K39" i="45"/>
  <c r="G40" i="45"/>
  <c r="K40" i="45" s="1"/>
  <c r="H40" i="45"/>
  <c r="I40" i="45"/>
  <c r="G41" i="45"/>
  <c r="H41" i="45"/>
  <c r="I41" i="45"/>
  <c r="K41" i="45" s="1"/>
  <c r="G42" i="45"/>
  <c r="H42" i="45"/>
  <c r="I42" i="45"/>
  <c r="K42" i="45"/>
  <c r="G43" i="45"/>
  <c r="H43" i="45"/>
  <c r="I43" i="45"/>
  <c r="K43" i="45"/>
  <c r="G44" i="45"/>
  <c r="H44" i="45"/>
  <c r="I44" i="45"/>
  <c r="K44" i="45" s="1"/>
  <c r="G45" i="45"/>
  <c r="K45" i="45" s="1"/>
  <c r="H45" i="45"/>
  <c r="I45" i="45"/>
  <c r="G46" i="45"/>
  <c r="H46" i="45"/>
  <c r="I46" i="45"/>
  <c r="K46" i="45"/>
  <c r="G47" i="45"/>
  <c r="H47" i="45"/>
  <c r="I47" i="45"/>
  <c r="K47" i="45"/>
  <c r="G48" i="45"/>
  <c r="K48" i="45" s="1"/>
  <c r="H48" i="45"/>
  <c r="I48" i="45"/>
  <c r="G49" i="45"/>
  <c r="H49" i="45"/>
  <c r="I49" i="45"/>
  <c r="K49" i="45" s="1"/>
  <c r="G50" i="45"/>
  <c r="H50" i="45"/>
  <c r="I50" i="45"/>
  <c r="K50" i="45"/>
  <c r="G11" i="44"/>
  <c r="K11" i="44" s="1"/>
  <c r="H11" i="44"/>
  <c r="I11" i="44"/>
  <c r="G12" i="44"/>
  <c r="H12" i="44"/>
  <c r="I12" i="44"/>
  <c r="K12" i="44"/>
  <c r="G13" i="44"/>
  <c r="H13" i="44"/>
  <c r="I13" i="44"/>
  <c r="K13" i="44"/>
  <c r="G14" i="44"/>
  <c r="H14" i="44"/>
  <c r="I14" i="44"/>
  <c r="K14" i="44"/>
  <c r="G15" i="44"/>
  <c r="K15" i="44" s="1"/>
  <c r="H15" i="44"/>
  <c r="I15" i="44"/>
  <c r="G16" i="44"/>
  <c r="H16" i="44"/>
  <c r="I16" i="44"/>
  <c r="K16" i="44"/>
  <c r="G17" i="44"/>
  <c r="H17" i="44"/>
  <c r="I17" i="44"/>
  <c r="K17" i="44"/>
  <c r="G18" i="44"/>
  <c r="K18" i="44" s="1"/>
  <c r="H18" i="44"/>
  <c r="I18" i="44"/>
  <c r="G19" i="44"/>
  <c r="K19" i="44" s="1"/>
  <c r="H19" i="44"/>
  <c r="I19" i="44"/>
  <c r="G20" i="44"/>
  <c r="H20" i="44"/>
  <c r="I20" i="44"/>
  <c r="K20" i="44"/>
  <c r="G21" i="44"/>
  <c r="H21" i="44"/>
  <c r="I21" i="44"/>
  <c r="K21" i="44"/>
  <c r="G22" i="44"/>
  <c r="H22" i="44"/>
  <c r="I22" i="44"/>
  <c r="K22" i="44"/>
  <c r="G23" i="44"/>
  <c r="K23" i="44" s="1"/>
  <c r="H23" i="44"/>
  <c r="I23" i="44"/>
  <c r="G24" i="44"/>
  <c r="H24" i="44"/>
  <c r="I24" i="44"/>
  <c r="K24" i="44"/>
  <c r="G25" i="44"/>
  <c r="H25" i="44"/>
  <c r="I25" i="44"/>
  <c r="K25" i="44"/>
  <c r="G26" i="44"/>
  <c r="K26" i="44" s="1"/>
  <c r="H26" i="44"/>
  <c r="I26" i="44"/>
  <c r="K27" i="44"/>
  <c r="K28" i="44"/>
  <c r="K29" i="44"/>
  <c r="K30" i="44"/>
  <c r="K31" i="44"/>
  <c r="K32" i="44"/>
  <c r="K33" i="44"/>
  <c r="K34" i="44"/>
  <c r="G35" i="44"/>
  <c r="H35" i="44"/>
  <c r="I35" i="44"/>
  <c r="K35" i="44"/>
  <c r="G36" i="44"/>
  <c r="H36" i="44"/>
  <c r="I36" i="44"/>
  <c r="K36" i="44"/>
  <c r="G37" i="44"/>
  <c r="K37" i="44" s="1"/>
  <c r="H37" i="44"/>
  <c r="I37" i="44"/>
  <c r="G38" i="44"/>
  <c r="H38" i="44"/>
  <c r="I38" i="44"/>
  <c r="K38" i="44"/>
  <c r="G39" i="44"/>
  <c r="H39" i="44"/>
  <c r="I39" i="44"/>
  <c r="K39" i="44"/>
  <c r="G40" i="44"/>
  <c r="K40" i="44" s="1"/>
  <c r="H40" i="44"/>
  <c r="I40" i="44"/>
  <c r="G41" i="44"/>
  <c r="K41" i="44" s="1"/>
  <c r="H41" i="44"/>
  <c r="I41" i="44"/>
  <c r="G42" i="44"/>
  <c r="H42" i="44"/>
  <c r="I42" i="44"/>
  <c r="K42" i="44"/>
  <c r="G43" i="44"/>
  <c r="H43" i="44"/>
  <c r="I43" i="44"/>
  <c r="K43" i="44"/>
  <c r="G44" i="44"/>
  <c r="H44" i="44"/>
  <c r="I44" i="44"/>
  <c r="K44" i="44"/>
  <c r="G45" i="44"/>
  <c r="K45" i="44" s="1"/>
  <c r="H45" i="44"/>
  <c r="I45" i="44"/>
  <c r="G46" i="44"/>
  <c r="H46" i="44"/>
  <c r="I46" i="44"/>
  <c r="K46" i="44"/>
  <c r="G47" i="44"/>
  <c r="H47" i="44"/>
  <c r="I47" i="44"/>
  <c r="K47" i="44"/>
  <c r="G48" i="44"/>
  <c r="K48" i="44" s="1"/>
  <c r="H48" i="44"/>
  <c r="I48" i="44"/>
  <c r="G49" i="44"/>
  <c r="K49" i="44" s="1"/>
  <c r="H49" i="44"/>
  <c r="I49" i="44"/>
  <c r="G50" i="44"/>
  <c r="H50" i="44"/>
  <c r="I50" i="44"/>
  <c r="K50" i="44"/>
  <c r="G11" i="43"/>
  <c r="K11" i="43" s="1"/>
  <c r="H11" i="43"/>
  <c r="I11" i="43"/>
  <c r="G12" i="43"/>
  <c r="K12" i="43" s="1"/>
  <c r="H12" i="43"/>
  <c r="I12" i="43"/>
  <c r="G13" i="43"/>
  <c r="H13" i="43"/>
  <c r="I13" i="43"/>
  <c r="K13" i="43"/>
  <c r="G14" i="43"/>
  <c r="H14" i="43"/>
  <c r="I14" i="43"/>
  <c r="K14" i="43"/>
  <c r="G15" i="43"/>
  <c r="K15" i="43" s="1"/>
  <c r="H15" i="43"/>
  <c r="I15" i="43"/>
  <c r="G16" i="43"/>
  <c r="H16" i="43"/>
  <c r="I16" i="43"/>
  <c r="K16" i="43"/>
  <c r="G17" i="43"/>
  <c r="H17" i="43"/>
  <c r="I17" i="43"/>
  <c r="K17" i="43"/>
  <c r="G18" i="43"/>
  <c r="K18" i="43" s="1"/>
  <c r="H18" i="43"/>
  <c r="I18" i="43"/>
  <c r="G19" i="43"/>
  <c r="K19" i="43" s="1"/>
  <c r="H19" i="43"/>
  <c r="I19" i="43"/>
  <c r="G20" i="43"/>
  <c r="K20" i="43" s="1"/>
  <c r="H20" i="43"/>
  <c r="I20" i="43"/>
  <c r="G21" i="43"/>
  <c r="H21" i="43"/>
  <c r="I21" i="43"/>
  <c r="K21" i="43"/>
  <c r="G22" i="43"/>
  <c r="H22" i="43"/>
  <c r="I22" i="43"/>
  <c r="K22" i="43"/>
  <c r="G23" i="43"/>
  <c r="K23" i="43" s="1"/>
  <c r="H23" i="43"/>
  <c r="I23" i="43"/>
  <c r="G24" i="43"/>
  <c r="H24" i="43"/>
  <c r="I24" i="43"/>
  <c r="K24" i="43"/>
  <c r="G25" i="43"/>
  <c r="H25" i="43"/>
  <c r="I25" i="43"/>
  <c r="K25" i="43"/>
  <c r="G26" i="43"/>
  <c r="K26" i="43" s="1"/>
  <c r="H26" i="43"/>
  <c r="I26" i="43"/>
  <c r="K27" i="43"/>
  <c r="K28" i="43"/>
  <c r="K29" i="43"/>
  <c r="K30" i="43"/>
  <c r="K31" i="43"/>
  <c r="K32" i="43"/>
  <c r="K33" i="43"/>
  <c r="K34" i="43"/>
  <c r="G35" i="43"/>
  <c r="H35" i="43"/>
  <c r="I35" i="43"/>
  <c r="K35" i="43"/>
  <c r="G36" i="43"/>
  <c r="H36" i="43"/>
  <c r="I36" i="43"/>
  <c r="K36" i="43"/>
  <c r="G37" i="43"/>
  <c r="K37" i="43" s="1"/>
  <c r="H37" i="43"/>
  <c r="I37" i="43"/>
  <c r="G38" i="43"/>
  <c r="H38" i="43"/>
  <c r="I38" i="43"/>
  <c r="K38" i="43"/>
  <c r="G39" i="43"/>
  <c r="H39" i="43"/>
  <c r="I39" i="43"/>
  <c r="K39" i="43"/>
  <c r="G40" i="43"/>
  <c r="K40" i="43" s="1"/>
  <c r="H40" i="43"/>
  <c r="I40" i="43"/>
  <c r="G41" i="43"/>
  <c r="K41" i="43" s="1"/>
  <c r="H41" i="43"/>
  <c r="I41" i="43"/>
  <c r="G42" i="43"/>
  <c r="K42" i="43" s="1"/>
  <c r="H42" i="43"/>
  <c r="I42" i="43"/>
  <c r="G43" i="43"/>
  <c r="H43" i="43"/>
  <c r="I43" i="43"/>
  <c r="K43" i="43"/>
  <c r="G44" i="43"/>
  <c r="H44" i="43"/>
  <c r="I44" i="43"/>
  <c r="K44" i="43"/>
  <c r="G45" i="43"/>
  <c r="K45" i="43" s="1"/>
  <c r="H45" i="43"/>
  <c r="I45" i="43"/>
  <c r="G46" i="43"/>
  <c r="H46" i="43"/>
  <c r="I46" i="43"/>
  <c r="K46" i="43"/>
  <c r="G47" i="43"/>
  <c r="H47" i="43"/>
  <c r="I47" i="43"/>
  <c r="K47" i="43"/>
  <c r="G48" i="43"/>
  <c r="K48" i="43" s="1"/>
  <c r="H48" i="43"/>
  <c r="I48" i="43"/>
  <c r="G49" i="43"/>
  <c r="K49" i="43" s="1"/>
  <c r="H49" i="43"/>
  <c r="I49" i="43"/>
  <c r="G50" i="43"/>
  <c r="K50" i="43" s="1"/>
  <c r="H50" i="43"/>
  <c r="I50" i="43"/>
  <c r="G11" i="42"/>
  <c r="K11" i="42" s="1"/>
  <c r="H11" i="42"/>
  <c r="I11" i="42"/>
  <c r="G12" i="42"/>
  <c r="K12" i="42" s="1"/>
  <c r="H12" i="42"/>
  <c r="I12" i="42"/>
  <c r="G13" i="42"/>
  <c r="H13" i="42"/>
  <c r="I13" i="42"/>
  <c r="K13" i="42"/>
  <c r="G14" i="42"/>
  <c r="H14" i="42"/>
  <c r="I14" i="42"/>
  <c r="K14" i="42"/>
  <c r="G15" i="42"/>
  <c r="K15" i="42" s="1"/>
  <c r="H15" i="42"/>
  <c r="I15" i="42"/>
  <c r="G16" i="42"/>
  <c r="H16" i="42"/>
  <c r="I16" i="42"/>
  <c r="K16" i="42"/>
  <c r="G17" i="42"/>
  <c r="H17" i="42"/>
  <c r="I17" i="42"/>
  <c r="K17" i="42"/>
  <c r="G18" i="42"/>
  <c r="H18" i="42"/>
  <c r="I18" i="42"/>
  <c r="K18" i="42"/>
  <c r="G19" i="42"/>
  <c r="K19" i="42" s="1"/>
  <c r="H19" i="42"/>
  <c r="I19" i="42"/>
  <c r="G20" i="42"/>
  <c r="K20" i="42" s="1"/>
  <c r="H20" i="42"/>
  <c r="I20" i="42"/>
  <c r="G21" i="42"/>
  <c r="H21" i="42"/>
  <c r="I21" i="42"/>
  <c r="K21" i="42"/>
  <c r="G22" i="42"/>
  <c r="H22" i="42"/>
  <c r="I22" i="42"/>
  <c r="K22" i="42"/>
  <c r="G23" i="42"/>
  <c r="K23" i="42" s="1"/>
  <c r="H23" i="42"/>
  <c r="I23" i="42"/>
  <c r="G24" i="42"/>
  <c r="H24" i="42"/>
  <c r="I24" i="42"/>
  <c r="K24" i="42"/>
  <c r="G25" i="42"/>
  <c r="H25" i="42"/>
  <c r="I25" i="42"/>
  <c r="K25" i="42"/>
  <c r="G26" i="42"/>
  <c r="H26" i="42"/>
  <c r="I26" i="42"/>
  <c r="K26" i="42"/>
  <c r="K27" i="42"/>
  <c r="K28" i="42"/>
  <c r="K29" i="42"/>
  <c r="K30" i="42"/>
  <c r="K31" i="42"/>
  <c r="K32" i="42"/>
  <c r="K33" i="42"/>
  <c r="K34" i="42"/>
  <c r="G35" i="42"/>
  <c r="H35" i="42"/>
  <c r="I35" i="42"/>
  <c r="K35" i="42"/>
  <c r="G36" i="42"/>
  <c r="H36" i="42"/>
  <c r="I36" i="42"/>
  <c r="K36" i="42"/>
  <c r="G37" i="42"/>
  <c r="K37" i="42" s="1"/>
  <c r="H37" i="42"/>
  <c r="I37" i="42"/>
  <c r="G38" i="42"/>
  <c r="H38" i="42"/>
  <c r="I38" i="42"/>
  <c r="K38" i="42"/>
  <c r="G39" i="42"/>
  <c r="H39" i="42"/>
  <c r="I39" i="42"/>
  <c r="K39" i="42"/>
  <c r="G40" i="42"/>
  <c r="H40" i="42"/>
  <c r="I40" i="42"/>
  <c r="K40" i="42"/>
  <c r="G41" i="42"/>
  <c r="K41" i="42" s="1"/>
  <c r="H41" i="42"/>
  <c r="I41" i="42"/>
  <c r="G42" i="42"/>
  <c r="K42" i="42" s="1"/>
  <c r="H42" i="42"/>
  <c r="I42" i="42"/>
  <c r="G43" i="42"/>
  <c r="H43" i="42"/>
  <c r="I43" i="42"/>
  <c r="K43" i="42"/>
  <c r="G44" i="42"/>
  <c r="H44" i="42"/>
  <c r="I44" i="42"/>
  <c r="K44" i="42"/>
  <c r="G45" i="42"/>
  <c r="K45" i="42" s="1"/>
  <c r="H45" i="42"/>
  <c r="I45" i="42"/>
  <c r="G46" i="42"/>
  <c r="H46" i="42"/>
  <c r="I46" i="42"/>
  <c r="K46" i="42"/>
  <c r="G47" i="42"/>
  <c r="H47" i="42"/>
  <c r="I47" i="42"/>
  <c r="K47" i="42"/>
  <c r="G48" i="42"/>
  <c r="H48" i="42"/>
  <c r="I48" i="42"/>
  <c r="K48" i="42"/>
  <c r="G49" i="42"/>
  <c r="K49" i="42" s="1"/>
  <c r="H49" i="42"/>
  <c r="I49" i="42"/>
  <c r="G50" i="42"/>
  <c r="K50" i="42" s="1"/>
  <c r="H50" i="42"/>
  <c r="I50" i="42"/>
  <c r="G11" i="41"/>
  <c r="H11" i="41"/>
  <c r="I11" i="41"/>
  <c r="K11" i="41"/>
  <c r="G12" i="41"/>
  <c r="K12" i="41" s="1"/>
  <c r="H12" i="41"/>
  <c r="I12" i="41"/>
  <c r="G13" i="41"/>
  <c r="H13" i="41"/>
  <c r="I13" i="41"/>
  <c r="K13" i="41"/>
  <c r="G14" i="41"/>
  <c r="H14" i="41"/>
  <c r="I14" i="41"/>
  <c r="K14" i="41"/>
  <c r="G15" i="41"/>
  <c r="H15" i="41"/>
  <c r="I15" i="41"/>
  <c r="K15" i="41"/>
  <c r="G16" i="41"/>
  <c r="H16" i="41"/>
  <c r="I16" i="41"/>
  <c r="K16" i="41"/>
  <c r="G17" i="41"/>
  <c r="H17" i="41"/>
  <c r="I17" i="41"/>
  <c r="K17" i="41"/>
  <c r="G18" i="41"/>
  <c r="H18" i="41"/>
  <c r="I18" i="41"/>
  <c r="K18" i="41"/>
  <c r="G19" i="41"/>
  <c r="H19" i="41"/>
  <c r="I19" i="41"/>
  <c r="K19" i="41"/>
  <c r="G20" i="41"/>
  <c r="K20" i="41" s="1"/>
  <c r="H20" i="41"/>
  <c r="I20" i="41"/>
  <c r="G21" i="41"/>
  <c r="H21" i="41"/>
  <c r="I21" i="41"/>
  <c r="K21" i="41"/>
  <c r="G22" i="41"/>
  <c r="H22" i="41"/>
  <c r="I22" i="41"/>
  <c r="K22" i="41"/>
  <c r="G23" i="41"/>
  <c r="H23" i="41"/>
  <c r="I23" i="41"/>
  <c r="K23" i="41"/>
  <c r="G24" i="41"/>
  <c r="H24" i="41"/>
  <c r="I24" i="41"/>
  <c r="K24" i="41"/>
  <c r="G25" i="41"/>
  <c r="H25" i="41"/>
  <c r="I25" i="41"/>
  <c r="K25" i="41"/>
  <c r="G26" i="41"/>
  <c r="H26" i="41"/>
  <c r="I26" i="41"/>
  <c r="K26" i="41"/>
  <c r="K27" i="41"/>
  <c r="K28" i="41"/>
  <c r="K29" i="41"/>
  <c r="K30" i="41"/>
  <c r="K31" i="41"/>
  <c r="K32" i="41"/>
  <c r="K33" i="41"/>
  <c r="K34" i="41"/>
  <c r="G35" i="41"/>
  <c r="H35" i="41"/>
  <c r="I35" i="41"/>
  <c r="K35" i="41"/>
  <c r="G36" i="41"/>
  <c r="H36" i="41"/>
  <c r="I36" i="41"/>
  <c r="K36" i="41"/>
  <c r="G37" i="41"/>
  <c r="H37" i="41"/>
  <c r="I37" i="41"/>
  <c r="K37" i="41"/>
  <c r="G38" i="41"/>
  <c r="H38" i="41"/>
  <c r="I38" i="41"/>
  <c r="K38" i="41"/>
  <c r="G39" i="41"/>
  <c r="H39" i="41"/>
  <c r="I39" i="41"/>
  <c r="K39" i="41"/>
  <c r="G40" i="41"/>
  <c r="H40" i="41"/>
  <c r="I40" i="41"/>
  <c r="K40" i="41"/>
  <c r="G41" i="41"/>
  <c r="H41" i="41"/>
  <c r="I41" i="41"/>
  <c r="K41" i="41"/>
  <c r="G42" i="41"/>
  <c r="K42" i="41" s="1"/>
  <c r="H42" i="41"/>
  <c r="I42" i="41"/>
  <c r="G43" i="41"/>
  <c r="H43" i="41"/>
  <c r="I43" i="41"/>
  <c r="K43" i="41"/>
  <c r="G44" i="41"/>
  <c r="H44" i="41"/>
  <c r="I44" i="41"/>
  <c r="K44" i="41"/>
  <c r="G45" i="41"/>
  <c r="H45" i="41"/>
  <c r="I45" i="41"/>
  <c r="K45" i="41"/>
  <c r="G46" i="41"/>
  <c r="H46" i="41"/>
  <c r="I46" i="41"/>
  <c r="K46" i="41"/>
  <c r="G47" i="41"/>
  <c r="H47" i="41"/>
  <c r="I47" i="41"/>
  <c r="K47" i="41"/>
  <c r="G48" i="41"/>
  <c r="H48" i="41"/>
  <c r="I48" i="41"/>
  <c r="K48" i="41"/>
  <c r="G49" i="41"/>
  <c r="H49" i="41"/>
  <c r="I49" i="41"/>
  <c r="K49" i="41"/>
  <c r="G50" i="41"/>
  <c r="K50" i="41" s="1"/>
  <c r="H50" i="41"/>
  <c r="I50" i="41"/>
  <c r="G11" i="40"/>
  <c r="H11" i="40"/>
  <c r="K11" i="40" s="1"/>
  <c r="I11" i="40"/>
  <c r="G12" i="40"/>
  <c r="H12" i="40"/>
  <c r="I12" i="40"/>
  <c r="K12" i="40"/>
  <c r="G13" i="40"/>
  <c r="H13" i="40"/>
  <c r="I13" i="40"/>
  <c r="K13" i="40"/>
  <c r="G14" i="40"/>
  <c r="K14" i="40" s="1"/>
  <c r="H14" i="40"/>
  <c r="I14" i="40"/>
  <c r="G15" i="40"/>
  <c r="H15" i="40"/>
  <c r="I15" i="40"/>
  <c r="K15" i="40"/>
  <c r="G16" i="40"/>
  <c r="K16" i="40" s="1"/>
  <c r="H16" i="40"/>
  <c r="I16" i="40"/>
  <c r="G17" i="40"/>
  <c r="H17" i="40"/>
  <c r="I17" i="40"/>
  <c r="K17" i="40"/>
  <c r="G18" i="40"/>
  <c r="H18" i="40"/>
  <c r="I18" i="40"/>
  <c r="K18" i="40"/>
  <c r="G19" i="40"/>
  <c r="H19" i="40"/>
  <c r="K19" i="40" s="1"/>
  <c r="I19" i="40"/>
  <c r="G20" i="40"/>
  <c r="H20" i="40"/>
  <c r="I20" i="40"/>
  <c r="K20" i="40"/>
  <c r="G21" i="40"/>
  <c r="H21" i="40"/>
  <c r="I21" i="40"/>
  <c r="K21" i="40"/>
  <c r="G22" i="40"/>
  <c r="K22" i="40" s="1"/>
  <c r="H22" i="40"/>
  <c r="I22" i="40"/>
  <c r="G23" i="40"/>
  <c r="H23" i="40"/>
  <c r="I23" i="40"/>
  <c r="K23" i="40"/>
  <c r="G24" i="40"/>
  <c r="K24" i="40" s="1"/>
  <c r="H24" i="40"/>
  <c r="I24" i="40"/>
  <c r="G25" i="40"/>
  <c r="H25" i="40"/>
  <c r="I25" i="40"/>
  <c r="K25" i="40"/>
  <c r="G26" i="40"/>
  <c r="H26" i="40"/>
  <c r="K26" i="40" s="1"/>
  <c r="I26" i="40"/>
  <c r="K27" i="40"/>
  <c r="K28" i="40"/>
  <c r="K29" i="40"/>
  <c r="K30" i="40"/>
  <c r="K31" i="40"/>
  <c r="K32" i="40"/>
  <c r="K33" i="40"/>
  <c r="K34" i="40"/>
  <c r="G35" i="40"/>
  <c r="H35" i="40"/>
  <c r="I35" i="40"/>
  <c r="K35" i="40"/>
  <c r="G36" i="40"/>
  <c r="K36" i="40" s="1"/>
  <c r="H36" i="40"/>
  <c r="I36" i="40"/>
  <c r="G37" i="40"/>
  <c r="H37" i="40"/>
  <c r="I37" i="40"/>
  <c r="K37" i="40"/>
  <c r="G38" i="40"/>
  <c r="K38" i="40" s="1"/>
  <c r="H38" i="40"/>
  <c r="I38" i="40"/>
  <c r="G39" i="40"/>
  <c r="H39" i="40"/>
  <c r="I39" i="40"/>
  <c r="K39" i="40"/>
  <c r="G40" i="40"/>
  <c r="H40" i="40"/>
  <c r="I40" i="40"/>
  <c r="K40" i="40"/>
  <c r="G41" i="40"/>
  <c r="H41" i="40"/>
  <c r="K41" i="40" s="1"/>
  <c r="I41" i="40"/>
  <c r="G42" i="40"/>
  <c r="H42" i="40"/>
  <c r="I42" i="40"/>
  <c r="K42" i="40"/>
  <c r="G43" i="40"/>
  <c r="H43" i="40"/>
  <c r="I43" i="40"/>
  <c r="K43" i="40"/>
  <c r="G44" i="40"/>
  <c r="K44" i="40" s="1"/>
  <c r="H44" i="40"/>
  <c r="I44" i="40"/>
  <c r="G45" i="40"/>
  <c r="H45" i="40"/>
  <c r="I45" i="40"/>
  <c r="K45" i="40"/>
  <c r="G46" i="40"/>
  <c r="K46" i="40" s="1"/>
  <c r="H46" i="40"/>
  <c r="I46" i="40"/>
  <c r="G47" i="40"/>
  <c r="H47" i="40"/>
  <c r="I47" i="40"/>
  <c r="K47" i="40"/>
  <c r="G48" i="40"/>
  <c r="H48" i="40"/>
  <c r="I48" i="40"/>
  <c r="K48" i="40"/>
  <c r="G49" i="40"/>
  <c r="H49" i="40"/>
  <c r="K49" i="40" s="1"/>
  <c r="I49" i="40"/>
  <c r="G50" i="40"/>
  <c r="H50" i="40"/>
  <c r="I50" i="40"/>
  <c r="K50" i="40"/>
  <c r="G11" i="39"/>
  <c r="K11" i="39" s="1"/>
  <c r="H11" i="39"/>
  <c r="I11" i="39"/>
  <c r="G12" i="39"/>
  <c r="H12" i="39"/>
  <c r="I12" i="39"/>
  <c r="K12" i="39"/>
  <c r="G13" i="39"/>
  <c r="H13" i="39"/>
  <c r="I13" i="39"/>
  <c r="K13" i="39"/>
  <c r="G14" i="39"/>
  <c r="H14" i="39"/>
  <c r="I14" i="39"/>
  <c r="K14" i="39"/>
  <c r="G15" i="39"/>
  <c r="K15" i="39" s="1"/>
  <c r="H15" i="39"/>
  <c r="I15" i="39"/>
  <c r="G16" i="39"/>
  <c r="H16" i="39"/>
  <c r="I16" i="39"/>
  <c r="K16" i="39"/>
  <c r="G17" i="39"/>
  <c r="H17" i="39"/>
  <c r="I17" i="39"/>
  <c r="K17" i="39"/>
  <c r="G18" i="39"/>
  <c r="H18" i="39"/>
  <c r="I18" i="39"/>
  <c r="K18" i="39"/>
  <c r="G19" i="39"/>
  <c r="K19" i="39" s="1"/>
  <c r="H19" i="39"/>
  <c r="I19" i="39"/>
  <c r="G20" i="39"/>
  <c r="H20" i="39"/>
  <c r="I20" i="39"/>
  <c r="K20" i="39"/>
  <c r="G21" i="39"/>
  <c r="H21" i="39"/>
  <c r="I21" i="39"/>
  <c r="K21" i="39"/>
  <c r="G22" i="39"/>
  <c r="H22" i="39"/>
  <c r="I22" i="39"/>
  <c r="K22" i="39"/>
  <c r="G23" i="39"/>
  <c r="K23" i="39" s="1"/>
  <c r="H23" i="39"/>
  <c r="I23" i="39"/>
  <c r="G24" i="39"/>
  <c r="H24" i="39"/>
  <c r="I24" i="39"/>
  <c r="K24" i="39"/>
  <c r="G25" i="39"/>
  <c r="H25" i="39"/>
  <c r="I25" i="39"/>
  <c r="K25" i="39"/>
  <c r="G26" i="39"/>
  <c r="H26" i="39"/>
  <c r="I26" i="39"/>
  <c r="K26" i="39" s="1"/>
  <c r="K27" i="39"/>
  <c r="K28" i="39"/>
  <c r="K29" i="39"/>
  <c r="K30" i="39"/>
  <c r="K31" i="39"/>
  <c r="K32" i="39"/>
  <c r="K33" i="39"/>
  <c r="K34" i="39"/>
  <c r="G35" i="39"/>
  <c r="H35" i="39"/>
  <c r="I35" i="39"/>
  <c r="K35" i="39"/>
  <c r="G36" i="39"/>
  <c r="H36" i="39"/>
  <c r="I36" i="39"/>
  <c r="K36" i="39"/>
  <c r="G37" i="39"/>
  <c r="K37" i="39" s="1"/>
  <c r="H37" i="39"/>
  <c r="I37" i="39"/>
  <c r="G38" i="39"/>
  <c r="H38" i="39"/>
  <c r="I38" i="39"/>
  <c r="K38" i="39"/>
  <c r="G39" i="39"/>
  <c r="H39" i="39"/>
  <c r="I39" i="39"/>
  <c r="K39" i="39"/>
  <c r="G40" i="39"/>
  <c r="H40" i="39"/>
  <c r="I40" i="39"/>
  <c r="K40" i="39"/>
  <c r="G41" i="39"/>
  <c r="K41" i="39" s="1"/>
  <c r="H41" i="39"/>
  <c r="I41" i="39"/>
  <c r="G42" i="39"/>
  <c r="H42" i="39"/>
  <c r="I42" i="39"/>
  <c r="K42" i="39"/>
  <c r="G43" i="39"/>
  <c r="H43" i="39"/>
  <c r="I43" i="39"/>
  <c r="K43" i="39"/>
  <c r="G44" i="39"/>
  <c r="H44" i="39"/>
  <c r="I44" i="39"/>
  <c r="K44" i="39"/>
  <c r="G45" i="39"/>
  <c r="K45" i="39" s="1"/>
  <c r="H45" i="39"/>
  <c r="I45" i="39"/>
  <c r="G46" i="39"/>
  <c r="H46" i="39"/>
  <c r="I46" i="39"/>
  <c r="K46" i="39"/>
  <c r="G47" i="39"/>
  <c r="H47" i="39"/>
  <c r="I47" i="39"/>
  <c r="K47" i="39"/>
  <c r="G48" i="39"/>
  <c r="H48" i="39"/>
  <c r="I48" i="39"/>
  <c r="K48" i="39"/>
  <c r="G49" i="39"/>
  <c r="K49" i="39" s="1"/>
  <c r="H49" i="39"/>
  <c r="I49" i="39"/>
  <c r="G50" i="39"/>
  <c r="H50" i="39"/>
  <c r="I50" i="39"/>
  <c r="K50" i="39"/>
  <c r="G11" i="38"/>
  <c r="H11" i="38"/>
  <c r="K11" i="38" s="1"/>
  <c r="I11" i="38"/>
  <c r="G12" i="38"/>
  <c r="H12" i="38"/>
  <c r="I12" i="38"/>
  <c r="K12" i="38"/>
  <c r="G13" i="38"/>
  <c r="H13" i="38"/>
  <c r="I13" i="38"/>
  <c r="K13" i="38"/>
  <c r="G14" i="38"/>
  <c r="H14" i="38"/>
  <c r="I14" i="38"/>
  <c r="K14" i="38"/>
  <c r="G15" i="38"/>
  <c r="K15" i="38" s="1"/>
  <c r="H15" i="38"/>
  <c r="I15" i="38"/>
  <c r="G16" i="38"/>
  <c r="H16" i="38"/>
  <c r="I16" i="38"/>
  <c r="K16" i="38"/>
  <c r="G17" i="38"/>
  <c r="H17" i="38"/>
  <c r="I17" i="38"/>
  <c r="K17" i="38"/>
  <c r="G18" i="38"/>
  <c r="K18" i="38" s="1"/>
  <c r="H18" i="38"/>
  <c r="I18" i="38"/>
  <c r="G19" i="38"/>
  <c r="H19" i="38"/>
  <c r="K19" i="38" s="1"/>
  <c r="I19" i="38"/>
  <c r="G20" i="38"/>
  <c r="H20" i="38"/>
  <c r="I20" i="38"/>
  <c r="K20" i="38"/>
  <c r="G21" i="38"/>
  <c r="H21" i="38"/>
  <c r="I21" i="38"/>
  <c r="K21" i="38"/>
  <c r="G22" i="38"/>
  <c r="H22" i="38"/>
  <c r="I22" i="38"/>
  <c r="K22" i="38"/>
  <c r="G23" i="38"/>
  <c r="K23" i="38" s="1"/>
  <c r="H23" i="38"/>
  <c r="I23" i="38"/>
  <c r="G24" i="38"/>
  <c r="H24" i="38"/>
  <c r="I24" i="38"/>
  <c r="K24" i="38"/>
  <c r="G25" i="38"/>
  <c r="H25" i="38"/>
  <c r="I25" i="38"/>
  <c r="K25" i="38"/>
  <c r="G26" i="38"/>
  <c r="K26" i="38" s="1"/>
  <c r="H26" i="38"/>
  <c r="I26" i="38"/>
  <c r="K27" i="38"/>
  <c r="K28" i="38"/>
  <c r="K29" i="38"/>
  <c r="K30" i="38"/>
  <c r="K31" i="38"/>
  <c r="K32" i="38"/>
  <c r="K33" i="38"/>
  <c r="K34" i="38"/>
  <c r="G35" i="38"/>
  <c r="H35" i="38"/>
  <c r="I35" i="38"/>
  <c r="K35" i="38"/>
  <c r="G36" i="38"/>
  <c r="H36" i="38"/>
  <c r="I36" i="38"/>
  <c r="K36" i="38"/>
  <c r="G37" i="38"/>
  <c r="K37" i="38" s="1"/>
  <c r="H37" i="38"/>
  <c r="I37" i="38"/>
  <c r="G38" i="38"/>
  <c r="H38" i="38"/>
  <c r="I38" i="38"/>
  <c r="K38" i="38"/>
  <c r="G39" i="38"/>
  <c r="H39" i="38"/>
  <c r="I39" i="38"/>
  <c r="K39" i="38"/>
  <c r="G40" i="38"/>
  <c r="K40" i="38" s="1"/>
  <c r="H40" i="38"/>
  <c r="I40" i="38"/>
  <c r="G41" i="38"/>
  <c r="H41" i="38"/>
  <c r="K41" i="38" s="1"/>
  <c r="I41" i="38"/>
  <c r="G42" i="38"/>
  <c r="H42" i="38"/>
  <c r="I42" i="38"/>
  <c r="K42" i="38"/>
  <c r="G43" i="38"/>
  <c r="H43" i="38"/>
  <c r="I43" i="38"/>
  <c r="K43" i="38"/>
  <c r="G44" i="38"/>
  <c r="H44" i="38"/>
  <c r="K44" i="38" s="1"/>
  <c r="I44" i="38"/>
  <c r="G45" i="38"/>
  <c r="K45" i="38" s="1"/>
  <c r="H45" i="38"/>
  <c r="I45" i="38"/>
  <c r="G46" i="38"/>
  <c r="H46" i="38"/>
  <c r="I46" i="38"/>
  <c r="K46" i="38"/>
  <c r="G47" i="38"/>
  <c r="H47" i="38"/>
  <c r="I47" i="38"/>
  <c r="K47" i="38"/>
  <c r="G48" i="38"/>
  <c r="K48" i="38" s="1"/>
  <c r="H48" i="38"/>
  <c r="I48" i="38"/>
  <c r="G49" i="38"/>
  <c r="H49" i="38"/>
  <c r="K49" i="38" s="1"/>
  <c r="I49" i="38"/>
  <c r="G50" i="38"/>
  <c r="H50" i="38"/>
  <c r="I50" i="38"/>
  <c r="K50" i="38"/>
  <c r="G11" i="37"/>
  <c r="H11" i="37"/>
  <c r="K11" i="37" s="1"/>
  <c r="I11" i="37"/>
  <c r="G12" i="37"/>
  <c r="H12" i="37"/>
  <c r="I12" i="37"/>
  <c r="K12" i="37"/>
  <c r="G13" i="37"/>
  <c r="H13" i="37"/>
  <c r="I13" i="37"/>
  <c r="K13" i="37"/>
  <c r="G14" i="37"/>
  <c r="H14" i="37"/>
  <c r="I14" i="37"/>
  <c r="K14" i="37"/>
  <c r="G15" i="37"/>
  <c r="K15" i="37" s="1"/>
  <c r="H15" i="37"/>
  <c r="I15" i="37"/>
  <c r="G16" i="37"/>
  <c r="H16" i="37"/>
  <c r="I16" i="37"/>
  <c r="K16" i="37"/>
  <c r="G17" i="37"/>
  <c r="H17" i="37"/>
  <c r="I17" i="37"/>
  <c r="K17" i="37"/>
  <c r="G18" i="37"/>
  <c r="H18" i="37"/>
  <c r="I18" i="37"/>
  <c r="K18" i="37"/>
  <c r="G19" i="37"/>
  <c r="H19" i="37"/>
  <c r="K19" i="37" s="1"/>
  <c r="I19" i="37"/>
  <c r="G20" i="37"/>
  <c r="H20" i="37"/>
  <c r="I20" i="37"/>
  <c r="K20" i="37"/>
  <c r="G21" i="37"/>
  <c r="H21" i="37"/>
  <c r="I21" i="37"/>
  <c r="K21" i="37"/>
  <c r="G22" i="37"/>
  <c r="H22" i="37"/>
  <c r="I22" i="37"/>
  <c r="K22" i="37"/>
  <c r="G23" i="37"/>
  <c r="K23" i="37" s="1"/>
  <c r="H23" i="37"/>
  <c r="I23" i="37"/>
  <c r="G24" i="37"/>
  <c r="H24" i="37"/>
  <c r="I24" i="37"/>
  <c r="K24" i="37"/>
  <c r="G25" i="37"/>
  <c r="H25" i="37"/>
  <c r="I25" i="37"/>
  <c r="K25" i="37"/>
  <c r="G26" i="37"/>
  <c r="H26" i="37"/>
  <c r="I26" i="37"/>
  <c r="K26" i="37"/>
  <c r="K27" i="37"/>
  <c r="K28" i="37"/>
  <c r="K29" i="37"/>
  <c r="K30" i="37"/>
  <c r="K31" i="37"/>
  <c r="K32" i="37"/>
  <c r="K33" i="37"/>
  <c r="K34" i="37"/>
  <c r="G35" i="37"/>
  <c r="H35" i="37"/>
  <c r="I35" i="37"/>
  <c r="K35" i="37"/>
  <c r="G36" i="37"/>
  <c r="H36" i="37"/>
  <c r="I36" i="37"/>
  <c r="K36" i="37"/>
  <c r="G37" i="37"/>
  <c r="K37" i="37" s="1"/>
  <c r="H37" i="37"/>
  <c r="I37" i="37"/>
  <c r="G38" i="37"/>
  <c r="H38" i="37"/>
  <c r="I38" i="37"/>
  <c r="K38" i="37"/>
  <c r="G39" i="37"/>
  <c r="H39" i="37"/>
  <c r="I39" i="37"/>
  <c r="K39" i="37"/>
  <c r="G40" i="37"/>
  <c r="H40" i="37"/>
  <c r="I40" i="37"/>
  <c r="K40" i="37"/>
  <c r="G41" i="37"/>
  <c r="H41" i="37"/>
  <c r="I41" i="37"/>
  <c r="K41" i="37"/>
  <c r="G42" i="37"/>
  <c r="H42" i="37"/>
  <c r="I42" i="37"/>
  <c r="K42" i="37"/>
  <c r="G43" i="37"/>
  <c r="H43" i="37"/>
  <c r="I43" i="37"/>
  <c r="K43" i="37"/>
  <c r="G44" i="37"/>
  <c r="H44" i="37"/>
  <c r="I44" i="37"/>
  <c r="K44" i="37"/>
  <c r="G45" i="37"/>
  <c r="K45" i="37" s="1"/>
  <c r="H45" i="37"/>
  <c r="I45" i="37"/>
  <c r="G46" i="37"/>
  <c r="H46" i="37"/>
  <c r="I46" i="37"/>
  <c r="K46" i="37"/>
  <c r="G47" i="37"/>
  <c r="H47" i="37"/>
  <c r="I47" i="37"/>
  <c r="K47" i="37"/>
  <c r="G48" i="37"/>
  <c r="H48" i="37"/>
  <c r="I48" i="37"/>
  <c r="K48" i="37"/>
  <c r="G49" i="37"/>
  <c r="H49" i="37"/>
  <c r="I49" i="37"/>
  <c r="K49" i="37"/>
  <c r="G50" i="37"/>
  <c r="H50" i="37"/>
  <c r="I50" i="37"/>
  <c r="K50" i="37"/>
  <c r="S4" i="19"/>
  <c r="S5" i="19"/>
  <c r="S6" i="19"/>
  <c r="S7" i="19"/>
  <c r="S8" i="19"/>
  <c r="S9" i="19"/>
  <c r="S10" i="19"/>
  <c r="S11" i="19"/>
  <c r="S12" i="19"/>
  <c r="S13" i="19"/>
  <c r="S14" i="19"/>
  <c r="S15" i="19"/>
  <c r="S16" i="19"/>
  <c r="S17" i="19"/>
  <c r="S18" i="19"/>
  <c r="S19" i="19"/>
  <c r="S20" i="19"/>
  <c r="S21" i="19"/>
  <c r="S22" i="19"/>
  <c r="S23" i="19"/>
  <c r="S24" i="19"/>
  <c r="S25" i="19"/>
  <c r="S26" i="19"/>
  <c r="S27" i="19"/>
  <c r="S28" i="19"/>
  <c r="S29" i="19"/>
  <c r="S30" i="19"/>
  <c r="S31" i="19"/>
  <c r="S32" i="19"/>
  <c r="S33" i="19"/>
  <c r="S34" i="19"/>
  <c r="S35" i="19"/>
  <c r="S36" i="19"/>
  <c r="S37" i="19"/>
  <c r="S38" i="19"/>
  <c r="S39" i="19"/>
  <c r="S40" i="19"/>
  <c r="S41" i="19"/>
  <c r="S42" i="19"/>
  <c r="S43" i="19"/>
  <c r="S44" i="19"/>
  <c r="S45" i="19"/>
  <c r="S46" i="19"/>
  <c r="S47" i="19"/>
  <c r="S48" i="19"/>
  <c r="S49" i="19"/>
  <c r="S50" i="19"/>
  <c r="S51" i="19"/>
  <c r="S52" i="19"/>
  <c r="S53" i="19"/>
  <c r="S54" i="19"/>
  <c r="S55" i="19"/>
  <c r="S56" i="19"/>
  <c r="S57" i="19"/>
  <c r="S58" i="19"/>
  <c r="S59" i="19"/>
  <c r="S60" i="19"/>
  <c r="S61" i="19"/>
  <c r="S62" i="19"/>
  <c r="S63" i="19"/>
  <c r="S64" i="19"/>
  <c r="S65" i="19"/>
  <c r="S66" i="19"/>
  <c r="S67" i="19"/>
  <c r="S68" i="19"/>
  <c r="S69" i="19"/>
  <c r="S70" i="19"/>
  <c r="S71" i="19"/>
  <c r="S72" i="19"/>
  <c r="S73" i="19"/>
  <c r="S74" i="19"/>
  <c r="S75" i="19"/>
  <c r="S76" i="19"/>
  <c r="S77" i="19"/>
  <c r="S78" i="19"/>
  <c r="S79" i="19"/>
  <c r="S80" i="19"/>
  <c r="S81" i="19"/>
  <c r="S82" i="19"/>
  <c r="S83" i="19"/>
  <c r="S84" i="19"/>
  <c r="S85" i="19"/>
  <c r="S86" i="19"/>
  <c r="S87" i="19"/>
  <c r="S88" i="19"/>
  <c r="S89" i="19"/>
  <c r="S90" i="19"/>
  <c r="S91" i="19"/>
  <c r="S92" i="19"/>
  <c r="S93" i="19"/>
  <c r="S94" i="19"/>
  <c r="S95" i="19"/>
  <c r="S96" i="19"/>
  <c r="S97" i="19"/>
  <c r="S98" i="19"/>
  <c r="S99" i="19"/>
  <c r="S100" i="19"/>
  <c r="S101" i="19"/>
  <c r="S102" i="19"/>
  <c r="S103" i="19"/>
  <c r="S104" i="19"/>
  <c r="S105" i="19"/>
  <c r="S106" i="19"/>
  <c r="S107" i="19"/>
  <c r="S108" i="19"/>
  <c r="S109" i="19"/>
  <c r="S110" i="19"/>
  <c r="S111" i="19"/>
  <c r="S112" i="19"/>
  <c r="S113" i="19"/>
  <c r="S114" i="19"/>
  <c r="S115" i="19"/>
  <c r="S116" i="19"/>
  <c r="S117" i="19"/>
  <c r="S118" i="19"/>
  <c r="S119" i="19"/>
  <c r="S120" i="19"/>
  <c r="S121" i="19"/>
  <c r="S122" i="19"/>
  <c r="S123" i="19"/>
  <c r="S124" i="19"/>
  <c r="S125" i="19"/>
  <c r="S126" i="19"/>
  <c r="S127" i="19"/>
  <c r="S128" i="19"/>
  <c r="S129" i="19"/>
  <c r="S130" i="19"/>
  <c r="S131" i="19"/>
  <c r="S132" i="19"/>
  <c r="S133" i="19"/>
  <c r="S134" i="19"/>
  <c r="S135" i="19"/>
  <c r="S136" i="19"/>
  <c r="S137" i="19"/>
  <c r="S138" i="19"/>
  <c r="S139" i="19"/>
  <c r="S140" i="19"/>
  <c r="S141" i="19"/>
  <c r="S142" i="19"/>
  <c r="S143" i="19"/>
  <c r="S144" i="19"/>
  <c r="S145" i="19"/>
  <c r="S146" i="19"/>
  <c r="S147" i="19"/>
  <c r="S148" i="19"/>
  <c r="S149" i="19"/>
  <c r="S150" i="19"/>
  <c r="S151" i="19"/>
  <c r="S152" i="19"/>
  <c r="S153" i="19"/>
  <c r="S154" i="19"/>
  <c r="S155" i="19"/>
  <c r="S156" i="19"/>
  <c r="S157" i="19"/>
  <c r="S158" i="19"/>
  <c r="S159" i="19"/>
  <c r="S160" i="19"/>
  <c r="S161" i="19"/>
  <c r="S162" i="19"/>
  <c r="S163" i="19"/>
  <c r="S164" i="19"/>
  <c r="S165" i="19"/>
  <c r="S166" i="19"/>
  <c r="S167" i="19"/>
  <c r="S168" i="19"/>
  <c r="S169" i="19"/>
  <c r="S170" i="19"/>
  <c r="S171" i="19"/>
  <c r="S172" i="19"/>
  <c r="S173" i="19"/>
  <c r="S174" i="19"/>
  <c r="S175" i="19"/>
  <c r="S176" i="19"/>
  <c r="S177" i="19"/>
  <c r="S178" i="19"/>
  <c r="S179" i="19"/>
  <c r="S180" i="19"/>
  <c r="S181" i="19"/>
  <c r="S182" i="19"/>
  <c r="S183" i="19"/>
  <c r="S184" i="19"/>
  <c r="S185" i="19"/>
  <c r="S186" i="19"/>
  <c r="S187" i="19"/>
  <c r="S188" i="19"/>
  <c r="S189" i="19"/>
  <c r="S190" i="19"/>
  <c r="S191" i="19"/>
  <c r="S192" i="19"/>
  <c r="S193" i="19"/>
  <c r="S194" i="19"/>
  <c r="S195" i="19"/>
  <c r="S196" i="19"/>
  <c r="S197" i="19"/>
  <c r="S198" i="19"/>
  <c r="S199" i="19"/>
  <c r="S200" i="19"/>
  <c r="S201" i="19"/>
  <c r="S202" i="19"/>
  <c r="S203" i="19"/>
  <c r="S204" i="19"/>
  <c r="S205" i="19"/>
  <c r="S206" i="19"/>
  <c r="S207" i="19"/>
  <c r="S208" i="19"/>
  <c r="S209" i="19"/>
  <c r="S210" i="19"/>
  <c r="S211" i="19"/>
  <c r="S212" i="19"/>
  <c r="S213" i="19"/>
  <c r="S214" i="19"/>
  <c r="S215" i="19"/>
  <c r="S216" i="19"/>
  <c r="S217" i="19"/>
  <c r="S218" i="19"/>
  <c r="S3" i="19"/>
  <c r="R146" i="19" l="1"/>
  <c r="R145" i="19"/>
  <c r="R144" i="19"/>
  <c r="R143" i="19"/>
  <c r="R142" i="19"/>
  <c r="R141" i="19"/>
  <c r="R140" i="19"/>
  <c r="R139" i="19"/>
  <c r="R138" i="19"/>
  <c r="R137" i="19"/>
  <c r="R136" i="19"/>
  <c r="R135" i="19"/>
  <c r="R134" i="19"/>
  <c r="R133" i="19"/>
  <c r="R132" i="19"/>
  <c r="R131" i="19"/>
  <c r="R130" i="19"/>
  <c r="R129" i="19"/>
  <c r="R128" i="19"/>
  <c r="R127" i="19"/>
  <c r="R126" i="19"/>
  <c r="R125" i="19"/>
  <c r="R124" i="19"/>
  <c r="R123" i="19"/>
  <c r="R122" i="19"/>
  <c r="R121" i="19"/>
  <c r="R120" i="19"/>
  <c r="R119" i="19"/>
  <c r="R118" i="19"/>
  <c r="R117" i="19"/>
  <c r="R116" i="19"/>
  <c r="R115" i="19"/>
  <c r="R114" i="19"/>
  <c r="R113" i="19"/>
  <c r="R112" i="19"/>
  <c r="R111" i="19"/>
  <c r="R110" i="19"/>
  <c r="R109" i="19"/>
  <c r="R108" i="19"/>
  <c r="R107" i="19"/>
  <c r="R106" i="19"/>
  <c r="R105" i="19"/>
  <c r="R104" i="19"/>
  <c r="R103" i="19"/>
  <c r="R102" i="19"/>
  <c r="R101" i="19"/>
  <c r="R100" i="19"/>
  <c r="R99" i="19"/>
  <c r="R98" i="19"/>
  <c r="R97" i="19"/>
  <c r="R96" i="19"/>
  <c r="R95" i="19"/>
  <c r="R94" i="19"/>
  <c r="R93" i="19"/>
  <c r="R92" i="19"/>
  <c r="R91" i="19"/>
  <c r="R90" i="19"/>
  <c r="R89" i="19"/>
  <c r="R88" i="19"/>
  <c r="R87" i="19"/>
  <c r="R86" i="19"/>
  <c r="R85" i="19"/>
  <c r="R84" i="19"/>
  <c r="R83" i="19"/>
  <c r="R82" i="19"/>
  <c r="R81" i="19"/>
  <c r="R80" i="19"/>
  <c r="R79" i="19"/>
  <c r="R78" i="19"/>
  <c r="R77" i="19"/>
  <c r="R76" i="19"/>
  <c r="R75" i="19"/>
  <c r="R40" i="19"/>
  <c r="Q4" i="19"/>
  <c r="Q5" i="19"/>
  <c r="Q6" i="19"/>
  <c r="Q7" i="19"/>
  <c r="Q8" i="19"/>
  <c r="Q9" i="19"/>
  <c r="Q10" i="19"/>
  <c r="Q11" i="19"/>
  <c r="Q12" i="19"/>
  <c r="Q13" i="19"/>
  <c r="Q14" i="19"/>
  <c r="Q15" i="19"/>
  <c r="Q16" i="19"/>
  <c r="Q17" i="19"/>
  <c r="Q18" i="19"/>
  <c r="Q19" i="19"/>
  <c r="Q20" i="19"/>
  <c r="Q21" i="19"/>
  <c r="Q22" i="19"/>
  <c r="Q23" i="19"/>
  <c r="Q24" i="19"/>
  <c r="Q25" i="19"/>
  <c r="Q26" i="19"/>
  <c r="Q27" i="19"/>
  <c r="Q28" i="19"/>
  <c r="Q29" i="19"/>
  <c r="Q30" i="19"/>
  <c r="Q31" i="19"/>
  <c r="Q32" i="19"/>
  <c r="Q33" i="19"/>
  <c r="Q34" i="19"/>
  <c r="Q35" i="19"/>
  <c r="Q36" i="19"/>
  <c r="Q37" i="19"/>
  <c r="Q38" i="19"/>
  <c r="Q39" i="19"/>
  <c r="Q40" i="19"/>
  <c r="Q41" i="19"/>
  <c r="Q42" i="19"/>
  <c r="Q43" i="19"/>
  <c r="Q44" i="19"/>
  <c r="Q45" i="19"/>
  <c r="Q46" i="19"/>
  <c r="Q47" i="19"/>
  <c r="Q48" i="19"/>
  <c r="Q49" i="19"/>
  <c r="Q50" i="19"/>
  <c r="Q51" i="19"/>
  <c r="Q52" i="19"/>
  <c r="Q53" i="19"/>
  <c r="Q54" i="19"/>
  <c r="Q55" i="19"/>
  <c r="Q56" i="19"/>
  <c r="Q57" i="19"/>
  <c r="Q58" i="19"/>
  <c r="Q59" i="19"/>
  <c r="Q60" i="19"/>
  <c r="Q61" i="19"/>
  <c r="Q62" i="19"/>
  <c r="Q63" i="19"/>
  <c r="Q64" i="19"/>
  <c r="Q65" i="19"/>
  <c r="Q66" i="19"/>
  <c r="Q67" i="19"/>
  <c r="Q68" i="19"/>
  <c r="Q69" i="19"/>
  <c r="Q70" i="19"/>
  <c r="Q71" i="19"/>
  <c r="Q72" i="19"/>
  <c r="Q73" i="19"/>
  <c r="Q74" i="19"/>
  <c r="Q75" i="19"/>
  <c r="Q76" i="19"/>
  <c r="Q77" i="19"/>
  <c r="Q78" i="19"/>
  <c r="Q79" i="19"/>
  <c r="Q80" i="19"/>
  <c r="Q81" i="19"/>
  <c r="Q82" i="19"/>
  <c r="Q83" i="19"/>
  <c r="Q84" i="19"/>
  <c r="Q85" i="19"/>
  <c r="Q86" i="19"/>
  <c r="Q87" i="19"/>
  <c r="Q88" i="19"/>
  <c r="Q89" i="19"/>
  <c r="Q90" i="19"/>
  <c r="Q91" i="19"/>
  <c r="Q92" i="19"/>
  <c r="Q93" i="19"/>
  <c r="Q94" i="19"/>
  <c r="Q95" i="19"/>
  <c r="Q96" i="19"/>
  <c r="Q97" i="19"/>
  <c r="Q98" i="19"/>
  <c r="Q99" i="19"/>
  <c r="Q100" i="19"/>
  <c r="Q101" i="19"/>
  <c r="Q102" i="19"/>
  <c r="Q103" i="19"/>
  <c r="Q104" i="19"/>
  <c r="Q105" i="19"/>
  <c r="Q106" i="19"/>
  <c r="Q107" i="19"/>
  <c r="Q108" i="19"/>
  <c r="Q109" i="19"/>
  <c r="Q110" i="19"/>
  <c r="Q111" i="19"/>
  <c r="Q112" i="19"/>
  <c r="Q113" i="19"/>
  <c r="Q114" i="19"/>
  <c r="Q115" i="19"/>
  <c r="Q116" i="19"/>
  <c r="Q117" i="19"/>
  <c r="Q118" i="19"/>
  <c r="Q119" i="19"/>
  <c r="Q120" i="19"/>
  <c r="Q121" i="19"/>
  <c r="Q122" i="19"/>
  <c r="Q123" i="19"/>
  <c r="Q124" i="19"/>
  <c r="Q125" i="19"/>
  <c r="Q126" i="19"/>
  <c r="Q127" i="19"/>
  <c r="Q128" i="19"/>
  <c r="Q129" i="19"/>
  <c r="Q130" i="19"/>
  <c r="Q131" i="19"/>
  <c r="Q132" i="19"/>
  <c r="Q133" i="19"/>
  <c r="Q134" i="19"/>
  <c r="Q135" i="19"/>
  <c r="Q136" i="19"/>
  <c r="Q137" i="19"/>
  <c r="Q138" i="19"/>
  <c r="Q139" i="19"/>
  <c r="Q140" i="19"/>
  <c r="Q141" i="19"/>
  <c r="Q142" i="19"/>
  <c r="Q143" i="19"/>
  <c r="Q144" i="19"/>
  <c r="Q145" i="19"/>
  <c r="Q146" i="19"/>
  <c r="Q147" i="19"/>
  <c r="Q148" i="19"/>
  <c r="Q149" i="19"/>
  <c r="Q150" i="19"/>
  <c r="Q151" i="19"/>
  <c r="Q152" i="19"/>
  <c r="Q153" i="19"/>
  <c r="Q154" i="19"/>
  <c r="Q155" i="19"/>
  <c r="Q156" i="19"/>
  <c r="Q157" i="19"/>
  <c r="Q158" i="19"/>
  <c r="Q159" i="19"/>
  <c r="Q160" i="19"/>
  <c r="Q161" i="19"/>
  <c r="Q162" i="19"/>
  <c r="Q163" i="19"/>
  <c r="Q164" i="19"/>
  <c r="Q165" i="19"/>
  <c r="Q166" i="19"/>
  <c r="Q167" i="19"/>
  <c r="Q168" i="19"/>
  <c r="Q169" i="19"/>
  <c r="Q170" i="19"/>
  <c r="Q171" i="19"/>
  <c r="Q172" i="19"/>
  <c r="Q173" i="19"/>
  <c r="Q174" i="19"/>
  <c r="Q175" i="19"/>
  <c r="Q176" i="19"/>
  <c r="Q177" i="19"/>
  <c r="Q178" i="19"/>
  <c r="Q179" i="19"/>
  <c r="Q180" i="19"/>
  <c r="Q181" i="19"/>
  <c r="Q182" i="19"/>
  <c r="Q183" i="19"/>
  <c r="Q184" i="19"/>
  <c r="Q185" i="19"/>
  <c r="Q186" i="19"/>
  <c r="Q187" i="19"/>
  <c r="Q188" i="19"/>
  <c r="Q189" i="19"/>
  <c r="Q190" i="19"/>
  <c r="Q191" i="19"/>
  <c r="Q192" i="19"/>
  <c r="Q193" i="19"/>
  <c r="Q194" i="19"/>
  <c r="Q195" i="19"/>
  <c r="Q196" i="19"/>
  <c r="Q197" i="19"/>
  <c r="Q198" i="19"/>
  <c r="Q199" i="19"/>
  <c r="Q200" i="19"/>
  <c r="Q201" i="19"/>
  <c r="Q202" i="19"/>
  <c r="Q203" i="19"/>
  <c r="Q204" i="19"/>
  <c r="Q205" i="19"/>
  <c r="Q206" i="19"/>
  <c r="Q207" i="19"/>
  <c r="Q208" i="19"/>
  <c r="Q209" i="19"/>
  <c r="Q210" i="19"/>
  <c r="Q211" i="19"/>
  <c r="Q212" i="19"/>
  <c r="Q213" i="19"/>
  <c r="Q214" i="19"/>
  <c r="Q215" i="19"/>
  <c r="Q216" i="19"/>
  <c r="Q217" i="19"/>
  <c r="Q218" i="19"/>
  <c r="Q3" i="19"/>
  <c r="E10" i="33"/>
  <c r="F10" i="33"/>
  <c r="G10" i="33"/>
  <c r="I10" i="33"/>
  <c r="J10" i="33"/>
  <c r="Q10" i="33"/>
  <c r="S3" i="33" s="1"/>
  <c r="R10" i="33"/>
  <c r="S10" i="33"/>
  <c r="E11" i="33"/>
  <c r="F11" i="33"/>
  <c r="G11" i="33"/>
  <c r="I11" i="33"/>
  <c r="J11" i="33"/>
  <c r="Q11" i="33"/>
  <c r="S4" i="33" s="1"/>
  <c r="R11" i="33"/>
  <c r="S11" i="33"/>
  <c r="E12" i="33"/>
  <c r="F12" i="33"/>
  <c r="G12" i="33"/>
  <c r="I12" i="33"/>
  <c r="J12" i="33"/>
  <c r="Q12" i="33"/>
  <c r="S5" i="33" s="1"/>
  <c r="R12" i="33"/>
  <c r="S12" i="33"/>
  <c r="E13" i="33"/>
  <c r="F13" i="33"/>
  <c r="S13" i="33" s="1"/>
  <c r="G13" i="33"/>
  <c r="I13" i="33"/>
  <c r="J13" i="33"/>
  <c r="Q13" i="33"/>
  <c r="R13" i="33"/>
  <c r="E14" i="33"/>
  <c r="F14" i="33"/>
  <c r="G14" i="33"/>
  <c r="I14" i="33"/>
  <c r="J14" i="33"/>
  <c r="Q14" i="33"/>
  <c r="R14" i="33"/>
  <c r="S14" i="33"/>
  <c r="E15" i="33"/>
  <c r="F15" i="33"/>
  <c r="G15" i="33"/>
  <c r="I15" i="33"/>
  <c r="J15" i="33"/>
  <c r="Q15" i="33"/>
  <c r="R15" i="33"/>
  <c r="S15" i="33"/>
  <c r="Q15" i="18" s="1"/>
  <c r="E16" i="33"/>
  <c r="F16" i="33"/>
  <c r="G16" i="33"/>
  <c r="I16" i="33"/>
  <c r="J16" i="33"/>
  <c r="Q16" i="33"/>
  <c r="R16" i="33"/>
  <c r="S16" i="33"/>
  <c r="E17" i="33"/>
  <c r="F17" i="33"/>
  <c r="S17" i="33" s="1"/>
  <c r="G17" i="33"/>
  <c r="I17" i="33"/>
  <c r="J17" i="33"/>
  <c r="Q17" i="33"/>
  <c r="R17" i="33"/>
  <c r="E18" i="33"/>
  <c r="F18" i="33"/>
  <c r="G18" i="33"/>
  <c r="I18" i="33"/>
  <c r="J18" i="33"/>
  <c r="Q18" i="33"/>
  <c r="R18" i="33"/>
  <c r="S18" i="33"/>
  <c r="E19" i="33"/>
  <c r="F19" i="33"/>
  <c r="G19" i="33"/>
  <c r="I19" i="33"/>
  <c r="J19" i="33"/>
  <c r="Q19" i="33"/>
  <c r="R19" i="33"/>
  <c r="S19" i="33"/>
  <c r="E20" i="33"/>
  <c r="F20" i="33"/>
  <c r="G20" i="33"/>
  <c r="I20" i="33"/>
  <c r="J20" i="33"/>
  <c r="Q20" i="33"/>
  <c r="R20" i="33"/>
  <c r="S20" i="33"/>
  <c r="E21" i="33"/>
  <c r="F21" i="33"/>
  <c r="S21" i="33" s="1"/>
  <c r="G21" i="33"/>
  <c r="I21" i="33"/>
  <c r="J21" i="33"/>
  <c r="Q21" i="33"/>
  <c r="R21" i="33"/>
  <c r="E22" i="33"/>
  <c r="F22" i="33"/>
  <c r="G22" i="33"/>
  <c r="I22" i="33"/>
  <c r="J22" i="33"/>
  <c r="Q22" i="33"/>
  <c r="R22" i="33"/>
  <c r="S22" i="33"/>
  <c r="E23" i="33"/>
  <c r="F23" i="33"/>
  <c r="G23" i="33"/>
  <c r="I23" i="33"/>
  <c r="J23" i="33"/>
  <c r="Q23" i="33"/>
  <c r="R23" i="33"/>
  <c r="S23" i="33"/>
  <c r="Q23" i="18" s="1"/>
  <c r="E24" i="33"/>
  <c r="F24" i="33"/>
  <c r="G24" i="33"/>
  <c r="I24" i="33"/>
  <c r="J24" i="33"/>
  <c r="Q24" i="33"/>
  <c r="R24" i="33"/>
  <c r="S24" i="33"/>
  <c r="E25" i="33"/>
  <c r="F25" i="33"/>
  <c r="S25" i="33" s="1"/>
  <c r="G25" i="33"/>
  <c r="I25" i="33"/>
  <c r="J25" i="33"/>
  <c r="Q25" i="33"/>
  <c r="R25" i="33"/>
  <c r="E26" i="33"/>
  <c r="F26" i="33"/>
  <c r="G26" i="33"/>
  <c r="I26" i="33"/>
  <c r="J26" i="33"/>
  <c r="Q26" i="33"/>
  <c r="R26" i="33"/>
  <c r="S26" i="33"/>
  <c r="E27" i="33"/>
  <c r="F27" i="33"/>
  <c r="G27" i="33"/>
  <c r="I27" i="33"/>
  <c r="J27" i="33"/>
  <c r="Q27" i="33"/>
  <c r="R27" i="33"/>
  <c r="S27" i="33"/>
  <c r="E28" i="33"/>
  <c r="F28" i="33"/>
  <c r="G28" i="33"/>
  <c r="I28" i="33"/>
  <c r="J28" i="33"/>
  <c r="Q28" i="33"/>
  <c r="R28" i="33"/>
  <c r="S28" i="33"/>
  <c r="E29" i="33"/>
  <c r="F29" i="33"/>
  <c r="S29" i="33" s="1"/>
  <c r="G29" i="33"/>
  <c r="I29" i="33"/>
  <c r="J29" i="33"/>
  <c r="Q29" i="33"/>
  <c r="R29" i="33"/>
  <c r="E30" i="33"/>
  <c r="F30" i="33"/>
  <c r="G30" i="33"/>
  <c r="I30" i="33"/>
  <c r="J30" i="33"/>
  <c r="Q30" i="33"/>
  <c r="R30" i="33"/>
  <c r="S30" i="33"/>
  <c r="E31" i="33"/>
  <c r="F31" i="33"/>
  <c r="G31" i="33"/>
  <c r="I31" i="33"/>
  <c r="J31" i="33"/>
  <c r="Q31" i="33"/>
  <c r="R31" i="33"/>
  <c r="S31" i="33"/>
  <c r="Q31" i="18" s="1"/>
  <c r="E32" i="33"/>
  <c r="F32" i="33"/>
  <c r="G32" i="33"/>
  <c r="I32" i="33"/>
  <c r="J32" i="33"/>
  <c r="Q32" i="33"/>
  <c r="R32" i="33"/>
  <c r="S32" i="33"/>
  <c r="E33" i="33"/>
  <c r="F33" i="33"/>
  <c r="S33" i="33" s="1"/>
  <c r="Q33" i="18" s="1"/>
  <c r="G33" i="33"/>
  <c r="I33" i="33"/>
  <c r="J33" i="33"/>
  <c r="Q33" i="33"/>
  <c r="R33" i="33"/>
  <c r="E34" i="33"/>
  <c r="F34" i="33"/>
  <c r="G34" i="33"/>
  <c r="I34" i="33"/>
  <c r="J34" i="33"/>
  <c r="Q34" i="33"/>
  <c r="R34" i="33"/>
  <c r="S34" i="33"/>
  <c r="Q34" i="18" s="1"/>
  <c r="E35" i="33"/>
  <c r="F35" i="33"/>
  <c r="G35" i="33"/>
  <c r="I35" i="33"/>
  <c r="J35" i="33"/>
  <c r="Q35" i="33"/>
  <c r="R35" i="33"/>
  <c r="S35" i="33"/>
  <c r="E36" i="33"/>
  <c r="F36" i="33"/>
  <c r="G36" i="33"/>
  <c r="I36" i="33"/>
  <c r="J36" i="33"/>
  <c r="Q36" i="33"/>
  <c r="R36" i="33"/>
  <c r="S36" i="33"/>
  <c r="Q36" i="18" s="1"/>
  <c r="E37" i="33"/>
  <c r="F37" i="33"/>
  <c r="S37" i="33" s="1"/>
  <c r="G37" i="33"/>
  <c r="I37" i="33"/>
  <c r="J37" i="33"/>
  <c r="Q37" i="33"/>
  <c r="R37" i="33"/>
  <c r="E38" i="33"/>
  <c r="F38" i="33"/>
  <c r="G38" i="33"/>
  <c r="I38" i="33"/>
  <c r="J38" i="33"/>
  <c r="Q38" i="33"/>
  <c r="R38" i="33"/>
  <c r="S38" i="33"/>
  <c r="E39" i="33"/>
  <c r="F39" i="33"/>
  <c r="G39" i="33"/>
  <c r="I39" i="33"/>
  <c r="J39" i="33"/>
  <c r="Q39" i="33"/>
  <c r="R39" i="33"/>
  <c r="S39" i="33"/>
  <c r="E40" i="33"/>
  <c r="F40" i="33"/>
  <c r="G40" i="33"/>
  <c r="I40" i="33"/>
  <c r="J40" i="33"/>
  <c r="Q40" i="33"/>
  <c r="R40" i="33"/>
  <c r="S40" i="33"/>
  <c r="E41" i="33"/>
  <c r="F41" i="33"/>
  <c r="S41" i="33" s="1"/>
  <c r="G41" i="33"/>
  <c r="I41" i="33"/>
  <c r="J41" i="33"/>
  <c r="Q41" i="33"/>
  <c r="R41" i="33"/>
  <c r="I42" i="33"/>
  <c r="J42" i="33"/>
  <c r="Q42" i="33"/>
  <c r="R42" i="33"/>
  <c r="S42" i="33"/>
  <c r="I43" i="33"/>
  <c r="J43" i="33"/>
  <c r="Q43" i="33"/>
  <c r="R43" i="33"/>
  <c r="S43" i="33"/>
  <c r="I44" i="33"/>
  <c r="J44" i="33"/>
  <c r="Q44" i="33"/>
  <c r="R44" i="33"/>
  <c r="S44" i="33"/>
  <c r="I45" i="33"/>
  <c r="J45" i="33"/>
  <c r="Q45" i="33"/>
  <c r="R45" i="33"/>
  <c r="S45" i="33"/>
  <c r="I46" i="33"/>
  <c r="J46" i="33"/>
  <c r="Q46" i="33"/>
  <c r="R46" i="33"/>
  <c r="S46" i="33"/>
  <c r="I47" i="33"/>
  <c r="J47" i="33"/>
  <c r="Q47" i="33"/>
  <c r="S47" i="33" s="1"/>
  <c r="R47" i="33"/>
  <c r="I48" i="33"/>
  <c r="J48" i="33"/>
  <c r="Q48" i="33"/>
  <c r="R48" i="33"/>
  <c r="S48" i="33"/>
  <c r="I49" i="33"/>
  <c r="J49" i="33"/>
  <c r="Q49" i="33"/>
  <c r="R49" i="33"/>
  <c r="S49" i="33"/>
  <c r="Z50" i="33"/>
  <c r="Z67" i="33"/>
  <c r="Z76" i="33"/>
  <c r="E10" i="32"/>
  <c r="F10" i="32"/>
  <c r="G10" i="32"/>
  <c r="I10" i="32"/>
  <c r="J10" i="32"/>
  <c r="Q10" i="32"/>
  <c r="R10" i="32"/>
  <c r="S10" i="32"/>
  <c r="E11" i="32"/>
  <c r="F11" i="32"/>
  <c r="G11" i="32"/>
  <c r="I11" i="32"/>
  <c r="J11" i="32"/>
  <c r="Q11" i="32"/>
  <c r="S3" i="32" s="1"/>
  <c r="R11" i="32"/>
  <c r="S11" i="32"/>
  <c r="E12" i="32"/>
  <c r="F12" i="32"/>
  <c r="G12" i="32"/>
  <c r="I12" i="32"/>
  <c r="J12" i="32"/>
  <c r="Q12" i="32"/>
  <c r="S4" i="32" s="1"/>
  <c r="R12" i="32"/>
  <c r="S12" i="32"/>
  <c r="E13" i="32"/>
  <c r="F13" i="32"/>
  <c r="S13" i="32" s="1"/>
  <c r="G13" i="32"/>
  <c r="I13" i="32"/>
  <c r="J13" i="32"/>
  <c r="Q13" i="32"/>
  <c r="R13" i="32"/>
  <c r="E14" i="32"/>
  <c r="F14" i="32"/>
  <c r="G14" i="32"/>
  <c r="I14" i="32"/>
  <c r="J14" i="32"/>
  <c r="Q14" i="32"/>
  <c r="R14" i="32"/>
  <c r="S14" i="32"/>
  <c r="E15" i="32"/>
  <c r="F15" i="32"/>
  <c r="G15" i="32"/>
  <c r="I15" i="32"/>
  <c r="J15" i="32"/>
  <c r="Q15" i="32"/>
  <c r="R15" i="32"/>
  <c r="S15" i="32"/>
  <c r="E16" i="32"/>
  <c r="F16" i="32"/>
  <c r="G16" i="32"/>
  <c r="I16" i="32"/>
  <c r="J16" i="32"/>
  <c r="Q16" i="32"/>
  <c r="R16" i="32"/>
  <c r="S16" i="32"/>
  <c r="E17" i="32"/>
  <c r="F17" i="32"/>
  <c r="S17" i="32" s="1"/>
  <c r="G17" i="32"/>
  <c r="I17" i="32"/>
  <c r="J17" i="32"/>
  <c r="Q17" i="32"/>
  <c r="R17" i="32"/>
  <c r="E18" i="32"/>
  <c r="F18" i="32"/>
  <c r="G18" i="32"/>
  <c r="I18" i="32"/>
  <c r="J18" i="32"/>
  <c r="Q18" i="32"/>
  <c r="R18" i="32"/>
  <c r="S18" i="32"/>
  <c r="E19" i="32"/>
  <c r="F19" i="32"/>
  <c r="G19" i="32"/>
  <c r="I19" i="32"/>
  <c r="J19" i="32"/>
  <c r="Q19" i="32"/>
  <c r="R19" i="32"/>
  <c r="S19" i="32"/>
  <c r="E20" i="32"/>
  <c r="F20" i="32"/>
  <c r="G20" i="32"/>
  <c r="I20" i="32"/>
  <c r="J20" i="32"/>
  <c r="Q20" i="32"/>
  <c r="R20" i="32"/>
  <c r="S20" i="32"/>
  <c r="E21" i="32"/>
  <c r="F21" i="32"/>
  <c r="S21" i="32" s="1"/>
  <c r="G21" i="32"/>
  <c r="I21" i="32"/>
  <c r="J21" i="32"/>
  <c r="Q21" i="32"/>
  <c r="R21" i="32"/>
  <c r="E22" i="32"/>
  <c r="F22" i="32"/>
  <c r="G22" i="32"/>
  <c r="I22" i="32"/>
  <c r="J22" i="32"/>
  <c r="Q22" i="32"/>
  <c r="R22" i="32"/>
  <c r="S22" i="32"/>
  <c r="E23" i="32"/>
  <c r="F23" i="32"/>
  <c r="G23" i="32"/>
  <c r="I23" i="32"/>
  <c r="J23" i="32"/>
  <c r="Q23" i="32"/>
  <c r="R23" i="32"/>
  <c r="S23" i="32"/>
  <c r="P23" i="18" s="1"/>
  <c r="E24" i="32"/>
  <c r="F24" i="32"/>
  <c r="G24" i="32"/>
  <c r="I24" i="32"/>
  <c r="J24" i="32"/>
  <c r="Q24" i="32"/>
  <c r="R24" i="32"/>
  <c r="S24" i="32"/>
  <c r="E25" i="32"/>
  <c r="F25" i="32"/>
  <c r="S25" i="32" s="1"/>
  <c r="P25" i="18" s="1"/>
  <c r="G25" i="32"/>
  <c r="I25" i="32"/>
  <c r="J25" i="32"/>
  <c r="Q25" i="32"/>
  <c r="R25" i="32"/>
  <c r="E26" i="32"/>
  <c r="F26" i="32"/>
  <c r="G26" i="32"/>
  <c r="I26" i="32"/>
  <c r="J26" i="32"/>
  <c r="Q26" i="32"/>
  <c r="R26" i="32"/>
  <c r="S26" i="32"/>
  <c r="E27" i="32"/>
  <c r="F27" i="32"/>
  <c r="G27" i="32"/>
  <c r="I27" i="32"/>
  <c r="J27" i="32"/>
  <c r="Q27" i="32"/>
  <c r="R27" i="32"/>
  <c r="S27" i="32"/>
  <c r="E28" i="32"/>
  <c r="F28" i="32"/>
  <c r="G28" i="32"/>
  <c r="I28" i="32"/>
  <c r="J28" i="32"/>
  <c r="Q28" i="32"/>
  <c r="R28" i="32"/>
  <c r="S28" i="32"/>
  <c r="P28" i="18" s="1"/>
  <c r="E29" i="32"/>
  <c r="F29" i="32"/>
  <c r="S29" i="32" s="1"/>
  <c r="G29" i="32"/>
  <c r="I29" i="32"/>
  <c r="J29" i="32"/>
  <c r="Q29" i="32"/>
  <c r="R29" i="32"/>
  <c r="E30" i="32"/>
  <c r="F30" i="32"/>
  <c r="G30" i="32"/>
  <c r="I30" i="32"/>
  <c r="J30" i="32"/>
  <c r="Q30" i="32"/>
  <c r="R30" i="32"/>
  <c r="S30" i="32"/>
  <c r="E31" i="32"/>
  <c r="F31" i="32"/>
  <c r="G31" i="32"/>
  <c r="I31" i="32"/>
  <c r="J31" i="32"/>
  <c r="Q31" i="32"/>
  <c r="R31" i="32"/>
  <c r="S31" i="32"/>
  <c r="E32" i="32"/>
  <c r="F32" i="32"/>
  <c r="G32" i="32"/>
  <c r="I32" i="32"/>
  <c r="J32" i="32"/>
  <c r="Q32" i="32"/>
  <c r="R32" i="32"/>
  <c r="S32" i="32"/>
  <c r="E33" i="32"/>
  <c r="F33" i="32"/>
  <c r="S33" i="32" s="1"/>
  <c r="G33" i="32"/>
  <c r="I33" i="32"/>
  <c r="J33" i="32"/>
  <c r="Q33" i="32"/>
  <c r="R33" i="32"/>
  <c r="E34" i="32"/>
  <c r="F34" i="32"/>
  <c r="G34" i="32"/>
  <c r="I34" i="32"/>
  <c r="J34" i="32"/>
  <c r="Q34" i="32"/>
  <c r="R34" i="32"/>
  <c r="S34" i="32"/>
  <c r="E35" i="32"/>
  <c r="F35" i="32"/>
  <c r="G35" i="32"/>
  <c r="I35" i="32"/>
  <c r="J35" i="32"/>
  <c r="Q35" i="32"/>
  <c r="R35" i="32"/>
  <c r="S35" i="32"/>
  <c r="P35" i="18" s="1"/>
  <c r="E36" i="32"/>
  <c r="F36" i="32"/>
  <c r="G36" i="32"/>
  <c r="I36" i="32"/>
  <c r="J36" i="32"/>
  <c r="Q36" i="32"/>
  <c r="R36" i="32"/>
  <c r="S36" i="32"/>
  <c r="E37" i="32"/>
  <c r="F37" i="32"/>
  <c r="S37" i="32" s="1"/>
  <c r="G37" i="32"/>
  <c r="I37" i="32"/>
  <c r="J37" i="32"/>
  <c r="Q37" i="32"/>
  <c r="R37" i="32"/>
  <c r="E38" i="32"/>
  <c r="F38" i="32"/>
  <c r="G38" i="32"/>
  <c r="I38" i="32"/>
  <c r="J38" i="32"/>
  <c r="Q38" i="32"/>
  <c r="R38" i="32"/>
  <c r="S38" i="32"/>
  <c r="E39" i="32"/>
  <c r="F39" i="32"/>
  <c r="G39" i="32"/>
  <c r="I39" i="32"/>
  <c r="J39" i="32"/>
  <c r="Q39" i="32"/>
  <c r="R39" i="32"/>
  <c r="S39" i="32"/>
  <c r="E40" i="32"/>
  <c r="F40" i="32"/>
  <c r="G40" i="32"/>
  <c r="I40" i="32"/>
  <c r="J40" i="32"/>
  <c r="Q40" i="32"/>
  <c r="R40" i="32"/>
  <c r="S40" i="32"/>
  <c r="E41" i="32"/>
  <c r="F41" i="32"/>
  <c r="S41" i="32" s="1"/>
  <c r="G41" i="32"/>
  <c r="I41" i="32"/>
  <c r="J41" i="32"/>
  <c r="Q41" i="32"/>
  <c r="R41" i="32"/>
  <c r="I42" i="32"/>
  <c r="J42" i="32"/>
  <c r="Q42" i="32"/>
  <c r="R42" i="32"/>
  <c r="S42" i="32"/>
  <c r="I43" i="32"/>
  <c r="J43" i="32"/>
  <c r="Q43" i="32"/>
  <c r="R43" i="32"/>
  <c r="S43" i="32"/>
  <c r="I44" i="32"/>
  <c r="J44" i="32"/>
  <c r="Q44" i="32"/>
  <c r="R44" i="32"/>
  <c r="S44" i="32"/>
  <c r="I45" i="32"/>
  <c r="J45" i="32"/>
  <c r="Q45" i="32"/>
  <c r="R45" i="32"/>
  <c r="S45" i="32"/>
  <c r="I46" i="32"/>
  <c r="J46" i="32"/>
  <c r="Q46" i="32"/>
  <c r="R46" i="32"/>
  <c r="S46" i="32"/>
  <c r="I47" i="32"/>
  <c r="J47" i="32"/>
  <c r="Q47" i="32"/>
  <c r="R47" i="32"/>
  <c r="S47" i="32"/>
  <c r="P47" i="18" s="1"/>
  <c r="I48" i="32"/>
  <c r="J48" i="32"/>
  <c r="Q48" i="32"/>
  <c r="R48" i="32"/>
  <c r="S48" i="32"/>
  <c r="I49" i="32"/>
  <c r="J49" i="32"/>
  <c r="Q49" i="32"/>
  <c r="R49" i="32"/>
  <c r="S49" i="32"/>
  <c r="Z49" i="32"/>
  <c r="Z64" i="32"/>
  <c r="AA64" i="32"/>
  <c r="Z66" i="32"/>
  <c r="Z75" i="32"/>
  <c r="E10" i="31"/>
  <c r="J10" i="31" s="1"/>
  <c r="F10" i="31"/>
  <c r="G10" i="31"/>
  <c r="I10" i="31"/>
  <c r="Q10" i="31"/>
  <c r="S3" i="31" s="1"/>
  <c r="R10" i="31"/>
  <c r="S10" i="31"/>
  <c r="E11" i="31"/>
  <c r="F11" i="31"/>
  <c r="G11" i="31"/>
  <c r="I11" i="31"/>
  <c r="J11" i="31"/>
  <c r="Q11" i="31"/>
  <c r="R11" i="31"/>
  <c r="S11" i="31"/>
  <c r="O11" i="18" s="1"/>
  <c r="E12" i="31"/>
  <c r="F12" i="31"/>
  <c r="J12" i="31" s="1"/>
  <c r="G12" i="31"/>
  <c r="I12" i="31"/>
  <c r="Q12" i="31"/>
  <c r="S4" i="31" s="1"/>
  <c r="R12" i="31"/>
  <c r="S12" i="31"/>
  <c r="E13" i="31"/>
  <c r="F13" i="31"/>
  <c r="S13" i="31" s="1"/>
  <c r="G13" i="31"/>
  <c r="I13" i="31"/>
  <c r="J13" i="31"/>
  <c r="Q13" i="31"/>
  <c r="R13" i="31"/>
  <c r="E14" i="31"/>
  <c r="J14" i="31" s="1"/>
  <c r="F14" i="31"/>
  <c r="G14" i="31"/>
  <c r="I14" i="31"/>
  <c r="Q14" i="31"/>
  <c r="R14" i="31"/>
  <c r="S14" i="31"/>
  <c r="O14" i="18" s="1"/>
  <c r="E15" i="31"/>
  <c r="F15" i="31"/>
  <c r="G15" i="31"/>
  <c r="J15" i="31" s="1"/>
  <c r="I15" i="31"/>
  <c r="Q15" i="31"/>
  <c r="R15" i="31"/>
  <c r="S15" i="31"/>
  <c r="O15" i="18" s="1"/>
  <c r="E16" i="31"/>
  <c r="F16" i="31"/>
  <c r="J16" i="31" s="1"/>
  <c r="G16" i="31"/>
  <c r="I16" i="31"/>
  <c r="Q16" i="31"/>
  <c r="R16" i="31"/>
  <c r="S16" i="31"/>
  <c r="E17" i="31"/>
  <c r="F17" i="31"/>
  <c r="S17" i="31" s="1"/>
  <c r="O17" i="18" s="1"/>
  <c r="G17" i="31"/>
  <c r="I17" i="31"/>
  <c r="J17" i="31"/>
  <c r="Q17" i="31"/>
  <c r="R17" i="31"/>
  <c r="E18" i="31"/>
  <c r="J18" i="31" s="1"/>
  <c r="F18" i="31"/>
  <c r="G18" i="31"/>
  <c r="I18" i="31"/>
  <c r="Q18" i="31"/>
  <c r="R18" i="31"/>
  <c r="S18" i="31"/>
  <c r="E19" i="31"/>
  <c r="F19" i="31"/>
  <c r="G19" i="31"/>
  <c r="J19" i="31" s="1"/>
  <c r="I19" i="31"/>
  <c r="Q19" i="31"/>
  <c r="R19" i="31"/>
  <c r="S19" i="31"/>
  <c r="E20" i="31"/>
  <c r="F20" i="31"/>
  <c r="J20" i="31" s="1"/>
  <c r="G20" i="31"/>
  <c r="I20" i="31"/>
  <c r="Q20" i="31"/>
  <c r="R20" i="31"/>
  <c r="S20" i="31"/>
  <c r="O20" i="18" s="1"/>
  <c r="E21" i="31"/>
  <c r="F21" i="31"/>
  <c r="S21" i="31" s="1"/>
  <c r="G21" i="31"/>
  <c r="I21" i="31"/>
  <c r="J21" i="31"/>
  <c r="Q21" i="31"/>
  <c r="R21" i="31"/>
  <c r="E22" i="31"/>
  <c r="J22" i="31" s="1"/>
  <c r="F22" i="31"/>
  <c r="G22" i="31"/>
  <c r="I22" i="31"/>
  <c r="Q22" i="31"/>
  <c r="R22" i="31"/>
  <c r="S22" i="31"/>
  <c r="E23" i="31"/>
  <c r="F23" i="31"/>
  <c r="G23" i="31"/>
  <c r="I23" i="31"/>
  <c r="J23" i="31"/>
  <c r="Q23" i="31"/>
  <c r="R23" i="31"/>
  <c r="S23" i="31"/>
  <c r="E24" i="31"/>
  <c r="F24" i="31"/>
  <c r="J24" i="31" s="1"/>
  <c r="G24" i="31"/>
  <c r="I24" i="31"/>
  <c r="Q24" i="31"/>
  <c r="R24" i="31"/>
  <c r="S24" i="31"/>
  <c r="O24" i="18" s="1"/>
  <c r="E25" i="31"/>
  <c r="F25" i="31"/>
  <c r="S25" i="31" s="1"/>
  <c r="G25" i="31"/>
  <c r="I25" i="31"/>
  <c r="J25" i="31"/>
  <c r="Q25" i="31"/>
  <c r="R25" i="31"/>
  <c r="E26" i="31"/>
  <c r="J26" i="31" s="1"/>
  <c r="F26" i="31"/>
  <c r="G26" i="31"/>
  <c r="I26" i="31"/>
  <c r="Q26" i="31"/>
  <c r="R26" i="31"/>
  <c r="S26" i="31"/>
  <c r="E27" i="31"/>
  <c r="F27" i="31"/>
  <c r="G27" i="31"/>
  <c r="I27" i="31"/>
  <c r="J27" i="31"/>
  <c r="Q27" i="31"/>
  <c r="R27" i="31"/>
  <c r="S27" i="31"/>
  <c r="O27" i="18" s="1"/>
  <c r="E28" i="31"/>
  <c r="F28" i="31"/>
  <c r="J28" i="31" s="1"/>
  <c r="G28" i="31"/>
  <c r="I28" i="31"/>
  <c r="Q28" i="31"/>
  <c r="R28" i="31"/>
  <c r="S28" i="31"/>
  <c r="E29" i="31"/>
  <c r="F29" i="31"/>
  <c r="S29" i="31" s="1"/>
  <c r="G29" i="31"/>
  <c r="I29" i="31"/>
  <c r="J29" i="31"/>
  <c r="Q29" i="31"/>
  <c r="R29" i="31"/>
  <c r="E30" i="31"/>
  <c r="J30" i="31" s="1"/>
  <c r="F30" i="31"/>
  <c r="G30" i="31"/>
  <c r="I30" i="31"/>
  <c r="Q30" i="31"/>
  <c r="R30" i="31"/>
  <c r="S30" i="31"/>
  <c r="O30" i="18" s="1"/>
  <c r="E31" i="31"/>
  <c r="F31" i="31"/>
  <c r="G31" i="31"/>
  <c r="I31" i="31"/>
  <c r="J31" i="31"/>
  <c r="Q31" i="31"/>
  <c r="R31" i="31"/>
  <c r="S31" i="31"/>
  <c r="O31" i="18" s="1"/>
  <c r="E32" i="31"/>
  <c r="F32" i="31"/>
  <c r="J32" i="31" s="1"/>
  <c r="G32" i="31"/>
  <c r="I32" i="31"/>
  <c r="Q32" i="31"/>
  <c r="R32" i="31"/>
  <c r="S32" i="31"/>
  <c r="E33" i="31"/>
  <c r="F33" i="31"/>
  <c r="S33" i="31" s="1"/>
  <c r="G33" i="31"/>
  <c r="I33" i="31"/>
  <c r="J33" i="31"/>
  <c r="Q33" i="31"/>
  <c r="R33" i="31"/>
  <c r="E34" i="31"/>
  <c r="J34" i="31" s="1"/>
  <c r="F34" i="31"/>
  <c r="G34" i="31"/>
  <c r="I34" i="31"/>
  <c r="Q34" i="31"/>
  <c r="R34" i="31"/>
  <c r="S34" i="31"/>
  <c r="E35" i="31"/>
  <c r="F35" i="31"/>
  <c r="G35" i="31"/>
  <c r="I35" i="31"/>
  <c r="J35" i="31"/>
  <c r="Q35" i="31"/>
  <c r="R35" i="31"/>
  <c r="S35" i="31"/>
  <c r="O35" i="18" s="1"/>
  <c r="E36" i="31"/>
  <c r="F36" i="31"/>
  <c r="J36" i="31" s="1"/>
  <c r="G36" i="31"/>
  <c r="I36" i="31"/>
  <c r="Q36" i="31"/>
  <c r="R36" i="31"/>
  <c r="S36" i="31"/>
  <c r="E37" i="31"/>
  <c r="F37" i="31"/>
  <c r="S37" i="31" s="1"/>
  <c r="G37" i="31"/>
  <c r="I37" i="31"/>
  <c r="J37" i="31"/>
  <c r="Q37" i="31"/>
  <c r="R37" i="31"/>
  <c r="E38" i="31"/>
  <c r="J38" i="31" s="1"/>
  <c r="F38" i="31"/>
  <c r="G38" i="31"/>
  <c r="I38" i="31"/>
  <c r="Q38" i="31"/>
  <c r="R38" i="31"/>
  <c r="S38" i="31"/>
  <c r="E39" i="31"/>
  <c r="F39" i="31"/>
  <c r="G39" i="31"/>
  <c r="I39" i="31"/>
  <c r="J39" i="31"/>
  <c r="Q39" i="31"/>
  <c r="R39" i="31"/>
  <c r="S39" i="31"/>
  <c r="E40" i="31"/>
  <c r="F40" i="31"/>
  <c r="J40" i="31" s="1"/>
  <c r="G40" i="31"/>
  <c r="I40" i="31"/>
  <c r="Q40" i="31"/>
  <c r="R40" i="31"/>
  <c r="S40" i="31"/>
  <c r="E41" i="31"/>
  <c r="F41" i="31"/>
  <c r="S41" i="31" s="1"/>
  <c r="G41" i="31"/>
  <c r="I41" i="31"/>
  <c r="J41" i="31"/>
  <c r="Q41" i="31"/>
  <c r="R41" i="31"/>
  <c r="I42" i="31"/>
  <c r="J42" i="31"/>
  <c r="Q42" i="31"/>
  <c r="S42" i="31" s="1"/>
  <c r="R42" i="31"/>
  <c r="I43" i="31"/>
  <c r="J43" i="31"/>
  <c r="Q43" i="31"/>
  <c r="R43" i="31"/>
  <c r="S43" i="31"/>
  <c r="I44" i="31"/>
  <c r="J44" i="31"/>
  <c r="Q44" i="31"/>
  <c r="R44" i="31"/>
  <c r="S44" i="31"/>
  <c r="O44" i="18" s="1"/>
  <c r="I45" i="31"/>
  <c r="J45" i="31"/>
  <c r="Q45" i="31"/>
  <c r="R45" i="31"/>
  <c r="S45" i="31"/>
  <c r="I46" i="31"/>
  <c r="J46" i="31"/>
  <c r="Q46" i="31"/>
  <c r="R46" i="31"/>
  <c r="S46" i="31"/>
  <c r="O46" i="18" s="1"/>
  <c r="I47" i="31"/>
  <c r="J47" i="31"/>
  <c r="Q47" i="31"/>
  <c r="R47" i="31"/>
  <c r="S47" i="31"/>
  <c r="I48" i="31"/>
  <c r="J48" i="31"/>
  <c r="Q48" i="31"/>
  <c r="R48" i="31"/>
  <c r="S48" i="31"/>
  <c r="I49" i="31"/>
  <c r="J49" i="31"/>
  <c r="Q49" i="31"/>
  <c r="R49" i="31"/>
  <c r="S49" i="31"/>
  <c r="E10" i="30"/>
  <c r="F10" i="30"/>
  <c r="G10" i="30"/>
  <c r="I10" i="30"/>
  <c r="J10" i="30"/>
  <c r="Q10" i="30"/>
  <c r="S3" i="30" s="1"/>
  <c r="R10" i="30"/>
  <c r="S10" i="30"/>
  <c r="E11" i="30"/>
  <c r="F11" i="30"/>
  <c r="G11" i="30"/>
  <c r="I11" i="30"/>
  <c r="J11" i="30"/>
  <c r="Q11" i="30"/>
  <c r="R11" i="30"/>
  <c r="S11" i="30"/>
  <c r="E12" i="30"/>
  <c r="F12" i="30"/>
  <c r="G12" i="30"/>
  <c r="I12" i="30"/>
  <c r="J12" i="30"/>
  <c r="Q12" i="30"/>
  <c r="S4" i="30" s="1"/>
  <c r="R12" i="30"/>
  <c r="S12" i="30"/>
  <c r="E13" i="30"/>
  <c r="F13" i="30"/>
  <c r="S13" i="30" s="1"/>
  <c r="G13" i="30"/>
  <c r="I13" i="30"/>
  <c r="J13" i="30"/>
  <c r="Q13" i="30"/>
  <c r="R13" i="30"/>
  <c r="E14" i="30"/>
  <c r="F14" i="30"/>
  <c r="G14" i="30"/>
  <c r="I14" i="30"/>
  <c r="J14" i="30"/>
  <c r="Q14" i="30"/>
  <c r="R14" i="30"/>
  <c r="S14" i="30"/>
  <c r="N14" i="18" s="1"/>
  <c r="E15" i="30"/>
  <c r="F15" i="30"/>
  <c r="G15" i="30"/>
  <c r="I15" i="30"/>
  <c r="J15" i="30"/>
  <c r="Q15" i="30"/>
  <c r="R15" i="30"/>
  <c r="S15" i="30"/>
  <c r="E16" i="30"/>
  <c r="F16" i="30"/>
  <c r="G16" i="30"/>
  <c r="I16" i="30"/>
  <c r="J16" i="30"/>
  <c r="Q16" i="30"/>
  <c r="R16" i="30"/>
  <c r="S16" i="30"/>
  <c r="E17" i="30"/>
  <c r="F17" i="30"/>
  <c r="S17" i="30" s="1"/>
  <c r="G17" i="30"/>
  <c r="I17" i="30"/>
  <c r="J17" i="30"/>
  <c r="Q17" i="30"/>
  <c r="R17" i="30"/>
  <c r="E18" i="30"/>
  <c r="F18" i="30"/>
  <c r="G18" i="30"/>
  <c r="I18" i="30"/>
  <c r="J18" i="30"/>
  <c r="Q18" i="30"/>
  <c r="R18" i="30"/>
  <c r="S18" i="30"/>
  <c r="E19" i="30"/>
  <c r="F19" i="30"/>
  <c r="G19" i="30"/>
  <c r="I19" i="30"/>
  <c r="J19" i="30"/>
  <c r="Q19" i="30"/>
  <c r="R19" i="30"/>
  <c r="S19" i="30"/>
  <c r="N19" i="18" s="1"/>
  <c r="E20" i="30"/>
  <c r="F20" i="30"/>
  <c r="G20" i="30"/>
  <c r="I20" i="30"/>
  <c r="J20" i="30"/>
  <c r="Q20" i="30"/>
  <c r="R20" i="30"/>
  <c r="S20" i="30"/>
  <c r="E21" i="30"/>
  <c r="F21" i="30"/>
  <c r="S21" i="30" s="1"/>
  <c r="G21" i="30"/>
  <c r="I21" i="30"/>
  <c r="J21" i="30"/>
  <c r="Q21" i="30"/>
  <c r="R21" i="30"/>
  <c r="E22" i="30"/>
  <c r="F22" i="30"/>
  <c r="G22" i="30"/>
  <c r="I22" i="30"/>
  <c r="J22" i="30"/>
  <c r="Q22" i="30"/>
  <c r="R22" i="30"/>
  <c r="S22" i="30"/>
  <c r="E23" i="30"/>
  <c r="F23" i="30"/>
  <c r="G23" i="30"/>
  <c r="I23" i="30"/>
  <c r="J23" i="30"/>
  <c r="Q23" i="30"/>
  <c r="R23" i="30"/>
  <c r="S23" i="30"/>
  <c r="E24" i="30"/>
  <c r="F24" i="30"/>
  <c r="G24" i="30"/>
  <c r="I24" i="30"/>
  <c r="J24" i="30"/>
  <c r="Q24" i="30"/>
  <c r="R24" i="30"/>
  <c r="S24" i="30"/>
  <c r="E25" i="30"/>
  <c r="F25" i="30"/>
  <c r="S25" i="30" s="1"/>
  <c r="G25" i="30"/>
  <c r="I25" i="30"/>
  <c r="J25" i="30"/>
  <c r="Q25" i="30"/>
  <c r="R25" i="30"/>
  <c r="E26" i="30"/>
  <c r="F26" i="30"/>
  <c r="G26" i="30"/>
  <c r="I26" i="30"/>
  <c r="J26" i="30"/>
  <c r="Q26" i="30"/>
  <c r="R26" i="30"/>
  <c r="S26" i="30"/>
  <c r="E27" i="30"/>
  <c r="F27" i="30"/>
  <c r="G27" i="30"/>
  <c r="I27" i="30"/>
  <c r="J27" i="30"/>
  <c r="Q27" i="30"/>
  <c r="R27" i="30"/>
  <c r="S27" i="30"/>
  <c r="E28" i="30"/>
  <c r="F28" i="30"/>
  <c r="G28" i="30"/>
  <c r="I28" i="30"/>
  <c r="J28" i="30"/>
  <c r="Q28" i="30"/>
  <c r="R28" i="30"/>
  <c r="S28" i="30"/>
  <c r="E29" i="30"/>
  <c r="F29" i="30"/>
  <c r="S29" i="30" s="1"/>
  <c r="G29" i="30"/>
  <c r="I29" i="30"/>
  <c r="J29" i="30"/>
  <c r="Q29" i="30"/>
  <c r="R29" i="30"/>
  <c r="E30" i="30"/>
  <c r="F30" i="30"/>
  <c r="G30" i="30"/>
  <c r="I30" i="30"/>
  <c r="J30" i="30"/>
  <c r="Q30" i="30"/>
  <c r="R30" i="30"/>
  <c r="S30" i="30"/>
  <c r="E31" i="30"/>
  <c r="F31" i="30"/>
  <c r="G31" i="30"/>
  <c r="I31" i="30"/>
  <c r="J31" i="30"/>
  <c r="Q31" i="30"/>
  <c r="R31" i="30"/>
  <c r="S31" i="30"/>
  <c r="E32" i="30"/>
  <c r="F32" i="30"/>
  <c r="G32" i="30"/>
  <c r="I32" i="30"/>
  <c r="J32" i="30"/>
  <c r="Q32" i="30"/>
  <c r="R32" i="30"/>
  <c r="S32" i="30"/>
  <c r="E33" i="30"/>
  <c r="F33" i="30"/>
  <c r="S33" i="30" s="1"/>
  <c r="G33" i="30"/>
  <c r="I33" i="30"/>
  <c r="J33" i="30"/>
  <c r="Q33" i="30"/>
  <c r="R33" i="30"/>
  <c r="E34" i="30"/>
  <c r="F34" i="30"/>
  <c r="G34" i="30"/>
  <c r="I34" i="30"/>
  <c r="J34" i="30"/>
  <c r="Q34" i="30"/>
  <c r="R34" i="30"/>
  <c r="S34" i="30"/>
  <c r="E35" i="30"/>
  <c r="F35" i="30"/>
  <c r="G35" i="30"/>
  <c r="I35" i="30"/>
  <c r="J35" i="30"/>
  <c r="Q35" i="30"/>
  <c r="R35" i="30"/>
  <c r="S35" i="30"/>
  <c r="E36" i="30"/>
  <c r="F36" i="30"/>
  <c r="G36" i="30"/>
  <c r="I36" i="30"/>
  <c r="J36" i="30"/>
  <c r="Q36" i="30"/>
  <c r="R36" i="30"/>
  <c r="S36" i="30"/>
  <c r="E37" i="30"/>
  <c r="F37" i="30"/>
  <c r="S37" i="30" s="1"/>
  <c r="G37" i="30"/>
  <c r="I37" i="30"/>
  <c r="J37" i="30"/>
  <c r="Q37" i="30"/>
  <c r="R37" i="30"/>
  <c r="E38" i="30"/>
  <c r="F38" i="30"/>
  <c r="G38" i="30"/>
  <c r="I38" i="30"/>
  <c r="J38" i="30"/>
  <c r="Q38" i="30"/>
  <c r="R38" i="30"/>
  <c r="S38" i="30"/>
  <c r="E39" i="30"/>
  <c r="F39" i="30"/>
  <c r="G39" i="30"/>
  <c r="I39" i="30"/>
  <c r="J39" i="30"/>
  <c r="Q39" i="30"/>
  <c r="R39" i="30"/>
  <c r="S39" i="30"/>
  <c r="E40" i="30"/>
  <c r="F40" i="30"/>
  <c r="G40" i="30"/>
  <c r="I40" i="30"/>
  <c r="J40" i="30"/>
  <c r="Q40" i="30"/>
  <c r="R40" i="30"/>
  <c r="S40" i="30"/>
  <c r="E41" i="30"/>
  <c r="F41" i="30"/>
  <c r="S41" i="30" s="1"/>
  <c r="G41" i="30"/>
  <c r="I41" i="30"/>
  <c r="J41" i="30"/>
  <c r="Q41" i="30"/>
  <c r="R41" i="30"/>
  <c r="I42" i="30"/>
  <c r="J42" i="30"/>
  <c r="Q42" i="30"/>
  <c r="R42" i="30"/>
  <c r="S42" i="30"/>
  <c r="I43" i="30"/>
  <c r="J43" i="30"/>
  <c r="Q43" i="30"/>
  <c r="R43" i="30"/>
  <c r="S43" i="30"/>
  <c r="N43" i="18" s="1"/>
  <c r="I44" i="30"/>
  <c r="J44" i="30"/>
  <c r="Q44" i="30"/>
  <c r="R44" i="30"/>
  <c r="S44" i="30"/>
  <c r="N44" i="18" s="1"/>
  <c r="I45" i="30"/>
  <c r="J45" i="30"/>
  <c r="Q45" i="30"/>
  <c r="R45" i="30"/>
  <c r="S45" i="30"/>
  <c r="I46" i="30"/>
  <c r="J46" i="30"/>
  <c r="Q46" i="30"/>
  <c r="R46" i="30"/>
  <c r="S46" i="30"/>
  <c r="I47" i="30"/>
  <c r="J47" i="30"/>
  <c r="Q47" i="30"/>
  <c r="R47" i="30"/>
  <c r="S47" i="30"/>
  <c r="N47" i="18" s="1"/>
  <c r="I48" i="30"/>
  <c r="J48" i="30"/>
  <c r="Q48" i="30"/>
  <c r="R48" i="30"/>
  <c r="S48" i="30"/>
  <c r="I49" i="30"/>
  <c r="J49" i="30"/>
  <c r="Q49" i="30"/>
  <c r="R49" i="30"/>
  <c r="S49" i="30"/>
  <c r="E10" i="29"/>
  <c r="F10" i="29"/>
  <c r="G10" i="29"/>
  <c r="I10" i="29"/>
  <c r="J10" i="29"/>
  <c r="Q10" i="29"/>
  <c r="S3" i="29" s="1"/>
  <c r="R10" i="29"/>
  <c r="S10" i="29"/>
  <c r="E11" i="29"/>
  <c r="J11" i="29" s="1"/>
  <c r="F11" i="29"/>
  <c r="G11" i="29"/>
  <c r="I11" i="29"/>
  <c r="Q11" i="29"/>
  <c r="R11" i="29"/>
  <c r="S11" i="29"/>
  <c r="E12" i="29"/>
  <c r="F12" i="29"/>
  <c r="G12" i="29"/>
  <c r="I12" i="29"/>
  <c r="J12" i="29"/>
  <c r="Q12" i="29"/>
  <c r="S4" i="29" s="1"/>
  <c r="R12" i="29"/>
  <c r="S12" i="29"/>
  <c r="E13" i="29"/>
  <c r="F13" i="29"/>
  <c r="S13" i="29" s="1"/>
  <c r="G13" i="29"/>
  <c r="I13" i="29"/>
  <c r="J13" i="29"/>
  <c r="Q13" i="29"/>
  <c r="R13" i="29"/>
  <c r="E14" i="29"/>
  <c r="F14" i="29"/>
  <c r="G14" i="29"/>
  <c r="I14" i="29"/>
  <c r="J14" i="29"/>
  <c r="Q14" i="29"/>
  <c r="R14" i="29"/>
  <c r="S14" i="29"/>
  <c r="E15" i="29"/>
  <c r="J15" i="29" s="1"/>
  <c r="F15" i="29"/>
  <c r="G15" i="29"/>
  <c r="I15" i="29"/>
  <c r="Q15" i="29"/>
  <c r="R15" i="29"/>
  <c r="S15" i="29"/>
  <c r="E16" i="29"/>
  <c r="F16" i="29"/>
  <c r="G16" i="29"/>
  <c r="I16" i="29"/>
  <c r="J16" i="29"/>
  <c r="Q16" i="29"/>
  <c r="R16" i="29"/>
  <c r="S16" i="29"/>
  <c r="M16" i="18" s="1"/>
  <c r="E17" i="29"/>
  <c r="F17" i="29"/>
  <c r="S17" i="29" s="1"/>
  <c r="G17" i="29"/>
  <c r="I17" i="29"/>
  <c r="J17" i="29"/>
  <c r="Q17" i="29"/>
  <c r="R17" i="29"/>
  <c r="E18" i="29"/>
  <c r="F18" i="29"/>
  <c r="G18" i="29"/>
  <c r="I18" i="29"/>
  <c r="J18" i="29"/>
  <c r="Q18" i="29"/>
  <c r="R18" i="29"/>
  <c r="S18" i="29"/>
  <c r="E19" i="29"/>
  <c r="J19" i="29" s="1"/>
  <c r="F19" i="29"/>
  <c r="G19" i="29"/>
  <c r="I19" i="29"/>
  <c r="Q19" i="29"/>
  <c r="R19" i="29"/>
  <c r="S19" i="29"/>
  <c r="M19" i="18" s="1"/>
  <c r="E20" i="29"/>
  <c r="F20" i="29"/>
  <c r="G20" i="29"/>
  <c r="I20" i="29"/>
  <c r="J20" i="29"/>
  <c r="Q20" i="29"/>
  <c r="R20" i="29"/>
  <c r="S20" i="29"/>
  <c r="M20" i="18" s="1"/>
  <c r="E21" i="29"/>
  <c r="F21" i="29"/>
  <c r="S21" i="29" s="1"/>
  <c r="G21" i="29"/>
  <c r="I21" i="29"/>
  <c r="J21" i="29"/>
  <c r="Q21" i="29"/>
  <c r="R21" i="29"/>
  <c r="E22" i="29"/>
  <c r="F22" i="29"/>
  <c r="G22" i="29"/>
  <c r="I22" i="29"/>
  <c r="J22" i="29"/>
  <c r="Q22" i="29"/>
  <c r="R22" i="29"/>
  <c r="S22" i="29"/>
  <c r="E23" i="29"/>
  <c r="J23" i="29" s="1"/>
  <c r="F23" i="29"/>
  <c r="G23" i="29"/>
  <c r="I23" i="29"/>
  <c r="Q23" i="29"/>
  <c r="R23" i="29"/>
  <c r="S23" i="29"/>
  <c r="M23" i="18" s="1"/>
  <c r="E24" i="29"/>
  <c r="F24" i="29"/>
  <c r="G24" i="29"/>
  <c r="I24" i="29"/>
  <c r="J24" i="29"/>
  <c r="Q24" i="29"/>
  <c r="R24" i="29"/>
  <c r="S24" i="29"/>
  <c r="E25" i="29"/>
  <c r="F25" i="29"/>
  <c r="S25" i="29" s="1"/>
  <c r="G25" i="29"/>
  <c r="I25" i="29"/>
  <c r="J25" i="29"/>
  <c r="Q25" i="29"/>
  <c r="R25" i="29"/>
  <c r="E26" i="29"/>
  <c r="F26" i="29"/>
  <c r="G26" i="29"/>
  <c r="I26" i="29"/>
  <c r="J26" i="29"/>
  <c r="Q26" i="29"/>
  <c r="R26" i="29"/>
  <c r="S26" i="29"/>
  <c r="M26" i="18" s="1"/>
  <c r="E27" i="29"/>
  <c r="J27" i="29" s="1"/>
  <c r="F27" i="29"/>
  <c r="G27" i="29"/>
  <c r="I27" i="29"/>
  <c r="Q27" i="29"/>
  <c r="R27" i="29"/>
  <c r="S27" i="29"/>
  <c r="E28" i="29"/>
  <c r="F28" i="29"/>
  <c r="G28" i="29"/>
  <c r="I28" i="29"/>
  <c r="J28" i="29"/>
  <c r="Q28" i="29"/>
  <c r="R28" i="29"/>
  <c r="S28" i="29"/>
  <c r="E29" i="29"/>
  <c r="F29" i="29"/>
  <c r="S29" i="29" s="1"/>
  <c r="G29" i="29"/>
  <c r="I29" i="29"/>
  <c r="J29" i="29"/>
  <c r="Q29" i="29"/>
  <c r="R29" i="29"/>
  <c r="E30" i="29"/>
  <c r="F30" i="29"/>
  <c r="G30" i="29"/>
  <c r="I30" i="29"/>
  <c r="J30" i="29"/>
  <c r="Q30" i="29"/>
  <c r="R30" i="29"/>
  <c r="S30" i="29"/>
  <c r="M30" i="18" s="1"/>
  <c r="E31" i="29"/>
  <c r="J31" i="29" s="1"/>
  <c r="F31" i="29"/>
  <c r="G31" i="29"/>
  <c r="I31" i="29"/>
  <c r="Q31" i="29"/>
  <c r="R31" i="29"/>
  <c r="S31" i="29"/>
  <c r="E32" i="29"/>
  <c r="F32" i="29"/>
  <c r="G32" i="29"/>
  <c r="I32" i="29"/>
  <c r="J32" i="29"/>
  <c r="Q32" i="29"/>
  <c r="R32" i="29"/>
  <c r="S32" i="29"/>
  <c r="E33" i="29"/>
  <c r="F33" i="29"/>
  <c r="S33" i="29" s="1"/>
  <c r="G33" i="29"/>
  <c r="I33" i="29"/>
  <c r="J33" i="29"/>
  <c r="Q33" i="29"/>
  <c r="R33" i="29"/>
  <c r="E34" i="29"/>
  <c r="F34" i="29"/>
  <c r="G34" i="29"/>
  <c r="I34" i="29"/>
  <c r="J34" i="29"/>
  <c r="Q34" i="29"/>
  <c r="R34" i="29"/>
  <c r="S34" i="29"/>
  <c r="E35" i="29"/>
  <c r="J35" i="29" s="1"/>
  <c r="F35" i="29"/>
  <c r="G35" i="29"/>
  <c r="I35" i="29"/>
  <c r="Q35" i="29"/>
  <c r="R35" i="29"/>
  <c r="S35" i="29"/>
  <c r="E36" i="29"/>
  <c r="F36" i="29"/>
  <c r="G36" i="29"/>
  <c r="I36" i="29"/>
  <c r="J36" i="29"/>
  <c r="Q36" i="29"/>
  <c r="R36" i="29"/>
  <c r="S36" i="29"/>
  <c r="E37" i="29"/>
  <c r="F37" i="29"/>
  <c r="S37" i="29" s="1"/>
  <c r="G37" i="29"/>
  <c r="I37" i="29"/>
  <c r="J37" i="29"/>
  <c r="Q37" i="29"/>
  <c r="R37" i="29"/>
  <c r="E38" i="29"/>
  <c r="F38" i="29"/>
  <c r="G38" i="29"/>
  <c r="I38" i="29"/>
  <c r="J38" i="29"/>
  <c r="Q38" i="29"/>
  <c r="R38" i="29"/>
  <c r="S38" i="29"/>
  <c r="E39" i="29"/>
  <c r="J39" i="29" s="1"/>
  <c r="F39" i="29"/>
  <c r="G39" i="29"/>
  <c r="I39" i="29"/>
  <c r="Q39" i="29"/>
  <c r="R39" i="29"/>
  <c r="S39" i="29"/>
  <c r="E40" i="29"/>
  <c r="F40" i="29"/>
  <c r="G40" i="29"/>
  <c r="I40" i="29"/>
  <c r="J40" i="29"/>
  <c r="Q40" i="29"/>
  <c r="R40" i="29"/>
  <c r="S40" i="29"/>
  <c r="E41" i="29"/>
  <c r="F41" i="29"/>
  <c r="S41" i="29" s="1"/>
  <c r="G41" i="29"/>
  <c r="I41" i="29"/>
  <c r="J41" i="29"/>
  <c r="Q41" i="29"/>
  <c r="R41" i="29"/>
  <c r="I42" i="29"/>
  <c r="J42" i="29"/>
  <c r="Q42" i="29"/>
  <c r="R42" i="29"/>
  <c r="S42" i="29"/>
  <c r="I43" i="29"/>
  <c r="J43" i="29"/>
  <c r="Q43" i="29"/>
  <c r="S43" i="29" s="1"/>
  <c r="R43" i="29"/>
  <c r="I44" i="29"/>
  <c r="J44" i="29"/>
  <c r="Q44" i="29"/>
  <c r="R44" i="29"/>
  <c r="S44" i="29"/>
  <c r="I45" i="29"/>
  <c r="J45" i="29"/>
  <c r="Q45" i="29"/>
  <c r="R45" i="29"/>
  <c r="S45" i="29"/>
  <c r="M45" i="18" s="1"/>
  <c r="I46" i="29"/>
  <c r="J46" i="29"/>
  <c r="Q46" i="29"/>
  <c r="R46" i="29"/>
  <c r="S46" i="29"/>
  <c r="I47" i="29"/>
  <c r="J47" i="29"/>
  <c r="Q47" i="29"/>
  <c r="R47" i="29"/>
  <c r="S47" i="29"/>
  <c r="I48" i="29"/>
  <c r="J48" i="29"/>
  <c r="Q48" i="29"/>
  <c r="S48" i="29" s="1"/>
  <c r="R48" i="29"/>
  <c r="I49" i="29"/>
  <c r="J49" i="29"/>
  <c r="Q49" i="29"/>
  <c r="R49" i="29"/>
  <c r="S49" i="29"/>
  <c r="E10" i="28"/>
  <c r="F10" i="28"/>
  <c r="G10" i="28"/>
  <c r="I10" i="28"/>
  <c r="J10" i="28"/>
  <c r="Q10" i="28"/>
  <c r="S3" i="28" s="1"/>
  <c r="R10" i="28"/>
  <c r="S10" i="28"/>
  <c r="L10" i="18" s="1"/>
  <c r="E11" i="28"/>
  <c r="F11" i="28"/>
  <c r="S11" i="28" s="1"/>
  <c r="G11" i="28"/>
  <c r="I11" i="28"/>
  <c r="J11" i="28"/>
  <c r="Q11" i="28"/>
  <c r="R11" i="28"/>
  <c r="E12" i="28"/>
  <c r="F12" i="28"/>
  <c r="G12" i="28"/>
  <c r="I12" i="28"/>
  <c r="J12" i="28"/>
  <c r="Q12" i="28"/>
  <c r="S4" i="28" s="1"/>
  <c r="R12" i="28"/>
  <c r="S12" i="28"/>
  <c r="E13" i="28"/>
  <c r="F13" i="28"/>
  <c r="S13" i="28" s="1"/>
  <c r="G13" i="28"/>
  <c r="I13" i="28"/>
  <c r="J13" i="28"/>
  <c r="Q13" i="28"/>
  <c r="R13" i="28"/>
  <c r="E14" i="28"/>
  <c r="F14" i="28"/>
  <c r="G14" i="28"/>
  <c r="I14" i="28"/>
  <c r="J14" i="28"/>
  <c r="Q14" i="28"/>
  <c r="R14" i="28"/>
  <c r="S14" i="28"/>
  <c r="E15" i="28"/>
  <c r="F15" i="28"/>
  <c r="S15" i="28" s="1"/>
  <c r="G15" i="28"/>
  <c r="I15" i="28"/>
  <c r="J15" i="28"/>
  <c r="Q15" i="28"/>
  <c r="R15" i="28"/>
  <c r="E16" i="28"/>
  <c r="F16" i="28"/>
  <c r="G16" i="28"/>
  <c r="I16" i="28"/>
  <c r="J16" i="28"/>
  <c r="Q16" i="28"/>
  <c r="R16" i="28"/>
  <c r="S16" i="28"/>
  <c r="E17" i="28"/>
  <c r="F17" i="28"/>
  <c r="S17" i="28" s="1"/>
  <c r="G17" i="28"/>
  <c r="I17" i="28"/>
  <c r="J17" i="28"/>
  <c r="Q17" i="28"/>
  <c r="R17" i="28"/>
  <c r="E18" i="28"/>
  <c r="F18" i="28"/>
  <c r="G18" i="28"/>
  <c r="I18" i="28"/>
  <c r="J18" i="28"/>
  <c r="Q18" i="28"/>
  <c r="R18" i="28"/>
  <c r="S18" i="28"/>
  <c r="E19" i="28"/>
  <c r="F19" i="28"/>
  <c r="S19" i="28" s="1"/>
  <c r="G19" i="28"/>
  <c r="I19" i="28"/>
  <c r="J19" i="28"/>
  <c r="Q19" i="28"/>
  <c r="R19" i="28"/>
  <c r="E20" i="28"/>
  <c r="F20" i="28"/>
  <c r="G20" i="28"/>
  <c r="I20" i="28"/>
  <c r="J20" i="28"/>
  <c r="Q20" i="28"/>
  <c r="R20" i="28"/>
  <c r="S20" i="28"/>
  <c r="L20" i="18" s="1"/>
  <c r="E21" i="28"/>
  <c r="F21" i="28"/>
  <c r="S21" i="28" s="1"/>
  <c r="L21" i="18" s="1"/>
  <c r="G21" i="28"/>
  <c r="I21" i="28"/>
  <c r="J21" i="28"/>
  <c r="Q21" i="28"/>
  <c r="R21" i="28"/>
  <c r="E22" i="28"/>
  <c r="F22" i="28"/>
  <c r="G22" i="28"/>
  <c r="I22" i="28"/>
  <c r="J22" i="28"/>
  <c r="Q22" i="28"/>
  <c r="R22" i="28"/>
  <c r="S22" i="28"/>
  <c r="E23" i="28"/>
  <c r="F23" i="28"/>
  <c r="S23" i="28" s="1"/>
  <c r="G23" i="28"/>
  <c r="I23" i="28"/>
  <c r="J23" i="28"/>
  <c r="Q23" i="28"/>
  <c r="R23" i="28"/>
  <c r="E24" i="28"/>
  <c r="F24" i="28"/>
  <c r="G24" i="28"/>
  <c r="I24" i="28"/>
  <c r="J24" i="28"/>
  <c r="Q24" i="28"/>
  <c r="R24" i="28"/>
  <c r="S24" i="28"/>
  <c r="L24" i="18" s="1"/>
  <c r="E25" i="28"/>
  <c r="F25" i="28"/>
  <c r="S25" i="28" s="1"/>
  <c r="G25" i="28"/>
  <c r="I25" i="28"/>
  <c r="J25" i="28"/>
  <c r="Q25" i="28"/>
  <c r="R25" i="28"/>
  <c r="E26" i="28"/>
  <c r="F26" i="28"/>
  <c r="G26" i="28"/>
  <c r="I26" i="28"/>
  <c r="J26" i="28"/>
  <c r="Q26" i="28"/>
  <c r="R26" i="28"/>
  <c r="S26" i="28"/>
  <c r="E27" i="28"/>
  <c r="F27" i="28"/>
  <c r="S27" i="28" s="1"/>
  <c r="G27" i="28"/>
  <c r="I27" i="28"/>
  <c r="J27" i="28"/>
  <c r="Q27" i="28"/>
  <c r="R27" i="28"/>
  <c r="E28" i="28"/>
  <c r="F28" i="28"/>
  <c r="G28" i="28"/>
  <c r="I28" i="28"/>
  <c r="J28" i="28"/>
  <c r="Q28" i="28"/>
  <c r="R28" i="28"/>
  <c r="S28" i="28"/>
  <c r="L28" i="18" s="1"/>
  <c r="E29" i="28"/>
  <c r="F29" i="28"/>
  <c r="S29" i="28" s="1"/>
  <c r="G29" i="28"/>
  <c r="I29" i="28"/>
  <c r="J29" i="28"/>
  <c r="Q29" i="28"/>
  <c r="R29" i="28"/>
  <c r="E30" i="28"/>
  <c r="F30" i="28"/>
  <c r="G30" i="28"/>
  <c r="I30" i="28"/>
  <c r="J30" i="28"/>
  <c r="Q30" i="28"/>
  <c r="R30" i="28"/>
  <c r="S30" i="28"/>
  <c r="E31" i="28"/>
  <c r="F31" i="28"/>
  <c r="S31" i="28" s="1"/>
  <c r="G31" i="28"/>
  <c r="I31" i="28"/>
  <c r="J31" i="28"/>
  <c r="Q31" i="28"/>
  <c r="R31" i="28"/>
  <c r="E32" i="28"/>
  <c r="F32" i="28"/>
  <c r="G32" i="28"/>
  <c r="I32" i="28"/>
  <c r="J32" i="28"/>
  <c r="Q32" i="28"/>
  <c r="R32" i="28"/>
  <c r="S32" i="28"/>
  <c r="E33" i="28"/>
  <c r="F33" i="28"/>
  <c r="S33" i="28" s="1"/>
  <c r="G33" i="28"/>
  <c r="I33" i="28"/>
  <c r="J33" i="28"/>
  <c r="Q33" i="28"/>
  <c r="R33" i="28"/>
  <c r="E34" i="28"/>
  <c r="F34" i="28"/>
  <c r="G34" i="28"/>
  <c r="I34" i="28"/>
  <c r="J34" i="28"/>
  <c r="Q34" i="28"/>
  <c r="R34" i="28"/>
  <c r="S34" i="28"/>
  <c r="L34" i="18" s="1"/>
  <c r="E35" i="28"/>
  <c r="F35" i="28"/>
  <c r="S35" i="28" s="1"/>
  <c r="G35" i="28"/>
  <c r="I35" i="28"/>
  <c r="J35" i="28"/>
  <c r="Q35" i="28"/>
  <c r="R35" i="28"/>
  <c r="E36" i="28"/>
  <c r="F36" i="28"/>
  <c r="G36" i="28"/>
  <c r="I36" i="28"/>
  <c r="J36" i="28"/>
  <c r="Q36" i="28"/>
  <c r="R36" i="28"/>
  <c r="S36" i="28"/>
  <c r="E37" i="28"/>
  <c r="F37" i="28"/>
  <c r="S37" i="28" s="1"/>
  <c r="G37" i="28"/>
  <c r="I37" i="28"/>
  <c r="J37" i="28"/>
  <c r="Q37" i="28"/>
  <c r="R37" i="28"/>
  <c r="E38" i="28"/>
  <c r="F38" i="28"/>
  <c r="G38" i="28"/>
  <c r="I38" i="28"/>
  <c r="J38" i="28"/>
  <c r="Q38" i="28"/>
  <c r="R38" i="28"/>
  <c r="S38" i="28"/>
  <c r="E39" i="28"/>
  <c r="F39" i="28"/>
  <c r="S39" i="28" s="1"/>
  <c r="G39" i="28"/>
  <c r="I39" i="28"/>
  <c r="J39" i="28"/>
  <c r="Q39" i="28"/>
  <c r="R39" i="28"/>
  <c r="E40" i="28"/>
  <c r="F40" i="28"/>
  <c r="G40" i="28"/>
  <c r="I40" i="28"/>
  <c r="J40" i="28"/>
  <c r="Q40" i="28"/>
  <c r="R40" i="28"/>
  <c r="S40" i="28"/>
  <c r="E41" i="28"/>
  <c r="F41" i="28"/>
  <c r="S41" i="28" s="1"/>
  <c r="G41" i="28"/>
  <c r="I41" i="28"/>
  <c r="J41" i="28"/>
  <c r="Q41" i="28"/>
  <c r="R41" i="28"/>
  <c r="I42" i="28"/>
  <c r="J42" i="28"/>
  <c r="Q42" i="28"/>
  <c r="R42" i="28"/>
  <c r="S42" i="28"/>
  <c r="L42" i="18" s="1"/>
  <c r="I43" i="28"/>
  <c r="J43" i="28"/>
  <c r="Q43" i="28"/>
  <c r="R43" i="28"/>
  <c r="S43" i="28"/>
  <c r="I44" i="28"/>
  <c r="J44" i="28"/>
  <c r="Q44" i="28"/>
  <c r="S44" i="28" s="1"/>
  <c r="R44" i="28"/>
  <c r="I45" i="28"/>
  <c r="J45" i="28"/>
  <c r="Q45" i="28"/>
  <c r="R45" i="28"/>
  <c r="S45" i="28"/>
  <c r="I46" i="28"/>
  <c r="J46" i="28"/>
  <c r="Q46" i="28"/>
  <c r="R46" i="28"/>
  <c r="S46" i="28"/>
  <c r="L46" i="18" s="1"/>
  <c r="I47" i="28"/>
  <c r="J47" i="28"/>
  <c r="Q47" i="28"/>
  <c r="R47" i="28"/>
  <c r="S47" i="28"/>
  <c r="I48" i="28"/>
  <c r="J48" i="28"/>
  <c r="Q48" i="28"/>
  <c r="R48" i="28"/>
  <c r="S48" i="28"/>
  <c r="I49" i="28"/>
  <c r="J49" i="28"/>
  <c r="Q49" i="28"/>
  <c r="R49" i="28"/>
  <c r="S49" i="28"/>
  <c r="L49" i="18" s="1"/>
  <c r="E10" i="27"/>
  <c r="F10" i="27"/>
  <c r="G10" i="27"/>
  <c r="I10" i="27"/>
  <c r="J10" i="27"/>
  <c r="Q10" i="27"/>
  <c r="S3" i="27" s="1"/>
  <c r="R10" i="27"/>
  <c r="S10" i="27"/>
  <c r="K10" i="18" s="1"/>
  <c r="E11" i="27"/>
  <c r="F11" i="27"/>
  <c r="G11" i="27"/>
  <c r="I11" i="27"/>
  <c r="J11" i="27"/>
  <c r="Q11" i="27"/>
  <c r="R11" i="27"/>
  <c r="S11" i="27"/>
  <c r="K11" i="18" s="1"/>
  <c r="E12" i="27"/>
  <c r="F12" i="27"/>
  <c r="G12" i="27"/>
  <c r="I12" i="27"/>
  <c r="J12" i="27"/>
  <c r="Q12" i="27"/>
  <c r="S4" i="27" s="1"/>
  <c r="R12" i="27"/>
  <c r="S12" i="27"/>
  <c r="E13" i="27"/>
  <c r="F13" i="27"/>
  <c r="S13" i="27" s="1"/>
  <c r="G13" i="27"/>
  <c r="I13" i="27"/>
  <c r="J13" i="27"/>
  <c r="Q13" i="27"/>
  <c r="R13" i="27"/>
  <c r="E14" i="27"/>
  <c r="F14" i="27"/>
  <c r="G14" i="27"/>
  <c r="I14" i="27"/>
  <c r="J14" i="27"/>
  <c r="Q14" i="27"/>
  <c r="R14" i="27"/>
  <c r="S14" i="27"/>
  <c r="K14" i="18" s="1"/>
  <c r="E15" i="27"/>
  <c r="F15" i="27"/>
  <c r="G15" i="27"/>
  <c r="I15" i="27"/>
  <c r="J15" i="27"/>
  <c r="Q15" i="27"/>
  <c r="R15" i="27"/>
  <c r="S15" i="27"/>
  <c r="K15" i="18" s="1"/>
  <c r="E16" i="27"/>
  <c r="F16" i="27"/>
  <c r="G16" i="27"/>
  <c r="I16" i="27"/>
  <c r="J16" i="27"/>
  <c r="Q16" i="27"/>
  <c r="R16" i="27"/>
  <c r="S16" i="27"/>
  <c r="E17" i="27"/>
  <c r="F17" i="27"/>
  <c r="S17" i="27" s="1"/>
  <c r="G17" i="27"/>
  <c r="I17" i="27"/>
  <c r="J17" i="27"/>
  <c r="Q17" i="27"/>
  <c r="R17" i="27"/>
  <c r="E18" i="27"/>
  <c r="F18" i="27"/>
  <c r="G18" i="27"/>
  <c r="I18" i="27"/>
  <c r="J18" i="27"/>
  <c r="Q18" i="27"/>
  <c r="R18" i="27"/>
  <c r="S18" i="27"/>
  <c r="E19" i="27"/>
  <c r="F19" i="27"/>
  <c r="G19" i="27"/>
  <c r="I19" i="27"/>
  <c r="J19" i="27"/>
  <c r="Q19" i="27"/>
  <c r="R19" i="27"/>
  <c r="S19" i="27"/>
  <c r="K19" i="18" s="1"/>
  <c r="E20" i="27"/>
  <c r="F20" i="27"/>
  <c r="G20" i="27"/>
  <c r="I20" i="27"/>
  <c r="J20" i="27"/>
  <c r="Q20" i="27"/>
  <c r="R20" i="27"/>
  <c r="S20" i="27"/>
  <c r="K20" i="18" s="1"/>
  <c r="E21" i="27"/>
  <c r="F21" i="27"/>
  <c r="S21" i="27" s="1"/>
  <c r="G21" i="27"/>
  <c r="I21" i="27"/>
  <c r="J21" i="27"/>
  <c r="Q21" i="27"/>
  <c r="R21" i="27"/>
  <c r="E22" i="27"/>
  <c r="F22" i="27"/>
  <c r="G22" i="27"/>
  <c r="I22" i="27"/>
  <c r="J22" i="27"/>
  <c r="Q22" i="27"/>
  <c r="R22" i="27"/>
  <c r="S22" i="27"/>
  <c r="E23" i="27"/>
  <c r="F23" i="27"/>
  <c r="G23" i="27"/>
  <c r="I23" i="27"/>
  <c r="J23" i="27"/>
  <c r="Q23" i="27"/>
  <c r="R23" i="27"/>
  <c r="S23" i="27"/>
  <c r="K23" i="18" s="1"/>
  <c r="E24" i="27"/>
  <c r="F24" i="27"/>
  <c r="G24" i="27"/>
  <c r="I24" i="27"/>
  <c r="J24" i="27"/>
  <c r="Q24" i="27"/>
  <c r="R24" i="27"/>
  <c r="S24" i="27"/>
  <c r="E25" i="27"/>
  <c r="F25" i="27"/>
  <c r="S25" i="27" s="1"/>
  <c r="G25" i="27"/>
  <c r="I25" i="27"/>
  <c r="J25" i="27"/>
  <c r="Q25" i="27"/>
  <c r="R25" i="27"/>
  <c r="E26" i="27"/>
  <c r="F26" i="27"/>
  <c r="G26" i="27"/>
  <c r="I26" i="27"/>
  <c r="J26" i="27"/>
  <c r="Q26" i="27"/>
  <c r="R26" i="27"/>
  <c r="S26" i="27"/>
  <c r="E27" i="27"/>
  <c r="F27" i="27"/>
  <c r="G27" i="27"/>
  <c r="I27" i="27"/>
  <c r="J27" i="27"/>
  <c r="Q27" i="27"/>
  <c r="R27" i="27"/>
  <c r="S27" i="27"/>
  <c r="E28" i="27"/>
  <c r="F28" i="27"/>
  <c r="G28" i="27"/>
  <c r="I28" i="27"/>
  <c r="J28" i="27"/>
  <c r="Q28" i="27"/>
  <c r="R28" i="27"/>
  <c r="S28" i="27"/>
  <c r="E29" i="27"/>
  <c r="F29" i="27"/>
  <c r="S29" i="27" s="1"/>
  <c r="G29" i="27"/>
  <c r="I29" i="27"/>
  <c r="J29" i="27"/>
  <c r="Q29" i="27"/>
  <c r="R29" i="27"/>
  <c r="E30" i="27"/>
  <c r="F30" i="27"/>
  <c r="G30" i="27"/>
  <c r="I30" i="27"/>
  <c r="J30" i="27"/>
  <c r="Q30" i="27"/>
  <c r="R30" i="27"/>
  <c r="S30" i="27"/>
  <c r="E31" i="27"/>
  <c r="F31" i="27"/>
  <c r="G31" i="27"/>
  <c r="I31" i="27"/>
  <c r="J31" i="27"/>
  <c r="Q31" i="27"/>
  <c r="R31" i="27"/>
  <c r="S31" i="27"/>
  <c r="E32" i="27"/>
  <c r="F32" i="27"/>
  <c r="G32" i="27"/>
  <c r="I32" i="27"/>
  <c r="J32" i="27"/>
  <c r="Q32" i="27"/>
  <c r="R32" i="27"/>
  <c r="S32" i="27"/>
  <c r="E33" i="27"/>
  <c r="F33" i="27"/>
  <c r="S33" i="27" s="1"/>
  <c r="K33" i="18" s="1"/>
  <c r="G33" i="27"/>
  <c r="I33" i="27"/>
  <c r="J33" i="27"/>
  <c r="Q33" i="27"/>
  <c r="R33" i="27"/>
  <c r="E34" i="27"/>
  <c r="F34" i="27"/>
  <c r="G34" i="27"/>
  <c r="I34" i="27"/>
  <c r="J34" i="27"/>
  <c r="Q34" i="27"/>
  <c r="R34" i="27"/>
  <c r="S34" i="27"/>
  <c r="E35" i="27"/>
  <c r="F35" i="27"/>
  <c r="G35" i="27"/>
  <c r="I35" i="27"/>
  <c r="J35" i="27"/>
  <c r="Q35" i="27"/>
  <c r="R35" i="27"/>
  <c r="S35" i="27"/>
  <c r="E36" i="27"/>
  <c r="F36" i="27"/>
  <c r="G36" i="27"/>
  <c r="I36" i="27"/>
  <c r="J36" i="27"/>
  <c r="Q36" i="27"/>
  <c r="R36" i="27"/>
  <c r="S36" i="27"/>
  <c r="E37" i="27"/>
  <c r="F37" i="27"/>
  <c r="S37" i="27" s="1"/>
  <c r="G37" i="27"/>
  <c r="I37" i="27"/>
  <c r="J37" i="27"/>
  <c r="Q37" i="27"/>
  <c r="R37" i="27"/>
  <c r="E38" i="27"/>
  <c r="F38" i="27"/>
  <c r="G38" i="27"/>
  <c r="I38" i="27"/>
  <c r="J38" i="27"/>
  <c r="Q38" i="27"/>
  <c r="R38" i="27"/>
  <c r="S38" i="27"/>
  <c r="E39" i="27"/>
  <c r="F39" i="27"/>
  <c r="G39" i="27"/>
  <c r="I39" i="27"/>
  <c r="J39" i="27"/>
  <c r="Q39" i="27"/>
  <c r="R39" i="27"/>
  <c r="S39" i="27"/>
  <c r="E40" i="27"/>
  <c r="F40" i="27"/>
  <c r="G40" i="27"/>
  <c r="I40" i="27"/>
  <c r="J40" i="27"/>
  <c r="Q40" i="27"/>
  <c r="R40" i="27"/>
  <c r="S40" i="27"/>
  <c r="E41" i="27"/>
  <c r="F41" i="27"/>
  <c r="S41" i="27" s="1"/>
  <c r="G41" i="27"/>
  <c r="I41" i="27"/>
  <c r="J41" i="27"/>
  <c r="Q41" i="27"/>
  <c r="R41" i="27"/>
  <c r="I42" i="27"/>
  <c r="J42" i="27"/>
  <c r="Q42" i="27"/>
  <c r="R42" i="27"/>
  <c r="S42" i="27"/>
  <c r="I43" i="27"/>
  <c r="J43" i="27"/>
  <c r="Q43" i="27"/>
  <c r="R43" i="27"/>
  <c r="S43" i="27"/>
  <c r="I44" i="27"/>
  <c r="J44" i="27"/>
  <c r="Q44" i="27"/>
  <c r="R44" i="27"/>
  <c r="S44" i="27"/>
  <c r="I45" i="27"/>
  <c r="J45" i="27"/>
  <c r="Q45" i="27"/>
  <c r="R45" i="27"/>
  <c r="S45" i="27"/>
  <c r="K45" i="18" s="1"/>
  <c r="I46" i="27"/>
  <c r="J46" i="27"/>
  <c r="Q46" i="27"/>
  <c r="R46" i="27"/>
  <c r="S46" i="27"/>
  <c r="I47" i="27"/>
  <c r="J47" i="27"/>
  <c r="Q47" i="27"/>
  <c r="R47" i="27"/>
  <c r="S47" i="27"/>
  <c r="I48" i="27"/>
  <c r="J48" i="27"/>
  <c r="Q48" i="27"/>
  <c r="R48" i="27"/>
  <c r="S48" i="27"/>
  <c r="I49" i="27"/>
  <c r="J49" i="27"/>
  <c r="Q49" i="27"/>
  <c r="R49" i="27"/>
  <c r="S49" i="27"/>
  <c r="E10" i="26"/>
  <c r="F10" i="26"/>
  <c r="G10" i="26"/>
  <c r="I10" i="26"/>
  <c r="J10" i="26"/>
  <c r="Q10" i="26"/>
  <c r="S3" i="26" s="1"/>
  <c r="R10" i="26"/>
  <c r="S10" i="26"/>
  <c r="E11" i="26"/>
  <c r="F11" i="26"/>
  <c r="S11" i="26" s="1"/>
  <c r="G11" i="26"/>
  <c r="I11" i="26"/>
  <c r="J11" i="26"/>
  <c r="Q11" i="26"/>
  <c r="R11" i="26"/>
  <c r="E12" i="26"/>
  <c r="F12" i="26"/>
  <c r="G12" i="26"/>
  <c r="I12" i="26"/>
  <c r="J12" i="26"/>
  <c r="Q12" i="26"/>
  <c r="S4" i="26" s="1"/>
  <c r="R12" i="26"/>
  <c r="S12" i="26"/>
  <c r="E13" i="26"/>
  <c r="F13" i="26"/>
  <c r="S13" i="26" s="1"/>
  <c r="G13" i="26"/>
  <c r="I13" i="26"/>
  <c r="J13" i="26"/>
  <c r="Q13" i="26"/>
  <c r="R13" i="26"/>
  <c r="E14" i="26"/>
  <c r="F14" i="26"/>
  <c r="G14" i="26"/>
  <c r="I14" i="26"/>
  <c r="J14" i="26"/>
  <c r="Q14" i="26"/>
  <c r="R14" i="26"/>
  <c r="S14" i="26"/>
  <c r="E15" i="26"/>
  <c r="F15" i="26"/>
  <c r="S15" i="26" s="1"/>
  <c r="G15" i="26"/>
  <c r="I15" i="26"/>
  <c r="J15" i="26"/>
  <c r="Q15" i="26"/>
  <c r="R15" i="26"/>
  <c r="E16" i="26"/>
  <c r="F16" i="26"/>
  <c r="G16" i="26"/>
  <c r="I16" i="26"/>
  <c r="J16" i="26"/>
  <c r="Q16" i="26"/>
  <c r="R16" i="26"/>
  <c r="S16" i="26"/>
  <c r="E17" i="26"/>
  <c r="F17" i="26"/>
  <c r="S17" i="26" s="1"/>
  <c r="G17" i="26"/>
  <c r="I17" i="26"/>
  <c r="J17" i="26"/>
  <c r="Q17" i="26"/>
  <c r="R17" i="26"/>
  <c r="E18" i="26"/>
  <c r="F18" i="26"/>
  <c r="G18" i="26"/>
  <c r="I18" i="26"/>
  <c r="J18" i="26"/>
  <c r="Q18" i="26"/>
  <c r="R18" i="26"/>
  <c r="S18" i="26"/>
  <c r="E19" i="26"/>
  <c r="F19" i="26"/>
  <c r="S19" i="26" s="1"/>
  <c r="G19" i="26"/>
  <c r="I19" i="26"/>
  <c r="J19" i="26"/>
  <c r="Q19" i="26"/>
  <c r="R19" i="26"/>
  <c r="E20" i="26"/>
  <c r="F20" i="26"/>
  <c r="G20" i="26"/>
  <c r="I20" i="26"/>
  <c r="J20" i="26"/>
  <c r="Q20" i="26"/>
  <c r="R20" i="26"/>
  <c r="S20" i="26"/>
  <c r="E21" i="26"/>
  <c r="F21" i="26"/>
  <c r="S21" i="26" s="1"/>
  <c r="G21" i="26"/>
  <c r="I21" i="26"/>
  <c r="J21" i="26"/>
  <c r="Q21" i="26"/>
  <c r="R21" i="26"/>
  <c r="E22" i="26"/>
  <c r="F22" i="26"/>
  <c r="G22" i="26"/>
  <c r="I22" i="26"/>
  <c r="J22" i="26"/>
  <c r="Q22" i="26"/>
  <c r="R22" i="26"/>
  <c r="S22" i="26"/>
  <c r="E23" i="26"/>
  <c r="F23" i="26"/>
  <c r="S23" i="26" s="1"/>
  <c r="G23" i="26"/>
  <c r="I23" i="26"/>
  <c r="J23" i="26"/>
  <c r="Q23" i="26"/>
  <c r="R23" i="26"/>
  <c r="E24" i="26"/>
  <c r="F24" i="26"/>
  <c r="G24" i="26"/>
  <c r="I24" i="26"/>
  <c r="J24" i="26"/>
  <c r="Q24" i="26"/>
  <c r="R24" i="26"/>
  <c r="S24" i="26"/>
  <c r="J24" i="18" s="1"/>
  <c r="E25" i="26"/>
  <c r="F25" i="26"/>
  <c r="S25" i="26" s="1"/>
  <c r="G25" i="26"/>
  <c r="I25" i="26"/>
  <c r="J25" i="26"/>
  <c r="Q25" i="26"/>
  <c r="R25" i="26"/>
  <c r="E26" i="26"/>
  <c r="F26" i="26"/>
  <c r="G26" i="26"/>
  <c r="I26" i="26"/>
  <c r="J26" i="26"/>
  <c r="Q26" i="26"/>
  <c r="R26" i="26"/>
  <c r="S26" i="26"/>
  <c r="E27" i="26"/>
  <c r="F27" i="26"/>
  <c r="S27" i="26" s="1"/>
  <c r="G27" i="26"/>
  <c r="I27" i="26"/>
  <c r="J27" i="26"/>
  <c r="Q27" i="26"/>
  <c r="R27" i="26"/>
  <c r="E28" i="26"/>
  <c r="F28" i="26"/>
  <c r="G28" i="26"/>
  <c r="I28" i="26"/>
  <c r="J28" i="26"/>
  <c r="Q28" i="26"/>
  <c r="R28" i="26"/>
  <c r="S28" i="26"/>
  <c r="E29" i="26"/>
  <c r="F29" i="26"/>
  <c r="S29" i="26" s="1"/>
  <c r="G29" i="26"/>
  <c r="I29" i="26"/>
  <c r="J29" i="26"/>
  <c r="Q29" i="26"/>
  <c r="R29" i="26"/>
  <c r="E30" i="26"/>
  <c r="F30" i="26"/>
  <c r="G30" i="26"/>
  <c r="I30" i="26"/>
  <c r="J30" i="26"/>
  <c r="Q30" i="26"/>
  <c r="R30" i="26"/>
  <c r="S30" i="26"/>
  <c r="E31" i="26"/>
  <c r="F31" i="26"/>
  <c r="S31" i="26" s="1"/>
  <c r="G31" i="26"/>
  <c r="I31" i="26"/>
  <c r="J31" i="26"/>
  <c r="Q31" i="26"/>
  <c r="R31" i="26"/>
  <c r="E32" i="26"/>
  <c r="F32" i="26"/>
  <c r="G32" i="26"/>
  <c r="I32" i="26"/>
  <c r="J32" i="26"/>
  <c r="Q32" i="26"/>
  <c r="R32" i="26"/>
  <c r="S32" i="26"/>
  <c r="E33" i="26"/>
  <c r="F33" i="26"/>
  <c r="S33" i="26" s="1"/>
  <c r="G33" i="26"/>
  <c r="I33" i="26"/>
  <c r="J33" i="26"/>
  <c r="Q33" i="26"/>
  <c r="R33" i="26"/>
  <c r="E34" i="26"/>
  <c r="F34" i="26"/>
  <c r="G34" i="26"/>
  <c r="I34" i="26"/>
  <c r="J34" i="26"/>
  <c r="Q34" i="26"/>
  <c r="R34" i="26"/>
  <c r="S34" i="26"/>
  <c r="J34" i="18" s="1"/>
  <c r="E35" i="26"/>
  <c r="F35" i="26"/>
  <c r="S35" i="26" s="1"/>
  <c r="G35" i="26"/>
  <c r="I35" i="26"/>
  <c r="J35" i="26"/>
  <c r="Q35" i="26"/>
  <c r="R35" i="26"/>
  <c r="E36" i="26"/>
  <c r="F36" i="26"/>
  <c r="G36" i="26"/>
  <c r="I36" i="26"/>
  <c r="J36" i="26"/>
  <c r="Q36" i="26"/>
  <c r="R36" i="26"/>
  <c r="S36" i="26"/>
  <c r="E37" i="26"/>
  <c r="F37" i="26"/>
  <c r="S37" i="26" s="1"/>
  <c r="G37" i="26"/>
  <c r="I37" i="26"/>
  <c r="J37" i="26"/>
  <c r="Q37" i="26"/>
  <c r="R37" i="26"/>
  <c r="E38" i="26"/>
  <c r="F38" i="26"/>
  <c r="G38" i="26"/>
  <c r="I38" i="26"/>
  <c r="J38" i="26"/>
  <c r="Q38" i="26"/>
  <c r="R38" i="26"/>
  <c r="S38" i="26"/>
  <c r="J38" i="18" s="1"/>
  <c r="E39" i="26"/>
  <c r="F39" i="26"/>
  <c r="S39" i="26" s="1"/>
  <c r="J39" i="18" s="1"/>
  <c r="G39" i="26"/>
  <c r="I39" i="26"/>
  <c r="J39" i="26"/>
  <c r="Q39" i="26"/>
  <c r="R39" i="26"/>
  <c r="E40" i="26"/>
  <c r="F40" i="26"/>
  <c r="G40" i="26"/>
  <c r="I40" i="26"/>
  <c r="J40" i="26"/>
  <c r="Q40" i="26"/>
  <c r="R40" i="26"/>
  <c r="S40" i="26"/>
  <c r="J40" i="18" s="1"/>
  <c r="E41" i="26"/>
  <c r="F41" i="26"/>
  <c r="S41" i="26" s="1"/>
  <c r="G41" i="26"/>
  <c r="I41" i="26"/>
  <c r="J41" i="26"/>
  <c r="Q41" i="26"/>
  <c r="R41" i="26"/>
  <c r="I42" i="26"/>
  <c r="J42" i="26"/>
  <c r="I43" i="26"/>
  <c r="J43" i="26"/>
  <c r="Q43" i="26"/>
  <c r="R43" i="26"/>
  <c r="S43" i="26"/>
  <c r="I44" i="26"/>
  <c r="J44" i="26"/>
  <c r="I45" i="26"/>
  <c r="J45" i="26"/>
  <c r="Q45" i="26"/>
  <c r="S45" i="26" s="1"/>
  <c r="R45" i="26"/>
  <c r="I46" i="26"/>
  <c r="J46" i="26"/>
  <c r="I47" i="26"/>
  <c r="J47" i="26"/>
  <c r="Q47" i="26"/>
  <c r="R47" i="26"/>
  <c r="S47" i="26"/>
  <c r="I48" i="26"/>
  <c r="J48" i="26"/>
  <c r="I49" i="26"/>
  <c r="J49" i="26"/>
  <c r="Q49" i="26"/>
  <c r="R49" i="26"/>
  <c r="S49" i="26"/>
  <c r="J49" i="18" s="1"/>
  <c r="M54" i="26"/>
  <c r="E10" i="25"/>
  <c r="F10" i="25"/>
  <c r="G10" i="25"/>
  <c r="I10" i="25"/>
  <c r="J10" i="25"/>
  <c r="Q10" i="25"/>
  <c r="S3" i="25" s="1"/>
  <c r="R10" i="25"/>
  <c r="S10" i="25"/>
  <c r="E11" i="25"/>
  <c r="F11" i="25"/>
  <c r="S11" i="25" s="1"/>
  <c r="G11" i="25"/>
  <c r="I11" i="25"/>
  <c r="J11" i="25"/>
  <c r="Q11" i="25"/>
  <c r="R11" i="25"/>
  <c r="E12" i="25"/>
  <c r="F12" i="25"/>
  <c r="G12" i="25"/>
  <c r="I12" i="25"/>
  <c r="J12" i="25"/>
  <c r="Q12" i="25"/>
  <c r="S4" i="25" s="1"/>
  <c r="R12" i="25"/>
  <c r="S12" i="25"/>
  <c r="E13" i="25"/>
  <c r="F13" i="25"/>
  <c r="S13" i="25" s="1"/>
  <c r="G13" i="25"/>
  <c r="I13" i="25"/>
  <c r="J13" i="25"/>
  <c r="Q13" i="25"/>
  <c r="R13" i="25"/>
  <c r="E14" i="25"/>
  <c r="F14" i="25"/>
  <c r="G14" i="25"/>
  <c r="I14" i="25"/>
  <c r="J14" i="25"/>
  <c r="Q14" i="25"/>
  <c r="R14" i="25"/>
  <c r="S14" i="25"/>
  <c r="E15" i="25"/>
  <c r="F15" i="25"/>
  <c r="S15" i="25" s="1"/>
  <c r="G15" i="25"/>
  <c r="I15" i="25"/>
  <c r="J15" i="25"/>
  <c r="Q15" i="25"/>
  <c r="R15" i="25"/>
  <c r="E16" i="25"/>
  <c r="F16" i="25"/>
  <c r="G16" i="25"/>
  <c r="I16" i="25"/>
  <c r="J16" i="25"/>
  <c r="Q16" i="25"/>
  <c r="R16" i="25"/>
  <c r="S16" i="25"/>
  <c r="I16" i="18" s="1"/>
  <c r="E17" i="25"/>
  <c r="F17" i="25"/>
  <c r="S17" i="25" s="1"/>
  <c r="G17" i="25"/>
  <c r="I17" i="25"/>
  <c r="J17" i="25"/>
  <c r="Q17" i="25"/>
  <c r="R17" i="25"/>
  <c r="E18" i="25"/>
  <c r="F18" i="25"/>
  <c r="G18" i="25"/>
  <c r="I18" i="25"/>
  <c r="J18" i="25"/>
  <c r="Q18" i="25"/>
  <c r="R18" i="25"/>
  <c r="S18" i="25"/>
  <c r="E19" i="25"/>
  <c r="F19" i="25"/>
  <c r="S19" i="25" s="1"/>
  <c r="G19" i="25"/>
  <c r="I19" i="25"/>
  <c r="J19" i="25"/>
  <c r="Q19" i="25"/>
  <c r="R19" i="25"/>
  <c r="E20" i="25"/>
  <c r="F20" i="25"/>
  <c r="G20" i="25"/>
  <c r="I20" i="25"/>
  <c r="J20" i="25"/>
  <c r="Q20" i="25"/>
  <c r="R20" i="25"/>
  <c r="S20" i="25"/>
  <c r="E21" i="25"/>
  <c r="F21" i="25"/>
  <c r="S21" i="25" s="1"/>
  <c r="G21" i="25"/>
  <c r="I21" i="25"/>
  <c r="J21" i="25"/>
  <c r="Q21" i="25"/>
  <c r="R21" i="25"/>
  <c r="E22" i="25"/>
  <c r="F22" i="25"/>
  <c r="G22" i="25"/>
  <c r="I22" i="25"/>
  <c r="J22" i="25"/>
  <c r="Q22" i="25"/>
  <c r="R22" i="25"/>
  <c r="S22" i="25"/>
  <c r="E23" i="25"/>
  <c r="F23" i="25"/>
  <c r="S23" i="25" s="1"/>
  <c r="G23" i="25"/>
  <c r="I23" i="25"/>
  <c r="J23" i="25"/>
  <c r="Q23" i="25"/>
  <c r="R23" i="25"/>
  <c r="E24" i="25"/>
  <c r="F24" i="25"/>
  <c r="G24" i="25"/>
  <c r="I24" i="25"/>
  <c r="J24" i="25"/>
  <c r="Q24" i="25"/>
  <c r="R24" i="25"/>
  <c r="S24" i="25"/>
  <c r="E25" i="25"/>
  <c r="F25" i="25"/>
  <c r="S25" i="25" s="1"/>
  <c r="G25" i="25"/>
  <c r="I25" i="25"/>
  <c r="J25" i="25"/>
  <c r="Q25" i="25"/>
  <c r="R25" i="25"/>
  <c r="E26" i="25"/>
  <c r="F26" i="25"/>
  <c r="G26" i="25"/>
  <c r="I26" i="25"/>
  <c r="J26" i="25"/>
  <c r="Q26" i="25"/>
  <c r="R26" i="25"/>
  <c r="S26" i="25"/>
  <c r="E27" i="25"/>
  <c r="F27" i="25"/>
  <c r="S27" i="25" s="1"/>
  <c r="G27" i="25"/>
  <c r="I27" i="25"/>
  <c r="J27" i="25"/>
  <c r="Q27" i="25"/>
  <c r="R27" i="25"/>
  <c r="E28" i="25"/>
  <c r="F28" i="25"/>
  <c r="G28" i="25"/>
  <c r="I28" i="25"/>
  <c r="J28" i="25"/>
  <c r="Q28" i="25"/>
  <c r="R28" i="25"/>
  <c r="S28" i="25"/>
  <c r="E29" i="25"/>
  <c r="F29" i="25"/>
  <c r="S29" i="25" s="1"/>
  <c r="G29" i="25"/>
  <c r="I29" i="25"/>
  <c r="J29" i="25"/>
  <c r="Q29" i="25"/>
  <c r="R29" i="25"/>
  <c r="E30" i="25"/>
  <c r="F30" i="25"/>
  <c r="G30" i="25"/>
  <c r="I30" i="25"/>
  <c r="J30" i="25"/>
  <c r="Q30" i="25"/>
  <c r="R30" i="25"/>
  <c r="S30" i="25"/>
  <c r="I30" i="18" s="1"/>
  <c r="E31" i="25"/>
  <c r="F31" i="25"/>
  <c r="S31" i="25" s="1"/>
  <c r="G31" i="25"/>
  <c r="I31" i="25"/>
  <c r="J31" i="25"/>
  <c r="Q31" i="25"/>
  <c r="R31" i="25"/>
  <c r="E32" i="25"/>
  <c r="F32" i="25"/>
  <c r="G32" i="25"/>
  <c r="I32" i="25"/>
  <c r="J32" i="25"/>
  <c r="Q32" i="25"/>
  <c r="R32" i="25"/>
  <c r="S32" i="25"/>
  <c r="E33" i="25"/>
  <c r="F33" i="25"/>
  <c r="S33" i="25" s="1"/>
  <c r="G33" i="25"/>
  <c r="I33" i="25"/>
  <c r="J33" i="25"/>
  <c r="Q33" i="25"/>
  <c r="R33" i="25"/>
  <c r="E34" i="25"/>
  <c r="F34" i="25"/>
  <c r="G34" i="25"/>
  <c r="I34" i="25"/>
  <c r="J34" i="25"/>
  <c r="Q34" i="25"/>
  <c r="R34" i="25"/>
  <c r="S34" i="25"/>
  <c r="E35" i="25"/>
  <c r="F35" i="25"/>
  <c r="S35" i="25" s="1"/>
  <c r="G35" i="25"/>
  <c r="I35" i="25"/>
  <c r="J35" i="25"/>
  <c r="Q35" i="25"/>
  <c r="R35" i="25"/>
  <c r="E36" i="25"/>
  <c r="F36" i="25"/>
  <c r="G36" i="25"/>
  <c r="I36" i="25"/>
  <c r="J36" i="25"/>
  <c r="Q36" i="25"/>
  <c r="R36" i="25"/>
  <c r="S36" i="25"/>
  <c r="E37" i="25"/>
  <c r="F37" i="25"/>
  <c r="S37" i="25" s="1"/>
  <c r="G37" i="25"/>
  <c r="I37" i="25"/>
  <c r="J37" i="25"/>
  <c r="Q37" i="25"/>
  <c r="R37" i="25"/>
  <c r="E38" i="25"/>
  <c r="F38" i="25"/>
  <c r="G38" i="25"/>
  <c r="I38" i="25"/>
  <c r="J38" i="25"/>
  <c r="Q38" i="25"/>
  <c r="R38" i="25"/>
  <c r="S38" i="25"/>
  <c r="E39" i="25"/>
  <c r="F39" i="25"/>
  <c r="S39" i="25" s="1"/>
  <c r="G39" i="25"/>
  <c r="I39" i="25"/>
  <c r="J39" i="25"/>
  <c r="Q39" i="25"/>
  <c r="R39" i="25"/>
  <c r="E40" i="25"/>
  <c r="F40" i="25"/>
  <c r="G40" i="25"/>
  <c r="I40" i="25"/>
  <c r="J40" i="25"/>
  <c r="Q40" i="25"/>
  <c r="R40" i="25"/>
  <c r="S40" i="25"/>
  <c r="E41" i="25"/>
  <c r="F41" i="25"/>
  <c r="S41" i="25" s="1"/>
  <c r="G41" i="25"/>
  <c r="I41" i="25"/>
  <c r="J41" i="25"/>
  <c r="Q41" i="25"/>
  <c r="R41" i="25"/>
  <c r="I42" i="25"/>
  <c r="J42" i="25"/>
  <c r="Q42" i="25"/>
  <c r="R42" i="25"/>
  <c r="S42" i="25"/>
  <c r="I43" i="25"/>
  <c r="J43" i="25"/>
  <c r="Q43" i="25"/>
  <c r="R43" i="25"/>
  <c r="S43" i="25"/>
  <c r="I43" i="18" s="1"/>
  <c r="I44" i="25"/>
  <c r="J44" i="25"/>
  <c r="Q44" i="25"/>
  <c r="S44" i="25" s="1"/>
  <c r="R44" i="25"/>
  <c r="I45" i="25"/>
  <c r="J45" i="25"/>
  <c r="Q45" i="25"/>
  <c r="R45" i="25"/>
  <c r="S45" i="25"/>
  <c r="I46" i="25"/>
  <c r="J46" i="25"/>
  <c r="Q46" i="25"/>
  <c r="R46" i="25"/>
  <c r="S46" i="25"/>
  <c r="I47" i="25"/>
  <c r="J47" i="25"/>
  <c r="Q47" i="25"/>
  <c r="R47" i="25"/>
  <c r="S47" i="25"/>
  <c r="I47" i="18" s="1"/>
  <c r="I48" i="25"/>
  <c r="J48" i="25"/>
  <c r="Q48" i="25"/>
  <c r="R48" i="25"/>
  <c r="S48" i="25"/>
  <c r="I49" i="25"/>
  <c r="J49" i="25"/>
  <c r="Q49" i="25"/>
  <c r="R49" i="25"/>
  <c r="S49" i="25"/>
  <c r="M52" i="25"/>
  <c r="E10" i="24"/>
  <c r="F10" i="24"/>
  <c r="G10" i="24"/>
  <c r="I10" i="24"/>
  <c r="J10" i="24"/>
  <c r="Q10" i="24"/>
  <c r="S3" i="24" s="1"/>
  <c r="R10" i="24"/>
  <c r="S10" i="24"/>
  <c r="E11" i="24"/>
  <c r="F11" i="24"/>
  <c r="G11" i="24"/>
  <c r="I11" i="24"/>
  <c r="J11" i="24"/>
  <c r="Q11" i="24"/>
  <c r="R11" i="24"/>
  <c r="S11" i="24"/>
  <c r="E12" i="24"/>
  <c r="F12" i="24"/>
  <c r="G12" i="24"/>
  <c r="I12" i="24"/>
  <c r="J12" i="24"/>
  <c r="Q12" i="24"/>
  <c r="S4" i="24" s="1"/>
  <c r="R12" i="24"/>
  <c r="S12" i="24"/>
  <c r="E13" i="24"/>
  <c r="F13" i="24"/>
  <c r="S13" i="24" s="1"/>
  <c r="G13" i="24"/>
  <c r="I13" i="24"/>
  <c r="J13" i="24"/>
  <c r="Q13" i="24"/>
  <c r="R13" i="24"/>
  <c r="E14" i="24"/>
  <c r="F14" i="24"/>
  <c r="G14" i="24"/>
  <c r="I14" i="24"/>
  <c r="J14" i="24"/>
  <c r="Q14" i="24"/>
  <c r="R14" i="24"/>
  <c r="S14" i="24"/>
  <c r="E15" i="24"/>
  <c r="F15" i="24"/>
  <c r="G15" i="24"/>
  <c r="I15" i="24"/>
  <c r="J15" i="24"/>
  <c r="Q15" i="24"/>
  <c r="R15" i="24"/>
  <c r="S15" i="24"/>
  <c r="E16" i="24"/>
  <c r="F16" i="24"/>
  <c r="G16" i="24"/>
  <c r="I16" i="24"/>
  <c r="J16" i="24"/>
  <c r="Q16" i="24"/>
  <c r="R16" i="24"/>
  <c r="S16" i="24"/>
  <c r="E17" i="24"/>
  <c r="F17" i="24"/>
  <c r="S17" i="24" s="1"/>
  <c r="G17" i="24"/>
  <c r="I17" i="24"/>
  <c r="J17" i="24"/>
  <c r="Q17" i="24"/>
  <c r="R17" i="24"/>
  <c r="E18" i="24"/>
  <c r="F18" i="24"/>
  <c r="G18" i="24"/>
  <c r="I18" i="24"/>
  <c r="J18" i="24"/>
  <c r="Q18" i="24"/>
  <c r="R18" i="24"/>
  <c r="S18" i="24"/>
  <c r="E19" i="24"/>
  <c r="F19" i="24"/>
  <c r="G19" i="24"/>
  <c r="I19" i="24"/>
  <c r="J19" i="24"/>
  <c r="Q19" i="24"/>
  <c r="R19" i="24"/>
  <c r="S19" i="24"/>
  <c r="E20" i="24"/>
  <c r="F20" i="24"/>
  <c r="G20" i="24"/>
  <c r="I20" i="24"/>
  <c r="J20" i="24"/>
  <c r="Q20" i="24"/>
  <c r="R20" i="24"/>
  <c r="S20" i="24"/>
  <c r="E21" i="24"/>
  <c r="F21" i="24"/>
  <c r="S21" i="24" s="1"/>
  <c r="G21" i="24"/>
  <c r="I21" i="24"/>
  <c r="J21" i="24"/>
  <c r="Q21" i="24"/>
  <c r="R21" i="24"/>
  <c r="E22" i="24"/>
  <c r="F22" i="24"/>
  <c r="G22" i="24"/>
  <c r="I22" i="24"/>
  <c r="J22" i="24"/>
  <c r="Q22" i="24"/>
  <c r="R22" i="24"/>
  <c r="S22" i="24"/>
  <c r="E23" i="24"/>
  <c r="F23" i="24"/>
  <c r="G23" i="24"/>
  <c r="I23" i="24"/>
  <c r="J23" i="24"/>
  <c r="Q23" i="24"/>
  <c r="R23" i="24"/>
  <c r="S23" i="24"/>
  <c r="H23" i="18" s="1"/>
  <c r="E24" i="24"/>
  <c r="F24" i="24"/>
  <c r="G24" i="24"/>
  <c r="I24" i="24"/>
  <c r="J24" i="24"/>
  <c r="Q24" i="24"/>
  <c r="R24" i="24"/>
  <c r="S24" i="24"/>
  <c r="E25" i="24"/>
  <c r="F25" i="24"/>
  <c r="S25" i="24" s="1"/>
  <c r="G25" i="24"/>
  <c r="I25" i="24"/>
  <c r="J25" i="24"/>
  <c r="Q25" i="24"/>
  <c r="R25" i="24"/>
  <c r="E26" i="24"/>
  <c r="F26" i="24"/>
  <c r="G26" i="24"/>
  <c r="I26" i="24"/>
  <c r="J26" i="24"/>
  <c r="Q26" i="24"/>
  <c r="R26" i="24"/>
  <c r="S26" i="24"/>
  <c r="E27" i="24"/>
  <c r="F27" i="24"/>
  <c r="G27" i="24"/>
  <c r="I27" i="24"/>
  <c r="J27" i="24"/>
  <c r="Q27" i="24"/>
  <c r="R27" i="24"/>
  <c r="S27" i="24"/>
  <c r="H27" i="18" s="1"/>
  <c r="E28" i="24"/>
  <c r="F28" i="24"/>
  <c r="G28" i="24"/>
  <c r="I28" i="24"/>
  <c r="J28" i="24"/>
  <c r="Q28" i="24"/>
  <c r="R28" i="24"/>
  <c r="S28" i="24"/>
  <c r="H28" i="18" s="1"/>
  <c r="E29" i="24"/>
  <c r="F29" i="24"/>
  <c r="S29" i="24" s="1"/>
  <c r="G29" i="24"/>
  <c r="I29" i="24"/>
  <c r="J29" i="24"/>
  <c r="Q29" i="24"/>
  <c r="R29" i="24"/>
  <c r="E30" i="24"/>
  <c r="F30" i="24"/>
  <c r="G30" i="24"/>
  <c r="I30" i="24"/>
  <c r="J30" i="24"/>
  <c r="Q30" i="24"/>
  <c r="R30" i="24"/>
  <c r="S30" i="24"/>
  <c r="E31" i="24"/>
  <c r="F31" i="24"/>
  <c r="G31" i="24"/>
  <c r="I31" i="24"/>
  <c r="J31" i="24"/>
  <c r="Q31" i="24"/>
  <c r="R31" i="24"/>
  <c r="S31" i="24"/>
  <c r="H31" i="18" s="1"/>
  <c r="E32" i="24"/>
  <c r="F32" i="24"/>
  <c r="G32" i="24"/>
  <c r="I32" i="24"/>
  <c r="J32" i="24"/>
  <c r="Q32" i="24"/>
  <c r="R32" i="24"/>
  <c r="S32" i="24"/>
  <c r="E33" i="24"/>
  <c r="F33" i="24"/>
  <c r="S33" i="24" s="1"/>
  <c r="G33" i="24"/>
  <c r="I33" i="24"/>
  <c r="J33" i="24"/>
  <c r="Q33" i="24"/>
  <c r="R33" i="24"/>
  <c r="E34" i="24"/>
  <c r="F34" i="24"/>
  <c r="G34" i="24"/>
  <c r="I34" i="24"/>
  <c r="J34" i="24"/>
  <c r="Q34" i="24"/>
  <c r="R34" i="24"/>
  <c r="S34" i="24"/>
  <c r="E35" i="24"/>
  <c r="F35" i="24"/>
  <c r="G35" i="24"/>
  <c r="I35" i="24"/>
  <c r="J35" i="24"/>
  <c r="Q35" i="24"/>
  <c r="R35" i="24"/>
  <c r="S35" i="24"/>
  <c r="H35" i="18" s="1"/>
  <c r="E36" i="24"/>
  <c r="F36" i="24"/>
  <c r="G36" i="24"/>
  <c r="I36" i="24"/>
  <c r="J36" i="24"/>
  <c r="Q36" i="24"/>
  <c r="R36" i="24"/>
  <c r="S36" i="24"/>
  <c r="E37" i="24"/>
  <c r="F37" i="24"/>
  <c r="S37" i="24" s="1"/>
  <c r="G37" i="24"/>
  <c r="I37" i="24"/>
  <c r="J37" i="24"/>
  <c r="Q37" i="24"/>
  <c r="R37" i="24"/>
  <c r="E38" i="24"/>
  <c r="F38" i="24"/>
  <c r="G38" i="24"/>
  <c r="I38" i="24"/>
  <c r="J38" i="24"/>
  <c r="Q38" i="24"/>
  <c r="R38" i="24"/>
  <c r="S38" i="24"/>
  <c r="E39" i="24"/>
  <c r="F39" i="24"/>
  <c r="G39" i="24"/>
  <c r="I39" i="24"/>
  <c r="J39" i="24"/>
  <c r="Q39" i="24"/>
  <c r="R39" i="24"/>
  <c r="S39" i="24"/>
  <c r="E40" i="24"/>
  <c r="F40" i="24"/>
  <c r="G40" i="24"/>
  <c r="I40" i="24"/>
  <c r="J40" i="24"/>
  <c r="Q40" i="24"/>
  <c r="R40" i="24"/>
  <c r="S40" i="24"/>
  <c r="E41" i="24"/>
  <c r="F41" i="24"/>
  <c r="S41" i="24" s="1"/>
  <c r="G41" i="24"/>
  <c r="I41" i="24"/>
  <c r="J41" i="24"/>
  <c r="Q41" i="24"/>
  <c r="R41" i="24"/>
  <c r="I42" i="24"/>
  <c r="J42" i="24"/>
  <c r="Q42" i="24"/>
  <c r="R42" i="24"/>
  <c r="S42" i="24"/>
  <c r="I43" i="24"/>
  <c r="J43" i="24"/>
  <c r="Q43" i="24"/>
  <c r="R43" i="24"/>
  <c r="S43" i="24"/>
  <c r="I44" i="24"/>
  <c r="J44" i="24"/>
  <c r="Q44" i="24"/>
  <c r="R44" i="24"/>
  <c r="S44" i="24"/>
  <c r="I45" i="24"/>
  <c r="J45" i="24"/>
  <c r="Q45" i="24"/>
  <c r="R45" i="24"/>
  <c r="S45" i="24"/>
  <c r="I46" i="24"/>
  <c r="J46" i="24"/>
  <c r="Q46" i="24"/>
  <c r="R46" i="24"/>
  <c r="S46" i="24"/>
  <c r="I47" i="24"/>
  <c r="J47" i="24"/>
  <c r="Q47" i="24"/>
  <c r="R47" i="24"/>
  <c r="S47" i="24"/>
  <c r="H47" i="18" s="1"/>
  <c r="I48" i="24"/>
  <c r="J48" i="24"/>
  <c r="Q48" i="24"/>
  <c r="R48" i="24"/>
  <c r="S48" i="24"/>
  <c r="I49" i="24"/>
  <c r="J49" i="24"/>
  <c r="Q49" i="24"/>
  <c r="R49" i="24"/>
  <c r="S49" i="24"/>
  <c r="M52" i="24"/>
  <c r="E10" i="23"/>
  <c r="F10" i="23"/>
  <c r="G10" i="23"/>
  <c r="I10" i="23"/>
  <c r="J10" i="23"/>
  <c r="Q10" i="23"/>
  <c r="N4" i="23" s="1"/>
  <c r="R10" i="23"/>
  <c r="S10" i="23"/>
  <c r="G10" i="18" s="1"/>
  <c r="E11" i="23"/>
  <c r="F11" i="23"/>
  <c r="G11" i="23"/>
  <c r="I11" i="23"/>
  <c r="J11" i="23"/>
  <c r="Q11" i="23"/>
  <c r="R11" i="23"/>
  <c r="S11" i="23"/>
  <c r="G11" i="18" s="1"/>
  <c r="E12" i="23"/>
  <c r="F12" i="23"/>
  <c r="G12" i="23"/>
  <c r="I12" i="23"/>
  <c r="J12" i="23"/>
  <c r="Q12" i="23"/>
  <c r="O4" i="23" s="1"/>
  <c r="R12" i="23"/>
  <c r="S12" i="23"/>
  <c r="G12" i="18" s="1"/>
  <c r="E13" i="23"/>
  <c r="F13" i="23"/>
  <c r="S13" i="23" s="1"/>
  <c r="G13" i="23"/>
  <c r="I13" i="23"/>
  <c r="J13" i="23"/>
  <c r="Q13" i="23"/>
  <c r="R13" i="23"/>
  <c r="E14" i="23"/>
  <c r="F14" i="23"/>
  <c r="G14" i="23"/>
  <c r="I14" i="23"/>
  <c r="J14" i="23"/>
  <c r="Q14" i="23"/>
  <c r="R14" i="23"/>
  <c r="S14" i="23"/>
  <c r="E15" i="23"/>
  <c r="F15" i="23"/>
  <c r="G15" i="23"/>
  <c r="I15" i="23"/>
  <c r="J15" i="23"/>
  <c r="Q15" i="23"/>
  <c r="R15" i="23"/>
  <c r="S15" i="23"/>
  <c r="E16" i="23"/>
  <c r="F16" i="23"/>
  <c r="G16" i="23"/>
  <c r="I16" i="23"/>
  <c r="J16" i="23"/>
  <c r="Q16" i="23"/>
  <c r="R16" i="23"/>
  <c r="S16" i="23"/>
  <c r="E17" i="23"/>
  <c r="F17" i="23"/>
  <c r="S17" i="23" s="1"/>
  <c r="G17" i="23"/>
  <c r="I17" i="23"/>
  <c r="J17" i="23"/>
  <c r="Q17" i="23"/>
  <c r="R17" i="23"/>
  <c r="E18" i="23"/>
  <c r="F18" i="23"/>
  <c r="G18" i="23"/>
  <c r="I18" i="23"/>
  <c r="J18" i="23"/>
  <c r="Q18" i="23"/>
  <c r="R18" i="23"/>
  <c r="S18" i="23"/>
  <c r="G18" i="18" s="1"/>
  <c r="E19" i="23"/>
  <c r="F19" i="23"/>
  <c r="G19" i="23"/>
  <c r="I19" i="23"/>
  <c r="J19" i="23"/>
  <c r="Q19" i="23"/>
  <c r="R19" i="23"/>
  <c r="S19" i="23"/>
  <c r="E20" i="23"/>
  <c r="F20" i="23"/>
  <c r="G20" i="23"/>
  <c r="I20" i="23"/>
  <c r="J20" i="23"/>
  <c r="Q20" i="23"/>
  <c r="R20" i="23"/>
  <c r="S20" i="23"/>
  <c r="E21" i="23"/>
  <c r="F21" i="23"/>
  <c r="S21" i="23" s="1"/>
  <c r="G21" i="23"/>
  <c r="I21" i="23"/>
  <c r="J21" i="23"/>
  <c r="Q21" i="23"/>
  <c r="R21" i="23"/>
  <c r="E22" i="23"/>
  <c r="F22" i="23"/>
  <c r="G22" i="23"/>
  <c r="I22" i="23"/>
  <c r="J22" i="23"/>
  <c r="Q22" i="23"/>
  <c r="R22" i="23"/>
  <c r="S22" i="23"/>
  <c r="E23" i="23"/>
  <c r="F23" i="23"/>
  <c r="G23" i="23"/>
  <c r="I23" i="23"/>
  <c r="J23" i="23"/>
  <c r="Q23" i="23"/>
  <c r="R23" i="23"/>
  <c r="S23" i="23"/>
  <c r="E24" i="23"/>
  <c r="F24" i="23"/>
  <c r="G24" i="23"/>
  <c r="I24" i="23"/>
  <c r="J24" i="23"/>
  <c r="Q24" i="23"/>
  <c r="R24" i="23"/>
  <c r="S24" i="23"/>
  <c r="G24" i="18" s="1"/>
  <c r="E25" i="23"/>
  <c r="F25" i="23"/>
  <c r="S25" i="23" s="1"/>
  <c r="G25" i="23"/>
  <c r="I25" i="23"/>
  <c r="J25" i="23"/>
  <c r="Q25" i="23"/>
  <c r="R25" i="23"/>
  <c r="E26" i="23"/>
  <c r="F26" i="23"/>
  <c r="G26" i="23"/>
  <c r="I26" i="23"/>
  <c r="J26" i="23"/>
  <c r="Q26" i="23"/>
  <c r="R26" i="23"/>
  <c r="S26" i="23"/>
  <c r="E27" i="23"/>
  <c r="F27" i="23"/>
  <c r="G27" i="23"/>
  <c r="I27" i="23"/>
  <c r="J27" i="23"/>
  <c r="Q27" i="23"/>
  <c r="R27" i="23"/>
  <c r="S27" i="23"/>
  <c r="G27" i="18" s="1"/>
  <c r="E28" i="23"/>
  <c r="F28" i="23"/>
  <c r="G28" i="23"/>
  <c r="I28" i="23"/>
  <c r="J28" i="23"/>
  <c r="Q28" i="23"/>
  <c r="R28" i="23"/>
  <c r="S28" i="23"/>
  <c r="E29" i="23"/>
  <c r="F29" i="23"/>
  <c r="S29" i="23" s="1"/>
  <c r="G29" i="23"/>
  <c r="I29" i="23"/>
  <c r="J29" i="23"/>
  <c r="Q29" i="23"/>
  <c r="R29" i="23"/>
  <c r="E30" i="23"/>
  <c r="F30" i="23"/>
  <c r="G30" i="23"/>
  <c r="I30" i="23"/>
  <c r="J30" i="23"/>
  <c r="Q30" i="23"/>
  <c r="R30" i="23"/>
  <c r="S30" i="23"/>
  <c r="E31" i="23"/>
  <c r="F31" i="23"/>
  <c r="G31" i="23"/>
  <c r="I31" i="23"/>
  <c r="J31" i="23"/>
  <c r="Q31" i="23"/>
  <c r="R31" i="23"/>
  <c r="S31" i="23"/>
  <c r="E32" i="23"/>
  <c r="F32" i="23"/>
  <c r="G32" i="23"/>
  <c r="I32" i="23"/>
  <c r="J32" i="23"/>
  <c r="Q32" i="23"/>
  <c r="R32" i="23"/>
  <c r="S32" i="23"/>
  <c r="E33" i="23"/>
  <c r="F33" i="23"/>
  <c r="S33" i="23" s="1"/>
  <c r="G33" i="23"/>
  <c r="I33" i="23"/>
  <c r="J33" i="23"/>
  <c r="Q33" i="23"/>
  <c r="R33" i="23"/>
  <c r="E34" i="23"/>
  <c r="F34" i="23"/>
  <c r="G34" i="23"/>
  <c r="I34" i="23"/>
  <c r="J34" i="23"/>
  <c r="Q34" i="23"/>
  <c r="R34" i="23"/>
  <c r="S34" i="23"/>
  <c r="E35" i="23"/>
  <c r="F35" i="23"/>
  <c r="G35" i="23"/>
  <c r="I35" i="23"/>
  <c r="J35" i="23"/>
  <c r="Q35" i="23"/>
  <c r="R35" i="23"/>
  <c r="S35" i="23"/>
  <c r="E36" i="23"/>
  <c r="F36" i="23"/>
  <c r="G36" i="23"/>
  <c r="I36" i="23"/>
  <c r="J36" i="23"/>
  <c r="Q36" i="23"/>
  <c r="R36" i="23"/>
  <c r="S36" i="23"/>
  <c r="G36" i="18" s="1"/>
  <c r="E37" i="23"/>
  <c r="F37" i="23"/>
  <c r="S37" i="23" s="1"/>
  <c r="G37" i="23"/>
  <c r="I37" i="23"/>
  <c r="J37" i="23"/>
  <c r="Q37" i="23"/>
  <c r="R37" i="23"/>
  <c r="E38" i="23"/>
  <c r="F38" i="23"/>
  <c r="G38" i="23"/>
  <c r="I38" i="23"/>
  <c r="J38" i="23"/>
  <c r="Q38" i="23"/>
  <c r="R38" i="23"/>
  <c r="S38" i="23"/>
  <c r="E39" i="23"/>
  <c r="F39" i="23"/>
  <c r="G39" i="23"/>
  <c r="I39" i="23"/>
  <c r="J39" i="23"/>
  <c r="Q39" i="23"/>
  <c r="R39" i="23"/>
  <c r="S39" i="23"/>
  <c r="G39" i="18" s="1"/>
  <c r="E40" i="23"/>
  <c r="F40" i="23"/>
  <c r="G40" i="23"/>
  <c r="I40" i="23"/>
  <c r="J40" i="23"/>
  <c r="Q40" i="23"/>
  <c r="R40" i="23"/>
  <c r="S40" i="23"/>
  <c r="E41" i="23"/>
  <c r="F41" i="23"/>
  <c r="S41" i="23" s="1"/>
  <c r="G41" i="23"/>
  <c r="I41" i="23"/>
  <c r="J41" i="23"/>
  <c r="Q41" i="23"/>
  <c r="R41" i="23"/>
  <c r="I42" i="23"/>
  <c r="J42" i="23"/>
  <c r="Q42" i="23"/>
  <c r="R42" i="23"/>
  <c r="S42" i="23"/>
  <c r="I43" i="23"/>
  <c r="J43" i="23"/>
  <c r="Q43" i="23"/>
  <c r="R43" i="23"/>
  <c r="S43" i="23"/>
  <c r="I44" i="23"/>
  <c r="J44" i="23"/>
  <c r="Q44" i="23"/>
  <c r="R44" i="23"/>
  <c r="S44" i="23"/>
  <c r="I45" i="23"/>
  <c r="J45" i="23"/>
  <c r="Q45" i="23"/>
  <c r="R45" i="23"/>
  <c r="S45" i="23"/>
  <c r="G45" i="18" s="1"/>
  <c r="I46" i="23"/>
  <c r="J46" i="23"/>
  <c r="Q46" i="23"/>
  <c r="R46" i="23"/>
  <c r="S46" i="23"/>
  <c r="G46" i="18" s="1"/>
  <c r="I47" i="23"/>
  <c r="J47" i="23"/>
  <c r="Q47" i="23"/>
  <c r="R47" i="23"/>
  <c r="S47" i="23"/>
  <c r="I48" i="23"/>
  <c r="J48" i="23"/>
  <c r="Q48" i="23"/>
  <c r="R48" i="23"/>
  <c r="S48" i="23"/>
  <c r="I49" i="23"/>
  <c r="J49" i="23"/>
  <c r="Q49" i="23"/>
  <c r="R49" i="23"/>
  <c r="S49" i="23"/>
  <c r="E10" i="22"/>
  <c r="F10" i="22"/>
  <c r="G10" i="22"/>
  <c r="I10" i="22"/>
  <c r="J10" i="22"/>
  <c r="Q10" i="22"/>
  <c r="N4" i="22" s="1"/>
  <c r="R10" i="22"/>
  <c r="S10" i="22"/>
  <c r="F10" i="18" s="1"/>
  <c r="E11" i="22"/>
  <c r="F11" i="22"/>
  <c r="S11" i="22" s="1"/>
  <c r="G11" i="22"/>
  <c r="I11" i="22"/>
  <c r="J11" i="22"/>
  <c r="Q11" i="22"/>
  <c r="R11" i="22"/>
  <c r="E12" i="22"/>
  <c r="F12" i="22"/>
  <c r="G12" i="22"/>
  <c r="I12" i="22"/>
  <c r="J12" i="22"/>
  <c r="Q12" i="22"/>
  <c r="O4" i="22" s="1"/>
  <c r="R12" i="22"/>
  <c r="S12" i="22"/>
  <c r="E13" i="22"/>
  <c r="F13" i="22"/>
  <c r="S13" i="22" s="1"/>
  <c r="G13" i="22"/>
  <c r="I13" i="22"/>
  <c r="J13" i="22"/>
  <c r="Q13" i="22"/>
  <c r="R13" i="22"/>
  <c r="E14" i="22"/>
  <c r="F14" i="22"/>
  <c r="G14" i="22"/>
  <c r="I14" i="22"/>
  <c r="J14" i="22"/>
  <c r="Q14" i="22"/>
  <c r="R14" i="22"/>
  <c r="S14" i="22"/>
  <c r="F14" i="18" s="1"/>
  <c r="E15" i="22"/>
  <c r="F15" i="22"/>
  <c r="S15" i="22" s="1"/>
  <c r="G15" i="22"/>
  <c r="I15" i="22"/>
  <c r="J15" i="22"/>
  <c r="Q15" i="22"/>
  <c r="R15" i="22"/>
  <c r="E16" i="22"/>
  <c r="F16" i="22"/>
  <c r="G16" i="22"/>
  <c r="I16" i="22"/>
  <c r="J16" i="22"/>
  <c r="Q16" i="22"/>
  <c r="R16" i="22"/>
  <c r="S16" i="22"/>
  <c r="E17" i="22"/>
  <c r="F17" i="22"/>
  <c r="S17" i="22" s="1"/>
  <c r="G17" i="22"/>
  <c r="I17" i="22"/>
  <c r="J17" i="22"/>
  <c r="Q17" i="22"/>
  <c r="R17" i="22"/>
  <c r="E18" i="22"/>
  <c r="F18" i="22"/>
  <c r="G18" i="22"/>
  <c r="I18" i="22"/>
  <c r="J18" i="22"/>
  <c r="Q18" i="22"/>
  <c r="R18" i="22"/>
  <c r="S18" i="22"/>
  <c r="E19" i="22"/>
  <c r="F19" i="22"/>
  <c r="S19" i="22" s="1"/>
  <c r="F19" i="18" s="1"/>
  <c r="G19" i="22"/>
  <c r="I19" i="22"/>
  <c r="J19" i="22"/>
  <c r="Q19" i="22"/>
  <c r="R19" i="22"/>
  <c r="E20" i="22"/>
  <c r="F20" i="22"/>
  <c r="G20" i="22"/>
  <c r="I20" i="22"/>
  <c r="J20" i="22"/>
  <c r="Q20" i="22"/>
  <c r="R20" i="22"/>
  <c r="S20" i="22"/>
  <c r="E21" i="22"/>
  <c r="F21" i="22"/>
  <c r="S21" i="22" s="1"/>
  <c r="G21" i="22"/>
  <c r="I21" i="22"/>
  <c r="J21" i="22"/>
  <c r="Q21" i="22"/>
  <c r="R21" i="22"/>
  <c r="E22" i="22"/>
  <c r="F22" i="22"/>
  <c r="G22" i="22"/>
  <c r="I22" i="22"/>
  <c r="J22" i="22"/>
  <c r="Q22" i="22"/>
  <c r="R22" i="22"/>
  <c r="S22" i="22"/>
  <c r="E23" i="22"/>
  <c r="F23" i="22"/>
  <c r="S23" i="22" s="1"/>
  <c r="G23" i="22"/>
  <c r="I23" i="22"/>
  <c r="J23" i="22"/>
  <c r="Q23" i="22"/>
  <c r="R23" i="22"/>
  <c r="E24" i="22"/>
  <c r="F24" i="22"/>
  <c r="G24" i="22"/>
  <c r="I24" i="22"/>
  <c r="J24" i="22"/>
  <c r="Q24" i="22"/>
  <c r="R24" i="22"/>
  <c r="S24" i="22"/>
  <c r="E25" i="22"/>
  <c r="F25" i="22"/>
  <c r="S25" i="22" s="1"/>
  <c r="G25" i="22"/>
  <c r="I25" i="22"/>
  <c r="J25" i="22"/>
  <c r="Q25" i="22"/>
  <c r="R25" i="22"/>
  <c r="E26" i="22"/>
  <c r="F26" i="22"/>
  <c r="G26" i="22"/>
  <c r="I26" i="22"/>
  <c r="J26" i="22"/>
  <c r="Q26" i="22"/>
  <c r="R26" i="22"/>
  <c r="S26" i="22"/>
  <c r="E27" i="22"/>
  <c r="F27" i="22"/>
  <c r="S27" i="22" s="1"/>
  <c r="G27" i="22"/>
  <c r="I27" i="22"/>
  <c r="J27" i="22"/>
  <c r="Q27" i="22"/>
  <c r="R27" i="22"/>
  <c r="E28" i="22"/>
  <c r="F28" i="22"/>
  <c r="G28" i="22"/>
  <c r="I28" i="22"/>
  <c r="J28" i="22"/>
  <c r="Q28" i="22"/>
  <c r="R28" i="22"/>
  <c r="S28" i="22"/>
  <c r="E29" i="22"/>
  <c r="F29" i="22"/>
  <c r="S29" i="22" s="1"/>
  <c r="G29" i="22"/>
  <c r="I29" i="22"/>
  <c r="J29" i="22"/>
  <c r="Q29" i="22"/>
  <c r="R29" i="22"/>
  <c r="E30" i="22"/>
  <c r="F30" i="22"/>
  <c r="G30" i="22"/>
  <c r="I30" i="22"/>
  <c r="J30" i="22"/>
  <c r="Q30" i="22"/>
  <c r="R30" i="22"/>
  <c r="S30" i="22"/>
  <c r="F30" i="18" s="1"/>
  <c r="E31" i="22"/>
  <c r="F31" i="22"/>
  <c r="S31" i="22" s="1"/>
  <c r="G31" i="22"/>
  <c r="I31" i="22"/>
  <c r="J31" i="22"/>
  <c r="Q31" i="22"/>
  <c r="R31" i="22"/>
  <c r="E32" i="22"/>
  <c r="F32" i="22"/>
  <c r="G32" i="22"/>
  <c r="I32" i="22"/>
  <c r="J32" i="22"/>
  <c r="Q32" i="22"/>
  <c r="R32" i="22"/>
  <c r="S32" i="22"/>
  <c r="E33" i="22"/>
  <c r="F33" i="22"/>
  <c r="S33" i="22" s="1"/>
  <c r="G33" i="22"/>
  <c r="I33" i="22"/>
  <c r="J33" i="22"/>
  <c r="Q33" i="22"/>
  <c r="R33" i="22"/>
  <c r="E34" i="22"/>
  <c r="F34" i="22"/>
  <c r="G34" i="22"/>
  <c r="I34" i="22"/>
  <c r="J34" i="22"/>
  <c r="Q34" i="22"/>
  <c r="R34" i="22"/>
  <c r="S34" i="22"/>
  <c r="E35" i="22"/>
  <c r="F35" i="22"/>
  <c r="S35" i="22" s="1"/>
  <c r="G35" i="22"/>
  <c r="I35" i="22"/>
  <c r="J35" i="22"/>
  <c r="Q35" i="22"/>
  <c r="R35" i="22"/>
  <c r="E36" i="22"/>
  <c r="F36" i="22"/>
  <c r="G36" i="22"/>
  <c r="I36" i="22"/>
  <c r="J36" i="22"/>
  <c r="Q36" i="22"/>
  <c r="R36" i="22"/>
  <c r="S36" i="22"/>
  <c r="F36" i="18" s="1"/>
  <c r="E37" i="22"/>
  <c r="F37" i="22"/>
  <c r="S37" i="22" s="1"/>
  <c r="G37" i="22"/>
  <c r="I37" i="22"/>
  <c r="J37" i="22"/>
  <c r="Q37" i="22"/>
  <c r="R37" i="22"/>
  <c r="E38" i="22"/>
  <c r="F38" i="22"/>
  <c r="G38" i="22"/>
  <c r="I38" i="22"/>
  <c r="J38" i="22"/>
  <c r="Q38" i="22"/>
  <c r="R38" i="22"/>
  <c r="S38" i="22"/>
  <c r="E39" i="22"/>
  <c r="F39" i="22"/>
  <c r="S39" i="22" s="1"/>
  <c r="G39" i="22"/>
  <c r="I39" i="22"/>
  <c r="J39" i="22"/>
  <c r="Q39" i="22"/>
  <c r="R39" i="22"/>
  <c r="E40" i="22"/>
  <c r="F40" i="22"/>
  <c r="G40" i="22"/>
  <c r="I40" i="22"/>
  <c r="J40" i="22"/>
  <c r="Q40" i="22"/>
  <c r="R40" i="22"/>
  <c r="S40" i="22"/>
  <c r="E41" i="22"/>
  <c r="F41" i="22"/>
  <c r="S41" i="22" s="1"/>
  <c r="G41" i="22"/>
  <c r="I41" i="22"/>
  <c r="J41" i="22"/>
  <c r="Q41" i="22"/>
  <c r="R41" i="22"/>
  <c r="I42" i="22"/>
  <c r="J42" i="22"/>
  <c r="Q42" i="22"/>
  <c r="R42" i="22"/>
  <c r="S42" i="22"/>
  <c r="I43" i="22"/>
  <c r="J43" i="22"/>
  <c r="Q43" i="22"/>
  <c r="R43" i="22"/>
  <c r="S43" i="22"/>
  <c r="I44" i="22"/>
  <c r="J44" i="22"/>
  <c r="Q44" i="22"/>
  <c r="S44" i="22" s="1"/>
  <c r="R44" i="22"/>
  <c r="I45" i="22"/>
  <c r="J45" i="22"/>
  <c r="Q45" i="22"/>
  <c r="R45" i="22"/>
  <c r="S45" i="22"/>
  <c r="F45" i="18" s="1"/>
  <c r="I46" i="22"/>
  <c r="J46" i="22"/>
  <c r="Q46" i="22"/>
  <c r="R46" i="22"/>
  <c r="S46" i="22"/>
  <c r="I47" i="22"/>
  <c r="J47" i="22"/>
  <c r="Q47" i="22"/>
  <c r="R47" i="22"/>
  <c r="S47" i="22"/>
  <c r="F47" i="18" s="1"/>
  <c r="I48" i="22"/>
  <c r="J48" i="22"/>
  <c r="Q48" i="22"/>
  <c r="R48" i="22"/>
  <c r="S48" i="22"/>
  <c r="I49" i="22"/>
  <c r="J49" i="22"/>
  <c r="Q49" i="22"/>
  <c r="R49" i="22"/>
  <c r="S49" i="22"/>
  <c r="E10" i="21"/>
  <c r="F10" i="21"/>
  <c r="G10" i="21"/>
  <c r="I10" i="21"/>
  <c r="J10" i="21"/>
  <c r="Q10" i="21"/>
  <c r="N4" i="21" s="1"/>
  <c r="R10" i="21"/>
  <c r="S10" i="21"/>
  <c r="E11" i="21"/>
  <c r="F11" i="21"/>
  <c r="S11" i="21" s="1"/>
  <c r="G11" i="21"/>
  <c r="I11" i="21"/>
  <c r="J11" i="21"/>
  <c r="Q11" i="21"/>
  <c r="R11" i="21"/>
  <c r="E12" i="21"/>
  <c r="F12" i="21"/>
  <c r="G12" i="21"/>
  <c r="I12" i="21"/>
  <c r="J12" i="21"/>
  <c r="Q12" i="21"/>
  <c r="O4" i="21" s="1"/>
  <c r="R12" i="21"/>
  <c r="S12" i="21"/>
  <c r="E13" i="21"/>
  <c r="F13" i="21"/>
  <c r="S13" i="21" s="1"/>
  <c r="G13" i="21"/>
  <c r="I13" i="21"/>
  <c r="J13" i="21"/>
  <c r="Q13" i="21"/>
  <c r="R13" i="21"/>
  <c r="E14" i="21"/>
  <c r="F14" i="21"/>
  <c r="G14" i="21"/>
  <c r="I14" i="21"/>
  <c r="J14" i="21"/>
  <c r="Q14" i="21"/>
  <c r="R14" i="21"/>
  <c r="S14" i="21"/>
  <c r="E14" i="18" s="1"/>
  <c r="E15" i="21"/>
  <c r="F15" i="21"/>
  <c r="S15" i="21" s="1"/>
  <c r="G15" i="21"/>
  <c r="I15" i="21"/>
  <c r="J15" i="21"/>
  <c r="Q15" i="21"/>
  <c r="R15" i="21"/>
  <c r="E16" i="21"/>
  <c r="F16" i="21"/>
  <c r="G16" i="21"/>
  <c r="I16" i="21"/>
  <c r="J16" i="21"/>
  <c r="Q16" i="21"/>
  <c r="R16" i="21"/>
  <c r="S16" i="21"/>
  <c r="E17" i="21"/>
  <c r="F17" i="21"/>
  <c r="S17" i="21" s="1"/>
  <c r="G17" i="21"/>
  <c r="I17" i="21"/>
  <c r="J17" i="21"/>
  <c r="Q17" i="21"/>
  <c r="R17" i="21"/>
  <c r="E18" i="21"/>
  <c r="F18" i="21"/>
  <c r="G18" i="21"/>
  <c r="I18" i="21"/>
  <c r="J18" i="21"/>
  <c r="Q18" i="21"/>
  <c r="R18" i="21"/>
  <c r="S18" i="21"/>
  <c r="E18" i="18" s="1"/>
  <c r="E19" i="21"/>
  <c r="F19" i="21"/>
  <c r="S19" i="21" s="1"/>
  <c r="G19" i="21"/>
  <c r="I19" i="21"/>
  <c r="J19" i="21"/>
  <c r="Q19" i="21"/>
  <c r="R19" i="21"/>
  <c r="E20" i="21"/>
  <c r="F20" i="21"/>
  <c r="G20" i="21"/>
  <c r="I20" i="21"/>
  <c r="J20" i="21"/>
  <c r="Q20" i="21"/>
  <c r="R20" i="21"/>
  <c r="S20" i="21"/>
  <c r="E21" i="21"/>
  <c r="F21" i="21"/>
  <c r="S21" i="21" s="1"/>
  <c r="G21" i="21"/>
  <c r="I21" i="21"/>
  <c r="J21" i="21"/>
  <c r="Q21" i="21"/>
  <c r="R21" i="21"/>
  <c r="E22" i="21"/>
  <c r="F22" i="21"/>
  <c r="G22" i="21"/>
  <c r="I22" i="21"/>
  <c r="J22" i="21"/>
  <c r="Q22" i="21"/>
  <c r="R22" i="21"/>
  <c r="S22" i="21"/>
  <c r="E23" i="21"/>
  <c r="F23" i="21"/>
  <c r="S23" i="21" s="1"/>
  <c r="G23" i="21"/>
  <c r="I23" i="21"/>
  <c r="J23" i="21"/>
  <c r="Q23" i="21"/>
  <c r="R23" i="21"/>
  <c r="E24" i="21"/>
  <c r="F24" i="21"/>
  <c r="G24" i="21"/>
  <c r="I24" i="21"/>
  <c r="J24" i="21"/>
  <c r="Q24" i="21"/>
  <c r="R24" i="21"/>
  <c r="S24" i="21"/>
  <c r="E24" i="18" s="1"/>
  <c r="V24" i="21"/>
  <c r="E25" i="21"/>
  <c r="F25" i="21"/>
  <c r="S25" i="21" s="1"/>
  <c r="G25" i="21"/>
  <c r="I25" i="21"/>
  <c r="J25" i="21"/>
  <c r="Q25" i="21"/>
  <c r="R25" i="21"/>
  <c r="E26" i="21"/>
  <c r="F26" i="21"/>
  <c r="G26" i="21"/>
  <c r="I26" i="21"/>
  <c r="J26" i="21"/>
  <c r="Q26" i="21"/>
  <c r="R26" i="21"/>
  <c r="S26" i="21"/>
  <c r="E26" i="18" s="1"/>
  <c r="V26" i="21"/>
  <c r="E27" i="21"/>
  <c r="J27" i="21" s="1"/>
  <c r="F27" i="21"/>
  <c r="S27" i="21" s="1"/>
  <c r="G27" i="21"/>
  <c r="I27" i="21"/>
  <c r="Q27" i="21"/>
  <c r="R27" i="21"/>
  <c r="E28" i="21"/>
  <c r="F28" i="21"/>
  <c r="G28" i="21"/>
  <c r="I28" i="21"/>
  <c r="J28" i="21"/>
  <c r="Q28" i="21"/>
  <c r="R28" i="21"/>
  <c r="S28" i="21"/>
  <c r="E29" i="21"/>
  <c r="J29" i="21" s="1"/>
  <c r="F29" i="21"/>
  <c r="S29" i="21" s="1"/>
  <c r="G29" i="21"/>
  <c r="I29" i="21"/>
  <c r="Q29" i="21"/>
  <c r="R29" i="21"/>
  <c r="E30" i="21"/>
  <c r="F30" i="21"/>
  <c r="G30" i="21"/>
  <c r="I30" i="21"/>
  <c r="J30" i="21"/>
  <c r="Q30" i="21"/>
  <c r="R30" i="21"/>
  <c r="S30" i="21"/>
  <c r="E31" i="21"/>
  <c r="J31" i="21" s="1"/>
  <c r="F31" i="21"/>
  <c r="S31" i="21" s="1"/>
  <c r="G31" i="21"/>
  <c r="I31" i="21"/>
  <c r="Q31" i="21"/>
  <c r="R31" i="21"/>
  <c r="E32" i="21"/>
  <c r="F32" i="21"/>
  <c r="G32" i="21"/>
  <c r="I32" i="21"/>
  <c r="J32" i="21"/>
  <c r="Q32" i="21"/>
  <c r="R32" i="21"/>
  <c r="S32" i="21"/>
  <c r="E32" i="18" s="1"/>
  <c r="E33" i="21"/>
  <c r="J33" i="21" s="1"/>
  <c r="F33" i="21"/>
  <c r="S33" i="21" s="1"/>
  <c r="G33" i="21"/>
  <c r="I33" i="21"/>
  <c r="Q33" i="21"/>
  <c r="R33" i="21"/>
  <c r="E34" i="21"/>
  <c r="F34" i="21"/>
  <c r="G34" i="21"/>
  <c r="I34" i="21"/>
  <c r="J34" i="21"/>
  <c r="Q34" i="21"/>
  <c r="R34" i="21"/>
  <c r="S34" i="21"/>
  <c r="E35" i="21"/>
  <c r="J35" i="21" s="1"/>
  <c r="F35" i="21"/>
  <c r="S35" i="21" s="1"/>
  <c r="G35" i="21"/>
  <c r="I35" i="21"/>
  <c r="Q35" i="21"/>
  <c r="R35" i="21"/>
  <c r="E36" i="21"/>
  <c r="F36" i="21"/>
  <c r="G36" i="21"/>
  <c r="I36" i="21"/>
  <c r="J36" i="21"/>
  <c r="Q36" i="21"/>
  <c r="R36" i="21"/>
  <c r="S36" i="21"/>
  <c r="E36" i="18" s="1"/>
  <c r="E37" i="21"/>
  <c r="J37" i="21" s="1"/>
  <c r="F37" i="21"/>
  <c r="S37" i="21" s="1"/>
  <c r="G37" i="21"/>
  <c r="I37" i="21"/>
  <c r="Q37" i="21"/>
  <c r="R37" i="21"/>
  <c r="E38" i="21"/>
  <c r="F38" i="21"/>
  <c r="G38" i="21"/>
  <c r="I38" i="21"/>
  <c r="J38" i="21"/>
  <c r="Q38" i="21"/>
  <c r="R38" i="21"/>
  <c r="S38" i="21"/>
  <c r="E39" i="21"/>
  <c r="J39" i="21" s="1"/>
  <c r="F39" i="21"/>
  <c r="S39" i="21" s="1"/>
  <c r="G39" i="21"/>
  <c r="I39" i="21"/>
  <c r="Q39" i="21"/>
  <c r="R39" i="21"/>
  <c r="E40" i="21"/>
  <c r="F40" i="21"/>
  <c r="G40" i="21"/>
  <c r="I40" i="21"/>
  <c r="J40" i="21"/>
  <c r="Q40" i="21"/>
  <c r="R40" i="21"/>
  <c r="S40" i="21"/>
  <c r="E41" i="21"/>
  <c r="J41" i="21" s="1"/>
  <c r="F41" i="21"/>
  <c r="S41" i="21" s="1"/>
  <c r="G41" i="21"/>
  <c r="I41" i="21"/>
  <c r="Q41" i="21"/>
  <c r="R41" i="21"/>
  <c r="I42" i="21"/>
  <c r="J42" i="21"/>
  <c r="Q42" i="21"/>
  <c r="R42" i="21"/>
  <c r="S42" i="21"/>
  <c r="I43" i="21"/>
  <c r="J43" i="21"/>
  <c r="Q43" i="21"/>
  <c r="R43" i="21"/>
  <c r="S43" i="21"/>
  <c r="E43" i="18" s="1"/>
  <c r="I44" i="21"/>
  <c r="J44" i="21"/>
  <c r="Q44" i="21"/>
  <c r="R44" i="21"/>
  <c r="S44" i="21"/>
  <c r="I45" i="21"/>
  <c r="J45" i="21"/>
  <c r="Q45" i="21"/>
  <c r="R45" i="21"/>
  <c r="S45" i="21"/>
  <c r="I46" i="21"/>
  <c r="J46" i="21"/>
  <c r="Q46" i="21"/>
  <c r="R46" i="21"/>
  <c r="S46" i="21"/>
  <c r="I47" i="21"/>
  <c r="J47" i="21"/>
  <c r="Q47" i="21"/>
  <c r="S47" i="21" s="1"/>
  <c r="R47" i="21"/>
  <c r="I48" i="21"/>
  <c r="J48" i="21"/>
  <c r="Q48" i="21"/>
  <c r="R48" i="21"/>
  <c r="S48" i="21"/>
  <c r="I49" i="21"/>
  <c r="J49" i="21"/>
  <c r="Q49" i="21"/>
  <c r="R49" i="21"/>
  <c r="S49" i="21"/>
  <c r="E10" i="20"/>
  <c r="F10" i="20"/>
  <c r="G10" i="20"/>
  <c r="I10" i="20"/>
  <c r="J10" i="20"/>
  <c r="Q10" i="20"/>
  <c r="N4" i="20" s="1"/>
  <c r="R10" i="20"/>
  <c r="S10" i="20"/>
  <c r="E11" i="20"/>
  <c r="F11" i="20"/>
  <c r="G11" i="20"/>
  <c r="I11" i="20"/>
  <c r="J11" i="20"/>
  <c r="Q11" i="20"/>
  <c r="R11" i="20"/>
  <c r="S11" i="20"/>
  <c r="E12" i="20"/>
  <c r="F12" i="20"/>
  <c r="G12" i="20"/>
  <c r="I12" i="20"/>
  <c r="J12" i="20"/>
  <c r="Q12" i="20"/>
  <c r="O4" i="20" s="1"/>
  <c r="R12" i="20"/>
  <c r="S12" i="20"/>
  <c r="D12" i="18" s="1"/>
  <c r="E13" i="20"/>
  <c r="J13" i="20" s="1"/>
  <c r="F13" i="20"/>
  <c r="S13" i="20" s="1"/>
  <c r="G13" i="20"/>
  <c r="I13" i="20"/>
  <c r="Q13" i="20"/>
  <c r="R13" i="20"/>
  <c r="E14" i="20"/>
  <c r="F14" i="20"/>
  <c r="G14" i="20"/>
  <c r="I14" i="20"/>
  <c r="J14" i="20"/>
  <c r="Q14" i="20"/>
  <c r="R14" i="20"/>
  <c r="S14" i="20"/>
  <c r="E15" i="20"/>
  <c r="F15" i="20"/>
  <c r="G15" i="20"/>
  <c r="I15" i="20"/>
  <c r="J15" i="20"/>
  <c r="Q15" i="20"/>
  <c r="R15" i="20"/>
  <c r="S15" i="20"/>
  <c r="E16" i="20"/>
  <c r="F16" i="20"/>
  <c r="G16" i="20"/>
  <c r="I16" i="20"/>
  <c r="J16" i="20"/>
  <c r="Q16" i="20"/>
  <c r="R16" i="20"/>
  <c r="S16" i="20"/>
  <c r="E17" i="20"/>
  <c r="J17" i="20" s="1"/>
  <c r="F17" i="20"/>
  <c r="S17" i="20" s="1"/>
  <c r="G17" i="20"/>
  <c r="I17" i="20"/>
  <c r="Q17" i="20"/>
  <c r="R17" i="20"/>
  <c r="E18" i="20"/>
  <c r="F18" i="20"/>
  <c r="G18" i="20"/>
  <c r="I18" i="20"/>
  <c r="J18" i="20"/>
  <c r="Q18" i="20"/>
  <c r="R18" i="20"/>
  <c r="S18" i="20"/>
  <c r="E19" i="20"/>
  <c r="F19" i="20"/>
  <c r="G19" i="20"/>
  <c r="I19" i="20"/>
  <c r="J19" i="20"/>
  <c r="Q19" i="20"/>
  <c r="R19" i="20"/>
  <c r="S19" i="20"/>
  <c r="E20" i="20"/>
  <c r="F20" i="20"/>
  <c r="G20" i="20"/>
  <c r="I20" i="20"/>
  <c r="J20" i="20"/>
  <c r="Q20" i="20"/>
  <c r="R20" i="20"/>
  <c r="S20" i="20"/>
  <c r="D20" i="18" s="1"/>
  <c r="E21" i="20"/>
  <c r="J21" i="20" s="1"/>
  <c r="F21" i="20"/>
  <c r="S21" i="20" s="1"/>
  <c r="G21" i="20"/>
  <c r="I21" i="20"/>
  <c r="Q21" i="20"/>
  <c r="R21" i="20"/>
  <c r="E22" i="20"/>
  <c r="F22" i="20"/>
  <c r="G22" i="20"/>
  <c r="I22" i="20"/>
  <c r="J22" i="20"/>
  <c r="Q22" i="20"/>
  <c r="R22" i="20"/>
  <c r="S22" i="20"/>
  <c r="E23" i="20"/>
  <c r="F23" i="20"/>
  <c r="G23" i="20"/>
  <c r="I23" i="20"/>
  <c r="J23" i="20"/>
  <c r="Q23" i="20"/>
  <c r="R23" i="20"/>
  <c r="S23" i="20"/>
  <c r="E24" i="20"/>
  <c r="F24" i="20"/>
  <c r="G24" i="20"/>
  <c r="I24" i="20"/>
  <c r="J24" i="20"/>
  <c r="Q24" i="20"/>
  <c r="R24" i="20"/>
  <c r="S24" i="20"/>
  <c r="V24" i="20"/>
  <c r="E25" i="20"/>
  <c r="J25" i="20" s="1"/>
  <c r="F25" i="20"/>
  <c r="G25" i="20"/>
  <c r="I25" i="20"/>
  <c r="Q25" i="20"/>
  <c r="R25" i="20"/>
  <c r="S25" i="20"/>
  <c r="E26" i="20"/>
  <c r="F26" i="20"/>
  <c r="G26" i="20"/>
  <c r="I26" i="20"/>
  <c r="J26" i="20"/>
  <c r="Q26" i="20"/>
  <c r="R26" i="20"/>
  <c r="S26" i="20"/>
  <c r="D26" i="18" s="1"/>
  <c r="V26" i="20"/>
  <c r="E27" i="20"/>
  <c r="F27" i="20"/>
  <c r="G27" i="20"/>
  <c r="I27" i="20"/>
  <c r="J27" i="20"/>
  <c r="Q27" i="20"/>
  <c r="R27" i="20"/>
  <c r="S27" i="20"/>
  <c r="E28" i="20"/>
  <c r="F28" i="20"/>
  <c r="G28" i="20"/>
  <c r="I28" i="20"/>
  <c r="J28" i="20"/>
  <c r="Q28" i="20"/>
  <c r="R28" i="20"/>
  <c r="S28" i="20"/>
  <c r="E29" i="20"/>
  <c r="F29" i="20"/>
  <c r="G29" i="20"/>
  <c r="I29" i="20"/>
  <c r="J29" i="20"/>
  <c r="Q29" i="20"/>
  <c r="R29" i="20"/>
  <c r="S29" i="20"/>
  <c r="E30" i="20"/>
  <c r="F30" i="20"/>
  <c r="G30" i="20"/>
  <c r="I30" i="20"/>
  <c r="J30" i="20"/>
  <c r="Q30" i="20"/>
  <c r="R30" i="20"/>
  <c r="S30" i="20"/>
  <c r="D30" i="18" s="1"/>
  <c r="E31" i="20"/>
  <c r="F31" i="20"/>
  <c r="G31" i="20"/>
  <c r="I31" i="20"/>
  <c r="J31" i="20"/>
  <c r="Q31" i="20"/>
  <c r="R31" i="20"/>
  <c r="S31" i="20"/>
  <c r="D31" i="18" s="1"/>
  <c r="E32" i="20"/>
  <c r="F32" i="20"/>
  <c r="G32" i="20"/>
  <c r="I32" i="20"/>
  <c r="J32" i="20"/>
  <c r="Q32" i="20"/>
  <c r="R32" i="20"/>
  <c r="S32" i="20"/>
  <c r="E33" i="20"/>
  <c r="F33" i="20"/>
  <c r="G33" i="20"/>
  <c r="I33" i="20"/>
  <c r="J33" i="20"/>
  <c r="Q33" i="20"/>
  <c r="R33" i="20"/>
  <c r="S33" i="20"/>
  <c r="E34" i="20"/>
  <c r="F34" i="20"/>
  <c r="G34" i="20"/>
  <c r="I34" i="20"/>
  <c r="J34" i="20"/>
  <c r="Q34" i="20"/>
  <c r="R34" i="20"/>
  <c r="S34" i="20"/>
  <c r="E35" i="20"/>
  <c r="F35" i="20"/>
  <c r="G35" i="20"/>
  <c r="I35" i="20"/>
  <c r="J35" i="20"/>
  <c r="Q35" i="20"/>
  <c r="R35" i="20"/>
  <c r="S35" i="20"/>
  <c r="D35" i="18" s="1"/>
  <c r="E36" i="20"/>
  <c r="F36" i="20"/>
  <c r="G36" i="20"/>
  <c r="I36" i="20"/>
  <c r="J36" i="20"/>
  <c r="Q36" i="20"/>
  <c r="R36" i="20"/>
  <c r="S36" i="20"/>
  <c r="E37" i="20"/>
  <c r="F37" i="20"/>
  <c r="G37" i="20"/>
  <c r="I37" i="20"/>
  <c r="J37" i="20"/>
  <c r="Q37" i="20"/>
  <c r="R37" i="20"/>
  <c r="S37" i="20"/>
  <c r="E38" i="20"/>
  <c r="F38" i="20"/>
  <c r="G38" i="20"/>
  <c r="I38" i="20"/>
  <c r="J38" i="20"/>
  <c r="Q38" i="20"/>
  <c r="R38" i="20"/>
  <c r="S38" i="20"/>
  <c r="E39" i="20"/>
  <c r="F39" i="20"/>
  <c r="G39" i="20"/>
  <c r="I39" i="20"/>
  <c r="J39" i="20"/>
  <c r="Q39" i="20"/>
  <c r="R39" i="20"/>
  <c r="S39" i="20"/>
  <c r="E40" i="20"/>
  <c r="F40" i="20"/>
  <c r="G40" i="20"/>
  <c r="I40" i="20"/>
  <c r="J40" i="20"/>
  <c r="Q40" i="20"/>
  <c r="R40" i="20"/>
  <c r="S40" i="20"/>
  <c r="D40" i="18" s="1"/>
  <c r="E41" i="20"/>
  <c r="F41" i="20"/>
  <c r="G41" i="20"/>
  <c r="I41" i="20"/>
  <c r="J41" i="20"/>
  <c r="Q41" i="20"/>
  <c r="R41" i="20"/>
  <c r="S41" i="20"/>
  <c r="I42" i="20"/>
  <c r="J42" i="20"/>
  <c r="Q42" i="20"/>
  <c r="R42" i="20"/>
  <c r="S42" i="20"/>
  <c r="I43" i="20"/>
  <c r="J43" i="20"/>
  <c r="Q43" i="20"/>
  <c r="R43" i="20"/>
  <c r="S43" i="20"/>
  <c r="I44" i="20"/>
  <c r="J44" i="20"/>
  <c r="Q44" i="20"/>
  <c r="R44" i="20"/>
  <c r="S44" i="20"/>
  <c r="D44" i="18" s="1"/>
  <c r="I45" i="20"/>
  <c r="J45" i="20"/>
  <c r="Q45" i="20"/>
  <c r="R45" i="20"/>
  <c r="S45" i="20"/>
  <c r="D45" i="18" s="1"/>
  <c r="I46" i="20"/>
  <c r="J46" i="20"/>
  <c r="Q46" i="20"/>
  <c r="S46" i="20" s="1"/>
  <c r="R46" i="20"/>
  <c r="I47" i="20"/>
  <c r="J47" i="20"/>
  <c r="Q47" i="20"/>
  <c r="R47" i="20"/>
  <c r="S47" i="20"/>
  <c r="I48" i="20"/>
  <c r="J48" i="20"/>
  <c r="Q48" i="20"/>
  <c r="R48" i="20"/>
  <c r="S48" i="20"/>
  <c r="I49" i="20"/>
  <c r="J49" i="20"/>
  <c r="Q49" i="20"/>
  <c r="R49" i="20"/>
  <c r="S49" i="20"/>
  <c r="D43" i="18"/>
  <c r="D33" i="18"/>
  <c r="E48" i="18"/>
  <c r="E38" i="18"/>
  <c r="F22" i="18"/>
  <c r="F20" i="18"/>
  <c r="F18" i="18"/>
  <c r="G43" i="18"/>
  <c r="G42" i="18"/>
  <c r="G38" i="18"/>
  <c r="G34" i="18"/>
  <c r="G20" i="18"/>
  <c r="H42" i="18"/>
  <c r="H39" i="18"/>
  <c r="H38" i="18"/>
  <c r="I45" i="18"/>
  <c r="I40" i="18"/>
  <c r="I38" i="18"/>
  <c r="I12" i="18"/>
  <c r="J47" i="18"/>
  <c r="J36" i="18"/>
  <c r="K48" i="18"/>
  <c r="K44" i="18"/>
  <c r="K35" i="18"/>
  <c r="K34" i="18"/>
  <c r="K28" i="18"/>
  <c r="L47" i="18"/>
  <c r="L36" i="18"/>
  <c r="L32" i="18"/>
  <c r="M49" i="18"/>
  <c r="N48" i="18"/>
  <c r="N30" i="18"/>
  <c r="O45" i="18"/>
  <c r="P49" i="18"/>
  <c r="P48" i="18"/>
  <c r="P19" i="18"/>
  <c r="Q45" i="18"/>
  <c r="D25" i="18"/>
  <c r="D37" i="18"/>
  <c r="N38" i="18"/>
  <c r="I34" i="18"/>
  <c r="Q30" i="18"/>
  <c r="K40" i="18"/>
  <c r="E40" i="18"/>
  <c r="D10" i="18"/>
  <c r="I10" i="18"/>
  <c r="O10" i="18"/>
  <c r="Q10" i="18"/>
  <c r="R10" i="18"/>
  <c r="S10" i="18"/>
  <c r="T10" i="18"/>
  <c r="R11" i="18"/>
  <c r="S11" i="18"/>
  <c r="T11" i="18"/>
  <c r="J12" i="18"/>
  <c r="N12" i="18"/>
  <c r="P12" i="18"/>
  <c r="R12" i="18"/>
  <c r="S12" i="18"/>
  <c r="T12" i="18"/>
  <c r="R13" i="18"/>
  <c r="S13" i="18"/>
  <c r="T13" i="18"/>
  <c r="D14" i="18"/>
  <c r="L14" i="18"/>
  <c r="R14" i="18"/>
  <c r="S14" i="18"/>
  <c r="T14" i="18"/>
  <c r="D15" i="18"/>
  <c r="G15" i="18"/>
  <c r="H15" i="18"/>
  <c r="R15" i="18"/>
  <c r="S15" i="18"/>
  <c r="T15" i="18"/>
  <c r="H16" i="18"/>
  <c r="L16" i="18"/>
  <c r="Q16" i="18"/>
  <c r="R16" i="18"/>
  <c r="S16" i="18"/>
  <c r="T16" i="18"/>
  <c r="R17" i="18"/>
  <c r="S17" i="18"/>
  <c r="T17" i="18"/>
  <c r="D18" i="18"/>
  <c r="J18" i="18"/>
  <c r="K18" i="18"/>
  <c r="M18" i="18"/>
  <c r="O18" i="18"/>
  <c r="R18" i="18"/>
  <c r="S18" i="18"/>
  <c r="T18" i="18"/>
  <c r="O19" i="18"/>
  <c r="R19" i="18"/>
  <c r="S19" i="18"/>
  <c r="T19" i="18"/>
  <c r="E20" i="18"/>
  <c r="R20" i="18"/>
  <c r="S20" i="18"/>
  <c r="T20" i="18"/>
  <c r="R21" i="18"/>
  <c r="S21" i="18"/>
  <c r="T21" i="18"/>
  <c r="E22" i="18"/>
  <c r="J22" i="18"/>
  <c r="K22" i="18"/>
  <c r="M22" i="18"/>
  <c r="R22" i="18"/>
  <c r="S22" i="18"/>
  <c r="T22" i="18"/>
  <c r="R23" i="18"/>
  <c r="S23" i="18"/>
  <c r="T23" i="18"/>
  <c r="R24" i="18"/>
  <c r="S24" i="18"/>
  <c r="T24" i="18"/>
  <c r="R25" i="18"/>
  <c r="S25" i="18"/>
  <c r="T25" i="18"/>
  <c r="O26" i="18"/>
  <c r="R26" i="18"/>
  <c r="S26" i="18"/>
  <c r="T26" i="18"/>
  <c r="R27" i="18"/>
  <c r="S27" i="18"/>
  <c r="T27" i="18"/>
  <c r="I28" i="18"/>
  <c r="R28" i="18"/>
  <c r="S28" i="18"/>
  <c r="T28" i="18"/>
  <c r="R29" i="18"/>
  <c r="S29" i="18"/>
  <c r="T29" i="18"/>
  <c r="K30" i="18"/>
  <c r="R30" i="18"/>
  <c r="S30" i="18"/>
  <c r="T30" i="18"/>
  <c r="M31" i="18"/>
  <c r="R31" i="18"/>
  <c r="S31" i="18"/>
  <c r="T31" i="18"/>
  <c r="I32" i="18"/>
  <c r="R32" i="18"/>
  <c r="S32" i="18"/>
  <c r="T32" i="18"/>
  <c r="R33" i="18"/>
  <c r="S33" i="18"/>
  <c r="T33" i="18"/>
  <c r="P34" i="18"/>
  <c r="R34" i="18"/>
  <c r="S34" i="18"/>
  <c r="T34" i="18"/>
  <c r="R35" i="18"/>
  <c r="S35" i="18"/>
  <c r="T35" i="18"/>
  <c r="R36" i="18"/>
  <c r="S36" i="18"/>
  <c r="T36" i="18"/>
  <c r="R37" i="18"/>
  <c r="S37" i="18"/>
  <c r="T37" i="18"/>
  <c r="D38" i="18"/>
  <c r="O38" i="18"/>
  <c r="R38" i="18"/>
  <c r="S38" i="18"/>
  <c r="T38" i="18"/>
  <c r="R39" i="18"/>
  <c r="S39" i="18"/>
  <c r="T39" i="18"/>
  <c r="O40" i="18"/>
  <c r="P40" i="18"/>
  <c r="Q40" i="18"/>
  <c r="R40" i="18"/>
  <c r="S40" i="18"/>
  <c r="T40" i="18"/>
  <c r="R41" i="18"/>
  <c r="S41" i="18"/>
  <c r="T41" i="18"/>
  <c r="F42" i="18"/>
  <c r="I42" i="18"/>
  <c r="J42" i="18"/>
  <c r="M42" i="18"/>
  <c r="N42" i="18"/>
  <c r="R42" i="18"/>
  <c r="S42" i="18"/>
  <c r="T42" i="18"/>
  <c r="F43" i="18"/>
  <c r="K43" i="18"/>
  <c r="O43" i="18"/>
  <c r="Q43" i="18"/>
  <c r="R43" i="18"/>
  <c r="S43" i="18"/>
  <c r="T43" i="18"/>
  <c r="J44" i="18"/>
  <c r="R44" i="18"/>
  <c r="S44" i="18"/>
  <c r="T44" i="18"/>
  <c r="L45" i="18"/>
  <c r="R45" i="18"/>
  <c r="S45" i="18"/>
  <c r="T45" i="18"/>
  <c r="H46" i="18"/>
  <c r="J46" i="18"/>
  <c r="R46" i="18"/>
  <c r="S46" i="18"/>
  <c r="T46" i="18"/>
  <c r="R47" i="18"/>
  <c r="S47" i="18"/>
  <c r="T47" i="18"/>
  <c r="D48" i="18"/>
  <c r="F48" i="18"/>
  <c r="G48" i="18"/>
  <c r="J48" i="18"/>
  <c r="L48" i="18"/>
  <c r="O48" i="18"/>
  <c r="Q48" i="18"/>
  <c r="R48" i="18"/>
  <c r="S48" i="18"/>
  <c r="T48" i="18"/>
  <c r="D49" i="18"/>
  <c r="H49" i="18"/>
  <c r="R49" i="18"/>
  <c r="S49" i="18"/>
  <c r="T49" i="18"/>
  <c r="J9" i="4"/>
  <c r="Q9" i="4"/>
  <c r="J10" i="4"/>
  <c r="Q10" i="4"/>
  <c r="J11" i="4"/>
  <c r="Q11" i="4"/>
  <c r="J12" i="4"/>
  <c r="Q12" i="4"/>
  <c r="J13" i="4"/>
  <c r="Q13" i="4"/>
  <c r="J14" i="4"/>
  <c r="Q14" i="4"/>
  <c r="J15" i="4"/>
  <c r="Q15" i="4"/>
  <c r="J16" i="4"/>
  <c r="Q16" i="4"/>
  <c r="J17" i="4"/>
  <c r="Q17" i="4"/>
  <c r="J18" i="4"/>
  <c r="Q18" i="4"/>
  <c r="J19" i="4"/>
  <c r="Q19" i="4"/>
  <c r="J20" i="4"/>
  <c r="Q20" i="4"/>
  <c r="J21" i="4"/>
  <c r="Q21" i="4"/>
  <c r="J22" i="4"/>
  <c r="Q22" i="4"/>
  <c r="J23" i="4"/>
  <c r="Q23" i="4"/>
  <c r="J24" i="4"/>
  <c r="Q24" i="4"/>
  <c r="J25" i="4"/>
  <c r="Q25" i="4"/>
  <c r="J26" i="4"/>
  <c r="Q26" i="4"/>
  <c r="J27" i="4"/>
  <c r="Q27" i="4"/>
  <c r="J28" i="4"/>
  <c r="Q28" i="4"/>
  <c r="J29" i="4"/>
  <c r="Q29" i="4"/>
  <c r="J30" i="4"/>
  <c r="Q30" i="4"/>
  <c r="J31" i="4"/>
  <c r="Q31" i="4"/>
  <c r="J32" i="4"/>
  <c r="Q32" i="4"/>
  <c r="J33" i="4"/>
  <c r="Q33" i="4"/>
  <c r="J34" i="4"/>
  <c r="Q34" i="4"/>
  <c r="J35" i="4"/>
  <c r="Q35" i="4"/>
  <c r="J36" i="4"/>
  <c r="Q36" i="4"/>
  <c r="J37" i="4"/>
  <c r="Q37" i="4"/>
  <c r="J38" i="4"/>
  <c r="Q38" i="4"/>
  <c r="J39" i="4"/>
  <c r="Q39" i="4"/>
  <c r="J40" i="4"/>
  <c r="Q40" i="4"/>
  <c r="J41" i="4"/>
  <c r="Q41" i="4"/>
  <c r="J42" i="4"/>
  <c r="Q42" i="4"/>
  <c r="J43" i="4"/>
  <c r="Q43" i="4"/>
  <c r="J44" i="4"/>
  <c r="Q44" i="4"/>
  <c r="J45" i="4"/>
  <c r="Q45" i="4"/>
  <c r="J46" i="4"/>
  <c r="Q46" i="4"/>
  <c r="J47" i="4"/>
  <c r="Q47" i="4"/>
  <c r="J48" i="4"/>
  <c r="Q48" i="4"/>
  <c r="J9" i="5"/>
  <c r="Q9" i="5"/>
  <c r="J10" i="5"/>
  <c r="Q10" i="5"/>
  <c r="J11" i="5"/>
  <c r="Q11" i="5"/>
  <c r="J12" i="5"/>
  <c r="Q12" i="5"/>
  <c r="J13" i="5"/>
  <c r="Q13" i="5"/>
  <c r="J14" i="5"/>
  <c r="Q14" i="5"/>
  <c r="J15" i="5"/>
  <c r="Q15" i="5"/>
  <c r="J16" i="5"/>
  <c r="Q16" i="5"/>
  <c r="J17" i="5"/>
  <c r="Q17" i="5"/>
  <c r="J18" i="5"/>
  <c r="Q18" i="5"/>
  <c r="J19" i="5"/>
  <c r="Q19" i="5"/>
  <c r="J20" i="5"/>
  <c r="Q20" i="5"/>
  <c r="J21" i="5"/>
  <c r="Q21" i="5"/>
  <c r="J22" i="5"/>
  <c r="Q22" i="5"/>
  <c r="J23" i="5"/>
  <c r="Q23" i="5"/>
  <c r="J24" i="5"/>
  <c r="Q24" i="5"/>
  <c r="J25" i="5"/>
  <c r="Q25" i="5"/>
  <c r="J26" i="5"/>
  <c r="Q26" i="5"/>
  <c r="J27" i="5"/>
  <c r="Q27" i="5"/>
  <c r="J28" i="5"/>
  <c r="Q28" i="5"/>
  <c r="J29" i="5"/>
  <c r="Q29" i="5"/>
  <c r="J30" i="5"/>
  <c r="Q30" i="5"/>
  <c r="J31" i="5"/>
  <c r="Q31" i="5"/>
  <c r="J32" i="5"/>
  <c r="Q32" i="5"/>
  <c r="J33" i="5"/>
  <c r="Q33" i="5"/>
  <c r="J34" i="5"/>
  <c r="Q34" i="5"/>
  <c r="J35" i="5"/>
  <c r="Q35" i="5"/>
  <c r="J36" i="5"/>
  <c r="Q36" i="5"/>
  <c r="J37" i="5"/>
  <c r="Q37" i="5"/>
  <c r="J38" i="5"/>
  <c r="Q38" i="5"/>
  <c r="J39" i="5"/>
  <c r="Q39" i="5"/>
  <c r="J40" i="5"/>
  <c r="Q40" i="5"/>
  <c r="J41" i="5"/>
  <c r="Q41" i="5"/>
  <c r="J42" i="5"/>
  <c r="Q42" i="5"/>
  <c r="J43" i="5"/>
  <c r="Q43" i="5"/>
  <c r="J44" i="5"/>
  <c r="Q44" i="5"/>
  <c r="J45" i="5"/>
  <c r="Q45" i="5"/>
  <c r="J46" i="5"/>
  <c r="Q46" i="5"/>
  <c r="J47" i="5"/>
  <c r="Q47" i="5"/>
  <c r="J48" i="5"/>
  <c r="Q48" i="5"/>
  <c r="J9" i="6"/>
  <c r="Q9" i="6"/>
  <c r="J10" i="6"/>
  <c r="Q10" i="6"/>
  <c r="J11" i="6"/>
  <c r="Q11" i="6"/>
  <c r="J12" i="6"/>
  <c r="Q12" i="6"/>
  <c r="J13" i="6"/>
  <c r="Q13" i="6"/>
  <c r="J14" i="6"/>
  <c r="Q14" i="6"/>
  <c r="J15" i="6"/>
  <c r="Q15" i="6"/>
  <c r="J16" i="6"/>
  <c r="Q16" i="6"/>
  <c r="J17" i="6"/>
  <c r="Q17" i="6"/>
  <c r="J18" i="6"/>
  <c r="Q18" i="6"/>
  <c r="J19" i="6"/>
  <c r="Q19" i="6"/>
  <c r="J20" i="6"/>
  <c r="Q20" i="6"/>
  <c r="J21" i="6"/>
  <c r="Q21" i="6"/>
  <c r="J22" i="6"/>
  <c r="Q22" i="6"/>
  <c r="J23" i="6"/>
  <c r="Q23" i="6"/>
  <c r="J24" i="6"/>
  <c r="Q24" i="6"/>
  <c r="J25" i="6"/>
  <c r="Q25" i="6"/>
  <c r="J26" i="6"/>
  <c r="Q26" i="6"/>
  <c r="J27" i="6"/>
  <c r="Q27" i="6"/>
  <c r="J28" i="6"/>
  <c r="Q28" i="6"/>
  <c r="J29" i="6"/>
  <c r="Q29" i="6"/>
  <c r="J30" i="6"/>
  <c r="Q30" i="6"/>
  <c r="J31" i="6"/>
  <c r="Q31" i="6"/>
  <c r="J32" i="6"/>
  <c r="Q32" i="6"/>
  <c r="J33" i="6"/>
  <c r="Q33" i="6"/>
  <c r="J34" i="6"/>
  <c r="Q34" i="6"/>
  <c r="J35" i="6"/>
  <c r="Q35" i="6"/>
  <c r="J36" i="6"/>
  <c r="Q36" i="6"/>
  <c r="J37" i="6"/>
  <c r="Q37" i="6"/>
  <c r="J38" i="6"/>
  <c r="Q38" i="6"/>
  <c r="J39" i="6"/>
  <c r="Q39" i="6"/>
  <c r="J40" i="6"/>
  <c r="Q40" i="6"/>
  <c r="J41" i="6"/>
  <c r="Q41" i="6"/>
  <c r="J42" i="6"/>
  <c r="Q42" i="6"/>
  <c r="J43" i="6"/>
  <c r="Q43" i="6"/>
  <c r="J44" i="6"/>
  <c r="Q44" i="6"/>
  <c r="J45" i="6"/>
  <c r="Q45" i="6"/>
  <c r="J46" i="6"/>
  <c r="Q46" i="6"/>
  <c r="J47" i="6"/>
  <c r="Q47" i="6"/>
  <c r="J48" i="6"/>
  <c r="Q48" i="6"/>
  <c r="J9" i="8"/>
  <c r="Q9" i="8"/>
  <c r="J10" i="8"/>
  <c r="Q10" i="8"/>
  <c r="J11" i="8"/>
  <c r="Q11" i="8"/>
  <c r="J12" i="8"/>
  <c r="Q12" i="8"/>
  <c r="J13" i="8"/>
  <c r="Q13" i="8"/>
  <c r="J14" i="8"/>
  <c r="Q14" i="8"/>
  <c r="J15" i="8"/>
  <c r="Q15" i="8"/>
  <c r="J16" i="8"/>
  <c r="Q16" i="8"/>
  <c r="J17" i="8"/>
  <c r="Q17" i="8"/>
  <c r="J18" i="8"/>
  <c r="Q18" i="8"/>
  <c r="J19" i="8"/>
  <c r="Q19" i="8"/>
  <c r="J20" i="8"/>
  <c r="Q20" i="8"/>
  <c r="J21" i="8"/>
  <c r="Q21" i="8"/>
  <c r="J22" i="8"/>
  <c r="Q22" i="8"/>
  <c r="J23" i="8"/>
  <c r="Q23" i="8"/>
  <c r="J24" i="8"/>
  <c r="Q24" i="8"/>
  <c r="J25" i="8"/>
  <c r="Q25" i="8"/>
  <c r="J26" i="8"/>
  <c r="Q26" i="8"/>
  <c r="J27" i="8"/>
  <c r="Q27" i="8"/>
  <c r="J28" i="8"/>
  <c r="Q28" i="8"/>
  <c r="J29" i="8"/>
  <c r="Q29" i="8"/>
  <c r="J30" i="8"/>
  <c r="Q30" i="8"/>
  <c r="J31" i="8"/>
  <c r="Q31" i="8"/>
  <c r="J32" i="8"/>
  <c r="Q32" i="8"/>
  <c r="J33" i="8"/>
  <c r="Q33" i="8"/>
  <c r="J34" i="8"/>
  <c r="Q34" i="8"/>
  <c r="J35" i="8"/>
  <c r="Q35" i="8"/>
  <c r="J36" i="8"/>
  <c r="Q36" i="8"/>
  <c r="J37" i="8"/>
  <c r="Q37" i="8"/>
  <c r="J38" i="8"/>
  <c r="Q38" i="8"/>
  <c r="J39" i="8"/>
  <c r="Q39" i="8"/>
  <c r="J40" i="8"/>
  <c r="Q40" i="8"/>
  <c r="J41" i="8"/>
  <c r="Q41" i="8"/>
  <c r="J42" i="8"/>
  <c r="Q42" i="8"/>
  <c r="J43" i="8"/>
  <c r="Q43" i="8"/>
  <c r="J44" i="8"/>
  <c r="Q44" i="8"/>
  <c r="J45" i="8"/>
  <c r="Q45" i="8"/>
  <c r="J46" i="8"/>
  <c r="Q46" i="8"/>
  <c r="J47" i="8"/>
  <c r="Q47" i="8"/>
  <c r="J48" i="8"/>
  <c r="Q48" i="8"/>
  <c r="J9" i="9"/>
  <c r="Q9" i="9"/>
  <c r="J10" i="9"/>
  <c r="Q10" i="9"/>
  <c r="J11" i="9"/>
  <c r="Q11" i="9"/>
  <c r="J12" i="9"/>
  <c r="Q12" i="9"/>
  <c r="J13" i="9"/>
  <c r="Q13" i="9"/>
  <c r="J14" i="9"/>
  <c r="Q14" i="9"/>
  <c r="J15" i="9"/>
  <c r="Q15" i="9"/>
  <c r="J16" i="9"/>
  <c r="Q16" i="9"/>
  <c r="J17" i="9"/>
  <c r="Q17" i="9"/>
  <c r="J18" i="9"/>
  <c r="Q18" i="9"/>
  <c r="J19" i="9"/>
  <c r="Q19" i="9"/>
  <c r="J20" i="9"/>
  <c r="Q20" i="9"/>
  <c r="J21" i="9"/>
  <c r="Q21" i="9"/>
  <c r="J22" i="9"/>
  <c r="Q22" i="9"/>
  <c r="J23" i="9"/>
  <c r="Q23" i="9"/>
  <c r="J24" i="9"/>
  <c r="Q24" i="9"/>
  <c r="J25" i="9"/>
  <c r="Q25" i="9"/>
  <c r="J26" i="9"/>
  <c r="Q26" i="9"/>
  <c r="J27" i="9"/>
  <c r="Q27" i="9"/>
  <c r="J28" i="9"/>
  <c r="Q28" i="9"/>
  <c r="J29" i="9"/>
  <c r="Q29" i="9"/>
  <c r="J30" i="9"/>
  <c r="Q30" i="9"/>
  <c r="J31" i="9"/>
  <c r="Q31" i="9"/>
  <c r="J32" i="9"/>
  <c r="Q32" i="9"/>
  <c r="J33" i="9"/>
  <c r="Q33" i="9"/>
  <c r="J34" i="9"/>
  <c r="Q34" i="9"/>
  <c r="J35" i="9"/>
  <c r="Q35" i="9"/>
  <c r="J36" i="9"/>
  <c r="Q36" i="9"/>
  <c r="J37" i="9"/>
  <c r="Q37" i="9"/>
  <c r="J38" i="9"/>
  <c r="Q38" i="9"/>
  <c r="J39" i="9"/>
  <c r="Q39" i="9"/>
  <c r="J40" i="9"/>
  <c r="Q40" i="9"/>
  <c r="J41" i="9"/>
  <c r="Q41" i="9"/>
  <c r="J42" i="9"/>
  <c r="Q42" i="9"/>
  <c r="J43" i="9"/>
  <c r="Q43" i="9"/>
  <c r="J44" i="9"/>
  <c r="Q44" i="9"/>
  <c r="J45" i="9"/>
  <c r="Q45" i="9"/>
  <c r="J46" i="9"/>
  <c r="Q46" i="9"/>
  <c r="J47" i="9"/>
  <c r="Q47" i="9"/>
  <c r="J48" i="9"/>
  <c r="Q48" i="9"/>
  <c r="J9" i="10"/>
  <c r="Q9" i="10"/>
  <c r="J10" i="10"/>
  <c r="Q10" i="10"/>
  <c r="J11" i="10"/>
  <c r="Q11" i="10"/>
  <c r="J12" i="10"/>
  <c r="Q12" i="10"/>
  <c r="J13" i="10"/>
  <c r="Q13" i="10"/>
  <c r="J14" i="10"/>
  <c r="Q14" i="10"/>
  <c r="J15" i="10"/>
  <c r="Q15" i="10"/>
  <c r="J16" i="10"/>
  <c r="Q16" i="10"/>
  <c r="J17" i="10"/>
  <c r="Q17" i="10"/>
  <c r="J18" i="10"/>
  <c r="Q18" i="10"/>
  <c r="J19" i="10"/>
  <c r="Q19" i="10"/>
  <c r="J20" i="10"/>
  <c r="Q20" i="10"/>
  <c r="J21" i="10"/>
  <c r="Q21" i="10"/>
  <c r="J22" i="10"/>
  <c r="Q22" i="10"/>
  <c r="J23" i="10"/>
  <c r="Q23" i="10"/>
  <c r="J24" i="10"/>
  <c r="Q24" i="10"/>
  <c r="J25" i="10"/>
  <c r="Q25" i="10"/>
  <c r="J26" i="10"/>
  <c r="Q26" i="10"/>
  <c r="J27" i="10"/>
  <c r="Q27" i="10"/>
  <c r="J28" i="10"/>
  <c r="Q28" i="10"/>
  <c r="J29" i="10"/>
  <c r="Q29" i="10"/>
  <c r="J30" i="10"/>
  <c r="Q30" i="10"/>
  <c r="J31" i="10"/>
  <c r="Q31" i="10"/>
  <c r="J32" i="10"/>
  <c r="Q32" i="10"/>
  <c r="J33" i="10"/>
  <c r="Q33" i="10"/>
  <c r="J34" i="10"/>
  <c r="Q34" i="10"/>
  <c r="J35" i="10"/>
  <c r="Q35" i="10"/>
  <c r="J36" i="10"/>
  <c r="Q36" i="10"/>
  <c r="J37" i="10"/>
  <c r="Q37" i="10"/>
  <c r="J38" i="10"/>
  <c r="Q38" i="10"/>
  <c r="J39" i="10"/>
  <c r="Q39" i="10"/>
  <c r="J40" i="10"/>
  <c r="Q40" i="10"/>
  <c r="J41" i="10"/>
  <c r="Q41" i="10"/>
  <c r="J42" i="10"/>
  <c r="Q42" i="10"/>
  <c r="J43" i="10"/>
  <c r="Q43" i="10"/>
  <c r="J44" i="10"/>
  <c r="Q44" i="10"/>
  <c r="J45" i="10"/>
  <c r="Q45" i="10"/>
  <c r="J46" i="10"/>
  <c r="Q46" i="10"/>
  <c r="J47" i="10"/>
  <c r="Q47" i="10"/>
  <c r="J48" i="10"/>
  <c r="Q48" i="10"/>
  <c r="J9" i="11"/>
  <c r="Q9" i="11"/>
  <c r="J10" i="11"/>
  <c r="Q10" i="11"/>
  <c r="J11" i="11"/>
  <c r="Q11" i="11"/>
  <c r="J12" i="11"/>
  <c r="Q12" i="11"/>
  <c r="J13" i="11"/>
  <c r="Q13" i="11"/>
  <c r="J14" i="11"/>
  <c r="Q14" i="11"/>
  <c r="J15" i="11"/>
  <c r="Q15" i="11"/>
  <c r="J16" i="11"/>
  <c r="Q16" i="11"/>
  <c r="J17" i="11"/>
  <c r="Q17" i="11"/>
  <c r="J18" i="11"/>
  <c r="Q18" i="11"/>
  <c r="J19" i="11"/>
  <c r="Q19" i="11"/>
  <c r="J20" i="11"/>
  <c r="Q20" i="11"/>
  <c r="J21" i="11"/>
  <c r="Q21" i="11"/>
  <c r="J22" i="11"/>
  <c r="Q22" i="11"/>
  <c r="J23" i="11"/>
  <c r="Q23" i="11"/>
  <c r="J24" i="11"/>
  <c r="Q24" i="11"/>
  <c r="J25" i="11"/>
  <c r="Q25" i="11"/>
  <c r="J26" i="11"/>
  <c r="Q26" i="11"/>
  <c r="J27" i="11"/>
  <c r="Q27" i="11"/>
  <c r="J28" i="11"/>
  <c r="Q28" i="11"/>
  <c r="J29" i="11"/>
  <c r="Q29" i="11"/>
  <c r="J30" i="11"/>
  <c r="Q30" i="11"/>
  <c r="J31" i="11"/>
  <c r="Q31" i="11"/>
  <c r="J32" i="11"/>
  <c r="Q32" i="11"/>
  <c r="J33" i="11"/>
  <c r="Q33" i="11"/>
  <c r="J34" i="11"/>
  <c r="Q34" i="11"/>
  <c r="J35" i="11"/>
  <c r="Q35" i="11"/>
  <c r="J36" i="11"/>
  <c r="Q36" i="11"/>
  <c r="J37" i="11"/>
  <c r="Q37" i="11"/>
  <c r="J38" i="11"/>
  <c r="Q38" i="11"/>
  <c r="J39" i="11"/>
  <c r="Q39" i="11"/>
  <c r="J40" i="11"/>
  <c r="Q40" i="11"/>
  <c r="J41" i="11"/>
  <c r="Q41" i="11"/>
  <c r="J42" i="11"/>
  <c r="Q42" i="11"/>
  <c r="J43" i="11"/>
  <c r="Q43" i="11"/>
  <c r="J44" i="11"/>
  <c r="Q44" i="11"/>
  <c r="J45" i="11"/>
  <c r="Q45" i="11"/>
  <c r="J46" i="11"/>
  <c r="Q46" i="11"/>
  <c r="J47" i="11"/>
  <c r="Q47" i="11"/>
  <c r="J48" i="11"/>
  <c r="Q48" i="11"/>
  <c r="J9" i="2"/>
  <c r="Q9" i="2"/>
  <c r="J10" i="2"/>
  <c r="Q10" i="2"/>
  <c r="J11" i="2"/>
  <c r="Q11" i="2"/>
  <c r="J12" i="2"/>
  <c r="Q12" i="2"/>
  <c r="J13" i="2"/>
  <c r="Q13" i="2"/>
  <c r="J14" i="2"/>
  <c r="Q14" i="2"/>
  <c r="J15" i="2"/>
  <c r="Q15" i="2"/>
  <c r="J16" i="2"/>
  <c r="Q16" i="2"/>
  <c r="J17" i="2"/>
  <c r="Q17" i="2"/>
  <c r="J18" i="2"/>
  <c r="Q18" i="2"/>
  <c r="J19" i="2"/>
  <c r="Q19" i="2"/>
  <c r="J20" i="2"/>
  <c r="Q20" i="2"/>
  <c r="J21" i="2"/>
  <c r="Q21" i="2"/>
  <c r="J22" i="2"/>
  <c r="Q22" i="2"/>
  <c r="J23" i="2"/>
  <c r="Q23" i="2"/>
  <c r="J24" i="2"/>
  <c r="Q24" i="2"/>
  <c r="J25" i="2"/>
  <c r="Q25" i="2"/>
  <c r="J26" i="2"/>
  <c r="Q26" i="2"/>
  <c r="J27" i="2"/>
  <c r="Q27" i="2"/>
  <c r="J28" i="2"/>
  <c r="Q28" i="2"/>
  <c r="J29" i="2"/>
  <c r="Q29" i="2"/>
  <c r="J30" i="2"/>
  <c r="Q30" i="2"/>
  <c r="J31" i="2"/>
  <c r="Q31" i="2"/>
  <c r="J32" i="2"/>
  <c r="Q32" i="2"/>
  <c r="J33" i="2"/>
  <c r="Q33" i="2"/>
  <c r="J34" i="2"/>
  <c r="Q34" i="2"/>
  <c r="J35" i="2"/>
  <c r="Q35" i="2"/>
  <c r="J36" i="2"/>
  <c r="Q36" i="2"/>
  <c r="J37" i="2"/>
  <c r="Q37" i="2"/>
  <c r="J38" i="2"/>
  <c r="Q38" i="2"/>
  <c r="J39" i="2"/>
  <c r="Q39" i="2"/>
  <c r="J40" i="2"/>
  <c r="Q40" i="2"/>
  <c r="J41" i="2"/>
  <c r="Q41" i="2"/>
  <c r="J42" i="2"/>
  <c r="Q42" i="2"/>
  <c r="J43" i="2"/>
  <c r="Q43" i="2"/>
  <c r="J44" i="2"/>
  <c r="Q44" i="2"/>
  <c r="J45" i="2"/>
  <c r="Q45" i="2"/>
  <c r="J46" i="2"/>
  <c r="Q46" i="2"/>
  <c r="J47" i="2"/>
  <c r="Q47" i="2"/>
  <c r="J48" i="2"/>
  <c r="Q48" i="2"/>
  <c r="J9" i="3"/>
  <c r="Q9" i="3"/>
  <c r="J10" i="3"/>
  <c r="Q10" i="3"/>
  <c r="J11" i="3"/>
  <c r="Q11" i="3"/>
  <c r="J12" i="3"/>
  <c r="Q12" i="3"/>
  <c r="J13" i="3"/>
  <c r="Q13" i="3"/>
  <c r="J14" i="3"/>
  <c r="Q14" i="3"/>
  <c r="J15" i="3"/>
  <c r="Q15" i="3"/>
  <c r="J16" i="3"/>
  <c r="Q16" i="3"/>
  <c r="J17" i="3"/>
  <c r="Q17" i="3"/>
  <c r="J18" i="3"/>
  <c r="Q18" i="3"/>
  <c r="J19" i="3"/>
  <c r="Q19" i="3"/>
  <c r="J20" i="3"/>
  <c r="Q20" i="3"/>
  <c r="J21" i="3"/>
  <c r="Q21" i="3"/>
  <c r="J22" i="3"/>
  <c r="Q22" i="3"/>
  <c r="J23" i="3"/>
  <c r="Q23" i="3"/>
  <c r="J24" i="3"/>
  <c r="Q24" i="3"/>
  <c r="J25" i="3"/>
  <c r="Q25" i="3"/>
  <c r="J26" i="3"/>
  <c r="Q26" i="3"/>
  <c r="J27" i="3"/>
  <c r="Q27" i="3"/>
  <c r="J28" i="3"/>
  <c r="Q28" i="3"/>
  <c r="J29" i="3"/>
  <c r="Q29" i="3"/>
  <c r="J30" i="3"/>
  <c r="Q30" i="3"/>
  <c r="J31" i="3"/>
  <c r="Q31" i="3"/>
  <c r="J32" i="3"/>
  <c r="Q32" i="3"/>
  <c r="J33" i="3"/>
  <c r="Q33" i="3"/>
  <c r="J34" i="3"/>
  <c r="Q34" i="3"/>
  <c r="J35" i="3"/>
  <c r="Q35" i="3"/>
  <c r="J36" i="3"/>
  <c r="Q36" i="3"/>
  <c r="J37" i="3"/>
  <c r="Q37" i="3"/>
  <c r="J38" i="3"/>
  <c r="Q38" i="3"/>
  <c r="J39" i="3"/>
  <c r="Q39" i="3"/>
  <c r="J40" i="3"/>
  <c r="Q40" i="3"/>
  <c r="J41" i="3"/>
  <c r="Q41" i="3"/>
  <c r="J42" i="3"/>
  <c r="Q42" i="3"/>
  <c r="J43" i="3"/>
  <c r="Q43" i="3"/>
  <c r="J44" i="3"/>
  <c r="Q44" i="3"/>
  <c r="J45" i="3"/>
  <c r="Q45" i="3"/>
  <c r="J46" i="3"/>
  <c r="Q46" i="3"/>
  <c r="J47" i="3"/>
  <c r="Q47" i="3"/>
  <c r="J48" i="3"/>
  <c r="Q48" i="3"/>
  <c r="J9" i="7"/>
  <c r="J49" i="7" s="1"/>
  <c r="Q9" i="7"/>
  <c r="J10" i="7"/>
  <c r="Q10" i="7"/>
  <c r="J11" i="7"/>
  <c r="Q11" i="7"/>
  <c r="J12" i="7"/>
  <c r="Q12" i="7"/>
  <c r="J13" i="7"/>
  <c r="Q13" i="7"/>
  <c r="J14" i="7"/>
  <c r="Q14" i="7"/>
  <c r="J15" i="7"/>
  <c r="Q15" i="7"/>
  <c r="J16" i="7"/>
  <c r="Q16" i="7"/>
  <c r="J17" i="7"/>
  <c r="Q17" i="7"/>
  <c r="J18" i="7"/>
  <c r="Q18" i="7"/>
  <c r="J19" i="7"/>
  <c r="Q19" i="7"/>
  <c r="J20" i="7"/>
  <c r="Q20" i="7"/>
  <c r="J21" i="7"/>
  <c r="Q21" i="7"/>
  <c r="J22" i="7"/>
  <c r="Q22" i="7"/>
  <c r="J23" i="7"/>
  <c r="Q23" i="7"/>
  <c r="J24" i="7"/>
  <c r="Q24" i="7"/>
  <c r="J25" i="7"/>
  <c r="Q25" i="7"/>
  <c r="J26" i="7"/>
  <c r="Q26" i="7"/>
  <c r="J27" i="7"/>
  <c r="Q27" i="7"/>
  <c r="J28" i="7"/>
  <c r="Q28" i="7"/>
  <c r="J29" i="7"/>
  <c r="Q29" i="7"/>
  <c r="J30" i="7"/>
  <c r="Q30" i="7"/>
  <c r="J31" i="7"/>
  <c r="Q31" i="7"/>
  <c r="J32" i="7"/>
  <c r="Q32" i="7"/>
  <c r="J33" i="7"/>
  <c r="Q33" i="7"/>
  <c r="J34" i="7"/>
  <c r="Q34" i="7"/>
  <c r="J35" i="7"/>
  <c r="Q35" i="7"/>
  <c r="J36" i="7"/>
  <c r="Q36" i="7"/>
  <c r="J37" i="7"/>
  <c r="Q37" i="7"/>
  <c r="J38" i="7"/>
  <c r="Q38" i="7"/>
  <c r="J39" i="7"/>
  <c r="Q39" i="7"/>
  <c r="J40" i="7"/>
  <c r="Q40" i="7"/>
  <c r="J41" i="7"/>
  <c r="Q41" i="7"/>
  <c r="J42" i="7"/>
  <c r="Q42" i="7"/>
  <c r="J43" i="7"/>
  <c r="Q43" i="7"/>
  <c r="J44" i="7"/>
  <c r="Q44" i="7"/>
  <c r="J45" i="7"/>
  <c r="Q45" i="7"/>
  <c r="J46" i="7"/>
  <c r="Q46" i="7"/>
  <c r="J47" i="7"/>
  <c r="Q47" i="7"/>
  <c r="J48" i="7"/>
  <c r="Q48" i="7"/>
  <c r="J9" i="12"/>
  <c r="Q9" i="12"/>
  <c r="J10" i="12"/>
  <c r="Q10" i="12"/>
  <c r="J11" i="12"/>
  <c r="Q11" i="12"/>
  <c r="J12" i="12"/>
  <c r="Q12" i="12"/>
  <c r="J13" i="12"/>
  <c r="Q13" i="12"/>
  <c r="J14" i="12"/>
  <c r="Q14" i="12"/>
  <c r="J15" i="12"/>
  <c r="Q15" i="12"/>
  <c r="J16" i="12"/>
  <c r="Q16" i="12"/>
  <c r="J17" i="12"/>
  <c r="Q17" i="12"/>
  <c r="J18" i="12"/>
  <c r="Q18" i="12"/>
  <c r="J19" i="12"/>
  <c r="Q19" i="12"/>
  <c r="J20" i="12"/>
  <c r="Q20" i="12"/>
  <c r="J21" i="12"/>
  <c r="Q21" i="12"/>
  <c r="J22" i="12"/>
  <c r="Q22" i="12"/>
  <c r="J23" i="12"/>
  <c r="Q23" i="12"/>
  <c r="J24" i="12"/>
  <c r="Q24" i="12"/>
  <c r="J25" i="12"/>
  <c r="Q25" i="12"/>
  <c r="J26" i="12"/>
  <c r="Q26" i="12"/>
  <c r="J27" i="12"/>
  <c r="Q27" i="12"/>
  <c r="J28" i="12"/>
  <c r="Q28" i="12"/>
  <c r="J29" i="12"/>
  <c r="Q29" i="12"/>
  <c r="J30" i="12"/>
  <c r="Q30" i="12"/>
  <c r="J31" i="12"/>
  <c r="Q31" i="12"/>
  <c r="J32" i="12"/>
  <c r="Q32" i="12"/>
  <c r="J33" i="12"/>
  <c r="Q33" i="12"/>
  <c r="J34" i="12"/>
  <c r="Q34" i="12"/>
  <c r="J35" i="12"/>
  <c r="Q35" i="12"/>
  <c r="J36" i="12"/>
  <c r="Q36" i="12"/>
  <c r="J37" i="12"/>
  <c r="Q37" i="12"/>
  <c r="J38" i="12"/>
  <c r="Q38" i="12"/>
  <c r="J39" i="12"/>
  <c r="Q39" i="12"/>
  <c r="J40" i="12"/>
  <c r="Q40" i="12"/>
  <c r="J41" i="12"/>
  <c r="Q41" i="12"/>
  <c r="J42" i="12"/>
  <c r="Q42" i="12"/>
  <c r="J43" i="12"/>
  <c r="Q43" i="12"/>
  <c r="J44" i="12"/>
  <c r="Q44" i="12"/>
  <c r="J45" i="12"/>
  <c r="Q45" i="12"/>
  <c r="J46" i="12"/>
  <c r="Q46" i="12"/>
  <c r="J47" i="12"/>
  <c r="Q47" i="12"/>
  <c r="J48" i="12"/>
  <c r="Q48" i="12"/>
  <c r="J9" i="13"/>
  <c r="Q9" i="13"/>
  <c r="J10" i="13"/>
  <c r="Q10" i="13"/>
  <c r="J11" i="13"/>
  <c r="Q11" i="13"/>
  <c r="J12" i="13"/>
  <c r="Q12" i="13"/>
  <c r="J13" i="13"/>
  <c r="Q13" i="13"/>
  <c r="J14" i="13"/>
  <c r="Q14" i="13"/>
  <c r="J15" i="13"/>
  <c r="Q15" i="13"/>
  <c r="J16" i="13"/>
  <c r="Q16" i="13"/>
  <c r="J17" i="13"/>
  <c r="Q17" i="13"/>
  <c r="J18" i="13"/>
  <c r="Q18" i="13"/>
  <c r="J19" i="13"/>
  <c r="Q19" i="13"/>
  <c r="J20" i="13"/>
  <c r="Q20" i="13"/>
  <c r="J21" i="13"/>
  <c r="Q21" i="13"/>
  <c r="J22" i="13"/>
  <c r="Q22" i="13"/>
  <c r="J23" i="13"/>
  <c r="Q23" i="13"/>
  <c r="J24" i="13"/>
  <c r="Q24" i="13"/>
  <c r="J25" i="13"/>
  <c r="Q25" i="13"/>
  <c r="J26" i="13"/>
  <c r="Q26" i="13"/>
  <c r="J27" i="13"/>
  <c r="Q27" i="13"/>
  <c r="J28" i="13"/>
  <c r="Q28" i="13"/>
  <c r="J29" i="13"/>
  <c r="Q29" i="13"/>
  <c r="J30" i="13"/>
  <c r="Q30" i="13"/>
  <c r="J31" i="13"/>
  <c r="Q31" i="13"/>
  <c r="J32" i="13"/>
  <c r="Q32" i="13"/>
  <c r="J33" i="13"/>
  <c r="Q33" i="13"/>
  <c r="J34" i="13"/>
  <c r="Q34" i="13"/>
  <c r="J35" i="13"/>
  <c r="Q35" i="13"/>
  <c r="J36" i="13"/>
  <c r="Q36" i="13"/>
  <c r="J37" i="13"/>
  <c r="Q37" i="13"/>
  <c r="J38" i="13"/>
  <c r="Q38" i="13"/>
  <c r="J39" i="13"/>
  <c r="Q39" i="13"/>
  <c r="J40" i="13"/>
  <c r="Q40" i="13"/>
  <c r="J41" i="13"/>
  <c r="Q41" i="13"/>
  <c r="J42" i="13"/>
  <c r="Q42" i="13"/>
  <c r="J43" i="13"/>
  <c r="Q43" i="13"/>
  <c r="J44" i="13"/>
  <c r="Q44" i="13"/>
  <c r="J45" i="13"/>
  <c r="Q45" i="13"/>
  <c r="J46" i="13"/>
  <c r="Q46" i="13"/>
  <c r="J47" i="13"/>
  <c r="Q47" i="13"/>
  <c r="J48" i="13"/>
  <c r="Q48" i="13"/>
  <c r="J9" i="14"/>
  <c r="Q9" i="14"/>
  <c r="J10" i="14"/>
  <c r="Q10" i="14"/>
  <c r="J11" i="14"/>
  <c r="Q11" i="14"/>
  <c r="J12" i="14"/>
  <c r="Q12" i="14"/>
  <c r="J13" i="14"/>
  <c r="Q13" i="14"/>
  <c r="J14" i="14"/>
  <c r="Q14" i="14"/>
  <c r="J15" i="14"/>
  <c r="Q15" i="14"/>
  <c r="J16" i="14"/>
  <c r="Q16" i="14"/>
  <c r="J17" i="14"/>
  <c r="Q17" i="14"/>
  <c r="J18" i="14"/>
  <c r="Q18" i="14"/>
  <c r="J19" i="14"/>
  <c r="Q19" i="14"/>
  <c r="J20" i="14"/>
  <c r="Q20" i="14"/>
  <c r="J21" i="14"/>
  <c r="Q21" i="14"/>
  <c r="J22" i="14"/>
  <c r="Q22" i="14"/>
  <c r="J23" i="14"/>
  <c r="Q23" i="14"/>
  <c r="J24" i="14"/>
  <c r="Q24" i="14"/>
  <c r="J25" i="14"/>
  <c r="Q25" i="14"/>
  <c r="J26" i="14"/>
  <c r="Q26" i="14"/>
  <c r="J27" i="14"/>
  <c r="Q27" i="14"/>
  <c r="J28" i="14"/>
  <c r="Q28" i="14"/>
  <c r="J29" i="14"/>
  <c r="Q29" i="14"/>
  <c r="J30" i="14"/>
  <c r="Q30" i="14"/>
  <c r="J31" i="14"/>
  <c r="Q31" i="14"/>
  <c r="J32" i="14"/>
  <c r="Q32" i="14"/>
  <c r="J33" i="14"/>
  <c r="Q33" i="14"/>
  <c r="J34" i="14"/>
  <c r="Q34" i="14"/>
  <c r="J35" i="14"/>
  <c r="Q35" i="14"/>
  <c r="J36" i="14"/>
  <c r="Q36" i="14"/>
  <c r="J37" i="14"/>
  <c r="Q37" i="14"/>
  <c r="J38" i="14"/>
  <c r="Q38" i="14"/>
  <c r="J39" i="14"/>
  <c r="Q39" i="14"/>
  <c r="J40" i="14"/>
  <c r="Q40" i="14"/>
  <c r="J41" i="14"/>
  <c r="Q41" i="14"/>
  <c r="J42" i="14"/>
  <c r="Q42" i="14"/>
  <c r="J43" i="14"/>
  <c r="Q43" i="14"/>
  <c r="J44" i="14"/>
  <c r="Q44" i="14"/>
  <c r="J45" i="14"/>
  <c r="Q45" i="14"/>
  <c r="J46" i="14"/>
  <c r="Q46" i="14"/>
  <c r="J47" i="14"/>
  <c r="Q47" i="14"/>
  <c r="J48" i="14"/>
  <c r="Q48" i="14"/>
  <c r="J9" i="15"/>
  <c r="Q9" i="15"/>
  <c r="J10" i="15"/>
  <c r="Q10" i="15"/>
  <c r="J11" i="15"/>
  <c r="Q11" i="15"/>
  <c r="J12" i="15"/>
  <c r="Q12" i="15"/>
  <c r="J13" i="15"/>
  <c r="Q13" i="15"/>
  <c r="J14" i="15"/>
  <c r="Q14" i="15"/>
  <c r="J15" i="15"/>
  <c r="Q15" i="15"/>
  <c r="J16" i="15"/>
  <c r="Q16" i="15"/>
  <c r="J17" i="15"/>
  <c r="Q17" i="15"/>
  <c r="J18" i="15"/>
  <c r="Q18" i="15"/>
  <c r="J19" i="15"/>
  <c r="Q19" i="15"/>
  <c r="J20" i="15"/>
  <c r="Q20" i="15"/>
  <c r="J21" i="15"/>
  <c r="Q21" i="15"/>
  <c r="J22" i="15"/>
  <c r="Q22" i="15"/>
  <c r="J23" i="15"/>
  <c r="Q23" i="15"/>
  <c r="J24" i="15"/>
  <c r="Q24" i="15"/>
  <c r="J25" i="15"/>
  <c r="Q25" i="15"/>
  <c r="J26" i="15"/>
  <c r="Q26" i="15"/>
  <c r="J27" i="15"/>
  <c r="Q27" i="15"/>
  <c r="J28" i="15"/>
  <c r="Q28" i="15"/>
  <c r="J29" i="15"/>
  <c r="Q29" i="15"/>
  <c r="J30" i="15"/>
  <c r="Q30" i="15"/>
  <c r="J31" i="15"/>
  <c r="Q31" i="15"/>
  <c r="J32" i="15"/>
  <c r="Q32" i="15"/>
  <c r="J33" i="15"/>
  <c r="Q33" i="15"/>
  <c r="J34" i="15"/>
  <c r="Q34" i="15"/>
  <c r="J35" i="15"/>
  <c r="Q35" i="15"/>
  <c r="J36" i="15"/>
  <c r="Q36" i="15"/>
  <c r="J37" i="15"/>
  <c r="Q37" i="15"/>
  <c r="J38" i="15"/>
  <c r="Q38" i="15"/>
  <c r="J39" i="15"/>
  <c r="Q39" i="15"/>
  <c r="J40" i="15"/>
  <c r="Q40" i="15"/>
  <c r="J41" i="15"/>
  <c r="Q41" i="15"/>
  <c r="J42" i="15"/>
  <c r="Q42" i="15"/>
  <c r="J43" i="15"/>
  <c r="Q43" i="15"/>
  <c r="J44" i="15"/>
  <c r="Q44" i="15"/>
  <c r="J45" i="15"/>
  <c r="Q45" i="15"/>
  <c r="J46" i="15"/>
  <c r="Q46" i="15"/>
  <c r="J47" i="15"/>
  <c r="Q47" i="15"/>
  <c r="J48" i="15"/>
  <c r="Q48" i="15"/>
  <c r="Q21" i="18" l="1"/>
  <c r="Q25" i="18"/>
  <c r="Q47" i="18"/>
  <c r="Q37" i="18"/>
  <c r="Q41" i="18"/>
  <c r="Q44" i="18"/>
  <c r="Q38" i="18"/>
  <c r="Q18" i="18"/>
  <c r="Q12" i="18"/>
  <c r="P13" i="18"/>
  <c r="P17" i="18"/>
  <c r="P21" i="18"/>
  <c r="P39" i="18"/>
  <c r="P44" i="18"/>
  <c r="P42" i="18"/>
  <c r="P27" i="18"/>
  <c r="O13" i="18"/>
  <c r="O25" i="18"/>
  <c r="O42" i="18"/>
  <c r="O33" i="18"/>
  <c r="O37" i="18"/>
  <c r="O29" i="18"/>
  <c r="O36" i="18"/>
  <c r="N21" i="18"/>
  <c r="N25" i="18"/>
  <c r="N29" i="18"/>
  <c r="N37" i="18"/>
  <c r="N41" i="18"/>
  <c r="N26" i="18"/>
  <c r="N27" i="18"/>
  <c r="N11" i="18"/>
  <c r="M43" i="18"/>
  <c r="M21" i="18"/>
  <c r="M41" i="18"/>
  <c r="M48" i="18"/>
  <c r="M11" i="18"/>
  <c r="M44" i="18"/>
  <c r="M40" i="18"/>
  <c r="L29" i="18"/>
  <c r="L19" i="18"/>
  <c r="L25" i="18"/>
  <c r="L44" i="18"/>
  <c r="L39" i="18"/>
  <c r="L33" i="18"/>
  <c r="L41" i="18"/>
  <c r="L11" i="18"/>
  <c r="L17" i="18"/>
  <c r="L27" i="18"/>
  <c r="L43" i="18"/>
  <c r="L38" i="18"/>
  <c r="K29" i="18"/>
  <c r="K41" i="18"/>
  <c r="K24" i="18"/>
  <c r="K46" i="18"/>
  <c r="J37" i="18"/>
  <c r="J35" i="18"/>
  <c r="J21" i="18"/>
  <c r="J29" i="18"/>
  <c r="J41" i="18"/>
  <c r="J11" i="18"/>
  <c r="J27" i="18"/>
  <c r="J33" i="18"/>
  <c r="J14" i="18"/>
  <c r="J16" i="18"/>
  <c r="I35" i="18"/>
  <c r="I13" i="18"/>
  <c r="I17" i="18"/>
  <c r="I33" i="18"/>
  <c r="I37" i="18"/>
  <c r="I41" i="18"/>
  <c r="I19" i="18"/>
  <c r="I27" i="18"/>
  <c r="I15" i="18"/>
  <c r="I14" i="18"/>
  <c r="I49" i="18"/>
  <c r="I18" i="18"/>
  <c r="H21" i="18"/>
  <c r="H33" i="18"/>
  <c r="H37" i="18"/>
  <c r="H13" i="18"/>
  <c r="H17" i="18"/>
  <c r="H36" i="18"/>
  <c r="H11" i="18"/>
  <c r="T51" i="24"/>
  <c r="H22" i="18"/>
  <c r="H43" i="18"/>
  <c r="G25" i="18"/>
  <c r="G33" i="18"/>
  <c r="G21" i="18"/>
  <c r="G13" i="18"/>
  <c r="G40" i="18"/>
  <c r="G47" i="18"/>
  <c r="G28" i="18"/>
  <c r="F31" i="18"/>
  <c r="F35" i="18"/>
  <c r="F44" i="18"/>
  <c r="F13" i="18"/>
  <c r="F17" i="18"/>
  <c r="F21" i="18"/>
  <c r="F29" i="18"/>
  <c r="F11" i="18"/>
  <c r="F15" i="18"/>
  <c r="F23" i="18"/>
  <c r="F46" i="18"/>
  <c r="E13" i="18"/>
  <c r="E39" i="18"/>
  <c r="E21" i="18"/>
  <c r="E25" i="18"/>
  <c r="E41" i="18"/>
  <c r="E23" i="18"/>
  <c r="E33" i="18"/>
  <c r="E37" i="18"/>
  <c r="E11" i="18"/>
  <c r="E15" i="18"/>
  <c r="E46" i="18"/>
  <c r="E49" i="18"/>
  <c r="D13" i="18"/>
  <c r="D46" i="18"/>
  <c r="D32" i="18"/>
  <c r="D36" i="18"/>
  <c r="F27" i="18"/>
  <c r="D23" i="18"/>
  <c r="D34" i="18"/>
  <c r="K21" i="18"/>
  <c r="L35" i="18"/>
  <c r="H41" i="18"/>
  <c r="M37" i="18"/>
  <c r="H29" i="18"/>
  <c r="O32" i="18"/>
  <c r="N35" i="18"/>
  <c r="I44" i="18"/>
  <c r="M25" i="18"/>
  <c r="N24" i="18"/>
  <c r="J45" i="18"/>
  <c r="N13" i="18"/>
  <c r="D29" i="18"/>
  <c r="D16" i="18"/>
  <c r="Q20" i="18"/>
  <c r="I39" i="18"/>
  <c r="J19" i="18"/>
  <c r="Q19" i="18"/>
  <c r="P29" i="18"/>
  <c r="P46" i="18"/>
  <c r="N18" i="18"/>
  <c r="E17" i="18"/>
  <c r="Q13" i="18"/>
  <c r="N45" i="18"/>
  <c r="H44" i="18"/>
  <c r="I46" i="18"/>
  <c r="F40" i="18"/>
  <c r="P30" i="18"/>
  <c r="N34" i="18"/>
  <c r="H48" i="18"/>
  <c r="M35" i="18"/>
  <c r="N16" i="18"/>
  <c r="H24" i="18"/>
  <c r="G22" i="18"/>
  <c r="D11" i="18"/>
  <c r="Q46" i="18"/>
  <c r="O28" i="18"/>
  <c r="G23" i="18"/>
  <c r="E10" i="18"/>
  <c r="M12" i="18"/>
  <c r="P41" i="18"/>
  <c r="H26" i="18"/>
  <c r="J28" i="18"/>
  <c r="J30" i="18"/>
  <c r="Q26" i="18"/>
  <c r="J26" i="18"/>
  <c r="E29" i="18"/>
  <c r="Q27" i="18"/>
  <c r="M14" i="18"/>
  <c r="L13" i="18"/>
  <c r="J13" i="18"/>
  <c r="F33" i="18"/>
  <c r="O41" i="18"/>
  <c r="N15" i="18"/>
  <c r="N28" i="18"/>
  <c r="P15" i="18"/>
  <c r="P37" i="18"/>
  <c r="M15" i="18"/>
  <c r="P33" i="18"/>
  <c r="I31" i="18"/>
  <c r="E12" i="18"/>
  <c r="D19" i="18"/>
  <c r="Q11" i="18"/>
  <c r="L15" i="18"/>
  <c r="D39" i="18"/>
  <c r="P26" i="18"/>
  <c r="J15" i="18"/>
  <c r="J17" i="18"/>
  <c r="H25" i="18"/>
  <c r="G37" i="18"/>
  <c r="P38" i="18"/>
  <c r="F49" i="18"/>
  <c r="Q29" i="18"/>
  <c r="L37" i="18"/>
  <c r="F12" i="18"/>
  <c r="Q49" i="18"/>
  <c r="L30" i="18"/>
  <c r="D41" i="18"/>
  <c r="E30" i="18"/>
  <c r="N22" i="18"/>
  <c r="K25" i="18"/>
  <c r="K38" i="18"/>
  <c r="D27" i="18"/>
  <c r="K27" i="18"/>
  <c r="H30" i="18"/>
  <c r="I24" i="18"/>
  <c r="G31" i="18"/>
  <c r="E31" i="18"/>
  <c r="E45" i="18"/>
  <c r="H14" i="18"/>
  <c r="Q42" i="18"/>
  <c r="P45" i="18"/>
  <c r="I26" i="18"/>
  <c r="H34" i="18"/>
  <c r="E47" i="18"/>
  <c r="F39" i="18"/>
  <c r="E42" i="18"/>
  <c r="L40" i="18"/>
  <c r="G30" i="18"/>
  <c r="I11" i="18"/>
  <c r="I29" i="18"/>
  <c r="H32" i="18"/>
  <c r="G44" i="18"/>
  <c r="M10" i="18"/>
  <c r="J10" i="18"/>
  <c r="D47" i="18"/>
  <c r="O22" i="18"/>
  <c r="F38" i="18"/>
  <c r="G35" i="18"/>
  <c r="M47" i="18"/>
  <c r="F26" i="18"/>
  <c r="I23" i="18"/>
  <c r="N40" i="18"/>
  <c r="Q39" i="18"/>
  <c r="E19" i="18"/>
  <c r="M46" i="18"/>
  <c r="H19" i="18"/>
  <c r="O12" i="18"/>
  <c r="O49" i="18"/>
  <c r="K17" i="18"/>
  <c r="I25" i="18"/>
  <c r="K31" i="18"/>
  <c r="Q35" i="18"/>
  <c r="F32" i="18"/>
  <c r="F28" i="18"/>
  <c r="N31" i="18"/>
  <c r="M38" i="18"/>
  <c r="K32" i="18"/>
  <c r="K47" i="18"/>
  <c r="E34" i="18"/>
  <c r="K39" i="18"/>
  <c r="I21" i="18"/>
  <c r="N46" i="18"/>
  <c r="H18" i="18"/>
  <c r="E44" i="18"/>
  <c r="G32" i="18"/>
  <c r="N23" i="18"/>
  <c r="N10" i="18"/>
  <c r="K42" i="18"/>
  <c r="E28" i="18"/>
  <c r="M24" i="18"/>
  <c r="H10" i="18"/>
  <c r="Q28" i="18"/>
  <c r="P43" i="18"/>
  <c r="K13" i="18"/>
  <c r="F25" i="18"/>
  <c r="N20" i="18"/>
  <c r="L18" i="18"/>
  <c r="I48" i="18"/>
  <c r="D28" i="18"/>
  <c r="P16" i="18"/>
  <c r="G49" i="18"/>
  <c r="N49" i="18"/>
  <c r="D42" i="18"/>
  <c r="O47" i="18"/>
  <c r="J43" i="18"/>
  <c r="Q32" i="18"/>
  <c r="M27" i="18"/>
  <c r="F41" i="18"/>
  <c r="L31" i="18"/>
  <c r="G26" i="18"/>
  <c r="K49" i="18"/>
  <c r="M39" i="18"/>
  <c r="Q17" i="18"/>
  <c r="N32" i="18"/>
  <c r="H12" i="18"/>
  <c r="M29" i="18"/>
  <c r="E27" i="18"/>
  <c r="Q22" i="18"/>
  <c r="M28" i="18"/>
  <c r="G17" i="18"/>
  <c r="H45" i="18"/>
  <c r="F24" i="18"/>
  <c r="M32" i="18"/>
  <c r="G16" i="18" l="1"/>
  <c r="Q14" i="18"/>
  <c r="I22" i="18"/>
  <c r="N36" i="18"/>
  <c r="E16" i="18"/>
  <c r="E52" i="18" s="1"/>
  <c r="P14" i="18"/>
  <c r="M13" i="18"/>
  <c r="P10" i="18"/>
  <c r="N39" i="18"/>
  <c r="I20" i="18"/>
  <c r="I52" i="18" s="1"/>
  <c r="D21" i="18"/>
  <c r="P11" i="18"/>
  <c r="L23" i="18"/>
  <c r="O16" i="18"/>
  <c r="L22" i="18"/>
  <c r="J31" i="18"/>
  <c r="N33" i="18"/>
  <c r="F16" i="18"/>
  <c r="P36" i="18"/>
  <c r="P32" i="18"/>
  <c r="M33" i="18"/>
  <c r="O21" i="18"/>
  <c r="G41" i="18"/>
  <c r="K36" i="18"/>
  <c r="G29" i="18"/>
  <c r="M36" i="18"/>
  <c r="J25" i="18"/>
  <c r="J52" i="18" s="1"/>
  <c r="P22" i="18"/>
  <c r="F37" i="18"/>
  <c r="K16" i="18"/>
  <c r="D24" i="18"/>
  <c r="P20" i="18"/>
  <c r="G19" i="18"/>
  <c r="M17" i="18"/>
  <c r="F34" i="18"/>
  <c r="P31" i="18"/>
  <c r="N17" i="18"/>
  <c r="K37" i="18"/>
  <c r="J23" i="18"/>
  <c r="Q24" i="18"/>
  <c r="M34" i="18"/>
  <c r="J20" i="18"/>
  <c r="J32" i="18"/>
  <c r="L12" i="18"/>
  <c r="E35" i="18"/>
  <c r="O34" i="18"/>
  <c r="D22" i="18"/>
  <c r="P18" i="18"/>
  <c r="O23" i="18"/>
  <c r="G14" i="18"/>
  <c r="K26" i="18"/>
  <c r="O39" i="18"/>
  <c r="I36" i="18"/>
  <c r="H20" i="18"/>
  <c r="H40" i="18"/>
  <c r="D17" i="18"/>
  <c r="K12" i="18"/>
  <c r="L26" i="18"/>
  <c r="P24" i="18"/>
  <c r="N52" i="18" l="1"/>
  <c r="K52" i="18"/>
  <c r="H52" i="18"/>
  <c r="F52" i="18"/>
  <c r="D52" i="18"/>
  <c r="M52" i="18"/>
  <c r="G52" i="18"/>
  <c r="P52" i="18"/>
  <c r="Q52" i="18"/>
  <c r="L52" i="18"/>
  <c r="O52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Pinter</author>
  </authors>
  <commentList>
    <comment ref="S9" authorId="0" shapeId="0" xr:uid="{FB1B95AF-8B8A-46C5-90E8-F34B969EBC52}">
      <text>
        <r>
          <rPr>
            <b/>
            <sz val="8"/>
            <color indexed="81"/>
            <rFont val="Tahoma"/>
            <family val="2"/>
          </rPr>
          <t>Pinter:</t>
        </r>
        <r>
          <rPr>
            <sz val="8"/>
            <color indexed="81"/>
            <rFont val="Tahoma"/>
            <family val="2"/>
          </rPr>
          <t xml:space="preserve">
This is the mean divided by 2 for the dense planted stand.  Did this to look at data on East to West column position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Pinter</author>
  </authors>
  <commentList>
    <comment ref="S9" authorId="0" shapeId="0" xr:uid="{07F21B03-8632-44B9-A0FB-E28000680AA7}">
      <text>
        <r>
          <rPr>
            <b/>
            <sz val="8"/>
            <color indexed="81"/>
            <rFont val="Tahoma"/>
            <family val="2"/>
          </rPr>
          <t>Pinter:</t>
        </r>
        <r>
          <rPr>
            <sz val="8"/>
            <color indexed="81"/>
            <rFont val="Tahoma"/>
            <family val="2"/>
          </rPr>
          <t xml:space="preserve">
This is the mean divided by 2 for the dense planted stand.  Did this to look at data on East to West column position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Pinter</author>
  </authors>
  <commentList>
    <comment ref="S9" authorId="0" shapeId="0" xr:uid="{E9CB8B5A-A01B-4DE3-9300-B24EC106BA82}">
      <text>
        <r>
          <rPr>
            <b/>
            <sz val="8"/>
            <color indexed="81"/>
            <rFont val="Tahoma"/>
            <family val="2"/>
          </rPr>
          <t>Pinter:</t>
        </r>
        <r>
          <rPr>
            <sz val="8"/>
            <color indexed="81"/>
            <rFont val="Tahoma"/>
            <family val="2"/>
          </rPr>
          <t xml:space="preserve">
This is the mean divided by 2 for the dense planted stand.  Did this to look at data on East to West column position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Pinter</author>
  </authors>
  <commentList>
    <comment ref="S9" authorId="0" shapeId="0" xr:uid="{A40A2D57-673E-4CFD-AF5E-992CB4837C71}">
      <text>
        <r>
          <rPr>
            <b/>
            <sz val="8"/>
            <color indexed="81"/>
            <rFont val="Tahoma"/>
            <family val="2"/>
          </rPr>
          <t>Pinter:</t>
        </r>
        <r>
          <rPr>
            <sz val="8"/>
            <color indexed="81"/>
            <rFont val="Tahoma"/>
            <family val="2"/>
          </rPr>
          <t xml:space="preserve">
This is the mean divided by 2 for the dense planted stand.  Did this to look at data on East to West column position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Pinter</author>
  </authors>
  <commentList>
    <comment ref="S9" authorId="0" shapeId="0" xr:uid="{1F710156-A0C5-48F1-B7BA-5BF6D6AFADE7}">
      <text>
        <r>
          <rPr>
            <b/>
            <sz val="8"/>
            <color indexed="81"/>
            <rFont val="Tahoma"/>
            <family val="2"/>
          </rPr>
          <t>Pinter:</t>
        </r>
        <r>
          <rPr>
            <sz val="8"/>
            <color indexed="81"/>
            <rFont val="Tahoma"/>
            <family val="2"/>
          </rPr>
          <t xml:space="preserve">
This is the mean divided by 2 for the dense planted stand.  Did this to look at data on East to West column position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Pinter</author>
  </authors>
  <commentList>
    <comment ref="S9" authorId="0" shapeId="0" xr:uid="{169E7227-79B9-4F4D-9551-1E5DBE50FF60}">
      <text>
        <r>
          <rPr>
            <b/>
            <sz val="8"/>
            <color indexed="81"/>
            <rFont val="Tahoma"/>
            <family val="2"/>
          </rPr>
          <t>Pinter:</t>
        </r>
        <r>
          <rPr>
            <sz val="8"/>
            <color indexed="81"/>
            <rFont val="Tahoma"/>
            <family val="2"/>
          </rPr>
          <t xml:space="preserve">
This is the mean divided by 2 for the dense planted stand.  Did this to look at data on East to West column position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Pinter</author>
  </authors>
  <commentList>
    <comment ref="S9" authorId="0" shapeId="0" xr:uid="{8ABFCB13-E971-44AD-9433-E8841C928EB6}">
      <text>
        <r>
          <rPr>
            <b/>
            <sz val="8"/>
            <color indexed="81"/>
            <rFont val="Tahoma"/>
            <family val="2"/>
          </rPr>
          <t>Pinter:</t>
        </r>
        <r>
          <rPr>
            <sz val="8"/>
            <color indexed="81"/>
            <rFont val="Tahoma"/>
            <family val="2"/>
          </rPr>
          <t xml:space="preserve">
This is the mean divided by 2 for the dense planted stand.  Did this to look at data on East to West column position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Pinter</author>
  </authors>
  <commentList>
    <comment ref="S9" authorId="0" shapeId="0" xr:uid="{F6C6D126-2EB2-4F68-9488-5B865937F38B}">
      <text>
        <r>
          <rPr>
            <b/>
            <sz val="8"/>
            <color indexed="81"/>
            <rFont val="Tahoma"/>
            <family val="2"/>
          </rPr>
          <t>Pinter:</t>
        </r>
        <r>
          <rPr>
            <sz val="8"/>
            <color indexed="81"/>
            <rFont val="Tahoma"/>
            <family val="2"/>
          </rPr>
          <t xml:space="preserve">
This is the mean divided by 2 for the dense planted stand.  Did this to look at data on East to West column position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Pinter</author>
  </authors>
  <commentList>
    <comment ref="S9" authorId="0" shapeId="0" xr:uid="{85A265EE-73B4-4D8A-9A76-5C5E0746B0E7}">
      <text>
        <r>
          <rPr>
            <b/>
            <sz val="8"/>
            <color indexed="81"/>
            <rFont val="Tahoma"/>
            <family val="2"/>
          </rPr>
          <t>Pinter:</t>
        </r>
        <r>
          <rPr>
            <sz val="8"/>
            <color indexed="81"/>
            <rFont val="Tahoma"/>
            <family val="2"/>
          </rPr>
          <t xml:space="preserve">
This is the mean divided by 2 for the dense planted stand.  Did this to look at data on East to West column position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Pinter</author>
  </authors>
  <commentList>
    <comment ref="S9" authorId="0" shapeId="0" xr:uid="{FCB636A7-A54E-4643-BDC8-5FF36C4AAD11}">
      <text>
        <r>
          <rPr>
            <b/>
            <sz val="8"/>
            <color indexed="81"/>
            <rFont val="Tahoma"/>
            <family val="2"/>
          </rPr>
          <t>Pinter:</t>
        </r>
        <r>
          <rPr>
            <sz val="8"/>
            <color indexed="81"/>
            <rFont val="Tahoma"/>
            <family val="2"/>
          </rPr>
          <t xml:space="preserve">
This is the mean divided by 2 for the dense planted stand.  Did this to look at data on East to West column position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Pinter</author>
  </authors>
  <commentList>
    <comment ref="S9" authorId="0" shapeId="0" xr:uid="{979EA058-4506-4BDD-9228-5CAB164DBAAF}">
      <text>
        <r>
          <rPr>
            <b/>
            <sz val="8"/>
            <color indexed="81"/>
            <rFont val="Tahoma"/>
            <family val="2"/>
          </rPr>
          <t>Pinter:</t>
        </r>
        <r>
          <rPr>
            <sz val="8"/>
            <color indexed="81"/>
            <rFont val="Tahoma"/>
            <family val="2"/>
          </rPr>
          <t xml:space="preserve">
This is the mean divided by 2 for the dense planted stand.  Did this to look at data on East to West column position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Pinter</author>
  </authors>
  <commentList>
    <comment ref="S9" authorId="0" shapeId="0" xr:uid="{D5AC217D-7CDD-4825-B16B-172EA920784A}">
      <text>
        <r>
          <rPr>
            <b/>
            <sz val="8"/>
            <color indexed="81"/>
            <rFont val="Tahoma"/>
            <family val="2"/>
          </rPr>
          <t>Pinter:</t>
        </r>
        <r>
          <rPr>
            <sz val="8"/>
            <color indexed="81"/>
            <rFont val="Tahoma"/>
            <family val="2"/>
          </rPr>
          <t xml:space="preserve">
This is the mean divided by 2 for the dense planted stand.  Did this to look at data on East to West column position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Pinter</author>
  </authors>
  <commentList>
    <comment ref="S9" authorId="0" shapeId="0" xr:uid="{5ADCC45D-BEDE-4138-A0E6-B2CBD0463566}">
      <text>
        <r>
          <rPr>
            <b/>
            <sz val="8"/>
            <color indexed="81"/>
            <rFont val="Tahoma"/>
            <family val="2"/>
          </rPr>
          <t>Pinter:</t>
        </r>
        <r>
          <rPr>
            <sz val="8"/>
            <color indexed="81"/>
            <rFont val="Tahoma"/>
            <family val="2"/>
          </rPr>
          <t xml:space="preserve">
This is the mean times 2 for sparse plots and divided by 2 for the dense planted stand.  Did this to look at data on East to West column position</t>
        </r>
      </text>
    </comment>
  </commentList>
</comments>
</file>

<file path=xl/sharedStrings.xml><?xml version="1.0" encoding="utf-8"?>
<sst xmlns="http://schemas.openxmlformats.org/spreadsheetml/2006/main" count="4125" uniqueCount="456">
  <si>
    <t>Plot</t>
  </si>
  <si>
    <t>Plant Canopy Width (cm)</t>
  </si>
  <si>
    <t>Plant Height Cm)</t>
  </si>
  <si>
    <t>FSH</t>
  </si>
  <si>
    <t>FTL</t>
  </si>
  <si>
    <t>FDH</t>
  </si>
  <si>
    <t>NTL</t>
  </si>
  <si>
    <t>NTH</t>
  </si>
  <si>
    <t>FTH</t>
  </si>
  <si>
    <t>acron</t>
  </si>
  <si>
    <t>NDL</t>
  </si>
  <si>
    <t>NDH</t>
  </si>
  <si>
    <t>NSL</t>
  </si>
  <si>
    <t>FSL</t>
  </si>
  <si>
    <t>NSH</t>
  </si>
  <si>
    <t>FDL</t>
  </si>
  <si>
    <t>WS</t>
  </si>
  <si>
    <t>DS</t>
  </si>
  <si>
    <t>trt.</t>
  </si>
  <si>
    <t>F105</t>
  </si>
  <si>
    <t>Overflight 2</t>
  </si>
  <si>
    <t>June 12 2002</t>
  </si>
  <si>
    <t>Plant Canopy Measurements</t>
  </si>
  <si>
    <t>page 2</t>
  </si>
  <si>
    <t>R3</t>
  </si>
  <si>
    <t>R4</t>
  </si>
  <si>
    <t>R5</t>
  </si>
  <si>
    <t>R6</t>
  </si>
  <si>
    <t>R7</t>
  </si>
  <si>
    <t>R8</t>
  </si>
  <si>
    <t>R= harvest row number</t>
  </si>
  <si>
    <t>average ht</t>
  </si>
  <si>
    <t>average width</t>
  </si>
  <si>
    <t>June 19 2002</t>
  </si>
  <si>
    <t>No overflight week</t>
  </si>
  <si>
    <t>DOY 170</t>
  </si>
  <si>
    <t>ht</t>
  </si>
  <si>
    <t>wdth</t>
  </si>
  <si>
    <t>Plot 408 @ 8:23 am-end</t>
  </si>
  <si>
    <t>Plot 408 @ 7:10-begin measurements</t>
  </si>
  <si>
    <t xml:space="preserve"> Overflight 3</t>
  </si>
  <si>
    <t>Doy 176</t>
  </si>
  <si>
    <t xml:space="preserve">Overflight </t>
  </si>
  <si>
    <t xml:space="preserve"> Overflight - no </t>
  </si>
  <si>
    <t>Doy 183</t>
  </si>
  <si>
    <t>DOY190</t>
  </si>
  <si>
    <t>DOY 199</t>
  </si>
  <si>
    <t xml:space="preserve"> Overflight #4</t>
  </si>
  <si>
    <t>DOY 204</t>
  </si>
  <si>
    <t>DOY 212</t>
  </si>
  <si>
    <t>DOY 218</t>
  </si>
  <si>
    <t>DOY 225</t>
  </si>
  <si>
    <t>DOY232</t>
  </si>
  <si>
    <t>DOY239</t>
  </si>
  <si>
    <t>DOY 246</t>
  </si>
  <si>
    <t xml:space="preserve"> </t>
  </si>
  <si>
    <t>DOY 260</t>
  </si>
  <si>
    <t>DOY163</t>
  </si>
  <si>
    <t>DOY170</t>
  </si>
  <si>
    <t>DOY176</t>
  </si>
  <si>
    <t>DOY183</t>
  </si>
  <si>
    <t>DOY199</t>
  </si>
  <si>
    <t>DOY204</t>
  </si>
  <si>
    <t>DOY212</t>
  </si>
  <si>
    <t>DOY218</t>
  </si>
  <si>
    <t>DOY225</t>
  </si>
  <si>
    <t>DOY246</t>
  </si>
  <si>
    <t>DOY260</t>
  </si>
  <si>
    <t>CCID</t>
  </si>
  <si>
    <t>p101-1</t>
  </si>
  <si>
    <t>p101-2</t>
  </si>
  <si>
    <t>p101-3</t>
  </si>
  <si>
    <t>p101-4</t>
  </si>
  <si>
    <t>p101-5</t>
  </si>
  <si>
    <t>p101-6</t>
  </si>
  <si>
    <t>p102-1</t>
  </si>
  <si>
    <t>p102-2</t>
  </si>
  <si>
    <t>p102-3</t>
  </si>
  <si>
    <t>p102-4</t>
  </si>
  <si>
    <t>p102-5</t>
  </si>
  <si>
    <t>p102-6</t>
  </si>
  <si>
    <t>p103-1</t>
  </si>
  <si>
    <t>p103-2</t>
  </si>
  <si>
    <t>p103-3</t>
  </si>
  <si>
    <t>p103-4</t>
  </si>
  <si>
    <t>p103-5</t>
  </si>
  <si>
    <t>p103-6</t>
  </si>
  <si>
    <t>p104-1</t>
  </si>
  <si>
    <t>p104-2</t>
  </si>
  <si>
    <t>p104-3</t>
  </si>
  <si>
    <t>p104-4</t>
  </si>
  <si>
    <t>p104-5</t>
  </si>
  <si>
    <t>p104-6</t>
  </si>
  <si>
    <t>p105-1</t>
  </si>
  <si>
    <t>p105-2</t>
  </si>
  <si>
    <t>p105-3</t>
  </si>
  <si>
    <t>p105-4</t>
  </si>
  <si>
    <t>p105-5</t>
  </si>
  <si>
    <t>p105-6</t>
  </si>
  <si>
    <t>p106-1</t>
  </si>
  <si>
    <t>p106-2</t>
  </si>
  <si>
    <t>p106-3</t>
  </si>
  <si>
    <t>p106-4</t>
  </si>
  <si>
    <t>p106-5</t>
  </si>
  <si>
    <t>p106-6</t>
  </si>
  <si>
    <t>p107-1</t>
  </si>
  <si>
    <t>p107-2</t>
  </si>
  <si>
    <t>p107-3</t>
  </si>
  <si>
    <t>p107-4</t>
  </si>
  <si>
    <t>p107-5</t>
  </si>
  <si>
    <t>p107-6</t>
  </si>
  <si>
    <t>p108-1</t>
  </si>
  <si>
    <t>p108-2</t>
  </si>
  <si>
    <t>p108-3</t>
  </si>
  <si>
    <t>p108-4</t>
  </si>
  <si>
    <t>p108-5</t>
  </si>
  <si>
    <t>p108-6</t>
  </si>
  <si>
    <t>p201-1</t>
  </si>
  <si>
    <t>p201-2</t>
  </si>
  <si>
    <t>p201-3</t>
  </si>
  <si>
    <t>p201-4</t>
  </si>
  <si>
    <t>p201-5</t>
  </si>
  <si>
    <t>p201-6</t>
  </si>
  <si>
    <t>p202-1</t>
  </si>
  <si>
    <t>p202-2</t>
  </si>
  <si>
    <t>p202-3</t>
  </si>
  <si>
    <t>p202-4</t>
  </si>
  <si>
    <t>p202-5</t>
  </si>
  <si>
    <t>p202-6</t>
  </si>
  <si>
    <t>p203-1</t>
  </si>
  <si>
    <t>p203-2</t>
  </si>
  <si>
    <t>p203-3</t>
  </si>
  <si>
    <t>p203-4</t>
  </si>
  <si>
    <t>p203-5</t>
  </si>
  <si>
    <t>p203-6</t>
  </si>
  <si>
    <t>p204-1</t>
  </si>
  <si>
    <t>p204-2</t>
  </si>
  <si>
    <t>p204-3</t>
  </si>
  <si>
    <t>p204-4</t>
  </si>
  <si>
    <t>p204-5</t>
  </si>
  <si>
    <t>p204-6</t>
  </si>
  <si>
    <t>p205-1</t>
  </si>
  <si>
    <t>p205-2</t>
  </si>
  <si>
    <t>p205-3</t>
  </si>
  <si>
    <t>p205-4</t>
  </si>
  <si>
    <t>p205-5</t>
  </si>
  <si>
    <t>p205-6</t>
  </si>
  <si>
    <t>p206-1</t>
  </si>
  <si>
    <t>p206-2</t>
  </si>
  <si>
    <t>p206-3</t>
  </si>
  <si>
    <t>p206-4</t>
  </si>
  <si>
    <t>p206-5</t>
  </si>
  <si>
    <t>p206-6</t>
  </si>
  <si>
    <t>p207-1</t>
  </si>
  <si>
    <t>p207-2</t>
  </si>
  <si>
    <t>p207-3</t>
  </si>
  <si>
    <t>p207-4</t>
  </si>
  <si>
    <t>p207-5</t>
  </si>
  <si>
    <t>p207-6</t>
  </si>
  <si>
    <t>p208-1</t>
  </si>
  <si>
    <t>p208-2</t>
  </si>
  <si>
    <t>p208-3</t>
  </si>
  <si>
    <t>p208-4</t>
  </si>
  <si>
    <t>p208-5</t>
  </si>
  <si>
    <t>p208-6</t>
  </si>
  <si>
    <t>p301-1</t>
  </si>
  <si>
    <t>p301-2</t>
  </si>
  <si>
    <t>p301-3</t>
  </si>
  <si>
    <t>p301-4</t>
  </si>
  <si>
    <t>p301-5</t>
  </si>
  <si>
    <t>p301-6</t>
  </si>
  <si>
    <t>p302-1</t>
  </si>
  <si>
    <t>p302-2</t>
  </si>
  <si>
    <t>p302-3</t>
  </si>
  <si>
    <t>p302-4</t>
  </si>
  <si>
    <t>p302-5</t>
  </si>
  <si>
    <t>p302-6</t>
  </si>
  <si>
    <t>p303-1</t>
  </si>
  <si>
    <t>p303-2</t>
  </si>
  <si>
    <t>p303-3</t>
  </si>
  <si>
    <t>p303-4</t>
  </si>
  <si>
    <t>p303-5</t>
  </si>
  <si>
    <t>p303-6</t>
  </si>
  <si>
    <t>p304-1</t>
  </si>
  <si>
    <t>p304-2</t>
  </si>
  <si>
    <t>p304-3</t>
  </si>
  <si>
    <t>p304-4</t>
  </si>
  <si>
    <t>p304-5</t>
  </si>
  <si>
    <t>p304-6</t>
  </si>
  <si>
    <t>p305-1</t>
  </si>
  <si>
    <t>p305-2</t>
  </si>
  <si>
    <t>p305-3</t>
  </si>
  <si>
    <t>p305-4</t>
  </si>
  <si>
    <t>p305-5</t>
  </si>
  <si>
    <t>p305-6</t>
  </si>
  <si>
    <t>p306-1</t>
  </si>
  <si>
    <t>p306-2</t>
  </si>
  <si>
    <t>p306-3</t>
  </si>
  <si>
    <t>p306-4</t>
  </si>
  <si>
    <t>p306-5</t>
  </si>
  <si>
    <t>p306-6</t>
  </si>
  <si>
    <t>p307-1</t>
  </si>
  <si>
    <t>p307-2</t>
  </si>
  <si>
    <t>p307-3</t>
  </si>
  <si>
    <t>p307-4</t>
  </si>
  <si>
    <t>p307-5</t>
  </si>
  <si>
    <t>p307-6</t>
  </si>
  <si>
    <t>p308-1</t>
  </si>
  <si>
    <t>p308-2</t>
  </si>
  <si>
    <t>p308-3</t>
  </si>
  <si>
    <t>p308-4</t>
  </si>
  <si>
    <t>p308-5</t>
  </si>
  <si>
    <t>p308-6</t>
  </si>
  <si>
    <t>p401-1</t>
  </si>
  <si>
    <t>p401-2</t>
  </si>
  <si>
    <t>p401-3</t>
  </si>
  <si>
    <t>p401-4</t>
  </si>
  <si>
    <t>p401-5</t>
  </si>
  <si>
    <t>p401-6</t>
  </si>
  <si>
    <t>p402-1</t>
  </si>
  <si>
    <t>p402-2</t>
  </si>
  <si>
    <t>p402-3</t>
  </si>
  <si>
    <t>p402-4</t>
  </si>
  <si>
    <t>p402-5</t>
  </si>
  <si>
    <t>p402-6</t>
  </si>
  <si>
    <t>p403-1</t>
  </si>
  <si>
    <t>p403-2</t>
  </si>
  <si>
    <t>p403-3</t>
  </si>
  <si>
    <t>p403-4</t>
  </si>
  <si>
    <t>p403-5</t>
  </si>
  <si>
    <t>p403-6</t>
  </si>
  <si>
    <t>p404-1</t>
  </si>
  <si>
    <t>p404-2</t>
  </si>
  <si>
    <t>p404-3</t>
  </si>
  <si>
    <t>p404-4</t>
  </si>
  <si>
    <t>p404-5</t>
  </si>
  <si>
    <t>p404-6</t>
  </si>
  <si>
    <t>p405-1</t>
  </si>
  <si>
    <t>p405-2</t>
  </si>
  <si>
    <t>p405-3</t>
  </si>
  <si>
    <t>p405-4</t>
  </si>
  <si>
    <t>p405-5</t>
  </si>
  <si>
    <t>p405-6</t>
  </si>
  <si>
    <t>p406-1</t>
  </si>
  <si>
    <t>p406-2</t>
  </si>
  <si>
    <t>p406-3</t>
  </si>
  <si>
    <t>p406-4</t>
  </si>
  <si>
    <t>p406-5</t>
  </si>
  <si>
    <t>p406-6</t>
  </si>
  <si>
    <t>p407-1</t>
  </si>
  <si>
    <t>p407-2</t>
  </si>
  <si>
    <t>p407-3</t>
  </si>
  <si>
    <t>p407-4</t>
  </si>
  <si>
    <t>p407-5</t>
  </si>
  <si>
    <t>p407-6</t>
  </si>
  <si>
    <t>p408-1</t>
  </si>
  <si>
    <t>p408-2</t>
  </si>
  <si>
    <t>p408-3</t>
  </si>
  <si>
    <t>p408-4</t>
  </si>
  <si>
    <t>p408-5</t>
  </si>
  <si>
    <t>p408-6</t>
  </si>
  <si>
    <t>p902-1</t>
  </si>
  <si>
    <t>p902-2</t>
  </si>
  <si>
    <t>p902-3</t>
  </si>
  <si>
    <t>p902-4</t>
  </si>
  <si>
    <t>p902-5</t>
  </si>
  <si>
    <t>p902-6</t>
  </si>
  <si>
    <t>p904-1</t>
  </si>
  <si>
    <t>p904-2</t>
  </si>
  <si>
    <t>p904-3</t>
  </si>
  <si>
    <t>p904-4</t>
  </si>
  <si>
    <t>p904-5</t>
  </si>
  <si>
    <t>p904-6</t>
  </si>
  <si>
    <t>p906-1</t>
  </si>
  <si>
    <t>p906-2</t>
  </si>
  <si>
    <t>p906-3</t>
  </si>
  <si>
    <t>p906-4</t>
  </si>
  <si>
    <t>p906-5</t>
  </si>
  <si>
    <t>p906-6</t>
  </si>
  <si>
    <t>p908-1</t>
  </si>
  <si>
    <t>p908-2</t>
  </si>
  <si>
    <t>p908-3</t>
  </si>
  <si>
    <t>p908-4</t>
  </si>
  <si>
    <t>p908-5</t>
  </si>
  <si>
    <t>p908-6</t>
  </si>
  <si>
    <t>DOY118</t>
  </si>
  <si>
    <t>DOY119</t>
  </si>
  <si>
    <t>DOY120</t>
  </si>
  <si>
    <t>DOY121</t>
  </si>
  <si>
    <t>DOY122</t>
  </si>
  <si>
    <t>DOY123</t>
  </si>
  <si>
    <t>DOY125</t>
  </si>
  <si>
    <t>.</t>
  </si>
  <si>
    <t>DOY133</t>
  </si>
  <si>
    <t>DOY134</t>
  </si>
  <si>
    <t>DOY135</t>
  </si>
  <si>
    <t>DOY137</t>
  </si>
  <si>
    <t>DOY140</t>
  </si>
  <si>
    <t>DOY141</t>
  </si>
  <si>
    <t>DOY149</t>
  </si>
  <si>
    <t>0931h</t>
  </si>
  <si>
    <t>1Jun</t>
  </si>
  <si>
    <t>15Jul</t>
  </si>
  <si>
    <t>0934h dug up 8 seeds (3hypo, 3dry, 2imbibed)</t>
  </si>
  <si>
    <t>Total</t>
  </si>
  <si>
    <t>Acron</t>
  </si>
  <si>
    <t>0929h</t>
  </si>
  <si>
    <t>Average of Mean per meter</t>
  </si>
  <si>
    <t>0918h</t>
  </si>
  <si>
    <t>0907h</t>
  </si>
  <si>
    <t>0916h</t>
  </si>
  <si>
    <t>0905h</t>
  </si>
  <si>
    <t>Grand Total</t>
  </si>
  <si>
    <t>0852h</t>
  </si>
  <si>
    <t>0840h</t>
  </si>
  <si>
    <t>Col.</t>
  </si>
  <si>
    <t>Average of Nrml. mean per meter</t>
  </si>
  <si>
    <t>0851h</t>
  </si>
  <si>
    <t>Comments</t>
  </si>
  <si>
    <t>Nrml. mean per meter</t>
  </si>
  <si>
    <t>std err</t>
  </si>
  <si>
    <t>Mean per meter</t>
  </si>
  <si>
    <t>Row8</t>
  </si>
  <si>
    <t>Row7</t>
  </si>
  <si>
    <t>Row6</t>
  </si>
  <si>
    <t>Row5</t>
  </si>
  <si>
    <t>Row4</t>
  </si>
  <si>
    <t>Row3</t>
  </si>
  <si>
    <t>Exotech Code</t>
  </si>
  <si>
    <t>Block</t>
  </si>
  <si>
    <t>N</t>
  </si>
  <si>
    <t>Pop.</t>
  </si>
  <si>
    <t>Irrig.</t>
  </si>
  <si>
    <t>Trt.</t>
  </si>
  <si>
    <t>No sign that plants are unable to break thru surface, but many are in dry soil.  Counted all with cotyl or green epicotyl visible</t>
  </si>
  <si>
    <t>Soil surface is dry and somewhat crusted, but no sign of rain,  Many of seeds in apparent skips have not imbibed.</t>
  </si>
  <si>
    <t>Comments:</t>
  </si>
  <si>
    <t>End:</t>
  </si>
  <si>
    <t>Start:</t>
  </si>
  <si>
    <t>DOY:</t>
  </si>
  <si>
    <t>Plant Emergence Counts</t>
  </si>
  <si>
    <t>Soil surface is dry. Measurements made ahead of irrigation.  Seem to be a few more plants with bent epicotyl visible.</t>
  </si>
  <si>
    <t>0841h</t>
  </si>
  <si>
    <t>Operator</t>
  </si>
  <si>
    <t>0620h</t>
  </si>
  <si>
    <t xml:space="preserve">started at 7:35 am and went E to W serpentine </t>
  </si>
  <si>
    <t>ended at 8: 42 am</t>
  </si>
  <si>
    <t>It seems that on the double density beds the east side row has better germination</t>
  </si>
  <si>
    <t>0842h</t>
  </si>
  <si>
    <t>Stacy</t>
  </si>
  <si>
    <t>By:</t>
  </si>
  <si>
    <t>0735h</t>
  </si>
  <si>
    <t xml:space="preserve">started at 7:49 am and went E to W serpentine </t>
  </si>
  <si>
    <t>0839h</t>
  </si>
  <si>
    <t>Stacy Richards</t>
  </si>
  <si>
    <t>0749h</t>
  </si>
  <si>
    <t>Two  Line</t>
  </si>
  <si>
    <t>Single Line</t>
  </si>
  <si>
    <t>Date:</t>
  </si>
  <si>
    <t>Plants per linear meter of row</t>
  </si>
  <si>
    <t>SER</t>
  </si>
  <si>
    <t>we average 7.33 plants per meter in mid field plots which had the shorter interval between two irrigations</t>
  </si>
  <si>
    <t>Clear, all soils dry.  Some signs of insect feeding on surface leaves.  Some new emergence (about 37/1041=3.55% or &lt; 0.2 plants/m)</t>
  </si>
  <si>
    <t>PJP</t>
  </si>
  <si>
    <t>0940h</t>
  </si>
  <si>
    <t>0834h</t>
  </si>
  <si>
    <t>it appears that plot 108 has the greatest increase</t>
  </si>
  <si>
    <t>stacy</t>
  </si>
  <si>
    <t>Data entered PJP  20May02</t>
  </si>
  <si>
    <t>Lder plants seem to be having some problems: bugs, water.</t>
  </si>
  <si>
    <t>SERichards</t>
  </si>
  <si>
    <t>0745h</t>
  </si>
  <si>
    <t>(All)</t>
  </si>
  <si>
    <t>More</t>
  </si>
  <si>
    <t>Frequency</t>
  </si>
  <si>
    <t>Bin</t>
  </si>
  <si>
    <t>Dense Population</t>
  </si>
  <si>
    <t>3 Total</t>
  </si>
  <si>
    <t>Sparse Population</t>
  </si>
  <si>
    <t>2 Total</t>
  </si>
  <si>
    <t>Typical Density</t>
  </si>
  <si>
    <t>1 Total</t>
  </si>
  <si>
    <t>Typical Density Plots</t>
  </si>
  <si>
    <t>PJP notes overflight today.  Stacy and Suzette split measurements (345/678rows)</t>
  </si>
  <si>
    <t>stacy/suzette</t>
  </si>
  <si>
    <t>this is the post-thinning plant count</t>
  </si>
  <si>
    <t>Dense</t>
  </si>
  <si>
    <t>Typical</t>
  </si>
  <si>
    <t>Stacy and Suzette</t>
  </si>
  <si>
    <t>Sparse</t>
  </si>
  <si>
    <t>50% DOY</t>
  </si>
  <si>
    <t>PLPD</t>
  </si>
  <si>
    <t>PLDOE</t>
  </si>
  <si>
    <t>PLYRE</t>
  </si>
  <si>
    <t>EDATE</t>
  </si>
  <si>
    <t>DOY186</t>
  </si>
  <si>
    <t>DOY192</t>
  </si>
  <si>
    <t>DOY197</t>
  </si>
  <si>
    <t>DOY206</t>
  </si>
  <si>
    <t>DOY224</t>
  </si>
  <si>
    <t>DOY227</t>
  </si>
  <si>
    <t>DOY242</t>
  </si>
  <si>
    <t>DOY249</t>
  </si>
  <si>
    <t>DOY256</t>
  </si>
  <si>
    <t>DOY266</t>
  </si>
  <si>
    <t>Checker</t>
  </si>
  <si>
    <t>8x</t>
  </si>
  <si>
    <t>7x</t>
  </si>
  <si>
    <t>6x</t>
  </si>
  <si>
    <t>5x</t>
  </si>
  <si>
    <t>4x</t>
  </si>
  <si>
    <t>3x</t>
  </si>
  <si>
    <t>2x</t>
  </si>
  <si>
    <t>1x</t>
  </si>
  <si>
    <t>Calibration @ Finish</t>
  </si>
  <si>
    <t>Late</t>
  </si>
  <si>
    <t>Early</t>
  </si>
  <si>
    <t>Mean SPAD</t>
  </si>
  <si>
    <t>no.</t>
  </si>
  <si>
    <t>Calibration @ Start</t>
  </si>
  <si>
    <t>------------- Notes -----------</t>
  </si>
  <si>
    <t>SPAD</t>
  </si>
  <si>
    <t>Time</t>
  </si>
  <si>
    <t>SMM</t>
  </si>
  <si>
    <t>dusty.  Rain 3 July.  Cleaned SPAD before use.</t>
  </si>
  <si>
    <t>Clear. Mod haze.  Light wind from S.  Leaves somewhat</t>
  </si>
  <si>
    <t>SPAD Serial No:</t>
  </si>
  <si>
    <t>DeltaPine 458B/RR</t>
  </si>
  <si>
    <t>DOY</t>
  </si>
  <si>
    <r>
      <t xml:space="preserve">FISE 2002 - SPAD Readings in Target Area </t>
    </r>
    <r>
      <rPr>
        <b/>
        <sz val="12"/>
        <rFont val="Comic Sans MS"/>
        <family val="4"/>
      </rPr>
      <t>(12 readings per plot)</t>
    </r>
  </si>
  <si>
    <t>In plots #08, too 12 SPAD readings from non-damaged rows.</t>
  </si>
  <si>
    <t>Sunny. Mod. Haze.  Humid.  Slight breeze from SW.</t>
  </si>
  <si>
    <t>Many leaves on top of plants tattered.</t>
  </si>
  <si>
    <t>Overcast.  Slight breeze from SE.  Plants very dusty</t>
  </si>
  <si>
    <t>Most plots still damp.  Plt 906 irrigated yesterday.  Leaves slightly dusty.</t>
  </si>
  <si>
    <t>Clear.  Humid.  Light wind from N.  Mod+ haze.</t>
  </si>
  <si>
    <t>10;13</t>
  </si>
  <si>
    <t>dusty, some with honeydew.  FAO's being irrigated.</t>
  </si>
  <si>
    <t>Clear.  Mod aze. Ligt wind fro NW.  Leaves somewhat</t>
  </si>
  <si>
    <t>Bolls open.</t>
  </si>
  <si>
    <t>leaves wilted.  Just irrigated.</t>
  </si>
  <si>
    <t>NDVI dense plots being irrigated.</t>
  </si>
  <si>
    <t xml:space="preserve">Wind light to moderate-gusty from SE-S.  </t>
  </si>
  <si>
    <t>mostly clear.  Very small scattered clouds. Mod haze.</t>
  </si>
  <si>
    <t>wilted</t>
  </si>
  <si>
    <t>Data</t>
  </si>
  <si>
    <t>Light haze.  Light wind from SE</t>
  </si>
  <si>
    <t>Mostly sunny. Clouds from earlier this morn burned off.</t>
  </si>
  <si>
    <t xml:space="preserve">        </t>
  </si>
  <si>
    <t>Sprinkle of rain last night-didn't wash off leaves</t>
  </si>
  <si>
    <t>Slight breeze from E becoming light wind from S.</t>
  </si>
  <si>
    <t xml:space="preserve">Ptly cloudy.  Sun intermittantly obscured. Mod haze. </t>
  </si>
  <si>
    <t>Leaves pretty clean after rain earlier in week.</t>
  </si>
  <si>
    <t>Clear except horizon. Light haze. Slight breeze for S-SE.</t>
  </si>
  <si>
    <t>Defoliant applied last Friday (20 Sept).  No noticable change in plants</t>
  </si>
  <si>
    <t>Clear sky. Light-mod haze.  Slight breeze form SE-E.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</si>
</sst>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70" formatCode="mm/dd/yyyy"/>
  </numFmts>
  <fonts count="19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i/>
      <sz val="10"/>
      <name val="Arial"/>
      <family val="2"/>
    </font>
    <font>
      <b/>
      <sz val="14"/>
      <name val="Comic Sans MS"/>
      <family val="4"/>
    </font>
    <font>
      <b/>
      <sz val="9"/>
      <name val="Arial"/>
      <family val="2"/>
    </font>
    <font>
      <b/>
      <i/>
      <sz val="12"/>
      <name val="Andy"/>
      <family val="4"/>
    </font>
    <font>
      <b/>
      <sz val="10"/>
      <color indexed="9"/>
      <name val="Arial"/>
      <family val="2"/>
    </font>
    <font>
      <sz val="10"/>
      <color indexed="23"/>
      <name val="Arial"/>
      <family val="2"/>
    </font>
    <font>
      <b/>
      <sz val="10"/>
      <color indexed="57"/>
      <name val="Arial"/>
      <family val="2"/>
    </font>
    <font>
      <b/>
      <sz val="12"/>
      <name val="Comic Sans MS"/>
      <family val="4"/>
    </font>
    <font>
      <b/>
      <sz val="14"/>
      <color indexed="57"/>
      <name val="Comic Sans MS"/>
      <family val="4"/>
    </font>
    <font>
      <b/>
      <sz val="10"/>
      <color indexed="23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63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xfId="0"/>
    <xf numFmtId="0" fontId="0" fillId="0" borderId="0" xfId="0" quotePrefix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" fontId="0" fillId="0" borderId="10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5" xfId="0" quotePrefix="1" applyBorder="1" applyAlignment="1">
      <alignment horizontal="left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164" fontId="0" fillId="2" borderId="6" xfId="0" applyNumberFormat="1" applyFill="1" applyBorder="1"/>
    <xf numFmtId="0" fontId="0" fillId="0" borderId="19" xfId="0" applyBorder="1"/>
    <xf numFmtId="0" fontId="0" fillId="0" borderId="20" xfId="0" applyBorder="1"/>
    <xf numFmtId="164" fontId="0" fillId="2" borderId="20" xfId="0" applyNumberFormat="1" applyFill="1" applyBorder="1"/>
    <xf numFmtId="164" fontId="0" fillId="2" borderId="21" xfId="0" applyNumberFormat="1" applyFill="1" applyBorder="1"/>
    <xf numFmtId="0" fontId="0" fillId="2" borderId="0" xfId="0" applyFill="1"/>
    <xf numFmtId="0" fontId="0" fillId="2" borderId="0" xfId="0" quotePrefix="1" applyFill="1" applyAlignment="1">
      <alignment horizontal="left"/>
    </xf>
    <xf numFmtId="14" fontId="0" fillId="0" borderId="0" xfId="0" applyNumberFormat="1"/>
    <xf numFmtId="0" fontId="0" fillId="0" borderId="0" xfId="0" applyAlignment="1">
      <alignment horizontal="left"/>
    </xf>
    <xf numFmtId="0" fontId="0" fillId="0" borderId="22" xfId="0" applyBorder="1"/>
    <xf numFmtId="0" fontId="0" fillId="0" borderId="23" xfId="0" applyBorder="1"/>
    <xf numFmtId="164" fontId="0" fillId="0" borderId="0" xfId="0" applyNumberFormat="1"/>
    <xf numFmtId="0" fontId="0" fillId="0" borderId="24" xfId="0" applyBorder="1"/>
    <xf numFmtId="0" fontId="0" fillId="0" borderId="25" xfId="0" applyBorder="1"/>
    <xf numFmtId="0" fontId="1" fillId="0" borderId="0" xfId="1"/>
    <xf numFmtId="2" fontId="1" fillId="0" borderId="0" xfId="1" applyNumberFormat="1"/>
    <xf numFmtId="0" fontId="1" fillId="0" borderId="0" xfId="1" quotePrefix="1"/>
    <xf numFmtId="0" fontId="1" fillId="0" borderId="0" xfId="0" applyFont="1"/>
    <xf numFmtId="2" fontId="1" fillId="0" borderId="26" xfId="1" applyNumberFormat="1" applyBorder="1"/>
    <xf numFmtId="0" fontId="1" fillId="0" borderId="27" xfId="1" applyBorder="1"/>
    <xf numFmtId="2" fontId="1" fillId="0" borderId="28" xfId="1" applyNumberFormat="1" applyBorder="1"/>
    <xf numFmtId="0" fontId="1" fillId="0" borderId="29" xfId="1" applyBorder="1"/>
    <xf numFmtId="0" fontId="1" fillId="0" borderId="0" xfId="1" applyAlignment="1">
      <alignment horizontal="left"/>
    </xf>
    <xf numFmtId="2" fontId="1" fillId="0" borderId="0" xfId="1" applyNumberFormat="1" applyAlignment="1">
      <alignment horizontal="right"/>
    </xf>
    <xf numFmtId="2" fontId="1" fillId="0" borderId="10" xfId="1" applyNumberFormat="1" applyBorder="1" applyAlignment="1">
      <alignment horizontal="right"/>
    </xf>
    <xf numFmtId="0" fontId="1" fillId="0" borderId="10" xfId="1" applyBorder="1" applyAlignment="1">
      <alignment horizontal="right"/>
    </xf>
    <xf numFmtId="0" fontId="2" fillId="0" borderId="10" xfId="1" applyFont="1" applyBorder="1" applyAlignment="1">
      <alignment horizontal="center"/>
    </xf>
    <xf numFmtId="0" fontId="2" fillId="0" borderId="10" xfId="1" applyFont="1" applyBorder="1" applyAlignment="1">
      <alignment horizontal="center" vertical="center" wrapText="1"/>
    </xf>
    <xf numFmtId="16" fontId="2" fillId="0" borderId="10" xfId="1" quotePrefix="1" applyNumberFormat="1" applyFont="1" applyBorder="1" applyAlignment="1">
      <alignment horizontal="center"/>
    </xf>
    <xf numFmtId="2" fontId="1" fillId="0" borderId="4" xfId="1" applyNumberFormat="1" applyBorder="1" applyAlignment="1">
      <alignment horizontal="right"/>
    </xf>
    <xf numFmtId="2" fontId="1" fillId="0" borderId="23" xfId="1" applyNumberFormat="1" applyBorder="1" applyAlignment="1">
      <alignment horizontal="right"/>
    </xf>
    <xf numFmtId="0" fontId="1" fillId="0" borderId="4" xfId="1" applyBorder="1" applyAlignment="1">
      <alignment horizontal="right"/>
    </xf>
    <xf numFmtId="0" fontId="2" fillId="0" borderId="4" xfId="1" applyFont="1" applyBorder="1" applyAlignment="1">
      <alignment horizontal="center"/>
    </xf>
    <xf numFmtId="0" fontId="2" fillId="0" borderId="4" xfId="1" applyFont="1" applyBorder="1" applyAlignment="1">
      <alignment horizontal="center" vertical="center" wrapText="1"/>
    </xf>
    <xf numFmtId="16" fontId="2" fillId="0" borderId="4" xfId="1" quotePrefix="1" applyNumberFormat="1" applyFont="1" applyBorder="1" applyAlignment="1">
      <alignment horizontal="center"/>
    </xf>
    <xf numFmtId="2" fontId="1" fillId="0" borderId="30" xfId="1" applyNumberFormat="1" applyBorder="1"/>
    <xf numFmtId="0" fontId="1" fillId="0" borderId="31" xfId="1" applyBorder="1"/>
    <xf numFmtId="0" fontId="1" fillId="0" borderId="23" xfId="1" applyBorder="1" applyAlignment="1">
      <alignment horizontal="right"/>
    </xf>
    <xf numFmtId="0" fontId="2" fillId="0" borderId="23" xfId="1" applyFont="1" applyBorder="1" applyAlignment="1">
      <alignment horizontal="center"/>
    </xf>
    <xf numFmtId="0" fontId="2" fillId="0" borderId="23" xfId="1" applyFont="1" applyBorder="1" applyAlignment="1">
      <alignment horizontal="center" vertical="center" wrapText="1"/>
    </xf>
    <xf numFmtId="0" fontId="1" fillId="0" borderId="30" xfId="1" applyBorder="1"/>
    <xf numFmtId="0" fontId="1" fillId="0" borderId="32" xfId="1" pivotButton="1" applyBorder="1"/>
    <xf numFmtId="0" fontId="1" fillId="0" borderId="31" xfId="1" pivotButton="1" applyBorder="1"/>
    <xf numFmtId="2" fontId="1" fillId="3" borderId="4" xfId="1" applyNumberFormat="1" applyFill="1" applyBorder="1" applyAlignment="1">
      <alignment horizontal="right"/>
    </xf>
    <xf numFmtId="2" fontId="1" fillId="3" borderId="23" xfId="1" applyNumberFormat="1" applyFill="1" applyBorder="1" applyAlignment="1">
      <alignment horizontal="right"/>
    </xf>
    <xf numFmtId="0" fontId="1" fillId="3" borderId="4" xfId="1" applyFill="1" applyBorder="1" applyAlignment="1">
      <alignment horizontal="right"/>
    </xf>
    <xf numFmtId="0" fontId="2" fillId="3" borderId="4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 vertical="center" wrapText="1"/>
    </xf>
    <xf numFmtId="2" fontId="1" fillId="3" borderId="10" xfId="1" applyNumberFormat="1" applyFill="1" applyBorder="1" applyAlignment="1">
      <alignment horizontal="right"/>
    </xf>
    <xf numFmtId="0" fontId="1" fillId="3" borderId="10" xfId="1" applyFill="1" applyBorder="1" applyAlignment="1">
      <alignment horizontal="right"/>
    </xf>
    <xf numFmtId="0" fontId="2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center" vertical="center" wrapText="1"/>
    </xf>
    <xf numFmtId="2" fontId="1" fillId="0" borderId="32" xfId="1" applyNumberFormat="1" applyBorder="1"/>
    <xf numFmtId="0" fontId="1" fillId="0" borderId="33" xfId="1" applyBorder="1"/>
    <xf numFmtId="0" fontId="1" fillId="0" borderId="4" xfId="1" applyBorder="1" applyAlignment="1">
      <alignment horizontal="right" vertical="center"/>
    </xf>
    <xf numFmtId="0" fontId="3" fillId="0" borderId="4" xfId="1" applyFont="1" applyBorder="1" applyAlignment="1">
      <alignment horizontal="right" vertical="center" wrapText="1"/>
    </xf>
    <xf numFmtId="0" fontId="1" fillId="3" borderId="23" xfId="1" applyFill="1" applyBorder="1" applyAlignment="1">
      <alignment horizontal="right"/>
    </xf>
    <xf numFmtId="0" fontId="2" fillId="3" borderId="23" xfId="1" applyFont="1" applyFill="1" applyBorder="1" applyAlignment="1">
      <alignment horizontal="center"/>
    </xf>
    <xf numFmtId="0" fontId="2" fillId="3" borderId="23" xfId="1" applyFont="1" applyFill="1" applyBorder="1" applyAlignment="1">
      <alignment horizontal="center" vertical="center" wrapText="1"/>
    </xf>
    <xf numFmtId="0" fontId="1" fillId="0" borderId="0" xfId="1" quotePrefix="1" applyAlignment="1">
      <alignment horizontal="left"/>
    </xf>
    <xf numFmtId="0" fontId="1" fillId="0" borderId="23" xfId="1" applyBorder="1" applyAlignment="1">
      <alignment horizontal="right" vertical="center" wrapText="1"/>
    </xf>
    <xf numFmtId="0" fontId="2" fillId="0" borderId="25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 wrapText="1"/>
    </xf>
    <xf numFmtId="0" fontId="2" fillId="0" borderId="34" xfId="1" applyFont="1" applyBorder="1" applyAlignment="1">
      <alignment horizontal="center" vertical="center"/>
    </xf>
    <xf numFmtId="0" fontId="2" fillId="0" borderId="34" xfId="1" applyFont="1" applyBorder="1" applyAlignment="1">
      <alignment horizontal="center" vertical="center" wrapText="1"/>
    </xf>
    <xf numFmtId="0" fontId="4" fillId="0" borderId="34" xfId="1" applyFont="1" applyBorder="1" applyAlignment="1">
      <alignment horizontal="center" vertical="center" wrapText="1"/>
    </xf>
    <xf numFmtId="0" fontId="4" fillId="0" borderId="34" xfId="1" applyFont="1" applyBorder="1" applyAlignment="1">
      <alignment horizontal="center" vertical="center"/>
    </xf>
    <xf numFmtId="0" fontId="1" fillId="0" borderId="35" xfId="1" applyBorder="1"/>
    <xf numFmtId="0" fontId="2" fillId="0" borderId="36" xfId="1" applyFont="1" applyBorder="1"/>
    <xf numFmtId="0" fontId="2" fillId="0" borderId="0" xfId="1" applyFont="1"/>
    <xf numFmtId="0" fontId="5" fillId="0" borderId="0" xfId="1" applyFont="1"/>
    <xf numFmtId="0" fontId="1" fillId="0" borderId="26" xfId="1" applyBorder="1"/>
    <xf numFmtId="15" fontId="1" fillId="0" borderId="35" xfId="1" applyNumberFormat="1" applyBorder="1"/>
    <xf numFmtId="0" fontId="1" fillId="0" borderId="36" xfId="1" applyBorder="1"/>
    <xf numFmtId="2" fontId="1" fillId="0" borderId="10" xfId="1" applyNumberFormat="1" applyBorder="1" applyAlignment="1">
      <alignment horizontal="left"/>
    </xf>
    <xf numFmtId="2" fontId="1" fillId="0" borderId="4" xfId="1" applyNumberFormat="1" applyBorder="1" applyAlignment="1">
      <alignment horizontal="left"/>
    </xf>
    <xf numFmtId="2" fontId="1" fillId="0" borderId="23" xfId="1" applyNumberFormat="1" applyBorder="1" applyAlignment="1">
      <alignment horizontal="left"/>
    </xf>
    <xf numFmtId="2" fontId="1" fillId="3" borderId="4" xfId="1" applyNumberFormat="1" applyFill="1" applyBorder="1" applyAlignment="1">
      <alignment horizontal="left"/>
    </xf>
    <xf numFmtId="2" fontId="1" fillId="3" borderId="10" xfId="1" applyNumberFormat="1" applyFill="1" applyBorder="1" applyAlignment="1">
      <alignment horizontal="left"/>
    </xf>
    <xf numFmtId="2" fontId="1" fillId="3" borderId="23" xfId="1" applyNumberFormat="1" applyFill="1" applyBorder="1" applyAlignment="1">
      <alignment horizontal="left"/>
    </xf>
    <xf numFmtId="0" fontId="2" fillId="0" borderId="34" xfId="1" applyFont="1" applyBorder="1" applyAlignment="1">
      <alignment horizontal="left" vertical="center"/>
    </xf>
    <xf numFmtId="0" fontId="2" fillId="0" borderId="0" xfId="1" applyFont="1" applyAlignment="1">
      <alignment horizontal="right"/>
    </xf>
    <xf numFmtId="20" fontId="1" fillId="0" borderId="36" xfId="1" applyNumberFormat="1" applyBorder="1"/>
    <xf numFmtId="14" fontId="1" fillId="0" borderId="36" xfId="1" applyNumberFormat="1" applyBorder="1"/>
    <xf numFmtId="15" fontId="1" fillId="0" borderId="36" xfId="1" applyNumberFormat="1" applyBorder="1"/>
    <xf numFmtId="16" fontId="1" fillId="0" borderId="36" xfId="1" applyNumberFormat="1" applyBorder="1"/>
    <xf numFmtId="0" fontId="1" fillId="2" borderId="30" xfId="1" applyFill="1" applyBorder="1"/>
    <xf numFmtId="0" fontId="1" fillId="0" borderId="32" xfId="1" applyBorder="1"/>
    <xf numFmtId="0" fontId="8" fillId="0" borderId="37" xfId="1" applyFont="1" applyBorder="1" applyAlignment="1">
      <alignment horizontal="center"/>
    </xf>
    <xf numFmtId="0" fontId="1" fillId="0" borderId="38" xfId="1" applyBorder="1"/>
    <xf numFmtId="0" fontId="1" fillId="0" borderId="39" xfId="1" applyBorder="1"/>
    <xf numFmtId="0" fontId="1" fillId="0" borderId="40" xfId="1" applyBorder="1"/>
    <xf numFmtId="0" fontId="1" fillId="3" borderId="41" xfId="1" applyFill="1" applyBorder="1" applyAlignment="1">
      <alignment horizontal="right"/>
    </xf>
    <xf numFmtId="2" fontId="2" fillId="0" borderId="36" xfId="1" applyNumberFormat="1" applyFont="1" applyBorder="1"/>
    <xf numFmtId="0" fontId="2" fillId="0" borderId="0" xfId="1" applyFont="1" applyAlignment="1">
      <alignment horizontal="center"/>
    </xf>
    <xf numFmtId="0" fontId="1" fillId="0" borderId="0" xfId="1" applyAlignment="1">
      <alignment horizontal="center"/>
    </xf>
    <xf numFmtId="9" fontId="0" fillId="0" borderId="0" xfId="0" applyNumberFormat="1"/>
    <xf numFmtId="1" fontId="0" fillId="0" borderId="0" xfId="0" applyNumberFormat="1"/>
    <xf numFmtId="0" fontId="2" fillId="0" borderId="0" xfId="1" applyFont="1" applyAlignment="1">
      <alignment horizontal="center" vertical="center" wrapText="1"/>
    </xf>
    <xf numFmtId="0" fontId="1" fillId="0" borderId="0" xfId="1"/>
    <xf numFmtId="0" fontId="2" fillId="0" borderId="0" xfId="1" applyFont="1"/>
    <xf numFmtId="0" fontId="1" fillId="0" borderId="36" xfId="1" applyBorder="1"/>
    <xf numFmtId="0" fontId="2" fillId="0" borderId="0" xfId="1" applyFont="1" applyAlignment="1">
      <alignment horizontal="right"/>
    </xf>
    <xf numFmtId="0" fontId="1" fillId="0" borderId="14" xfId="1" applyBorder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textRotation="49" wrapText="1"/>
    </xf>
    <xf numFmtId="0" fontId="4" fillId="0" borderId="34" xfId="1" applyFont="1" applyBorder="1" applyAlignment="1">
      <alignment horizontal="center" vertical="center"/>
    </xf>
    <xf numFmtId="0" fontId="4" fillId="0" borderId="34" xfId="1" applyFont="1" applyBorder="1" applyAlignment="1">
      <alignment horizontal="center" vertical="center" wrapText="1"/>
    </xf>
    <xf numFmtId="0" fontId="2" fillId="0" borderId="34" xfId="1" applyFont="1" applyBorder="1" applyAlignment="1">
      <alignment horizontal="center" vertical="center"/>
    </xf>
    <xf numFmtId="0" fontId="2" fillId="0" borderId="4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44" xfId="1" applyFont="1" applyBorder="1" applyAlignment="1">
      <alignment horizontal="center"/>
    </xf>
    <xf numFmtId="0" fontId="2" fillId="0" borderId="23" xfId="1" applyFont="1" applyBorder="1" applyAlignment="1">
      <alignment horizontal="center"/>
    </xf>
    <xf numFmtId="0" fontId="2" fillId="0" borderId="45" xfId="1" applyFont="1" applyBorder="1" applyAlignment="1">
      <alignment horizontal="center"/>
    </xf>
    <xf numFmtId="0" fontId="2" fillId="0" borderId="46" xfId="1" applyFont="1" applyBorder="1" applyAlignment="1">
      <alignment horizontal="center"/>
    </xf>
    <xf numFmtId="0" fontId="2" fillId="0" borderId="37" xfId="1" applyFont="1" applyBorder="1"/>
    <xf numFmtId="0" fontId="2" fillId="0" borderId="47" xfId="1" applyFont="1" applyBorder="1" applyAlignment="1">
      <alignment horizontal="center"/>
    </xf>
    <xf numFmtId="0" fontId="2" fillId="4" borderId="4" xfId="1" applyFont="1" applyFill="1" applyBorder="1"/>
    <xf numFmtId="0" fontId="2" fillId="0" borderId="48" xfId="1" applyFont="1" applyBorder="1" applyAlignment="1">
      <alignment horizontal="center"/>
    </xf>
    <xf numFmtId="0" fontId="2" fillId="0" borderId="49" xfId="1" applyFont="1" applyBorder="1" applyAlignment="1">
      <alignment horizontal="center"/>
    </xf>
    <xf numFmtId="0" fontId="2" fillId="0" borderId="49" xfId="1" applyFont="1" applyBorder="1"/>
    <xf numFmtId="0" fontId="2" fillId="0" borderId="50" xfId="1" applyFont="1" applyBorder="1" applyAlignment="1">
      <alignment horizontal="center"/>
    </xf>
    <xf numFmtId="0" fontId="2" fillId="0" borderId="50" xfId="1" applyFont="1" applyBorder="1"/>
    <xf numFmtId="0" fontId="2" fillId="0" borderId="17" xfId="1" applyFont="1" applyBorder="1" applyAlignment="1">
      <alignment horizontal="center"/>
    </xf>
    <xf numFmtId="0" fontId="2" fillId="0" borderId="10" xfId="1" applyFont="1" applyBorder="1" applyAlignment="1">
      <alignment horizontal="center"/>
    </xf>
    <xf numFmtId="0" fontId="2" fillId="4" borderId="10" xfId="1" applyFont="1" applyFill="1" applyBorder="1"/>
    <xf numFmtId="0" fontId="2" fillId="0" borderId="11" xfId="1" applyFont="1" applyBorder="1" applyAlignment="1">
      <alignment horizontal="center"/>
    </xf>
    <xf numFmtId="0" fontId="2" fillId="0" borderId="51" xfId="1" applyFont="1" applyBorder="1" applyAlignment="1">
      <alignment horizontal="center"/>
    </xf>
    <xf numFmtId="0" fontId="2" fillId="0" borderId="18" xfId="1" applyFont="1" applyBorder="1" applyAlignment="1">
      <alignment horizontal="center"/>
    </xf>
    <xf numFmtId="0" fontId="2" fillId="0" borderId="18" xfId="1" applyFont="1" applyBorder="1"/>
    <xf numFmtId="0" fontId="12" fillId="4" borderId="4" xfId="1" applyFont="1" applyFill="1" applyBorder="1" applyAlignment="1">
      <alignment horizontal="center" vertical="center" wrapText="1"/>
    </xf>
    <xf numFmtId="0" fontId="2" fillId="0" borderId="52" xfId="1" applyFont="1" applyBorder="1"/>
    <xf numFmtId="0" fontId="2" fillId="0" borderId="53" xfId="1" applyFont="1" applyBorder="1"/>
    <xf numFmtId="16" fontId="2" fillId="0" borderId="23" xfId="1" applyNumberFormat="1" applyFont="1" applyBorder="1" applyAlignment="1">
      <alignment horizontal="center"/>
    </xf>
    <xf numFmtId="0" fontId="2" fillId="0" borderId="54" xfId="1" applyFont="1" applyBorder="1"/>
    <xf numFmtId="0" fontId="2" fillId="4" borderId="5" xfId="1" applyFont="1" applyFill="1" applyBorder="1" applyAlignment="1">
      <alignment horizontal="center"/>
    </xf>
    <xf numFmtId="0" fontId="2" fillId="4" borderId="48" xfId="1" applyFont="1" applyFill="1" applyBorder="1" applyAlignment="1">
      <alignment horizontal="center"/>
    </xf>
    <xf numFmtId="0" fontId="2" fillId="4" borderId="49" xfId="1" applyFont="1" applyFill="1" applyBorder="1" applyAlignment="1">
      <alignment horizontal="center"/>
    </xf>
    <xf numFmtId="0" fontId="2" fillId="4" borderId="49" xfId="1" applyFont="1" applyFill="1" applyBorder="1"/>
    <xf numFmtId="0" fontId="2" fillId="4" borderId="52" xfId="1" applyFont="1" applyFill="1" applyBorder="1"/>
    <xf numFmtId="16" fontId="2" fillId="0" borderId="4" xfId="1" applyNumberFormat="1" applyFont="1" applyBorder="1" applyAlignment="1">
      <alignment horizontal="center"/>
    </xf>
    <xf numFmtId="0" fontId="2" fillId="4" borderId="11" xfId="1" applyFont="1" applyFill="1" applyBorder="1" applyAlignment="1">
      <alignment horizontal="center"/>
    </xf>
    <xf numFmtId="0" fontId="2" fillId="4" borderId="51" xfId="1" applyFont="1" applyFill="1" applyBorder="1" applyAlignment="1">
      <alignment horizontal="center"/>
    </xf>
    <xf numFmtId="0" fontId="2" fillId="4" borderId="18" xfId="1" applyFont="1" applyFill="1" applyBorder="1" applyAlignment="1">
      <alignment horizontal="center"/>
    </xf>
    <xf numFmtId="0" fontId="2" fillId="4" borderId="18" xfId="1" applyFont="1" applyFill="1" applyBorder="1"/>
    <xf numFmtId="0" fontId="2" fillId="4" borderId="53" xfId="1" applyFont="1" applyFill="1" applyBorder="1"/>
    <xf numFmtId="0" fontId="1" fillId="0" borderId="0" xfId="1" applyAlignment="1">
      <alignment horizontal="center"/>
    </xf>
    <xf numFmtId="0" fontId="2" fillId="0" borderId="0" xfId="1" applyFont="1" applyAlignment="1">
      <alignment horizontal="center"/>
    </xf>
    <xf numFmtId="0" fontId="1" fillId="0" borderId="32" xfId="1" pivotButton="1" applyBorder="1"/>
    <xf numFmtId="0" fontId="1" fillId="0" borderId="32" xfId="1" applyBorder="1"/>
    <xf numFmtId="0" fontId="2" fillId="0" borderId="55" xfId="1" applyFont="1" applyBorder="1" applyAlignment="1">
      <alignment horizontal="left"/>
    </xf>
    <xf numFmtId="2" fontId="13" fillId="0" borderId="0" xfId="1" applyNumberFormat="1" applyFont="1" applyAlignment="1">
      <alignment horizontal="right"/>
    </xf>
    <xf numFmtId="2" fontId="2" fillId="0" borderId="55" xfId="1" applyNumberFormat="1" applyFont="1" applyBorder="1" applyAlignment="1">
      <alignment horizontal="right"/>
    </xf>
    <xf numFmtId="0" fontId="9" fillId="0" borderId="0" xfId="1" applyFont="1"/>
    <xf numFmtId="0" fontId="17" fillId="0" borderId="0" xfId="1" applyFont="1" applyAlignment="1">
      <alignment horizontal="center"/>
    </xf>
    <xf numFmtId="0" fontId="2" fillId="0" borderId="46" xfId="1" applyFont="1" applyBorder="1" applyAlignment="1">
      <alignment horizontal="left"/>
    </xf>
    <xf numFmtId="0" fontId="1" fillId="0" borderId="31" xfId="1" pivotButton="1" applyBorder="1"/>
    <xf numFmtId="16" fontId="2" fillId="0" borderId="0" xfId="1" quotePrefix="1" applyNumberFormat="1" applyFont="1" applyAlignment="1">
      <alignment horizontal="center"/>
    </xf>
    <xf numFmtId="20" fontId="14" fillId="0" borderId="23" xfId="1" applyNumberFormat="1" applyFont="1" applyBorder="1" applyAlignment="1">
      <alignment horizontal="center" vertical="center" wrapText="1"/>
    </xf>
    <xf numFmtId="0" fontId="11" fillId="0" borderId="0" xfId="1" applyFont="1"/>
    <xf numFmtId="0" fontId="10" fillId="0" borderId="58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10" fillId="0" borderId="0" xfId="1" applyFont="1" applyAlignment="1">
      <alignment horizontal="center"/>
    </xf>
    <xf numFmtId="0" fontId="2" fillId="0" borderId="55" xfId="1" applyFont="1" applyBorder="1" applyAlignment="1">
      <alignment horizontal="right"/>
    </xf>
    <xf numFmtId="0" fontId="13" fillId="0" borderId="0" xfId="1" applyFont="1" applyAlignment="1">
      <alignment horizontal="right"/>
    </xf>
    <xf numFmtId="0" fontId="1" fillId="0" borderId="0" xfId="1" applyAlignment="1">
      <alignment horizontal="right"/>
    </xf>
    <xf numFmtId="0" fontId="12" fillId="5" borderId="0" xfId="1" applyFont="1" applyFill="1" applyAlignment="1">
      <alignment horizontal="right"/>
    </xf>
    <xf numFmtId="0" fontId="12" fillId="5" borderId="0" xfId="1" applyFont="1" applyFill="1"/>
    <xf numFmtId="0" fontId="9" fillId="0" borderId="0" xfId="1" applyFont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1" xfId="1" quotePrefix="1" applyFont="1" applyBorder="1" applyAlignment="1">
      <alignment horizontal="center" vertical="center"/>
    </xf>
    <xf numFmtId="0" fontId="4" fillId="0" borderId="42" xfId="1" applyFont="1" applyBorder="1" applyAlignment="1">
      <alignment horizontal="center" vertical="center" wrapText="1"/>
    </xf>
    <xf numFmtId="0" fontId="1" fillId="0" borderId="14" xfId="1" applyBorder="1" applyAlignment="1">
      <alignment horizontal="center"/>
    </xf>
    <xf numFmtId="0" fontId="1" fillId="0" borderId="36" xfId="1" applyBorder="1" applyAlignment="1">
      <alignment horizontal="center"/>
    </xf>
    <xf numFmtId="15" fontId="1" fillId="0" borderId="36" xfId="1" applyNumberFormat="1" applyBorder="1" applyAlignment="1">
      <alignment horizontal="center"/>
    </xf>
    <xf numFmtId="0" fontId="16" fillId="0" borderId="0" xfId="1" applyFont="1" applyAlignment="1">
      <alignment horizontal="center"/>
    </xf>
    <xf numFmtId="0" fontId="14" fillId="0" borderId="23" xfId="1" applyFont="1" applyBorder="1" applyAlignment="1">
      <alignment horizontal="center" vertical="center" wrapText="1"/>
    </xf>
    <xf numFmtId="2" fontId="1" fillId="0" borderId="18" xfId="1" applyNumberFormat="1" applyBorder="1"/>
    <xf numFmtId="0" fontId="1" fillId="0" borderId="18" xfId="1" applyBorder="1"/>
    <xf numFmtId="0" fontId="2" fillId="0" borderId="41" xfId="1" applyFont="1" applyBorder="1" applyAlignment="1">
      <alignment horizontal="left"/>
    </xf>
    <xf numFmtId="0" fontId="2" fillId="0" borderId="57" xfId="1" applyFont="1" applyBorder="1" applyAlignment="1">
      <alignment horizontal="center"/>
    </xf>
    <xf numFmtId="0" fontId="8" fillId="0" borderId="49" xfId="1" applyFont="1" applyBorder="1" applyAlignment="1">
      <alignment horizontal="center"/>
    </xf>
    <xf numFmtId="0" fontId="8" fillId="0" borderId="15" xfId="1" applyFont="1" applyBorder="1" applyAlignment="1">
      <alignment horizontal="center"/>
    </xf>
    <xf numFmtId="0" fontId="18" fillId="0" borderId="56" xfId="1" applyFont="1" applyBorder="1" applyAlignment="1">
      <alignment horizontal="left"/>
    </xf>
    <xf numFmtId="170" fontId="1" fillId="0" borderId="0" xfId="0" applyNumberFormat="1" applyFont="1"/>
  </cellXfs>
  <cellStyles count="2">
    <cellStyle name="Normal" xfId="0" builtinId="0"/>
    <cellStyle name="Normal 2" xfId="1" xr:uid="{A4B8FD8A-C517-4869-83ED-FDB7490B5500}"/>
  </cellStyles>
  <dxfs count="38">
    <dxf>
      <font>
        <b/>
        <family val="2"/>
      </font>
      <alignment horizontal="center" readingOrder="0"/>
    </dxf>
    <dxf>
      <font>
        <b/>
        <family val="2"/>
      </font>
      <alignment horizontal="center" readingOrder="0"/>
    </dxf>
    <dxf>
      <font>
        <b/>
        <family val="2"/>
      </font>
      <alignment horizontal="center" readingOrder="0"/>
    </dxf>
    <dxf>
      <font>
        <b/>
        <family val="2"/>
      </font>
      <alignment horizontal="center" readingOrder="0"/>
    </dxf>
    <dxf>
      <font>
        <b/>
        <family val="2"/>
      </font>
      <alignment horizontal="center" readingOrder="0"/>
    </dxf>
    <dxf>
      <font>
        <b/>
        <family val="2"/>
      </font>
      <alignment horizontal="center" readingOrder="0"/>
    </dxf>
    <dxf>
      <font>
        <b/>
        <family val="2"/>
      </font>
      <alignment horizontal="center" readingOrder="0"/>
    </dxf>
    <dxf>
      <font>
        <b/>
        <family val="2"/>
      </font>
      <alignment horizontal="center" readingOrder="0"/>
    </dxf>
    <dxf>
      <font>
        <b/>
        <family val="2"/>
      </font>
      <alignment horizontal="center" readingOrder="0"/>
    </dxf>
    <dxf>
      <font>
        <b/>
        <family val="2"/>
      </font>
      <alignment horizontal="center" readingOrder="0"/>
    </dxf>
    <dxf>
      <font>
        <b/>
        <family val="2"/>
      </font>
      <alignment horizontal="center" readingOrder="0"/>
    </dxf>
    <dxf>
      <font>
        <b/>
        <family val="2"/>
      </font>
      <alignment horizontal="center" readingOrder="0"/>
    </dxf>
    <dxf>
      <font>
        <b/>
        <family val="2"/>
      </font>
      <alignment horizontal="center" readingOrder="0"/>
    </dxf>
    <dxf>
      <font>
        <b/>
        <family val="2"/>
      </font>
      <alignment horizontal="center" readingOrder="0"/>
    </dxf>
    <dxf>
      <font>
        <b/>
        <family val="2"/>
      </font>
      <alignment horizontal="center" readingOrder="0"/>
    </dxf>
    <dxf>
      <font>
        <b/>
        <family val="2"/>
      </font>
      <alignment horizontal="center" readingOrder="0"/>
    </dxf>
    <dxf>
      <font>
        <b/>
        <family val="2"/>
      </font>
      <alignment horizontal="center" readingOrder="0"/>
    </dxf>
    <dxf>
      <font>
        <b/>
        <family val="2"/>
      </font>
      <alignment horizontal="center" readingOrder="0"/>
    </dxf>
    <dxf>
      <font>
        <b/>
        <family val="2"/>
      </font>
      <alignment horizontal="center" readingOrder="0"/>
    </dxf>
    <dxf>
      <font>
        <b/>
        <family val="2"/>
      </font>
      <alignment horizontal="center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indexed="13"/>
        </patternFill>
      </fill>
    </dxf>
    <dxf>
      <fill>
        <patternFill patternType="solid">
          <bgColor indexed="43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63" Type="http://schemas.openxmlformats.org/officeDocument/2006/relationships/pivotCacheDefinition" Target="pivotCache/pivotCacheDefinition16.xml"/><Relationship Id="rId68" Type="http://schemas.openxmlformats.org/officeDocument/2006/relationships/pivotCacheDefinition" Target="pivotCache/pivotCacheDefinition21.xml"/><Relationship Id="rId84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pivotCacheDefinition" Target="pivotCache/pivotCacheDefinition6.xml"/><Relationship Id="rId58" Type="http://schemas.openxmlformats.org/officeDocument/2006/relationships/pivotCacheDefinition" Target="pivotCache/pivotCacheDefinition11.xml"/><Relationship Id="rId74" Type="http://schemas.openxmlformats.org/officeDocument/2006/relationships/pivotCacheDefinition" Target="pivotCache/pivotCacheDefinition27.xml"/><Relationship Id="rId79" Type="http://schemas.openxmlformats.org/officeDocument/2006/relationships/pivotCacheDefinition" Target="pivotCache/pivotCacheDefinition32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pivotCacheDefinition" Target="pivotCache/pivotCacheDefinition1.xml"/><Relationship Id="rId56" Type="http://schemas.openxmlformats.org/officeDocument/2006/relationships/pivotCacheDefinition" Target="pivotCache/pivotCacheDefinition9.xml"/><Relationship Id="rId64" Type="http://schemas.openxmlformats.org/officeDocument/2006/relationships/pivotCacheDefinition" Target="pivotCache/pivotCacheDefinition17.xml"/><Relationship Id="rId69" Type="http://schemas.openxmlformats.org/officeDocument/2006/relationships/pivotCacheDefinition" Target="pivotCache/pivotCacheDefinition22.xml"/><Relationship Id="rId77" Type="http://schemas.openxmlformats.org/officeDocument/2006/relationships/pivotCacheDefinition" Target="pivotCache/pivotCacheDefinition30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4.xml"/><Relationship Id="rId72" Type="http://schemas.openxmlformats.org/officeDocument/2006/relationships/pivotCacheDefinition" Target="pivotCache/pivotCacheDefinition25.xml"/><Relationship Id="rId80" Type="http://schemas.openxmlformats.org/officeDocument/2006/relationships/pivotCacheDefinition" Target="pivotCache/pivotCacheDefinition33.xml"/><Relationship Id="rId85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pivotCacheDefinition" Target="pivotCache/pivotCacheDefinition12.xml"/><Relationship Id="rId67" Type="http://schemas.openxmlformats.org/officeDocument/2006/relationships/pivotCacheDefinition" Target="pivotCache/pivotCacheDefinition20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pivotCacheDefinition" Target="pivotCache/pivotCacheDefinition7.xml"/><Relationship Id="rId62" Type="http://schemas.openxmlformats.org/officeDocument/2006/relationships/pivotCacheDefinition" Target="pivotCache/pivotCacheDefinition15.xml"/><Relationship Id="rId70" Type="http://schemas.openxmlformats.org/officeDocument/2006/relationships/pivotCacheDefinition" Target="pivotCache/pivotCacheDefinition23.xml"/><Relationship Id="rId75" Type="http://schemas.openxmlformats.org/officeDocument/2006/relationships/pivotCacheDefinition" Target="pivotCache/pivotCacheDefinition28.xml"/><Relationship Id="rId83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2.xml"/><Relationship Id="rId57" Type="http://schemas.openxmlformats.org/officeDocument/2006/relationships/pivotCacheDefinition" Target="pivotCache/pivotCacheDefinition10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pivotCacheDefinition" Target="pivotCache/pivotCacheDefinition5.xml"/><Relationship Id="rId60" Type="http://schemas.openxmlformats.org/officeDocument/2006/relationships/pivotCacheDefinition" Target="pivotCache/pivotCacheDefinition13.xml"/><Relationship Id="rId65" Type="http://schemas.openxmlformats.org/officeDocument/2006/relationships/pivotCacheDefinition" Target="pivotCache/pivotCacheDefinition18.xml"/><Relationship Id="rId73" Type="http://schemas.openxmlformats.org/officeDocument/2006/relationships/pivotCacheDefinition" Target="pivotCache/pivotCacheDefinition26.xml"/><Relationship Id="rId78" Type="http://schemas.openxmlformats.org/officeDocument/2006/relationships/pivotCacheDefinition" Target="pivotCache/pivotCacheDefinition31.xml"/><Relationship Id="rId81" Type="http://schemas.openxmlformats.org/officeDocument/2006/relationships/pivotCacheDefinition" Target="pivotCache/pivotCacheDefinition3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pivotCacheDefinition" Target="pivotCache/pivotCacheDefinition3.xml"/><Relationship Id="rId55" Type="http://schemas.openxmlformats.org/officeDocument/2006/relationships/pivotCacheDefinition" Target="pivotCache/pivotCacheDefinition8.xml"/><Relationship Id="rId76" Type="http://schemas.openxmlformats.org/officeDocument/2006/relationships/pivotCacheDefinition" Target="pivotCache/pivotCacheDefinition29.xml"/><Relationship Id="rId7" Type="http://schemas.openxmlformats.org/officeDocument/2006/relationships/worksheet" Target="worksheets/sheet7.xml"/><Relationship Id="rId71" Type="http://schemas.openxmlformats.org/officeDocument/2006/relationships/pivotCacheDefinition" Target="pivotCache/pivotCacheDefinition2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pivotCacheDefinition" Target="pivotCache/pivotCacheDefinition19.xml"/><Relationship Id="rId61" Type="http://schemas.openxmlformats.org/officeDocument/2006/relationships/pivotCacheDefinition" Target="pivotCache/pivotCacheDefinition14.xml"/><Relationship Id="rId8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505686789151353"/>
          <c:y val="4.032258064516128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99133981609126"/>
          <c:y val="0.23790322580645162"/>
          <c:w val="0.56599676226222184"/>
          <c:h val="0.58064516129032262"/>
        </c:manualLayout>
      </c:layout>
      <c:scatterChart>
        <c:scatterStyle val="smoothMarker"/>
        <c:varyColors val="0"/>
        <c:ser>
          <c:idx val="1"/>
          <c:order val="0"/>
          <c:tx>
            <c:v>Normalized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EmgSummary1!$D$8:$P$8</c:f>
              <c:numCache>
                <c:formatCode>General</c:formatCode>
                <c:ptCount val="13"/>
                <c:pt idx="0">
                  <c:v>118</c:v>
                </c:pt>
                <c:pt idx="1">
                  <c:v>119</c:v>
                </c:pt>
                <c:pt idx="2">
                  <c:v>120</c:v>
                </c:pt>
                <c:pt idx="3">
                  <c:v>121</c:v>
                </c:pt>
                <c:pt idx="4">
                  <c:v>122</c:v>
                </c:pt>
                <c:pt idx="5">
                  <c:v>123</c:v>
                </c:pt>
                <c:pt idx="6">
                  <c:v>125</c:v>
                </c:pt>
                <c:pt idx="7">
                  <c:v>133</c:v>
                </c:pt>
                <c:pt idx="8">
                  <c:v>134</c:v>
                </c:pt>
                <c:pt idx="9">
                  <c:v>135</c:v>
                </c:pt>
                <c:pt idx="10">
                  <c:v>137</c:v>
                </c:pt>
                <c:pt idx="11">
                  <c:v>140</c:v>
                </c:pt>
                <c:pt idx="12">
                  <c:v>141</c:v>
                </c:pt>
              </c:numCache>
            </c:numRef>
          </c:xVal>
          <c:yVal>
            <c:numRef>
              <c:f>EmgSummary1!$D$52:$P$52</c:f>
              <c:numCache>
                <c:formatCode>0.00</c:formatCode>
                <c:ptCount val="13"/>
                <c:pt idx="0">
                  <c:v>3.736979166666667</c:v>
                </c:pt>
                <c:pt idx="1">
                  <c:v>4.81640625</c:v>
                </c:pt>
                <c:pt idx="2">
                  <c:v>5.5546875</c:v>
                </c:pt>
                <c:pt idx="3">
                  <c:v>5.9622395833333339</c:v>
                </c:pt>
                <c:pt idx="4">
                  <c:v>5.4453125</c:v>
                </c:pt>
                <c:pt idx="5">
                  <c:v>5.98828125</c:v>
                </c:pt>
                <c:pt idx="6">
                  <c:v>5.7578125</c:v>
                </c:pt>
                <c:pt idx="7">
                  <c:v>7.8671874999999991</c:v>
                </c:pt>
                <c:pt idx="8">
                  <c:v>9.33203125</c:v>
                </c:pt>
                <c:pt idx="9">
                  <c:v>10.352864583333334</c:v>
                </c:pt>
                <c:pt idx="10">
                  <c:v>11.432291666666666</c:v>
                </c:pt>
                <c:pt idx="11">
                  <c:v>12.125</c:v>
                </c:pt>
                <c:pt idx="12">
                  <c:v>11.348958333333332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6B-49FC-B669-B83648F4A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5995008"/>
        <c:axId val="1"/>
      </c:scatterChart>
      <c:valAx>
        <c:axId val="1895995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9599500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4944235997345976"/>
          <c:y val="0.4838709677419355"/>
          <c:w val="0.23266266213367626"/>
          <c:h val="8.870967741935487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FISE 2002 Emergence (28 Apr 02)</a:t>
            </a:r>
          </a:p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(data are normalized for dense plots to</a:t>
            </a:r>
          </a:p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examine east/west position effects)</a:t>
            </a:r>
          </a:p>
        </c:rich>
      </c:tx>
      <c:layout>
        <c:manualLayout>
          <c:xMode val="edge"/>
          <c:yMode val="edge"/>
          <c:x val="0.18130860745210586"/>
          <c:y val="3.1111111111111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196277376859465"/>
          <c:y val="0.27777838059544402"/>
          <c:w val="0.77943996371199964"/>
          <c:h val="0.54444562596707025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EmgDOY118!$V$12:$V$19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EmgDOY118!$W$12:$W$19</c:f>
              <c:numCache>
                <c:formatCode>0.00</c:formatCode>
                <c:ptCount val="8"/>
                <c:pt idx="0">
                  <c:v>3.21875</c:v>
                </c:pt>
                <c:pt idx="1">
                  <c:v>2.8333333333333335</c:v>
                </c:pt>
                <c:pt idx="2">
                  <c:v>3.3125</c:v>
                </c:pt>
                <c:pt idx="3">
                  <c:v>4.53125</c:v>
                </c:pt>
                <c:pt idx="4">
                  <c:v>4.28125</c:v>
                </c:pt>
                <c:pt idx="5">
                  <c:v>5</c:v>
                </c:pt>
                <c:pt idx="6">
                  <c:v>2.875</c:v>
                </c:pt>
                <c:pt idx="7">
                  <c:v>3.84375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70-4A5C-B493-32186A8AC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0148431"/>
        <c:axId val="1"/>
      </c:scatterChart>
      <c:valAx>
        <c:axId val="1320148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Column position (1=west,8=east)</a:t>
                </a:r>
              </a:p>
            </c:rich>
          </c:tx>
          <c:layout>
            <c:manualLayout>
              <c:xMode val="edge"/>
              <c:yMode val="edge"/>
              <c:x val="0.32336487845561357"/>
              <c:y val="0.9022240886555846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No plants/meter</a:t>
                </a:r>
              </a:p>
            </c:rich>
          </c:tx>
          <c:layout>
            <c:manualLayout>
              <c:xMode val="edge"/>
              <c:yMode val="edge"/>
              <c:x val="2.9906542056074768E-2"/>
              <c:y val="0.4088898221055701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0148431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FISE 2002 Emergence (28 Apr 02)</a:t>
            </a:r>
          </a:p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(data are normalized for dense plots to</a:t>
            </a:r>
          </a:p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examine east/west position effects)</a:t>
            </a:r>
          </a:p>
        </c:rich>
      </c:tx>
      <c:layout>
        <c:manualLayout>
          <c:xMode val="edge"/>
          <c:yMode val="edge"/>
          <c:x val="0.18130860745210586"/>
          <c:y val="3.1111111111111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196277376859465"/>
          <c:y val="0.27777838059544402"/>
          <c:w val="0.77943996371199964"/>
          <c:h val="0.54444562596707025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EmgDOY119!$V$12:$V$19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EmgDOY119!$W$12:$W$19</c:f>
              <c:numCache>
                <c:formatCode>0.00</c:formatCode>
                <c:ptCount val="8"/>
                <c:pt idx="0">
                  <c:v>4.71875</c:v>
                </c:pt>
                <c:pt idx="1">
                  <c:v>3.625</c:v>
                </c:pt>
                <c:pt idx="2">
                  <c:v>4.46875</c:v>
                </c:pt>
                <c:pt idx="3">
                  <c:v>5.90625</c:v>
                </c:pt>
                <c:pt idx="4">
                  <c:v>5.40625</c:v>
                </c:pt>
                <c:pt idx="5">
                  <c:v>6.0625</c:v>
                </c:pt>
                <c:pt idx="6">
                  <c:v>3.5</c:v>
                </c:pt>
                <c:pt idx="7">
                  <c:v>4.84375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4C-4435-AD40-649B8B898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0146031"/>
        <c:axId val="1"/>
      </c:scatterChart>
      <c:valAx>
        <c:axId val="1320146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Column position (1=west,8=east)</a:t>
                </a:r>
              </a:p>
            </c:rich>
          </c:tx>
          <c:layout>
            <c:manualLayout>
              <c:xMode val="edge"/>
              <c:yMode val="edge"/>
              <c:x val="0.32336487845561357"/>
              <c:y val="0.9022240886555846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No plants/meter</a:t>
                </a:r>
              </a:p>
            </c:rich>
          </c:tx>
          <c:layout>
            <c:manualLayout>
              <c:xMode val="edge"/>
              <c:yMode val="edge"/>
              <c:x val="2.9906542056074768E-2"/>
              <c:y val="0.4088898221055701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0146031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FISE 2002 Emergence (28 Apr 02)</a:t>
            </a:r>
          </a:p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(data are normalized for dense plots to</a:t>
            </a:r>
          </a:p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examine east/west position effects)</a:t>
            </a:r>
          </a:p>
        </c:rich>
      </c:tx>
      <c:layout>
        <c:manualLayout>
          <c:xMode val="edge"/>
          <c:yMode val="edge"/>
          <c:x val="0.18130860745210586"/>
          <c:y val="3.1111111111111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196277376859465"/>
          <c:y val="0.27777838059544402"/>
          <c:w val="0.77943996371199964"/>
          <c:h val="0.54444562596707025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EmgDOY120!$V$12:$V$19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EmgDOY120!$W$12:$W$19</c:f>
              <c:numCache>
                <c:formatCode>0.00</c:formatCode>
                <c:ptCount val="8"/>
                <c:pt idx="0">
                  <c:v>5.1875</c:v>
                </c:pt>
                <c:pt idx="1">
                  <c:v>4.125</c:v>
                </c:pt>
                <c:pt idx="2">
                  <c:v>5.15625</c:v>
                </c:pt>
                <c:pt idx="3">
                  <c:v>6.9375</c:v>
                </c:pt>
                <c:pt idx="4">
                  <c:v>6.03125</c:v>
                </c:pt>
                <c:pt idx="5">
                  <c:v>6.6875</c:v>
                </c:pt>
                <c:pt idx="6">
                  <c:v>4.5625</c:v>
                </c:pt>
                <c:pt idx="7">
                  <c:v>5.75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4D-4EC0-B960-898803F12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0934255"/>
        <c:axId val="1"/>
      </c:scatterChart>
      <c:valAx>
        <c:axId val="1330934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Column position (1=west,8=east)</a:t>
                </a:r>
              </a:p>
            </c:rich>
          </c:tx>
          <c:layout>
            <c:manualLayout>
              <c:xMode val="edge"/>
              <c:yMode val="edge"/>
              <c:x val="0.32336487845561357"/>
              <c:y val="0.9022240886555846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No plants/meter</a:t>
                </a:r>
              </a:p>
            </c:rich>
          </c:tx>
          <c:layout>
            <c:manualLayout>
              <c:xMode val="edge"/>
              <c:yMode val="edge"/>
              <c:x val="2.9906542056074768E-2"/>
              <c:y val="0.4088898221055701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30934255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FISE 2002 Emergence (28 Apr 02)</a:t>
            </a:r>
          </a:p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(data are normalized for dense plots to</a:t>
            </a:r>
          </a:p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examine east/west position effects)</a:t>
            </a:r>
          </a:p>
        </c:rich>
      </c:tx>
      <c:layout>
        <c:manualLayout>
          <c:xMode val="edge"/>
          <c:yMode val="edge"/>
          <c:x val="0.18130860745210586"/>
          <c:y val="3.1111111111111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878521902856585"/>
          <c:y val="0.27777838059544402"/>
          <c:w val="0.76261751845202841"/>
          <c:h val="0.54444562596707025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EmgDOY121!$V$12:$V$19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EmgDOY121!$W$12:$W$19</c:f>
              <c:numCache>
                <c:formatCode>0.00</c:formatCode>
                <c:ptCount val="8"/>
                <c:pt idx="0">
                  <c:v>6.625</c:v>
                </c:pt>
                <c:pt idx="1">
                  <c:v>6.5</c:v>
                </c:pt>
                <c:pt idx="2">
                  <c:v>6.34375</c:v>
                </c:pt>
                <c:pt idx="3">
                  <c:v>7.90625</c:v>
                </c:pt>
                <c:pt idx="4">
                  <c:v>8.0625</c:v>
                </c:pt>
                <c:pt idx="5">
                  <c:v>9.3125</c:v>
                </c:pt>
                <c:pt idx="6">
                  <c:v>9</c:v>
                </c:pt>
                <c:pt idx="7">
                  <c:v>9.1875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3A-4CFF-9307-D768DE1BA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502399"/>
        <c:axId val="1"/>
      </c:scatterChart>
      <c:valAx>
        <c:axId val="19815023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Column position (1=west,8=east)</a:t>
                </a:r>
              </a:p>
            </c:rich>
          </c:tx>
          <c:layout>
            <c:manualLayout>
              <c:xMode val="edge"/>
              <c:yMode val="edge"/>
              <c:x val="0.33271067284813693"/>
              <c:y val="0.9022240886555846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No plants/meter</a:t>
                </a:r>
              </a:p>
            </c:rich>
          </c:tx>
          <c:layout>
            <c:manualLayout>
              <c:xMode val="edge"/>
              <c:yMode val="edge"/>
              <c:x val="2.9906542056074768E-2"/>
              <c:y val="0.4088898221055701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81502399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FISE 2002 Emergence (28 Apr 02)</a:t>
            </a:r>
          </a:p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(data are normalized for dense plots to</a:t>
            </a:r>
          </a:p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examine east/west position effects)</a:t>
            </a:r>
          </a:p>
        </c:rich>
      </c:tx>
      <c:layout>
        <c:manualLayout>
          <c:xMode val="edge"/>
          <c:yMode val="edge"/>
          <c:x val="0.18130860745210586"/>
          <c:y val="3.00230946882217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196277376859465"/>
          <c:y val="0.28637445688516805"/>
          <c:w val="0.77943996371199964"/>
          <c:h val="0.52886895666696365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EmgDOY122!$V$12:$V$19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EmgDOY122!$W$12:$W$19</c:f>
              <c:numCache>
                <c:formatCode>0.00</c:formatCode>
                <c:ptCount val="8"/>
                <c:pt idx="0">
                  <c:v>5.625</c:v>
                </c:pt>
                <c:pt idx="1">
                  <c:v>5.833333333333333</c:v>
                </c:pt>
                <c:pt idx="2">
                  <c:v>5.625</c:v>
                </c:pt>
                <c:pt idx="3">
                  <c:v>7.46875</c:v>
                </c:pt>
                <c:pt idx="4">
                  <c:v>6.40625</c:v>
                </c:pt>
                <c:pt idx="5">
                  <c:v>6.8125</c:v>
                </c:pt>
                <c:pt idx="6">
                  <c:v>4.9375</c:v>
                </c:pt>
                <c:pt idx="7">
                  <c:v>5.90625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4B-417C-9160-68A755532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502879"/>
        <c:axId val="1"/>
      </c:scatterChart>
      <c:valAx>
        <c:axId val="1981502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Column position (1=west,8=east)</a:t>
                </a:r>
              </a:p>
            </c:rich>
          </c:tx>
          <c:layout>
            <c:manualLayout>
              <c:xMode val="edge"/>
              <c:yMode val="edge"/>
              <c:x val="0.32336487845561357"/>
              <c:y val="0.8983843416801536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No plants/meter</a:t>
                </a:r>
              </a:p>
            </c:rich>
          </c:tx>
          <c:layout>
            <c:manualLayout>
              <c:xMode val="edge"/>
              <c:yMode val="edge"/>
              <c:x val="2.9906542056074768E-2"/>
              <c:y val="0.4041575288077443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81502879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FISE 2002 Emergence (28 Apr 02)</a:t>
            </a:r>
          </a:p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(data are normalized for dense plots to</a:t>
            </a:r>
          </a:p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examine east/west position effects)</a:t>
            </a:r>
          </a:p>
        </c:rich>
      </c:tx>
      <c:layout>
        <c:manualLayout>
          <c:xMode val="edge"/>
          <c:yMode val="edge"/>
          <c:x val="0.18130860745210586"/>
          <c:y val="3.00230946882217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88795623535725"/>
          <c:y val="0.28637445688516805"/>
          <c:w val="0.83551478124523693"/>
          <c:h val="0.59815309946176232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EmgDOY123!$V$12:$V$19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EmgDOY123!$W$12:$W$19</c:f>
              <c:numCache>
                <c:formatCode>0.00</c:formatCode>
                <c:ptCount val="8"/>
                <c:pt idx="0">
                  <c:v>5.625</c:v>
                </c:pt>
                <c:pt idx="1">
                  <c:v>5.833333333333333</c:v>
                </c:pt>
                <c:pt idx="2">
                  <c:v>5.625</c:v>
                </c:pt>
                <c:pt idx="3">
                  <c:v>7.46875</c:v>
                </c:pt>
                <c:pt idx="4">
                  <c:v>6.40625</c:v>
                </c:pt>
                <c:pt idx="5">
                  <c:v>6.8125</c:v>
                </c:pt>
                <c:pt idx="6">
                  <c:v>4.9375</c:v>
                </c:pt>
                <c:pt idx="7">
                  <c:v>5.90625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58-438A-83EF-601FCC83A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8473135"/>
        <c:axId val="1"/>
      </c:scatterChart>
      <c:valAx>
        <c:axId val="18384731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38473135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FISE 2002 Emergence (28 Apr 02)</a:t>
            </a:r>
          </a:p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(data are normalized for dense plots to</a:t>
            </a:r>
          </a:p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examine east/west position effects)</a:t>
            </a:r>
          </a:p>
        </c:rich>
      </c:tx>
      <c:layout>
        <c:manualLayout>
          <c:xMode val="edge"/>
          <c:yMode val="edge"/>
          <c:x val="0.18130860745210586"/>
          <c:y val="3.00230946882217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88795623535725"/>
          <c:y val="0.28637445688516805"/>
          <c:w val="0.83551478124523693"/>
          <c:h val="0.59815309946176232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EmgDOY125!$V$12:$V$19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EmgDOY125!$W$12:$W$19</c:f>
              <c:numCache>
                <c:formatCode>0.00</c:formatCode>
                <c:ptCount val="8"/>
                <c:pt idx="0">
                  <c:v>5.625</c:v>
                </c:pt>
                <c:pt idx="1">
                  <c:v>4.625</c:v>
                </c:pt>
                <c:pt idx="2">
                  <c:v>5.4375</c:v>
                </c:pt>
                <c:pt idx="3">
                  <c:v>6.90625</c:v>
                </c:pt>
                <c:pt idx="4">
                  <c:v>6.375</c:v>
                </c:pt>
                <c:pt idx="5">
                  <c:v>6.625</c:v>
                </c:pt>
                <c:pt idx="6">
                  <c:v>4.875</c:v>
                </c:pt>
                <c:pt idx="7">
                  <c:v>5.59375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46-4C86-9491-B0A6F7DDC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8471215"/>
        <c:axId val="1"/>
      </c:scatterChart>
      <c:valAx>
        <c:axId val="18384712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38471215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FISE 2002 Emergence (28 Apr 02)</a:t>
            </a:r>
          </a:p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(data are normalized for dense plots to</a:t>
            </a:r>
          </a:p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examine east/west position effects)</a:t>
            </a:r>
          </a:p>
        </c:rich>
      </c:tx>
      <c:layout>
        <c:manualLayout>
          <c:xMode val="edge"/>
          <c:yMode val="edge"/>
          <c:x val="0.18130860745210586"/>
          <c:y val="3.00230946882217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88795623535725"/>
          <c:y val="0.28637445688516805"/>
          <c:w val="0.83551478124523693"/>
          <c:h val="0.59815309946176232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EmgDOY133!$V$12:$V$19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EmgDOY133!$W$12:$W$19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AF-48B6-ACB5-A3EC2160F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707343"/>
        <c:axId val="1"/>
      </c:scatterChart>
      <c:valAx>
        <c:axId val="1167707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67707343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FISE 2002 Emergence (28 Apr 02)</a:t>
            </a:r>
          </a:p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(data are normalized for dense plots to</a:t>
            </a:r>
          </a:p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examine east/west position effects)</a:t>
            </a:r>
          </a:p>
        </c:rich>
      </c:tx>
      <c:layout>
        <c:manualLayout>
          <c:xMode val="edge"/>
          <c:yMode val="edge"/>
          <c:x val="0.18130860745210586"/>
          <c:y val="3.00230946882217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71040149532848"/>
          <c:y val="0.28637445688516805"/>
          <c:w val="0.81869233598526581"/>
          <c:h val="0.59815309946176232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EmgDOY134!$V$12:$V$19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EmgDOY134!$W$12:$W$19</c:f>
              <c:numCache>
                <c:formatCode>0.00</c:formatCode>
                <c:ptCount val="8"/>
                <c:pt idx="0">
                  <c:v>7.78125</c:v>
                </c:pt>
                <c:pt idx="1">
                  <c:v>8</c:v>
                </c:pt>
                <c:pt idx="2">
                  <c:v>7.71875</c:v>
                </c:pt>
                <c:pt idx="3">
                  <c:v>9.96875</c:v>
                </c:pt>
                <c:pt idx="4">
                  <c:v>9.4375</c:v>
                </c:pt>
                <c:pt idx="5">
                  <c:v>10.1875</c:v>
                </c:pt>
                <c:pt idx="6">
                  <c:v>10.5</c:v>
                </c:pt>
                <c:pt idx="7">
                  <c:v>11.0625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DC-4D90-9652-EDA465AD9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013263"/>
        <c:axId val="1"/>
      </c:scatterChart>
      <c:valAx>
        <c:axId val="12740132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4013263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FISE 2002 Emergence (28 Apr 02)</a:t>
            </a:r>
          </a:p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(data are normalized for dense plots to</a:t>
            </a:r>
          </a:p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examine east/west position effects)</a:t>
            </a:r>
          </a:p>
        </c:rich>
      </c:tx>
      <c:layout>
        <c:manualLayout>
          <c:xMode val="edge"/>
          <c:yMode val="edge"/>
          <c:x val="0.18130860745210586"/>
          <c:y val="3.00230946882217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71040149532848"/>
          <c:y val="0.28637445688516805"/>
          <c:w val="0.81869233598526581"/>
          <c:h val="0.59815309946176232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EmgDOY135!$V$12:$V$19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EmgDOY135!$W$12:$W$19</c:f>
              <c:numCache>
                <c:formatCode>0.00</c:formatCode>
                <c:ptCount val="8"/>
                <c:pt idx="0">
                  <c:v>9.34375</c:v>
                </c:pt>
                <c:pt idx="1">
                  <c:v>10.354166666666668</c:v>
                </c:pt>
                <c:pt idx="2">
                  <c:v>7.96875</c:v>
                </c:pt>
                <c:pt idx="3">
                  <c:v>11.59375</c:v>
                </c:pt>
                <c:pt idx="4">
                  <c:v>9.90625</c:v>
                </c:pt>
                <c:pt idx="5">
                  <c:v>10.75</c:v>
                </c:pt>
                <c:pt idx="6">
                  <c:v>11.5</c:v>
                </c:pt>
                <c:pt idx="7">
                  <c:v>11.40625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60-49E2-A90F-C1D53A0BA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014703"/>
        <c:axId val="1"/>
      </c:scatterChart>
      <c:valAx>
        <c:axId val="12740147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4014703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FISE 2002 Emergence (28 Apr 02)</a:t>
            </a:r>
          </a:p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(data are normalized for dense plots to</a:t>
            </a:r>
          </a:p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examine east/west position effects)</a:t>
            </a:r>
          </a:p>
        </c:rich>
      </c:tx>
      <c:layout>
        <c:manualLayout>
          <c:xMode val="edge"/>
          <c:yMode val="edge"/>
          <c:x val="0.18130860745210586"/>
          <c:y val="3.00230946882217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71040149532848"/>
          <c:y val="0.28637445688516805"/>
          <c:w val="0.81869233598526581"/>
          <c:h val="0.59815309946176232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EmgDOY137!$V$12:$V$19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EmgDOY137!$W$12:$W$19</c:f>
              <c:numCache>
                <c:formatCode>0.00</c:formatCode>
                <c:ptCount val="8"/>
                <c:pt idx="0">
                  <c:v>10.65625</c:v>
                </c:pt>
                <c:pt idx="1">
                  <c:v>11.458333333333334</c:v>
                </c:pt>
                <c:pt idx="2">
                  <c:v>10.0625</c:v>
                </c:pt>
                <c:pt idx="3">
                  <c:v>12.375</c:v>
                </c:pt>
                <c:pt idx="4">
                  <c:v>10.9375</c:v>
                </c:pt>
                <c:pt idx="5">
                  <c:v>11.375</c:v>
                </c:pt>
                <c:pt idx="6">
                  <c:v>12.5</c:v>
                </c:pt>
                <c:pt idx="7">
                  <c:v>12.09375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6A-4DC2-AF3B-5A286058E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9477583"/>
        <c:axId val="1"/>
      </c:scatterChart>
      <c:valAx>
        <c:axId val="12694775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69477583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FISE 2002 Emergence (28 Apr 02)</a:t>
            </a:r>
          </a:p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(data are normalized for dense plots to</a:t>
            </a:r>
          </a:p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examine east/west position effects)</a:t>
            </a:r>
          </a:p>
        </c:rich>
      </c:tx>
      <c:layout>
        <c:manualLayout>
          <c:xMode val="edge"/>
          <c:yMode val="edge"/>
          <c:x val="0.18130860745210586"/>
          <c:y val="3.00230946882217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71040149532848"/>
          <c:y val="0.28637445688516805"/>
          <c:w val="0.81869233598526581"/>
          <c:h val="0.59815309946176232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EmgDOY140!$V$12:$V$19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EmgDOY140!$W$12:$W$19</c:f>
              <c:numCache>
                <c:formatCode>0.00</c:formatCode>
                <c:ptCount val="8"/>
                <c:pt idx="0">
                  <c:v>12.34375</c:v>
                </c:pt>
                <c:pt idx="1">
                  <c:v>12.375</c:v>
                </c:pt>
                <c:pt idx="2">
                  <c:v>10.78125</c:v>
                </c:pt>
                <c:pt idx="3">
                  <c:v>12.78125</c:v>
                </c:pt>
                <c:pt idx="4">
                  <c:v>11.3125</c:v>
                </c:pt>
                <c:pt idx="5">
                  <c:v>11.875</c:v>
                </c:pt>
                <c:pt idx="6">
                  <c:v>12.75</c:v>
                </c:pt>
                <c:pt idx="7">
                  <c:v>12.78125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56-4711-B753-879888DDE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02592"/>
        <c:axId val="1"/>
      </c:scatterChart>
      <c:valAx>
        <c:axId val="1889502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89502592"/>
        <c:crosses val="autoZero"/>
        <c:crossBetween val="midCat"/>
        <c:majorUnit val="2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FISE 2002 Emergence (28 Apr 02)</a:t>
            </a:r>
          </a:p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(data are normalized for dense plots to</a:t>
            </a:r>
          </a:p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examine east/west position effects)</a:t>
            </a:r>
          </a:p>
        </c:rich>
      </c:tx>
      <c:layout>
        <c:manualLayout>
          <c:xMode val="edge"/>
          <c:yMode val="edge"/>
          <c:x val="0.19030520646319568"/>
          <c:y val="3.1111111111111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46858168761221"/>
          <c:y val="0.28000060764020757"/>
          <c:w val="0.82585278276481144"/>
          <c:h val="0.60889021026521328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EmgDOY141!$V$12:$V$19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EmgDOY141!$W$12:$W$19</c:f>
              <c:numCache>
                <c:formatCode>0.00</c:formatCode>
                <c:ptCount val="8"/>
                <c:pt idx="0">
                  <c:v>10.729166666666668</c:v>
                </c:pt>
                <c:pt idx="1">
                  <c:v>11.875</c:v>
                </c:pt>
                <c:pt idx="2">
                  <c:v>10.416666666666666</c:v>
                </c:pt>
                <c:pt idx="3">
                  <c:v>11.520833333333332</c:v>
                </c:pt>
                <c:pt idx="4">
                  <c:v>10.59375</c:v>
                </c:pt>
                <c:pt idx="5">
                  <c:v>11.645833333333334</c:v>
                </c:pt>
                <c:pt idx="6">
                  <c:v>11.75</c:v>
                </c:pt>
                <c:pt idx="7">
                  <c:v>12.260416666666666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17-4DAF-BE29-2505E2FF1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05952"/>
        <c:axId val="1"/>
      </c:scatterChart>
      <c:valAx>
        <c:axId val="1889505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89505952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Histogram</a:t>
            </a:r>
          </a:p>
        </c:rich>
      </c:tx>
      <c:layout>
        <c:manualLayout>
          <c:xMode val="edge"/>
          <c:yMode val="edge"/>
          <c:x val="0.39119170984455959"/>
          <c:y val="3.45821325648415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875647668393782"/>
          <c:y val="0.19884726224783861"/>
          <c:w val="0.56217616580310881"/>
          <c:h val="0.56484149855907784"/>
        </c:manualLayout>
      </c:layout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EmgDOY141!$AJ$52:$AJ$68</c:f>
              <c:strCache>
                <c:ptCount val="17"/>
                <c:pt idx="0">
                  <c:v>10.00</c:v>
                </c:pt>
                <c:pt idx="1">
                  <c:v>10.33</c:v>
                </c:pt>
                <c:pt idx="2">
                  <c:v>10.67</c:v>
                </c:pt>
                <c:pt idx="3">
                  <c:v>11.00</c:v>
                </c:pt>
                <c:pt idx="4">
                  <c:v>11.33</c:v>
                </c:pt>
                <c:pt idx="5">
                  <c:v>11.67</c:v>
                </c:pt>
                <c:pt idx="6">
                  <c:v>12.00</c:v>
                </c:pt>
                <c:pt idx="7">
                  <c:v>12.33</c:v>
                </c:pt>
                <c:pt idx="8">
                  <c:v>12.67</c:v>
                </c:pt>
                <c:pt idx="9">
                  <c:v>13.00</c:v>
                </c:pt>
                <c:pt idx="10">
                  <c:v>13.33</c:v>
                </c:pt>
                <c:pt idx="11">
                  <c:v>13.67</c:v>
                </c:pt>
                <c:pt idx="12">
                  <c:v>14.00</c:v>
                </c:pt>
                <c:pt idx="13">
                  <c:v>14.33</c:v>
                </c:pt>
                <c:pt idx="14">
                  <c:v>14.67</c:v>
                </c:pt>
                <c:pt idx="15">
                  <c:v>15.00</c:v>
                </c:pt>
                <c:pt idx="16">
                  <c:v>More</c:v>
                </c:pt>
              </c:strCache>
            </c:strRef>
          </c:cat>
          <c:val>
            <c:numRef>
              <c:f>EmgDOY141!$AK$52:$AK$68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F-4AC8-ABCD-94A1C5BE3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9507392"/>
        <c:axId val="1"/>
      </c:barChart>
      <c:catAx>
        <c:axId val="1889507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Bin</a:t>
                </a:r>
              </a:p>
            </c:rich>
          </c:tx>
          <c:layout>
            <c:manualLayout>
              <c:xMode val="edge"/>
              <c:yMode val="edge"/>
              <c:x val="0.42746113989637308"/>
              <c:y val="0.8904899135446685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</a:t>
                </a:r>
              </a:p>
            </c:rich>
          </c:tx>
          <c:layout>
            <c:manualLayout>
              <c:xMode val="edge"/>
              <c:yMode val="edge"/>
              <c:x val="4.145077720207254E-2"/>
              <c:y val="0.38040345821325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895073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943005181347146"/>
          <c:y val="0.44956772334293948"/>
          <c:w val="0.2098445595854922"/>
          <c:h val="6.340057636887608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Histogram</a:t>
            </a:r>
          </a:p>
        </c:rich>
      </c:tx>
      <c:layout>
        <c:manualLayout>
          <c:xMode val="edge"/>
          <c:yMode val="edge"/>
          <c:x val="0.39062609361329836"/>
          <c:y val="3.62318840579710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968795697010542"/>
          <c:y val="0.23913128089362862"/>
          <c:w val="0.55989725722569073"/>
          <c:h val="0.46376975688461308"/>
        </c:manualLayout>
      </c:layout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EmgDOY141!$AJ$72:$AJ$88</c:f>
              <c:strCache>
                <c:ptCount val="17"/>
                <c:pt idx="0">
                  <c:v>10.00</c:v>
                </c:pt>
                <c:pt idx="1">
                  <c:v>10.33</c:v>
                </c:pt>
                <c:pt idx="2">
                  <c:v>10.67</c:v>
                </c:pt>
                <c:pt idx="3">
                  <c:v>11.00</c:v>
                </c:pt>
                <c:pt idx="4">
                  <c:v>11.33</c:v>
                </c:pt>
                <c:pt idx="5">
                  <c:v>11.67</c:v>
                </c:pt>
                <c:pt idx="6">
                  <c:v>12.00</c:v>
                </c:pt>
                <c:pt idx="7">
                  <c:v>12.33</c:v>
                </c:pt>
                <c:pt idx="8">
                  <c:v>12.67</c:v>
                </c:pt>
                <c:pt idx="9">
                  <c:v>13.00</c:v>
                </c:pt>
                <c:pt idx="10">
                  <c:v>13.33</c:v>
                </c:pt>
                <c:pt idx="11">
                  <c:v>13.67</c:v>
                </c:pt>
                <c:pt idx="12">
                  <c:v>14.00</c:v>
                </c:pt>
                <c:pt idx="13">
                  <c:v>14.33</c:v>
                </c:pt>
                <c:pt idx="14">
                  <c:v>14.67</c:v>
                </c:pt>
                <c:pt idx="15">
                  <c:v>15.00</c:v>
                </c:pt>
                <c:pt idx="16">
                  <c:v>More</c:v>
                </c:pt>
              </c:strCache>
            </c:strRef>
          </c:cat>
          <c:val>
            <c:numRef>
              <c:f>EmgDOY141!$AK$72:$AK$88</c:f>
              <c:numCache>
                <c:formatCode>General</c:formatCode>
                <c:ptCount val="17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F-4422-86B8-3864F18A8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9504512"/>
        <c:axId val="1"/>
      </c:barChart>
      <c:catAx>
        <c:axId val="1889504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Bin</a:t>
                </a:r>
              </a:p>
            </c:rich>
          </c:tx>
          <c:layout>
            <c:manualLayout>
              <c:xMode val="edge"/>
              <c:yMode val="edge"/>
              <c:x val="0.42708442694663168"/>
              <c:y val="0.8623218836775837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</a:t>
                </a:r>
              </a:p>
            </c:rich>
          </c:tx>
          <c:layout>
            <c:manualLayout>
              <c:xMode val="edge"/>
              <c:yMode val="edge"/>
              <c:x val="4.1666666666666664E-2"/>
              <c:y val="0.344204039712427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895045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823108048993882"/>
          <c:y val="0.43116094183879189"/>
          <c:w val="0.21093804680664918"/>
          <c:h val="7.971052531477046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Histogram</a:t>
            </a:r>
          </a:p>
        </c:rich>
      </c:tx>
      <c:layout>
        <c:manualLayout>
          <c:xMode val="edge"/>
          <c:yMode val="edge"/>
          <c:x val="0.39062609361329836"/>
          <c:y val="3.610108303249097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968795697010542"/>
          <c:y val="0.23826756802016588"/>
          <c:w val="0.55989725722569073"/>
          <c:h val="0.46570479203941512"/>
        </c:manualLayout>
      </c:layout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EmgDOY141!$AJ$94:$AJ$111</c:f>
              <c:strCache>
                <c:ptCount val="18"/>
                <c:pt idx="0">
                  <c:v>19.00</c:v>
                </c:pt>
                <c:pt idx="1">
                  <c:v>19.33</c:v>
                </c:pt>
                <c:pt idx="2">
                  <c:v>19.67</c:v>
                </c:pt>
                <c:pt idx="3">
                  <c:v>20.00</c:v>
                </c:pt>
                <c:pt idx="4">
                  <c:v>20.33</c:v>
                </c:pt>
                <c:pt idx="5">
                  <c:v>20.67</c:v>
                </c:pt>
                <c:pt idx="6">
                  <c:v>21.00</c:v>
                </c:pt>
                <c:pt idx="7">
                  <c:v>21.33</c:v>
                </c:pt>
                <c:pt idx="8">
                  <c:v>21.67</c:v>
                </c:pt>
                <c:pt idx="9">
                  <c:v>22.00</c:v>
                </c:pt>
                <c:pt idx="10">
                  <c:v>22.33</c:v>
                </c:pt>
                <c:pt idx="11">
                  <c:v>22.67</c:v>
                </c:pt>
                <c:pt idx="12">
                  <c:v>23.00</c:v>
                </c:pt>
                <c:pt idx="13">
                  <c:v>23.33</c:v>
                </c:pt>
                <c:pt idx="14">
                  <c:v>23.67</c:v>
                </c:pt>
                <c:pt idx="15">
                  <c:v>24.00</c:v>
                </c:pt>
                <c:pt idx="16">
                  <c:v>24.33</c:v>
                </c:pt>
                <c:pt idx="17">
                  <c:v>More</c:v>
                </c:pt>
              </c:strCache>
            </c:strRef>
          </c:cat>
          <c:val>
            <c:numRef>
              <c:f>EmgDOY141!$AK$94:$AK$111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3F-4B7D-AF9A-7E9CCEF86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2396320"/>
        <c:axId val="1"/>
      </c:barChart>
      <c:catAx>
        <c:axId val="1342396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Bin</a:t>
                </a:r>
              </a:p>
            </c:rich>
          </c:tx>
          <c:layout>
            <c:manualLayout>
              <c:xMode val="edge"/>
              <c:yMode val="edge"/>
              <c:x val="0.42708442694663168"/>
              <c:y val="0.8628174005325145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Frequency</a:t>
                </a:r>
              </a:p>
            </c:rich>
          </c:tx>
          <c:layout>
            <c:manualLayout>
              <c:xMode val="edge"/>
              <c:yMode val="edge"/>
              <c:x val="4.1666666666666664E-2"/>
              <c:y val="0.34296104683665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23963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823108048993882"/>
          <c:y val="0.43321375441788185"/>
          <c:w val="0.21093804680664918"/>
          <c:h val="7.942238267148010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FISE 2002 Emergence (28 Apr 02)</a:t>
            </a:r>
          </a:p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(data are normalized for sparse and dense plots to</a:t>
            </a:r>
          </a:p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examine east/west position effects)</a:t>
            </a:r>
          </a:p>
        </c:rich>
      </c:tx>
      <c:layout>
        <c:manualLayout>
          <c:xMode val="edge"/>
          <c:yMode val="edge"/>
          <c:x val="0.14018711212500307"/>
          <c:y val="3.00230946882217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71040149532848"/>
          <c:y val="0.28637445688516805"/>
          <c:w val="0.81869233598526581"/>
          <c:h val="0.59815309946176232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EmgDOY149!$V$12:$V$19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EmgDOY149!$W$12:$W$19</c:f>
              <c:numCache>
                <c:formatCode>0.00</c:formatCode>
                <c:ptCount val="8"/>
                <c:pt idx="0">
                  <c:v>10.979166666666666</c:v>
                </c:pt>
                <c:pt idx="1">
                  <c:v>11</c:v>
                </c:pt>
                <c:pt idx="2">
                  <c:v>10.90625</c:v>
                </c:pt>
                <c:pt idx="3">
                  <c:v>10.90625</c:v>
                </c:pt>
                <c:pt idx="4">
                  <c:v>10.25</c:v>
                </c:pt>
                <c:pt idx="5">
                  <c:v>11.5</c:v>
                </c:pt>
                <c:pt idx="6">
                  <c:v>11.25</c:v>
                </c:pt>
                <c:pt idx="7">
                  <c:v>11.6875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AF-4EA6-BA52-31F28D8AA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397280"/>
        <c:axId val="1"/>
      </c:scatterChart>
      <c:valAx>
        <c:axId val="1342397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2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2397280"/>
        <c:crosses val="autoZero"/>
        <c:crossBetween val="midCat"/>
        <c:majorUnit val="2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27</xdr:row>
      <xdr:rowOff>66675</xdr:rowOff>
    </xdr:from>
    <xdr:to>
      <xdr:col>16</xdr:col>
      <xdr:colOff>228600</xdr:colOff>
      <xdr:row>42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10CD14-7372-4261-910C-165075B82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47625</xdr:colOff>
      <xdr:row>8</xdr:row>
      <xdr:rowOff>400050</xdr:rowOff>
    </xdr:from>
    <xdr:to>
      <xdr:col>33</xdr:col>
      <xdr:colOff>476250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9FA26D-3166-4609-9654-A721A81CBF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47625</xdr:colOff>
      <xdr:row>8</xdr:row>
      <xdr:rowOff>400050</xdr:rowOff>
    </xdr:from>
    <xdr:to>
      <xdr:col>33</xdr:col>
      <xdr:colOff>476250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FD785C-BEB7-4547-BC0F-1C57426AF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47625</xdr:colOff>
      <xdr:row>8</xdr:row>
      <xdr:rowOff>400050</xdr:rowOff>
    </xdr:from>
    <xdr:to>
      <xdr:col>33</xdr:col>
      <xdr:colOff>476250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7112A0-877A-4FB4-BC81-23612FC4DE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47625</xdr:colOff>
      <xdr:row>8</xdr:row>
      <xdr:rowOff>400050</xdr:rowOff>
    </xdr:from>
    <xdr:to>
      <xdr:col>33</xdr:col>
      <xdr:colOff>476250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D9F2C5-2C1E-492D-ADCD-98E9F0761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47625</xdr:colOff>
      <xdr:row>8</xdr:row>
      <xdr:rowOff>400050</xdr:rowOff>
    </xdr:from>
    <xdr:to>
      <xdr:col>33</xdr:col>
      <xdr:colOff>476250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B7C425-8FC4-4BC1-A43B-B5991C96EB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47625</xdr:colOff>
      <xdr:row>8</xdr:row>
      <xdr:rowOff>400050</xdr:rowOff>
    </xdr:from>
    <xdr:to>
      <xdr:col>33</xdr:col>
      <xdr:colOff>476250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85B268-908F-49B7-B024-F61A057384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47625</xdr:colOff>
      <xdr:row>8</xdr:row>
      <xdr:rowOff>400050</xdr:rowOff>
    </xdr:from>
    <xdr:to>
      <xdr:col>33</xdr:col>
      <xdr:colOff>476250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455657-7563-4697-A373-72155A479D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47625</xdr:colOff>
      <xdr:row>8</xdr:row>
      <xdr:rowOff>400050</xdr:rowOff>
    </xdr:from>
    <xdr:to>
      <xdr:col>33</xdr:col>
      <xdr:colOff>476250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BE9CE1-0CCB-4665-8A27-7CD3BCF2D9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47625</xdr:colOff>
      <xdr:row>8</xdr:row>
      <xdr:rowOff>400050</xdr:rowOff>
    </xdr:from>
    <xdr:to>
      <xdr:col>33</xdr:col>
      <xdr:colOff>476250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314D6A-178E-4167-ADDE-6AA0306DF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47625</xdr:colOff>
      <xdr:row>8</xdr:row>
      <xdr:rowOff>400050</xdr:rowOff>
    </xdr:from>
    <xdr:to>
      <xdr:col>33</xdr:col>
      <xdr:colOff>476250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DB1E9C-C70F-4438-8EA2-A7EA877A4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47625</xdr:colOff>
      <xdr:row>8</xdr:row>
      <xdr:rowOff>400050</xdr:rowOff>
    </xdr:from>
    <xdr:to>
      <xdr:col>33</xdr:col>
      <xdr:colOff>476250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23DDA4-F8AD-40D2-8A7F-DABF107E7C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47625</xdr:colOff>
      <xdr:row>8</xdr:row>
      <xdr:rowOff>400050</xdr:rowOff>
    </xdr:from>
    <xdr:to>
      <xdr:col>33</xdr:col>
      <xdr:colOff>476250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9699D4-5DEB-4DD8-B1FC-BF2006B0C2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47625</xdr:colOff>
      <xdr:row>8</xdr:row>
      <xdr:rowOff>400050</xdr:rowOff>
    </xdr:from>
    <xdr:to>
      <xdr:col>33</xdr:col>
      <xdr:colOff>476250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BA19D9-098D-471F-996D-7C476A7BD9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590550</xdr:colOff>
      <xdr:row>39</xdr:row>
      <xdr:rowOff>123825</xdr:rowOff>
    </xdr:from>
    <xdr:to>
      <xdr:col>44</xdr:col>
      <xdr:colOff>0</xdr:colOff>
      <xdr:row>60</xdr:row>
      <xdr:rowOff>0</xdr:rowOff>
    </xdr:to>
    <xdr:graphicFrame macro="">
      <xdr:nvGraphicFramePr>
        <xdr:cNvPr id="3" name="Chart 29">
          <a:extLst>
            <a:ext uri="{FF2B5EF4-FFF2-40B4-BE49-F238E27FC236}">
              <a16:creationId xmlns:a16="http://schemas.microsoft.com/office/drawing/2014/main" id="{CBF93961-10B9-4FCB-BB5D-64FA4ABB9C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0</xdr:colOff>
      <xdr:row>63</xdr:row>
      <xdr:rowOff>142875</xdr:rowOff>
    </xdr:from>
    <xdr:to>
      <xdr:col>44</xdr:col>
      <xdr:colOff>0</xdr:colOff>
      <xdr:row>80</xdr:row>
      <xdr:rowOff>0</xdr:rowOff>
    </xdr:to>
    <xdr:graphicFrame macro="">
      <xdr:nvGraphicFramePr>
        <xdr:cNvPr id="4" name="Chart 33">
          <a:extLst>
            <a:ext uri="{FF2B5EF4-FFF2-40B4-BE49-F238E27FC236}">
              <a16:creationId xmlns:a16="http://schemas.microsoft.com/office/drawing/2014/main" id="{C96BF821-F18A-4C94-9A4E-EF9FC3D35B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85</xdr:row>
      <xdr:rowOff>133350</xdr:rowOff>
    </xdr:from>
    <xdr:to>
      <xdr:col>44</xdr:col>
      <xdr:colOff>0</xdr:colOff>
      <xdr:row>102</xdr:row>
      <xdr:rowOff>0</xdr:rowOff>
    </xdr:to>
    <xdr:graphicFrame macro="">
      <xdr:nvGraphicFramePr>
        <xdr:cNvPr id="5" name="Chart 34">
          <a:extLst>
            <a:ext uri="{FF2B5EF4-FFF2-40B4-BE49-F238E27FC236}">
              <a16:creationId xmlns:a16="http://schemas.microsoft.com/office/drawing/2014/main" id="{5DDDDD74-506A-49A6-8054-4CFBB66424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47625</xdr:colOff>
      <xdr:row>8</xdr:row>
      <xdr:rowOff>400050</xdr:rowOff>
    </xdr:from>
    <xdr:to>
      <xdr:col>33</xdr:col>
      <xdr:colOff>476250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FCEBE1-5758-4001-9B98-6F171C47E0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F9C4727B-36CF-4DD2-BECA-13889E7D21D8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FD7181AA-5414-43D2-A582-E2F81EE3C0FE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69FD1F8-76A5-46A8-AF1D-249F069E20AB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DAADD2A6-9EA6-45CC-B224-9AB1A5B96D3B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95AB6092-93EC-44A5-9933-EEB6098E13DF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2605B71-A150-48BB-847A-1C7D5DED4AFE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37D5EE91-3DC4-4A68-894D-CAF550AD0162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DB6BCAF4-BF60-4720-A34A-33C109127DD3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5A11A465-EA5A-404D-9E9E-64AE6BA05BF3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1A88496D-D349-420D-9FF3-C462DF93B000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OYxx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Yxxx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02_F105_CO_FISE_CropCanopy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02_F105_CO_FISE_CropCanopy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02_F105_CO_FISE_CropCanopy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02_F105_CO_FISE_CropCanopy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02_F105_CO_FISE_CropCanopy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02_F105_CO_FISE_CropCanopy.xlsx" TargetMode="External"/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02_F105_CO_FISE_CropCanopy.xlsx" TargetMode="External"/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02_F105_CO_FISE_CropCanopy.xlsx" TargetMode="External"/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02_F105_CO_FISE_CropCanopy.xlsx" TargetMode="External"/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02_F105_CO_FISE_CropCanopy.xlsx" TargetMode="External"/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02_F105_CO_FISE_CropCanopy.xlsx" TargetMode="External"/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02_F105_CO_FISE_CropCanopy.xlsx" TargetMode="External"/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02_F105_CO_FISE_CropCanopy.xlsx" TargetMode="External"/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02_F105_CO_FISE_CropCanopy.xlsx" TargetMode="External"/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02_F105_CO_FISE_CropCanopy.xlsx" TargetMode="External"/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02_F105_CO_FISE_CropCanopy.xlsx" TargetMode="External"/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02_F105_CO_FISE_CropCanopy.xlsx" TargetMode="External"/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02_F105_CO_FISE_CropCanopy.xlsx" TargetMode="External"/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02_F105_CO_FISE_CropCanopy.xlsx" TargetMode="External"/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02_F105_CO_FISE_CropCanopy.xlsx" TargetMode="External"/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02_F105_CO_FISE_CropCanopy.xlsx" TargetMode="External"/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02_F105_CO_FISE_CropCanopy.xlsx" TargetMode="External"/><Relationship Id="rId1" Type="http://schemas.openxmlformats.org/officeDocument/2006/relationships/pivotCacheRecords" Target="pivotCacheRecords22.xml"/></Relationships>
</file>

<file path=xl/pivotCache/_rels/pivotCacheDefinition23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02_F105_CO_FISE_CropCanopy.xlsx" TargetMode="External"/><Relationship Id="rId1" Type="http://schemas.openxmlformats.org/officeDocument/2006/relationships/pivotCacheRecords" Target="pivotCacheRecords23.xml"/></Relationships>
</file>

<file path=xl/pivotCache/_rels/pivotCacheDefinition24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02_F105_CO_FISE_CropCanopy.xlsx" TargetMode="External"/><Relationship Id="rId1" Type="http://schemas.openxmlformats.org/officeDocument/2006/relationships/pivotCacheRecords" Target="pivotCacheRecords24.xml"/></Relationships>
</file>

<file path=xl/pivotCache/_rels/pivotCacheDefinition25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02_F105_CO_FISE_CropCanopy.xlsx" TargetMode="External"/><Relationship Id="rId1" Type="http://schemas.openxmlformats.org/officeDocument/2006/relationships/pivotCacheRecords" Target="pivotCacheRecords25.xml"/></Relationships>
</file>

<file path=xl/pivotCache/_rels/pivotCacheDefinition26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02_F105_CO_FISE_CropCanopy.xlsx" TargetMode="External"/><Relationship Id="rId1" Type="http://schemas.openxmlformats.org/officeDocument/2006/relationships/pivotCacheRecords" Target="pivotCacheRecords26.xml"/></Relationships>
</file>

<file path=xl/pivotCache/_rels/pivotCacheDefinition27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02_F105_CO_FISE_CropCanopy.xlsx" TargetMode="External"/><Relationship Id="rId1" Type="http://schemas.openxmlformats.org/officeDocument/2006/relationships/pivotCacheRecords" Target="pivotCacheRecords27.xml"/></Relationships>
</file>

<file path=xl/pivotCache/_rels/pivotCacheDefinition28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02_F105_CO_FISE_CropCanopy.xlsx" TargetMode="External"/><Relationship Id="rId1" Type="http://schemas.openxmlformats.org/officeDocument/2006/relationships/pivotCacheRecords" Target="pivotCacheRecords28.xml"/></Relationships>
</file>

<file path=xl/pivotCache/_rels/pivotCacheDefinition29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02_F105_CO_FISE_CropCanopy.xlsx" TargetMode="External"/><Relationship Id="rId1" Type="http://schemas.openxmlformats.org/officeDocument/2006/relationships/pivotCacheRecords" Target="pivotCacheRecords29.xml"/></Relationships>
</file>

<file path=xl/pivotCache/_rels/pivotCacheDefinition30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02_F105_CO_FISE_CropCanopy.xlsx" TargetMode="External"/><Relationship Id="rId1" Type="http://schemas.openxmlformats.org/officeDocument/2006/relationships/pivotCacheRecords" Target="pivotCacheRecords30.xml"/></Relationships>
</file>

<file path=xl/pivotCache/_rels/pivotCacheDefinition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\FAO%20Play%202002\SPAD\SPAD2002(PJP).xls" TargetMode="External"/><Relationship Id="rId1" Type="http://schemas.openxmlformats.org/officeDocument/2006/relationships/pivotCacheRecords" Target="pivotCacheRecords31.xml"/></Relationships>
</file>

<file path=xl/pivotCache/_rels/pivotCacheDefinition32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02_F105_CO_FISE_CropCanopy.xlsx" TargetMode="External"/><Relationship Id="rId1" Type="http://schemas.openxmlformats.org/officeDocument/2006/relationships/pivotCacheRecords" Target="pivotCacheRecords32.xml"/></Relationships>
</file>

<file path=xl/pivotCache/_rels/pivotCacheDefinition33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02_F105_CO_FISE_CropCanopy.xlsx" TargetMode="External"/><Relationship Id="rId1" Type="http://schemas.openxmlformats.org/officeDocument/2006/relationships/pivotCacheRecords" Target="pivotCacheRecords33.xml"/></Relationships>
</file>

<file path=xl/pivotCache/_rels/pivotCacheDefinition34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02_F105_CO_FISE_CropCanopy.xlsx" TargetMode="External"/><Relationship Id="rId1" Type="http://schemas.openxmlformats.org/officeDocument/2006/relationships/pivotCacheRecords" Target="pivotCacheRecords3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nter" refreshedDate="37376.234718749998" createdVersion="1" recordCount="32" xr:uid="{99B6E263-5FB1-4B13-832D-A867EBE1E3A5}">
  <cacheSource type="worksheet">
    <worksheetSource ref="B9:T41" sheet="DOY118" r:id="rId2"/>
  </cacheSource>
  <cacheFields count="19">
    <cacheField name="Plot" numFmtId="0">
      <sharedItems containsSemiMixedTypes="0" containsString="0" containsNumber="1" containsInteger="1" minValue="101" maxValue="408"/>
    </cacheField>
    <cacheField name="Acron" numFmtId="0">
      <sharedItems count="12">
        <s v="FSH"/>
        <s v="FTL"/>
        <s v="FDH"/>
        <s v="NTL"/>
        <s v="NDL"/>
        <s v="NTH"/>
        <s v="FTH"/>
        <s v="NDH"/>
        <s v="NSL"/>
        <s v="FSL"/>
        <s v="NSH"/>
        <s v="FDL"/>
      </sharedItems>
    </cacheField>
    <cacheField name="Trt." numFmtId="0">
      <sharedItems containsSemiMixedTypes="0" containsString="0" containsNumber="1" containsInteger="1" minValue="1" maxValue="12" count="12">
        <n v="1"/>
        <n v="4"/>
        <n v="5"/>
        <n v="10"/>
        <n v="12"/>
        <n v="9"/>
        <n v="3"/>
        <n v="11"/>
        <n v="8"/>
        <n v="2"/>
        <n v="7"/>
        <n v="6"/>
      </sharedItems>
    </cacheField>
    <cacheField name="Irrig." numFmtId="0">
      <sharedItems containsSemiMixedTypes="0" containsString="0" containsNumber="1" containsInteger="1" minValue="1" maxValue="2" count="2">
        <n v="1"/>
        <n v="2"/>
      </sharedItems>
    </cacheField>
    <cacheField name="Pop." numFmtId="0">
      <sharedItems containsSemiMixedTypes="0" containsString="0" containsNumber="1" containsInteger="1" minValue="1" maxValue="3" count="3">
        <n v="1"/>
        <n v="2"/>
        <n v="3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ol.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Exotech Code" numFmtId="0">
      <sharedItems/>
    </cacheField>
    <cacheField name="Row3" numFmtId="0">
      <sharedItems containsString="0" containsBlank="1" count="1">
        <m/>
      </sharedItems>
    </cacheField>
    <cacheField name="Row4" numFmtId="0">
      <sharedItems containsString="0" containsBlank="1" containsNumber="1" containsInteger="1" minValue="13" maxValue="13" count="2">
        <m/>
        <n v="13"/>
      </sharedItems>
    </cacheField>
    <cacheField name="Row5" numFmtId="0">
      <sharedItems containsSemiMixedTypes="0" containsString="0" containsNumber="1" containsInteger="1" minValue="0" maxValue="25" count="16">
        <n v="10"/>
        <n v="0"/>
        <n v="5"/>
        <n v="8"/>
        <n v="14"/>
        <n v="2"/>
        <n v="13"/>
        <n v="25"/>
        <n v="6"/>
        <n v="3"/>
        <n v="11"/>
        <n v="24"/>
        <n v="1"/>
        <n v="16"/>
        <n v="20"/>
        <n v="9"/>
      </sharedItems>
    </cacheField>
    <cacheField name="Row6" numFmtId="0">
      <sharedItems containsSemiMixedTypes="0" containsString="0" containsNumber="1" containsInteger="1" minValue="1" maxValue="17" count="15">
        <n v="6"/>
        <n v="7"/>
        <n v="15"/>
        <n v="11"/>
        <n v="13"/>
        <n v="10"/>
        <n v="12"/>
        <n v="1"/>
        <n v="9"/>
        <n v="5"/>
        <n v="8"/>
        <n v="17"/>
        <n v="2"/>
        <n v="16"/>
        <n v="4"/>
      </sharedItems>
    </cacheField>
    <cacheField name="Row7" numFmtId="0">
      <sharedItems containsString="0" containsBlank="1" count="1">
        <m/>
      </sharedItems>
    </cacheField>
    <cacheField name="Row8" numFmtId="0">
      <sharedItems containsString="0" containsBlank="1" count="1">
        <m/>
      </sharedItems>
    </cacheField>
    <cacheField name="Mean per meter" numFmtId="0">
      <sharedItems containsSemiMixedTypes="0" containsString="0" containsNumber="1" minValue="1" maxValue="10.25" count="22">
        <n v="4"/>
        <n v="3.3333333333333335"/>
        <n v="5"/>
        <n v="4.75"/>
        <n v="6.25"/>
        <n v="3.75"/>
        <n v="2"/>
        <n v="5.75"/>
        <n v="9.25"/>
        <n v="4.5"/>
        <n v="1"/>
        <n v="2.75"/>
        <n v="1.5"/>
        <n v="2.25"/>
        <n v="10.25"/>
        <n v="7"/>
        <n v="3"/>
        <n v="1.75"/>
        <n v="3.25"/>
        <n v="6.5"/>
        <n v="7.75"/>
        <n v="3.5"/>
      </sharedItems>
    </cacheField>
    <cacheField name="std err" numFmtId="0">
      <sharedItems containsSemiMixedTypes="0" containsString="0" containsNumber="1" minValue="0.25" maxValue="3.2499999999999996" count="13">
        <n v="1"/>
        <n v="1.8782379449307742"/>
        <n v="2.5"/>
        <n v="0.74999999999999989"/>
        <n v="0.25"/>
        <n v="2.7499999999999996"/>
        <n v="3.2499999999999996"/>
        <n v="1.4999999999999998"/>
        <n v="0.5"/>
        <n v="1.25"/>
        <n v="1.7499999999999998"/>
        <n v="2"/>
        <n v="2.25"/>
      </sharedItems>
    </cacheField>
    <cacheField name="Nrml. mean per meter" numFmtId="0">
      <sharedItems containsSemiMixedTypes="0" containsString="0" containsNumber="1" minValue="1" maxValue="7" count="24">
        <n v="4"/>
        <n v="3.3333333333333335"/>
        <n v="2.5"/>
        <n v="4.75"/>
        <n v="3.125"/>
        <n v="3.75"/>
        <n v="2"/>
        <n v="5.75"/>
        <n v="4.625"/>
        <n v="5"/>
        <n v="4.5"/>
        <n v="1"/>
        <n v="2.75"/>
        <n v="1.5"/>
        <n v="2.25"/>
        <n v="5.125"/>
        <n v="7"/>
        <n v="3"/>
        <n v="2.875"/>
        <n v="1.75"/>
        <n v="3.25"/>
        <n v="3.5"/>
        <n v="6.5"/>
        <n v="3.875"/>
      </sharedItems>
    </cacheField>
    <cacheField name="Comments" numFmtId="0">
      <sharedItems containsBlank="1" count="9">
        <s v="0851h"/>
        <m/>
        <s v="0840h"/>
        <s v="0852h"/>
        <s v="0905h"/>
        <s v="0916h"/>
        <s v="0907h"/>
        <s v="0918h"/>
        <s v="0929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nter" refreshedDate="37376.243965162037" createdVersion="1" recordCount="32" xr:uid="{B47DD270-4A76-467D-B205-DFAD0ED7EDD9}">
  <cacheSource type="worksheet">
    <worksheetSource ref="B9:T41" sheet="DOY118" r:id="rId2"/>
  </cacheSource>
  <cacheFields count="19">
    <cacheField name="Plot" numFmtId="0">
      <sharedItems containsSemiMixedTypes="0" containsString="0" containsNumber="1" containsInteger="1" minValue="101" maxValue="408"/>
    </cacheField>
    <cacheField name="Acron" numFmtId="0">
      <sharedItems count="12">
        <s v="FSH"/>
        <s v="FTL"/>
        <s v="FDH"/>
        <s v="NTL"/>
        <s v="NDL"/>
        <s v="NTH"/>
        <s v="FTH"/>
        <s v="NDH"/>
        <s v="NSL"/>
        <s v="FSL"/>
        <s v="NSH"/>
        <s v="FDL"/>
      </sharedItems>
    </cacheField>
    <cacheField name="Trt." numFmtId="0">
      <sharedItems containsSemiMixedTypes="0" containsString="0" containsNumber="1" containsInteger="1" minValue="1" maxValue="12" count="12">
        <n v="1"/>
        <n v="4"/>
        <n v="5"/>
        <n v="10"/>
        <n v="12"/>
        <n v="9"/>
        <n v="3"/>
        <n v="11"/>
        <n v="8"/>
        <n v="2"/>
        <n v="7"/>
        <n v="6"/>
      </sharedItems>
    </cacheField>
    <cacheField name="Irrig." numFmtId="0">
      <sharedItems containsSemiMixedTypes="0" containsString="0" containsNumber="1" containsInteger="1" minValue="1" maxValue="2" count="2">
        <n v="1"/>
        <n v="2"/>
      </sharedItems>
    </cacheField>
    <cacheField name="Pop." numFmtId="0">
      <sharedItems containsSemiMixedTypes="0" containsString="0" containsNumber="1" containsInteger="1" minValue="1" maxValue="3" count="3">
        <n v="1"/>
        <n v="2"/>
        <n v="3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ol.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Exotech Code" numFmtId="0">
      <sharedItems/>
    </cacheField>
    <cacheField name="Row3" numFmtId="0">
      <sharedItems containsString="0" containsBlank="1" count="1">
        <m/>
      </sharedItems>
    </cacheField>
    <cacheField name="Row4" numFmtId="0">
      <sharedItems containsString="0" containsBlank="1" containsNumber="1" containsInteger="1" minValue="13" maxValue="13" count="2">
        <m/>
        <n v="13"/>
      </sharedItems>
    </cacheField>
    <cacheField name="Row5" numFmtId="0">
      <sharedItems containsSemiMixedTypes="0" containsString="0" containsNumber="1" containsInteger="1" minValue="0" maxValue="25" count="16">
        <n v="10"/>
        <n v="0"/>
        <n v="5"/>
        <n v="8"/>
        <n v="14"/>
        <n v="2"/>
        <n v="13"/>
        <n v="25"/>
        <n v="6"/>
        <n v="3"/>
        <n v="11"/>
        <n v="24"/>
        <n v="1"/>
        <n v="16"/>
        <n v="20"/>
        <n v="9"/>
      </sharedItems>
    </cacheField>
    <cacheField name="Row6" numFmtId="0">
      <sharedItems containsSemiMixedTypes="0" containsString="0" containsNumber="1" containsInteger="1" minValue="1" maxValue="17" count="15">
        <n v="6"/>
        <n v="7"/>
        <n v="15"/>
        <n v="11"/>
        <n v="13"/>
        <n v="10"/>
        <n v="12"/>
        <n v="1"/>
        <n v="9"/>
        <n v="5"/>
        <n v="8"/>
        <n v="17"/>
        <n v="2"/>
        <n v="16"/>
        <n v="4"/>
      </sharedItems>
    </cacheField>
    <cacheField name="Row7" numFmtId="0">
      <sharedItems containsString="0" containsBlank="1" count="1">
        <m/>
      </sharedItems>
    </cacheField>
    <cacheField name="Row8" numFmtId="0">
      <sharedItems containsString="0" containsBlank="1" count="1">
        <m/>
      </sharedItems>
    </cacheField>
    <cacheField name="Mean per meter" numFmtId="0">
      <sharedItems containsSemiMixedTypes="0" containsString="0" containsNumber="1" minValue="1" maxValue="10.25" count="22">
        <n v="4"/>
        <n v="3.3333333333333335"/>
        <n v="5"/>
        <n v="4.75"/>
        <n v="6.25"/>
        <n v="3.75"/>
        <n v="2"/>
        <n v="5.75"/>
        <n v="9.25"/>
        <n v="4.5"/>
        <n v="1"/>
        <n v="2.75"/>
        <n v="1.5"/>
        <n v="2.25"/>
        <n v="10.25"/>
        <n v="7"/>
        <n v="3"/>
        <n v="1.75"/>
        <n v="3.25"/>
        <n v="6.5"/>
        <n v="7.75"/>
        <n v="3.5"/>
      </sharedItems>
    </cacheField>
    <cacheField name="std err" numFmtId="0">
      <sharedItems containsSemiMixedTypes="0" containsString="0" containsNumber="1" minValue="0.25" maxValue="3.2499999999999996" count="13">
        <n v="1"/>
        <n v="1.8782379449307742"/>
        <n v="2.5"/>
        <n v="0.74999999999999989"/>
        <n v="0.25"/>
        <n v="2.7499999999999996"/>
        <n v="3.2499999999999996"/>
        <n v="1.4999999999999998"/>
        <n v="0.5"/>
        <n v="1.25"/>
        <n v="1.7499999999999998"/>
        <n v="2"/>
        <n v="2.25"/>
      </sharedItems>
    </cacheField>
    <cacheField name="Nrml. mean per meter" numFmtId="0">
      <sharedItems containsSemiMixedTypes="0" containsString="0" containsNumber="1" minValue="1" maxValue="7" count="24">
        <n v="4"/>
        <n v="3.3333333333333335"/>
        <n v="2.5"/>
        <n v="4.75"/>
        <n v="3.125"/>
        <n v="3.75"/>
        <n v="2"/>
        <n v="5.75"/>
        <n v="4.625"/>
        <n v="5"/>
        <n v="4.5"/>
        <n v="1"/>
        <n v="2.75"/>
        <n v="1.5"/>
        <n v="2.25"/>
        <n v="5.125"/>
        <n v="7"/>
        <n v="3"/>
        <n v="2.875"/>
        <n v="1.75"/>
        <n v="3.25"/>
        <n v="3.5"/>
        <n v="6.5"/>
        <n v="3.875"/>
      </sharedItems>
    </cacheField>
    <cacheField name="Comments" numFmtId="0">
      <sharedItems containsBlank="1" count="9">
        <s v="0851h"/>
        <m/>
        <s v="0840h"/>
        <s v="0852h"/>
        <s v="0905h"/>
        <s v="0916h"/>
        <s v="0907h"/>
        <s v="0918h"/>
        <s v="0929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nter" refreshedDate="37376.23500601852" createdVersion="1" recordCount="32" xr:uid="{E5CCBB97-CF81-402F-9626-D0AA2C052BB5}">
  <cacheSource type="worksheet">
    <worksheetSource ref="B9:T41" sheet="DOY119" r:id="rId2"/>
  </cacheSource>
  <cacheFields count="19">
    <cacheField name="Plot" numFmtId="0">
      <sharedItems containsSemiMixedTypes="0" containsString="0" containsNumber="1" containsInteger="1" minValue="101" maxValue="408"/>
    </cacheField>
    <cacheField name="Acron" numFmtId="0">
      <sharedItems count="12">
        <s v="FSH"/>
        <s v="FTL"/>
        <s v="FDH"/>
        <s v="NTL"/>
        <s v="NDL"/>
        <s v="NTH"/>
        <s v="FTH"/>
        <s v="NDH"/>
        <s v="NSL"/>
        <s v="FSL"/>
        <s v="NSH"/>
        <s v="FDL"/>
      </sharedItems>
    </cacheField>
    <cacheField name="Trt." numFmtId="0">
      <sharedItems containsSemiMixedTypes="0" containsString="0" containsNumber="1" containsInteger="1" minValue="1" maxValue="12" count="12">
        <n v="1"/>
        <n v="4"/>
        <n v="5"/>
        <n v="10"/>
        <n v="12"/>
        <n v="9"/>
        <n v="3"/>
        <n v="11"/>
        <n v="8"/>
        <n v="2"/>
        <n v="7"/>
        <n v="6"/>
      </sharedItems>
    </cacheField>
    <cacheField name="Irrig." numFmtId="0">
      <sharedItems containsSemiMixedTypes="0" containsString="0" containsNumber="1" containsInteger="1" minValue="1" maxValue="2" count="2">
        <n v="1"/>
        <n v="2"/>
      </sharedItems>
    </cacheField>
    <cacheField name="Pop." numFmtId="0">
      <sharedItems containsSemiMixedTypes="0" containsString="0" containsNumber="1" containsInteger="1" minValue="1" maxValue="3" count="3">
        <n v="1"/>
        <n v="2"/>
        <n v="3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ol.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Exotech Code" numFmtId="0">
      <sharedItems/>
    </cacheField>
    <cacheField name="Row3" numFmtId="0">
      <sharedItems containsString="0" containsBlank="1" count="1">
        <m/>
      </sharedItems>
    </cacheField>
    <cacheField name="Row4" numFmtId="0">
      <sharedItems containsString="0" containsBlank="1" count="1">
        <m/>
      </sharedItems>
    </cacheField>
    <cacheField name="Row5" numFmtId="0">
      <sharedItems containsSemiMixedTypes="0" containsString="0" containsNumber="1" containsInteger="1" minValue="2" maxValue="32" count="19">
        <n v="11"/>
        <n v="2"/>
        <n v="10"/>
        <n v="20"/>
        <n v="8"/>
        <n v="13"/>
        <n v="18"/>
        <n v="5"/>
        <n v="17"/>
        <n v="29"/>
        <n v="7"/>
        <n v="3"/>
        <n v="16"/>
        <n v="4"/>
        <n v="32"/>
        <n v="14"/>
        <n v="15"/>
        <n v="27"/>
        <n v="9"/>
      </sharedItems>
    </cacheField>
    <cacheField name="Row6" numFmtId="0">
      <sharedItems containsSemiMixedTypes="0" containsString="0" containsNumber="1" containsInteger="1" minValue="1" maxValue="21" count="17">
        <n v="10"/>
        <n v="9"/>
        <n v="18"/>
        <n v="11"/>
        <n v="13"/>
        <n v="8"/>
        <n v="16"/>
        <n v="15"/>
        <n v="2"/>
        <n v="12"/>
        <n v="1"/>
        <n v="19"/>
        <n v="21"/>
        <n v="4"/>
        <n v="14"/>
        <n v="17"/>
        <n v="5"/>
      </sharedItems>
    </cacheField>
    <cacheField name="Row7" numFmtId="0">
      <sharedItems containsString="0" containsBlank="1" count="1">
        <m/>
      </sharedItems>
    </cacheField>
    <cacheField name="Row8" numFmtId="0">
      <sharedItems containsString="0" containsBlank="1" count="1">
        <m/>
      </sharedItems>
    </cacheField>
    <cacheField name="Mean per meter" numFmtId="0">
      <sharedItems containsSemiMixedTypes="0" containsString="0" containsNumber="1" minValue="1.25" maxValue="12.75" count="24">
        <n v="5.25"/>
        <n v="2.75"/>
        <n v="7"/>
        <n v="5.5"/>
        <n v="8.25"/>
        <n v="4"/>
        <n v="4.5"/>
        <n v="7.75"/>
        <n v="3.25"/>
        <n v="7.5"/>
        <n v="11.75"/>
        <n v="6"/>
        <n v="1.25"/>
        <n v="4.75"/>
        <n v="4.25"/>
        <n v="2.25"/>
        <n v="12.75"/>
        <n v="8.75"/>
        <n v="3.5"/>
        <n v="7.25"/>
        <n v="9.25"/>
        <n v="8"/>
        <n v="10.25"/>
        <n v="6.5"/>
      </sharedItems>
    </cacheField>
    <cacheField name="std err" numFmtId="0">
      <sharedItems containsSemiMixedTypes="0" containsString="0" containsNumber="1" minValue="0" maxValue="3.4999999999999996" count="13">
        <n v="0.25"/>
        <n v="1.7499999999999998"/>
        <n v="2"/>
        <n v="0"/>
        <n v="1.25"/>
        <n v="3.4999999999999996"/>
        <n v="0.74999999999999989"/>
        <n v="1"/>
        <n v="2.7499999999999996"/>
        <n v="0.5"/>
        <n v="2.25"/>
        <n v="3.2499999999999996"/>
        <n v="1.4999999999999998"/>
      </sharedItems>
    </cacheField>
    <cacheField name="Nrml. mean per meter" numFmtId="0">
      <sharedItems containsSemiMixedTypes="0" containsString="0" containsNumber="1" minValue="1.25" maxValue="8.75" count="24">
        <n v="5.25"/>
        <n v="2.75"/>
        <n v="3.5"/>
        <n v="5.5"/>
        <n v="4.125"/>
        <n v="4"/>
        <n v="4.5"/>
        <n v="3.875"/>
        <n v="3.25"/>
        <n v="7.5"/>
        <n v="5.875"/>
        <n v="6"/>
        <n v="1.25"/>
        <n v="4.75"/>
        <n v="7"/>
        <n v="4.25"/>
        <n v="2.25"/>
        <n v="6.375"/>
        <n v="8.75"/>
        <n v="3.625"/>
        <n v="4.625"/>
        <n v="8"/>
        <n v="5.125"/>
        <n v="6.5"/>
      </sharedItems>
    </cacheField>
    <cacheField name="Comments" numFmtId="0">
      <sharedItems containsBlank="1" count="9">
        <s v="0851h"/>
        <m/>
        <s v="0840h"/>
        <s v="0852h"/>
        <s v="0905h"/>
        <s v="0916h"/>
        <s v="0907h"/>
        <s v="0918h"/>
        <s v="0929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nter" refreshedDate="37376.242602777776" createdVersion="1" recordCount="32" xr:uid="{A2BBEFD1-3D88-4012-BC7E-0D6F50ADD633}">
  <cacheSource type="worksheet">
    <worksheetSource ref="B9:T41" sheet="DOY119" r:id="rId2"/>
  </cacheSource>
  <cacheFields count="19">
    <cacheField name="Plot" numFmtId="0">
      <sharedItems containsSemiMixedTypes="0" containsString="0" containsNumber="1" containsInteger="1" minValue="101" maxValue="408"/>
    </cacheField>
    <cacheField name="Acron" numFmtId="0">
      <sharedItems count="12">
        <s v="FSH"/>
        <s v="FTL"/>
        <s v="FDH"/>
        <s v="NTL"/>
        <s v="NDL"/>
        <s v="NTH"/>
        <s v="FTH"/>
        <s v="NDH"/>
        <s v="NSL"/>
        <s v="FSL"/>
        <s v="NSH"/>
        <s v="FDL"/>
      </sharedItems>
    </cacheField>
    <cacheField name="Trt." numFmtId="0">
      <sharedItems containsSemiMixedTypes="0" containsString="0" containsNumber="1" containsInteger="1" minValue="1" maxValue="12" count="12">
        <n v="1"/>
        <n v="4"/>
        <n v="5"/>
        <n v="10"/>
        <n v="12"/>
        <n v="9"/>
        <n v="3"/>
        <n v="11"/>
        <n v="8"/>
        <n v="2"/>
        <n v="7"/>
        <n v="6"/>
      </sharedItems>
    </cacheField>
    <cacheField name="Irrig." numFmtId="0">
      <sharedItems containsSemiMixedTypes="0" containsString="0" containsNumber="1" containsInteger="1" minValue="1" maxValue="2" count="2">
        <n v="1"/>
        <n v="2"/>
      </sharedItems>
    </cacheField>
    <cacheField name="Pop." numFmtId="0">
      <sharedItems containsSemiMixedTypes="0" containsString="0" containsNumber="1" containsInteger="1" minValue="1" maxValue="3" count="3">
        <n v="1"/>
        <n v="2"/>
        <n v="3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ol.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Exotech Code" numFmtId="0">
      <sharedItems/>
    </cacheField>
    <cacheField name="Row3" numFmtId="0">
      <sharedItems containsString="0" containsBlank="1" count="1">
        <m/>
      </sharedItems>
    </cacheField>
    <cacheField name="Row4" numFmtId="0">
      <sharedItems containsString="0" containsBlank="1" count="1">
        <m/>
      </sharedItems>
    </cacheField>
    <cacheField name="Row5" numFmtId="0">
      <sharedItems containsSemiMixedTypes="0" containsString="0" containsNumber="1" containsInteger="1" minValue="2" maxValue="32" count="19">
        <n v="11"/>
        <n v="2"/>
        <n v="10"/>
        <n v="20"/>
        <n v="8"/>
        <n v="13"/>
        <n v="18"/>
        <n v="5"/>
        <n v="17"/>
        <n v="29"/>
        <n v="7"/>
        <n v="3"/>
        <n v="16"/>
        <n v="4"/>
        <n v="32"/>
        <n v="14"/>
        <n v="15"/>
        <n v="27"/>
        <n v="9"/>
      </sharedItems>
    </cacheField>
    <cacheField name="Row6" numFmtId="0">
      <sharedItems containsSemiMixedTypes="0" containsString="0" containsNumber="1" containsInteger="1" minValue="1" maxValue="21" count="17">
        <n v="10"/>
        <n v="9"/>
        <n v="18"/>
        <n v="11"/>
        <n v="13"/>
        <n v="8"/>
        <n v="16"/>
        <n v="15"/>
        <n v="2"/>
        <n v="12"/>
        <n v="1"/>
        <n v="19"/>
        <n v="21"/>
        <n v="4"/>
        <n v="14"/>
        <n v="17"/>
        <n v="5"/>
      </sharedItems>
    </cacheField>
    <cacheField name="Row7" numFmtId="0">
      <sharedItems containsString="0" containsBlank="1" count="1">
        <m/>
      </sharedItems>
    </cacheField>
    <cacheField name="Row8" numFmtId="0">
      <sharedItems containsString="0" containsBlank="1" count="1">
        <m/>
      </sharedItems>
    </cacheField>
    <cacheField name="Mean per meter" numFmtId="0">
      <sharedItems containsSemiMixedTypes="0" containsString="0" containsNumber="1" minValue="1.25" maxValue="12.75" count="24">
        <n v="5.25"/>
        <n v="2.75"/>
        <n v="7"/>
        <n v="5.5"/>
        <n v="8.25"/>
        <n v="4"/>
        <n v="4.5"/>
        <n v="7.75"/>
        <n v="3.25"/>
        <n v="7.5"/>
        <n v="11.75"/>
        <n v="6"/>
        <n v="1.25"/>
        <n v="4.75"/>
        <n v="4.25"/>
        <n v="2.25"/>
        <n v="12.75"/>
        <n v="8.75"/>
        <n v="3.5"/>
        <n v="7.25"/>
        <n v="9.25"/>
        <n v="8"/>
        <n v="10.25"/>
        <n v="6.5"/>
      </sharedItems>
    </cacheField>
    <cacheField name="std err" numFmtId="0">
      <sharedItems containsSemiMixedTypes="0" containsString="0" containsNumber="1" minValue="0" maxValue="3.4999999999999996" count="13">
        <n v="0.25"/>
        <n v="1.7499999999999998"/>
        <n v="2"/>
        <n v="0"/>
        <n v="1.25"/>
        <n v="3.4999999999999996"/>
        <n v="0.74999999999999989"/>
        <n v="1"/>
        <n v="2.7499999999999996"/>
        <n v="0.5"/>
        <n v="2.25"/>
        <n v="3.2499999999999996"/>
        <n v="1.4999999999999998"/>
      </sharedItems>
    </cacheField>
    <cacheField name="Nrml. mean per meter" numFmtId="0">
      <sharedItems containsSemiMixedTypes="0" containsString="0" containsNumber="1" minValue="1.25" maxValue="8.75" count="24">
        <n v="5.25"/>
        <n v="2.75"/>
        <n v="3.5"/>
        <n v="5.5"/>
        <n v="4.125"/>
        <n v="4"/>
        <n v="4.5"/>
        <n v="3.875"/>
        <n v="3.25"/>
        <n v="7.5"/>
        <n v="5.875"/>
        <n v="6"/>
        <n v="1.25"/>
        <n v="4.75"/>
        <n v="7"/>
        <n v="4.25"/>
        <n v="2.25"/>
        <n v="6.375"/>
        <n v="8.75"/>
        <n v="3.625"/>
        <n v="4.625"/>
        <n v="8"/>
        <n v="5.125"/>
        <n v="6.5"/>
      </sharedItems>
    </cacheField>
    <cacheField name="Comments" numFmtId="0">
      <sharedItems containsBlank="1" count="9">
        <s v="0851h"/>
        <m/>
        <s v="0840h"/>
        <s v="0852h"/>
        <s v="0905h"/>
        <s v="0916h"/>
        <s v="0907h"/>
        <s v="0918h"/>
        <s v="0929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nter" refreshedDate="37376.811610532408" createdVersion="1" recordCount="32" xr:uid="{A7833D26-FA49-4B33-9CA7-E586E0F12DD2}">
  <cacheSource type="worksheet">
    <worksheetSource ref="B9:T41" sheet="DOY120" r:id="rId2"/>
  </cacheSource>
  <cacheFields count="19">
    <cacheField name="Plot" numFmtId="0">
      <sharedItems containsSemiMixedTypes="0" containsString="0" containsNumber="1" containsInteger="1" minValue="101" maxValue="408"/>
    </cacheField>
    <cacheField name="Acron" numFmtId="0">
      <sharedItems count="12">
        <s v="FSH"/>
        <s v="FTL"/>
        <s v="FDH"/>
        <s v="NTL"/>
        <s v="NDL"/>
        <s v="NTH"/>
        <s v="FTH"/>
        <s v="NDH"/>
        <s v="NSL"/>
        <s v="FSL"/>
        <s v="NSH"/>
        <s v="FDL"/>
      </sharedItems>
    </cacheField>
    <cacheField name="Trt." numFmtId="0">
      <sharedItems containsSemiMixedTypes="0" containsString="0" containsNumber="1" containsInteger="1" minValue="1" maxValue="12" count="12">
        <n v="1"/>
        <n v="4"/>
        <n v="5"/>
        <n v="10"/>
        <n v="12"/>
        <n v="9"/>
        <n v="3"/>
        <n v="11"/>
        <n v="8"/>
        <n v="2"/>
        <n v="7"/>
        <n v="6"/>
      </sharedItems>
    </cacheField>
    <cacheField name="Irrig." numFmtId="0">
      <sharedItems containsSemiMixedTypes="0" containsString="0" containsNumber="1" containsInteger="1" minValue="1" maxValue="2" count="2">
        <n v="1"/>
        <n v="2"/>
      </sharedItems>
    </cacheField>
    <cacheField name="Pop." numFmtId="0">
      <sharedItems containsSemiMixedTypes="0" containsString="0" containsNumber="1" containsInteger="1" minValue="1" maxValue="3" count="3">
        <n v="1"/>
        <n v="2"/>
        <n v="3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ol.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Exotech Code" numFmtId="0">
      <sharedItems/>
    </cacheField>
    <cacheField name="Row3" numFmtId="0">
      <sharedItems containsString="0" containsBlank="1" count="1">
        <m/>
      </sharedItems>
    </cacheField>
    <cacheField name="Row4" numFmtId="0">
      <sharedItems containsString="0" containsBlank="1" containsNumber="1" containsInteger="1" minValue="19" maxValue="19" count="2">
        <m/>
        <n v="19"/>
      </sharedItems>
    </cacheField>
    <cacheField name="Row5" numFmtId="0">
      <sharedItems containsSemiMixedTypes="0" containsString="0" containsNumber="1" containsInteger="1" minValue="0" maxValue="34" count="21">
        <n v="12"/>
        <n v="0"/>
        <n v="15"/>
        <n v="14"/>
        <n v="23"/>
        <n v="10"/>
        <n v="16"/>
        <n v="4"/>
        <n v="22"/>
        <n v="13"/>
        <n v="18"/>
        <n v="34"/>
        <n v="8"/>
        <n v="2"/>
        <n v="9"/>
        <n v="33"/>
        <n v="11"/>
        <n v="19"/>
        <n v="3"/>
        <n v="24"/>
        <n v="28"/>
      </sharedItems>
    </cacheField>
    <cacheField name="Row6" numFmtId="0">
      <sharedItems containsSemiMixedTypes="0" containsString="0" containsNumber="1" containsInteger="1" minValue="2" maxValue="22" count="15">
        <n v="9"/>
        <n v="2"/>
        <n v="18"/>
        <n v="13"/>
        <n v="16"/>
        <n v="12"/>
        <n v="10"/>
        <n v="15"/>
        <n v="5"/>
        <n v="22"/>
        <n v="14"/>
        <n v="3"/>
        <n v="21"/>
        <n v="20"/>
        <n v="8"/>
      </sharedItems>
    </cacheField>
    <cacheField name="Row7" numFmtId="0">
      <sharedItems containsString="0" containsBlank="1" count="1">
        <m/>
      </sharedItems>
    </cacheField>
    <cacheField name="Row8" numFmtId="0">
      <sharedItems containsString="0" containsBlank="1" count="1">
        <m/>
      </sharedItems>
    </cacheField>
    <cacheField name="Mean per meter" numFmtId="0">
      <sharedItems containsSemiMixedTypes="0" containsString="0" containsNumber="1" minValue="1.25" maxValue="14" count="24">
        <n v="5.25"/>
        <n v="3.5"/>
        <n v="8.25"/>
        <n v="6.75"/>
        <n v="9.75"/>
        <n v="5.5"/>
        <n v="6.5"/>
        <n v="4.75"/>
        <n v="9.5"/>
        <n v="4.5"/>
        <n v="14"/>
        <n v="7"/>
        <n v="6"/>
        <n v="1.25"/>
        <n v="5.75"/>
        <n v="4.25"/>
        <n v="3"/>
        <n v="13.5"/>
        <n v="8.5"/>
        <n v="10"/>
        <n v="3.75"/>
        <n v="10.5"/>
        <n v="11"/>
        <n v="7.5"/>
      </sharedItems>
    </cacheField>
    <cacheField name="std err" numFmtId="0">
      <sharedItems containsSemiMixedTypes="0" containsString="0" containsNumber="1" minValue="0" maxValue="3.0138568866708546" count="12">
        <n v="0.74999999999999989"/>
        <n v="3.0138568866708546"/>
        <n v="0.25"/>
        <n v="1.7499999999999998"/>
        <n v="0.5"/>
        <n v="1.4999999999999998"/>
        <n v="2.7499999999999996"/>
        <n v="2"/>
        <n v="2.9999999999999996"/>
        <n v="0"/>
        <n v="1.25"/>
        <n v="2.25"/>
      </sharedItems>
    </cacheField>
    <cacheField name="Nrml. mean per meter" numFmtId="0">
      <sharedItems containsSemiMixedTypes="0" containsString="0" containsNumber="1" minValue="1.25" maxValue="8.5" count="20">
        <n v="5.25"/>
        <n v="3.5"/>
        <n v="4.125"/>
        <n v="6.75"/>
        <n v="4.875"/>
        <n v="5.5"/>
        <n v="6.5"/>
        <n v="4.75"/>
        <n v="4.5"/>
        <n v="8.25"/>
        <n v="7"/>
        <n v="6"/>
        <n v="1.25"/>
        <n v="5.75"/>
        <n v="4.25"/>
        <n v="3"/>
        <n v="8.5"/>
        <n v="5"/>
        <n v="3.75"/>
        <n v="7.5"/>
      </sharedItems>
    </cacheField>
    <cacheField name="Comments" numFmtId="0">
      <sharedItems containsBlank="1" count="3">
        <s v="ended at 8: 42 am"/>
        <m/>
        <s v="started at 7:35 am and went E to W serpentine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nter" refreshedDate="37376.811166782405" createdVersion="1" recordCount="32" xr:uid="{1323AC3E-8067-4725-9C7A-655BFED632A7}">
  <cacheSource type="worksheet">
    <worksheetSource ref="B9:T41" sheet="DOY120" r:id="rId2"/>
  </cacheSource>
  <cacheFields count="19">
    <cacheField name="Plot" numFmtId="0">
      <sharedItems containsSemiMixedTypes="0" containsString="0" containsNumber="1" containsInteger="1" minValue="101" maxValue="408"/>
    </cacheField>
    <cacheField name="Acron" numFmtId="0">
      <sharedItems count="12">
        <s v="FSH"/>
        <s v="FTL"/>
        <s v="FDH"/>
        <s v="NTL"/>
        <s v="NDL"/>
        <s v="NTH"/>
        <s v="FTH"/>
        <s v="NDH"/>
        <s v="NSL"/>
        <s v="FSL"/>
        <s v="NSH"/>
        <s v="FDL"/>
      </sharedItems>
    </cacheField>
    <cacheField name="Trt." numFmtId="0">
      <sharedItems containsSemiMixedTypes="0" containsString="0" containsNumber="1" containsInteger="1" minValue="1" maxValue="12" count="12">
        <n v="1"/>
        <n v="4"/>
        <n v="5"/>
        <n v="10"/>
        <n v="12"/>
        <n v="9"/>
        <n v="3"/>
        <n v="11"/>
        <n v="8"/>
        <n v="2"/>
        <n v="7"/>
        <n v="6"/>
      </sharedItems>
    </cacheField>
    <cacheField name="Irrig." numFmtId="0">
      <sharedItems containsSemiMixedTypes="0" containsString="0" containsNumber="1" containsInteger="1" minValue="1" maxValue="2" count="2">
        <n v="1"/>
        <n v="2"/>
      </sharedItems>
    </cacheField>
    <cacheField name="Pop." numFmtId="0">
      <sharedItems containsSemiMixedTypes="0" containsString="0" containsNumber="1" containsInteger="1" minValue="1" maxValue="3" count="3">
        <n v="1"/>
        <n v="2"/>
        <n v="3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ol.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Exotech Code" numFmtId="0">
      <sharedItems/>
    </cacheField>
    <cacheField name="Row3" numFmtId="0">
      <sharedItems containsString="0" containsBlank="1" count="1">
        <m/>
      </sharedItems>
    </cacheField>
    <cacheField name="Row4" numFmtId="0">
      <sharedItems containsString="0" containsBlank="1" containsNumber="1" containsInteger="1" minValue="19" maxValue="19" count="2">
        <m/>
        <n v="19"/>
      </sharedItems>
    </cacheField>
    <cacheField name="Row5" numFmtId="0">
      <sharedItems containsSemiMixedTypes="0" containsString="0" containsNumber="1" containsInteger="1" minValue="0" maxValue="34" count="21">
        <n v="12"/>
        <n v="0"/>
        <n v="15"/>
        <n v="14"/>
        <n v="23"/>
        <n v="10"/>
        <n v="16"/>
        <n v="4"/>
        <n v="22"/>
        <n v="13"/>
        <n v="18"/>
        <n v="34"/>
        <n v="8"/>
        <n v="2"/>
        <n v="9"/>
        <n v="33"/>
        <n v="11"/>
        <n v="19"/>
        <n v="3"/>
        <n v="24"/>
        <n v="28"/>
      </sharedItems>
    </cacheField>
    <cacheField name="Row6" numFmtId="0">
      <sharedItems containsSemiMixedTypes="0" containsString="0" containsNumber="1" containsInteger="1" minValue="2" maxValue="22" count="15">
        <n v="9"/>
        <n v="2"/>
        <n v="18"/>
        <n v="13"/>
        <n v="16"/>
        <n v="12"/>
        <n v="10"/>
        <n v="15"/>
        <n v="5"/>
        <n v="22"/>
        <n v="14"/>
        <n v="3"/>
        <n v="21"/>
        <n v="20"/>
        <n v="8"/>
      </sharedItems>
    </cacheField>
    <cacheField name="Row7" numFmtId="0">
      <sharedItems containsString="0" containsBlank="1" count="1">
        <m/>
      </sharedItems>
    </cacheField>
    <cacheField name="Row8" numFmtId="0">
      <sharedItems containsString="0" containsBlank="1" count="1">
        <m/>
      </sharedItems>
    </cacheField>
    <cacheField name="Mean per meter" numFmtId="0">
      <sharedItems containsSemiMixedTypes="0" containsString="0" containsNumber="1" minValue="1.25" maxValue="14" count="24">
        <n v="5.25"/>
        <n v="3.5"/>
        <n v="8.25"/>
        <n v="6.75"/>
        <n v="9.75"/>
        <n v="5.5"/>
        <n v="6.5"/>
        <n v="4.75"/>
        <n v="9.5"/>
        <n v="4.5"/>
        <n v="14"/>
        <n v="7"/>
        <n v="6"/>
        <n v="1.25"/>
        <n v="5.75"/>
        <n v="4.25"/>
        <n v="3"/>
        <n v="13.5"/>
        <n v="8.5"/>
        <n v="10"/>
        <n v="3.75"/>
        <n v="10.5"/>
        <n v="11"/>
        <n v="7.5"/>
      </sharedItems>
    </cacheField>
    <cacheField name="std err" numFmtId="0">
      <sharedItems containsSemiMixedTypes="0" containsString="0" containsNumber="1" minValue="0" maxValue="3.0138568866708546" count="12">
        <n v="0.74999999999999989"/>
        <n v="3.0138568866708546"/>
        <n v="0.25"/>
        <n v="1.7499999999999998"/>
        <n v="0.5"/>
        <n v="1.4999999999999998"/>
        <n v="2.7499999999999996"/>
        <n v="2"/>
        <n v="2.9999999999999996"/>
        <n v="0"/>
        <n v="1.25"/>
        <n v="2.25"/>
      </sharedItems>
    </cacheField>
    <cacheField name="Nrml. mean per meter" numFmtId="0">
      <sharedItems containsSemiMixedTypes="0" containsString="0" containsNumber="1" minValue="1.25" maxValue="8.5" count="20">
        <n v="5.25"/>
        <n v="3.5"/>
        <n v="4.125"/>
        <n v="6.75"/>
        <n v="4.875"/>
        <n v="5.5"/>
        <n v="6.5"/>
        <n v="4.75"/>
        <n v="4.5"/>
        <n v="8.25"/>
        <n v="7"/>
        <n v="6"/>
        <n v="1.25"/>
        <n v="5.75"/>
        <n v="4.25"/>
        <n v="3"/>
        <n v="8.5"/>
        <n v="5"/>
        <n v="3.75"/>
        <n v="7.5"/>
      </sharedItems>
    </cacheField>
    <cacheField name="Comments" numFmtId="0">
      <sharedItems containsBlank="1" count="3">
        <s v="ended at 8: 42 am"/>
        <m/>
        <s v="started at 7:35 am and went E to W serpentine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389.696191898147" createdVersion="1" recordCount="32" xr:uid="{77645D71-9B0A-4B7C-8EF1-CD1757ED3B55}">
  <cacheSource type="worksheet">
    <worksheetSource ref="B9:T41" sheet="DOY133" r:id="rId2"/>
  </cacheSource>
  <cacheFields count="19">
    <cacheField name="Plot" numFmtId="0">
      <sharedItems containsSemiMixedTypes="0" containsString="0" containsNumber="1" containsInteger="1" minValue="101" maxValue="408"/>
    </cacheField>
    <cacheField name="Acron" numFmtId="0">
      <sharedItems count="12">
        <s v="FSH"/>
        <s v="FTL"/>
        <s v="FDH"/>
        <s v="NTL"/>
        <s v="NDL"/>
        <s v="NTH"/>
        <s v="FTH"/>
        <s v="NDH"/>
        <s v="NSL"/>
        <s v="FSL"/>
        <s v="NSH"/>
        <s v="FDL"/>
      </sharedItems>
    </cacheField>
    <cacheField name="Trt." numFmtId="0">
      <sharedItems containsSemiMixedTypes="0" containsString="0" containsNumber="1" containsInteger="1" minValue="1" maxValue="12" count="12">
        <n v="1"/>
        <n v="4"/>
        <n v="5"/>
        <n v="10"/>
        <n v="12"/>
        <n v="9"/>
        <n v="3"/>
        <n v="11"/>
        <n v="8"/>
        <n v="2"/>
        <n v="7"/>
        <n v="6"/>
      </sharedItems>
    </cacheField>
    <cacheField name="Irrig." numFmtId="0">
      <sharedItems containsSemiMixedTypes="0" containsString="0" containsNumber="1" containsInteger="1" minValue="1" maxValue="2" count="2">
        <n v="1"/>
        <n v="2"/>
      </sharedItems>
    </cacheField>
    <cacheField name="Pop." numFmtId="0">
      <sharedItems containsSemiMixedTypes="0" containsString="0" containsNumber="1" containsInteger="1" minValue="1" maxValue="3" count="3">
        <n v="1"/>
        <n v="2"/>
        <n v="3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ol.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Exotech Code" numFmtId="0">
      <sharedItems/>
    </cacheField>
    <cacheField name="Row3" numFmtId="0">
      <sharedItems containsString="0" containsBlank="1" count="1">
        <m/>
      </sharedItems>
    </cacheField>
    <cacheField name="Row4" numFmtId="0">
      <sharedItems containsString="0" containsBlank="1" containsNumber="1" containsInteger="1" minValue="13" maxValue="21" count="5">
        <m/>
        <n v="21"/>
        <n v="14"/>
        <n v="13"/>
        <n v="15"/>
      </sharedItems>
    </cacheField>
    <cacheField name="Row5" numFmtId="0">
      <sharedItems containsSemiMixedTypes="0" containsString="0" containsNumber="1" containsInteger="1" minValue="5" maxValue="44" count="20">
        <n v="16"/>
        <n v="5"/>
        <n v="21"/>
        <n v="15"/>
        <n v="26"/>
        <n v="13"/>
        <n v="20"/>
        <n v="32"/>
        <n v="9"/>
        <n v="19"/>
        <n v="33"/>
        <n v="17"/>
        <n v="18"/>
        <n v="12"/>
        <n v="11"/>
        <n v="10"/>
        <n v="44"/>
        <n v="29"/>
        <n v="31"/>
        <n v="22"/>
      </sharedItems>
    </cacheField>
    <cacheField name="Row6" numFmtId="0">
      <sharedItems containsSemiMixedTypes="0" containsString="0" containsNumber="1" containsInteger="1" minValue="8" maxValue="32" count="18">
        <n v="11"/>
        <n v="13"/>
        <n v="21"/>
        <n v="15"/>
        <n v="24"/>
        <n v="19"/>
        <n v="17"/>
        <n v="22"/>
        <n v="12"/>
        <n v="28"/>
        <n v="20"/>
        <n v="18"/>
        <n v="8"/>
        <n v="16"/>
        <n v="32"/>
        <n v="23"/>
        <n v="29"/>
        <n v="27"/>
      </sharedItems>
    </cacheField>
    <cacheField name="Row7" numFmtId="0">
      <sharedItems containsString="0" containsBlank="1" count="1">
        <m/>
      </sharedItems>
    </cacheField>
    <cacheField name="Row8" numFmtId="0">
      <sharedItems containsString="0" containsBlank="1" count="1">
        <m/>
      </sharedItems>
    </cacheField>
    <cacheField name="Mean per meter" numFmtId="0">
      <sharedItems containsSemiMixedTypes="0" containsString="0" containsNumber="1" minValue="4.25" maxValue="19" count="22">
        <n v="6.75"/>
        <n v="6.5"/>
        <n v="10.5"/>
        <n v="7.5"/>
        <n v="12.5"/>
        <n v="8"/>
        <n v="9.25"/>
        <n v="10"/>
        <n v="13.5"/>
        <n v="5.833333333333333"/>
        <n v="9"/>
        <n v="15.25"/>
        <n v="7.75"/>
        <n v="8.75"/>
        <n v="7.166666666666667"/>
        <n v="4.75"/>
        <n v="19"/>
        <n v="11"/>
        <n v="9.75"/>
        <n v="14.5"/>
        <n v="4.25"/>
        <n v="12.75"/>
      </sharedItems>
    </cacheField>
    <cacheField name="std err" numFmtId="0">
      <sharedItems containsSemiMixedTypes="0" containsString="0" containsNumber="1" minValue="0" maxValue="2.9999999999999996" count="15">
        <n v="1.25"/>
        <n v="2.3094010767585034"/>
        <n v="0"/>
        <n v="0.5"/>
        <n v="1.4999999999999998"/>
        <n v="0.74999999999999989"/>
        <n v="2.5"/>
        <n v="0.72648315725677948"/>
        <n v="0.25"/>
        <n v="0.92796072713833622"/>
        <n v="2.9999999999999996"/>
        <n v="1.7499999999999998"/>
        <n v="2.0816659994661326"/>
        <n v="2.7499999999999996"/>
        <n v="1"/>
      </sharedItems>
    </cacheField>
    <cacheField name="Nrml. mean per meter" numFmtId="0">
      <sharedItems containsSemiMixedTypes="0" containsString="0" containsNumber="1" minValue="4.25" maxValue="11" count="22">
        <n v="6.75"/>
        <n v="6.5"/>
        <n v="5.25"/>
        <n v="7.5"/>
        <n v="6.25"/>
        <n v="8"/>
        <n v="9.25"/>
        <n v="10"/>
        <n v="5.833333333333333"/>
        <n v="9"/>
        <n v="7.625"/>
        <n v="7.75"/>
        <n v="10.5"/>
        <n v="8.75"/>
        <n v="7.166666666666667"/>
        <n v="4.75"/>
        <n v="9.5"/>
        <n v="11"/>
        <n v="9.75"/>
        <n v="7.25"/>
        <n v="4.25"/>
        <n v="6.375"/>
      </sharedItems>
    </cacheField>
    <cacheField name="Comments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389.705309375" createdVersion="1" recordCount="32" xr:uid="{99C0BC06-C7F6-431E-83FC-BA31151BBF56}">
  <cacheSource type="worksheet">
    <worksheetSource ref="B9:T41" sheet="DOY133" r:id="rId2"/>
  </cacheSource>
  <cacheFields count="19">
    <cacheField name="Plot" numFmtId="0">
      <sharedItems containsSemiMixedTypes="0" containsString="0" containsNumber="1" containsInteger="1" minValue="101" maxValue="408"/>
    </cacheField>
    <cacheField name="Acron" numFmtId="0">
      <sharedItems count="12">
        <s v="FSH"/>
        <s v="FTL"/>
        <s v="FDH"/>
        <s v="NTL"/>
        <s v="NDL"/>
        <s v="NTH"/>
        <s v="FTH"/>
        <s v="NDH"/>
        <s v="NSL"/>
        <s v="FSL"/>
        <s v="NSH"/>
        <s v="FDL"/>
      </sharedItems>
    </cacheField>
    <cacheField name="Trt." numFmtId="0">
      <sharedItems containsSemiMixedTypes="0" containsString="0" containsNumber="1" containsInteger="1" minValue="1" maxValue="12" count="12">
        <n v="1"/>
        <n v="4"/>
        <n v="5"/>
        <n v="10"/>
        <n v="12"/>
        <n v="9"/>
        <n v="3"/>
        <n v="11"/>
        <n v="8"/>
        <n v="2"/>
        <n v="7"/>
        <n v="6"/>
      </sharedItems>
    </cacheField>
    <cacheField name="Irrig." numFmtId="0">
      <sharedItems containsSemiMixedTypes="0" containsString="0" containsNumber="1" containsInteger="1" minValue="1" maxValue="2" count="2">
        <n v="1"/>
        <n v="2"/>
      </sharedItems>
    </cacheField>
    <cacheField name="Pop." numFmtId="0">
      <sharedItems containsSemiMixedTypes="0" containsString="0" containsNumber="1" containsInteger="1" minValue="1" maxValue="3" count="3">
        <n v="1"/>
        <n v="2"/>
        <n v="3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ol.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Exotech Code" numFmtId="0">
      <sharedItems/>
    </cacheField>
    <cacheField name="Row3" numFmtId="0">
      <sharedItems containsString="0" containsBlank="1" count="1">
        <m/>
      </sharedItems>
    </cacheField>
    <cacheField name="Row4" numFmtId="0">
      <sharedItems containsString="0" containsBlank="1" containsNumber="1" containsInteger="1" minValue="13" maxValue="21" count="5">
        <m/>
        <n v="21"/>
        <n v="14"/>
        <n v="13"/>
        <n v="15"/>
      </sharedItems>
    </cacheField>
    <cacheField name="Row5" numFmtId="0">
      <sharedItems containsSemiMixedTypes="0" containsString="0" containsNumber="1" containsInteger="1" minValue="5" maxValue="44" count="20">
        <n v="16"/>
        <n v="5"/>
        <n v="21"/>
        <n v="15"/>
        <n v="26"/>
        <n v="13"/>
        <n v="20"/>
        <n v="32"/>
        <n v="9"/>
        <n v="19"/>
        <n v="33"/>
        <n v="17"/>
        <n v="18"/>
        <n v="12"/>
        <n v="11"/>
        <n v="10"/>
        <n v="44"/>
        <n v="29"/>
        <n v="31"/>
        <n v="22"/>
      </sharedItems>
    </cacheField>
    <cacheField name="Row6" numFmtId="0">
      <sharedItems containsSemiMixedTypes="0" containsString="0" containsNumber="1" containsInteger="1" minValue="8" maxValue="32" count="18">
        <n v="11"/>
        <n v="13"/>
        <n v="21"/>
        <n v="15"/>
        <n v="24"/>
        <n v="19"/>
        <n v="17"/>
        <n v="22"/>
        <n v="12"/>
        <n v="28"/>
        <n v="20"/>
        <n v="18"/>
        <n v="8"/>
        <n v="16"/>
        <n v="32"/>
        <n v="23"/>
        <n v="29"/>
        <n v="27"/>
      </sharedItems>
    </cacheField>
    <cacheField name="Row7" numFmtId="0">
      <sharedItems containsString="0" containsBlank="1" count="1">
        <m/>
      </sharedItems>
    </cacheField>
    <cacheField name="Row8" numFmtId="0">
      <sharedItems containsString="0" containsBlank="1" count="1">
        <m/>
      </sharedItems>
    </cacheField>
    <cacheField name="Mean per meter" numFmtId="0">
      <sharedItems containsSemiMixedTypes="0" containsString="0" containsNumber="1" minValue="4.25" maxValue="19" count="22">
        <n v="6.75"/>
        <n v="6.5"/>
        <n v="10.5"/>
        <n v="7.5"/>
        <n v="12.5"/>
        <n v="8"/>
        <n v="9.25"/>
        <n v="10"/>
        <n v="13.5"/>
        <n v="5.833333333333333"/>
        <n v="9"/>
        <n v="15.25"/>
        <n v="7.75"/>
        <n v="8.75"/>
        <n v="7.166666666666667"/>
        <n v="4.75"/>
        <n v="19"/>
        <n v="11"/>
        <n v="9.75"/>
        <n v="14.5"/>
        <n v="4.25"/>
        <n v="12.75"/>
      </sharedItems>
    </cacheField>
    <cacheField name="std err" numFmtId="0">
      <sharedItems containsSemiMixedTypes="0" containsString="0" containsNumber="1" minValue="0" maxValue="2.9999999999999996" count="15">
        <n v="1.25"/>
        <n v="2.3094010767585034"/>
        <n v="0"/>
        <n v="0.5"/>
        <n v="1.4999999999999998"/>
        <n v="0.74999999999999989"/>
        <n v="2.5"/>
        <n v="0.72648315725677948"/>
        <n v="0.25"/>
        <n v="0.92796072713833622"/>
        <n v="2.9999999999999996"/>
        <n v="1.7499999999999998"/>
        <n v="2.0816659994661326"/>
        <n v="2.7499999999999996"/>
        <n v="1"/>
      </sharedItems>
    </cacheField>
    <cacheField name="Nrml. mean per meter" numFmtId="0">
      <sharedItems containsSemiMixedTypes="0" containsString="0" containsNumber="1" minValue="4.25" maxValue="11" count="22">
        <n v="6.75"/>
        <n v="6.5"/>
        <n v="5.25"/>
        <n v="7.5"/>
        <n v="6.25"/>
        <n v="8"/>
        <n v="9.25"/>
        <n v="10"/>
        <n v="5.833333333333333"/>
        <n v="9"/>
        <n v="7.625"/>
        <n v="7.75"/>
        <n v="10.5"/>
        <n v="8.75"/>
        <n v="7.166666666666667"/>
        <n v="4.75"/>
        <n v="9.5"/>
        <n v="11"/>
        <n v="9.75"/>
        <n v="7.25"/>
        <n v="4.25"/>
        <n v="6.375"/>
      </sharedItems>
    </cacheField>
    <cacheField name="Comments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379.475857754631" createdVersion="1" recordCount="32" xr:uid="{D1F3EA92-137F-46BD-A9E2-EFF2DBD3D411}">
  <cacheSource type="worksheet">
    <worksheetSource ref="B9:T41" sheet="DOY123" r:id="rId2"/>
  </cacheSource>
  <cacheFields count="19">
    <cacheField name="Plot" numFmtId="0">
      <sharedItems containsSemiMixedTypes="0" containsString="0" containsNumber="1" containsInteger="1" minValue="101" maxValue="408"/>
    </cacheField>
    <cacheField name="Acron" numFmtId="0">
      <sharedItems count="12">
        <s v="FSH"/>
        <s v="FTL"/>
        <s v="FDH"/>
        <s v="NTL"/>
        <s v="NDL"/>
        <s v="NTH"/>
        <s v="FTH"/>
        <s v="NDH"/>
        <s v="NSL"/>
        <s v="FSL"/>
        <s v="NSH"/>
        <s v="FDL"/>
      </sharedItems>
    </cacheField>
    <cacheField name="Trt." numFmtId="0">
      <sharedItems containsSemiMixedTypes="0" containsString="0" containsNumber="1" containsInteger="1" minValue="1" maxValue="12" count="12">
        <n v="1"/>
        <n v="4"/>
        <n v="5"/>
        <n v="10"/>
        <n v="12"/>
        <n v="9"/>
        <n v="3"/>
        <n v="11"/>
        <n v="8"/>
        <n v="2"/>
        <n v="7"/>
        <n v="6"/>
      </sharedItems>
    </cacheField>
    <cacheField name="Irrig." numFmtId="0">
      <sharedItems containsSemiMixedTypes="0" containsString="0" containsNumber="1" containsInteger="1" minValue="1" maxValue="2" count="2">
        <n v="1"/>
        <n v="2"/>
      </sharedItems>
    </cacheField>
    <cacheField name="Pop." numFmtId="0">
      <sharedItems containsSemiMixedTypes="0" containsString="0" containsNumber="1" containsInteger="1" minValue="1" maxValue="3" count="3">
        <n v="1"/>
        <n v="2"/>
        <n v="3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ol.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Exotech Code" numFmtId="0">
      <sharedItems/>
    </cacheField>
    <cacheField name="Row3" numFmtId="0">
      <sharedItems containsString="0" containsBlank="1" count="1">
        <m/>
      </sharedItems>
    </cacheField>
    <cacheField name="Row4" numFmtId="0">
      <sharedItems containsString="0" containsBlank="1" containsNumber="1" containsInteger="1" minValue="11" maxValue="22" count="5">
        <m/>
        <n v="22"/>
        <n v="13"/>
        <n v="12"/>
        <n v="11"/>
      </sharedItems>
    </cacheField>
    <cacheField name="Row5" numFmtId="0">
      <sharedItems containsSemiMixedTypes="0" containsString="0" containsNumber="1" containsInteger="1" minValue="2" maxValue="37" count="18">
        <n v="13"/>
        <n v="3"/>
        <n v="17"/>
        <n v="15"/>
        <n v="25"/>
        <n v="11"/>
        <n v="4"/>
        <n v="6"/>
        <n v="19"/>
        <n v="34"/>
        <n v="9"/>
        <n v="2"/>
        <n v="5"/>
        <n v="37"/>
        <n v="14"/>
        <n v="28"/>
        <n v="18"/>
        <n v="27"/>
      </sharedItems>
    </cacheField>
    <cacheField name="Row6" numFmtId="0">
      <sharedItems containsSemiMixedTypes="0" containsString="0" containsNumber="1" containsInteger="1" minValue="3" maxValue="24" count="16">
        <n v="10"/>
        <n v="14"/>
        <n v="20"/>
        <n v="15"/>
        <n v="12"/>
        <n v="9"/>
        <n v="16"/>
        <n v="17"/>
        <n v="21"/>
        <n v="3"/>
        <n v="18"/>
        <n v="4"/>
        <n v="24"/>
        <n v="22"/>
        <n v="11"/>
        <n v="19"/>
      </sharedItems>
    </cacheField>
    <cacheField name="Row7" numFmtId="0">
      <sharedItems containsString="0" containsBlank="1" count="1">
        <m/>
      </sharedItems>
    </cacheField>
    <cacheField name="Row8" numFmtId="0">
      <sharedItems containsString="0" containsBlank="1" count="1">
        <m/>
      </sharedItems>
    </cacheField>
    <cacheField name="Mean per meter" numFmtId="0">
      <sharedItems containsSemiMixedTypes="0" containsString="0" containsNumber="1" minValue="1.25" maxValue="15.25" count="24">
        <n v="5.75"/>
        <n v="6.5"/>
        <n v="9.25"/>
        <n v="7.25"/>
        <n v="10"/>
        <n v="6"/>
        <n v="5"/>
        <n v="10.5"/>
        <n v="5.166666666666667"/>
        <n v="8.75"/>
        <n v="13.75"/>
        <n v="6.25"/>
        <n v="1.25"/>
        <n v="7.75"/>
        <n v="5.833333333333333"/>
        <n v="3.25"/>
        <n v="6.75"/>
        <n v="15.25"/>
        <n v="9"/>
        <n v="10.25"/>
        <n v="3.75"/>
        <n v="11.75"/>
        <n v="11.5"/>
        <n v="7.5"/>
      </sharedItems>
    </cacheField>
    <cacheField name="std err" numFmtId="0">
      <sharedItems containsSemiMixedTypes="0" containsString="0" containsNumber="1" minValue="0" maxValue="3.2499999999999996" count="16">
        <n v="0.74999999999999989"/>
        <n v="2.753785273643051"/>
        <n v="0.25"/>
        <n v="2.5"/>
        <n v="1.4999999999999998"/>
        <n v="2.9999999999999996"/>
        <n v="2"/>
        <n v="1.0929064207170005"/>
        <n v="3.2499999999999996"/>
        <n v="1.7499999999999998"/>
        <n v="1.8782379449307745"/>
        <n v="1.25"/>
        <n v="2.25"/>
        <n v="2.0275875100994067"/>
        <n v="0"/>
        <n v="1"/>
      </sharedItems>
    </cacheField>
    <cacheField name="Nrml. mean per meter" numFmtId="0">
      <sharedItems containsSemiMixedTypes="0" containsString="0" containsNumber="1" minValue="1.25" maxValue="9" count="22">
        <n v="5.75"/>
        <n v="6.5"/>
        <n v="4.625"/>
        <n v="7.25"/>
        <n v="5"/>
        <n v="6"/>
        <n v="5.25"/>
        <n v="5.166666666666667"/>
        <n v="8.75"/>
        <n v="6.875"/>
        <n v="6.25"/>
        <n v="1.25"/>
        <n v="7.75"/>
        <n v="5.833333333333333"/>
        <n v="3.25"/>
        <n v="6.75"/>
        <n v="7.625"/>
        <n v="9"/>
        <n v="5.125"/>
        <n v="3.75"/>
        <n v="5.875"/>
        <n v="7.5"/>
      </sharedItems>
    </cacheField>
    <cacheField name="Comments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379.47621134259" createdVersion="1" recordCount="32" xr:uid="{B243E82A-7EB5-4743-B653-AA308F5C22DD}">
  <cacheSource type="worksheet">
    <worksheetSource ref="B9:T41" sheet="DOY123" r:id="rId2"/>
  </cacheSource>
  <cacheFields count="19">
    <cacheField name="Plot" numFmtId="0">
      <sharedItems containsSemiMixedTypes="0" containsString="0" containsNumber="1" containsInteger="1" minValue="101" maxValue="408"/>
    </cacheField>
    <cacheField name="Acron" numFmtId="0">
      <sharedItems count="12">
        <s v="FSH"/>
        <s v="FTL"/>
        <s v="FDH"/>
        <s v="NTL"/>
        <s v="NDL"/>
        <s v="NTH"/>
        <s v="FTH"/>
        <s v="NDH"/>
        <s v="NSL"/>
        <s v="FSL"/>
        <s v="NSH"/>
        <s v="FDL"/>
      </sharedItems>
    </cacheField>
    <cacheField name="Trt." numFmtId="0">
      <sharedItems containsSemiMixedTypes="0" containsString="0" containsNumber="1" containsInteger="1" minValue="1" maxValue="12" count="12">
        <n v="1"/>
        <n v="4"/>
        <n v="5"/>
        <n v="10"/>
        <n v="12"/>
        <n v="9"/>
        <n v="3"/>
        <n v="11"/>
        <n v="8"/>
        <n v="2"/>
        <n v="7"/>
        <n v="6"/>
      </sharedItems>
    </cacheField>
    <cacheField name="Irrig." numFmtId="0">
      <sharedItems containsSemiMixedTypes="0" containsString="0" containsNumber="1" containsInteger="1" minValue="1" maxValue="2" count="2">
        <n v="1"/>
        <n v="2"/>
      </sharedItems>
    </cacheField>
    <cacheField name="Pop." numFmtId="0">
      <sharedItems containsSemiMixedTypes="0" containsString="0" containsNumber="1" containsInteger="1" minValue="1" maxValue="3" count="3">
        <n v="1"/>
        <n v="2"/>
        <n v="3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ol.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Exotech Code" numFmtId="0">
      <sharedItems/>
    </cacheField>
    <cacheField name="Row3" numFmtId="0">
      <sharedItems containsString="0" containsBlank="1" count="1">
        <m/>
      </sharedItems>
    </cacheField>
    <cacheField name="Row4" numFmtId="0">
      <sharedItems containsString="0" containsBlank="1" containsNumber="1" containsInteger="1" minValue="11" maxValue="22" count="5">
        <m/>
        <n v="22"/>
        <n v="13"/>
        <n v="12"/>
        <n v="11"/>
      </sharedItems>
    </cacheField>
    <cacheField name="Row5" numFmtId="0">
      <sharedItems containsSemiMixedTypes="0" containsString="0" containsNumber="1" containsInteger="1" minValue="2" maxValue="37" count="18">
        <n v="13"/>
        <n v="3"/>
        <n v="17"/>
        <n v="15"/>
        <n v="25"/>
        <n v="11"/>
        <n v="4"/>
        <n v="6"/>
        <n v="19"/>
        <n v="34"/>
        <n v="9"/>
        <n v="2"/>
        <n v="5"/>
        <n v="37"/>
        <n v="14"/>
        <n v="28"/>
        <n v="18"/>
        <n v="27"/>
      </sharedItems>
    </cacheField>
    <cacheField name="Row6" numFmtId="0">
      <sharedItems containsSemiMixedTypes="0" containsString="0" containsNumber="1" containsInteger="1" minValue="3" maxValue="24" count="16">
        <n v="10"/>
        <n v="14"/>
        <n v="20"/>
        <n v="15"/>
        <n v="12"/>
        <n v="9"/>
        <n v="16"/>
        <n v="17"/>
        <n v="21"/>
        <n v="3"/>
        <n v="18"/>
        <n v="4"/>
        <n v="24"/>
        <n v="22"/>
        <n v="11"/>
        <n v="19"/>
      </sharedItems>
    </cacheField>
    <cacheField name="Row7" numFmtId="0">
      <sharedItems containsString="0" containsBlank="1" count="1">
        <m/>
      </sharedItems>
    </cacheField>
    <cacheField name="Row8" numFmtId="0">
      <sharedItems containsString="0" containsBlank="1" count="1">
        <m/>
      </sharedItems>
    </cacheField>
    <cacheField name="Mean per meter" numFmtId="0">
      <sharedItems containsSemiMixedTypes="0" containsString="0" containsNumber="1" minValue="1.25" maxValue="15.25" count="24">
        <n v="5.75"/>
        <n v="6.5"/>
        <n v="9.25"/>
        <n v="7.25"/>
        <n v="10"/>
        <n v="6"/>
        <n v="5"/>
        <n v="10.5"/>
        <n v="5.166666666666667"/>
        <n v="8.75"/>
        <n v="13.75"/>
        <n v="6.25"/>
        <n v="1.25"/>
        <n v="7.75"/>
        <n v="5.833333333333333"/>
        <n v="3.25"/>
        <n v="6.75"/>
        <n v="15.25"/>
        <n v="9"/>
        <n v="10.25"/>
        <n v="3.75"/>
        <n v="11.75"/>
        <n v="11.5"/>
        <n v="7.5"/>
      </sharedItems>
    </cacheField>
    <cacheField name="std err" numFmtId="0">
      <sharedItems containsSemiMixedTypes="0" containsString="0" containsNumber="1" minValue="0" maxValue="3.2499999999999996" count="16">
        <n v="0.74999999999999989"/>
        <n v="2.753785273643051"/>
        <n v="0.25"/>
        <n v="2.5"/>
        <n v="1.4999999999999998"/>
        <n v="2.9999999999999996"/>
        <n v="2"/>
        <n v="1.0929064207170005"/>
        <n v="3.2499999999999996"/>
        <n v="1.7499999999999998"/>
        <n v="1.8782379449307745"/>
        <n v="1.25"/>
        <n v="2.25"/>
        <n v="2.0275875100994067"/>
        <n v="0"/>
        <n v="1"/>
      </sharedItems>
    </cacheField>
    <cacheField name="Nrml. mean per meter" numFmtId="0">
      <sharedItems containsSemiMixedTypes="0" containsString="0" containsNumber="1" minValue="1.25" maxValue="9" count="22">
        <n v="5.75"/>
        <n v="6.5"/>
        <n v="4.625"/>
        <n v="7.25"/>
        <n v="5"/>
        <n v="6"/>
        <n v="5.25"/>
        <n v="5.166666666666667"/>
        <n v="8.75"/>
        <n v="6.875"/>
        <n v="6.25"/>
        <n v="1.25"/>
        <n v="7.75"/>
        <n v="5.833333333333333"/>
        <n v="3.25"/>
        <n v="6.75"/>
        <n v="7.625"/>
        <n v="9"/>
        <n v="5.125"/>
        <n v="3.75"/>
        <n v="5.875"/>
        <n v="7.5"/>
      </sharedItems>
    </cacheField>
    <cacheField name="Comments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379.472421064813" createdVersion="1" recordCount="32" xr:uid="{D4A70DFB-B365-43D9-A10B-13D678A1E388}">
  <cacheSource type="worksheet">
    <worksheetSource ref="B9:T41" sheet="DOY123" r:id="rId2"/>
  </cacheSource>
  <cacheFields count="19">
    <cacheField name="Plot" numFmtId="0">
      <sharedItems containsSemiMixedTypes="0" containsString="0" containsNumber="1" containsInteger="1" minValue="101" maxValue="408"/>
    </cacheField>
    <cacheField name="Acron" numFmtId="0">
      <sharedItems count="12">
        <s v="FSH"/>
        <s v="FTL"/>
        <s v="FDH"/>
        <s v="NTL"/>
        <s v="NDL"/>
        <s v="NTH"/>
        <s v="FTH"/>
        <s v="NDH"/>
        <s v="NSL"/>
        <s v="FSL"/>
        <s v="NSH"/>
        <s v="FDL"/>
      </sharedItems>
    </cacheField>
    <cacheField name="Trt." numFmtId="0">
      <sharedItems containsSemiMixedTypes="0" containsString="0" containsNumber="1" containsInteger="1" minValue="1" maxValue="12" count="12">
        <n v="1"/>
        <n v="4"/>
        <n v="5"/>
        <n v="10"/>
        <n v="12"/>
        <n v="9"/>
        <n v="3"/>
        <n v="11"/>
        <n v="8"/>
        <n v="2"/>
        <n v="7"/>
        <n v="6"/>
      </sharedItems>
    </cacheField>
    <cacheField name="Irrig." numFmtId="0">
      <sharedItems containsSemiMixedTypes="0" containsString="0" containsNumber="1" containsInteger="1" minValue="1" maxValue="2" count="2">
        <n v="1"/>
        <n v="2"/>
      </sharedItems>
    </cacheField>
    <cacheField name="Pop." numFmtId="0">
      <sharedItems containsSemiMixedTypes="0" containsString="0" containsNumber="1" containsInteger="1" minValue="1" maxValue="3" count="3">
        <n v="1"/>
        <n v="2"/>
        <n v="3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ol.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Exotech Code" numFmtId="0">
      <sharedItems/>
    </cacheField>
    <cacheField name="Row3" numFmtId="0">
      <sharedItems containsString="0" containsBlank="1" count="1">
        <m/>
      </sharedItems>
    </cacheField>
    <cacheField name="Row4" numFmtId="0">
      <sharedItems containsString="0" containsBlank="1" containsNumber="1" containsInteger="1" minValue="11" maxValue="22" count="5">
        <m/>
        <n v="22"/>
        <n v="13"/>
        <n v="12"/>
        <n v="11"/>
      </sharedItems>
    </cacheField>
    <cacheField name="Row5" numFmtId="0">
      <sharedItems containsSemiMixedTypes="0" containsString="0" containsNumber="1" containsInteger="1" minValue="2" maxValue="37" count="18">
        <n v="13"/>
        <n v="3"/>
        <n v="17"/>
        <n v="15"/>
        <n v="25"/>
        <n v="11"/>
        <n v="4"/>
        <n v="6"/>
        <n v="19"/>
        <n v="34"/>
        <n v="9"/>
        <n v="2"/>
        <n v="5"/>
        <n v="37"/>
        <n v="14"/>
        <n v="28"/>
        <n v="18"/>
        <n v="27"/>
      </sharedItems>
    </cacheField>
    <cacheField name="Row6" numFmtId="0">
      <sharedItems containsSemiMixedTypes="0" containsString="0" containsNumber="1" containsInteger="1" minValue="3" maxValue="24" count="16">
        <n v="10"/>
        <n v="14"/>
        <n v="20"/>
        <n v="15"/>
        <n v="12"/>
        <n v="9"/>
        <n v="16"/>
        <n v="17"/>
        <n v="21"/>
        <n v="3"/>
        <n v="18"/>
        <n v="4"/>
        <n v="24"/>
        <n v="22"/>
        <n v="11"/>
        <n v="19"/>
      </sharedItems>
    </cacheField>
    <cacheField name="Row7" numFmtId="0">
      <sharedItems containsString="0" containsBlank="1" count="1">
        <m/>
      </sharedItems>
    </cacheField>
    <cacheField name="Row8" numFmtId="0">
      <sharedItems containsString="0" containsBlank="1" count="1">
        <m/>
      </sharedItems>
    </cacheField>
    <cacheField name="Mean per meter" numFmtId="0">
      <sharedItems containsSemiMixedTypes="0" containsString="0" containsNumber="1" minValue="1.25" maxValue="15.25" count="24">
        <n v="5.75"/>
        <n v="6.5"/>
        <n v="9.25"/>
        <n v="7.25"/>
        <n v="10"/>
        <n v="6"/>
        <n v="5"/>
        <n v="10.5"/>
        <n v="5.166666666666667"/>
        <n v="8.75"/>
        <n v="13.75"/>
        <n v="6.25"/>
        <n v="1.25"/>
        <n v="7.75"/>
        <n v="5.833333333333333"/>
        <n v="3.25"/>
        <n v="6.75"/>
        <n v="15.25"/>
        <n v="9"/>
        <n v="10.25"/>
        <n v="3.75"/>
        <n v="11.75"/>
        <n v="11.5"/>
        <n v="7.5"/>
      </sharedItems>
    </cacheField>
    <cacheField name="std err" numFmtId="0">
      <sharedItems containsSemiMixedTypes="0" containsString="0" containsNumber="1" minValue="0" maxValue="3.2499999999999996" count="16">
        <n v="0.74999999999999989"/>
        <n v="2.753785273643051"/>
        <n v="0.25"/>
        <n v="2.5"/>
        <n v="1.4999999999999998"/>
        <n v="2.9999999999999996"/>
        <n v="2"/>
        <n v="1.0929064207170005"/>
        <n v="3.2499999999999996"/>
        <n v="1.7499999999999998"/>
        <n v="1.8782379449307745"/>
        <n v="1.25"/>
        <n v="2.25"/>
        <n v="2.0275875100994067"/>
        <n v="0"/>
        <n v="1"/>
      </sharedItems>
    </cacheField>
    <cacheField name="Nrml. mean per meter" numFmtId="0">
      <sharedItems containsSemiMixedTypes="0" containsString="0" containsNumber="1" minValue="1.25" maxValue="9" count="22">
        <n v="5.75"/>
        <n v="6.5"/>
        <n v="4.625"/>
        <n v="7.25"/>
        <n v="5"/>
        <n v="6"/>
        <n v="5.25"/>
        <n v="5.166666666666667"/>
        <n v="8.75"/>
        <n v="6.875"/>
        <n v="6.25"/>
        <n v="1.25"/>
        <n v="7.75"/>
        <n v="5.833333333333333"/>
        <n v="3.25"/>
        <n v="6.75"/>
        <n v="7.625"/>
        <n v="9"/>
        <n v="5.125"/>
        <n v="3.75"/>
        <n v="5.875"/>
        <n v="7.5"/>
      </sharedItems>
    </cacheField>
    <cacheField name="Comments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379.47261921296" createdVersion="1" recordCount="32" xr:uid="{223630DA-AA3D-4BC8-BA43-AD57D2A10B46}">
  <cacheSource type="worksheet">
    <worksheetSource ref="B9:T41" sheet="DOY123" r:id="rId2"/>
  </cacheSource>
  <cacheFields count="19">
    <cacheField name="Plot" numFmtId="0">
      <sharedItems containsSemiMixedTypes="0" containsString="0" containsNumber="1" containsInteger="1" minValue="101" maxValue="408"/>
    </cacheField>
    <cacheField name="Acron" numFmtId="0">
      <sharedItems count="12">
        <s v="FSH"/>
        <s v="FTL"/>
        <s v="FDH"/>
        <s v="NTL"/>
        <s v="NDL"/>
        <s v="NTH"/>
        <s v="FTH"/>
        <s v="NDH"/>
        <s v="NSL"/>
        <s v="FSL"/>
        <s v="NSH"/>
        <s v="FDL"/>
      </sharedItems>
    </cacheField>
    <cacheField name="Trt." numFmtId="0">
      <sharedItems containsSemiMixedTypes="0" containsString="0" containsNumber="1" containsInteger="1" minValue="1" maxValue="12" count="12">
        <n v="1"/>
        <n v="4"/>
        <n v="5"/>
        <n v="10"/>
        <n v="12"/>
        <n v="9"/>
        <n v="3"/>
        <n v="11"/>
        <n v="8"/>
        <n v="2"/>
        <n v="7"/>
        <n v="6"/>
      </sharedItems>
    </cacheField>
    <cacheField name="Irrig." numFmtId="0">
      <sharedItems containsSemiMixedTypes="0" containsString="0" containsNumber="1" containsInteger="1" minValue="1" maxValue="2" count="2">
        <n v="1"/>
        <n v="2"/>
      </sharedItems>
    </cacheField>
    <cacheField name="Pop." numFmtId="0">
      <sharedItems containsSemiMixedTypes="0" containsString="0" containsNumber="1" containsInteger="1" minValue="1" maxValue="3" count="3">
        <n v="1"/>
        <n v="2"/>
        <n v="3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ol.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Exotech Code" numFmtId="0">
      <sharedItems/>
    </cacheField>
    <cacheField name="Row3" numFmtId="0">
      <sharedItems containsString="0" containsBlank="1" count="1">
        <m/>
      </sharedItems>
    </cacheField>
    <cacheField name="Row4" numFmtId="0">
      <sharedItems containsString="0" containsBlank="1" containsNumber="1" containsInteger="1" minValue="11" maxValue="22" count="5">
        <m/>
        <n v="22"/>
        <n v="13"/>
        <n v="12"/>
        <n v="11"/>
      </sharedItems>
    </cacheField>
    <cacheField name="Row5" numFmtId="0">
      <sharedItems containsSemiMixedTypes="0" containsString="0" containsNumber="1" containsInteger="1" minValue="2" maxValue="37" count="18">
        <n v="13"/>
        <n v="3"/>
        <n v="17"/>
        <n v="15"/>
        <n v="25"/>
        <n v="11"/>
        <n v="4"/>
        <n v="6"/>
        <n v="19"/>
        <n v="34"/>
        <n v="9"/>
        <n v="2"/>
        <n v="5"/>
        <n v="37"/>
        <n v="14"/>
        <n v="28"/>
        <n v="18"/>
        <n v="27"/>
      </sharedItems>
    </cacheField>
    <cacheField name="Row6" numFmtId="0">
      <sharedItems containsSemiMixedTypes="0" containsString="0" containsNumber="1" containsInteger="1" minValue="3" maxValue="24" count="16">
        <n v="10"/>
        <n v="14"/>
        <n v="20"/>
        <n v="15"/>
        <n v="12"/>
        <n v="9"/>
        <n v="16"/>
        <n v="17"/>
        <n v="21"/>
        <n v="3"/>
        <n v="18"/>
        <n v="4"/>
        <n v="24"/>
        <n v="22"/>
        <n v="11"/>
        <n v="19"/>
      </sharedItems>
    </cacheField>
    <cacheField name="Row7" numFmtId="0">
      <sharedItems containsString="0" containsBlank="1" count="1">
        <m/>
      </sharedItems>
    </cacheField>
    <cacheField name="Row8" numFmtId="0">
      <sharedItems containsString="0" containsBlank="1" count="1">
        <m/>
      </sharedItems>
    </cacheField>
    <cacheField name="Mean per meter" numFmtId="0">
      <sharedItems containsSemiMixedTypes="0" containsString="0" containsNumber="1" minValue="1.25" maxValue="15.25" count="24">
        <n v="5.75"/>
        <n v="6.5"/>
        <n v="9.25"/>
        <n v="7.25"/>
        <n v="10"/>
        <n v="6"/>
        <n v="5"/>
        <n v="10.5"/>
        <n v="5.166666666666667"/>
        <n v="8.75"/>
        <n v="13.75"/>
        <n v="6.25"/>
        <n v="1.25"/>
        <n v="7.75"/>
        <n v="5.833333333333333"/>
        <n v="3.25"/>
        <n v="6.75"/>
        <n v="15.25"/>
        <n v="9"/>
        <n v="10.25"/>
        <n v="3.75"/>
        <n v="11.75"/>
        <n v="11.5"/>
        <n v="7.5"/>
      </sharedItems>
    </cacheField>
    <cacheField name="std err" numFmtId="0">
      <sharedItems containsSemiMixedTypes="0" containsString="0" containsNumber="1" minValue="0" maxValue="3.2499999999999996" count="16">
        <n v="0.74999999999999989"/>
        <n v="2.753785273643051"/>
        <n v="0.25"/>
        <n v="2.5"/>
        <n v="1.4999999999999998"/>
        <n v="2.9999999999999996"/>
        <n v="2"/>
        <n v="1.0929064207170005"/>
        <n v="3.2499999999999996"/>
        <n v="1.7499999999999998"/>
        <n v="1.8782379449307745"/>
        <n v="1.25"/>
        <n v="2.25"/>
        <n v="2.0275875100994067"/>
        <n v="0"/>
        <n v="1"/>
      </sharedItems>
    </cacheField>
    <cacheField name="Nrml. mean per meter" numFmtId="0">
      <sharedItems containsSemiMixedTypes="0" containsString="0" containsNumber="1" minValue="1.25" maxValue="9" count="22">
        <n v="5.75"/>
        <n v="6.5"/>
        <n v="4.625"/>
        <n v="7.25"/>
        <n v="5"/>
        <n v="6"/>
        <n v="5.25"/>
        <n v="5.166666666666667"/>
        <n v="8.75"/>
        <n v="6.875"/>
        <n v="6.25"/>
        <n v="1.25"/>
        <n v="7.75"/>
        <n v="5.833333333333333"/>
        <n v="3.25"/>
        <n v="6.75"/>
        <n v="7.625"/>
        <n v="9"/>
        <n v="5.125"/>
        <n v="3.75"/>
        <n v="5.875"/>
        <n v="7.5"/>
      </sharedItems>
    </cacheField>
    <cacheField name="Comments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nter" refreshedDate="37381.48825775463" createdVersion="1" recordCount="32" xr:uid="{5C20D164-2348-455D-B626-AD582FAB8B4B}">
  <cacheSource type="worksheet">
    <worksheetSource ref="B9:T41" sheet="DOY125" r:id="rId2"/>
  </cacheSource>
  <cacheFields count="19">
    <cacheField name="Plot" numFmtId="0">
      <sharedItems containsSemiMixedTypes="0" containsString="0" containsNumber="1" containsInteger="1" minValue="101" maxValue="408"/>
    </cacheField>
    <cacheField name="Acron" numFmtId="0">
      <sharedItems count="12">
        <s v="FSH"/>
        <s v="FTL"/>
        <s v="FDH"/>
        <s v="NTL"/>
        <s v="NDL"/>
        <s v="NTH"/>
        <s v="FTH"/>
        <s v="NDH"/>
        <s v="NSL"/>
        <s v="FSL"/>
        <s v="NSH"/>
        <s v="FDL"/>
      </sharedItems>
    </cacheField>
    <cacheField name="Trt." numFmtId="0">
      <sharedItems containsSemiMixedTypes="0" containsString="0" containsNumber="1" containsInteger="1" minValue="1" maxValue="12" count="12">
        <n v="1"/>
        <n v="4"/>
        <n v="5"/>
        <n v="10"/>
        <n v="12"/>
        <n v="9"/>
        <n v="3"/>
        <n v="11"/>
        <n v="8"/>
        <n v="2"/>
        <n v="7"/>
        <n v="6"/>
      </sharedItems>
    </cacheField>
    <cacheField name="Irrig." numFmtId="0">
      <sharedItems containsSemiMixedTypes="0" containsString="0" containsNumber="1" containsInteger="1" minValue="1" maxValue="2" count="2">
        <n v="1"/>
        <n v="2"/>
      </sharedItems>
    </cacheField>
    <cacheField name="Pop." numFmtId="0">
      <sharedItems containsSemiMixedTypes="0" containsString="0" containsNumber="1" containsInteger="1" minValue="1" maxValue="3" count="3">
        <n v="1"/>
        <n v="2"/>
        <n v="3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ol.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Exotech Code" numFmtId="0">
      <sharedItems/>
    </cacheField>
    <cacheField name="Row3" numFmtId="0">
      <sharedItems containsString="0" containsBlank="1" count="1">
        <m/>
      </sharedItems>
    </cacheField>
    <cacheField name="Row4" numFmtId="0">
      <sharedItems containsString="0" containsBlank="1" count="1">
        <m/>
      </sharedItems>
    </cacheField>
    <cacheField name="Row5" numFmtId="0">
      <sharedItems containsSemiMixedTypes="0" containsString="0" containsNumber="1" containsInteger="1" minValue="2" maxValue="38" count="20">
        <n v="12"/>
        <n v="2"/>
        <n v="17"/>
        <n v="25"/>
        <n v="8"/>
        <n v="14"/>
        <n v="6"/>
        <n v="16"/>
        <n v="33"/>
        <n v="13"/>
        <n v="9"/>
        <n v="10"/>
        <n v="19"/>
        <n v="11"/>
        <n v="38"/>
        <n v="21"/>
        <n v="3"/>
        <n v="4"/>
        <n v="18"/>
        <n v="28"/>
      </sharedItems>
    </cacheField>
    <cacheField name="Row6" numFmtId="0">
      <sharedItems containsSemiMixedTypes="0" containsString="0" containsNumber="1" containsInteger="1" minValue="3" maxValue="25" count="15">
        <n v="9"/>
        <n v="13"/>
        <n v="22"/>
        <n v="12"/>
        <n v="15"/>
        <n v="11"/>
        <n v="10"/>
        <n v="17"/>
        <n v="19"/>
        <n v="16"/>
        <n v="3"/>
        <n v="14"/>
        <n v="5"/>
        <n v="23"/>
        <n v="25"/>
      </sharedItems>
    </cacheField>
    <cacheField name="Row7" numFmtId="0">
      <sharedItems containsString="0" containsBlank="1" count="1">
        <m/>
      </sharedItems>
    </cacheField>
    <cacheField name="Row8" numFmtId="0">
      <sharedItems containsString="0" containsBlank="1" count="1">
        <m/>
      </sharedItems>
    </cacheField>
    <cacheField name="Mean per meter" numFmtId="0">
      <sharedItems containsSemiMixedTypes="0" containsString="0" containsNumber="1" minValue="2.25" maxValue="15.25" count="23">
        <n v="5.25"/>
        <n v="3.75"/>
        <n v="9.75"/>
        <n v="6"/>
        <n v="10"/>
        <n v="4.75"/>
        <n v="11"/>
        <n v="4"/>
        <n v="8"/>
        <n v="13.75"/>
        <n v="7"/>
        <n v="2.25"/>
        <n v="5.75"/>
        <n v="8.25"/>
        <n v="3.5"/>
        <n v="6.5"/>
        <n v="15.25"/>
        <n v="9"/>
        <n v="10.75"/>
        <n v="5"/>
        <n v="11.75"/>
        <n v="6.75"/>
        <n v="5.5"/>
      </sharedItems>
    </cacheField>
    <cacheField name="std err" numFmtId="0">
      <sharedItems containsSemiMixedTypes="0" containsString="0" containsNumber="1" minValue="0" maxValue="3.75" count="14">
        <n v="0.74999999999999989"/>
        <n v="2.7499999999999996"/>
        <n v="1.25"/>
        <n v="0"/>
        <n v="2.5"/>
        <n v="1"/>
        <n v="3.75"/>
        <n v="1.4999999999999998"/>
        <n v="0.5"/>
        <n v="2"/>
        <n v="0.25"/>
        <n v="2.9999999999999996"/>
        <n v="1.7499999999999998"/>
        <n v="2.25"/>
      </sharedItems>
    </cacheField>
    <cacheField name="Nrml. mean per meter" numFmtId="0">
      <sharedItems containsSemiMixedTypes="0" containsString="0" containsNumber="1" minValue="2.25" maxValue="9" count="21">
        <n v="5.25"/>
        <n v="3.75"/>
        <n v="4.875"/>
        <n v="6"/>
        <n v="5"/>
        <n v="4.75"/>
        <n v="5.5"/>
        <n v="4"/>
        <n v="8"/>
        <n v="6.875"/>
        <n v="7"/>
        <n v="2.25"/>
        <n v="5.75"/>
        <n v="8.25"/>
        <n v="3.5"/>
        <n v="6.5"/>
        <n v="7.625"/>
        <n v="9"/>
        <n v="5.375"/>
        <n v="5.875"/>
        <n v="6.75"/>
      </sharedItems>
    </cacheField>
    <cacheField name="Comments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nter" refreshedDate="37381.487824768519" createdVersion="1" recordCount="32" xr:uid="{1644A216-A61A-44D0-91A2-DDEC925DD674}">
  <cacheSource type="worksheet">
    <worksheetSource ref="B9:T41" sheet="DOY125" r:id="rId2"/>
  </cacheSource>
  <cacheFields count="19">
    <cacheField name="Plot" numFmtId="0">
      <sharedItems containsSemiMixedTypes="0" containsString="0" containsNumber="1" containsInteger="1" minValue="101" maxValue="408"/>
    </cacheField>
    <cacheField name="Acron" numFmtId="0">
      <sharedItems count="12">
        <s v="FSH"/>
        <s v="FTL"/>
        <s v="FDH"/>
        <s v="NTL"/>
        <s v="NDL"/>
        <s v="NTH"/>
        <s v="FTH"/>
        <s v="NDH"/>
        <s v="NSL"/>
        <s v="FSL"/>
        <s v="NSH"/>
        <s v="FDL"/>
      </sharedItems>
    </cacheField>
    <cacheField name="Trt." numFmtId="0">
      <sharedItems containsSemiMixedTypes="0" containsString="0" containsNumber="1" containsInteger="1" minValue="1" maxValue="12" count="12">
        <n v="1"/>
        <n v="4"/>
        <n v="5"/>
        <n v="10"/>
        <n v="12"/>
        <n v="9"/>
        <n v="3"/>
        <n v="11"/>
        <n v="8"/>
        <n v="2"/>
        <n v="7"/>
        <n v="6"/>
      </sharedItems>
    </cacheField>
    <cacheField name="Irrig." numFmtId="0">
      <sharedItems containsSemiMixedTypes="0" containsString="0" containsNumber="1" containsInteger="1" minValue="1" maxValue="2" count="2">
        <n v="1"/>
        <n v="2"/>
      </sharedItems>
    </cacheField>
    <cacheField name="Pop." numFmtId="0">
      <sharedItems containsSemiMixedTypes="0" containsString="0" containsNumber="1" containsInteger="1" minValue="1" maxValue="3" count="3">
        <n v="1"/>
        <n v="2"/>
        <n v="3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ol.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Exotech Code" numFmtId="0">
      <sharedItems/>
    </cacheField>
    <cacheField name="Row3" numFmtId="0">
      <sharedItems containsString="0" containsBlank="1" count="1">
        <m/>
      </sharedItems>
    </cacheField>
    <cacheField name="Row4" numFmtId="0">
      <sharedItems containsString="0" containsBlank="1" count="1">
        <m/>
      </sharedItems>
    </cacheField>
    <cacheField name="Row5" numFmtId="0">
      <sharedItems containsSemiMixedTypes="0" containsString="0" containsNumber="1" containsInteger="1" minValue="2" maxValue="38" count="20">
        <n v="12"/>
        <n v="2"/>
        <n v="17"/>
        <n v="25"/>
        <n v="8"/>
        <n v="14"/>
        <n v="6"/>
        <n v="16"/>
        <n v="33"/>
        <n v="13"/>
        <n v="9"/>
        <n v="10"/>
        <n v="19"/>
        <n v="11"/>
        <n v="38"/>
        <n v="21"/>
        <n v="3"/>
        <n v="4"/>
        <n v="18"/>
        <n v="28"/>
      </sharedItems>
    </cacheField>
    <cacheField name="Row6" numFmtId="0">
      <sharedItems containsSemiMixedTypes="0" containsString="0" containsNumber="1" containsInteger="1" minValue="3" maxValue="25" count="15">
        <n v="9"/>
        <n v="13"/>
        <n v="22"/>
        <n v="12"/>
        <n v="15"/>
        <n v="11"/>
        <n v="10"/>
        <n v="17"/>
        <n v="19"/>
        <n v="16"/>
        <n v="3"/>
        <n v="14"/>
        <n v="5"/>
        <n v="23"/>
        <n v="25"/>
      </sharedItems>
    </cacheField>
    <cacheField name="Row7" numFmtId="0">
      <sharedItems containsString="0" containsBlank="1" count="1">
        <m/>
      </sharedItems>
    </cacheField>
    <cacheField name="Row8" numFmtId="0">
      <sharedItems containsString="0" containsBlank="1" count="1">
        <m/>
      </sharedItems>
    </cacheField>
    <cacheField name="Mean per meter" numFmtId="0">
      <sharedItems containsSemiMixedTypes="0" containsString="0" containsNumber="1" minValue="2.25" maxValue="15.25" count="23">
        <n v="5.25"/>
        <n v="3.75"/>
        <n v="9.75"/>
        <n v="6"/>
        <n v="10"/>
        <n v="4.75"/>
        <n v="11"/>
        <n v="4"/>
        <n v="8"/>
        <n v="13.75"/>
        <n v="7"/>
        <n v="2.25"/>
        <n v="5.75"/>
        <n v="8.25"/>
        <n v="3.5"/>
        <n v="6.5"/>
        <n v="15.25"/>
        <n v="9"/>
        <n v="10.75"/>
        <n v="5"/>
        <n v="11.75"/>
        <n v="6.75"/>
        <n v="5.5"/>
      </sharedItems>
    </cacheField>
    <cacheField name="std err" numFmtId="0">
      <sharedItems containsSemiMixedTypes="0" containsString="0" containsNumber="1" minValue="0" maxValue="3.75" count="14">
        <n v="0.74999999999999989"/>
        <n v="2.7499999999999996"/>
        <n v="1.25"/>
        <n v="0"/>
        <n v="2.5"/>
        <n v="1"/>
        <n v="3.75"/>
        <n v="1.4999999999999998"/>
        <n v="0.5"/>
        <n v="2"/>
        <n v="0.25"/>
        <n v="2.9999999999999996"/>
        <n v="1.7499999999999998"/>
        <n v="2.25"/>
      </sharedItems>
    </cacheField>
    <cacheField name="Nrml. mean per meter" numFmtId="0">
      <sharedItems containsSemiMixedTypes="0" containsString="0" containsNumber="1" minValue="2.25" maxValue="9" count="21">
        <n v="5.25"/>
        <n v="3.75"/>
        <n v="4.875"/>
        <n v="6"/>
        <n v="5"/>
        <n v="4.75"/>
        <n v="5.5"/>
        <n v="4"/>
        <n v="8"/>
        <n v="6.875"/>
        <n v="7"/>
        <n v="2.25"/>
        <n v="5.75"/>
        <n v="8.25"/>
        <n v="3.5"/>
        <n v="6.5"/>
        <n v="7.625"/>
        <n v="9"/>
        <n v="5.375"/>
        <n v="5.875"/>
        <n v="6.75"/>
      </sharedItems>
    </cacheField>
    <cacheField name="Comments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377.74004074074" createdVersion="1" recordCount="32" xr:uid="{CBAF32E7-4BC1-49BD-A037-CB052FEEBA9C}">
  <cacheSource type="worksheet">
    <worksheetSource ref="B9:T41" sheet="DOY133" r:id="rId2"/>
  </cacheSource>
  <cacheFields count="19">
    <cacheField name="Plot" numFmtId="0">
      <sharedItems containsSemiMixedTypes="0" containsString="0" containsNumber="1" containsInteger="1" minValue="101" maxValue="408"/>
    </cacheField>
    <cacheField name="Acron" numFmtId="0">
      <sharedItems count="12">
        <s v="FSH"/>
        <s v="FTL"/>
        <s v="FDH"/>
        <s v="NTL"/>
        <s v="NDL"/>
        <s v="NTH"/>
        <s v="FTH"/>
        <s v="NDH"/>
        <s v="NSL"/>
        <s v="FSL"/>
        <s v="NSH"/>
        <s v="FDL"/>
      </sharedItems>
    </cacheField>
    <cacheField name="Trt." numFmtId="0">
      <sharedItems containsSemiMixedTypes="0" containsString="0" containsNumber="1" containsInteger="1" minValue="1" maxValue="12" count="12">
        <n v="1"/>
        <n v="4"/>
        <n v="5"/>
        <n v="10"/>
        <n v="12"/>
        <n v="9"/>
        <n v="3"/>
        <n v="11"/>
        <n v="8"/>
        <n v="2"/>
        <n v="7"/>
        <n v="6"/>
      </sharedItems>
    </cacheField>
    <cacheField name="Irrig." numFmtId="0">
      <sharedItems containsSemiMixedTypes="0" containsString="0" containsNumber="1" containsInteger="1" minValue="1" maxValue="2" count="2">
        <n v="1"/>
        <n v="2"/>
      </sharedItems>
    </cacheField>
    <cacheField name="Pop." numFmtId="0">
      <sharedItems containsSemiMixedTypes="0" containsString="0" containsNumber="1" containsInteger="1" minValue="1" maxValue="3" count="3">
        <n v="1"/>
        <n v="2"/>
        <n v="3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ol.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Exotech Code" numFmtId="0">
      <sharedItems/>
    </cacheField>
    <cacheField name="Row3" numFmtId="0">
      <sharedItems containsString="0" containsBlank="1" count="1">
        <m/>
      </sharedItems>
    </cacheField>
    <cacheField name="Row4" numFmtId="0">
      <sharedItems containsString="0" containsBlank="1" count="1">
        <m/>
      </sharedItems>
    </cacheField>
    <cacheField name="Row5" numFmtId="0">
      <sharedItems containsString="0" containsBlank="1" count="1">
        <m/>
      </sharedItems>
    </cacheField>
    <cacheField name="Row6" numFmtId="0">
      <sharedItems containsString="0" containsBlank="1" count="1">
        <m/>
      </sharedItems>
    </cacheField>
    <cacheField name="Row7" numFmtId="0">
      <sharedItems containsString="0" containsBlank="1" count="1">
        <m/>
      </sharedItems>
    </cacheField>
    <cacheField name="Row8" numFmtId="0">
      <sharedItems containsString="0" containsBlank="1" count="1">
        <m/>
      </sharedItems>
    </cacheField>
    <cacheField name="Mean per meter" numFmtId="0">
      <sharedItems count="1">
        <e v="#DIV/0!"/>
      </sharedItems>
    </cacheField>
    <cacheField name="std err" numFmtId="0">
      <sharedItems count="1">
        <e v="#DIV/0!"/>
      </sharedItems>
    </cacheField>
    <cacheField name="Nrml. mean per meter" numFmtId="0">
      <sharedItems count="1">
        <e v="#DIV/0!"/>
      </sharedItems>
    </cacheField>
    <cacheField name="Comments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377.739850347221" createdVersion="1" recordCount="32" xr:uid="{ADB459F4-6C7C-4764-A10D-63AEFCBFF628}">
  <cacheSource type="worksheet">
    <worksheetSource ref="B9:T41" sheet="DOY133" r:id="rId2"/>
  </cacheSource>
  <cacheFields count="19">
    <cacheField name="Plot" numFmtId="0">
      <sharedItems containsSemiMixedTypes="0" containsString="0" containsNumber="1" containsInteger="1" minValue="101" maxValue="408"/>
    </cacheField>
    <cacheField name="Acron" numFmtId="0">
      <sharedItems count="12">
        <s v="FSH"/>
        <s v="FTL"/>
        <s v="FDH"/>
        <s v="NTL"/>
        <s v="NDL"/>
        <s v="NTH"/>
        <s v="FTH"/>
        <s v="NDH"/>
        <s v="NSL"/>
        <s v="FSL"/>
        <s v="NSH"/>
        <s v="FDL"/>
      </sharedItems>
    </cacheField>
    <cacheField name="Trt." numFmtId="0">
      <sharedItems containsSemiMixedTypes="0" containsString="0" containsNumber="1" containsInteger="1" minValue="1" maxValue="12" count="12">
        <n v="1"/>
        <n v="4"/>
        <n v="5"/>
        <n v="10"/>
        <n v="12"/>
        <n v="9"/>
        <n v="3"/>
        <n v="11"/>
        <n v="8"/>
        <n v="2"/>
        <n v="7"/>
        <n v="6"/>
      </sharedItems>
    </cacheField>
    <cacheField name="Irrig." numFmtId="0">
      <sharedItems containsSemiMixedTypes="0" containsString="0" containsNumber="1" containsInteger="1" minValue="1" maxValue="2" count="2">
        <n v="1"/>
        <n v="2"/>
      </sharedItems>
    </cacheField>
    <cacheField name="Pop." numFmtId="0">
      <sharedItems containsSemiMixedTypes="0" containsString="0" containsNumber="1" containsInteger="1" minValue="1" maxValue="3" count="3">
        <n v="1"/>
        <n v="2"/>
        <n v="3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ol.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Exotech Code" numFmtId="0">
      <sharedItems/>
    </cacheField>
    <cacheField name="Row3" numFmtId="0">
      <sharedItems containsString="0" containsBlank="1" count="1">
        <m/>
      </sharedItems>
    </cacheField>
    <cacheField name="Row4" numFmtId="0">
      <sharedItems containsString="0" containsBlank="1" count="1">
        <m/>
      </sharedItems>
    </cacheField>
    <cacheField name="Row5" numFmtId="0">
      <sharedItems containsString="0" containsBlank="1" count="1">
        <m/>
      </sharedItems>
    </cacheField>
    <cacheField name="Row6" numFmtId="0">
      <sharedItems containsString="0" containsBlank="1" count="1">
        <m/>
      </sharedItems>
    </cacheField>
    <cacheField name="Row7" numFmtId="0">
      <sharedItems containsString="0" containsBlank="1" count="1">
        <m/>
      </sharedItems>
    </cacheField>
    <cacheField name="Row8" numFmtId="0">
      <sharedItems containsString="0" containsBlank="1" count="1">
        <m/>
      </sharedItems>
    </cacheField>
    <cacheField name="Mean per meter" numFmtId="0">
      <sharedItems count="1">
        <e v="#DIV/0!"/>
      </sharedItems>
    </cacheField>
    <cacheField name="std err" numFmtId="0">
      <sharedItems count="1">
        <e v="#DIV/0!"/>
      </sharedItems>
    </cacheField>
    <cacheField name="Nrml. mean per meter" numFmtId="0">
      <sharedItems count="1">
        <e v="#DIV/0!"/>
      </sharedItems>
    </cacheField>
    <cacheField name="Comments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391.676190162034" createdVersion="1" recordCount="32" xr:uid="{18DAD2C2-7FEA-49B6-BF7C-822C8BE2C5FC}">
  <cacheSource type="worksheet">
    <worksheetSource ref="B9:T41" sheet="DOY134" r:id="rId2"/>
  </cacheSource>
  <cacheFields count="19">
    <cacheField name="Plot" numFmtId="0">
      <sharedItems containsSemiMixedTypes="0" containsString="0" containsNumber="1" containsInteger="1" minValue="101" maxValue="408"/>
    </cacheField>
    <cacheField name="Acron" numFmtId="0">
      <sharedItems count="12">
        <s v="FSH"/>
        <s v="FTL"/>
        <s v="FDH"/>
        <s v="NTL"/>
        <s v="NDL"/>
        <s v="NTH"/>
        <s v="FTH"/>
        <s v="NDH"/>
        <s v="NSL"/>
        <s v="FSL"/>
        <s v="NSH"/>
        <s v="FDL"/>
      </sharedItems>
    </cacheField>
    <cacheField name="Trt." numFmtId="0">
      <sharedItems containsSemiMixedTypes="0" containsString="0" containsNumber="1" containsInteger="1" minValue="1" maxValue="12" count="12">
        <n v="1"/>
        <n v="4"/>
        <n v="5"/>
        <n v="10"/>
        <n v="12"/>
        <n v="9"/>
        <n v="3"/>
        <n v="11"/>
        <n v="8"/>
        <n v="2"/>
        <n v="7"/>
        <n v="6"/>
      </sharedItems>
    </cacheField>
    <cacheField name="Irrig." numFmtId="0">
      <sharedItems containsSemiMixedTypes="0" containsString="0" containsNumber="1" containsInteger="1" minValue="1" maxValue="2" count="2">
        <n v="1"/>
        <n v="2"/>
      </sharedItems>
    </cacheField>
    <cacheField name="Pop." numFmtId="0">
      <sharedItems containsSemiMixedTypes="0" containsString="0" containsNumber="1" containsInteger="1" minValue="1" maxValue="3" count="3">
        <n v="1"/>
        <n v="2"/>
        <n v="3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ol.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Exotech Code" numFmtId="0">
      <sharedItems/>
    </cacheField>
    <cacheField name="Row3" numFmtId="0">
      <sharedItems containsString="0" containsBlank="1" count="1">
        <m/>
      </sharedItems>
    </cacheField>
    <cacheField name="Row4" numFmtId="0">
      <sharedItems containsString="0" containsBlank="1" containsNumber="1" containsInteger="1" minValue="16" maxValue="24" count="4">
        <m/>
        <n v="24"/>
        <n v="16"/>
        <n v="20"/>
      </sharedItems>
    </cacheField>
    <cacheField name="Row5" numFmtId="0">
      <sharedItems containsSemiMixedTypes="0" containsString="0" containsNumber="1" containsInteger="1" minValue="6" maxValue="50" count="21">
        <n v="17"/>
        <n v="9"/>
        <n v="26"/>
        <n v="21"/>
        <n v="29"/>
        <n v="14"/>
        <n v="22"/>
        <n v="25"/>
        <n v="39"/>
        <n v="13"/>
        <n v="42"/>
        <n v="18"/>
        <n v="20"/>
        <n v="23"/>
        <n v="15"/>
        <n v="11"/>
        <n v="50"/>
        <n v="6"/>
        <n v="32"/>
        <n v="38"/>
        <n v="16"/>
      </sharedItems>
    </cacheField>
    <cacheField name="Row6" numFmtId="0">
      <sharedItems containsSemiMixedTypes="0" containsString="0" containsNumber="1" containsInteger="1" minValue="8" maxValue="36" count="19">
        <n v="13"/>
        <n v="15"/>
        <n v="31"/>
        <n v="24"/>
        <n v="30"/>
        <n v="21"/>
        <n v="22"/>
        <n v="28"/>
        <n v="35"/>
        <n v="25"/>
        <n v="18"/>
        <n v="23"/>
        <n v="19"/>
        <n v="8"/>
        <n v="27"/>
        <n v="36"/>
        <n v="14"/>
        <n v="34"/>
        <n v="20"/>
      </sharedItems>
    </cacheField>
    <cacheField name="Row7" numFmtId="0">
      <sharedItems containsString="0" containsBlank="1" count="1">
        <m/>
      </sharedItems>
    </cacheField>
    <cacheField name="Row8" numFmtId="0">
      <sharedItems containsString="0" containsBlank="1" count="1">
        <m/>
      </sharedItems>
    </cacheField>
    <cacheField name="Mean per meter" numFmtId="0">
      <sharedItems containsSemiMixedTypes="0" containsString="0" containsNumber="1" minValue="4.75" maxValue="21.25" count="27">
        <n v="7.5"/>
        <n v="8"/>
        <n v="14.25"/>
        <n v="11.25"/>
        <n v="14.75"/>
        <n v="8.75"/>
        <n v="10.75"/>
        <n v="11.75"/>
        <n v="16.75"/>
        <n v="7.333333333333333"/>
        <n v="11.5"/>
        <n v="19.25"/>
        <n v="10"/>
        <n v="10.25"/>
        <n v="8.1666666666666661"/>
        <n v="4.75"/>
        <n v="8.25"/>
        <n v="21.25"/>
        <n v="12.25"/>
        <n v="12"/>
        <n v="19.5"/>
        <n v="5"/>
        <n v="8.5"/>
        <n v="15"/>
        <n v="18"/>
        <n v="9.75"/>
        <n v="10.5"/>
      </sharedItems>
    </cacheField>
    <cacheField name="std err" numFmtId="0">
      <sharedItems containsSemiMixedTypes="0" containsString="0" containsNumber="1" minValue="0" maxValue="3.75" count="14">
        <n v="1"/>
        <n v="2.179449471770337"/>
        <n v="1.25"/>
        <n v="0.74999999999999989"/>
        <n v="0.25"/>
        <n v="1.7499999999999998"/>
        <n v="2.7499999999999996"/>
        <n v="0.44095855184409671"/>
        <n v="0"/>
        <n v="3.75"/>
        <n v="0.5"/>
        <n v="1.4999999999999998"/>
        <n v="2"/>
        <n v="2.0207259421636903"/>
      </sharedItems>
    </cacheField>
    <cacheField name="Nrml. mean per meter" numFmtId="0">
      <sharedItems containsSemiMixedTypes="0" containsString="0" containsNumber="1" minValue="4.75" maxValue="12.25" count="25">
        <n v="7.5"/>
        <n v="8"/>
        <n v="7.125"/>
        <n v="11.25"/>
        <n v="7.375"/>
        <n v="8.75"/>
        <n v="10.75"/>
        <n v="11.75"/>
        <n v="8.375"/>
        <n v="7.333333333333333"/>
        <n v="11.5"/>
        <n v="9.625"/>
        <n v="10"/>
        <n v="10.25"/>
        <n v="8.1666666666666661"/>
        <n v="4.75"/>
        <n v="8.25"/>
        <n v="10.625"/>
        <n v="12.25"/>
        <n v="12"/>
        <n v="9.75"/>
        <n v="5"/>
        <n v="8.5"/>
        <n v="9"/>
        <n v="10.5"/>
      </sharedItems>
    </cacheField>
    <cacheField name="Comments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391.675948495373" createdVersion="1" recordCount="32" xr:uid="{6A5E3BEC-0AAE-44D9-9EA5-3BF9252AFB11}">
  <cacheSource type="worksheet">
    <worksheetSource ref="B9:T41" sheet="DOY134" r:id="rId2"/>
  </cacheSource>
  <cacheFields count="19">
    <cacheField name="Plot" numFmtId="0">
      <sharedItems containsSemiMixedTypes="0" containsString="0" containsNumber="1" containsInteger="1" minValue="101" maxValue="408"/>
    </cacheField>
    <cacheField name="Acron" numFmtId="0">
      <sharedItems count="12">
        <s v="FSH"/>
        <s v="FTL"/>
        <s v="FDH"/>
        <s v="NTL"/>
        <s v="NDL"/>
        <s v="NTH"/>
        <s v="FTH"/>
        <s v="NDH"/>
        <s v="NSL"/>
        <s v="FSL"/>
        <s v="NSH"/>
        <s v="FDL"/>
      </sharedItems>
    </cacheField>
    <cacheField name="Trt." numFmtId="0">
      <sharedItems containsSemiMixedTypes="0" containsString="0" containsNumber="1" containsInteger="1" minValue="1" maxValue="12" count="12">
        <n v="1"/>
        <n v="4"/>
        <n v="5"/>
        <n v="10"/>
        <n v="12"/>
        <n v="9"/>
        <n v="3"/>
        <n v="11"/>
        <n v="8"/>
        <n v="2"/>
        <n v="7"/>
        <n v="6"/>
      </sharedItems>
    </cacheField>
    <cacheField name="Irrig." numFmtId="0">
      <sharedItems containsSemiMixedTypes="0" containsString="0" containsNumber="1" containsInteger="1" minValue="1" maxValue="2" count="2">
        <n v="1"/>
        <n v="2"/>
      </sharedItems>
    </cacheField>
    <cacheField name="Pop." numFmtId="0">
      <sharedItems containsSemiMixedTypes="0" containsString="0" containsNumber="1" containsInteger="1" minValue="1" maxValue="3" count="3">
        <n v="1"/>
        <n v="2"/>
        <n v="3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ol.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Exotech Code" numFmtId="0">
      <sharedItems/>
    </cacheField>
    <cacheField name="Row3" numFmtId="0">
      <sharedItems containsString="0" containsBlank="1" count="1">
        <m/>
      </sharedItems>
    </cacheField>
    <cacheField name="Row4" numFmtId="0">
      <sharedItems containsString="0" containsBlank="1" containsNumber="1" containsInteger="1" minValue="16" maxValue="24" count="4">
        <m/>
        <n v="24"/>
        <n v="16"/>
        <n v="20"/>
      </sharedItems>
    </cacheField>
    <cacheField name="Row5" numFmtId="0">
      <sharedItems containsSemiMixedTypes="0" containsString="0" containsNumber="1" containsInteger="1" minValue="6" maxValue="50" count="21">
        <n v="17"/>
        <n v="9"/>
        <n v="26"/>
        <n v="21"/>
        <n v="29"/>
        <n v="14"/>
        <n v="22"/>
        <n v="25"/>
        <n v="39"/>
        <n v="13"/>
        <n v="42"/>
        <n v="18"/>
        <n v="20"/>
        <n v="23"/>
        <n v="15"/>
        <n v="11"/>
        <n v="50"/>
        <n v="6"/>
        <n v="32"/>
        <n v="38"/>
        <n v="16"/>
      </sharedItems>
    </cacheField>
    <cacheField name="Row6" numFmtId="0">
      <sharedItems containsSemiMixedTypes="0" containsString="0" containsNumber="1" containsInteger="1" minValue="8" maxValue="36" count="19">
        <n v="13"/>
        <n v="15"/>
        <n v="31"/>
        <n v="24"/>
        <n v="30"/>
        <n v="21"/>
        <n v="22"/>
        <n v="28"/>
        <n v="35"/>
        <n v="25"/>
        <n v="18"/>
        <n v="23"/>
        <n v="19"/>
        <n v="8"/>
        <n v="27"/>
        <n v="36"/>
        <n v="14"/>
        <n v="34"/>
        <n v="20"/>
      </sharedItems>
    </cacheField>
    <cacheField name="Row7" numFmtId="0">
      <sharedItems containsString="0" containsBlank="1" count="1">
        <m/>
      </sharedItems>
    </cacheField>
    <cacheField name="Row8" numFmtId="0">
      <sharedItems containsString="0" containsBlank="1" count="1">
        <m/>
      </sharedItems>
    </cacheField>
    <cacheField name="Mean per meter" numFmtId="0">
      <sharedItems containsSemiMixedTypes="0" containsString="0" containsNumber="1" minValue="4.75" maxValue="21.25" count="27">
        <n v="7.5"/>
        <n v="8"/>
        <n v="14.25"/>
        <n v="11.25"/>
        <n v="14.75"/>
        <n v="8.75"/>
        <n v="10.75"/>
        <n v="11.75"/>
        <n v="16.75"/>
        <n v="7.333333333333333"/>
        <n v="11.5"/>
        <n v="19.25"/>
        <n v="10"/>
        <n v="10.25"/>
        <n v="8.1666666666666661"/>
        <n v="4.75"/>
        <n v="8.25"/>
        <n v="21.25"/>
        <n v="12.25"/>
        <n v="12"/>
        <n v="19.5"/>
        <n v="5"/>
        <n v="8.5"/>
        <n v="15"/>
        <n v="18"/>
        <n v="9.75"/>
        <n v="10.5"/>
      </sharedItems>
    </cacheField>
    <cacheField name="std err" numFmtId="0">
      <sharedItems containsSemiMixedTypes="0" containsString="0" containsNumber="1" minValue="0" maxValue="3.75" count="14">
        <n v="1"/>
        <n v="2.179449471770337"/>
        <n v="1.25"/>
        <n v="0.74999999999999989"/>
        <n v="0.25"/>
        <n v="1.7499999999999998"/>
        <n v="2.7499999999999996"/>
        <n v="0.44095855184409671"/>
        <n v="0"/>
        <n v="3.75"/>
        <n v="0.5"/>
        <n v="1.4999999999999998"/>
        <n v="2"/>
        <n v="2.0207259421636903"/>
      </sharedItems>
    </cacheField>
    <cacheField name="Nrml. mean per meter" numFmtId="0">
      <sharedItems containsSemiMixedTypes="0" containsString="0" containsNumber="1" minValue="4.75" maxValue="12.25" count="25">
        <n v="7.5"/>
        <n v="8"/>
        <n v="7.125"/>
        <n v="11.25"/>
        <n v="7.375"/>
        <n v="8.75"/>
        <n v="10.75"/>
        <n v="11.75"/>
        <n v="8.375"/>
        <n v="7.333333333333333"/>
        <n v="11.5"/>
        <n v="9.625"/>
        <n v="10"/>
        <n v="10.25"/>
        <n v="8.1666666666666661"/>
        <n v="4.75"/>
        <n v="8.25"/>
        <n v="10.625"/>
        <n v="12.25"/>
        <n v="12"/>
        <n v="9.75"/>
        <n v="5"/>
        <n v="8.5"/>
        <n v="9"/>
        <n v="10.5"/>
      </sharedItems>
    </cacheField>
    <cacheField name="Comments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391.671351736113" createdVersion="1" recordCount="32" xr:uid="{ED38FE9E-3CD9-4E5E-9331-BE1595AD9E71}">
  <cacheSource type="worksheet">
    <worksheetSource ref="B9:T41" sheet="DOY135" r:id="rId2"/>
  </cacheSource>
  <cacheFields count="19">
    <cacheField name="Plot" numFmtId="0">
      <sharedItems containsSemiMixedTypes="0" containsString="0" containsNumber="1" containsInteger="1" minValue="101" maxValue="408"/>
    </cacheField>
    <cacheField name="Acron" numFmtId="0">
      <sharedItems count="12">
        <s v="FSH"/>
        <s v="FTL"/>
        <s v="FDH"/>
        <s v="NTL"/>
        <s v="NDL"/>
        <s v="NTH"/>
        <s v="FTH"/>
        <s v="NDH"/>
        <s v="NSL"/>
        <s v="FSL"/>
        <s v="NSH"/>
        <s v="FDL"/>
      </sharedItems>
    </cacheField>
    <cacheField name="Trt." numFmtId="0">
      <sharedItems containsSemiMixedTypes="0" containsString="0" containsNumber="1" containsInteger="1" minValue="1" maxValue="12" count="12">
        <n v="1"/>
        <n v="4"/>
        <n v="5"/>
        <n v="10"/>
        <n v="12"/>
        <n v="9"/>
        <n v="3"/>
        <n v="11"/>
        <n v="8"/>
        <n v="2"/>
        <n v="7"/>
        <n v="6"/>
      </sharedItems>
    </cacheField>
    <cacheField name="Irrig." numFmtId="0">
      <sharedItems containsSemiMixedTypes="0" containsString="0" containsNumber="1" containsInteger="1" minValue="1" maxValue="2" count="2">
        <n v="1"/>
        <n v="2"/>
      </sharedItems>
    </cacheField>
    <cacheField name="Pop." numFmtId="0">
      <sharedItems containsSemiMixedTypes="0" containsString="0" containsNumber="1" containsInteger="1" minValue="1" maxValue="3" count="3">
        <n v="1"/>
        <n v="2"/>
        <n v="3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ol.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Exotech Code" numFmtId="0">
      <sharedItems/>
    </cacheField>
    <cacheField name="Row3" numFmtId="0">
      <sharedItems containsString="0" containsBlank="1" count="1">
        <m/>
      </sharedItems>
    </cacheField>
    <cacheField name="Row4" numFmtId="0">
      <sharedItems containsString="0" containsBlank="1" containsNumber="1" containsInteger="1" minValue="17" maxValue="30" count="4">
        <m/>
        <n v="27"/>
        <n v="17"/>
        <n v="30"/>
      </sharedItems>
    </cacheField>
    <cacheField name="Row5" numFmtId="0">
      <sharedItems containsSemiMixedTypes="0" containsString="0" containsNumber="1" containsInteger="1" minValue="10" maxValue="52" count="18">
        <n v="21"/>
        <n v="29"/>
        <n v="26"/>
        <n v="31"/>
        <n v="17"/>
        <n v="23"/>
        <n v="42"/>
        <n v="18"/>
        <n v="46"/>
        <n v="22"/>
        <n v="24"/>
        <n v="13"/>
        <n v="52"/>
        <n v="45"/>
        <n v="10"/>
        <n v="38"/>
        <n v="19"/>
        <n v="25"/>
      </sharedItems>
    </cacheField>
    <cacheField name="Row6" numFmtId="0">
      <sharedItems containsSemiMixedTypes="0" containsString="0" containsNumber="1" containsInteger="1" minValue="4" maxValue="41" count="20">
        <n v="18"/>
        <n v="17"/>
        <n v="4"/>
        <n v="27"/>
        <n v="33"/>
        <n v="22"/>
        <n v="21"/>
        <n v="31"/>
        <n v="19"/>
        <n v="41"/>
        <n v="25"/>
        <n v="23"/>
        <n v="20"/>
        <n v="13"/>
        <n v="38"/>
        <n v="26"/>
        <n v="36"/>
        <n v="28"/>
        <n v="35"/>
        <n v="24"/>
      </sharedItems>
    </cacheField>
    <cacheField name="Row7" numFmtId="0">
      <sharedItems containsString="0" containsBlank="1" count="1">
        <m/>
      </sharedItems>
    </cacheField>
    <cacheField name="Row8" numFmtId="0">
      <sharedItems containsString="0" containsBlank="1" count="1">
        <m/>
      </sharedItems>
    </cacheField>
    <cacheField name="Mean per meter" numFmtId="0">
      <sharedItems containsSemiMixedTypes="0" containsString="0" containsNumber="1" minValue="6.5" maxValue="22.5" count="23">
        <n v="9.75"/>
        <n v="10.833333333333334"/>
        <n v="8.25"/>
        <n v="13.25"/>
        <n v="16"/>
        <n v="11"/>
        <n v="12.5"/>
        <n v="18.25"/>
        <n v="9"/>
        <n v="12"/>
        <n v="21.75"/>
        <n v="10.75"/>
        <n v="10.5"/>
        <n v="11.25"/>
        <n v="6.5"/>
        <n v="9.25"/>
        <n v="22.5"/>
        <n v="20.25"/>
        <n v="7.5"/>
        <n v="18.5"/>
        <n v="13"/>
        <n v="19.25"/>
        <n v="11.75"/>
      </sharedItems>
    </cacheField>
    <cacheField name="std err" numFmtId="0">
      <sharedItems containsSemiMixedTypes="0" containsString="0" containsNumber="1" minValue="0" maxValue="6.25" count="14">
        <n v="0.74999999999999989"/>
        <n v="1.452966314513559"/>
        <n v="6.25"/>
        <n v="0.25"/>
        <n v="0.5"/>
        <n v="1.25"/>
        <n v="1"/>
        <n v="2.7499999999999996"/>
        <n v="0.28867513459481292"/>
        <n v="1.7499999999999998"/>
        <n v="0"/>
        <n v="3.4999999999999996"/>
        <n v="2.25"/>
        <n v="3.0046260628866586"/>
      </sharedItems>
    </cacheField>
    <cacheField name="Nrml. mean per meter" numFmtId="0">
      <sharedItems containsSemiMixedTypes="0" containsString="0" containsNumber="1" minValue="4.125" maxValue="13.25" count="21">
        <n v="9.75"/>
        <n v="10.833333333333334"/>
        <n v="4.125"/>
        <n v="13.25"/>
        <n v="8"/>
        <n v="11"/>
        <n v="12.5"/>
        <n v="9.125"/>
        <n v="9"/>
        <n v="12"/>
        <n v="10.875"/>
        <n v="10.75"/>
        <n v="10.5"/>
        <n v="11.25"/>
        <n v="6.5"/>
        <n v="9.25"/>
        <n v="10.125"/>
        <n v="7.5"/>
        <n v="13"/>
        <n v="9.625"/>
        <n v="11.75"/>
      </sharedItems>
    </cacheField>
    <cacheField name="Comments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391.671614467596" createdVersion="1" recordCount="32" xr:uid="{951865EB-CD2D-4CEA-8FBC-1393F47A74AD}">
  <cacheSource type="worksheet">
    <worksheetSource ref="B9:T41" sheet="DOY135" r:id="rId2"/>
  </cacheSource>
  <cacheFields count="19">
    <cacheField name="Plot" numFmtId="0">
      <sharedItems containsSemiMixedTypes="0" containsString="0" containsNumber="1" containsInteger="1" minValue="101" maxValue="408"/>
    </cacheField>
    <cacheField name="Acron" numFmtId="0">
      <sharedItems count="12">
        <s v="FSH"/>
        <s v="FTL"/>
        <s v="FDH"/>
        <s v="NTL"/>
        <s v="NDL"/>
        <s v="NTH"/>
        <s v="FTH"/>
        <s v="NDH"/>
        <s v="NSL"/>
        <s v="FSL"/>
        <s v="NSH"/>
        <s v="FDL"/>
      </sharedItems>
    </cacheField>
    <cacheField name="Trt." numFmtId="0">
      <sharedItems containsSemiMixedTypes="0" containsString="0" containsNumber="1" containsInteger="1" minValue="1" maxValue="12" count="12">
        <n v="1"/>
        <n v="4"/>
        <n v="5"/>
        <n v="10"/>
        <n v="12"/>
        <n v="9"/>
        <n v="3"/>
        <n v="11"/>
        <n v="8"/>
        <n v="2"/>
        <n v="7"/>
        <n v="6"/>
      </sharedItems>
    </cacheField>
    <cacheField name="Irrig." numFmtId="0">
      <sharedItems containsSemiMixedTypes="0" containsString="0" containsNumber="1" containsInteger="1" minValue="1" maxValue="2" count="2">
        <n v="1"/>
        <n v="2"/>
      </sharedItems>
    </cacheField>
    <cacheField name="Pop." numFmtId="0">
      <sharedItems containsSemiMixedTypes="0" containsString="0" containsNumber="1" containsInteger="1" minValue="1" maxValue="3" count="3">
        <n v="1"/>
        <n v="2"/>
        <n v="3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ol.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Exotech Code" numFmtId="0">
      <sharedItems/>
    </cacheField>
    <cacheField name="Row3" numFmtId="0">
      <sharedItems containsString="0" containsBlank="1" count="1">
        <m/>
      </sharedItems>
    </cacheField>
    <cacheField name="Row4" numFmtId="0">
      <sharedItems containsString="0" containsBlank="1" containsNumber="1" containsInteger="1" minValue="17" maxValue="30" count="4">
        <m/>
        <n v="27"/>
        <n v="17"/>
        <n v="30"/>
      </sharedItems>
    </cacheField>
    <cacheField name="Row5" numFmtId="0">
      <sharedItems containsSemiMixedTypes="0" containsString="0" containsNumber="1" containsInteger="1" minValue="10" maxValue="52" count="18">
        <n v="21"/>
        <n v="29"/>
        <n v="26"/>
        <n v="31"/>
        <n v="17"/>
        <n v="23"/>
        <n v="42"/>
        <n v="18"/>
        <n v="46"/>
        <n v="22"/>
        <n v="24"/>
        <n v="13"/>
        <n v="52"/>
        <n v="45"/>
        <n v="10"/>
        <n v="38"/>
        <n v="19"/>
        <n v="25"/>
      </sharedItems>
    </cacheField>
    <cacheField name="Row6" numFmtId="0">
      <sharedItems containsSemiMixedTypes="0" containsString="0" containsNumber="1" containsInteger="1" minValue="4" maxValue="41" count="20">
        <n v="18"/>
        <n v="17"/>
        <n v="4"/>
        <n v="27"/>
        <n v="33"/>
        <n v="22"/>
        <n v="21"/>
        <n v="31"/>
        <n v="19"/>
        <n v="41"/>
        <n v="25"/>
        <n v="23"/>
        <n v="20"/>
        <n v="13"/>
        <n v="38"/>
        <n v="26"/>
        <n v="36"/>
        <n v="28"/>
        <n v="35"/>
        <n v="24"/>
      </sharedItems>
    </cacheField>
    <cacheField name="Row7" numFmtId="0">
      <sharedItems containsString="0" containsBlank="1" count="1">
        <m/>
      </sharedItems>
    </cacheField>
    <cacheField name="Row8" numFmtId="0">
      <sharedItems containsString="0" containsBlank="1" count="1">
        <m/>
      </sharedItems>
    </cacheField>
    <cacheField name="Mean per meter" numFmtId="0">
      <sharedItems containsSemiMixedTypes="0" containsString="0" containsNumber="1" minValue="6.5" maxValue="22.5" count="23">
        <n v="9.75"/>
        <n v="10.833333333333334"/>
        <n v="8.25"/>
        <n v="13.25"/>
        <n v="16"/>
        <n v="11"/>
        <n v="12.5"/>
        <n v="18.25"/>
        <n v="9"/>
        <n v="12"/>
        <n v="21.75"/>
        <n v="10.75"/>
        <n v="10.5"/>
        <n v="11.25"/>
        <n v="6.5"/>
        <n v="9.25"/>
        <n v="22.5"/>
        <n v="20.25"/>
        <n v="7.5"/>
        <n v="18.5"/>
        <n v="13"/>
        <n v="19.25"/>
        <n v="11.75"/>
      </sharedItems>
    </cacheField>
    <cacheField name="std err" numFmtId="0">
      <sharedItems containsSemiMixedTypes="0" containsString="0" containsNumber="1" minValue="0" maxValue="6.25" count="14">
        <n v="0.74999999999999989"/>
        <n v="1.452966314513559"/>
        <n v="6.25"/>
        <n v="0.25"/>
        <n v="0.5"/>
        <n v="1.25"/>
        <n v="1"/>
        <n v="2.7499999999999996"/>
        <n v="0.28867513459481292"/>
        <n v="1.7499999999999998"/>
        <n v="0"/>
        <n v="3.4999999999999996"/>
        <n v="2.25"/>
        <n v="3.0046260628866586"/>
      </sharedItems>
    </cacheField>
    <cacheField name="Nrml. mean per meter" numFmtId="0">
      <sharedItems containsSemiMixedTypes="0" containsString="0" containsNumber="1" minValue="4.125" maxValue="13.25" count="21">
        <n v="9.75"/>
        <n v="10.833333333333334"/>
        <n v="4.125"/>
        <n v="13.25"/>
        <n v="8"/>
        <n v="11"/>
        <n v="12.5"/>
        <n v="9.125"/>
        <n v="9"/>
        <n v="12"/>
        <n v="10.875"/>
        <n v="10.75"/>
        <n v="10.5"/>
        <n v="11.25"/>
        <n v="6.5"/>
        <n v="9.25"/>
        <n v="10.125"/>
        <n v="7.5"/>
        <n v="13"/>
        <n v="9.625"/>
        <n v="11.75"/>
      </sharedItems>
    </cacheField>
    <cacheField name="Comments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396.372618287038" createdVersion="1" recordCount="32" xr:uid="{9ED8AC98-CCE8-4960-AE08-9DB4295DBF82}">
  <cacheSource type="worksheet">
    <worksheetSource ref="B9:T41" sheet="DOY137" r:id="rId2"/>
  </cacheSource>
  <cacheFields count="19">
    <cacheField name="Plot" numFmtId="0">
      <sharedItems containsSemiMixedTypes="0" containsString="0" containsNumber="1" containsInteger="1" minValue="101" maxValue="408"/>
    </cacheField>
    <cacheField name="Acron" numFmtId="0">
      <sharedItems count="12">
        <s v="FSH"/>
        <s v="FTL"/>
        <s v="FDH"/>
        <s v="NTL"/>
        <s v="NDL"/>
        <s v="NTH"/>
        <s v="FTH"/>
        <s v="NDH"/>
        <s v="NSL"/>
        <s v="FSL"/>
        <s v="NSH"/>
        <s v="FDL"/>
      </sharedItems>
    </cacheField>
    <cacheField name="Trt." numFmtId="0">
      <sharedItems containsSemiMixedTypes="0" containsString="0" containsNumber="1" containsInteger="1" minValue="1" maxValue="12" count="12">
        <n v="1"/>
        <n v="4"/>
        <n v="5"/>
        <n v="10"/>
        <n v="12"/>
        <n v="9"/>
        <n v="3"/>
        <n v="11"/>
        <n v="8"/>
        <n v="2"/>
        <n v="7"/>
        <n v="6"/>
      </sharedItems>
    </cacheField>
    <cacheField name="Irrig." numFmtId="0">
      <sharedItems containsSemiMixedTypes="0" containsString="0" containsNumber="1" containsInteger="1" minValue="1" maxValue="2" count="2">
        <n v="1"/>
        <n v="2"/>
      </sharedItems>
    </cacheField>
    <cacheField name="Pop." numFmtId="0">
      <sharedItems containsSemiMixedTypes="0" containsString="0" containsNumber="1" containsInteger="1" minValue="1" maxValue="3" count="3">
        <n v="1"/>
        <n v="2"/>
        <n v="3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ol.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Exotech Code" numFmtId="0">
      <sharedItems/>
    </cacheField>
    <cacheField name="Row3" numFmtId="0">
      <sharedItems containsString="0" containsBlank="1" count="1">
        <m/>
      </sharedItems>
    </cacheField>
    <cacheField name="Row4" numFmtId="0">
      <sharedItems containsString="0" containsBlank="1" containsNumber="1" containsInteger="1" minValue="18" maxValue="29" count="5">
        <m/>
        <n v="25"/>
        <n v="18"/>
        <n v="20"/>
        <n v="29"/>
      </sharedItems>
    </cacheField>
    <cacheField name="Row5" numFmtId="0">
      <sharedItems containsSemiMixedTypes="0" containsString="0" containsNumber="1" containsInteger="1" minValue="14" maxValue="56" count="18">
        <n v="21"/>
        <n v="25"/>
        <n v="34"/>
        <n v="24"/>
        <n v="37"/>
        <n v="26"/>
        <n v="48"/>
        <n v="18"/>
        <n v="27"/>
        <n v="15"/>
        <n v="19"/>
        <n v="56"/>
        <n v="45"/>
        <n v="16"/>
        <n v="14"/>
        <n v="42"/>
        <n v="47"/>
        <n v="17"/>
      </sharedItems>
    </cacheField>
    <cacheField name="Row6" numFmtId="0">
      <sharedItems containsSemiMixedTypes="0" containsString="0" containsNumber="1" containsInteger="1" minValue="16" maxValue="48" count="19">
        <n v="22"/>
        <n v="19"/>
        <n v="40"/>
        <n v="29"/>
        <n v="23"/>
        <n v="21"/>
        <n v="26"/>
        <n v="41"/>
        <n v="46"/>
        <n v="17"/>
        <n v="27"/>
        <n v="16"/>
        <n v="39"/>
        <n v="42"/>
        <n v="28"/>
        <n v="48"/>
        <n v="32"/>
        <n v="37"/>
        <n v="25"/>
      </sharedItems>
    </cacheField>
    <cacheField name="Row7" numFmtId="0">
      <sharedItems containsString="0" containsBlank="1" count="1">
        <m/>
      </sharedItems>
    </cacheField>
    <cacheField name="Row8" numFmtId="0">
      <sharedItems containsString="0" containsBlank="1" count="1">
        <m/>
      </sharedItems>
    </cacheField>
    <cacheField name="Mean per meter" numFmtId="0">
      <sharedItems containsSemiMixedTypes="0" containsString="0" containsNumber="1" minValue="7.75" maxValue="23.75" count="25">
        <n v="10.75"/>
        <n v="11.5"/>
        <n v="18.5"/>
        <n v="13.25"/>
        <n v="19.25"/>
        <n v="11"/>
        <n v="13"/>
        <n v="22.25"/>
        <n v="10.166666666666666"/>
        <n v="12"/>
        <n v="23.5"/>
        <n v="11.75"/>
        <n v="12.333333333333334"/>
        <n v="7.75"/>
        <n v="10.25"/>
        <n v="23.75"/>
        <n v="13.5"/>
        <n v="21.75"/>
        <n v="8.75"/>
        <n v="11.833333333333334"/>
        <n v="22.5"/>
        <n v="14.25"/>
        <n v="21"/>
        <n v="10.5"/>
        <n v="12.5"/>
      </sharedItems>
    </cacheField>
    <cacheField name="std err" numFmtId="0">
      <sharedItems containsSemiMixedTypes="0" containsString="0" containsNumber="1" minValue="0" maxValue="4.2499999999999991" count="15">
        <n v="0.25"/>
        <n v="1"/>
        <n v="1.4999999999999998"/>
        <n v="1.25"/>
        <n v="0.74999999999999989"/>
        <n v="0.5"/>
        <n v="0"/>
        <n v="1.7499999999999998"/>
        <n v="0.60092521257733422"/>
        <n v="2.7499999999999996"/>
        <n v="2.5"/>
        <n v="1.1666666666666681"/>
        <n v="4.2499999999999991"/>
        <n v="2.4209731743889926"/>
        <n v="2"/>
      </sharedItems>
    </cacheField>
    <cacheField name="Nrml. mean per meter" numFmtId="0">
      <sharedItems containsSemiMixedTypes="0" containsString="0" containsNumber="1" minValue="7.75" maxValue="14.25" count="23">
        <n v="10.75"/>
        <n v="11.5"/>
        <n v="9.25"/>
        <n v="13.25"/>
        <n v="9.625"/>
        <n v="11"/>
        <n v="13"/>
        <n v="11.125"/>
        <n v="10.166666666666666"/>
        <n v="12"/>
        <n v="11.75"/>
        <n v="12.333333333333334"/>
        <n v="7.75"/>
        <n v="10.25"/>
        <n v="11.875"/>
        <n v="13.5"/>
        <n v="10.875"/>
        <n v="8.75"/>
        <n v="11.833333333333334"/>
        <n v="11.25"/>
        <n v="14.25"/>
        <n v="10.5"/>
        <n v="12.5"/>
      </sharedItems>
    </cacheField>
    <cacheField name="Comments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396.373012847223" createdVersion="1" recordCount="32" xr:uid="{C576BDE2-ADA6-438D-A5C2-4E0F22BEE623}">
  <cacheSource type="worksheet">
    <worksheetSource ref="B9:T41" sheet="DOY137" r:id="rId2"/>
  </cacheSource>
  <cacheFields count="19">
    <cacheField name="Plot" numFmtId="0">
      <sharedItems containsSemiMixedTypes="0" containsString="0" containsNumber="1" containsInteger="1" minValue="101" maxValue="408"/>
    </cacheField>
    <cacheField name="Acron" numFmtId="0">
      <sharedItems count="12">
        <s v="FSH"/>
        <s v="FTL"/>
        <s v="FDH"/>
        <s v="NTL"/>
        <s v="NDL"/>
        <s v="NTH"/>
        <s v="FTH"/>
        <s v="NDH"/>
        <s v="NSL"/>
        <s v="FSL"/>
        <s v="NSH"/>
        <s v="FDL"/>
      </sharedItems>
    </cacheField>
    <cacheField name="Trt." numFmtId="0">
      <sharedItems containsSemiMixedTypes="0" containsString="0" containsNumber="1" containsInteger="1" minValue="1" maxValue="12" count="12">
        <n v="1"/>
        <n v="4"/>
        <n v="5"/>
        <n v="10"/>
        <n v="12"/>
        <n v="9"/>
        <n v="3"/>
        <n v="11"/>
        <n v="8"/>
        <n v="2"/>
        <n v="7"/>
        <n v="6"/>
      </sharedItems>
    </cacheField>
    <cacheField name="Irrig." numFmtId="0">
      <sharedItems containsSemiMixedTypes="0" containsString="0" containsNumber="1" containsInteger="1" minValue="1" maxValue="2" count="2">
        <n v="1"/>
        <n v="2"/>
      </sharedItems>
    </cacheField>
    <cacheField name="Pop." numFmtId="0">
      <sharedItems containsSemiMixedTypes="0" containsString="0" containsNumber="1" containsInteger="1" minValue="1" maxValue="3" count="3">
        <n v="1"/>
        <n v="2"/>
        <n v="3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ol.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Exotech Code" numFmtId="0">
      <sharedItems/>
    </cacheField>
    <cacheField name="Row3" numFmtId="0">
      <sharedItems containsString="0" containsBlank="1" count="1">
        <m/>
      </sharedItems>
    </cacheField>
    <cacheField name="Row4" numFmtId="0">
      <sharedItems containsString="0" containsBlank="1" containsNumber="1" containsInteger="1" minValue="18" maxValue="29" count="5">
        <m/>
        <n v="25"/>
        <n v="18"/>
        <n v="20"/>
        <n v="29"/>
      </sharedItems>
    </cacheField>
    <cacheField name="Row5" numFmtId="0">
      <sharedItems containsSemiMixedTypes="0" containsString="0" containsNumber="1" containsInteger="1" minValue="14" maxValue="56" count="18">
        <n v="21"/>
        <n v="25"/>
        <n v="34"/>
        <n v="24"/>
        <n v="37"/>
        <n v="26"/>
        <n v="48"/>
        <n v="18"/>
        <n v="27"/>
        <n v="15"/>
        <n v="19"/>
        <n v="56"/>
        <n v="45"/>
        <n v="16"/>
        <n v="14"/>
        <n v="42"/>
        <n v="47"/>
        <n v="17"/>
      </sharedItems>
    </cacheField>
    <cacheField name="Row6" numFmtId="0">
      <sharedItems containsSemiMixedTypes="0" containsString="0" containsNumber="1" containsInteger="1" minValue="16" maxValue="48" count="19">
        <n v="22"/>
        <n v="19"/>
        <n v="40"/>
        <n v="29"/>
        <n v="23"/>
        <n v="21"/>
        <n v="26"/>
        <n v="41"/>
        <n v="46"/>
        <n v="17"/>
        <n v="27"/>
        <n v="16"/>
        <n v="39"/>
        <n v="42"/>
        <n v="28"/>
        <n v="48"/>
        <n v="32"/>
        <n v="37"/>
        <n v="25"/>
      </sharedItems>
    </cacheField>
    <cacheField name="Row7" numFmtId="0">
      <sharedItems containsString="0" containsBlank="1" count="1">
        <m/>
      </sharedItems>
    </cacheField>
    <cacheField name="Row8" numFmtId="0">
      <sharedItems containsString="0" containsBlank="1" count="1">
        <m/>
      </sharedItems>
    </cacheField>
    <cacheField name="Mean per meter" numFmtId="0">
      <sharedItems containsSemiMixedTypes="0" containsString="0" containsNumber="1" minValue="7.75" maxValue="23.75" count="25">
        <n v="10.75"/>
        <n v="11.5"/>
        <n v="18.5"/>
        <n v="13.25"/>
        <n v="19.25"/>
        <n v="11"/>
        <n v="13"/>
        <n v="22.25"/>
        <n v="10.166666666666666"/>
        <n v="12"/>
        <n v="23.5"/>
        <n v="11.75"/>
        <n v="12.333333333333334"/>
        <n v="7.75"/>
        <n v="10.25"/>
        <n v="23.75"/>
        <n v="13.5"/>
        <n v="21.75"/>
        <n v="8.75"/>
        <n v="11.833333333333334"/>
        <n v="22.5"/>
        <n v="14.25"/>
        <n v="21"/>
        <n v="10.5"/>
        <n v="12.5"/>
      </sharedItems>
    </cacheField>
    <cacheField name="std err" numFmtId="0">
      <sharedItems containsSemiMixedTypes="0" containsString="0" containsNumber="1" minValue="0" maxValue="4.2499999999999991" count="15">
        <n v="0.25"/>
        <n v="1"/>
        <n v="1.4999999999999998"/>
        <n v="1.25"/>
        <n v="0.74999999999999989"/>
        <n v="0.5"/>
        <n v="0"/>
        <n v="1.7499999999999998"/>
        <n v="0.60092521257733422"/>
        <n v="2.7499999999999996"/>
        <n v="2.5"/>
        <n v="1.1666666666666681"/>
        <n v="4.2499999999999991"/>
        <n v="2.4209731743889926"/>
        <n v="2"/>
      </sharedItems>
    </cacheField>
    <cacheField name="Nrml. mean per meter" numFmtId="0">
      <sharedItems containsSemiMixedTypes="0" containsString="0" containsNumber="1" minValue="7.75" maxValue="14.25" count="23">
        <n v="10.75"/>
        <n v="11.5"/>
        <n v="9.25"/>
        <n v="13.25"/>
        <n v="9.625"/>
        <n v="11"/>
        <n v="13"/>
        <n v="11.125"/>
        <n v="10.166666666666666"/>
        <n v="12"/>
        <n v="11.75"/>
        <n v="12.333333333333334"/>
        <n v="7.75"/>
        <n v="10.25"/>
        <n v="11.875"/>
        <n v="13.5"/>
        <n v="10.875"/>
        <n v="8.75"/>
        <n v="11.833333333333334"/>
        <n v="11.25"/>
        <n v="14.25"/>
        <n v="10.5"/>
        <n v="12.5"/>
      </sharedItems>
    </cacheField>
    <cacheField name="Comments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396.703223958335" createdVersion="1" recordCount="32" xr:uid="{5D953F72-DFC1-44B4-BCFE-8B7DFE148708}">
  <cacheSource type="worksheet">
    <worksheetSource ref="B9:T41" sheet="DOY140" r:id="rId2"/>
  </cacheSource>
  <cacheFields count="19">
    <cacheField name="Plot" numFmtId="0">
      <sharedItems containsSemiMixedTypes="0" containsString="0" containsNumber="1" containsInteger="1" minValue="101" maxValue="408"/>
    </cacheField>
    <cacheField name="Acron" numFmtId="0">
      <sharedItems count="12">
        <s v="FSH"/>
        <s v="FTL"/>
        <s v="FDH"/>
        <s v="NTL"/>
        <s v="NDL"/>
        <s v="NTH"/>
        <s v="FTH"/>
        <s v="NDH"/>
        <s v="NSL"/>
        <s v="FSL"/>
        <s v="NSH"/>
        <s v="FDL"/>
      </sharedItems>
    </cacheField>
    <cacheField name="Trt." numFmtId="0">
      <sharedItems containsSemiMixedTypes="0" containsString="0" containsNumber="1" containsInteger="1" minValue="1" maxValue="12" count="12">
        <n v="1"/>
        <n v="4"/>
        <n v="5"/>
        <n v="10"/>
        <n v="12"/>
        <n v="9"/>
        <n v="3"/>
        <n v="11"/>
        <n v="8"/>
        <n v="2"/>
        <n v="7"/>
        <n v="6"/>
      </sharedItems>
    </cacheField>
    <cacheField name="Irrig." numFmtId="0">
      <sharedItems containsSemiMixedTypes="0" containsString="0" containsNumber="1" containsInteger="1" minValue="1" maxValue="2" count="2">
        <n v="1"/>
        <n v="2"/>
      </sharedItems>
    </cacheField>
    <cacheField name="Pop." numFmtId="0">
      <sharedItems containsSemiMixedTypes="0" containsString="0" containsNumber="1" containsInteger="1" minValue="1" maxValue="3" count="3">
        <n v="1"/>
        <n v="2"/>
        <n v="3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ol.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Exotech Code" numFmtId="0">
      <sharedItems/>
    </cacheField>
    <cacheField name="Row3" numFmtId="0">
      <sharedItems containsString="0" containsBlank="1" count="1">
        <m/>
      </sharedItems>
    </cacheField>
    <cacheField name="Row4" numFmtId="0">
      <sharedItems containsString="0" containsBlank="1" containsNumber="1" containsInteger="1" minValue="19" maxValue="32" count="4">
        <m/>
        <n v="28"/>
        <n v="19"/>
        <n v="32"/>
      </sharedItems>
    </cacheField>
    <cacheField name="Row5" numFmtId="0">
      <sharedItems containsSemiMixedTypes="0" containsString="0" containsNumber="1" containsInteger="1" minValue="16" maxValue="57" count="20">
        <n v="23"/>
        <n v="28"/>
        <n v="37"/>
        <n v="26"/>
        <n v="43"/>
        <n v="57"/>
        <n v="22"/>
        <n v="24"/>
        <n v="51"/>
        <n v="20"/>
        <n v="27"/>
        <n v="16"/>
        <n v="18"/>
        <n v="54"/>
        <n v="25"/>
        <n v="49"/>
        <n v="47"/>
        <n v="46"/>
        <n v="19"/>
        <n v="29"/>
      </sharedItems>
    </cacheField>
    <cacheField name="Row6" numFmtId="0">
      <sharedItems containsSemiMixedTypes="0" containsString="0" containsNumber="1" containsInteger="1" minValue="19" maxValue="52" count="18">
        <n v="27"/>
        <n v="19"/>
        <n v="41"/>
        <n v="28"/>
        <n v="44"/>
        <n v="24"/>
        <n v="22"/>
        <n v="46"/>
        <n v="25"/>
        <n v="32"/>
        <n v="20"/>
        <n v="39"/>
        <n v="30"/>
        <n v="29"/>
        <n v="23"/>
        <n v="52"/>
        <n v="36"/>
        <n v="40"/>
      </sharedItems>
    </cacheField>
    <cacheField name="Row7" numFmtId="0">
      <sharedItems containsString="0" containsBlank="1" count="1">
        <m/>
      </sharedItems>
    </cacheField>
    <cacheField name="Row8" numFmtId="0">
      <sharedItems containsString="0" containsBlank="1" count="1">
        <m/>
      </sharedItems>
    </cacheField>
    <cacheField name="Mean per meter" numFmtId="0">
      <sharedItems containsSemiMixedTypes="0" containsString="0" containsNumber="1" minValue="9" maxValue="25.75" count="20">
        <n v="12.5"/>
        <n v="19.5"/>
        <n v="13.5"/>
        <n v="21.75"/>
        <n v="11.75"/>
        <n v="12"/>
        <n v="13.75"/>
        <n v="25.75"/>
        <n v="11"/>
        <n v="24.25"/>
        <n v="11.5"/>
        <n v="12.75"/>
        <n v="9"/>
        <n v="10"/>
        <n v="23.25"/>
        <n v="24.75"/>
        <n v="15.5"/>
        <n v="21.5"/>
        <n v="10.5"/>
        <n v="13"/>
      </sharedItems>
    </cacheField>
    <cacheField name="std err" numFmtId="0">
      <sharedItems containsSemiMixedTypes="0" containsString="0" containsNumber="1" minValue="0" maxValue="3.75" count="14">
        <n v="1"/>
        <n v="1.5000000000000002"/>
        <n v="0.5"/>
        <n v="0.25"/>
        <n v="2.7499999999999996"/>
        <n v="0.86602540378443871"/>
        <n v="0"/>
        <n v="1.25"/>
        <n v="2"/>
        <n v="0.74999999999999989"/>
        <n v="1.4999999999999998"/>
        <n v="2.5"/>
        <n v="3.75"/>
        <n v="2.3629078131263044"/>
      </sharedItems>
    </cacheField>
    <cacheField name="Nrml. mean per meter" numFmtId="0">
      <sharedItems containsSemiMixedTypes="0" containsString="0" containsNumber="1" minValue="9" maxValue="15.5" count="20">
        <n v="12.5"/>
        <n v="9.75"/>
        <n v="13.5"/>
        <n v="10.875"/>
        <n v="11.75"/>
        <n v="12"/>
        <n v="13.75"/>
        <n v="12.875"/>
        <n v="11"/>
        <n v="12.125"/>
        <n v="11.5"/>
        <n v="12.75"/>
        <n v="9"/>
        <n v="10"/>
        <n v="11.625"/>
        <n v="12.375"/>
        <n v="15.5"/>
        <n v="10.75"/>
        <n v="10.5"/>
        <n v="13"/>
      </sharedItems>
    </cacheField>
    <cacheField name="Comments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396.6833625" createdVersion="1" recordCount="32" xr:uid="{A0E0E7F0-1F51-458C-9E82-6B2D61D160F7}">
  <cacheSource type="worksheet">
    <worksheetSource ref="B9:T41" sheet="DOY140" r:id="rId2"/>
  </cacheSource>
  <cacheFields count="19">
    <cacheField name="Plot" numFmtId="0">
      <sharedItems containsSemiMixedTypes="0" containsString="0" containsNumber="1" containsInteger="1" minValue="101" maxValue="408"/>
    </cacheField>
    <cacheField name="Acron" numFmtId="0">
      <sharedItems count="12">
        <s v="FSH"/>
        <s v="FTL"/>
        <s v="FDH"/>
        <s v="NTL"/>
        <s v="NDL"/>
        <s v="NTH"/>
        <s v="FTH"/>
        <s v="NDH"/>
        <s v="NSL"/>
        <s v="FSL"/>
        <s v="NSH"/>
        <s v="FDL"/>
      </sharedItems>
    </cacheField>
    <cacheField name="Trt." numFmtId="0">
      <sharedItems containsSemiMixedTypes="0" containsString="0" containsNumber="1" containsInteger="1" minValue="1" maxValue="12" count="12">
        <n v="1"/>
        <n v="4"/>
        <n v="5"/>
        <n v="10"/>
        <n v="12"/>
        <n v="9"/>
        <n v="3"/>
        <n v="11"/>
        <n v="8"/>
        <n v="2"/>
        <n v="7"/>
        <n v="6"/>
      </sharedItems>
    </cacheField>
    <cacheField name="Irrig." numFmtId="0">
      <sharedItems containsSemiMixedTypes="0" containsString="0" containsNumber="1" containsInteger="1" minValue="1" maxValue="2" count="2">
        <n v="1"/>
        <n v="2"/>
      </sharedItems>
    </cacheField>
    <cacheField name="Pop." numFmtId="0">
      <sharedItems containsSemiMixedTypes="0" containsString="0" containsNumber="1" containsInteger="1" minValue="1" maxValue="3" count="3">
        <n v="1"/>
        <n v="2"/>
        <n v="3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ol.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Exotech Code" numFmtId="0">
      <sharedItems/>
    </cacheField>
    <cacheField name="Row3" numFmtId="0">
      <sharedItems containsString="0" containsBlank="1" count="1">
        <m/>
      </sharedItems>
    </cacheField>
    <cacheField name="Row4" numFmtId="0">
      <sharedItems containsString="0" containsBlank="1" containsNumber="1" containsInteger="1" minValue="19" maxValue="32" count="4">
        <m/>
        <n v="28"/>
        <n v="19"/>
        <n v="32"/>
      </sharedItems>
    </cacheField>
    <cacheField name="Row5" numFmtId="0">
      <sharedItems containsSemiMixedTypes="0" containsString="0" containsNumber="1" containsInteger="1" minValue="16" maxValue="57" count="20">
        <n v="23"/>
        <n v="28"/>
        <n v="37"/>
        <n v="26"/>
        <n v="43"/>
        <n v="57"/>
        <n v="22"/>
        <n v="24"/>
        <n v="51"/>
        <n v="20"/>
        <n v="27"/>
        <n v="16"/>
        <n v="18"/>
        <n v="54"/>
        <n v="25"/>
        <n v="49"/>
        <n v="47"/>
        <n v="46"/>
        <n v="19"/>
        <n v="29"/>
      </sharedItems>
    </cacheField>
    <cacheField name="Row6" numFmtId="0">
      <sharedItems containsSemiMixedTypes="0" containsString="0" containsNumber="1" containsInteger="1" minValue="19" maxValue="52" count="18">
        <n v="27"/>
        <n v="19"/>
        <n v="41"/>
        <n v="28"/>
        <n v="44"/>
        <n v="24"/>
        <n v="22"/>
        <n v="46"/>
        <n v="25"/>
        <n v="32"/>
        <n v="20"/>
        <n v="39"/>
        <n v="30"/>
        <n v="29"/>
        <n v="23"/>
        <n v="52"/>
        <n v="36"/>
        <n v="40"/>
      </sharedItems>
    </cacheField>
    <cacheField name="Row7" numFmtId="0">
      <sharedItems containsString="0" containsBlank="1" count="1">
        <m/>
      </sharedItems>
    </cacheField>
    <cacheField name="Row8" numFmtId="0">
      <sharedItems containsString="0" containsBlank="1" count="1">
        <m/>
      </sharedItems>
    </cacheField>
    <cacheField name="Mean per meter" numFmtId="0">
      <sharedItems containsSemiMixedTypes="0" containsString="0" containsNumber="1" minValue="9" maxValue="25.75" count="20">
        <n v="12.5"/>
        <n v="19.5"/>
        <n v="13.5"/>
        <n v="21.75"/>
        <n v="11.75"/>
        <n v="12"/>
        <n v="13.75"/>
        <n v="25.75"/>
        <n v="11"/>
        <n v="24.25"/>
        <n v="11.5"/>
        <n v="12.75"/>
        <n v="9"/>
        <n v="10"/>
        <n v="23.25"/>
        <n v="24.75"/>
        <n v="15.5"/>
        <n v="21.5"/>
        <n v="10.5"/>
        <n v="13"/>
      </sharedItems>
    </cacheField>
    <cacheField name="std err" numFmtId="0">
      <sharedItems containsSemiMixedTypes="0" containsString="0" containsNumber="1" minValue="0" maxValue="3.75" count="14">
        <n v="1"/>
        <n v="1.5000000000000002"/>
        <n v="0.5"/>
        <n v="0.25"/>
        <n v="2.7499999999999996"/>
        <n v="0.86602540378443871"/>
        <n v="0"/>
        <n v="1.25"/>
        <n v="2"/>
        <n v="0.74999999999999989"/>
        <n v="1.4999999999999998"/>
        <n v="2.5"/>
        <n v="3.75"/>
        <n v="2.3629078131263044"/>
      </sharedItems>
    </cacheField>
    <cacheField name="Nrml. mean per meter" numFmtId="0">
      <sharedItems containsSemiMixedTypes="0" containsString="0" containsNumber="1" minValue="9" maxValue="15.5" count="20">
        <n v="12.5"/>
        <n v="9.75"/>
        <n v="13.5"/>
        <n v="10.875"/>
        <n v="11.75"/>
        <n v="12"/>
        <n v="13.75"/>
        <n v="12.875"/>
        <n v="11"/>
        <n v="12.125"/>
        <n v="11.5"/>
        <n v="12.75"/>
        <n v="9"/>
        <n v="10"/>
        <n v="11.625"/>
        <n v="12.375"/>
        <n v="15.5"/>
        <n v="10.75"/>
        <n v="10.5"/>
        <n v="13"/>
      </sharedItems>
    </cacheField>
    <cacheField name="Comments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398.483353703705" createdVersion="1" recordCount="32" xr:uid="{EC3B47A8-991A-49D7-920B-964A6D1F2F71}">
  <cacheSource type="worksheet">
    <worksheetSource ref="B9:T41" sheet="DOY141" r:id="rId2"/>
  </cacheSource>
  <cacheFields count="19">
    <cacheField name="Plot" numFmtId="0">
      <sharedItems containsSemiMixedTypes="0" containsString="0" containsNumber="1" containsInteger="1" minValue="101" maxValue="408"/>
    </cacheField>
    <cacheField name="Acron" numFmtId="0">
      <sharedItems count="12">
        <s v="FSH"/>
        <s v="FTL"/>
        <s v="FDH"/>
        <s v="NTL"/>
        <s v="NDL"/>
        <s v="NTH"/>
        <s v="FTH"/>
        <s v="NDH"/>
        <s v="NSL"/>
        <s v="FSL"/>
        <s v="NSH"/>
        <s v="FDL"/>
      </sharedItems>
    </cacheField>
    <cacheField name="Trt." numFmtId="0">
      <sharedItems containsSemiMixedTypes="0" containsString="0" containsNumber="1" containsInteger="1" minValue="1" maxValue="12" count="12">
        <n v="1"/>
        <n v="4"/>
        <n v="5"/>
        <n v="10"/>
        <n v="12"/>
        <n v="9"/>
        <n v="3"/>
        <n v="11"/>
        <n v="8"/>
        <n v="2"/>
        <n v="7"/>
        <n v="6"/>
      </sharedItems>
    </cacheField>
    <cacheField name="Irrig." numFmtId="0">
      <sharedItems containsSemiMixedTypes="0" containsString="0" containsNumber="1" containsInteger="1" minValue="1" maxValue="2" count="2">
        <n v="1"/>
        <n v="2"/>
      </sharedItems>
    </cacheField>
    <cacheField name="Pop." numFmtId="0">
      <sharedItems containsSemiMixedTypes="0" containsString="0" containsNumber="1" containsInteger="1" minValue="1" maxValue="3" count="3">
        <n v="1"/>
        <n v="2"/>
        <n v="3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ol.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Exotech Code" numFmtId="0">
      <sharedItems/>
    </cacheField>
    <cacheField name="Row3" numFmtId="0">
      <sharedItems containsSemiMixedTypes="0" containsString="0" containsNumber="1" containsInteger="1" minValue="17" maxValue="51" count="17">
        <n v="22"/>
        <n v="25"/>
        <n v="39"/>
        <n v="24"/>
        <n v="40"/>
        <n v="19"/>
        <n v="43"/>
        <n v="50"/>
        <n v="20"/>
        <n v="27"/>
        <n v="23"/>
        <n v="17"/>
        <n v="29"/>
        <n v="26"/>
        <n v="46"/>
        <n v="51"/>
        <n v="42"/>
      </sharedItems>
    </cacheField>
    <cacheField name="Row4" numFmtId="0">
      <sharedItems containsSemiMixedTypes="0" containsString="0" containsNumber="1" containsInteger="1" minValue="14" maxValue="56" count="18">
        <n v="14"/>
        <n v="28"/>
        <n v="42"/>
        <n v="26"/>
        <n v="40"/>
        <n v="29"/>
        <n v="20"/>
        <n v="27"/>
        <n v="41"/>
        <n v="21"/>
        <n v="24"/>
        <n v="32"/>
        <n v="23"/>
        <n v="15"/>
        <n v="47"/>
        <n v="56"/>
        <n v="16"/>
        <n v="38"/>
      </sharedItems>
    </cacheField>
    <cacheField name="Row5" numFmtId="0">
      <sharedItems containsSemiMixedTypes="0" containsString="0" containsNumber="1" containsInteger="1" minValue="16" maxValue="55" count="18">
        <n v="21"/>
        <n v="27"/>
        <n v="38"/>
        <n v="23"/>
        <n v="44"/>
        <n v="24"/>
        <n v="28"/>
        <n v="55"/>
        <n v="22"/>
        <n v="26"/>
        <n v="51"/>
        <n v="20"/>
        <n v="25"/>
        <n v="16"/>
        <n v="19"/>
        <n v="47"/>
        <n v="33"/>
        <n v="48"/>
      </sharedItems>
    </cacheField>
    <cacheField name="Row6" numFmtId="0">
      <sharedItems containsSemiMixedTypes="0" containsString="0" containsNumber="1" containsInteger="1" minValue="18" maxValue="48" count="14">
        <n v="26"/>
        <n v="18"/>
        <n v="38"/>
        <n v="27"/>
        <n v="41"/>
        <n v="23"/>
        <n v="21"/>
        <n v="25"/>
        <n v="22"/>
        <n v="20"/>
        <n v="36"/>
        <n v="28"/>
        <n v="48"/>
        <n v="34"/>
      </sharedItems>
    </cacheField>
    <cacheField name="Row7" numFmtId="0">
      <sharedItems containsSemiMixedTypes="0" containsString="0" containsNumber="1" containsInteger="1" minValue="14" maxValue="51" count="17">
        <n v="14"/>
        <n v="27"/>
        <n v="48"/>
        <n v="20"/>
        <n v="41"/>
        <n v="22"/>
        <n v="21"/>
        <n v="47"/>
        <n v="25"/>
        <n v="24"/>
        <n v="43"/>
        <n v="26"/>
        <n v="18"/>
        <n v="19"/>
        <n v="40"/>
        <n v="51"/>
        <n v="29"/>
      </sharedItems>
    </cacheField>
    <cacheField name="Row8" numFmtId="0">
      <sharedItems containsSemiMixedTypes="0" containsString="0" containsNumber="1" containsInteger="1" minValue="15" maxValue="49" count="21">
        <n v="21"/>
        <n v="17"/>
        <n v="33"/>
        <n v="19"/>
        <n v="41"/>
        <n v="24"/>
        <n v="29"/>
        <n v="49"/>
        <n v="39"/>
        <n v="16"/>
        <n v="20"/>
        <n v="27"/>
        <n v="18"/>
        <n v="15"/>
        <n v="38"/>
        <n v="34"/>
        <n v="46"/>
        <n v="37"/>
        <n v="31"/>
        <n v="22"/>
        <n v="26"/>
      </sharedItems>
    </cacheField>
    <cacheField name="Mean per meter" numFmtId="0">
      <sharedItems containsSemiMixedTypes="0" containsString="0" containsNumber="1" minValue="8.25" maxValue="23.166666666666668" count="26">
        <n v="9.8333333333333339"/>
        <n v="11.833333333333334"/>
        <n v="19.833333333333332"/>
        <n v="11.583333333333334"/>
        <n v="20.583333333333332"/>
        <n v="11.5"/>
        <n v="10.833333333333334"/>
        <n v="12.666666666666666"/>
        <n v="23"/>
        <n v="11.083333333333334"/>
        <n v="11.916666666666666"/>
        <n v="21.333333333333332"/>
        <n v="11.25"/>
        <n v="11"/>
        <n v="8.25"/>
        <n v="10.416666666666666"/>
        <n v="20.333333333333332"/>
        <n v="12.333333333333334"/>
        <n v="22.416666666666668"/>
        <n v="10"/>
        <n v="13.583333333333334"/>
        <n v="23.166666666666668"/>
        <n v="13.416666666666666"/>
        <n v="20.166666666666668"/>
        <n v="12"/>
        <n v="14.166666666666666"/>
      </sharedItems>
    </cacheField>
    <cacheField name="std err" numFmtId="0">
      <sharedItems containsSemiMixedTypes="0" containsString="0" containsNumber="1" minValue="0.28136571693556889" maxValue="1.626174789020064"/>
    </cacheField>
    <cacheField name="Nrml. mean per meter" numFmtId="0">
      <sharedItems containsSemiMixedTypes="0" containsString="0" containsNumber="1" minValue="8.25" maxValue="14.166666666666666" count="24">
        <n v="9.8333333333333339"/>
        <n v="11.833333333333334"/>
        <n v="9.9166666666666661"/>
        <n v="11.583333333333334"/>
        <n v="10.291666666666666"/>
        <n v="11.5"/>
        <n v="10.833333333333334"/>
        <n v="12.666666666666666"/>
        <n v="11.083333333333334"/>
        <n v="11.916666666666666"/>
        <n v="10.666666666666666"/>
        <n v="11.25"/>
        <n v="11"/>
        <n v="8.25"/>
        <n v="10.416666666666666"/>
        <n v="10.166666666666666"/>
        <n v="12.333333333333334"/>
        <n v="11.208333333333334"/>
        <n v="10"/>
        <n v="13.583333333333334"/>
        <n v="13.416666666666666"/>
        <n v="10.083333333333334"/>
        <n v="12"/>
        <n v="14.166666666666666"/>
      </sharedItems>
    </cacheField>
    <cacheField name="Comments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398.48409583333" createdVersion="1" recordCount="32" xr:uid="{B787C495-48B0-42F9-8BD4-E31BA1813FA4}">
  <cacheSource type="worksheet">
    <worksheetSource ref="B9:T41" sheet="DOY141" r:id="rId2"/>
  </cacheSource>
  <cacheFields count="19">
    <cacheField name="Plot" numFmtId="0">
      <sharedItems containsSemiMixedTypes="0" containsString="0" containsNumber="1" containsInteger="1" minValue="101" maxValue="408" count="32">
        <n v="101"/>
        <n v="102"/>
        <n v="103"/>
        <n v="104"/>
        <n v="105"/>
        <n v="106"/>
        <n v="107"/>
        <n v="108"/>
        <n v="201"/>
        <n v="202"/>
        <n v="203"/>
        <n v="204"/>
        <n v="205"/>
        <n v="206"/>
        <n v="207"/>
        <n v="208"/>
        <n v="301"/>
        <n v="302"/>
        <n v="303"/>
        <n v="304"/>
        <n v="305"/>
        <n v="306"/>
        <n v="307"/>
        <n v="308"/>
        <n v="401"/>
        <n v="402"/>
        <n v="403"/>
        <n v="404"/>
        <n v="405"/>
        <n v="406"/>
        <n v="407"/>
        <n v="408"/>
      </sharedItems>
    </cacheField>
    <cacheField name="Acron" numFmtId="0">
      <sharedItems count="12">
        <s v="FSH"/>
        <s v="FTL"/>
        <s v="FDH"/>
        <s v="NTL"/>
        <s v="NDL"/>
        <s v="NTH"/>
        <s v="FTH"/>
        <s v="NDH"/>
        <s v="NSL"/>
        <s v="FSL"/>
        <s v="NSH"/>
        <s v="FDL"/>
      </sharedItems>
    </cacheField>
    <cacheField name="Trt." numFmtId="0">
      <sharedItems containsSemiMixedTypes="0" containsString="0" containsNumber="1" containsInteger="1" minValue="1" maxValue="12" count="12">
        <n v="1"/>
        <n v="4"/>
        <n v="5"/>
        <n v="10"/>
        <n v="12"/>
        <n v="9"/>
        <n v="3"/>
        <n v="11"/>
        <n v="8"/>
        <n v="2"/>
        <n v="7"/>
        <n v="6"/>
      </sharedItems>
    </cacheField>
    <cacheField name="Irrig." numFmtId="0">
      <sharedItems containsSemiMixedTypes="0" containsString="0" containsNumber="1" containsInteger="1" minValue="1" maxValue="2" count="2">
        <n v="1"/>
        <n v="2"/>
      </sharedItems>
    </cacheField>
    <cacheField name="Pop." numFmtId="0">
      <sharedItems containsSemiMixedTypes="0" containsString="0" containsNumber="1" containsInteger="1" minValue="1" maxValue="3" count="3">
        <n v="1"/>
        <n v="2"/>
        <n v="3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ol.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Exotech Code" numFmtId="0">
      <sharedItems/>
    </cacheField>
    <cacheField name="Row3" numFmtId="0">
      <sharedItems containsSemiMixedTypes="0" containsString="0" containsNumber="1" containsInteger="1" minValue="17" maxValue="51" count="17">
        <n v="22"/>
        <n v="25"/>
        <n v="39"/>
        <n v="24"/>
        <n v="40"/>
        <n v="19"/>
        <n v="43"/>
        <n v="50"/>
        <n v="20"/>
        <n v="27"/>
        <n v="23"/>
        <n v="17"/>
        <n v="29"/>
        <n v="26"/>
        <n v="46"/>
        <n v="51"/>
        <n v="42"/>
      </sharedItems>
    </cacheField>
    <cacheField name="Row4" numFmtId="0">
      <sharedItems containsSemiMixedTypes="0" containsString="0" containsNumber="1" containsInteger="1" minValue="14" maxValue="56" count="18">
        <n v="14"/>
        <n v="28"/>
        <n v="42"/>
        <n v="26"/>
        <n v="40"/>
        <n v="29"/>
        <n v="20"/>
        <n v="27"/>
        <n v="41"/>
        <n v="21"/>
        <n v="24"/>
        <n v="32"/>
        <n v="23"/>
        <n v="15"/>
        <n v="47"/>
        <n v="56"/>
        <n v="16"/>
        <n v="38"/>
      </sharedItems>
    </cacheField>
    <cacheField name="Row5" numFmtId="0">
      <sharedItems containsSemiMixedTypes="0" containsString="0" containsNumber="1" containsInteger="1" minValue="16" maxValue="55" count="18">
        <n v="21"/>
        <n v="27"/>
        <n v="38"/>
        <n v="23"/>
        <n v="44"/>
        <n v="24"/>
        <n v="28"/>
        <n v="55"/>
        <n v="22"/>
        <n v="26"/>
        <n v="51"/>
        <n v="20"/>
        <n v="25"/>
        <n v="16"/>
        <n v="19"/>
        <n v="47"/>
        <n v="33"/>
        <n v="48"/>
      </sharedItems>
    </cacheField>
    <cacheField name="Row6" numFmtId="0">
      <sharedItems containsSemiMixedTypes="0" containsString="0" containsNumber="1" containsInteger="1" minValue="18" maxValue="48" count="14">
        <n v="26"/>
        <n v="18"/>
        <n v="38"/>
        <n v="27"/>
        <n v="41"/>
        <n v="23"/>
        <n v="21"/>
        <n v="25"/>
        <n v="22"/>
        <n v="20"/>
        <n v="36"/>
        <n v="28"/>
        <n v="48"/>
        <n v="34"/>
      </sharedItems>
    </cacheField>
    <cacheField name="Row7" numFmtId="0">
      <sharedItems containsSemiMixedTypes="0" containsString="0" containsNumber="1" containsInteger="1" minValue="14" maxValue="51" count="17">
        <n v="14"/>
        <n v="27"/>
        <n v="48"/>
        <n v="20"/>
        <n v="41"/>
        <n v="22"/>
        <n v="21"/>
        <n v="47"/>
        <n v="25"/>
        <n v="24"/>
        <n v="43"/>
        <n v="26"/>
        <n v="18"/>
        <n v="19"/>
        <n v="40"/>
        <n v="51"/>
        <n v="29"/>
      </sharedItems>
    </cacheField>
    <cacheField name="Row8" numFmtId="0">
      <sharedItems containsSemiMixedTypes="0" containsString="0" containsNumber="1" containsInteger="1" minValue="15" maxValue="49" count="21">
        <n v="21"/>
        <n v="17"/>
        <n v="33"/>
        <n v="19"/>
        <n v="41"/>
        <n v="24"/>
        <n v="29"/>
        <n v="49"/>
        <n v="39"/>
        <n v="16"/>
        <n v="20"/>
        <n v="27"/>
        <n v="18"/>
        <n v="15"/>
        <n v="38"/>
        <n v="34"/>
        <n v="46"/>
        <n v="37"/>
        <n v="31"/>
        <n v="22"/>
        <n v="26"/>
      </sharedItems>
    </cacheField>
    <cacheField name="Mean per meter" numFmtId="0">
      <sharedItems containsSemiMixedTypes="0" containsString="0" containsNumber="1" minValue="8.25" maxValue="23.166666666666668" count="26">
        <n v="9.8333333333333339"/>
        <n v="11.833333333333334"/>
        <n v="19.833333333333332"/>
        <n v="11.583333333333334"/>
        <n v="20.583333333333332"/>
        <n v="11.5"/>
        <n v="10.833333333333334"/>
        <n v="12.666666666666666"/>
        <n v="23"/>
        <n v="11.083333333333334"/>
        <n v="11.916666666666666"/>
        <n v="21.333333333333332"/>
        <n v="11.25"/>
        <n v="11"/>
        <n v="8.25"/>
        <n v="10.416666666666666"/>
        <n v="20.333333333333332"/>
        <n v="12.333333333333334"/>
        <n v="22.416666666666668"/>
        <n v="10"/>
        <n v="13.583333333333334"/>
        <n v="23.166666666666668"/>
        <n v="13.416666666666666"/>
        <n v="20.166666666666668"/>
        <n v="12"/>
        <n v="14.166666666666666"/>
      </sharedItems>
    </cacheField>
    <cacheField name="std err" numFmtId="0">
      <sharedItems containsSemiMixedTypes="0" containsString="0" containsNumber="1" minValue="0.28136571693556889" maxValue="1.626174789020064"/>
    </cacheField>
    <cacheField name="Nrml. mean per meter" numFmtId="0">
      <sharedItems containsSemiMixedTypes="0" containsString="0" containsNumber="1" minValue="8.25" maxValue="14.166666666666666" count="24">
        <n v="9.8333333333333339"/>
        <n v="11.833333333333334"/>
        <n v="9.9166666666666661"/>
        <n v="11.583333333333334"/>
        <n v="10.291666666666666"/>
        <n v="11.5"/>
        <n v="10.833333333333334"/>
        <n v="12.666666666666666"/>
        <n v="11.083333333333334"/>
        <n v="11.916666666666666"/>
        <n v="10.666666666666666"/>
        <n v="11.25"/>
        <n v="11"/>
        <n v="8.25"/>
        <n v="10.416666666666666"/>
        <n v="10.166666666666666"/>
        <n v="12.333333333333334"/>
        <n v="11.208333333333334"/>
        <n v="10"/>
        <n v="13.583333333333334"/>
        <n v="13.416666666666666"/>
        <n v="10.083333333333334"/>
        <n v="12"/>
        <n v="14.166666666666666"/>
      </sharedItems>
    </cacheField>
    <cacheField name="Comments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410.743978472223" createdVersion="1" recordCount="32" xr:uid="{B2BAD00C-190B-4516-A286-5D6A8BEB5859}">
  <cacheSource type="worksheet">
    <worksheetSource ref="B9:T41" sheet="DOY149" r:id="rId2"/>
  </cacheSource>
  <cacheFields count="19">
    <cacheField name="Plot" numFmtId="0">
      <sharedItems containsSemiMixedTypes="0" containsString="0" containsNumber="1" containsInteger="1" minValue="101" maxValue="408"/>
    </cacheField>
    <cacheField name="Acron" numFmtId="0">
      <sharedItems count="12">
        <s v="FSH"/>
        <s v="FTL"/>
        <s v="FDH"/>
        <s v="NTL"/>
        <s v="NDL"/>
        <s v="NTH"/>
        <s v="FTH"/>
        <s v="NDH"/>
        <s v="NSL"/>
        <s v="FSL"/>
        <s v="NSH"/>
        <s v="FDL"/>
      </sharedItems>
    </cacheField>
    <cacheField name="Trt." numFmtId="0">
      <sharedItems containsSemiMixedTypes="0" containsString="0" containsNumber="1" containsInteger="1" minValue="1" maxValue="12" count="12">
        <n v="1"/>
        <n v="4"/>
        <n v="5"/>
        <n v="10"/>
        <n v="12"/>
        <n v="9"/>
        <n v="3"/>
        <n v="11"/>
        <n v="8"/>
        <n v="2"/>
        <n v="7"/>
        <n v="6"/>
      </sharedItems>
    </cacheField>
    <cacheField name="Irrig." numFmtId="0">
      <sharedItems containsSemiMixedTypes="0" containsString="0" containsNumber="1" containsInteger="1" minValue="1" maxValue="2" count="2">
        <n v="1"/>
        <n v="2"/>
      </sharedItems>
    </cacheField>
    <cacheField name="Pop." numFmtId="0">
      <sharedItems containsSemiMixedTypes="0" containsString="0" containsNumber="1" containsInteger="1" minValue="1" maxValue="3" count="3">
        <n v="1"/>
        <n v="2"/>
        <n v="3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ol.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Exotech Code" numFmtId="0">
      <sharedItems/>
    </cacheField>
    <cacheField name="Row3" numFmtId="0">
      <sharedItems containsSemiMixedTypes="0" containsString="0" containsNumber="1" containsInteger="1" minValue="10" maxValue="51" count="21">
        <n v="13"/>
        <n v="24"/>
        <n v="42"/>
        <n v="23"/>
        <n v="41"/>
        <n v="19"/>
        <n v="27"/>
        <n v="45"/>
        <n v="21"/>
        <n v="29"/>
        <n v="51"/>
        <n v="12"/>
        <n v="11"/>
        <n v="20"/>
        <n v="10"/>
        <n v="31"/>
        <n v="25"/>
        <n v="50"/>
        <n v="39"/>
        <n v="22"/>
        <n v="35"/>
      </sharedItems>
    </cacheField>
    <cacheField name="Row4" numFmtId="0">
      <sharedItems containsSemiMixedTypes="0" containsString="0" containsNumber="1" containsInteger="1" minValue="9" maxValue="54" count="20">
        <n v="10"/>
        <n v="25"/>
        <n v="43"/>
        <n v="27"/>
        <n v="38"/>
        <n v="30"/>
        <n v="19"/>
        <n v="42"/>
        <n v="21"/>
        <n v="24"/>
        <n v="31"/>
        <n v="11"/>
        <n v="26"/>
        <n v="45"/>
        <n v="20"/>
        <n v="54"/>
        <n v="9"/>
        <n v="39"/>
        <n v="12"/>
        <n v="23"/>
      </sharedItems>
    </cacheField>
    <cacheField name="Row5" numFmtId="0">
      <sharedItems containsSemiMixedTypes="0" containsString="0" containsNumber="1" containsInteger="1" minValue="9" maxValue="51" count="20">
        <n v="10"/>
        <n v="27"/>
        <n v="37"/>
        <n v="23"/>
        <n v="45"/>
        <n v="25"/>
        <n v="24"/>
        <n v="26"/>
        <n v="21"/>
        <n v="49"/>
        <n v="12"/>
        <n v="22"/>
        <n v="51"/>
        <n v="46"/>
        <n v="11"/>
        <n v="14"/>
        <n v="44"/>
        <n v="20"/>
        <n v="19"/>
        <n v="9"/>
      </sharedItems>
    </cacheField>
    <cacheField name="Row6" numFmtId="0">
      <sharedItems containsSemiMixedTypes="0" containsString="0" containsNumber="1" containsInteger="1" minValue="9" maxValue="47" count="17">
        <n v="11"/>
        <n v="18"/>
        <n v="38"/>
        <n v="24"/>
        <n v="41"/>
        <n v="20"/>
        <n v="40"/>
        <n v="22"/>
        <n v="14"/>
        <n v="9"/>
        <n v="10"/>
        <n v="28"/>
        <n v="37"/>
        <n v="39"/>
        <n v="47"/>
        <n v="30"/>
        <n v="33"/>
      </sharedItems>
    </cacheField>
    <cacheField name="Row7" numFmtId="0">
      <sharedItems containsSemiMixedTypes="0" containsString="0" containsNumber="1" containsInteger="1" minValue="9" maxValue="51" count="16">
        <n v="9"/>
        <n v="26"/>
        <n v="51"/>
        <n v="18"/>
        <n v="40"/>
        <n v="21"/>
        <n v="49"/>
        <n v="24"/>
        <n v="41"/>
        <n v="10"/>
        <n v="12"/>
        <n v="11"/>
        <n v="22"/>
        <n v="27"/>
        <n v="16"/>
        <n v="39"/>
      </sharedItems>
    </cacheField>
    <cacheField name="Row8" numFmtId="0">
      <sharedItems containsSemiMixedTypes="0" containsString="0" containsNumber="1" containsInteger="1" minValue="9" maxValue="47" count="24">
        <n v="10"/>
        <n v="17"/>
        <n v="34"/>
        <n v="20"/>
        <n v="42"/>
        <n v="19"/>
        <n v="24"/>
        <n v="28"/>
        <n v="47"/>
        <n v="22"/>
        <n v="38"/>
        <n v="9"/>
        <n v="16"/>
        <n v="11"/>
        <n v="26"/>
        <n v="18"/>
        <n v="23"/>
        <n v="39"/>
        <n v="13"/>
        <n v="25"/>
        <n v="45"/>
        <n v="35"/>
        <n v="29"/>
        <n v="12"/>
      </sharedItems>
    </cacheField>
    <cacheField name="Mean per meter" numFmtId="0">
      <sharedItems containsSemiMixedTypes="0" containsString="0" containsNumber="1" minValue="4.833333333333333" maxValue="22.833333333333332" count="25">
        <n v="5.25"/>
        <n v="11.416666666666666"/>
        <n v="20.416666666666668"/>
        <n v="11.25"/>
        <n v="20.583333333333332"/>
        <n v="11.916666666666666"/>
        <n v="10.583333333333334"/>
        <n v="12.75"/>
        <n v="22.333333333333332"/>
        <n v="10.666666666666666"/>
        <n v="12.333333333333334"/>
        <n v="20.916666666666668"/>
        <n v="5.5"/>
        <n v="5.333333333333333"/>
        <n v="11.583333333333334"/>
        <n v="5.416666666666667"/>
        <n v="11.5"/>
        <n v="4.833333333333333"/>
        <n v="5.166666666666667"/>
        <n v="20.25"/>
        <n v="12.166666666666666"/>
        <n v="22"/>
        <n v="10.416666666666666"/>
        <n v="22.833333333333332"/>
        <n v="19.166666666666668"/>
      </sharedItems>
    </cacheField>
    <cacheField name="std err" numFmtId="0">
      <sharedItems containsSemiMixedTypes="0" containsString="0" containsNumber="1" minValue="0.15365907428821582" maxValue="1.496755750875133" count="29">
        <n v="0.28136571693556889"/>
        <n v="0.87002554240921326"/>
        <n v="1.2207693384820013"/>
        <n v="0.64226162893325656"/>
        <n v="0.47287536530370894"/>
        <n v="0.76829537144107474"/>
        <n v="0.47287536530370494"/>
        <n v="0.52836224947157862"/>
        <n v="0.66666666666667052"/>
        <n v="0.33333333333333526"/>
        <n v="0.57251880124392351"/>
        <n v="1.496755750875133"/>
        <n v="0.34156502553198664"/>
        <n v="0.27888667551135909"/>
        <n v="0.84079988370863012"/>
        <n v="0.15365907428821582"/>
        <n v="0.59744827763116515"/>
        <n v="0.81649658092772615"/>
        <n v="0.16666666666666763"/>
        <n v="1.4127396551853897"/>
        <n v="0.75277265270908111"/>
        <n v="0.60092521257733267"/>
        <n v="1.1690451944500122"/>
        <n v="0.96104688288923368"/>
        <n v="0.81308739451003442"/>
        <n v="0.89830086521412522"/>
        <n v="0.90982293759708155"/>
        <n v="0.74628710590793801"/>
        <n v="1.1522924011629077"/>
      </sharedItems>
    </cacheField>
    <cacheField name="Nrml. mean per meter" numFmtId="0">
      <sharedItems containsSemiMixedTypes="0" containsString="0" containsNumber="1" minValue="9.5833333333333339" maxValue="12.75" count="22">
        <n v="10.5"/>
        <n v="11.416666666666666"/>
        <n v="10.208333333333334"/>
        <n v="11.25"/>
        <n v="10.291666666666666"/>
        <n v="11.916666666666666"/>
        <n v="10.583333333333334"/>
        <n v="12.75"/>
        <n v="11.166666666666666"/>
        <n v="10.666666666666666"/>
        <n v="12.333333333333334"/>
        <n v="10.458333333333334"/>
        <n v="11"/>
        <n v="11.583333333333334"/>
        <n v="10.833333333333334"/>
        <n v="11.5"/>
        <n v="9.6666666666666661"/>
        <n v="10.333333333333334"/>
        <n v="10.125"/>
        <n v="12.166666666666666"/>
        <n v="10.416666666666666"/>
        <n v="9.5833333333333339"/>
      </sharedItems>
    </cacheField>
    <cacheField name="Comments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410.744744791664" createdVersion="1" recordCount="32" xr:uid="{95F8D3CB-91BB-42A0-8920-408377438646}">
  <cacheSource type="worksheet">
    <worksheetSource ref="B9:T41" sheet="DOY149" r:id="rId2"/>
  </cacheSource>
  <cacheFields count="19">
    <cacheField name="Plot" numFmtId="0">
      <sharedItems containsSemiMixedTypes="0" containsString="0" containsNumber="1" containsInteger="1" minValue="101" maxValue="408" count="32">
        <n v="101"/>
        <n v="102"/>
        <n v="103"/>
        <n v="104"/>
        <n v="105"/>
        <n v="106"/>
        <n v="107"/>
        <n v="108"/>
        <n v="201"/>
        <n v="202"/>
        <n v="203"/>
        <n v="204"/>
        <n v="205"/>
        <n v="206"/>
        <n v="207"/>
        <n v="208"/>
        <n v="301"/>
        <n v="302"/>
        <n v="303"/>
        <n v="304"/>
        <n v="305"/>
        <n v="306"/>
        <n v="307"/>
        <n v="308"/>
        <n v="401"/>
        <n v="402"/>
        <n v="403"/>
        <n v="404"/>
        <n v="405"/>
        <n v="406"/>
        <n v="407"/>
        <n v="408"/>
      </sharedItems>
    </cacheField>
    <cacheField name="Acron" numFmtId="0">
      <sharedItems count="12">
        <s v="FSH"/>
        <s v="FTL"/>
        <s v="FDH"/>
        <s v="NTL"/>
        <s v="NDL"/>
        <s v="NTH"/>
        <s v="FTH"/>
        <s v="NDH"/>
        <s v="NSL"/>
        <s v="FSL"/>
        <s v="NSH"/>
        <s v="FDL"/>
      </sharedItems>
    </cacheField>
    <cacheField name="Trt." numFmtId="0">
      <sharedItems containsSemiMixedTypes="0" containsString="0" containsNumber="1" containsInteger="1" minValue="1" maxValue="12" count="12">
        <n v="1"/>
        <n v="4"/>
        <n v="5"/>
        <n v="10"/>
        <n v="12"/>
        <n v="9"/>
        <n v="3"/>
        <n v="11"/>
        <n v="8"/>
        <n v="2"/>
        <n v="7"/>
        <n v="6"/>
      </sharedItems>
    </cacheField>
    <cacheField name="Irrig." numFmtId="0">
      <sharedItems containsSemiMixedTypes="0" containsString="0" containsNumber="1" containsInteger="1" minValue="1" maxValue="2" count="2">
        <n v="1"/>
        <n v="2"/>
      </sharedItems>
    </cacheField>
    <cacheField name="Pop." numFmtId="0">
      <sharedItems containsSemiMixedTypes="0" containsString="0" containsNumber="1" containsInteger="1" minValue="1" maxValue="3" count="3">
        <n v="1"/>
        <n v="2"/>
        <n v="3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ol.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Exotech Code" numFmtId="0">
      <sharedItems/>
    </cacheField>
    <cacheField name="Row3" numFmtId="0">
      <sharedItems containsSemiMixedTypes="0" containsString="0" containsNumber="1" containsInteger="1" minValue="10" maxValue="51" count="21">
        <n v="13"/>
        <n v="24"/>
        <n v="42"/>
        <n v="23"/>
        <n v="41"/>
        <n v="19"/>
        <n v="27"/>
        <n v="45"/>
        <n v="21"/>
        <n v="29"/>
        <n v="51"/>
        <n v="12"/>
        <n v="11"/>
        <n v="20"/>
        <n v="10"/>
        <n v="31"/>
        <n v="25"/>
        <n v="50"/>
        <n v="39"/>
        <n v="22"/>
        <n v="35"/>
      </sharedItems>
    </cacheField>
    <cacheField name="Row4" numFmtId="0">
      <sharedItems containsSemiMixedTypes="0" containsString="0" containsNumber="1" containsInteger="1" minValue="9" maxValue="54" count="20">
        <n v="10"/>
        <n v="25"/>
        <n v="43"/>
        <n v="27"/>
        <n v="38"/>
        <n v="30"/>
        <n v="19"/>
        <n v="42"/>
        <n v="21"/>
        <n v="24"/>
        <n v="31"/>
        <n v="11"/>
        <n v="26"/>
        <n v="45"/>
        <n v="20"/>
        <n v="54"/>
        <n v="9"/>
        <n v="39"/>
        <n v="12"/>
        <n v="23"/>
      </sharedItems>
    </cacheField>
    <cacheField name="Row5" numFmtId="0">
      <sharedItems containsSemiMixedTypes="0" containsString="0" containsNumber="1" containsInteger="1" minValue="9" maxValue="51" count="20">
        <n v="10"/>
        <n v="27"/>
        <n v="37"/>
        <n v="23"/>
        <n v="45"/>
        <n v="25"/>
        <n v="24"/>
        <n v="26"/>
        <n v="21"/>
        <n v="49"/>
        <n v="12"/>
        <n v="22"/>
        <n v="51"/>
        <n v="46"/>
        <n v="11"/>
        <n v="14"/>
        <n v="44"/>
        <n v="20"/>
        <n v="19"/>
        <n v="9"/>
      </sharedItems>
    </cacheField>
    <cacheField name="Row6" numFmtId="0">
      <sharedItems containsSemiMixedTypes="0" containsString="0" containsNumber="1" containsInteger="1" minValue="9" maxValue="47" count="17">
        <n v="11"/>
        <n v="18"/>
        <n v="38"/>
        <n v="24"/>
        <n v="41"/>
        <n v="20"/>
        <n v="40"/>
        <n v="22"/>
        <n v="14"/>
        <n v="9"/>
        <n v="10"/>
        <n v="28"/>
        <n v="37"/>
        <n v="39"/>
        <n v="47"/>
        <n v="30"/>
        <n v="33"/>
      </sharedItems>
    </cacheField>
    <cacheField name="Row7" numFmtId="0">
      <sharedItems containsSemiMixedTypes="0" containsString="0" containsNumber="1" containsInteger="1" minValue="9" maxValue="51" count="16">
        <n v="9"/>
        <n v="26"/>
        <n v="51"/>
        <n v="18"/>
        <n v="40"/>
        <n v="21"/>
        <n v="49"/>
        <n v="24"/>
        <n v="41"/>
        <n v="10"/>
        <n v="12"/>
        <n v="11"/>
        <n v="22"/>
        <n v="27"/>
        <n v="16"/>
        <n v="39"/>
      </sharedItems>
    </cacheField>
    <cacheField name="Row8" numFmtId="0">
      <sharedItems containsSemiMixedTypes="0" containsString="0" containsNumber="1" containsInteger="1" minValue="9" maxValue="47" count="24">
        <n v="10"/>
        <n v="17"/>
        <n v="34"/>
        <n v="20"/>
        <n v="42"/>
        <n v="19"/>
        <n v="24"/>
        <n v="28"/>
        <n v="47"/>
        <n v="22"/>
        <n v="38"/>
        <n v="9"/>
        <n v="16"/>
        <n v="11"/>
        <n v="26"/>
        <n v="18"/>
        <n v="23"/>
        <n v="39"/>
        <n v="13"/>
        <n v="25"/>
        <n v="45"/>
        <n v="35"/>
        <n v="29"/>
        <n v="12"/>
      </sharedItems>
    </cacheField>
    <cacheField name="Mean per meter" numFmtId="0">
      <sharedItems containsSemiMixedTypes="0" containsString="0" containsNumber="1" minValue="4.833333333333333" maxValue="22.833333333333332" count="25">
        <n v="5.25"/>
        <n v="11.416666666666666"/>
        <n v="20.416666666666668"/>
        <n v="11.25"/>
        <n v="20.583333333333332"/>
        <n v="11.916666666666666"/>
        <n v="10.583333333333334"/>
        <n v="12.75"/>
        <n v="22.333333333333332"/>
        <n v="10.666666666666666"/>
        <n v="12.333333333333334"/>
        <n v="20.916666666666668"/>
        <n v="5.5"/>
        <n v="5.333333333333333"/>
        <n v="11.583333333333334"/>
        <n v="5.416666666666667"/>
        <n v="11.5"/>
        <n v="4.833333333333333"/>
        <n v="5.166666666666667"/>
        <n v="20.25"/>
        <n v="12.166666666666666"/>
        <n v="22"/>
        <n v="10.416666666666666"/>
        <n v="22.833333333333332"/>
        <n v="19.166666666666668"/>
      </sharedItems>
    </cacheField>
    <cacheField name="std err" numFmtId="0">
      <sharedItems containsSemiMixedTypes="0" containsString="0" containsNumber="1" minValue="0.15365907428821582" maxValue="1.496755750875133" count="29">
        <n v="0.28136571693556889"/>
        <n v="0.87002554240921326"/>
        <n v="1.2207693384820013"/>
        <n v="0.64226162893325656"/>
        <n v="0.47287536530370894"/>
        <n v="0.76829537144107474"/>
        <n v="0.47287536530370494"/>
        <n v="0.52836224947157862"/>
        <n v="0.66666666666667052"/>
        <n v="0.33333333333333526"/>
        <n v="0.57251880124392351"/>
        <n v="1.496755750875133"/>
        <n v="0.34156502553198664"/>
        <n v="0.27888667551135909"/>
        <n v="0.84079988370863012"/>
        <n v="0.15365907428821582"/>
        <n v="0.59744827763116515"/>
        <n v="0.81649658092772615"/>
        <n v="0.16666666666666763"/>
        <n v="1.4127396551853897"/>
        <n v="0.75277265270908111"/>
        <n v="0.60092521257733267"/>
        <n v="1.1690451944500122"/>
        <n v="0.96104688288923368"/>
        <n v="0.81308739451003442"/>
        <n v="0.89830086521412522"/>
        <n v="0.90982293759708155"/>
        <n v="0.74628710590793801"/>
        <n v="1.1522924011629077"/>
      </sharedItems>
    </cacheField>
    <cacheField name="Nrml. mean per meter" numFmtId="0">
      <sharedItems containsSemiMixedTypes="0" containsString="0" containsNumber="1" minValue="9.5833333333333339" maxValue="12.75" count="22">
        <n v="10.5"/>
        <n v="11.416666666666666"/>
        <n v="10.208333333333334"/>
        <n v="11.25"/>
        <n v="10.291666666666666"/>
        <n v="11.916666666666666"/>
        <n v="10.583333333333334"/>
        <n v="12.75"/>
        <n v="11.166666666666666"/>
        <n v="10.666666666666666"/>
        <n v="12.333333333333334"/>
        <n v="10.458333333333334"/>
        <n v="11"/>
        <n v="11.583333333333334"/>
        <n v="10.833333333333334"/>
        <n v="11.5"/>
        <n v="9.6666666666666661"/>
        <n v="10.333333333333334"/>
        <n v="10.125"/>
        <n v="12.166666666666666"/>
        <n v="10.416666666666666"/>
        <n v="9.5833333333333339"/>
      </sharedItems>
    </cacheField>
    <cacheField name="Comments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484.747198495374" createdVersion="1" recordCount="40" xr:uid="{9D64741F-C0A6-4460-9323-E7DF1785D543}">
  <cacheSource type="worksheet">
    <worksheetSource ref="D10:M50" sheet="DOY186" r:id="rId2"/>
  </cacheSource>
  <cacheFields count="10">
    <cacheField name="Plot" numFmtId="0">
      <sharedItems containsSemiMixedTypes="0" containsString="0" containsNumber="1" containsInteger="1" minValue="101" maxValue="908"/>
    </cacheField>
    <cacheField name="Acron" numFmtId="0">
      <sharedItems count="16">
        <s v="FTH"/>
        <s v="NTL"/>
        <s v="NTH"/>
        <s v="NDL"/>
        <s v="FDH"/>
        <s v="FTL"/>
        <s v="FSH"/>
        <s v="NDH"/>
        <s v="NSL"/>
        <s v="FSL"/>
        <s v="Early"/>
        <s v="DS"/>
        <s v="Late"/>
        <s v="WS"/>
        <s v="NSH"/>
        <s v="FDL"/>
      </sharedItems>
    </cacheField>
    <cacheField name="Trt." numFmtId="0">
      <sharedItems containsSemiMixedTypes="0" containsString="0" containsNumber="1" containsInteger="1" minValue="1" maxValue="32" count="16">
        <n v="3"/>
        <n v="10"/>
        <n v="9"/>
        <n v="12"/>
        <n v="5"/>
        <n v="4"/>
        <n v="1"/>
        <n v="11"/>
        <n v="8"/>
        <n v="2"/>
        <n v="21"/>
        <n v="31"/>
        <n v="22"/>
        <n v="32"/>
        <n v="7"/>
        <n v="6"/>
      </sharedItems>
    </cacheField>
    <cacheField name="Irrig." numFmtId="0">
      <sharedItems containsSemiMixedTypes="0" containsString="0" containsNumber="1" containsInteger="1" minValue="1" maxValue="9" count="6">
        <n v="1"/>
        <n v="2"/>
        <n v="3"/>
        <n v="8"/>
        <n v="4"/>
        <n v="9"/>
      </sharedItems>
    </cacheField>
    <cacheField name="Pop." numFmtId="0">
      <sharedItems containsSemiMixedTypes="0" containsString="0" containsNumber="1" containsInteger="1" minValue="0" maxValue="3" count="4">
        <n v="2"/>
        <n v="3"/>
        <n v="1"/>
        <n v="0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2"/>
        <n v="1"/>
        <n v="3"/>
        <n v="4"/>
      </sharedItems>
    </cacheField>
    <cacheField name="Exotech Code" numFmtId="0">
      <sharedItems/>
    </cacheField>
    <cacheField name="Time" numFmtId="0">
      <sharedItems containsDate="1" containsString="0" containsBlank="1" minDate="1899-12-30T10:05:00" maxDate="1899-12-30T10:59:00" count="7">
        <d v="1899-12-30T10:05:00"/>
        <m/>
        <d v="1899-12-30T10:10:00"/>
        <d v="1899-12-30T10:29:00"/>
        <d v="1899-12-30T10:37:00"/>
        <d v="1899-12-30T10:44:00"/>
        <d v="1899-12-30T10:59:00"/>
      </sharedItems>
    </cacheField>
    <cacheField name="SPAD" numFmtId="0">
      <sharedItems containsString="0" containsBlank="1" containsNumber="1" minValue="36.5" maxValue="50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484.748087962966" createdVersion="1" recordCount="40" xr:uid="{D66ED51C-EDE9-4090-9057-72A1D1E91A32}">
  <cacheSource type="worksheet">
    <worksheetSource ref="D10:M50" sheet="DOY192" r:id="rId2"/>
  </cacheSource>
  <cacheFields count="10">
    <cacheField name="Plot" numFmtId="0">
      <sharedItems containsSemiMixedTypes="0" containsString="0" containsNumber="1" containsInteger="1" minValue="101" maxValue="908"/>
    </cacheField>
    <cacheField name="Acron" numFmtId="0">
      <sharedItems count="16">
        <s v="FTH"/>
        <s v="NTL"/>
        <s v="NTH"/>
        <s v="NDL"/>
        <s v="FDH"/>
        <s v="FTL"/>
        <s v="FSH"/>
        <s v="NDH"/>
        <s v="NSL"/>
        <s v="FSL"/>
        <s v="Early"/>
        <s v="DS"/>
        <s v="Late"/>
        <s v="WS"/>
        <s v="NSH"/>
        <s v="FDL"/>
      </sharedItems>
    </cacheField>
    <cacheField name="Trt." numFmtId="0">
      <sharedItems containsSemiMixedTypes="0" containsString="0" containsNumber="1" containsInteger="1" minValue="1" maxValue="32" count="16">
        <n v="3"/>
        <n v="10"/>
        <n v="9"/>
        <n v="12"/>
        <n v="5"/>
        <n v="4"/>
        <n v="1"/>
        <n v="11"/>
        <n v="8"/>
        <n v="2"/>
        <n v="21"/>
        <n v="31"/>
        <n v="22"/>
        <n v="32"/>
        <n v="7"/>
        <n v="6"/>
      </sharedItems>
    </cacheField>
    <cacheField name="Irrig." numFmtId="0">
      <sharedItems containsSemiMixedTypes="0" containsString="0" containsNumber="1" containsInteger="1" minValue="1" maxValue="9" count="6">
        <n v="1"/>
        <n v="2"/>
        <n v="3"/>
        <n v="8"/>
        <n v="4"/>
        <n v="9"/>
      </sharedItems>
    </cacheField>
    <cacheField name="Pop." numFmtId="0">
      <sharedItems containsSemiMixedTypes="0" containsString="0" containsNumber="1" containsInteger="1" minValue="0" maxValue="3" count="4">
        <n v="2"/>
        <n v="3"/>
        <n v="1"/>
        <n v="0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2"/>
        <n v="1"/>
        <n v="3"/>
        <n v="4"/>
      </sharedItems>
    </cacheField>
    <cacheField name="Exotech Code" numFmtId="0">
      <sharedItems/>
    </cacheField>
    <cacheField name="Time" numFmtId="0">
      <sharedItems containsDate="1" containsString="0" containsBlank="1" minDate="1899-12-30T11:13:00" maxDate="1899-12-30T12:07:00" count="7">
        <d v="1899-12-30T11:13:00"/>
        <m/>
        <d v="1899-12-30T11:25:00"/>
        <d v="1899-12-30T11:40:00"/>
        <d v="1899-12-30T11:48:00"/>
        <d v="1899-12-30T11:58:00"/>
        <d v="1899-12-30T12:07:00"/>
      </sharedItems>
    </cacheField>
    <cacheField name="SPAD" numFmtId="0">
      <sharedItems containsString="0" containsBlank="1" containsNumber="1" minValue="36.5" maxValue="52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484.747858449075" createdVersion="1" recordCount="40" xr:uid="{DF3E7B73-B0D7-4F00-9812-A33EDBE23BDE}">
  <cacheSource type="worksheet">
    <worksheetSource ref="D10:M50" sheet="DOY197" r:id="rId2"/>
  </cacheSource>
  <cacheFields count="10">
    <cacheField name="Plot" numFmtId="0">
      <sharedItems containsSemiMixedTypes="0" containsString="0" containsNumber="1" containsInteger="1" minValue="101" maxValue="908"/>
    </cacheField>
    <cacheField name="Acron" numFmtId="0">
      <sharedItems count="16">
        <s v="FTH"/>
        <s v="NTL"/>
        <s v="NTH"/>
        <s v="NDL"/>
        <s v="FDH"/>
        <s v="FTL"/>
        <s v="FSH"/>
        <s v="NDH"/>
        <s v="NSL"/>
        <s v="FSL"/>
        <s v="Early"/>
        <s v="DS"/>
        <s v="Late"/>
        <s v="WS"/>
        <s v="NSH"/>
        <s v="FDL"/>
      </sharedItems>
    </cacheField>
    <cacheField name="Trt." numFmtId="0">
      <sharedItems containsSemiMixedTypes="0" containsString="0" containsNumber="1" containsInteger="1" minValue="1" maxValue="32" count="16">
        <n v="3"/>
        <n v="10"/>
        <n v="9"/>
        <n v="12"/>
        <n v="5"/>
        <n v="4"/>
        <n v="1"/>
        <n v="11"/>
        <n v="8"/>
        <n v="2"/>
        <n v="21"/>
        <n v="31"/>
        <n v="22"/>
        <n v="32"/>
        <n v="7"/>
        <n v="6"/>
      </sharedItems>
    </cacheField>
    <cacheField name="Irrig." numFmtId="0">
      <sharedItems containsSemiMixedTypes="0" containsString="0" containsNumber="1" containsInteger="1" minValue="1" maxValue="9" count="6">
        <n v="1"/>
        <n v="2"/>
        <n v="3"/>
        <n v="8"/>
        <n v="4"/>
        <n v="9"/>
      </sharedItems>
    </cacheField>
    <cacheField name="Pop." numFmtId="0">
      <sharedItems containsSemiMixedTypes="0" containsString="0" containsNumber="1" containsInteger="1" minValue="0" maxValue="3" count="4">
        <n v="2"/>
        <n v="3"/>
        <n v="1"/>
        <n v="0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2"/>
        <n v="1"/>
        <n v="3"/>
        <n v="4"/>
      </sharedItems>
    </cacheField>
    <cacheField name="Exotech Code" numFmtId="0">
      <sharedItems/>
    </cacheField>
    <cacheField name="Time" numFmtId="0">
      <sharedItems containsDate="1" containsString="0" containsBlank="1" minDate="1899-12-30T11:15:00" maxDate="1899-12-30T12:08:00" count="7">
        <d v="1899-12-30T11:15:00"/>
        <m/>
        <d v="1899-12-30T11:24:00"/>
        <d v="1899-12-30T11:36:00"/>
        <d v="1899-12-30T11:44:00"/>
        <d v="1899-12-30T11:57:00"/>
        <d v="1899-12-30T12:08:00"/>
      </sharedItems>
    </cacheField>
    <cacheField name="SPAD" numFmtId="0">
      <sharedItems containsString="0" containsBlank="1" containsNumber="1" minValue="36.200000000000003" maxValue="53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484.746809490738" createdVersion="1" recordCount="40" xr:uid="{24C90BBF-CE36-4C38-AEBF-E8C454B5FCD2}">
  <cacheSource type="worksheet">
    <worksheetSource ref="D10:M50" sheet="DOY206" r:id="rId2"/>
  </cacheSource>
  <cacheFields count="10">
    <cacheField name="Plot" numFmtId="0">
      <sharedItems containsSemiMixedTypes="0" containsString="0" containsNumber="1" containsInteger="1" minValue="101" maxValue="908"/>
    </cacheField>
    <cacheField name="Acron" numFmtId="0">
      <sharedItems count="16">
        <s v="FTH"/>
        <s v="NTL"/>
        <s v="NTH"/>
        <s v="NDL"/>
        <s v="FDH"/>
        <s v="FTL"/>
        <s v="FSH"/>
        <s v="NDH"/>
        <s v="NSL"/>
        <s v="FSL"/>
        <s v="Early"/>
        <s v="DS"/>
        <s v="Late"/>
        <s v="WS"/>
        <s v="NSH"/>
        <s v="FDL"/>
      </sharedItems>
    </cacheField>
    <cacheField name="Trt." numFmtId="0">
      <sharedItems containsSemiMixedTypes="0" containsString="0" containsNumber="1" containsInteger="1" minValue="1" maxValue="32" count="16">
        <n v="3"/>
        <n v="10"/>
        <n v="9"/>
        <n v="12"/>
        <n v="5"/>
        <n v="4"/>
        <n v="1"/>
        <n v="11"/>
        <n v="8"/>
        <n v="2"/>
        <n v="21"/>
        <n v="31"/>
        <n v="22"/>
        <n v="32"/>
        <n v="7"/>
        <n v="6"/>
      </sharedItems>
    </cacheField>
    <cacheField name="Irrig." numFmtId="0">
      <sharedItems containsSemiMixedTypes="0" containsString="0" containsNumber="1" containsInteger="1" minValue="1" maxValue="9" count="6">
        <n v="1"/>
        <n v="2"/>
        <n v="3"/>
        <n v="8"/>
        <n v="4"/>
        <n v="9"/>
      </sharedItems>
    </cacheField>
    <cacheField name="Pop." numFmtId="0">
      <sharedItems containsSemiMixedTypes="0" containsString="0" containsNumber="1" containsInteger="1" minValue="0" maxValue="3" count="4">
        <n v="2"/>
        <n v="3"/>
        <n v="1"/>
        <n v="0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2"/>
        <n v="1"/>
        <n v="3"/>
        <n v="4"/>
      </sharedItems>
    </cacheField>
    <cacheField name="Exotech Code" numFmtId="0">
      <sharedItems/>
    </cacheField>
    <cacheField name="Time" numFmtId="0">
      <sharedItems containsDate="1" containsString="0" containsBlank="1" minDate="1899-12-30T10:10:00" maxDate="1899-12-30T11:04:00" count="7">
        <d v="1899-12-30T10:10:00"/>
        <m/>
        <d v="1899-12-30T10:22:00"/>
        <d v="1899-12-30T10:34:00"/>
        <d v="1899-12-30T10:42:00"/>
        <d v="1899-12-30T10:53:00"/>
        <d v="1899-12-30T11:04:00"/>
      </sharedItems>
    </cacheField>
    <cacheField name="SPAD" numFmtId="0">
      <sharedItems containsString="0" containsBlank="1" containsNumber="1" minValue="35.1" maxValue="55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484.747077083332" createdVersion="1" recordCount="40" xr:uid="{9F31367B-884A-49EA-BB02-0CE943798082}">
  <cacheSource type="worksheet">
    <worksheetSource ref="D10:M50" sheet="DOY224" r:id="rId2"/>
  </cacheSource>
  <cacheFields count="10">
    <cacheField name="Plot" numFmtId="0">
      <sharedItems containsSemiMixedTypes="0" containsString="0" containsNumber="1" containsInteger="1" minValue="101" maxValue="908"/>
    </cacheField>
    <cacheField name="Acron" numFmtId="0">
      <sharedItems count="16">
        <s v="FTH"/>
        <s v="NTL"/>
        <s v="NTH"/>
        <s v="NDL"/>
        <s v="FDH"/>
        <s v="FTL"/>
        <s v="FSH"/>
        <s v="NDH"/>
        <s v="NSL"/>
        <s v="FSL"/>
        <s v="Early"/>
        <s v="DS"/>
        <s v="Late"/>
        <s v="WS"/>
        <s v="NSH"/>
        <s v="FDL"/>
      </sharedItems>
    </cacheField>
    <cacheField name="Trt." numFmtId="0">
      <sharedItems containsSemiMixedTypes="0" containsString="0" containsNumber="1" containsInteger="1" minValue="1" maxValue="32" count="16">
        <n v="3"/>
        <n v="10"/>
        <n v="9"/>
        <n v="12"/>
        <n v="5"/>
        <n v="4"/>
        <n v="1"/>
        <n v="11"/>
        <n v="8"/>
        <n v="2"/>
        <n v="21"/>
        <n v="31"/>
        <n v="22"/>
        <n v="32"/>
        <n v="7"/>
        <n v="6"/>
      </sharedItems>
    </cacheField>
    <cacheField name="Irrig." numFmtId="0">
      <sharedItems containsSemiMixedTypes="0" containsString="0" containsNumber="1" containsInteger="1" minValue="1" maxValue="9" count="6">
        <n v="1"/>
        <n v="2"/>
        <n v="3"/>
        <n v="8"/>
        <n v="4"/>
        <n v="9"/>
      </sharedItems>
    </cacheField>
    <cacheField name="Pop." numFmtId="0">
      <sharedItems containsSemiMixedTypes="0" containsString="0" containsNumber="1" containsInteger="1" minValue="0" maxValue="3" count="4">
        <n v="2"/>
        <n v="3"/>
        <n v="1"/>
        <n v="0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2"/>
        <n v="1"/>
        <n v="3"/>
        <n v="4"/>
      </sharedItems>
    </cacheField>
    <cacheField name="Exotech Code" numFmtId="0">
      <sharedItems/>
    </cacheField>
    <cacheField name="Time" numFmtId="0">
      <sharedItems containsDate="1" containsBlank="1" containsMixedTypes="1" minDate="1899-12-30T10:04:00" maxDate="1899-12-30T10:49:00" count="7">
        <d v="1899-12-30T10:04:00"/>
        <m/>
        <s v="10;13"/>
        <d v="1899-12-30T10:22:00"/>
        <d v="1899-12-30T10:29:00"/>
        <d v="1899-12-30T10:38:00"/>
        <d v="1899-12-30T10:49:00"/>
      </sharedItems>
    </cacheField>
    <cacheField name="SPAD" numFmtId="0">
      <sharedItems containsString="0" containsBlank="1" containsNumber="1" minValue="36.6" maxValue="55.3" count="26">
        <n v="42.3"/>
        <n v="42.9"/>
        <n v="42.6"/>
        <n v="36.6"/>
        <n v="39.700000000000003"/>
        <n v="39.200000000000003"/>
        <n v="40.700000000000003"/>
        <n v="43.2"/>
        <n v="38.700000000000003"/>
        <n v="39.799999999999997"/>
        <n v="43.1"/>
        <n v="41.2"/>
        <n v="37.700000000000003"/>
        <n v="43"/>
        <n v="40.5"/>
        <n v="55.3"/>
        <m/>
        <n v="45.2"/>
        <n v="53.7"/>
        <n v="46.7"/>
        <n v="40.6"/>
        <n v="41.8"/>
        <n v="39.299999999999997"/>
        <n v="42.2"/>
        <n v="41.3"/>
        <n v="38.79999999999999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484.74740763889" createdVersion="1" recordCount="40" xr:uid="{C694E842-F025-42A1-B558-62D1F719A84D}">
  <cacheSource type="worksheet">
    <worksheetSource ref="D10:M50" sheet="DOY227" r:id="rId2"/>
  </cacheSource>
  <cacheFields count="10">
    <cacheField name="Plot" numFmtId="0">
      <sharedItems containsSemiMixedTypes="0" containsString="0" containsNumber="1" containsInteger="1" minValue="101" maxValue="908"/>
    </cacheField>
    <cacheField name="Acron" numFmtId="0">
      <sharedItems count="16">
        <s v="FTH"/>
        <s v="NTL"/>
        <s v="NTH"/>
        <s v="NDL"/>
        <s v="FDH"/>
        <s v="FTL"/>
        <s v="FSH"/>
        <s v="NDH"/>
        <s v="NSL"/>
        <s v="FSL"/>
        <s v="Early"/>
        <s v="DS"/>
        <s v="Late"/>
        <s v="WS"/>
        <s v="NSH"/>
        <s v="FDL"/>
      </sharedItems>
    </cacheField>
    <cacheField name="Trt." numFmtId="0">
      <sharedItems containsSemiMixedTypes="0" containsString="0" containsNumber="1" containsInteger="1" minValue="1" maxValue="32" count="16">
        <n v="3"/>
        <n v="10"/>
        <n v="9"/>
        <n v="12"/>
        <n v="5"/>
        <n v="4"/>
        <n v="1"/>
        <n v="11"/>
        <n v="8"/>
        <n v="2"/>
        <n v="21"/>
        <n v="31"/>
        <n v="22"/>
        <n v="32"/>
        <n v="7"/>
        <n v="6"/>
      </sharedItems>
    </cacheField>
    <cacheField name="Irrig." numFmtId="0">
      <sharedItems containsSemiMixedTypes="0" containsString="0" containsNumber="1" containsInteger="1" minValue="1" maxValue="9" count="6">
        <n v="1"/>
        <n v="2"/>
        <n v="3"/>
        <n v="8"/>
        <n v="4"/>
        <n v="9"/>
      </sharedItems>
    </cacheField>
    <cacheField name="Pop." numFmtId="0">
      <sharedItems containsSemiMixedTypes="0" containsString="0" containsNumber="1" containsInteger="1" minValue="0" maxValue="3" count="4">
        <n v="2"/>
        <n v="3"/>
        <n v="1"/>
        <n v="0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2"/>
        <n v="1"/>
        <n v="3"/>
        <n v="4"/>
      </sharedItems>
    </cacheField>
    <cacheField name="Exotech Code" numFmtId="0">
      <sharedItems/>
    </cacheField>
    <cacheField name="Time" numFmtId="0">
      <sharedItems containsDate="1" containsString="0" containsBlank="1" minDate="1899-12-30T11:29:00" maxDate="1899-12-30T12:31:00" count="7">
        <d v="1899-12-30T11:29:00"/>
        <m/>
        <d v="1899-12-30T11:43:00"/>
        <d v="1899-12-30T11:52:00"/>
        <d v="1899-12-30T12:07:00"/>
        <d v="1899-12-30T12:20:00"/>
        <d v="1899-12-30T12:31:00"/>
      </sharedItems>
    </cacheField>
    <cacheField name="SPAD" numFmtId="0">
      <sharedItems containsString="0" containsBlank="1" containsNumber="1" minValue="35.299999999999997" maxValue="54" count="30">
        <n v="40.700000000000003"/>
        <n v="40.200000000000003"/>
        <n v="39.9"/>
        <n v="38.700000000000003"/>
        <n v="41.5"/>
        <n v="41.4"/>
        <n v="40.5"/>
        <n v="45.2"/>
        <n v="38.200000000000003"/>
        <n v="43.8"/>
        <n v="42"/>
        <n v="40.9"/>
        <n v="41.7"/>
        <n v="39.4"/>
        <n v="54"/>
        <m/>
        <n v="49.8"/>
        <n v="53.9"/>
        <n v="47.4"/>
        <n v="41.8"/>
        <n v="35.299999999999997"/>
        <n v="41.3"/>
        <n v="36.4"/>
        <n v="41.2"/>
        <n v="38.799999999999997"/>
        <n v="43.2"/>
        <n v="37.6"/>
        <n v="36.9"/>
        <n v="43.5"/>
        <n v="43.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01"/>
    <x v="0"/>
    <x v="0"/>
    <x v="0"/>
    <x v="0"/>
    <x v="0"/>
    <x v="0"/>
    <x v="0"/>
    <s v="112.1"/>
    <x v="0"/>
    <x v="0"/>
    <x v="0"/>
    <x v="0"/>
    <x v="0"/>
    <x v="0"/>
    <x v="0"/>
    <x v="0"/>
    <x v="0"/>
    <x v="0"/>
  </r>
  <r>
    <n v="102"/>
    <x v="1"/>
    <x v="1"/>
    <x v="0"/>
    <x v="1"/>
    <x v="1"/>
    <x v="0"/>
    <x v="1"/>
    <s v="121.1"/>
    <x v="0"/>
    <x v="1"/>
    <x v="1"/>
    <x v="1"/>
    <x v="0"/>
    <x v="0"/>
    <x v="1"/>
    <x v="1"/>
    <x v="1"/>
    <x v="1"/>
  </r>
  <r>
    <n v="103"/>
    <x v="2"/>
    <x v="2"/>
    <x v="0"/>
    <x v="2"/>
    <x v="0"/>
    <x v="0"/>
    <x v="2"/>
    <s v="132.1"/>
    <x v="0"/>
    <x v="0"/>
    <x v="2"/>
    <x v="2"/>
    <x v="0"/>
    <x v="0"/>
    <x v="2"/>
    <x v="2"/>
    <x v="2"/>
    <x v="1"/>
  </r>
  <r>
    <n v="104"/>
    <x v="3"/>
    <x v="3"/>
    <x v="1"/>
    <x v="1"/>
    <x v="1"/>
    <x v="0"/>
    <x v="3"/>
    <s v="221.1"/>
    <x v="0"/>
    <x v="0"/>
    <x v="3"/>
    <x v="3"/>
    <x v="0"/>
    <x v="0"/>
    <x v="3"/>
    <x v="3"/>
    <x v="3"/>
    <x v="1"/>
  </r>
  <r>
    <n v="105"/>
    <x v="4"/>
    <x v="4"/>
    <x v="1"/>
    <x v="2"/>
    <x v="1"/>
    <x v="1"/>
    <x v="4"/>
    <s v="231.2"/>
    <x v="0"/>
    <x v="0"/>
    <x v="4"/>
    <x v="3"/>
    <x v="0"/>
    <x v="0"/>
    <x v="4"/>
    <x v="3"/>
    <x v="4"/>
    <x v="1"/>
  </r>
  <r>
    <n v="106"/>
    <x v="5"/>
    <x v="5"/>
    <x v="1"/>
    <x v="1"/>
    <x v="0"/>
    <x v="1"/>
    <x v="5"/>
    <s v="222.2"/>
    <x v="0"/>
    <x v="0"/>
    <x v="3"/>
    <x v="1"/>
    <x v="0"/>
    <x v="0"/>
    <x v="5"/>
    <x v="4"/>
    <x v="5"/>
    <x v="1"/>
  </r>
  <r>
    <n v="107"/>
    <x v="3"/>
    <x v="3"/>
    <x v="1"/>
    <x v="1"/>
    <x v="1"/>
    <x v="1"/>
    <x v="6"/>
    <s v="221.2"/>
    <x v="0"/>
    <x v="0"/>
    <x v="0"/>
    <x v="0"/>
    <x v="0"/>
    <x v="0"/>
    <x v="0"/>
    <x v="0"/>
    <x v="0"/>
    <x v="1"/>
  </r>
  <r>
    <n v="108"/>
    <x v="6"/>
    <x v="6"/>
    <x v="0"/>
    <x v="1"/>
    <x v="0"/>
    <x v="1"/>
    <x v="7"/>
    <s v="122.2"/>
    <x v="0"/>
    <x v="0"/>
    <x v="5"/>
    <x v="4"/>
    <x v="0"/>
    <x v="0"/>
    <x v="5"/>
    <x v="5"/>
    <x v="5"/>
    <x v="2"/>
  </r>
  <r>
    <n v="201"/>
    <x v="4"/>
    <x v="4"/>
    <x v="1"/>
    <x v="2"/>
    <x v="1"/>
    <x v="0"/>
    <x v="0"/>
    <s v="231.1"/>
    <x v="0"/>
    <x v="0"/>
    <x v="4"/>
    <x v="3"/>
    <x v="0"/>
    <x v="0"/>
    <x v="4"/>
    <x v="3"/>
    <x v="4"/>
    <x v="3"/>
  </r>
  <r>
    <n v="202"/>
    <x v="5"/>
    <x v="5"/>
    <x v="1"/>
    <x v="1"/>
    <x v="0"/>
    <x v="0"/>
    <x v="1"/>
    <s v="222.1"/>
    <x v="0"/>
    <x v="0"/>
    <x v="5"/>
    <x v="0"/>
    <x v="0"/>
    <x v="0"/>
    <x v="6"/>
    <x v="0"/>
    <x v="6"/>
    <x v="1"/>
  </r>
  <r>
    <n v="203"/>
    <x v="6"/>
    <x v="6"/>
    <x v="0"/>
    <x v="1"/>
    <x v="0"/>
    <x v="0"/>
    <x v="2"/>
    <s v="122.1"/>
    <x v="0"/>
    <x v="0"/>
    <x v="6"/>
    <x v="5"/>
    <x v="0"/>
    <x v="0"/>
    <x v="7"/>
    <x v="3"/>
    <x v="7"/>
    <x v="1"/>
  </r>
  <r>
    <n v="204"/>
    <x v="7"/>
    <x v="7"/>
    <x v="1"/>
    <x v="2"/>
    <x v="0"/>
    <x v="0"/>
    <x v="3"/>
    <s v="232.1"/>
    <x v="0"/>
    <x v="0"/>
    <x v="7"/>
    <x v="6"/>
    <x v="0"/>
    <x v="0"/>
    <x v="8"/>
    <x v="6"/>
    <x v="8"/>
    <x v="1"/>
  </r>
  <r>
    <n v="205"/>
    <x v="0"/>
    <x v="0"/>
    <x v="0"/>
    <x v="0"/>
    <x v="0"/>
    <x v="1"/>
    <x v="4"/>
    <s v="112.2"/>
    <x v="0"/>
    <x v="0"/>
    <x v="3"/>
    <x v="6"/>
    <x v="0"/>
    <x v="0"/>
    <x v="2"/>
    <x v="0"/>
    <x v="9"/>
    <x v="1"/>
  </r>
  <r>
    <n v="206"/>
    <x v="8"/>
    <x v="8"/>
    <x v="1"/>
    <x v="0"/>
    <x v="1"/>
    <x v="1"/>
    <x v="5"/>
    <s v="211.2"/>
    <x v="0"/>
    <x v="0"/>
    <x v="8"/>
    <x v="6"/>
    <x v="0"/>
    <x v="0"/>
    <x v="9"/>
    <x v="7"/>
    <x v="10"/>
    <x v="1"/>
  </r>
  <r>
    <n v="207"/>
    <x v="1"/>
    <x v="1"/>
    <x v="0"/>
    <x v="1"/>
    <x v="1"/>
    <x v="1"/>
    <x v="6"/>
    <s v="121.2"/>
    <x v="0"/>
    <x v="0"/>
    <x v="9"/>
    <x v="7"/>
    <x v="0"/>
    <x v="0"/>
    <x v="10"/>
    <x v="8"/>
    <x v="11"/>
    <x v="1"/>
  </r>
  <r>
    <n v="208"/>
    <x v="9"/>
    <x v="9"/>
    <x v="0"/>
    <x v="0"/>
    <x v="1"/>
    <x v="1"/>
    <x v="7"/>
    <s v="111.2"/>
    <x v="0"/>
    <x v="0"/>
    <x v="8"/>
    <x v="8"/>
    <x v="0"/>
    <x v="0"/>
    <x v="5"/>
    <x v="3"/>
    <x v="5"/>
    <x v="4"/>
  </r>
  <r>
    <n v="301"/>
    <x v="3"/>
    <x v="3"/>
    <x v="1"/>
    <x v="1"/>
    <x v="1"/>
    <x v="2"/>
    <x v="0"/>
    <s v="221.3"/>
    <x v="0"/>
    <x v="0"/>
    <x v="10"/>
    <x v="9"/>
    <x v="0"/>
    <x v="0"/>
    <x v="0"/>
    <x v="7"/>
    <x v="0"/>
    <x v="5"/>
  </r>
  <r>
    <n v="302"/>
    <x v="1"/>
    <x v="1"/>
    <x v="0"/>
    <x v="1"/>
    <x v="1"/>
    <x v="2"/>
    <x v="1"/>
    <s v="121.3"/>
    <x v="0"/>
    <x v="0"/>
    <x v="9"/>
    <x v="10"/>
    <x v="0"/>
    <x v="0"/>
    <x v="11"/>
    <x v="9"/>
    <x v="12"/>
    <x v="1"/>
  </r>
  <r>
    <n v="303"/>
    <x v="8"/>
    <x v="8"/>
    <x v="1"/>
    <x v="0"/>
    <x v="1"/>
    <x v="2"/>
    <x v="2"/>
    <s v="211.3"/>
    <x v="0"/>
    <x v="0"/>
    <x v="2"/>
    <x v="7"/>
    <x v="0"/>
    <x v="0"/>
    <x v="12"/>
    <x v="0"/>
    <x v="13"/>
    <x v="1"/>
  </r>
  <r>
    <n v="304"/>
    <x v="9"/>
    <x v="9"/>
    <x v="0"/>
    <x v="0"/>
    <x v="1"/>
    <x v="2"/>
    <x v="3"/>
    <s v="111.3"/>
    <x v="0"/>
    <x v="0"/>
    <x v="5"/>
    <x v="1"/>
    <x v="0"/>
    <x v="0"/>
    <x v="13"/>
    <x v="9"/>
    <x v="14"/>
    <x v="1"/>
  </r>
  <r>
    <n v="305"/>
    <x v="7"/>
    <x v="7"/>
    <x v="1"/>
    <x v="2"/>
    <x v="0"/>
    <x v="3"/>
    <x v="4"/>
    <s v="232.4"/>
    <x v="0"/>
    <x v="0"/>
    <x v="11"/>
    <x v="11"/>
    <x v="0"/>
    <x v="0"/>
    <x v="14"/>
    <x v="10"/>
    <x v="15"/>
    <x v="1"/>
  </r>
  <r>
    <n v="306"/>
    <x v="1"/>
    <x v="1"/>
    <x v="0"/>
    <x v="1"/>
    <x v="1"/>
    <x v="3"/>
    <x v="5"/>
    <s v="121.4"/>
    <x v="0"/>
    <x v="0"/>
    <x v="10"/>
    <x v="11"/>
    <x v="0"/>
    <x v="0"/>
    <x v="15"/>
    <x v="7"/>
    <x v="16"/>
    <x v="1"/>
  </r>
  <r>
    <n v="307"/>
    <x v="5"/>
    <x v="5"/>
    <x v="1"/>
    <x v="1"/>
    <x v="0"/>
    <x v="3"/>
    <x v="6"/>
    <s v="222.4"/>
    <x v="0"/>
    <x v="0"/>
    <x v="0"/>
    <x v="12"/>
    <x v="0"/>
    <x v="0"/>
    <x v="16"/>
    <x v="11"/>
    <x v="17"/>
    <x v="1"/>
  </r>
  <r>
    <n v="308"/>
    <x v="2"/>
    <x v="2"/>
    <x v="0"/>
    <x v="2"/>
    <x v="0"/>
    <x v="3"/>
    <x v="7"/>
    <s v="132.4"/>
    <x v="0"/>
    <x v="0"/>
    <x v="10"/>
    <x v="6"/>
    <x v="0"/>
    <x v="0"/>
    <x v="7"/>
    <x v="4"/>
    <x v="18"/>
    <x v="6"/>
  </r>
  <r>
    <n v="401"/>
    <x v="10"/>
    <x v="10"/>
    <x v="1"/>
    <x v="0"/>
    <x v="0"/>
    <x v="2"/>
    <x v="0"/>
    <s v="212.3"/>
    <x v="0"/>
    <x v="0"/>
    <x v="5"/>
    <x v="9"/>
    <x v="0"/>
    <x v="0"/>
    <x v="17"/>
    <x v="3"/>
    <x v="19"/>
    <x v="7"/>
  </r>
  <r>
    <n v="402"/>
    <x v="5"/>
    <x v="5"/>
    <x v="1"/>
    <x v="1"/>
    <x v="0"/>
    <x v="2"/>
    <x v="1"/>
    <s v="222.3"/>
    <x v="0"/>
    <x v="0"/>
    <x v="12"/>
    <x v="6"/>
    <x v="0"/>
    <x v="0"/>
    <x v="18"/>
    <x v="5"/>
    <x v="20"/>
    <x v="1"/>
  </r>
  <r>
    <n v="403"/>
    <x v="11"/>
    <x v="11"/>
    <x v="0"/>
    <x v="2"/>
    <x v="1"/>
    <x v="2"/>
    <x v="2"/>
    <s v="131.3"/>
    <x v="0"/>
    <x v="0"/>
    <x v="13"/>
    <x v="6"/>
    <x v="0"/>
    <x v="0"/>
    <x v="15"/>
    <x v="0"/>
    <x v="21"/>
    <x v="1"/>
  </r>
  <r>
    <n v="404"/>
    <x v="6"/>
    <x v="6"/>
    <x v="0"/>
    <x v="1"/>
    <x v="0"/>
    <x v="2"/>
    <x v="3"/>
    <s v="122.3"/>
    <x v="0"/>
    <x v="0"/>
    <x v="0"/>
    <x v="13"/>
    <x v="0"/>
    <x v="0"/>
    <x v="19"/>
    <x v="7"/>
    <x v="22"/>
    <x v="1"/>
  </r>
  <r>
    <n v="405"/>
    <x v="11"/>
    <x v="11"/>
    <x v="0"/>
    <x v="2"/>
    <x v="1"/>
    <x v="3"/>
    <x v="4"/>
    <s v="131.4"/>
    <x v="0"/>
    <x v="0"/>
    <x v="14"/>
    <x v="3"/>
    <x v="0"/>
    <x v="0"/>
    <x v="20"/>
    <x v="12"/>
    <x v="23"/>
    <x v="1"/>
  </r>
  <r>
    <n v="406"/>
    <x v="6"/>
    <x v="6"/>
    <x v="0"/>
    <x v="1"/>
    <x v="0"/>
    <x v="3"/>
    <x v="5"/>
    <s v="122.4"/>
    <x v="0"/>
    <x v="0"/>
    <x v="8"/>
    <x v="4"/>
    <x v="0"/>
    <x v="0"/>
    <x v="3"/>
    <x v="10"/>
    <x v="3"/>
    <x v="1"/>
  </r>
  <r>
    <n v="407"/>
    <x v="10"/>
    <x v="10"/>
    <x v="1"/>
    <x v="0"/>
    <x v="0"/>
    <x v="3"/>
    <x v="6"/>
    <s v="212.4"/>
    <x v="0"/>
    <x v="0"/>
    <x v="0"/>
    <x v="14"/>
    <x v="0"/>
    <x v="0"/>
    <x v="21"/>
    <x v="7"/>
    <x v="21"/>
    <x v="1"/>
  </r>
  <r>
    <n v="408"/>
    <x v="3"/>
    <x v="3"/>
    <x v="1"/>
    <x v="1"/>
    <x v="1"/>
    <x v="3"/>
    <x v="7"/>
    <s v="221.4"/>
    <x v="0"/>
    <x v="0"/>
    <x v="15"/>
    <x v="3"/>
    <x v="0"/>
    <x v="0"/>
    <x v="2"/>
    <x v="8"/>
    <x v="9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01"/>
    <x v="0"/>
    <x v="0"/>
    <x v="0"/>
    <x v="0"/>
    <x v="0"/>
    <x v="0"/>
    <x v="0"/>
    <s v="112.1"/>
    <x v="0"/>
    <x v="0"/>
    <x v="0"/>
    <x v="0"/>
    <x v="0"/>
    <x v="0"/>
    <x v="0"/>
    <x v="0"/>
    <x v="0"/>
    <x v="0"/>
  </r>
  <r>
    <n v="102"/>
    <x v="1"/>
    <x v="1"/>
    <x v="0"/>
    <x v="1"/>
    <x v="1"/>
    <x v="0"/>
    <x v="1"/>
    <s v="121.1"/>
    <x v="0"/>
    <x v="1"/>
    <x v="1"/>
    <x v="1"/>
    <x v="0"/>
    <x v="0"/>
    <x v="1"/>
    <x v="1"/>
    <x v="1"/>
    <x v="1"/>
  </r>
  <r>
    <n v="103"/>
    <x v="2"/>
    <x v="2"/>
    <x v="0"/>
    <x v="2"/>
    <x v="0"/>
    <x v="0"/>
    <x v="2"/>
    <s v="132.1"/>
    <x v="0"/>
    <x v="0"/>
    <x v="2"/>
    <x v="2"/>
    <x v="0"/>
    <x v="0"/>
    <x v="2"/>
    <x v="2"/>
    <x v="2"/>
    <x v="1"/>
  </r>
  <r>
    <n v="104"/>
    <x v="3"/>
    <x v="3"/>
    <x v="1"/>
    <x v="1"/>
    <x v="1"/>
    <x v="0"/>
    <x v="3"/>
    <s v="221.1"/>
    <x v="0"/>
    <x v="0"/>
    <x v="3"/>
    <x v="3"/>
    <x v="0"/>
    <x v="0"/>
    <x v="3"/>
    <x v="3"/>
    <x v="3"/>
    <x v="1"/>
  </r>
  <r>
    <n v="105"/>
    <x v="4"/>
    <x v="4"/>
    <x v="1"/>
    <x v="2"/>
    <x v="1"/>
    <x v="1"/>
    <x v="4"/>
    <s v="231.2"/>
    <x v="0"/>
    <x v="0"/>
    <x v="4"/>
    <x v="3"/>
    <x v="0"/>
    <x v="0"/>
    <x v="4"/>
    <x v="3"/>
    <x v="4"/>
    <x v="1"/>
  </r>
  <r>
    <n v="106"/>
    <x v="5"/>
    <x v="5"/>
    <x v="1"/>
    <x v="1"/>
    <x v="0"/>
    <x v="1"/>
    <x v="5"/>
    <s v="222.2"/>
    <x v="0"/>
    <x v="0"/>
    <x v="3"/>
    <x v="1"/>
    <x v="0"/>
    <x v="0"/>
    <x v="5"/>
    <x v="4"/>
    <x v="5"/>
    <x v="1"/>
  </r>
  <r>
    <n v="107"/>
    <x v="3"/>
    <x v="3"/>
    <x v="1"/>
    <x v="1"/>
    <x v="1"/>
    <x v="1"/>
    <x v="6"/>
    <s v="221.2"/>
    <x v="0"/>
    <x v="0"/>
    <x v="0"/>
    <x v="0"/>
    <x v="0"/>
    <x v="0"/>
    <x v="0"/>
    <x v="0"/>
    <x v="0"/>
    <x v="1"/>
  </r>
  <r>
    <n v="108"/>
    <x v="6"/>
    <x v="6"/>
    <x v="0"/>
    <x v="1"/>
    <x v="0"/>
    <x v="1"/>
    <x v="7"/>
    <s v="122.2"/>
    <x v="0"/>
    <x v="0"/>
    <x v="5"/>
    <x v="4"/>
    <x v="0"/>
    <x v="0"/>
    <x v="5"/>
    <x v="5"/>
    <x v="5"/>
    <x v="2"/>
  </r>
  <r>
    <n v="201"/>
    <x v="4"/>
    <x v="4"/>
    <x v="1"/>
    <x v="2"/>
    <x v="1"/>
    <x v="0"/>
    <x v="0"/>
    <s v="231.1"/>
    <x v="0"/>
    <x v="0"/>
    <x v="4"/>
    <x v="3"/>
    <x v="0"/>
    <x v="0"/>
    <x v="4"/>
    <x v="3"/>
    <x v="4"/>
    <x v="3"/>
  </r>
  <r>
    <n v="202"/>
    <x v="5"/>
    <x v="5"/>
    <x v="1"/>
    <x v="1"/>
    <x v="0"/>
    <x v="0"/>
    <x v="1"/>
    <s v="222.1"/>
    <x v="0"/>
    <x v="0"/>
    <x v="5"/>
    <x v="0"/>
    <x v="0"/>
    <x v="0"/>
    <x v="6"/>
    <x v="0"/>
    <x v="6"/>
    <x v="1"/>
  </r>
  <r>
    <n v="203"/>
    <x v="6"/>
    <x v="6"/>
    <x v="0"/>
    <x v="1"/>
    <x v="0"/>
    <x v="0"/>
    <x v="2"/>
    <s v="122.1"/>
    <x v="0"/>
    <x v="0"/>
    <x v="6"/>
    <x v="5"/>
    <x v="0"/>
    <x v="0"/>
    <x v="7"/>
    <x v="3"/>
    <x v="7"/>
    <x v="1"/>
  </r>
  <r>
    <n v="204"/>
    <x v="7"/>
    <x v="7"/>
    <x v="1"/>
    <x v="2"/>
    <x v="0"/>
    <x v="0"/>
    <x v="3"/>
    <s v="232.1"/>
    <x v="0"/>
    <x v="0"/>
    <x v="7"/>
    <x v="6"/>
    <x v="0"/>
    <x v="0"/>
    <x v="8"/>
    <x v="6"/>
    <x v="8"/>
    <x v="1"/>
  </r>
  <r>
    <n v="205"/>
    <x v="0"/>
    <x v="0"/>
    <x v="0"/>
    <x v="0"/>
    <x v="0"/>
    <x v="1"/>
    <x v="4"/>
    <s v="112.2"/>
    <x v="0"/>
    <x v="0"/>
    <x v="3"/>
    <x v="6"/>
    <x v="0"/>
    <x v="0"/>
    <x v="2"/>
    <x v="0"/>
    <x v="9"/>
    <x v="1"/>
  </r>
  <r>
    <n v="206"/>
    <x v="8"/>
    <x v="8"/>
    <x v="1"/>
    <x v="0"/>
    <x v="1"/>
    <x v="1"/>
    <x v="5"/>
    <s v="211.2"/>
    <x v="0"/>
    <x v="0"/>
    <x v="8"/>
    <x v="6"/>
    <x v="0"/>
    <x v="0"/>
    <x v="9"/>
    <x v="7"/>
    <x v="10"/>
    <x v="1"/>
  </r>
  <r>
    <n v="207"/>
    <x v="1"/>
    <x v="1"/>
    <x v="0"/>
    <x v="1"/>
    <x v="1"/>
    <x v="1"/>
    <x v="6"/>
    <s v="121.2"/>
    <x v="0"/>
    <x v="0"/>
    <x v="9"/>
    <x v="7"/>
    <x v="0"/>
    <x v="0"/>
    <x v="10"/>
    <x v="8"/>
    <x v="11"/>
    <x v="1"/>
  </r>
  <r>
    <n v="208"/>
    <x v="9"/>
    <x v="9"/>
    <x v="0"/>
    <x v="0"/>
    <x v="1"/>
    <x v="1"/>
    <x v="7"/>
    <s v="111.2"/>
    <x v="0"/>
    <x v="0"/>
    <x v="8"/>
    <x v="8"/>
    <x v="0"/>
    <x v="0"/>
    <x v="5"/>
    <x v="3"/>
    <x v="5"/>
    <x v="4"/>
  </r>
  <r>
    <n v="301"/>
    <x v="3"/>
    <x v="3"/>
    <x v="1"/>
    <x v="1"/>
    <x v="1"/>
    <x v="2"/>
    <x v="0"/>
    <s v="221.3"/>
    <x v="0"/>
    <x v="0"/>
    <x v="10"/>
    <x v="9"/>
    <x v="0"/>
    <x v="0"/>
    <x v="0"/>
    <x v="7"/>
    <x v="0"/>
    <x v="5"/>
  </r>
  <r>
    <n v="302"/>
    <x v="1"/>
    <x v="1"/>
    <x v="0"/>
    <x v="1"/>
    <x v="1"/>
    <x v="2"/>
    <x v="1"/>
    <s v="121.3"/>
    <x v="0"/>
    <x v="0"/>
    <x v="9"/>
    <x v="10"/>
    <x v="0"/>
    <x v="0"/>
    <x v="11"/>
    <x v="9"/>
    <x v="12"/>
    <x v="1"/>
  </r>
  <r>
    <n v="303"/>
    <x v="8"/>
    <x v="8"/>
    <x v="1"/>
    <x v="0"/>
    <x v="1"/>
    <x v="2"/>
    <x v="2"/>
    <s v="211.3"/>
    <x v="0"/>
    <x v="0"/>
    <x v="2"/>
    <x v="7"/>
    <x v="0"/>
    <x v="0"/>
    <x v="12"/>
    <x v="0"/>
    <x v="13"/>
    <x v="1"/>
  </r>
  <r>
    <n v="304"/>
    <x v="9"/>
    <x v="9"/>
    <x v="0"/>
    <x v="0"/>
    <x v="1"/>
    <x v="2"/>
    <x v="3"/>
    <s v="111.3"/>
    <x v="0"/>
    <x v="0"/>
    <x v="5"/>
    <x v="1"/>
    <x v="0"/>
    <x v="0"/>
    <x v="13"/>
    <x v="9"/>
    <x v="14"/>
    <x v="1"/>
  </r>
  <r>
    <n v="305"/>
    <x v="7"/>
    <x v="7"/>
    <x v="1"/>
    <x v="2"/>
    <x v="0"/>
    <x v="3"/>
    <x v="4"/>
    <s v="232.4"/>
    <x v="0"/>
    <x v="0"/>
    <x v="11"/>
    <x v="11"/>
    <x v="0"/>
    <x v="0"/>
    <x v="14"/>
    <x v="10"/>
    <x v="15"/>
    <x v="1"/>
  </r>
  <r>
    <n v="306"/>
    <x v="1"/>
    <x v="1"/>
    <x v="0"/>
    <x v="1"/>
    <x v="1"/>
    <x v="3"/>
    <x v="5"/>
    <s v="121.4"/>
    <x v="0"/>
    <x v="0"/>
    <x v="10"/>
    <x v="11"/>
    <x v="0"/>
    <x v="0"/>
    <x v="15"/>
    <x v="7"/>
    <x v="16"/>
    <x v="1"/>
  </r>
  <r>
    <n v="307"/>
    <x v="5"/>
    <x v="5"/>
    <x v="1"/>
    <x v="1"/>
    <x v="0"/>
    <x v="3"/>
    <x v="6"/>
    <s v="222.4"/>
    <x v="0"/>
    <x v="0"/>
    <x v="0"/>
    <x v="12"/>
    <x v="0"/>
    <x v="0"/>
    <x v="16"/>
    <x v="11"/>
    <x v="17"/>
    <x v="1"/>
  </r>
  <r>
    <n v="308"/>
    <x v="2"/>
    <x v="2"/>
    <x v="0"/>
    <x v="2"/>
    <x v="0"/>
    <x v="3"/>
    <x v="7"/>
    <s v="132.4"/>
    <x v="0"/>
    <x v="0"/>
    <x v="10"/>
    <x v="6"/>
    <x v="0"/>
    <x v="0"/>
    <x v="7"/>
    <x v="4"/>
    <x v="18"/>
    <x v="6"/>
  </r>
  <r>
    <n v="401"/>
    <x v="10"/>
    <x v="10"/>
    <x v="1"/>
    <x v="0"/>
    <x v="0"/>
    <x v="2"/>
    <x v="0"/>
    <s v="212.3"/>
    <x v="0"/>
    <x v="0"/>
    <x v="5"/>
    <x v="9"/>
    <x v="0"/>
    <x v="0"/>
    <x v="17"/>
    <x v="3"/>
    <x v="19"/>
    <x v="7"/>
  </r>
  <r>
    <n v="402"/>
    <x v="5"/>
    <x v="5"/>
    <x v="1"/>
    <x v="1"/>
    <x v="0"/>
    <x v="2"/>
    <x v="1"/>
    <s v="222.3"/>
    <x v="0"/>
    <x v="0"/>
    <x v="12"/>
    <x v="6"/>
    <x v="0"/>
    <x v="0"/>
    <x v="18"/>
    <x v="5"/>
    <x v="20"/>
    <x v="1"/>
  </r>
  <r>
    <n v="403"/>
    <x v="11"/>
    <x v="11"/>
    <x v="0"/>
    <x v="2"/>
    <x v="1"/>
    <x v="2"/>
    <x v="2"/>
    <s v="131.3"/>
    <x v="0"/>
    <x v="0"/>
    <x v="13"/>
    <x v="6"/>
    <x v="0"/>
    <x v="0"/>
    <x v="15"/>
    <x v="0"/>
    <x v="21"/>
    <x v="1"/>
  </r>
  <r>
    <n v="404"/>
    <x v="6"/>
    <x v="6"/>
    <x v="0"/>
    <x v="1"/>
    <x v="0"/>
    <x v="2"/>
    <x v="3"/>
    <s v="122.3"/>
    <x v="0"/>
    <x v="0"/>
    <x v="0"/>
    <x v="13"/>
    <x v="0"/>
    <x v="0"/>
    <x v="19"/>
    <x v="7"/>
    <x v="22"/>
    <x v="1"/>
  </r>
  <r>
    <n v="405"/>
    <x v="11"/>
    <x v="11"/>
    <x v="0"/>
    <x v="2"/>
    <x v="1"/>
    <x v="3"/>
    <x v="4"/>
    <s v="131.4"/>
    <x v="0"/>
    <x v="0"/>
    <x v="14"/>
    <x v="3"/>
    <x v="0"/>
    <x v="0"/>
    <x v="20"/>
    <x v="12"/>
    <x v="23"/>
    <x v="1"/>
  </r>
  <r>
    <n v="406"/>
    <x v="6"/>
    <x v="6"/>
    <x v="0"/>
    <x v="1"/>
    <x v="0"/>
    <x v="3"/>
    <x v="5"/>
    <s v="122.4"/>
    <x v="0"/>
    <x v="0"/>
    <x v="8"/>
    <x v="4"/>
    <x v="0"/>
    <x v="0"/>
    <x v="3"/>
    <x v="10"/>
    <x v="3"/>
    <x v="1"/>
  </r>
  <r>
    <n v="407"/>
    <x v="10"/>
    <x v="10"/>
    <x v="1"/>
    <x v="0"/>
    <x v="0"/>
    <x v="3"/>
    <x v="6"/>
    <s v="212.4"/>
    <x v="0"/>
    <x v="0"/>
    <x v="0"/>
    <x v="14"/>
    <x v="0"/>
    <x v="0"/>
    <x v="21"/>
    <x v="7"/>
    <x v="21"/>
    <x v="1"/>
  </r>
  <r>
    <n v="408"/>
    <x v="3"/>
    <x v="3"/>
    <x v="1"/>
    <x v="1"/>
    <x v="1"/>
    <x v="3"/>
    <x v="7"/>
    <s v="221.4"/>
    <x v="0"/>
    <x v="0"/>
    <x v="15"/>
    <x v="3"/>
    <x v="0"/>
    <x v="0"/>
    <x v="2"/>
    <x v="8"/>
    <x v="9"/>
    <x v="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01"/>
    <x v="0"/>
    <x v="0"/>
    <x v="0"/>
    <x v="0"/>
    <x v="0"/>
    <x v="0"/>
    <x v="0"/>
    <s v="112.1"/>
    <x v="0"/>
    <x v="0"/>
    <x v="0"/>
    <x v="0"/>
    <x v="0"/>
    <x v="0"/>
    <x v="0"/>
    <x v="0"/>
    <x v="0"/>
    <x v="0"/>
  </r>
  <r>
    <n v="102"/>
    <x v="1"/>
    <x v="1"/>
    <x v="0"/>
    <x v="1"/>
    <x v="1"/>
    <x v="0"/>
    <x v="1"/>
    <s v="121.1"/>
    <x v="0"/>
    <x v="0"/>
    <x v="1"/>
    <x v="1"/>
    <x v="0"/>
    <x v="0"/>
    <x v="1"/>
    <x v="1"/>
    <x v="1"/>
    <x v="1"/>
  </r>
  <r>
    <n v="103"/>
    <x v="2"/>
    <x v="2"/>
    <x v="0"/>
    <x v="2"/>
    <x v="0"/>
    <x v="0"/>
    <x v="2"/>
    <s v="132.1"/>
    <x v="0"/>
    <x v="0"/>
    <x v="2"/>
    <x v="2"/>
    <x v="0"/>
    <x v="0"/>
    <x v="2"/>
    <x v="2"/>
    <x v="2"/>
    <x v="1"/>
  </r>
  <r>
    <n v="104"/>
    <x v="3"/>
    <x v="3"/>
    <x v="1"/>
    <x v="1"/>
    <x v="1"/>
    <x v="0"/>
    <x v="3"/>
    <s v="221.1"/>
    <x v="0"/>
    <x v="0"/>
    <x v="0"/>
    <x v="3"/>
    <x v="0"/>
    <x v="0"/>
    <x v="3"/>
    <x v="3"/>
    <x v="3"/>
    <x v="1"/>
  </r>
  <r>
    <n v="105"/>
    <x v="4"/>
    <x v="4"/>
    <x v="1"/>
    <x v="2"/>
    <x v="1"/>
    <x v="1"/>
    <x v="4"/>
    <s v="231.2"/>
    <x v="0"/>
    <x v="0"/>
    <x v="3"/>
    <x v="4"/>
    <x v="0"/>
    <x v="0"/>
    <x v="4"/>
    <x v="1"/>
    <x v="4"/>
    <x v="1"/>
  </r>
  <r>
    <n v="106"/>
    <x v="5"/>
    <x v="5"/>
    <x v="1"/>
    <x v="1"/>
    <x v="0"/>
    <x v="1"/>
    <x v="5"/>
    <s v="222.2"/>
    <x v="0"/>
    <x v="0"/>
    <x v="4"/>
    <x v="5"/>
    <x v="0"/>
    <x v="0"/>
    <x v="5"/>
    <x v="3"/>
    <x v="5"/>
    <x v="1"/>
  </r>
  <r>
    <n v="107"/>
    <x v="3"/>
    <x v="3"/>
    <x v="1"/>
    <x v="1"/>
    <x v="1"/>
    <x v="1"/>
    <x v="6"/>
    <s v="221.2"/>
    <x v="0"/>
    <x v="0"/>
    <x v="5"/>
    <x v="5"/>
    <x v="0"/>
    <x v="0"/>
    <x v="0"/>
    <x v="4"/>
    <x v="0"/>
    <x v="1"/>
  </r>
  <r>
    <n v="108"/>
    <x v="6"/>
    <x v="6"/>
    <x v="0"/>
    <x v="1"/>
    <x v="0"/>
    <x v="1"/>
    <x v="7"/>
    <s v="122.2"/>
    <x v="0"/>
    <x v="0"/>
    <x v="1"/>
    <x v="6"/>
    <x v="0"/>
    <x v="0"/>
    <x v="6"/>
    <x v="5"/>
    <x v="6"/>
    <x v="2"/>
  </r>
  <r>
    <n v="201"/>
    <x v="4"/>
    <x v="4"/>
    <x v="1"/>
    <x v="2"/>
    <x v="1"/>
    <x v="0"/>
    <x v="0"/>
    <s v="231.1"/>
    <x v="0"/>
    <x v="0"/>
    <x v="6"/>
    <x v="4"/>
    <x v="0"/>
    <x v="0"/>
    <x v="7"/>
    <x v="4"/>
    <x v="7"/>
    <x v="3"/>
  </r>
  <r>
    <n v="202"/>
    <x v="5"/>
    <x v="5"/>
    <x v="1"/>
    <x v="1"/>
    <x v="0"/>
    <x v="0"/>
    <x v="1"/>
    <s v="222.1"/>
    <x v="0"/>
    <x v="0"/>
    <x v="7"/>
    <x v="5"/>
    <x v="0"/>
    <x v="0"/>
    <x v="8"/>
    <x v="6"/>
    <x v="8"/>
    <x v="1"/>
  </r>
  <r>
    <n v="203"/>
    <x v="6"/>
    <x v="6"/>
    <x v="0"/>
    <x v="1"/>
    <x v="0"/>
    <x v="0"/>
    <x v="2"/>
    <s v="122.1"/>
    <x v="0"/>
    <x v="0"/>
    <x v="8"/>
    <x v="4"/>
    <x v="0"/>
    <x v="0"/>
    <x v="9"/>
    <x v="7"/>
    <x v="9"/>
    <x v="1"/>
  </r>
  <r>
    <n v="204"/>
    <x v="7"/>
    <x v="7"/>
    <x v="1"/>
    <x v="2"/>
    <x v="0"/>
    <x v="0"/>
    <x v="3"/>
    <s v="232.1"/>
    <x v="0"/>
    <x v="0"/>
    <x v="9"/>
    <x v="2"/>
    <x v="0"/>
    <x v="0"/>
    <x v="10"/>
    <x v="8"/>
    <x v="10"/>
    <x v="1"/>
  </r>
  <r>
    <n v="205"/>
    <x v="0"/>
    <x v="0"/>
    <x v="0"/>
    <x v="0"/>
    <x v="0"/>
    <x v="1"/>
    <x v="4"/>
    <s v="112.2"/>
    <x v="0"/>
    <x v="0"/>
    <x v="0"/>
    <x v="4"/>
    <x v="0"/>
    <x v="0"/>
    <x v="11"/>
    <x v="9"/>
    <x v="11"/>
    <x v="1"/>
  </r>
  <r>
    <n v="206"/>
    <x v="8"/>
    <x v="8"/>
    <x v="1"/>
    <x v="0"/>
    <x v="1"/>
    <x v="1"/>
    <x v="5"/>
    <s v="211.2"/>
    <x v="0"/>
    <x v="0"/>
    <x v="10"/>
    <x v="7"/>
    <x v="0"/>
    <x v="0"/>
    <x v="3"/>
    <x v="2"/>
    <x v="3"/>
    <x v="1"/>
  </r>
  <r>
    <n v="207"/>
    <x v="1"/>
    <x v="1"/>
    <x v="0"/>
    <x v="1"/>
    <x v="1"/>
    <x v="1"/>
    <x v="6"/>
    <s v="121.2"/>
    <x v="0"/>
    <x v="0"/>
    <x v="11"/>
    <x v="8"/>
    <x v="0"/>
    <x v="0"/>
    <x v="12"/>
    <x v="0"/>
    <x v="12"/>
    <x v="1"/>
  </r>
  <r>
    <n v="208"/>
    <x v="9"/>
    <x v="9"/>
    <x v="0"/>
    <x v="0"/>
    <x v="1"/>
    <x v="1"/>
    <x v="7"/>
    <s v="111.2"/>
    <x v="0"/>
    <x v="0"/>
    <x v="4"/>
    <x v="3"/>
    <x v="0"/>
    <x v="0"/>
    <x v="13"/>
    <x v="6"/>
    <x v="13"/>
    <x v="4"/>
  </r>
  <r>
    <n v="301"/>
    <x v="3"/>
    <x v="3"/>
    <x v="1"/>
    <x v="1"/>
    <x v="1"/>
    <x v="2"/>
    <x v="0"/>
    <s v="221.3"/>
    <x v="0"/>
    <x v="0"/>
    <x v="12"/>
    <x v="9"/>
    <x v="0"/>
    <x v="0"/>
    <x v="2"/>
    <x v="7"/>
    <x v="14"/>
    <x v="5"/>
  </r>
  <r>
    <n v="302"/>
    <x v="1"/>
    <x v="1"/>
    <x v="0"/>
    <x v="1"/>
    <x v="1"/>
    <x v="2"/>
    <x v="1"/>
    <s v="121.3"/>
    <x v="0"/>
    <x v="0"/>
    <x v="13"/>
    <x v="4"/>
    <x v="0"/>
    <x v="0"/>
    <x v="14"/>
    <x v="10"/>
    <x v="15"/>
    <x v="1"/>
  </r>
  <r>
    <n v="303"/>
    <x v="8"/>
    <x v="8"/>
    <x v="1"/>
    <x v="0"/>
    <x v="1"/>
    <x v="2"/>
    <x v="2"/>
    <s v="211.3"/>
    <x v="0"/>
    <x v="0"/>
    <x v="4"/>
    <x v="10"/>
    <x v="0"/>
    <x v="0"/>
    <x v="15"/>
    <x v="1"/>
    <x v="16"/>
    <x v="1"/>
  </r>
  <r>
    <n v="304"/>
    <x v="9"/>
    <x v="9"/>
    <x v="0"/>
    <x v="0"/>
    <x v="1"/>
    <x v="2"/>
    <x v="3"/>
    <s v="111.3"/>
    <x v="0"/>
    <x v="0"/>
    <x v="10"/>
    <x v="0"/>
    <x v="0"/>
    <x v="0"/>
    <x v="14"/>
    <x v="6"/>
    <x v="15"/>
    <x v="1"/>
  </r>
  <r>
    <n v="305"/>
    <x v="7"/>
    <x v="7"/>
    <x v="1"/>
    <x v="2"/>
    <x v="0"/>
    <x v="3"/>
    <x v="4"/>
    <s v="232.4"/>
    <x v="0"/>
    <x v="0"/>
    <x v="14"/>
    <x v="11"/>
    <x v="0"/>
    <x v="0"/>
    <x v="16"/>
    <x v="11"/>
    <x v="17"/>
    <x v="1"/>
  </r>
  <r>
    <n v="306"/>
    <x v="1"/>
    <x v="1"/>
    <x v="0"/>
    <x v="1"/>
    <x v="1"/>
    <x v="3"/>
    <x v="5"/>
    <s v="121.4"/>
    <x v="0"/>
    <x v="0"/>
    <x v="15"/>
    <x v="12"/>
    <x v="0"/>
    <x v="0"/>
    <x v="17"/>
    <x v="1"/>
    <x v="18"/>
    <x v="1"/>
  </r>
  <r>
    <n v="307"/>
    <x v="5"/>
    <x v="5"/>
    <x v="1"/>
    <x v="1"/>
    <x v="0"/>
    <x v="3"/>
    <x v="6"/>
    <s v="222.4"/>
    <x v="0"/>
    <x v="0"/>
    <x v="2"/>
    <x v="13"/>
    <x v="0"/>
    <x v="0"/>
    <x v="18"/>
    <x v="12"/>
    <x v="2"/>
    <x v="1"/>
  </r>
  <r>
    <n v="308"/>
    <x v="2"/>
    <x v="2"/>
    <x v="0"/>
    <x v="2"/>
    <x v="0"/>
    <x v="3"/>
    <x v="7"/>
    <s v="132.4"/>
    <x v="0"/>
    <x v="0"/>
    <x v="15"/>
    <x v="7"/>
    <x v="0"/>
    <x v="0"/>
    <x v="19"/>
    <x v="0"/>
    <x v="19"/>
    <x v="6"/>
  </r>
  <r>
    <n v="401"/>
    <x v="10"/>
    <x v="10"/>
    <x v="1"/>
    <x v="0"/>
    <x v="0"/>
    <x v="2"/>
    <x v="0"/>
    <s v="212.3"/>
    <x v="0"/>
    <x v="0"/>
    <x v="1"/>
    <x v="1"/>
    <x v="0"/>
    <x v="0"/>
    <x v="1"/>
    <x v="1"/>
    <x v="1"/>
    <x v="7"/>
  </r>
  <r>
    <n v="402"/>
    <x v="5"/>
    <x v="5"/>
    <x v="1"/>
    <x v="1"/>
    <x v="0"/>
    <x v="2"/>
    <x v="1"/>
    <s v="222.3"/>
    <x v="0"/>
    <x v="0"/>
    <x v="11"/>
    <x v="14"/>
    <x v="0"/>
    <x v="0"/>
    <x v="14"/>
    <x v="8"/>
    <x v="15"/>
    <x v="1"/>
  </r>
  <r>
    <n v="403"/>
    <x v="11"/>
    <x v="11"/>
    <x v="0"/>
    <x v="2"/>
    <x v="1"/>
    <x v="2"/>
    <x v="2"/>
    <s v="131.3"/>
    <x v="0"/>
    <x v="0"/>
    <x v="3"/>
    <x v="15"/>
    <x v="0"/>
    <x v="0"/>
    <x v="20"/>
    <x v="6"/>
    <x v="20"/>
    <x v="1"/>
  </r>
  <r>
    <n v="404"/>
    <x v="6"/>
    <x v="6"/>
    <x v="0"/>
    <x v="1"/>
    <x v="0"/>
    <x v="2"/>
    <x v="3"/>
    <s v="122.3"/>
    <x v="0"/>
    <x v="0"/>
    <x v="16"/>
    <x v="15"/>
    <x v="0"/>
    <x v="0"/>
    <x v="21"/>
    <x v="9"/>
    <x v="21"/>
    <x v="1"/>
  </r>
  <r>
    <n v="405"/>
    <x v="11"/>
    <x v="11"/>
    <x v="0"/>
    <x v="2"/>
    <x v="1"/>
    <x v="3"/>
    <x v="4"/>
    <s v="131.4"/>
    <x v="0"/>
    <x v="0"/>
    <x v="17"/>
    <x v="14"/>
    <x v="0"/>
    <x v="0"/>
    <x v="22"/>
    <x v="11"/>
    <x v="22"/>
    <x v="1"/>
  </r>
  <r>
    <n v="406"/>
    <x v="6"/>
    <x v="6"/>
    <x v="0"/>
    <x v="1"/>
    <x v="0"/>
    <x v="3"/>
    <x v="5"/>
    <s v="122.4"/>
    <x v="0"/>
    <x v="0"/>
    <x v="18"/>
    <x v="7"/>
    <x v="0"/>
    <x v="0"/>
    <x v="11"/>
    <x v="12"/>
    <x v="11"/>
    <x v="1"/>
  </r>
  <r>
    <n v="407"/>
    <x v="10"/>
    <x v="10"/>
    <x v="1"/>
    <x v="0"/>
    <x v="0"/>
    <x v="3"/>
    <x v="6"/>
    <s v="212.4"/>
    <x v="0"/>
    <x v="0"/>
    <x v="0"/>
    <x v="16"/>
    <x v="0"/>
    <x v="0"/>
    <x v="5"/>
    <x v="12"/>
    <x v="5"/>
    <x v="1"/>
  </r>
  <r>
    <n v="408"/>
    <x v="3"/>
    <x v="3"/>
    <x v="1"/>
    <x v="1"/>
    <x v="1"/>
    <x v="3"/>
    <x v="7"/>
    <s v="221.4"/>
    <x v="0"/>
    <x v="0"/>
    <x v="5"/>
    <x v="4"/>
    <x v="0"/>
    <x v="0"/>
    <x v="23"/>
    <x v="3"/>
    <x v="23"/>
    <x v="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01"/>
    <x v="0"/>
    <x v="0"/>
    <x v="0"/>
    <x v="0"/>
    <x v="0"/>
    <x v="0"/>
    <x v="0"/>
    <s v="112.1"/>
    <x v="0"/>
    <x v="0"/>
    <x v="0"/>
    <x v="0"/>
    <x v="0"/>
    <x v="0"/>
    <x v="0"/>
    <x v="0"/>
    <x v="0"/>
    <x v="0"/>
  </r>
  <r>
    <n v="102"/>
    <x v="1"/>
    <x v="1"/>
    <x v="0"/>
    <x v="1"/>
    <x v="1"/>
    <x v="0"/>
    <x v="1"/>
    <s v="121.1"/>
    <x v="0"/>
    <x v="0"/>
    <x v="1"/>
    <x v="1"/>
    <x v="0"/>
    <x v="0"/>
    <x v="1"/>
    <x v="1"/>
    <x v="1"/>
    <x v="1"/>
  </r>
  <r>
    <n v="103"/>
    <x v="2"/>
    <x v="2"/>
    <x v="0"/>
    <x v="2"/>
    <x v="0"/>
    <x v="0"/>
    <x v="2"/>
    <s v="132.1"/>
    <x v="0"/>
    <x v="0"/>
    <x v="2"/>
    <x v="2"/>
    <x v="0"/>
    <x v="0"/>
    <x v="2"/>
    <x v="2"/>
    <x v="2"/>
    <x v="1"/>
  </r>
  <r>
    <n v="104"/>
    <x v="3"/>
    <x v="3"/>
    <x v="1"/>
    <x v="1"/>
    <x v="1"/>
    <x v="0"/>
    <x v="3"/>
    <s v="221.1"/>
    <x v="0"/>
    <x v="0"/>
    <x v="0"/>
    <x v="3"/>
    <x v="0"/>
    <x v="0"/>
    <x v="3"/>
    <x v="3"/>
    <x v="3"/>
    <x v="1"/>
  </r>
  <r>
    <n v="105"/>
    <x v="4"/>
    <x v="4"/>
    <x v="1"/>
    <x v="2"/>
    <x v="1"/>
    <x v="1"/>
    <x v="4"/>
    <s v="231.2"/>
    <x v="0"/>
    <x v="0"/>
    <x v="3"/>
    <x v="4"/>
    <x v="0"/>
    <x v="0"/>
    <x v="4"/>
    <x v="1"/>
    <x v="4"/>
    <x v="1"/>
  </r>
  <r>
    <n v="106"/>
    <x v="5"/>
    <x v="5"/>
    <x v="1"/>
    <x v="1"/>
    <x v="0"/>
    <x v="1"/>
    <x v="5"/>
    <s v="222.2"/>
    <x v="0"/>
    <x v="0"/>
    <x v="4"/>
    <x v="5"/>
    <x v="0"/>
    <x v="0"/>
    <x v="5"/>
    <x v="3"/>
    <x v="5"/>
    <x v="1"/>
  </r>
  <r>
    <n v="107"/>
    <x v="3"/>
    <x v="3"/>
    <x v="1"/>
    <x v="1"/>
    <x v="1"/>
    <x v="1"/>
    <x v="6"/>
    <s v="221.2"/>
    <x v="0"/>
    <x v="0"/>
    <x v="5"/>
    <x v="5"/>
    <x v="0"/>
    <x v="0"/>
    <x v="0"/>
    <x v="4"/>
    <x v="0"/>
    <x v="1"/>
  </r>
  <r>
    <n v="108"/>
    <x v="6"/>
    <x v="6"/>
    <x v="0"/>
    <x v="1"/>
    <x v="0"/>
    <x v="1"/>
    <x v="7"/>
    <s v="122.2"/>
    <x v="0"/>
    <x v="0"/>
    <x v="1"/>
    <x v="6"/>
    <x v="0"/>
    <x v="0"/>
    <x v="6"/>
    <x v="5"/>
    <x v="6"/>
    <x v="2"/>
  </r>
  <r>
    <n v="201"/>
    <x v="4"/>
    <x v="4"/>
    <x v="1"/>
    <x v="2"/>
    <x v="1"/>
    <x v="0"/>
    <x v="0"/>
    <s v="231.1"/>
    <x v="0"/>
    <x v="0"/>
    <x v="6"/>
    <x v="4"/>
    <x v="0"/>
    <x v="0"/>
    <x v="7"/>
    <x v="4"/>
    <x v="7"/>
    <x v="3"/>
  </r>
  <r>
    <n v="202"/>
    <x v="5"/>
    <x v="5"/>
    <x v="1"/>
    <x v="1"/>
    <x v="0"/>
    <x v="0"/>
    <x v="1"/>
    <s v="222.1"/>
    <x v="0"/>
    <x v="0"/>
    <x v="7"/>
    <x v="5"/>
    <x v="0"/>
    <x v="0"/>
    <x v="8"/>
    <x v="6"/>
    <x v="8"/>
    <x v="1"/>
  </r>
  <r>
    <n v="203"/>
    <x v="6"/>
    <x v="6"/>
    <x v="0"/>
    <x v="1"/>
    <x v="0"/>
    <x v="0"/>
    <x v="2"/>
    <s v="122.1"/>
    <x v="0"/>
    <x v="0"/>
    <x v="8"/>
    <x v="4"/>
    <x v="0"/>
    <x v="0"/>
    <x v="9"/>
    <x v="7"/>
    <x v="9"/>
    <x v="1"/>
  </r>
  <r>
    <n v="204"/>
    <x v="7"/>
    <x v="7"/>
    <x v="1"/>
    <x v="2"/>
    <x v="0"/>
    <x v="0"/>
    <x v="3"/>
    <s v="232.1"/>
    <x v="0"/>
    <x v="0"/>
    <x v="9"/>
    <x v="2"/>
    <x v="0"/>
    <x v="0"/>
    <x v="10"/>
    <x v="8"/>
    <x v="10"/>
    <x v="1"/>
  </r>
  <r>
    <n v="205"/>
    <x v="0"/>
    <x v="0"/>
    <x v="0"/>
    <x v="0"/>
    <x v="0"/>
    <x v="1"/>
    <x v="4"/>
    <s v="112.2"/>
    <x v="0"/>
    <x v="0"/>
    <x v="0"/>
    <x v="4"/>
    <x v="0"/>
    <x v="0"/>
    <x v="11"/>
    <x v="9"/>
    <x v="11"/>
    <x v="1"/>
  </r>
  <r>
    <n v="206"/>
    <x v="8"/>
    <x v="8"/>
    <x v="1"/>
    <x v="0"/>
    <x v="1"/>
    <x v="1"/>
    <x v="5"/>
    <s v="211.2"/>
    <x v="0"/>
    <x v="0"/>
    <x v="10"/>
    <x v="7"/>
    <x v="0"/>
    <x v="0"/>
    <x v="3"/>
    <x v="2"/>
    <x v="3"/>
    <x v="1"/>
  </r>
  <r>
    <n v="207"/>
    <x v="1"/>
    <x v="1"/>
    <x v="0"/>
    <x v="1"/>
    <x v="1"/>
    <x v="1"/>
    <x v="6"/>
    <s v="121.2"/>
    <x v="0"/>
    <x v="0"/>
    <x v="11"/>
    <x v="8"/>
    <x v="0"/>
    <x v="0"/>
    <x v="12"/>
    <x v="0"/>
    <x v="12"/>
    <x v="1"/>
  </r>
  <r>
    <n v="208"/>
    <x v="9"/>
    <x v="9"/>
    <x v="0"/>
    <x v="0"/>
    <x v="1"/>
    <x v="1"/>
    <x v="7"/>
    <s v="111.2"/>
    <x v="0"/>
    <x v="0"/>
    <x v="4"/>
    <x v="3"/>
    <x v="0"/>
    <x v="0"/>
    <x v="13"/>
    <x v="6"/>
    <x v="13"/>
    <x v="4"/>
  </r>
  <r>
    <n v="301"/>
    <x v="3"/>
    <x v="3"/>
    <x v="1"/>
    <x v="1"/>
    <x v="1"/>
    <x v="2"/>
    <x v="0"/>
    <s v="221.3"/>
    <x v="0"/>
    <x v="0"/>
    <x v="12"/>
    <x v="9"/>
    <x v="0"/>
    <x v="0"/>
    <x v="2"/>
    <x v="7"/>
    <x v="14"/>
    <x v="5"/>
  </r>
  <r>
    <n v="302"/>
    <x v="1"/>
    <x v="1"/>
    <x v="0"/>
    <x v="1"/>
    <x v="1"/>
    <x v="2"/>
    <x v="1"/>
    <s v="121.3"/>
    <x v="0"/>
    <x v="0"/>
    <x v="13"/>
    <x v="4"/>
    <x v="0"/>
    <x v="0"/>
    <x v="14"/>
    <x v="10"/>
    <x v="15"/>
    <x v="1"/>
  </r>
  <r>
    <n v="303"/>
    <x v="8"/>
    <x v="8"/>
    <x v="1"/>
    <x v="0"/>
    <x v="1"/>
    <x v="2"/>
    <x v="2"/>
    <s v="211.3"/>
    <x v="0"/>
    <x v="0"/>
    <x v="4"/>
    <x v="10"/>
    <x v="0"/>
    <x v="0"/>
    <x v="15"/>
    <x v="1"/>
    <x v="16"/>
    <x v="1"/>
  </r>
  <r>
    <n v="304"/>
    <x v="9"/>
    <x v="9"/>
    <x v="0"/>
    <x v="0"/>
    <x v="1"/>
    <x v="2"/>
    <x v="3"/>
    <s v="111.3"/>
    <x v="0"/>
    <x v="0"/>
    <x v="10"/>
    <x v="0"/>
    <x v="0"/>
    <x v="0"/>
    <x v="14"/>
    <x v="6"/>
    <x v="15"/>
    <x v="1"/>
  </r>
  <r>
    <n v="305"/>
    <x v="7"/>
    <x v="7"/>
    <x v="1"/>
    <x v="2"/>
    <x v="0"/>
    <x v="3"/>
    <x v="4"/>
    <s v="232.4"/>
    <x v="0"/>
    <x v="0"/>
    <x v="14"/>
    <x v="11"/>
    <x v="0"/>
    <x v="0"/>
    <x v="16"/>
    <x v="11"/>
    <x v="17"/>
    <x v="1"/>
  </r>
  <r>
    <n v="306"/>
    <x v="1"/>
    <x v="1"/>
    <x v="0"/>
    <x v="1"/>
    <x v="1"/>
    <x v="3"/>
    <x v="5"/>
    <s v="121.4"/>
    <x v="0"/>
    <x v="0"/>
    <x v="15"/>
    <x v="12"/>
    <x v="0"/>
    <x v="0"/>
    <x v="17"/>
    <x v="1"/>
    <x v="18"/>
    <x v="1"/>
  </r>
  <r>
    <n v="307"/>
    <x v="5"/>
    <x v="5"/>
    <x v="1"/>
    <x v="1"/>
    <x v="0"/>
    <x v="3"/>
    <x v="6"/>
    <s v="222.4"/>
    <x v="0"/>
    <x v="0"/>
    <x v="2"/>
    <x v="13"/>
    <x v="0"/>
    <x v="0"/>
    <x v="18"/>
    <x v="12"/>
    <x v="2"/>
    <x v="1"/>
  </r>
  <r>
    <n v="308"/>
    <x v="2"/>
    <x v="2"/>
    <x v="0"/>
    <x v="2"/>
    <x v="0"/>
    <x v="3"/>
    <x v="7"/>
    <s v="132.4"/>
    <x v="0"/>
    <x v="0"/>
    <x v="15"/>
    <x v="7"/>
    <x v="0"/>
    <x v="0"/>
    <x v="19"/>
    <x v="0"/>
    <x v="19"/>
    <x v="6"/>
  </r>
  <r>
    <n v="401"/>
    <x v="10"/>
    <x v="10"/>
    <x v="1"/>
    <x v="0"/>
    <x v="0"/>
    <x v="2"/>
    <x v="0"/>
    <s v="212.3"/>
    <x v="0"/>
    <x v="0"/>
    <x v="1"/>
    <x v="1"/>
    <x v="0"/>
    <x v="0"/>
    <x v="1"/>
    <x v="1"/>
    <x v="1"/>
    <x v="7"/>
  </r>
  <r>
    <n v="402"/>
    <x v="5"/>
    <x v="5"/>
    <x v="1"/>
    <x v="1"/>
    <x v="0"/>
    <x v="2"/>
    <x v="1"/>
    <s v="222.3"/>
    <x v="0"/>
    <x v="0"/>
    <x v="11"/>
    <x v="14"/>
    <x v="0"/>
    <x v="0"/>
    <x v="14"/>
    <x v="8"/>
    <x v="15"/>
    <x v="1"/>
  </r>
  <r>
    <n v="403"/>
    <x v="11"/>
    <x v="11"/>
    <x v="0"/>
    <x v="2"/>
    <x v="1"/>
    <x v="2"/>
    <x v="2"/>
    <s v="131.3"/>
    <x v="0"/>
    <x v="0"/>
    <x v="3"/>
    <x v="15"/>
    <x v="0"/>
    <x v="0"/>
    <x v="20"/>
    <x v="6"/>
    <x v="20"/>
    <x v="1"/>
  </r>
  <r>
    <n v="404"/>
    <x v="6"/>
    <x v="6"/>
    <x v="0"/>
    <x v="1"/>
    <x v="0"/>
    <x v="2"/>
    <x v="3"/>
    <s v="122.3"/>
    <x v="0"/>
    <x v="0"/>
    <x v="16"/>
    <x v="15"/>
    <x v="0"/>
    <x v="0"/>
    <x v="21"/>
    <x v="9"/>
    <x v="21"/>
    <x v="1"/>
  </r>
  <r>
    <n v="405"/>
    <x v="11"/>
    <x v="11"/>
    <x v="0"/>
    <x v="2"/>
    <x v="1"/>
    <x v="3"/>
    <x v="4"/>
    <s v="131.4"/>
    <x v="0"/>
    <x v="0"/>
    <x v="17"/>
    <x v="14"/>
    <x v="0"/>
    <x v="0"/>
    <x v="22"/>
    <x v="11"/>
    <x v="22"/>
    <x v="1"/>
  </r>
  <r>
    <n v="406"/>
    <x v="6"/>
    <x v="6"/>
    <x v="0"/>
    <x v="1"/>
    <x v="0"/>
    <x v="3"/>
    <x v="5"/>
    <s v="122.4"/>
    <x v="0"/>
    <x v="0"/>
    <x v="18"/>
    <x v="7"/>
    <x v="0"/>
    <x v="0"/>
    <x v="11"/>
    <x v="12"/>
    <x v="11"/>
    <x v="1"/>
  </r>
  <r>
    <n v="407"/>
    <x v="10"/>
    <x v="10"/>
    <x v="1"/>
    <x v="0"/>
    <x v="0"/>
    <x v="3"/>
    <x v="6"/>
    <s v="212.4"/>
    <x v="0"/>
    <x v="0"/>
    <x v="0"/>
    <x v="16"/>
    <x v="0"/>
    <x v="0"/>
    <x v="5"/>
    <x v="12"/>
    <x v="5"/>
    <x v="1"/>
  </r>
  <r>
    <n v="408"/>
    <x v="3"/>
    <x v="3"/>
    <x v="1"/>
    <x v="1"/>
    <x v="1"/>
    <x v="3"/>
    <x v="7"/>
    <s v="221.4"/>
    <x v="0"/>
    <x v="0"/>
    <x v="5"/>
    <x v="4"/>
    <x v="0"/>
    <x v="0"/>
    <x v="23"/>
    <x v="3"/>
    <x v="23"/>
    <x v="8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01"/>
    <x v="0"/>
    <x v="0"/>
    <x v="0"/>
    <x v="0"/>
    <x v="0"/>
    <x v="0"/>
    <x v="0"/>
    <s v="112.1"/>
    <x v="0"/>
    <x v="0"/>
    <x v="0"/>
    <x v="0"/>
    <x v="0"/>
    <x v="0"/>
    <x v="0"/>
    <x v="0"/>
    <x v="0"/>
    <x v="0"/>
  </r>
  <r>
    <n v="102"/>
    <x v="1"/>
    <x v="1"/>
    <x v="0"/>
    <x v="1"/>
    <x v="1"/>
    <x v="0"/>
    <x v="1"/>
    <s v="121.1"/>
    <x v="0"/>
    <x v="1"/>
    <x v="1"/>
    <x v="1"/>
    <x v="0"/>
    <x v="0"/>
    <x v="1"/>
    <x v="1"/>
    <x v="1"/>
    <x v="1"/>
  </r>
  <r>
    <n v="103"/>
    <x v="2"/>
    <x v="2"/>
    <x v="0"/>
    <x v="2"/>
    <x v="0"/>
    <x v="0"/>
    <x v="2"/>
    <s v="132.1"/>
    <x v="0"/>
    <x v="0"/>
    <x v="2"/>
    <x v="2"/>
    <x v="0"/>
    <x v="0"/>
    <x v="2"/>
    <x v="0"/>
    <x v="2"/>
    <x v="1"/>
  </r>
  <r>
    <n v="104"/>
    <x v="3"/>
    <x v="3"/>
    <x v="1"/>
    <x v="1"/>
    <x v="1"/>
    <x v="0"/>
    <x v="3"/>
    <s v="221.1"/>
    <x v="0"/>
    <x v="0"/>
    <x v="3"/>
    <x v="3"/>
    <x v="0"/>
    <x v="0"/>
    <x v="3"/>
    <x v="2"/>
    <x v="3"/>
    <x v="1"/>
  </r>
  <r>
    <n v="105"/>
    <x v="4"/>
    <x v="4"/>
    <x v="1"/>
    <x v="2"/>
    <x v="1"/>
    <x v="1"/>
    <x v="4"/>
    <s v="231.2"/>
    <x v="0"/>
    <x v="0"/>
    <x v="4"/>
    <x v="4"/>
    <x v="0"/>
    <x v="0"/>
    <x v="4"/>
    <x v="3"/>
    <x v="4"/>
    <x v="1"/>
  </r>
  <r>
    <n v="106"/>
    <x v="5"/>
    <x v="5"/>
    <x v="1"/>
    <x v="1"/>
    <x v="0"/>
    <x v="1"/>
    <x v="5"/>
    <s v="222.2"/>
    <x v="0"/>
    <x v="0"/>
    <x v="5"/>
    <x v="5"/>
    <x v="0"/>
    <x v="0"/>
    <x v="5"/>
    <x v="4"/>
    <x v="5"/>
    <x v="1"/>
  </r>
  <r>
    <n v="107"/>
    <x v="3"/>
    <x v="3"/>
    <x v="1"/>
    <x v="1"/>
    <x v="1"/>
    <x v="1"/>
    <x v="6"/>
    <s v="221.2"/>
    <x v="0"/>
    <x v="0"/>
    <x v="6"/>
    <x v="6"/>
    <x v="0"/>
    <x v="0"/>
    <x v="6"/>
    <x v="5"/>
    <x v="6"/>
    <x v="1"/>
  </r>
  <r>
    <n v="108"/>
    <x v="6"/>
    <x v="6"/>
    <x v="0"/>
    <x v="1"/>
    <x v="0"/>
    <x v="1"/>
    <x v="7"/>
    <s v="122.2"/>
    <x v="0"/>
    <x v="0"/>
    <x v="7"/>
    <x v="7"/>
    <x v="0"/>
    <x v="0"/>
    <x v="7"/>
    <x v="6"/>
    <x v="7"/>
    <x v="1"/>
  </r>
  <r>
    <n v="201"/>
    <x v="4"/>
    <x v="4"/>
    <x v="1"/>
    <x v="2"/>
    <x v="1"/>
    <x v="0"/>
    <x v="0"/>
    <s v="231.1"/>
    <x v="0"/>
    <x v="0"/>
    <x v="8"/>
    <x v="4"/>
    <x v="0"/>
    <x v="0"/>
    <x v="8"/>
    <x v="5"/>
    <x v="7"/>
    <x v="1"/>
  </r>
  <r>
    <n v="202"/>
    <x v="5"/>
    <x v="5"/>
    <x v="1"/>
    <x v="1"/>
    <x v="0"/>
    <x v="0"/>
    <x v="1"/>
    <s v="222.1"/>
    <x v="0"/>
    <x v="0"/>
    <x v="9"/>
    <x v="8"/>
    <x v="0"/>
    <x v="0"/>
    <x v="9"/>
    <x v="7"/>
    <x v="8"/>
    <x v="1"/>
  </r>
  <r>
    <n v="203"/>
    <x v="6"/>
    <x v="6"/>
    <x v="0"/>
    <x v="1"/>
    <x v="0"/>
    <x v="0"/>
    <x v="2"/>
    <s v="122.1"/>
    <x v="0"/>
    <x v="0"/>
    <x v="10"/>
    <x v="7"/>
    <x v="0"/>
    <x v="0"/>
    <x v="2"/>
    <x v="0"/>
    <x v="9"/>
    <x v="1"/>
  </r>
  <r>
    <n v="204"/>
    <x v="7"/>
    <x v="7"/>
    <x v="1"/>
    <x v="2"/>
    <x v="0"/>
    <x v="0"/>
    <x v="3"/>
    <s v="232.1"/>
    <x v="0"/>
    <x v="0"/>
    <x v="11"/>
    <x v="9"/>
    <x v="0"/>
    <x v="0"/>
    <x v="10"/>
    <x v="8"/>
    <x v="10"/>
    <x v="1"/>
  </r>
  <r>
    <n v="205"/>
    <x v="0"/>
    <x v="0"/>
    <x v="0"/>
    <x v="0"/>
    <x v="0"/>
    <x v="1"/>
    <x v="4"/>
    <s v="112.2"/>
    <x v="0"/>
    <x v="0"/>
    <x v="3"/>
    <x v="10"/>
    <x v="0"/>
    <x v="0"/>
    <x v="11"/>
    <x v="9"/>
    <x v="10"/>
    <x v="1"/>
  </r>
  <r>
    <n v="206"/>
    <x v="8"/>
    <x v="8"/>
    <x v="1"/>
    <x v="0"/>
    <x v="1"/>
    <x v="1"/>
    <x v="5"/>
    <s v="211.2"/>
    <x v="0"/>
    <x v="0"/>
    <x v="12"/>
    <x v="4"/>
    <x v="0"/>
    <x v="0"/>
    <x v="12"/>
    <x v="7"/>
    <x v="11"/>
    <x v="1"/>
  </r>
  <r>
    <n v="207"/>
    <x v="1"/>
    <x v="1"/>
    <x v="0"/>
    <x v="1"/>
    <x v="1"/>
    <x v="1"/>
    <x v="6"/>
    <s v="121.2"/>
    <x v="0"/>
    <x v="0"/>
    <x v="13"/>
    <x v="11"/>
    <x v="0"/>
    <x v="0"/>
    <x v="13"/>
    <x v="2"/>
    <x v="12"/>
    <x v="1"/>
  </r>
  <r>
    <n v="208"/>
    <x v="9"/>
    <x v="9"/>
    <x v="0"/>
    <x v="0"/>
    <x v="1"/>
    <x v="1"/>
    <x v="7"/>
    <s v="111.2"/>
    <x v="0"/>
    <x v="0"/>
    <x v="12"/>
    <x v="7"/>
    <x v="0"/>
    <x v="0"/>
    <x v="14"/>
    <x v="3"/>
    <x v="13"/>
    <x v="1"/>
  </r>
  <r>
    <n v="301"/>
    <x v="3"/>
    <x v="3"/>
    <x v="1"/>
    <x v="1"/>
    <x v="1"/>
    <x v="2"/>
    <x v="0"/>
    <s v="221.3"/>
    <x v="0"/>
    <x v="0"/>
    <x v="2"/>
    <x v="3"/>
    <x v="0"/>
    <x v="0"/>
    <x v="11"/>
    <x v="4"/>
    <x v="10"/>
    <x v="1"/>
  </r>
  <r>
    <n v="302"/>
    <x v="1"/>
    <x v="1"/>
    <x v="0"/>
    <x v="1"/>
    <x v="1"/>
    <x v="2"/>
    <x v="1"/>
    <s v="121.3"/>
    <x v="0"/>
    <x v="0"/>
    <x v="0"/>
    <x v="8"/>
    <x v="0"/>
    <x v="0"/>
    <x v="15"/>
    <x v="3"/>
    <x v="14"/>
    <x v="1"/>
  </r>
  <r>
    <n v="303"/>
    <x v="8"/>
    <x v="8"/>
    <x v="1"/>
    <x v="0"/>
    <x v="1"/>
    <x v="2"/>
    <x v="2"/>
    <s v="211.3"/>
    <x v="0"/>
    <x v="0"/>
    <x v="14"/>
    <x v="11"/>
    <x v="0"/>
    <x v="0"/>
    <x v="16"/>
    <x v="5"/>
    <x v="15"/>
    <x v="1"/>
  </r>
  <r>
    <n v="304"/>
    <x v="9"/>
    <x v="9"/>
    <x v="0"/>
    <x v="0"/>
    <x v="1"/>
    <x v="2"/>
    <x v="3"/>
    <s v="111.3"/>
    <x v="0"/>
    <x v="0"/>
    <x v="14"/>
    <x v="10"/>
    <x v="0"/>
    <x v="0"/>
    <x v="14"/>
    <x v="10"/>
    <x v="13"/>
    <x v="1"/>
  </r>
  <r>
    <n v="305"/>
    <x v="7"/>
    <x v="7"/>
    <x v="1"/>
    <x v="2"/>
    <x v="0"/>
    <x v="3"/>
    <x v="4"/>
    <s v="232.4"/>
    <x v="0"/>
    <x v="0"/>
    <x v="15"/>
    <x v="12"/>
    <x v="0"/>
    <x v="0"/>
    <x v="17"/>
    <x v="8"/>
    <x v="3"/>
    <x v="1"/>
  </r>
  <r>
    <n v="306"/>
    <x v="1"/>
    <x v="1"/>
    <x v="0"/>
    <x v="1"/>
    <x v="1"/>
    <x v="3"/>
    <x v="5"/>
    <s v="121.4"/>
    <x v="0"/>
    <x v="0"/>
    <x v="3"/>
    <x v="13"/>
    <x v="0"/>
    <x v="0"/>
    <x v="18"/>
    <x v="5"/>
    <x v="16"/>
    <x v="1"/>
  </r>
  <r>
    <n v="307"/>
    <x v="5"/>
    <x v="5"/>
    <x v="1"/>
    <x v="1"/>
    <x v="0"/>
    <x v="3"/>
    <x v="6"/>
    <s v="222.4"/>
    <x v="0"/>
    <x v="0"/>
    <x v="16"/>
    <x v="6"/>
    <x v="0"/>
    <x v="0"/>
    <x v="0"/>
    <x v="2"/>
    <x v="0"/>
    <x v="1"/>
  </r>
  <r>
    <n v="308"/>
    <x v="2"/>
    <x v="2"/>
    <x v="0"/>
    <x v="2"/>
    <x v="0"/>
    <x v="3"/>
    <x v="7"/>
    <s v="132.4"/>
    <x v="0"/>
    <x v="0"/>
    <x v="17"/>
    <x v="12"/>
    <x v="0"/>
    <x v="0"/>
    <x v="19"/>
    <x v="4"/>
    <x v="17"/>
    <x v="1"/>
  </r>
  <r>
    <n v="401"/>
    <x v="10"/>
    <x v="10"/>
    <x v="1"/>
    <x v="0"/>
    <x v="0"/>
    <x v="2"/>
    <x v="0"/>
    <s v="212.3"/>
    <x v="0"/>
    <x v="0"/>
    <x v="18"/>
    <x v="5"/>
    <x v="0"/>
    <x v="0"/>
    <x v="20"/>
    <x v="11"/>
    <x v="18"/>
    <x v="1"/>
  </r>
  <r>
    <n v="402"/>
    <x v="5"/>
    <x v="5"/>
    <x v="1"/>
    <x v="1"/>
    <x v="0"/>
    <x v="2"/>
    <x v="1"/>
    <s v="222.3"/>
    <x v="0"/>
    <x v="0"/>
    <x v="0"/>
    <x v="8"/>
    <x v="0"/>
    <x v="0"/>
    <x v="15"/>
    <x v="3"/>
    <x v="14"/>
    <x v="1"/>
  </r>
  <r>
    <n v="403"/>
    <x v="11"/>
    <x v="11"/>
    <x v="0"/>
    <x v="2"/>
    <x v="1"/>
    <x v="2"/>
    <x v="2"/>
    <s v="131.3"/>
    <x v="0"/>
    <x v="0"/>
    <x v="19"/>
    <x v="2"/>
    <x v="0"/>
    <x v="0"/>
    <x v="21"/>
    <x v="5"/>
    <x v="0"/>
    <x v="1"/>
  </r>
  <r>
    <n v="404"/>
    <x v="6"/>
    <x v="6"/>
    <x v="0"/>
    <x v="1"/>
    <x v="0"/>
    <x v="2"/>
    <x v="3"/>
    <s v="122.3"/>
    <x v="0"/>
    <x v="0"/>
    <x v="2"/>
    <x v="2"/>
    <x v="0"/>
    <x v="0"/>
    <x v="2"/>
    <x v="0"/>
    <x v="9"/>
    <x v="1"/>
  </r>
  <r>
    <n v="405"/>
    <x v="11"/>
    <x v="11"/>
    <x v="0"/>
    <x v="2"/>
    <x v="1"/>
    <x v="3"/>
    <x v="4"/>
    <s v="131.4"/>
    <x v="0"/>
    <x v="0"/>
    <x v="20"/>
    <x v="4"/>
    <x v="0"/>
    <x v="0"/>
    <x v="22"/>
    <x v="8"/>
    <x v="5"/>
    <x v="1"/>
  </r>
  <r>
    <n v="406"/>
    <x v="6"/>
    <x v="6"/>
    <x v="0"/>
    <x v="1"/>
    <x v="0"/>
    <x v="3"/>
    <x v="5"/>
    <s v="122.4"/>
    <x v="0"/>
    <x v="0"/>
    <x v="9"/>
    <x v="10"/>
    <x v="0"/>
    <x v="0"/>
    <x v="3"/>
    <x v="2"/>
    <x v="3"/>
    <x v="1"/>
  </r>
  <r>
    <n v="407"/>
    <x v="10"/>
    <x v="10"/>
    <x v="1"/>
    <x v="0"/>
    <x v="0"/>
    <x v="3"/>
    <x v="6"/>
    <s v="212.4"/>
    <x v="0"/>
    <x v="0"/>
    <x v="9"/>
    <x v="14"/>
    <x v="0"/>
    <x v="0"/>
    <x v="0"/>
    <x v="10"/>
    <x v="0"/>
    <x v="1"/>
  </r>
  <r>
    <n v="408"/>
    <x v="3"/>
    <x v="3"/>
    <x v="1"/>
    <x v="1"/>
    <x v="1"/>
    <x v="3"/>
    <x v="7"/>
    <s v="221.4"/>
    <x v="0"/>
    <x v="0"/>
    <x v="3"/>
    <x v="4"/>
    <x v="0"/>
    <x v="0"/>
    <x v="23"/>
    <x v="4"/>
    <x v="19"/>
    <x v="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01"/>
    <x v="0"/>
    <x v="0"/>
    <x v="0"/>
    <x v="0"/>
    <x v="0"/>
    <x v="0"/>
    <x v="0"/>
    <s v="112.1"/>
    <x v="0"/>
    <x v="0"/>
    <x v="0"/>
    <x v="0"/>
    <x v="0"/>
    <x v="0"/>
    <x v="0"/>
    <x v="0"/>
    <x v="0"/>
    <x v="0"/>
  </r>
  <r>
    <n v="102"/>
    <x v="1"/>
    <x v="1"/>
    <x v="0"/>
    <x v="1"/>
    <x v="1"/>
    <x v="0"/>
    <x v="1"/>
    <s v="121.1"/>
    <x v="0"/>
    <x v="1"/>
    <x v="1"/>
    <x v="1"/>
    <x v="0"/>
    <x v="0"/>
    <x v="1"/>
    <x v="1"/>
    <x v="1"/>
    <x v="1"/>
  </r>
  <r>
    <n v="103"/>
    <x v="2"/>
    <x v="2"/>
    <x v="0"/>
    <x v="2"/>
    <x v="0"/>
    <x v="0"/>
    <x v="2"/>
    <s v="132.1"/>
    <x v="0"/>
    <x v="0"/>
    <x v="2"/>
    <x v="2"/>
    <x v="0"/>
    <x v="0"/>
    <x v="2"/>
    <x v="0"/>
    <x v="2"/>
    <x v="1"/>
  </r>
  <r>
    <n v="104"/>
    <x v="3"/>
    <x v="3"/>
    <x v="1"/>
    <x v="1"/>
    <x v="1"/>
    <x v="0"/>
    <x v="3"/>
    <s v="221.1"/>
    <x v="0"/>
    <x v="0"/>
    <x v="3"/>
    <x v="3"/>
    <x v="0"/>
    <x v="0"/>
    <x v="3"/>
    <x v="2"/>
    <x v="3"/>
    <x v="1"/>
  </r>
  <r>
    <n v="105"/>
    <x v="4"/>
    <x v="4"/>
    <x v="1"/>
    <x v="2"/>
    <x v="1"/>
    <x v="1"/>
    <x v="4"/>
    <s v="231.2"/>
    <x v="0"/>
    <x v="0"/>
    <x v="4"/>
    <x v="4"/>
    <x v="0"/>
    <x v="0"/>
    <x v="4"/>
    <x v="3"/>
    <x v="4"/>
    <x v="1"/>
  </r>
  <r>
    <n v="106"/>
    <x v="5"/>
    <x v="5"/>
    <x v="1"/>
    <x v="1"/>
    <x v="0"/>
    <x v="1"/>
    <x v="5"/>
    <s v="222.2"/>
    <x v="0"/>
    <x v="0"/>
    <x v="5"/>
    <x v="5"/>
    <x v="0"/>
    <x v="0"/>
    <x v="5"/>
    <x v="4"/>
    <x v="5"/>
    <x v="1"/>
  </r>
  <r>
    <n v="107"/>
    <x v="3"/>
    <x v="3"/>
    <x v="1"/>
    <x v="1"/>
    <x v="1"/>
    <x v="1"/>
    <x v="6"/>
    <s v="221.2"/>
    <x v="0"/>
    <x v="0"/>
    <x v="6"/>
    <x v="6"/>
    <x v="0"/>
    <x v="0"/>
    <x v="6"/>
    <x v="5"/>
    <x v="6"/>
    <x v="1"/>
  </r>
  <r>
    <n v="108"/>
    <x v="6"/>
    <x v="6"/>
    <x v="0"/>
    <x v="1"/>
    <x v="0"/>
    <x v="1"/>
    <x v="7"/>
    <s v="122.2"/>
    <x v="0"/>
    <x v="0"/>
    <x v="7"/>
    <x v="7"/>
    <x v="0"/>
    <x v="0"/>
    <x v="7"/>
    <x v="6"/>
    <x v="7"/>
    <x v="1"/>
  </r>
  <r>
    <n v="201"/>
    <x v="4"/>
    <x v="4"/>
    <x v="1"/>
    <x v="2"/>
    <x v="1"/>
    <x v="0"/>
    <x v="0"/>
    <s v="231.1"/>
    <x v="0"/>
    <x v="0"/>
    <x v="8"/>
    <x v="4"/>
    <x v="0"/>
    <x v="0"/>
    <x v="8"/>
    <x v="5"/>
    <x v="7"/>
    <x v="1"/>
  </r>
  <r>
    <n v="202"/>
    <x v="5"/>
    <x v="5"/>
    <x v="1"/>
    <x v="1"/>
    <x v="0"/>
    <x v="0"/>
    <x v="1"/>
    <s v="222.1"/>
    <x v="0"/>
    <x v="0"/>
    <x v="9"/>
    <x v="8"/>
    <x v="0"/>
    <x v="0"/>
    <x v="9"/>
    <x v="7"/>
    <x v="8"/>
    <x v="1"/>
  </r>
  <r>
    <n v="203"/>
    <x v="6"/>
    <x v="6"/>
    <x v="0"/>
    <x v="1"/>
    <x v="0"/>
    <x v="0"/>
    <x v="2"/>
    <s v="122.1"/>
    <x v="0"/>
    <x v="0"/>
    <x v="10"/>
    <x v="7"/>
    <x v="0"/>
    <x v="0"/>
    <x v="2"/>
    <x v="0"/>
    <x v="9"/>
    <x v="1"/>
  </r>
  <r>
    <n v="204"/>
    <x v="7"/>
    <x v="7"/>
    <x v="1"/>
    <x v="2"/>
    <x v="0"/>
    <x v="0"/>
    <x v="3"/>
    <s v="232.1"/>
    <x v="0"/>
    <x v="0"/>
    <x v="11"/>
    <x v="9"/>
    <x v="0"/>
    <x v="0"/>
    <x v="10"/>
    <x v="8"/>
    <x v="10"/>
    <x v="1"/>
  </r>
  <r>
    <n v="205"/>
    <x v="0"/>
    <x v="0"/>
    <x v="0"/>
    <x v="0"/>
    <x v="0"/>
    <x v="1"/>
    <x v="4"/>
    <s v="112.2"/>
    <x v="0"/>
    <x v="0"/>
    <x v="3"/>
    <x v="10"/>
    <x v="0"/>
    <x v="0"/>
    <x v="11"/>
    <x v="9"/>
    <x v="10"/>
    <x v="1"/>
  </r>
  <r>
    <n v="206"/>
    <x v="8"/>
    <x v="8"/>
    <x v="1"/>
    <x v="0"/>
    <x v="1"/>
    <x v="1"/>
    <x v="5"/>
    <s v="211.2"/>
    <x v="0"/>
    <x v="0"/>
    <x v="12"/>
    <x v="4"/>
    <x v="0"/>
    <x v="0"/>
    <x v="12"/>
    <x v="7"/>
    <x v="11"/>
    <x v="1"/>
  </r>
  <r>
    <n v="207"/>
    <x v="1"/>
    <x v="1"/>
    <x v="0"/>
    <x v="1"/>
    <x v="1"/>
    <x v="1"/>
    <x v="6"/>
    <s v="121.2"/>
    <x v="0"/>
    <x v="0"/>
    <x v="13"/>
    <x v="11"/>
    <x v="0"/>
    <x v="0"/>
    <x v="13"/>
    <x v="2"/>
    <x v="12"/>
    <x v="1"/>
  </r>
  <r>
    <n v="208"/>
    <x v="9"/>
    <x v="9"/>
    <x v="0"/>
    <x v="0"/>
    <x v="1"/>
    <x v="1"/>
    <x v="7"/>
    <s v="111.2"/>
    <x v="0"/>
    <x v="0"/>
    <x v="12"/>
    <x v="7"/>
    <x v="0"/>
    <x v="0"/>
    <x v="14"/>
    <x v="3"/>
    <x v="13"/>
    <x v="1"/>
  </r>
  <r>
    <n v="301"/>
    <x v="3"/>
    <x v="3"/>
    <x v="1"/>
    <x v="1"/>
    <x v="1"/>
    <x v="2"/>
    <x v="0"/>
    <s v="221.3"/>
    <x v="0"/>
    <x v="0"/>
    <x v="2"/>
    <x v="3"/>
    <x v="0"/>
    <x v="0"/>
    <x v="11"/>
    <x v="4"/>
    <x v="10"/>
    <x v="1"/>
  </r>
  <r>
    <n v="302"/>
    <x v="1"/>
    <x v="1"/>
    <x v="0"/>
    <x v="1"/>
    <x v="1"/>
    <x v="2"/>
    <x v="1"/>
    <s v="121.3"/>
    <x v="0"/>
    <x v="0"/>
    <x v="0"/>
    <x v="8"/>
    <x v="0"/>
    <x v="0"/>
    <x v="15"/>
    <x v="3"/>
    <x v="14"/>
    <x v="1"/>
  </r>
  <r>
    <n v="303"/>
    <x v="8"/>
    <x v="8"/>
    <x v="1"/>
    <x v="0"/>
    <x v="1"/>
    <x v="2"/>
    <x v="2"/>
    <s v="211.3"/>
    <x v="0"/>
    <x v="0"/>
    <x v="14"/>
    <x v="11"/>
    <x v="0"/>
    <x v="0"/>
    <x v="16"/>
    <x v="5"/>
    <x v="15"/>
    <x v="1"/>
  </r>
  <r>
    <n v="304"/>
    <x v="9"/>
    <x v="9"/>
    <x v="0"/>
    <x v="0"/>
    <x v="1"/>
    <x v="2"/>
    <x v="3"/>
    <s v="111.3"/>
    <x v="0"/>
    <x v="0"/>
    <x v="14"/>
    <x v="10"/>
    <x v="0"/>
    <x v="0"/>
    <x v="14"/>
    <x v="10"/>
    <x v="13"/>
    <x v="1"/>
  </r>
  <r>
    <n v="305"/>
    <x v="7"/>
    <x v="7"/>
    <x v="1"/>
    <x v="2"/>
    <x v="0"/>
    <x v="3"/>
    <x v="4"/>
    <s v="232.4"/>
    <x v="0"/>
    <x v="0"/>
    <x v="15"/>
    <x v="12"/>
    <x v="0"/>
    <x v="0"/>
    <x v="17"/>
    <x v="8"/>
    <x v="3"/>
    <x v="1"/>
  </r>
  <r>
    <n v="306"/>
    <x v="1"/>
    <x v="1"/>
    <x v="0"/>
    <x v="1"/>
    <x v="1"/>
    <x v="3"/>
    <x v="5"/>
    <s v="121.4"/>
    <x v="0"/>
    <x v="0"/>
    <x v="3"/>
    <x v="13"/>
    <x v="0"/>
    <x v="0"/>
    <x v="18"/>
    <x v="5"/>
    <x v="16"/>
    <x v="1"/>
  </r>
  <r>
    <n v="307"/>
    <x v="5"/>
    <x v="5"/>
    <x v="1"/>
    <x v="1"/>
    <x v="0"/>
    <x v="3"/>
    <x v="6"/>
    <s v="222.4"/>
    <x v="0"/>
    <x v="0"/>
    <x v="16"/>
    <x v="6"/>
    <x v="0"/>
    <x v="0"/>
    <x v="0"/>
    <x v="2"/>
    <x v="0"/>
    <x v="1"/>
  </r>
  <r>
    <n v="308"/>
    <x v="2"/>
    <x v="2"/>
    <x v="0"/>
    <x v="2"/>
    <x v="0"/>
    <x v="3"/>
    <x v="7"/>
    <s v="132.4"/>
    <x v="0"/>
    <x v="0"/>
    <x v="17"/>
    <x v="12"/>
    <x v="0"/>
    <x v="0"/>
    <x v="19"/>
    <x v="4"/>
    <x v="17"/>
    <x v="1"/>
  </r>
  <r>
    <n v="401"/>
    <x v="10"/>
    <x v="10"/>
    <x v="1"/>
    <x v="0"/>
    <x v="0"/>
    <x v="2"/>
    <x v="0"/>
    <s v="212.3"/>
    <x v="0"/>
    <x v="0"/>
    <x v="18"/>
    <x v="5"/>
    <x v="0"/>
    <x v="0"/>
    <x v="20"/>
    <x v="11"/>
    <x v="18"/>
    <x v="1"/>
  </r>
  <r>
    <n v="402"/>
    <x v="5"/>
    <x v="5"/>
    <x v="1"/>
    <x v="1"/>
    <x v="0"/>
    <x v="2"/>
    <x v="1"/>
    <s v="222.3"/>
    <x v="0"/>
    <x v="0"/>
    <x v="0"/>
    <x v="8"/>
    <x v="0"/>
    <x v="0"/>
    <x v="15"/>
    <x v="3"/>
    <x v="14"/>
    <x v="1"/>
  </r>
  <r>
    <n v="403"/>
    <x v="11"/>
    <x v="11"/>
    <x v="0"/>
    <x v="2"/>
    <x v="1"/>
    <x v="2"/>
    <x v="2"/>
    <s v="131.3"/>
    <x v="0"/>
    <x v="0"/>
    <x v="19"/>
    <x v="2"/>
    <x v="0"/>
    <x v="0"/>
    <x v="21"/>
    <x v="5"/>
    <x v="0"/>
    <x v="1"/>
  </r>
  <r>
    <n v="404"/>
    <x v="6"/>
    <x v="6"/>
    <x v="0"/>
    <x v="1"/>
    <x v="0"/>
    <x v="2"/>
    <x v="3"/>
    <s v="122.3"/>
    <x v="0"/>
    <x v="0"/>
    <x v="2"/>
    <x v="2"/>
    <x v="0"/>
    <x v="0"/>
    <x v="2"/>
    <x v="0"/>
    <x v="9"/>
    <x v="1"/>
  </r>
  <r>
    <n v="405"/>
    <x v="11"/>
    <x v="11"/>
    <x v="0"/>
    <x v="2"/>
    <x v="1"/>
    <x v="3"/>
    <x v="4"/>
    <s v="131.4"/>
    <x v="0"/>
    <x v="0"/>
    <x v="20"/>
    <x v="4"/>
    <x v="0"/>
    <x v="0"/>
    <x v="22"/>
    <x v="8"/>
    <x v="5"/>
    <x v="1"/>
  </r>
  <r>
    <n v="406"/>
    <x v="6"/>
    <x v="6"/>
    <x v="0"/>
    <x v="1"/>
    <x v="0"/>
    <x v="3"/>
    <x v="5"/>
    <s v="122.4"/>
    <x v="0"/>
    <x v="0"/>
    <x v="9"/>
    <x v="10"/>
    <x v="0"/>
    <x v="0"/>
    <x v="3"/>
    <x v="2"/>
    <x v="3"/>
    <x v="1"/>
  </r>
  <r>
    <n v="407"/>
    <x v="10"/>
    <x v="10"/>
    <x v="1"/>
    <x v="0"/>
    <x v="0"/>
    <x v="3"/>
    <x v="6"/>
    <s v="212.4"/>
    <x v="0"/>
    <x v="0"/>
    <x v="9"/>
    <x v="14"/>
    <x v="0"/>
    <x v="0"/>
    <x v="0"/>
    <x v="10"/>
    <x v="0"/>
    <x v="1"/>
  </r>
  <r>
    <n v="408"/>
    <x v="3"/>
    <x v="3"/>
    <x v="1"/>
    <x v="1"/>
    <x v="1"/>
    <x v="3"/>
    <x v="7"/>
    <s v="221.4"/>
    <x v="0"/>
    <x v="0"/>
    <x v="3"/>
    <x v="4"/>
    <x v="0"/>
    <x v="0"/>
    <x v="23"/>
    <x v="4"/>
    <x v="19"/>
    <x v="2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01"/>
    <x v="0"/>
    <x v="0"/>
    <x v="0"/>
    <x v="0"/>
    <x v="0"/>
    <x v="0"/>
    <x v="0"/>
    <s v="112.1"/>
    <x v="0"/>
    <x v="0"/>
    <x v="0"/>
    <x v="0"/>
    <x v="0"/>
    <x v="0"/>
    <x v="0"/>
    <x v="0"/>
    <x v="0"/>
    <x v="0"/>
  </r>
  <r>
    <n v="102"/>
    <x v="1"/>
    <x v="1"/>
    <x v="0"/>
    <x v="1"/>
    <x v="1"/>
    <x v="0"/>
    <x v="1"/>
    <s v="121.1"/>
    <x v="0"/>
    <x v="1"/>
    <x v="1"/>
    <x v="1"/>
    <x v="0"/>
    <x v="0"/>
    <x v="1"/>
    <x v="1"/>
    <x v="1"/>
    <x v="0"/>
  </r>
  <r>
    <n v="103"/>
    <x v="2"/>
    <x v="2"/>
    <x v="0"/>
    <x v="2"/>
    <x v="0"/>
    <x v="0"/>
    <x v="2"/>
    <s v="132.1"/>
    <x v="0"/>
    <x v="0"/>
    <x v="2"/>
    <x v="2"/>
    <x v="0"/>
    <x v="0"/>
    <x v="2"/>
    <x v="2"/>
    <x v="2"/>
    <x v="0"/>
  </r>
  <r>
    <n v="104"/>
    <x v="3"/>
    <x v="3"/>
    <x v="1"/>
    <x v="1"/>
    <x v="1"/>
    <x v="0"/>
    <x v="3"/>
    <s v="221.1"/>
    <x v="0"/>
    <x v="0"/>
    <x v="3"/>
    <x v="3"/>
    <x v="0"/>
    <x v="0"/>
    <x v="3"/>
    <x v="2"/>
    <x v="3"/>
    <x v="0"/>
  </r>
  <r>
    <n v="105"/>
    <x v="4"/>
    <x v="4"/>
    <x v="1"/>
    <x v="2"/>
    <x v="1"/>
    <x v="1"/>
    <x v="4"/>
    <s v="231.2"/>
    <x v="0"/>
    <x v="0"/>
    <x v="4"/>
    <x v="4"/>
    <x v="0"/>
    <x v="0"/>
    <x v="4"/>
    <x v="3"/>
    <x v="4"/>
    <x v="0"/>
  </r>
  <r>
    <n v="106"/>
    <x v="5"/>
    <x v="5"/>
    <x v="1"/>
    <x v="1"/>
    <x v="0"/>
    <x v="1"/>
    <x v="5"/>
    <s v="222.2"/>
    <x v="0"/>
    <x v="0"/>
    <x v="5"/>
    <x v="5"/>
    <x v="0"/>
    <x v="0"/>
    <x v="5"/>
    <x v="4"/>
    <x v="5"/>
    <x v="0"/>
  </r>
  <r>
    <n v="107"/>
    <x v="3"/>
    <x v="3"/>
    <x v="1"/>
    <x v="1"/>
    <x v="1"/>
    <x v="1"/>
    <x v="6"/>
    <s v="221.2"/>
    <x v="0"/>
    <x v="0"/>
    <x v="6"/>
    <x v="6"/>
    <x v="0"/>
    <x v="0"/>
    <x v="6"/>
    <x v="5"/>
    <x v="6"/>
    <x v="0"/>
  </r>
  <r>
    <n v="108"/>
    <x v="6"/>
    <x v="6"/>
    <x v="0"/>
    <x v="1"/>
    <x v="0"/>
    <x v="1"/>
    <x v="7"/>
    <s v="122.2"/>
    <x v="0"/>
    <x v="0"/>
    <x v="2"/>
    <x v="5"/>
    <x v="0"/>
    <x v="0"/>
    <x v="7"/>
    <x v="3"/>
    <x v="7"/>
    <x v="0"/>
  </r>
  <r>
    <n v="201"/>
    <x v="4"/>
    <x v="4"/>
    <x v="1"/>
    <x v="2"/>
    <x v="1"/>
    <x v="0"/>
    <x v="0"/>
    <s v="231.1"/>
    <x v="0"/>
    <x v="0"/>
    <x v="7"/>
    <x v="7"/>
    <x v="0"/>
    <x v="0"/>
    <x v="8"/>
    <x v="6"/>
    <x v="0"/>
    <x v="0"/>
  </r>
  <r>
    <n v="202"/>
    <x v="5"/>
    <x v="5"/>
    <x v="1"/>
    <x v="1"/>
    <x v="0"/>
    <x v="0"/>
    <x v="1"/>
    <s v="222.1"/>
    <x v="0"/>
    <x v="2"/>
    <x v="8"/>
    <x v="8"/>
    <x v="0"/>
    <x v="0"/>
    <x v="9"/>
    <x v="7"/>
    <x v="8"/>
    <x v="0"/>
  </r>
  <r>
    <n v="203"/>
    <x v="6"/>
    <x v="6"/>
    <x v="0"/>
    <x v="1"/>
    <x v="0"/>
    <x v="0"/>
    <x v="2"/>
    <s v="122.1"/>
    <x v="0"/>
    <x v="0"/>
    <x v="9"/>
    <x v="6"/>
    <x v="0"/>
    <x v="0"/>
    <x v="10"/>
    <x v="3"/>
    <x v="9"/>
    <x v="0"/>
  </r>
  <r>
    <n v="204"/>
    <x v="7"/>
    <x v="7"/>
    <x v="1"/>
    <x v="2"/>
    <x v="0"/>
    <x v="0"/>
    <x v="3"/>
    <s v="232.1"/>
    <x v="0"/>
    <x v="0"/>
    <x v="10"/>
    <x v="9"/>
    <x v="0"/>
    <x v="0"/>
    <x v="11"/>
    <x v="0"/>
    <x v="10"/>
    <x v="0"/>
  </r>
  <r>
    <n v="205"/>
    <x v="0"/>
    <x v="0"/>
    <x v="0"/>
    <x v="0"/>
    <x v="0"/>
    <x v="1"/>
    <x v="4"/>
    <s v="112.2"/>
    <x v="0"/>
    <x v="0"/>
    <x v="11"/>
    <x v="10"/>
    <x v="0"/>
    <x v="0"/>
    <x v="6"/>
    <x v="5"/>
    <x v="6"/>
    <x v="0"/>
  </r>
  <r>
    <n v="206"/>
    <x v="8"/>
    <x v="8"/>
    <x v="1"/>
    <x v="0"/>
    <x v="1"/>
    <x v="1"/>
    <x v="5"/>
    <s v="211.2"/>
    <x v="0"/>
    <x v="0"/>
    <x v="11"/>
    <x v="5"/>
    <x v="0"/>
    <x v="0"/>
    <x v="10"/>
    <x v="3"/>
    <x v="9"/>
    <x v="0"/>
  </r>
  <r>
    <n v="207"/>
    <x v="1"/>
    <x v="1"/>
    <x v="0"/>
    <x v="1"/>
    <x v="1"/>
    <x v="1"/>
    <x v="6"/>
    <s v="121.2"/>
    <x v="0"/>
    <x v="0"/>
    <x v="12"/>
    <x v="1"/>
    <x v="0"/>
    <x v="0"/>
    <x v="12"/>
    <x v="0"/>
    <x v="11"/>
    <x v="0"/>
  </r>
  <r>
    <n v="208"/>
    <x v="9"/>
    <x v="9"/>
    <x v="0"/>
    <x v="0"/>
    <x v="1"/>
    <x v="1"/>
    <x v="7"/>
    <s v="111.2"/>
    <x v="0"/>
    <x v="0"/>
    <x v="2"/>
    <x v="2"/>
    <x v="0"/>
    <x v="0"/>
    <x v="2"/>
    <x v="2"/>
    <x v="12"/>
    <x v="0"/>
  </r>
  <r>
    <n v="301"/>
    <x v="3"/>
    <x v="3"/>
    <x v="1"/>
    <x v="1"/>
    <x v="1"/>
    <x v="2"/>
    <x v="0"/>
    <s v="221.3"/>
    <x v="0"/>
    <x v="0"/>
    <x v="12"/>
    <x v="6"/>
    <x v="0"/>
    <x v="0"/>
    <x v="13"/>
    <x v="8"/>
    <x v="13"/>
    <x v="0"/>
  </r>
  <r>
    <n v="302"/>
    <x v="1"/>
    <x v="1"/>
    <x v="0"/>
    <x v="1"/>
    <x v="1"/>
    <x v="2"/>
    <x v="1"/>
    <s v="121.3"/>
    <x v="0"/>
    <x v="3"/>
    <x v="13"/>
    <x v="11"/>
    <x v="0"/>
    <x v="0"/>
    <x v="14"/>
    <x v="9"/>
    <x v="14"/>
    <x v="0"/>
  </r>
  <r>
    <n v="303"/>
    <x v="8"/>
    <x v="8"/>
    <x v="1"/>
    <x v="0"/>
    <x v="1"/>
    <x v="2"/>
    <x v="2"/>
    <s v="211.3"/>
    <x v="0"/>
    <x v="0"/>
    <x v="14"/>
    <x v="12"/>
    <x v="0"/>
    <x v="0"/>
    <x v="15"/>
    <x v="5"/>
    <x v="15"/>
    <x v="0"/>
  </r>
  <r>
    <n v="304"/>
    <x v="9"/>
    <x v="9"/>
    <x v="0"/>
    <x v="0"/>
    <x v="1"/>
    <x v="2"/>
    <x v="3"/>
    <s v="111.3"/>
    <x v="0"/>
    <x v="0"/>
    <x v="15"/>
    <x v="13"/>
    <x v="0"/>
    <x v="0"/>
    <x v="1"/>
    <x v="4"/>
    <x v="1"/>
    <x v="0"/>
  </r>
  <r>
    <n v="305"/>
    <x v="7"/>
    <x v="7"/>
    <x v="1"/>
    <x v="2"/>
    <x v="0"/>
    <x v="3"/>
    <x v="4"/>
    <s v="232.4"/>
    <x v="0"/>
    <x v="0"/>
    <x v="16"/>
    <x v="14"/>
    <x v="0"/>
    <x v="0"/>
    <x v="16"/>
    <x v="10"/>
    <x v="16"/>
    <x v="0"/>
  </r>
  <r>
    <n v="306"/>
    <x v="1"/>
    <x v="1"/>
    <x v="0"/>
    <x v="1"/>
    <x v="1"/>
    <x v="3"/>
    <x v="5"/>
    <s v="121.4"/>
    <x v="0"/>
    <x v="0"/>
    <x v="2"/>
    <x v="15"/>
    <x v="0"/>
    <x v="0"/>
    <x v="17"/>
    <x v="3"/>
    <x v="17"/>
    <x v="0"/>
  </r>
  <r>
    <n v="307"/>
    <x v="5"/>
    <x v="5"/>
    <x v="1"/>
    <x v="1"/>
    <x v="0"/>
    <x v="3"/>
    <x v="6"/>
    <s v="222.4"/>
    <x v="0"/>
    <x v="0"/>
    <x v="9"/>
    <x v="10"/>
    <x v="0"/>
    <x v="0"/>
    <x v="18"/>
    <x v="8"/>
    <x v="18"/>
    <x v="0"/>
  </r>
  <r>
    <n v="308"/>
    <x v="2"/>
    <x v="2"/>
    <x v="0"/>
    <x v="2"/>
    <x v="0"/>
    <x v="3"/>
    <x v="7"/>
    <s v="132.4"/>
    <x v="0"/>
    <x v="0"/>
    <x v="17"/>
    <x v="16"/>
    <x v="0"/>
    <x v="0"/>
    <x v="19"/>
    <x v="2"/>
    <x v="19"/>
    <x v="0"/>
  </r>
  <r>
    <n v="401"/>
    <x v="10"/>
    <x v="10"/>
    <x v="1"/>
    <x v="0"/>
    <x v="0"/>
    <x v="2"/>
    <x v="0"/>
    <s v="212.3"/>
    <x v="0"/>
    <x v="0"/>
    <x v="1"/>
    <x v="8"/>
    <x v="0"/>
    <x v="0"/>
    <x v="20"/>
    <x v="11"/>
    <x v="20"/>
    <x v="0"/>
  </r>
  <r>
    <n v="402"/>
    <x v="5"/>
    <x v="5"/>
    <x v="1"/>
    <x v="1"/>
    <x v="0"/>
    <x v="2"/>
    <x v="1"/>
    <s v="222.3"/>
    <x v="0"/>
    <x v="4"/>
    <x v="1"/>
    <x v="5"/>
    <x v="0"/>
    <x v="0"/>
    <x v="1"/>
    <x v="12"/>
    <x v="1"/>
    <x v="0"/>
  </r>
  <r>
    <n v="403"/>
    <x v="11"/>
    <x v="11"/>
    <x v="0"/>
    <x v="2"/>
    <x v="1"/>
    <x v="2"/>
    <x v="2"/>
    <s v="131.3"/>
    <x v="0"/>
    <x v="0"/>
    <x v="18"/>
    <x v="10"/>
    <x v="0"/>
    <x v="0"/>
    <x v="21"/>
    <x v="13"/>
    <x v="21"/>
    <x v="0"/>
  </r>
  <r>
    <n v="404"/>
    <x v="6"/>
    <x v="6"/>
    <x v="0"/>
    <x v="1"/>
    <x v="0"/>
    <x v="2"/>
    <x v="3"/>
    <s v="122.3"/>
    <x v="0"/>
    <x v="0"/>
    <x v="6"/>
    <x v="10"/>
    <x v="0"/>
    <x v="0"/>
    <x v="7"/>
    <x v="2"/>
    <x v="7"/>
    <x v="0"/>
  </r>
  <r>
    <n v="405"/>
    <x v="11"/>
    <x v="11"/>
    <x v="0"/>
    <x v="2"/>
    <x v="1"/>
    <x v="3"/>
    <x v="4"/>
    <s v="131.4"/>
    <x v="0"/>
    <x v="0"/>
    <x v="18"/>
    <x v="17"/>
    <x v="0"/>
    <x v="0"/>
    <x v="19"/>
    <x v="14"/>
    <x v="19"/>
    <x v="0"/>
  </r>
  <r>
    <n v="406"/>
    <x v="6"/>
    <x v="6"/>
    <x v="0"/>
    <x v="1"/>
    <x v="0"/>
    <x v="3"/>
    <x v="5"/>
    <s v="122.4"/>
    <x v="0"/>
    <x v="0"/>
    <x v="0"/>
    <x v="2"/>
    <x v="0"/>
    <x v="0"/>
    <x v="6"/>
    <x v="0"/>
    <x v="6"/>
    <x v="0"/>
  </r>
  <r>
    <n v="407"/>
    <x v="10"/>
    <x v="10"/>
    <x v="1"/>
    <x v="0"/>
    <x v="0"/>
    <x v="3"/>
    <x v="6"/>
    <s v="212.4"/>
    <x v="0"/>
    <x v="0"/>
    <x v="19"/>
    <x v="3"/>
    <x v="0"/>
    <x v="0"/>
    <x v="6"/>
    <x v="11"/>
    <x v="6"/>
    <x v="0"/>
  </r>
  <r>
    <n v="408"/>
    <x v="3"/>
    <x v="3"/>
    <x v="1"/>
    <x v="1"/>
    <x v="1"/>
    <x v="3"/>
    <x v="7"/>
    <s v="221.4"/>
    <x v="0"/>
    <x v="0"/>
    <x v="9"/>
    <x v="6"/>
    <x v="0"/>
    <x v="0"/>
    <x v="10"/>
    <x v="3"/>
    <x v="9"/>
    <x v="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01"/>
    <x v="0"/>
    <x v="0"/>
    <x v="0"/>
    <x v="0"/>
    <x v="0"/>
    <x v="0"/>
    <x v="0"/>
    <s v="112.1"/>
    <x v="0"/>
    <x v="0"/>
    <x v="0"/>
    <x v="0"/>
    <x v="0"/>
    <x v="0"/>
    <x v="0"/>
    <x v="0"/>
    <x v="0"/>
    <x v="0"/>
  </r>
  <r>
    <n v="102"/>
    <x v="1"/>
    <x v="1"/>
    <x v="0"/>
    <x v="1"/>
    <x v="1"/>
    <x v="0"/>
    <x v="1"/>
    <s v="121.1"/>
    <x v="0"/>
    <x v="1"/>
    <x v="1"/>
    <x v="1"/>
    <x v="0"/>
    <x v="0"/>
    <x v="1"/>
    <x v="1"/>
    <x v="1"/>
    <x v="0"/>
  </r>
  <r>
    <n v="103"/>
    <x v="2"/>
    <x v="2"/>
    <x v="0"/>
    <x v="2"/>
    <x v="0"/>
    <x v="0"/>
    <x v="2"/>
    <s v="132.1"/>
    <x v="0"/>
    <x v="0"/>
    <x v="2"/>
    <x v="2"/>
    <x v="0"/>
    <x v="0"/>
    <x v="2"/>
    <x v="2"/>
    <x v="2"/>
    <x v="0"/>
  </r>
  <r>
    <n v="104"/>
    <x v="3"/>
    <x v="3"/>
    <x v="1"/>
    <x v="1"/>
    <x v="1"/>
    <x v="0"/>
    <x v="3"/>
    <s v="221.1"/>
    <x v="0"/>
    <x v="0"/>
    <x v="3"/>
    <x v="3"/>
    <x v="0"/>
    <x v="0"/>
    <x v="3"/>
    <x v="2"/>
    <x v="3"/>
    <x v="0"/>
  </r>
  <r>
    <n v="105"/>
    <x v="4"/>
    <x v="4"/>
    <x v="1"/>
    <x v="2"/>
    <x v="1"/>
    <x v="1"/>
    <x v="4"/>
    <s v="231.2"/>
    <x v="0"/>
    <x v="0"/>
    <x v="4"/>
    <x v="4"/>
    <x v="0"/>
    <x v="0"/>
    <x v="4"/>
    <x v="3"/>
    <x v="4"/>
    <x v="0"/>
  </r>
  <r>
    <n v="106"/>
    <x v="5"/>
    <x v="5"/>
    <x v="1"/>
    <x v="1"/>
    <x v="0"/>
    <x v="1"/>
    <x v="5"/>
    <s v="222.2"/>
    <x v="0"/>
    <x v="0"/>
    <x v="5"/>
    <x v="5"/>
    <x v="0"/>
    <x v="0"/>
    <x v="5"/>
    <x v="4"/>
    <x v="5"/>
    <x v="0"/>
  </r>
  <r>
    <n v="107"/>
    <x v="3"/>
    <x v="3"/>
    <x v="1"/>
    <x v="1"/>
    <x v="1"/>
    <x v="1"/>
    <x v="6"/>
    <s v="221.2"/>
    <x v="0"/>
    <x v="0"/>
    <x v="6"/>
    <x v="6"/>
    <x v="0"/>
    <x v="0"/>
    <x v="6"/>
    <x v="5"/>
    <x v="6"/>
    <x v="0"/>
  </r>
  <r>
    <n v="108"/>
    <x v="6"/>
    <x v="6"/>
    <x v="0"/>
    <x v="1"/>
    <x v="0"/>
    <x v="1"/>
    <x v="7"/>
    <s v="122.2"/>
    <x v="0"/>
    <x v="0"/>
    <x v="2"/>
    <x v="5"/>
    <x v="0"/>
    <x v="0"/>
    <x v="7"/>
    <x v="3"/>
    <x v="7"/>
    <x v="0"/>
  </r>
  <r>
    <n v="201"/>
    <x v="4"/>
    <x v="4"/>
    <x v="1"/>
    <x v="2"/>
    <x v="1"/>
    <x v="0"/>
    <x v="0"/>
    <s v="231.1"/>
    <x v="0"/>
    <x v="0"/>
    <x v="7"/>
    <x v="7"/>
    <x v="0"/>
    <x v="0"/>
    <x v="8"/>
    <x v="6"/>
    <x v="0"/>
    <x v="0"/>
  </r>
  <r>
    <n v="202"/>
    <x v="5"/>
    <x v="5"/>
    <x v="1"/>
    <x v="1"/>
    <x v="0"/>
    <x v="0"/>
    <x v="1"/>
    <s v="222.1"/>
    <x v="0"/>
    <x v="2"/>
    <x v="8"/>
    <x v="8"/>
    <x v="0"/>
    <x v="0"/>
    <x v="9"/>
    <x v="7"/>
    <x v="8"/>
    <x v="0"/>
  </r>
  <r>
    <n v="203"/>
    <x v="6"/>
    <x v="6"/>
    <x v="0"/>
    <x v="1"/>
    <x v="0"/>
    <x v="0"/>
    <x v="2"/>
    <s v="122.1"/>
    <x v="0"/>
    <x v="0"/>
    <x v="9"/>
    <x v="6"/>
    <x v="0"/>
    <x v="0"/>
    <x v="10"/>
    <x v="3"/>
    <x v="9"/>
    <x v="0"/>
  </r>
  <r>
    <n v="204"/>
    <x v="7"/>
    <x v="7"/>
    <x v="1"/>
    <x v="2"/>
    <x v="0"/>
    <x v="0"/>
    <x v="3"/>
    <s v="232.1"/>
    <x v="0"/>
    <x v="0"/>
    <x v="10"/>
    <x v="9"/>
    <x v="0"/>
    <x v="0"/>
    <x v="11"/>
    <x v="0"/>
    <x v="10"/>
    <x v="0"/>
  </r>
  <r>
    <n v="205"/>
    <x v="0"/>
    <x v="0"/>
    <x v="0"/>
    <x v="0"/>
    <x v="0"/>
    <x v="1"/>
    <x v="4"/>
    <s v="112.2"/>
    <x v="0"/>
    <x v="0"/>
    <x v="11"/>
    <x v="10"/>
    <x v="0"/>
    <x v="0"/>
    <x v="6"/>
    <x v="5"/>
    <x v="6"/>
    <x v="0"/>
  </r>
  <r>
    <n v="206"/>
    <x v="8"/>
    <x v="8"/>
    <x v="1"/>
    <x v="0"/>
    <x v="1"/>
    <x v="1"/>
    <x v="5"/>
    <s v="211.2"/>
    <x v="0"/>
    <x v="0"/>
    <x v="11"/>
    <x v="5"/>
    <x v="0"/>
    <x v="0"/>
    <x v="10"/>
    <x v="3"/>
    <x v="9"/>
    <x v="0"/>
  </r>
  <r>
    <n v="207"/>
    <x v="1"/>
    <x v="1"/>
    <x v="0"/>
    <x v="1"/>
    <x v="1"/>
    <x v="1"/>
    <x v="6"/>
    <s v="121.2"/>
    <x v="0"/>
    <x v="0"/>
    <x v="12"/>
    <x v="1"/>
    <x v="0"/>
    <x v="0"/>
    <x v="12"/>
    <x v="0"/>
    <x v="11"/>
    <x v="0"/>
  </r>
  <r>
    <n v="208"/>
    <x v="9"/>
    <x v="9"/>
    <x v="0"/>
    <x v="0"/>
    <x v="1"/>
    <x v="1"/>
    <x v="7"/>
    <s v="111.2"/>
    <x v="0"/>
    <x v="0"/>
    <x v="2"/>
    <x v="2"/>
    <x v="0"/>
    <x v="0"/>
    <x v="2"/>
    <x v="2"/>
    <x v="12"/>
    <x v="0"/>
  </r>
  <r>
    <n v="301"/>
    <x v="3"/>
    <x v="3"/>
    <x v="1"/>
    <x v="1"/>
    <x v="1"/>
    <x v="2"/>
    <x v="0"/>
    <s v="221.3"/>
    <x v="0"/>
    <x v="0"/>
    <x v="12"/>
    <x v="6"/>
    <x v="0"/>
    <x v="0"/>
    <x v="13"/>
    <x v="8"/>
    <x v="13"/>
    <x v="0"/>
  </r>
  <r>
    <n v="302"/>
    <x v="1"/>
    <x v="1"/>
    <x v="0"/>
    <x v="1"/>
    <x v="1"/>
    <x v="2"/>
    <x v="1"/>
    <s v="121.3"/>
    <x v="0"/>
    <x v="3"/>
    <x v="13"/>
    <x v="11"/>
    <x v="0"/>
    <x v="0"/>
    <x v="14"/>
    <x v="9"/>
    <x v="14"/>
    <x v="0"/>
  </r>
  <r>
    <n v="303"/>
    <x v="8"/>
    <x v="8"/>
    <x v="1"/>
    <x v="0"/>
    <x v="1"/>
    <x v="2"/>
    <x v="2"/>
    <s v="211.3"/>
    <x v="0"/>
    <x v="0"/>
    <x v="14"/>
    <x v="12"/>
    <x v="0"/>
    <x v="0"/>
    <x v="15"/>
    <x v="5"/>
    <x v="15"/>
    <x v="0"/>
  </r>
  <r>
    <n v="304"/>
    <x v="9"/>
    <x v="9"/>
    <x v="0"/>
    <x v="0"/>
    <x v="1"/>
    <x v="2"/>
    <x v="3"/>
    <s v="111.3"/>
    <x v="0"/>
    <x v="0"/>
    <x v="15"/>
    <x v="13"/>
    <x v="0"/>
    <x v="0"/>
    <x v="1"/>
    <x v="4"/>
    <x v="1"/>
    <x v="0"/>
  </r>
  <r>
    <n v="305"/>
    <x v="7"/>
    <x v="7"/>
    <x v="1"/>
    <x v="2"/>
    <x v="0"/>
    <x v="3"/>
    <x v="4"/>
    <s v="232.4"/>
    <x v="0"/>
    <x v="0"/>
    <x v="16"/>
    <x v="14"/>
    <x v="0"/>
    <x v="0"/>
    <x v="16"/>
    <x v="10"/>
    <x v="16"/>
    <x v="0"/>
  </r>
  <r>
    <n v="306"/>
    <x v="1"/>
    <x v="1"/>
    <x v="0"/>
    <x v="1"/>
    <x v="1"/>
    <x v="3"/>
    <x v="5"/>
    <s v="121.4"/>
    <x v="0"/>
    <x v="0"/>
    <x v="2"/>
    <x v="15"/>
    <x v="0"/>
    <x v="0"/>
    <x v="17"/>
    <x v="3"/>
    <x v="17"/>
    <x v="0"/>
  </r>
  <r>
    <n v="307"/>
    <x v="5"/>
    <x v="5"/>
    <x v="1"/>
    <x v="1"/>
    <x v="0"/>
    <x v="3"/>
    <x v="6"/>
    <s v="222.4"/>
    <x v="0"/>
    <x v="0"/>
    <x v="9"/>
    <x v="10"/>
    <x v="0"/>
    <x v="0"/>
    <x v="18"/>
    <x v="8"/>
    <x v="18"/>
    <x v="0"/>
  </r>
  <r>
    <n v="308"/>
    <x v="2"/>
    <x v="2"/>
    <x v="0"/>
    <x v="2"/>
    <x v="0"/>
    <x v="3"/>
    <x v="7"/>
    <s v="132.4"/>
    <x v="0"/>
    <x v="0"/>
    <x v="17"/>
    <x v="16"/>
    <x v="0"/>
    <x v="0"/>
    <x v="19"/>
    <x v="2"/>
    <x v="19"/>
    <x v="0"/>
  </r>
  <r>
    <n v="401"/>
    <x v="10"/>
    <x v="10"/>
    <x v="1"/>
    <x v="0"/>
    <x v="0"/>
    <x v="2"/>
    <x v="0"/>
    <s v="212.3"/>
    <x v="0"/>
    <x v="0"/>
    <x v="1"/>
    <x v="8"/>
    <x v="0"/>
    <x v="0"/>
    <x v="20"/>
    <x v="11"/>
    <x v="20"/>
    <x v="0"/>
  </r>
  <r>
    <n v="402"/>
    <x v="5"/>
    <x v="5"/>
    <x v="1"/>
    <x v="1"/>
    <x v="0"/>
    <x v="2"/>
    <x v="1"/>
    <s v="222.3"/>
    <x v="0"/>
    <x v="4"/>
    <x v="1"/>
    <x v="5"/>
    <x v="0"/>
    <x v="0"/>
    <x v="1"/>
    <x v="12"/>
    <x v="1"/>
    <x v="0"/>
  </r>
  <r>
    <n v="403"/>
    <x v="11"/>
    <x v="11"/>
    <x v="0"/>
    <x v="2"/>
    <x v="1"/>
    <x v="2"/>
    <x v="2"/>
    <s v="131.3"/>
    <x v="0"/>
    <x v="0"/>
    <x v="18"/>
    <x v="10"/>
    <x v="0"/>
    <x v="0"/>
    <x v="21"/>
    <x v="13"/>
    <x v="21"/>
    <x v="0"/>
  </r>
  <r>
    <n v="404"/>
    <x v="6"/>
    <x v="6"/>
    <x v="0"/>
    <x v="1"/>
    <x v="0"/>
    <x v="2"/>
    <x v="3"/>
    <s v="122.3"/>
    <x v="0"/>
    <x v="0"/>
    <x v="6"/>
    <x v="10"/>
    <x v="0"/>
    <x v="0"/>
    <x v="7"/>
    <x v="2"/>
    <x v="7"/>
    <x v="0"/>
  </r>
  <r>
    <n v="405"/>
    <x v="11"/>
    <x v="11"/>
    <x v="0"/>
    <x v="2"/>
    <x v="1"/>
    <x v="3"/>
    <x v="4"/>
    <s v="131.4"/>
    <x v="0"/>
    <x v="0"/>
    <x v="18"/>
    <x v="17"/>
    <x v="0"/>
    <x v="0"/>
    <x v="19"/>
    <x v="14"/>
    <x v="19"/>
    <x v="0"/>
  </r>
  <r>
    <n v="406"/>
    <x v="6"/>
    <x v="6"/>
    <x v="0"/>
    <x v="1"/>
    <x v="0"/>
    <x v="3"/>
    <x v="5"/>
    <s v="122.4"/>
    <x v="0"/>
    <x v="0"/>
    <x v="0"/>
    <x v="2"/>
    <x v="0"/>
    <x v="0"/>
    <x v="6"/>
    <x v="0"/>
    <x v="6"/>
    <x v="0"/>
  </r>
  <r>
    <n v="407"/>
    <x v="10"/>
    <x v="10"/>
    <x v="1"/>
    <x v="0"/>
    <x v="0"/>
    <x v="3"/>
    <x v="6"/>
    <s v="212.4"/>
    <x v="0"/>
    <x v="0"/>
    <x v="19"/>
    <x v="3"/>
    <x v="0"/>
    <x v="0"/>
    <x v="6"/>
    <x v="11"/>
    <x v="6"/>
    <x v="0"/>
  </r>
  <r>
    <n v="408"/>
    <x v="3"/>
    <x v="3"/>
    <x v="1"/>
    <x v="1"/>
    <x v="1"/>
    <x v="3"/>
    <x v="7"/>
    <s v="221.4"/>
    <x v="0"/>
    <x v="0"/>
    <x v="9"/>
    <x v="6"/>
    <x v="0"/>
    <x v="0"/>
    <x v="10"/>
    <x v="3"/>
    <x v="9"/>
    <x v="0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01"/>
    <x v="0"/>
    <x v="0"/>
    <x v="0"/>
    <x v="0"/>
    <x v="0"/>
    <x v="0"/>
    <x v="0"/>
    <s v="112.1"/>
    <x v="0"/>
    <x v="0"/>
    <x v="0"/>
    <x v="0"/>
    <x v="0"/>
    <x v="0"/>
    <x v="0"/>
    <x v="0"/>
    <x v="0"/>
    <x v="0"/>
  </r>
  <r>
    <n v="102"/>
    <x v="1"/>
    <x v="1"/>
    <x v="0"/>
    <x v="1"/>
    <x v="1"/>
    <x v="0"/>
    <x v="1"/>
    <s v="121.1"/>
    <x v="0"/>
    <x v="1"/>
    <x v="1"/>
    <x v="1"/>
    <x v="0"/>
    <x v="0"/>
    <x v="1"/>
    <x v="1"/>
    <x v="1"/>
    <x v="0"/>
  </r>
  <r>
    <n v="103"/>
    <x v="2"/>
    <x v="2"/>
    <x v="0"/>
    <x v="2"/>
    <x v="0"/>
    <x v="0"/>
    <x v="2"/>
    <s v="132.1"/>
    <x v="0"/>
    <x v="0"/>
    <x v="2"/>
    <x v="2"/>
    <x v="0"/>
    <x v="0"/>
    <x v="2"/>
    <x v="0"/>
    <x v="2"/>
    <x v="0"/>
  </r>
  <r>
    <n v="104"/>
    <x v="3"/>
    <x v="3"/>
    <x v="1"/>
    <x v="1"/>
    <x v="1"/>
    <x v="0"/>
    <x v="3"/>
    <s v="221.1"/>
    <x v="0"/>
    <x v="0"/>
    <x v="3"/>
    <x v="1"/>
    <x v="0"/>
    <x v="0"/>
    <x v="3"/>
    <x v="2"/>
    <x v="3"/>
    <x v="0"/>
  </r>
  <r>
    <n v="105"/>
    <x v="4"/>
    <x v="4"/>
    <x v="1"/>
    <x v="2"/>
    <x v="1"/>
    <x v="1"/>
    <x v="4"/>
    <s v="231.2"/>
    <x v="0"/>
    <x v="0"/>
    <x v="4"/>
    <x v="3"/>
    <x v="0"/>
    <x v="0"/>
    <x v="4"/>
    <x v="3"/>
    <x v="4"/>
    <x v="0"/>
  </r>
  <r>
    <n v="106"/>
    <x v="5"/>
    <x v="5"/>
    <x v="1"/>
    <x v="1"/>
    <x v="0"/>
    <x v="1"/>
    <x v="5"/>
    <s v="222.2"/>
    <x v="0"/>
    <x v="0"/>
    <x v="5"/>
    <x v="4"/>
    <x v="0"/>
    <x v="0"/>
    <x v="0"/>
    <x v="2"/>
    <x v="0"/>
    <x v="0"/>
  </r>
  <r>
    <n v="107"/>
    <x v="3"/>
    <x v="3"/>
    <x v="1"/>
    <x v="1"/>
    <x v="1"/>
    <x v="1"/>
    <x v="6"/>
    <s v="221.2"/>
    <x v="0"/>
    <x v="0"/>
    <x v="3"/>
    <x v="5"/>
    <x v="0"/>
    <x v="0"/>
    <x v="5"/>
    <x v="4"/>
    <x v="5"/>
    <x v="0"/>
  </r>
  <r>
    <n v="108"/>
    <x v="6"/>
    <x v="6"/>
    <x v="0"/>
    <x v="1"/>
    <x v="0"/>
    <x v="1"/>
    <x v="7"/>
    <s v="122.2"/>
    <x v="0"/>
    <x v="0"/>
    <x v="6"/>
    <x v="6"/>
    <x v="0"/>
    <x v="0"/>
    <x v="6"/>
    <x v="5"/>
    <x v="4"/>
    <x v="0"/>
  </r>
  <r>
    <n v="201"/>
    <x v="4"/>
    <x v="4"/>
    <x v="1"/>
    <x v="2"/>
    <x v="1"/>
    <x v="0"/>
    <x v="0"/>
    <s v="231.1"/>
    <x v="0"/>
    <x v="0"/>
    <x v="4"/>
    <x v="7"/>
    <x v="0"/>
    <x v="0"/>
    <x v="7"/>
    <x v="6"/>
    <x v="6"/>
    <x v="0"/>
  </r>
  <r>
    <n v="202"/>
    <x v="5"/>
    <x v="5"/>
    <x v="1"/>
    <x v="1"/>
    <x v="0"/>
    <x v="0"/>
    <x v="1"/>
    <s v="222.1"/>
    <x v="0"/>
    <x v="2"/>
    <x v="7"/>
    <x v="4"/>
    <x v="0"/>
    <x v="0"/>
    <x v="8"/>
    <x v="7"/>
    <x v="7"/>
    <x v="0"/>
  </r>
  <r>
    <n v="203"/>
    <x v="6"/>
    <x v="6"/>
    <x v="0"/>
    <x v="1"/>
    <x v="0"/>
    <x v="0"/>
    <x v="2"/>
    <s v="122.1"/>
    <x v="0"/>
    <x v="0"/>
    <x v="8"/>
    <x v="6"/>
    <x v="0"/>
    <x v="0"/>
    <x v="9"/>
    <x v="0"/>
    <x v="8"/>
    <x v="0"/>
  </r>
  <r>
    <n v="204"/>
    <x v="7"/>
    <x v="7"/>
    <x v="1"/>
    <x v="2"/>
    <x v="0"/>
    <x v="0"/>
    <x v="3"/>
    <s v="232.1"/>
    <x v="0"/>
    <x v="0"/>
    <x v="9"/>
    <x v="8"/>
    <x v="0"/>
    <x v="0"/>
    <x v="10"/>
    <x v="8"/>
    <x v="9"/>
    <x v="0"/>
  </r>
  <r>
    <n v="205"/>
    <x v="0"/>
    <x v="0"/>
    <x v="0"/>
    <x v="0"/>
    <x v="0"/>
    <x v="1"/>
    <x v="4"/>
    <s v="112.2"/>
    <x v="0"/>
    <x v="0"/>
    <x v="3"/>
    <x v="1"/>
    <x v="0"/>
    <x v="0"/>
    <x v="3"/>
    <x v="2"/>
    <x v="3"/>
    <x v="0"/>
  </r>
  <r>
    <n v="206"/>
    <x v="8"/>
    <x v="8"/>
    <x v="1"/>
    <x v="0"/>
    <x v="1"/>
    <x v="1"/>
    <x v="5"/>
    <s v="211.2"/>
    <x v="0"/>
    <x v="0"/>
    <x v="10"/>
    <x v="6"/>
    <x v="0"/>
    <x v="0"/>
    <x v="11"/>
    <x v="9"/>
    <x v="10"/>
    <x v="0"/>
  </r>
  <r>
    <n v="207"/>
    <x v="1"/>
    <x v="1"/>
    <x v="0"/>
    <x v="1"/>
    <x v="1"/>
    <x v="1"/>
    <x v="6"/>
    <s v="121.2"/>
    <x v="0"/>
    <x v="0"/>
    <x v="11"/>
    <x v="9"/>
    <x v="0"/>
    <x v="0"/>
    <x v="12"/>
    <x v="2"/>
    <x v="11"/>
    <x v="0"/>
  </r>
  <r>
    <n v="208"/>
    <x v="9"/>
    <x v="9"/>
    <x v="0"/>
    <x v="0"/>
    <x v="1"/>
    <x v="1"/>
    <x v="7"/>
    <s v="111.2"/>
    <x v="0"/>
    <x v="0"/>
    <x v="10"/>
    <x v="3"/>
    <x v="0"/>
    <x v="0"/>
    <x v="5"/>
    <x v="4"/>
    <x v="5"/>
    <x v="0"/>
  </r>
  <r>
    <n v="301"/>
    <x v="3"/>
    <x v="3"/>
    <x v="1"/>
    <x v="1"/>
    <x v="1"/>
    <x v="2"/>
    <x v="0"/>
    <s v="221.3"/>
    <x v="0"/>
    <x v="0"/>
    <x v="2"/>
    <x v="1"/>
    <x v="0"/>
    <x v="0"/>
    <x v="13"/>
    <x v="0"/>
    <x v="12"/>
    <x v="0"/>
  </r>
  <r>
    <n v="302"/>
    <x v="1"/>
    <x v="1"/>
    <x v="0"/>
    <x v="1"/>
    <x v="1"/>
    <x v="2"/>
    <x v="1"/>
    <s v="121.3"/>
    <x v="0"/>
    <x v="3"/>
    <x v="12"/>
    <x v="10"/>
    <x v="0"/>
    <x v="0"/>
    <x v="14"/>
    <x v="10"/>
    <x v="13"/>
    <x v="0"/>
  </r>
  <r>
    <n v="303"/>
    <x v="8"/>
    <x v="8"/>
    <x v="1"/>
    <x v="0"/>
    <x v="1"/>
    <x v="2"/>
    <x v="2"/>
    <s v="211.3"/>
    <x v="0"/>
    <x v="0"/>
    <x v="10"/>
    <x v="11"/>
    <x v="0"/>
    <x v="0"/>
    <x v="15"/>
    <x v="11"/>
    <x v="14"/>
    <x v="0"/>
  </r>
  <r>
    <n v="304"/>
    <x v="9"/>
    <x v="9"/>
    <x v="0"/>
    <x v="0"/>
    <x v="1"/>
    <x v="2"/>
    <x v="3"/>
    <s v="111.3"/>
    <x v="0"/>
    <x v="0"/>
    <x v="5"/>
    <x v="6"/>
    <x v="0"/>
    <x v="0"/>
    <x v="16"/>
    <x v="11"/>
    <x v="15"/>
    <x v="0"/>
  </r>
  <r>
    <n v="305"/>
    <x v="7"/>
    <x v="7"/>
    <x v="1"/>
    <x v="2"/>
    <x v="0"/>
    <x v="3"/>
    <x v="4"/>
    <s v="232.4"/>
    <x v="0"/>
    <x v="0"/>
    <x v="13"/>
    <x v="12"/>
    <x v="0"/>
    <x v="0"/>
    <x v="17"/>
    <x v="8"/>
    <x v="16"/>
    <x v="0"/>
  </r>
  <r>
    <n v="306"/>
    <x v="1"/>
    <x v="1"/>
    <x v="0"/>
    <x v="1"/>
    <x v="1"/>
    <x v="3"/>
    <x v="5"/>
    <s v="121.4"/>
    <x v="0"/>
    <x v="0"/>
    <x v="14"/>
    <x v="13"/>
    <x v="0"/>
    <x v="0"/>
    <x v="18"/>
    <x v="6"/>
    <x v="17"/>
    <x v="0"/>
  </r>
  <r>
    <n v="307"/>
    <x v="5"/>
    <x v="5"/>
    <x v="1"/>
    <x v="1"/>
    <x v="0"/>
    <x v="3"/>
    <x v="6"/>
    <s v="222.4"/>
    <x v="0"/>
    <x v="0"/>
    <x v="14"/>
    <x v="14"/>
    <x v="0"/>
    <x v="0"/>
    <x v="11"/>
    <x v="0"/>
    <x v="10"/>
    <x v="0"/>
  </r>
  <r>
    <n v="308"/>
    <x v="2"/>
    <x v="2"/>
    <x v="0"/>
    <x v="2"/>
    <x v="0"/>
    <x v="3"/>
    <x v="7"/>
    <s v="132.4"/>
    <x v="0"/>
    <x v="0"/>
    <x v="8"/>
    <x v="13"/>
    <x v="0"/>
    <x v="0"/>
    <x v="19"/>
    <x v="0"/>
    <x v="18"/>
    <x v="0"/>
  </r>
  <r>
    <n v="401"/>
    <x v="10"/>
    <x v="10"/>
    <x v="1"/>
    <x v="0"/>
    <x v="0"/>
    <x v="2"/>
    <x v="0"/>
    <s v="212.3"/>
    <x v="0"/>
    <x v="0"/>
    <x v="1"/>
    <x v="4"/>
    <x v="0"/>
    <x v="0"/>
    <x v="20"/>
    <x v="12"/>
    <x v="19"/>
    <x v="0"/>
  </r>
  <r>
    <n v="402"/>
    <x v="5"/>
    <x v="5"/>
    <x v="1"/>
    <x v="1"/>
    <x v="0"/>
    <x v="2"/>
    <x v="1"/>
    <s v="222.3"/>
    <x v="0"/>
    <x v="4"/>
    <x v="12"/>
    <x v="15"/>
    <x v="0"/>
    <x v="0"/>
    <x v="14"/>
    <x v="13"/>
    <x v="13"/>
    <x v="0"/>
  </r>
  <r>
    <n v="403"/>
    <x v="11"/>
    <x v="11"/>
    <x v="0"/>
    <x v="2"/>
    <x v="1"/>
    <x v="2"/>
    <x v="2"/>
    <s v="131.3"/>
    <x v="0"/>
    <x v="0"/>
    <x v="15"/>
    <x v="15"/>
    <x v="0"/>
    <x v="0"/>
    <x v="21"/>
    <x v="12"/>
    <x v="20"/>
    <x v="0"/>
  </r>
  <r>
    <n v="404"/>
    <x v="6"/>
    <x v="6"/>
    <x v="0"/>
    <x v="1"/>
    <x v="0"/>
    <x v="2"/>
    <x v="3"/>
    <s v="122.3"/>
    <x v="0"/>
    <x v="0"/>
    <x v="16"/>
    <x v="10"/>
    <x v="0"/>
    <x v="0"/>
    <x v="18"/>
    <x v="14"/>
    <x v="17"/>
    <x v="0"/>
  </r>
  <r>
    <n v="405"/>
    <x v="11"/>
    <x v="11"/>
    <x v="0"/>
    <x v="2"/>
    <x v="1"/>
    <x v="3"/>
    <x v="4"/>
    <s v="131.4"/>
    <x v="0"/>
    <x v="0"/>
    <x v="17"/>
    <x v="15"/>
    <x v="0"/>
    <x v="0"/>
    <x v="22"/>
    <x v="6"/>
    <x v="0"/>
    <x v="0"/>
  </r>
  <r>
    <n v="406"/>
    <x v="6"/>
    <x v="6"/>
    <x v="0"/>
    <x v="1"/>
    <x v="0"/>
    <x v="3"/>
    <x v="5"/>
    <s v="122.4"/>
    <x v="0"/>
    <x v="0"/>
    <x v="5"/>
    <x v="1"/>
    <x v="0"/>
    <x v="0"/>
    <x v="11"/>
    <x v="0"/>
    <x v="10"/>
    <x v="0"/>
  </r>
  <r>
    <n v="407"/>
    <x v="10"/>
    <x v="10"/>
    <x v="1"/>
    <x v="0"/>
    <x v="0"/>
    <x v="3"/>
    <x v="6"/>
    <s v="212.4"/>
    <x v="0"/>
    <x v="0"/>
    <x v="14"/>
    <x v="14"/>
    <x v="0"/>
    <x v="0"/>
    <x v="11"/>
    <x v="0"/>
    <x v="10"/>
    <x v="0"/>
  </r>
  <r>
    <n v="408"/>
    <x v="3"/>
    <x v="3"/>
    <x v="1"/>
    <x v="1"/>
    <x v="1"/>
    <x v="3"/>
    <x v="7"/>
    <s v="221.4"/>
    <x v="0"/>
    <x v="0"/>
    <x v="0"/>
    <x v="7"/>
    <x v="0"/>
    <x v="0"/>
    <x v="23"/>
    <x v="15"/>
    <x v="21"/>
    <x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01"/>
    <x v="0"/>
    <x v="0"/>
    <x v="0"/>
    <x v="0"/>
    <x v="0"/>
    <x v="0"/>
    <x v="0"/>
    <s v="112.1"/>
    <x v="0"/>
    <x v="0"/>
    <x v="0"/>
    <x v="0"/>
    <x v="0"/>
    <x v="0"/>
    <x v="0"/>
    <x v="0"/>
    <x v="0"/>
    <x v="0"/>
  </r>
  <r>
    <n v="102"/>
    <x v="1"/>
    <x v="1"/>
    <x v="0"/>
    <x v="1"/>
    <x v="1"/>
    <x v="0"/>
    <x v="1"/>
    <s v="121.1"/>
    <x v="0"/>
    <x v="1"/>
    <x v="1"/>
    <x v="1"/>
    <x v="0"/>
    <x v="0"/>
    <x v="1"/>
    <x v="1"/>
    <x v="1"/>
    <x v="0"/>
  </r>
  <r>
    <n v="103"/>
    <x v="2"/>
    <x v="2"/>
    <x v="0"/>
    <x v="2"/>
    <x v="0"/>
    <x v="0"/>
    <x v="2"/>
    <s v="132.1"/>
    <x v="0"/>
    <x v="0"/>
    <x v="2"/>
    <x v="2"/>
    <x v="0"/>
    <x v="0"/>
    <x v="2"/>
    <x v="0"/>
    <x v="2"/>
    <x v="0"/>
  </r>
  <r>
    <n v="104"/>
    <x v="3"/>
    <x v="3"/>
    <x v="1"/>
    <x v="1"/>
    <x v="1"/>
    <x v="0"/>
    <x v="3"/>
    <s v="221.1"/>
    <x v="0"/>
    <x v="0"/>
    <x v="3"/>
    <x v="1"/>
    <x v="0"/>
    <x v="0"/>
    <x v="3"/>
    <x v="2"/>
    <x v="3"/>
    <x v="0"/>
  </r>
  <r>
    <n v="105"/>
    <x v="4"/>
    <x v="4"/>
    <x v="1"/>
    <x v="2"/>
    <x v="1"/>
    <x v="1"/>
    <x v="4"/>
    <s v="231.2"/>
    <x v="0"/>
    <x v="0"/>
    <x v="4"/>
    <x v="3"/>
    <x v="0"/>
    <x v="0"/>
    <x v="4"/>
    <x v="3"/>
    <x v="4"/>
    <x v="0"/>
  </r>
  <r>
    <n v="106"/>
    <x v="5"/>
    <x v="5"/>
    <x v="1"/>
    <x v="1"/>
    <x v="0"/>
    <x v="1"/>
    <x v="5"/>
    <s v="222.2"/>
    <x v="0"/>
    <x v="0"/>
    <x v="5"/>
    <x v="4"/>
    <x v="0"/>
    <x v="0"/>
    <x v="0"/>
    <x v="2"/>
    <x v="0"/>
    <x v="0"/>
  </r>
  <r>
    <n v="107"/>
    <x v="3"/>
    <x v="3"/>
    <x v="1"/>
    <x v="1"/>
    <x v="1"/>
    <x v="1"/>
    <x v="6"/>
    <s v="221.2"/>
    <x v="0"/>
    <x v="0"/>
    <x v="3"/>
    <x v="5"/>
    <x v="0"/>
    <x v="0"/>
    <x v="5"/>
    <x v="4"/>
    <x v="5"/>
    <x v="0"/>
  </r>
  <r>
    <n v="108"/>
    <x v="6"/>
    <x v="6"/>
    <x v="0"/>
    <x v="1"/>
    <x v="0"/>
    <x v="1"/>
    <x v="7"/>
    <s v="122.2"/>
    <x v="0"/>
    <x v="0"/>
    <x v="6"/>
    <x v="6"/>
    <x v="0"/>
    <x v="0"/>
    <x v="6"/>
    <x v="5"/>
    <x v="4"/>
    <x v="0"/>
  </r>
  <r>
    <n v="201"/>
    <x v="4"/>
    <x v="4"/>
    <x v="1"/>
    <x v="2"/>
    <x v="1"/>
    <x v="0"/>
    <x v="0"/>
    <s v="231.1"/>
    <x v="0"/>
    <x v="0"/>
    <x v="4"/>
    <x v="7"/>
    <x v="0"/>
    <x v="0"/>
    <x v="7"/>
    <x v="6"/>
    <x v="6"/>
    <x v="0"/>
  </r>
  <r>
    <n v="202"/>
    <x v="5"/>
    <x v="5"/>
    <x v="1"/>
    <x v="1"/>
    <x v="0"/>
    <x v="0"/>
    <x v="1"/>
    <s v="222.1"/>
    <x v="0"/>
    <x v="2"/>
    <x v="7"/>
    <x v="4"/>
    <x v="0"/>
    <x v="0"/>
    <x v="8"/>
    <x v="7"/>
    <x v="7"/>
    <x v="0"/>
  </r>
  <r>
    <n v="203"/>
    <x v="6"/>
    <x v="6"/>
    <x v="0"/>
    <x v="1"/>
    <x v="0"/>
    <x v="0"/>
    <x v="2"/>
    <s v="122.1"/>
    <x v="0"/>
    <x v="0"/>
    <x v="8"/>
    <x v="6"/>
    <x v="0"/>
    <x v="0"/>
    <x v="9"/>
    <x v="0"/>
    <x v="8"/>
    <x v="0"/>
  </r>
  <r>
    <n v="204"/>
    <x v="7"/>
    <x v="7"/>
    <x v="1"/>
    <x v="2"/>
    <x v="0"/>
    <x v="0"/>
    <x v="3"/>
    <s v="232.1"/>
    <x v="0"/>
    <x v="0"/>
    <x v="9"/>
    <x v="8"/>
    <x v="0"/>
    <x v="0"/>
    <x v="10"/>
    <x v="8"/>
    <x v="9"/>
    <x v="0"/>
  </r>
  <r>
    <n v="205"/>
    <x v="0"/>
    <x v="0"/>
    <x v="0"/>
    <x v="0"/>
    <x v="0"/>
    <x v="1"/>
    <x v="4"/>
    <s v="112.2"/>
    <x v="0"/>
    <x v="0"/>
    <x v="3"/>
    <x v="1"/>
    <x v="0"/>
    <x v="0"/>
    <x v="3"/>
    <x v="2"/>
    <x v="3"/>
    <x v="0"/>
  </r>
  <r>
    <n v="206"/>
    <x v="8"/>
    <x v="8"/>
    <x v="1"/>
    <x v="0"/>
    <x v="1"/>
    <x v="1"/>
    <x v="5"/>
    <s v="211.2"/>
    <x v="0"/>
    <x v="0"/>
    <x v="10"/>
    <x v="6"/>
    <x v="0"/>
    <x v="0"/>
    <x v="11"/>
    <x v="9"/>
    <x v="10"/>
    <x v="0"/>
  </r>
  <r>
    <n v="207"/>
    <x v="1"/>
    <x v="1"/>
    <x v="0"/>
    <x v="1"/>
    <x v="1"/>
    <x v="1"/>
    <x v="6"/>
    <s v="121.2"/>
    <x v="0"/>
    <x v="0"/>
    <x v="11"/>
    <x v="9"/>
    <x v="0"/>
    <x v="0"/>
    <x v="12"/>
    <x v="2"/>
    <x v="11"/>
    <x v="0"/>
  </r>
  <r>
    <n v="208"/>
    <x v="9"/>
    <x v="9"/>
    <x v="0"/>
    <x v="0"/>
    <x v="1"/>
    <x v="1"/>
    <x v="7"/>
    <s v="111.2"/>
    <x v="0"/>
    <x v="0"/>
    <x v="10"/>
    <x v="3"/>
    <x v="0"/>
    <x v="0"/>
    <x v="5"/>
    <x v="4"/>
    <x v="5"/>
    <x v="0"/>
  </r>
  <r>
    <n v="301"/>
    <x v="3"/>
    <x v="3"/>
    <x v="1"/>
    <x v="1"/>
    <x v="1"/>
    <x v="2"/>
    <x v="0"/>
    <s v="221.3"/>
    <x v="0"/>
    <x v="0"/>
    <x v="2"/>
    <x v="1"/>
    <x v="0"/>
    <x v="0"/>
    <x v="13"/>
    <x v="0"/>
    <x v="12"/>
    <x v="0"/>
  </r>
  <r>
    <n v="302"/>
    <x v="1"/>
    <x v="1"/>
    <x v="0"/>
    <x v="1"/>
    <x v="1"/>
    <x v="2"/>
    <x v="1"/>
    <s v="121.3"/>
    <x v="0"/>
    <x v="3"/>
    <x v="12"/>
    <x v="10"/>
    <x v="0"/>
    <x v="0"/>
    <x v="14"/>
    <x v="10"/>
    <x v="13"/>
    <x v="0"/>
  </r>
  <r>
    <n v="303"/>
    <x v="8"/>
    <x v="8"/>
    <x v="1"/>
    <x v="0"/>
    <x v="1"/>
    <x v="2"/>
    <x v="2"/>
    <s v="211.3"/>
    <x v="0"/>
    <x v="0"/>
    <x v="10"/>
    <x v="11"/>
    <x v="0"/>
    <x v="0"/>
    <x v="15"/>
    <x v="11"/>
    <x v="14"/>
    <x v="0"/>
  </r>
  <r>
    <n v="304"/>
    <x v="9"/>
    <x v="9"/>
    <x v="0"/>
    <x v="0"/>
    <x v="1"/>
    <x v="2"/>
    <x v="3"/>
    <s v="111.3"/>
    <x v="0"/>
    <x v="0"/>
    <x v="5"/>
    <x v="6"/>
    <x v="0"/>
    <x v="0"/>
    <x v="16"/>
    <x v="11"/>
    <x v="15"/>
    <x v="0"/>
  </r>
  <r>
    <n v="305"/>
    <x v="7"/>
    <x v="7"/>
    <x v="1"/>
    <x v="2"/>
    <x v="0"/>
    <x v="3"/>
    <x v="4"/>
    <s v="232.4"/>
    <x v="0"/>
    <x v="0"/>
    <x v="13"/>
    <x v="12"/>
    <x v="0"/>
    <x v="0"/>
    <x v="17"/>
    <x v="8"/>
    <x v="16"/>
    <x v="0"/>
  </r>
  <r>
    <n v="306"/>
    <x v="1"/>
    <x v="1"/>
    <x v="0"/>
    <x v="1"/>
    <x v="1"/>
    <x v="3"/>
    <x v="5"/>
    <s v="121.4"/>
    <x v="0"/>
    <x v="0"/>
    <x v="14"/>
    <x v="13"/>
    <x v="0"/>
    <x v="0"/>
    <x v="18"/>
    <x v="6"/>
    <x v="17"/>
    <x v="0"/>
  </r>
  <r>
    <n v="307"/>
    <x v="5"/>
    <x v="5"/>
    <x v="1"/>
    <x v="1"/>
    <x v="0"/>
    <x v="3"/>
    <x v="6"/>
    <s v="222.4"/>
    <x v="0"/>
    <x v="0"/>
    <x v="14"/>
    <x v="14"/>
    <x v="0"/>
    <x v="0"/>
    <x v="11"/>
    <x v="0"/>
    <x v="10"/>
    <x v="0"/>
  </r>
  <r>
    <n v="308"/>
    <x v="2"/>
    <x v="2"/>
    <x v="0"/>
    <x v="2"/>
    <x v="0"/>
    <x v="3"/>
    <x v="7"/>
    <s v="132.4"/>
    <x v="0"/>
    <x v="0"/>
    <x v="8"/>
    <x v="13"/>
    <x v="0"/>
    <x v="0"/>
    <x v="19"/>
    <x v="0"/>
    <x v="18"/>
    <x v="0"/>
  </r>
  <r>
    <n v="401"/>
    <x v="10"/>
    <x v="10"/>
    <x v="1"/>
    <x v="0"/>
    <x v="0"/>
    <x v="2"/>
    <x v="0"/>
    <s v="212.3"/>
    <x v="0"/>
    <x v="0"/>
    <x v="1"/>
    <x v="4"/>
    <x v="0"/>
    <x v="0"/>
    <x v="20"/>
    <x v="12"/>
    <x v="19"/>
    <x v="0"/>
  </r>
  <r>
    <n v="402"/>
    <x v="5"/>
    <x v="5"/>
    <x v="1"/>
    <x v="1"/>
    <x v="0"/>
    <x v="2"/>
    <x v="1"/>
    <s v="222.3"/>
    <x v="0"/>
    <x v="4"/>
    <x v="12"/>
    <x v="15"/>
    <x v="0"/>
    <x v="0"/>
    <x v="14"/>
    <x v="13"/>
    <x v="13"/>
    <x v="0"/>
  </r>
  <r>
    <n v="403"/>
    <x v="11"/>
    <x v="11"/>
    <x v="0"/>
    <x v="2"/>
    <x v="1"/>
    <x v="2"/>
    <x v="2"/>
    <s v="131.3"/>
    <x v="0"/>
    <x v="0"/>
    <x v="15"/>
    <x v="15"/>
    <x v="0"/>
    <x v="0"/>
    <x v="21"/>
    <x v="12"/>
    <x v="20"/>
    <x v="0"/>
  </r>
  <r>
    <n v="404"/>
    <x v="6"/>
    <x v="6"/>
    <x v="0"/>
    <x v="1"/>
    <x v="0"/>
    <x v="2"/>
    <x v="3"/>
    <s v="122.3"/>
    <x v="0"/>
    <x v="0"/>
    <x v="16"/>
    <x v="10"/>
    <x v="0"/>
    <x v="0"/>
    <x v="18"/>
    <x v="14"/>
    <x v="17"/>
    <x v="0"/>
  </r>
  <r>
    <n v="405"/>
    <x v="11"/>
    <x v="11"/>
    <x v="0"/>
    <x v="2"/>
    <x v="1"/>
    <x v="3"/>
    <x v="4"/>
    <s v="131.4"/>
    <x v="0"/>
    <x v="0"/>
    <x v="17"/>
    <x v="15"/>
    <x v="0"/>
    <x v="0"/>
    <x v="22"/>
    <x v="6"/>
    <x v="0"/>
    <x v="0"/>
  </r>
  <r>
    <n v="406"/>
    <x v="6"/>
    <x v="6"/>
    <x v="0"/>
    <x v="1"/>
    <x v="0"/>
    <x v="3"/>
    <x v="5"/>
    <s v="122.4"/>
    <x v="0"/>
    <x v="0"/>
    <x v="5"/>
    <x v="1"/>
    <x v="0"/>
    <x v="0"/>
    <x v="11"/>
    <x v="0"/>
    <x v="10"/>
    <x v="0"/>
  </r>
  <r>
    <n v="407"/>
    <x v="10"/>
    <x v="10"/>
    <x v="1"/>
    <x v="0"/>
    <x v="0"/>
    <x v="3"/>
    <x v="6"/>
    <s v="212.4"/>
    <x v="0"/>
    <x v="0"/>
    <x v="14"/>
    <x v="14"/>
    <x v="0"/>
    <x v="0"/>
    <x v="11"/>
    <x v="0"/>
    <x v="10"/>
    <x v="0"/>
  </r>
  <r>
    <n v="408"/>
    <x v="3"/>
    <x v="3"/>
    <x v="1"/>
    <x v="1"/>
    <x v="1"/>
    <x v="3"/>
    <x v="7"/>
    <s v="221.4"/>
    <x v="0"/>
    <x v="0"/>
    <x v="0"/>
    <x v="7"/>
    <x v="0"/>
    <x v="0"/>
    <x v="23"/>
    <x v="15"/>
    <x v="21"/>
    <x v="0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01"/>
    <x v="0"/>
    <x v="0"/>
    <x v="0"/>
    <x v="0"/>
    <x v="0"/>
    <x v="0"/>
    <x v="0"/>
    <s v="112.1"/>
    <x v="0"/>
    <x v="0"/>
    <x v="0"/>
    <x v="0"/>
    <x v="0"/>
    <x v="0"/>
    <x v="0"/>
    <x v="0"/>
    <x v="0"/>
    <x v="0"/>
  </r>
  <r>
    <n v="102"/>
    <x v="1"/>
    <x v="1"/>
    <x v="0"/>
    <x v="1"/>
    <x v="1"/>
    <x v="0"/>
    <x v="1"/>
    <s v="121.1"/>
    <x v="0"/>
    <x v="1"/>
    <x v="1"/>
    <x v="1"/>
    <x v="0"/>
    <x v="0"/>
    <x v="1"/>
    <x v="1"/>
    <x v="1"/>
    <x v="0"/>
  </r>
  <r>
    <n v="103"/>
    <x v="2"/>
    <x v="2"/>
    <x v="0"/>
    <x v="2"/>
    <x v="0"/>
    <x v="0"/>
    <x v="2"/>
    <s v="132.1"/>
    <x v="0"/>
    <x v="0"/>
    <x v="2"/>
    <x v="2"/>
    <x v="0"/>
    <x v="0"/>
    <x v="2"/>
    <x v="0"/>
    <x v="2"/>
    <x v="0"/>
  </r>
  <r>
    <n v="104"/>
    <x v="3"/>
    <x v="3"/>
    <x v="1"/>
    <x v="1"/>
    <x v="1"/>
    <x v="0"/>
    <x v="3"/>
    <s v="221.1"/>
    <x v="0"/>
    <x v="0"/>
    <x v="3"/>
    <x v="1"/>
    <x v="0"/>
    <x v="0"/>
    <x v="3"/>
    <x v="2"/>
    <x v="3"/>
    <x v="0"/>
  </r>
  <r>
    <n v="105"/>
    <x v="4"/>
    <x v="4"/>
    <x v="1"/>
    <x v="2"/>
    <x v="1"/>
    <x v="1"/>
    <x v="4"/>
    <s v="231.2"/>
    <x v="0"/>
    <x v="0"/>
    <x v="4"/>
    <x v="3"/>
    <x v="0"/>
    <x v="0"/>
    <x v="4"/>
    <x v="3"/>
    <x v="4"/>
    <x v="0"/>
  </r>
  <r>
    <n v="106"/>
    <x v="5"/>
    <x v="5"/>
    <x v="1"/>
    <x v="1"/>
    <x v="0"/>
    <x v="1"/>
    <x v="5"/>
    <s v="222.2"/>
    <x v="0"/>
    <x v="0"/>
    <x v="5"/>
    <x v="4"/>
    <x v="0"/>
    <x v="0"/>
    <x v="0"/>
    <x v="2"/>
    <x v="0"/>
    <x v="0"/>
  </r>
  <r>
    <n v="107"/>
    <x v="3"/>
    <x v="3"/>
    <x v="1"/>
    <x v="1"/>
    <x v="1"/>
    <x v="1"/>
    <x v="6"/>
    <s v="221.2"/>
    <x v="0"/>
    <x v="0"/>
    <x v="3"/>
    <x v="5"/>
    <x v="0"/>
    <x v="0"/>
    <x v="5"/>
    <x v="4"/>
    <x v="5"/>
    <x v="0"/>
  </r>
  <r>
    <n v="108"/>
    <x v="6"/>
    <x v="6"/>
    <x v="0"/>
    <x v="1"/>
    <x v="0"/>
    <x v="1"/>
    <x v="7"/>
    <s v="122.2"/>
    <x v="0"/>
    <x v="0"/>
    <x v="6"/>
    <x v="6"/>
    <x v="0"/>
    <x v="0"/>
    <x v="6"/>
    <x v="5"/>
    <x v="4"/>
    <x v="0"/>
  </r>
  <r>
    <n v="201"/>
    <x v="4"/>
    <x v="4"/>
    <x v="1"/>
    <x v="2"/>
    <x v="1"/>
    <x v="0"/>
    <x v="0"/>
    <s v="231.1"/>
    <x v="0"/>
    <x v="0"/>
    <x v="4"/>
    <x v="7"/>
    <x v="0"/>
    <x v="0"/>
    <x v="7"/>
    <x v="6"/>
    <x v="6"/>
    <x v="0"/>
  </r>
  <r>
    <n v="202"/>
    <x v="5"/>
    <x v="5"/>
    <x v="1"/>
    <x v="1"/>
    <x v="0"/>
    <x v="0"/>
    <x v="1"/>
    <s v="222.1"/>
    <x v="0"/>
    <x v="2"/>
    <x v="7"/>
    <x v="4"/>
    <x v="0"/>
    <x v="0"/>
    <x v="8"/>
    <x v="7"/>
    <x v="7"/>
    <x v="0"/>
  </r>
  <r>
    <n v="203"/>
    <x v="6"/>
    <x v="6"/>
    <x v="0"/>
    <x v="1"/>
    <x v="0"/>
    <x v="0"/>
    <x v="2"/>
    <s v="122.1"/>
    <x v="0"/>
    <x v="0"/>
    <x v="8"/>
    <x v="6"/>
    <x v="0"/>
    <x v="0"/>
    <x v="9"/>
    <x v="0"/>
    <x v="8"/>
    <x v="0"/>
  </r>
  <r>
    <n v="204"/>
    <x v="7"/>
    <x v="7"/>
    <x v="1"/>
    <x v="2"/>
    <x v="0"/>
    <x v="0"/>
    <x v="3"/>
    <s v="232.1"/>
    <x v="0"/>
    <x v="0"/>
    <x v="9"/>
    <x v="8"/>
    <x v="0"/>
    <x v="0"/>
    <x v="10"/>
    <x v="8"/>
    <x v="9"/>
    <x v="0"/>
  </r>
  <r>
    <n v="205"/>
    <x v="0"/>
    <x v="0"/>
    <x v="0"/>
    <x v="0"/>
    <x v="0"/>
    <x v="1"/>
    <x v="4"/>
    <s v="112.2"/>
    <x v="0"/>
    <x v="0"/>
    <x v="3"/>
    <x v="1"/>
    <x v="0"/>
    <x v="0"/>
    <x v="3"/>
    <x v="2"/>
    <x v="3"/>
    <x v="0"/>
  </r>
  <r>
    <n v="206"/>
    <x v="8"/>
    <x v="8"/>
    <x v="1"/>
    <x v="0"/>
    <x v="1"/>
    <x v="1"/>
    <x v="5"/>
    <s v="211.2"/>
    <x v="0"/>
    <x v="0"/>
    <x v="10"/>
    <x v="6"/>
    <x v="0"/>
    <x v="0"/>
    <x v="11"/>
    <x v="9"/>
    <x v="10"/>
    <x v="0"/>
  </r>
  <r>
    <n v="207"/>
    <x v="1"/>
    <x v="1"/>
    <x v="0"/>
    <x v="1"/>
    <x v="1"/>
    <x v="1"/>
    <x v="6"/>
    <s v="121.2"/>
    <x v="0"/>
    <x v="0"/>
    <x v="11"/>
    <x v="9"/>
    <x v="0"/>
    <x v="0"/>
    <x v="12"/>
    <x v="2"/>
    <x v="11"/>
    <x v="0"/>
  </r>
  <r>
    <n v="208"/>
    <x v="9"/>
    <x v="9"/>
    <x v="0"/>
    <x v="0"/>
    <x v="1"/>
    <x v="1"/>
    <x v="7"/>
    <s v="111.2"/>
    <x v="0"/>
    <x v="0"/>
    <x v="10"/>
    <x v="3"/>
    <x v="0"/>
    <x v="0"/>
    <x v="5"/>
    <x v="4"/>
    <x v="5"/>
    <x v="0"/>
  </r>
  <r>
    <n v="301"/>
    <x v="3"/>
    <x v="3"/>
    <x v="1"/>
    <x v="1"/>
    <x v="1"/>
    <x v="2"/>
    <x v="0"/>
    <s v="221.3"/>
    <x v="0"/>
    <x v="0"/>
    <x v="2"/>
    <x v="1"/>
    <x v="0"/>
    <x v="0"/>
    <x v="13"/>
    <x v="0"/>
    <x v="12"/>
    <x v="0"/>
  </r>
  <r>
    <n v="302"/>
    <x v="1"/>
    <x v="1"/>
    <x v="0"/>
    <x v="1"/>
    <x v="1"/>
    <x v="2"/>
    <x v="1"/>
    <s v="121.3"/>
    <x v="0"/>
    <x v="3"/>
    <x v="12"/>
    <x v="10"/>
    <x v="0"/>
    <x v="0"/>
    <x v="14"/>
    <x v="10"/>
    <x v="13"/>
    <x v="0"/>
  </r>
  <r>
    <n v="303"/>
    <x v="8"/>
    <x v="8"/>
    <x v="1"/>
    <x v="0"/>
    <x v="1"/>
    <x v="2"/>
    <x v="2"/>
    <s v="211.3"/>
    <x v="0"/>
    <x v="0"/>
    <x v="10"/>
    <x v="11"/>
    <x v="0"/>
    <x v="0"/>
    <x v="15"/>
    <x v="11"/>
    <x v="14"/>
    <x v="0"/>
  </r>
  <r>
    <n v="304"/>
    <x v="9"/>
    <x v="9"/>
    <x v="0"/>
    <x v="0"/>
    <x v="1"/>
    <x v="2"/>
    <x v="3"/>
    <s v="111.3"/>
    <x v="0"/>
    <x v="0"/>
    <x v="5"/>
    <x v="6"/>
    <x v="0"/>
    <x v="0"/>
    <x v="16"/>
    <x v="11"/>
    <x v="15"/>
    <x v="0"/>
  </r>
  <r>
    <n v="305"/>
    <x v="7"/>
    <x v="7"/>
    <x v="1"/>
    <x v="2"/>
    <x v="0"/>
    <x v="3"/>
    <x v="4"/>
    <s v="232.4"/>
    <x v="0"/>
    <x v="0"/>
    <x v="13"/>
    <x v="12"/>
    <x v="0"/>
    <x v="0"/>
    <x v="17"/>
    <x v="8"/>
    <x v="16"/>
    <x v="0"/>
  </r>
  <r>
    <n v="306"/>
    <x v="1"/>
    <x v="1"/>
    <x v="0"/>
    <x v="1"/>
    <x v="1"/>
    <x v="3"/>
    <x v="5"/>
    <s v="121.4"/>
    <x v="0"/>
    <x v="0"/>
    <x v="14"/>
    <x v="13"/>
    <x v="0"/>
    <x v="0"/>
    <x v="18"/>
    <x v="6"/>
    <x v="17"/>
    <x v="0"/>
  </r>
  <r>
    <n v="307"/>
    <x v="5"/>
    <x v="5"/>
    <x v="1"/>
    <x v="1"/>
    <x v="0"/>
    <x v="3"/>
    <x v="6"/>
    <s v="222.4"/>
    <x v="0"/>
    <x v="0"/>
    <x v="14"/>
    <x v="14"/>
    <x v="0"/>
    <x v="0"/>
    <x v="11"/>
    <x v="0"/>
    <x v="10"/>
    <x v="0"/>
  </r>
  <r>
    <n v="308"/>
    <x v="2"/>
    <x v="2"/>
    <x v="0"/>
    <x v="2"/>
    <x v="0"/>
    <x v="3"/>
    <x v="7"/>
    <s v="132.4"/>
    <x v="0"/>
    <x v="0"/>
    <x v="8"/>
    <x v="13"/>
    <x v="0"/>
    <x v="0"/>
    <x v="19"/>
    <x v="0"/>
    <x v="18"/>
    <x v="0"/>
  </r>
  <r>
    <n v="401"/>
    <x v="10"/>
    <x v="10"/>
    <x v="1"/>
    <x v="0"/>
    <x v="0"/>
    <x v="2"/>
    <x v="0"/>
    <s v="212.3"/>
    <x v="0"/>
    <x v="0"/>
    <x v="1"/>
    <x v="4"/>
    <x v="0"/>
    <x v="0"/>
    <x v="20"/>
    <x v="12"/>
    <x v="19"/>
    <x v="0"/>
  </r>
  <r>
    <n v="402"/>
    <x v="5"/>
    <x v="5"/>
    <x v="1"/>
    <x v="1"/>
    <x v="0"/>
    <x v="2"/>
    <x v="1"/>
    <s v="222.3"/>
    <x v="0"/>
    <x v="4"/>
    <x v="12"/>
    <x v="15"/>
    <x v="0"/>
    <x v="0"/>
    <x v="14"/>
    <x v="13"/>
    <x v="13"/>
    <x v="0"/>
  </r>
  <r>
    <n v="403"/>
    <x v="11"/>
    <x v="11"/>
    <x v="0"/>
    <x v="2"/>
    <x v="1"/>
    <x v="2"/>
    <x v="2"/>
    <s v="131.3"/>
    <x v="0"/>
    <x v="0"/>
    <x v="15"/>
    <x v="15"/>
    <x v="0"/>
    <x v="0"/>
    <x v="21"/>
    <x v="12"/>
    <x v="20"/>
    <x v="0"/>
  </r>
  <r>
    <n v="404"/>
    <x v="6"/>
    <x v="6"/>
    <x v="0"/>
    <x v="1"/>
    <x v="0"/>
    <x v="2"/>
    <x v="3"/>
    <s v="122.3"/>
    <x v="0"/>
    <x v="0"/>
    <x v="16"/>
    <x v="10"/>
    <x v="0"/>
    <x v="0"/>
    <x v="18"/>
    <x v="14"/>
    <x v="17"/>
    <x v="0"/>
  </r>
  <r>
    <n v="405"/>
    <x v="11"/>
    <x v="11"/>
    <x v="0"/>
    <x v="2"/>
    <x v="1"/>
    <x v="3"/>
    <x v="4"/>
    <s v="131.4"/>
    <x v="0"/>
    <x v="0"/>
    <x v="17"/>
    <x v="15"/>
    <x v="0"/>
    <x v="0"/>
    <x v="22"/>
    <x v="6"/>
    <x v="0"/>
    <x v="0"/>
  </r>
  <r>
    <n v="406"/>
    <x v="6"/>
    <x v="6"/>
    <x v="0"/>
    <x v="1"/>
    <x v="0"/>
    <x v="3"/>
    <x v="5"/>
    <s v="122.4"/>
    <x v="0"/>
    <x v="0"/>
    <x v="5"/>
    <x v="1"/>
    <x v="0"/>
    <x v="0"/>
    <x v="11"/>
    <x v="0"/>
    <x v="10"/>
    <x v="0"/>
  </r>
  <r>
    <n v="407"/>
    <x v="10"/>
    <x v="10"/>
    <x v="1"/>
    <x v="0"/>
    <x v="0"/>
    <x v="3"/>
    <x v="6"/>
    <s v="212.4"/>
    <x v="0"/>
    <x v="0"/>
    <x v="14"/>
    <x v="14"/>
    <x v="0"/>
    <x v="0"/>
    <x v="11"/>
    <x v="0"/>
    <x v="10"/>
    <x v="0"/>
  </r>
  <r>
    <n v="408"/>
    <x v="3"/>
    <x v="3"/>
    <x v="1"/>
    <x v="1"/>
    <x v="1"/>
    <x v="3"/>
    <x v="7"/>
    <s v="221.4"/>
    <x v="0"/>
    <x v="0"/>
    <x v="0"/>
    <x v="7"/>
    <x v="0"/>
    <x v="0"/>
    <x v="23"/>
    <x v="15"/>
    <x v="21"/>
    <x v="0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01"/>
    <x v="0"/>
    <x v="0"/>
    <x v="0"/>
    <x v="0"/>
    <x v="0"/>
    <x v="0"/>
    <x v="0"/>
    <s v="112.1"/>
    <x v="0"/>
    <x v="0"/>
    <x v="0"/>
    <x v="0"/>
    <x v="0"/>
    <x v="0"/>
    <x v="0"/>
    <x v="0"/>
    <x v="0"/>
    <x v="0"/>
  </r>
  <r>
    <n v="102"/>
    <x v="1"/>
    <x v="1"/>
    <x v="0"/>
    <x v="1"/>
    <x v="1"/>
    <x v="0"/>
    <x v="1"/>
    <s v="121.1"/>
    <x v="0"/>
    <x v="1"/>
    <x v="1"/>
    <x v="1"/>
    <x v="0"/>
    <x v="0"/>
    <x v="1"/>
    <x v="1"/>
    <x v="1"/>
    <x v="0"/>
  </r>
  <r>
    <n v="103"/>
    <x v="2"/>
    <x v="2"/>
    <x v="0"/>
    <x v="2"/>
    <x v="0"/>
    <x v="0"/>
    <x v="2"/>
    <s v="132.1"/>
    <x v="0"/>
    <x v="0"/>
    <x v="2"/>
    <x v="2"/>
    <x v="0"/>
    <x v="0"/>
    <x v="2"/>
    <x v="0"/>
    <x v="2"/>
    <x v="0"/>
  </r>
  <r>
    <n v="104"/>
    <x v="3"/>
    <x v="3"/>
    <x v="1"/>
    <x v="1"/>
    <x v="1"/>
    <x v="0"/>
    <x v="3"/>
    <s v="221.1"/>
    <x v="0"/>
    <x v="0"/>
    <x v="3"/>
    <x v="1"/>
    <x v="0"/>
    <x v="0"/>
    <x v="3"/>
    <x v="2"/>
    <x v="3"/>
    <x v="0"/>
  </r>
  <r>
    <n v="105"/>
    <x v="4"/>
    <x v="4"/>
    <x v="1"/>
    <x v="2"/>
    <x v="1"/>
    <x v="1"/>
    <x v="4"/>
    <s v="231.2"/>
    <x v="0"/>
    <x v="0"/>
    <x v="4"/>
    <x v="3"/>
    <x v="0"/>
    <x v="0"/>
    <x v="4"/>
    <x v="3"/>
    <x v="4"/>
    <x v="0"/>
  </r>
  <r>
    <n v="106"/>
    <x v="5"/>
    <x v="5"/>
    <x v="1"/>
    <x v="1"/>
    <x v="0"/>
    <x v="1"/>
    <x v="5"/>
    <s v="222.2"/>
    <x v="0"/>
    <x v="0"/>
    <x v="5"/>
    <x v="4"/>
    <x v="0"/>
    <x v="0"/>
    <x v="0"/>
    <x v="2"/>
    <x v="0"/>
    <x v="0"/>
  </r>
  <r>
    <n v="107"/>
    <x v="3"/>
    <x v="3"/>
    <x v="1"/>
    <x v="1"/>
    <x v="1"/>
    <x v="1"/>
    <x v="6"/>
    <s v="221.2"/>
    <x v="0"/>
    <x v="0"/>
    <x v="3"/>
    <x v="5"/>
    <x v="0"/>
    <x v="0"/>
    <x v="5"/>
    <x v="4"/>
    <x v="5"/>
    <x v="0"/>
  </r>
  <r>
    <n v="108"/>
    <x v="6"/>
    <x v="6"/>
    <x v="0"/>
    <x v="1"/>
    <x v="0"/>
    <x v="1"/>
    <x v="7"/>
    <s v="122.2"/>
    <x v="0"/>
    <x v="0"/>
    <x v="6"/>
    <x v="6"/>
    <x v="0"/>
    <x v="0"/>
    <x v="6"/>
    <x v="5"/>
    <x v="4"/>
    <x v="0"/>
  </r>
  <r>
    <n v="201"/>
    <x v="4"/>
    <x v="4"/>
    <x v="1"/>
    <x v="2"/>
    <x v="1"/>
    <x v="0"/>
    <x v="0"/>
    <s v="231.1"/>
    <x v="0"/>
    <x v="0"/>
    <x v="4"/>
    <x v="7"/>
    <x v="0"/>
    <x v="0"/>
    <x v="7"/>
    <x v="6"/>
    <x v="6"/>
    <x v="0"/>
  </r>
  <r>
    <n v="202"/>
    <x v="5"/>
    <x v="5"/>
    <x v="1"/>
    <x v="1"/>
    <x v="0"/>
    <x v="0"/>
    <x v="1"/>
    <s v="222.1"/>
    <x v="0"/>
    <x v="2"/>
    <x v="7"/>
    <x v="4"/>
    <x v="0"/>
    <x v="0"/>
    <x v="8"/>
    <x v="7"/>
    <x v="7"/>
    <x v="0"/>
  </r>
  <r>
    <n v="203"/>
    <x v="6"/>
    <x v="6"/>
    <x v="0"/>
    <x v="1"/>
    <x v="0"/>
    <x v="0"/>
    <x v="2"/>
    <s v="122.1"/>
    <x v="0"/>
    <x v="0"/>
    <x v="8"/>
    <x v="6"/>
    <x v="0"/>
    <x v="0"/>
    <x v="9"/>
    <x v="0"/>
    <x v="8"/>
    <x v="0"/>
  </r>
  <r>
    <n v="204"/>
    <x v="7"/>
    <x v="7"/>
    <x v="1"/>
    <x v="2"/>
    <x v="0"/>
    <x v="0"/>
    <x v="3"/>
    <s v="232.1"/>
    <x v="0"/>
    <x v="0"/>
    <x v="9"/>
    <x v="8"/>
    <x v="0"/>
    <x v="0"/>
    <x v="10"/>
    <x v="8"/>
    <x v="9"/>
    <x v="0"/>
  </r>
  <r>
    <n v="205"/>
    <x v="0"/>
    <x v="0"/>
    <x v="0"/>
    <x v="0"/>
    <x v="0"/>
    <x v="1"/>
    <x v="4"/>
    <s v="112.2"/>
    <x v="0"/>
    <x v="0"/>
    <x v="3"/>
    <x v="1"/>
    <x v="0"/>
    <x v="0"/>
    <x v="3"/>
    <x v="2"/>
    <x v="3"/>
    <x v="0"/>
  </r>
  <r>
    <n v="206"/>
    <x v="8"/>
    <x v="8"/>
    <x v="1"/>
    <x v="0"/>
    <x v="1"/>
    <x v="1"/>
    <x v="5"/>
    <s v="211.2"/>
    <x v="0"/>
    <x v="0"/>
    <x v="10"/>
    <x v="6"/>
    <x v="0"/>
    <x v="0"/>
    <x v="11"/>
    <x v="9"/>
    <x v="10"/>
    <x v="0"/>
  </r>
  <r>
    <n v="207"/>
    <x v="1"/>
    <x v="1"/>
    <x v="0"/>
    <x v="1"/>
    <x v="1"/>
    <x v="1"/>
    <x v="6"/>
    <s v="121.2"/>
    <x v="0"/>
    <x v="0"/>
    <x v="11"/>
    <x v="9"/>
    <x v="0"/>
    <x v="0"/>
    <x v="12"/>
    <x v="2"/>
    <x v="11"/>
    <x v="0"/>
  </r>
  <r>
    <n v="208"/>
    <x v="9"/>
    <x v="9"/>
    <x v="0"/>
    <x v="0"/>
    <x v="1"/>
    <x v="1"/>
    <x v="7"/>
    <s v="111.2"/>
    <x v="0"/>
    <x v="0"/>
    <x v="10"/>
    <x v="3"/>
    <x v="0"/>
    <x v="0"/>
    <x v="5"/>
    <x v="4"/>
    <x v="5"/>
    <x v="0"/>
  </r>
  <r>
    <n v="301"/>
    <x v="3"/>
    <x v="3"/>
    <x v="1"/>
    <x v="1"/>
    <x v="1"/>
    <x v="2"/>
    <x v="0"/>
    <s v="221.3"/>
    <x v="0"/>
    <x v="0"/>
    <x v="2"/>
    <x v="1"/>
    <x v="0"/>
    <x v="0"/>
    <x v="13"/>
    <x v="0"/>
    <x v="12"/>
    <x v="0"/>
  </r>
  <r>
    <n v="302"/>
    <x v="1"/>
    <x v="1"/>
    <x v="0"/>
    <x v="1"/>
    <x v="1"/>
    <x v="2"/>
    <x v="1"/>
    <s v="121.3"/>
    <x v="0"/>
    <x v="3"/>
    <x v="12"/>
    <x v="10"/>
    <x v="0"/>
    <x v="0"/>
    <x v="14"/>
    <x v="10"/>
    <x v="13"/>
    <x v="0"/>
  </r>
  <r>
    <n v="303"/>
    <x v="8"/>
    <x v="8"/>
    <x v="1"/>
    <x v="0"/>
    <x v="1"/>
    <x v="2"/>
    <x v="2"/>
    <s v="211.3"/>
    <x v="0"/>
    <x v="0"/>
    <x v="10"/>
    <x v="11"/>
    <x v="0"/>
    <x v="0"/>
    <x v="15"/>
    <x v="11"/>
    <x v="14"/>
    <x v="0"/>
  </r>
  <r>
    <n v="304"/>
    <x v="9"/>
    <x v="9"/>
    <x v="0"/>
    <x v="0"/>
    <x v="1"/>
    <x v="2"/>
    <x v="3"/>
    <s v="111.3"/>
    <x v="0"/>
    <x v="0"/>
    <x v="5"/>
    <x v="6"/>
    <x v="0"/>
    <x v="0"/>
    <x v="16"/>
    <x v="11"/>
    <x v="15"/>
    <x v="0"/>
  </r>
  <r>
    <n v="305"/>
    <x v="7"/>
    <x v="7"/>
    <x v="1"/>
    <x v="2"/>
    <x v="0"/>
    <x v="3"/>
    <x v="4"/>
    <s v="232.4"/>
    <x v="0"/>
    <x v="0"/>
    <x v="13"/>
    <x v="12"/>
    <x v="0"/>
    <x v="0"/>
    <x v="17"/>
    <x v="8"/>
    <x v="16"/>
    <x v="0"/>
  </r>
  <r>
    <n v="306"/>
    <x v="1"/>
    <x v="1"/>
    <x v="0"/>
    <x v="1"/>
    <x v="1"/>
    <x v="3"/>
    <x v="5"/>
    <s v="121.4"/>
    <x v="0"/>
    <x v="0"/>
    <x v="14"/>
    <x v="13"/>
    <x v="0"/>
    <x v="0"/>
    <x v="18"/>
    <x v="6"/>
    <x v="17"/>
    <x v="0"/>
  </r>
  <r>
    <n v="307"/>
    <x v="5"/>
    <x v="5"/>
    <x v="1"/>
    <x v="1"/>
    <x v="0"/>
    <x v="3"/>
    <x v="6"/>
    <s v="222.4"/>
    <x v="0"/>
    <x v="0"/>
    <x v="14"/>
    <x v="14"/>
    <x v="0"/>
    <x v="0"/>
    <x v="11"/>
    <x v="0"/>
    <x v="10"/>
    <x v="0"/>
  </r>
  <r>
    <n v="308"/>
    <x v="2"/>
    <x v="2"/>
    <x v="0"/>
    <x v="2"/>
    <x v="0"/>
    <x v="3"/>
    <x v="7"/>
    <s v="132.4"/>
    <x v="0"/>
    <x v="0"/>
    <x v="8"/>
    <x v="13"/>
    <x v="0"/>
    <x v="0"/>
    <x v="19"/>
    <x v="0"/>
    <x v="18"/>
    <x v="0"/>
  </r>
  <r>
    <n v="401"/>
    <x v="10"/>
    <x v="10"/>
    <x v="1"/>
    <x v="0"/>
    <x v="0"/>
    <x v="2"/>
    <x v="0"/>
    <s v="212.3"/>
    <x v="0"/>
    <x v="0"/>
    <x v="1"/>
    <x v="4"/>
    <x v="0"/>
    <x v="0"/>
    <x v="20"/>
    <x v="12"/>
    <x v="19"/>
    <x v="0"/>
  </r>
  <r>
    <n v="402"/>
    <x v="5"/>
    <x v="5"/>
    <x v="1"/>
    <x v="1"/>
    <x v="0"/>
    <x v="2"/>
    <x v="1"/>
    <s v="222.3"/>
    <x v="0"/>
    <x v="4"/>
    <x v="12"/>
    <x v="15"/>
    <x v="0"/>
    <x v="0"/>
    <x v="14"/>
    <x v="13"/>
    <x v="13"/>
    <x v="0"/>
  </r>
  <r>
    <n v="403"/>
    <x v="11"/>
    <x v="11"/>
    <x v="0"/>
    <x v="2"/>
    <x v="1"/>
    <x v="2"/>
    <x v="2"/>
    <s v="131.3"/>
    <x v="0"/>
    <x v="0"/>
    <x v="15"/>
    <x v="15"/>
    <x v="0"/>
    <x v="0"/>
    <x v="21"/>
    <x v="12"/>
    <x v="20"/>
    <x v="0"/>
  </r>
  <r>
    <n v="404"/>
    <x v="6"/>
    <x v="6"/>
    <x v="0"/>
    <x v="1"/>
    <x v="0"/>
    <x v="2"/>
    <x v="3"/>
    <s v="122.3"/>
    <x v="0"/>
    <x v="0"/>
    <x v="16"/>
    <x v="10"/>
    <x v="0"/>
    <x v="0"/>
    <x v="18"/>
    <x v="14"/>
    <x v="17"/>
    <x v="0"/>
  </r>
  <r>
    <n v="405"/>
    <x v="11"/>
    <x v="11"/>
    <x v="0"/>
    <x v="2"/>
    <x v="1"/>
    <x v="3"/>
    <x v="4"/>
    <s v="131.4"/>
    <x v="0"/>
    <x v="0"/>
    <x v="17"/>
    <x v="15"/>
    <x v="0"/>
    <x v="0"/>
    <x v="22"/>
    <x v="6"/>
    <x v="0"/>
    <x v="0"/>
  </r>
  <r>
    <n v="406"/>
    <x v="6"/>
    <x v="6"/>
    <x v="0"/>
    <x v="1"/>
    <x v="0"/>
    <x v="3"/>
    <x v="5"/>
    <s v="122.4"/>
    <x v="0"/>
    <x v="0"/>
    <x v="5"/>
    <x v="1"/>
    <x v="0"/>
    <x v="0"/>
    <x v="11"/>
    <x v="0"/>
    <x v="10"/>
    <x v="0"/>
  </r>
  <r>
    <n v="407"/>
    <x v="10"/>
    <x v="10"/>
    <x v="1"/>
    <x v="0"/>
    <x v="0"/>
    <x v="3"/>
    <x v="6"/>
    <s v="212.4"/>
    <x v="0"/>
    <x v="0"/>
    <x v="14"/>
    <x v="14"/>
    <x v="0"/>
    <x v="0"/>
    <x v="11"/>
    <x v="0"/>
    <x v="10"/>
    <x v="0"/>
  </r>
  <r>
    <n v="408"/>
    <x v="3"/>
    <x v="3"/>
    <x v="1"/>
    <x v="1"/>
    <x v="1"/>
    <x v="3"/>
    <x v="7"/>
    <s v="221.4"/>
    <x v="0"/>
    <x v="0"/>
    <x v="0"/>
    <x v="7"/>
    <x v="0"/>
    <x v="0"/>
    <x v="23"/>
    <x v="15"/>
    <x v="21"/>
    <x v="0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01"/>
    <x v="0"/>
    <x v="0"/>
    <x v="0"/>
    <x v="0"/>
    <x v="0"/>
    <x v="0"/>
    <x v="0"/>
    <s v="112.1"/>
    <x v="0"/>
    <x v="0"/>
    <x v="0"/>
    <x v="0"/>
    <x v="0"/>
    <x v="0"/>
    <x v="0"/>
    <x v="0"/>
    <x v="0"/>
    <x v="0"/>
  </r>
  <r>
    <n v="102"/>
    <x v="1"/>
    <x v="1"/>
    <x v="0"/>
    <x v="1"/>
    <x v="1"/>
    <x v="0"/>
    <x v="1"/>
    <s v="121.1"/>
    <x v="0"/>
    <x v="0"/>
    <x v="1"/>
    <x v="1"/>
    <x v="0"/>
    <x v="0"/>
    <x v="1"/>
    <x v="1"/>
    <x v="1"/>
    <x v="0"/>
  </r>
  <r>
    <n v="103"/>
    <x v="2"/>
    <x v="2"/>
    <x v="0"/>
    <x v="2"/>
    <x v="0"/>
    <x v="0"/>
    <x v="2"/>
    <s v="132.1"/>
    <x v="0"/>
    <x v="0"/>
    <x v="2"/>
    <x v="2"/>
    <x v="0"/>
    <x v="0"/>
    <x v="2"/>
    <x v="2"/>
    <x v="2"/>
    <x v="0"/>
  </r>
  <r>
    <n v="104"/>
    <x v="3"/>
    <x v="3"/>
    <x v="1"/>
    <x v="1"/>
    <x v="1"/>
    <x v="0"/>
    <x v="3"/>
    <s v="221.1"/>
    <x v="0"/>
    <x v="0"/>
    <x v="0"/>
    <x v="3"/>
    <x v="0"/>
    <x v="0"/>
    <x v="3"/>
    <x v="3"/>
    <x v="3"/>
    <x v="0"/>
  </r>
  <r>
    <n v="105"/>
    <x v="4"/>
    <x v="4"/>
    <x v="1"/>
    <x v="2"/>
    <x v="1"/>
    <x v="1"/>
    <x v="4"/>
    <s v="231.2"/>
    <x v="0"/>
    <x v="0"/>
    <x v="3"/>
    <x v="4"/>
    <x v="0"/>
    <x v="0"/>
    <x v="4"/>
    <x v="4"/>
    <x v="4"/>
    <x v="0"/>
  </r>
  <r>
    <n v="106"/>
    <x v="5"/>
    <x v="5"/>
    <x v="1"/>
    <x v="1"/>
    <x v="0"/>
    <x v="1"/>
    <x v="5"/>
    <s v="222.2"/>
    <x v="0"/>
    <x v="0"/>
    <x v="4"/>
    <x v="5"/>
    <x v="0"/>
    <x v="0"/>
    <x v="5"/>
    <x v="0"/>
    <x v="5"/>
    <x v="0"/>
  </r>
  <r>
    <n v="107"/>
    <x v="3"/>
    <x v="3"/>
    <x v="1"/>
    <x v="1"/>
    <x v="1"/>
    <x v="1"/>
    <x v="6"/>
    <s v="221.2"/>
    <x v="0"/>
    <x v="0"/>
    <x v="5"/>
    <x v="6"/>
    <x v="0"/>
    <x v="0"/>
    <x v="3"/>
    <x v="5"/>
    <x v="3"/>
    <x v="0"/>
  </r>
  <r>
    <n v="108"/>
    <x v="6"/>
    <x v="6"/>
    <x v="0"/>
    <x v="1"/>
    <x v="0"/>
    <x v="1"/>
    <x v="7"/>
    <s v="122.2"/>
    <x v="0"/>
    <x v="0"/>
    <x v="1"/>
    <x v="7"/>
    <x v="0"/>
    <x v="0"/>
    <x v="5"/>
    <x v="6"/>
    <x v="5"/>
    <x v="0"/>
  </r>
  <r>
    <n v="201"/>
    <x v="4"/>
    <x v="4"/>
    <x v="1"/>
    <x v="2"/>
    <x v="1"/>
    <x v="0"/>
    <x v="0"/>
    <s v="231.1"/>
    <x v="0"/>
    <x v="0"/>
    <x v="3"/>
    <x v="8"/>
    <x v="0"/>
    <x v="0"/>
    <x v="6"/>
    <x v="7"/>
    <x v="6"/>
    <x v="0"/>
  </r>
  <r>
    <n v="202"/>
    <x v="5"/>
    <x v="5"/>
    <x v="1"/>
    <x v="1"/>
    <x v="0"/>
    <x v="0"/>
    <x v="1"/>
    <s v="222.1"/>
    <x v="0"/>
    <x v="0"/>
    <x v="6"/>
    <x v="6"/>
    <x v="0"/>
    <x v="0"/>
    <x v="7"/>
    <x v="5"/>
    <x v="7"/>
    <x v="0"/>
  </r>
  <r>
    <n v="203"/>
    <x v="6"/>
    <x v="6"/>
    <x v="0"/>
    <x v="1"/>
    <x v="0"/>
    <x v="0"/>
    <x v="2"/>
    <s v="122.1"/>
    <x v="0"/>
    <x v="0"/>
    <x v="7"/>
    <x v="9"/>
    <x v="0"/>
    <x v="0"/>
    <x v="8"/>
    <x v="3"/>
    <x v="8"/>
    <x v="0"/>
  </r>
  <r>
    <n v="204"/>
    <x v="7"/>
    <x v="7"/>
    <x v="1"/>
    <x v="2"/>
    <x v="0"/>
    <x v="0"/>
    <x v="3"/>
    <s v="232.1"/>
    <x v="0"/>
    <x v="0"/>
    <x v="8"/>
    <x v="2"/>
    <x v="0"/>
    <x v="0"/>
    <x v="9"/>
    <x v="1"/>
    <x v="9"/>
    <x v="0"/>
  </r>
  <r>
    <n v="205"/>
    <x v="0"/>
    <x v="0"/>
    <x v="0"/>
    <x v="0"/>
    <x v="0"/>
    <x v="1"/>
    <x v="4"/>
    <s v="112.2"/>
    <x v="0"/>
    <x v="0"/>
    <x v="9"/>
    <x v="4"/>
    <x v="0"/>
    <x v="0"/>
    <x v="10"/>
    <x v="8"/>
    <x v="10"/>
    <x v="0"/>
  </r>
  <r>
    <n v="206"/>
    <x v="8"/>
    <x v="8"/>
    <x v="1"/>
    <x v="0"/>
    <x v="1"/>
    <x v="1"/>
    <x v="5"/>
    <s v="211.2"/>
    <x v="0"/>
    <x v="0"/>
    <x v="10"/>
    <x v="4"/>
    <x v="0"/>
    <x v="0"/>
    <x v="3"/>
    <x v="7"/>
    <x v="3"/>
    <x v="0"/>
  </r>
  <r>
    <n v="207"/>
    <x v="1"/>
    <x v="1"/>
    <x v="0"/>
    <x v="1"/>
    <x v="1"/>
    <x v="1"/>
    <x v="6"/>
    <s v="121.2"/>
    <x v="0"/>
    <x v="0"/>
    <x v="6"/>
    <x v="10"/>
    <x v="0"/>
    <x v="0"/>
    <x v="11"/>
    <x v="0"/>
    <x v="11"/>
    <x v="0"/>
  </r>
  <r>
    <n v="208"/>
    <x v="9"/>
    <x v="9"/>
    <x v="0"/>
    <x v="0"/>
    <x v="1"/>
    <x v="1"/>
    <x v="7"/>
    <s v="111.2"/>
    <x v="0"/>
    <x v="0"/>
    <x v="11"/>
    <x v="1"/>
    <x v="0"/>
    <x v="0"/>
    <x v="12"/>
    <x v="0"/>
    <x v="12"/>
    <x v="0"/>
  </r>
  <r>
    <n v="301"/>
    <x v="3"/>
    <x v="3"/>
    <x v="1"/>
    <x v="1"/>
    <x v="1"/>
    <x v="2"/>
    <x v="0"/>
    <s v="221.3"/>
    <x v="0"/>
    <x v="0"/>
    <x v="12"/>
    <x v="11"/>
    <x v="0"/>
    <x v="0"/>
    <x v="13"/>
    <x v="2"/>
    <x v="13"/>
    <x v="0"/>
  </r>
  <r>
    <n v="302"/>
    <x v="1"/>
    <x v="1"/>
    <x v="0"/>
    <x v="1"/>
    <x v="1"/>
    <x v="2"/>
    <x v="1"/>
    <s v="121.3"/>
    <x v="0"/>
    <x v="0"/>
    <x v="6"/>
    <x v="7"/>
    <x v="0"/>
    <x v="0"/>
    <x v="12"/>
    <x v="1"/>
    <x v="12"/>
    <x v="0"/>
  </r>
  <r>
    <n v="303"/>
    <x v="8"/>
    <x v="8"/>
    <x v="1"/>
    <x v="0"/>
    <x v="1"/>
    <x v="2"/>
    <x v="2"/>
    <s v="211.3"/>
    <x v="0"/>
    <x v="0"/>
    <x v="10"/>
    <x v="12"/>
    <x v="0"/>
    <x v="0"/>
    <x v="14"/>
    <x v="5"/>
    <x v="14"/>
    <x v="0"/>
  </r>
  <r>
    <n v="304"/>
    <x v="9"/>
    <x v="9"/>
    <x v="0"/>
    <x v="0"/>
    <x v="1"/>
    <x v="2"/>
    <x v="3"/>
    <s v="111.3"/>
    <x v="0"/>
    <x v="0"/>
    <x v="13"/>
    <x v="4"/>
    <x v="0"/>
    <x v="0"/>
    <x v="15"/>
    <x v="5"/>
    <x v="15"/>
    <x v="0"/>
  </r>
  <r>
    <n v="305"/>
    <x v="7"/>
    <x v="7"/>
    <x v="1"/>
    <x v="2"/>
    <x v="0"/>
    <x v="3"/>
    <x v="4"/>
    <s v="232.4"/>
    <x v="0"/>
    <x v="0"/>
    <x v="14"/>
    <x v="13"/>
    <x v="0"/>
    <x v="0"/>
    <x v="16"/>
    <x v="6"/>
    <x v="16"/>
    <x v="0"/>
  </r>
  <r>
    <n v="306"/>
    <x v="1"/>
    <x v="1"/>
    <x v="0"/>
    <x v="1"/>
    <x v="1"/>
    <x v="3"/>
    <x v="5"/>
    <s v="121.4"/>
    <x v="0"/>
    <x v="0"/>
    <x v="5"/>
    <x v="2"/>
    <x v="0"/>
    <x v="0"/>
    <x v="17"/>
    <x v="9"/>
    <x v="17"/>
    <x v="0"/>
  </r>
  <r>
    <n v="307"/>
    <x v="5"/>
    <x v="5"/>
    <x v="1"/>
    <x v="1"/>
    <x v="0"/>
    <x v="3"/>
    <x v="6"/>
    <s v="222.4"/>
    <x v="0"/>
    <x v="0"/>
    <x v="9"/>
    <x v="6"/>
    <x v="0"/>
    <x v="0"/>
    <x v="12"/>
    <x v="0"/>
    <x v="12"/>
    <x v="0"/>
  </r>
  <r>
    <n v="308"/>
    <x v="2"/>
    <x v="2"/>
    <x v="0"/>
    <x v="2"/>
    <x v="0"/>
    <x v="3"/>
    <x v="7"/>
    <s v="132.4"/>
    <x v="0"/>
    <x v="0"/>
    <x v="15"/>
    <x v="2"/>
    <x v="0"/>
    <x v="0"/>
    <x v="18"/>
    <x v="10"/>
    <x v="18"/>
    <x v="0"/>
  </r>
  <r>
    <n v="401"/>
    <x v="10"/>
    <x v="10"/>
    <x v="1"/>
    <x v="0"/>
    <x v="0"/>
    <x v="2"/>
    <x v="0"/>
    <s v="212.3"/>
    <x v="0"/>
    <x v="0"/>
    <x v="16"/>
    <x v="5"/>
    <x v="0"/>
    <x v="0"/>
    <x v="14"/>
    <x v="9"/>
    <x v="14"/>
    <x v="0"/>
  </r>
  <r>
    <n v="402"/>
    <x v="5"/>
    <x v="5"/>
    <x v="1"/>
    <x v="1"/>
    <x v="0"/>
    <x v="2"/>
    <x v="1"/>
    <s v="222.3"/>
    <x v="0"/>
    <x v="0"/>
    <x v="17"/>
    <x v="9"/>
    <x v="0"/>
    <x v="0"/>
    <x v="19"/>
    <x v="11"/>
    <x v="4"/>
    <x v="0"/>
  </r>
  <r>
    <n v="403"/>
    <x v="11"/>
    <x v="11"/>
    <x v="0"/>
    <x v="2"/>
    <x v="1"/>
    <x v="2"/>
    <x v="2"/>
    <s v="131.3"/>
    <x v="0"/>
    <x v="0"/>
    <x v="18"/>
    <x v="14"/>
    <x v="0"/>
    <x v="0"/>
    <x v="18"/>
    <x v="12"/>
    <x v="18"/>
    <x v="0"/>
  </r>
  <r>
    <n v="404"/>
    <x v="6"/>
    <x v="6"/>
    <x v="0"/>
    <x v="1"/>
    <x v="0"/>
    <x v="2"/>
    <x v="3"/>
    <s v="122.3"/>
    <x v="0"/>
    <x v="0"/>
    <x v="7"/>
    <x v="7"/>
    <x v="0"/>
    <x v="0"/>
    <x v="13"/>
    <x v="10"/>
    <x v="13"/>
    <x v="0"/>
  </r>
  <r>
    <n v="405"/>
    <x v="11"/>
    <x v="11"/>
    <x v="0"/>
    <x v="2"/>
    <x v="1"/>
    <x v="3"/>
    <x v="4"/>
    <s v="131.4"/>
    <x v="0"/>
    <x v="0"/>
    <x v="19"/>
    <x v="8"/>
    <x v="0"/>
    <x v="0"/>
    <x v="20"/>
    <x v="13"/>
    <x v="19"/>
    <x v="0"/>
  </r>
  <r>
    <n v="406"/>
    <x v="6"/>
    <x v="6"/>
    <x v="0"/>
    <x v="1"/>
    <x v="0"/>
    <x v="3"/>
    <x v="5"/>
    <s v="122.4"/>
    <x v="0"/>
    <x v="0"/>
    <x v="13"/>
    <x v="9"/>
    <x v="0"/>
    <x v="0"/>
    <x v="21"/>
    <x v="2"/>
    <x v="20"/>
    <x v="0"/>
  </r>
  <r>
    <n v="407"/>
    <x v="10"/>
    <x v="10"/>
    <x v="1"/>
    <x v="0"/>
    <x v="0"/>
    <x v="3"/>
    <x v="6"/>
    <s v="212.4"/>
    <x v="0"/>
    <x v="0"/>
    <x v="9"/>
    <x v="0"/>
    <x v="0"/>
    <x v="0"/>
    <x v="22"/>
    <x v="5"/>
    <x v="6"/>
    <x v="0"/>
  </r>
  <r>
    <n v="408"/>
    <x v="3"/>
    <x v="3"/>
    <x v="1"/>
    <x v="1"/>
    <x v="1"/>
    <x v="3"/>
    <x v="7"/>
    <s v="221.4"/>
    <x v="0"/>
    <x v="0"/>
    <x v="0"/>
    <x v="11"/>
    <x v="0"/>
    <x v="0"/>
    <x v="15"/>
    <x v="8"/>
    <x v="15"/>
    <x v="0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01"/>
    <x v="0"/>
    <x v="0"/>
    <x v="0"/>
    <x v="0"/>
    <x v="0"/>
    <x v="0"/>
    <x v="0"/>
    <s v="112.1"/>
    <x v="0"/>
    <x v="0"/>
    <x v="0"/>
    <x v="0"/>
    <x v="0"/>
    <x v="0"/>
    <x v="0"/>
    <x v="0"/>
    <x v="0"/>
    <x v="0"/>
  </r>
  <r>
    <n v="102"/>
    <x v="1"/>
    <x v="1"/>
    <x v="0"/>
    <x v="1"/>
    <x v="1"/>
    <x v="0"/>
    <x v="1"/>
    <s v="121.1"/>
    <x v="0"/>
    <x v="0"/>
    <x v="1"/>
    <x v="1"/>
    <x v="0"/>
    <x v="0"/>
    <x v="1"/>
    <x v="1"/>
    <x v="1"/>
    <x v="0"/>
  </r>
  <r>
    <n v="103"/>
    <x v="2"/>
    <x v="2"/>
    <x v="0"/>
    <x v="2"/>
    <x v="0"/>
    <x v="0"/>
    <x v="2"/>
    <s v="132.1"/>
    <x v="0"/>
    <x v="0"/>
    <x v="2"/>
    <x v="2"/>
    <x v="0"/>
    <x v="0"/>
    <x v="2"/>
    <x v="2"/>
    <x v="2"/>
    <x v="0"/>
  </r>
  <r>
    <n v="104"/>
    <x v="3"/>
    <x v="3"/>
    <x v="1"/>
    <x v="1"/>
    <x v="1"/>
    <x v="0"/>
    <x v="3"/>
    <s v="221.1"/>
    <x v="0"/>
    <x v="0"/>
    <x v="0"/>
    <x v="3"/>
    <x v="0"/>
    <x v="0"/>
    <x v="3"/>
    <x v="3"/>
    <x v="3"/>
    <x v="0"/>
  </r>
  <r>
    <n v="105"/>
    <x v="4"/>
    <x v="4"/>
    <x v="1"/>
    <x v="2"/>
    <x v="1"/>
    <x v="1"/>
    <x v="4"/>
    <s v="231.2"/>
    <x v="0"/>
    <x v="0"/>
    <x v="3"/>
    <x v="4"/>
    <x v="0"/>
    <x v="0"/>
    <x v="4"/>
    <x v="4"/>
    <x v="4"/>
    <x v="0"/>
  </r>
  <r>
    <n v="106"/>
    <x v="5"/>
    <x v="5"/>
    <x v="1"/>
    <x v="1"/>
    <x v="0"/>
    <x v="1"/>
    <x v="5"/>
    <s v="222.2"/>
    <x v="0"/>
    <x v="0"/>
    <x v="4"/>
    <x v="5"/>
    <x v="0"/>
    <x v="0"/>
    <x v="5"/>
    <x v="0"/>
    <x v="5"/>
    <x v="0"/>
  </r>
  <r>
    <n v="107"/>
    <x v="3"/>
    <x v="3"/>
    <x v="1"/>
    <x v="1"/>
    <x v="1"/>
    <x v="1"/>
    <x v="6"/>
    <s v="221.2"/>
    <x v="0"/>
    <x v="0"/>
    <x v="5"/>
    <x v="6"/>
    <x v="0"/>
    <x v="0"/>
    <x v="3"/>
    <x v="5"/>
    <x v="3"/>
    <x v="0"/>
  </r>
  <r>
    <n v="108"/>
    <x v="6"/>
    <x v="6"/>
    <x v="0"/>
    <x v="1"/>
    <x v="0"/>
    <x v="1"/>
    <x v="7"/>
    <s v="122.2"/>
    <x v="0"/>
    <x v="0"/>
    <x v="1"/>
    <x v="7"/>
    <x v="0"/>
    <x v="0"/>
    <x v="5"/>
    <x v="6"/>
    <x v="5"/>
    <x v="0"/>
  </r>
  <r>
    <n v="201"/>
    <x v="4"/>
    <x v="4"/>
    <x v="1"/>
    <x v="2"/>
    <x v="1"/>
    <x v="0"/>
    <x v="0"/>
    <s v="231.1"/>
    <x v="0"/>
    <x v="0"/>
    <x v="3"/>
    <x v="8"/>
    <x v="0"/>
    <x v="0"/>
    <x v="6"/>
    <x v="7"/>
    <x v="6"/>
    <x v="0"/>
  </r>
  <r>
    <n v="202"/>
    <x v="5"/>
    <x v="5"/>
    <x v="1"/>
    <x v="1"/>
    <x v="0"/>
    <x v="0"/>
    <x v="1"/>
    <s v="222.1"/>
    <x v="0"/>
    <x v="0"/>
    <x v="6"/>
    <x v="6"/>
    <x v="0"/>
    <x v="0"/>
    <x v="7"/>
    <x v="5"/>
    <x v="7"/>
    <x v="0"/>
  </r>
  <r>
    <n v="203"/>
    <x v="6"/>
    <x v="6"/>
    <x v="0"/>
    <x v="1"/>
    <x v="0"/>
    <x v="0"/>
    <x v="2"/>
    <s v="122.1"/>
    <x v="0"/>
    <x v="0"/>
    <x v="7"/>
    <x v="9"/>
    <x v="0"/>
    <x v="0"/>
    <x v="8"/>
    <x v="3"/>
    <x v="8"/>
    <x v="0"/>
  </r>
  <r>
    <n v="204"/>
    <x v="7"/>
    <x v="7"/>
    <x v="1"/>
    <x v="2"/>
    <x v="0"/>
    <x v="0"/>
    <x v="3"/>
    <s v="232.1"/>
    <x v="0"/>
    <x v="0"/>
    <x v="8"/>
    <x v="2"/>
    <x v="0"/>
    <x v="0"/>
    <x v="9"/>
    <x v="1"/>
    <x v="9"/>
    <x v="0"/>
  </r>
  <r>
    <n v="205"/>
    <x v="0"/>
    <x v="0"/>
    <x v="0"/>
    <x v="0"/>
    <x v="0"/>
    <x v="1"/>
    <x v="4"/>
    <s v="112.2"/>
    <x v="0"/>
    <x v="0"/>
    <x v="9"/>
    <x v="4"/>
    <x v="0"/>
    <x v="0"/>
    <x v="10"/>
    <x v="8"/>
    <x v="10"/>
    <x v="0"/>
  </r>
  <r>
    <n v="206"/>
    <x v="8"/>
    <x v="8"/>
    <x v="1"/>
    <x v="0"/>
    <x v="1"/>
    <x v="1"/>
    <x v="5"/>
    <s v="211.2"/>
    <x v="0"/>
    <x v="0"/>
    <x v="10"/>
    <x v="4"/>
    <x v="0"/>
    <x v="0"/>
    <x v="3"/>
    <x v="7"/>
    <x v="3"/>
    <x v="0"/>
  </r>
  <r>
    <n v="207"/>
    <x v="1"/>
    <x v="1"/>
    <x v="0"/>
    <x v="1"/>
    <x v="1"/>
    <x v="1"/>
    <x v="6"/>
    <s v="121.2"/>
    <x v="0"/>
    <x v="0"/>
    <x v="6"/>
    <x v="10"/>
    <x v="0"/>
    <x v="0"/>
    <x v="11"/>
    <x v="0"/>
    <x v="11"/>
    <x v="0"/>
  </r>
  <r>
    <n v="208"/>
    <x v="9"/>
    <x v="9"/>
    <x v="0"/>
    <x v="0"/>
    <x v="1"/>
    <x v="1"/>
    <x v="7"/>
    <s v="111.2"/>
    <x v="0"/>
    <x v="0"/>
    <x v="11"/>
    <x v="1"/>
    <x v="0"/>
    <x v="0"/>
    <x v="12"/>
    <x v="0"/>
    <x v="12"/>
    <x v="0"/>
  </r>
  <r>
    <n v="301"/>
    <x v="3"/>
    <x v="3"/>
    <x v="1"/>
    <x v="1"/>
    <x v="1"/>
    <x v="2"/>
    <x v="0"/>
    <s v="221.3"/>
    <x v="0"/>
    <x v="0"/>
    <x v="12"/>
    <x v="11"/>
    <x v="0"/>
    <x v="0"/>
    <x v="13"/>
    <x v="2"/>
    <x v="13"/>
    <x v="0"/>
  </r>
  <r>
    <n v="302"/>
    <x v="1"/>
    <x v="1"/>
    <x v="0"/>
    <x v="1"/>
    <x v="1"/>
    <x v="2"/>
    <x v="1"/>
    <s v="121.3"/>
    <x v="0"/>
    <x v="0"/>
    <x v="6"/>
    <x v="7"/>
    <x v="0"/>
    <x v="0"/>
    <x v="12"/>
    <x v="1"/>
    <x v="12"/>
    <x v="0"/>
  </r>
  <r>
    <n v="303"/>
    <x v="8"/>
    <x v="8"/>
    <x v="1"/>
    <x v="0"/>
    <x v="1"/>
    <x v="2"/>
    <x v="2"/>
    <s v="211.3"/>
    <x v="0"/>
    <x v="0"/>
    <x v="10"/>
    <x v="12"/>
    <x v="0"/>
    <x v="0"/>
    <x v="14"/>
    <x v="5"/>
    <x v="14"/>
    <x v="0"/>
  </r>
  <r>
    <n v="304"/>
    <x v="9"/>
    <x v="9"/>
    <x v="0"/>
    <x v="0"/>
    <x v="1"/>
    <x v="2"/>
    <x v="3"/>
    <s v="111.3"/>
    <x v="0"/>
    <x v="0"/>
    <x v="13"/>
    <x v="4"/>
    <x v="0"/>
    <x v="0"/>
    <x v="15"/>
    <x v="5"/>
    <x v="15"/>
    <x v="0"/>
  </r>
  <r>
    <n v="305"/>
    <x v="7"/>
    <x v="7"/>
    <x v="1"/>
    <x v="2"/>
    <x v="0"/>
    <x v="3"/>
    <x v="4"/>
    <s v="232.4"/>
    <x v="0"/>
    <x v="0"/>
    <x v="14"/>
    <x v="13"/>
    <x v="0"/>
    <x v="0"/>
    <x v="16"/>
    <x v="6"/>
    <x v="16"/>
    <x v="0"/>
  </r>
  <r>
    <n v="306"/>
    <x v="1"/>
    <x v="1"/>
    <x v="0"/>
    <x v="1"/>
    <x v="1"/>
    <x v="3"/>
    <x v="5"/>
    <s v="121.4"/>
    <x v="0"/>
    <x v="0"/>
    <x v="5"/>
    <x v="2"/>
    <x v="0"/>
    <x v="0"/>
    <x v="17"/>
    <x v="9"/>
    <x v="17"/>
    <x v="0"/>
  </r>
  <r>
    <n v="307"/>
    <x v="5"/>
    <x v="5"/>
    <x v="1"/>
    <x v="1"/>
    <x v="0"/>
    <x v="3"/>
    <x v="6"/>
    <s v="222.4"/>
    <x v="0"/>
    <x v="0"/>
    <x v="9"/>
    <x v="6"/>
    <x v="0"/>
    <x v="0"/>
    <x v="12"/>
    <x v="0"/>
    <x v="12"/>
    <x v="0"/>
  </r>
  <r>
    <n v="308"/>
    <x v="2"/>
    <x v="2"/>
    <x v="0"/>
    <x v="2"/>
    <x v="0"/>
    <x v="3"/>
    <x v="7"/>
    <s v="132.4"/>
    <x v="0"/>
    <x v="0"/>
    <x v="15"/>
    <x v="2"/>
    <x v="0"/>
    <x v="0"/>
    <x v="18"/>
    <x v="10"/>
    <x v="18"/>
    <x v="0"/>
  </r>
  <r>
    <n v="401"/>
    <x v="10"/>
    <x v="10"/>
    <x v="1"/>
    <x v="0"/>
    <x v="0"/>
    <x v="2"/>
    <x v="0"/>
    <s v="212.3"/>
    <x v="0"/>
    <x v="0"/>
    <x v="16"/>
    <x v="5"/>
    <x v="0"/>
    <x v="0"/>
    <x v="14"/>
    <x v="9"/>
    <x v="14"/>
    <x v="0"/>
  </r>
  <r>
    <n v="402"/>
    <x v="5"/>
    <x v="5"/>
    <x v="1"/>
    <x v="1"/>
    <x v="0"/>
    <x v="2"/>
    <x v="1"/>
    <s v="222.3"/>
    <x v="0"/>
    <x v="0"/>
    <x v="17"/>
    <x v="9"/>
    <x v="0"/>
    <x v="0"/>
    <x v="19"/>
    <x v="11"/>
    <x v="4"/>
    <x v="0"/>
  </r>
  <r>
    <n v="403"/>
    <x v="11"/>
    <x v="11"/>
    <x v="0"/>
    <x v="2"/>
    <x v="1"/>
    <x v="2"/>
    <x v="2"/>
    <s v="131.3"/>
    <x v="0"/>
    <x v="0"/>
    <x v="18"/>
    <x v="14"/>
    <x v="0"/>
    <x v="0"/>
    <x v="18"/>
    <x v="12"/>
    <x v="18"/>
    <x v="0"/>
  </r>
  <r>
    <n v="404"/>
    <x v="6"/>
    <x v="6"/>
    <x v="0"/>
    <x v="1"/>
    <x v="0"/>
    <x v="2"/>
    <x v="3"/>
    <s v="122.3"/>
    <x v="0"/>
    <x v="0"/>
    <x v="7"/>
    <x v="7"/>
    <x v="0"/>
    <x v="0"/>
    <x v="13"/>
    <x v="10"/>
    <x v="13"/>
    <x v="0"/>
  </r>
  <r>
    <n v="405"/>
    <x v="11"/>
    <x v="11"/>
    <x v="0"/>
    <x v="2"/>
    <x v="1"/>
    <x v="3"/>
    <x v="4"/>
    <s v="131.4"/>
    <x v="0"/>
    <x v="0"/>
    <x v="19"/>
    <x v="8"/>
    <x v="0"/>
    <x v="0"/>
    <x v="20"/>
    <x v="13"/>
    <x v="19"/>
    <x v="0"/>
  </r>
  <r>
    <n v="406"/>
    <x v="6"/>
    <x v="6"/>
    <x v="0"/>
    <x v="1"/>
    <x v="0"/>
    <x v="3"/>
    <x v="5"/>
    <s v="122.4"/>
    <x v="0"/>
    <x v="0"/>
    <x v="13"/>
    <x v="9"/>
    <x v="0"/>
    <x v="0"/>
    <x v="21"/>
    <x v="2"/>
    <x v="20"/>
    <x v="0"/>
  </r>
  <r>
    <n v="407"/>
    <x v="10"/>
    <x v="10"/>
    <x v="1"/>
    <x v="0"/>
    <x v="0"/>
    <x v="3"/>
    <x v="6"/>
    <s v="212.4"/>
    <x v="0"/>
    <x v="0"/>
    <x v="9"/>
    <x v="0"/>
    <x v="0"/>
    <x v="0"/>
    <x v="22"/>
    <x v="5"/>
    <x v="6"/>
    <x v="0"/>
  </r>
  <r>
    <n v="408"/>
    <x v="3"/>
    <x v="3"/>
    <x v="1"/>
    <x v="1"/>
    <x v="1"/>
    <x v="3"/>
    <x v="7"/>
    <s v="221.4"/>
    <x v="0"/>
    <x v="0"/>
    <x v="0"/>
    <x v="11"/>
    <x v="0"/>
    <x v="0"/>
    <x v="15"/>
    <x v="8"/>
    <x v="15"/>
    <x v="0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01"/>
    <x v="0"/>
    <x v="0"/>
    <x v="0"/>
    <x v="0"/>
    <x v="0"/>
    <x v="0"/>
    <x v="0"/>
    <s v="112.1"/>
    <x v="0"/>
    <x v="0"/>
    <x v="0"/>
    <x v="0"/>
    <x v="0"/>
    <x v="0"/>
    <x v="0"/>
    <x v="0"/>
    <x v="0"/>
    <x v="0"/>
  </r>
  <r>
    <n v="102"/>
    <x v="1"/>
    <x v="1"/>
    <x v="0"/>
    <x v="1"/>
    <x v="1"/>
    <x v="0"/>
    <x v="1"/>
    <s v="121.1"/>
    <x v="0"/>
    <x v="0"/>
    <x v="0"/>
    <x v="0"/>
    <x v="0"/>
    <x v="0"/>
    <x v="0"/>
    <x v="0"/>
    <x v="0"/>
    <x v="0"/>
  </r>
  <r>
    <n v="103"/>
    <x v="2"/>
    <x v="2"/>
    <x v="0"/>
    <x v="2"/>
    <x v="0"/>
    <x v="0"/>
    <x v="2"/>
    <s v="132.1"/>
    <x v="0"/>
    <x v="0"/>
    <x v="0"/>
    <x v="0"/>
    <x v="0"/>
    <x v="0"/>
    <x v="0"/>
    <x v="0"/>
    <x v="0"/>
    <x v="0"/>
  </r>
  <r>
    <n v="104"/>
    <x v="3"/>
    <x v="3"/>
    <x v="1"/>
    <x v="1"/>
    <x v="1"/>
    <x v="0"/>
    <x v="3"/>
    <s v="221.1"/>
    <x v="0"/>
    <x v="0"/>
    <x v="0"/>
    <x v="0"/>
    <x v="0"/>
    <x v="0"/>
    <x v="0"/>
    <x v="0"/>
    <x v="0"/>
    <x v="0"/>
  </r>
  <r>
    <n v="105"/>
    <x v="4"/>
    <x v="4"/>
    <x v="1"/>
    <x v="2"/>
    <x v="1"/>
    <x v="1"/>
    <x v="4"/>
    <s v="231.2"/>
    <x v="0"/>
    <x v="0"/>
    <x v="0"/>
    <x v="0"/>
    <x v="0"/>
    <x v="0"/>
    <x v="0"/>
    <x v="0"/>
    <x v="0"/>
    <x v="0"/>
  </r>
  <r>
    <n v="106"/>
    <x v="5"/>
    <x v="5"/>
    <x v="1"/>
    <x v="1"/>
    <x v="0"/>
    <x v="1"/>
    <x v="5"/>
    <s v="222.2"/>
    <x v="0"/>
    <x v="0"/>
    <x v="0"/>
    <x v="0"/>
    <x v="0"/>
    <x v="0"/>
    <x v="0"/>
    <x v="0"/>
    <x v="0"/>
    <x v="0"/>
  </r>
  <r>
    <n v="107"/>
    <x v="3"/>
    <x v="3"/>
    <x v="1"/>
    <x v="1"/>
    <x v="1"/>
    <x v="1"/>
    <x v="6"/>
    <s v="221.2"/>
    <x v="0"/>
    <x v="0"/>
    <x v="0"/>
    <x v="0"/>
    <x v="0"/>
    <x v="0"/>
    <x v="0"/>
    <x v="0"/>
    <x v="0"/>
    <x v="0"/>
  </r>
  <r>
    <n v="108"/>
    <x v="6"/>
    <x v="6"/>
    <x v="0"/>
    <x v="1"/>
    <x v="0"/>
    <x v="1"/>
    <x v="7"/>
    <s v="122.2"/>
    <x v="0"/>
    <x v="0"/>
    <x v="0"/>
    <x v="0"/>
    <x v="0"/>
    <x v="0"/>
    <x v="0"/>
    <x v="0"/>
    <x v="0"/>
    <x v="0"/>
  </r>
  <r>
    <n v="201"/>
    <x v="4"/>
    <x v="4"/>
    <x v="1"/>
    <x v="2"/>
    <x v="1"/>
    <x v="0"/>
    <x v="0"/>
    <s v="231.1"/>
    <x v="0"/>
    <x v="0"/>
    <x v="0"/>
    <x v="0"/>
    <x v="0"/>
    <x v="0"/>
    <x v="0"/>
    <x v="0"/>
    <x v="0"/>
    <x v="0"/>
  </r>
  <r>
    <n v="202"/>
    <x v="5"/>
    <x v="5"/>
    <x v="1"/>
    <x v="1"/>
    <x v="0"/>
    <x v="0"/>
    <x v="1"/>
    <s v="222.1"/>
    <x v="0"/>
    <x v="0"/>
    <x v="0"/>
    <x v="0"/>
    <x v="0"/>
    <x v="0"/>
    <x v="0"/>
    <x v="0"/>
    <x v="0"/>
    <x v="0"/>
  </r>
  <r>
    <n v="203"/>
    <x v="6"/>
    <x v="6"/>
    <x v="0"/>
    <x v="1"/>
    <x v="0"/>
    <x v="0"/>
    <x v="2"/>
    <s v="122.1"/>
    <x v="0"/>
    <x v="0"/>
    <x v="0"/>
    <x v="0"/>
    <x v="0"/>
    <x v="0"/>
    <x v="0"/>
    <x v="0"/>
    <x v="0"/>
    <x v="0"/>
  </r>
  <r>
    <n v="204"/>
    <x v="7"/>
    <x v="7"/>
    <x v="1"/>
    <x v="2"/>
    <x v="0"/>
    <x v="0"/>
    <x v="3"/>
    <s v="232.1"/>
    <x v="0"/>
    <x v="0"/>
    <x v="0"/>
    <x v="0"/>
    <x v="0"/>
    <x v="0"/>
    <x v="0"/>
    <x v="0"/>
    <x v="0"/>
    <x v="0"/>
  </r>
  <r>
    <n v="205"/>
    <x v="0"/>
    <x v="0"/>
    <x v="0"/>
    <x v="0"/>
    <x v="0"/>
    <x v="1"/>
    <x v="4"/>
    <s v="112.2"/>
    <x v="0"/>
    <x v="0"/>
    <x v="0"/>
    <x v="0"/>
    <x v="0"/>
    <x v="0"/>
    <x v="0"/>
    <x v="0"/>
    <x v="0"/>
    <x v="0"/>
  </r>
  <r>
    <n v="206"/>
    <x v="8"/>
    <x v="8"/>
    <x v="1"/>
    <x v="0"/>
    <x v="1"/>
    <x v="1"/>
    <x v="5"/>
    <s v="211.2"/>
    <x v="0"/>
    <x v="0"/>
    <x v="0"/>
    <x v="0"/>
    <x v="0"/>
    <x v="0"/>
    <x v="0"/>
    <x v="0"/>
    <x v="0"/>
    <x v="0"/>
  </r>
  <r>
    <n v="207"/>
    <x v="1"/>
    <x v="1"/>
    <x v="0"/>
    <x v="1"/>
    <x v="1"/>
    <x v="1"/>
    <x v="6"/>
    <s v="121.2"/>
    <x v="0"/>
    <x v="0"/>
    <x v="0"/>
    <x v="0"/>
    <x v="0"/>
    <x v="0"/>
    <x v="0"/>
    <x v="0"/>
    <x v="0"/>
    <x v="0"/>
  </r>
  <r>
    <n v="208"/>
    <x v="9"/>
    <x v="9"/>
    <x v="0"/>
    <x v="0"/>
    <x v="1"/>
    <x v="1"/>
    <x v="7"/>
    <s v="111.2"/>
    <x v="0"/>
    <x v="0"/>
    <x v="0"/>
    <x v="0"/>
    <x v="0"/>
    <x v="0"/>
    <x v="0"/>
    <x v="0"/>
    <x v="0"/>
    <x v="0"/>
  </r>
  <r>
    <n v="301"/>
    <x v="3"/>
    <x v="3"/>
    <x v="1"/>
    <x v="1"/>
    <x v="1"/>
    <x v="2"/>
    <x v="0"/>
    <s v="221.3"/>
    <x v="0"/>
    <x v="0"/>
    <x v="0"/>
    <x v="0"/>
    <x v="0"/>
    <x v="0"/>
    <x v="0"/>
    <x v="0"/>
    <x v="0"/>
    <x v="0"/>
  </r>
  <r>
    <n v="302"/>
    <x v="1"/>
    <x v="1"/>
    <x v="0"/>
    <x v="1"/>
    <x v="1"/>
    <x v="2"/>
    <x v="1"/>
    <s v="121.3"/>
    <x v="0"/>
    <x v="0"/>
    <x v="0"/>
    <x v="0"/>
    <x v="0"/>
    <x v="0"/>
    <x v="0"/>
    <x v="0"/>
    <x v="0"/>
    <x v="0"/>
  </r>
  <r>
    <n v="303"/>
    <x v="8"/>
    <x v="8"/>
    <x v="1"/>
    <x v="0"/>
    <x v="1"/>
    <x v="2"/>
    <x v="2"/>
    <s v="211.3"/>
    <x v="0"/>
    <x v="0"/>
    <x v="0"/>
    <x v="0"/>
    <x v="0"/>
    <x v="0"/>
    <x v="0"/>
    <x v="0"/>
    <x v="0"/>
    <x v="0"/>
  </r>
  <r>
    <n v="304"/>
    <x v="9"/>
    <x v="9"/>
    <x v="0"/>
    <x v="0"/>
    <x v="1"/>
    <x v="2"/>
    <x v="3"/>
    <s v="111.3"/>
    <x v="0"/>
    <x v="0"/>
    <x v="0"/>
    <x v="0"/>
    <x v="0"/>
    <x v="0"/>
    <x v="0"/>
    <x v="0"/>
    <x v="0"/>
    <x v="0"/>
  </r>
  <r>
    <n v="305"/>
    <x v="7"/>
    <x v="7"/>
    <x v="1"/>
    <x v="2"/>
    <x v="0"/>
    <x v="3"/>
    <x v="4"/>
    <s v="232.4"/>
    <x v="0"/>
    <x v="0"/>
    <x v="0"/>
    <x v="0"/>
    <x v="0"/>
    <x v="0"/>
    <x v="0"/>
    <x v="0"/>
    <x v="0"/>
    <x v="0"/>
  </r>
  <r>
    <n v="306"/>
    <x v="1"/>
    <x v="1"/>
    <x v="0"/>
    <x v="1"/>
    <x v="1"/>
    <x v="3"/>
    <x v="5"/>
    <s v="121.4"/>
    <x v="0"/>
    <x v="0"/>
    <x v="0"/>
    <x v="0"/>
    <x v="0"/>
    <x v="0"/>
    <x v="0"/>
    <x v="0"/>
    <x v="0"/>
    <x v="0"/>
  </r>
  <r>
    <n v="307"/>
    <x v="5"/>
    <x v="5"/>
    <x v="1"/>
    <x v="1"/>
    <x v="0"/>
    <x v="3"/>
    <x v="6"/>
    <s v="222.4"/>
    <x v="0"/>
    <x v="0"/>
    <x v="0"/>
    <x v="0"/>
    <x v="0"/>
    <x v="0"/>
    <x v="0"/>
    <x v="0"/>
    <x v="0"/>
    <x v="0"/>
  </r>
  <r>
    <n v="308"/>
    <x v="2"/>
    <x v="2"/>
    <x v="0"/>
    <x v="2"/>
    <x v="0"/>
    <x v="3"/>
    <x v="7"/>
    <s v="132.4"/>
    <x v="0"/>
    <x v="0"/>
    <x v="0"/>
    <x v="0"/>
    <x v="0"/>
    <x v="0"/>
    <x v="0"/>
    <x v="0"/>
    <x v="0"/>
    <x v="0"/>
  </r>
  <r>
    <n v="401"/>
    <x v="10"/>
    <x v="10"/>
    <x v="1"/>
    <x v="0"/>
    <x v="0"/>
    <x v="2"/>
    <x v="0"/>
    <s v="212.3"/>
    <x v="0"/>
    <x v="0"/>
    <x v="0"/>
    <x v="0"/>
    <x v="0"/>
    <x v="0"/>
    <x v="0"/>
    <x v="0"/>
    <x v="0"/>
    <x v="0"/>
  </r>
  <r>
    <n v="402"/>
    <x v="5"/>
    <x v="5"/>
    <x v="1"/>
    <x v="1"/>
    <x v="0"/>
    <x v="2"/>
    <x v="1"/>
    <s v="222.3"/>
    <x v="0"/>
    <x v="0"/>
    <x v="0"/>
    <x v="0"/>
    <x v="0"/>
    <x v="0"/>
    <x v="0"/>
    <x v="0"/>
    <x v="0"/>
    <x v="0"/>
  </r>
  <r>
    <n v="403"/>
    <x v="11"/>
    <x v="11"/>
    <x v="0"/>
    <x v="2"/>
    <x v="1"/>
    <x v="2"/>
    <x v="2"/>
    <s v="131.3"/>
    <x v="0"/>
    <x v="0"/>
    <x v="0"/>
    <x v="0"/>
    <x v="0"/>
    <x v="0"/>
    <x v="0"/>
    <x v="0"/>
    <x v="0"/>
    <x v="0"/>
  </r>
  <r>
    <n v="404"/>
    <x v="6"/>
    <x v="6"/>
    <x v="0"/>
    <x v="1"/>
    <x v="0"/>
    <x v="2"/>
    <x v="3"/>
    <s v="122.3"/>
    <x v="0"/>
    <x v="0"/>
    <x v="0"/>
    <x v="0"/>
    <x v="0"/>
    <x v="0"/>
    <x v="0"/>
    <x v="0"/>
    <x v="0"/>
    <x v="0"/>
  </r>
  <r>
    <n v="405"/>
    <x v="11"/>
    <x v="11"/>
    <x v="0"/>
    <x v="2"/>
    <x v="1"/>
    <x v="3"/>
    <x v="4"/>
    <s v="131.4"/>
    <x v="0"/>
    <x v="0"/>
    <x v="0"/>
    <x v="0"/>
    <x v="0"/>
    <x v="0"/>
    <x v="0"/>
    <x v="0"/>
    <x v="0"/>
    <x v="0"/>
  </r>
  <r>
    <n v="406"/>
    <x v="6"/>
    <x v="6"/>
    <x v="0"/>
    <x v="1"/>
    <x v="0"/>
    <x v="3"/>
    <x v="5"/>
    <s v="122.4"/>
    <x v="0"/>
    <x v="0"/>
    <x v="0"/>
    <x v="0"/>
    <x v="0"/>
    <x v="0"/>
    <x v="0"/>
    <x v="0"/>
    <x v="0"/>
    <x v="0"/>
  </r>
  <r>
    <n v="407"/>
    <x v="10"/>
    <x v="10"/>
    <x v="1"/>
    <x v="0"/>
    <x v="0"/>
    <x v="3"/>
    <x v="6"/>
    <s v="212.4"/>
    <x v="0"/>
    <x v="0"/>
    <x v="0"/>
    <x v="0"/>
    <x v="0"/>
    <x v="0"/>
    <x v="0"/>
    <x v="0"/>
    <x v="0"/>
    <x v="0"/>
  </r>
  <r>
    <n v="408"/>
    <x v="3"/>
    <x v="3"/>
    <x v="1"/>
    <x v="1"/>
    <x v="1"/>
    <x v="3"/>
    <x v="7"/>
    <s v="221.4"/>
    <x v="0"/>
    <x v="0"/>
    <x v="0"/>
    <x v="0"/>
    <x v="0"/>
    <x v="0"/>
    <x v="0"/>
    <x v="0"/>
    <x v="0"/>
    <x v="0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01"/>
    <x v="0"/>
    <x v="0"/>
    <x v="0"/>
    <x v="0"/>
    <x v="0"/>
    <x v="0"/>
    <x v="0"/>
    <s v="112.1"/>
    <x v="0"/>
    <x v="0"/>
    <x v="0"/>
    <x v="0"/>
    <x v="0"/>
    <x v="0"/>
    <x v="0"/>
    <x v="0"/>
    <x v="0"/>
    <x v="0"/>
  </r>
  <r>
    <n v="102"/>
    <x v="1"/>
    <x v="1"/>
    <x v="0"/>
    <x v="1"/>
    <x v="1"/>
    <x v="0"/>
    <x v="1"/>
    <s v="121.1"/>
    <x v="0"/>
    <x v="0"/>
    <x v="0"/>
    <x v="0"/>
    <x v="0"/>
    <x v="0"/>
    <x v="0"/>
    <x v="0"/>
    <x v="0"/>
    <x v="0"/>
  </r>
  <r>
    <n v="103"/>
    <x v="2"/>
    <x v="2"/>
    <x v="0"/>
    <x v="2"/>
    <x v="0"/>
    <x v="0"/>
    <x v="2"/>
    <s v="132.1"/>
    <x v="0"/>
    <x v="0"/>
    <x v="0"/>
    <x v="0"/>
    <x v="0"/>
    <x v="0"/>
    <x v="0"/>
    <x v="0"/>
    <x v="0"/>
    <x v="0"/>
  </r>
  <r>
    <n v="104"/>
    <x v="3"/>
    <x v="3"/>
    <x v="1"/>
    <x v="1"/>
    <x v="1"/>
    <x v="0"/>
    <x v="3"/>
    <s v="221.1"/>
    <x v="0"/>
    <x v="0"/>
    <x v="0"/>
    <x v="0"/>
    <x v="0"/>
    <x v="0"/>
    <x v="0"/>
    <x v="0"/>
    <x v="0"/>
    <x v="0"/>
  </r>
  <r>
    <n v="105"/>
    <x v="4"/>
    <x v="4"/>
    <x v="1"/>
    <x v="2"/>
    <x v="1"/>
    <x v="1"/>
    <x v="4"/>
    <s v="231.2"/>
    <x v="0"/>
    <x v="0"/>
    <x v="0"/>
    <x v="0"/>
    <x v="0"/>
    <x v="0"/>
    <x v="0"/>
    <x v="0"/>
    <x v="0"/>
    <x v="0"/>
  </r>
  <r>
    <n v="106"/>
    <x v="5"/>
    <x v="5"/>
    <x v="1"/>
    <x v="1"/>
    <x v="0"/>
    <x v="1"/>
    <x v="5"/>
    <s v="222.2"/>
    <x v="0"/>
    <x v="0"/>
    <x v="0"/>
    <x v="0"/>
    <x v="0"/>
    <x v="0"/>
    <x v="0"/>
    <x v="0"/>
    <x v="0"/>
    <x v="0"/>
  </r>
  <r>
    <n v="107"/>
    <x v="3"/>
    <x v="3"/>
    <x v="1"/>
    <x v="1"/>
    <x v="1"/>
    <x v="1"/>
    <x v="6"/>
    <s v="221.2"/>
    <x v="0"/>
    <x v="0"/>
    <x v="0"/>
    <x v="0"/>
    <x v="0"/>
    <x v="0"/>
    <x v="0"/>
    <x v="0"/>
    <x v="0"/>
    <x v="0"/>
  </r>
  <r>
    <n v="108"/>
    <x v="6"/>
    <x v="6"/>
    <x v="0"/>
    <x v="1"/>
    <x v="0"/>
    <x v="1"/>
    <x v="7"/>
    <s v="122.2"/>
    <x v="0"/>
    <x v="0"/>
    <x v="0"/>
    <x v="0"/>
    <x v="0"/>
    <x v="0"/>
    <x v="0"/>
    <x v="0"/>
    <x v="0"/>
    <x v="0"/>
  </r>
  <r>
    <n v="201"/>
    <x v="4"/>
    <x v="4"/>
    <x v="1"/>
    <x v="2"/>
    <x v="1"/>
    <x v="0"/>
    <x v="0"/>
    <s v="231.1"/>
    <x v="0"/>
    <x v="0"/>
    <x v="0"/>
    <x v="0"/>
    <x v="0"/>
    <x v="0"/>
    <x v="0"/>
    <x v="0"/>
    <x v="0"/>
    <x v="0"/>
  </r>
  <r>
    <n v="202"/>
    <x v="5"/>
    <x v="5"/>
    <x v="1"/>
    <x v="1"/>
    <x v="0"/>
    <x v="0"/>
    <x v="1"/>
    <s v="222.1"/>
    <x v="0"/>
    <x v="0"/>
    <x v="0"/>
    <x v="0"/>
    <x v="0"/>
    <x v="0"/>
    <x v="0"/>
    <x v="0"/>
    <x v="0"/>
    <x v="0"/>
  </r>
  <r>
    <n v="203"/>
    <x v="6"/>
    <x v="6"/>
    <x v="0"/>
    <x v="1"/>
    <x v="0"/>
    <x v="0"/>
    <x v="2"/>
    <s v="122.1"/>
    <x v="0"/>
    <x v="0"/>
    <x v="0"/>
    <x v="0"/>
    <x v="0"/>
    <x v="0"/>
    <x v="0"/>
    <x v="0"/>
    <x v="0"/>
    <x v="0"/>
  </r>
  <r>
    <n v="204"/>
    <x v="7"/>
    <x v="7"/>
    <x v="1"/>
    <x v="2"/>
    <x v="0"/>
    <x v="0"/>
    <x v="3"/>
    <s v="232.1"/>
    <x v="0"/>
    <x v="0"/>
    <x v="0"/>
    <x v="0"/>
    <x v="0"/>
    <x v="0"/>
    <x v="0"/>
    <x v="0"/>
    <x v="0"/>
    <x v="0"/>
  </r>
  <r>
    <n v="205"/>
    <x v="0"/>
    <x v="0"/>
    <x v="0"/>
    <x v="0"/>
    <x v="0"/>
    <x v="1"/>
    <x v="4"/>
    <s v="112.2"/>
    <x v="0"/>
    <x v="0"/>
    <x v="0"/>
    <x v="0"/>
    <x v="0"/>
    <x v="0"/>
    <x v="0"/>
    <x v="0"/>
    <x v="0"/>
    <x v="0"/>
  </r>
  <r>
    <n v="206"/>
    <x v="8"/>
    <x v="8"/>
    <x v="1"/>
    <x v="0"/>
    <x v="1"/>
    <x v="1"/>
    <x v="5"/>
    <s v="211.2"/>
    <x v="0"/>
    <x v="0"/>
    <x v="0"/>
    <x v="0"/>
    <x v="0"/>
    <x v="0"/>
    <x v="0"/>
    <x v="0"/>
    <x v="0"/>
    <x v="0"/>
  </r>
  <r>
    <n v="207"/>
    <x v="1"/>
    <x v="1"/>
    <x v="0"/>
    <x v="1"/>
    <x v="1"/>
    <x v="1"/>
    <x v="6"/>
    <s v="121.2"/>
    <x v="0"/>
    <x v="0"/>
    <x v="0"/>
    <x v="0"/>
    <x v="0"/>
    <x v="0"/>
    <x v="0"/>
    <x v="0"/>
    <x v="0"/>
    <x v="0"/>
  </r>
  <r>
    <n v="208"/>
    <x v="9"/>
    <x v="9"/>
    <x v="0"/>
    <x v="0"/>
    <x v="1"/>
    <x v="1"/>
    <x v="7"/>
    <s v="111.2"/>
    <x v="0"/>
    <x v="0"/>
    <x v="0"/>
    <x v="0"/>
    <x v="0"/>
    <x v="0"/>
    <x v="0"/>
    <x v="0"/>
    <x v="0"/>
    <x v="0"/>
  </r>
  <r>
    <n v="301"/>
    <x v="3"/>
    <x v="3"/>
    <x v="1"/>
    <x v="1"/>
    <x v="1"/>
    <x v="2"/>
    <x v="0"/>
    <s v="221.3"/>
    <x v="0"/>
    <x v="0"/>
    <x v="0"/>
    <x v="0"/>
    <x v="0"/>
    <x v="0"/>
    <x v="0"/>
    <x v="0"/>
    <x v="0"/>
    <x v="0"/>
  </r>
  <r>
    <n v="302"/>
    <x v="1"/>
    <x v="1"/>
    <x v="0"/>
    <x v="1"/>
    <x v="1"/>
    <x v="2"/>
    <x v="1"/>
    <s v="121.3"/>
    <x v="0"/>
    <x v="0"/>
    <x v="0"/>
    <x v="0"/>
    <x v="0"/>
    <x v="0"/>
    <x v="0"/>
    <x v="0"/>
    <x v="0"/>
    <x v="0"/>
  </r>
  <r>
    <n v="303"/>
    <x v="8"/>
    <x v="8"/>
    <x v="1"/>
    <x v="0"/>
    <x v="1"/>
    <x v="2"/>
    <x v="2"/>
    <s v="211.3"/>
    <x v="0"/>
    <x v="0"/>
    <x v="0"/>
    <x v="0"/>
    <x v="0"/>
    <x v="0"/>
    <x v="0"/>
    <x v="0"/>
    <x v="0"/>
    <x v="0"/>
  </r>
  <r>
    <n v="304"/>
    <x v="9"/>
    <x v="9"/>
    <x v="0"/>
    <x v="0"/>
    <x v="1"/>
    <x v="2"/>
    <x v="3"/>
    <s v="111.3"/>
    <x v="0"/>
    <x v="0"/>
    <x v="0"/>
    <x v="0"/>
    <x v="0"/>
    <x v="0"/>
    <x v="0"/>
    <x v="0"/>
    <x v="0"/>
    <x v="0"/>
  </r>
  <r>
    <n v="305"/>
    <x v="7"/>
    <x v="7"/>
    <x v="1"/>
    <x v="2"/>
    <x v="0"/>
    <x v="3"/>
    <x v="4"/>
    <s v="232.4"/>
    <x v="0"/>
    <x v="0"/>
    <x v="0"/>
    <x v="0"/>
    <x v="0"/>
    <x v="0"/>
    <x v="0"/>
    <x v="0"/>
    <x v="0"/>
    <x v="0"/>
  </r>
  <r>
    <n v="306"/>
    <x v="1"/>
    <x v="1"/>
    <x v="0"/>
    <x v="1"/>
    <x v="1"/>
    <x v="3"/>
    <x v="5"/>
    <s v="121.4"/>
    <x v="0"/>
    <x v="0"/>
    <x v="0"/>
    <x v="0"/>
    <x v="0"/>
    <x v="0"/>
    <x v="0"/>
    <x v="0"/>
    <x v="0"/>
    <x v="0"/>
  </r>
  <r>
    <n v="307"/>
    <x v="5"/>
    <x v="5"/>
    <x v="1"/>
    <x v="1"/>
    <x v="0"/>
    <x v="3"/>
    <x v="6"/>
    <s v="222.4"/>
    <x v="0"/>
    <x v="0"/>
    <x v="0"/>
    <x v="0"/>
    <x v="0"/>
    <x v="0"/>
    <x v="0"/>
    <x v="0"/>
    <x v="0"/>
    <x v="0"/>
  </r>
  <r>
    <n v="308"/>
    <x v="2"/>
    <x v="2"/>
    <x v="0"/>
    <x v="2"/>
    <x v="0"/>
    <x v="3"/>
    <x v="7"/>
    <s v="132.4"/>
    <x v="0"/>
    <x v="0"/>
    <x v="0"/>
    <x v="0"/>
    <x v="0"/>
    <x v="0"/>
    <x v="0"/>
    <x v="0"/>
    <x v="0"/>
    <x v="0"/>
  </r>
  <r>
    <n v="401"/>
    <x v="10"/>
    <x v="10"/>
    <x v="1"/>
    <x v="0"/>
    <x v="0"/>
    <x v="2"/>
    <x v="0"/>
    <s v="212.3"/>
    <x v="0"/>
    <x v="0"/>
    <x v="0"/>
    <x v="0"/>
    <x v="0"/>
    <x v="0"/>
    <x v="0"/>
    <x v="0"/>
    <x v="0"/>
    <x v="0"/>
  </r>
  <r>
    <n v="402"/>
    <x v="5"/>
    <x v="5"/>
    <x v="1"/>
    <x v="1"/>
    <x v="0"/>
    <x v="2"/>
    <x v="1"/>
    <s v="222.3"/>
    <x v="0"/>
    <x v="0"/>
    <x v="0"/>
    <x v="0"/>
    <x v="0"/>
    <x v="0"/>
    <x v="0"/>
    <x v="0"/>
    <x v="0"/>
    <x v="0"/>
  </r>
  <r>
    <n v="403"/>
    <x v="11"/>
    <x v="11"/>
    <x v="0"/>
    <x v="2"/>
    <x v="1"/>
    <x v="2"/>
    <x v="2"/>
    <s v="131.3"/>
    <x v="0"/>
    <x v="0"/>
    <x v="0"/>
    <x v="0"/>
    <x v="0"/>
    <x v="0"/>
    <x v="0"/>
    <x v="0"/>
    <x v="0"/>
    <x v="0"/>
  </r>
  <r>
    <n v="404"/>
    <x v="6"/>
    <x v="6"/>
    <x v="0"/>
    <x v="1"/>
    <x v="0"/>
    <x v="2"/>
    <x v="3"/>
    <s v="122.3"/>
    <x v="0"/>
    <x v="0"/>
    <x v="0"/>
    <x v="0"/>
    <x v="0"/>
    <x v="0"/>
    <x v="0"/>
    <x v="0"/>
    <x v="0"/>
    <x v="0"/>
  </r>
  <r>
    <n v="405"/>
    <x v="11"/>
    <x v="11"/>
    <x v="0"/>
    <x v="2"/>
    <x v="1"/>
    <x v="3"/>
    <x v="4"/>
    <s v="131.4"/>
    <x v="0"/>
    <x v="0"/>
    <x v="0"/>
    <x v="0"/>
    <x v="0"/>
    <x v="0"/>
    <x v="0"/>
    <x v="0"/>
    <x v="0"/>
    <x v="0"/>
  </r>
  <r>
    <n v="406"/>
    <x v="6"/>
    <x v="6"/>
    <x v="0"/>
    <x v="1"/>
    <x v="0"/>
    <x v="3"/>
    <x v="5"/>
    <s v="122.4"/>
    <x v="0"/>
    <x v="0"/>
    <x v="0"/>
    <x v="0"/>
    <x v="0"/>
    <x v="0"/>
    <x v="0"/>
    <x v="0"/>
    <x v="0"/>
    <x v="0"/>
  </r>
  <r>
    <n v="407"/>
    <x v="10"/>
    <x v="10"/>
    <x v="1"/>
    <x v="0"/>
    <x v="0"/>
    <x v="3"/>
    <x v="6"/>
    <s v="212.4"/>
    <x v="0"/>
    <x v="0"/>
    <x v="0"/>
    <x v="0"/>
    <x v="0"/>
    <x v="0"/>
    <x v="0"/>
    <x v="0"/>
    <x v="0"/>
    <x v="0"/>
  </r>
  <r>
    <n v="408"/>
    <x v="3"/>
    <x v="3"/>
    <x v="1"/>
    <x v="1"/>
    <x v="1"/>
    <x v="3"/>
    <x v="7"/>
    <s v="221.4"/>
    <x v="0"/>
    <x v="0"/>
    <x v="0"/>
    <x v="0"/>
    <x v="0"/>
    <x v="0"/>
    <x v="0"/>
    <x v="0"/>
    <x v="0"/>
    <x v="0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01"/>
    <x v="0"/>
    <x v="0"/>
    <x v="0"/>
    <x v="0"/>
    <x v="0"/>
    <x v="0"/>
    <x v="0"/>
    <s v="112.1"/>
    <x v="0"/>
    <x v="0"/>
    <x v="0"/>
    <x v="0"/>
    <x v="0"/>
    <x v="0"/>
    <x v="0"/>
    <x v="0"/>
    <x v="0"/>
    <x v="0"/>
  </r>
  <r>
    <n v="102"/>
    <x v="1"/>
    <x v="1"/>
    <x v="0"/>
    <x v="1"/>
    <x v="1"/>
    <x v="0"/>
    <x v="1"/>
    <s v="121.1"/>
    <x v="0"/>
    <x v="1"/>
    <x v="1"/>
    <x v="1"/>
    <x v="0"/>
    <x v="0"/>
    <x v="1"/>
    <x v="1"/>
    <x v="1"/>
    <x v="0"/>
  </r>
  <r>
    <n v="103"/>
    <x v="2"/>
    <x v="2"/>
    <x v="0"/>
    <x v="2"/>
    <x v="0"/>
    <x v="0"/>
    <x v="2"/>
    <s v="132.1"/>
    <x v="0"/>
    <x v="0"/>
    <x v="2"/>
    <x v="2"/>
    <x v="0"/>
    <x v="0"/>
    <x v="2"/>
    <x v="2"/>
    <x v="2"/>
    <x v="0"/>
  </r>
  <r>
    <n v="104"/>
    <x v="3"/>
    <x v="3"/>
    <x v="1"/>
    <x v="1"/>
    <x v="1"/>
    <x v="0"/>
    <x v="3"/>
    <s v="221.1"/>
    <x v="0"/>
    <x v="0"/>
    <x v="3"/>
    <x v="3"/>
    <x v="0"/>
    <x v="0"/>
    <x v="3"/>
    <x v="3"/>
    <x v="3"/>
    <x v="0"/>
  </r>
  <r>
    <n v="105"/>
    <x v="4"/>
    <x v="4"/>
    <x v="1"/>
    <x v="2"/>
    <x v="1"/>
    <x v="1"/>
    <x v="4"/>
    <s v="231.2"/>
    <x v="0"/>
    <x v="0"/>
    <x v="4"/>
    <x v="4"/>
    <x v="0"/>
    <x v="0"/>
    <x v="4"/>
    <x v="4"/>
    <x v="4"/>
    <x v="0"/>
  </r>
  <r>
    <n v="106"/>
    <x v="5"/>
    <x v="5"/>
    <x v="1"/>
    <x v="1"/>
    <x v="0"/>
    <x v="1"/>
    <x v="5"/>
    <s v="222.2"/>
    <x v="0"/>
    <x v="0"/>
    <x v="5"/>
    <x v="5"/>
    <x v="0"/>
    <x v="0"/>
    <x v="5"/>
    <x v="5"/>
    <x v="5"/>
    <x v="0"/>
  </r>
  <r>
    <n v="107"/>
    <x v="3"/>
    <x v="3"/>
    <x v="1"/>
    <x v="1"/>
    <x v="1"/>
    <x v="1"/>
    <x v="6"/>
    <s v="221.2"/>
    <x v="0"/>
    <x v="0"/>
    <x v="6"/>
    <x v="5"/>
    <x v="0"/>
    <x v="0"/>
    <x v="6"/>
    <x v="4"/>
    <x v="6"/>
    <x v="0"/>
  </r>
  <r>
    <n v="108"/>
    <x v="6"/>
    <x v="6"/>
    <x v="0"/>
    <x v="1"/>
    <x v="0"/>
    <x v="1"/>
    <x v="7"/>
    <s v="122.2"/>
    <x v="0"/>
    <x v="0"/>
    <x v="7"/>
    <x v="6"/>
    <x v="0"/>
    <x v="0"/>
    <x v="7"/>
    <x v="3"/>
    <x v="7"/>
    <x v="0"/>
  </r>
  <r>
    <n v="201"/>
    <x v="4"/>
    <x v="4"/>
    <x v="1"/>
    <x v="2"/>
    <x v="1"/>
    <x v="0"/>
    <x v="0"/>
    <s v="231.1"/>
    <x v="0"/>
    <x v="0"/>
    <x v="8"/>
    <x v="7"/>
    <x v="0"/>
    <x v="0"/>
    <x v="8"/>
    <x v="6"/>
    <x v="8"/>
    <x v="0"/>
  </r>
  <r>
    <n v="202"/>
    <x v="5"/>
    <x v="5"/>
    <x v="1"/>
    <x v="1"/>
    <x v="0"/>
    <x v="0"/>
    <x v="1"/>
    <s v="222.1"/>
    <x v="0"/>
    <x v="2"/>
    <x v="9"/>
    <x v="1"/>
    <x v="0"/>
    <x v="0"/>
    <x v="9"/>
    <x v="7"/>
    <x v="9"/>
    <x v="0"/>
  </r>
  <r>
    <n v="203"/>
    <x v="6"/>
    <x v="6"/>
    <x v="0"/>
    <x v="1"/>
    <x v="0"/>
    <x v="0"/>
    <x v="2"/>
    <s v="122.1"/>
    <x v="0"/>
    <x v="0"/>
    <x v="7"/>
    <x v="5"/>
    <x v="0"/>
    <x v="0"/>
    <x v="10"/>
    <x v="0"/>
    <x v="10"/>
    <x v="0"/>
  </r>
  <r>
    <n v="204"/>
    <x v="7"/>
    <x v="7"/>
    <x v="1"/>
    <x v="2"/>
    <x v="0"/>
    <x v="0"/>
    <x v="3"/>
    <s v="232.1"/>
    <x v="0"/>
    <x v="0"/>
    <x v="10"/>
    <x v="8"/>
    <x v="0"/>
    <x v="0"/>
    <x v="11"/>
    <x v="5"/>
    <x v="11"/>
    <x v="0"/>
  </r>
  <r>
    <n v="205"/>
    <x v="0"/>
    <x v="0"/>
    <x v="0"/>
    <x v="0"/>
    <x v="0"/>
    <x v="1"/>
    <x v="4"/>
    <s v="112.2"/>
    <x v="0"/>
    <x v="0"/>
    <x v="11"/>
    <x v="9"/>
    <x v="0"/>
    <x v="0"/>
    <x v="6"/>
    <x v="5"/>
    <x v="6"/>
    <x v="0"/>
  </r>
  <r>
    <n v="206"/>
    <x v="8"/>
    <x v="8"/>
    <x v="1"/>
    <x v="0"/>
    <x v="1"/>
    <x v="1"/>
    <x v="5"/>
    <s v="211.2"/>
    <x v="0"/>
    <x v="0"/>
    <x v="6"/>
    <x v="10"/>
    <x v="0"/>
    <x v="0"/>
    <x v="12"/>
    <x v="0"/>
    <x v="12"/>
    <x v="0"/>
  </r>
  <r>
    <n v="207"/>
    <x v="1"/>
    <x v="1"/>
    <x v="0"/>
    <x v="1"/>
    <x v="1"/>
    <x v="1"/>
    <x v="6"/>
    <s v="121.2"/>
    <x v="0"/>
    <x v="0"/>
    <x v="12"/>
    <x v="1"/>
    <x v="0"/>
    <x v="0"/>
    <x v="5"/>
    <x v="2"/>
    <x v="5"/>
    <x v="0"/>
  </r>
  <r>
    <n v="208"/>
    <x v="9"/>
    <x v="9"/>
    <x v="0"/>
    <x v="0"/>
    <x v="1"/>
    <x v="1"/>
    <x v="7"/>
    <s v="111.2"/>
    <x v="0"/>
    <x v="0"/>
    <x v="13"/>
    <x v="11"/>
    <x v="0"/>
    <x v="0"/>
    <x v="10"/>
    <x v="8"/>
    <x v="10"/>
    <x v="0"/>
  </r>
  <r>
    <n v="301"/>
    <x v="3"/>
    <x v="3"/>
    <x v="1"/>
    <x v="1"/>
    <x v="1"/>
    <x v="2"/>
    <x v="0"/>
    <s v="221.3"/>
    <x v="0"/>
    <x v="0"/>
    <x v="6"/>
    <x v="12"/>
    <x v="0"/>
    <x v="0"/>
    <x v="13"/>
    <x v="3"/>
    <x v="13"/>
    <x v="0"/>
  </r>
  <r>
    <n v="302"/>
    <x v="1"/>
    <x v="1"/>
    <x v="0"/>
    <x v="1"/>
    <x v="1"/>
    <x v="2"/>
    <x v="1"/>
    <s v="121.3"/>
    <x v="0"/>
    <x v="2"/>
    <x v="14"/>
    <x v="10"/>
    <x v="0"/>
    <x v="0"/>
    <x v="14"/>
    <x v="7"/>
    <x v="14"/>
    <x v="0"/>
  </r>
  <r>
    <n v="303"/>
    <x v="8"/>
    <x v="8"/>
    <x v="1"/>
    <x v="0"/>
    <x v="1"/>
    <x v="2"/>
    <x v="2"/>
    <s v="211.3"/>
    <x v="0"/>
    <x v="0"/>
    <x v="15"/>
    <x v="13"/>
    <x v="0"/>
    <x v="0"/>
    <x v="15"/>
    <x v="3"/>
    <x v="15"/>
    <x v="0"/>
  </r>
  <r>
    <n v="304"/>
    <x v="9"/>
    <x v="9"/>
    <x v="0"/>
    <x v="0"/>
    <x v="1"/>
    <x v="2"/>
    <x v="3"/>
    <s v="111.3"/>
    <x v="0"/>
    <x v="0"/>
    <x v="14"/>
    <x v="10"/>
    <x v="0"/>
    <x v="0"/>
    <x v="16"/>
    <x v="3"/>
    <x v="16"/>
    <x v="0"/>
  </r>
  <r>
    <n v="305"/>
    <x v="7"/>
    <x v="7"/>
    <x v="1"/>
    <x v="2"/>
    <x v="0"/>
    <x v="3"/>
    <x v="4"/>
    <s v="232.4"/>
    <x v="0"/>
    <x v="0"/>
    <x v="16"/>
    <x v="8"/>
    <x v="0"/>
    <x v="0"/>
    <x v="17"/>
    <x v="9"/>
    <x v="17"/>
    <x v="0"/>
  </r>
  <r>
    <n v="306"/>
    <x v="1"/>
    <x v="1"/>
    <x v="0"/>
    <x v="1"/>
    <x v="1"/>
    <x v="3"/>
    <x v="5"/>
    <s v="121.4"/>
    <x v="0"/>
    <x v="0"/>
    <x v="6"/>
    <x v="14"/>
    <x v="0"/>
    <x v="0"/>
    <x v="18"/>
    <x v="2"/>
    <x v="18"/>
    <x v="0"/>
  </r>
  <r>
    <n v="307"/>
    <x v="5"/>
    <x v="5"/>
    <x v="1"/>
    <x v="1"/>
    <x v="0"/>
    <x v="3"/>
    <x v="6"/>
    <s v="222.4"/>
    <x v="0"/>
    <x v="0"/>
    <x v="13"/>
    <x v="9"/>
    <x v="0"/>
    <x v="0"/>
    <x v="19"/>
    <x v="10"/>
    <x v="19"/>
    <x v="0"/>
  </r>
  <r>
    <n v="308"/>
    <x v="2"/>
    <x v="2"/>
    <x v="0"/>
    <x v="2"/>
    <x v="0"/>
    <x v="3"/>
    <x v="7"/>
    <s v="132.4"/>
    <x v="0"/>
    <x v="0"/>
    <x v="10"/>
    <x v="15"/>
    <x v="0"/>
    <x v="0"/>
    <x v="20"/>
    <x v="11"/>
    <x v="20"/>
    <x v="0"/>
  </r>
  <r>
    <n v="401"/>
    <x v="10"/>
    <x v="10"/>
    <x v="1"/>
    <x v="0"/>
    <x v="0"/>
    <x v="2"/>
    <x v="0"/>
    <s v="212.3"/>
    <x v="0"/>
    <x v="0"/>
    <x v="17"/>
    <x v="16"/>
    <x v="0"/>
    <x v="0"/>
    <x v="21"/>
    <x v="12"/>
    <x v="21"/>
    <x v="0"/>
  </r>
  <r>
    <n v="402"/>
    <x v="5"/>
    <x v="5"/>
    <x v="1"/>
    <x v="1"/>
    <x v="0"/>
    <x v="2"/>
    <x v="1"/>
    <s v="222.3"/>
    <x v="0"/>
    <x v="3"/>
    <x v="1"/>
    <x v="6"/>
    <x v="0"/>
    <x v="0"/>
    <x v="22"/>
    <x v="13"/>
    <x v="22"/>
    <x v="0"/>
  </r>
  <r>
    <n v="403"/>
    <x v="11"/>
    <x v="11"/>
    <x v="0"/>
    <x v="2"/>
    <x v="1"/>
    <x v="2"/>
    <x v="2"/>
    <s v="131.3"/>
    <x v="0"/>
    <x v="0"/>
    <x v="18"/>
    <x v="7"/>
    <x v="0"/>
    <x v="0"/>
    <x v="23"/>
    <x v="0"/>
    <x v="0"/>
    <x v="0"/>
  </r>
  <r>
    <n v="404"/>
    <x v="6"/>
    <x v="6"/>
    <x v="0"/>
    <x v="1"/>
    <x v="0"/>
    <x v="2"/>
    <x v="3"/>
    <s v="122.3"/>
    <x v="0"/>
    <x v="0"/>
    <x v="12"/>
    <x v="11"/>
    <x v="0"/>
    <x v="0"/>
    <x v="6"/>
    <x v="3"/>
    <x v="6"/>
    <x v="0"/>
  </r>
  <r>
    <n v="405"/>
    <x v="11"/>
    <x v="11"/>
    <x v="0"/>
    <x v="2"/>
    <x v="1"/>
    <x v="3"/>
    <x v="4"/>
    <s v="131.4"/>
    <x v="0"/>
    <x v="0"/>
    <x v="19"/>
    <x v="17"/>
    <x v="0"/>
    <x v="0"/>
    <x v="24"/>
    <x v="0"/>
    <x v="23"/>
    <x v="0"/>
  </r>
  <r>
    <n v="406"/>
    <x v="6"/>
    <x v="6"/>
    <x v="0"/>
    <x v="1"/>
    <x v="0"/>
    <x v="3"/>
    <x v="5"/>
    <s v="122.4"/>
    <x v="0"/>
    <x v="0"/>
    <x v="20"/>
    <x v="11"/>
    <x v="0"/>
    <x v="0"/>
    <x v="25"/>
    <x v="5"/>
    <x v="20"/>
    <x v="0"/>
  </r>
  <r>
    <n v="407"/>
    <x v="10"/>
    <x v="10"/>
    <x v="1"/>
    <x v="0"/>
    <x v="0"/>
    <x v="3"/>
    <x v="6"/>
    <s v="212.4"/>
    <x v="0"/>
    <x v="0"/>
    <x v="13"/>
    <x v="12"/>
    <x v="0"/>
    <x v="0"/>
    <x v="26"/>
    <x v="0"/>
    <x v="24"/>
    <x v="0"/>
  </r>
  <r>
    <n v="408"/>
    <x v="3"/>
    <x v="3"/>
    <x v="1"/>
    <x v="1"/>
    <x v="1"/>
    <x v="3"/>
    <x v="7"/>
    <s v="221.4"/>
    <x v="0"/>
    <x v="0"/>
    <x v="7"/>
    <x v="18"/>
    <x v="0"/>
    <x v="0"/>
    <x v="3"/>
    <x v="2"/>
    <x v="3"/>
    <x v="0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01"/>
    <x v="0"/>
    <x v="0"/>
    <x v="0"/>
    <x v="0"/>
    <x v="0"/>
    <x v="0"/>
    <x v="0"/>
    <s v="112.1"/>
    <x v="0"/>
    <x v="0"/>
    <x v="0"/>
    <x v="0"/>
    <x v="0"/>
    <x v="0"/>
    <x v="0"/>
    <x v="0"/>
    <x v="0"/>
    <x v="0"/>
  </r>
  <r>
    <n v="102"/>
    <x v="1"/>
    <x v="1"/>
    <x v="0"/>
    <x v="1"/>
    <x v="1"/>
    <x v="0"/>
    <x v="1"/>
    <s v="121.1"/>
    <x v="0"/>
    <x v="1"/>
    <x v="1"/>
    <x v="1"/>
    <x v="0"/>
    <x v="0"/>
    <x v="1"/>
    <x v="1"/>
    <x v="1"/>
    <x v="0"/>
  </r>
  <r>
    <n v="103"/>
    <x v="2"/>
    <x v="2"/>
    <x v="0"/>
    <x v="2"/>
    <x v="0"/>
    <x v="0"/>
    <x v="2"/>
    <s v="132.1"/>
    <x v="0"/>
    <x v="0"/>
    <x v="2"/>
    <x v="2"/>
    <x v="0"/>
    <x v="0"/>
    <x v="2"/>
    <x v="2"/>
    <x v="2"/>
    <x v="0"/>
  </r>
  <r>
    <n v="104"/>
    <x v="3"/>
    <x v="3"/>
    <x v="1"/>
    <x v="1"/>
    <x v="1"/>
    <x v="0"/>
    <x v="3"/>
    <s v="221.1"/>
    <x v="0"/>
    <x v="0"/>
    <x v="3"/>
    <x v="3"/>
    <x v="0"/>
    <x v="0"/>
    <x v="3"/>
    <x v="3"/>
    <x v="3"/>
    <x v="0"/>
  </r>
  <r>
    <n v="105"/>
    <x v="4"/>
    <x v="4"/>
    <x v="1"/>
    <x v="2"/>
    <x v="1"/>
    <x v="1"/>
    <x v="4"/>
    <s v="231.2"/>
    <x v="0"/>
    <x v="0"/>
    <x v="4"/>
    <x v="4"/>
    <x v="0"/>
    <x v="0"/>
    <x v="4"/>
    <x v="4"/>
    <x v="4"/>
    <x v="0"/>
  </r>
  <r>
    <n v="106"/>
    <x v="5"/>
    <x v="5"/>
    <x v="1"/>
    <x v="1"/>
    <x v="0"/>
    <x v="1"/>
    <x v="5"/>
    <s v="222.2"/>
    <x v="0"/>
    <x v="0"/>
    <x v="5"/>
    <x v="5"/>
    <x v="0"/>
    <x v="0"/>
    <x v="5"/>
    <x v="5"/>
    <x v="5"/>
    <x v="0"/>
  </r>
  <r>
    <n v="107"/>
    <x v="3"/>
    <x v="3"/>
    <x v="1"/>
    <x v="1"/>
    <x v="1"/>
    <x v="1"/>
    <x v="6"/>
    <s v="221.2"/>
    <x v="0"/>
    <x v="0"/>
    <x v="6"/>
    <x v="5"/>
    <x v="0"/>
    <x v="0"/>
    <x v="6"/>
    <x v="4"/>
    <x v="6"/>
    <x v="0"/>
  </r>
  <r>
    <n v="108"/>
    <x v="6"/>
    <x v="6"/>
    <x v="0"/>
    <x v="1"/>
    <x v="0"/>
    <x v="1"/>
    <x v="7"/>
    <s v="122.2"/>
    <x v="0"/>
    <x v="0"/>
    <x v="7"/>
    <x v="6"/>
    <x v="0"/>
    <x v="0"/>
    <x v="7"/>
    <x v="3"/>
    <x v="7"/>
    <x v="0"/>
  </r>
  <r>
    <n v="201"/>
    <x v="4"/>
    <x v="4"/>
    <x v="1"/>
    <x v="2"/>
    <x v="1"/>
    <x v="0"/>
    <x v="0"/>
    <s v="231.1"/>
    <x v="0"/>
    <x v="0"/>
    <x v="8"/>
    <x v="7"/>
    <x v="0"/>
    <x v="0"/>
    <x v="8"/>
    <x v="6"/>
    <x v="8"/>
    <x v="0"/>
  </r>
  <r>
    <n v="202"/>
    <x v="5"/>
    <x v="5"/>
    <x v="1"/>
    <x v="1"/>
    <x v="0"/>
    <x v="0"/>
    <x v="1"/>
    <s v="222.1"/>
    <x v="0"/>
    <x v="2"/>
    <x v="9"/>
    <x v="1"/>
    <x v="0"/>
    <x v="0"/>
    <x v="9"/>
    <x v="7"/>
    <x v="9"/>
    <x v="0"/>
  </r>
  <r>
    <n v="203"/>
    <x v="6"/>
    <x v="6"/>
    <x v="0"/>
    <x v="1"/>
    <x v="0"/>
    <x v="0"/>
    <x v="2"/>
    <s v="122.1"/>
    <x v="0"/>
    <x v="0"/>
    <x v="7"/>
    <x v="5"/>
    <x v="0"/>
    <x v="0"/>
    <x v="10"/>
    <x v="0"/>
    <x v="10"/>
    <x v="0"/>
  </r>
  <r>
    <n v="204"/>
    <x v="7"/>
    <x v="7"/>
    <x v="1"/>
    <x v="2"/>
    <x v="0"/>
    <x v="0"/>
    <x v="3"/>
    <s v="232.1"/>
    <x v="0"/>
    <x v="0"/>
    <x v="10"/>
    <x v="8"/>
    <x v="0"/>
    <x v="0"/>
    <x v="11"/>
    <x v="5"/>
    <x v="11"/>
    <x v="0"/>
  </r>
  <r>
    <n v="205"/>
    <x v="0"/>
    <x v="0"/>
    <x v="0"/>
    <x v="0"/>
    <x v="0"/>
    <x v="1"/>
    <x v="4"/>
    <s v="112.2"/>
    <x v="0"/>
    <x v="0"/>
    <x v="11"/>
    <x v="9"/>
    <x v="0"/>
    <x v="0"/>
    <x v="6"/>
    <x v="5"/>
    <x v="6"/>
    <x v="0"/>
  </r>
  <r>
    <n v="206"/>
    <x v="8"/>
    <x v="8"/>
    <x v="1"/>
    <x v="0"/>
    <x v="1"/>
    <x v="1"/>
    <x v="5"/>
    <s v="211.2"/>
    <x v="0"/>
    <x v="0"/>
    <x v="6"/>
    <x v="10"/>
    <x v="0"/>
    <x v="0"/>
    <x v="12"/>
    <x v="0"/>
    <x v="12"/>
    <x v="0"/>
  </r>
  <r>
    <n v="207"/>
    <x v="1"/>
    <x v="1"/>
    <x v="0"/>
    <x v="1"/>
    <x v="1"/>
    <x v="1"/>
    <x v="6"/>
    <s v="121.2"/>
    <x v="0"/>
    <x v="0"/>
    <x v="12"/>
    <x v="1"/>
    <x v="0"/>
    <x v="0"/>
    <x v="5"/>
    <x v="2"/>
    <x v="5"/>
    <x v="0"/>
  </r>
  <r>
    <n v="208"/>
    <x v="9"/>
    <x v="9"/>
    <x v="0"/>
    <x v="0"/>
    <x v="1"/>
    <x v="1"/>
    <x v="7"/>
    <s v="111.2"/>
    <x v="0"/>
    <x v="0"/>
    <x v="13"/>
    <x v="11"/>
    <x v="0"/>
    <x v="0"/>
    <x v="10"/>
    <x v="8"/>
    <x v="10"/>
    <x v="0"/>
  </r>
  <r>
    <n v="301"/>
    <x v="3"/>
    <x v="3"/>
    <x v="1"/>
    <x v="1"/>
    <x v="1"/>
    <x v="2"/>
    <x v="0"/>
    <s v="221.3"/>
    <x v="0"/>
    <x v="0"/>
    <x v="6"/>
    <x v="12"/>
    <x v="0"/>
    <x v="0"/>
    <x v="13"/>
    <x v="3"/>
    <x v="13"/>
    <x v="0"/>
  </r>
  <r>
    <n v="302"/>
    <x v="1"/>
    <x v="1"/>
    <x v="0"/>
    <x v="1"/>
    <x v="1"/>
    <x v="2"/>
    <x v="1"/>
    <s v="121.3"/>
    <x v="0"/>
    <x v="2"/>
    <x v="14"/>
    <x v="10"/>
    <x v="0"/>
    <x v="0"/>
    <x v="14"/>
    <x v="7"/>
    <x v="14"/>
    <x v="0"/>
  </r>
  <r>
    <n v="303"/>
    <x v="8"/>
    <x v="8"/>
    <x v="1"/>
    <x v="0"/>
    <x v="1"/>
    <x v="2"/>
    <x v="2"/>
    <s v="211.3"/>
    <x v="0"/>
    <x v="0"/>
    <x v="15"/>
    <x v="13"/>
    <x v="0"/>
    <x v="0"/>
    <x v="15"/>
    <x v="3"/>
    <x v="15"/>
    <x v="0"/>
  </r>
  <r>
    <n v="304"/>
    <x v="9"/>
    <x v="9"/>
    <x v="0"/>
    <x v="0"/>
    <x v="1"/>
    <x v="2"/>
    <x v="3"/>
    <s v="111.3"/>
    <x v="0"/>
    <x v="0"/>
    <x v="14"/>
    <x v="10"/>
    <x v="0"/>
    <x v="0"/>
    <x v="16"/>
    <x v="3"/>
    <x v="16"/>
    <x v="0"/>
  </r>
  <r>
    <n v="305"/>
    <x v="7"/>
    <x v="7"/>
    <x v="1"/>
    <x v="2"/>
    <x v="0"/>
    <x v="3"/>
    <x v="4"/>
    <s v="232.4"/>
    <x v="0"/>
    <x v="0"/>
    <x v="16"/>
    <x v="8"/>
    <x v="0"/>
    <x v="0"/>
    <x v="17"/>
    <x v="9"/>
    <x v="17"/>
    <x v="0"/>
  </r>
  <r>
    <n v="306"/>
    <x v="1"/>
    <x v="1"/>
    <x v="0"/>
    <x v="1"/>
    <x v="1"/>
    <x v="3"/>
    <x v="5"/>
    <s v="121.4"/>
    <x v="0"/>
    <x v="0"/>
    <x v="6"/>
    <x v="14"/>
    <x v="0"/>
    <x v="0"/>
    <x v="18"/>
    <x v="2"/>
    <x v="18"/>
    <x v="0"/>
  </r>
  <r>
    <n v="307"/>
    <x v="5"/>
    <x v="5"/>
    <x v="1"/>
    <x v="1"/>
    <x v="0"/>
    <x v="3"/>
    <x v="6"/>
    <s v="222.4"/>
    <x v="0"/>
    <x v="0"/>
    <x v="13"/>
    <x v="9"/>
    <x v="0"/>
    <x v="0"/>
    <x v="19"/>
    <x v="10"/>
    <x v="19"/>
    <x v="0"/>
  </r>
  <r>
    <n v="308"/>
    <x v="2"/>
    <x v="2"/>
    <x v="0"/>
    <x v="2"/>
    <x v="0"/>
    <x v="3"/>
    <x v="7"/>
    <s v="132.4"/>
    <x v="0"/>
    <x v="0"/>
    <x v="10"/>
    <x v="15"/>
    <x v="0"/>
    <x v="0"/>
    <x v="20"/>
    <x v="11"/>
    <x v="20"/>
    <x v="0"/>
  </r>
  <r>
    <n v="401"/>
    <x v="10"/>
    <x v="10"/>
    <x v="1"/>
    <x v="0"/>
    <x v="0"/>
    <x v="2"/>
    <x v="0"/>
    <s v="212.3"/>
    <x v="0"/>
    <x v="0"/>
    <x v="17"/>
    <x v="16"/>
    <x v="0"/>
    <x v="0"/>
    <x v="21"/>
    <x v="12"/>
    <x v="21"/>
    <x v="0"/>
  </r>
  <r>
    <n v="402"/>
    <x v="5"/>
    <x v="5"/>
    <x v="1"/>
    <x v="1"/>
    <x v="0"/>
    <x v="2"/>
    <x v="1"/>
    <s v="222.3"/>
    <x v="0"/>
    <x v="3"/>
    <x v="1"/>
    <x v="6"/>
    <x v="0"/>
    <x v="0"/>
    <x v="22"/>
    <x v="13"/>
    <x v="22"/>
    <x v="0"/>
  </r>
  <r>
    <n v="403"/>
    <x v="11"/>
    <x v="11"/>
    <x v="0"/>
    <x v="2"/>
    <x v="1"/>
    <x v="2"/>
    <x v="2"/>
    <s v="131.3"/>
    <x v="0"/>
    <x v="0"/>
    <x v="18"/>
    <x v="7"/>
    <x v="0"/>
    <x v="0"/>
    <x v="23"/>
    <x v="0"/>
    <x v="0"/>
    <x v="0"/>
  </r>
  <r>
    <n v="404"/>
    <x v="6"/>
    <x v="6"/>
    <x v="0"/>
    <x v="1"/>
    <x v="0"/>
    <x v="2"/>
    <x v="3"/>
    <s v="122.3"/>
    <x v="0"/>
    <x v="0"/>
    <x v="12"/>
    <x v="11"/>
    <x v="0"/>
    <x v="0"/>
    <x v="6"/>
    <x v="3"/>
    <x v="6"/>
    <x v="0"/>
  </r>
  <r>
    <n v="405"/>
    <x v="11"/>
    <x v="11"/>
    <x v="0"/>
    <x v="2"/>
    <x v="1"/>
    <x v="3"/>
    <x v="4"/>
    <s v="131.4"/>
    <x v="0"/>
    <x v="0"/>
    <x v="19"/>
    <x v="17"/>
    <x v="0"/>
    <x v="0"/>
    <x v="24"/>
    <x v="0"/>
    <x v="23"/>
    <x v="0"/>
  </r>
  <r>
    <n v="406"/>
    <x v="6"/>
    <x v="6"/>
    <x v="0"/>
    <x v="1"/>
    <x v="0"/>
    <x v="3"/>
    <x v="5"/>
    <s v="122.4"/>
    <x v="0"/>
    <x v="0"/>
    <x v="20"/>
    <x v="11"/>
    <x v="0"/>
    <x v="0"/>
    <x v="25"/>
    <x v="5"/>
    <x v="20"/>
    <x v="0"/>
  </r>
  <r>
    <n v="407"/>
    <x v="10"/>
    <x v="10"/>
    <x v="1"/>
    <x v="0"/>
    <x v="0"/>
    <x v="3"/>
    <x v="6"/>
    <s v="212.4"/>
    <x v="0"/>
    <x v="0"/>
    <x v="13"/>
    <x v="12"/>
    <x v="0"/>
    <x v="0"/>
    <x v="26"/>
    <x v="0"/>
    <x v="24"/>
    <x v="0"/>
  </r>
  <r>
    <n v="408"/>
    <x v="3"/>
    <x v="3"/>
    <x v="1"/>
    <x v="1"/>
    <x v="1"/>
    <x v="3"/>
    <x v="7"/>
    <s v="221.4"/>
    <x v="0"/>
    <x v="0"/>
    <x v="7"/>
    <x v="18"/>
    <x v="0"/>
    <x v="0"/>
    <x v="3"/>
    <x v="2"/>
    <x v="3"/>
    <x v="0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01"/>
    <x v="0"/>
    <x v="0"/>
    <x v="0"/>
    <x v="0"/>
    <x v="0"/>
    <x v="0"/>
    <x v="0"/>
    <s v="112.1"/>
    <x v="0"/>
    <x v="0"/>
    <x v="0"/>
    <x v="0"/>
    <x v="0"/>
    <x v="0"/>
    <x v="0"/>
    <x v="0"/>
    <x v="0"/>
    <x v="0"/>
  </r>
  <r>
    <n v="102"/>
    <x v="1"/>
    <x v="1"/>
    <x v="0"/>
    <x v="1"/>
    <x v="1"/>
    <x v="0"/>
    <x v="1"/>
    <s v="121.1"/>
    <x v="0"/>
    <x v="1"/>
    <x v="0"/>
    <x v="1"/>
    <x v="0"/>
    <x v="0"/>
    <x v="1"/>
    <x v="1"/>
    <x v="1"/>
    <x v="0"/>
  </r>
  <r>
    <n v="103"/>
    <x v="2"/>
    <x v="2"/>
    <x v="0"/>
    <x v="2"/>
    <x v="0"/>
    <x v="0"/>
    <x v="2"/>
    <s v="132.1"/>
    <x v="0"/>
    <x v="0"/>
    <x v="1"/>
    <x v="2"/>
    <x v="0"/>
    <x v="0"/>
    <x v="2"/>
    <x v="2"/>
    <x v="2"/>
    <x v="0"/>
  </r>
  <r>
    <n v="104"/>
    <x v="3"/>
    <x v="3"/>
    <x v="1"/>
    <x v="1"/>
    <x v="1"/>
    <x v="0"/>
    <x v="3"/>
    <s v="221.1"/>
    <x v="0"/>
    <x v="0"/>
    <x v="2"/>
    <x v="3"/>
    <x v="0"/>
    <x v="0"/>
    <x v="3"/>
    <x v="3"/>
    <x v="3"/>
    <x v="0"/>
  </r>
  <r>
    <n v="105"/>
    <x v="4"/>
    <x v="4"/>
    <x v="1"/>
    <x v="2"/>
    <x v="1"/>
    <x v="1"/>
    <x v="4"/>
    <s v="231.2"/>
    <x v="0"/>
    <x v="0"/>
    <x v="3"/>
    <x v="4"/>
    <x v="0"/>
    <x v="0"/>
    <x v="4"/>
    <x v="4"/>
    <x v="4"/>
    <x v="0"/>
  </r>
  <r>
    <n v="106"/>
    <x v="5"/>
    <x v="5"/>
    <x v="1"/>
    <x v="1"/>
    <x v="0"/>
    <x v="1"/>
    <x v="5"/>
    <s v="222.2"/>
    <x v="0"/>
    <x v="0"/>
    <x v="4"/>
    <x v="5"/>
    <x v="0"/>
    <x v="0"/>
    <x v="0"/>
    <x v="5"/>
    <x v="0"/>
    <x v="0"/>
  </r>
  <r>
    <n v="107"/>
    <x v="3"/>
    <x v="3"/>
    <x v="1"/>
    <x v="1"/>
    <x v="1"/>
    <x v="1"/>
    <x v="6"/>
    <s v="221.2"/>
    <x v="0"/>
    <x v="0"/>
    <x v="5"/>
    <x v="6"/>
    <x v="0"/>
    <x v="0"/>
    <x v="5"/>
    <x v="4"/>
    <x v="5"/>
    <x v="0"/>
  </r>
  <r>
    <n v="108"/>
    <x v="6"/>
    <x v="6"/>
    <x v="0"/>
    <x v="1"/>
    <x v="0"/>
    <x v="1"/>
    <x v="7"/>
    <s v="122.2"/>
    <x v="0"/>
    <x v="0"/>
    <x v="5"/>
    <x v="3"/>
    <x v="0"/>
    <x v="0"/>
    <x v="6"/>
    <x v="6"/>
    <x v="6"/>
    <x v="0"/>
  </r>
  <r>
    <n v="201"/>
    <x v="4"/>
    <x v="4"/>
    <x v="1"/>
    <x v="2"/>
    <x v="1"/>
    <x v="0"/>
    <x v="0"/>
    <s v="231.1"/>
    <x v="0"/>
    <x v="0"/>
    <x v="6"/>
    <x v="7"/>
    <x v="0"/>
    <x v="0"/>
    <x v="7"/>
    <x v="7"/>
    <x v="7"/>
    <x v="0"/>
  </r>
  <r>
    <n v="202"/>
    <x v="5"/>
    <x v="5"/>
    <x v="1"/>
    <x v="1"/>
    <x v="0"/>
    <x v="0"/>
    <x v="1"/>
    <s v="222.1"/>
    <x v="0"/>
    <x v="2"/>
    <x v="7"/>
    <x v="8"/>
    <x v="0"/>
    <x v="0"/>
    <x v="8"/>
    <x v="8"/>
    <x v="8"/>
    <x v="0"/>
  </r>
  <r>
    <n v="203"/>
    <x v="6"/>
    <x v="6"/>
    <x v="0"/>
    <x v="1"/>
    <x v="0"/>
    <x v="0"/>
    <x v="2"/>
    <s v="122.1"/>
    <x v="0"/>
    <x v="0"/>
    <x v="2"/>
    <x v="5"/>
    <x v="0"/>
    <x v="0"/>
    <x v="9"/>
    <x v="6"/>
    <x v="9"/>
    <x v="0"/>
  </r>
  <r>
    <n v="204"/>
    <x v="7"/>
    <x v="7"/>
    <x v="1"/>
    <x v="2"/>
    <x v="0"/>
    <x v="0"/>
    <x v="3"/>
    <s v="232.1"/>
    <x v="0"/>
    <x v="0"/>
    <x v="8"/>
    <x v="9"/>
    <x v="0"/>
    <x v="0"/>
    <x v="10"/>
    <x v="5"/>
    <x v="10"/>
    <x v="0"/>
  </r>
  <r>
    <n v="205"/>
    <x v="0"/>
    <x v="0"/>
    <x v="0"/>
    <x v="0"/>
    <x v="0"/>
    <x v="1"/>
    <x v="4"/>
    <s v="112.2"/>
    <x v="0"/>
    <x v="0"/>
    <x v="7"/>
    <x v="10"/>
    <x v="0"/>
    <x v="0"/>
    <x v="11"/>
    <x v="9"/>
    <x v="11"/>
    <x v="0"/>
  </r>
  <r>
    <n v="206"/>
    <x v="8"/>
    <x v="8"/>
    <x v="1"/>
    <x v="0"/>
    <x v="1"/>
    <x v="1"/>
    <x v="5"/>
    <s v="211.2"/>
    <x v="0"/>
    <x v="0"/>
    <x v="5"/>
    <x v="8"/>
    <x v="0"/>
    <x v="0"/>
    <x v="12"/>
    <x v="6"/>
    <x v="12"/>
    <x v="0"/>
  </r>
  <r>
    <n v="207"/>
    <x v="1"/>
    <x v="1"/>
    <x v="0"/>
    <x v="1"/>
    <x v="1"/>
    <x v="1"/>
    <x v="6"/>
    <s v="121.2"/>
    <x v="0"/>
    <x v="0"/>
    <x v="5"/>
    <x v="8"/>
    <x v="0"/>
    <x v="0"/>
    <x v="12"/>
    <x v="6"/>
    <x v="12"/>
    <x v="0"/>
  </r>
  <r>
    <n v="208"/>
    <x v="9"/>
    <x v="9"/>
    <x v="0"/>
    <x v="0"/>
    <x v="1"/>
    <x v="1"/>
    <x v="7"/>
    <s v="111.2"/>
    <x v="0"/>
    <x v="0"/>
    <x v="9"/>
    <x v="11"/>
    <x v="0"/>
    <x v="0"/>
    <x v="13"/>
    <x v="3"/>
    <x v="13"/>
    <x v="0"/>
  </r>
  <r>
    <n v="301"/>
    <x v="3"/>
    <x v="3"/>
    <x v="1"/>
    <x v="1"/>
    <x v="1"/>
    <x v="2"/>
    <x v="0"/>
    <s v="221.3"/>
    <x v="0"/>
    <x v="0"/>
    <x v="10"/>
    <x v="12"/>
    <x v="0"/>
    <x v="0"/>
    <x v="5"/>
    <x v="6"/>
    <x v="5"/>
    <x v="0"/>
  </r>
  <r>
    <n v="302"/>
    <x v="1"/>
    <x v="1"/>
    <x v="0"/>
    <x v="1"/>
    <x v="1"/>
    <x v="2"/>
    <x v="1"/>
    <s v="121.3"/>
    <x v="0"/>
    <x v="0"/>
    <x v="10"/>
    <x v="8"/>
    <x v="0"/>
    <x v="0"/>
    <x v="11"/>
    <x v="5"/>
    <x v="11"/>
    <x v="0"/>
  </r>
  <r>
    <n v="303"/>
    <x v="8"/>
    <x v="8"/>
    <x v="1"/>
    <x v="0"/>
    <x v="1"/>
    <x v="2"/>
    <x v="2"/>
    <s v="211.3"/>
    <x v="0"/>
    <x v="0"/>
    <x v="11"/>
    <x v="13"/>
    <x v="0"/>
    <x v="0"/>
    <x v="14"/>
    <x v="10"/>
    <x v="14"/>
    <x v="0"/>
  </r>
  <r>
    <n v="304"/>
    <x v="9"/>
    <x v="9"/>
    <x v="0"/>
    <x v="0"/>
    <x v="1"/>
    <x v="2"/>
    <x v="3"/>
    <s v="111.3"/>
    <x v="0"/>
    <x v="0"/>
    <x v="4"/>
    <x v="12"/>
    <x v="0"/>
    <x v="0"/>
    <x v="15"/>
    <x v="0"/>
    <x v="15"/>
    <x v="0"/>
  </r>
  <r>
    <n v="305"/>
    <x v="7"/>
    <x v="7"/>
    <x v="1"/>
    <x v="2"/>
    <x v="0"/>
    <x v="3"/>
    <x v="4"/>
    <s v="232.4"/>
    <x v="0"/>
    <x v="0"/>
    <x v="12"/>
    <x v="14"/>
    <x v="0"/>
    <x v="0"/>
    <x v="16"/>
    <x v="11"/>
    <x v="13"/>
    <x v="0"/>
  </r>
  <r>
    <n v="306"/>
    <x v="1"/>
    <x v="1"/>
    <x v="0"/>
    <x v="1"/>
    <x v="1"/>
    <x v="3"/>
    <x v="5"/>
    <s v="121.4"/>
    <x v="0"/>
    <x v="0"/>
    <x v="9"/>
    <x v="15"/>
    <x v="0"/>
    <x v="0"/>
    <x v="9"/>
    <x v="6"/>
    <x v="9"/>
    <x v="0"/>
  </r>
  <r>
    <n v="307"/>
    <x v="5"/>
    <x v="5"/>
    <x v="1"/>
    <x v="1"/>
    <x v="0"/>
    <x v="3"/>
    <x v="6"/>
    <s v="222.4"/>
    <x v="0"/>
    <x v="0"/>
    <x v="10"/>
    <x v="15"/>
    <x v="0"/>
    <x v="0"/>
    <x v="6"/>
    <x v="4"/>
    <x v="6"/>
    <x v="0"/>
  </r>
  <r>
    <n v="308"/>
    <x v="2"/>
    <x v="2"/>
    <x v="0"/>
    <x v="2"/>
    <x v="0"/>
    <x v="3"/>
    <x v="7"/>
    <s v="132.4"/>
    <x v="0"/>
    <x v="0"/>
    <x v="13"/>
    <x v="16"/>
    <x v="0"/>
    <x v="0"/>
    <x v="17"/>
    <x v="12"/>
    <x v="16"/>
    <x v="0"/>
  </r>
  <r>
    <n v="401"/>
    <x v="10"/>
    <x v="10"/>
    <x v="1"/>
    <x v="0"/>
    <x v="0"/>
    <x v="2"/>
    <x v="0"/>
    <s v="212.3"/>
    <x v="0"/>
    <x v="0"/>
    <x v="11"/>
    <x v="1"/>
    <x v="0"/>
    <x v="0"/>
    <x v="18"/>
    <x v="6"/>
    <x v="17"/>
    <x v="0"/>
  </r>
  <r>
    <n v="402"/>
    <x v="5"/>
    <x v="5"/>
    <x v="1"/>
    <x v="1"/>
    <x v="0"/>
    <x v="2"/>
    <x v="1"/>
    <s v="222.3"/>
    <x v="0"/>
    <x v="3"/>
    <x v="14"/>
    <x v="10"/>
    <x v="0"/>
    <x v="0"/>
    <x v="1"/>
    <x v="13"/>
    <x v="1"/>
    <x v="0"/>
  </r>
  <r>
    <n v="403"/>
    <x v="11"/>
    <x v="11"/>
    <x v="0"/>
    <x v="2"/>
    <x v="1"/>
    <x v="2"/>
    <x v="2"/>
    <s v="131.3"/>
    <x v="0"/>
    <x v="0"/>
    <x v="15"/>
    <x v="16"/>
    <x v="0"/>
    <x v="0"/>
    <x v="19"/>
    <x v="4"/>
    <x v="15"/>
    <x v="0"/>
  </r>
  <r>
    <n v="404"/>
    <x v="6"/>
    <x v="6"/>
    <x v="0"/>
    <x v="1"/>
    <x v="0"/>
    <x v="2"/>
    <x v="3"/>
    <s v="122.3"/>
    <x v="0"/>
    <x v="0"/>
    <x v="10"/>
    <x v="17"/>
    <x v="0"/>
    <x v="0"/>
    <x v="20"/>
    <x v="6"/>
    <x v="18"/>
    <x v="0"/>
  </r>
  <r>
    <n v="405"/>
    <x v="11"/>
    <x v="11"/>
    <x v="0"/>
    <x v="2"/>
    <x v="1"/>
    <x v="3"/>
    <x v="4"/>
    <s v="131.4"/>
    <x v="0"/>
    <x v="0"/>
    <x v="6"/>
    <x v="18"/>
    <x v="0"/>
    <x v="0"/>
    <x v="21"/>
    <x v="9"/>
    <x v="19"/>
    <x v="0"/>
  </r>
  <r>
    <n v="406"/>
    <x v="6"/>
    <x v="6"/>
    <x v="0"/>
    <x v="1"/>
    <x v="0"/>
    <x v="3"/>
    <x v="5"/>
    <s v="122.4"/>
    <x v="0"/>
    <x v="0"/>
    <x v="16"/>
    <x v="19"/>
    <x v="0"/>
    <x v="0"/>
    <x v="11"/>
    <x v="5"/>
    <x v="11"/>
    <x v="0"/>
  </r>
  <r>
    <n v="407"/>
    <x v="10"/>
    <x v="10"/>
    <x v="1"/>
    <x v="0"/>
    <x v="0"/>
    <x v="3"/>
    <x v="6"/>
    <s v="212.4"/>
    <x v="0"/>
    <x v="0"/>
    <x v="5"/>
    <x v="10"/>
    <x v="0"/>
    <x v="0"/>
    <x v="9"/>
    <x v="4"/>
    <x v="9"/>
    <x v="0"/>
  </r>
  <r>
    <n v="408"/>
    <x v="3"/>
    <x v="3"/>
    <x v="1"/>
    <x v="1"/>
    <x v="1"/>
    <x v="3"/>
    <x v="7"/>
    <s v="221.4"/>
    <x v="0"/>
    <x v="0"/>
    <x v="17"/>
    <x v="5"/>
    <x v="0"/>
    <x v="0"/>
    <x v="22"/>
    <x v="0"/>
    <x v="20"/>
    <x v="0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01"/>
    <x v="0"/>
    <x v="0"/>
    <x v="0"/>
    <x v="0"/>
    <x v="0"/>
    <x v="0"/>
    <x v="0"/>
    <s v="112.1"/>
    <x v="0"/>
    <x v="0"/>
    <x v="0"/>
    <x v="0"/>
    <x v="0"/>
    <x v="0"/>
    <x v="0"/>
    <x v="0"/>
    <x v="0"/>
    <x v="0"/>
  </r>
  <r>
    <n v="102"/>
    <x v="1"/>
    <x v="1"/>
    <x v="0"/>
    <x v="1"/>
    <x v="1"/>
    <x v="0"/>
    <x v="1"/>
    <s v="121.1"/>
    <x v="0"/>
    <x v="1"/>
    <x v="0"/>
    <x v="1"/>
    <x v="0"/>
    <x v="0"/>
    <x v="1"/>
    <x v="1"/>
    <x v="1"/>
    <x v="0"/>
  </r>
  <r>
    <n v="103"/>
    <x v="2"/>
    <x v="2"/>
    <x v="0"/>
    <x v="2"/>
    <x v="0"/>
    <x v="0"/>
    <x v="2"/>
    <s v="132.1"/>
    <x v="0"/>
    <x v="0"/>
    <x v="1"/>
    <x v="2"/>
    <x v="0"/>
    <x v="0"/>
    <x v="2"/>
    <x v="2"/>
    <x v="2"/>
    <x v="0"/>
  </r>
  <r>
    <n v="104"/>
    <x v="3"/>
    <x v="3"/>
    <x v="1"/>
    <x v="1"/>
    <x v="1"/>
    <x v="0"/>
    <x v="3"/>
    <s v="221.1"/>
    <x v="0"/>
    <x v="0"/>
    <x v="2"/>
    <x v="3"/>
    <x v="0"/>
    <x v="0"/>
    <x v="3"/>
    <x v="3"/>
    <x v="3"/>
    <x v="0"/>
  </r>
  <r>
    <n v="105"/>
    <x v="4"/>
    <x v="4"/>
    <x v="1"/>
    <x v="2"/>
    <x v="1"/>
    <x v="1"/>
    <x v="4"/>
    <s v="231.2"/>
    <x v="0"/>
    <x v="0"/>
    <x v="3"/>
    <x v="4"/>
    <x v="0"/>
    <x v="0"/>
    <x v="4"/>
    <x v="4"/>
    <x v="4"/>
    <x v="0"/>
  </r>
  <r>
    <n v="106"/>
    <x v="5"/>
    <x v="5"/>
    <x v="1"/>
    <x v="1"/>
    <x v="0"/>
    <x v="1"/>
    <x v="5"/>
    <s v="222.2"/>
    <x v="0"/>
    <x v="0"/>
    <x v="4"/>
    <x v="5"/>
    <x v="0"/>
    <x v="0"/>
    <x v="0"/>
    <x v="5"/>
    <x v="0"/>
    <x v="0"/>
  </r>
  <r>
    <n v="107"/>
    <x v="3"/>
    <x v="3"/>
    <x v="1"/>
    <x v="1"/>
    <x v="1"/>
    <x v="1"/>
    <x v="6"/>
    <s v="221.2"/>
    <x v="0"/>
    <x v="0"/>
    <x v="5"/>
    <x v="6"/>
    <x v="0"/>
    <x v="0"/>
    <x v="5"/>
    <x v="4"/>
    <x v="5"/>
    <x v="0"/>
  </r>
  <r>
    <n v="108"/>
    <x v="6"/>
    <x v="6"/>
    <x v="0"/>
    <x v="1"/>
    <x v="0"/>
    <x v="1"/>
    <x v="7"/>
    <s v="122.2"/>
    <x v="0"/>
    <x v="0"/>
    <x v="5"/>
    <x v="3"/>
    <x v="0"/>
    <x v="0"/>
    <x v="6"/>
    <x v="6"/>
    <x v="6"/>
    <x v="0"/>
  </r>
  <r>
    <n v="201"/>
    <x v="4"/>
    <x v="4"/>
    <x v="1"/>
    <x v="2"/>
    <x v="1"/>
    <x v="0"/>
    <x v="0"/>
    <s v="231.1"/>
    <x v="0"/>
    <x v="0"/>
    <x v="6"/>
    <x v="7"/>
    <x v="0"/>
    <x v="0"/>
    <x v="7"/>
    <x v="7"/>
    <x v="7"/>
    <x v="0"/>
  </r>
  <r>
    <n v="202"/>
    <x v="5"/>
    <x v="5"/>
    <x v="1"/>
    <x v="1"/>
    <x v="0"/>
    <x v="0"/>
    <x v="1"/>
    <s v="222.1"/>
    <x v="0"/>
    <x v="2"/>
    <x v="7"/>
    <x v="8"/>
    <x v="0"/>
    <x v="0"/>
    <x v="8"/>
    <x v="8"/>
    <x v="8"/>
    <x v="0"/>
  </r>
  <r>
    <n v="203"/>
    <x v="6"/>
    <x v="6"/>
    <x v="0"/>
    <x v="1"/>
    <x v="0"/>
    <x v="0"/>
    <x v="2"/>
    <s v="122.1"/>
    <x v="0"/>
    <x v="0"/>
    <x v="2"/>
    <x v="5"/>
    <x v="0"/>
    <x v="0"/>
    <x v="9"/>
    <x v="6"/>
    <x v="9"/>
    <x v="0"/>
  </r>
  <r>
    <n v="204"/>
    <x v="7"/>
    <x v="7"/>
    <x v="1"/>
    <x v="2"/>
    <x v="0"/>
    <x v="0"/>
    <x v="3"/>
    <s v="232.1"/>
    <x v="0"/>
    <x v="0"/>
    <x v="8"/>
    <x v="9"/>
    <x v="0"/>
    <x v="0"/>
    <x v="10"/>
    <x v="5"/>
    <x v="10"/>
    <x v="0"/>
  </r>
  <r>
    <n v="205"/>
    <x v="0"/>
    <x v="0"/>
    <x v="0"/>
    <x v="0"/>
    <x v="0"/>
    <x v="1"/>
    <x v="4"/>
    <s v="112.2"/>
    <x v="0"/>
    <x v="0"/>
    <x v="7"/>
    <x v="10"/>
    <x v="0"/>
    <x v="0"/>
    <x v="11"/>
    <x v="9"/>
    <x v="11"/>
    <x v="0"/>
  </r>
  <r>
    <n v="206"/>
    <x v="8"/>
    <x v="8"/>
    <x v="1"/>
    <x v="0"/>
    <x v="1"/>
    <x v="1"/>
    <x v="5"/>
    <s v="211.2"/>
    <x v="0"/>
    <x v="0"/>
    <x v="5"/>
    <x v="8"/>
    <x v="0"/>
    <x v="0"/>
    <x v="12"/>
    <x v="6"/>
    <x v="12"/>
    <x v="0"/>
  </r>
  <r>
    <n v="207"/>
    <x v="1"/>
    <x v="1"/>
    <x v="0"/>
    <x v="1"/>
    <x v="1"/>
    <x v="1"/>
    <x v="6"/>
    <s v="121.2"/>
    <x v="0"/>
    <x v="0"/>
    <x v="5"/>
    <x v="8"/>
    <x v="0"/>
    <x v="0"/>
    <x v="12"/>
    <x v="6"/>
    <x v="12"/>
    <x v="0"/>
  </r>
  <r>
    <n v="208"/>
    <x v="9"/>
    <x v="9"/>
    <x v="0"/>
    <x v="0"/>
    <x v="1"/>
    <x v="1"/>
    <x v="7"/>
    <s v="111.2"/>
    <x v="0"/>
    <x v="0"/>
    <x v="9"/>
    <x v="11"/>
    <x v="0"/>
    <x v="0"/>
    <x v="13"/>
    <x v="3"/>
    <x v="13"/>
    <x v="0"/>
  </r>
  <r>
    <n v="301"/>
    <x v="3"/>
    <x v="3"/>
    <x v="1"/>
    <x v="1"/>
    <x v="1"/>
    <x v="2"/>
    <x v="0"/>
    <s v="221.3"/>
    <x v="0"/>
    <x v="0"/>
    <x v="10"/>
    <x v="12"/>
    <x v="0"/>
    <x v="0"/>
    <x v="5"/>
    <x v="6"/>
    <x v="5"/>
    <x v="0"/>
  </r>
  <r>
    <n v="302"/>
    <x v="1"/>
    <x v="1"/>
    <x v="0"/>
    <x v="1"/>
    <x v="1"/>
    <x v="2"/>
    <x v="1"/>
    <s v="121.3"/>
    <x v="0"/>
    <x v="0"/>
    <x v="10"/>
    <x v="8"/>
    <x v="0"/>
    <x v="0"/>
    <x v="11"/>
    <x v="5"/>
    <x v="11"/>
    <x v="0"/>
  </r>
  <r>
    <n v="303"/>
    <x v="8"/>
    <x v="8"/>
    <x v="1"/>
    <x v="0"/>
    <x v="1"/>
    <x v="2"/>
    <x v="2"/>
    <s v="211.3"/>
    <x v="0"/>
    <x v="0"/>
    <x v="11"/>
    <x v="13"/>
    <x v="0"/>
    <x v="0"/>
    <x v="14"/>
    <x v="10"/>
    <x v="14"/>
    <x v="0"/>
  </r>
  <r>
    <n v="304"/>
    <x v="9"/>
    <x v="9"/>
    <x v="0"/>
    <x v="0"/>
    <x v="1"/>
    <x v="2"/>
    <x v="3"/>
    <s v="111.3"/>
    <x v="0"/>
    <x v="0"/>
    <x v="4"/>
    <x v="12"/>
    <x v="0"/>
    <x v="0"/>
    <x v="15"/>
    <x v="0"/>
    <x v="15"/>
    <x v="0"/>
  </r>
  <r>
    <n v="305"/>
    <x v="7"/>
    <x v="7"/>
    <x v="1"/>
    <x v="2"/>
    <x v="0"/>
    <x v="3"/>
    <x v="4"/>
    <s v="232.4"/>
    <x v="0"/>
    <x v="0"/>
    <x v="12"/>
    <x v="14"/>
    <x v="0"/>
    <x v="0"/>
    <x v="16"/>
    <x v="11"/>
    <x v="13"/>
    <x v="0"/>
  </r>
  <r>
    <n v="306"/>
    <x v="1"/>
    <x v="1"/>
    <x v="0"/>
    <x v="1"/>
    <x v="1"/>
    <x v="3"/>
    <x v="5"/>
    <s v="121.4"/>
    <x v="0"/>
    <x v="0"/>
    <x v="9"/>
    <x v="15"/>
    <x v="0"/>
    <x v="0"/>
    <x v="9"/>
    <x v="6"/>
    <x v="9"/>
    <x v="0"/>
  </r>
  <r>
    <n v="307"/>
    <x v="5"/>
    <x v="5"/>
    <x v="1"/>
    <x v="1"/>
    <x v="0"/>
    <x v="3"/>
    <x v="6"/>
    <s v="222.4"/>
    <x v="0"/>
    <x v="0"/>
    <x v="10"/>
    <x v="15"/>
    <x v="0"/>
    <x v="0"/>
    <x v="6"/>
    <x v="4"/>
    <x v="6"/>
    <x v="0"/>
  </r>
  <r>
    <n v="308"/>
    <x v="2"/>
    <x v="2"/>
    <x v="0"/>
    <x v="2"/>
    <x v="0"/>
    <x v="3"/>
    <x v="7"/>
    <s v="132.4"/>
    <x v="0"/>
    <x v="0"/>
    <x v="13"/>
    <x v="16"/>
    <x v="0"/>
    <x v="0"/>
    <x v="17"/>
    <x v="12"/>
    <x v="16"/>
    <x v="0"/>
  </r>
  <r>
    <n v="401"/>
    <x v="10"/>
    <x v="10"/>
    <x v="1"/>
    <x v="0"/>
    <x v="0"/>
    <x v="2"/>
    <x v="0"/>
    <s v="212.3"/>
    <x v="0"/>
    <x v="0"/>
    <x v="11"/>
    <x v="1"/>
    <x v="0"/>
    <x v="0"/>
    <x v="18"/>
    <x v="6"/>
    <x v="17"/>
    <x v="0"/>
  </r>
  <r>
    <n v="402"/>
    <x v="5"/>
    <x v="5"/>
    <x v="1"/>
    <x v="1"/>
    <x v="0"/>
    <x v="2"/>
    <x v="1"/>
    <s v="222.3"/>
    <x v="0"/>
    <x v="3"/>
    <x v="14"/>
    <x v="10"/>
    <x v="0"/>
    <x v="0"/>
    <x v="1"/>
    <x v="13"/>
    <x v="1"/>
    <x v="0"/>
  </r>
  <r>
    <n v="403"/>
    <x v="11"/>
    <x v="11"/>
    <x v="0"/>
    <x v="2"/>
    <x v="1"/>
    <x v="2"/>
    <x v="2"/>
    <s v="131.3"/>
    <x v="0"/>
    <x v="0"/>
    <x v="15"/>
    <x v="16"/>
    <x v="0"/>
    <x v="0"/>
    <x v="19"/>
    <x v="4"/>
    <x v="15"/>
    <x v="0"/>
  </r>
  <r>
    <n v="404"/>
    <x v="6"/>
    <x v="6"/>
    <x v="0"/>
    <x v="1"/>
    <x v="0"/>
    <x v="2"/>
    <x v="3"/>
    <s v="122.3"/>
    <x v="0"/>
    <x v="0"/>
    <x v="10"/>
    <x v="17"/>
    <x v="0"/>
    <x v="0"/>
    <x v="20"/>
    <x v="6"/>
    <x v="18"/>
    <x v="0"/>
  </r>
  <r>
    <n v="405"/>
    <x v="11"/>
    <x v="11"/>
    <x v="0"/>
    <x v="2"/>
    <x v="1"/>
    <x v="3"/>
    <x v="4"/>
    <s v="131.4"/>
    <x v="0"/>
    <x v="0"/>
    <x v="6"/>
    <x v="18"/>
    <x v="0"/>
    <x v="0"/>
    <x v="21"/>
    <x v="9"/>
    <x v="19"/>
    <x v="0"/>
  </r>
  <r>
    <n v="406"/>
    <x v="6"/>
    <x v="6"/>
    <x v="0"/>
    <x v="1"/>
    <x v="0"/>
    <x v="3"/>
    <x v="5"/>
    <s v="122.4"/>
    <x v="0"/>
    <x v="0"/>
    <x v="16"/>
    <x v="19"/>
    <x v="0"/>
    <x v="0"/>
    <x v="11"/>
    <x v="5"/>
    <x v="11"/>
    <x v="0"/>
  </r>
  <r>
    <n v="407"/>
    <x v="10"/>
    <x v="10"/>
    <x v="1"/>
    <x v="0"/>
    <x v="0"/>
    <x v="3"/>
    <x v="6"/>
    <s v="212.4"/>
    <x v="0"/>
    <x v="0"/>
    <x v="5"/>
    <x v="10"/>
    <x v="0"/>
    <x v="0"/>
    <x v="9"/>
    <x v="4"/>
    <x v="9"/>
    <x v="0"/>
  </r>
  <r>
    <n v="408"/>
    <x v="3"/>
    <x v="3"/>
    <x v="1"/>
    <x v="1"/>
    <x v="1"/>
    <x v="3"/>
    <x v="7"/>
    <s v="221.4"/>
    <x v="0"/>
    <x v="0"/>
    <x v="17"/>
    <x v="5"/>
    <x v="0"/>
    <x v="0"/>
    <x v="22"/>
    <x v="0"/>
    <x v="20"/>
    <x v="0"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01"/>
    <x v="0"/>
    <x v="0"/>
    <x v="0"/>
    <x v="0"/>
    <x v="0"/>
    <x v="0"/>
    <x v="0"/>
    <s v="112.1"/>
    <x v="0"/>
    <x v="0"/>
    <x v="0"/>
    <x v="0"/>
    <x v="0"/>
    <x v="0"/>
    <x v="0"/>
    <x v="0"/>
    <x v="0"/>
    <x v="0"/>
  </r>
  <r>
    <n v="102"/>
    <x v="1"/>
    <x v="1"/>
    <x v="0"/>
    <x v="1"/>
    <x v="1"/>
    <x v="0"/>
    <x v="1"/>
    <s v="121.1"/>
    <x v="0"/>
    <x v="1"/>
    <x v="1"/>
    <x v="1"/>
    <x v="0"/>
    <x v="0"/>
    <x v="1"/>
    <x v="1"/>
    <x v="1"/>
    <x v="0"/>
  </r>
  <r>
    <n v="103"/>
    <x v="2"/>
    <x v="2"/>
    <x v="0"/>
    <x v="2"/>
    <x v="0"/>
    <x v="0"/>
    <x v="2"/>
    <s v="132.1"/>
    <x v="0"/>
    <x v="0"/>
    <x v="2"/>
    <x v="2"/>
    <x v="0"/>
    <x v="0"/>
    <x v="2"/>
    <x v="2"/>
    <x v="2"/>
    <x v="0"/>
  </r>
  <r>
    <n v="104"/>
    <x v="3"/>
    <x v="3"/>
    <x v="1"/>
    <x v="1"/>
    <x v="1"/>
    <x v="0"/>
    <x v="3"/>
    <s v="221.1"/>
    <x v="0"/>
    <x v="0"/>
    <x v="3"/>
    <x v="3"/>
    <x v="0"/>
    <x v="0"/>
    <x v="3"/>
    <x v="3"/>
    <x v="3"/>
    <x v="0"/>
  </r>
  <r>
    <n v="105"/>
    <x v="4"/>
    <x v="4"/>
    <x v="1"/>
    <x v="2"/>
    <x v="1"/>
    <x v="1"/>
    <x v="4"/>
    <s v="231.2"/>
    <x v="0"/>
    <x v="0"/>
    <x v="4"/>
    <x v="2"/>
    <x v="0"/>
    <x v="0"/>
    <x v="4"/>
    <x v="4"/>
    <x v="4"/>
    <x v="0"/>
  </r>
  <r>
    <n v="106"/>
    <x v="5"/>
    <x v="5"/>
    <x v="1"/>
    <x v="1"/>
    <x v="0"/>
    <x v="1"/>
    <x v="5"/>
    <s v="222.2"/>
    <x v="0"/>
    <x v="0"/>
    <x v="0"/>
    <x v="4"/>
    <x v="0"/>
    <x v="0"/>
    <x v="5"/>
    <x v="5"/>
    <x v="5"/>
    <x v="0"/>
  </r>
  <r>
    <n v="107"/>
    <x v="3"/>
    <x v="3"/>
    <x v="1"/>
    <x v="1"/>
    <x v="1"/>
    <x v="1"/>
    <x v="6"/>
    <s v="221.2"/>
    <x v="0"/>
    <x v="0"/>
    <x v="1"/>
    <x v="5"/>
    <x v="0"/>
    <x v="0"/>
    <x v="1"/>
    <x v="1"/>
    <x v="1"/>
    <x v="0"/>
  </r>
  <r>
    <n v="108"/>
    <x v="6"/>
    <x v="6"/>
    <x v="0"/>
    <x v="1"/>
    <x v="0"/>
    <x v="1"/>
    <x v="7"/>
    <s v="122.2"/>
    <x v="0"/>
    <x v="0"/>
    <x v="5"/>
    <x v="6"/>
    <x v="0"/>
    <x v="0"/>
    <x v="6"/>
    <x v="6"/>
    <x v="6"/>
    <x v="0"/>
  </r>
  <r>
    <n v="201"/>
    <x v="4"/>
    <x v="4"/>
    <x v="1"/>
    <x v="2"/>
    <x v="1"/>
    <x v="0"/>
    <x v="0"/>
    <s v="231.1"/>
    <x v="0"/>
    <x v="0"/>
    <x v="6"/>
    <x v="7"/>
    <x v="0"/>
    <x v="0"/>
    <x v="7"/>
    <x v="7"/>
    <x v="7"/>
    <x v="0"/>
  </r>
  <r>
    <n v="202"/>
    <x v="5"/>
    <x v="5"/>
    <x v="1"/>
    <x v="1"/>
    <x v="0"/>
    <x v="0"/>
    <x v="1"/>
    <s v="222.1"/>
    <x v="0"/>
    <x v="2"/>
    <x v="0"/>
    <x v="0"/>
    <x v="0"/>
    <x v="0"/>
    <x v="8"/>
    <x v="8"/>
    <x v="8"/>
    <x v="0"/>
  </r>
  <r>
    <n v="203"/>
    <x v="6"/>
    <x v="6"/>
    <x v="0"/>
    <x v="1"/>
    <x v="0"/>
    <x v="0"/>
    <x v="2"/>
    <s v="122.1"/>
    <x v="0"/>
    <x v="0"/>
    <x v="1"/>
    <x v="4"/>
    <x v="0"/>
    <x v="0"/>
    <x v="9"/>
    <x v="5"/>
    <x v="9"/>
    <x v="0"/>
  </r>
  <r>
    <n v="204"/>
    <x v="7"/>
    <x v="7"/>
    <x v="1"/>
    <x v="2"/>
    <x v="0"/>
    <x v="0"/>
    <x v="3"/>
    <s v="232.1"/>
    <x v="0"/>
    <x v="0"/>
    <x v="6"/>
    <x v="8"/>
    <x v="0"/>
    <x v="0"/>
    <x v="10"/>
    <x v="5"/>
    <x v="10"/>
    <x v="0"/>
  </r>
  <r>
    <n v="205"/>
    <x v="0"/>
    <x v="0"/>
    <x v="0"/>
    <x v="0"/>
    <x v="0"/>
    <x v="1"/>
    <x v="4"/>
    <s v="112.2"/>
    <x v="0"/>
    <x v="0"/>
    <x v="7"/>
    <x v="3"/>
    <x v="0"/>
    <x v="0"/>
    <x v="11"/>
    <x v="9"/>
    <x v="10"/>
    <x v="0"/>
  </r>
  <r>
    <n v="206"/>
    <x v="8"/>
    <x v="8"/>
    <x v="1"/>
    <x v="0"/>
    <x v="1"/>
    <x v="1"/>
    <x v="5"/>
    <s v="211.2"/>
    <x v="0"/>
    <x v="0"/>
    <x v="8"/>
    <x v="9"/>
    <x v="0"/>
    <x v="0"/>
    <x v="5"/>
    <x v="10"/>
    <x v="5"/>
    <x v="0"/>
  </r>
  <r>
    <n v="207"/>
    <x v="1"/>
    <x v="1"/>
    <x v="0"/>
    <x v="1"/>
    <x v="1"/>
    <x v="1"/>
    <x v="6"/>
    <s v="121.2"/>
    <x v="0"/>
    <x v="0"/>
    <x v="1"/>
    <x v="4"/>
    <x v="0"/>
    <x v="0"/>
    <x v="9"/>
    <x v="5"/>
    <x v="9"/>
    <x v="0"/>
  </r>
  <r>
    <n v="208"/>
    <x v="9"/>
    <x v="9"/>
    <x v="0"/>
    <x v="0"/>
    <x v="1"/>
    <x v="1"/>
    <x v="7"/>
    <s v="111.2"/>
    <x v="0"/>
    <x v="0"/>
    <x v="5"/>
    <x v="0"/>
    <x v="0"/>
    <x v="0"/>
    <x v="9"/>
    <x v="1"/>
    <x v="9"/>
    <x v="0"/>
  </r>
  <r>
    <n v="301"/>
    <x v="3"/>
    <x v="3"/>
    <x v="1"/>
    <x v="1"/>
    <x v="1"/>
    <x v="2"/>
    <x v="0"/>
    <s v="221.3"/>
    <x v="0"/>
    <x v="0"/>
    <x v="8"/>
    <x v="5"/>
    <x v="0"/>
    <x v="0"/>
    <x v="9"/>
    <x v="2"/>
    <x v="9"/>
    <x v="0"/>
  </r>
  <r>
    <n v="302"/>
    <x v="1"/>
    <x v="1"/>
    <x v="0"/>
    <x v="1"/>
    <x v="1"/>
    <x v="2"/>
    <x v="1"/>
    <s v="121.3"/>
    <x v="0"/>
    <x v="3"/>
    <x v="8"/>
    <x v="10"/>
    <x v="0"/>
    <x v="0"/>
    <x v="12"/>
    <x v="11"/>
    <x v="11"/>
    <x v="0"/>
  </r>
  <r>
    <n v="303"/>
    <x v="8"/>
    <x v="8"/>
    <x v="1"/>
    <x v="0"/>
    <x v="1"/>
    <x v="2"/>
    <x v="2"/>
    <s v="211.3"/>
    <x v="0"/>
    <x v="0"/>
    <x v="9"/>
    <x v="11"/>
    <x v="0"/>
    <x v="0"/>
    <x v="13"/>
    <x v="0"/>
    <x v="12"/>
    <x v="0"/>
  </r>
  <r>
    <n v="304"/>
    <x v="9"/>
    <x v="9"/>
    <x v="0"/>
    <x v="0"/>
    <x v="1"/>
    <x v="2"/>
    <x v="3"/>
    <s v="111.3"/>
    <x v="0"/>
    <x v="0"/>
    <x v="10"/>
    <x v="0"/>
    <x v="0"/>
    <x v="0"/>
    <x v="14"/>
    <x v="4"/>
    <x v="13"/>
    <x v="0"/>
  </r>
  <r>
    <n v="305"/>
    <x v="7"/>
    <x v="7"/>
    <x v="1"/>
    <x v="2"/>
    <x v="0"/>
    <x v="3"/>
    <x v="4"/>
    <s v="232.4"/>
    <x v="0"/>
    <x v="0"/>
    <x v="11"/>
    <x v="12"/>
    <x v="0"/>
    <x v="0"/>
    <x v="15"/>
    <x v="12"/>
    <x v="14"/>
    <x v="0"/>
  </r>
  <r>
    <n v="306"/>
    <x v="1"/>
    <x v="1"/>
    <x v="0"/>
    <x v="1"/>
    <x v="1"/>
    <x v="3"/>
    <x v="5"/>
    <s v="121.4"/>
    <x v="0"/>
    <x v="0"/>
    <x v="1"/>
    <x v="10"/>
    <x v="0"/>
    <x v="0"/>
    <x v="6"/>
    <x v="5"/>
    <x v="6"/>
    <x v="0"/>
  </r>
  <r>
    <n v="307"/>
    <x v="5"/>
    <x v="5"/>
    <x v="1"/>
    <x v="1"/>
    <x v="0"/>
    <x v="3"/>
    <x v="6"/>
    <s v="222.4"/>
    <x v="0"/>
    <x v="0"/>
    <x v="1"/>
    <x v="3"/>
    <x v="0"/>
    <x v="0"/>
    <x v="16"/>
    <x v="1"/>
    <x v="15"/>
    <x v="0"/>
  </r>
  <r>
    <n v="308"/>
    <x v="2"/>
    <x v="2"/>
    <x v="0"/>
    <x v="2"/>
    <x v="0"/>
    <x v="3"/>
    <x v="7"/>
    <s v="132.4"/>
    <x v="0"/>
    <x v="0"/>
    <x v="12"/>
    <x v="13"/>
    <x v="0"/>
    <x v="0"/>
    <x v="17"/>
    <x v="4"/>
    <x v="16"/>
    <x v="0"/>
  </r>
  <r>
    <n v="401"/>
    <x v="10"/>
    <x v="10"/>
    <x v="1"/>
    <x v="0"/>
    <x v="0"/>
    <x v="2"/>
    <x v="0"/>
    <s v="212.3"/>
    <x v="0"/>
    <x v="0"/>
    <x v="13"/>
    <x v="1"/>
    <x v="0"/>
    <x v="0"/>
    <x v="18"/>
    <x v="4"/>
    <x v="17"/>
    <x v="0"/>
  </r>
  <r>
    <n v="402"/>
    <x v="5"/>
    <x v="5"/>
    <x v="1"/>
    <x v="1"/>
    <x v="0"/>
    <x v="2"/>
    <x v="1"/>
    <s v="222.3"/>
    <x v="0"/>
    <x v="4"/>
    <x v="14"/>
    <x v="14"/>
    <x v="0"/>
    <x v="0"/>
    <x v="19"/>
    <x v="13"/>
    <x v="18"/>
    <x v="0"/>
  </r>
  <r>
    <n v="403"/>
    <x v="11"/>
    <x v="11"/>
    <x v="0"/>
    <x v="2"/>
    <x v="1"/>
    <x v="2"/>
    <x v="2"/>
    <s v="131.3"/>
    <x v="0"/>
    <x v="0"/>
    <x v="15"/>
    <x v="15"/>
    <x v="0"/>
    <x v="0"/>
    <x v="20"/>
    <x v="2"/>
    <x v="19"/>
    <x v="0"/>
  </r>
  <r>
    <n v="404"/>
    <x v="6"/>
    <x v="6"/>
    <x v="0"/>
    <x v="1"/>
    <x v="0"/>
    <x v="2"/>
    <x v="3"/>
    <s v="122.3"/>
    <x v="0"/>
    <x v="0"/>
    <x v="1"/>
    <x v="16"/>
    <x v="0"/>
    <x v="0"/>
    <x v="21"/>
    <x v="7"/>
    <x v="20"/>
    <x v="0"/>
  </r>
  <r>
    <n v="405"/>
    <x v="11"/>
    <x v="11"/>
    <x v="0"/>
    <x v="2"/>
    <x v="1"/>
    <x v="3"/>
    <x v="4"/>
    <s v="131.4"/>
    <x v="0"/>
    <x v="0"/>
    <x v="16"/>
    <x v="17"/>
    <x v="0"/>
    <x v="0"/>
    <x v="22"/>
    <x v="10"/>
    <x v="21"/>
    <x v="0"/>
  </r>
  <r>
    <n v="406"/>
    <x v="6"/>
    <x v="6"/>
    <x v="0"/>
    <x v="1"/>
    <x v="0"/>
    <x v="3"/>
    <x v="5"/>
    <s v="122.4"/>
    <x v="0"/>
    <x v="0"/>
    <x v="17"/>
    <x v="18"/>
    <x v="0"/>
    <x v="0"/>
    <x v="23"/>
    <x v="14"/>
    <x v="21"/>
    <x v="0"/>
  </r>
  <r>
    <n v="407"/>
    <x v="10"/>
    <x v="10"/>
    <x v="1"/>
    <x v="0"/>
    <x v="0"/>
    <x v="3"/>
    <x v="6"/>
    <s v="212.4"/>
    <x v="0"/>
    <x v="0"/>
    <x v="1"/>
    <x v="10"/>
    <x v="0"/>
    <x v="0"/>
    <x v="6"/>
    <x v="5"/>
    <x v="6"/>
    <x v="0"/>
  </r>
  <r>
    <n v="408"/>
    <x v="3"/>
    <x v="3"/>
    <x v="1"/>
    <x v="1"/>
    <x v="1"/>
    <x v="3"/>
    <x v="7"/>
    <s v="221.4"/>
    <x v="0"/>
    <x v="0"/>
    <x v="8"/>
    <x v="4"/>
    <x v="0"/>
    <x v="0"/>
    <x v="24"/>
    <x v="1"/>
    <x v="22"/>
    <x v="0"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01"/>
    <x v="0"/>
    <x v="0"/>
    <x v="0"/>
    <x v="0"/>
    <x v="0"/>
    <x v="0"/>
    <x v="0"/>
    <s v="112.1"/>
    <x v="0"/>
    <x v="0"/>
    <x v="0"/>
    <x v="0"/>
    <x v="0"/>
    <x v="0"/>
    <x v="0"/>
    <x v="0"/>
    <x v="0"/>
    <x v="0"/>
  </r>
  <r>
    <n v="102"/>
    <x v="1"/>
    <x v="1"/>
    <x v="0"/>
    <x v="1"/>
    <x v="1"/>
    <x v="0"/>
    <x v="1"/>
    <s v="121.1"/>
    <x v="0"/>
    <x v="1"/>
    <x v="1"/>
    <x v="1"/>
    <x v="0"/>
    <x v="0"/>
    <x v="1"/>
    <x v="1"/>
    <x v="1"/>
    <x v="0"/>
  </r>
  <r>
    <n v="103"/>
    <x v="2"/>
    <x v="2"/>
    <x v="0"/>
    <x v="2"/>
    <x v="0"/>
    <x v="0"/>
    <x v="2"/>
    <s v="132.1"/>
    <x v="0"/>
    <x v="0"/>
    <x v="2"/>
    <x v="2"/>
    <x v="0"/>
    <x v="0"/>
    <x v="2"/>
    <x v="2"/>
    <x v="2"/>
    <x v="0"/>
  </r>
  <r>
    <n v="104"/>
    <x v="3"/>
    <x v="3"/>
    <x v="1"/>
    <x v="1"/>
    <x v="1"/>
    <x v="0"/>
    <x v="3"/>
    <s v="221.1"/>
    <x v="0"/>
    <x v="0"/>
    <x v="3"/>
    <x v="3"/>
    <x v="0"/>
    <x v="0"/>
    <x v="3"/>
    <x v="3"/>
    <x v="3"/>
    <x v="0"/>
  </r>
  <r>
    <n v="105"/>
    <x v="4"/>
    <x v="4"/>
    <x v="1"/>
    <x v="2"/>
    <x v="1"/>
    <x v="1"/>
    <x v="4"/>
    <s v="231.2"/>
    <x v="0"/>
    <x v="0"/>
    <x v="4"/>
    <x v="2"/>
    <x v="0"/>
    <x v="0"/>
    <x v="4"/>
    <x v="4"/>
    <x v="4"/>
    <x v="0"/>
  </r>
  <r>
    <n v="106"/>
    <x v="5"/>
    <x v="5"/>
    <x v="1"/>
    <x v="1"/>
    <x v="0"/>
    <x v="1"/>
    <x v="5"/>
    <s v="222.2"/>
    <x v="0"/>
    <x v="0"/>
    <x v="0"/>
    <x v="4"/>
    <x v="0"/>
    <x v="0"/>
    <x v="5"/>
    <x v="5"/>
    <x v="5"/>
    <x v="0"/>
  </r>
  <r>
    <n v="107"/>
    <x v="3"/>
    <x v="3"/>
    <x v="1"/>
    <x v="1"/>
    <x v="1"/>
    <x v="1"/>
    <x v="6"/>
    <s v="221.2"/>
    <x v="0"/>
    <x v="0"/>
    <x v="1"/>
    <x v="5"/>
    <x v="0"/>
    <x v="0"/>
    <x v="1"/>
    <x v="1"/>
    <x v="1"/>
    <x v="0"/>
  </r>
  <r>
    <n v="108"/>
    <x v="6"/>
    <x v="6"/>
    <x v="0"/>
    <x v="1"/>
    <x v="0"/>
    <x v="1"/>
    <x v="7"/>
    <s v="122.2"/>
    <x v="0"/>
    <x v="0"/>
    <x v="5"/>
    <x v="6"/>
    <x v="0"/>
    <x v="0"/>
    <x v="6"/>
    <x v="6"/>
    <x v="6"/>
    <x v="0"/>
  </r>
  <r>
    <n v="201"/>
    <x v="4"/>
    <x v="4"/>
    <x v="1"/>
    <x v="2"/>
    <x v="1"/>
    <x v="0"/>
    <x v="0"/>
    <s v="231.1"/>
    <x v="0"/>
    <x v="0"/>
    <x v="6"/>
    <x v="7"/>
    <x v="0"/>
    <x v="0"/>
    <x v="7"/>
    <x v="7"/>
    <x v="7"/>
    <x v="0"/>
  </r>
  <r>
    <n v="202"/>
    <x v="5"/>
    <x v="5"/>
    <x v="1"/>
    <x v="1"/>
    <x v="0"/>
    <x v="0"/>
    <x v="1"/>
    <s v="222.1"/>
    <x v="0"/>
    <x v="2"/>
    <x v="0"/>
    <x v="0"/>
    <x v="0"/>
    <x v="0"/>
    <x v="8"/>
    <x v="8"/>
    <x v="8"/>
    <x v="0"/>
  </r>
  <r>
    <n v="203"/>
    <x v="6"/>
    <x v="6"/>
    <x v="0"/>
    <x v="1"/>
    <x v="0"/>
    <x v="0"/>
    <x v="2"/>
    <s v="122.1"/>
    <x v="0"/>
    <x v="0"/>
    <x v="1"/>
    <x v="4"/>
    <x v="0"/>
    <x v="0"/>
    <x v="9"/>
    <x v="5"/>
    <x v="9"/>
    <x v="0"/>
  </r>
  <r>
    <n v="204"/>
    <x v="7"/>
    <x v="7"/>
    <x v="1"/>
    <x v="2"/>
    <x v="0"/>
    <x v="0"/>
    <x v="3"/>
    <s v="232.1"/>
    <x v="0"/>
    <x v="0"/>
    <x v="6"/>
    <x v="8"/>
    <x v="0"/>
    <x v="0"/>
    <x v="10"/>
    <x v="5"/>
    <x v="10"/>
    <x v="0"/>
  </r>
  <r>
    <n v="205"/>
    <x v="0"/>
    <x v="0"/>
    <x v="0"/>
    <x v="0"/>
    <x v="0"/>
    <x v="1"/>
    <x v="4"/>
    <s v="112.2"/>
    <x v="0"/>
    <x v="0"/>
    <x v="7"/>
    <x v="3"/>
    <x v="0"/>
    <x v="0"/>
    <x v="11"/>
    <x v="9"/>
    <x v="10"/>
    <x v="0"/>
  </r>
  <r>
    <n v="206"/>
    <x v="8"/>
    <x v="8"/>
    <x v="1"/>
    <x v="0"/>
    <x v="1"/>
    <x v="1"/>
    <x v="5"/>
    <s v="211.2"/>
    <x v="0"/>
    <x v="0"/>
    <x v="8"/>
    <x v="9"/>
    <x v="0"/>
    <x v="0"/>
    <x v="5"/>
    <x v="10"/>
    <x v="5"/>
    <x v="0"/>
  </r>
  <r>
    <n v="207"/>
    <x v="1"/>
    <x v="1"/>
    <x v="0"/>
    <x v="1"/>
    <x v="1"/>
    <x v="1"/>
    <x v="6"/>
    <s v="121.2"/>
    <x v="0"/>
    <x v="0"/>
    <x v="1"/>
    <x v="4"/>
    <x v="0"/>
    <x v="0"/>
    <x v="9"/>
    <x v="5"/>
    <x v="9"/>
    <x v="0"/>
  </r>
  <r>
    <n v="208"/>
    <x v="9"/>
    <x v="9"/>
    <x v="0"/>
    <x v="0"/>
    <x v="1"/>
    <x v="1"/>
    <x v="7"/>
    <s v="111.2"/>
    <x v="0"/>
    <x v="0"/>
    <x v="5"/>
    <x v="0"/>
    <x v="0"/>
    <x v="0"/>
    <x v="9"/>
    <x v="1"/>
    <x v="9"/>
    <x v="0"/>
  </r>
  <r>
    <n v="301"/>
    <x v="3"/>
    <x v="3"/>
    <x v="1"/>
    <x v="1"/>
    <x v="1"/>
    <x v="2"/>
    <x v="0"/>
    <s v="221.3"/>
    <x v="0"/>
    <x v="0"/>
    <x v="8"/>
    <x v="5"/>
    <x v="0"/>
    <x v="0"/>
    <x v="9"/>
    <x v="2"/>
    <x v="9"/>
    <x v="0"/>
  </r>
  <r>
    <n v="302"/>
    <x v="1"/>
    <x v="1"/>
    <x v="0"/>
    <x v="1"/>
    <x v="1"/>
    <x v="2"/>
    <x v="1"/>
    <s v="121.3"/>
    <x v="0"/>
    <x v="3"/>
    <x v="8"/>
    <x v="10"/>
    <x v="0"/>
    <x v="0"/>
    <x v="12"/>
    <x v="11"/>
    <x v="11"/>
    <x v="0"/>
  </r>
  <r>
    <n v="303"/>
    <x v="8"/>
    <x v="8"/>
    <x v="1"/>
    <x v="0"/>
    <x v="1"/>
    <x v="2"/>
    <x v="2"/>
    <s v="211.3"/>
    <x v="0"/>
    <x v="0"/>
    <x v="9"/>
    <x v="11"/>
    <x v="0"/>
    <x v="0"/>
    <x v="13"/>
    <x v="0"/>
    <x v="12"/>
    <x v="0"/>
  </r>
  <r>
    <n v="304"/>
    <x v="9"/>
    <x v="9"/>
    <x v="0"/>
    <x v="0"/>
    <x v="1"/>
    <x v="2"/>
    <x v="3"/>
    <s v="111.3"/>
    <x v="0"/>
    <x v="0"/>
    <x v="10"/>
    <x v="0"/>
    <x v="0"/>
    <x v="0"/>
    <x v="14"/>
    <x v="4"/>
    <x v="13"/>
    <x v="0"/>
  </r>
  <r>
    <n v="305"/>
    <x v="7"/>
    <x v="7"/>
    <x v="1"/>
    <x v="2"/>
    <x v="0"/>
    <x v="3"/>
    <x v="4"/>
    <s v="232.4"/>
    <x v="0"/>
    <x v="0"/>
    <x v="11"/>
    <x v="12"/>
    <x v="0"/>
    <x v="0"/>
    <x v="15"/>
    <x v="12"/>
    <x v="14"/>
    <x v="0"/>
  </r>
  <r>
    <n v="306"/>
    <x v="1"/>
    <x v="1"/>
    <x v="0"/>
    <x v="1"/>
    <x v="1"/>
    <x v="3"/>
    <x v="5"/>
    <s v="121.4"/>
    <x v="0"/>
    <x v="0"/>
    <x v="1"/>
    <x v="10"/>
    <x v="0"/>
    <x v="0"/>
    <x v="6"/>
    <x v="5"/>
    <x v="6"/>
    <x v="0"/>
  </r>
  <r>
    <n v="307"/>
    <x v="5"/>
    <x v="5"/>
    <x v="1"/>
    <x v="1"/>
    <x v="0"/>
    <x v="3"/>
    <x v="6"/>
    <s v="222.4"/>
    <x v="0"/>
    <x v="0"/>
    <x v="1"/>
    <x v="3"/>
    <x v="0"/>
    <x v="0"/>
    <x v="16"/>
    <x v="1"/>
    <x v="15"/>
    <x v="0"/>
  </r>
  <r>
    <n v="308"/>
    <x v="2"/>
    <x v="2"/>
    <x v="0"/>
    <x v="2"/>
    <x v="0"/>
    <x v="3"/>
    <x v="7"/>
    <s v="132.4"/>
    <x v="0"/>
    <x v="0"/>
    <x v="12"/>
    <x v="13"/>
    <x v="0"/>
    <x v="0"/>
    <x v="17"/>
    <x v="4"/>
    <x v="16"/>
    <x v="0"/>
  </r>
  <r>
    <n v="401"/>
    <x v="10"/>
    <x v="10"/>
    <x v="1"/>
    <x v="0"/>
    <x v="0"/>
    <x v="2"/>
    <x v="0"/>
    <s v="212.3"/>
    <x v="0"/>
    <x v="0"/>
    <x v="13"/>
    <x v="1"/>
    <x v="0"/>
    <x v="0"/>
    <x v="18"/>
    <x v="4"/>
    <x v="17"/>
    <x v="0"/>
  </r>
  <r>
    <n v="402"/>
    <x v="5"/>
    <x v="5"/>
    <x v="1"/>
    <x v="1"/>
    <x v="0"/>
    <x v="2"/>
    <x v="1"/>
    <s v="222.3"/>
    <x v="0"/>
    <x v="4"/>
    <x v="14"/>
    <x v="14"/>
    <x v="0"/>
    <x v="0"/>
    <x v="19"/>
    <x v="13"/>
    <x v="18"/>
    <x v="0"/>
  </r>
  <r>
    <n v="403"/>
    <x v="11"/>
    <x v="11"/>
    <x v="0"/>
    <x v="2"/>
    <x v="1"/>
    <x v="2"/>
    <x v="2"/>
    <s v="131.3"/>
    <x v="0"/>
    <x v="0"/>
    <x v="15"/>
    <x v="15"/>
    <x v="0"/>
    <x v="0"/>
    <x v="20"/>
    <x v="2"/>
    <x v="19"/>
    <x v="0"/>
  </r>
  <r>
    <n v="404"/>
    <x v="6"/>
    <x v="6"/>
    <x v="0"/>
    <x v="1"/>
    <x v="0"/>
    <x v="2"/>
    <x v="3"/>
    <s v="122.3"/>
    <x v="0"/>
    <x v="0"/>
    <x v="1"/>
    <x v="16"/>
    <x v="0"/>
    <x v="0"/>
    <x v="21"/>
    <x v="7"/>
    <x v="20"/>
    <x v="0"/>
  </r>
  <r>
    <n v="405"/>
    <x v="11"/>
    <x v="11"/>
    <x v="0"/>
    <x v="2"/>
    <x v="1"/>
    <x v="3"/>
    <x v="4"/>
    <s v="131.4"/>
    <x v="0"/>
    <x v="0"/>
    <x v="16"/>
    <x v="17"/>
    <x v="0"/>
    <x v="0"/>
    <x v="22"/>
    <x v="10"/>
    <x v="21"/>
    <x v="0"/>
  </r>
  <r>
    <n v="406"/>
    <x v="6"/>
    <x v="6"/>
    <x v="0"/>
    <x v="1"/>
    <x v="0"/>
    <x v="3"/>
    <x v="5"/>
    <s v="122.4"/>
    <x v="0"/>
    <x v="0"/>
    <x v="17"/>
    <x v="18"/>
    <x v="0"/>
    <x v="0"/>
    <x v="23"/>
    <x v="14"/>
    <x v="21"/>
    <x v="0"/>
  </r>
  <r>
    <n v="407"/>
    <x v="10"/>
    <x v="10"/>
    <x v="1"/>
    <x v="0"/>
    <x v="0"/>
    <x v="3"/>
    <x v="6"/>
    <s v="212.4"/>
    <x v="0"/>
    <x v="0"/>
    <x v="1"/>
    <x v="10"/>
    <x v="0"/>
    <x v="0"/>
    <x v="6"/>
    <x v="5"/>
    <x v="6"/>
    <x v="0"/>
  </r>
  <r>
    <n v="408"/>
    <x v="3"/>
    <x v="3"/>
    <x v="1"/>
    <x v="1"/>
    <x v="1"/>
    <x v="3"/>
    <x v="7"/>
    <s v="221.4"/>
    <x v="0"/>
    <x v="0"/>
    <x v="8"/>
    <x v="4"/>
    <x v="0"/>
    <x v="0"/>
    <x v="24"/>
    <x v="1"/>
    <x v="22"/>
    <x v="0"/>
  </r>
</pivotCacheRecords>
</file>

<file path=xl/pivotCache/pivotCacheRecords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01"/>
    <x v="0"/>
    <x v="0"/>
    <x v="0"/>
    <x v="0"/>
    <x v="0"/>
    <x v="0"/>
    <x v="0"/>
    <s v="112.1"/>
    <x v="0"/>
    <x v="0"/>
    <x v="0"/>
    <x v="0"/>
    <x v="0"/>
    <x v="0"/>
    <x v="0"/>
    <x v="0"/>
    <x v="0"/>
    <x v="0"/>
  </r>
  <r>
    <n v="102"/>
    <x v="1"/>
    <x v="1"/>
    <x v="0"/>
    <x v="1"/>
    <x v="1"/>
    <x v="0"/>
    <x v="1"/>
    <s v="121.1"/>
    <x v="0"/>
    <x v="1"/>
    <x v="1"/>
    <x v="1"/>
    <x v="0"/>
    <x v="0"/>
    <x v="0"/>
    <x v="1"/>
    <x v="0"/>
    <x v="0"/>
  </r>
  <r>
    <n v="103"/>
    <x v="2"/>
    <x v="2"/>
    <x v="0"/>
    <x v="2"/>
    <x v="0"/>
    <x v="0"/>
    <x v="2"/>
    <s v="132.1"/>
    <x v="0"/>
    <x v="0"/>
    <x v="2"/>
    <x v="2"/>
    <x v="0"/>
    <x v="0"/>
    <x v="1"/>
    <x v="0"/>
    <x v="1"/>
    <x v="0"/>
  </r>
  <r>
    <n v="104"/>
    <x v="3"/>
    <x v="3"/>
    <x v="1"/>
    <x v="1"/>
    <x v="1"/>
    <x v="0"/>
    <x v="3"/>
    <s v="221.1"/>
    <x v="0"/>
    <x v="0"/>
    <x v="3"/>
    <x v="3"/>
    <x v="0"/>
    <x v="0"/>
    <x v="2"/>
    <x v="2"/>
    <x v="2"/>
    <x v="0"/>
  </r>
  <r>
    <n v="105"/>
    <x v="4"/>
    <x v="4"/>
    <x v="1"/>
    <x v="2"/>
    <x v="1"/>
    <x v="1"/>
    <x v="4"/>
    <s v="231.2"/>
    <x v="0"/>
    <x v="0"/>
    <x v="4"/>
    <x v="4"/>
    <x v="0"/>
    <x v="0"/>
    <x v="3"/>
    <x v="3"/>
    <x v="3"/>
    <x v="0"/>
  </r>
  <r>
    <n v="106"/>
    <x v="5"/>
    <x v="5"/>
    <x v="1"/>
    <x v="1"/>
    <x v="0"/>
    <x v="1"/>
    <x v="5"/>
    <s v="222.2"/>
    <x v="0"/>
    <x v="0"/>
    <x v="0"/>
    <x v="5"/>
    <x v="0"/>
    <x v="0"/>
    <x v="4"/>
    <x v="3"/>
    <x v="4"/>
    <x v="0"/>
  </r>
  <r>
    <n v="107"/>
    <x v="3"/>
    <x v="3"/>
    <x v="1"/>
    <x v="1"/>
    <x v="1"/>
    <x v="1"/>
    <x v="6"/>
    <s v="221.2"/>
    <x v="0"/>
    <x v="0"/>
    <x v="3"/>
    <x v="6"/>
    <x v="0"/>
    <x v="0"/>
    <x v="5"/>
    <x v="0"/>
    <x v="5"/>
    <x v="0"/>
  </r>
  <r>
    <n v="108"/>
    <x v="6"/>
    <x v="6"/>
    <x v="0"/>
    <x v="1"/>
    <x v="0"/>
    <x v="1"/>
    <x v="7"/>
    <s v="122.2"/>
    <x v="0"/>
    <x v="0"/>
    <x v="1"/>
    <x v="0"/>
    <x v="0"/>
    <x v="0"/>
    <x v="6"/>
    <x v="3"/>
    <x v="6"/>
    <x v="0"/>
  </r>
  <r>
    <n v="201"/>
    <x v="4"/>
    <x v="4"/>
    <x v="1"/>
    <x v="2"/>
    <x v="1"/>
    <x v="0"/>
    <x v="0"/>
    <s v="231.1"/>
    <x v="0"/>
    <x v="0"/>
    <x v="5"/>
    <x v="7"/>
    <x v="0"/>
    <x v="0"/>
    <x v="7"/>
    <x v="4"/>
    <x v="7"/>
    <x v="0"/>
  </r>
  <r>
    <n v="202"/>
    <x v="5"/>
    <x v="5"/>
    <x v="1"/>
    <x v="1"/>
    <x v="0"/>
    <x v="0"/>
    <x v="1"/>
    <s v="222.1"/>
    <x v="0"/>
    <x v="2"/>
    <x v="6"/>
    <x v="8"/>
    <x v="0"/>
    <x v="0"/>
    <x v="8"/>
    <x v="5"/>
    <x v="8"/>
    <x v="0"/>
  </r>
  <r>
    <n v="203"/>
    <x v="6"/>
    <x v="6"/>
    <x v="0"/>
    <x v="1"/>
    <x v="0"/>
    <x v="0"/>
    <x v="2"/>
    <s v="122.1"/>
    <x v="0"/>
    <x v="0"/>
    <x v="7"/>
    <x v="5"/>
    <x v="0"/>
    <x v="0"/>
    <x v="5"/>
    <x v="6"/>
    <x v="5"/>
    <x v="0"/>
  </r>
  <r>
    <n v="204"/>
    <x v="7"/>
    <x v="7"/>
    <x v="1"/>
    <x v="2"/>
    <x v="0"/>
    <x v="0"/>
    <x v="3"/>
    <s v="232.1"/>
    <x v="0"/>
    <x v="0"/>
    <x v="8"/>
    <x v="7"/>
    <x v="0"/>
    <x v="0"/>
    <x v="9"/>
    <x v="7"/>
    <x v="9"/>
    <x v="0"/>
  </r>
  <r>
    <n v="205"/>
    <x v="0"/>
    <x v="0"/>
    <x v="0"/>
    <x v="0"/>
    <x v="0"/>
    <x v="1"/>
    <x v="4"/>
    <s v="112.2"/>
    <x v="0"/>
    <x v="0"/>
    <x v="9"/>
    <x v="3"/>
    <x v="0"/>
    <x v="0"/>
    <x v="5"/>
    <x v="8"/>
    <x v="5"/>
    <x v="0"/>
  </r>
  <r>
    <n v="206"/>
    <x v="8"/>
    <x v="8"/>
    <x v="1"/>
    <x v="0"/>
    <x v="1"/>
    <x v="1"/>
    <x v="5"/>
    <s v="211.2"/>
    <x v="0"/>
    <x v="0"/>
    <x v="10"/>
    <x v="1"/>
    <x v="0"/>
    <x v="0"/>
    <x v="10"/>
    <x v="8"/>
    <x v="10"/>
    <x v="0"/>
  </r>
  <r>
    <n v="207"/>
    <x v="1"/>
    <x v="1"/>
    <x v="0"/>
    <x v="1"/>
    <x v="1"/>
    <x v="1"/>
    <x v="6"/>
    <s v="121.2"/>
    <x v="0"/>
    <x v="0"/>
    <x v="3"/>
    <x v="8"/>
    <x v="0"/>
    <x v="0"/>
    <x v="11"/>
    <x v="3"/>
    <x v="11"/>
    <x v="0"/>
  </r>
  <r>
    <n v="208"/>
    <x v="9"/>
    <x v="9"/>
    <x v="0"/>
    <x v="0"/>
    <x v="1"/>
    <x v="1"/>
    <x v="7"/>
    <s v="111.2"/>
    <x v="0"/>
    <x v="0"/>
    <x v="10"/>
    <x v="5"/>
    <x v="0"/>
    <x v="0"/>
    <x v="11"/>
    <x v="9"/>
    <x v="11"/>
    <x v="0"/>
  </r>
  <r>
    <n v="301"/>
    <x v="3"/>
    <x v="3"/>
    <x v="1"/>
    <x v="1"/>
    <x v="1"/>
    <x v="2"/>
    <x v="0"/>
    <s v="221.3"/>
    <x v="0"/>
    <x v="0"/>
    <x v="1"/>
    <x v="6"/>
    <x v="0"/>
    <x v="0"/>
    <x v="0"/>
    <x v="10"/>
    <x v="0"/>
    <x v="0"/>
  </r>
  <r>
    <n v="302"/>
    <x v="1"/>
    <x v="1"/>
    <x v="0"/>
    <x v="1"/>
    <x v="1"/>
    <x v="2"/>
    <x v="1"/>
    <s v="121.3"/>
    <x v="0"/>
    <x v="0"/>
    <x v="6"/>
    <x v="9"/>
    <x v="0"/>
    <x v="0"/>
    <x v="2"/>
    <x v="11"/>
    <x v="2"/>
    <x v="0"/>
  </r>
  <r>
    <n v="303"/>
    <x v="8"/>
    <x v="8"/>
    <x v="1"/>
    <x v="0"/>
    <x v="1"/>
    <x v="2"/>
    <x v="2"/>
    <s v="211.3"/>
    <x v="0"/>
    <x v="0"/>
    <x v="11"/>
    <x v="10"/>
    <x v="0"/>
    <x v="0"/>
    <x v="12"/>
    <x v="0"/>
    <x v="12"/>
    <x v="0"/>
  </r>
  <r>
    <n v="304"/>
    <x v="9"/>
    <x v="9"/>
    <x v="0"/>
    <x v="0"/>
    <x v="1"/>
    <x v="2"/>
    <x v="3"/>
    <s v="111.3"/>
    <x v="0"/>
    <x v="0"/>
    <x v="12"/>
    <x v="6"/>
    <x v="0"/>
    <x v="0"/>
    <x v="13"/>
    <x v="0"/>
    <x v="13"/>
    <x v="0"/>
  </r>
  <r>
    <n v="305"/>
    <x v="7"/>
    <x v="7"/>
    <x v="1"/>
    <x v="2"/>
    <x v="0"/>
    <x v="3"/>
    <x v="4"/>
    <s v="232.4"/>
    <x v="0"/>
    <x v="0"/>
    <x v="13"/>
    <x v="11"/>
    <x v="0"/>
    <x v="0"/>
    <x v="14"/>
    <x v="12"/>
    <x v="14"/>
    <x v="0"/>
  </r>
  <r>
    <n v="306"/>
    <x v="1"/>
    <x v="1"/>
    <x v="0"/>
    <x v="1"/>
    <x v="1"/>
    <x v="3"/>
    <x v="5"/>
    <s v="121.4"/>
    <x v="0"/>
    <x v="0"/>
    <x v="14"/>
    <x v="12"/>
    <x v="0"/>
    <x v="0"/>
    <x v="6"/>
    <x v="7"/>
    <x v="6"/>
    <x v="0"/>
  </r>
  <r>
    <n v="307"/>
    <x v="5"/>
    <x v="5"/>
    <x v="1"/>
    <x v="1"/>
    <x v="0"/>
    <x v="3"/>
    <x v="6"/>
    <s v="222.4"/>
    <x v="0"/>
    <x v="0"/>
    <x v="14"/>
    <x v="13"/>
    <x v="0"/>
    <x v="0"/>
    <x v="2"/>
    <x v="0"/>
    <x v="2"/>
    <x v="0"/>
  </r>
  <r>
    <n v="308"/>
    <x v="2"/>
    <x v="2"/>
    <x v="0"/>
    <x v="2"/>
    <x v="0"/>
    <x v="3"/>
    <x v="7"/>
    <s v="132.4"/>
    <x v="0"/>
    <x v="0"/>
    <x v="15"/>
    <x v="4"/>
    <x v="0"/>
    <x v="0"/>
    <x v="14"/>
    <x v="7"/>
    <x v="14"/>
    <x v="0"/>
  </r>
  <r>
    <n v="401"/>
    <x v="10"/>
    <x v="10"/>
    <x v="1"/>
    <x v="0"/>
    <x v="0"/>
    <x v="2"/>
    <x v="0"/>
    <s v="212.3"/>
    <x v="0"/>
    <x v="0"/>
    <x v="0"/>
    <x v="14"/>
    <x v="0"/>
    <x v="0"/>
    <x v="10"/>
    <x v="6"/>
    <x v="10"/>
    <x v="0"/>
  </r>
  <r>
    <n v="402"/>
    <x v="5"/>
    <x v="5"/>
    <x v="1"/>
    <x v="1"/>
    <x v="0"/>
    <x v="2"/>
    <x v="1"/>
    <s v="222.3"/>
    <x v="0"/>
    <x v="3"/>
    <x v="11"/>
    <x v="0"/>
    <x v="0"/>
    <x v="0"/>
    <x v="0"/>
    <x v="13"/>
    <x v="0"/>
    <x v="0"/>
  </r>
  <r>
    <n v="403"/>
    <x v="11"/>
    <x v="11"/>
    <x v="0"/>
    <x v="2"/>
    <x v="1"/>
    <x v="2"/>
    <x v="2"/>
    <s v="131.3"/>
    <x v="0"/>
    <x v="0"/>
    <x v="16"/>
    <x v="15"/>
    <x v="0"/>
    <x v="0"/>
    <x v="15"/>
    <x v="7"/>
    <x v="15"/>
    <x v="0"/>
  </r>
  <r>
    <n v="404"/>
    <x v="6"/>
    <x v="6"/>
    <x v="0"/>
    <x v="1"/>
    <x v="0"/>
    <x v="2"/>
    <x v="3"/>
    <s v="122.3"/>
    <x v="0"/>
    <x v="0"/>
    <x v="3"/>
    <x v="16"/>
    <x v="0"/>
    <x v="0"/>
    <x v="16"/>
    <x v="11"/>
    <x v="16"/>
    <x v="0"/>
  </r>
  <r>
    <n v="405"/>
    <x v="11"/>
    <x v="11"/>
    <x v="0"/>
    <x v="2"/>
    <x v="1"/>
    <x v="3"/>
    <x v="4"/>
    <s v="131.4"/>
    <x v="0"/>
    <x v="0"/>
    <x v="17"/>
    <x v="17"/>
    <x v="0"/>
    <x v="0"/>
    <x v="17"/>
    <x v="10"/>
    <x v="17"/>
    <x v="0"/>
  </r>
  <r>
    <n v="406"/>
    <x v="6"/>
    <x v="6"/>
    <x v="0"/>
    <x v="1"/>
    <x v="0"/>
    <x v="3"/>
    <x v="5"/>
    <s v="122.4"/>
    <x v="0"/>
    <x v="0"/>
    <x v="18"/>
    <x v="14"/>
    <x v="0"/>
    <x v="0"/>
    <x v="18"/>
    <x v="0"/>
    <x v="18"/>
    <x v="0"/>
  </r>
  <r>
    <n v="407"/>
    <x v="10"/>
    <x v="10"/>
    <x v="1"/>
    <x v="0"/>
    <x v="0"/>
    <x v="3"/>
    <x v="6"/>
    <s v="212.4"/>
    <x v="0"/>
    <x v="0"/>
    <x v="3"/>
    <x v="8"/>
    <x v="0"/>
    <x v="0"/>
    <x v="11"/>
    <x v="3"/>
    <x v="11"/>
    <x v="0"/>
  </r>
  <r>
    <n v="408"/>
    <x v="3"/>
    <x v="3"/>
    <x v="1"/>
    <x v="1"/>
    <x v="1"/>
    <x v="3"/>
    <x v="7"/>
    <s v="221.4"/>
    <x v="0"/>
    <x v="0"/>
    <x v="19"/>
    <x v="14"/>
    <x v="0"/>
    <x v="0"/>
    <x v="19"/>
    <x v="10"/>
    <x v="19"/>
    <x v="0"/>
  </r>
</pivotCacheRecords>
</file>

<file path=xl/pivotCache/pivotCacheRecords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01"/>
    <x v="0"/>
    <x v="0"/>
    <x v="0"/>
    <x v="0"/>
    <x v="0"/>
    <x v="0"/>
    <x v="0"/>
    <s v="112.1"/>
    <x v="0"/>
    <x v="0"/>
    <x v="0"/>
    <x v="0"/>
    <x v="0"/>
    <x v="0"/>
    <x v="0"/>
    <x v="0"/>
    <x v="0"/>
    <x v="0"/>
  </r>
  <r>
    <n v="102"/>
    <x v="1"/>
    <x v="1"/>
    <x v="0"/>
    <x v="1"/>
    <x v="1"/>
    <x v="0"/>
    <x v="1"/>
    <s v="121.1"/>
    <x v="0"/>
    <x v="1"/>
    <x v="1"/>
    <x v="1"/>
    <x v="0"/>
    <x v="0"/>
    <x v="0"/>
    <x v="1"/>
    <x v="0"/>
    <x v="0"/>
  </r>
  <r>
    <n v="103"/>
    <x v="2"/>
    <x v="2"/>
    <x v="0"/>
    <x v="2"/>
    <x v="0"/>
    <x v="0"/>
    <x v="2"/>
    <s v="132.1"/>
    <x v="0"/>
    <x v="0"/>
    <x v="2"/>
    <x v="2"/>
    <x v="0"/>
    <x v="0"/>
    <x v="1"/>
    <x v="0"/>
    <x v="1"/>
    <x v="0"/>
  </r>
  <r>
    <n v="104"/>
    <x v="3"/>
    <x v="3"/>
    <x v="1"/>
    <x v="1"/>
    <x v="1"/>
    <x v="0"/>
    <x v="3"/>
    <s v="221.1"/>
    <x v="0"/>
    <x v="0"/>
    <x v="3"/>
    <x v="3"/>
    <x v="0"/>
    <x v="0"/>
    <x v="2"/>
    <x v="2"/>
    <x v="2"/>
    <x v="0"/>
  </r>
  <r>
    <n v="105"/>
    <x v="4"/>
    <x v="4"/>
    <x v="1"/>
    <x v="2"/>
    <x v="1"/>
    <x v="1"/>
    <x v="4"/>
    <s v="231.2"/>
    <x v="0"/>
    <x v="0"/>
    <x v="4"/>
    <x v="4"/>
    <x v="0"/>
    <x v="0"/>
    <x v="3"/>
    <x v="3"/>
    <x v="3"/>
    <x v="0"/>
  </r>
  <r>
    <n v="106"/>
    <x v="5"/>
    <x v="5"/>
    <x v="1"/>
    <x v="1"/>
    <x v="0"/>
    <x v="1"/>
    <x v="5"/>
    <s v="222.2"/>
    <x v="0"/>
    <x v="0"/>
    <x v="0"/>
    <x v="5"/>
    <x v="0"/>
    <x v="0"/>
    <x v="4"/>
    <x v="3"/>
    <x v="4"/>
    <x v="0"/>
  </r>
  <r>
    <n v="107"/>
    <x v="3"/>
    <x v="3"/>
    <x v="1"/>
    <x v="1"/>
    <x v="1"/>
    <x v="1"/>
    <x v="6"/>
    <s v="221.2"/>
    <x v="0"/>
    <x v="0"/>
    <x v="3"/>
    <x v="6"/>
    <x v="0"/>
    <x v="0"/>
    <x v="5"/>
    <x v="0"/>
    <x v="5"/>
    <x v="0"/>
  </r>
  <r>
    <n v="108"/>
    <x v="6"/>
    <x v="6"/>
    <x v="0"/>
    <x v="1"/>
    <x v="0"/>
    <x v="1"/>
    <x v="7"/>
    <s v="122.2"/>
    <x v="0"/>
    <x v="0"/>
    <x v="1"/>
    <x v="0"/>
    <x v="0"/>
    <x v="0"/>
    <x v="6"/>
    <x v="3"/>
    <x v="6"/>
    <x v="0"/>
  </r>
  <r>
    <n v="201"/>
    <x v="4"/>
    <x v="4"/>
    <x v="1"/>
    <x v="2"/>
    <x v="1"/>
    <x v="0"/>
    <x v="0"/>
    <s v="231.1"/>
    <x v="0"/>
    <x v="0"/>
    <x v="5"/>
    <x v="7"/>
    <x v="0"/>
    <x v="0"/>
    <x v="7"/>
    <x v="4"/>
    <x v="7"/>
    <x v="0"/>
  </r>
  <r>
    <n v="202"/>
    <x v="5"/>
    <x v="5"/>
    <x v="1"/>
    <x v="1"/>
    <x v="0"/>
    <x v="0"/>
    <x v="1"/>
    <s v="222.1"/>
    <x v="0"/>
    <x v="2"/>
    <x v="6"/>
    <x v="8"/>
    <x v="0"/>
    <x v="0"/>
    <x v="8"/>
    <x v="5"/>
    <x v="8"/>
    <x v="0"/>
  </r>
  <r>
    <n v="203"/>
    <x v="6"/>
    <x v="6"/>
    <x v="0"/>
    <x v="1"/>
    <x v="0"/>
    <x v="0"/>
    <x v="2"/>
    <s v="122.1"/>
    <x v="0"/>
    <x v="0"/>
    <x v="7"/>
    <x v="5"/>
    <x v="0"/>
    <x v="0"/>
    <x v="5"/>
    <x v="6"/>
    <x v="5"/>
    <x v="0"/>
  </r>
  <r>
    <n v="204"/>
    <x v="7"/>
    <x v="7"/>
    <x v="1"/>
    <x v="2"/>
    <x v="0"/>
    <x v="0"/>
    <x v="3"/>
    <s v="232.1"/>
    <x v="0"/>
    <x v="0"/>
    <x v="8"/>
    <x v="7"/>
    <x v="0"/>
    <x v="0"/>
    <x v="9"/>
    <x v="7"/>
    <x v="9"/>
    <x v="0"/>
  </r>
  <r>
    <n v="205"/>
    <x v="0"/>
    <x v="0"/>
    <x v="0"/>
    <x v="0"/>
    <x v="0"/>
    <x v="1"/>
    <x v="4"/>
    <s v="112.2"/>
    <x v="0"/>
    <x v="0"/>
    <x v="9"/>
    <x v="3"/>
    <x v="0"/>
    <x v="0"/>
    <x v="5"/>
    <x v="8"/>
    <x v="5"/>
    <x v="0"/>
  </r>
  <r>
    <n v="206"/>
    <x v="8"/>
    <x v="8"/>
    <x v="1"/>
    <x v="0"/>
    <x v="1"/>
    <x v="1"/>
    <x v="5"/>
    <s v="211.2"/>
    <x v="0"/>
    <x v="0"/>
    <x v="10"/>
    <x v="1"/>
    <x v="0"/>
    <x v="0"/>
    <x v="10"/>
    <x v="8"/>
    <x v="10"/>
    <x v="0"/>
  </r>
  <r>
    <n v="207"/>
    <x v="1"/>
    <x v="1"/>
    <x v="0"/>
    <x v="1"/>
    <x v="1"/>
    <x v="1"/>
    <x v="6"/>
    <s v="121.2"/>
    <x v="0"/>
    <x v="0"/>
    <x v="3"/>
    <x v="8"/>
    <x v="0"/>
    <x v="0"/>
    <x v="11"/>
    <x v="3"/>
    <x v="11"/>
    <x v="0"/>
  </r>
  <r>
    <n v="208"/>
    <x v="9"/>
    <x v="9"/>
    <x v="0"/>
    <x v="0"/>
    <x v="1"/>
    <x v="1"/>
    <x v="7"/>
    <s v="111.2"/>
    <x v="0"/>
    <x v="0"/>
    <x v="10"/>
    <x v="5"/>
    <x v="0"/>
    <x v="0"/>
    <x v="11"/>
    <x v="9"/>
    <x v="11"/>
    <x v="0"/>
  </r>
  <r>
    <n v="301"/>
    <x v="3"/>
    <x v="3"/>
    <x v="1"/>
    <x v="1"/>
    <x v="1"/>
    <x v="2"/>
    <x v="0"/>
    <s v="221.3"/>
    <x v="0"/>
    <x v="0"/>
    <x v="1"/>
    <x v="6"/>
    <x v="0"/>
    <x v="0"/>
    <x v="0"/>
    <x v="10"/>
    <x v="0"/>
    <x v="0"/>
  </r>
  <r>
    <n v="302"/>
    <x v="1"/>
    <x v="1"/>
    <x v="0"/>
    <x v="1"/>
    <x v="1"/>
    <x v="2"/>
    <x v="1"/>
    <s v="121.3"/>
    <x v="0"/>
    <x v="0"/>
    <x v="6"/>
    <x v="9"/>
    <x v="0"/>
    <x v="0"/>
    <x v="2"/>
    <x v="11"/>
    <x v="2"/>
    <x v="0"/>
  </r>
  <r>
    <n v="303"/>
    <x v="8"/>
    <x v="8"/>
    <x v="1"/>
    <x v="0"/>
    <x v="1"/>
    <x v="2"/>
    <x v="2"/>
    <s v="211.3"/>
    <x v="0"/>
    <x v="0"/>
    <x v="11"/>
    <x v="10"/>
    <x v="0"/>
    <x v="0"/>
    <x v="12"/>
    <x v="0"/>
    <x v="12"/>
    <x v="0"/>
  </r>
  <r>
    <n v="304"/>
    <x v="9"/>
    <x v="9"/>
    <x v="0"/>
    <x v="0"/>
    <x v="1"/>
    <x v="2"/>
    <x v="3"/>
    <s v="111.3"/>
    <x v="0"/>
    <x v="0"/>
    <x v="12"/>
    <x v="6"/>
    <x v="0"/>
    <x v="0"/>
    <x v="13"/>
    <x v="0"/>
    <x v="13"/>
    <x v="0"/>
  </r>
  <r>
    <n v="305"/>
    <x v="7"/>
    <x v="7"/>
    <x v="1"/>
    <x v="2"/>
    <x v="0"/>
    <x v="3"/>
    <x v="4"/>
    <s v="232.4"/>
    <x v="0"/>
    <x v="0"/>
    <x v="13"/>
    <x v="11"/>
    <x v="0"/>
    <x v="0"/>
    <x v="14"/>
    <x v="12"/>
    <x v="14"/>
    <x v="0"/>
  </r>
  <r>
    <n v="306"/>
    <x v="1"/>
    <x v="1"/>
    <x v="0"/>
    <x v="1"/>
    <x v="1"/>
    <x v="3"/>
    <x v="5"/>
    <s v="121.4"/>
    <x v="0"/>
    <x v="0"/>
    <x v="14"/>
    <x v="12"/>
    <x v="0"/>
    <x v="0"/>
    <x v="6"/>
    <x v="7"/>
    <x v="6"/>
    <x v="0"/>
  </r>
  <r>
    <n v="307"/>
    <x v="5"/>
    <x v="5"/>
    <x v="1"/>
    <x v="1"/>
    <x v="0"/>
    <x v="3"/>
    <x v="6"/>
    <s v="222.4"/>
    <x v="0"/>
    <x v="0"/>
    <x v="14"/>
    <x v="13"/>
    <x v="0"/>
    <x v="0"/>
    <x v="2"/>
    <x v="0"/>
    <x v="2"/>
    <x v="0"/>
  </r>
  <r>
    <n v="308"/>
    <x v="2"/>
    <x v="2"/>
    <x v="0"/>
    <x v="2"/>
    <x v="0"/>
    <x v="3"/>
    <x v="7"/>
    <s v="132.4"/>
    <x v="0"/>
    <x v="0"/>
    <x v="15"/>
    <x v="4"/>
    <x v="0"/>
    <x v="0"/>
    <x v="14"/>
    <x v="7"/>
    <x v="14"/>
    <x v="0"/>
  </r>
  <r>
    <n v="401"/>
    <x v="10"/>
    <x v="10"/>
    <x v="1"/>
    <x v="0"/>
    <x v="0"/>
    <x v="2"/>
    <x v="0"/>
    <s v="212.3"/>
    <x v="0"/>
    <x v="0"/>
    <x v="0"/>
    <x v="14"/>
    <x v="0"/>
    <x v="0"/>
    <x v="10"/>
    <x v="6"/>
    <x v="10"/>
    <x v="0"/>
  </r>
  <r>
    <n v="402"/>
    <x v="5"/>
    <x v="5"/>
    <x v="1"/>
    <x v="1"/>
    <x v="0"/>
    <x v="2"/>
    <x v="1"/>
    <s v="222.3"/>
    <x v="0"/>
    <x v="3"/>
    <x v="11"/>
    <x v="0"/>
    <x v="0"/>
    <x v="0"/>
    <x v="0"/>
    <x v="13"/>
    <x v="0"/>
    <x v="0"/>
  </r>
  <r>
    <n v="403"/>
    <x v="11"/>
    <x v="11"/>
    <x v="0"/>
    <x v="2"/>
    <x v="1"/>
    <x v="2"/>
    <x v="2"/>
    <s v="131.3"/>
    <x v="0"/>
    <x v="0"/>
    <x v="16"/>
    <x v="15"/>
    <x v="0"/>
    <x v="0"/>
    <x v="15"/>
    <x v="7"/>
    <x v="15"/>
    <x v="0"/>
  </r>
  <r>
    <n v="404"/>
    <x v="6"/>
    <x v="6"/>
    <x v="0"/>
    <x v="1"/>
    <x v="0"/>
    <x v="2"/>
    <x v="3"/>
    <s v="122.3"/>
    <x v="0"/>
    <x v="0"/>
    <x v="3"/>
    <x v="16"/>
    <x v="0"/>
    <x v="0"/>
    <x v="16"/>
    <x v="11"/>
    <x v="16"/>
    <x v="0"/>
  </r>
  <r>
    <n v="405"/>
    <x v="11"/>
    <x v="11"/>
    <x v="0"/>
    <x v="2"/>
    <x v="1"/>
    <x v="3"/>
    <x v="4"/>
    <s v="131.4"/>
    <x v="0"/>
    <x v="0"/>
    <x v="17"/>
    <x v="17"/>
    <x v="0"/>
    <x v="0"/>
    <x v="17"/>
    <x v="10"/>
    <x v="17"/>
    <x v="0"/>
  </r>
  <r>
    <n v="406"/>
    <x v="6"/>
    <x v="6"/>
    <x v="0"/>
    <x v="1"/>
    <x v="0"/>
    <x v="3"/>
    <x v="5"/>
    <s v="122.4"/>
    <x v="0"/>
    <x v="0"/>
    <x v="18"/>
    <x v="14"/>
    <x v="0"/>
    <x v="0"/>
    <x v="18"/>
    <x v="0"/>
    <x v="18"/>
    <x v="0"/>
  </r>
  <r>
    <n v="407"/>
    <x v="10"/>
    <x v="10"/>
    <x v="1"/>
    <x v="0"/>
    <x v="0"/>
    <x v="3"/>
    <x v="6"/>
    <s v="212.4"/>
    <x v="0"/>
    <x v="0"/>
    <x v="3"/>
    <x v="8"/>
    <x v="0"/>
    <x v="0"/>
    <x v="11"/>
    <x v="3"/>
    <x v="11"/>
    <x v="0"/>
  </r>
  <r>
    <n v="408"/>
    <x v="3"/>
    <x v="3"/>
    <x v="1"/>
    <x v="1"/>
    <x v="1"/>
    <x v="3"/>
    <x v="7"/>
    <s v="221.4"/>
    <x v="0"/>
    <x v="0"/>
    <x v="19"/>
    <x v="14"/>
    <x v="0"/>
    <x v="0"/>
    <x v="19"/>
    <x v="10"/>
    <x v="19"/>
    <x v="0"/>
  </r>
</pivotCacheRecords>
</file>

<file path=xl/pivotCache/pivotCacheRecords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01"/>
    <x v="0"/>
    <x v="0"/>
    <x v="0"/>
    <x v="0"/>
    <x v="0"/>
    <x v="0"/>
    <x v="0"/>
    <s v="112.1"/>
    <x v="0"/>
    <x v="0"/>
    <x v="0"/>
    <x v="0"/>
    <x v="0"/>
    <x v="0"/>
    <x v="0"/>
    <n v="0.97182531580755094"/>
    <x v="0"/>
    <x v="0"/>
  </r>
  <r>
    <n v="102"/>
    <x v="1"/>
    <x v="1"/>
    <x v="0"/>
    <x v="1"/>
    <x v="1"/>
    <x v="0"/>
    <x v="1"/>
    <s v="121.1"/>
    <x v="1"/>
    <x v="1"/>
    <x v="1"/>
    <x v="1"/>
    <x v="1"/>
    <x v="1"/>
    <x v="1"/>
    <n v="0.99721835344344001"/>
    <x v="1"/>
    <x v="0"/>
  </r>
  <r>
    <n v="103"/>
    <x v="2"/>
    <x v="2"/>
    <x v="0"/>
    <x v="2"/>
    <x v="0"/>
    <x v="0"/>
    <x v="2"/>
    <s v="132.1"/>
    <x v="2"/>
    <x v="2"/>
    <x v="2"/>
    <x v="2"/>
    <x v="2"/>
    <x v="2"/>
    <x v="2"/>
    <n v="1.0219806477837288"/>
    <x v="2"/>
    <x v="0"/>
  </r>
  <r>
    <n v="104"/>
    <x v="3"/>
    <x v="3"/>
    <x v="1"/>
    <x v="1"/>
    <x v="1"/>
    <x v="0"/>
    <x v="3"/>
    <s v="221.1"/>
    <x v="3"/>
    <x v="3"/>
    <x v="3"/>
    <x v="3"/>
    <x v="3"/>
    <x v="3"/>
    <x v="3"/>
    <n v="0.65085413965888894"/>
    <x v="3"/>
    <x v="0"/>
  </r>
  <r>
    <n v="105"/>
    <x v="4"/>
    <x v="4"/>
    <x v="1"/>
    <x v="2"/>
    <x v="1"/>
    <x v="1"/>
    <x v="4"/>
    <s v="231.2"/>
    <x v="4"/>
    <x v="4"/>
    <x v="4"/>
    <x v="4"/>
    <x v="4"/>
    <x v="4"/>
    <x v="4"/>
    <n v="0.30046260628867422"/>
    <x v="4"/>
    <x v="0"/>
  </r>
  <r>
    <n v="106"/>
    <x v="5"/>
    <x v="5"/>
    <x v="1"/>
    <x v="1"/>
    <x v="0"/>
    <x v="1"/>
    <x v="5"/>
    <s v="222.2"/>
    <x v="3"/>
    <x v="5"/>
    <x v="0"/>
    <x v="5"/>
    <x v="5"/>
    <x v="3"/>
    <x v="5"/>
    <n v="0.695221787153807"/>
    <x v="5"/>
    <x v="0"/>
  </r>
  <r>
    <n v="107"/>
    <x v="3"/>
    <x v="3"/>
    <x v="1"/>
    <x v="1"/>
    <x v="1"/>
    <x v="1"/>
    <x v="6"/>
    <s v="221.2"/>
    <x v="5"/>
    <x v="6"/>
    <x v="5"/>
    <x v="6"/>
    <x v="5"/>
    <x v="5"/>
    <x v="6"/>
    <n v="0.42163702135578546"/>
    <x v="6"/>
    <x v="0"/>
  </r>
  <r>
    <n v="108"/>
    <x v="6"/>
    <x v="6"/>
    <x v="0"/>
    <x v="1"/>
    <x v="0"/>
    <x v="1"/>
    <x v="7"/>
    <s v="122.2"/>
    <x v="0"/>
    <x v="7"/>
    <x v="6"/>
    <x v="7"/>
    <x v="6"/>
    <x v="6"/>
    <x v="7"/>
    <n v="0.66666666666666763"/>
    <x v="7"/>
    <x v="0"/>
  </r>
  <r>
    <n v="201"/>
    <x v="4"/>
    <x v="4"/>
    <x v="1"/>
    <x v="2"/>
    <x v="1"/>
    <x v="0"/>
    <x v="0"/>
    <s v="231.1"/>
    <x v="6"/>
    <x v="8"/>
    <x v="7"/>
    <x v="4"/>
    <x v="7"/>
    <x v="7"/>
    <x v="8"/>
    <n v="1.1180339887498949"/>
    <x v="5"/>
    <x v="0"/>
  </r>
  <r>
    <n v="202"/>
    <x v="5"/>
    <x v="5"/>
    <x v="1"/>
    <x v="1"/>
    <x v="0"/>
    <x v="0"/>
    <x v="1"/>
    <s v="222.1"/>
    <x v="3"/>
    <x v="9"/>
    <x v="8"/>
    <x v="8"/>
    <x v="8"/>
    <x v="3"/>
    <x v="9"/>
    <n v="0.43620841094341484"/>
    <x v="8"/>
    <x v="0"/>
  </r>
  <r>
    <n v="203"/>
    <x v="6"/>
    <x v="6"/>
    <x v="0"/>
    <x v="1"/>
    <x v="0"/>
    <x v="0"/>
    <x v="2"/>
    <s v="122.1"/>
    <x v="1"/>
    <x v="10"/>
    <x v="9"/>
    <x v="5"/>
    <x v="9"/>
    <x v="0"/>
    <x v="10"/>
    <n v="0.35158371849548492"/>
    <x v="9"/>
    <x v="0"/>
  </r>
  <r>
    <n v="204"/>
    <x v="7"/>
    <x v="7"/>
    <x v="1"/>
    <x v="2"/>
    <x v="0"/>
    <x v="0"/>
    <x v="3"/>
    <s v="232.1"/>
    <x v="7"/>
    <x v="11"/>
    <x v="10"/>
    <x v="4"/>
    <x v="10"/>
    <x v="8"/>
    <x v="11"/>
    <n v="1.4529663145135596"/>
    <x v="10"/>
    <x v="0"/>
  </r>
  <r>
    <n v="205"/>
    <x v="0"/>
    <x v="0"/>
    <x v="0"/>
    <x v="0"/>
    <x v="0"/>
    <x v="1"/>
    <x v="4"/>
    <s v="112.2"/>
    <x v="8"/>
    <x v="7"/>
    <x v="11"/>
    <x v="3"/>
    <x v="9"/>
    <x v="5"/>
    <x v="1"/>
    <n v="0.64117946872237919"/>
    <x v="1"/>
    <x v="0"/>
  </r>
  <r>
    <n v="206"/>
    <x v="8"/>
    <x v="8"/>
    <x v="1"/>
    <x v="0"/>
    <x v="1"/>
    <x v="1"/>
    <x v="5"/>
    <s v="211.2"/>
    <x v="1"/>
    <x v="12"/>
    <x v="9"/>
    <x v="1"/>
    <x v="9"/>
    <x v="3"/>
    <x v="12"/>
    <n v="0.66770752080033768"/>
    <x v="11"/>
    <x v="0"/>
  </r>
  <r>
    <n v="207"/>
    <x v="1"/>
    <x v="1"/>
    <x v="0"/>
    <x v="1"/>
    <x v="1"/>
    <x v="1"/>
    <x v="6"/>
    <s v="121.2"/>
    <x v="9"/>
    <x v="3"/>
    <x v="12"/>
    <x v="8"/>
    <x v="11"/>
    <x v="9"/>
    <x v="1"/>
    <n v="0.84327404271156869"/>
    <x v="1"/>
    <x v="0"/>
  </r>
  <r>
    <n v="208"/>
    <x v="9"/>
    <x v="9"/>
    <x v="0"/>
    <x v="0"/>
    <x v="1"/>
    <x v="1"/>
    <x v="7"/>
    <s v="111.2"/>
    <x v="10"/>
    <x v="6"/>
    <x v="1"/>
    <x v="8"/>
    <x v="3"/>
    <x v="10"/>
    <x v="13"/>
    <n v="0.56273143387113778"/>
    <x v="12"/>
    <x v="0"/>
  </r>
  <r>
    <n v="301"/>
    <x v="3"/>
    <x v="3"/>
    <x v="1"/>
    <x v="1"/>
    <x v="1"/>
    <x v="2"/>
    <x v="0"/>
    <s v="221.3"/>
    <x v="3"/>
    <x v="9"/>
    <x v="1"/>
    <x v="9"/>
    <x v="3"/>
    <x v="11"/>
    <x v="3"/>
    <n v="0.67597665968910925"/>
    <x v="3"/>
    <x v="0"/>
  </r>
  <r>
    <n v="302"/>
    <x v="1"/>
    <x v="1"/>
    <x v="0"/>
    <x v="1"/>
    <x v="1"/>
    <x v="2"/>
    <x v="1"/>
    <s v="121.3"/>
    <x v="1"/>
    <x v="6"/>
    <x v="8"/>
    <x v="0"/>
    <x v="6"/>
    <x v="12"/>
    <x v="13"/>
    <n v="0.61913918736689033"/>
    <x v="12"/>
    <x v="0"/>
  </r>
  <r>
    <n v="303"/>
    <x v="8"/>
    <x v="8"/>
    <x v="1"/>
    <x v="0"/>
    <x v="1"/>
    <x v="2"/>
    <x v="2"/>
    <s v="211.3"/>
    <x v="11"/>
    <x v="13"/>
    <x v="13"/>
    <x v="1"/>
    <x v="12"/>
    <x v="13"/>
    <x v="14"/>
    <n v="0.28136571693556889"/>
    <x v="13"/>
    <x v="0"/>
  </r>
  <r>
    <n v="304"/>
    <x v="9"/>
    <x v="9"/>
    <x v="0"/>
    <x v="0"/>
    <x v="1"/>
    <x v="2"/>
    <x v="3"/>
    <s v="111.3"/>
    <x v="1"/>
    <x v="10"/>
    <x v="14"/>
    <x v="9"/>
    <x v="13"/>
    <x v="12"/>
    <x v="15"/>
    <n v="0.59744827763116515"/>
    <x v="14"/>
    <x v="0"/>
  </r>
  <r>
    <n v="305"/>
    <x v="7"/>
    <x v="7"/>
    <x v="1"/>
    <x v="2"/>
    <x v="0"/>
    <x v="3"/>
    <x v="4"/>
    <s v="232.4"/>
    <x v="12"/>
    <x v="14"/>
    <x v="10"/>
    <x v="10"/>
    <x v="10"/>
    <x v="14"/>
    <x v="16"/>
    <n v="1.626174789020064"/>
    <x v="15"/>
    <x v="0"/>
  </r>
  <r>
    <n v="306"/>
    <x v="1"/>
    <x v="1"/>
    <x v="0"/>
    <x v="1"/>
    <x v="1"/>
    <x v="3"/>
    <x v="5"/>
    <s v="121.4"/>
    <x v="13"/>
    <x v="9"/>
    <x v="9"/>
    <x v="11"/>
    <x v="5"/>
    <x v="13"/>
    <x v="5"/>
    <n v="0.966091783079296"/>
    <x v="5"/>
    <x v="0"/>
  </r>
  <r>
    <n v="307"/>
    <x v="5"/>
    <x v="5"/>
    <x v="1"/>
    <x v="1"/>
    <x v="0"/>
    <x v="3"/>
    <x v="6"/>
    <s v="222.4"/>
    <x v="10"/>
    <x v="9"/>
    <x v="9"/>
    <x v="11"/>
    <x v="11"/>
    <x v="5"/>
    <x v="17"/>
    <n v="0.51099032389186438"/>
    <x v="16"/>
    <x v="0"/>
  </r>
  <r>
    <n v="308"/>
    <x v="2"/>
    <x v="2"/>
    <x v="0"/>
    <x v="2"/>
    <x v="0"/>
    <x v="3"/>
    <x v="7"/>
    <s v="132.4"/>
    <x v="14"/>
    <x v="15"/>
    <x v="15"/>
    <x v="4"/>
    <x v="14"/>
    <x v="8"/>
    <x v="18"/>
    <n v="1.3001068332170951"/>
    <x v="17"/>
    <x v="0"/>
  </r>
  <r>
    <n v="401"/>
    <x v="10"/>
    <x v="10"/>
    <x v="1"/>
    <x v="0"/>
    <x v="0"/>
    <x v="2"/>
    <x v="0"/>
    <s v="212.3"/>
    <x v="11"/>
    <x v="16"/>
    <x v="3"/>
    <x v="6"/>
    <x v="13"/>
    <x v="5"/>
    <x v="19"/>
    <n v="0.65828058860438343"/>
    <x v="18"/>
    <x v="0"/>
  </r>
  <r>
    <n v="402"/>
    <x v="5"/>
    <x v="5"/>
    <x v="1"/>
    <x v="1"/>
    <x v="0"/>
    <x v="2"/>
    <x v="1"/>
    <s v="222.3"/>
    <x v="10"/>
    <x v="3"/>
    <x v="16"/>
    <x v="7"/>
    <x v="5"/>
    <x v="15"/>
    <x v="20"/>
    <n v="1.0441636738451379"/>
    <x v="19"/>
    <x v="0"/>
  </r>
  <r>
    <n v="403"/>
    <x v="11"/>
    <x v="11"/>
    <x v="0"/>
    <x v="2"/>
    <x v="1"/>
    <x v="2"/>
    <x v="2"/>
    <s v="131.3"/>
    <x v="15"/>
    <x v="17"/>
    <x v="4"/>
    <x v="12"/>
    <x v="15"/>
    <x v="16"/>
    <x v="21"/>
    <n v="1.005540208599893"/>
    <x v="3"/>
    <x v="0"/>
  </r>
  <r>
    <n v="404"/>
    <x v="6"/>
    <x v="6"/>
    <x v="0"/>
    <x v="1"/>
    <x v="0"/>
    <x v="2"/>
    <x v="3"/>
    <s v="122.3"/>
    <x v="1"/>
    <x v="5"/>
    <x v="12"/>
    <x v="13"/>
    <x v="13"/>
    <x v="6"/>
    <x v="22"/>
    <n v="1.0361520694913022"/>
    <x v="20"/>
    <x v="0"/>
  </r>
  <r>
    <n v="405"/>
    <x v="11"/>
    <x v="11"/>
    <x v="0"/>
    <x v="2"/>
    <x v="1"/>
    <x v="3"/>
    <x v="4"/>
    <s v="131.4"/>
    <x v="16"/>
    <x v="17"/>
    <x v="17"/>
    <x v="10"/>
    <x v="4"/>
    <x v="17"/>
    <x v="23"/>
    <n v="0.90061707240708933"/>
    <x v="21"/>
    <x v="0"/>
  </r>
  <r>
    <n v="406"/>
    <x v="6"/>
    <x v="6"/>
    <x v="0"/>
    <x v="1"/>
    <x v="0"/>
    <x v="3"/>
    <x v="5"/>
    <s v="122.4"/>
    <x v="0"/>
    <x v="1"/>
    <x v="11"/>
    <x v="5"/>
    <x v="9"/>
    <x v="18"/>
    <x v="17"/>
    <n v="0.83333333333333415"/>
    <x v="16"/>
    <x v="0"/>
  </r>
  <r>
    <n v="407"/>
    <x v="10"/>
    <x v="10"/>
    <x v="1"/>
    <x v="0"/>
    <x v="0"/>
    <x v="3"/>
    <x v="6"/>
    <s v="212.4"/>
    <x v="3"/>
    <x v="11"/>
    <x v="12"/>
    <x v="8"/>
    <x v="13"/>
    <x v="19"/>
    <x v="24"/>
    <n v="0.90369611411506401"/>
    <x v="22"/>
    <x v="0"/>
  </r>
  <r>
    <n v="408"/>
    <x v="3"/>
    <x v="3"/>
    <x v="1"/>
    <x v="1"/>
    <x v="1"/>
    <x v="3"/>
    <x v="7"/>
    <s v="221.4"/>
    <x v="4"/>
    <x v="7"/>
    <x v="1"/>
    <x v="6"/>
    <x v="16"/>
    <x v="20"/>
    <x v="25"/>
    <n v="1.2888409952787461"/>
    <x v="23"/>
    <x v="0"/>
  </r>
</pivotCacheRecords>
</file>

<file path=xl/pivotCache/pivotCacheRecords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x v="0"/>
    <x v="0"/>
    <x v="0"/>
    <x v="0"/>
    <x v="0"/>
    <x v="0"/>
    <x v="0"/>
    <s v="112.1"/>
    <x v="0"/>
    <x v="0"/>
    <x v="0"/>
    <x v="0"/>
    <x v="0"/>
    <x v="0"/>
    <x v="0"/>
    <n v="0.97182531580755094"/>
    <x v="0"/>
    <x v="0"/>
  </r>
  <r>
    <x v="1"/>
    <x v="1"/>
    <x v="1"/>
    <x v="0"/>
    <x v="1"/>
    <x v="1"/>
    <x v="0"/>
    <x v="1"/>
    <s v="121.1"/>
    <x v="1"/>
    <x v="1"/>
    <x v="1"/>
    <x v="1"/>
    <x v="1"/>
    <x v="1"/>
    <x v="1"/>
    <n v="0.99721835344344001"/>
    <x v="1"/>
    <x v="0"/>
  </r>
  <r>
    <x v="2"/>
    <x v="2"/>
    <x v="2"/>
    <x v="0"/>
    <x v="2"/>
    <x v="0"/>
    <x v="0"/>
    <x v="2"/>
    <s v="132.1"/>
    <x v="2"/>
    <x v="2"/>
    <x v="2"/>
    <x v="2"/>
    <x v="2"/>
    <x v="2"/>
    <x v="2"/>
    <n v="1.0219806477837288"/>
    <x v="2"/>
    <x v="0"/>
  </r>
  <r>
    <x v="3"/>
    <x v="3"/>
    <x v="3"/>
    <x v="1"/>
    <x v="1"/>
    <x v="1"/>
    <x v="0"/>
    <x v="3"/>
    <s v="221.1"/>
    <x v="3"/>
    <x v="3"/>
    <x v="3"/>
    <x v="3"/>
    <x v="3"/>
    <x v="3"/>
    <x v="3"/>
    <n v="0.65085413965888894"/>
    <x v="3"/>
    <x v="0"/>
  </r>
  <r>
    <x v="4"/>
    <x v="4"/>
    <x v="4"/>
    <x v="1"/>
    <x v="2"/>
    <x v="1"/>
    <x v="1"/>
    <x v="4"/>
    <s v="231.2"/>
    <x v="4"/>
    <x v="4"/>
    <x v="4"/>
    <x v="4"/>
    <x v="4"/>
    <x v="4"/>
    <x v="4"/>
    <n v="0.30046260628867422"/>
    <x v="4"/>
    <x v="0"/>
  </r>
  <r>
    <x v="5"/>
    <x v="5"/>
    <x v="5"/>
    <x v="1"/>
    <x v="1"/>
    <x v="0"/>
    <x v="1"/>
    <x v="5"/>
    <s v="222.2"/>
    <x v="3"/>
    <x v="5"/>
    <x v="0"/>
    <x v="5"/>
    <x v="5"/>
    <x v="3"/>
    <x v="5"/>
    <n v="0.695221787153807"/>
    <x v="5"/>
    <x v="0"/>
  </r>
  <r>
    <x v="6"/>
    <x v="3"/>
    <x v="3"/>
    <x v="1"/>
    <x v="1"/>
    <x v="1"/>
    <x v="1"/>
    <x v="6"/>
    <s v="221.2"/>
    <x v="5"/>
    <x v="6"/>
    <x v="5"/>
    <x v="6"/>
    <x v="5"/>
    <x v="5"/>
    <x v="6"/>
    <n v="0.42163702135578546"/>
    <x v="6"/>
    <x v="0"/>
  </r>
  <r>
    <x v="7"/>
    <x v="6"/>
    <x v="6"/>
    <x v="0"/>
    <x v="1"/>
    <x v="0"/>
    <x v="1"/>
    <x v="7"/>
    <s v="122.2"/>
    <x v="0"/>
    <x v="7"/>
    <x v="6"/>
    <x v="7"/>
    <x v="6"/>
    <x v="6"/>
    <x v="7"/>
    <n v="0.66666666666666763"/>
    <x v="7"/>
    <x v="0"/>
  </r>
  <r>
    <x v="8"/>
    <x v="4"/>
    <x v="4"/>
    <x v="1"/>
    <x v="2"/>
    <x v="1"/>
    <x v="0"/>
    <x v="0"/>
    <s v="231.1"/>
    <x v="6"/>
    <x v="8"/>
    <x v="7"/>
    <x v="4"/>
    <x v="7"/>
    <x v="7"/>
    <x v="8"/>
    <n v="1.1180339887498949"/>
    <x v="5"/>
    <x v="0"/>
  </r>
  <r>
    <x v="9"/>
    <x v="5"/>
    <x v="5"/>
    <x v="1"/>
    <x v="1"/>
    <x v="0"/>
    <x v="0"/>
    <x v="1"/>
    <s v="222.1"/>
    <x v="3"/>
    <x v="9"/>
    <x v="8"/>
    <x v="8"/>
    <x v="8"/>
    <x v="3"/>
    <x v="9"/>
    <n v="0.43620841094341484"/>
    <x v="8"/>
    <x v="0"/>
  </r>
  <r>
    <x v="10"/>
    <x v="6"/>
    <x v="6"/>
    <x v="0"/>
    <x v="1"/>
    <x v="0"/>
    <x v="0"/>
    <x v="2"/>
    <s v="122.1"/>
    <x v="1"/>
    <x v="10"/>
    <x v="9"/>
    <x v="5"/>
    <x v="9"/>
    <x v="0"/>
    <x v="10"/>
    <n v="0.35158371849548492"/>
    <x v="9"/>
    <x v="0"/>
  </r>
  <r>
    <x v="11"/>
    <x v="7"/>
    <x v="7"/>
    <x v="1"/>
    <x v="2"/>
    <x v="0"/>
    <x v="0"/>
    <x v="3"/>
    <s v="232.1"/>
    <x v="7"/>
    <x v="11"/>
    <x v="10"/>
    <x v="4"/>
    <x v="10"/>
    <x v="8"/>
    <x v="11"/>
    <n v="1.4529663145135596"/>
    <x v="10"/>
    <x v="0"/>
  </r>
  <r>
    <x v="12"/>
    <x v="0"/>
    <x v="0"/>
    <x v="0"/>
    <x v="0"/>
    <x v="0"/>
    <x v="1"/>
    <x v="4"/>
    <s v="112.2"/>
    <x v="8"/>
    <x v="7"/>
    <x v="11"/>
    <x v="3"/>
    <x v="9"/>
    <x v="5"/>
    <x v="1"/>
    <n v="0.64117946872237919"/>
    <x v="1"/>
    <x v="0"/>
  </r>
  <r>
    <x v="13"/>
    <x v="8"/>
    <x v="8"/>
    <x v="1"/>
    <x v="0"/>
    <x v="1"/>
    <x v="1"/>
    <x v="5"/>
    <s v="211.2"/>
    <x v="1"/>
    <x v="12"/>
    <x v="9"/>
    <x v="1"/>
    <x v="9"/>
    <x v="3"/>
    <x v="12"/>
    <n v="0.66770752080033768"/>
    <x v="11"/>
    <x v="0"/>
  </r>
  <r>
    <x v="14"/>
    <x v="1"/>
    <x v="1"/>
    <x v="0"/>
    <x v="1"/>
    <x v="1"/>
    <x v="1"/>
    <x v="6"/>
    <s v="121.2"/>
    <x v="9"/>
    <x v="3"/>
    <x v="12"/>
    <x v="8"/>
    <x v="11"/>
    <x v="9"/>
    <x v="1"/>
    <n v="0.84327404271156869"/>
    <x v="1"/>
    <x v="0"/>
  </r>
  <r>
    <x v="15"/>
    <x v="9"/>
    <x v="9"/>
    <x v="0"/>
    <x v="0"/>
    <x v="1"/>
    <x v="1"/>
    <x v="7"/>
    <s v="111.2"/>
    <x v="10"/>
    <x v="6"/>
    <x v="1"/>
    <x v="8"/>
    <x v="3"/>
    <x v="10"/>
    <x v="13"/>
    <n v="0.56273143387113778"/>
    <x v="12"/>
    <x v="0"/>
  </r>
  <r>
    <x v="16"/>
    <x v="3"/>
    <x v="3"/>
    <x v="1"/>
    <x v="1"/>
    <x v="1"/>
    <x v="2"/>
    <x v="0"/>
    <s v="221.3"/>
    <x v="3"/>
    <x v="9"/>
    <x v="1"/>
    <x v="9"/>
    <x v="3"/>
    <x v="11"/>
    <x v="3"/>
    <n v="0.67597665968910925"/>
    <x v="3"/>
    <x v="0"/>
  </r>
  <r>
    <x v="17"/>
    <x v="1"/>
    <x v="1"/>
    <x v="0"/>
    <x v="1"/>
    <x v="1"/>
    <x v="2"/>
    <x v="1"/>
    <s v="121.3"/>
    <x v="1"/>
    <x v="6"/>
    <x v="8"/>
    <x v="0"/>
    <x v="6"/>
    <x v="12"/>
    <x v="13"/>
    <n v="0.61913918736689033"/>
    <x v="12"/>
    <x v="0"/>
  </r>
  <r>
    <x v="18"/>
    <x v="8"/>
    <x v="8"/>
    <x v="1"/>
    <x v="0"/>
    <x v="1"/>
    <x v="2"/>
    <x v="2"/>
    <s v="211.3"/>
    <x v="11"/>
    <x v="13"/>
    <x v="13"/>
    <x v="1"/>
    <x v="12"/>
    <x v="13"/>
    <x v="14"/>
    <n v="0.28136571693556889"/>
    <x v="13"/>
    <x v="0"/>
  </r>
  <r>
    <x v="19"/>
    <x v="9"/>
    <x v="9"/>
    <x v="0"/>
    <x v="0"/>
    <x v="1"/>
    <x v="2"/>
    <x v="3"/>
    <s v="111.3"/>
    <x v="1"/>
    <x v="10"/>
    <x v="14"/>
    <x v="9"/>
    <x v="13"/>
    <x v="12"/>
    <x v="15"/>
    <n v="0.59744827763116515"/>
    <x v="14"/>
    <x v="0"/>
  </r>
  <r>
    <x v="20"/>
    <x v="7"/>
    <x v="7"/>
    <x v="1"/>
    <x v="2"/>
    <x v="0"/>
    <x v="3"/>
    <x v="4"/>
    <s v="232.4"/>
    <x v="12"/>
    <x v="14"/>
    <x v="10"/>
    <x v="10"/>
    <x v="10"/>
    <x v="14"/>
    <x v="16"/>
    <n v="1.626174789020064"/>
    <x v="15"/>
    <x v="0"/>
  </r>
  <r>
    <x v="21"/>
    <x v="1"/>
    <x v="1"/>
    <x v="0"/>
    <x v="1"/>
    <x v="1"/>
    <x v="3"/>
    <x v="5"/>
    <s v="121.4"/>
    <x v="13"/>
    <x v="9"/>
    <x v="9"/>
    <x v="11"/>
    <x v="5"/>
    <x v="13"/>
    <x v="5"/>
    <n v="0.966091783079296"/>
    <x v="5"/>
    <x v="0"/>
  </r>
  <r>
    <x v="22"/>
    <x v="5"/>
    <x v="5"/>
    <x v="1"/>
    <x v="1"/>
    <x v="0"/>
    <x v="3"/>
    <x v="6"/>
    <s v="222.4"/>
    <x v="10"/>
    <x v="9"/>
    <x v="9"/>
    <x v="11"/>
    <x v="11"/>
    <x v="5"/>
    <x v="17"/>
    <n v="0.51099032389186438"/>
    <x v="16"/>
    <x v="0"/>
  </r>
  <r>
    <x v="23"/>
    <x v="2"/>
    <x v="2"/>
    <x v="0"/>
    <x v="2"/>
    <x v="0"/>
    <x v="3"/>
    <x v="7"/>
    <s v="132.4"/>
    <x v="14"/>
    <x v="15"/>
    <x v="15"/>
    <x v="4"/>
    <x v="14"/>
    <x v="8"/>
    <x v="18"/>
    <n v="1.3001068332170951"/>
    <x v="17"/>
    <x v="0"/>
  </r>
  <r>
    <x v="24"/>
    <x v="10"/>
    <x v="10"/>
    <x v="1"/>
    <x v="0"/>
    <x v="0"/>
    <x v="2"/>
    <x v="0"/>
    <s v="212.3"/>
    <x v="11"/>
    <x v="16"/>
    <x v="3"/>
    <x v="6"/>
    <x v="13"/>
    <x v="5"/>
    <x v="19"/>
    <n v="0.65828058860438343"/>
    <x v="18"/>
    <x v="0"/>
  </r>
  <r>
    <x v="25"/>
    <x v="5"/>
    <x v="5"/>
    <x v="1"/>
    <x v="1"/>
    <x v="0"/>
    <x v="2"/>
    <x v="1"/>
    <s v="222.3"/>
    <x v="10"/>
    <x v="3"/>
    <x v="16"/>
    <x v="7"/>
    <x v="5"/>
    <x v="15"/>
    <x v="20"/>
    <n v="1.0441636738451379"/>
    <x v="19"/>
    <x v="0"/>
  </r>
  <r>
    <x v="26"/>
    <x v="11"/>
    <x v="11"/>
    <x v="0"/>
    <x v="2"/>
    <x v="1"/>
    <x v="2"/>
    <x v="2"/>
    <s v="131.3"/>
    <x v="15"/>
    <x v="17"/>
    <x v="4"/>
    <x v="12"/>
    <x v="15"/>
    <x v="16"/>
    <x v="21"/>
    <n v="1.005540208599893"/>
    <x v="3"/>
    <x v="0"/>
  </r>
  <r>
    <x v="27"/>
    <x v="6"/>
    <x v="6"/>
    <x v="0"/>
    <x v="1"/>
    <x v="0"/>
    <x v="2"/>
    <x v="3"/>
    <s v="122.3"/>
    <x v="1"/>
    <x v="5"/>
    <x v="12"/>
    <x v="13"/>
    <x v="13"/>
    <x v="6"/>
    <x v="22"/>
    <n v="1.0361520694913022"/>
    <x v="20"/>
    <x v="0"/>
  </r>
  <r>
    <x v="28"/>
    <x v="11"/>
    <x v="11"/>
    <x v="0"/>
    <x v="2"/>
    <x v="1"/>
    <x v="3"/>
    <x v="4"/>
    <s v="131.4"/>
    <x v="16"/>
    <x v="17"/>
    <x v="17"/>
    <x v="10"/>
    <x v="4"/>
    <x v="17"/>
    <x v="23"/>
    <n v="0.90061707240708933"/>
    <x v="21"/>
    <x v="0"/>
  </r>
  <r>
    <x v="29"/>
    <x v="6"/>
    <x v="6"/>
    <x v="0"/>
    <x v="1"/>
    <x v="0"/>
    <x v="3"/>
    <x v="5"/>
    <s v="122.4"/>
    <x v="0"/>
    <x v="1"/>
    <x v="11"/>
    <x v="5"/>
    <x v="9"/>
    <x v="18"/>
    <x v="17"/>
    <n v="0.83333333333333415"/>
    <x v="16"/>
    <x v="0"/>
  </r>
  <r>
    <x v="30"/>
    <x v="10"/>
    <x v="10"/>
    <x v="1"/>
    <x v="0"/>
    <x v="0"/>
    <x v="3"/>
    <x v="6"/>
    <s v="212.4"/>
    <x v="3"/>
    <x v="11"/>
    <x v="12"/>
    <x v="8"/>
    <x v="13"/>
    <x v="19"/>
    <x v="24"/>
    <n v="0.90369611411506401"/>
    <x v="22"/>
    <x v="0"/>
  </r>
  <r>
    <x v="31"/>
    <x v="3"/>
    <x v="3"/>
    <x v="1"/>
    <x v="1"/>
    <x v="1"/>
    <x v="3"/>
    <x v="7"/>
    <s v="221.4"/>
    <x v="4"/>
    <x v="7"/>
    <x v="1"/>
    <x v="6"/>
    <x v="16"/>
    <x v="20"/>
    <x v="25"/>
    <n v="1.2888409952787461"/>
    <x v="23"/>
    <x v="0"/>
  </r>
</pivotCacheRecords>
</file>

<file path=xl/pivotCache/pivotCacheRecords2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01"/>
    <x v="0"/>
    <x v="0"/>
    <x v="0"/>
    <x v="0"/>
    <x v="0"/>
    <x v="0"/>
    <x v="0"/>
    <s v="112.1"/>
    <x v="0"/>
    <x v="0"/>
    <x v="0"/>
    <x v="0"/>
    <x v="0"/>
    <x v="0"/>
    <x v="0"/>
    <x v="0"/>
    <x v="0"/>
    <x v="0"/>
  </r>
  <r>
    <n v="102"/>
    <x v="1"/>
    <x v="1"/>
    <x v="0"/>
    <x v="1"/>
    <x v="1"/>
    <x v="0"/>
    <x v="1"/>
    <s v="121.1"/>
    <x v="1"/>
    <x v="1"/>
    <x v="1"/>
    <x v="1"/>
    <x v="1"/>
    <x v="1"/>
    <x v="1"/>
    <x v="1"/>
    <x v="1"/>
    <x v="0"/>
  </r>
  <r>
    <n v="103"/>
    <x v="2"/>
    <x v="2"/>
    <x v="0"/>
    <x v="2"/>
    <x v="0"/>
    <x v="0"/>
    <x v="2"/>
    <s v="132.1"/>
    <x v="2"/>
    <x v="2"/>
    <x v="2"/>
    <x v="2"/>
    <x v="2"/>
    <x v="2"/>
    <x v="2"/>
    <x v="2"/>
    <x v="2"/>
    <x v="0"/>
  </r>
  <r>
    <n v="104"/>
    <x v="3"/>
    <x v="3"/>
    <x v="1"/>
    <x v="1"/>
    <x v="1"/>
    <x v="0"/>
    <x v="3"/>
    <s v="221.1"/>
    <x v="3"/>
    <x v="3"/>
    <x v="3"/>
    <x v="3"/>
    <x v="3"/>
    <x v="3"/>
    <x v="3"/>
    <x v="3"/>
    <x v="3"/>
    <x v="0"/>
  </r>
  <r>
    <n v="105"/>
    <x v="4"/>
    <x v="4"/>
    <x v="1"/>
    <x v="2"/>
    <x v="1"/>
    <x v="1"/>
    <x v="4"/>
    <s v="231.2"/>
    <x v="4"/>
    <x v="4"/>
    <x v="4"/>
    <x v="4"/>
    <x v="4"/>
    <x v="4"/>
    <x v="4"/>
    <x v="4"/>
    <x v="4"/>
    <x v="0"/>
  </r>
  <r>
    <n v="106"/>
    <x v="5"/>
    <x v="5"/>
    <x v="1"/>
    <x v="1"/>
    <x v="0"/>
    <x v="1"/>
    <x v="5"/>
    <s v="222.2"/>
    <x v="1"/>
    <x v="5"/>
    <x v="5"/>
    <x v="3"/>
    <x v="5"/>
    <x v="5"/>
    <x v="5"/>
    <x v="5"/>
    <x v="5"/>
    <x v="0"/>
  </r>
  <r>
    <n v="107"/>
    <x v="3"/>
    <x v="3"/>
    <x v="1"/>
    <x v="1"/>
    <x v="1"/>
    <x v="1"/>
    <x v="6"/>
    <s v="221.2"/>
    <x v="5"/>
    <x v="6"/>
    <x v="6"/>
    <x v="5"/>
    <x v="5"/>
    <x v="6"/>
    <x v="6"/>
    <x v="6"/>
    <x v="6"/>
    <x v="0"/>
  </r>
  <r>
    <n v="108"/>
    <x v="6"/>
    <x v="6"/>
    <x v="0"/>
    <x v="1"/>
    <x v="0"/>
    <x v="1"/>
    <x v="7"/>
    <s v="122.2"/>
    <x v="6"/>
    <x v="3"/>
    <x v="7"/>
    <x v="3"/>
    <x v="5"/>
    <x v="7"/>
    <x v="7"/>
    <x v="7"/>
    <x v="7"/>
    <x v="0"/>
  </r>
  <r>
    <n v="201"/>
    <x v="4"/>
    <x v="4"/>
    <x v="1"/>
    <x v="2"/>
    <x v="1"/>
    <x v="0"/>
    <x v="0"/>
    <s v="231.1"/>
    <x v="7"/>
    <x v="7"/>
    <x v="4"/>
    <x v="6"/>
    <x v="6"/>
    <x v="8"/>
    <x v="8"/>
    <x v="8"/>
    <x v="8"/>
    <x v="0"/>
  </r>
  <r>
    <n v="202"/>
    <x v="5"/>
    <x v="5"/>
    <x v="1"/>
    <x v="1"/>
    <x v="0"/>
    <x v="0"/>
    <x v="1"/>
    <s v="222.1"/>
    <x v="8"/>
    <x v="8"/>
    <x v="8"/>
    <x v="7"/>
    <x v="7"/>
    <x v="5"/>
    <x v="9"/>
    <x v="9"/>
    <x v="9"/>
    <x v="0"/>
  </r>
  <r>
    <n v="203"/>
    <x v="6"/>
    <x v="6"/>
    <x v="0"/>
    <x v="1"/>
    <x v="0"/>
    <x v="0"/>
    <x v="2"/>
    <s v="122.1"/>
    <x v="9"/>
    <x v="9"/>
    <x v="1"/>
    <x v="7"/>
    <x v="7"/>
    <x v="9"/>
    <x v="10"/>
    <x v="10"/>
    <x v="10"/>
    <x v="0"/>
  </r>
  <r>
    <n v="204"/>
    <x v="7"/>
    <x v="7"/>
    <x v="1"/>
    <x v="2"/>
    <x v="0"/>
    <x v="0"/>
    <x v="3"/>
    <s v="232.1"/>
    <x v="10"/>
    <x v="10"/>
    <x v="9"/>
    <x v="4"/>
    <x v="8"/>
    <x v="10"/>
    <x v="11"/>
    <x v="11"/>
    <x v="11"/>
    <x v="0"/>
  </r>
  <r>
    <n v="205"/>
    <x v="0"/>
    <x v="0"/>
    <x v="0"/>
    <x v="0"/>
    <x v="0"/>
    <x v="1"/>
    <x v="4"/>
    <s v="112.2"/>
    <x v="11"/>
    <x v="0"/>
    <x v="0"/>
    <x v="8"/>
    <x v="9"/>
    <x v="0"/>
    <x v="12"/>
    <x v="12"/>
    <x v="12"/>
    <x v="0"/>
  </r>
  <r>
    <n v="206"/>
    <x v="8"/>
    <x v="8"/>
    <x v="1"/>
    <x v="0"/>
    <x v="1"/>
    <x v="1"/>
    <x v="5"/>
    <s v="211.2"/>
    <x v="12"/>
    <x v="11"/>
    <x v="10"/>
    <x v="9"/>
    <x v="10"/>
    <x v="11"/>
    <x v="13"/>
    <x v="13"/>
    <x v="9"/>
    <x v="0"/>
  </r>
  <r>
    <n v="207"/>
    <x v="1"/>
    <x v="1"/>
    <x v="0"/>
    <x v="1"/>
    <x v="1"/>
    <x v="1"/>
    <x v="6"/>
    <s v="121.2"/>
    <x v="6"/>
    <x v="12"/>
    <x v="11"/>
    <x v="7"/>
    <x v="1"/>
    <x v="12"/>
    <x v="14"/>
    <x v="14"/>
    <x v="13"/>
    <x v="0"/>
  </r>
  <r>
    <n v="208"/>
    <x v="9"/>
    <x v="9"/>
    <x v="0"/>
    <x v="0"/>
    <x v="1"/>
    <x v="1"/>
    <x v="7"/>
    <s v="111.2"/>
    <x v="11"/>
    <x v="11"/>
    <x v="0"/>
    <x v="10"/>
    <x v="11"/>
    <x v="13"/>
    <x v="15"/>
    <x v="15"/>
    <x v="14"/>
    <x v="0"/>
  </r>
  <r>
    <n v="301"/>
    <x v="3"/>
    <x v="3"/>
    <x v="1"/>
    <x v="1"/>
    <x v="1"/>
    <x v="2"/>
    <x v="0"/>
    <s v="221.3"/>
    <x v="1"/>
    <x v="8"/>
    <x v="1"/>
    <x v="5"/>
    <x v="5"/>
    <x v="14"/>
    <x v="14"/>
    <x v="16"/>
    <x v="13"/>
    <x v="0"/>
  </r>
  <r>
    <n v="302"/>
    <x v="1"/>
    <x v="1"/>
    <x v="0"/>
    <x v="1"/>
    <x v="1"/>
    <x v="2"/>
    <x v="1"/>
    <s v="121.3"/>
    <x v="13"/>
    <x v="9"/>
    <x v="1"/>
    <x v="11"/>
    <x v="5"/>
    <x v="15"/>
    <x v="16"/>
    <x v="17"/>
    <x v="15"/>
    <x v="0"/>
  </r>
  <r>
    <n v="303"/>
    <x v="8"/>
    <x v="8"/>
    <x v="1"/>
    <x v="0"/>
    <x v="1"/>
    <x v="2"/>
    <x v="2"/>
    <s v="211.3"/>
    <x v="12"/>
    <x v="0"/>
    <x v="0"/>
    <x v="9"/>
    <x v="0"/>
    <x v="11"/>
    <x v="17"/>
    <x v="18"/>
    <x v="16"/>
    <x v="0"/>
  </r>
  <r>
    <n v="304"/>
    <x v="9"/>
    <x v="9"/>
    <x v="0"/>
    <x v="0"/>
    <x v="1"/>
    <x v="2"/>
    <x v="3"/>
    <s v="111.3"/>
    <x v="14"/>
    <x v="11"/>
    <x v="0"/>
    <x v="9"/>
    <x v="11"/>
    <x v="13"/>
    <x v="18"/>
    <x v="18"/>
    <x v="17"/>
    <x v="0"/>
  </r>
  <r>
    <n v="305"/>
    <x v="7"/>
    <x v="7"/>
    <x v="1"/>
    <x v="2"/>
    <x v="0"/>
    <x v="3"/>
    <x v="4"/>
    <s v="232.4"/>
    <x v="15"/>
    <x v="13"/>
    <x v="12"/>
    <x v="12"/>
    <x v="8"/>
    <x v="10"/>
    <x v="19"/>
    <x v="19"/>
    <x v="18"/>
    <x v="0"/>
  </r>
  <r>
    <n v="306"/>
    <x v="1"/>
    <x v="1"/>
    <x v="0"/>
    <x v="1"/>
    <x v="1"/>
    <x v="3"/>
    <x v="5"/>
    <s v="121.4"/>
    <x v="16"/>
    <x v="14"/>
    <x v="5"/>
    <x v="11"/>
    <x v="12"/>
    <x v="15"/>
    <x v="16"/>
    <x v="20"/>
    <x v="15"/>
    <x v="0"/>
  </r>
  <r>
    <n v="307"/>
    <x v="5"/>
    <x v="5"/>
    <x v="1"/>
    <x v="1"/>
    <x v="0"/>
    <x v="3"/>
    <x v="6"/>
    <s v="222.4"/>
    <x v="3"/>
    <x v="14"/>
    <x v="5"/>
    <x v="11"/>
    <x v="13"/>
    <x v="16"/>
    <x v="20"/>
    <x v="21"/>
    <x v="19"/>
    <x v="0"/>
  </r>
  <r>
    <n v="308"/>
    <x v="2"/>
    <x v="2"/>
    <x v="0"/>
    <x v="2"/>
    <x v="0"/>
    <x v="3"/>
    <x v="7"/>
    <s v="132.4"/>
    <x v="7"/>
    <x v="15"/>
    <x v="13"/>
    <x v="13"/>
    <x v="8"/>
    <x v="17"/>
    <x v="21"/>
    <x v="22"/>
    <x v="12"/>
    <x v="0"/>
  </r>
  <r>
    <n v="401"/>
    <x v="10"/>
    <x v="10"/>
    <x v="1"/>
    <x v="0"/>
    <x v="0"/>
    <x v="2"/>
    <x v="0"/>
    <s v="212.3"/>
    <x v="12"/>
    <x v="16"/>
    <x v="14"/>
    <x v="10"/>
    <x v="9"/>
    <x v="18"/>
    <x v="13"/>
    <x v="13"/>
    <x v="9"/>
    <x v="0"/>
  </r>
  <r>
    <n v="402"/>
    <x v="5"/>
    <x v="5"/>
    <x v="1"/>
    <x v="1"/>
    <x v="0"/>
    <x v="2"/>
    <x v="1"/>
    <s v="222.3"/>
    <x v="3"/>
    <x v="1"/>
    <x v="15"/>
    <x v="7"/>
    <x v="14"/>
    <x v="19"/>
    <x v="22"/>
    <x v="23"/>
    <x v="20"/>
    <x v="0"/>
  </r>
  <r>
    <n v="403"/>
    <x v="11"/>
    <x v="11"/>
    <x v="0"/>
    <x v="2"/>
    <x v="1"/>
    <x v="2"/>
    <x v="2"/>
    <s v="131.3"/>
    <x v="17"/>
    <x v="17"/>
    <x v="16"/>
    <x v="14"/>
    <x v="6"/>
    <x v="20"/>
    <x v="23"/>
    <x v="24"/>
    <x v="1"/>
    <x v="0"/>
  </r>
  <r>
    <n v="404"/>
    <x v="6"/>
    <x v="6"/>
    <x v="0"/>
    <x v="1"/>
    <x v="0"/>
    <x v="2"/>
    <x v="3"/>
    <s v="122.3"/>
    <x v="8"/>
    <x v="9"/>
    <x v="17"/>
    <x v="15"/>
    <x v="3"/>
    <x v="14"/>
    <x v="14"/>
    <x v="25"/>
    <x v="13"/>
    <x v="0"/>
  </r>
  <r>
    <n v="405"/>
    <x v="11"/>
    <x v="11"/>
    <x v="0"/>
    <x v="2"/>
    <x v="1"/>
    <x v="3"/>
    <x v="4"/>
    <s v="131.4"/>
    <x v="18"/>
    <x v="4"/>
    <x v="13"/>
    <x v="16"/>
    <x v="15"/>
    <x v="21"/>
    <x v="24"/>
    <x v="26"/>
    <x v="21"/>
    <x v="0"/>
  </r>
  <r>
    <n v="406"/>
    <x v="6"/>
    <x v="6"/>
    <x v="0"/>
    <x v="1"/>
    <x v="0"/>
    <x v="3"/>
    <x v="5"/>
    <s v="122.4"/>
    <x v="19"/>
    <x v="3"/>
    <x v="18"/>
    <x v="7"/>
    <x v="7"/>
    <x v="22"/>
    <x v="5"/>
    <x v="27"/>
    <x v="5"/>
    <x v="0"/>
  </r>
  <r>
    <n v="407"/>
    <x v="10"/>
    <x v="10"/>
    <x v="1"/>
    <x v="0"/>
    <x v="0"/>
    <x v="3"/>
    <x v="6"/>
    <s v="212.4"/>
    <x v="12"/>
    <x v="18"/>
    <x v="19"/>
    <x v="0"/>
    <x v="0"/>
    <x v="23"/>
    <x v="13"/>
    <x v="13"/>
    <x v="9"/>
    <x v="0"/>
  </r>
  <r>
    <n v="408"/>
    <x v="3"/>
    <x v="3"/>
    <x v="1"/>
    <x v="1"/>
    <x v="1"/>
    <x v="3"/>
    <x v="7"/>
    <s v="221.4"/>
    <x v="20"/>
    <x v="19"/>
    <x v="3"/>
    <x v="1"/>
    <x v="7"/>
    <x v="16"/>
    <x v="20"/>
    <x v="28"/>
    <x v="19"/>
    <x v="0"/>
  </r>
</pivotCacheRecords>
</file>

<file path=xl/pivotCache/pivotCacheRecords2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x v="0"/>
    <x v="0"/>
    <x v="0"/>
    <x v="0"/>
    <x v="0"/>
    <x v="0"/>
    <x v="0"/>
    <s v="112.1"/>
    <x v="0"/>
    <x v="0"/>
    <x v="0"/>
    <x v="0"/>
    <x v="0"/>
    <x v="0"/>
    <x v="0"/>
    <x v="0"/>
    <x v="0"/>
    <x v="0"/>
  </r>
  <r>
    <x v="1"/>
    <x v="1"/>
    <x v="1"/>
    <x v="0"/>
    <x v="1"/>
    <x v="1"/>
    <x v="0"/>
    <x v="1"/>
    <s v="121.1"/>
    <x v="1"/>
    <x v="1"/>
    <x v="1"/>
    <x v="1"/>
    <x v="1"/>
    <x v="1"/>
    <x v="1"/>
    <x v="1"/>
    <x v="1"/>
    <x v="0"/>
  </r>
  <r>
    <x v="2"/>
    <x v="2"/>
    <x v="2"/>
    <x v="0"/>
    <x v="2"/>
    <x v="0"/>
    <x v="0"/>
    <x v="2"/>
    <s v="132.1"/>
    <x v="2"/>
    <x v="2"/>
    <x v="2"/>
    <x v="2"/>
    <x v="2"/>
    <x v="2"/>
    <x v="2"/>
    <x v="2"/>
    <x v="2"/>
    <x v="0"/>
  </r>
  <r>
    <x v="3"/>
    <x v="3"/>
    <x v="3"/>
    <x v="1"/>
    <x v="1"/>
    <x v="1"/>
    <x v="0"/>
    <x v="3"/>
    <s v="221.1"/>
    <x v="3"/>
    <x v="3"/>
    <x v="3"/>
    <x v="3"/>
    <x v="3"/>
    <x v="3"/>
    <x v="3"/>
    <x v="3"/>
    <x v="3"/>
    <x v="0"/>
  </r>
  <r>
    <x v="4"/>
    <x v="4"/>
    <x v="4"/>
    <x v="1"/>
    <x v="2"/>
    <x v="1"/>
    <x v="1"/>
    <x v="4"/>
    <s v="231.2"/>
    <x v="4"/>
    <x v="4"/>
    <x v="4"/>
    <x v="4"/>
    <x v="4"/>
    <x v="4"/>
    <x v="4"/>
    <x v="4"/>
    <x v="4"/>
    <x v="0"/>
  </r>
  <r>
    <x v="5"/>
    <x v="5"/>
    <x v="5"/>
    <x v="1"/>
    <x v="1"/>
    <x v="0"/>
    <x v="1"/>
    <x v="5"/>
    <s v="222.2"/>
    <x v="1"/>
    <x v="5"/>
    <x v="5"/>
    <x v="3"/>
    <x v="5"/>
    <x v="5"/>
    <x v="5"/>
    <x v="5"/>
    <x v="5"/>
    <x v="0"/>
  </r>
  <r>
    <x v="6"/>
    <x v="3"/>
    <x v="3"/>
    <x v="1"/>
    <x v="1"/>
    <x v="1"/>
    <x v="1"/>
    <x v="6"/>
    <s v="221.2"/>
    <x v="5"/>
    <x v="6"/>
    <x v="6"/>
    <x v="5"/>
    <x v="5"/>
    <x v="6"/>
    <x v="6"/>
    <x v="6"/>
    <x v="6"/>
    <x v="0"/>
  </r>
  <r>
    <x v="7"/>
    <x v="6"/>
    <x v="6"/>
    <x v="0"/>
    <x v="1"/>
    <x v="0"/>
    <x v="1"/>
    <x v="7"/>
    <s v="122.2"/>
    <x v="6"/>
    <x v="3"/>
    <x v="7"/>
    <x v="3"/>
    <x v="5"/>
    <x v="7"/>
    <x v="7"/>
    <x v="7"/>
    <x v="7"/>
    <x v="0"/>
  </r>
  <r>
    <x v="8"/>
    <x v="4"/>
    <x v="4"/>
    <x v="1"/>
    <x v="2"/>
    <x v="1"/>
    <x v="0"/>
    <x v="0"/>
    <s v="231.1"/>
    <x v="7"/>
    <x v="7"/>
    <x v="4"/>
    <x v="6"/>
    <x v="6"/>
    <x v="8"/>
    <x v="8"/>
    <x v="8"/>
    <x v="8"/>
    <x v="0"/>
  </r>
  <r>
    <x v="9"/>
    <x v="5"/>
    <x v="5"/>
    <x v="1"/>
    <x v="1"/>
    <x v="0"/>
    <x v="0"/>
    <x v="1"/>
    <s v="222.1"/>
    <x v="8"/>
    <x v="8"/>
    <x v="8"/>
    <x v="7"/>
    <x v="7"/>
    <x v="5"/>
    <x v="9"/>
    <x v="9"/>
    <x v="9"/>
    <x v="0"/>
  </r>
  <r>
    <x v="10"/>
    <x v="6"/>
    <x v="6"/>
    <x v="0"/>
    <x v="1"/>
    <x v="0"/>
    <x v="0"/>
    <x v="2"/>
    <s v="122.1"/>
    <x v="9"/>
    <x v="9"/>
    <x v="1"/>
    <x v="7"/>
    <x v="7"/>
    <x v="9"/>
    <x v="10"/>
    <x v="10"/>
    <x v="10"/>
    <x v="0"/>
  </r>
  <r>
    <x v="11"/>
    <x v="7"/>
    <x v="7"/>
    <x v="1"/>
    <x v="2"/>
    <x v="0"/>
    <x v="0"/>
    <x v="3"/>
    <s v="232.1"/>
    <x v="10"/>
    <x v="10"/>
    <x v="9"/>
    <x v="4"/>
    <x v="8"/>
    <x v="10"/>
    <x v="11"/>
    <x v="11"/>
    <x v="11"/>
    <x v="0"/>
  </r>
  <r>
    <x v="12"/>
    <x v="0"/>
    <x v="0"/>
    <x v="0"/>
    <x v="0"/>
    <x v="0"/>
    <x v="1"/>
    <x v="4"/>
    <s v="112.2"/>
    <x v="11"/>
    <x v="0"/>
    <x v="0"/>
    <x v="8"/>
    <x v="9"/>
    <x v="0"/>
    <x v="12"/>
    <x v="12"/>
    <x v="12"/>
    <x v="0"/>
  </r>
  <r>
    <x v="13"/>
    <x v="8"/>
    <x v="8"/>
    <x v="1"/>
    <x v="0"/>
    <x v="1"/>
    <x v="1"/>
    <x v="5"/>
    <s v="211.2"/>
    <x v="12"/>
    <x v="11"/>
    <x v="10"/>
    <x v="9"/>
    <x v="10"/>
    <x v="11"/>
    <x v="13"/>
    <x v="13"/>
    <x v="9"/>
    <x v="0"/>
  </r>
  <r>
    <x v="14"/>
    <x v="1"/>
    <x v="1"/>
    <x v="0"/>
    <x v="1"/>
    <x v="1"/>
    <x v="1"/>
    <x v="6"/>
    <s v="121.2"/>
    <x v="6"/>
    <x v="12"/>
    <x v="11"/>
    <x v="7"/>
    <x v="1"/>
    <x v="12"/>
    <x v="14"/>
    <x v="14"/>
    <x v="13"/>
    <x v="0"/>
  </r>
  <r>
    <x v="15"/>
    <x v="9"/>
    <x v="9"/>
    <x v="0"/>
    <x v="0"/>
    <x v="1"/>
    <x v="1"/>
    <x v="7"/>
    <s v="111.2"/>
    <x v="11"/>
    <x v="11"/>
    <x v="0"/>
    <x v="10"/>
    <x v="11"/>
    <x v="13"/>
    <x v="15"/>
    <x v="15"/>
    <x v="14"/>
    <x v="0"/>
  </r>
  <r>
    <x v="16"/>
    <x v="3"/>
    <x v="3"/>
    <x v="1"/>
    <x v="1"/>
    <x v="1"/>
    <x v="2"/>
    <x v="0"/>
    <s v="221.3"/>
    <x v="1"/>
    <x v="8"/>
    <x v="1"/>
    <x v="5"/>
    <x v="5"/>
    <x v="14"/>
    <x v="14"/>
    <x v="16"/>
    <x v="13"/>
    <x v="0"/>
  </r>
  <r>
    <x v="17"/>
    <x v="1"/>
    <x v="1"/>
    <x v="0"/>
    <x v="1"/>
    <x v="1"/>
    <x v="2"/>
    <x v="1"/>
    <s v="121.3"/>
    <x v="13"/>
    <x v="9"/>
    <x v="1"/>
    <x v="11"/>
    <x v="5"/>
    <x v="15"/>
    <x v="16"/>
    <x v="17"/>
    <x v="15"/>
    <x v="0"/>
  </r>
  <r>
    <x v="18"/>
    <x v="8"/>
    <x v="8"/>
    <x v="1"/>
    <x v="0"/>
    <x v="1"/>
    <x v="2"/>
    <x v="2"/>
    <s v="211.3"/>
    <x v="12"/>
    <x v="0"/>
    <x v="0"/>
    <x v="9"/>
    <x v="0"/>
    <x v="11"/>
    <x v="17"/>
    <x v="18"/>
    <x v="16"/>
    <x v="0"/>
  </r>
  <r>
    <x v="19"/>
    <x v="9"/>
    <x v="9"/>
    <x v="0"/>
    <x v="0"/>
    <x v="1"/>
    <x v="2"/>
    <x v="3"/>
    <s v="111.3"/>
    <x v="14"/>
    <x v="11"/>
    <x v="0"/>
    <x v="9"/>
    <x v="11"/>
    <x v="13"/>
    <x v="18"/>
    <x v="18"/>
    <x v="17"/>
    <x v="0"/>
  </r>
  <r>
    <x v="20"/>
    <x v="7"/>
    <x v="7"/>
    <x v="1"/>
    <x v="2"/>
    <x v="0"/>
    <x v="3"/>
    <x v="4"/>
    <s v="232.4"/>
    <x v="15"/>
    <x v="13"/>
    <x v="12"/>
    <x v="12"/>
    <x v="8"/>
    <x v="10"/>
    <x v="19"/>
    <x v="19"/>
    <x v="18"/>
    <x v="0"/>
  </r>
  <r>
    <x v="21"/>
    <x v="1"/>
    <x v="1"/>
    <x v="0"/>
    <x v="1"/>
    <x v="1"/>
    <x v="3"/>
    <x v="5"/>
    <s v="121.4"/>
    <x v="16"/>
    <x v="14"/>
    <x v="5"/>
    <x v="11"/>
    <x v="12"/>
    <x v="15"/>
    <x v="16"/>
    <x v="20"/>
    <x v="15"/>
    <x v="0"/>
  </r>
  <r>
    <x v="22"/>
    <x v="5"/>
    <x v="5"/>
    <x v="1"/>
    <x v="1"/>
    <x v="0"/>
    <x v="3"/>
    <x v="6"/>
    <s v="222.4"/>
    <x v="3"/>
    <x v="14"/>
    <x v="5"/>
    <x v="11"/>
    <x v="13"/>
    <x v="16"/>
    <x v="20"/>
    <x v="21"/>
    <x v="19"/>
    <x v="0"/>
  </r>
  <r>
    <x v="23"/>
    <x v="2"/>
    <x v="2"/>
    <x v="0"/>
    <x v="2"/>
    <x v="0"/>
    <x v="3"/>
    <x v="7"/>
    <s v="132.4"/>
    <x v="7"/>
    <x v="15"/>
    <x v="13"/>
    <x v="13"/>
    <x v="8"/>
    <x v="17"/>
    <x v="21"/>
    <x v="22"/>
    <x v="12"/>
    <x v="0"/>
  </r>
  <r>
    <x v="24"/>
    <x v="10"/>
    <x v="10"/>
    <x v="1"/>
    <x v="0"/>
    <x v="0"/>
    <x v="2"/>
    <x v="0"/>
    <s v="212.3"/>
    <x v="12"/>
    <x v="16"/>
    <x v="14"/>
    <x v="10"/>
    <x v="9"/>
    <x v="18"/>
    <x v="13"/>
    <x v="13"/>
    <x v="9"/>
    <x v="0"/>
  </r>
  <r>
    <x v="25"/>
    <x v="5"/>
    <x v="5"/>
    <x v="1"/>
    <x v="1"/>
    <x v="0"/>
    <x v="2"/>
    <x v="1"/>
    <s v="222.3"/>
    <x v="3"/>
    <x v="1"/>
    <x v="15"/>
    <x v="7"/>
    <x v="14"/>
    <x v="19"/>
    <x v="22"/>
    <x v="23"/>
    <x v="20"/>
    <x v="0"/>
  </r>
  <r>
    <x v="26"/>
    <x v="11"/>
    <x v="11"/>
    <x v="0"/>
    <x v="2"/>
    <x v="1"/>
    <x v="2"/>
    <x v="2"/>
    <s v="131.3"/>
    <x v="17"/>
    <x v="17"/>
    <x v="16"/>
    <x v="14"/>
    <x v="6"/>
    <x v="20"/>
    <x v="23"/>
    <x v="24"/>
    <x v="1"/>
    <x v="0"/>
  </r>
  <r>
    <x v="27"/>
    <x v="6"/>
    <x v="6"/>
    <x v="0"/>
    <x v="1"/>
    <x v="0"/>
    <x v="2"/>
    <x v="3"/>
    <s v="122.3"/>
    <x v="8"/>
    <x v="9"/>
    <x v="17"/>
    <x v="15"/>
    <x v="3"/>
    <x v="14"/>
    <x v="14"/>
    <x v="25"/>
    <x v="13"/>
    <x v="0"/>
  </r>
  <r>
    <x v="28"/>
    <x v="11"/>
    <x v="11"/>
    <x v="0"/>
    <x v="2"/>
    <x v="1"/>
    <x v="3"/>
    <x v="4"/>
    <s v="131.4"/>
    <x v="18"/>
    <x v="4"/>
    <x v="13"/>
    <x v="16"/>
    <x v="15"/>
    <x v="21"/>
    <x v="24"/>
    <x v="26"/>
    <x v="21"/>
    <x v="0"/>
  </r>
  <r>
    <x v="29"/>
    <x v="6"/>
    <x v="6"/>
    <x v="0"/>
    <x v="1"/>
    <x v="0"/>
    <x v="3"/>
    <x v="5"/>
    <s v="122.4"/>
    <x v="19"/>
    <x v="3"/>
    <x v="18"/>
    <x v="7"/>
    <x v="7"/>
    <x v="22"/>
    <x v="5"/>
    <x v="27"/>
    <x v="5"/>
    <x v="0"/>
  </r>
  <r>
    <x v="30"/>
    <x v="10"/>
    <x v="10"/>
    <x v="1"/>
    <x v="0"/>
    <x v="0"/>
    <x v="3"/>
    <x v="6"/>
    <s v="212.4"/>
    <x v="12"/>
    <x v="18"/>
    <x v="19"/>
    <x v="0"/>
    <x v="0"/>
    <x v="23"/>
    <x v="13"/>
    <x v="13"/>
    <x v="9"/>
    <x v="0"/>
  </r>
  <r>
    <x v="31"/>
    <x v="3"/>
    <x v="3"/>
    <x v="1"/>
    <x v="1"/>
    <x v="1"/>
    <x v="3"/>
    <x v="7"/>
    <s v="221.4"/>
    <x v="20"/>
    <x v="19"/>
    <x v="3"/>
    <x v="1"/>
    <x v="7"/>
    <x v="16"/>
    <x v="20"/>
    <x v="28"/>
    <x v="19"/>
    <x v="0"/>
  </r>
</pivotCacheRecords>
</file>

<file path=xl/pivotCache/pivotCacheRecords2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08"/>
    <x v="0"/>
    <x v="0"/>
    <x v="0"/>
    <x v="0"/>
    <x v="0"/>
    <x v="0"/>
    <s v="122.2"/>
    <x v="0"/>
    <n v="44.2"/>
  </r>
  <r>
    <n v="107"/>
    <x v="1"/>
    <x v="1"/>
    <x v="1"/>
    <x v="0"/>
    <x v="1"/>
    <x v="0"/>
    <s v="221.2"/>
    <x v="1"/>
    <n v="39.200000000000003"/>
  </r>
  <r>
    <n v="106"/>
    <x v="2"/>
    <x v="2"/>
    <x v="1"/>
    <x v="0"/>
    <x v="0"/>
    <x v="0"/>
    <s v="222.2"/>
    <x v="1"/>
    <n v="40.6"/>
  </r>
  <r>
    <n v="105"/>
    <x v="3"/>
    <x v="3"/>
    <x v="1"/>
    <x v="1"/>
    <x v="1"/>
    <x v="0"/>
    <s v="231.2"/>
    <x v="1"/>
    <n v="39"/>
  </r>
  <r>
    <n v="104"/>
    <x v="1"/>
    <x v="1"/>
    <x v="1"/>
    <x v="0"/>
    <x v="1"/>
    <x v="1"/>
    <s v="221.1"/>
    <x v="1"/>
    <n v="40.700000000000003"/>
  </r>
  <r>
    <n v="103"/>
    <x v="4"/>
    <x v="4"/>
    <x v="0"/>
    <x v="1"/>
    <x v="0"/>
    <x v="1"/>
    <s v="132.1"/>
    <x v="1"/>
    <n v="43.3"/>
  </r>
  <r>
    <n v="102"/>
    <x v="5"/>
    <x v="5"/>
    <x v="0"/>
    <x v="0"/>
    <x v="1"/>
    <x v="1"/>
    <s v="121.1"/>
    <x v="1"/>
    <n v="41.6"/>
  </r>
  <r>
    <n v="101"/>
    <x v="6"/>
    <x v="6"/>
    <x v="0"/>
    <x v="2"/>
    <x v="0"/>
    <x v="1"/>
    <s v="112.1"/>
    <x v="1"/>
    <n v="44.1"/>
  </r>
  <r>
    <n v="201"/>
    <x v="3"/>
    <x v="3"/>
    <x v="1"/>
    <x v="1"/>
    <x v="1"/>
    <x v="1"/>
    <s v="231.1"/>
    <x v="2"/>
    <n v="40.9"/>
  </r>
  <r>
    <n v="202"/>
    <x v="2"/>
    <x v="2"/>
    <x v="1"/>
    <x v="0"/>
    <x v="0"/>
    <x v="1"/>
    <s v="222.1"/>
    <x v="1"/>
    <n v="43.2"/>
  </r>
  <r>
    <n v="203"/>
    <x v="0"/>
    <x v="0"/>
    <x v="0"/>
    <x v="0"/>
    <x v="0"/>
    <x v="1"/>
    <s v="122.1"/>
    <x v="1"/>
    <n v="41.9"/>
  </r>
  <r>
    <n v="204"/>
    <x v="7"/>
    <x v="7"/>
    <x v="1"/>
    <x v="1"/>
    <x v="0"/>
    <x v="1"/>
    <s v="232.1"/>
    <x v="1"/>
    <n v="41.3"/>
  </r>
  <r>
    <n v="205"/>
    <x v="6"/>
    <x v="6"/>
    <x v="0"/>
    <x v="2"/>
    <x v="0"/>
    <x v="0"/>
    <s v="112.2"/>
    <x v="1"/>
    <n v="39.9"/>
  </r>
  <r>
    <n v="206"/>
    <x v="8"/>
    <x v="8"/>
    <x v="1"/>
    <x v="2"/>
    <x v="1"/>
    <x v="0"/>
    <s v="211.2"/>
    <x v="1"/>
    <n v="42.2"/>
  </r>
  <r>
    <n v="207"/>
    <x v="5"/>
    <x v="5"/>
    <x v="0"/>
    <x v="0"/>
    <x v="1"/>
    <x v="0"/>
    <s v="121.2"/>
    <x v="1"/>
    <n v="40"/>
  </r>
  <r>
    <n v="208"/>
    <x v="9"/>
    <x v="9"/>
    <x v="0"/>
    <x v="2"/>
    <x v="1"/>
    <x v="0"/>
    <s v="111.2"/>
    <x v="1"/>
    <n v="41.5"/>
  </r>
  <r>
    <n v="908"/>
    <x v="10"/>
    <x v="10"/>
    <x v="2"/>
    <x v="0"/>
    <x v="0"/>
    <x v="0"/>
    <s v="322.2"/>
    <x v="3"/>
    <n v="48"/>
  </r>
  <r>
    <n v="907"/>
    <x v="11"/>
    <x v="11"/>
    <x v="3"/>
    <x v="3"/>
    <x v="1"/>
    <x v="0"/>
    <s v="801.2"/>
    <x v="1"/>
    <m/>
  </r>
  <r>
    <n v="906"/>
    <x v="12"/>
    <x v="12"/>
    <x v="4"/>
    <x v="0"/>
    <x v="0"/>
    <x v="0"/>
    <s v="422.2"/>
    <x v="1"/>
    <n v="36.5"/>
  </r>
  <r>
    <n v="905"/>
    <x v="13"/>
    <x v="13"/>
    <x v="5"/>
    <x v="3"/>
    <x v="1"/>
    <x v="0"/>
    <s v="901.2"/>
    <x v="1"/>
    <m/>
  </r>
  <r>
    <n v="904"/>
    <x v="10"/>
    <x v="10"/>
    <x v="2"/>
    <x v="0"/>
    <x v="0"/>
    <x v="1"/>
    <s v="322.1"/>
    <x v="1"/>
    <n v="50.1"/>
  </r>
  <r>
    <n v="903"/>
    <x v="11"/>
    <x v="11"/>
    <x v="3"/>
    <x v="3"/>
    <x v="1"/>
    <x v="1"/>
    <s v="801.1"/>
    <x v="1"/>
    <m/>
  </r>
  <r>
    <n v="902"/>
    <x v="12"/>
    <x v="12"/>
    <x v="4"/>
    <x v="0"/>
    <x v="0"/>
    <x v="1"/>
    <s v="422.1"/>
    <x v="1"/>
    <n v="38.200000000000003"/>
  </r>
  <r>
    <n v="901"/>
    <x v="13"/>
    <x v="13"/>
    <x v="5"/>
    <x v="3"/>
    <x v="1"/>
    <x v="1"/>
    <s v="901.1"/>
    <x v="1"/>
    <m/>
  </r>
  <r>
    <n v="301"/>
    <x v="1"/>
    <x v="1"/>
    <x v="1"/>
    <x v="0"/>
    <x v="1"/>
    <x v="2"/>
    <s v="221.3"/>
    <x v="4"/>
    <n v="40.1"/>
  </r>
  <r>
    <n v="302"/>
    <x v="5"/>
    <x v="5"/>
    <x v="0"/>
    <x v="0"/>
    <x v="1"/>
    <x v="2"/>
    <s v="121.3"/>
    <x v="1"/>
    <n v="41.3"/>
  </r>
  <r>
    <n v="303"/>
    <x v="8"/>
    <x v="8"/>
    <x v="1"/>
    <x v="2"/>
    <x v="1"/>
    <x v="2"/>
    <s v="211.3"/>
    <x v="1"/>
    <n v="40.299999999999997"/>
  </r>
  <r>
    <n v="304"/>
    <x v="9"/>
    <x v="9"/>
    <x v="0"/>
    <x v="2"/>
    <x v="1"/>
    <x v="2"/>
    <s v="111.3"/>
    <x v="1"/>
    <n v="39.700000000000003"/>
  </r>
  <r>
    <n v="305"/>
    <x v="7"/>
    <x v="7"/>
    <x v="1"/>
    <x v="1"/>
    <x v="0"/>
    <x v="3"/>
    <s v="232.4"/>
    <x v="1"/>
    <n v="43.5"/>
  </r>
  <r>
    <n v="306"/>
    <x v="5"/>
    <x v="5"/>
    <x v="0"/>
    <x v="0"/>
    <x v="1"/>
    <x v="3"/>
    <s v="121.4"/>
    <x v="1"/>
    <n v="39.9"/>
  </r>
  <r>
    <n v="307"/>
    <x v="2"/>
    <x v="2"/>
    <x v="1"/>
    <x v="0"/>
    <x v="0"/>
    <x v="3"/>
    <s v="222.4"/>
    <x v="1"/>
    <n v="40.5"/>
  </r>
  <r>
    <n v="308"/>
    <x v="4"/>
    <x v="4"/>
    <x v="0"/>
    <x v="1"/>
    <x v="0"/>
    <x v="3"/>
    <s v="132.4"/>
    <x v="1"/>
    <n v="46.7"/>
  </r>
  <r>
    <n v="408"/>
    <x v="1"/>
    <x v="1"/>
    <x v="1"/>
    <x v="0"/>
    <x v="1"/>
    <x v="3"/>
    <s v="221.4"/>
    <x v="5"/>
    <n v="41.7"/>
  </r>
  <r>
    <n v="407"/>
    <x v="14"/>
    <x v="14"/>
    <x v="1"/>
    <x v="2"/>
    <x v="0"/>
    <x v="3"/>
    <s v="212.4"/>
    <x v="1"/>
    <n v="43.1"/>
  </r>
  <r>
    <n v="406"/>
    <x v="0"/>
    <x v="0"/>
    <x v="0"/>
    <x v="0"/>
    <x v="0"/>
    <x v="3"/>
    <s v="122.4"/>
    <x v="1"/>
    <n v="43.6"/>
  </r>
  <r>
    <n v="405"/>
    <x v="15"/>
    <x v="15"/>
    <x v="0"/>
    <x v="1"/>
    <x v="1"/>
    <x v="3"/>
    <s v="131.4"/>
    <x v="1"/>
    <n v="41.3"/>
  </r>
  <r>
    <n v="404"/>
    <x v="0"/>
    <x v="0"/>
    <x v="0"/>
    <x v="0"/>
    <x v="0"/>
    <x v="2"/>
    <s v="122.3"/>
    <x v="1"/>
    <n v="42.3"/>
  </r>
  <r>
    <n v="403"/>
    <x v="15"/>
    <x v="15"/>
    <x v="0"/>
    <x v="1"/>
    <x v="1"/>
    <x v="2"/>
    <s v="131.3"/>
    <x v="1"/>
    <n v="40.5"/>
  </r>
  <r>
    <n v="402"/>
    <x v="2"/>
    <x v="2"/>
    <x v="1"/>
    <x v="0"/>
    <x v="0"/>
    <x v="2"/>
    <s v="222.3"/>
    <x v="1"/>
    <n v="42.2"/>
  </r>
  <r>
    <n v="401"/>
    <x v="14"/>
    <x v="14"/>
    <x v="1"/>
    <x v="2"/>
    <x v="0"/>
    <x v="2"/>
    <s v="212.3"/>
    <x v="6"/>
    <n v="45.9"/>
  </r>
</pivotCacheRecords>
</file>

<file path=xl/pivotCache/pivotCacheRecords3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08"/>
    <x v="0"/>
    <x v="0"/>
    <x v="0"/>
    <x v="0"/>
    <x v="0"/>
    <x v="0"/>
    <s v="122.2"/>
    <x v="0"/>
    <n v="39.799999999999997"/>
  </r>
  <r>
    <n v="107"/>
    <x v="1"/>
    <x v="1"/>
    <x v="1"/>
    <x v="0"/>
    <x v="1"/>
    <x v="0"/>
    <s v="221.2"/>
    <x v="1"/>
    <n v="41.7"/>
  </r>
  <r>
    <n v="106"/>
    <x v="2"/>
    <x v="2"/>
    <x v="1"/>
    <x v="0"/>
    <x v="0"/>
    <x v="0"/>
    <s v="222.2"/>
    <x v="1"/>
    <n v="45.4"/>
  </r>
  <r>
    <n v="105"/>
    <x v="3"/>
    <x v="3"/>
    <x v="1"/>
    <x v="1"/>
    <x v="1"/>
    <x v="0"/>
    <s v="231.2"/>
    <x v="1"/>
    <n v="36.5"/>
  </r>
  <r>
    <n v="104"/>
    <x v="1"/>
    <x v="1"/>
    <x v="1"/>
    <x v="0"/>
    <x v="1"/>
    <x v="1"/>
    <s v="221.1"/>
    <x v="1"/>
    <n v="47.3"/>
  </r>
  <r>
    <n v="103"/>
    <x v="4"/>
    <x v="4"/>
    <x v="0"/>
    <x v="1"/>
    <x v="0"/>
    <x v="1"/>
    <s v="132.1"/>
    <x v="1"/>
    <n v="37.200000000000003"/>
  </r>
  <r>
    <n v="102"/>
    <x v="5"/>
    <x v="5"/>
    <x v="0"/>
    <x v="0"/>
    <x v="1"/>
    <x v="1"/>
    <s v="121.1"/>
    <x v="1"/>
    <n v="38.299999999999997"/>
  </r>
  <r>
    <n v="101"/>
    <x v="6"/>
    <x v="6"/>
    <x v="0"/>
    <x v="2"/>
    <x v="0"/>
    <x v="1"/>
    <s v="112.1"/>
    <x v="1"/>
    <n v="40.4"/>
  </r>
  <r>
    <n v="201"/>
    <x v="3"/>
    <x v="3"/>
    <x v="1"/>
    <x v="1"/>
    <x v="1"/>
    <x v="1"/>
    <s v="231.1"/>
    <x v="2"/>
    <n v="37.5"/>
  </r>
  <r>
    <n v="202"/>
    <x v="2"/>
    <x v="2"/>
    <x v="1"/>
    <x v="0"/>
    <x v="0"/>
    <x v="1"/>
    <s v="222.1"/>
    <x v="1"/>
    <n v="45.3"/>
  </r>
  <r>
    <n v="203"/>
    <x v="0"/>
    <x v="0"/>
    <x v="0"/>
    <x v="0"/>
    <x v="0"/>
    <x v="1"/>
    <s v="122.1"/>
    <x v="1"/>
    <n v="42.3"/>
  </r>
  <r>
    <n v="204"/>
    <x v="7"/>
    <x v="7"/>
    <x v="1"/>
    <x v="1"/>
    <x v="0"/>
    <x v="1"/>
    <s v="232.1"/>
    <x v="1"/>
    <n v="38.9"/>
  </r>
  <r>
    <n v="205"/>
    <x v="6"/>
    <x v="6"/>
    <x v="0"/>
    <x v="2"/>
    <x v="0"/>
    <x v="0"/>
    <s v="112.2"/>
    <x v="1"/>
    <n v="37.9"/>
  </r>
  <r>
    <n v="206"/>
    <x v="8"/>
    <x v="8"/>
    <x v="1"/>
    <x v="2"/>
    <x v="1"/>
    <x v="0"/>
    <s v="211.2"/>
    <x v="1"/>
    <n v="45.6"/>
  </r>
  <r>
    <n v="207"/>
    <x v="5"/>
    <x v="5"/>
    <x v="0"/>
    <x v="0"/>
    <x v="1"/>
    <x v="0"/>
    <s v="121.2"/>
    <x v="1"/>
    <n v="39.1"/>
  </r>
  <r>
    <n v="208"/>
    <x v="9"/>
    <x v="9"/>
    <x v="0"/>
    <x v="2"/>
    <x v="1"/>
    <x v="0"/>
    <s v="111.2"/>
    <x v="1"/>
    <n v="38.6"/>
  </r>
  <r>
    <n v="908"/>
    <x v="10"/>
    <x v="10"/>
    <x v="2"/>
    <x v="0"/>
    <x v="0"/>
    <x v="0"/>
    <s v="322.2"/>
    <x v="3"/>
    <n v="52.3"/>
  </r>
  <r>
    <n v="907"/>
    <x v="11"/>
    <x v="11"/>
    <x v="3"/>
    <x v="3"/>
    <x v="1"/>
    <x v="0"/>
    <s v="801.2"/>
    <x v="1"/>
    <m/>
  </r>
  <r>
    <n v="906"/>
    <x v="12"/>
    <x v="12"/>
    <x v="4"/>
    <x v="0"/>
    <x v="0"/>
    <x v="0"/>
    <s v="422.2"/>
    <x v="1"/>
    <n v="41.6"/>
  </r>
  <r>
    <n v="905"/>
    <x v="13"/>
    <x v="13"/>
    <x v="5"/>
    <x v="3"/>
    <x v="1"/>
    <x v="0"/>
    <s v="901.2"/>
    <x v="1"/>
    <m/>
  </r>
  <r>
    <n v="904"/>
    <x v="10"/>
    <x v="10"/>
    <x v="2"/>
    <x v="0"/>
    <x v="0"/>
    <x v="1"/>
    <s v="322.1"/>
    <x v="1"/>
    <n v="50.7"/>
  </r>
  <r>
    <n v="903"/>
    <x v="11"/>
    <x v="11"/>
    <x v="3"/>
    <x v="3"/>
    <x v="1"/>
    <x v="1"/>
    <s v="801.1"/>
    <x v="1"/>
    <m/>
  </r>
  <r>
    <n v="902"/>
    <x v="12"/>
    <x v="12"/>
    <x v="4"/>
    <x v="0"/>
    <x v="0"/>
    <x v="1"/>
    <s v="422.1"/>
    <x v="1"/>
    <n v="43.4"/>
  </r>
  <r>
    <n v="901"/>
    <x v="13"/>
    <x v="13"/>
    <x v="5"/>
    <x v="3"/>
    <x v="1"/>
    <x v="1"/>
    <s v="901.1"/>
    <x v="1"/>
    <m/>
  </r>
  <r>
    <n v="301"/>
    <x v="1"/>
    <x v="1"/>
    <x v="1"/>
    <x v="0"/>
    <x v="1"/>
    <x v="2"/>
    <s v="221.3"/>
    <x v="4"/>
    <n v="44.7"/>
  </r>
  <r>
    <n v="302"/>
    <x v="5"/>
    <x v="5"/>
    <x v="0"/>
    <x v="0"/>
    <x v="1"/>
    <x v="2"/>
    <s v="121.3"/>
    <x v="1"/>
    <n v="40.4"/>
  </r>
  <r>
    <n v="303"/>
    <x v="8"/>
    <x v="8"/>
    <x v="1"/>
    <x v="2"/>
    <x v="1"/>
    <x v="2"/>
    <s v="211.3"/>
    <x v="1"/>
    <n v="43.7"/>
  </r>
  <r>
    <n v="304"/>
    <x v="9"/>
    <x v="9"/>
    <x v="0"/>
    <x v="2"/>
    <x v="1"/>
    <x v="2"/>
    <s v="111.3"/>
    <x v="1"/>
    <n v="40.5"/>
  </r>
  <r>
    <n v="305"/>
    <x v="7"/>
    <x v="7"/>
    <x v="1"/>
    <x v="1"/>
    <x v="0"/>
    <x v="3"/>
    <s v="232.4"/>
    <x v="1"/>
    <n v="41.7"/>
  </r>
  <r>
    <n v="306"/>
    <x v="5"/>
    <x v="5"/>
    <x v="0"/>
    <x v="0"/>
    <x v="1"/>
    <x v="3"/>
    <s v="121.4"/>
    <x v="1"/>
    <n v="40.4"/>
  </r>
  <r>
    <n v="307"/>
    <x v="2"/>
    <x v="2"/>
    <x v="1"/>
    <x v="0"/>
    <x v="0"/>
    <x v="3"/>
    <s v="222.4"/>
    <x v="1"/>
    <n v="45.9"/>
  </r>
  <r>
    <n v="308"/>
    <x v="4"/>
    <x v="4"/>
    <x v="0"/>
    <x v="1"/>
    <x v="0"/>
    <x v="3"/>
    <s v="132.4"/>
    <x v="1"/>
    <n v="46.5"/>
  </r>
  <r>
    <n v="408"/>
    <x v="1"/>
    <x v="1"/>
    <x v="1"/>
    <x v="0"/>
    <x v="1"/>
    <x v="3"/>
    <s v="221.4"/>
    <x v="5"/>
    <n v="47.2"/>
  </r>
  <r>
    <n v="407"/>
    <x v="14"/>
    <x v="14"/>
    <x v="1"/>
    <x v="2"/>
    <x v="0"/>
    <x v="3"/>
    <s v="212.4"/>
    <x v="1"/>
    <n v="46.2"/>
  </r>
  <r>
    <n v="406"/>
    <x v="0"/>
    <x v="0"/>
    <x v="0"/>
    <x v="0"/>
    <x v="0"/>
    <x v="3"/>
    <s v="122.4"/>
    <x v="1"/>
    <n v="43.7"/>
  </r>
  <r>
    <n v="405"/>
    <x v="15"/>
    <x v="15"/>
    <x v="0"/>
    <x v="1"/>
    <x v="1"/>
    <x v="3"/>
    <s v="131.4"/>
    <x v="1"/>
    <n v="41"/>
  </r>
  <r>
    <n v="404"/>
    <x v="0"/>
    <x v="0"/>
    <x v="0"/>
    <x v="0"/>
    <x v="0"/>
    <x v="2"/>
    <s v="122.3"/>
    <x v="1"/>
    <n v="42.3"/>
  </r>
  <r>
    <n v="403"/>
    <x v="15"/>
    <x v="15"/>
    <x v="0"/>
    <x v="1"/>
    <x v="1"/>
    <x v="2"/>
    <s v="131.3"/>
    <x v="1"/>
    <n v="41.3"/>
  </r>
  <r>
    <n v="402"/>
    <x v="2"/>
    <x v="2"/>
    <x v="1"/>
    <x v="0"/>
    <x v="0"/>
    <x v="2"/>
    <s v="222.3"/>
    <x v="1"/>
    <n v="45"/>
  </r>
  <r>
    <n v="401"/>
    <x v="14"/>
    <x v="14"/>
    <x v="1"/>
    <x v="2"/>
    <x v="0"/>
    <x v="2"/>
    <s v="212.3"/>
    <x v="6"/>
    <n v="47.6"/>
  </r>
</pivotCacheRecords>
</file>

<file path=xl/pivotCache/pivotCacheRecords3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08"/>
    <x v="0"/>
    <x v="0"/>
    <x v="0"/>
    <x v="0"/>
    <x v="0"/>
    <x v="0"/>
    <s v="122.2"/>
    <x v="0"/>
    <n v="36.200000000000003"/>
  </r>
  <r>
    <n v="107"/>
    <x v="1"/>
    <x v="1"/>
    <x v="1"/>
    <x v="0"/>
    <x v="1"/>
    <x v="0"/>
    <s v="221.2"/>
    <x v="1"/>
    <n v="41"/>
  </r>
  <r>
    <n v="106"/>
    <x v="2"/>
    <x v="2"/>
    <x v="1"/>
    <x v="0"/>
    <x v="0"/>
    <x v="0"/>
    <s v="222.2"/>
    <x v="1"/>
    <n v="42.2"/>
  </r>
  <r>
    <n v="105"/>
    <x v="3"/>
    <x v="3"/>
    <x v="1"/>
    <x v="1"/>
    <x v="1"/>
    <x v="0"/>
    <s v="231.2"/>
    <x v="1"/>
    <n v="36.700000000000003"/>
  </r>
  <r>
    <n v="104"/>
    <x v="1"/>
    <x v="1"/>
    <x v="1"/>
    <x v="0"/>
    <x v="1"/>
    <x v="1"/>
    <s v="221.1"/>
    <x v="1"/>
    <n v="40"/>
  </r>
  <r>
    <n v="103"/>
    <x v="4"/>
    <x v="4"/>
    <x v="0"/>
    <x v="1"/>
    <x v="0"/>
    <x v="1"/>
    <s v="132.1"/>
    <x v="1"/>
    <n v="36.799999999999997"/>
  </r>
  <r>
    <n v="102"/>
    <x v="5"/>
    <x v="5"/>
    <x v="0"/>
    <x v="0"/>
    <x v="1"/>
    <x v="1"/>
    <s v="121.1"/>
    <x v="1"/>
    <n v="38.5"/>
  </r>
  <r>
    <n v="101"/>
    <x v="6"/>
    <x v="6"/>
    <x v="0"/>
    <x v="2"/>
    <x v="0"/>
    <x v="1"/>
    <s v="112.1"/>
    <x v="1"/>
    <n v="41"/>
  </r>
  <r>
    <n v="201"/>
    <x v="3"/>
    <x v="3"/>
    <x v="1"/>
    <x v="1"/>
    <x v="1"/>
    <x v="1"/>
    <s v="231.1"/>
    <x v="2"/>
    <n v="37.1"/>
  </r>
  <r>
    <n v="202"/>
    <x v="2"/>
    <x v="2"/>
    <x v="1"/>
    <x v="0"/>
    <x v="0"/>
    <x v="1"/>
    <s v="222.1"/>
    <x v="1"/>
    <n v="41.2"/>
  </r>
  <r>
    <n v="203"/>
    <x v="0"/>
    <x v="0"/>
    <x v="0"/>
    <x v="0"/>
    <x v="0"/>
    <x v="1"/>
    <s v="122.1"/>
    <x v="1"/>
    <n v="40.5"/>
  </r>
  <r>
    <n v="204"/>
    <x v="7"/>
    <x v="7"/>
    <x v="1"/>
    <x v="1"/>
    <x v="0"/>
    <x v="1"/>
    <s v="232.1"/>
    <x v="1"/>
    <n v="39.5"/>
  </r>
  <r>
    <n v="205"/>
    <x v="6"/>
    <x v="6"/>
    <x v="0"/>
    <x v="2"/>
    <x v="0"/>
    <x v="0"/>
    <s v="112.2"/>
    <x v="1"/>
    <n v="39.1"/>
  </r>
  <r>
    <n v="206"/>
    <x v="8"/>
    <x v="8"/>
    <x v="1"/>
    <x v="2"/>
    <x v="1"/>
    <x v="0"/>
    <s v="211.2"/>
    <x v="1"/>
    <n v="40.799999999999997"/>
  </r>
  <r>
    <n v="207"/>
    <x v="5"/>
    <x v="5"/>
    <x v="0"/>
    <x v="0"/>
    <x v="1"/>
    <x v="0"/>
    <s v="121.2"/>
    <x v="1"/>
    <n v="37.6"/>
  </r>
  <r>
    <n v="208"/>
    <x v="9"/>
    <x v="9"/>
    <x v="0"/>
    <x v="2"/>
    <x v="1"/>
    <x v="0"/>
    <s v="111.2"/>
    <x v="1"/>
    <n v="39.799999999999997"/>
  </r>
  <r>
    <n v="908"/>
    <x v="10"/>
    <x v="10"/>
    <x v="2"/>
    <x v="0"/>
    <x v="0"/>
    <x v="0"/>
    <s v="322.2"/>
    <x v="3"/>
    <n v="53.8"/>
  </r>
  <r>
    <n v="907"/>
    <x v="11"/>
    <x v="11"/>
    <x v="3"/>
    <x v="3"/>
    <x v="1"/>
    <x v="0"/>
    <s v="801.2"/>
    <x v="1"/>
    <m/>
  </r>
  <r>
    <n v="906"/>
    <x v="12"/>
    <x v="12"/>
    <x v="4"/>
    <x v="0"/>
    <x v="0"/>
    <x v="0"/>
    <s v="422.2"/>
    <x v="1"/>
    <n v="41.3"/>
  </r>
  <r>
    <n v="905"/>
    <x v="13"/>
    <x v="13"/>
    <x v="5"/>
    <x v="3"/>
    <x v="1"/>
    <x v="0"/>
    <s v="901.2"/>
    <x v="1"/>
    <m/>
  </r>
  <r>
    <n v="904"/>
    <x v="10"/>
    <x v="10"/>
    <x v="2"/>
    <x v="0"/>
    <x v="0"/>
    <x v="1"/>
    <s v="322.1"/>
    <x v="1"/>
    <n v="53.7"/>
  </r>
  <r>
    <n v="903"/>
    <x v="11"/>
    <x v="11"/>
    <x v="3"/>
    <x v="3"/>
    <x v="1"/>
    <x v="1"/>
    <s v="801.1"/>
    <x v="1"/>
    <m/>
  </r>
  <r>
    <n v="902"/>
    <x v="12"/>
    <x v="12"/>
    <x v="4"/>
    <x v="0"/>
    <x v="0"/>
    <x v="1"/>
    <s v="422.1"/>
    <x v="1"/>
    <n v="43.1"/>
  </r>
  <r>
    <n v="901"/>
    <x v="13"/>
    <x v="13"/>
    <x v="5"/>
    <x v="3"/>
    <x v="1"/>
    <x v="1"/>
    <s v="901.1"/>
    <x v="1"/>
    <m/>
  </r>
  <r>
    <n v="301"/>
    <x v="1"/>
    <x v="1"/>
    <x v="1"/>
    <x v="0"/>
    <x v="1"/>
    <x v="2"/>
    <s v="221.3"/>
    <x v="4"/>
    <n v="43.8"/>
  </r>
  <r>
    <n v="302"/>
    <x v="5"/>
    <x v="5"/>
    <x v="0"/>
    <x v="0"/>
    <x v="1"/>
    <x v="2"/>
    <s v="121.3"/>
    <x v="1"/>
    <n v="38.299999999999997"/>
  </r>
  <r>
    <n v="303"/>
    <x v="8"/>
    <x v="8"/>
    <x v="1"/>
    <x v="2"/>
    <x v="1"/>
    <x v="2"/>
    <s v="211.3"/>
    <x v="1"/>
    <n v="43.4"/>
  </r>
  <r>
    <n v="304"/>
    <x v="9"/>
    <x v="9"/>
    <x v="0"/>
    <x v="2"/>
    <x v="1"/>
    <x v="2"/>
    <s v="111.3"/>
    <x v="1"/>
    <n v="38.9"/>
  </r>
  <r>
    <n v="305"/>
    <x v="7"/>
    <x v="7"/>
    <x v="1"/>
    <x v="1"/>
    <x v="0"/>
    <x v="3"/>
    <s v="232.4"/>
    <x v="1"/>
    <n v="38.4"/>
  </r>
  <r>
    <n v="306"/>
    <x v="5"/>
    <x v="5"/>
    <x v="0"/>
    <x v="0"/>
    <x v="1"/>
    <x v="3"/>
    <s v="121.4"/>
    <x v="1"/>
    <n v="37.1"/>
  </r>
  <r>
    <n v="307"/>
    <x v="2"/>
    <x v="2"/>
    <x v="1"/>
    <x v="0"/>
    <x v="0"/>
    <x v="3"/>
    <s v="222.4"/>
    <x v="1"/>
    <n v="43.6"/>
  </r>
  <r>
    <n v="308"/>
    <x v="4"/>
    <x v="4"/>
    <x v="0"/>
    <x v="1"/>
    <x v="0"/>
    <x v="3"/>
    <s v="132.4"/>
    <x v="1"/>
    <n v="41.3"/>
  </r>
  <r>
    <n v="408"/>
    <x v="1"/>
    <x v="1"/>
    <x v="1"/>
    <x v="0"/>
    <x v="1"/>
    <x v="3"/>
    <s v="221.4"/>
    <x v="5"/>
    <n v="42.8"/>
  </r>
  <r>
    <n v="407"/>
    <x v="14"/>
    <x v="14"/>
    <x v="1"/>
    <x v="2"/>
    <x v="0"/>
    <x v="3"/>
    <s v="212.4"/>
    <x v="1"/>
    <n v="47.3"/>
  </r>
  <r>
    <n v="406"/>
    <x v="0"/>
    <x v="0"/>
    <x v="0"/>
    <x v="0"/>
    <x v="0"/>
    <x v="3"/>
    <s v="122.4"/>
    <x v="1"/>
    <n v="38.5"/>
  </r>
  <r>
    <n v="405"/>
    <x v="15"/>
    <x v="15"/>
    <x v="0"/>
    <x v="1"/>
    <x v="1"/>
    <x v="3"/>
    <s v="131.4"/>
    <x v="1"/>
    <n v="38.4"/>
  </r>
  <r>
    <n v="404"/>
    <x v="0"/>
    <x v="0"/>
    <x v="0"/>
    <x v="0"/>
    <x v="0"/>
    <x v="2"/>
    <s v="122.3"/>
    <x v="1"/>
    <n v="39.200000000000003"/>
  </r>
  <r>
    <n v="403"/>
    <x v="15"/>
    <x v="15"/>
    <x v="0"/>
    <x v="1"/>
    <x v="1"/>
    <x v="2"/>
    <s v="131.3"/>
    <x v="1"/>
    <n v="40"/>
  </r>
  <r>
    <n v="402"/>
    <x v="2"/>
    <x v="2"/>
    <x v="1"/>
    <x v="0"/>
    <x v="0"/>
    <x v="2"/>
    <s v="222.3"/>
    <x v="1"/>
    <n v="41.5"/>
  </r>
  <r>
    <n v="401"/>
    <x v="14"/>
    <x v="14"/>
    <x v="1"/>
    <x v="2"/>
    <x v="0"/>
    <x v="2"/>
    <s v="212.3"/>
    <x v="6"/>
    <n v="47.1"/>
  </r>
</pivotCacheRecords>
</file>

<file path=xl/pivotCache/pivotCacheRecords3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08"/>
    <x v="0"/>
    <x v="0"/>
    <x v="0"/>
    <x v="0"/>
    <x v="0"/>
    <x v="0"/>
    <s v="122.2"/>
    <x v="0"/>
    <n v="38.299999999999997"/>
  </r>
  <r>
    <n v="107"/>
    <x v="1"/>
    <x v="1"/>
    <x v="1"/>
    <x v="0"/>
    <x v="1"/>
    <x v="0"/>
    <s v="221.2"/>
    <x v="1"/>
    <n v="38.4"/>
  </r>
  <r>
    <n v="106"/>
    <x v="2"/>
    <x v="2"/>
    <x v="1"/>
    <x v="0"/>
    <x v="0"/>
    <x v="0"/>
    <s v="222.2"/>
    <x v="1"/>
    <n v="37.299999999999997"/>
  </r>
  <r>
    <n v="105"/>
    <x v="3"/>
    <x v="3"/>
    <x v="1"/>
    <x v="1"/>
    <x v="1"/>
    <x v="0"/>
    <s v="231.2"/>
    <x v="1"/>
    <n v="35.1"/>
  </r>
  <r>
    <n v="104"/>
    <x v="1"/>
    <x v="1"/>
    <x v="1"/>
    <x v="0"/>
    <x v="1"/>
    <x v="1"/>
    <s v="221.1"/>
    <x v="1"/>
    <n v="39.1"/>
  </r>
  <r>
    <n v="103"/>
    <x v="4"/>
    <x v="4"/>
    <x v="0"/>
    <x v="1"/>
    <x v="0"/>
    <x v="1"/>
    <s v="132.1"/>
    <x v="1"/>
    <n v="39.700000000000003"/>
  </r>
  <r>
    <n v="102"/>
    <x v="5"/>
    <x v="5"/>
    <x v="0"/>
    <x v="0"/>
    <x v="1"/>
    <x v="1"/>
    <s v="121.1"/>
    <x v="1"/>
    <n v="37.4"/>
  </r>
  <r>
    <n v="101"/>
    <x v="6"/>
    <x v="6"/>
    <x v="0"/>
    <x v="2"/>
    <x v="0"/>
    <x v="1"/>
    <s v="112.1"/>
    <x v="1"/>
    <n v="40"/>
  </r>
  <r>
    <n v="201"/>
    <x v="3"/>
    <x v="3"/>
    <x v="1"/>
    <x v="1"/>
    <x v="1"/>
    <x v="1"/>
    <s v="231.1"/>
    <x v="2"/>
    <n v="37.799999999999997"/>
  </r>
  <r>
    <n v="202"/>
    <x v="2"/>
    <x v="2"/>
    <x v="1"/>
    <x v="0"/>
    <x v="0"/>
    <x v="1"/>
    <s v="222.1"/>
    <x v="1"/>
    <n v="39.6"/>
  </r>
  <r>
    <n v="203"/>
    <x v="0"/>
    <x v="0"/>
    <x v="0"/>
    <x v="0"/>
    <x v="0"/>
    <x v="1"/>
    <s v="122.1"/>
    <x v="1"/>
    <n v="41.6"/>
  </r>
  <r>
    <n v="204"/>
    <x v="7"/>
    <x v="7"/>
    <x v="1"/>
    <x v="1"/>
    <x v="0"/>
    <x v="1"/>
    <s v="232.1"/>
    <x v="1"/>
    <n v="39.200000000000003"/>
  </r>
  <r>
    <n v="205"/>
    <x v="6"/>
    <x v="6"/>
    <x v="0"/>
    <x v="2"/>
    <x v="0"/>
    <x v="0"/>
    <s v="112.2"/>
    <x v="1"/>
    <n v="40.4"/>
  </r>
  <r>
    <n v="206"/>
    <x v="8"/>
    <x v="8"/>
    <x v="1"/>
    <x v="2"/>
    <x v="1"/>
    <x v="0"/>
    <s v="211.2"/>
    <x v="1"/>
    <n v="42.1"/>
  </r>
  <r>
    <n v="207"/>
    <x v="5"/>
    <x v="5"/>
    <x v="0"/>
    <x v="0"/>
    <x v="1"/>
    <x v="0"/>
    <s v="121.2"/>
    <x v="1"/>
    <n v="38.4"/>
  </r>
  <r>
    <n v="208"/>
    <x v="9"/>
    <x v="9"/>
    <x v="0"/>
    <x v="2"/>
    <x v="1"/>
    <x v="0"/>
    <s v="111.2"/>
    <x v="1"/>
    <n v="39.200000000000003"/>
  </r>
  <r>
    <n v="908"/>
    <x v="10"/>
    <x v="10"/>
    <x v="2"/>
    <x v="0"/>
    <x v="0"/>
    <x v="0"/>
    <s v="322.2"/>
    <x v="3"/>
    <n v="55.3"/>
  </r>
  <r>
    <n v="907"/>
    <x v="11"/>
    <x v="11"/>
    <x v="3"/>
    <x v="3"/>
    <x v="1"/>
    <x v="0"/>
    <s v="801.2"/>
    <x v="1"/>
    <m/>
  </r>
  <r>
    <n v="906"/>
    <x v="12"/>
    <x v="12"/>
    <x v="4"/>
    <x v="0"/>
    <x v="0"/>
    <x v="0"/>
    <s v="422.2"/>
    <x v="1"/>
    <n v="38.4"/>
  </r>
  <r>
    <n v="905"/>
    <x v="13"/>
    <x v="13"/>
    <x v="5"/>
    <x v="3"/>
    <x v="1"/>
    <x v="0"/>
    <s v="901.2"/>
    <x v="1"/>
    <m/>
  </r>
  <r>
    <n v="904"/>
    <x v="10"/>
    <x v="10"/>
    <x v="2"/>
    <x v="0"/>
    <x v="0"/>
    <x v="1"/>
    <s v="322.1"/>
    <x v="1"/>
    <n v="53.6"/>
  </r>
  <r>
    <n v="903"/>
    <x v="11"/>
    <x v="11"/>
    <x v="3"/>
    <x v="3"/>
    <x v="1"/>
    <x v="1"/>
    <s v="801.1"/>
    <x v="1"/>
    <m/>
  </r>
  <r>
    <n v="902"/>
    <x v="12"/>
    <x v="12"/>
    <x v="4"/>
    <x v="0"/>
    <x v="0"/>
    <x v="1"/>
    <s v="422.1"/>
    <x v="1"/>
    <n v="43"/>
  </r>
  <r>
    <n v="901"/>
    <x v="13"/>
    <x v="13"/>
    <x v="5"/>
    <x v="3"/>
    <x v="1"/>
    <x v="1"/>
    <s v="901.1"/>
    <x v="1"/>
    <m/>
  </r>
  <r>
    <n v="301"/>
    <x v="1"/>
    <x v="1"/>
    <x v="1"/>
    <x v="0"/>
    <x v="1"/>
    <x v="2"/>
    <s v="221.3"/>
    <x v="4"/>
    <n v="39.799999999999997"/>
  </r>
  <r>
    <n v="302"/>
    <x v="5"/>
    <x v="5"/>
    <x v="0"/>
    <x v="0"/>
    <x v="1"/>
    <x v="2"/>
    <s v="121.3"/>
    <x v="1"/>
    <n v="37"/>
  </r>
  <r>
    <n v="303"/>
    <x v="8"/>
    <x v="8"/>
    <x v="1"/>
    <x v="2"/>
    <x v="1"/>
    <x v="2"/>
    <s v="211.3"/>
    <x v="1"/>
    <n v="36.5"/>
  </r>
  <r>
    <n v="304"/>
    <x v="9"/>
    <x v="9"/>
    <x v="0"/>
    <x v="2"/>
    <x v="1"/>
    <x v="2"/>
    <s v="111.3"/>
    <x v="1"/>
    <n v="37.1"/>
  </r>
  <r>
    <n v="305"/>
    <x v="7"/>
    <x v="7"/>
    <x v="1"/>
    <x v="1"/>
    <x v="0"/>
    <x v="3"/>
    <s v="232.4"/>
    <x v="1"/>
    <n v="39.799999999999997"/>
  </r>
  <r>
    <n v="306"/>
    <x v="5"/>
    <x v="5"/>
    <x v="0"/>
    <x v="0"/>
    <x v="1"/>
    <x v="3"/>
    <s v="121.4"/>
    <x v="1"/>
    <n v="36.700000000000003"/>
  </r>
  <r>
    <n v="307"/>
    <x v="2"/>
    <x v="2"/>
    <x v="1"/>
    <x v="0"/>
    <x v="0"/>
    <x v="3"/>
    <s v="222.4"/>
    <x v="1"/>
    <n v="42.3"/>
  </r>
  <r>
    <n v="308"/>
    <x v="4"/>
    <x v="4"/>
    <x v="0"/>
    <x v="1"/>
    <x v="0"/>
    <x v="3"/>
    <s v="132.4"/>
    <x v="1"/>
    <n v="40.299999999999997"/>
  </r>
  <r>
    <n v="408"/>
    <x v="1"/>
    <x v="1"/>
    <x v="1"/>
    <x v="0"/>
    <x v="1"/>
    <x v="3"/>
    <s v="221.4"/>
    <x v="5"/>
    <n v="43.3"/>
  </r>
  <r>
    <n v="407"/>
    <x v="14"/>
    <x v="14"/>
    <x v="1"/>
    <x v="2"/>
    <x v="0"/>
    <x v="3"/>
    <s v="212.4"/>
    <x v="1"/>
    <n v="40.9"/>
  </r>
  <r>
    <n v="406"/>
    <x v="0"/>
    <x v="0"/>
    <x v="0"/>
    <x v="0"/>
    <x v="0"/>
    <x v="3"/>
    <s v="122.4"/>
    <x v="1"/>
    <n v="42.4"/>
  </r>
  <r>
    <n v="405"/>
    <x v="15"/>
    <x v="15"/>
    <x v="0"/>
    <x v="1"/>
    <x v="1"/>
    <x v="3"/>
    <s v="131.4"/>
    <x v="1"/>
    <n v="39.200000000000003"/>
  </r>
  <r>
    <n v="404"/>
    <x v="0"/>
    <x v="0"/>
    <x v="0"/>
    <x v="0"/>
    <x v="0"/>
    <x v="2"/>
    <s v="122.3"/>
    <x v="1"/>
    <n v="41.3"/>
  </r>
  <r>
    <n v="403"/>
    <x v="15"/>
    <x v="15"/>
    <x v="0"/>
    <x v="1"/>
    <x v="1"/>
    <x v="2"/>
    <s v="131.3"/>
    <x v="1"/>
    <n v="38.200000000000003"/>
  </r>
  <r>
    <n v="402"/>
    <x v="2"/>
    <x v="2"/>
    <x v="1"/>
    <x v="0"/>
    <x v="0"/>
    <x v="2"/>
    <s v="222.3"/>
    <x v="1"/>
    <n v="41.7"/>
  </r>
  <r>
    <n v="401"/>
    <x v="14"/>
    <x v="14"/>
    <x v="1"/>
    <x v="2"/>
    <x v="0"/>
    <x v="2"/>
    <s v="212.3"/>
    <x v="6"/>
    <n v="41.6"/>
  </r>
</pivotCacheRecords>
</file>

<file path=xl/pivotCache/pivotCacheRecords3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08"/>
    <x v="0"/>
    <x v="0"/>
    <x v="0"/>
    <x v="0"/>
    <x v="0"/>
    <x v="0"/>
    <s v="122.2"/>
    <x v="0"/>
    <x v="0"/>
  </r>
  <r>
    <n v="107"/>
    <x v="1"/>
    <x v="1"/>
    <x v="1"/>
    <x v="0"/>
    <x v="1"/>
    <x v="0"/>
    <s v="221.2"/>
    <x v="1"/>
    <x v="1"/>
  </r>
  <r>
    <n v="106"/>
    <x v="2"/>
    <x v="2"/>
    <x v="1"/>
    <x v="0"/>
    <x v="0"/>
    <x v="0"/>
    <s v="222.2"/>
    <x v="1"/>
    <x v="2"/>
  </r>
  <r>
    <n v="105"/>
    <x v="3"/>
    <x v="3"/>
    <x v="1"/>
    <x v="1"/>
    <x v="1"/>
    <x v="0"/>
    <s v="231.2"/>
    <x v="1"/>
    <x v="3"/>
  </r>
  <r>
    <n v="104"/>
    <x v="1"/>
    <x v="1"/>
    <x v="1"/>
    <x v="0"/>
    <x v="1"/>
    <x v="1"/>
    <s v="221.1"/>
    <x v="1"/>
    <x v="4"/>
  </r>
  <r>
    <n v="103"/>
    <x v="4"/>
    <x v="4"/>
    <x v="0"/>
    <x v="1"/>
    <x v="0"/>
    <x v="1"/>
    <s v="132.1"/>
    <x v="1"/>
    <x v="5"/>
  </r>
  <r>
    <n v="102"/>
    <x v="5"/>
    <x v="5"/>
    <x v="0"/>
    <x v="0"/>
    <x v="1"/>
    <x v="1"/>
    <s v="121.1"/>
    <x v="1"/>
    <x v="6"/>
  </r>
  <r>
    <n v="101"/>
    <x v="6"/>
    <x v="6"/>
    <x v="0"/>
    <x v="2"/>
    <x v="0"/>
    <x v="1"/>
    <s v="112.1"/>
    <x v="1"/>
    <x v="7"/>
  </r>
  <r>
    <n v="201"/>
    <x v="3"/>
    <x v="3"/>
    <x v="1"/>
    <x v="1"/>
    <x v="1"/>
    <x v="1"/>
    <s v="231.1"/>
    <x v="2"/>
    <x v="8"/>
  </r>
  <r>
    <n v="202"/>
    <x v="2"/>
    <x v="2"/>
    <x v="1"/>
    <x v="0"/>
    <x v="0"/>
    <x v="1"/>
    <s v="222.1"/>
    <x v="1"/>
    <x v="9"/>
  </r>
  <r>
    <n v="203"/>
    <x v="0"/>
    <x v="0"/>
    <x v="0"/>
    <x v="0"/>
    <x v="0"/>
    <x v="1"/>
    <s v="122.1"/>
    <x v="1"/>
    <x v="10"/>
  </r>
  <r>
    <n v="204"/>
    <x v="7"/>
    <x v="7"/>
    <x v="1"/>
    <x v="1"/>
    <x v="0"/>
    <x v="1"/>
    <s v="232.1"/>
    <x v="1"/>
    <x v="11"/>
  </r>
  <r>
    <n v="205"/>
    <x v="6"/>
    <x v="6"/>
    <x v="0"/>
    <x v="2"/>
    <x v="0"/>
    <x v="0"/>
    <s v="112.2"/>
    <x v="1"/>
    <x v="12"/>
  </r>
  <r>
    <n v="206"/>
    <x v="8"/>
    <x v="8"/>
    <x v="1"/>
    <x v="2"/>
    <x v="1"/>
    <x v="0"/>
    <s v="211.2"/>
    <x v="1"/>
    <x v="13"/>
  </r>
  <r>
    <n v="207"/>
    <x v="5"/>
    <x v="5"/>
    <x v="0"/>
    <x v="0"/>
    <x v="1"/>
    <x v="0"/>
    <s v="121.2"/>
    <x v="1"/>
    <x v="8"/>
  </r>
  <r>
    <n v="208"/>
    <x v="9"/>
    <x v="9"/>
    <x v="0"/>
    <x v="2"/>
    <x v="1"/>
    <x v="0"/>
    <s v="111.2"/>
    <x v="1"/>
    <x v="14"/>
  </r>
  <r>
    <n v="908"/>
    <x v="10"/>
    <x v="10"/>
    <x v="2"/>
    <x v="0"/>
    <x v="0"/>
    <x v="0"/>
    <s v="322.2"/>
    <x v="3"/>
    <x v="15"/>
  </r>
  <r>
    <n v="907"/>
    <x v="11"/>
    <x v="11"/>
    <x v="3"/>
    <x v="3"/>
    <x v="1"/>
    <x v="0"/>
    <s v="801.2"/>
    <x v="1"/>
    <x v="16"/>
  </r>
  <r>
    <n v="906"/>
    <x v="12"/>
    <x v="12"/>
    <x v="4"/>
    <x v="0"/>
    <x v="0"/>
    <x v="0"/>
    <s v="422.2"/>
    <x v="1"/>
    <x v="17"/>
  </r>
  <r>
    <n v="905"/>
    <x v="13"/>
    <x v="13"/>
    <x v="5"/>
    <x v="3"/>
    <x v="1"/>
    <x v="0"/>
    <s v="901.2"/>
    <x v="1"/>
    <x v="16"/>
  </r>
  <r>
    <n v="904"/>
    <x v="10"/>
    <x v="10"/>
    <x v="2"/>
    <x v="0"/>
    <x v="0"/>
    <x v="1"/>
    <s v="322.1"/>
    <x v="1"/>
    <x v="18"/>
  </r>
  <r>
    <n v="903"/>
    <x v="11"/>
    <x v="11"/>
    <x v="3"/>
    <x v="3"/>
    <x v="1"/>
    <x v="1"/>
    <s v="801.1"/>
    <x v="1"/>
    <x v="16"/>
  </r>
  <r>
    <n v="902"/>
    <x v="12"/>
    <x v="12"/>
    <x v="4"/>
    <x v="0"/>
    <x v="0"/>
    <x v="1"/>
    <s v="422.1"/>
    <x v="1"/>
    <x v="19"/>
  </r>
  <r>
    <n v="901"/>
    <x v="13"/>
    <x v="13"/>
    <x v="5"/>
    <x v="3"/>
    <x v="1"/>
    <x v="1"/>
    <s v="901.1"/>
    <x v="1"/>
    <x v="16"/>
  </r>
  <r>
    <n v="301"/>
    <x v="1"/>
    <x v="1"/>
    <x v="1"/>
    <x v="0"/>
    <x v="1"/>
    <x v="2"/>
    <s v="221.3"/>
    <x v="4"/>
    <x v="6"/>
  </r>
  <r>
    <n v="302"/>
    <x v="5"/>
    <x v="5"/>
    <x v="0"/>
    <x v="0"/>
    <x v="1"/>
    <x v="2"/>
    <s v="121.3"/>
    <x v="1"/>
    <x v="14"/>
  </r>
  <r>
    <n v="303"/>
    <x v="8"/>
    <x v="8"/>
    <x v="1"/>
    <x v="2"/>
    <x v="1"/>
    <x v="2"/>
    <s v="211.3"/>
    <x v="1"/>
    <x v="5"/>
  </r>
  <r>
    <n v="304"/>
    <x v="9"/>
    <x v="9"/>
    <x v="0"/>
    <x v="2"/>
    <x v="1"/>
    <x v="2"/>
    <s v="111.3"/>
    <x v="1"/>
    <x v="20"/>
  </r>
  <r>
    <n v="305"/>
    <x v="7"/>
    <x v="7"/>
    <x v="1"/>
    <x v="1"/>
    <x v="0"/>
    <x v="3"/>
    <s v="232.4"/>
    <x v="1"/>
    <x v="21"/>
  </r>
  <r>
    <n v="306"/>
    <x v="5"/>
    <x v="5"/>
    <x v="0"/>
    <x v="0"/>
    <x v="1"/>
    <x v="3"/>
    <s v="121.4"/>
    <x v="1"/>
    <x v="22"/>
  </r>
  <r>
    <n v="307"/>
    <x v="2"/>
    <x v="2"/>
    <x v="1"/>
    <x v="0"/>
    <x v="0"/>
    <x v="3"/>
    <s v="222.4"/>
    <x v="1"/>
    <x v="1"/>
  </r>
  <r>
    <n v="308"/>
    <x v="4"/>
    <x v="4"/>
    <x v="0"/>
    <x v="1"/>
    <x v="0"/>
    <x v="3"/>
    <s v="132.4"/>
    <x v="1"/>
    <x v="5"/>
  </r>
  <r>
    <n v="408"/>
    <x v="1"/>
    <x v="1"/>
    <x v="1"/>
    <x v="0"/>
    <x v="1"/>
    <x v="3"/>
    <s v="221.4"/>
    <x v="5"/>
    <x v="7"/>
  </r>
  <r>
    <n v="407"/>
    <x v="14"/>
    <x v="14"/>
    <x v="1"/>
    <x v="2"/>
    <x v="0"/>
    <x v="3"/>
    <s v="212.4"/>
    <x v="1"/>
    <x v="23"/>
  </r>
  <r>
    <n v="406"/>
    <x v="0"/>
    <x v="0"/>
    <x v="0"/>
    <x v="0"/>
    <x v="0"/>
    <x v="3"/>
    <s v="122.4"/>
    <x v="1"/>
    <x v="24"/>
  </r>
  <r>
    <n v="405"/>
    <x v="15"/>
    <x v="15"/>
    <x v="0"/>
    <x v="1"/>
    <x v="1"/>
    <x v="3"/>
    <s v="131.4"/>
    <x v="1"/>
    <x v="25"/>
  </r>
  <r>
    <n v="404"/>
    <x v="0"/>
    <x v="0"/>
    <x v="0"/>
    <x v="0"/>
    <x v="0"/>
    <x v="2"/>
    <s v="122.3"/>
    <x v="1"/>
    <x v="7"/>
  </r>
  <r>
    <n v="403"/>
    <x v="15"/>
    <x v="15"/>
    <x v="0"/>
    <x v="1"/>
    <x v="1"/>
    <x v="2"/>
    <s v="131.3"/>
    <x v="1"/>
    <x v="12"/>
  </r>
  <r>
    <n v="402"/>
    <x v="2"/>
    <x v="2"/>
    <x v="1"/>
    <x v="0"/>
    <x v="0"/>
    <x v="2"/>
    <s v="222.3"/>
    <x v="1"/>
    <x v="21"/>
  </r>
  <r>
    <n v="401"/>
    <x v="14"/>
    <x v="14"/>
    <x v="1"/>
    <x v="2"/>
    <x v="0"/>
    <x v="2"/>
    <s v="212.3"/>
    <x v="6"/>
    <x v="13"/>
  </r>
</pivotCacheRecords>
</file>

<file path=xl/pivotCache/pivotCacheRecords3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08"/>
    <x v="0"/>
    <x v="0"/>
    <x v="0"/>
    <x v="0"/>
    <x v="0"/>
    <x v="0"/>
    <s v="122.2"/>
    <x v="0"/>
    <x v="0"/>
  </r>
  <r>
    <n v="107"/>
    <x v="1"/>
    <x v="1"/>
    <x v="1"/>
    <x v="0"/>
    <x v="1"/>
    <x v="0"/>
    <s v="221.2"/>
    <x v="1"/>
    <x v="1"/>
  </r>
  <r>
    <n v="106"/>
    <x v="2"/>
    <x v="2"/>
    <x v="1"/>
    <x v="0"/>
    <x v="0"/>
    <x v="0"/>
    <s v="222.2"/>
    <x v="1"/>
    <x v="2"/>
  </r>
  <r>
    <n v="105"/>
    <x v="3"/>
    <x v="3"/>
    <x v="1"/>
    <x v="1"/>
    <x v="1"/>
    <x v="0"/>
    <s v="231.2"/>
    <x v="1"/>
    <x v="3"/>
  </r>
  <r>
    <n v="104"/>
    <x v="1"/>
    <x v="1"/>
    <x v="1"/>
    <x v="0"/>
    <x v="1"/>
    <x v="1"/>
    <s v="221.1"/>
    <x v="1"/>
    <x v="4"/>
  </r>
  <r>
    <n v="103"/>
    <x v="4"/>
    <x v="4"/>
    <x v="0"/>
    <x v="1"/>
    <x v="0"/>
    <x v="1"/>
    <s v="132.1"/>
    <x v="1"/>
    <x v="5"/>
  </r>
  <r>
    <n v="102"/>
    <x v="5"/>
    <x v="5"/>
    <x v="0"/>
    <x v="0"/>
    <x v="1"/>
    <x v="1"/>
    <s v="121.1"/>
    <x v="1"/>
    <x v="6"/>
  </r>
  <r>
    <n v="101"/>
    <x v="6"/>
    <x v="6"/>
    <x v="0"/>
    <x v="2"/>
    <x v="0"/>
    <x v="1"/>
    <s v="112.1"/>
    <x v="1"/>
    <x v="7"/>
  </r>
  <r>
    <n v="201"/>
    <x v="3"/>
    <x v="3"/>
    <x v="1"/>
    <x v="1"/>
    <x v="1"/>
    <x v="1"/>
    <s v="231.1"/>
    <x v="2"/>
    <x v="8"/>
  </r>
  <r>
    <n v="202"/>
    <x v="2"/>
    <x v="2"/>
    <x v="1"/>
    <x v="0"/>
    <x v="0"/>
    <x v="1"/>
    <s v="222.1"/>
    <x v="1"/>
    <x v="9"/>
  </r>
  <r>
    <n v="203"/>
    <x v="0"/>
    <x v="0"/>
    <x v="0"/>
    <x v="0"/>
    <x v="0"/>
    <x v="1"/>
    <s v="122.1"/>
    <x v="1"/>
    <x v="10"/>
  </r>
  <r>
    <n v="204"/>
    <x v="7"/>
    <x v="7"/>
    <x v="1"/>
    <x v="1"/>
    <x v="0"/>
    <x v="1"/>
    <s v="232.1"/>
    <x v="1"/>
    <x v="11"/>
  </r>
  <r>
    <n v="205"/>
    <x v="6"/>
    <x v="6"/>
    <x v="0"/>
    <x v="2"/>
    <x v="0"/>
    <x v="0"/>
    <s v="112.2"/>
    <x v="1"/>
    <x v="2"/>
  </r>
  <r>
    <n v="206"/>
    <x v="8"/>
    <x v="8"/>
    <x v="1"/>
    <x v="2"/>
    <x v="1"/>
    <x v="0"/>
    <s v="211.2"/>
    <x v="1"/>
    <x v="12"/>
  </r>
  <r>
    <n v="207"/>
    <x v="5"/>
    <x v="5"/>
    <x v="0"/>
    <x v="0"/>
    <x v="1"/>
    <x v="0"/>
    <s v="121.2"/>
    <x v="1"/>
    <x v="3"/>
  </r>
  <r>
    <n v="208"/>
    <x v="9"/>
    <x v="9"/>
    <x v="0"/>
    <x v="2"/>
    <x v="1"/>
    <x v="0"/>
    <s v="111.2"/>
    <x v="1"/>
    <x v="13"/>
  </r>
  <r>
    <n v="908"/>
    <x v="10"/>
    <x v="10"/>
    <x v="2"/>
    <x v="0"/>
    <x v="0"/>
    <x v="0"/>
    <s v="322.2"/>
    <x v="3"/>
    <x v="14"/>
  </r>
  <r>
    <n v="907"/>
    <x v="11"/>
    <x v="11"/>
    <x v="3"/>
    <x v="3"/>
    <x v="1"/>
    <x v="0"/>
    <s v="801.2"/>
    <x v="1"/>
    <x v="15"/>
  </r>
  <r>
    <n v="906"/>
    <x v="12"/>
    <x v="12"/>
    <x v="4"/>
    <x v="0"/>
    <x v="0"/>
    <x v="0"/>
    <s v="422.2"/>
    <x v="1"/>
    <x v="16"/>
  </r>
  <r>
    <n v="905"/>
    <x v="13"/>
    <x v="13"/>
    <x v="5"/>
    <x v="3"/>
    <x v="1"/>
    <x v="0"/>
    <s v="901.2"/>
    <x v="1"/>
    <x v="15"/>
  </r>
  <r>
    <n v="904"/>
    <x v="10"/>
    <x v="10"/>
    <x v="2"/>
    <x v="0"/>
    <x v="0"/>
    <x v="1"/>
    <s v="322.1"/>
    <x v="1"/>
    <x v="17"/>
  </r>
  <r>
    <n v="903"/>
    <x v="11"/>
    <x v="11"/>
    <x v="3"/>
    <x v="3"/>
    <x v="1"/>
    <x v="1"/>
    <s v="801.1"/>
    <x v="1"/>
    <x v="15"/>
  </r>
  <r>
    <n v="902"/>
    <x v="12"/>
    <x v="12"/>
    <x v="4"/>
    <x v="0"/>
    <x v="0"/>
    <x v="1"/>
    <s v="422.1"/>
    <x v="1"/>
    <x v="18"/>
  </r>
  <r>
    <n v="901"/>
    <x v="13"/>
    <x v="13"/>
    <x v="5"/>
    <x v="3"/>
    <x v="1"/>
    <x v="1"/>
    <s v="901.1"/>
    <x v="1"/>
    <x v="15"/>
  </r>
  <r>
    <n v="301"/>
    <x v="1"/>
    <x v="1"/>
    <x v="1"/>
    <x v="0"/>
    <x v="1"/>
    <x v="2"/>
    <s v="221.3"/>
    <x v="4"/>
    <x v="19"/>
  </r>
  <r>
    <n v="302"/>
    <x v="5"/>
    <x v="5"/>
    <x v="0"/>
    <x v="0"/>
    <x v="1"/>
    <x v="2"/>
    <s v="121.3"/>
    <x v="1"/>
    <x v="13"/>
  </r>
  <r>
    <n v="303"/>
    <x v="8"/>
    <x v="8"/>
    <x v="1"/>
    <x v="2"/>
    <x v="1"/>
    <x v="2"/>
    <s v="211.3"/>
    <x v="1"/>
    <x v="20"/>
  </r>
  <r>
    <n v="304"/>
    <x v="9"/>
    <x v="9"/>
    <x v="0"/>
    <x v="2"/>
    <x v="1"/>
    <x v="2"/>
    <s v="111.3"/>
    <x v="1"/>
    <x v="8"/>
  </r>
  <r>
    <n v="305"/>
    <x v="7"/>
    <x v="7"/>
    <x v="1"/>
    <x v="1"/>
    <x v="0"/>
    <x v="3"/>
    <s v="232.4"/>
    <x v="1"/>
    <x v="21"/>
  </r>
  <r>
    <n v="306"/>
    <x v="5"/>
    <x v="5"/>
    <x v="0"/>
    <x v="0"/>
    <x v="1"/>
    <x v="3"/>
    <s v="121.4"/>
    <x v="1"/>
    <x v="22"/>
  </r>
  <r>
    <n v="307"/>
    <x v="2"/>
    <x v="2"/>
    <x v="1"/>
    <x v="0"/>
    <x v="0"/>
    <x v="3"/>
    <s v="222.4"/>
    <x v="1"/>
    <x v="23"/>
  </r>
  <r>
    <n v="308"/>
    <x v="4"/>
    <x v="4"/>
    <x v="0"/>
    <x v="1"/>
    <x v="0"/>
    <x v="3"/>
    <s v="132.4"/>
    <x v="1"/>
    <x v="24"/>
  </r>
  <r>
    <n v="408"/>
    <x v="1"/>
    <x v="1"/>
    <x v="1"/>
    <x v="0"/>
    <x v="1"/>
    <x v="3"/>
    <s v="221.4"/>
    <x v="5"/>
    <x v="25"/>
  </r>
  <r>
    <n v="407"/>
    <x v="14"/>
    <x v="14"/>
    <x v="1"/>
    <x v="2"/>
    <x v="0"/>
    <x v="3"/>
    <s v="212.4"/>
    <x v="1"/>
    <x v="9"/>
  </r>
  <r>
    <n v="406"/>
    <x v="0"/>
    <x v="0"/>
    <x v="0"/>
    <x v="0"/>
    <x v="0"/>
    <x v="3"/>
    <s v="122.4"/>
    <x v="1"/>
    <x v="1"/>
  </r>
  <r>
    <n v="405"/>
    <x v="15"/>
    <x v="15"/>
    <x v="0"/>
    <x v="1"/>
    <x v="1"/>
    <x v="3"/>
    <s v="131.4"/>
    <x v="1"/>
    <x v="26"/>
  </r>
  <r>
    <n v="404"/>
    <x v="0"/>
    <x v="0"/>
    <x v="0"/>
    <x v="0"/>
    <x v="0"/>
    <x v="2"/>
    <s v="122.3"/>
    <x v="1"/>
    <x v="1"/>
  </r>
  <r>
    <n v="403"/>
    <x v="15"/>
    <x v="15"/>
    <x v="0"/>
    <x v="1"/>
    <x v="1"/>
    <x v="2"/>
    <s v="131.3"/>
    <x v="1"/>
    <x v="27"/>
  </r>
  <r>
    <n v="402"/>
    <x v="2"/>
    <x v="2"/>
    <x v="1"/>
    <x v="0"/>
    <x v="0"/>
    <x v="2"/>
    <s v="222.3"/>
    <x v="1"/>
    <x v="28"/>
  </r>
  <r>
    <n v="401"/>
    <x v="14"/>
    <x v="14"/>
    <x v="1"/>
    <x v="2"/>
    <x v="0"/>
    <x v="2"/>
    <s v="212.3"/>
    <x v="6"/>
    <x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E3ACAB-364C-492D-BD6D-8BECA9F3AF89}" name="PivotTable3" cacheId="1" dataOnRows="1" applyNumberFormats="0" applyBorderFormats="0" applyFontFormats="0" applyPatternFormats="0" applyAlignmentFormats="0" applyWidthHeightFormats="1" dataCaption="Data" showItems="0" showMultipleLabel="0" showMemberPropertyTips="0" useAutoFormatting="1" rowGrandTotals="0" itemPrintTitles="1" indent="0" compact="0" compactData="0" gridDropZones="1">
  <location ref="V40:W53" firstHeaderRow="2" firstDataRow="2" firstDataCol="1"/>
  <pivotFields count="19">
    <pivotField compact="0" outline="0" subtotalTop="0" showAll="0" includeNewItemsInFilter="1"/>
    <pivotField axis="axisRow" compact="0" outline="0" subtotalTop="0" showAll="0" includeNewItemsInFilter="1">
      <items count="13">
        <item x="2"/>
        <item x="11"/>
        <item x="0"/>
        <item x="9"/>
        <item x="6"/>
        <item x="1"/>
        <item x="7"/>
        <item x="4"/>
        <item x="10"/>
        <item x="8"/>
        <item x="5"/>
        <item x="3"/>
        <item t="default"/>
      </items>
    </pivotField>
    <pivotField compact="0" outline="0" subtotalTop="0" showAll="0" includeNewItemsInFilter="1">
      <items count="13">
        <item x="0"/>
        <item x="9"/>
        <item x="6"/>
        <item x="1"/>
        <item x="2"/>
        <item x="11"/>
        <item x="10"/>
        <item x="8"/>
        <item x="5"/>
        <item x="3"/>
        <item x="7"/>
        <item x="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numFmtId="2" outline="0" subtotalTop="0" showAll="0" includeNewItemsInFilter="1"/>
    <pivotField compact="0" numFmtId="2" outline="0" subtotalTop="0" showAll="0" includeNewItemsInFilter="1"/>
    <pivotField compact="0" outline="0" subtotalTop="0" showAll="0" includeNewItemsInFilter="1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Average of Mean per meter" fld="15" subtotal="average" baseField="0" baseItem="0" numFmtId="2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14E306-3F57-4C7C-8A18-D646D1F0E0F0}" name="PivotTable1" cacheId="0" dataOnRows="1" applyNumberFormats="0" applyBorderFormats="0" applyFontFormats="0" applyPatternFormats="0" applyAlignmentFormats="0" applyWidthHeightFormats="1" dataCaption="Data" showItems="0" showMultipleLabel="0" showMemberPropertyTips="0" useAutoFormatting="1" itemPrintTitles="1" indent="0" compact="0" compactData="0" gridDropZones="1">
  <location ref="V10:W20" firstHeaderRow="2" firstDataRow="2" firstDataCol="1"/>
  <pivotFields count="19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2" outline="0" subtotalTop="0" showAll="0" includeNewItemsInFilter="1"/>
    <pivotField dataField="1" compact="0" numFmtId="2" outline="0" subtotalTop="0" showAll="0" includeNewItemsInFilter="1"/>
    <pivotField compact="0" outline="0" subtotalTop="0" showAll="0" includeNewItemsInFilter="1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Nrml. mean per meter" fld="17" subtotal="average" baseField="0" baseItem="0" numFmtId="2"/>
  </dataFields>
  <formats count="1">
    <format dxfId="37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FE838-926A-4119-BDAA-F6AFA151AC7B}" name="PivotTable2" cacheId="3" dataOnRows="1" applyNumberFormats="0" applyBorderFormats="0" applyFontFormats="0" applyPatternFormats="0" applyAlignmentFormats="0" applyWidthHeightFormats="1" dataCaption="Data" showItems="0" showMultipleLabel="0" showMemberPropertyTips="0" useAutoFormatting="1" rowGrandTotals="0" itemPrintTitles="1" indent="0" compact="0" compactData="0" gridDropZones="1">
  <location ref="V40:W53" firstHeaderRow="2" firstDataRow="2" firstDataCol="1"/>
  <pivotFields count="19">
    <pivotField compact="0" outline="0" subtotalTop="0" showAll="0" includeNewItemsInFilter="1"/>
    <pivotField axis="axisRow" compact="0" outline="0" subtotalTop="0" showAll="0" includeNewItemsInFilter="1">
      <items count="13">
        <item x="2"/>
        <item x="11"/>
        <item x="0"/>
        <item x="9"/>
        <item x="6"/>
        <item x="1"/>
        <item x="7"/>
        <item x="4"/>
        <item x="10"/>
        <item x="8"/>
        <item x="5"/>
        <item x="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>
      <items count="5">
        <item x="0"/>
        <item x="1"/>
        <item x="2"/>
        <item x="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numFmtId="2" outline="0" subtotalTop="0" showAll="0" includeNewItemsInFilter="1"/>
    <pivotField compact="0" numFmtId="2" outline="0" subtotalTop="0" showAll="0" includeNewItemsInFilter="1"/>
    <pivotField compact="0" outline="0" subtotalTop="0" showAll="0" includeNewItemsInFilter="1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Average of Mean per meter" fld="15" subtotal="average" baseField="0" baseItem="0" numFmtId="2"/>
  </dataFields>
  <formats count="1">
    <format dxfId="35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F6E935-844F-4B13-906A-6D3E8D46D975}" name="PivotTable1" cacheId="2" dataOnRows="1" applyNumberFormats="0" applyBorderFormats="0" applyFontFormats="0" applyPatternFormats="0" applyAlignmentFormats="0" applyWidthHeightFormats="1" dataCaption="Data" showItems="0" showMultipleLabel="0" showMemberPropertyTips="0" useAutoFormatting="1" itemPrintTitles="1" indent="0" compact="0" compactData="0" gridDropZones="1">
  <location ref="V10:W20" firstHeaderRow="2" firstDataRow="2" firstDataCol="1"/>
  <pivotFields count="19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2" outline="0" subtotalTop="0" showAll="0" includeNewItemsInFilter="1"/>
    <pivotField dataField="1" compact="0" numFmtId="2" outline="0" subtotalTop="0" showAll="0" includeNewItemsInFilter="1"/>
    <pivotField compact="0" outline="0" subtotalTop="0" showAll="0" includeNewItemsInFilter="1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Nrml. mean per meter" fld="17" subtotal="average" baseField="0" baseItem="0" numFmtId="2"/>
  </dataFields>
  <formats count="1">
    <format dxfId="36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D1F27E-E952-4677-85F6-860B28CA9173}" name="PivotTable1" cacheId="5" dataOnRows="1" applyNumberFormats="0" applyBorderFormats="0" applyFontFormats="0" applyPatternFormats="0" applyAlignmentFormats="0" applyWidthHeightFormats="1" dataCaption="Data" showItems="0" showMultipleLabel="0" showMemberPropertyTips="0" useAutoFormatting="1" itemPrintTitles="1" indent="0" compact="0" compactData="0" gridDropZones="1">
  <location ref="V10:W20" firstHeaderRow="2" firstDataRow="2" firstDataCol="1"/>
  <pivotFields count="19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2" outline="0" subtotalTop="0" showAll="0" includeNewItemsInFilter="1"/>
    <pivotField dataField="1" compact="0" numFmtId="2" outline="0" subtotalTop="0" showAll="0" includeNewItemsInFilter="1"/>
    <pivotField compact="0" outline="0" subtotalTop="0" showAll="0" includeNewItemsInFilter="1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Nrml. mean per meter" fld="17" subtotal="average" baseField="0" baseItem="0" numFmtId="2"/>
  </dataFields>
  <formats count="1">
    <format dxfId="34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44512-3F5E-43F0-9724-9AAD8171015D}" name="PivotTable3" cacheId="4" dataOnRows="1" applyNumberFormats="0" applyBorderFormats="0" applyFontFormats="0" applyPatternFormats="0" applyAlignmentFormats="0" applyWidthHeightFormats="1" dataCaption="Data" showItems="0" showMultipleLabel="0" showMemberPropertyTips="0" useAutoFormatting="1" rowGrandTotals="0" itemPrintTitles="1" indent="0" compact="0" compactData="0" gridDropZones="1">
  <location ref="V40:W53" firstHeaderRow="2" firstDataRow="2" firstDataCol="1"/>
  <pivotFields count="19">
    <pivotField compact="0" outline="0" subtotalTop="0" showAll="0" includeNewItemsInFilter="1"/>
    <pivotField axis="axisRow" compact="0" outline="0" subtotalTop="0" showAll="0" includeNewItemsInFilter="1">
      <items count="13">
        <item x="2"/>
        <item x="11"/>
        <item x="0"/>
        <item x="9"/>
        <item x="6"/>
        <item x="1"/>
        <item x="7"/>
        <item x="4"/>
        <item x="10"/>
        <item x="8"/>
        <item x="5"/>
        <item x="3"/>
        <item t="default"/>
      </items>
    </pivotField>
    <pivotField compact="0" outline="0" subtotalTop="0" showAll="0" includeNewItemsInFilter="1"/>
    <pivotField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>
      <items count="3">
        <item x="1"/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numFmtId="2" outline="0" subtotalTop="0" showAll="0" includeNewItemsInFilter="1"/>
    <pivotField compact="0" numFmtId="2" outline="0" subtotalTop="0" showAll="0" includeNewItemsInFilter="1"/>
    <pivotField compact="0" outline="0" subtotalTop="0" showAll="0" includeNewItemsInFilter="1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Average of Mean per meter" fld="15" subtotal="average" baseField="0" baseItem="0" numFmtId="2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065BCE-2BB7-4F17-B076-09CC1FC2D967}" name="PivotTable3" cacheId="7" dataOnRows="1" applyNumberFormats="0" applyBorderFormats="0" applyFontFormats="0" applyPatternFormats="0" applyAlignmentFormats="0" applyWidthHeightFormats="1" dataCaption="Data" showItems="0" showMultipleLabel="0" showMemberPropertyTips="0" useAutoFormatting="1" rowGrandTotals="0" itemPrintTitles="1" indent="0" compact="0" compactData="0" gridDropZones="1">
  <location ref="V40:W43" firstHeaderRow="2" firstDataRow="2" firstDataCol="1"/>
  <pivotFields count="19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/>
    <pivotField compact="0" outline="0" subtotalTop="0" showAll="0" includeNewItemsInFilter="1">
      <items count="3">
        <item x="1"/>
        <item x="0"/>
        <item t="default"/>
      </items>
    </pivotField>
    <pivotField compact="0" outline="0" subtotalTop="0" showAll="0" includeNewItemsInFilter="1">
      <items count="5">
        <item x="0"/>
        <item x="1"/>
        <item x="2"/>
        <item x="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>
      <items count="23">
        <item x="20"/>
        <item x="15"/>
        <item x="9"/>
        <item x="1"/>
        <item x="0"/>
        <item x="14"/>
        <item x="3"/>
        <item x="12"/>
        <item x="5"/>
        <item x="13"/>
        <item x="10"/>
        <item x="6"/>
        <item x="18"/>
        <item x="7"/>
        <item x="2"/>
        <item x="17"/>
        <item x="4"/>
        <item x="21"/>
        <item x="8"/>
        <item x="19"/>
        <item x="11"/>
        <item x="16"/>
        <item t="default"/>
      </items>
    </pivotField>
    <pivotField compact="0" numFmtId="2" outline="0" subtotalTop="0" showAll="0" includeNewItemsInFilter="1"/>
    <pivotField compact="0" numFmtId="2" outline="0" subtotalTop="0" showAll="0" includeNewItemsInFilter="1"/>
    <pivotField compact="0" outline="0" subtotalTop="0" showAll="0" includeNewItemsInFilter="1"/>
  </pivotFields>
  <rowFields count="1">
    <field x="3"/>
  </rowFields>
  <rowItems count="2">
    <i>
      <x/>
    </i>
    <i>
      <x v="1"/>
    </i>
  </rowItems>
  <colItems count="1">
    <i/>
  </colItems>
  <dataFields count="1">
    <dataField name="Average of Mean per meter" fld="15" subtotal="average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CE12C1-DA87-4B81-8C07-2257BA1C0D0F}" name="PivotTable1" cacheId="6" dataOnRows="1" applyNumberFormats="0" applyBorderFormats="0" applyFontFormats="0" applyPatternFormats="0" applyAlignmentFormats="0" applyWidthHeightFormats="1" dataCaption="Data" showItems="0" showMultipleLabel="0" showMemberPropertyTips="0" useAutoFormatting="1" itemPrintTitles="1" indent="0" compact="0" compactData="0" gridDropZones="1">
  <location ref="V10:W20" firstHeaderRow="2" firstDataRow="2" firstDataCol="1"/>
  <pivotFields count="19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2" outline="0" subtotalTop="0" showAll="0" includeNewItemsInFilter="1"/>
    <pivotField dataField="1" compact="0" numFmtId="2" outline="0" subtotalTop="0" showAll="0" includeNewItemsInFilter="1"/>
    <pivotField compact="0" outline="0" subtotalTop="0" showAll="0" includeNewItemsInFilter="1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Nrml. mean per meter" fld="17" subtotal="average" baseField="0" baseItem="0" numFmtId="2"/>
  </dataFields>
  <formats count="1">
    <format dxfId="33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14138B-A410-478C-8499-25BFEB374D41}" name="PivotTable3" cacheId="9" dataOnRows="1" applyNumberFormats="0" applyBorderFormats="0" applyFontFormats="0" applyPatternFormats="0" applyAlignmentFormats="0" applyWidthHeightFormats="1" dataCaption="Data" showItems="0" showMultipleLabel="0" showMemberPropertyTips="0" useAutoFormatting="1" rowGrandTotals="0" itemPrintTitles="1" indent="0" compact="0" compactData="0" gridDropZones="1">
  <location ref="V40:W53" firstHeaderRow="2" firstDataRow="2" firstDataCol="1"/>
  <pivotFields count="19">
    <pivotField compact="0" outline="0" subtotalTop="0" showAll="0" includeNewItemsInFilter="1"/>
    <pivotField axis="axisRow" compact="0" outline="0" subtotalTop="0" showAll="0" includeNewItemsInFilter="1" avgSubtotal="1">
      <items count="13">
        <item x="2"/>
        <item x="11"/>
        <item x="0"/>
        <item x="9"/>
        <item x="6"/>
        <item x="1"/>
        <item x="7"/>
        <item x="4"/>
        <item x="10"/>
        <item x="8"/>
        <item x="5"/>
        <item x="3"/>
        <item t="avg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numFmtId="2" outline="0" subtotalTop="0" showAll="0" includeNewItemsInFilter="1"/>
    <pivotField compact="0" numFmtId="2" outline="0" subtotalTop="0" showAll="0" includeNewItemsInFilter="1"/>
    <pivotField compact="0" outline="0" subtotalTop="0" showAll="0" includeNewItemsInFilter="1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Average of Mean per meter" fld="15" subtotal="average" baseField="0" baseItem="0" numFmtId="2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90FC09-E590-49F9-8E45-AA2DE15E7AE8}" name="PivotTable1" cacheId="8" dataOnRows="1" applyNumberFormats="0" applyBorderFormats="0" applyFontFormats="0" applyPatternFormats="0" applyAlignmentFormats="0" applyWidthHeightFormats="1" dataCaption="Data" showItems="0" showMultipleLabel="0" showMemberPropertyTips="0" useAutoFormatting="1" itemPrintTitles="1" indent="0" compact="0" compactData="0" gridDropZones="1">
  <location ref="V10:W20" firstHeaderRow="2" firstDataRow="2" firstDataCol="1"/>
  <pivotFields count="19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2" outline="0" subtotalTop="0" showAll="0" includeNewItemsInFilter="1"/>
    <pivotField dataField="1" compact="0" numFmtId="2" outline="0" subtotalTop="0" showAll="0" includeNewItemsInFilter="1"/>
    <pivotField compact="0" outline="0" subtotalTop="0" showAll="0" includeNewItemsInFilter="1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Nrml. mean per meter" fld="17" subtotal="average" baseField="0" baseItem="0" numFmtId="2"/>
  </dataFields>
  <formats count="1">
    <format dxfId="32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F887E2-3DB5-4FC4-B964-7B72700F5E10}" name="PivotTable3" cacheId="11" dataOnRows="1" applyNumberFormats="0" applyBorderFormats="0" applyFontFormats="0" applyPatternFormats="0" applyAlignmentFormats="0" applyWidthHeightFormats="1" dataCaption="Data" showItems="0" showMultipleLabel="0" showMemberPropertyTips="0" useAutoFormatting="1" rowGrandTotals="0" itemPrintTitles="1" indent="0" compact="0" compactData="0" gridDropZones="1">
  <location ref="V40:W53" firstHeaderRow="2" firstDataRow="2" firstDataCol="1"/>
  <pivotFields count="19">
    <pivotField compact="0" outline="0" subtotalTop="0" showAll="0" includeNewItemsInFilter="1"/>
    <pivotField axis="axisRow" compact="0" outline="0" subtotalTop="0" showAll="0" includeNewItemsInFilter="1" avgSubtotal="1">
      <items count="13">
        <item x="2"/>
        <item x="11"/>
        <item x="0"/>
        <item x="9"/>
        <item x="6"/>
        <item x="1"/>
        <item x="7"/>
        <item x="4"/>
        <item x="10"/>
        <item x="8"/>
        <item x="5"/>
        <item x="3"/>
        <item t="avg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numFmtId="2" outline="0" subtotalTop="0" showAll="0" includeNewItemsInFilter="1"/>
    <pivotField compact="0" numFmtId="2" outline="0" subtotalTop="0" showAll="0" includeNewItemsInFilter="1"/>
    <pivotField compact="0" outline="0" subtotalTop="0" showAll="0" includeNewItemsInFilter="1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Average of Mean per meter" fld="15" subtotal="average" baseField="0" baseItem="0" numFmtId="2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B38CED-9A40-4B5A-B40D-2BC682081E2B}" name="PivotTable1" cacheId="10" dataOnRows="1" applyNumberFormats="0" applyBorderFormats="0" applyFontFormats="0" applyPatternFormats="0" applyAlignmentFormats="0" applyWidthHeightFormats="1" dataCaption="Data" showItems="0" showMultipleLabel="0" showMemberPropertyTips="0" useAutoFormatting="1" itemPrintTitles="1" indent="0" compact="0" compactData="0" gridDropZones="1">
  <location ref="V10:W20" firstHeaderRow="2" firstDataRow="2" firstDataCol="1"/>
  <pivotFields count="19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2" outline="0" subtotalTop="0" showAll="0" includeNewItemsInFilter="1"/>
    <pivotField dataField="1" compact="0" numFmtId="2" outline="0" subtotalTop="0" showAll="0" includeNewItemsInFilter="1"/>
    <pivotField compact="0" outline="0" subtotalTop="0" showAll="0" includeNewItemsInFilter="1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Nrml. mean per meter" fld="17" subtotal="average" baseField="0" baseItem="0" numFmtId="2"/>
  </dataFields>
  <formats count="1">
    <format dxfId="31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472673-639E-4E85-9D40-51C99683176B}" name="PivotTable3" cacheId="13" dataOnRows="1" applyNumberFormats="0" applyBorderFormats="0" applyFontFormats="0" applyPatternFormats="0" applyAlignmentFormats="0" applyWidthHeightFormats="1" dataCaption="Data" showItems="0" showMultipleLabel="0" showMemberPropertyTips="0" useAutoFormatting="1" rowGrandTotals="0" itemPrintTitles="1" indent="0" compact="0" compactData="0" gridDropZones="1">
  <location ref="V40:W53" firstHeaderRow="2" firstDataRow="2" firstDataCol="1"/>
  <pivotFields count="19">
    <pivotField compact="0" outline="0" subtotalTop="0" showAll="0" includeNewItemsInFilter="1"/>
    <pivotField axis="axisRow" compact="0" outline="0" subtotalTop="0" showAll="0" includeNewItemsInFilter="1" avgSubtotal="1">
      <items count="13">
        <item x="2"/>
        <item x="11"/>
        <item x="0"/>
        <item x="9"/>
        <item x="6"/>
        <item x="1"/>
        <item x="7"/>
        <item x="4"/>
        <item x="10"/>
        <item x="8"/>
        <item x="5"/>
        <item x="3"/>
        <item t="avg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numFmtId="2" outline="0" subtotalTop="0" showAll="0" includeNewItemsInFilter="1"/>
    <pivotField compact="0" numFmtId="2" outline="0" subtotalTop="0" showAll="0" includeNewItemsInFilter="1"/>
    <pivotField compact="0" outline="0" subtotalTop="0" showAll="0" includeNewItemsInFilter="1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Average of Mean per meter" fld="15" subtotal="average" baseField="0" baseItem="0" numFmtId="2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F3A642-5442-437B-92DF-416D68662E28}" name="PivotTable1" cacheId="12" dataOnRows="1" applyNumberFormats="0" applyBorderFormats="0" applyFontFormats="0" applyPatternFormats="0" applyAlignmentFormats="0" applyWidthHeightFormats="1" dataCaption="Data" showItems="0" showMultipleLabel="0" showMemberPropertyTips="0" useAutoFormatting="1" itemPrintTitles="1" indent="0" compact="0" compactData="0" gridDropZones="1">
  <location ref="V10:W20" firstHeaderRow="2" firstDataRow="2" firstDataCol="1"/>
  <pivotFields count="19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>
      <items count="2">
        <item x="0"/>
        <item x="1"/>
      </items>
    </pivotField>
    <pivotField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>
      <items count="3">
        <item x="1"/>
        <item x="0"/>
        <item t="default"/>
      </items>
    </pivotField>
    <pivotField compact="0" outline="0" subtotalTop="0" showAll="0" includeNewItemsInFilter="1"/>
    <pivotField axis="axisRow" compact="0" outline="0" subtotalTop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2" outline="0" subtotalTop="0" showAll="0" includeNewItemsInFilter="1"/>
    <pivotField dataField="1" compact="0" numFmtId="2" outline="0" subtotalTop="0" showAll="0" includeNewItemsInFilter="1"/>
    <pivotField compact="0" outline="0" subtotalTop="0" showAll="0" includeNewItemsInFilter="1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Nrml. mean per meter" fld="17" subtotal="average" baseField="0" baseItem="0" numFmtId="2"/>
  </dataFields>
  <formats count="1">
    <format dxfId="30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8A08DB-2AB9-4E14-9AAB-6AC0738D9C3B}" name="PivotTable1" cacheId="15" dataOnRows="1" applyNumberFormats="0" applyBorderFormats="0" applyFontFormats="0" applyPatternFormats="0" applyAlignmentFormats="0" applyWidthHeightFormats="1" dataCaption="Data" showItems="0" showMultipleLabel="0" showMemberPropertyTips="0" useAutoFormatting="1" itemPrintTitles="1" indent="0" compact="0" compactData="0" gridDropZones="1">
  <location ref="V10:W20" firstHeaderRow="2" firstDataRow="2" firstDataCol="1"/>
  <pivotFields count="19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2" outline="0" subtotalTop="0" showAll="0" includeNewItemsInFilter="1"/>
    <pivotField dataField="1" compact="0" numFmtId="2" outline="0" subtotalTop="0" showAll="0" includeNewItemsInFilter="1"/>
    <pivotField compact="0" outline="0" subtotalTop="0" showAll="0" includeNewItemsInFilter="1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Nrml. mean per meter" fld="17" subtotal="average" baseField="0" baseItem="0" numFmtId="2"/>
  </dataFields>
  <formats count="1">
    <format dxfId="29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CD4764-44E0-4017-A8F4-347FB6100C0B}" name="PivotTable3" cacheId="14" dataOnRows="1" applyNumberFormats="0" applyBorderFormats="0" applyFontFormats="0" applyPatternFormats="0" applyAlignmentFormats="0" applyWidthHeightFormats="1" dataCaption="Data" showItems="0" showMultipleLabel="0" showMemberPropertyTips="0" useAutoFormatting="1" rowGrandTotals="0" itemPrintTitles="1" indent="0" compact="0" compactData="0" gridDropZones="1">
  <location ref="V40:W53" firstHeaderRow="2" firstDataRow="2" firstDataCol="1"/>
  <pivotFields count="19">
    <pivotField compact="0" outline="0" subtotalTop="0" showAll="0" includeNewItemsInFilter="1"/>
    <pivotField axis="axisRow" compact="0" outline="0" subtotalTop="0" showAll="0" includeNewItemsInFilter="1" avgSubtotal="1">
      <items count="13">
        <item x="2"/>
        <item x="11"/>
        <item x="0"/>
        <item x="9"/>
        <item x="6"/>
        <item x="1"/>
        <item x="7"/>
        <item x="4"/>
        <item x="10"/>
        <item x="8"/>
        <item x="5"/>
        <item x="3"/>
        <item t="avg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numFmtId="2" outline="0" subtotalTop="0" showAll="0" includeNewItemsInFilter="1"/>
    <pivotField compact="0" numFmtId="2" outline="0" subtotalTop="0" showAll="0" includeNewItemsInFilter="1"/>
    <pivotField compact="0" outline="0" subtotalTop="0" showAll="0" includeNewItemsInFilter="1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Average of Mean per meter" fld="15" subtotal="average" baseField="0" baseItem="0" numFmtId="2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8014B-2953-418F-BE2B-8CEA6483C549}" name="PivotTable1" cacheId="17" dataOnRows="1" applyNumberFormats="0" applyBorderFormats="0" applyFontFormats="0" applyPatternFormats="0" applyAlignmentFormats="0" applyWidthHeightFormats="1" dataCaption="Data" showItems="0" showMultipleLabel="0" showMemberPropertyTips="0" useAutoFormatting="1" itemPrintTitles="1" indent="0" compact="0" compactData="0" gridDropZones="1">
  <location ref="V10:W20" firstHeaderRow="2" firstDataRow="2" firstDataCol="1"/>
  <pivotFields count="19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2" outline="0" subtotalTop="0" showAll="0" includeNewItemsInFilter="1"/>
    <pivotField dataField="1" compact="0" numFmtId="2" outline="0" subtotalTop="0" showAll="0" includeNewItemsInFilter="1"/>
    <pivotField compact="0" outline="0" subtotalTop="0" showAll="0" includeNewItemsInFilter="1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Nrml. mean per meter" fld="17" subtotal="average" baseField="0" baseItem="0" numFmtId="2"/>
  </dataFields>
  <formats count="1">
    <format dxfId="28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E03BEA-708D-4797-8D1E-B73E96FAA3CE}" name="PivotTable3" cacheId="16" dataOnRows="1" applyNumberFormats="0" applyBorderFormats="0" applyFontFormats="0" applyPatternFormats="0" applyAlignmentFormats="0" applyWidthHeightFormats="1" dataCaption="Data" showItems="0" showMultipleLabel="0" showMemberPropertyTips="0" useAutoFormatting="1" rowGrandTotals="0" itemPrintTitles="1" indent="0" compact="0" compactData="0" gridDropZones="1">
  <location ref="V40:W53" firstHeaderRow="2" firstDataRow="2" firstDataCol="1"/>
  <pivotFields count="19">
    <pivotField compact="0" outline="0" subtotalTop="0" showAll="0" includeNewItemsInFilter="1"/>
    <pivotField axis="axisRow" compact="0" outline="0" subtotalTop="0" showAll="0" includeNewItemsInFilter="1" avgSubtotal="1">
      <items count="13">
        <item x="2"/>
        <item x="11"/>
        <item x="0"/>
        <item x="9"/>
        <item x="6"/>
        <item x="1"/>
        <item x="7"/>
        <item x="4"/>
        <item x="10"/>
        <item x="8"/>
        <item x="5"/>
        <item x="3"/>
        <item t="avg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numFmtId="2" outline="0" subtotalTop="0" showAll="0" includeNewItemsInFilter="1"/>
    <pivotField compact="0" numFmtId="2" outline="0" subtotalTop="0" showAll="0" includeNewItemsInFilter="1"/>
    <pivotField compact="0" outline="0" subtotalTop="0" showAll="0" includeNewItemsInFilter="1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Average of Mean per meter" fld="15" subtotal="average" baseField="0" baseItem="0" numFmtId="2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8F9424-C8D5-4119-AEA2-D5226BA335AD}" name="PivotTable3" cacheId="19" dataOnRows="1" applyNumberFormats="0" applyBorderFormats="0" applyFontFormats="0" applyPatternFormats="0" applyAlignmentFormats="0" applyWidthHeightFormats="1" dataCaption="Data" showItems="0" showMultipleLabel="0" showMemberPropertyTips="0" useAutoFormatting="1" rowGrandTotals="0" itemPrintTitles="1" indent="0" compact="0" compactData="0" gridDropZones="1">
  <location ref="V40:W53" firstHeaderRow="2" firstDataRow="2" firstDataCol="1"/>
  <pivotFields count="19">
    <pivotField compact="0" outline="0" subtotalTop="0" showAll="0" includeNewItemsInFilter="1"/>
    <pivotField axis="axisRow" compact="0" outline="0" subtotalTop="0" showAll="0" includeNewItemsInFilter="1" avgSubtotal="1">
      <items count="13">
        <item x="2"/>
        <item x="11"/>
        <item x="0"/>
        <item x="9"/>
        <item x="6"/>
        <item x="1"/>
        <item x="7"/>
        <item x="4"/>
        <item x="10"/>
        <item x="8"/>
        <item x="5"/>
        <item x="3"/>
        <item t="avg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numFmtId="2" outline="0" subtotalTop="0" showAll="0" includeNewItemsInFilter="1"/>
    <pivotField compact="0" numFmtId="2" outline="0" subtotalTop="0" showAll="0" includeNewItemsInFilter="1"/>
    <pivotField compact="0" outline="0" subtotalTop="0" showAll="0" includeNewItemsInFilter="1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Average of Mean per meter" fld="15" subtotal="average" baseField="0" baseItem="0" numFmtId="2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6E7217-D50C-4C1D-8B49-C504542CC1BA}" name="PivotTable1" cacheId="18" dataOnRows="1" applyNumberFormats="0" applyBorderFormats="0" applyFontFormats="0" applyPatternFormats="0" applyAlignmentFormats="0" applyWidthHeightFormats="1" dataCaption="Data" showItems="0" showMultipleLabel="0" showMemberPropertyTips="0" useAutoFormatting="1" itemPrintTitles="1" indent="0" compact="0" compactData="0" gridDropZones="1">
  <location ref="V10:W20" firstHeaderRow="2" firstDataRow="2" firstDataCol="1"/>
  <pivotFields count="19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2" outline="0" subtotalTop="0" showAll="0" includeNewItemsInFilter="1"/>
    <pivotField dataField="1" compact="0" numFmtId="2" outline="0" subtotalTop="0" showAll="0" includeNewItemsInFilter="1"/>
    <pivotField compact="0" outline="0" subtotalTop="0" showAll="0" includeNewItemsInFilter="1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Nrml. mean per meter" fld="17" subtotal="average" baseField="0" baseItem="0" numFmtId="2"/>
  </dataFields>
  <formats count="1">
    <format dxfId="27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BB74C6-DF8F-45CC-8B8F-5917275C08E1}" name="PivotTable3" cacheId="21" dataOnRows="1" applyNumberFormats="0" applyBorderFormats="0" applyFontFormats="0" applyPatternFormats="0" applyAlignmentFormats="0" applyWidthHeightFormats="1" dataCaption="Data" showItems="0" showMultipleLabel="0" showMemberPropertyTips="0" useAutoFormatting="1" rowGrandTotals="0" itemPrintTitles="1" indent="0" compact="0" compactData="0" gridDropZones="1">
  <location ref="V40:W44" firstHeaderRow="2" firstDataRow="2" firstDataCol="1"/>
  <pivotFields count="19">
    <pivotField compact="0" outline="0" subtotalTop="0" showAll="0" includeNewItemsInFilter="1"/>
    <pivotField compact="0" outline="0" subtotalTop="0" showAll="0" includeNewItemsInFilter="1" avgSubtotal="1">
      <items count="13">
        <item x="2"/>
        <item x="11"/>
        <item x="0"/>
        <item x="9"/>
        <item x="6"/>
        <item x="1"/>
        <item x="7"/>
        <item x="4"/>
        <item x="10"/>
        <item x="8"/>
        <item x="5"/>
        <item x="3"/>
        <item t="avg"/>
      </items>
    </pivotField>
    <pivotField compact="0" outline="0" subtotalTop="0" showAll="0" includeNewItemsInFilter="1"/>
    <pivotField compact="0" outline="0" subtotalTop="0" showAll="0" includeNewItemsInFilter="1">
      <items count="3">
        <item x="0"/>
        <item x="1"/>
        <item t="default"/>
      </items>
    </pivotField>
    <pivotField axis="axisRow"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>
      <items count="3">
        <item x="1"/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numFmtId="2" outline="0" subtotalTop="0" showAll="0" includeNewItemsInFilter="1"/>
    <pivotField compact="0" numFmtId="2" outline="0" subtotalTop="0" showAll="0" includeNewItemsInFilter="1"/>
    <pivotField compact="0" outline="0" subtotalTop="0" showAll="0" includeNewItemsInFilter="1"/>
  </pivotFields>
  <rowFields count="1">
    <field x="4"/>
  </rowFields>
  <rowItems count="3">
    <i>
      <x/>
    </i>
    <i>
      <x v="1"/>
    </i>
    <i>
      <x v="2"/>
    </i>
  </rowItems>
  <colItems count="1">
    <i/>
  </colItems>
  <dataFields count="1">
    <dataField name="Average of Mean per meter" fld="15" subtotal="average" baseField="0" baseItem="0" numFmtId="2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76AEB-4BB4-4DBB-8B14-1AAE634BAF63}" name="PivotTable1" cacheId="20" dataOnRows="1" applyNumberFormats="0" applyBorderFormats="0" applyFontFormats="0" applyPatternFormats="0" applyAlignmentFormats="0" applyWidthHeightFormats="1" dataCaption="Data" showItems="0" showMultipleLabel="0" showMemberPropertyTips="0" useAutoFormatting="1" itemPrintTitles="1" indent="0" compact="0" compactData="0" gridDropZones="1">
  <location ref="V10:W20" firstHeaderRow="2" firstDataRow="2" firstDataCol="1"/>
  <pivotFields count="19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2" outline="0" subtotalTop="0" showAll="0" includeNewItemsInFilter="1"/>
    <pivotField dataField="1" compact="0" numFmtId="2" outline="0" subtotalTop="0" showAll="0" includeNewItemsInFilter="1"/>
    <pivotField compact="0" outline="0" subtotalTop="0" showAll="0" includeNewItemsInFilter="1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Nrml. mean per meter" fld="17" subtotal="average" baseField="0" baseItem="0" numFmtId="2"/>
  </dataFields>
  <formats count="1">
    <format dxfId="26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4F5A31-42DD-45F4-9135-CAB0D8A283D6}" name="PivotTable1" cacheId="23" dataOnRows="1" applyNumberFormats="0" applyBorderFormats="0" applyFontFormats="0" applyPatternFormats="0" applyAlignmentFormats="0" applyWidthHeightFormats="1" dataCaption="Data" showItems="0" showMultipleLabel="0" showMemberPropertyTips="0" useAutoFormatting="1" itemPrintTitles="1" indent="0" compact="0" compactData="0" gridDropZones="1">
  <location ref="V10:W20" firstHeaderRow="2" firstDataRow="2" firstDataCol="1"/>
  <pivotFields count="19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>
      <items count="13">
        <item x="0"/>
        <item x="9"/>
        <item x="6"/>
        <item x="1"/>
        <item x="2"/>
        <item x="11"/>
        <item x="10"/>
        <item x="8"/>
        <item x="5"/>
        <item x="3"/>
        <item x="7"/>
        <item x="4"/>
        <item t="default"/>
      </items>
    </pivotField>
    <pivotField compact="0" outline="0" subtotalTop="0" showAll="0" includeNewItemsInFilter="1" defaultSubtotal="0">
      <items count="2">
        <item x="0"/>
        <item x="1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2" outline="0" subtotalTop="0" showAll="0" includeNewItemsInFilter="1"/>
    <pivotField dataField="1" compact="0" numFmtId="2" outline="0" subtotalTop="0" showAll="0" includeNewItemsInFilter="1"/>
    <pivotField compact="0" outline="0" subtotalTop="0" showAll="0" includeNewItemsInFilter="1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Nrml. mean per meter" fld="17" subtotal="average" baseField="0" baseItem="0"/>
  </dataFields>
  <formats count="1">
    <format dxfId="22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9814A9-B5C5-4155-A9DA-76CD2F0241BE}" name="PivotTable3" cacheId="22" dataOnRows="1" applyNumberFormats="0" applyBorderFormats="0" applyFontFormats="0" applyPatternFormats="0" applyAlignmentFormats="0" applyWidthHeightFormats="1" dataCaption="Data" asteriskTotals="1" showItems="0" showMultipleLabel="0" showMemberPropertyTips="0" useAutoFormatting="1" rowGrandTotals="0" itemPrintTitles="1" indent="0" compact="0" compactData="0" gridDropZones="1">
  <location ref="V40:W44" firstHeaderRow="2" firstDataRow="2" firstDataCol="1" rowPageCount="1" colPageCount="1"/>
  <pivotFields count="19">
    <pivotField compact="0" outline="0" subtotalTop="0" showAll="0" includeNewItemsInFilter="1"/>
    <pivotField compact="0" outline="0" subtotalTop="0" showAll="0" includeNewItemsInFilter="1" avgSubtotal="1"/>
    <pivotField axis="axisPage" compact="0" outline="0" subtotalTop="0" showAll="0" includeNewItemsInFilter="1">
      <items count="13">
        <item x="0"/>
        <item x="9"/>
        <item x="6"/>
        <item x="1"/>
        <item x="2"/>
        <item x="11"/>
        <item x="10"/>
        <item x="8"/>
        <item x="5"/>
        <item x="3"/>
        <item x="7"/>
        <item x="4"/>
        <item t="default"/>
      </items>
    </pivotField>
    <pivotField compact="0" outline="0" subtotalTop="0" showAll="0" includeNewItemsInFilter="1"/>
    <pivotField axis="axisRow"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>
      <items count="3">
        <item x="1"/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numFmtId="2" outline="0" subtotalTop="0" showAll="0" includeNewItemsInFilter="1"/>
    <pivotField compact="0" numFmtId="2" outline="0" subtotalTop="0" showAll="0" includeNewItemsInFilter="1"/>
    <pivotField compact="0" outline="0" subtotalTop="0" showAll="0" includeNewItemsInFilter="1"/>
  </pivotFields>
  <rowFields count="1">
    <field x="4"/>
  </rowFields>
  <rowItems count="3">
    <i>
      <x/>
    </i>
    <i>
      <x v="1"/>
    </i>
    <i>
      <x v="2"/>
    </i>
  </rowItems>
  <colItems count="1">
    <i/>
  </colItems>
  <pageFields count="1">
    <pageField fld="2" hier="0"/>
  </pageFields>
  <dataFields count="1">
    <dataField name="Average of Mean per meter" fld="15" subtotal="average" baseField="0" baseItem="0" numFmtId="2"/>
  </dataFields>
  <formats count="3">
    <format dxfId="25">
      <pivotArea dataOnly="0" labelOnly="1" grandCol="1" outline="0" axis="axisCol" fieldPosition="0"/>
    </format>
    <format dxfId="24">
      <pivotArea dataOnly="0" labelOnly="1" grandCol="1" outline="0" axis="axisCol" fieldPosition="0"/>
    </format>
    <format dxfId="23">
      <pivotArea outline="0" fieldPosition="0">
        <references count="1">
          <reference field="4294967294" count="1">
            <x v="0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B5B09-0E3C-4009-8974-464B4971E0B2}" name="PivotTable1" cacheId="25" dataOnRows="1" applyNumberFormats="0" applyBorderFormats="0" applyFontFormats="0" applyPatternFormats="0" applyAlignmentFormats="0" applyWidthHeightFormats="1" dataCaption="Data" updatedVersion="1" asteriskTotals="1" showItems="0" showMultipleLabel="0" showMemberPropertyTips="0" useAutoFormatting="1" rowGrandTotals="0" itemPrintTitles="1" indent="0" compact="0" compactData="0" gridDropZones="1">
  <location ref="V40:X76" firstHeaderRow="2" firstDataRow="2" firstDataCol="2" rowPageCount="1" colPageCount="1"/>
  <pivotFields count="19">
    <pivotField axis="axisRow" compact="0" outline="0" subtotalTop="0" showAll="0" includeNewItemsInFilter="1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compact="0" outline="0" subtotalTop="0" showAll="0" includeNewItemsInFilter="1" avgSubtotal="1">
      <items count="13">
        <item x="2"/>
        <item x="11"/>
        <item x="0"/>
        <item x="9"/>
        <item x="6"/>
        <item x="1"/>
        <item x="7"/>
        <item x="4"/>
        <item x="10"/>
        <item x="8"/>
        <item x="5"/>
        <item x="3"/>
        <item t="avg"/>
      </items>
    </pivotField>
    <pivotField compact="0" outline="0" subtotalTop="0" showAll="0" includeNewItemsInFilter="1"/>
    <pivotField compact="0" outline="0" subtotalTop="0" showAll="0" includeNewItemsInFilter="1">
      <items count="3">
        <item x="0"/>
        <item x="1"/>
        <item t="default"/>
      </items>
    </pivotField>
    <pivotField axis="axisRow"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>
      <items count="3">
        <item x="1"/>
        <item x="0"/>
        <item t="default"/>
      </items>
    </pivotField>
    <pivotField axis="axisPage" compact="0" outline="0" subtotalTop="0" showAll="0" includeNewItemsInFilter="1">
      <items count="5">
        <item x="0"/>
        <item x="1"/>
        <item x="2"/>
        <item x="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>
      <items count="27">
        <item x="14"/>
        <item x="0"/>
        <item x="19"/>
        <item x="15"/>
        <item x="6"/>
        <item x="13"/>
        <item x="9"/>
        <item x="12"/>
        <item x="5"/>
        <item x="3"/>
        <item x="1"/>
        <item x="10"/>
        <item x="24"/>
        <item x="17"/>
        <item x="7"/>
        <item x="22"/>
        <item x="20"/>
        <item x="25"/>
        <item x="2"/>
        <item x="23"/>
        <item x="16"/>
        <item x="4"/>
        <item x="11"/>
        <item x="18"/>
        <item x="8"/>
        <item x="21"/>
        <item t="default"/>
      </items>
    </pivotField>
    <pivotField compact="0" numFmtId="2" outline="0" subtotalTop="0" showAll="0" includeNewItemsInFilter="1"/>
    <pivotField compact="0" numFmtId="2" outline="0" subtotalTop="0" showAll="0" includeNewItemsInFilter="1"/>
    <pivotField compact="0" outline="0" subtotalTop="0" showAll="0" includeNewItemsInFilter="1"/>
  </pivotFields>
  <rowFields count="2">
    <field x="4"/>
    <field x="0"/>
  </rowFields>
  <rowItems count="35">
    <i>
      <x/>
      <x/>
    </i>
    <i r="1">
      <x v="12"/>
    </i>
    <i r="1">
      <x v="13"/>
    </i>
    <i r="1">
      <x v="15"/>
    </i>
    <i r="1">
      <x v="18"/>
    </i>
    <i r="1">
      <x v="19"/>
    </i>
    <i r="1">
      <x v="24"/>
    </i>
    <i r="1">
      <x v="30"/>
    </i>
    <i t="default">
      <x/>
    </i>
    <i>
      <x v="1"/>
      <x v="1"/>
    </i>
    <i r="1">
      <x v="3"/>
    </i>
    <i r="1">
      <x v="5"/>
    </i>
    <i r="1">
      <x v="6"/>
    </i>
    <i r="1">
      <x v="7"/>
    </i>
    <i r="1">
      <x v="9"/>
    </i>
    <i r="1">
      <x v="10"/>
    </i>
    <i r="1">
      <x v="14"/>
    </i>
    <i r="1">
      <x v="16"/>
    </i>
    <i r="1">
      <x v="17"/>
    </i>
    <i r="1">
      <x v="21"/>
    </i>
    <i r="1">
      <x v="22"/>
    </i>
    <i r="1">
      <x v="25"/>
    </i>
    <i r="1">
      <x v="27"/>
    </i>
    <i r="1">
      <x v="29"/>
    </i>
    <i r="1">
      <x v="31"/>
    </i>
    <i t="default">
      <x v="1"/>
    </i>
    <i>
      <x v="2"/>
      <x v="2"/>
    </i>
    <i r="1">
      <x v="4"/>
    </i>
    <i r="1">
      <x v="8"/>
    </i>
    <i r="1">
      <x v="11"/>
    </i>
    <i r="1">
      <x v="20"/>
    </i>
    <i r="1">
      <x v="23"/>
    </i>
    <i r="1">
      <x v="26"/>
    </i>
    <i r="1">
      <x v="28"/>
    </i>
    <i t="default">
      <x v="2"/>
    </i>
  </rowItems>
  <colItems count="1">
    <i/>
  </colItems>
  <pageFields count="1">
    <pageField fld="6" hier="0"/>
  </pageFields>
  <dataFields count="1">
    <dataField name="Average of Mean per meter" fld="15" subtotal="average" baseField="0" baseItem="0" numFmtId="2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79FE6A-A189-4851-8A14-768400C57FAF}" name="PivotTable2" cacheId="24" dataOnRows="1" applyNumberFormats="0" applyBorderFormats="0" applyFontFormats="0" applyPatternFormats="0" applyAlignmentFormats="0" applyWidthHeightFormats="1" dataCaption="Data" asteriskTotals="1" showItems="0" showMultipleLabel="0" showMemberPropertyTips="0" useAutoFormatting="1" itemPrintTitles="1" indent="0" compact="0" compactData="0" gridDropZones="1">
  <location ref="V10:W20" firstHeaderRow="2" firstDataRow="2" firstDataCol="1"/>
  <pivotFields count="19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2" outline="0" subtotalTop="0" showAll="0" includeNewItemsInFilter="1"/>
    <pivotField dataField="1" compact="0" numFmtId="2" outline="0" subtotalTop="0" showAll="0" includeNewItemsInFilter="1"/>
    <pivotField compact="0" outline="0" subtotalTop="0" showAll="0" includeNewItemsInFilter="1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Nrml. mean per meter" fld="17" subtotal="average" baseField="0" baseItem="0" numFmtId="2"/>
  </dataFields>
  <formats count="1">
    <format dxfId="21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F0DF18-2C0C-46B1-AB4B-3A001A0A4DEE}" name="PivotTable3" cacheId="27" dataOnRows="1" applyNumberFormats="0" applyBorderFormats="0" applyFontFormats="0" applyPatternFormats="0" applyAlignmentFormats="0" applyWidthHeightFormats="1" dataCaption="Data" showItems="0" showMultipleLabel="0" showMemberPropertyTips="0" useAutoFormatting="1" rowGrandTotals="0" itemPrintTitles="1" indent="0" compact="0" compactData="0" gridDropZones="1">
  <location ref="V40:X76" firstHeaderRow="2" firstDataRow="2" firstDataCol="2"/>
  <pivotFields count="19">
    <pivotField axis="axisRow" compact="0" outline="0" subtotalTop="0" showAll="0" includeNewItemsInFilter="1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compact="0" outline="0" subtotalTop="0" showAll="0" includeNewItemsInFilter="1" avgSubtotal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numFmtId="2" outline="0" subtotalTop="0" showAll="0" includeNewItemsInFilter="1"/>
    <pivotField compact="0" numFmtId="2" outline="0" subtotalTop="0" showAll="0" includeNewItemsInFilter="1"/>
    <pivotField compact="0" outline="0" subtotalTop="0" showAll="0" includeNewItemsInFilter="1"/>
  </pivotFields>
  <rowFields count="2">
    <field x="4"/>
    <field x="0"/>
  </rowFields>
  <rowItems count="35">
    <i>
      <x/>
      <x/>
    </i>
    <i r="1">
      <x v="12"/>
    </i>
    <i r="1">
      <x v="13"/>
    </i>
    <i r="1">
      <x v="15"/>
    </i>
    <i r="1">
      <x v="18"/>
    </i>
    <i r="1">
      <x v="19"/>
    </i>
    <i r="1">
      <x v="24"/>
    </i>
    <i r="1">
      <x v="30"/>
    </i>
    <i t="default">
      <x/>
    </i>
    <i>
      <x v="1"/>
      <x v="1"/>
    </i>
    <i r="1">
      <x v="3"/>
    </i>
    <i r="1">
      <x v="5"/>
    </i>
    <i r="1">
      <x v="6"/>
    </i>
    <i r="1">
      <x v="7"/>
    </i>
    <i r="1">
      <x v="9"/>
    </i>
    <i r="1">
      <x v="10"/>
    </i>
    <i r="1">
      <x v="14"/>
    </i>
    <i r="1">
      <x v="16"/>
    </i>
    <i r="1">
      <x v="17"/>
    </i>
    <i r="1">
      <x v="21"/>
    </i>
    <i r="1">
      <x v="22"/>
    </i>
    <i r="1">
      <x v="25"/>
    </i>
    <i r="1">
      <x v="27"/>
    </i>
    <i r="1">
      <x v="29"/>
    </i>
    <i r="1">
      <x v="31"/>
    </i>
    <i t="default">
      <x v="1"/>
    </i>
    <i>
      <x v="2"/>
      <x v="2"/>
    </i>
    <i r="1">
      <x v="4"/>
    </i>
    <i r="1">
      <x v="8"/>
    </i>
    <i r="1">
      <x v="11"/>
    </i>
    <i r="1">
      <x v="20"/>
    </i>
    <i r="1">
      <x v="23"/>
    </i>
    <i r="1">
      <x v="26"/>
    </i>
    <i r="1">
      <x v="28"/>
    </i>
    <i t="default">
      <x v="2"/>
    </i>
  </rowItems>
  <colItems count="1">
    <i/>
  </colItems>
  <dataFields count="1">
    <dataField name="Average of Mean per meter" fld="15" subtotal="average" baseField="0" baseItem="0" numFmtId="2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C54E03-799C-4021-95F1-574EC70BA016}" name="PivotTable1" cacheId="26" dataOnRows="1" applyNumberFormats="0" applyBorderFormats="0" applyFontFormats="0" applyPatternFormats="0" applyAlignmentFormats="0" applyWidthHeightFormats="1" dataCaption="Data" showItems="0" showMultipleLabel="0" showMemberPropertyTips="0" useAutoFormatting="1" itemPrintTitles="1" indent="0" compact="0" compactData="0" gridDropZones="1">
  <location ref="V10:W20" firstHeaderRow="2" firstDataRow="2" firstDataCol="1"/>
  <pivotFields count="19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2" outline="0" subtotalTop="0" showAll="0" includeNewItemsInFilter="1"/>
    <pivotField dataField="1" compact="0" numFmtId="2" outline="0" subtotalTop="0" showAll="0" includeNewItemsInFilter="1"/>
    <pivotField compact="0" outline="0" subtotalTop="0" showAll="0" includeNewItemsInFilter="1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Nrml. mean per meter" fld="17" subtotal="average" baseField="0" baseItem="0" numFmtId="2"/>
  </dataFields>
  <formats count="1">
    <format dxfId="20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A5928A-8F52-4B63-96B2-E4FF32B91B42}" name="PivotTable1" cacheId="112" autoFormatId="4103" applyNumberFormats="1" applyBorderFormats="1" applyFontFormats="1" applyPatternFormats="1" applyAlignmentFormats="1" applyWidthHeightFormats="1" dataCaption="Data" asteriskTotals="1" showItems="0" showMultipleLabel="0" showMemberPropertyTips="0" useAutoFormatting="1" itemPrintTitles="1" indent="0" compact="0" compactData="0" gridDropZones="1">
  <location ref="T11:V14" firstHeaderRow="0" firstDataRow="1" firstDataCol="1" rowPageCount="2" colPageCount="1"/>
  <pivotFields count="10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7">
        <item x="0"/>
        <item x="1"/>
        <item x="2"/>
        <item x="4"/>
        <item x="3"/>
        <item x="5"/>
        <item t="default"/>
      </items>
    </pivotField>
    <pivotField axis="axisPage" compact="0" outline="0" subtotalTop="0" showAll="0" includeNewItemsInFilter="1">
      <items count="5">
        <item x="3"/>
        <item x="2"/>
        <item x="0"/>
        <item x="1"/>
        <item t="default"/>
      </items>
    </pivotField>
    <pivotField axis="axisRow" compact="0" outline="0" subtotalTop="0" showAll="0" includeNewItemsInFilter="1">
      <items count="3">
        <item x="1"/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2">
    <pageField fld="3" hier="0"/>
    <pageField fld="4" hier="0"/>
  </pageFields>
  <dataFields count="2">
    <dataField name="no." fld="9" subtotal="count" baseField="0" baseItem="0"/>
    <dataField name="Mean SPAD" fld="9" subtotal="average" baseField="0" baseItem="0" numFmtId="2"/>
  </dataFields>
  <formats count="2">
    <format dxfId="18">
      <pivotArea dataOnly="0" labelOnly="1" outline="0" fieldPosition="0">
        <references count="1">
          <reference field="5" count="1">
            <x v="0"/>
          </reference>
        </references>
      </pivotArea>
    </format>
    <format dxfId="19">
      <pivotArea dataOnly="0" labelOnly="1" outline="0" fieldPosition="0">
        <references count="1">
          <reference field="5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7236CA-E942-4FCC-929C-0E937A6452A9}" name="PivotTable1" cacheId="117" autoFormatId="4103" applyNumberFormats="1" applyBorderFormats="1" applyFontFormats="1" applyPatternFormats="1" applyAlignmentFormats="1" applyWidthHeightFormats="1" dataCaption="Data" showItems="0" showMultipleLabel="0" showMemberPropertyTips="0" useAutoFormatting="1" itemPrintTitles="1" indent="0" compact="0" compactData="0" gridDropZones="1">
  <location ref="T11:V14" firstHeaderRow="0" firstDataRow="1" firstDataCol="1" rowPageCount="2" colPageCount="1"/>
  <pivotFields count="10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7">
        <item x="0"/>
        <item x="1"/>
        <item x="2"/>
        <item x="4"/>
        <item x="3"/>
        <item x="5"/>
        <item t="default"/>
      </items>
    </pivotField>
    <pivotField axis="axisPage" compact="0" outline="0" subtotalTop="0" showAll="0" includeNewItemsInFilter="1">
      <items count="5">
        <item x="3"/>
        <item x="2"/>
        <item x="0"/>
        <item x="1"/>
        <item t="default"/>
      </items>
    </pivotField>
    <pivotField axis="axisRow" compact="0" outline="0" subtotalTop="0" showAll="0" includeNewItemsInFilter="1">
      <items count="3">
        <item x="1"/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2">
    <pageField fld="3" hier="0"/>
    <pageField fld="4" hier="0"/>
  </pageFields>
  <dataFields count="2">
    <dataField name="no." fld="9" subtotal="count" baseField="0" baseItem="0"/>
    <dataField name="Mean SPAD" fld="9" subtotal="average" baseField="0" baseItem="0" numFmtId="2"/>
  </dataFields>
  <formats count="2">
    <format dxfId="16">
      <pivotArea dataOnly="0" labelOnly="1" outline="0" fieldPosition="0">
        <references count="1">
          <reference field="5" count="1">
            <x v="0"/>
          </reference>
        </references>
      </pivotArea>
    </format>
    <format dxfId="17">
      <pivotArea dataOnly="0" labelOnly="1" outline="0" fieldPosition="0">
        <references count="1">
          <reference field="5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ACB66C-BE4B-4F70-B14B-9AAD236C8FBD}" name="PivotTable1" cacheId="116" autoFormatId="4103" applyNumberFormats="1" applyBorderFormats="1" applyFontFormats="1" applyPatternFormats="1" applyAlignmentFormats="1" applyWidthHeightFormats="1" dataCaption="Data" showItems="0" showMultipleLabel="0" showMemberPropertyTips="0" useAutoFormatting="1" itemPrintTitles="1" indent="0" compact="0" compactData="0" gridDropZones="1">
  <location ref="T11:V14" firstHeaderRow="0" firstDataRow="1" firstDataCol="1" rowPageCount="2" colPageCount="1"/>
  <pivotFields count="10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7">
        <item x="0"/>
        <item x="1"/>
        <item x="2"/>
        <item x="4"/>
        <item x="3"/>
        <item x="5"/>
        <item t="default"/>
      </items>
    </pivotField>
    <pivotField axis="axisPage" compact="0" outline="0" subtotalTop="0" showAll="0" includeNewItemsInFilter="1">
      <items count="5">
        <item x="3"/>
        <item x="2"/>
        <item x="0"/>
        <item x="1"/>
        <item t="default"/>
      </items>
    </pivotField>
    <pivotField axis="axisRow" compact="0" outline="0" subtotalTop="0" showAll="0" includeNewItemsInFilter="1">
      <items count="3">
        <item x="1"/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2">
    <pageField fld="3" hier="0"/>
    <pageField fld="4" hier="0"/>
  </pageFields>
  <dataFields count="2">
    <dataField name="no." fld="9" subtotal="count" baseField="0" baseItem="0"/>
    <dataField name="Mean SPAD" fld="9" subtotal="average" baseField="0" baseItem="0" numFmtId="2"/>
  </dataFields>
  <formats count="2">
    <format dxfId="14">
      <pivotArea dataOnly="0" labelOnly="1" outline="0" fieldPosition="0">
        <references count="1">
          <reference field="5" count="1">
            <x v="0"/>
          </reference>
        </references>
      </pivotArea>
    </format>
    <format dxfId="15">
      <pivotArea dataOnly="0" labelOnly="1" outline="0" fieldPosition="0">
        <references count="1">
          <reference field="5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F3D4E7-5187-4FED-88D0-AA94F91C4AF4}" name="PivotTable1" cacheId="113" autoFormatId="4103" applyNumberFormats="1" applyBorderFormats="1" applyFontFormats="1" applyPatternFormats="1" applyAlignmentFormats="1" applyWidthHeightFormats="1" dataCaption="Data" asteriskTotals="1" showItems="0" showMultipleLabel="0" showMemberPropertyTips="0" useAutoFormatting="1" itemPrintTitles="1" indent="0" compact="0" compactData="0" gridDropZones="1">
  <location ref="T11:V14" firstHeaderRow="0" firstDataRow="1" firstDataCol="1" rowPageCount="2" colPageCount="1"/>
  <pivotFields count="10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7">
        <item x="0"/>
        <item x="1"/>
        <item x="2"/>
        <item x="4"/>
        <item x="3"/>
        <item x="5"/>
        <item t="default"/>
      </items>
    </pivotField>
    <pivotField axis="axisPage" compact="0" outline="0" subtotalTop="0" showAll="0" includeNewItemsInFilter="1">
      <items count="5">
        <item x="3"/>
        <item x="2"/>
        <item x="0"/>
        <item x="1"/>
        <item t="default"/>
      </items>
    </pivotField>
    <pivotField axis="axisRow" compact="0" outline="0" subtotalTop="0" showAll="0" includeNewItemsInFilter="1">
      <items count="3">
        <item x="1"/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2">
    <pageField fld="3" hier="0"/>
    <pageField fld="4" hier="0"/>
  </pageFields>
  <dataFields count="2">
    <dataField name="no." fld="9" subtotal="count" baseField="0" baseItem="0"/>
    <dataField name="Mean SPAD" fld="9" subtotal="average" baseField="0" baseItem="0" numFmtId="2"/>
  </dataFields>
  <formats count="2">
    <format dxfId="12">
      <pivotArea dataOnly="0" labelOnly="1" outline="0" fieldPosition="0">
        <references count="1">
          <reference field="5" count="1">
            <x v="0"/>
          </reference>
        </references>
      </pivotArea>
    </format>
    <format dxfId="13">
      <pivotArea dataOnly="0" labelOnly="1" outline="0" fieldPosition="0">
        <references count="1">
          <reference field="5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186FAD-4D4D-46C5-8393-B72499B11956}" name="PivotTable1" cacheId="114" autoFormatId="4103" applyNumberFormats="1" applyBorderFormats="1" applyFontFormats="1" applyPatternFormats="1" applyAlignmentFormats="1" applyWidthHeightFormats="1" dataCaption="Data" asteriskTotals="1" showItems="0" showMultipleLabel="0" showMemberPropertyTips="0" useAutoFormatting="1" itemPrintTitles="1" indent="0" compact="0" compactData="0" gridDropZones="1">
  <location ref="T11:V14" firstHeaderRow="0" firstDataRow="1" firstDataCol="1" rowPageCount="2" colPageCount="1"/>
  <pivotFields count="10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7">
        <item x="0"/>
        <item x="1"/>
        <item x="2"/>
        <item x="4"/>
        <item x="3"/>
        <item x="5"/>
        <item t="default"/>
      </items>
    </pivotField>
    <pivotField axis="axisPage" compact="0" outline="0" subtotalTop="0" showAll="0" includeNewItemsInFilter="1">
      <items count="5">
        <item x="3"/>
        <item x="2"/>
        <item x="0"/>
        <item x="1"/>
        <item t="default"/>
      </items>
    </pivotField>
    <pivotField axis="axisRow" compact="0" outline="0" subtotalTop="0" showAll="0" includeNewItemsInFilter="1">
      <items count="3">
        <item x="1"/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2">
    <pageField fld="3" hier="0"/>
    <pageField fld="4" hier="0"/>
  </pageFields>
  <dataFields count="2">
    <dataField name="no." fld="9" subtotal="count" baseField="0" baseItem="0"/>
    <dataField name="Mean SPAD" fld="9" subtotal="average" baseField="0" baseItem="0" numFmtId="2"/>
  </dataFields>
  <formats count="2">
    <format dxfId="10">
      <pivotArea dataOnly="0" labelOnly="1" outline="0" fieldPosition="0">
        <references count="1">
          <reference field="5" count="1">
            <x v="0"/>
          </reference>
        </references>
      </pivotArea>
    </format>
    <format dxfId="11">
      <pivotArea dataOnly="0" labelOnly="1" outline="0" fieldPosition="0">
        <references count="1">
          <reference field="5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FC2B5-9B41-4B62-AD97-DC9C0EDA4824}" name="PivotTable1" cacheId="115" autoFormatId="4103" applyNumberFormats="1" applyBorderFormats="1" applyFontFormats="1" applyPatternFormats="1" applyAlignmentFormats="1" applyWidthHeightFormats="1" dataCaption="Data" showItems="0" showMultipleLabel="0" showMemberPropertyTips="0" useAutoFormatting="1" itemPrintTitles="1" indent="0" compact="0" compactData="0" gridDropZones="1">
  <location ref="T11:V14" firstHeaderRow="0" firstDataRow="1" firstDataCol="1" rowPageCount="2" colPageCount="1"/>
  <pivotFields count="10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7">
        <item x="0"/>
        <item x="1"/>
        <item x="2"/>
        <item x="4"/>
        <item x="3"/>
        <item x="5"/>
        <item t="default"/>
      </items>
    </pivotField>
    <pivotField axis="axisPage" compact="0" outline="0" subtotalTop="0" showAll="0" includeNewItemsInFilter="1">
      <items count="5">
        <item x="3"/>
        <item x="2"/>
        <item x="0"/>
        <item x="1"/>
        <item t="default"/>
      </items>
    </pivotField>
    <pivotField axis="axisRow" compact="0" outline="0" subtotalTop="0" showAll="0" includeNewItemsInFilter="1">
      <items count="3">
        <item x="1"/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2">
    <pageField fld="3" hier="0"/>
    <pageField fld="4" hier="0"/>
  </pageFields>
  <dataFields count="2">
    <dataField name="no." fld="9" subtotal="count" baseField="0" baseItem="0"/>
    <dataField name="Mean SPAD" fld="9" subtotal="average" baseField="0" baseItem="0" numFmtId="2"/>
  </dataFields>
  <formats count="2">
    <format dxfId="8">
      <pivotArea dataOnly="0" labelOnly="1" outline="0" fieldPosition="0">
        <references count="1">
          <reference field="5" count="1">
            <x v="0"/>
          </reference>
        </references>
      </pivotArea>
    </format>
    <format dxfId="9">
      <pivotArea dataOnly="0" labelOnly="1" outline="0" fieldPosition="0">
        <references count="1">
          <reference field="5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8BE86C-FCE1-4C0F-9726-6659EC53605D}" name="PivotTable1" cacheId="112" applyNumberFormats="1" applyBorderFormats="1" applyFontFormats="1" applyPatternFormats="1" applyAlignmentFormats="1" applyWidthHeightFormats="1" dataCaption="Data" updatedVersion="8" showItems="0" showMultipleLabel="0" showMemberPropertyTips="0" useAutoFormatting="1" itemPrintTitles="1" indent="0" compact="0" compactData="0" gridDropZones="1">
  <location ref="T11:V15" firstHeaderRow="1" firstDataRow="2" firstDataCol="1" rowPageCount="2" colPageCount="1"/>
  <pivotFields count="10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7">
        <item x="0"/>
        <item x="1"/>
        <item x="2"/>
        <item x="4"/>
        <item x="3"/>
        <item x="5"/>
        <item t="default"/>
      </items>
    </pivotField>
    <pivotField axis="axisPage" compact="0" outline="0" subtotalTop="0" showAll="0" includeNewItemsInFilter="1">
      <items count="5">
        <item x="3"/>
        <item x="2"/>
        <item x="0"/>
        <item x="1"/>
        <item t="default"/>
      </items>
    </pivotField>
    <pivotField axis="axisRow" compact="0" outline="0" subtotalTop="0" showAll="0" includeNewItemsInFilter="1">
      <items count="3">
        <item x="1"/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2">
    <pageField fld="3" hier="0"/>
    <pageField fld="4" hier="0"/>
  </pageFields>
  <dataFields count="2">
    <dataField name="no." fld="9" subtotal="count" baseField="0" baseItem="0"/>
    <dataField name="Mean SPAD" fld="9" subtotal="average" baseField="0" baseItem="0" numFmtId="2"/>
  </dataFields>
  <formats count="2">
    <format dxfId="6">
      <pivotArea dataOnly="0" labelOnly="1" outline="0" fieldPosition="0">
        <references count="1">
          <reference field="5" count="1">
            <x v="0"/>
          </reference>
        </references>
      </pivotArea>
    </format>
    <format dxfId="7">
      <pivotArea dataOnly="0" labelOnly="1" outline="0" fieldPosition="0">
        <references count="1">
          <reference field="5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370CE2-C384-4E57-812E-BBE4893EFD13}" name="PivotTable1" cacheId="112" applyNumberFormats="1" applyBorderFormats="1" applyFontFormats="1" applyPatternFormats="1" applyAlignmentFormats="1" applyWidthHeightFormats="1" dataCaption="Data" updatedVersion="8" showItems="0" showMultipleLabel="0" showMemberPropertyTips="0" useAutoFormatting="1" itemPrintTitles="1" indent="0" compact="0" compactData="0" gridDropZones="1">
  <location ref="T11:V15" firstHeaderRow="1" firstDataRow="2" firstDataCol="1" rowPageCount="2" colPageCount="1"/>
  <pivotFields count="10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7">
        <item x="0"/>
        <item x="1"/>
        <item x="2"/>
        <item x="4"/>
        <item x="3"/>
        <item x="5"/>
        <item t="default"/>
      </items>
    </pivotField>
    <pivotField axis="axisPage" compact="0" outline="0" subtotalTop="0" showAll="0" includeNewItemsInFilter="1">
      <items count="5">
        <item x="3"/>
        <item x="2"/>
        <item x="0"/>
        <item x="1"/>
        <item t="default"/>
      </items>
    </pivotField>
    <pivotField axis="axisRow" compact="0" outline="0" subtotalTop="0" showAll="0" includeNewItemsInFilter="1">
      <items count="3">
        <item x="1"/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2">
    <pageField fld="3" hier="0"/>
    <pageField fld="4" hier="0"/>
  </pageFields>
  <dataFields count="2">
    <dataField name="no." fld="9" subtotal="count" baseField="0" baseItem="0"/>
    <dataField name="Mean SPAD" fld="9" subtotal="average" baseField="0" baseItem="0" numFmtId="2"/>
  </dataFields>
  <formats count="2">
    <format dxfId="4">
      <pivotArea dataOnly="0" labelOnly="1" outline="0" fieldPosition="0">
        <references count="1">
          <reference field="5" count="1">
            <x v="0"/>
          </reference>
        </references>
      </pivotArea>
    </format>
    <format dxfId="5">
      <pivotArea dataOnly="0" labelOnly="1" outline="0" fieldPosition="0">
        <references count="1">
          <reference field="5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6CE95B-8C97-4B9E-BD71-C2E7C08EF0D9}" name="PivotTable1" cacheId="112" applyNumberFormats="1" applyBorderFormats="1" applyFontFormats="1" applyPatternFormats="1" applyAlignmentFormats="1" applyWidthHeightFormats="1" dataCaption="Data" updatedVersion="8" showItems="0" showMultipleLabel="0" showMemberPropertyTips="0" useAutoFormatting="1" itemPrintTitles="1" indent="0" compact="0" compactData="0" gridDropZones="1">
  <location ref="T11:V15" firstHeaderRow="1" firstDataRow="2" firstDataCol="1" rowPageCount="2" colPageCount="1"/>
  <pivotFields count="10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7">
        <item x="0"/>
        <item x="1"/>
        <item x="2"/>
        <item x="4"/>
        <item x="3"/>
        <item x="5"/>
        <item t="default"/>
      </items>
    </pivotField>
    <pivotField axis="axisPage" compact="0" outline="0" subtotalTop="0" showAll="0" includeNewItemsInFilter="1">
      <items count="5">
        <item x="3"/>
        <item x="2"/>
        <item x="0"/>
        <item x="1"/>
        <item t="default"/>
      </items>
    </pivotField>
    <pivotField axis="axisRow" compact="0" outline="0" subtotalTop="0" showAll="0" includeNewItemsInFilter="1">
      <items count="3">
        <item x="1"/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2">
    <pageField fld="3" hier="0"/>
    <pageField fld="4" hier="0"/>
  </pageFields>
  <dataFields count="2">
    <dataField name="no." fld="9" subtotal="count" baseField="0" baseItem="0"/>
    <dataField name="Mean SPAD" fld="9" subtotal="average" baseField="0" baseItem="0" numFmtId="2"/>
  </dataFields>
  <formats count="2">
    <format dxfId="2">
      <pivotArea dataOnly="0" labelOnly="1" outline="0" fieldPosition="0">
        <references count="1">
          <reference field="5" count="1">
            <x v="0"/>
          </reference>
        </references>
      </pivotArea>
    </format>
    <format dxfId="3">
      <pivotArea dataOnly="0" labelOnly="1" outline="0" fieldPosition="0">
        <references count="1">
          <reference field="5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09079A-6E1D-4BED-97F7-75252E71DCFD}" name="PivotTable1" cacheId="112" applyNumberFormats="1" applyBorderFormats="1" applyFontFormats="1" applyPatternFormats="1" applyAlignmentFormats="1" applyWidthHeightFormats="1" dataCaption="Data" updatedVersion="8" showItems="0" showMultipleLabel="0" showMemberPropertyTips="0" useAutoFormatting="1" itemPrintTitles="1" indent="0" compact="0" compactData="0" gridDropZones="1">
  <location ref="T11:V15" firstHeaderRow="1" firstDataRow="2" firstDataCol="1" rowPageCount="2" colPageCount="1"/>
  <pivotFields count="10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7">
        <item x="0"/>
        <item x="1"/>
        <item x="2"/>
        <item x="4"/>
        <item x="3"/>
        <item x="5"/>
        <item t="default"/>
      </items>
    </pivotField>
    <pivotField axis="axisPage" compact="0" outline="0" subtotalTop="0" showAll="0" includeNewItemsInFilter="1">
      <items count="5">
        <item x="3"/>
        <item x="2"/>
        <item x="0"/>
        <item x="1"/>
        <item t="default"/>
      </items>
    </pivotField>
    <pivotField axis="axisRow" compact="0" outline="0" subtotalTop="0" showAll="0" includeNewItemsInFilter="1">
      <items count="3">
        <item x="1"/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2">
    <pageField fld="3" hier="0"/>
    <pageField fld="4" hier="0"/>
  </pageFields>
  <dataFields count="2">
    <dataField name="no." fld="9" subtotal="count" baseField="0" baseItem="0"/>
    <dataField name="Mean SPAD" fld="9" subtotal="average" baseField="0" baseItem="0" numFmtId="2"/>
  </dataFields>
  <formats count="2">
    <format dxfId="0">
      <pivotArea dataOnly="0" labelOnly="1" outline="0" fieldPosition="0">
        <references count="1">
          <reference field="5" count="1">
            <x v="0"/>
          </reference>
        </references>
      </pivotArea>
    </format>
    <format dxfId="1">
      <pivotArea dataOnly="0" labelOnly="1" outline="0" fieldPosition="0">
        <references count="1">
          <reference field="5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comments" Target="../comments3.xml"/><Relationship Id="rId5" Type="http://schemas.openxmlformats.org/officeDocument/2006/relationships/vmlDrawing" Target="../drawings/vmlDrawing3.vml"/><Relationship Id="rId4" Type="http://schemas.openxmlformats.org/officeDocument/2006/relationships/drawing" Target="../drawings/drawing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comments" Target="../comments4.xml"/><Relationship Id="rId5" Type="http://schemas.openxmlformats.org/officeDocument/2006/relationships/vmlDrawing" Target="../drawings/vmlDrawing4.vml"/><Relationship Id="rId4" Type="http://schemas.openxmlformats.org/officeDocument/2006/relationships/drawing" Target="../drawings/drawing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comments" Target="../comments5.xml"/><Relationship Id="rId5" Type="http://schemas.openxmlformats.org/officeDocument/2006/relationships/vmlDrawing" Target="../drawings/vmlDrawing5.vml"/><Relationship Id="rId4" Type="http://schemas.openxmlformats.org/officeDocument/2006/relationships/drawing" Target="../drawings/drawing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comments" Target="../comments6.xml"/><Relationship Id="rId5" Type="http://schemas.openxmlformats.org/officeDocument/2006/relationships/vmlDrawing" Target="../drawings/vmlDrawing6.vml"/><Relationship Id="rId4" Type="http://schemas.openxmlformats.org/officeDocument/2006/relationships/drawing" Target="../drawings/drawing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6" Type="http://schemas.openxmlformats.org/officeDocument/2006/relationships/comments" Target="../comments7.xml"/><Relationship Id="rId5" Type="http://schemas.openxmlformats.org/officeDocument/2006/relationships/vmlDrawing" Target="../drawings/vmlDrawing7.vml"/><Relationship Id="rId4" Type="http://schemas.openxmlformats.org/officeDocument/2006/relationships/drawing" Target="../drawings/drawing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6" Type="http://schemas.openxmlformats.org/officeDocument/2006/relationships/comments" Target="../comments8.xml"/><Relationship Id="rId5" Type="http://schemas.openxmlformats.org/officeDocument/2006/relationships/vmlDrawing" Target="../drawings/vmlDrawing8.vml"/><Relationship Id="rId4" Type="http://schemas.openxmlformats.org/officeDocument/2006/relationships/drawing" Target="../drawings/drawing9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Relationship Id="rId6" Type="http://schemas.openxmlformats.org/officeDocument/2006/relationships/comments" Target="../comments9.xml"/><Relationship Id="rId5" Type="http://schemas.openxmlformats.org/officeDocument/2006/relationships/vmlDrawing" Target="../drawings/vmlDrawing9.vml"/><Relationship Id="rId4" Type="http://schemas.openxmlformats.org/officeDocument/2006/relationships/drawing" Target="../drawings/drawing10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Relationship Id="rId6" Type="http://schemas.openxmlformats.org/officeDocument/2006/relationships/comments" Target="../comments10.xml"/><Relationship Id="rId5" Type="http://schemas.openxmlformats.org/officeDocument/2006/relationships/vmlDrawing" Target="../drawings/vmlDrawing10.vml"/><Relationship Id="rId4" Type="http://schemas.openxmlformats.org/officeDocument/2006/relationships/drawing" Target="../drawings/drawing11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ivotTable" Target="../pivotTables/pivotTable22.xml"/><Relationship Id="rId1" Type="http://schemas.openxmlformats.org/officeDocument/2006/relationships/pivotTable" Target="../pivotTables/pivotTable21.xml"/><Relationship Id="rId6" Type="http://schemas.openxmlformats.org/officeDocument/2006/relationships/comments" Target="../comments11.xml"/><Relationship Id="rId5" Type="http://schemas.openxmlformats.org/officeDocument/2006/relationships/vmlDrawing" Target="../drawings/vmlDrawing11.vml"/><Relationship Id="rId4" Type="http://schemas.openxmlformats.org/officeDocument/2006/relationships/drawing" Target="../drawings/drawing12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pivotTable" Target="../pivotTables/pivotTable24.xml"/><Relationship Id="rId1" Type="http://schemas.openxmlformats.org/officeDocument/2006/relationships/pivotTable" Target="../pivotTables/pivotTable23.xml"/><Relationship Id="rId6" Type="http://schemas.openxmlformats.org/officeDocument/2006/relationships/comments" Target="../comments12.xml"/><Relationship Id="rId5" Type="http://schemas.openxmlformats.org/officeDocument/2006/relationships/vmlDrawing" Target="../drawings/vmlDrawing12.vml"/><Relationship Id="rId4" Type="http://schemas.openxmlformats.org/officeDocument/2006/relationships/drawing" Target="../drawings/drawing13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ivotTable" Target="../pivotTables/pivotTable26.xml"/><Relationship Id="rId1" Type="http://schemas.openxmlformats.org/officeDocument/2006/relationships/pivotTable" Target="../pivotTables/pivotTable25.xml"/><Relationship Id="rId4" Type="http://schemas.openxmlformats.org/officeDocument/2006/relationships/drawing" Target="../drawings/drawing14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pivotTable" Target="../pivotTables/pivotTable28.xml"/><Relationship Id="rId1" Type="http://schemas.openxmlformats.org/officeDocument/2006/relationships/pivotTable" Target="../pivotTables/pivotTable27.xml"/><Relationship Id="rId6" Type="http://schemas.openxmlformats.org/officeDocument/2006/relationships/comments" Target="../comments13.xml"/><Relationship Id="rId5" Type="http://schemas.openxmlformats.org/officeDocument/2006/relationships/vmlDrawing" Target="../drawings/vmlDrawing13.vml"/><Relationship Id="rId4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29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30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9.bin"/><Relationship Id="rId1" Type="http://schemas.openxmlformats.org/officeDocument/2006/relationships/pivotTable" Target="../pivotTables/pivotTable31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20.bin"/><Relationship Id="rId1" Type="http://schemas.openxmlformats.org/officeDocument/2006/relationships/pivotTable" Target="../pivotTables/pivotTable32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1.bin"/><Relationship Id="rId1" Type="http://schemas.openxmlformats.org/officeDocument/2006/relationships/pivotTable" Target="../pivotTables/pivotTable33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2.bin"/><Relationship Id="rId1" Type="http://schemas.openxmlformats.org/officeDocument/2006/relationships/pivotTable" Target="../pivotTables/pivotTable34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35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36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37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3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87285-27B2-48F5-9064-215A1A70E540}">
  <dimension ref="A1:O226"/>
  <sheetViews>
    <sheetView workbookViewId="0">
      <selection activeCell="O217" sqref="B2:O217"/>
    </sheetView>
  </sheetViews>
  <sheetFormatPr defaultRowHeight="12.75"/>
  <sheetData>
    <row r="1" spans="1:15">
      <c r="A1" t="s">
        <v>68</v>
      </c>
      <c r="B1" t="s">
        <v>57</v>
      </c>
      <c r="C1" t="s">
        <v>58</v>
      </c>
      <c r="D1" t="s">
        <v>59</v>
      </c>
      <c r="E1" t="s">
        <v>60</v>
      </c>
      <c r="F1" t="s">
        <v>45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52</v>
      </c>
      <c r="M1" t="s">
        <v>53</v>
      </c>
      <c r="N1" t="s">
        <v>66</v>
      </c>
      <c r="O1" t="s">
        <v>67</v>
      </c>
    </row>
    <row r="2" spans="1:15">
      <c r="A2" t="s">
        <v>69</v>
      </c>
      <c r="B2" s="34">
        <v>31.5</v>
      </c>
      <c r="C2" s="34">
        <v>36.5</v>
      </c>
      <c r="D2" s="34">
        <v>48</v>
      </c>
      <c r="E2" s="34">
        <v>54</v>
      </c>
      <c r="F2" s="34">
        <v>69</v>
      </c>
      <c r="G2" s="34">
        <v>80</v>
      </c>
      <c r="H2" s="34">
        <v>88</v>
      </c>
      <c r="I2" s="34">
        <v>100</v>
      </c>
      <c r="J2" s="34">
        <v>107</v>
      </c>
      <c r="K2" s="34">
        <v>102</v>
      </c>
      <c r="L2" s="34">
        <v>110</v>
      </c>
      <c r="M2" s="34">
        <v>110</v>
      </c>
      <c r="N2" s="34">
        <v>110</v>
      </c>
      <c r="O2" s="34">
        <v>109</v>
      </c>
    </row>
    <row r="3" spans="1:15">
      <c r="A3" t="s">
        <v>70</v>
      </c>
      <c r="B3" s="34">
        <v>33</v>
      </c>
      <c r="C3" s="34">
        <v>40.5</v>
      </c>
      <c r="D3" s="34">
        <v>55</v>
      </c>
      <c r="E3" s="34">
        <v>60</v>
      </c>
      <c r="F3" s="34">
        <v>75</v>
      </c>
      <c r="G3" s="34">
        <v>81</v>
      </c>
      <c r="H3" s="34">
        <v>93</v>
      </c>
      <c r="I3" s="34">
        <v>93</v>
      </c>
      <c r="J3" s="34">
        <v>93</v>
      </c>
      <c r="K3" s="34">
        <v>101</v>
      </c>
      <c r="L3" s="34">
        <v>96</v>
      </c>
      <c r="M3" s="34">
        <v>98</v>
      </c>
      <c r="N3" s="34">
        <v>98</v>
      </c>
      <c r="O3" s="34">
        <v>93</v>
      </c>
    </row>
    <row r="4" spans="1:15">
      <c r="A4" t="s">
        <v>71</v>
      </c>
      <c r="B4" s="34">
        <v>35</v>
      </c>
      <c r="C4" s="34">
        <v>47</v>
      </c>
      <c r="D4" s="34">
        <v>56</v>
      </c>
      <c r="E4" s="34">
        <v>61</v>
      </c>
      <c r="F4" s="34">
        <v>78</v>
      </c>
      <c r="G4" s="34">
        <v>90</v>
      </c>
      <c r="H4" s="34">
        <v>96</v>
      </c>
      <c r="I4" s="34">
        <v>84</v>
      </c>
      <c r="J4" s="34">
        <v>98</v>
      </c>
      <c r="K4" s="34">
        <v>103</v>
      </c>
      <c r="L4" s="34">
        <v>98</v>
      </c>
      <c r="M4" s="34">
        <v>100</v>
      </c>
      <c r="N4" s="34">
        <v>103</v>
      </c>
      <c r="O4" s="34">
        <v>103</v>
      </c>
    </row>
    <row r="5" spans="1:15">
      <c r="A5" t="s">
        <v>72</v>
      </c>
      <c r="B5" s="34">
        <v>34</v>
      </c>
      <c r="C5" s="34">
        <v>47</v>
      </c>
      <c r="D5" s="34">
        <v>53.5</v>
      </c>
      <c r="E5" s="34">
        <v>53</v>
      </c>
      <c r="F5" s="34">
        <v>76</v>
      </c>
      <c r="G5" s="34">
        <v>86</v>
      </c>
      <c r="H5" s="34">
        <v>92</v>
      </c>
      <c r="I5" s="34">
        <v>97</v>
      </c>
      <c r="J5" s="34">
        <v>99</v>
      </c>
      <c r="K5" s="34">
        <v>114</v>
      </c>
      <c r="L5" s="34">
        <v>103</v>
      </c>
      <c r="M5" s="34">
        <v>109</v>
      </c>
      <c r="N5" s="34">
        <v>119</v>
      </c>
      <c r="O5" s="34">
        <v>118</v>
      </c>
    </row>
    <row r="6" spans="1:15">
      <c r="A6" t="s">
        <v>73</v>
      </c>
      <c r="B6" s="34">
        <v>36.5</v>
      </c>
      <c r="C6" s="34">
        <v>48</v>
      </c>
      <c r="D6" s="34">
        <v>56</v>
      </c>
      <c r="E6" s="34">
        <v>59</v>
      </c>
      <c r="F6" s="34">
        <v>81</v>
      </c>
      <c r="G6" s="34">
        <v>86</v>
      </c>
      <c r="H6" s="34">
        <v>88</v>
      </c>
      <c r="I6" s="34">
        <v>86</v>
      </c>
      <c r="J6" s="34">
        <v>110</v>
      </c>
      <c r="K6" s="34">
        <v>113</v>
      </c>
      <c r="L6" s="34">
        <v>86</v>
      </c>
      <c r="M6" s="34">
        <v>112</v>
      </c>
      <c r="N6" s="34">
        <v>115</v>
      </c>
      <c r="O6" s="34">
        <v>110</v>
      </c>
    </row>
    <row r="7" spans="1:15">
      <c r="A7" t="s">
        <v>74</v>
      </c>
      <c r="B7" s="34">
        <v>28.5</v>
      </c>
      <c r="C7" s="34">
        <v>37</v>
      </c>
      <c r="D7" s="34">
        <v>48</v>
      </c>
      <c r="E7" s="34">
        <v>56</v>
      </c>
      <c r="F7" s="34">
        <v>66</v>
      </c>
      <c r="G7" s="34">
        <v>79</v>
      </c>
      <c r="H7" s="34">
        <v>84</v>
      </c>
      <c r="I7" s="34">
        <v>92</v>
      </c>
      <c r="J7" s="34">
        <v>123</v>
      </c>
      <c r="K7" s="34">
        <v>98</v>
      </c>
      <c r="L7" s="34">
        <v>104</v>
      </c>
      <c r="M7" s="34">
        <v>115</v>
      </c>
      <c r="N7" s="34">
        <v>129</v>
      </c>
      <c r="O7" s="34">
        <v>121</v>
      </c>
    </row>
    <row r="8" spans="1:15">
      <c r="A8" t="s">
        <v>75</v>
      </c>
      <c r="B8" s="34">
        <v>34</v>
      </c>
      <c r="C8" s="34">
        <v>38.5</v>
      </c>
      <c r="D8" s="34">
        <v>51</v>
      </c>
      <c r="E8" s="34">
        <v>55</v>
      </c>
      <c r="F8" s="34">
        <v>66</v>
      </c>
      <c r="G8" s="34">
        <v>77</v>
      </c>
      <c r="H8" s="34">
        <v>83</v>
      </c>
      <c r="I8" s="34">
        <v>91</v>
      </c>
      <c r="J8" s="34">
        <v>96</v>
      </c>
      <c r="K8" s="34">
        <v>100</v>
      </c>
      <c r="L8" s="34">
        <v>100</v>
      </c>
      <c r="M8" s="34">
        <v>103</v>
      </c>
      <c r="N8" s="34">
        <v>100</v>
      </c>
      <c r="O8" s="34">
        <v>96</v>
      </c>
    </row>
    <row r="9" spans="1:15">
      <c r="A9" t="s">
        <v>76</v>
      </c>
      <c r="B9" s="34">
        <v>38</v>
      </c>
      <c r="C9" s="34">
        <v>46</v>
      </c>
      <c r="D9" s="34">
        <v>57.5</v>
      </c>
      <c r="E9" s="34">
        <v>60</v>
      </c>
      <c r="F9" s="34">
        <v>80</v>
      </c>
      <c r="G9" s="34">
        <v>91</v>
      </c>
      <c r="H9" s="34">
        <v>97</v>
      </c>
      <c r="I9" s="34">
        <v>97</v>
      </c>
      <c r="J9" s="34">
        <v>96</v>
      </c>
      <c r="K9" s="34">
        <v>103</v>
      </c>
      <c r="L9" s="34">
        <v>112</v>
      </c>
      <c r="M9" s="34">
        <v>116</v>
      </c>
      <c r="N9" s="34">
        <v>118</v>
      </c>
      <c r="O9" s="34">
        <v>126</v>
      </c>
    </row>
    <row r="10" spans="1:15">
      <c r="A10" t="s">
        <v>77</v>
      </c>
      <c r="B10" s="34">
        <v>32.5</v>
      </c>
      <c r="C10" s="34">
        <v>33</v>
      </c>
      <c r="D10" s="34">
        <v>40</v>
      </c>
      <c r="E10" s="34">
        <v>60</v>
      </c>
      <c r="F10" s="34">
        <v>66</v>
      </c>
      <c r="G10" s="34">
        <v>79</v>
      </c>
      <c r="H10" s="34">
        <v>93</v>
      </c>
      <c r="I10" s="34">
        <v>93</v>
      </c>
      <c r="J10" s="34">
        <v>108</v>
      </c>
      <c r="K10" s="34">
        <v>104</v>
      </c>
      <c r="L10" s="34">
        <v>121</v>
      </c>
      <c r="M10" s="34">
        <v>116</v>
      </c>
      <c r="N10" s="34">
        <v>125</v>
      </c>
      <c r="O10" s="34">
        <v>125</v>
      </c>
    </row>
    <row r="11" spans="1:15">
      <c r="A11" t="s">
        <v>78</v>
      </c>
      <c r="B11" s="34">
        <v>25.5</v>
      </c>
      <c r="C11" s="34">
        <v>35</v>
      </c>
      <c r="D11" s="34">
        <v>55</v>
      </c>
      <c r="E11" s="34">
        <v>55</v>
      </c>
      <c r="F11" s="34">
        <v>71</v>
      </c>
      <c r="G11" s="34">
        <v>85</v>
      </c>
      <c r="H11" s="34">
        <v>94</v>
      </c>
      <c r="I11" s="34">
        <v>102</v>
      </c>
      <c r="J11" s="34">
        <v>101</v>
      </c>
      <c r="K11" s="34">
        <v>109</v>
      </c>
      <c r="L11" s="34">
        <v>102</v>
      </c>
      <c r="M11" s="34">
        <v>110</v>
      </c>
      <c r="N11" s="34">
        <v>108</v>
      </c>
      <c r="O11" s="34">
        <v>105</v>
      </c>
    </row>
    <row r="12" spans="1:15">
      <c r="A12" t="s">
        <v>79</v>
      </c>
      <c r="B12" s="34">
        <v>28.5</v>
      </c>
      <c r="C12" s="34">
        <v>36</v>
      </c>
      <c r="D12" s="34">
        <v>48.5</v>
      </c>
      <c r="E12" s="34">
        <v>56</v>
      </c>
      <c r="F12" s="34">
        <v>69</v>
      </c>
      <c r="G12" s="34">
        <v>87</v>
      </c>
      <c r="H12" s="34">
        <v>84</v>
      </c>
      <c r="I12" s="34">
        <v>90</v>
      </c>
      <c r="J12" s="34">
        <v>103</v>
      </c>
      <c r="K12" s="34">
        <v>88</v>
      </c>
      <c r="L12" s="34">
        <v>103</v>
      </c>
      <c r="M12" s="34">
        <v>106</v>
      </c>
      <c r="N12" s="34">
        <v>105</v>
      </c>
      <c r="O12" s="34">
        <v>106</v>
      </c>
    </row>
    <row r="13" spans="1:15">
      <c r="A13" t="s">
        <v>80</v>
      </c>
      <c r="B13" s="34">
        <v>24</v>
      </c>
      <c r="C13" s="34">
        <v>43</v>
      </c>
      <c r="D13" s="34">
        <v>48</v>
      </c>
      <c r="E13" s="34">
        <v>58</v>
      </c>
      <c r="F13" s="34">
        <v>76</v>
      </c>
      <c r="G13" s="34">
        <v>86</v>
      </c>
      <c r="H13" s="34">
        <v>92</v>
      </c>
      <c r="I13" s="34">
        <v>104</v>
      </c>
      <c r="J13" s="34">
        <v>100</v>
      </c>
      <c r="K13" s="34">
        <v>106</v>
      </c>
      <c r="L13" s="34">
        <v>104</v>
      </c>
      <c r="M13" s="34">
        <v>103</v>
      </c>
      <c r="N13" s="34">
        <v>102</v>
      </c>
      <c r="O13" s="34">
        <v>99</v>
      </c>
    </row>
    <row r="14" spans="1:15">
      <c r="A14" t="s">
        <v>81</v>
      </c>
      <c r="B14" s="34">
        <v>25.5</v>
      </c>
      <c r="C14" s="34">
        <v>37.5</v>
      </c>
      <c r="D14" s="34">
        <v>45</v>
      </c>
      <c r="E14" s="34">
        <v>57</v>
      </c>
      <c r="F14" s="34">
        <v>63</v>
      </c>
      <c r="G14" s="34">
        <v>82</v>
      </c>
      <c r="H14" s="34">
        <v>91</v>
      </c>
      <c r="I14" s="34">
        <v>99</v>
      </c>
      <c r="J14" s="34">
        <v>102</v>
      </c>
      <c r="K14" s="34">
        <v>127</v>
      </c>
      <c r="L14" s="34">
        <v>122</v>
      </c>
      <c r="M14" s="34">
        <v>129</v>
      </c>
      <c r="N14" s="34">
        <v>131</v>
      </c>
      <c r="O14" s="34">
        <v>123</v>
      </c>
    </row>
    <row r="15" spans="1:15">
      <c r="A15" t="s">
        <v>82</v>
      </c>
      <c r="B15" s="34">
        <v>36</v>
      </c>
      <c r="C15" s="34">
        <v>34</v>
      </c>
      <c r="D15" s="34">
        <v>52</v>
      </c>
      <c r="E15" s="34">
        <v>61</v>
      </c>
      <c r="F15" s="34">
        <v>77</v>
      </c>
      <c r="G15" s="34">
        <v>83</v>
      </c>
      <c r="H15" s="34">
        <v>97</v>
      </c>
      <c r="I15" s="34">
        <v>102</v>
      </c>
      <c r="J15" s="34">
        <v>107</v>
      </c>
      <c r="K15" s="34">
        <v>121</v>
      </c>
      <c r="L15" s="34">
        <v>122</v>
      </c>
      <c r="M15" s="34">
        <v>122</v>
      </c>
      <c r="N15" s="34">
        <v>130</v>
      </c>
      <c r="O15" s="34">
        <v>126</v>
      </c>
    </row>
    <row r="16" spans="1:15">
      <c r="A16" t="s">
        <v>83</v>
      </c>
      <c r="B16" s="34">
        <v>27.5</v>
      </c>
      <c r="C16" s="34">
        <v>40</v>
      </c>
      <c r="D16" s="34">
        <v>45.5</v>
      </c>
      <c r="E16" s="34">
        <v>58</v>
      </c>
      <c r="F16" s="34">
        <v>67</v>
      </c>
      <c r="G16" s="34">
        <v>88</v>
      </c>
      <c r="H16" s="34">
        <v>96</v>
      </c>
      <c r="I16" s="34">
        <v>107</v>
      </c>
      <c r="J16" s="34">
        <v>105</v>
      </c>
      <c r="K16" s="34">
        <v>121</v>
      </c>
      <c r="L16" s="34">
        <v>125</v>
      </c>
      <c r="M16" s="34">
        <v>116</v>
      </c>
      <c r="N16" s="34">
        <v>129</v>
      </c>
      <c r="O16" s="34">
        <v>107</v>
      </c>
    </row>
    <row r="17" spans="1:15">
      <c r="A17" t="s">
        <v>84</v>
      </c>
      <c r="B17" s="34">
        <v>38</v>
      </c>
      <c r="C17" s="34">
        <v>45</v>
      </c>
      <c r="D17" s="34">
        <v>50</v>
      </c>
      <c r="E17" s="34">
        <v>53</v>
      </c>
      <c r="F17" s="34">
        <v>75</v>
      </c>
      <c r="G17" s="34">
        <v>93</v>
      </c>
      <c r="H17" s="34">
        <v>95</v>
      </c>
      <c r="I17" s="34">
        <v>98</v>
      </c>
      <c r="J17" s="34">
        <v>103</v>
      </c>
      <c r="K17" s="34">
        <v>120</v>
      </c>
      <c r="L17" s="34">
        <v>113</v>
      </c>
      <c r="M17" s="34">
        <v>115</v>
      </c>
      <c r="N17" s="34">
        <v>102</v>
      </c>
      <c r="O17" s="34">
        <v>124</v>
      </c>
    </row>
    <row r="18" spans="1:15">
      <c r="A18" t="s">
        <v>85</v>
      </c>
      <c r="B18" s="34">
        <v>31.5</v>
      </c>
      <c r="C18" s="34">
        <v>43</v>
      </c>
      <c r="D18" s="34">
        <v>51</v>
      </c>
      <c r="E18" s="34">
        <v>55</v>
      </c>
      <c r="F18" s="34">
        <v>68</v>
      </c>
      <c r="G18" s="34">
        <v>80</v>
      </c>
      <c r="H18" s="34">
        <v>87</v>
      </c>
      <c r="I18" s="34">
        <v>92</v>
      </c>
      <c r="J18" s="34">
        <v>101</v>
      </c>
      <c r="K18" s="34">
        <v>103</v>
      </c>
      <c r="L18" s="34">
        <v>110</v>
      </c>
      <c r="M18" s="34">
        <v>116</v>
      </c>
      <c r="N18" s="34">
        <v>121</v>
      </c>
      <c r="O18" s="34">
        <v>110</v>
      </c>
    </row>
    <row r="19" spans="1:15">
      <c r="A19" t="s">
        <v>86</v>
      </c>
      <c r="B19" s="34">
        <v>35</v>
      </c>
      <c r="C19" s="34">
        <v>41</v>
      </c>
      <c r="D19" s="34">
        <v>53</v>
      </c>
      <c r="E19" s="34">
        <v>54</v>
      </c>
      <c r="F19" s="34">
        <v>69</v>
      </c>
      <c r="G19" s="34">
        <v>80</v>
      </c>
      <c r="H19" s="34">
        <v>86</v>
      </c>
      <c r="I19" s="34">
        <v>91</v>
      </c>
      <c r="J19" s="34">
        <v>100</v>
      </c>
      <c r="K19" s="34">
        <v>103</v>
      </c>
      <c r="L19" s="34">
        <v>105</v>
      </c>
      <c r="M19" s="34">
        <v>108</v>
      </c>
      <c r="N19" s="34">
        <v>107</v>
      </c>
      <c r="O19" s="34">
        <v>112</v>
      </c>
    </row>
    <row r="20" spans="1:15">
      <c r="A20" t="s">
        <v>87</v>
      </c>
      <c r="B20" s="34">
        <v>32.5</v>
      </c>
      <c r="C20" s="34">
        <v>42</v>
      </c>
      <c r="D20" s="34">
        <v>50</v>
      </c>
      <c r="E20" s="34">
        <v>56</v>
      </c>
      <c r="F20" s="34">
        <v>58</v>
      </c>
      <c r="G20" s="34">
        <v>67</v>
      </c>
      <c r="H20" s="34">
        <v>72</v>
      </c>
      <c r="I20" s="34">
        <v>75</v>
      </c>
      <c r="J20" s="34">
        <v>73</v>
      </c>
      <c r="K20" s="34">
        <v>82</v>
      </c>
      <c r="L20" s="34">
        <v>90</v>
      </c>
      <c r="M20" s="34">
        <v>92</v>
      </c>
      <c r="N20" s="34">
        <v>93</v>
      </c>
      <c r="O20" s="34">
        <v>91</v>
      </c>
    </row>
    <row r="21" spans="1:15">
      <c r="A21" t="s">
        <v>88</v>
      </c>
      <c r="B21" s="34">
        <v>34</v>
      </c>
      <c r="C21" s="34">
        <v>41</v>
      </c>
      <c r="D21" s="34">
        <v>50</v>
      </c>
      <c r="E21" s="34">
        <v>54</v>
      </c>
      <c r="F21" s="34">
        <v>61</v>
      </c>
      <c r="G21" s="34">
        <v>64</v>
      </c>
      <c r="H21" s="34">
        <v>68</v>
      </c>
      <c r="I21" s="34">
        <v>72</v>
      </c>
      <c r="J21" s="34">
        <v>71</v>
      </c>
      <c r="K21" s="34">
        <v>90</v>
      </c>
      <c r="L21" s="34">
        <v>93</v>
      </c>
      <c r="M21" s="34">
        <v>82</v>
      </c>
      <c r="N21" s="34">
        <v>98</v>
      </c>
      <c r="O21" s="34">
        <v>94</v>
      </c>
    </row>
    <row r="22" spans="1:15">
      <c r="A22" t="s">
        <v>89</v>
      </c>
      <c r="B22" s="34">
        <v>33</v>
      </c>
      <c r="C22" s="34">
        <v>42</v>
      </c>
      <c r="D22" s="34">
        <v>50</v>
      </c>
      <c r="E22" s="34">
        <v>59</v>
      </c>
      <c r="F22" s="34">
        <v>60</v>
      </c>
      <c r="G22" s="34">
        <v>75</v>
      </c>
      <c r="H22" s="34">
        <v>78</v>
      </c>
      <c r="I22" s="34">
        <v>88</v>
      </c>
      <c r="J22" s="34">
        <v>86</v>
      </c>
      <c r="K22" s="34">
        <v>83</v>
      </c>
      <c r="L22" s="34">
        <v>85</v>
      </c>
      <c r="M22" s="34">
        <v>85</v>
      </c>
      <c r="N22" s="34">
        <v>81</v>
      </c>
      <c r="O22" s="34">
        <v>85</v>
      </c>
    </row>
    <row r="23" spans="1:15">
      <c r="A23" t="s">
        <v>90</v>
      </c>
      <c r="B23" s="34">
        <v>33.5</v>
      </c>
      <c r="C23" s="34">
        <v>43</v>
      </c>
      <c r="D23" s="34">
        <v>54</v>
      </c>
      <c r="E23" s="34">
        <v>55</v>
      </c>
      <c r="F23" s="34">
        <v>73.5</v>
      </c>
      <c r="G23" s="34">
        <v>77</v>
      </c>
      <c r="H23" s="34">
        <v>90</v>
      </c>
      <c r="I23" s="34">
        <v>99</v>
      </c>
      <c r="J23" s="34">
        <v>100</v>
      </c>
      <c r="K23" s="34">
        <v>100</v>
      </c>
      <c r="L23" s="34">
        <v>97</v>
      </c>
      <c r="M23" s="34">
        <v>98</v>
      </c>
      <c r="N23" s="34">
        <v>103</v>
      </c>
      <c r="O23" s="34">
        <v>103</v>
      </c>
    </row>
    <row r="24" spans="1:15">
      <c r="A24" t="s">
        <v>91</v>
      </c>
      <c r="B24" s="34">
        <v>30</v>
      </c>
      <c r="C24" s="34">
        <v>40</v>
      </c>
      <c r="D24" s="34">
        <v>50.5</v>
      </c>
      <c r="E24" s="34">
        <v>47</v>
      </c>
      <c r="F24" s="34">
        <v>74</v>
      </c>
      <c r="G24" s="34">
        <v>74</v>
      </c>
      <c r="H24" s="34">
        <v>70</v>
      </c>
      <c r="I24" s="34">
        <v>87</v>
      </c>
      <c r="J24" s="34">
        <v>87</v>
      </c>
      <c r="K24" s="34">
        <v>91</v>
      </c>
      <c r="L24" s="34">
        <v>92</v>
      </c>
      <c r="M24" s="34">
        <v>93</v>
      </c>
      <c r="N24" s="34">
        <v>90</v>
      </c>
      <c r="O24" s="34">
        <v>90</v>
      </c>
    </row>
    <row r="25" spans="1:15">
      <c r="A25" t="s">
        <v>92</v>
      </c>
      <c r="B25" s="34">
        <v>29.5</v>
      </c>
      <c r="C25" s="34">
        <v>38.5</v>
      </c>
      <c r="D25" s="34">
        <v>49.5</v>
      </c>
      <c r="E25" s="34">
        <v>46</v>
      </c>
      <c r="F25" s="34">
        <v>62</v>
      </c>
      <c r="G25" s="34">
        <v>75</v>
      </c>
      <c r="H25" s="34">
        <v>94</v>
      </c>
      <c r="I25" s="34">
        <v>87</v>
      </c>
      <c r="J25" s="34">
        <v>88</v>
      </c>
      <c r="K25" s="34">
        <v>92</v>
      </c>
      <c r="L25" s="34">
        <v>86</v>
      </c>
      <c r="M25" s="34">
        <v>91</v>
      </c>
      <c r="N25" s="34">
        <v>91</v>
      </c>
      <c r="O25" s="34">
        <v>89</v>
      </c>
    </row>
    <row r="26" spans="1:15">
      <c r="A26" t="s">
        <v>93</v>
      </c>
      <c r="B26" s="34">
        <v>29</v>
      </c>
      <c r="C26" s="34">
        <v>40</v>
      </c>
      <c r="D26" s="34">
        <v>44</v>
      </c>
      <c r="E26" s="34">
        <v>49</v>
      </c>
      <c r="F26" s="34">
        <v>75</v>
      </c>
      <c r="G26" s="34">
        <v>85</v>
      </c>
      <c r="H26" s="34">
        <v>88</v>
      </c>
      <c r="I26" s="34">
        <v>100</v>
      </c>
      <c r="J26" s="34">
        <v>93</v>
      </c>
      <c r="K26" s="34">
        <v>92</v>
      </c>
      <c r="L26" s="34">
        <v>96</v>
      </c>
      <c r="M26" s="34">
        <v>99</v>
      </c>
      <c r="N26" s="34">
        <v>100</v>
      </c>
      <c r="O26" s="34">
        <v>102</v>
      </c>
    </row>
    <row r="27" spans="1:15">
      <c r="A27" t="s">
        <v>94</v>
      </c>
      <c r="B27" s="34">
        <v>36</v>
      </c>
      <c r="C27" s="34">
        <v>40</v>
      </c>
      <c r="D27" s="34">
        <v>48</v>
      </c>
      <c r="E27" s="34">
        <v>50</v>
      </c>
      <c r="F27" s="34">
        <v>82</v>
      </c>
      <c r="G27" s="34">
        <v>101</v>
      </c>
      <c r="H27" s="34">
        <v>100</v>
      </c>
      <c r="I27" s="34">
        <v>106</v>
      </c>
      <c r="J27" s="34">
        <v>106</v>
      </c>
      <c r="K27" s="34">
        <v>108</v>
      </c>
      <c r="L27" s="34">
        <v>107</v>
      </c>
      <c r="M27" s="34">
        <v>108</v>
      </c>
      <c r="N27" s="34">
        <v>105</v>
      </c>
      <c r="O27" s="34">
        <v>106</v>
      </c>
    </row>
    <row r="28" spans="1:15">
      <c r="A28" t="s">
        <v>95</v>
      </c>
      <c r="B28" s="34">
        <v>31</v>
      </c>
      <c r="C28" s="34">
        <v>43</v>
      </c>
      <c r="D28" s="34">
        <v>47.5</v>
      </c>
      <c r="E28" s="34">
        <v>57</v>
      </c>
      <c r="F28" s="34">
        <v>76</v>
      </c>
      <c r="G28" s="34">
        <v>83</v>
      </c>
      <c r="H28" s="34">
        <v>88</v>
      </c>
      <c r="I28" s="34">
        <v>94</v>
      </c>
      <c r="J28" s="34">
        <v>94</v>
      </c>
      <c r="K28" s="34">
        <v>94</v>
      </c>
      <c r="L28" s="34">
        <v>92</v>
      </c>
      <c r="M28" s="34">
        <v>90</v>
      </c>
      <c r="N28" s="34">
        <v>103</v>
      </c>
      <c r="O28" s="34">
        <v>103</v>
      </c>
    </row>
    <row r="29" spans="1:15">
      <c r="A29" t="s">
        <v>96</v>
      </c>
      <c r="B29" s="34">
        <v>26.5</v>
      </c>
      <c r="C29" s="34">
        <v>34</v>
      </c>
      <c r="D29" s="34">
        <v>57</v>
      </c>
      <c r="E29" s="34">
        <v>56</v>
      </c>
      <c r="F29" s="34">
        <v>74</v>
      </c>
      <c r="G29" s="34">
        <v>90</v>
      </c>
      <c r="H29" s="34">
        <v>94</v>
      </c>
      <c r="I29" s="34">
        <v>91</v>
      </c>
      <c r="J29" s="34">
        <v>94</v>
      </c>
      <c r="K29" s="34">
        <v>98</v>
      </c>
      <c r="L29" s="34">
        <v>98</v>
      </c>
      <c r="M29" s="34">
        <v>97</v>
      </c>
      <c r="N29" s="34">
        <v>95</v>
      </c>
      <c r="O29" s="34">
        <v>100</v>
      </c>
    </row>
    <row r="30" spans="1:15">
      <c r="A30" t="s">
        <v>97</v>
      </c>
      <c r="B30" s="34">
        <v>30.5</v>
      </c>
      <c r="C30" s="34">
        <v>40</v>
      </c>
      <c r="D30" s="34">
        <v>43.5</v>
      </c>
      <c r="E30" s="34">
        <v>58</v>
      </c>
      <c r="F30" s="34">
        <v>67</v>
      </c>
      <c r="G30" s="34">
        <v>82</v>
      </c>
      <c r="H30" s="34">
        <v>83</v>
      </c>
      <c r="I30" s="34">
        <v>93</v>
      </c>
      <c r="J30" s="34">
        <v>88</v>
      </c>
      <c r="K30" s="34">
        <v>91</v>
      </c>
      <c r="L30" s="34">
        <v>87</v>
      </c>
      <c r="M30" s="34">
        <v>87</v>
      </c>
      <c r="N30" s="34">
        <v>86</v>
      </c>
      <c r="O30" s="34">
        <v>88</v>
      </c>
    </row>
    <row r="31" spans="1:15">
      <c r="A31" t="s">
        <v>98</v>
      </c>
      <c r="B31" s="34">
        <v>32</v>
      </c>
      <c r="C31" s="34">
        <v>44</v>
      </c>
      <c r="D31" s="34">
        <v>45</v>
      </c>
      <c r="E31" s="34">
        <v>56</v>
      </c>
      <c r="F31" s="34">
        <v>73</v>
      </c>
      <c r="G31" s="34">
        <v>83</v>
      </c>
      <c r="H31" s="34">
        <v>90</v>
      </c>
      <c r="I31" s="34">
        <v>93</v>
      </c>
      <c r="J31" s="34">
        <v>91</v>
      </c>
      <c r="K31" s="34">
        <v>89</v>
      </c>
      <c r="L31" s="34">
        <v>93</v>
      </c>
      <c r="M31" s="34">
        <v>96</v>
      </c>
      <c r="N31" s="34">
        <v>95</v>
      </c>
      <c r="O31" s="34">
        <v>88</v>
      </c>
    </row>
    <row r="32" spans="1:15">
      <c r="A32" t="s">
        <v>99</v>
      </c>
      <c r="B32" s="34">
        <v>33</v>
      </c>
      <c r="C32" s="34">
        <v>42.5</v>
      </c>
      <c r="D32" s="34">
        <v>53</v>
      </c>
      <c r="E32" s="34">
        <v>54</v>
      </c>
      <c r="F32" s="34">
        <v>75</v>
      </c>
      <c r="G32" s="34">
        <v>80</v>
      </c>
      <c r="H32" s="34">
        <v>92</v>
      </c>
      <c r="I32" s="34">
        <v>93</v>
      </c>
      <c r="J32" s="34">
        <v>93</v>
      </c>
      <c r="K32" s="34">
        <v>102</v>
      </c>
      <c r="L32" s="34">
        <v>100</v>
      </c>
      <c r="M32" s="34">
        <v>106</v>
      </c>
      <c r="N32" s="34">
        <v>105</v>
      </c>
      <c r="O32" s="34">
        <v>115</v>
      </c>
    </row>
    <row r="33" spans="1:15">
      <c r="A33" t="s">
        <v>100</v>
      </c>
      <c r="B33" s="34">
        <v>26</v>
      </c>
      <c r="C33" s="34">
        <v>31</v>
      </c>
      <c r="D33" s="34">
        <v>45</v>
      </c>
      <c r="E33" s="34">
        <v>58</v>
      </c>
      <c r="F33" s="34">
        <v>67</v>
      </c>
      <c r="G33" s="34">
        <v>83</v>
      </c>
      <c r="H33" s="34">
        <v>77</v>
      </c>
      <c r="I33" s="34">
        <v>100</v>
      </c>
      <c r="J33" s="34">
        <v>113</v>
      </c>
      <c r="K33" s="34">
        <v>105</v>
      </c>
      <c r="L33" s="34">
        <v>107</v>
      </c>
      <c r="M33" s="34">
        <v>126</v>
      </c>
      <c r="N33" s="34">
        <v>112</v>
      </c>
      <c r="O33" s="34">
        <v>106</v>
      </c>
    </row>
    <row r="34" spans="1:15">
      <c r="A34" t="s">
        <v>101</v>
      </c>
      <c r="B34" s="34">
        <v>30</v>
      </c>
      <c r="C34" s="34">
        <v>42</v>
      </c>
      <c r="D34" s="34">
        <v>55</v>
      </c>
      <c r="E34" s="34">
        <v>58</v>
      </c>
      <c r="F34" s="34">
        <v>77</v>
      </c>
      <c r="G34" s="34">
        <v>83</v>
      </c>
      <c r="H34" s="34">
        <v>86</v>
      </c>
      <c r="I34" s="34">
        <v>88</v>
      </c>
      <c r="J34" s="34">
        <v>96</v>
      </c>
      <c r="K34" s="34">
        <v>109</v>
      </c>
      <c r="L34" s="34">
        <v>127</v>
      </c>
      <c r="M34" s="34">
        <v>131</v>
      </c>
      <c r="N34" s="34">
        <v>108</v>
      </c>
      <c r="O34" s="34">
        <v>138</v>
      </c>
    </row>
    <row r="35" spans="1:15">
      <c r="A35" t="s">
        <v>102</v>
      </c>
      <c r="B35" s="34">
        <v>29.5</v>
      </c>
      <c r="C35" s="34">
        <v>34</v>
      </c>
      <c r="D35" s="34">
        <v>49.5</v>
      </c>
      <c r="E35" s="34">
        <v>60</v>
      </c>
      <c r="F35" s="34">
        <v>70</v>
      </c>
      <c r="G35" s="34">
        <v>86</v>
      </c>
      <c r="H35" s="34">
        <v>85</v>
      </c>
      <c r="I35" s="34">
        <v>96</v>
      </c>
      <c r="J35" s="34">
        <v>99</v>
      </c>
      <c r="K35" s="34">
        <v>111</v>
      </c>
      <c r="L35" s="34">
        <v>110</v>
      </c>
      <c r="M35" s="34">
        <v>119</v>
      </c>
      <c r="N35" s="34">
        <v>110</v>
      </c>
      <c r="O35" s="34">
        <v>119</v>
      </c>
    </row>
    <row r="36" spans="1:15">
      <c r="A36" t="s">
        <v>103</v>
      </c>
      <c r="B36" s="34">
        <v>30</v>
      </c>
      <c r="C36" s="34">
        <v>39</v>
      </c>
      <c r="D36" s="34">
        <v>51.5</v>
      </c>
      <c r="E36" s="34">
        <v>56</v>
      </c>
      <c r="F36" s="34">
        <v>72</v>
      </c>
      <c r="G36" s="34">
        <v>77</v>
      </c>
      <c r="H36" s="34">
        <v>98</v>
      </c>
      <c r="I36" s="34">
        <v>94</v>
      </c>
      <c r="J36" s="34">
        <v>94</v>
      </c>
      <c r="K36" s="34">
        <v>98</v>
      </c>
      <c r="L36" s="34">
        <v>101</v>
      </c>
      <c r="M36" s="34">
        <v>127</v>
      </c>
      <c r="N36" s="34">
        <v>102</v>
      </c>
      <c r="O36" s="34">
        <v>103</v>
      </c>
    </row>
    <row r="37" spans="1:15">
      <c r="A37" t="s">
        <v>104</v>
      </c>
      <c r="B37" s="34">
        <v>25</v>
      </c>
      <c r="C37" s="34">
        <v>33</v>
      </c>
      <c r="D37" s="34">
        <v>48.5</v>
      </c>
      <c r="E37" s="34">
        <v>60</v>
      </c>
      <c r="F37" s="34">
        <v>73</v>
      </c>
      <c r="G37" s="34">
        <v>85</v>
      </c>
      <c r="H37" s="34">
        <v>85</v>
      </c>
      <c r="I37" s="34">
        <v>107</v>
      </c>
      <c r="J37" s="34">
        <v>103</v>
      </c>
      <c r="K37" s="34">
        <v>107</v>
      </c>
      <c r="L37" s="34">
        <v>107</v>
      </c>
      <c r="M37" s="34">
        <v>124</v>
      </c>
      <c r="N37" s="34">
        <v>121</v>
      </c>
      <c r="O37" s="34">
        <v>120</v>
      </c>
    </row>
    <row r="38" spans="1:15">
      <c r="A38" t="s">
        <v>105</v>
      </c>
      <c r="B38" s="34">
        <v>31</v>
      </c>
      <c r="C38" s="34">
        <v>39</v>
      </c>
      <c r="D38" s="34">
        <v>50.5</v>
      </c>
      <c r="E38" s="34">
        <v>47</v>
      </c>
      <c r="F38" s="34">
        <v>80</v>
      </c>
      <c r="G38" s="34">
        <v>93</v>
      </c>
      <c r="H38" s="34">
        <v>89</v>
      </c>
      <c r="I38" s="34">
        <v>95</v>
      </c>
      <c r="J38" s="34">
        <v>98</v>
      </c>
      <c r="K38" s="34">
        <v>103</v>
      </c>
      <c r="L38" s="34">
        <v>104</v>
      </c>
      <c r="M38" s="34">
        <v>123</v>
      </c>
      <c r="N38" s="34">
        <v>126</v>
      </c>
      <c r="O38" s="34">
        <v>121</v>
      </c>
    </row>
    <row r="39" spans="1:15">
      <c r="A39" t="s">
        <v>106</v>
      </c>
      <c r="B39" s="34">
        <v>30</v>
      </c>
      <c r="C39" s="34">
        <v>38</v>
      </c>
      <c r="D39" s="34">
        <v>51.5</v>
      </c>
      <c r="E39" s="34">
        <v>55</v>
      </c>
      <c r="F39" s="34">
        <v>68</v>
      </c>
      <c r="G39" s="34">
        <v>76</v>
      </c>
      <c r="H39" s="34">
        <v>83</v>
      </c>
      <c r="I39" s="34">
        <v>95</v>
      </c>
      <c r="J39" s="34">
        <v>95</v>
      </c>
      <c r="K39" s="34">
        <v>109</v>
      </c>
      <c r="L39" s="34">
        <v>113</v>
      </c>
      <c r="M39" s="34">
        <v>128</v>
      </c>
      <c r="N39" s="34">
        <v>126</v>
      </c>
      <c r="O39" s="34">
        <v>108</v>
      </c>
    </row>
    <row r="40" spans="1:15">
      <c r="A40" t="s">
        <v>107</v>
      </c>
      <c r="B40" s="34">
        <v>25.5</v>
      </c>
      <c r="C40" s="34">
        <v>33</v>
      </c>
      <c r="D40" s="34">
        <v>47</v>
      </c>
      <c r="E40" s="34">
        <v>55</v>
      </c>
      <c r="F40" s="34">
        <v>75</v>
      </c>
      <c r="G40" s="34">
        <v>78</v>
      </c>
      <c r="H40" s="34">
        <v>95</v>
      </c>
      <c r="I40" s="34">
        <v>95</v>
      </c>
      <c r="J40" s="34">
        <v>95</v>
      </c>
      <c r="K40" s="34">
        <v>96</v>
      </c>
      <c r="L40" s="34">
        <v>97</v>
      </c>
      <c r="M40" s="34">
        <v>97</v>
      </c>
      <c r="N40" s="34">
        <v>98</v>
      </c>
      <c r="O40" s="34">
        <v>98</v>
      </c>
    </row>
    <row r="41" spans="1:15">
      <c r="A41" t="s">
        <v>108</v>
      </c>
      <c r="B41" s="34">
        <v>28</v>
      </c>
      <c r="C41" s="34">
        <v>43</v>
      </c>
      <c r="D41" s="34">
        <v>47.5</v>
      </c>
      <c r="E41" s="34">
        <v>54</v>
      </c>
      <c r="F41" s="34">
        <v>78</v>
      </c>
      <c r="G41" s="34">
        <v>86</v>
      </c>
      <c r="H41" s="34">
        <v>96</v>
      </c>
      <c r="I41" s="34">
        <v>90</v>
      </c>
      <c r="J41" s="34">
        <v>92</v>
      </c>
      <c r="K41" s="34">
        <v>95</v>
      </c>
      <c r="L41" s="34">
        <v>93</v>
      </c>
      <c r="M41" s="34">
        <v>98</v>
      </c>
      <c r="N41" s="34">
        <v>97</v>
      </c>
      <c r="O41" s="34">
        <v>96</v>
      </c>
    </row>
    <row r="42" spans="1:15">
      <c r="A42" t="s">
        <v>109</v>
      </c>
      <c r="B42" s="34">
        <v>30</v>
      </c>
      <c r="C42" s="34">
        <v>37</v>
      </c>
      <c r="D42" s="34">
        <v>51</v>
      </c>
      <c r="E42" s="34">
        <v>55</v>
      </c>
      <c r="F42" s="34">
        <v>77</v>
      </c>
      <c r="G42" s="34">
        <v>75</v>
      </c>
      <c r="H42" s="34">
        <v>82</v>
      </c>
      <c r="I42" s="34">
        <v>99</v>
      </c>
      <c r="J42" s="34">
        <v>100</v>
      </c>
      <c r="K42" s="34">
        <v>107</v>
      </c>
      <c r="L42" s="34">
        <v>102</v>
      </c>
      <c r="M42" s="34">
        <v>101</v>
      </c>
      <c r="N42" s="34">
        <v>102</v>
      </c>
      <c r="O42" s="34">
        <v>100</v>
      </c>
    </row>
    <row r="43" spans="1:15">
      <c r="A43" t="s">
        <v>110</v>
      </c>
      <c r="B43" s="34">
        <v>31.5</v>
      </c>
      <c r="C43" s="34">
        <v>39.5</v>
      </c>
      <c r="D43" s="34">
        <v>60</v>
      </c>
      <c r="E43" s="34">
        <v>53</v>
      </c>
      <c r="F43" s="34">
        <v>80</v>
      </c>
      <c r="G43" s="34">
        <v>82</v>
      </c>
      <c r="H43" s="34">
        <v>92</v>
      </c>
      <c r="I43" s="34">
        <v>104</v>
      </c>
      <c r="J43" s="34">
        <v>105</v>
      </c>
      <c r="K43" s="34">
        <v>112</v>
      </c>
      <c r="L43" s="34">
        <v>110</v>
      </c>
      <c r="M43" s="34">
        <v>108</v>
      </c>
      <c r="N43" s="34">
        <v>109</v>
      </c>
      <c r="O43" s="34">
        <v>107</v>
      </c>
    </row>
    <row r="44" spans="1:15">
      <c r="A44" t="s">
        <v>111</v>
      </c>
      <c r="B44" s="34">
        <v>31.5</v>
      </c>
      <c r="C44" s="34">
        <v>43</v>
      </c>
      <c r="D44" s="34">
        <v>53</v>
      </c>
      <c r="E44" s="34">
        <v>56</v>
      </c>
      <c r="F44" s="34">
        <v>77</v>
      </c>
      <c r="G44" s="34">
        <v>82</v>
      </c>
      <c r="H44" s="34">
        <v>88</v>
      </c>
      <c r="I44" s="34">
        <v>94</v>
      </c>
      <c r="J44" s="34">
        <v>95</v>
      </c>
      <c r="K44" s="34">
        <v>112</v>
      </c>
      <c r="L44" s="34">
        <v>107</v>
      </c>
      <c r="M44" s="34">
        <v>125</v>
      </c>
      <c r="N44" s="34">
        <v>123</v>
      </c>
      <c r="O44" s="34">
        <v>125</v>
      </c>
    </row>
    <row r="45" spans="1:15">
      <c r="A45" t="s">
        <v>112</v>
      </c>
      <c r="B45" s="34">
        <v>28</v>
      </c>
      <c r="C45" s="34">
        <v>35</v>
      </c>
      <c r="D45" s="34">
        <v>45</v>
      </c>
      <c r="E45" s="34">
        <v>65</v>
      </c>
      <c r="F45" s="34">
        <v>66</v>
      </c>
      <c r="G45" s="34">
        <v>78</v>
      </c>
      <c r="H45" s="34">
        <v>86</v>
      </c>
      <c r="I45" s="34">
        <v>92</v>
      </c>
      <c r="J45" s="34">
        <v>97</v>
      </c>
      <c r="K45" s="34">
        <v>111</v>
      </c>
      <c r="L45" s="34">
        <v>107</v>
      </c>
      <c r="M45" s="34">
        <v>123</v>
      </c>
      <c r="N45" s="34">
        <v>112</v>
      </c>
      <c r="O45" s="34">
        <v>121</v>
      </c>
    </row>
    <row r="46" spans="1:15">
      <c r="A46" t="s">
        <v>113</v>
      </c>
      <c r="B46" s="34">
        <v>27</v>
      </c>
      <c r="C46" s="34">
        <v>35</v>
      </c>
      <c r="D46" s="34">
        <v>43</v>
      </c>
      <c r="E46" s="34">
        <v>55</v>
      </c>
      <c r="F46" s="34">
        <v>66</v>
      </c>
      <c r="G46" s="34">
        <v>80</v>
      </c>
      <c r="H46" s="34">
        <v>91</v>
      </c>
      <c r="I46" s="34">
        <v>96</v>
      </c>
      <c r="J46" s="34">
        <v>108</v>
      </c>
      <c r="K46" s="34">
        <v>116</v>
      </c>
      <c r="L46" s="34">
        <v>108</v>
      </c>
      <c r="M46" s="34">
        <v>123</v>
      </c>
      <c r="N46" s="34">
        <v>125</v>
      </c>
      <c r="O46" s="34">
        <v>121</v>
      </c>
    </row>
    <row r="47" spans="1:15">
      <c r="A47" t="s">
        <v>114</v>
      </c>
      <c r="B47" s="34">
        <v>31.5</v>
      </c>
      <c r="C47" s="34">
        <v>36</v>
      </c>
      <c r="D47" s="34">
        <v>53</v>
      </c>
      <c r="E47" s="34">
        <v>58</v>
      </c>
      <c r="F47" s="34">
        <v>70</v>
      </c>
      <c r="G47" s="34">
        <v>85</v>
      </c>
      <c r="H47" s="34">
        <v>92</v>
      </c>
      <c r="I47" s="34">
        <v>98</v>
      </c>
      <c r="J47" s="34">
        <v>103</v>
      </c>
      <c r="K47" s="34">
        <v>103</v>
      </c>
      <c r="L47" s="34">
        <v>103</v>
      </c>
      <c r="M47" s="34">
        <v>108</v>
      </c>
      <c r="N47" s="34">
        <v>109</v>
      </c>
      <c r="O47" s="34">
        <v>105</v>
      </c>
    </row>
    <row r="48" spans="1:15">
      <c r="A48" t="s">
        <v>115</v>
      </c>
      <c r="B48" s="34">
        <v>31</v>
      </c>
      <c r="C48" s="34">
        <v>38</v>
      </c>
      <c r="D48" s="34">
        <v>54</v>
      </c>
      <c r="E48" s="34">
        <v>54</v>
      </c>
      <c r="F48" s="34">
        <v>77</v>
      </c>
      <c r="G48" s="34">
        <v>86</v>
      </c>
      <c r="H48" s="34">
        <v>91</v>
      </c>
      <c r="I48" s="34">
        <v>97</v>
      </c>
      <c r="J48" s="34">
        <v>103</v>
      </c>
      <c r="K48" s="34">
        <v>108</v>
      </c>
      <c r="L48" s="34">
        <v>106</v>
      </c>
      <c r="M48" s="34">
        <v>121</v>
      </c>
      <c r="N48" s="34">
        <v>114</v>
      </c>
      <c r="O48" s="34">
        <v>107</v>
      </c>
    </row>
    <row r="49" spans="1:15">
      <c r="A49" t="s">
        <v>116</v>
      </c>
      <c r="B49" s="34">
        <v>24</v>
      </c>
      <c r="C49" s="34">
        <v>34</v>
      </c>
      <c r="D49" s="34">
        <v>48.5</v>
      </c>
      <c r="E49" s="34">
        <v>65</v>
      </c>
      <c r="F49" s="34">
        <v>73</v>
      </c>
      <c r="G49" s="34">
        <v>93</v>
      </c>
      <c r="H49" s="34">
        <v>104</v>
      </c>
      <c r="I49" s="34">
        <v>120</v>
      </c>
      <c r="J49" s="34">
        <v>105</v>
      </c>
      <c r="K49" s="34">
        <v>122</v>
      </c>
      <c r="L49" s="34">
        <v>121</v>
      </c>
      <c r="M49" s="34">
        <v>123</v>
      </c>
      <c r="N49" s="34">
        <v>125</v>
      </c>
      <c r="O49" s="34">
        <v>117</v>
      </c>
    </row>
    <row r="50" spans="1:15">
      <c r="A50" t="s">
        <v>117</v>
      </c>
      <c r="B50" s="34">
        <v>31.5</v>
      </c>
      <c r="C50" s="34">
        <v>44.5</v>
      </c>
      <c r="D50" s="34">
        <v>53.5</v>
      </c>
      <c r="E50" s="34">
        <v>60</v>
      </c>
      <c r="F50" s="34">
        <v>71</v>
      </c>
      <c r="G50" s="34">
        <v>85</v>
      </c>
      <c r="H50" s="34">
        <v>90</v>
      </c>
      <c r="I50" s="34">
        <v>95</v>
      </c>
      <c r="J50" s="34">
        <v>98</v>
      </c>
      <c r="K50" s="34">
        <v>96</v>
      </c>
      <c r="L50" s="34">
        <v>96</v>
      </c>
      <c r="M50" s="34">
        <v>93</v>
      </c>
      <c r="N50" s="34">
        <v>108</v>
      </c>
      <c r="O50" s="34">
        <v>107</v>
      </c>
    </row>
    <row r="51" spans="1:15">
      <c r="A51" t="s">
        <v>118</v>
      </c>
      <c r="B51" s="34">
        <v>33</v>
      </c>
      <c r="C51" s="34">
        <v>46</v>
      </c>
      <c r="D51" s="34">
        <v>51</v>
      </c>
      <c r="E51" s="34">
        <v>55</v>
      </c>
      <c r="F51" s="34">
        <v>70</v>
      </c>
      <c r="G51" s="34">
        <v>81</v>
      </c>
      <c r="H51" s="34">
        <v>88</v>
      </c>
      <c r="I51" s="34">
        <v>96</v>
      </c>
      <c r="J51" s="34">
        <v>98</v>
      </c>
      <c r="K51" s="34">
        <v>99</v>
      </c>
      <c r="L51" s="34">
        <v>98</v>
      </c>
      <c r="M51" s="34">
        <v>100</v>
      </c>
      <c r="N51" s="34">
        <v>100</v>
      </c>
      <c r="O51" s="34">
        <v>94</v>
      </c>
    </row>
    <row r="52" spans="1:15">
      <c r="A52" t="s">
        <v>119</v>
      </c>
      <c r="B52" s="34">
        <v>29.5</v>
      </c>
      <c r="C52" s="34">
        <v>38.5</v>
      </c>
      <c r="D52" s="34">
        <v>49.5</v>
      </c>
      <c r="E52" s="34">
        <v>59</v>
      </c>
      <c r="F52" s="34">
        <v>63</v>
      </c>
      <c r="G52" s="34">
        <v>72</v>
      </c>
      <c r="H52" s="34">
        <v>79</v>
      </c>
      <c r="I52" s="34">
        <v>90</v>
      </c>
      <c r="J52" s="34">
        <v>90</v>
      </c>
      <c r="K52" s="34">
        <v>90</v>
      </c>
      <c r="L52" s="34">
        <v>86</v>
      </c>
      <c r="M52" s="34">
        <v>99</v>
      </c>
      <c r="N52" s="34">
        <v>100</v>
      </c>
      <c r="O52" s="34">
        <v>97</v>
      </c>
    </row>
    <row r="53" spans="1:15">
      <c r="A53" t="s">
        <v>120</v>
      </c>
      <c r="B53" s="34">
        <v>30</v>
      </c>
      <c r="C53" s="34">
        <v>42.5</v>
      </c>
      <c r="D53" s="34">
        <v>54.5</v>
      </c>
      <c r="E53" s="34">
        <v>65</v>
      </c>
      <c r="F53" s="34">
        <v>69</v>
      </c>
      <c r="G53" s="34">
        <v>82</v>
      </c>
      <c r="H53" s="34">
        <v>92</v>
      </c>
      <c r="I53" s="34">
        <v>81</v>
      </c>
      <c r="J53" s="34">
        <v>83</v>
      </c>
      <c r="K53" s="34">
        <v>83</v>
      </c>
      <c r="L53" s="34">
        <v>94</v>
      </c>
      <c r="M53" s="34">
        <v>95</v>
      </c>
      <c r="N53" s="34">
        <v>82</v>
      </c>
      <c r="O53" s="34">
        <v>107</v>
      </c>
    </row>
    <row r="54" spans="1:15">
      <c r="A54" t="s">
        <v>121</v>
      </c>
      <c r="B54" s="34">
        <v>32</v>
      </c>
      <c r="C54" s="34">
        <v>47</v>
      </c>
      <c r="D54" s="34">
        <v>49</v>
      </c>
      <c r="E54" s="34">
        <v>62</v>
      </c>
      <c r="F54" s="34">
        <v>69</v>
      </c>
      <c r="G54" s="34">
        <v>81</v>
      </c>
      <c r="H54" s="34">
        <v>90</v>
      </c>
      <c r="I54" s="34">
        <v>84</v>
      </c>
      <c r="J54" s="34">
        <v>87</v>
      </c>
      <c r="K54" s="34">
        <v>79</v>
      </c>
      <c r="L54" s="34">
        <v>96</v>
      </c>
      <c r="M54" s="34">
        <v>88</v>
      </c>
      <c r="N54" s="34">
        <v>94</v>
      </c>
      <c r="O54" s="34">
        <v>101</v>
      </c>
    </row>
    <row r="55" spans="1:15">
      <c r="A55" t="s">
        <v>122</v>
      </c>
      <c r="B55" s="34">
        <v>29.5</v>
      </c>
      <c r="C55" s="34">
        <v>37.5</v>
      </c>
      <c r="D55" s="34">
        <v>48.5</v>
      </c>
      <c r="E55" s="34">
        <v>56</v>
      </c>
      <c r="F55" s="34">
        <v>68</v>
      </c>
      <c r="G55" s="34">
        <v>78</v>
      </c>
      <c r="H55" s="34">
        <v>83</v>
      </c>
      <c r="I55" s="34">
        <v>87</v>
      </c>
      <c r="J55" s="34">
        <v>85</v>
      </c>
      <c r="K55" s="34">
        <v>81</v>
      </c>
      <c r="L55" s="34">
        <v>93</v>
      </c>
      <c r="M55" s="34">
        <v>89</v>
      </c>
      <c r="N55" s="34">
        <v>91</v>
      </c>
      <c r="O55" s="34">
        <v>106</v>
      </c>
    </row>
    <row r="56" spans="1:15">
      <c r="A56" t="s">
        <v>123</v>
      </c>
      <c r="B56" s="34">
        <v>38</v>
      </c>
      <c r="C56" s="34">
        <v>43.5</v>
      </c>
      <c r="D56" s="34">
        <v>51.5</v>
      </c>
      <c r="E56" s="34">
        <v>50</v>
      </c>
      <c r="F56" s="34">
        <v>60</v>
      </c>
      <c r="G56" s="34">
        <v>68</v>
      </c>
      <c r="H56" s="34">
        <v>78</v>
      </c>
      <c r="I56" s="34">
        <v>83</v>
      </c>
      <c r="J56" s="34">
        <v>88</v>
      </c>
      <c r="K56" s="34">
        <v>100</v>
      </c>
      <c r="L56" s="34">
        <v>105</v>
      </c>
      <c r="M56" s="34">
        <v>109</v>
      </c>
      <c r="N56" s="34">
        <v>112</v>
      </c>
      <c r="O56" s="34">
        <v>125</v>
      </c>
    </row>
    <row r="57" spans="1:15">
      <c r="A57" t="s">
        <v>124</v>
      </c>
      <c r="B57" s="34">
        <v>35</v>
      </c>
      <c r="C57" s="34">
        <v>39</v>
      </c>
      <c r="D57" s="34">
        <v>49</v>
      </c>
      <c r="E57" s="34">
        <v>50</v>
      </c>
      <c r="F57" s="34">
        <v>57</v>
      </c>
      <c r="G57" s="34">
        <v>74</v>
      </c>
      <c r="H57" s="34">
        <v>71</v>
      </c>
      <c r="I57" s="34">
        <v>81</v>
      </c>
      <c r="J57" s="34">
        <v>81</v>
      </c>
      <c r="K57" s="34">
        <v>87</v>
      </c>
      <c r="L57" s="34">
        <v>100</v>
      </c>
      <c r="M57" s="34">
        <v>102</v>
      </c>
      <c r="N57" s="34">
        <v>108</v>
      </c>
      <c r="O57" s="34">
        <v>130</v>
      </c>
    </row>
    <row r="58" spans="1:15">
      <c r="A58" t="s">
        <v>125</v>
      </c>
      <c r="B58" s="34">
        <v>23.5</v>
      </c>
      <c r="C58" s="34">
        <v>29.5</v>
      </c>
      <c r="D58" s="34">
        <v>44</v>
      </c>
      <c r="E58" s="34">
        <v>41</v>
      </c>
      <c r="F58" s="34">
        <v>53</v>
      </c>
      <c r="G58" s="34">
        <v>69</v>
      </c>
      <c r="H58" s="34">
        <v>69</v>
      </c>
      <c r="I58" s="34">
        <v>92</v>
      </c>
      <c r="J58" s="34">
        <v>99</v>
      </c>
      <c r="K58" s="34">
        <v>111</v>
      </c>
      <c r="L58" s="34">
        <v>113</v>
      </c>
      <c r="M58" s="34">
        <v>115</v>
      </c>
      <c r="N58" s="34">
        <v>110</v>
      </c>
      <c r="O58" s="34">
        <v>117</v>
      </c>
    </row>
    <row r="59" spans="1:15">
      <c r="A59" t="s">
        <v>126</v>
      </c>
      <c r="B59" s="34">
        <v>30.5</v>
      </c>
      <c r="C59" s="34">
        <v>28.5</v>
      </c>
      <c r="D59" s="34">
        <v>39</v>
      </c>
      <c r="E59" s="34">
        <v>45</v>
      </c>
      <c r="F59" s="34">
        <v>58</v>
      </c>
      <c r="G59" s="34">
        <v>76</v>
      </c>
      <c r="H59" s="34">
        <v>77</v>
      </c>
      <c r="I59" s="34">
        <v>100</v>
      </c>
      <c r="J59" s="34">
        <v>108</v>
      </c>
      <c r="K59" s="34">
        <v>106</v>
      </c>
      <c r="L59" s="34">
        <v>125</v>
      </c>
      <c r="M59" s="34">
        <v>116</v>
      </c>
      <c r="N59" s="34">
        <v>123</v>
      </c>
      <c r="O59" s="34">
        <v>121</v>
      </c>
    </row>
    <row r="60" spans="1:15">
      <c r="A60" t="s">
        <v>127</v>
      </c>
      <c r="B60" s="34">
        <v>32</v>
      </c>
      <c r="C60" s="34">
        <v>37</v>
      </c>
      <c r="D60" s="34">
        <v>46.5</v>
      </c>
      <c r="E60" s="34">
        <v>50</v>
      </c>
      <c r="F60" s="34">
        <v>65</v>
      </c>
      <c r="G60" s="34">
        <v>70</v>
      </c>
      <c r="H60" s="34">
        <v>84</v>
      </c>
      <c r="I60" s="34">
        <v>99</v>
      </c>
      <c r="J60" s="34">
        <v>85</v>
      </c>
      <c r="K60" s="34">
        <v>121</v>
      </c>
      <c r="L60" s="34">
        <v>128</v>
      </c>
      <c r="M60" s="34">
        <v>135</v>
      </c>
      <c r="N60" s="34">
        <v>130</v>
      </c>
      <c r="O60" s="34">
        <v>113</v>
      </c>
    </row>
    <row r="61" spans="1:15">
      <c r="A61" t="s">
        <v>128</v>
      </c>
      <c r="B61" s="34">
        <v>30.5</v>
      </c>
      <c r="C61" s="34">
        <v>39.5</v>
      </c>
      <c r="D61" s="34">
        <v>49.5</v>
      </c>
      <c r="E61" s="34">
        <v>59</v>
      </c>
      <c r="F61" s="34">
        <v>62</v>
      </c>
      <c r="G61" s="34">
        <v>68</v>
      </c>
      <c r="H61" s="34">
        <v>73</v>
      </c>
      <c r="I61" s="34">
        <v>86</v>
      </c>
      <c r="J61" s="34">
        <v>90</v>
      </c>
      <c r="K61" s="34">
        <v>100</v>
      </c>
      <c r="L61" s="34">
        <v>106</v>
      </c>
      <c r="M61" s="34">
        <v>114</v>
      </c>
      <c r="N61" s="34">
        <v>104</v>
      </c>
      <c r="O61" s="34">
        <v>118</v>
      </c>
    </row>
    <row r="62" spans="1:15">
      <c r="A62" t="s">
        <v>129</v>
      </c>
      <c r="B62" s="34">
        <v>37</v>
      </c>
      <c r="C62" s="34">
        <v>48</v>
      </c>
      <c r="D62" s="34">
        <v>58</v>
      </c>
      <c r="E62" s="34">
        <v>71</v>
      </c>
      <c r="F62" s="34">
        <v>68</v>
      </c>
      <c r="G62" s="34">
        <v>94</v>
      </c>
      <c r="H62" s="34">
        <v>91</v>
      </c>
      <c r="I62" s="34">
        <v>119</v>
      </c>
      <c r="J62" s="34">
        <v>120</v>
      </c>
      <c r="K62" s="34">
        <v>129</v>
      </c>
      <c r="L62" s="34">
        <v>127</v>
      </c>
      <c r="M62" s="34">
        <v>127</v>
      </c>
      <c r="N62" s="34">
        <v>126</v>
      </c>
      <c r="O62" s="34">
        <v>118</v>
      </c>
    </row>
    <row r="63" spans="1:15">
      <c r="A63" t="s">
        <v>130</v>
      </c>
      <c r="B63" s="34">
        <v>32.5</v>
      </c>
      <c r="C63" s="34">
        <v>41</v>
      </c>
      <c r="D63" s="34">
        <v>53</v>
      </c>
      <c r="E63" s="34">
        <v>55</v>
      </c>
      <c r="F63" s="34">
        <v>83</v>
      </c>
      <c r="G63" s="34">
        <v>93</v>
      </c>
      <c r="H63" s="34">
        <v>96</v>
      </c>
      <c r="I63" s="34">
        <v>112</v>
      </c>
      <c r="J63" s="34">
        <v>121</v>
      </c>
      <c r="K63" s="34">
        <v>106</v>
      </c>
      <c r="L63" s="34">
        <v>104</v>
      </c>
      <c r="M63" s="34">
        <v>130</v>
      </c>
      <c r="N63" s="34">
        <v>124</v>
      </c>
      <c r="O63" s="34">
        <v>117</v>
      </c>
    </row>
    <row r="64" spans="1:15">
      <c r="A64" t="s">
        <v>131</v>
      </c>
      <c r="B64" s="34">
        <v>21</v>
      </c>
      <c r="C64" s="34">
        <v>46</v>
      </c>
      <c r="D64" s="34">
        <v>56.5</v>
      </c>
      <c r="E64" s="34">
        <v>67</v>
      </c>
      <c r="F64" s="34">
        <v>76</v>
      </c>
      <c r="G64" s="34">
        <v>90</v>
      </c>
      <c r="H64" s="34">
        <v>91</v>
      </c>
      <c r="I64" s="34">
        <v>99</v>
      </c>
      <c r="J64" s="34">
        <v>107</v>
      </c>
      <c r="K64" s="34">
        <v>110</v>
      </c>
      <c r="L64" s="34">
        <v>103</v>
      </c>
      <c r="M64" s="34">
        <v>121</v>
      </c>
      <c r="N64" s="34">
        <v>121</v>
      </c>
      <c r="O64" s="34">
        <v>124</v>
      </c>
    </row>
    <row r="65" spans="1:15">
      <c r="A65" t="s">
        <v>132</v>
      </c>
      <c r="B65" s="34">
        <v>33</v>
      </c>
      <c r="C65" s="34">
        <v>43</v>
      </c>
      <c r="D65" s="34">
        <v>55</v>
      </c>
      <c r="E65" s="34">
        <v>59</v>
      </c>
      <c r="F65" s="34">
        <v>80</v>
      </c>
      <c r="G65" s="34">
        <v>84</v>
      </c>
      <c r="H65" s="34">
        <v>94</v>
      </c>
      <c r="I65" s="34">
        <v>103</v>
      </c>
      <c r="J65" s="34">
        <v>106</v>
      </c>
      <c r="K65" s="34">
        <v>105</v>
      </c>
      <c r="L65" s="34">
        <v>128</v>
      </c>
      <c r="M65" s="34">
        <v>113</v>
      </c>
      <c r="N65" s="34">
        <v>107</v>
      </c>
      <c r="O65" s="34">
        <v>113</v>
      </c>
    </row>
    <row r="66" spans="1:15">
      <c r="A66" t="s">
        <v>133</v>
      </c>
      <c r="B66" s="34">
        <v>36.5</v>
      </c>
      <c r="C66" s="34">
        <v>47.5</v>
      </c>
      <c r="D66" s="34">
        <v>62.5</v>
      </c>
      <c r="E66" s="34">
        <v>63</v>
      </c>
      <c r="F66" s="34">
        <v>72</v>
      </c>
      <c r="G66" s="34">
        <v>84</v>
      </c>
      <c r="H66" s="34">
        <v>90</v>
      </c>
      <c r="I66" s="34">
        <v>96</v>
      </c>
      <c r="J66" s="34">
        <v>100</v>
      </c>
      <c r="K66" s="34">
        <v>108</v>
      </c>
      <c r="L66" s="34">
        <v>104</v>
      </c>
      <c r="M66" s="34">
        <v>105</v>
      </c>
      <c r="N66" s="34">
        <v>118</v>
      </c>
      <c r="O66" s="34">
        <v>130</v>
      </c>
    </row>
    <row r="67" spans="1:15">
      <c r="A67" t="s">
        <v>134</v>
      </c>
      <c r="B67" s="34">
        <v>24</v>
      </c>
      <c r="C67" s="34">
        <v>36.5</v>
      </c>
      <c r="D67" s="34">
        <v>45</v>
      </c>
      <c r="E67" s="34">
        <v>58</v>
      </c>
      <c r="F67" s="34">
        <v>76</v>
      </c>
      <c r="G67" s="34">
        <v>81</v>
      </c>
      <c r="H67" s="34">
        <v>97</v>
      </c>
      <c r="I67" s="34">
        <v>98</v>
      </c>
      <c r="J67" s="34">
        <v>104</v>
      </c>
      <c r="K67" s="34">
        <v>108</v>
      </c>
      <c r="L67" s="34">
        <v>107</v>
      </c>
      <c r="M67" s="34">
        <v>103</v>
      </c>
      <c r="N67" s="34">
        <v>104</v>
      </c>
      <c r="O67" s="34">
        <v>126</v>
      </c>
    </row>
    <row r="68" spans="1:15">
      <c r="A68" t="s">
        <v>135</v>
      </c>
      <c r="B68" s="34">
        <v>28.5</v>
      </c>
      <c r="C68" s="34">
        <v>35.5</v>
      </c>
      <c r="D68" s="34">
        <v>49.5</v>
      </c>
      <c r="E68" s="34">
        <v>53</v>
      </c>
      <c r="F68" s="34">
        <v>66</v>
      </c>
      <c r="G68" s="34">
        <v>87</v>
      </c>
      <c r="H68" s="34">
        <v>97</v>
      </c>
      <c r="I68" s="34">
        <v>104</v>
      </c>
      <c r="J68" s="34">
        <v>112</v>
      </c>
      <c r="K68" s="34">
        <v>107</v>
      </c>
      <c r="L68" s="34">
        <v>117</v>
      </c>
      <c r="M68" s="34">
        <v>119</v>
      </c>
      <c r="N68" s="34">
        <v>129</v>
      </c>
      <c r="O68" s="34">
        <v>112</v>
      </c>
    </row>
    <row r="69" spans="1:15">
      <c r="A69" t="s">
        <v>136</v>
      </c>
      <c r="B69" s="34">
        <v>30</v>
      </c>
      <c r="C69" s="34">
        <v>40</v>
      </c>
      <c r="D69" s="34">
        <v>56.5</v>
      </c>
      <c r="E69" s="34">
        <v>56</v>
      </c>
      <c r="F69" s="34">
        <v>69</v>
      </c>
      <c r="G69" s="34">
        <v>82</v>
      </c>
      <c r="H69" s="34">
        <v>90</v>
      </c>
      <c r="I69" s="34">
        <v>94</v>
      </c>
      <c r="J69" s="34">
        <v>100</v>
      </c>
      <c r="K69" s="34">
        <v>102</v>
      </c>
      <c r="L69" s="34">
        <v>119</v>
      </c>
      <c r="M69" s="34">
        <v>118</v>
      </c>
      <c r="N69" s="34">
        <v>123</v>
      </c>
      <c r="O69" s="34">
        <v>116</v>
      </c>
    </row>
    <row r="70" spans="1:15">
      <c r="A70" t="s">
        <v>137</v>
      </c>
      <c r="B70" s="34">
        <v>27.5</v>
      </c>
      <c r="C70" s="34">
        <v>40.5</v>
      </c>
      <c r="D70" s="34">
        <v>57</v>
      </c>
      <c r="E70" s="34">
        <v>60</v>
      </c>
      <c r="F70" s="34">
        <v>74</v>
      </c>
      <c r="G70" s="34">
        <v>81</v>
      </c>
      <c r="H70" s="34">
        <v>93</v>
      </c>
      <c r="I70" s="34">
        <v>97</v>
      </c>
      <c r="J70" s="34">
        <v>102</v>
      </c>
      <c r="K70" s="34">
        <v>107</v>
      </c>
      <c r="L70" s="34">
        <v>109</v>
      </c>
      <c r="M70" s="34">
        <v>105</v>
      </c>
      <c r="N70" s="34">
        <v>127</v>
      </c>
      <c r="O70" s="34">
        <v>111</v>
      </c>
    </row>
    <row r="71" spans="1:15">
      <c r="A71" t="s">
        <v>138</v>
      </c>
      <c r="B71" s="34">
        <v>34</v>
      </c>
      <c r="C71" s="34">
        <v>45</v>
      </c>
      <c r="D71" s="34">
        <v>52.5</v>
      </c>
      <c r="E71" s="34">
        <v>57</v>
      </c>
      <c r="F71" s="34">
        <v>74</v>
      </c>
      <c r="G71" s="34">
        <v>86</v>
      </c>
      <c r="H71" s="34">
        <v>105</v>
      </c>
      <c r="I71" s="34">
        <v>112</v>
      </c>
      <c r="J71" s="34">
        <v>105</v>
      </c>
      <c r="K71" s="34">
        <v>103</v>
      </c>
      <c r="L71" s="34">
        <v>108</v>
      </c>
      <c r="M71" s="34">
        <v>127</v>
      </c>
      <c r="N71" s="34">
        <v>106</v>
      </c>
      <c r="O71" s="34">
        <v>110</v>
      </c>
    </row>
    <row r="72" spans="1:15">
      <c r="A72" t="s">
        <v>139</v>
      </c>
      <c r="B72" s="34">
        <v>35</v>
      </c>
      <c r="C72" s="34">
        <v>43</v>
      </c>
      <c r="D72" s="34">
        <v>48</v>
      </c>
      <c r="E72" s="34">
        <v>50</v>
      </c>
      <c r="F72" s="34">
        <v>77</v>
      </c>
      <c r="G72" s="34">
        <v>87</v>
      </c>
      <c r="H72" s="34">
        <v>93</v>
      </c>
      <c r="I72" s="34">
        <v>109</v>
      </c>
      <c r="J72" s="34">
        <v>106</v>
      </c>
      <c r="K72" s="34">
        <v>128</v>
      </c>
      <c r="L72" s="34">
        <v>103</v>
      </c>
      <c r="M72" s="34">
        <v>119</v>
      </c>
      <c r="N72" s="34">
        <v>129</v>
      </c>
      <c r="O72" s="34">
        <v>121</v>
      </c>
    </row>
    <row r="73" spans="1:15">
      <c r="A73" t="s">
        <v>140</v>
      </c>
      <c r="B73" s="34">
        <v>28</v>
      </c>
      <c r="C73" s="34">
        <v>38.5</v>
      </c>
      <c r="D73" s="34">
        <v>48</v>
      </c>
      <c r="E73" s="34">
        <v>46</v>
      </c>
      <c r="F73" s="34">
        <v>63</v>
      </c>
      <c r="G73" s="34">
        <v>84</v>
      </c>
      <c r="H73" s="34">
        <v>92</v>
      </c>
      <c r="I73" s="34">
        <v>103</v>
      </c>
      <c r="J73" s="34">
        <v>105</v>
      </c>
      <c r="K73" s="34">
        <v>125</v>
      </c>
      <c r="L73" s="34">
        <v>107</v>
      </c>
      <c r="M73" s="34">
        <v>112</v>
      </c>
      <c r="N73" s="34">
        <v>124</v>
      </c>
      <c r="O73" s="34">
        <v>118</v>
      </c>
    </row>
    <row r="74" spans="1:15">
      <c r="A74" t="s">
        <v>141</v>
      </c>
      <c r="B74" s="34">
        <v>26.5</v>
      </c>
      <c r="C74" s="34">
        <v>36</v>
      </c>
      <c r="D74" s="34">
        <v>51.5</v>
      </c>
      <c r="E74" s="34">
        <v>66</v>
      </c>
      <c r="F74" s="34">
        <v>76</v>
      </c>
      <c r="G74" s="34">
        <v>92</v>
      </c>
      <c r="H74" s="34">
        <v>102</v>
      </c>
      <c r="I74" s="34">
        <v>112</v>
      </c>
      <c r="J74" s="34">
        <v>122</v>
      </c>
      <c r="K74" s="34">
        <v>106</v>
      </c>
      <c r="L74" s="34">
        <v>124</v>
      </c>
      <c r="M74" s="34">
        <v>128</v>
      </c>
      <c r="N74" s="34">
        <v>126</v>
      </c>
      <c r="O74" s="34">
        <v>128</v>
      </c>
    </row>
    <row r="75" spans="1:15">
      <c r="A75" t="s">
        <v>142</v>
      </c>
      <c r="B75" s="34">
        <v>28</v>
      </c>
      <c r="C75" s="34">
        <v>38</v>
      </c>
      <c r="D75" s="34">
        <v>50</v>
      </c>
      <c r="E75" s="34">
        <v>70</v>
      </c>
      <c r="F75" s="34">
        <v>75</v>
      </c>
      <c r="G75" s="34">
        <v>87</v>
      </c>
      <c r="H75" s="34">
        <v>97</v>
      </c>
      <c r="I75" s="34">
        <v>110</v>
      </c>
      <c r="J75" s="34">
        <v>103</v>
      </c>
      <c r="K75" s="34">
        <v>108</v>
      </c>
      <c r="L75" s="34">
        <v>128</v>
      </c>
      <c r="M75" s="34">
        <v>148</v>
      </c>
      <c r="N75" s="34">
        <v>108</v>
      </c>
      <c r="O75" s="34">
        <v>133</v>
      </c>
    </row>
    <row r="76" spans="1:15">
      <c r="A76" t="s">
        <v>143</v>
      </c>
      <c r="B76" s="34">
        <v>28.5</v>
      </c>
      <c r="C76" s="34">
        <v>41</v>
      </c>
      <c r="D76" s="34">
        <v>56.5</v>
      </c>
      <c r="E76" s="34">
        <v>67</v>
      </c>
      <c r="F76" s="34">
        <v>85</v>
      </c>
      <c r="G76" s="34">
        <v>93</v>
      </c>
      <c r="H76" s="34">
        <v>104</v>
      </c>
      <c r="I76" s="34">
        <v>116</v>
      </c>
      <c r="J76" s="34">
        <v>105</v>
      </c>
      <c r="K76" s="34">
        <v>128</v>
      </c>
      <c r="L76" s="34">
        <v>119</v>
      </c>
      <c r="M76" s="34">
        <v>120</v>
      </c>
      <c r="N76" s="34">
        <v>108</v>
      </c>
      <c r="O76" s="34">
        <v>143</v>
      </c>
    </row>
    <row r="77" spans="1:15">
      <c r="A77" t="s">
        <v>144</v>
      </c>
      <c r="B77" s="34">
        <v>28.5</v>
      </c>
      <c r="C77" s="34">
        <v>41</v>
      </c>
      <c r="D77" s="34">
        <v>52</v>
      </c>
      <c r="E77" s="34">
        <v>68</v>
      </c>
      <c r="F77" s="34">
        <v>83</v>
      </c>
      <c r="G77" s="34">
        <v>94</v>
      </c>
      <c r="H77" s="34">
        <v>101</v>
      </c>
      <c r="I77" s="34">
        <v>123</v>
      </c>
      <c r="J77" s="34">
        <v>127</v>
      </c>
      <c r="K77" s="34">
        <v>135</v>
      </c>
      <c r="L77" s="34">
        <v>141</v>
      </c>
      <c r="M77" s="34">
        <v>143</v>
      </c>
      <c r="N77" s="34">
        <v>148</v>
      </c>
      <c r="O77" s="34">
        <v>118</v>
      </c>
    </row>
    <row r="78" spans="1:15">
      <c r="A78" t="s">
        <v>145</v>
      </c>
      <c r="B78" s="34">
        <v>25</v>
      </c>
      <c r="C78" s="34">
        <v>37.5</v>
      </c>
      <c r="D78" s="34">
        <v>50</v>
      </c>
      <c r="E78" s="34">
        <v>62</v>
      </c>
      <c r="F78" s="34">
        <v>74</v>
      </c>
      <c r="G78" s="34">
        <v>96</v>
      </c>
      <c r="H78" s="34">
        <v>102</v>
      </c>
      <c r="I78" s="34">
        <v>109</v>
      </c>
      <c r="J78" s="34">
        <v>122</v>
      </c>
      <c r="K78" s="34">
        <v>129</v>
      </c>
      <c r="L78" s="34">
        <v>138</v>
      </c>
      <c r="M78" s="34">
        <v>138</v>
      </c>
      <c r="N78" s="34">
        <v>130</v>
      </c>
      <c r="O78" s="34">
        <v>148</v>
      </c>
    </row>
    <row r="79" spans="1:15">
      <c r="A79" t="s">
        <v>146</v>
      </c>
      <c r="B79" s="34">
        <v>27</v>
      </c>
      <c r="C79" s="34">
        <v>39</v>
      </c>
      <c r="D79" s="34">
        <v>47.5</v>
      </c>
      <c r="E79" s="34">
        <v>56</v>
      </c>
      <c r="F79" s="34">
        <v>81</v>
      </c>
      <c r="G79" s="34">
        <v>96</v>
      </c>
      <c r="H79" s="34">
        <v>103</v>
      </c>
      <c r="I79" s="34">
        <v>108</v>
      </c>
      <c r="J79" s="34">
        <v>106</v>
      </c>
      <c r="K79" s="34">
        <v>125</v>
      </c>
      <c r="L79" s="34">
        <v>129</v>
      </c>
      <c r="M79" s="34">
        <v>128</v>
      </c>
      <c r="N79" s="34">
        <v>127</v>
      </c>
      <c r="O79" s="34">
        <v>123</v>
      </c>
    </row>
    <row r="80" spans="1:15">
      <c r="A80" t="s">
        <v>147</v>
      </c>
      <c r="B80" s="34">
        <v>23.5</v>
      </c>
      <c r="C80" s="34">
        <v>36.5</v>
      </c>
      <c r="D80" s="34">
        <v>46</v>
      </c>
      <c r="E80" s="34">
        <v>51</v>
      </c>
      <c r="F80" s="34">
        <v>56.5</v>
      </c>
      <c r="G80" s="34">
        <v>71</v>
      </c>
      <c r="H80" s="34">
        <v>83</v>
      </c>
      <c r="I80" s="34">
        <v>89</v>
      </c>
      <c r="J80" s="34">
        <v>90</v>
      </c>
      <c r="K80" s="34">
        <v>93</v>
      </c>
      <c r="L80" s="34">
        <v>85</v>
      </c>
      <c r="M80" s="34">
        <v>89</v>
      </c>
      <c r="N80" s="34">
        <v>89</v>
      </c>
      <c r="O80" s="34">
        <v>96</v>
      </c>
    </row>
    <row r="81" spans="1:15">
      <c r="A81" t="s">
        <v>148</v>
      </c>
      <c r="B81" s="34">
        <v>21</v>
      </c>
      <c r="C81" s="34">
        <v>31.5</v>
      </c>
      <c r="D81" s="34">
        <v>38.5</v>
      </c>
      <c r="E81" s="34">
        <v>44</v>
      </c>
      <c r="F81" s="34">
        <v>56</v>
      </c>
      <c r="G81" s="34">
        <v>60</v>
      </c>
      <c r="H81" s="34">
        <v>69</v>
      </c>
      <c r="I81" s="34">
        <v>76</v>
      </c>
      <c r="J81" s="34">
        <v>83</v>
      </c>
      <c r="K81" s="34">
        <v>92</v>
      </c>
      <c r="L81" s="34">
        <v>91</v>
      </c>
      <c r="M81" s="34">
        <v>97</v>
      </c>
      <c r="N81" s="34">
        <v>96</v>
      </c>
      <c r="O81" s="34">
        <v>106</v>
      </c>
    </row>
    <row r="82" spans="1:15">
      <c r="A82" t="s">
        <v>149</v>
      </c>
      <c r="B82" s="34">
        <v>22</v>
      </c>
      <c r="C82" s="34">
        <v>32</v>
      </c>
      <c r="D82" s="34">
        <v>40.5</v>
      </c>
      <c r="E82" s="34">
        <v>47</v>
      </c>
      <c r="F82" s="34">
        <v>61</v>
      </c>
      <c r="G82" s="34">
        <v>80</v>
      </c>
      <c r="H82" s="34">
        <v>81</v>
      </c>
      <c r="I82" s="34">
        <v>97</v>
      </c>
      <c r="J82" s="34">
        <v>96</v>
      </c>
      <c r="K82" s="34">
        <v>103</v>
      </c>
      <c r="L82" s="34">
        <v>100</v>
      </c>
      <c r="M82" s="34">
        <v>102</v>
      </c>
      <c r="N82" s="34">
        <v>95</v>
      </c>
      <c r="O82" s="34">
        <v>100</v>
      </c>
    </row>
    <row r="83" spans="1:15">
      <c r="A83" t="s">
        <v>150</v>
      </c>
      <c r="B83" s="34">
        <v>28.5</v>
      </c>
      <c r="C83" s="34">
        <v>41</v>
      </c>
      <c r="D83" s="34">
        <v>51</v>
      </c>
      <c r="E83" s="34">
        <v>45</v>
      </c>
      <c r="F83" s="34">
        <v>70</v>
      </c>
      <c r="G83" s="34">
        <v>74</v>
      </c>
      <c r="H83" s="34">
        <v>77</v>
      </c>
      <c r="I83" s="34">
        <v>79</v>
      </c>
      <c r="J83" s="34">
        <v>81</v>
      </c>
      <c r="K83" s="34">
        <v>87</v>
      </c>
      <c r="L83" s="34">
        <v>87</v>
      </c>
      <c r="M83" s="34">
        <v>86</v>
      </c>
      <c r="N83" s="34">
        <v>90</v>
      </c>
      <c r="O83" s="34">
        <v>100</v>
      </c>
    </row>
    <row r="84" spans="1:15">
      <c r="A84" t="s">
        <v>151</v>
      </c>
      <c r="B84" s="34">
        <v>31</v>
      </c>
      <c r="C84" s="34">
        <v>44</v>
      </c>
      <c r="D84" s="34">
        <v>48</v>
      </c>
      <c r="E84" s="34">
        <v>49</v>
      </c>
      <c r="F84" s="34">
        <v>70</v>
      </c>
      <c r="G84" s="34">
        <v>71</v>
      </c>
      <c r="H84" s="34">
        <v>87</v>
      </c>
      <c r="I84" s="34">
        <v>93</v>
      </c>
      <c r="J84" s="34">
        <v>93</v>
      </c>
      <c r="K84" s="34">
        <v>106</v>
      </c>
      <c r="L84" s="34">
        <v>100</v>
      </c>
      <c r="M84" s="34">
        <v>95</v>
      </c>
      <c r="N84" s="34">
        <v>98</v>
      </c>
      <c r="O84" s="34">
        <v>73</v>
      </c>
    </row>
    <row r="85" spans="1:15">
      <c r="A85" t="s">
        <v>152</v>
      </c>
      <c r="B85" s="34">
        <v>21.5</v>
      </c>
      <c r="C85" s="34">
        <v>37</v>
      </c>
      <c r="D85" s="34">
        <v>33</v>
      </c>
      <c r="E85" s="34">
        <v>46</v>
      </c>
      <c r="F85" s="34">
        <v>49</v>
      </c>
      <c r="G85" s="34">
        <v>61</v>
      </c>
      <c r="H85" s="34">
        <v>69</v>
      </c>
      <c r="I85" s="34">
        <v>83</v>
      </c>
      <c r="J85" s="34">
        <v>90</v>
      </c>
      <c r="K85" s="34">
        <v>95</v>
      </c>
      <c r="L85" s="34">
        <v>95</v>
      </c>
      <c r="M85" s="34">
        <v>95</v>
      </c>
      <c r="N85" s="34">
        <v>94</v>
      </c>
      <c r="O85" s="34">
        <v>92</v>
      </c>
    </row>
    <row r="86" spans="1:15">
      <c r="A86" t="s">
        <v>153</v>
      </c>
      <c r="B86" s="34">
        <v>37.5</v>
      </c>
      <c r="C86" s="34">
        <v>48</v>
      </c>
      <c r="D86" s="34">
        <v>52</v>
      </c>
      <c r="E86" s="34">
        <v>63</v>
      </c>
      <c r="F86" s="34">
        <v>70</v>
      </c>
      <c r="G86" s="34">
        <v>98</v>
      </c>
      <c r="H86" s="34">
        <v>103</v>
      </c>
      <c r="I86" s="34">
        <v>108</v>
      </c>
      <c r="J86" s="34">
        <v>107</v>
      </c>
      <c r="K86" s="34">
        <v>111</v>
      </c>
      <c r="L86" s="34">
        <v>121</v>
      </c>
      <c r="M86" s="34">
        <v>124</v>
      </c>
      <c r="N86" s="34">
        <v>114</v>
      </c>
      <c r="O86" s="34">
        <v>109</v>
      </c>
    </row>
    <row r="87" spans="1:15">
      <c r="A87" t="s">
        <v>154</v>
      </c>
      <c r="B87" s="34">
        <v>28.5</v>
      </c>
      <c r="C87" s="34">
        <v>37.5</v>
      </c>
      <c r="D87" s="34">
        <v>50.5</v>
      </c>
      <c r="E87" s="34">
        <v>63</v>
      </c>
      <c r="F87" s="34">
        <v>76</v>
      </c>
      <c r="G87" s="34">
        <v>87</v>
      </c>
      <c r="H87" s="34">
        <v>95</v>
      </c>
      <c r="I87" s="34">
        <v>99</v>
      </c>
      <c r="J87" s="34">
        <v>104</v>
      </c>
      <c r="K87" s="34">
        <v>118</v>
      </c>
      <c r="L87" s="34">
        <v>112</v>
      </c>
      <c r="M87" s="34">
        <v>119</v>
      </c>
      <c r="N87" s="34">
        <v>105</v>
      </c>
      <c r="O87" s="34">
        <v>113</v>
      </c>
    </row>
    <row r="88" spans="1:15">
      <c r="A88" t="s">
        <v>155</v>
      </c>
      <c r="B88" s="34">
        <v>27</v>
      </c>
      <c r="C88" s="34">
        <v>37</v>
      </c>
      <c r="D88" s="34">
        <v>48.5</v>
      </c>
      <c r="E88" s="34">
        <v>62</v>
      </c>
      <c r="F88" s="34">
        <v>77</v>
      </c>
      <c r="G88" s="34">
        <v>97</v>
      </c>
      <c r="H88" s="34">
        <v>101</v>
      </c>
      <c r="I88" s="34">
        <v>98</v>
      </c>
      <c r="J88" s="34">
        <v>105</v>
      </c>
      <c r="K88" s="34">
        <v>121</v>
      </c>
      <c r="L88" s="34">
        <v>123</v>
      </c>
      <c r="M88" s="34">
        <v>126</v>
      </c>
      <c r="N88" s="34">
        <v>121</v>
      </c>
      <c r="O88" s="34">
        <v>121</v>
      </c>
    </row>
    <row r="89" spans="1:15">
      <c r="A89" t="s">
        <v>156</v>
      </c>
      <c r="B89" s="34">
        <v>26</v>
      </c>
      <c r="C89" s="34">
        <v>40</v>
      </c>
      <c r="D89" s="34">
        <v>55</v>
      </c>
      <c r="E89" s="34">
        <v>62</v>
      </c>
      <c r="F89" s="34">
        <v>79</v>
      </c>
      <c r="G89" s="34">
        <v>89</v>
      </c>
      <c r="H89" s="34">
        <v>93</v>
      </c>
      <c r="I89" s="34">
        <v>100</v>
      </c>
      <c r="J89" s="34">
        <v>126</v>
      </c>
      <c r="K89" s="34">
        <v>126</v>
      </c>
      <c r="L89" s="34">
        <v>125</v>
      </c>
      <c r="M89" s="34">
        <v>124</v>
      </c>
      <c r="N89" s="34">
        <v>122</v>
      </c>
      <c r="O89" s="34">
        <v>107</v>
      </c>
    </row>
    <row r="90" spans="1:15">
      <c r="A90" t="s">
        <v>157</v>
      </c>
      <c r="B90" s="34">
        <v>34.5</v>
      </c>
      <c r="C90" s="34">
        <v>46</v>
      </c>
      <c r="D90" s="34">
        <v>57</v>
      </c>
      <c r="E90" s="34">
        <v>64</v>
      </c>
      <c r="F90" s="34">
        <v>77</v>
      </c>
      <c r="G90" s="34">
        <v>90</v>
      </c>
      <c r="H90" s="34">
        <v>90</v>
      </c>
      <c r="I90" s="34">
        <v>110</v>
      </c>
      <c r="J90" s="34">
        <v>104</v>
      </c>
      <c r="K90" s="34">
        <v>112</v>
      </c>
      <c r="L90" s="34">
        <v>113</v>
      </c>
      <c r="M90" s="34">
        <v>112</v>
      </c>
      <c r="N90" s="34">
        <v>111</v>
      </c>
      <c r="O90" s="34">
        <v>110</v>
      </c>
    </row>
    <row r="91" spans="1:15">
      <c r="A91" t="s">
        <v>158</v>
      </c>
      <c r="B91" s="34">
        <v>28.5</v>
      </c>
      <c r="C91" s="34">
        <v>29</v>
      </c>
      <c r="D91" s="34">
        <v>48.5</v>
      </c>
      <c r="E91" s="34">
        <v>60</v>
      </c>
      <c r="F91" s="34">
        <v>65</v>
      </c>
      <c r="G91" s="34">
        <v>84</v>
      </c>
      <c r="H91" s="34">
        <v>93</v>
      </c>
      <c r="I91" s="34">
        <v>100</v>
      </c>
      <c r="J91" s="34">
        <v>107</v>
      </c>
      <c r="K91" s="34">
        <v>105</v>
      </c>
      <c r="L91" s="34">
        <v>113</v>
      </c>
      <c r="M91" s="34">
        <v>113</v>
      </c>
      <c r="N91" s="34">
        <v>110</v>
      </c>
      <c r="O91" s="34">
        <v>111</v>
      </c>
    </row>
    <row r="92" spans="1:15">
      <c r="A92" t="s">
        <v>159</v>
      </c>
      <c r="B92" s="34">
        <v>23.5</v>
      </c>
      <c r="C92" s="34">
        <v>32</v>
      </c>
      <c r="D92" s="34">
        <v>41.5</v>
      </c>
      <c r="E92" s="34">
        <v>53</v>
      </c>
      <c r="F92" s="34">
        <v>74</v>
      </c>
      <c r="G92" s="34">
        <v>80</v>
      </c>
      <c r="H92" s="34">
        <v>93</v>
      </c>
      <c r="I92" s="34">
        <v>97</v>
      </c>
      <c r="J92" s="34">
        <v>103</v>
      </c>
      <c r="K92" s="34">
        <v>113</v>
      </c>
      <c r="L92" s="34">
        <v>107</v>
      </c>
      <c r="M92" s="34">
        <v>109</v>
      </c>
      <c r="N92" s="34">
        <v>109</v>
      </c>
      <c r="O92" s="34">
        <v>100</v>
      </c>
    </row>
    <row r="93" spans="1:15">
      <c r="A93" t="s">
        <v>160</v>
      </c>
      <c r="B93" s="34">
        <v>28</v>
      </c>
      <c r="C93" s="34">
        <v>37</v>
      </c>
      <c r="D93" s="34">
        <v>47</v>
      </c>
      <c r="E93" s="34">
        <v>55</v>
      </c>
      <c r="F93" s="34">
        <v>67</v>
      </c>
      <c r="G93" s="34">
        <v>85</v>
      </c>
      <c r="H93" s="34">
        <v>93</v>
      </c>
      <c r="I93" s="34">
        <v>93</v>
      </c>
      <c r="J93" s="34">
        <v>97</v>
      </c>
      <c r="K93" s="34">
        <v>102</v>
      </c>
      <c r="L93" s="34">
        <v>98</v>
      </c>
      <c r="M93" s="34">
        <v>96</v>
      </c>
      <c r="N93" s="34">
        <v>99</v>
      </c>
      <c r="O93" s="34">
        <v>106</v>
      </c>
    </row>
    <row r="94" spans="1:15">
      <c r="A94" t="s">
        <v>161</v>
      </c>
      <c r="B94" s="34">
        <v>26.5</v>
      </c>
      <c r="C94" s="34">
        <v>36</v>
      </c>
      <c r="D94" s="34">
        <v>48.5</v>
      </c>
      <c r="E94" s="34">
        <v>60</v>
      </c>
      <c r="F94" s="34">
        <v>71</v>
      </c>
      <c r="G94" s="34">
        <v>91</v>
      </c>
      <c r="H94" s="34">
        <v>84</v>
      </c>
      <c r="I94" s="34">
        <v>98</v>
      </c>
      <c r="J94" s="34">
        <v>96</v>
      </c>
      <c r="K94" s="34">
        <v>101</v>
      </c>
      <c r="L94" s="34">
        <v>96</v>
      </c>
      <c r="M94" s="34">
        <v>114</v>
      </c>
      <c r="N94" s="34">
        <v>123</v>
      </c>
      <c r="O94" s="34">
        <v>103</v>
      </c>
    </row>
    <row r="95" spans="1:15">
      <c r="A95" t="s">
        <v>162</v>
      </c>
      <c r="B95" s="34">
        <v>25</v>
      </c>
      <c r="C95" s="34">
        <v>37</v>
      </c>
      <c r="D95" s="34">
        <v>46</v>
      </c>
      <c r="E95" s="34">
        <v>57</v>
      </c>
      <c r="F95" s="34">
        <v>72</v>
      </c>
      <c r="G95" s="34">
        <v>88</v>
      </c>
      <c r="H95" s="34">
        <v>97</v>
      </c>
      <c r="I95" s="34">
        <v>100</v>
      </c>
      <c r="J95" s="34">
        <v>98</v>
      </c>
      <c r="K95" s="34">
        <v>98</v>
      </c>
      <c r="L95" s="34">
        <v>108</v>
      </c>
      <c r="M95" s="34">
        <v>114</v>
      </c>
      <c r="N95" s="34">
        <v>112</v>
      </c>
      <c r="O95" s="34">
        <v>102</v>
      </c>
    </row>
    <row r="96" spans="1:15">
      <c r="A96" t="s">
        <v>163</v>
      </c>
      <c r="B96" s="34">
        <v>30.5</v>
      </c>
      <c r="C96" s="34">
        <v>34</v>
      </c>
      <c r="D96" s="34">
        <v>46.5</v>
      </c>
      <c r="E96" s="34">
        <v>55</v>
      </c>
      <c r="F96" s="34">
        <v>74</v>
      </c>
      <c r="G96" s="34">
        <v>83</v>
      </c>
      <c r="H96" s="34">
        <v>89</v>
      </c>
      <c r="I96" s="34">
        <v>97</v>
      </c>
      <c r="J96" s="34">
        <v>100</v>
      </c>
      <c r="K96" s="34">
        <v>107</v>
      </c>
      <c r="L96" s="34">
        <v>118</v>
      </c>
      <c r="M96" s="34">
        <v>119</v>
      </c>
      <c r="N96" s="34">
        <v>123</v>
      </c>
      <c r="O96" s="34">
        <v>96</v>
      </c>
    </row>
    <row r="97" spans="1:15">
      <c r="A97" t="s">
        <v>164</v>
      </c>
      <c r="B97" s="34">
        <v>25</v>
      </c>
      <c r="C97" s="34">
        <v>33</v>
      </c>
      <c r="D97" s="34">
        <v>41</v>
      </c>
      <c r="E97" s="34">
        <v>46</v>
      </c>
      <c r="F97" s="34">
        <v>72</v>
      </c>
      <c r="G97" s="34">
        <v>77</v>
      </c>
      <c r="H97" s="34">
        <v>84</v>
      </c>
      <c r="I97" s="34">
        <v>88</v>
      </c>
      <c r="J97" s="34">
        <v>95</v>
      </c>
      <c r="K97" s="34">
        <v>101</v>
      </c>
      <c r="L97" s="34">
        <v>96</v>
      </c>
      <c r="M97" s="34">
        <v>98</v>
      </c>
      <c r="N97" s="34">
        <v>97</v>
      </c>
      <c r="O97" s="34">
        <v>107</v>
      </c>
    </row>
    <row r="98" spans="1:15">
      <c r="A98" t="s">
        <v>165</v>
      </c>
      <c r="B98" s="34">
        <v>36.5</v>
      </c>
      <c r="C98" s="34">
        <v>42</v>
      </c>
      <c r="D98" s="34">
        <v>58</v>
      </c>
      <c r="E98" s="34">
        <v>54</v>
      </c>
      <c r="F98" s="34">
        <v>71</v>
      </c>
      <c r="G98" s="34">
        <v>78</v>
      </c>
      <c r="H98" s="34">
        <v>84</v>
      </c>
      <c r="I98" s="34">
        <v>85</v>
      </c>
      <c r="J98" s="34">
        <v>89</v>
      </c>
      <c r="K98" s="34">
        <v>91</v>
      </c>
      <c r="L98" s="34">
        <v>88</v>
      </c>
      <c r="M98" s="34">
        <v>88</v>
      </c>
      <c r="N98" s="34">
        <v>94</v>
      </c>
      <c r="O98" s="34">
        <v>95</v>
      </c>
    </row>
    <row r="99" spans="1:15">
      <c r="A99" t="s">
        <v>166</v>
      </c>
      <c r="B99" s="34">
        <v>29</v>
      </c>
      <c r="C99" s="34">
        <v>31</v>
      </c>
      <c r="D99" s="34">
        <v>52</v>
      </c>
      <c r="E99" s="34">
        <v>48</v>
      </c>
      <c r="F99" s="34">
        <v>69</v>
      </c>
      <c r="G99" s="34">
        <v>65</v>
      </c>
      <c r="H99" s="34">
        <v>69</v>
      </c>
      <c r="I99" s="34">
        <v>82</v>
      </c>
      <c r="J99" s="34">
        <v>80</v>
      </c>
      <c r="K99" s="34">
        <v>88</v>
      </c>
      <c r="L99" s="34">
        <v>88</v>
      </c>
      <c r="M99" s="34">
        <v>87</v>
      </c>
      <c r="N99" s="34">
        <v>87</v>
      </c>
      <c r="O99" s="34">
        <v>88</v>
      </c>
    </row>
    <row r="100" spans="1:15">
      <c r="A100" t="s">
        <v>167</v>
      </c>
      <c r="B100" s="34">
        <v>29.5</v>
      </c>
      <c r="C100" s="34">
        <v>37</v>
      </c>
      <c r="D100" s="34">
        <v>53</v>
      </c>
      <c r="E100" s="34">
        <v>47</v>
      </c>
      <c r="F100" s="34">
        <v>66</v>
      </c>
      <c r="G100" s="34">
        <v>63</v>
      </c>
      <c r="H100" s="34">
        <v>70</v>
      </c>
      <c r="I100" s="34">
        <v>77</v>
      </c>
      <c r="J100" s="34">
        <v>78</v>
      </c>
      <c r="K100" s="34">
        <v>80</v>
      </c>
      <c r="L100" s="34">
        <v>81</v>
      </c>
      <c r="M100" s="34">
        <v>78</v>
      </c>
      <c r="N100" s="34">
        <v>83</v>
      </c>
      <c r="O100" s="34">
        <v>79</v>
      </c>
    </row>
    <row r="101" spans="1:15">
      <c r="A101" t="s">
        <v>168</v>
      </c>
      <c r="B101" s="34">
        <v>28</v>
      </c>
      <c r="C101" s="34">
        <v>38</v>
      </c>
      <c r="D101" s="34">
        <v>54.5</v>
      </c>
      <c r="E101" s="34">
        <v>58</v>
      </c>
      <c r="F101" s="34">
        <v>68</v>
      </c>
      <c r="G101" s="34">
        <v>76</v>
      </c>
      <c r="H101" s="34">
        <v>80</v>
      </c>
      <c r="I101" s="34">
        <v>85</v>
      </c>
      <c r="J101" s="34">
        <v>85</v>
      </c>
      <c r="K101" s="34">
        <v>88</v>
      </c>
      <c r="L101" s="34">
        <v>106</v>
      </c>
      <c r="M101" s="34">
        <v>87</v>
      </c>
      <c r="N101" s="34">
        <v>104</v>
      </c>
      <c r="O101" s="34">
        <v>103</v>
      </c>
    </row>
    <row r="102" spans="1:15">
      <c r="A102" t="s">
        <v>169</v>
      </c>
      <c r="B102" s="34">
        <v>33.5</v>
      </c>
      <c r="C102" s="34">
        <v>32.5</v>
      </c>
      <c r="D102" s="34">
        <v>58</v>
      </c>
      <c r="E102" s="34">
        <v>46</v>
      </c>
      <c r="F102" s="34">
        <v>70</v>
      </c>
      <c r="G102" s="34">
        <v>69</v>
      </c>
      <c r="H102" s="34">
        <v>78</v>
      </c>
      <c r="I102" s="34">
        <v>82</v>
      </c>
      <c r="J102" s="34">
        <v>83</v>
      </c>
      <c r="K102" s="34">
        <v>86</v>
      </c>
      <c r="L102" s="34">
        <v>86</v>
      </c>
      <c r="M102" s="34">
        <v>90</v>
      </c>
      <c r="N102" s="34">
        <v>96</v>
      </c>
      <c r="O102" s="34">
        <v>91</v>
      </c>
    </row>
    <row r="103" spans="1:15">
      <c r="A103" t="s">
        <v>170</v>
      </c>
      <c r="B103" s="34">
        <v>26</v>
      </c>
      <c r="C103" s="34">
        <v>38</v>
      </c>
      <c r="D103" s="34">
        <v>49.5</v>
      </c>
      <c r="E103" s="34">
        <v>53</v>
      </c>
      <c r="F103" s="34">
        <v>58</v>
      </c>
      <c r="G103" s="34">
        <v>66</v>
      </c>
      <c r="H103" s="34">
        <v>80</v>
      </c>
      <c r="I103" s="34">
        <v>90</v>
      </c>
      <c r="J103" s="34">
        <v>94</v>
      </c>
      <c r="K103" s="34">
        <v>97</v>
      </c>
      <c r="L103" s="34">
        <v>95</v>
      </c>
      <c r="M103" s="34">
        <v>93</v>
      </c>
      <c r="N103" s="34">
        <v>92</v>
      </c>
      <c r="O103" s="34">
        <v>89</v>
      </c>
    </row>
    <row r="104" spans="1:15">
      <c r="A104" t="s">
        <v>171</v>
      </c>
      <c r="B104" s="34">
        <v>34.5</v>
      </c>
      <c r="C104" s="34">
        <v>46</v>
      </c>
      <c r="D104" s="34">
        <v>59</v>
      </c>
      <c r="E104" s="34">
        <v>56</v>
      </c>
      <c r="F104" s="34">
        <v>73</v>
      </c>
      <c r="G104" s="34">
        <v>82</v>
      </c>
      <c r="H104" s="34">
        <v>95</v>
      </c>
      <c r="I104" s="34">
        <v>100</v>
      </c>
      <c r="J104" s="34">
        <v>107</v>
      </c>
      <c r="K104" s="34">
        <v>126</v>
      </c>
      <c r="L104" s="34">
        <v>115</v>
      </c>
      <c r="M104" s="34">
        <v>118</v>
      </c>
      <c r="N104" s="34">
        <v>120</v>
      </c>
      <c r="O104" s="34">
        <v>118</v>
      </c>
    </row>
    <row r="105" spans="1:15">
      <c r="A105" t="s">
        <v>172</v>
      </c>
      <c r="B105" s="34">
        <v>31</v>
      </c>
      <c r="C105" s="34">
        <v>39</v>
      </c>
      <c r="D105" s="34">
        <v>51.5</v>
      </c>
      <c r="E105" s="34">
        <v>60</v>
      </c>
      <c r="F105" s="34">
        <v>68</v>
      </c>
      <c r="G105" s="34">
        <v>83</v>
      </c>
      <c r="H105" s="34">
        <v>85</v>
      </c>
      <c r="I105" s="34">
        <v>90</v>
      </c>
      <c r="J105" s="34">
        <v>88</v>
      </c>
      <c r="K105" s="34">
        <v>91</v>
      </c>
      <c r="L105" s="34">
        <v>93</v>
      </c>
      <c r="M105" s="34">
        <v>110</v>
      </c>
      <c r="N105" s="34">
        <v>110</v>
      </c>
      <c r="O105" s="34">
        <v>101</v>
      </c>
    </row>
    <row r="106" spans="1:15">
      <c r="A106" t="s">
        <v>173</v>
      </c>
      <c r="B106" s="34">
        <v>36</v>
      </c>
      <c r="C106" s="34">
        <v>34.5</v>
      </c>
      <c r="D106" s="34">
        <v>56</v>
      </c>
      <c r="E106" s="34">
        <v>57</v>
      </c>
      <c r="F106" s="34">
        <v>75</v>
      </c>
      <c r="G106" s="34">
        <v>80</v>
      </c>
      <c r="H106" s="34">
        <v>95</v>
      </c>
      <c r="I106" s="34">
        <v>100</v>
      </c>
      <c r="J106" s="34">
        <v>95</v>
      </c>
      <c r="K106" s="34">
        <v>99</v>
      </c>
      <c r="L106" s="34">
        <v>106</v>
      </c>
      <c r="M106" s="34">
        <v>112</v>
      </c>
      <c r="N106" s="34">
        <v>117</v>
      </c>
      <c r="O106" s="34">
        <v>107</v>
      </c>
    </row>
    <row r="107" spans="1:15">
      <c r="A107" t="s">
        <v>174</v>
      </c>
      <c r="B107" s="34">
        <v>35</v>
      </c>
      <c r="C107" s="34">
        <v>40</v>
      </c>
      <c r="D107" s="34">
        <v>56.5</v>
      </c>
      <c r="E107" s="34">
        <v>70</v>
      </c>
      <c r="F107" s="34">
        <v>75</v>
      </c>
      <c r="G107" s="34">
        <v>86</v>
      </c>
      <c r="H107" s="34">
        <v>107</v>
      </c>
      <c r="I107" s="34">
        <v>98</v>
      </c>
      <c r="J107" s="34">
        <v>100</v>
      </c>
      <c r="K107" s="34">
        <v>107</v>
      </c>
      <c r="L107" s="34">
        <v>108</v>
      </c>
      <c r="M107" s="34">
        <v>105</v>
      </c>
      <c r="N107" s="34">
        <v>115</v>
      </c>
      <c r="O107" s="34">
        <v>107</v>
      </c>
    </row>
    <row r="108" spans="1:15">
      <c r="A108" t="s">
        <v>175</v>
      </c>
      <c r="B108" s="34">
        <v>38.5</v>
      </c>
      <c r="C108" s="34">
        <v>48</v>
      </c>
      <c r="D108" s="34">
        <v>64.5</v>
      </c>
      <c r="E108" s="34">
        <v>74</v>
      </c>
      <c r="F108" s="34">
        <v>82</v>
      </c>
      <c r="G108" s="34">
        <v>81</v>
      </c>
      <c r="H108" s="34">
        <v>92</v>
      </c>
      <c r="I108" s="34">
        <v>97</v>
      </c>
      <c r="J108" s="34">
        <v>91</v>
      </c>
      <c r="K108" s="34">
        <v>100</v>
      </c>
      <c r="L108" s="34">
        <v>97</v>
      </c>
      <c r="M108" s="34">
        <v>94</v>
      </c>
      <c r="N108" s="34">
        <v>92</v>
      </c>
      <c r="O108" s="34">
        <v>100</v>
      </c>
    </row>
    <row r="109" spans="1:15">
      <c r="A109" t="s">
        <v>176</v>
      </c>
      <c r="B109" s="34">
        <v>36</v>
      </c>
      <c r="C109" s="34">
        <v>42</v>
      </c>
      <c r="D109" s="34">
        <v>63</v>
      </c>
      <c r="E109" s="34">
        <v>69</v>
      </c>
      <c r="F109" s="34">
        <v>86</v>
      </c>
      <c r="G109" s="34">
        <v>94</v>
      </c>
      <c r="H109" s="34">
        <v>97</v>
      </c>
      <c r="I109" s="34">
        <v>106</v>
      </c>
      <c r="J109" s="34">
        <v>107</v>
      </c>
      <c r="K109" s="34">
        <v>102</v>
      </c>
      <c r="L109" s="34">
        <v>97</v>
      </c>
      <c r="M109" s="34">
        <v>99</v>
      </c>
      <c r="N109" s="34">
        <v>103</v>
      </c>
      <c r="O109" s="34">
        <v>107</v>
      </c>
    </row>
    <row r="110" spans="1:15">
      <c r="A110" t="s">
        <v>177</v>
      </c>
      <c r="B110" s="34">
        <v>33.5</v>
      </c>
      <c r="C110" s="34">
        <v>43</v>
      </c>
      <c r="D110" s="34">
        <v>55</v>
      </c>
      <c r="E110" s="34">
        <v>65</v>
      </c>
      <c r="F110" s="34">
        <v>70</v>
      </c>
      <c r="G110" s="34">
        <v>70</v>
      </c>
      <c r="H110" s="34">
        <v>80</v>
      </c>
      <c r="I110" s="34">
        <v>94</v>
      </c>
      <c r="J110" s="34">
        <v>87</v>
      </c>
      <c r="K110" s="34">
        <v>127</v>
      </c>
      <c r="L110" s="34">
        <v>127</v>
      </c>
      <c r="M110" s="34">
        <v>141</v>
      </c>
      <c r="N110" s="34">
        <v>130</v>
      </c>
      <c r="O110" s="34">
        <v>127</v>
      </c>
    </row>
    <row r="111" spans="1:15">
      <c r="A111" t="s">
        <v>178</v>
      </c>
      <c r="B111" s="34">
        <v>35</v>
      </c>
      <c r="C111" s="34">
        <v>44</v>
      </c>
      <c r="D111" s="34">
        <v>58</v>
      </c>
      <c r="E111" s="34">
        <v>65</v>
      </c>
      <c r="F111" s="34">
        <v>70</v>
      </c>
      <c r="G111" s="34">
        <v>83</v>
      </c>
      <c r="H111" s="34">
        <v>87</v>
      </c>
      <c r="I111" s="34">
        <v>95</v>
      </c>
      <c r="J111" s="34">
        <v>93</v>
      </c>
      <c r="K111" s="34">
        <v>95</v>
      </c>
      <c r="L111" s="34">
        <v>94</v>
      </c>
      <c r="M111" s="34">
        <v>105</v>
      </c>
      <c r="N111" s="34">
        <v>101</v>
      </c>
      <c r="O111" s="34">
        <v>91</v>
      </c>
    </row>
    <row r="112" spans="1:15">
      <c r="A112" t="s">
        <v>179</v>
      </c>
      <c r="B112" s="34">
        <v>29.5</v>
      </c>
      <c r="C112" s="34">
        <v>40</v>
      </c>
      <c r="D112" s="34">
        <v>52</v>
      </c>
      <c r="E112" s="34">
        <v>63</v>
      </c>
      <c r="F112" s="34">
        <v>76</v>
      </c>
      <c r="G112" s="34">
        <v>81</v>
      </c>
      <c r="H112" s="34">
        <v>90</v>
      </c>
      <c r="I112" s="34">
        <v>98</v>
      </c>
      <c r="J112" s="34">
        <v>100</v>
      </c>
      <c r="K112" s="34">
        <v>102</v>
      </c>
      <c r="L112" s="34">
        <v>102</v>
      </c>
      <c r="M112" s="34">
        <v>110</v>
      </c>
      <c r="N112" s="34">
        <v>106</v>
      </c>
      <c r="O112" s="34">
        <v>106</v>
      </c>
    </row>
    <row r="113" spans="1:15">
      <c r="A113" t="s">
        <v>180</v>
      </c>
      <c r="B113" s="34">
        <v>20</v>
      </c>
      <c r="C113" s="34">
        <v>32</v>
      </c>
      <c r="D113" s="34">
        <v>42.5</v>
      </c>
      <c r="E113" s="34">
        <v>52</v>
      </c>
      <c r="F113" s="34">
        <v>72</v>
      </c>
      <c r="G113" s="34">
        <v>78</v>
      </c>
      <c r="H113" s="34">
        <v>88</v>
      </c>
      <c r="I113" s="34">
        <v>104</v>
      </c>
      <c r="J113" s="34">
        <v>102</v>
      </c>
      <c r="K113" s="34">
        <v>101</v>
      </c>
      <c r="L113" s="34">
        <v>122</v>
      </c>
      <c r="M113" s="34">
        <v>124</v>
      </c>
      <c r="N113" s="34">
        <v>110</v>
      </c>
      <c r="O113" s="34">
        <v>112</v>
      </c>
    </row>
    <row r="114" spans="1:15">
      <c r="A114" t="s">
        <v>181</v>
      </c>
      <c r="B114" s="34">
        <v>26</v>
      </c>
      <c r="C114" s="34">
        <v>34</v>
      </c>
      <c r="D114" s="34">
        <v>52.5</v>
      </c>
      <c r="E114" s="34">
        <v>55</v>
      </c>
      <c r="F114" s="34">
        <v>71</v>
      </c>
      <c r="G114" s="34">
        <v>76</v>
      </c>
      <c r="H114" s="34">
        <v>85</v>
      </c>
      <c r="I114" s="34">
        <v>95</v>
      </c>
      <c r="J114" s="34">
        <v>108</v>
      </c>
      <c r="K114" s="34">
        <v>104</v>
      </c>
      <c r="L114" s="34">
        <v>103</v>
      </c>
      <c r="M114" s="34">
        <v>119</v>
      </c>
      <c r="N114" s="34">
        <v>108</v>
      </c>
      <c r="O114" s="34">
        <v>104</v>
      </c>
    </row>
    <row r="115" spans="1:15">
      <c r="A115" t="s">
        <v>182</v>
      </c>
      <c r="B115" s="34">
        <v>28.5</v>
      </c>
      <c r="C115" s="34">
        <v>42</v>
      </c>
      <c r="D115" s="34">
        <v>50</v>
      </c>
      <c r="E115" s="34">
        <v>61</v>
      </c>
      <c r="F115" s="34">
        <v>67</v>
      </c>
      <c r="G115" s="34">
        <v>79</v>
      </c>
      <c r="H115" s="34">
        <v>84</v>
      </c>
      <c r="I115" s="34">
        <v>91</v>
      </c>
      <c r="J115" s="34">
        <v>92</v>
      </c>
      <c r="K115" s="34">
        <v>93</v>
      </c>
      <c r="L115" s="34">
        <v>98</v>
      </c>
      <c r="M115" s="34">
        <v>96</v>
      </c>
      <c r="N115" s="34">
        <v>98</v>
      </c>
      <c r="O115" s="34">
        <v>100</v>
      </c>
    </row>
    <row r="116" spans="1:15">
      <c r="A116" t="s">
        <v>183</v>
      </c>
      <c r="B116" s="34">
        <v>32</v>
      </c>
      <c r="C116" s="34">
        <v>41.5</v>
      </c>
      <c r="D116" s="34">
        <v>56</v>
      </c>
      <c r="E116" s="34">
        <v>64</v>
      </c>
      <c r="F116" s="34">
        <v>68</v>
      </c>
      <c r="G116" s="34">
        <v>85</v>
      </c>
      <c r="H116" s="34">
        <v>93</v>
      </c>
      <c r="I116" s="34">
        <v>102</v>
      </c>
      <c r="J116" s="34">
        <v>105</v>
      </c>
      <c r="K116" s="34">
        <v>101</v>
      </c>
      <c r="L116" s="34">
        <v>103</v>
      </c>
      <c r="M116" s="34">
        <v>104</v>
      </c>
      <c r="N116" s="34">
        <v>106</v>
      </c>
      <c r="O116" s="34">
        <v>101</v>
      </c>
    </row>
    <row r="117" spans="1:15">
      <c r="A117" t="s">
        <v>184</v>
      </c>
      <c r="B117" s="34">
        <v>26</v>
      </c>
      <c r="C117" s="34">
        <v>35</v>
      </c>
      <c r="D117" s="34">
        <v>54</v>
      </c>
      <c r="E117" s="34">
        <v>52</v>
      </c>
      <c r="F117" s="34">
        <v>80</v>
      </c>
      <c r="G117" s="34">
        <v>94</v>
      </c>
      <c r="H117" s="34">
        <v>92</v>
      </c>
      <c r="I117" s="34">
        <v>100</v>
      </c>
      <c r="J117" s="34">
        <v>102</v>
      </c>
      <c r="K117" s="34">
        <v>105</v>
      </c>
      <c r="L117" s="34">
        <v>112</v>
      </c>
      <c r="M117" s="34">
        <v>121</v>
      </c>
      <c r="N117" s="34">
        <v>107</v>
      </c>
      <c r="O117" s="34">
        <v>106</v>
      </c>
    </row>
    <row r="118" spans="1:15">
      <c r="A118" t="s">
        <v>185</v>
      </c>
      <c r="B118" s="34">
        <v>28</v>
      </c>
      <c r="C118" s="34">
        <v>40</v>
      </c>
      <c r="D118" s="34">
        <v>53</v>
      </c>
      <c r="E118" s="34">
        <v>67</v>
      </c>
      <c r="F118" s="34">
        <v>80</v>
      </c>
      <c r="G118" s="34">
        <v>100</v>
      </c>
      <c r="H118" s="34">
        <v>105</v>
      </c>
      <c r="I118" s="34">
        <v>108</v>
      </c>
      <c r="J118" s="34">
        <v>109</v>
      </c>
      <c r="K118" s="34">
        <v>108</v>
      </c>
      <c r="L118" s="34">
        <v>114</v>
      </c>
      <c r="M118" s="34">
        <v>110</v>
      </c>
      <c r="N118" s="34">
        <v>108</v>
      </c>
      <c r="O118" s="34">
        <v>108</v>
      </c>
    </row>
    <row r="119" spans="1:15">
      <c r="A119" t="s">
        <v>186</v>
      </c>
      <c r="B119" s="34">
        <v>26.5</v>
      </c>
      <c r="C119" s="34">
        <v>38</v>
      </c>
      <c r="D119" s="34">
        <v>57</v>
      </c>
      <c r="E119" s="34">
        <v>64</v>
      </c>
      <c r="F119" s="34">
        <v>80</v>
      </c>
      <c r="G119" s="34">
        <v>89</v>
      </c>
      <c r="H119" s="34">
        <v>101</v>
      </c>
      <c r="I119" s="34">
        <v>109</v>
      </c>
      <c r="J119" s="34">
        <v>101</v>
      </c>
      <c r="K119" s="34">
        <v>112</v>
      </c>
      <c r="L119" s="34">
        <v>117</v>
      </c>
      <c r="M119" s="34">
        <v>117</v>
      </c>
      <c r="N119" s="34">
        <v>115</v>
      </c>
      <c r="O119" s="34">
        <v>118</v>
      </c>
    </row>
    <row r="120" spans="1:15">
      <c r="A120" t="s">
        <v>187</v>
      </c>
      <c r="B120" s="34">
        <v>31.5</v>
      </c>
      <c r="C120" s="34">
        <v>43</v>
      </c>
      <c r="D120" s="34">
        <v>60</v>
      </c>
      <c r="E120" s="34">
        <v>69</v>
      </c>
      <c r="F120" s="34">
        <v>77</v>
      </c>
      <c r="G120" s="34">
        <v>98</v>
      </c>
      <c r="H120" s="34">
        <v>100</v>
      </c>
      <c r="I120" s="34">
        <v>107</v>
      </c>
      <c r="J120" s="34">
        <v>105</v>
      </c>
      <c r="K120" s="34">
        <v>104</v>
      </c>
      <c r="L120" s="34">
        <v>96</v>
      </c>
      <c r="M120" s="34">
        <v>105</v>
      </c>
      <c r="N120" s="34">
        <v>114</v>
      </c>
      <c r="O120" s="34">
        <v>103</v>
      </c>
    </row>
    <row r="121" spans="1:15">
      <c r="A121" t="s">
        <v>188</v>
      </c>
      <c r="B121" s="34">
        <v>25.5</v>
      </c>
      <c r="C121" s="34">
        <v>36</v>
      </c>
      <c r="D121" s="34">
        <v>45</v>
      </c>
      <c r="E121" s="34">
        <v>53</v>
      </c>
      <c r="F121" s="34">
        <v>67</v>
      </c>
      <c r="G121" s="34">
        <v>86</v>
      </c>
      <c r="H121" s="34">
        <v>92</v>
      </c>
      <c r="I121" s="34">
        <v>100</v>
      </c>
      <c r="J121" s="34">
        <v>104</v>
      </c>
      <c r="K121" s="34">
        <v>106</v>
      </c>
      <c r="L121" s="34">
        <v>107</v>
      </c>
      <c r="M121" s="34">
        <v>109</v>
      </c>
      <c r="N121" s="34">
        <v>116</v>
      </c>
      <c r="O121" s="34">
        <v>106</v>
      </c>
    </row>
    <row r="122" spans="1:15">
      <c r="A122" t="s">
        <v>189</v>
      </c>
      <c r="B122" s="34">
        <v>32</v>
      </c>
      <c r="C122" s="34">
        <v>37.5</v>
      </c>
      <c r="D122" s="34">
        <v>49</v>
      </c>
      <c r="E122" s="34">
        <v>54</v>
      </c>
      <c r="F122" s="34">
        <v>74</v>
      </c>
      <c r="G122" s="34">
        <v>92</v>
      </c>
      <c r="H122" s="34">
        <v>101</v>
      </c>
      <c r="I122" s="34">
        <v>107</v>
      </c>
      <c r="J122" s="34">
        <v>108</v>
      </c>
      <c r="K122" s="34">
        <v>127</v>
      </c>
      <c r="L122" s="34">
        <v>127</v>
      </c>
      <c r="M122" s="34">
        <v>133</v>
      </c>
      <c r="N122" s="34">
        <v>127</v>
      </c>
      <c r="O122" s="34">
        <v>135</v>
      </c>
    </row>
    <row r="123" spans="1:15">
      <c r="A123" t="s">
        <v>190</v>
      </c>
      <c r="B123" s="34">
        <v>34</v>
      </c>
      <c r="C123" s="34">
        <v>49</v>
      </c>
      <c r="D123" s="34">
        <v>54</v>
      </c>
      <c r="E123" s="34">
        <v>49</v>
      </c>
      <c r="F123" s="34">
        <v>75</v>
      </c>
      <c r="G123" s="34">
        <v>89</v>
      </c>
      <c r="H123" s="34">
        <v>94</v>
      </c>
      <c r="I123" s="34">
        <v>110</v>
      </c>
      <c r="J123" s="34">
        <v>106</v>
      </c>
      <c r="K123" s="34">
        <v>127</v>
      </c>
      <c r="L123" s="34">
        <v>128</v>
      </c>
      <c r="M123" s="34">
        <v>133</v>
      </c>
      <c r="N123" s="34">
        <v>135</v>
      </c>
      <c r="O123" s="34">
        <v>129</v>
      </c>
    </row>
    <row r="124" spans="1:15">
      <c r="A124" t="s">
        <v>191</v>
      </c>
      <c r="B124" s="34">
        <v>36.5</v>
      </c>
      <c r="C124" s="34">
        <v>46</v>
      </c>
      <c r="D124" s="34">
        <v>60</v>
      </c>
      <c r="E124" s="34">
        <v>60</v>
      </c>
      <c r="F124" s="34">
        <v>78</v>
      </c>
      <c r="G124" s="34">
        <v>90</v>
      </c>
      <c r="H124" s="34">
        <v>96</v>
      </c>
      <c r="I124" s="34">
        <v>102</v>
      </c>
      <c r="J124" s="34">
        <v>106</v>
      </c>
      <c r="K124" s="34">
        <v>106</v>
      </c>
      <c r="L124" s="34">
        <v>109</v>
      </c>
      <c r="M124" s="34">
        <v>123</v>
      </c>
      <c r="N124" s="34">
        <v>116</v>
      </c>
      <c r="O124" s="34">
        <v>116</v>
      </c>
    </row>
    <row r="125" spans="1:15">
      <c r="A125" t="s">
        <v>192</v>
      </c>
      <c r="B125" s="34">
        <v>27</v>
      </c>
      <c r="C125" s="34">
        <v>42.5</v>
      </c>
      <c r="D125" s="34">
        <v>53</v>
      </c>
      <c r="E125" s="34">
        <v>60</v>
      </c>
      <c r="F125" s="34">
        <v>69</v>
      </c>
      <c r="G125" s="34">
        <v>90</v>
      </c>
      <c r="H125" s="34">
        <v>94</v>
      </c>
      <c r="I125" s="34">
        <v>105</v>
      </c>
      <c r="J125" s="34">
        <v>103</v>
      </c>
      <c r="K125" s="34">
        <v>120</v>
      </c>
      <c r="L125" s="34">
        <v>110</v>
      </c>
      <c r="M125" s="34">
        <v>123</v>
      </c>
      <c r="N125" s="34">
        <v>121</v>
      </c>
      <c r="O125" s="34">
        <v>102</v>
      </c>
    </row>
    <row r="126" spans="1:15">
      <c r="A126" t="s">
        <v>193</v>
      </c>
      <c r="B126" s="34">
        <v>31</v>
      </c>
      <c r="C126" s="34">
        <v>41</v>
      </c>
      <c r="D126" s="34">
        <v>52.5</v>
      </c>
      <c r="E126" s="34">
        <v>60</v>
      </c>
      <c r="F126" s="34">
        <v>79</v>
      </c>
      <c r="G126" s="34">
        <v>94</v>
      </c>
      <c r="H126" s="34">
        <v>97</v>
      </c>
      <c r="I126" s="34">
        <v>105</v>
      </c>
      <c r="J126" s="34">
        <v>104</v>
      </c>
      <c r="K126" s="34">
        <v>128</v>
      </c>
      <c r="L126" s="34">
        <v>109</v>
      </c>
      <c r="M126" s="34">
        <v>119</v>
      </c>
      <c r="N126" s="34">
        <v>118</v>
      </c>
      <c r="O126" s="34">
        <v>123</v>
      </c>
    </row>
    <row r="127" spans="1:15">
      <c r="A127" t="s">
        <v>194</v>
      </c>
      <c r="B127" s="34">
        <v>26</v>
      </c>
      <c r="C127" s="34">
        <v>38.5</v>
      </c>
      <c r="D127" s="34">
        <v>47</v>
      </c>
      <c r="E127" s="34">
        <v>48</v>
      </c>
      <c r="F127" s="34">
        <v>66</v>
      </c>
      <c r="G127" s="34">
        <v>92</v>
      </c>
      <c r="H127" s="34">
        <v>99</v>
      </c>
      <c r="I127" s="34">
        <v>112</v>
      </c>
      <c r="J127" s="34">
        <v>104</v>
      </c>
      <c r="K127" s="34">
        <v>114</v>
      </c>
      <c r="L127" s="34">
        <v>123</v>
      </c>
      <c r="M127" s="34">
        <v>121</v>
      </c>
      <c r="N127" s="34">
        <v>118</v>
      </c>
      <c r="O127" s="34">
        <v>123</v>
      </c>
    </row>
    <row r="128" spans="1:15">
      <c r="A128" t="s">
        <v>195</v>
      </c>
      <c r="B128" s="34">
        <v>32</v>
      </c>
      <c r="C128" s="34">
        <v>43.5</v>
      </c>
      <c r="D128" s="34">
        <v>57</v>
      </c>
      <c r="E128" s="34">
        <v>64</v>
      </c>
      <c r="F128" s="34">
        <v>72</v>
      </c>
      <c r="G128" s="34">
        <v>85</v>
      </c>
      <c r="H128" s="34">
        <v>96</v>
      </c>
      <c r="I128" s="34">
        <v>98</v>
      </c>
      <c r="J128" s="34">
        <v>100</v>
      </c>
      <c r="K128" s="34">
        <v>98</v>
      </c>
      <c r="L128" s="34">
        <v>110</v>
      </c>
      <c r="M128" s="34">
        <v>121</v>
      </c>
      <c r="N128" s="34">
        <v>116</v>
      </c>
      <c r="O128" s="34">
        <v>118</v>
      </c>
    </row>
    <row r="129" spans="1:15">
      <c r="A129" t="s">
        <v>196</v>
      </c>
      <c r="B129" s="34">
        <v>29</v>
      </c>
      <c r="C129" s="34">
        <v>41</v>
      </c>
      <c r="D129" s="34">
        <v>44</v>
      </c>
      <c r="E129" s="34">
        <v>63</v>
      </c>
      <c r="F129" s="34">
        <v>70</v>
      </c>
      <c r="G129" s="34">
        <v>78</v>
      </c>
      <c r="H129" s="34">
        <v>86</v>
      </c>
      <c r="I129" s="34">
        <v>92</v>
      </c>
      <c r="J129" s="34">
        <v>92</v>
      </c>
      <c r="K129" s="34">
        <v>96</v>
      </c>
      <c r="L129" s="34">
        <v>93</v>
      </c>
      <c r="M129" s="34">
        <v>99</v>
      </c>
      <c r="N129" s="34">
        <v>103</v>
      </c>
      <c r="O129" s="34">
        <v>89</v>
      </c>
    </row>
    <row r="130" spans="1:15">
      <c r="A130" t="s">
        <v>197</v>
      </c>
      <c r="B130" s="34">
        <v>36.5</v>
      </c>
      <c r="C130" s="34">
        <v>46</v>
      </c>
      <c r="D130" s="34">
        <v>58.5</v>
      </c>
      <c r="E130" s="34">
        <v>72</v>
      </c>
      <c r="F130" s="34">
        <v>79</v>
      </c>
      <c r="G130" s="34">
        <v>83</v>
      </c>
      <c r="H130" s="34">
        <v>89</v>
      </c>
      <c r="I130" s="34">
        <v>92</v>
      </c>
      <c r="J130" s="34">
        <v>87</v>
      </c>
      <c r="K130" s="34">
        <v>91</v>
      </c>
      <c r="L130" s="34">
        <v>96</v>
      </c>
      <c r="M130" s="34">
        <v>93</v>
      </c>
      <c r="N130" s="34">
        <v>92</v>
      </c>
      <c r="O130" s="34">
        <v>96</v>
      </c>
    </row>
    <row r="131" spans="1:15">
      <c r="A131" t="s">
        <v>198</v>
      </c>
      <c r="B131" s="34">
        <v>36</v>
      </c>
      <c r="C131" s="34">
        <v>44.5</v>
      </c>
      <c r="D131" s="34">
        <v>60.5</v>
      </c>
      <c r="E131" s="34">
        <v>74</v>
      </c>
      <c r="F131" s="34">
        <v>80</v>
      </c>
      <c r="G131" s="34">
        <v>81</v>
      </c>
      <c r="H131" s="34">
        <v>82</v>
      </c>
      <c r="I131" s="34">
        <v>95</v>
      </c>
      <c r="J131" s="34">
        <v>93</v>
      </c>
      <c r="K131" s="34">
        <v>95</v>
      </c>
      <c r="L131" s="34">
        <v>92</v>
      </c>
      <c r="M131" s="34">
        <v>96</v>
      </c>
      <c r="N131" s="34">
        <v>100</v>
      </c>
      <c r="O131" s="34">
        <v>123</v>
      </c>
    </row>
    <row r="132" spans="1:15">
      <c r="A132" t="s">
        <v>199</v>
      </c>
      <c r="B132" s="34">
        <v>37</v>
      </c>
      <c r="C132" s="34">
        <v>47</v>
      </c>
      <c r="D132" s="34">
        <v>60</v>
      </c>
      <c r="E132" s="34">
        <v>73</v>
      </c>
      <c r="F132" s="34">
        <v>84</v>
      </c>
      <c r="G132" s="34">
        <v>97</v>
      </c>
      <c r="H132" s="34">
        <v>99</v>
      </c>
      <c r="I132" s="34">
        <v>105</v>
      </c>
      <c r="J132" s="34">
        <v>107</v>
      </c>
      <c r="K132" s="34">
        <v>103</v>
      </c>
      <c r="L132" s="34">
        <v>113</v>
      </c>
      <c r="M132" s="34">
        <v>138</v>
      </c>
      <c r="N132" s="34">
        <v>110</v>
      </c>
      <c r="O132" s="34">
        <v>113</v>
      </c>
    </row>
    <row r="133" spans="1:15">
      <c r="A133" t="s">
        <v>200</v>
      </c>
      <c r="B133" s="34">
        <v>27.5</v>
      </c>
      <c r="C133" s="34">
        <v>38</v>
      </c>
      <c r="D133" s="34">
        <v>45.5</v>
      </c>
      <c r="E133" s="34">
        <v>47</v>
      </c>
      <c r="F133" s="34">
        <v>67</v>
      </c>
      <c r="G133" s="34">
        <v>87</v>
      </c>
      <c r="H133" s="34">
        <v>94</v>
      </c>
      <c r="I133" s="34">
        <v>102</v>
      </c>
      <c r="J133" s="34">
        <v>105</v>
      </c>
      <c r="K133" s="34">
        <v>118</v>
      </c>
      <c r="L133" s="34">
        <v>103</v>
      </c>
      <c r="M133" s="34">
        <v>124</v>
      </c>
      <c r="N133" s="34">
        <v>123</v>
      </c>
      <c r="O133" s="34">
        <v>121</v>
      </c>
    </row>
    <row r="134" spans="1:15">
      <c r="A134" t="s">
        <v>201</v>
      </c>
      <c r="B134" s="34">
        <v>30.5</v>
      </c>
      <c r="C134" s="34">
        <v>40.5</v>
      </c>
      <c r="D134" s="34">
        <v>53</v>
      </c>
      <c r="E134" s="34">
        <v>63</v>
      </c>
      <c r="F134" s="34">
        <v>74</v>
      </c>
      <c r="G134" s="34">
        <v>84</v>
      </c>
      <c r="H134" s="34">
        <v>85</v>
      </c>
      <c r="I134" s="34">
        <v>105</v>
      </c>
      <c r="J134" s="34">
        <v>100</v>
      </c>
      <c r="K134" s="34">
        <v>106</v>
      </c>
      <c r="L134" s="34">
        <v>121</v>
      </c>
      <c r="M134" s="34">
        <v>121</v>
      </c>
      <c r="N134" s="34">
        <v>124</v>
      </c>
      <c r="O134" s="34">
        <v>121</v>
      </c>
    </row>
    <row r="135" spans="1:15">
      <c r="A135" t="s">
        <v>202</v>
      </c>
      <c r="B135" s="34">
        <v>29</v>
      </c>
      <c r="C135" s="34">
        <v>36</v>
      </c>
      <c r="D135" s="34">
        <v>52</v>
      </c>
      <c r="E135" s="34">
        <v>60</v>
      </c>
      <c r="F135" s="34">
        <v>66</v>
      </c>
      <c r="G135" s="34">
        <v>72</v>
      </c>
      <c r="H135" s="34">
        <v>80</v>
      </c>
      <c r="I135" s="34">
        <v>91</v>
      </c>
      <c r="J135" s="34">
        <v>92</v>
      </c>
      <c r="K135" s="34">
        <v>104</v>
      </c>
      <c r="L135" s="34">
        <v>110</v>
      </c>
      <c r="M135" s="34">
        <v>111</v>
      </c>
      <c r="N135" s="34">
        <v>114</v>
      </c>
      <c r="O135" s="34">
        <v>99</v>
      </c>
    </row>
    <row r="136" spans="1:15">
      <c r="A136" t="s">
        <v>203</v>
      </c>
      <c r="B136" s="34">
        <v>32</v>
      </c>
      <c r="C136" s="34">
        <v>31.5</v>
      </c>
      <c r="D136" s="34">
        <v>50</v>
      </c>
      <c r="E136" s="34">
        <v>56</v>
      </c>
      <c r="F136" s="34">
        <v>67</v>
      </c>
      <c r="G136" s="34">
        <v>80</v>
      </c>
      <c r="H136" s="34">
        <v>97</v>
      </c>
      <c r="I136" s="34">
        <v>94</v>
      </c>
      <c r="J136" s="34">
        <v>85</v>
      </c>
      <c r="K136" s="34">
        <v>101</v>
      </c>
      <c r="L136" s="34">
        <v>100</v>
      </c>
      <c r="M136" s="34">
        <v>100</v>
      </c>
      <c r="N136" s="34">
        <v>108</v>
      </c>
      <c r="O136" s="34">
        <v>116</v>
      </c>
    </row>
    <row r="137" spans="1:15">
      <c r="A137" t="s">
        <v>204</v>
      </c>
      <c r="B137" s="34">
        <v>24</v>
      </c>
      <c r="C137" s="34">
        <v>29</v>
      </c>
      <c r="D137" s="34">
        <v>42.5</v>
      </c>
      <c r="E137" s="34">
        <v>50</v>
      </c>
      <c r="F137" s="34">
        <v>60</v>
      </c>
      <c r="G137" s="34">
        <v>76</v>
      </c>
      <c r="H137" s="34">
        <v>81</v>
      </c>
      <c r="I137" s="34">
        <v>94</v>
      </c>
      <c r="J137" s="34">
        <v>97</v>
      </c>
      <c r="K137" s="34">
        <v>116</v>
      </c>
      <c r="L137" s="34">
        <v>126</v>
      </c>
      <c r="M137" s="34">
        <v>112</v>
      </c>
      <c r="N137" s="34">
        <v>112</v>
      </c>
      <c r="O137" s="34">
        <v>127</v>
      </c>
    </row>
    <row r="138" spans="1:15">
      <c r="A138" t="s">
        <v>205</v>
      </c>
      <c r="B138" s="34">
        <v>27.5</v>
      </c>
      <c r="C138" s="34">
        <v>37.5</v>
      </c>
      <c r="D138" s="34">
        <v>46</v>
      </c>
      <c r="E138" s="34">
        <v>53</v>
      </c>
      <c r="F138" s="34">
        <v>62</v>
      </c>
      <c r="G138" s="34">
        <v>65</v>
      </c>
      <c r="H138" s="34">
        <v>75</v>
      </c>
      <c r="I138" s="34">
        <v>84</v>
      </c>
      <c r="J138" s="34">
        <v>81</v>
      </c>
      <c r="K138" s="34">
        <v>93</v>
      </c>
      <c r="L138" s="34">
        <v>90</v>
      </c>
      <c r="M138" s="34">
        <v>95</v>
      </c>
      <c r="N138" s="34">
        <v>96</v>
      </c>
      <c r="O138" s="34">
        <v>98</v>
      </c>
    </row>
    <row r="139" spans="1:15">
      <c r="A139" t="s">
        <v>206</v>
      </c>
      <c r="B139" s="34">
        <v>34</v>
      </c>
      <c r="C139" s="34">
        <v>41</v>
      </c>
      <c r="D139" s="34">
        <v>55</v>
      </c>
      <c r="E139" s="34">
        <v>57</v>
      </c>
      <c r="F139" s="34">
        <v>61</v>
      </c>
      <c r="G139" s="34">
        <v>72</v>
      </c>
      <c r="H139" s="34">
        <v>72</v>
      </c>
      <c r="I139" s="34">
        <v>77</v>
      </c>
      <c r="J139" s="34">
        <v>77</v>
      </c>
      <c r="K139" s="34">
        <v>85</v>
      </c>
      <c r="L139" s="34">
        <v>90</v>
      </c>
      <c r="M139" s="34">
        <v>97</v>
      </c>
      <c r="N139" s="34">
        <v>101</v>
      </c>
      <c r="O139" s="34">
        <v>100</v>
      </c>
    </row>
    <row r="140" spans="1:15">
      <c r="A140" t="s">
        <v>207</v>
      </c>
      <c r="B140" s="34">
        <v>38</v>
      </c>
      <c r="C140" s="34">
        <v>38</v>
      </c>
      <c r="D140" s="34">
        <v>46</v>
      </c>
      <c r="E140" s="34">
        <v>52</v>
      </c>
      <c r="F140" s="34">
        <v>60</v>
      </c>
      <c r="G140" s="34">
        <v>72</v>
      </c>
      <c r="H140" s="34">
        <v>77</v>
      </c>
      <c r="I140" s="34">
        <v>87</v>
      </c>
      <c r="J140" s="34">
        <v>93</v>
      </c>
      <c r="K140" s="34">
        <v>104</v>
      </c>
      <c r="L140" s="34">
        <v>110</v>
      </c>
      <c r="M140" s="34">
        <v>107</v>
      </c>
      <c r="N140" s="34">
        <v>108</v>
      </c>
      <c r="O140" s="34">
        <v>104</v>
      </c>
    </row>
    <row r="141" spans="1:15">
      <c r="A141" t="s">
        <v>208</v>
      </c>
      <c r="B141" s="34">
        <v>26.5</v>
      </c>
      <c r="C141" s="34">
        <v>36</v>
      </c>
      <c r="D141" s="34">
        <v>41</v>
      </c>
      <c r="E141" s="34">
        <v>45</v>
      </c>
      <c r="F141" s="34">
        <v>49</v>
      </c>
      <c r="G141" s="34">
        <v>67</v>
      </c>
      <c r="H141" s="34">
        <v>72</v>
      </c>
      <c r="I141" s="34">
        <v>90</v>
      </c>
      <c r="J141" s="34">
        <v>83</v>
      </c>
      <c r="K141" s="34">
        <v>102</v>
      </c>
      <c r="L141" s="34">
        <v>117</v>
      </c>
      <c r="M141" s="34">
        <v>102</v>
      </c>
      <c r="N141" s="34">
        <v>102</v>
      </c>
      <c r="O141" s="34">
        <v>100</v>
      </c>
    </row>
    <row r="142" spans="1:15">
      <c r="A142" t="s">
        <v>209</v>
      </c>
      <c r="B142" s="34">
        <v>29</v>
      </c>
      <c r="C142" s="34">
        <v>37</v>
      </c>
      <c r="D142" s="34">
        <v>43</v>
      </c>
      <c r="E142" s="34">
        <v>49</v>
      </c>
      <c r="F142" s="34">
        <v>52</v>
      </c>
      <c r="G142" s="34">
        <v>69</v>
      </c>
      <c r="H142" s="34">
        <v>71</v>
      </c>
      <c r="I142" s="34">
        <v>73</v>
      </c>
      <c r="J142" s="34">
        <v>88</v>
      </c>
      <c r="K142" s="34">
        <v>91</v>
      </c>
      <c r="L142" s="34">
        <v>96</v>
      </c>
      <c r="M142" s="34">
        <v>94</v>
      </c>
      <c r="N142" s="34">
        <v>93</v>
      </c>
      <c r="O142" s="34">
        <v>93</v>
      </c>
    </row>
    <row r="143" spans="1:15">
      <c r="A143" t="s">
        <v>210</v>
      </c>
      <c r="B143" s="34">
        <v>28.5</v>
      </c>
      <c r="C143" s="34">
        <v>38</v>
      </c>
      <c r="D143" s="34">
        <v>49</v>
      </c>
      <c r="E143" s="34">
        <v>58</v>
      </c>
      <c r="F143" s="34">
        <v>66</v>
      </c>
      <c r="G143" s="34">
        <v>75</v>
      </c>
      <c r="H143" s="34">
        <v>80</v>
      </c>
      <c r="I143" s="34">
        <v>87</v>
      </c>
      <c r="J143" s="34">
        <v>100</v>
      </c>
      <c r="K143" s="34">
        <v>100</v>
      </c>
      <c r="L143" s="34">
        <v>92</v>
      </c>
      <c r="M143" s="34">
        <v>102</v>
      </c>
      <c r="N143" s="34">
        <v>124</v>
      </c>
      <c r="O143" s="34">
        <v>90</v>
      </c>
    </row>
    <row r="144" spans="1:15">
      <c r="A144" t="s">
        <v>211</v>
      </c>
      <c r="B144" s="34">
        <v>26</v>
      </c>
      <c r="C144" s="34">
        <v>31.5</v>
      </c>
      <c r="D144" s="34">
        <v>43.5</v>
      </c>
      <c r="E144" s="34">
        <v>45</v>
      </c>
      <c r="F144" s="34">
        <v>63</v>
      </c>
      <c r="G144" s="34">
        <v>72</v>
      </c>
      <c r="H144" s="34">
        <v>79</v>
      </c>
      <c r="I144" s="34">
        <v>85</v>
      </c>
      <c r="J144" s="34">
        <v>88</v>
      </c>
      <c r="K144" s="34">
        <v>93</v>
      </c>
      <c r="L144" s="34">
        <v>104</v>
      </c>
      <c r="M144" s="34">
        <v>112</v>
      </c>
      <c r="N144" s="34">
        <v>110</v>
      </c>
      <c r="O144" s="34">
        <v>102</v>
      </c>
    </row>
    <row r="145" spans="1:15">
      <c r="A145" t="s">
        <v>212</v>
      </c>
      <c r="B145" s="34">
        <v>29</v>
      </c>
      <c r="C145" s="34">
        <v>35</v>
      </c>
      <c r="D145" s="34">
        <v>42</v>
      </c>
      <c r="E145" s="34">
        <v>41</v>
      </c>
      <c r="F145" s="34">
        <v>54</v>
      </c>
      <c r="G145" s="34">
        <v>72</v>
      </c>
      <c r="H145" s="34">
        <v>73</v>
      </c>
      <c r="I145" s="34">
        <v>76</v>
      </c>
      <c r="J145" s="34">
        <v>75</v>
      </c>
      <c r="K145" s="34">
        <v>82</v>
      </c>
      <c r="L145" s="34">
        <v>107</v>
      </c>
      <c r="M145" s="34">
        <v>95</v>
      </c>
      <c r="N145" s="34">
        <v>100</v>
      </c>
      <c r="O145" s="34">
        <v>103</v>
      </c>
    </row>
    <row r="146" spans="1:15">
      <c r="A146" t="s">
        <v>213</v>
      </c>
      <c r="B146" s="34">
        <v>28</v>
      </c>
      <c r="C146" s="34">
        <v>34.5</v>
      </c>
      <c r="D146" s="34">
        <v>48</v>
      </c>
      <c r="E146" s="34">
        <v>48</v>
      </c>
      <c r="F146" s="34">
        <v>62</v>
      </c>
      <c r="G146" s="34">
        <v>66</v>
      </c>
      <c r="H146" s="34">
        <v>75</v>
      </c>
      <c r="I146" s="34">
        <v>75</v>
      </c>
      <c r="J146" s="34">
        <v>74</v>
      </c>
      <c r="K146" s="34">
        <v>87</v>
      </c>
      <c r="L146" s="34">
        <v>87</v>
      </c>
      <c r="M146" s="34">
        <v>102</v>
      </c>
      <c r="N146" s="34">
        <v>103</v>
      </c>
      <c r="O146" s="34">
        <v>92</v>
      </c>
    </row>
    <row r="147" spans="1:15">
      <c r="A147" t="s">
        <v>214</v>
      </c>
      <c r="B147" s="34">
        <v>29.5</v>
      </c>
      <c r="C147" s="34">
        <v>35.5</v>
      </c>
      <c r="D147" s="34">
        <v>46</v>
      </c>
      <c r="E147" s="34">
        <v>37</v>
      </c>
      <c r="F147" s="34">
        <v>59</v>
      </c>
      <c r="G147" s="34">
        <v>56</v>
      </c>
      <c r="H147" s="34">
        <v>64</v>
      </c>
      <c r="I147" s="34">
        <v>77</v>
      </c>
      <c r="J147" s="34">
        <v>80</v>
      </c>
      <c r="K147" s="34">
        <v>87</v>
      </c>
      <c r="L147" s="34">
        <v>90</v>
      </c>
      <c r="M147" s="34">
        <v>91</v>
      </c>
      <c r="N147" s="34">
        <v>96</v>
      </c>
      <c r="O147" s="34">
        <v>124</v>
      </c>
    </row>
    <row r="148" spans="1:15">
      <c r="A148" t="s">
        <v>215</v>
      </c>
      <c r="B148" s="34">
        <v>30.5</v>
      </c>
      <c r="C148" s="34">
        <v>37</v>
      </c>
      <c r="D148" s="34">
        <v>45</v>
      </c>
      <c r="E148" s="34">
        <v>47</v>
      </c>
      <c r="F148" s="34">
        <v>56</v>
      </c>
      <c r="G148" s="34">
        <v>67</v>
      </c>
      <c r="H148" s="34">
        <v>73</v>
      </c>
      <c r="I148" s="34">
        <v>88</v>
      </c>
      <c r="J148" s="34">
        <v>90</v>
      </c>
      <c r="K148" s="34">
        <v>98</v>
      </c>
      <c r="L148" s="34">
        <v>101</v>
      </c>
      <c r="M148" s="34">
        <v>100</v>
      </c>
      <c r="N148" s="34">
        <v>102</v>
      </c>
      <c r="O148" s="34">
        <v>98</v>
      </c>
    </row>
    <row r="149" spans="1:15">
      <c r="A149" t="s">
        <v>216</v>
      </c>
      <c r="B149" s="34">
        <v>27.5</v>
      </c>
      <c r="C149" s="34">
        <v>39</v>
      </c>
      <c r="D149" s="34">
        <v>50</v>
      </c>
      <c r="E149" s="34">
        <v>56</v>
      </c>
      <c r="F149" s="34">
        <v>63.5</v>
      </c>
      <c r="G149" s="34">
        <v>66</v>
      </c>
      <c r="H149" s="34">
        <v>80</v>
      </c>
      <c r="I149" s="34">
        <v>90</v>
      </c>
      <c r="J149" s="34">
        <v>90</v>
      </c>
      <c r="K149" s="34">
        <v>80</v>
      </c>
      <c r="L149" s="34">
        <v>108</v>
      </c>
      <c r="M149" s="34">
        <v>118</v>
      </c>
      <c r="N149" s="34">
        <v>92</v>
      </c>
      <c r="O149" s="34">
        <v>99</v>
      </c>
    </row>
    <row r="150" spans="1:15">
      <c r="A150" t="s">
        <v>217</v>
      </c>
      <c r="B150" s="34">
        <v>31</v>
      </c>
      <c r="C150" s="34">
        <v>40.5</v>
      </c>
      <c r="D150" s="34">
        <v>51</v>
      </c>
      <c r="E150" s="34">
        <v>54</v>
      </c>
      <c r="F150" s="34">
        <v>63</v>
      </c>
      <c r="G150" s="34">
        <v>66</v>
      </c>
      <c r="H150" s="34">
        <v>79</v>
      </c>
      <c r="I150" s="34">
        <v>82</v>
      </c>
      <c r="J150" s="34">
        <v>88</v>
      </c>
      <c r="K150" s="34">
        <v>92</v>
      </c>
      <c r="L150" s="34">
        <v>94</v>
      </c>
      <c r="M150" s="34">
        <v>100</v>
      </c>
      <c r="N150" s="34">
        <v>101</v>
      </c>
      <c r="O150" s="34">
        <v>100</v>
      </c>
    </row>
    <row r="151" spans="1:15">
      <c r="A151" t="s">
        <v>218</v>
      </c>
      <c r="B151" s="34">
        <v>24.5</v>
      </c>
      <c r="C151" s="34">
        <v>25</v>
      </c>
      <c r="D151" s="34">
        <v>45</v>
      </c>
      <c r="E151" s="34">
        <v>42</v>
      </c>
      <c r="F151" s="34">
        <v>63</v>
      </c>
      <c r="G151" s="34">
        <v>61</v>
      </c>
      <c r="H151" s="34">
        <v>70</v>
      </c>
      <c r="I151" s="34">
        <v>85</v>
      </c>
      <c r="J151" s="34">
        <v>88</v>
      </c>
      <c r="K151" s="34">
        <v>95</v>
      </c>
      <c r="L151" s="34">
        <v>92</v>
      </c>
      <c r="M151" s="34">
        <v>98</v>
      </c>
      <c r="N151" s="34">
        <v>95</v>
      </c>
      <c r="O151" s="34">
        <v>92</v>
      </c>
    </row>
    <row r="152" spans="1:15">
      <c r="A152" t="s">
        <v>219</v>
      </c>
      <c r="B152" s="34">
        <v>39</v>
      </c>
      <c r="C152" s="34">
        <v>42.5</v>
      </c>
      <c r="D152" s="34">
        <v>52</v>
      </c>
      <c r="E152" s="34">
        <v>53</v>
      </c>
      <c r="F152" s="34">
        <v>68</v>
      </c>
      <c r="G152" s="34">
        <v>78</v>
      </c>
      <c r="H152" s="34">
        <v>81</v>
      </c>
      <c r="I152" s="34">
        <v>88</v>
      </c>
      <c r="J152" s="34">
        <v>94</v>
      </c>
      <c r="K152" s="34">
        <v>102</v>
      </c>
      <c r="L152" s="34">
        <v>103</v>
      </c>
      <c r="M152" s="34">
        <v>112</v>
      </c>
      <c r="N152" s="34">
        <v>113</v>
      </c>
      <c r="O152" s="34">
        <v>112</v>
      </c>
    </row>
    <row r="153" spans="1:15">
      <c r="A153" t="s">
        <v>220</v>
      </c>
      <c r="B153" s="34">
        <v>28.5</v>
      </c>
      <c r="C153" s="34">
        <v>38.5</v>
      </c>
      <c r="D153" s="34">
        <v>48</v>
      </c>
      <c r="E153" s="34">
        <v>53</v>
      </c>
      <c r="F153" s="34">
        <v>64</v>
      </c>
      <c r="G153" s="34">
        <v>77</v>
      </c>
      <c r="H153" s="34">
        <v>94</v>
      </c>
      <c r="I153" s="34">
        <v>110</v>
      </c>
      <c r="J153" s="34">
        <v>107</v>
      </c>
      <c r="K153" s="34">
        <v>128</v>
      </c>
      <c r="L153" s="34">
        <v>125</v>
      </c>
      <c r="M153" s="34">
        <v>125</v>
      </c>
      <c r="N153" s="34">
        <v>126</v>
      </c>
      <c r="O153" s="34">
        <v>140</v>
      </c>
    </row>
    <row r="154" spans="1:15">
      <c r="A154" t="s">
        <v>221</v>
      </c>
      <c r="B154" s="34">
        <v>30</v>
      </c>
      <c r="C154" s="34">
        <v>40</v>
      </c>
      <c r="D154" s="34">
        <v>52.5</v>
      </c>
      <c r="E154" s="34">
        <v>57</v>
      </c>
      <c r="F154" s="34">
        <v>66</v>
      </c>
      <c r="G154" s="34">
        <v>77</v>
      </c>
      <c r="H154" s="34">
        <v>96</v>
      </c>
      <c r="I154" s="34">
        <v>101</v>
      </c>
      <c r="J154" s="34">
        <v>106</v>
      </c>
      <c r="K154" s="34">
        <v>106</v>
      </c>
      <c r="L154" s="34">
        <v>112</v>
      </c>
      <c r="M154" s="34">
        <v>122</v>
      </c>
      <c r="N154" s="34">
        <v>118</v>
      </c>
      <c r="O154" s="34">
        <v>120</v>
      </c>
    </row>
    <row r="155" spans="1:15">
      <c r="A155" t="s">
        <v>222</v>
      </c>
      <c r="B155" s="34">
        <v>33</v>
      </c>
      <c r="C155" s="34">
        <v>45</v>
      </c>
      <c r="D155" s="34">
        <v>58</v>
      </c>
      <c r="E155" s="34">
        <v>62</v>
      </c>
      <c r="F155" s="34">
        <v>70</v>
      </c>
      <c r="G155" s="34">
        <v>84</v>
      </c>
      <c r="H155" s="34">
        <v>96</v>
      </c>
      <c r="I155" s="34">
        <v>103</v>
      </c>
      <c r="J155" s="34">
        <v>99</v>
      </c>
      <c r="K155" s="34">
        <v>102</v>
      </c>
      <c r="L155" s="34">
        <v>99</v>
      </c>
      <c r="M155" s="34">
        <v>101</v>
      </c>
      <c r="N155" s="34">
        <v>117</v>
      </c>
      <c r="O155" s="34">
        <v>92</v>
      </c>
    </row>
    <row r="156" spans="1:15">
      <c r="A156" t="s">
        <v>223</v>
      </c>
      <c r="B156" s="34">
        <v>28.5</v>
      </c>
      <c r="C156" s="34">
        <v>39</v>
      </c>
      <c r="D156" s="34">
        <v>48</v>
      </c>
      <c r="E156" s="34">
        <v>51</v>
      </c>
      <c r="F156" s="34">
        <v>65</v>
      </c>
      <c r="G156" s="34">
        <v>82</v>
      </c>
      <c r="H156" s="34">
        <v>85</v>
      </c>
      <c r="I156" s="34">
        <v>96</v>
      </c>
      <c r="J156" s="34">
        <v>95</v>
      </c>
      <c r="K156" s="34">
        <v>100</v>
      </c>
      <c r="L156" s="34">
        <v>103</v>
      </c>
      <c r="M156" s="34">
        <v>125</v>
      </c>
      <c r="N156" s="34">
        <v>116</v>
      </c>
      <c r="O156" s="34">
        <v>113</v>
      </c>
    </row>
    <row r="157" spans="1:15">
      <c r="A157" t="s">
        <v>224</v>
      </c>
      <c r="B157" s="34">
        <v>33.5</v>
      </c>
      <c r="C157" s="34">
        <v>42</v>
      </c>
      <c r="D157" s="34">
        <v>51</v>
      </c>
      <c r="E157" s="34">
        <v>54</v>
      </c>
      <c r="F157" s="34">
        <v>62</v>
      </c>
      <c r="G157" s="34">
        <v>86</v>
      </c>
      <c r="H157" s="34">
        <v>91</v>
      </c>
      <c r="I157" s="34">
        <v>102</v>
      </c>
      <c r="J157" s="34">
        <v>104</v>
      </c>
      <c r="K157" s="34">
        <v>118</v>
      </c>
      <c r="L157" s="34">
        <v>107</v>
      </c>
      <c r="M157" s="34">
        <v>123</v>
      </c>
      <c r="N157" s="34">
        <v>122</v>
      </c>
      <c r="O157" s="34">
        <v>117</v>
      </c>
    </row>
    <row r="158" spans="1:15">
      <c r="A158" t="s">
        <v>225</v>
      </c>
      <c r="B158" s="34">
        <v>29.5</v>
      </c>
      <c r="C158" s="34">
        <v>37.5</v>
      </c>
      <c r="D158" s="34">
        <v>50</v>
      </c>
      <c r="E158" s="34">
        <v>55</v>
      </c>
      <c r="F158" s="34">
        <v>60</v>
      </c>
      <c r="G158" s="34">
        <v>68</v>
      </c>
      <c r="H158" s="34">
        <v>75</v>
      </c>
      <c r="I158" s="34">
        <v>88</v>
      </c>
      <c r="J158" s="34">
        <v>91</v>
      </c>
      <c r="K158" s="34">
        <v>92</v>
      </c>
      <c r="L158" s="34">
        <v>91</v>
      </c>
      <c r="M158" s="34">
        <v>92</v>
      </c>
      <c r="N158" s="34">
        <v>93</v>
      </c>
      <c r="O158" s="34">
        <v>91</v>
      </c>
    </row>
    <row r="159" spans="1:15">
      <c r="A159" t="s">
        <v>226</v>
      </c>
      <c r="B159" s="34">
        <v>28</v>
      </c>
      <c r="C159" s="34">
        <v>39.5</v>
      </c>
      <c r="D159" s="34">
        <v>45.5</v>
      </c>
      <c r="E159" s="34">
        <v>55</v>
      </c>
      <c r="F159" s="34">
        <v>63</v>
      </c>
      <c r="G159" s="34">
        <v>73</v>
      </c>
      <c r="H159" s="34">
        <v>79</v>
      </c>
      <c r="I159" s="34">
        <v>82</v>
      </c>
      <c r="J159" s="34">
        <v>81</v>
      </c>
      <c r="K159" s="34">
        <v>84</v>
      </c>
      <c r="L159" s="34">
        <v>84</v>
      </c>
      <c r="M159" s="34">
        <v>97</v>
      </c>
      <c r="N159" s="34">
        <v>90</v>
      </c>
      <c r="O159" s="34">
        <v>98</v>
      </c>
    </row>
    <row r="160" spans="1:15">
      <c r="A160" t="s">
        <v>227</v>
      </c>
      <c r="B160" s="34">
        <v>30</v>
      </c>
      <c r="C160" s="34">
        <v>41</v>
      </c>
      <c r="D160" s="34">
        <v>48.5</v>
      </c>
      <c r="E160" s="34">
        <v>53</v>
      </c>
      <c r="F160" s="34">
        <v>61</v>
      </c>
      <c r="G160" s="34">
        <v>72</v>
      </c>
      <c r="H160" s="34">
        <v>81</v>
      </c>
      <c r="I160" s="34">
        <v>85</v>
      </c>
      <c r="J160" s="34">
        <v>76</v>
      </c>
      <c r="K160" s="34">
        <v>80</v>
      </c>
      <c r="L160" s="34">
        <v>76</v>
      </c>
      <c r="M160" s="34">
        <v>88</v>
      </c>
      <c r="N160" s="34">
        <v>90</v>
      </c>
      <c r="O160" s="34">
        <v>88</v>
      </c>
    </row>
    <row r="161" spans="1:15">
      <c r="A161" t="s">
        <v>228</v>
      </c>
      <c r="B161" s="34">
        <v>27</v>
      </c>
      <c r="C161" s="34">
        <v>37.5</v>
      </c>
      <c r="D161" s="34">
        <v>47</v>
      </c>
      <c r="E161" s="34">
        <v>57</v>
      </c>
      <c r="F161" s="34">
        <v>63</v>
      </c>
      <c r="G161" s="34">
        <v>74</v>
      </c>
      <c r="H161" s="34">
        <v>73</v>
      </c>
      <c r="I161" s="34">
        <v>84</v>
      </c>
      <c r="J161" s="34">
        <v>87</v>
      </c>
      <c r="K161" s="34">
        <v>87</v>
      </c>
      <c r="L161" s="34">
        <v>82</v>
      </c>
      <c r="M161" s="34">
        <v>94</v>
      </c>
      <c r="N161" s="34">
        <v>94</v>
      </c>
      <c r="O161" s="34">
        <v>125</v>
      </c>
    </row>
    <row r="162" spans="1:15">
      <c r="A162" t="s">
        <v>229</v>
      </c>
      <c r="B162" s="34">
        <v>31</v>
      </c>
      <c r="C162" s="34">
        <v>37</v>
      </c>
      <c r="D162" s="34">
        <v>50</v>
      </c>
      <c r="E162" s="34">
        <v>53</v>
      </c>
      <c r="F162" s="34">
        <v>65</v>
      </c>
      <c r="G162" s="34">
        <v>73</v>
      </c>
      <c r="H162" s="34">
        <v>77</v>
      </c>
      <c r="I162" s="34">
        <v>82</v>
      </c>
      <c r="J162" s="34">
        <v>82</v>
      </c>
      <c r="K162" s="34">
        <v>83</v>
      </c>
      <c r="L162" s="34">
        <v>82</v>
      </c>
      <c r="M162" s="34">
        <v>83</v>
      </c>
      <c r="N162" s="34">
        <v>89</v>
      </c>
      <c r="O162" s="34">
        <v>81</v>
      </c>
    </row>
    <row r="163" spans="1:15">
      <c r="A163" t="s">
        <v>230</v>
      </c>
      <c r="B163" s="34">
        <v>30</v>
      </c>
      <c r="C163" s="34">
        <v>36.5</v>
      </c>
      <c r="D163" s="34">
        <v>47</v>
      </c>
      <c r="E163" s="34">
        <v>55</v>
      </c>
      <c r="F163" s="34">
        <v>72</v>
      </c>
      <c r="G163" s="34">
        <v>78</v>
      </c>
      <c r="H163" s="34">
        <v>80</v>
      </c>
      <c r="I163" s="34">
        <v>86</v>
      </c>
      <c r="J163" s="34">
        <v>90</v>
      </c>
      <c r="K163" s="34">
        <v>90</v>
      </c>
      <c r="L163" s="34">
        <v>90</v>
      </c>
      <c r="M163" s="34">
        <v>90</v>
      </c>
      <c r="N163" s="34">
        <v>97</v>
      </c>
      <c r="O163" s="34">
        <v>91</v>
      </c>
    </row>
    <row r="164" spans="1:15">
      <c r="A164" t="s">
        <v>231</v>
      </c>
      <c r="B164" s="34">
        <v>34.5</v>
      </c>
      <c r="C164" s="34">
        <v>46</v>
      </c>
      <c r="D164" s="34">
        <v>54.5</v>
      </c>
      <c r="E164" s="34">
        <v>63</v>
      </c>
      <c r="F164" s="34">
        <v>74</v>
      </c>
      <c r="G164" s="34">
        <v>88</v>
      </c>
      <c r="H164" s="34">
        <v>89</v>
      </c>
      <c r="I164" s="34">
        <v>93</v>
      </c>
      <c r="J164" s="34">
        <v>97</v>
      </c>
      <c r="K164" s="34">
        <v>112</v>
      </c>
      <c r="L164" s="34">
        <v>112</v>
      </c>
      <c r="M164" s="34">
        <v>106</v>
      </c>
      <c r="N164" s="34">
        <v>124</v>
      </c>
      <c r="O164" s="34">
        <v>123</v>
      </c>
    </row>
    <row r="165" spans="1:15">
      <c r="A165" t="s">
        <v>232</v>
      </c>
      <c r="B165" s="34">
        <v>33</v>
      </c>
      <c r="C165" s="34">
        <v>43.5</v>
      </c>
      <c r="D165" s="34">
        <v>63</v>
      </c>
      <c r="E165" s="34">
        <v>62</v>
      </c>
      <c r="F165" s="34">
        <v>75</v>
      </c>
      <c r="G165" s="34">
        <v>91</v>
      </c>
      <c r="H165" s="34">
        <v>91</v>
      </c>
      <c r="I165" s="34">
        <v>106</v>
      </c>
      <c r="J165" s="34">
        <v>122</v>
      </c>
      <c r="K165" s="34">
        <v>127</v>
      </c>
      <c r="L165" s="34">
        <v>126</v>
      </c>
      <c r="M165" s="34">
        <v>104</v>
      </c>
      <c r="N165" s="34">
        <v>133</v>
      </c>
      <c r="O165" s="34">
        <v>130</v>
      </c>
    </row>
    <row r="166" spans="1:15">
      <c r="A166" t="s">
        <v>233</v>
      </c>
      <c r="B166" s="34">
        <v>32</v>
      </c>
      <c r="C166" s="34">
        <v>43</v>
      </c>
      <c r="D166" s="34">
        <v>53</v>
      </c>
      <c r="E166" s="34">
        <v>64</v>
      </c>
      <c r="F166" s="34">
        <v>73</v>
      </c>
      <c r="G166" s="34">
        <v>91</v>
      </c>
      <c r="H166" s="34">
        <v>93</v>
      </c>
      <c r="I166" s="34">
        <v>99</v>
      </c>
      <c r="J166" s="34">
        <v>102</v>
      </c>
      <c r="K166" s="34">
        <v>103</v>
      </c>
      <c r="L166" s="34">
        <v>98</v>
      </c>
      <c r="M166" s="34">
        <v>118</v>
      </c>
      <c r="N166" s="34">
        <v>127</v>
      </c>
      <c r="O166" s="34">
        <v>122</v>
      </c>
    </row>
    <row r="167" spans="1:15">
      <c r="A167" t="s">
        <v>234</v>
      </c>
      <c r="B167" s="34">
        <v>31</v>
      </c>
      <c r="C167" s="34">
        <v>40.5</v>
      </c>
      <c r="D167" s="34">
        <v>54.5</v>
      </c>
      <c r="E167" s="34">
        <v>62</v>
      </c>
      <c r="F167" s="34">
        <v>72</v>
      </c>
      <c r="G167" s="34">
        <v>88</v>
      </c>
      <c r="H167" s="34">
        <v>93</v>
      </c>
      <c r="I167" s="34">
        <v>100</v>
      </c>
      <c r="J167" s="34">
        <v>102</v>
      </c>
      <c r="K167" s="34">
        <v>108</v>
      </c>
      <c r="L167" s="34">
        <v>102</v>
      </c>
      <c r="M167" s="34">
        <v>129</v>
      </c>
      <c r="N167" s="34">
        <v>114</v>
      </c>
      <c r="O167" s="34">
        <v>85</v>
      </c>
    </row>
    <row r="168" spans="1:15">
      <c r="A168" t="s">
        <v>235</v>
      </c>
      <c r="B168" s="34">
        <v>29</v>
      </c>
      <c r="C168" s="34">
        <v>40</v>
      </c>
      <c r="D168" s="34">
        <v>49</v>
      </c>
      <c r="E168" s="34">
        <v>54</v>
      </c>
      <c r="F168" s="34">
        <v>71</v>
      </c>
      <c r="G168" s="34">
        <v>88</v>
      </c>
      <c r="H168" s="34">
        <v>93</v>
      </c>
      <c r="I168" s="34">
        <v>101</v>
      </c>
      <c r="J168" s="34">
        <v>112</v>
      </c>
      <c r="K168" s="34">
        <v>105</v>
      </c>
      <c r="L168" s="34">
        <v>122</v>
      </c>
      <c r="M168" s="34">
        <v>122</v>
      </c>
      <c r="N168" s="34">
        <v>127</v>
      </c>
      <c r="O168" s="34">
        <v>123</v>
      </c>
    </row>
    <row r="169" spans="1:15">
      <c r="A169" t="s">
        <v>236</v>
      </c>
      <c r="B169" s="34">
        <v>28</v>
      </c>
      <c r="C169" s="34">
        <v>38</v>
      </c>
      <c r="D169" s="34">
        <v>52.5</v>
      </c>
      <c r="E169" s="34">
        <v>62</v>
      </c>
      <c r="F169" s="34">
        <v>54</v>
      </c>
      <c r="G169" s="34">
        <v>86</v>
      </c>
      <c r="H169" s="34">
        <v>98</v>
      </c>
      <c r="I169" s="34">
        <v>107</v>
      </c>
      <c r="J169" s="34">
        <v>110</v>
      </c>
      <c r="K169" s="34">
        <v>104</v>
      </c>
      <c r="L169" s="34">
        <v>107</v>
      </c>
      <c r="M169" s="34">
        <v>105</v>
      </c>
      <c r="N169" s="34">
        <v>117</v>
      </c>
      <c r="O169" s="34">
        <v>112</v>
      </c>
    </row>
    <row r="170" spans="1:15">
      <c r="A170" t="s">
        <v>237</v>
      </c>
      <c r="B170" s="34">
        <v>28.5</v>
      </c>
      <c r="C170" s="34">
        <v>38</v>
      </c>
      <c r="D170" s="34">
        <v>46</v>
      </c>
      <c r="E170" s="34">
        <v>50</v>
      </c>
      <c r="F170" s="34">
        <v>62</v>
      </c>
      <c r="G170" s="34">
        <v>72</v>
      </c>
      <c r="H170" s="34">
        <v>78</v>
      </c>
      <c r="I170" s="34">
        <v>83</v>
      </c>
      <c r="J170" s="34">
        <v>85</v>
      </c>
      <c r="K170" s="34">
        <v>74</v>
      </c>
      <c r="L170" s="34">
        <v>88</v>
      </c>
      <c r="M170" s="34">
        <v>87</v>
      </c>
      <c r="N170" s="34">
        <v>90</v>
      </c>
      <c r="O170" s="34">
        <v>88</v>
      </c>
    </row>
    <row r="171" spans="1:15">
      <c r="A171" t="s">
        <v>238</v>
      </c>
      <c r="B171" s="34">
        <v>31</v>
      </c>
      <c r="C171" s="34">
        <v>36</v>
      </c>
      <c r="D171" s="34">
        <v>43.5</v>
      </c>
      <c r="E171" s="34">
        <v>46</v>
      </c>
      <c r="F171" s="34">
        <v>59</v>
      </c>
      <c r="G171" s="34">
        <v>69</v>
      </c>
      <c r="H171" s="34">
        <v>80</v>
      </c>
      <c r="I171" s="34">
        <v>82</v>
      </c>
      <c r="J171" s="34">
        <v>81</v>
      </c>
      <c r="K171" s="34">
        <v>95</v>
      </c>
      <c r="L171" s="34">
        <v>90</v>
      </c>
      <c r="M171" s="34">
        <v>92</v>
      </c>
      <c r="N171" s="34">
        <v>91</v>
      </c>
      <c r="O171" s="34">
        <v>89</v>
      </c>
    </row>
    <row r="172" spans="1:15">
      <c r="A172" t="s">
        <v>239</v>
      </c>
      <c r="B172" s="34">
        <v>33</v>
      </c>
      <c r="C172" s="34">
        <v>44</v>
      </c>
      <c r="D172" s="34">
        <v>49.5</v>
      </c>
      <c r="E172" s="34">
        <v>58</v>
      </c>
      <c r="F172" s="34">
        <v>64</v>
      </c>
      <c r="G172" s="34">
        <v>72</v>
      </c>
      <c r="H172" s="34">
        <v>78</v>
      </c>
      <c r="I172" s="34">
        <v>83</v>
      </c>
      <c r="J172" s="34">
        <v>74</v>
      </c>
      <c r="K172" s="34">
        <v>75</v>
      </c>
      <c r="L172" s="34">
        <v>76</v>
      </c>
      <c r="M172" s="34">
        <v>76</v>
      </c>
      <c r="N172" s="34">
        <v>76</v>
      </c>
      <c r="O172" s="34">
        <v>75</v>
      </c>
    </row>
    <row r="173" spans="1:15">
      <c r="A173" t="s">
        <v>240</v>
      </c>
      <c r="B173" s="34">
        <v>28</v>
      </c>
      <c r="C173" s="34">
        <v>42</v>
      </c>
      <c r="D173" s="34">
        <v>47</v>
      </c>
      <c r="E173" s="34">
        <v>52</v>
      </c>
      <c r="F173" s="34">
        <v>68</v>
      </c>
      <c r="G173" s="34">
        <v>68</v>
      </c>
      <c r="H173" s="34">
        <v>76</v>
      </c>
      <c r="I173" s="34">
        <v>77</v>
      </c>
      <c r="J173" s="34">
        <v>74</v>
      </c>
      <c r="K173" s="34">
        <v>75</v>
      </c>
      <c r="L173" s="34">
        <v>81</v>
      </c>
      <c r="M173" s="34">
        <v>77</v>
      </c>
      <c r="N173" s="34">
        <v>80</v>
      </c>
      <c r="O173" s="34">
        <v>114</v>
      </c>
    </row>
    <row r="174" spans="1:15">
      <c r="A174" t="s">
        <v>241</v>
      </c>
      <c r="B174" s="34">
        <v>37</v>
      </c>
      <c r="C174" s="34">
        <v>42</v>
      </c>
      <c r="D174" s="34">
        <v>52</v>
      </c>
      <c r="E174" s="34">
        <v>56</v>
      </c>
      <c r="F174" s="34">
        <v>59</v>
      </c>
      <c r="G174" s="34">
        <v>65</v>
      </c>
      <c r="H174" s="34">
        <v>70</v>
      </c>
      <c r="I174" s="34">
        <v>70</v>
      </c>
      <c r="J174" s="34">
        <v>66</v>
      </c>
      <c r="K174" s="34">
        <v>72</v>
      </c>
      <c r="L174" s="34">
        <v>68</v>
      </c>
      <c r="M174" s="34">
        <v>69</v>
      </c>
      <c r="N174" s="34">
        <v>72</v>
      </c>
      <c r="O174" s="34">
        <v>78</v>
      </c>
    </row>
    <row r="175" spans="1:15">
      <c r="A175" t="s">
        <v>242</v>
      </c>
      <c r="B175" s="34">
        <v>34</v>
      </c>
      <c r="C175" s="34">
        <v>39.5</v>
      </c>
      <c r="D175" s="34">
        <v>46</v>
      </c>
      <c r="E175" s="34">
        <v>45</v>
      </c>
      <c r="F175" s="34">
        <v>71</v>
      </c>
      <c r="G175" s="34">
        <v>65</v>
      </c>
      <c r="H175" s="34">
        <v>68</v>
      </c>
      <c r="I175" s="34">
        <v>74</v>
      </c>
      <c r="J175" s="34">
        <v>75</v>
      </c>
      <c r="K175" s="34">
        <v>77</v>
      </c>
      <c r="L175" s="34">
        <v>74</v>
      </c>
      <c r="M175" s="34">
        <v>74</v>
      </c>
      <c r="N175" s="34">
        <v>73</v>
      </c>
      <c r="O175" s="34">
        <v>76</v>
      </c>
    </row>
    <row r="176" spans="1:15">
      <c r="A176" t="s">
        <v>243</v>
      </c>
      <c r="B176" s="34">
        <v>33</v>
      </c>
      <c r="C176" s="34">
        <v>43.5</v>
      </c>
      <c r="D176" s="34">
        <v>55.5</v>
      </c>
      <c r="E176" s="34">
        <v>61</v>
      </c>
      <c r="F176" s="34">
        <v>71.5</v>
      </c>
      <c r="G176" s="34">
        <v>89</v>
      </c>
      <c r="H176" s="34">
        <v>100</v>
      </c>
      <c r="I176" s="34">
        <v>101</v>
      </c>
      <c r="J176" s="34">
        <v>110</v>
      </c>
      <c r="K176" s="34">
        <v>121</v>
      </c>
      <c r="L176" s="34">
        <v>105</v>
      </c>
      <c r="M176" s="34">
        <v>133</v>
      </c>
      <c r="N176" s="34">
        <v>133</v>
      </c>
      <c r="O176" s="34">
        <v>131</v>
      </c>
    </row>
    <row r="177" spans="1:15">
      <c r="A177" t="s">
        <v>244</v>
      </c>
      <c r="B177" s="34">
        <v>33</v>
      </c>
      <c r="C177" s="34">
        <v>44</v>
      </c>
      <c r="D177" s="34">
        <v>54</v>
      </c>
      <c r="E177" s="34">
        <v>62</v>
      </c>
      <c r="F177" s="34">
        <v>72</v>
      </c>
      <c r="G177" s="34">
        <v>83</v>
      </c>
      <c r="H177" s="34">
        <v>87</v>
      </c>
      <c r="I177" s="34">
        <v>92</v>
      </c>
      <c r="J177" s="34">
        <v>98</v>
      </c>
      <c r="K177" s="34">
        <v>101</v>
      </c>
      <c r="L177" s="34">
        <v>106</v>
      </c>
      <c r="M177" s="34">
        <v>113</v>
      </c>
      <c r="N177" s="34">
        <v>113</v>
      </c>
      <c r="O177" s="34">
        <v>113</v>
      </c>
    </row>
    <row r="178" spans="1:15">
      <c r="A178" t="s">
        <v>245</v>
      </c>
      <c r="B178" s="34">
        <v>34.5</v>
      </c>
      <c r="C178" s="34">
        <v>51</v>
      </c>
      <c r="D178" s="34">
        <v>59</v>
      </c>
      <c r="E178" s="34">
        <v>58</v>
      </c>
      <c r="F178" s="34">
        <v>72</v>
      </c>
      <c r="G178" s="34">
        <v>86</v>
      </c>
      <c r="H178" s="34">
        <v>94</v>
      </c>
      <c r="I178" s="34">
        <v>102</v>
      </c>
      <c r="J178" s="34">
        <v>101</v>
      </c>
      <c r="K178" s="34">
        <v>106</v>
      </c>
      <c r="L178" s="34">
        <v>130</v>
      </c>
      <c r="M178" s="34">
        <v>139</v>
      </c>
      <c r="N178" s="34">
        <v>135</v>
      </c>
      <c r="O178" s="34">
        <v>131</v>
      </c>
    </row>
    <row r="179" spans="1:15">
      <c r="A179" t="s">
        <v>246</v>
      </c>
      <c r="B179" s="34">
        <v>34</v>
      </c>
      <c r="C179" s="34">
        <v>47.5</v>
      </c>
      <c r="D179" s="34">
        <v>53.5</v>
      </c>
      <c r="E179" s="34">
        <v>66</v>
      </c>
      <c r="F179" s="34">
        <v>74</v>
      </c>
      <c r="G179" s="34">
        <v>84</v>
      </c>
      <c r="H179" s="34">
        <v>81</v>
      </c>
      <c r="I179" s="34">
        <v>94</v>
      </c>
      <c r="J179" s="34">
        <v>100</v>
      </c>
      <c r="K179" s="34">
        <v>107</v>
      </c>
      <c r="L179" s="34">
        <v>113</v>
      </c>
      <c r="M179" s="34">
        <v>106</v>
      </c>
      <c r="N179" s="34">
        <v>108</v>
      </c>
      <c r="O179" s="34">
        <v>100</v>
      </c>
    </row>
    <row r="180" spans="1:15">
      <c r="A180" t="s">
        <v>247</v>
      </c>
      <c r="B180" s="34">
        <v>31</v>
      </c>
      <c r="C180" s="34">
        <v>44</v>
      </c>
      <c r="D180" s="34">
        <v>56</v>
      </c>
      <c r="E180" s="34">
        <v>59</v>
      </c>
      <c r="F180" s="34">
        <v>73</v>
      </c>
      <c r="G180" s="34">
        <v>96</v>
      </c>
      <c r="H180" s="34">
        <v>100</v>
      </c>
      <c r="I180" s="34">
        <v>110</v>
      </c>
      <c r="J180" s="34">
        <v>106</v>
      </c>
      <c r="K180" s="34">
        <v>124</v>
      </c>
      <c r="L180" s="34">
        <v>127</v>
      </c>
      <c r="M180" s="34">
        <v>126</v>
      </c>
      <c r="N180" s="34">
        <v>127</v>
      </c>
      <c r="O180" s="34">
        <v>124</v>
      </c>
    </row>
    <row r="181" spans="1:15">
      <c r="A181" t="s">
        <v>248</v>
      </c>
      <c r="B181" s="34">
        <v>29.5</v>
      </c>
      <c r="C181" s="34">
        <v>37</v>
      </c>
      <c r="D181" s="34">
        <v>57</v>
      </c>
      <c r="E181" s="34">
        <v>61</v>
      </c>
      <c r="F181" s="34">
        <v>65</v>
      </c>
      <c r="G181" s="34">
        <v>90</v>
      </c>
      <c r="H181" s="34">
        <v>84</v>
      </c>
      <c r="I181" s="34">
        <v>102</v>
      </c>
      <c r="J181" s="34">
        <v>103</v>
      </c>
      <c r="K181" s="34">
        <v>107</v>
      </c>
      <c r="L181" s="34">
        <v>127</v>
      </c>
      <c r="M181" s="34">
        <v>127</v>
      </c>
      <c r="N181" s="34">
        <v>124</v>
      </c>
      <c r="O181" s="34">
        <v>127</v>
      </c>
    </row>
    <row r="182" spans="1:15">
      <c r="A182" t="s">
        <v>249</v>
      </c>
      <c r="B182" s="34">
        <v>34.5</v>
      </c>
      <c r="C182" s="34">
        <v>42</v>
      </c>
      <c r="D182" s="34">
        <v>50.5</v>
      </c>
      <c r="E182" s="34">
        <v>58</v>
      </c>
      <c r="F182" s="34">
        <v>70</v>
      </c>
      <c r="G182" s="34">
        <v>81</v>
      </c>
      <c r="H182" s="34">
        <v>83</v>
      </c>
      <c r="I182" s="34">
        <v>92</v>
      </c>
      <c r="J182" s="34">
        <v>93</v>
      </c>
      <c r="K182" s="34">
        <v>102</v>
      </c>
      <c r="L182" s="34">
        <v>108</v>
      </c>
      <c r="M182" s="34">
        <v>103</v>
      </c>
      <c r="N182" s="34">
        <v>117</v>
      </c>
      <c r="O182" s="34">
        <v>116</v>
      </c>
    </row>
    <row r="183" spans="1:15">
      <c r="A183" t="s">
        <v>250</v>
      </c>
      <c r="B183" s="34">
        <v>31</v>
      </c>
      <c r="C183" s="34">
        <v>38</v>
      </c>
      <c r="D183" s="34">
        <v>49</v>
      </c>
      <c r="E183" s="34">
        <v>51</v>
      </c>
      <c r="F183" s="34">
        <v>67</v>
      </c>
      <c r="G183" s="34">
        <v>75</v>
      </c>
      <c r="H183" s="34">
        <v>81</v>
      </c>
      <c r="I183" s="34">
        <v>83</v>
      </c>
      <c r="J183" s="34">
        <v>85</v>
      </c>
      <c r="K183" s="34">
        <v>88</v>
      </c>
      <c r="L183" s="34">
        <v>90</v>
      </c>
      <c r="M183" s="34">
        <v>97</v>
      </c>
      <c r="N183" s="34">
        <v>99</v>
      </c>
      <c r="O183" s="34">
        <v>98</v>
      </c>
    </row>
    <row r="184" spans="1:15">
      <c r="A184" t="s">
        <v>251</v>
      </c>
      <c r="B184" s="34">
        <v>28</v>
      </c>
      <c r="C184" s="34">
        <v>37</v>
      </c>
      <c r="D184" s="34">
        <v>51</v>
      </c>
      <c r="E184" s="34">
        <v>48</v>
      </c>
      <c r="F184" s="34">
        <v>77</v>
      </c>
      <c r="G184" s="34">
        <v>79</v>
      </c>
      <c r="H184" s="34">
        <v>86</v>
      </c>
      <c r="I184" s="34">
        <v>86</v>
      </c>
      <c r="J184" s="34">
        <v>82</v>
      </c>
      <c r="K184" s="34">
        <v>83</v>
      </c>
      <c r="L184" s="34">
        <v>87</v>
      </c>
      <c r="M184" s="34">
        <v>109</v>
      </c>
      <c r="N184" s="34">
        <v>87</v>
      </c>
      <c r="O184" s="34">
        <v>87</v>
      </c>
    </row>
    <row r="185" spans="1:15">
      <c r="A185" t="s">
        <v>252</v>
      </c>
      <c r="B185" s="34">
        <v>27</v>
      </c>
      <c r="C185" s="34">
        <v>32.5</v>
      </c>
      <c r="D185" s="34">
        <v>46</v>
      </c>
      <c r="E185" s="34">
        <v>49</v>
      </c>
      <c r="F185" s="34">
        <v>65</v>
      </c>
      <c r="G185" s="34">
        <v>70</v>
      </c>
      <c r="H185" s="34">
        <v>76</v>
      </c>
      <c r="I185" s="34">
        <v>88</v>
      </c>
      <c r="J185" s="34">
        <v>90</v>
      </c>
      <c r="K185" s="34">
        <v>88</v>
      </c>
      <c r="L185" s="34">
        <v>93</v>
      </c>
      <c r="M185" s="34">
        <v>106</v>
      </c>
      <c r="N185" s="34">
        <v>106</v>
      </c>
      <c r="O185" s="34">
        <v>83</v>
      </c>
    </row>
    <row r="186" spans="1:15">
      <c r="A186" t="s">
        <v>253</v>
      </c>
      <c r="B186" s="34">
        <v>30</v>
      </c>
      <c r="C186" s="34">
        <v>34</v>
      </c>
      <c r="D186" s="34">
        <v>44</v>
      </c>
      <c r="E186" s="34">
        <v>46</v>
      </c>
      <c r="F186" s="34">
        <v>60</v>
      </c>
      <c r="G186" s="34">
        <v>71</v>
      </c>
      <c r="H186" s="34">
        <v>77</v>
      </c>
      <c r="I186" s="34">
        <v>84</v>
      </c>
      <c r="J186" s="34">
        <v>84</v>
      </c>
      <c r="K186" s="34">
        <v>86</v>
      </c>
      <c r="L186" s="34">
        <v>85</v>
      </c>
      <c r="M186" s="34">
        <v>93</v>
      </c>
      <c r="N186" s="34">
        <v>83</v>
      </c>
      <c r="O186" s="34">
        <v>83</v>
      </c>
    </row>
    <row r="187" spans="1:15">
      <c r="A187" t="s">
        <v>254</v>
      </c>
      <c r="B187" s="34">
        <v>33</v>
      </c>
      <c r="C187" s="34">
        <v>37.5</v>
      </c>
      <c r="D187" s="34">
        <v>54</v>
      </c>
      <c r="E187" s="34">
        <v>56</v>
      </c>
      <c r="F187" s="34">
        <v>67</v>
      </c>
      <c r="G187" s="34">
        <v>78</v>
      </c>
      <c r="H187" s="34">
        <v>82</v>
      </c>
      <c r="I187" s="34">
        <v>91</v>
      </c>
      <c r="J187" s="34">
        <v>96</v>
      </c>
      <c r="K187" s="34">
        <v>108</v>
      </c>
      <c r="L187" s="34">
        <v>112</v>
      </c>
      <c r="M187" s="34">
        <v>117</v>
      </c>
      <c r="N187" s="34">
        <v>119</v>
      </c>
      <c r="O187" s="34">
        <v>113</v>
      </c>
    </row>
    <row r="188" spans="1:15">
      <c r="A188" t="s">
        <v>255</v>
      </c>
      <c r="B188" s="34">
        <v>24.5</v>
      </c>
      <c r="C188" s="34">
        <v>33</v>
      </c>
      <c r="D188" s="34">
        <v>46</v>
      </c>
      <c r="E188" s="34">
        <v>49</v>
      </c>
      <c r="F188" s="34">
        <v>52</v>
      </c>
      <c r="G188" s="34">
        <v>67</v>
      </c>
      <c r="H188" s="34">
        <v>74</v>
      </c>
      <c r="I188" s="34">
        <v>78</v>
      </c>
      <c r="J188" s="34">
        <v>90</v>
      </c>
      <c r="K188" s="34">
        <v>92</v>
      </c>
      <c r="L188" s="34">
        <v>92</v>
      </c>
      <c r="M188" s="34">
        <v>93</v>
      </c>
      <c r="N188" s="34">
        <v>92</v>
      </c>
      <c r="O188" s="34">
        <v>92</v>
      </c>
    </row>
    <row r="189" spans="1:15">
      <c r="A189" t="s">
        <v>256</v>
      </c>
      <c r="B189" s="34">
        <v>28</v>
      </c>
      <c r="C189" s="34">
        <v>36</v>
      </c>
      <c r="D189" s="34">
        <v>49.5</v>
      </c>
      <c r="E189" s="34">
        <v>50</v>
      </c>
      <c r="F189" s="34">
        <v>61</v>
      </c>
      <c r="G189" s="34">
        <v>70</v>
      </c>
      <c r="H189" s="34">
        <v>73</v>
      </c>
      <c r="I189" s="34">
        <v>77</v>
      </c>
      <c r="J189" s="34">
        <v>75</v>
      </c>
      <c r="K189" s="34">
        <v>75</v>
      </c>
      <c r="L189" s="34">
        <v>76</v>
      </c>
      <c r="M189" s="34">
        <v>76</v>
      </c>
      <c r="N189" s="34">
        <v>79</v>
      </c>
      <c r="O189" s="34">
        <v>81</v>
      </c>
    </row>
    <row r="190" spans="1:15">
      <c r="A190" t="s">
        <v>257</v>
      </c>
      <c r="B190" s="34">
        <v>29.5</v>
      </c>
      <c r="C190" s="34">
        <v>38.5</v>
      </c>
      <c r="D190" s="34">
        <v>50</v>
      </c>
      <c r="E190" s="34">
        <v>55</v>
      </c>
      <c r="F190" s="34">
        <v>60</v>
      </c>
      <c r="G190" s="34">
        <v>62</v>
      </c>
      <c r="H190" s="34">
        <v>70</v>
      </c>
      <c r="I190" s="34">
        <v>71</v>
      </c>
      <c r="J190" s="34">
        <v>73</v>
      </c>
      <c r="K190" s="34">
        <v>80</v>
      </c>
      <c r="L190" s="34">
        <v>84</v>
      </c>
      <c r="M190" s="34">
        <v>90</v>
      </c>
      <c r="N190" s="34">
        <v>90</v>
      </c>
      <c r="O190" s="34">
        <v>91</v>
      </c>
    </row>
    <row r="191" spans="1:15">
      <c r="A191" t="s">
        <v>258</v>
      </c>
      <c r="B191" s="34">
        <v>30</v>
      </c>
      <c r="C191" s="34">
        <v>38</v>
      </c>
      <c r="D191" s="34">
        <v>50.5</v>
      </c>
      <c r="E191" s="34">
        <v>55</v>
      </c>
      <c r="F191" s="34">
        <v>58.5</v>
      </c>
      <c r="G191" s="34">
        <v>68</v>
      </c>
      <c r="H191" s="34">
        <v>75</v>
      </c>
      <c r="I191" s="34">
        <v>78</v>
      </c>
      <c r="J191" s="34">
        <v>73</v>
      </c>
      <c r="K191" s="34">
        <v>73</v>
      </c>
      <c r="L191" s="34">
        <v>74</v>
      </c>
      <c r="M191" s="34">
        <v>77</v>
      </c>
      <c r="N191" s="34">
        <v>78</v>
      </c>
      <c r="O191" s="34">
        <v>99</v>
      </c>
    </row>
    <row r="192" spans="1:15">
      <c r="A192" t="s">
        <v>259</v>
      </c>
      <c r="B192" s="34">
        <v>33</v>
      </c>
      <c r="C192" s="34">
        <v>36</v>
      </c>
      <c r="D192" s="34">
        <v>45.5</v>
      </c>
      <c r="E192" s="34">
        <v>52</v>
      </c>
      <c r="F192" s="34">
        <v>60</v>
      </c>
      <c r="G192" s="34">
        <v>66</v>
      </c>
      <c r="H192" s="34">
        <v>62</v>
      </c>
      <c r="I192" s="34">
        <v>67</v>
      </c>
      <c r="J192" s="34">
        <v>62</v>
      </c>
      <c r="K192" s="34">
        <v>70</v>
      </c>
      <c r="L192" s="34">
        <v>77</v>
      </c>
      <c r="M192" s="34">
        <v>86</v>
      </c>
      <c r="N192" s="34">
        <v>87</v>
      </c>
      <c r="O192" s="34">
        <v>89</v>
      </c>
    </row>
    <row r="193" spans="1:15">
      <c r="A193" t="s">
        <v>260</v>
      </c>
      <c r="B193" s="34">
        <v>23</v>
      </c>
      <c r="C193" s="34">
        <v>34.5</v>
      </c>
      <c r="D193" s="34">
        <v>53</v>
      </c>
      <c r="E193" s="34">
        <v>47</v>
      </c>
      <c r="F193" s="34"/>
      <c r="G193" s="34">
        <v>70</v>
      </c>
      <c r="H193" s="34">
        <v>71</v>
      </c>
      <c r="I193" s="34">
        <v>92</v>
      </c>
      <c r="J193" s="34">
        <v>87</v>
      </c>
      <c r="K193" s="34">
        <v>82</v>
      </c>
      <c r="L193" s="34">
        <v>94</v>
      </c>
      <c r="M193" s="34">
        <v>91</v>
      </c>
      <c r="N193" s="34">
        <v>91</v>
      </c>
      <c r="O193" s="34">
        <v>83</v>
      </c>
    </row>
    <row r="194" spans="1:15">
      <c r="A194" t="s">
        <v>261</v>
      </c>
      <c r="B194" s="34">
        <v>30.5</v>
      </c>
      <c r="C194" s="34">
        <v>39</v>
      </c>
      <c r="D194" s="34">
        <v>53.5</v>
      </c>
      <c r="E194" s="34">
        <v>61</v>
      </c>
      <c r="F194" s="34">
        <v>68</v>
      </c>
      <c r="G194" s="34">
        <v>68</v>
      </c>
      <c r="H194" s="34">
        <v>87</v>
      </c>
      <c r="I194" s="34">
        <v>85</v>
      </c>
      <c r="J194" s="34">
        <v>86</v>
      </c>
      <c r="K194" s="34">
        <v>91</v>
      </c>
      <c r="L194" s="34">
        <v>91</v>
      </c>
      <c r="M194" s="34">
        <v>91</v>
      </c>
      <c r="N194" s="34">
        <v>87</v>
      </c>
      <c r="O194" s="34">
        <v>105</v>
      </c>
    </row>
    <row r="195" spans="1:15">
      <c r="A195" t="s">
        <v>262</v>
      </c>
      <c r="B195" s="34">
        <v>31.5</v>
      </c>
      <c r="C195" s="34">
        <v>41</v>
      </c>
      <c r="D195" s="34">
        <v>51</v>
      </c>
      <c r="E195" s="34">
        <v>59</v>
      </c>
      <c r="F195" s="34">
        <v>71</v>
      </c>
      <c r="G195" s="34">
        <v>67</v>
      </c>
      <c r="H195" s="34">
        <v>74</v>
      </c>
      <c r="I195" s="34">
        <v>81</v>
      </c>
      <c r="J195" s="34">
        <v>83</v>
      </c>
      <c r="K195" s="34">
        <v>83</v>
      </c>
      <c r="L195" s="34">
        <v>81</v>
      </c>
      <c r="M195" s="34">
        <v>80</v>
      </c>
      <c r="N195" s="34">
        <v>81</v>
      </c>
      <c r="O195" s="34">
        <v>82</v>
      </c>
    </row>
    <row r="196" spans="1:15">
      <c r="A196" t="s">
        <v>263</v>
      </c>
      <c r="B196" s="34">
        <v>30</v>
      </c>
      <c r="C196" s="34">
        <v>38.5</v>
      </c>
      <c r="D196" s="34">
        <v>50.5</v>
      </c>
      <c r="E196" s="34">
        <v>57</v>
      </c>
      <c r="F196" s="34">
        <v>84</v>
      </c>
      <c r="G196" s="34">
        <v>63</v>
      </c>
      <c r="H196" s="34">
        <v>83</v>
      </c>
      <c r="I196" s="34">
        <v>87</v>
      </c>
      <c r="J196" s="34">
        <v>98</v>
      </c>
      <c r="K196" s="34">
        <v>97</v>
      </c>
      <c r="L196" s="34">
        <v>93</v>
      </c>
      <c r="M196" s="34">
        <v>94</v>
      </c>
      <c r="N196" s="34">
        <v>96</v>
      </c>
      <c r="O196" s="34">
        <v>97</v>
      </c>
    </row>
    <row r="197" spans="1:15">
      <c r="A197" t="s">
        <v>264</v>
      </c>
      <c r="B197" s="34">
        <v>29</v>
      </c>
      <c r="C197" s="34">
        <v>48.5</v>
      </c>
      <c r="D197" s="34">
        <v>48</v>
      </c>
      <c r="E197" s="34">
        <v>56</v>
      </c>
      <c r="F197" s="34">
        <v>68</v>
      </c>
      <c r="G197" s="34">
        <v>73</v>
      </c>
      <c r="H197" s="34">
        <v>99</v>
      </c>
      <c r="I197" s="34">
        <v>103</v>
      </c>
      <c r="J197" s="34">
        <v>103</v>
      </c>
      <c r="K197" s="34">
        <v>103</v>
      </c>
      <c r="L197" s="34">
        <v>102</v>
      </c>
      <c r="M197" s="34">
        <v>106</v>
      </c>
      <c r="N197" s="34">
        <v>103</v>
      </c>
      <c r="O197" s="34">
        <v>99</v>
      </c>
    </row>
    <row r="198" spans="1:15">
      <c r="A198" t="s">
        <v>265</v>
      </c>
      <c r="B198" s="34">
        <v>34.5</v>
      </c>
      <c r="C198" s="34">
        <v>48</v>
      </c>
      <c r="D198" s="34">
        <v>50.5</v>
      </c>
      <c r="E198" s="34">
        <v>52</v>
      </c>
      <c r="F198" s="34">
        <v>66</v>
      </c>
      <c r="G198" s="34">
        <v>77</v>
      </c>
      <c r="H198" s="34">
        <v>89</v>
      </c>
      <c r="I198" s="34">
        <v>94</v>
      </c>
      <c r="J198" s="34">
        <v>94</v>
      </c>
      <c r="K198" s="34">
        <v>96</v>
      </c>
      <c r="L198" s="34">
        <v>95</v>
      </c>
      <c r="M198" s="34">
        <v>97</v>
      </c>
      <c r="N198" s="34">
        <v>99</v>
      </c>
      <c r="O198" s="34">
        <v>98</v>
      </c>
    </row>
    <row r="199" spans="1:15">
      <c r="A199" t="s">
        <v>266</v>
      </c>
      <c r="B199" s="34">
        <v>32</v>
      </c>
      <c r="C199" s="34">
        <v>44</v>
      </c>
      <c r="D199" s="34">
        <v>47.5</v>
      </c>
      <c r="E199" s="34">
        <v>51</v>
      </c>
      <c r="F199" s="34">
        <v>68</v>
      </c>
      <c r="G199" s="34">
        <v>80</v>
      </c>
      <c r="H199" s="34">
        <v>88</v>
      </c>
      <c r="I199" s="34">
        <v>101</v>
      </c>
      <c r="J199" s="34">
        <v>104</v>
      </c>
      <c r="K199" s="34">
        <v>107</v>
      </c>
      <c r="L199" s="34">
        <v>106</v>
      </c>
      <c r="M199" s="34">
        <v>107</v>
      </c>
      <c r="N199" s="34">
        <v>107</v>
      </c>
      <c r="O199" s="34">
        <v>104</v>
      </c>
    </row>
    <row r="200" spans="1:15">
      <c r="A200" t="s">
        <v>267</v>
      </c>
      <c r="B200" s="34">
        <v>26</v>
      </c>
      <c r="C200" s="34">
        <v>37</v>
      </c>
      <c r="D200" s="34">
        <v>38.5</v>
      </c>
      <c r="E200" s="34">
        <v>50</v>
      </c>
      <c r="F200" s="34">
        <v>49</v>
      </c>
      <c r="G200" s="34">
        <v>54</v>
      </c>
      <c r="H200" s="34">
        <v>56</v>
      </c>
      <c r="I200" s="34">
        <v>60</v>
      </c>
      <c r="J200" s="34">
        <v>61</v>
      </c>
      <c r="K200" s="34">
        <v>61</v>
      </c>
      <c r="L200" s="34">
        <v>58</v>
      </c>
      <c r="M200" s="34">
        <v>63</v>
      </c>
      <c r="N200" s="34">
        <v>61</v>
      </c>
      <c r="O200" s="34">
        <v>46</v>
      </c>
    </row>
    <row r="201" spans="1:15">
      <c r="A201" t="s">
        <v>268</v>
      </c>
      <c r="B201" s="34">
        <v>39</v>
      </c>
      <c r="C201" s="34">
        <v>51</v>
      </c>
      <c r="D201" s="34">
        <v>49</v>
      </c>
      <c r="E201" s="34">
        <v>44</v>
      </c>
      <c r="F201" s="34">
        <v>43</v>
      </c>
      <c r="G201" s="34">
        <v>61</v>
      </c>
      <c r="H201" s="34">
        <v>60</v>
      </c>
      <c r="I201" s="34">
        <v>43</v>
      </c>
      <c r="J201" s="34">
        <v>60</v>
      </c>
      <c r="K201" s="34">
        <v>48</v>
      </c>
      <c r="L201" s="34">
        <v>58</v>
      </c>
      <c r="M201" s="34">
        <v>47</v>
      </c>
      <c r="N201" s="34">
        <v>60</v>
      </c>
      <c r="O201" s="34">
        <v>61</v>
      </c>
    </row>
    <row r="202" spans="1:15">
      <c r="A202" t="s">
        <v>269</v>
      </c>
      <c r="B202" s="34">
        <v>28</v>
      </c>
      <c r="C202" s="34">
        <v>48</v>
      </c>
      <c r="D202" s="34">
        <v>42.5</v>
      </c>
      <c r="E202" s="34">
        <v>45</v>
      </c>
      <c r="F202" s="34">
        <v>44</v>
      </c>
      <c r="G202" s="34">
        <v>58</v>
      </c>
      <c r="H202" s="34">
        <v>50</v>
      </c>
      <c r="I202" s="34">
        <v>58</v>
      </c>
      <c r="J202" s="34">
        <v>55</v>
      </c>
      <c r="K202" s="34">
        <v>55</v>
      </c>
      <c r="L202" s="34">
        <v>57</v>
      </c>
      <c r="M202" s="34">
        <v>57</v>
      </c>
      <c r="N202" s="34">
        <v>57</v>
      </c>
      <c r="O202" s="34">
        <v>58</v>
      </c>
    </row>
    <row r="203" spans="1:15">
      <c r="A203" t="s">
        <v>270</v>
      </c>
      <c r="B203" s="34">
        <v>31</v>
      </c>
      <c r="C203" s="34">
        <v>41</v>
      </c>
      <c r="D203" s="34">
        <v>42</v>
      </c>
      <c r="E203" s="34">
        <v>54</v>
      </c>
      <c r="F203" s="34">
        <v>52</v>
      </c>
      <c r="G203" s="34">
        <v>39</v>
      </c>
      <c r="H203" s="34">
        <v>41</v>
      </c>
      <c r="I203" s="34">
        <v>42</v>
      </c>
      <c r="J203" s="34">
        <v>42</v>
      </c>
      <c r="K203" s="34">
        <v>44</v>
      </c>
      <c r="L203" s="34">
        <v>43</v>
      </c>
      <c r="M203" s="34">
        <v>50</v>
      </c>
      <c r="N203" s="34">
        <v>48</v>
      </c>
      <c r="O203" s="34">
        <v>68</v>
      </c>
    </row>
    <row r="204" spans="1:15">
      <c r="A204" t="s">
        <v>271</v>
      </c>
      <c r="B204" s="34">
        <v>28.5</v>
      </c>
      <c r="C204" s="34">
        <v>40</v>
      </c>
      <c r="D204" s="34">
        <v>48.5</v>
      </c>
      <c r="E204" s="34">
        <v>51</v>
      </c>
      <c r="F204" s="34">
        <v>59</v>
      </c>
      <c r="G204" s="34">
        <v>47</v>
      </c>
      <c r="H204" s="34">
        <v>48</v>
      </c>
      <c r="I204" s="34">
        <v>50</v>
      </c>
      <c r="J204" s="34">
        <v>43</v>
      </c>
      <c r="K204" s="34">
        <v>40</v>
      </c>
      <c r="L204" s="34">
        <v>47</v>
      </c>
      <c r="M204" s="34">
        <v>50</v>
      </c>
      <c r="N204" s="34">
        <v>48</v>
      </c>
      <c r="O204" s="34">
        <v>65</v>
      </c>
    </row>
    <row r="205" spans="1:15">
      <c r="A205" t="s">
        <v>272</v>
      </c>
      <c r="B205" s="34">
        <v>32</v>
      </c>
      <c r="C205" s="34">
        <v>45.5</v>
      </c>
      <c r="D205" s="34">
        <v>47</v>
      </c>
      <c r="E205" s="34">
        <v>49</v>
      </c>
      <c r="F205" s="34">
        <v>46</v>
      </c>
      <c r="G205" s="34">
        <v>46</v>
      </c>
      <c r="H205" s="34">
        <v>51</v>
      </c>
      <c r="I205" s="34">
        <v>46</v>
      </c>
      <c r="J205" s="34">
        <v>50</v>
      </c>
      <c r="K205" s="34">
        <v>50</v>
      </c>
      <c r="L205" s="34">
        <v>50</v>
      </c>
      <c r="M205" s="34">
        <v>53</v>
      </c>
      <c r="N205" s="34">
        <v>41</v>
      </c>
      <c r="O205" s="34">
        <v>55</v>
      </c>
    </row>
    <row r="206" spans="1:15">
      <c r="A206" t="s">
        <v>273</v>
      </c>
      <c r="B206" s="34">
        <v>32.5</v>
      </c>
      <c r="C206" s="34">
        <v>43</v>
      </c>
      <c r="D206" s="34">
        <v>58</v>
      </c>
      <c r="E206" s="34">
        <v>61</v>
      </c>
      <c r="F206" s="34">
        <v>70</v>
      </c>
      <c r="G206" s="34">
        <v>91</v>
      </c>
      <c r="H206" s="34">
        <v>91</v>
      </c>
      <c r="I206" s="34">
        <v>100</v>
      </c>
      <c r="J206" s="34">
        <v>101</v>
      </c>
      <c r="K206" s="34">
        <v>102</v>
      </c>
      <c r="L206" s="34">
        <v>101</v>
      </c>
      <c r="M206" s="34">
        <v>102</v>
      </c>
      <c r="N206" s="34">
        <v>102</v>
      </c>
      <c r="O206" s="34">
        <v>103</v>
      </c>
    </row>
    <row r="207" spans="1:15">
      <c r="A207" t="s">
        <v>274</v>
      </c>
      <c r="B207" s="34">
        <v>31</v>
      </c>
      <c r="C207" s="34">
        <v>44</v>
      </c>
      <c r="D207" s="34">
        <v>56.5</v>
      </c>
      <c r="E207" s="34">
        <v>65</v>
      </c>
      <c r="F207" s="34">
        <v>83</v>
      </c>
      <c r="G207" s="34">
        <v>82</v>
      </c>
      <c r="H207" s="34">
        <v>97</v>
      </c>
      <c r="I207" s="34">
        <v>96</v>
      </c>
      <c r="J207" s="34">
        <v>101</v>
      </c>
      <c r="K207" s="34">
        <v>102</v>
      </c>
      <c r="L207" s="34">
        <v>98</v>
      </c>
      <c r="M207" s="34">
        <v>102</v>
      </c>
      <c r="N207" s="34">
        <v>92</v>
      </c>
      <c r="O207" s="34">
        <v>106</v>
      </c>
    </row>
    <row r="208" spans="1:15">
      <c r="A208" t="s">
        <v>275</v>
      </c>
      <c r="B208" s="34">
        <v>29</v>
      </c>
      <c r="C208" s="34">
        <v>45</v>
      </c>
      <c r="D208" s="34">
        <v>55</v>
      </c>
      <c r="E208" s="34">
        <v>70</v>
      </c>
      <c r="F208" s="34">
        <v>91</v>
      </c>
      <c r="G208" s="34">
        <v>87</v>
      </c>
      <c r="H208" s="34">
        <v>98</v>
      </c>
      <c r="I208" s="34">
        <v>105</v>
      </c>
      <c r="J208" s="34">
        <v>107</v>
      </c>
      <c r="K208" s="34">
        <v>102</v>
      </c>
      <c r="L208" s="34">
        <v>103</v>
      </c>
      <c r="M208" s="34">
        <v>100</v>
      </c>
      <c r="N208" s="34">
        <v>103</v>
      </c>
      <c r="O208" s="34">
        <v>131</v>
      </c>
    </row>
    <row r="209" spans="1:15">
      <c r="A209" t="s">
        <v>276</v>
      </c>
      <c r="B209" s="34">
        <v>35.5</v>
      </c>
      <c r="C209" s="34">
        <v>52</v>
      </c>
      <c r="D209" s="34">
        <v>65.5</v>
      </c>
      <c r="E209" s="34">
        <v>62</v>
      </c>
      <c r="F209" s="34">
        <v>80</v>
      </c>
      <c r="G209" s="34">
        <v>103</v>
      </c>
      <c r="H209" s="34">
        <v>99</v>
      </c>
      <c r="I209" s="34">
        <v>110</v>
      </c>
      <c r="J209" s="34">
        <v>110</v>
      </c>
      <c r="K209" s="34">
        <v>103</v>
      </c>
      <c r="L209" s="34">
        <v>102</v>
      </c>
      <c r="M209" s="34">
        <v>103</v>
      </c>
      <c r="N209" s="34">
        <v>103</v>
      </c>
      <c r="O209" s="34">
        <v>99</v>
      </c>
    </row>
    <row r="210" spans="1:15">
      <c r="A210" t="s">
        <v>277</v>
      </c>
      <c r="B210" s="34">
        <v>30.5</v>
      </c>
      <c r="C210" s="34">
        <v>41</v>
      </c>
      <c r="D210" s="34">
        <v>57</v>
      </c>
      <c r="E210" s="34">
        <v>60</v>
      </c>
      <c r="F210" s="34">
        <v>77</v>
      </c>
      <c r="G210" s="34">
        <v>88</v>
      </c>
      <c r="H210" s="34">
        <v>92</v>
      </c>
      <c r="I210" s="34">
        <v>98</v>
      </c>
      <c r="J210" s="34">
        <v>93</v>
      </c>
      <c r="K210" s="34">
        <v>93</v>
      </c>
      <c r="L210" s="34">
        <v>104</v>
      </c>
      <c r="M210" s="34">
        <v>109</v>
      </c>
      <c r="N210" s="34">
        <v>112</v>
      </c>
      <c r="O210" s="34">
        <v>111</v>
      </c>
    </row>
    <row r="211" spans="1:15">
      <c r="A211" t="s">
        <v>278</v>
      </c>
      <c r="B211" s="34">
        <v>21</v>
      </c>
      <c r="C211" s="34">
        <v>30</v>
      </c>
      <c r="D211" s="34">
        <v>48</v>
      </c>
      <c r="E211" s="34">
        <v>64</v>
      </c>
      <c r="F211" s="34">
        <v>75</v>
      </c>
      <c r="G211" s="34">
        <v>84</v>
      </c>
      <c r="H211" s="34">
        <v>103</v>
      </c>
      <c r="I211" s="34">
        <v>106</v>
      </c>
      <c r="J211" s="34">
        <v>128</v>
      </c>
      <c r="K211" s="34">
        <v>103</v>
      </c>
      <c r="L211" s="34">
        <v>102</v>
      </c>
      <c r="M211" s="34">
        <v>112</v>
      </c>
      <c r="N211" s="34">
        <v>103</v>
      </c>
      <c r="O211" s="34">
        <v>137</v>
      </c>
    </row>
    <row r="212" spans="1:15">
      <c r="A212" t="s">
        <v>279</v>
      </c>
      <c r="B212" s="34">
        <v>33</v>
      </c>
      <c r="C212" s="34">
        <v>42</v>
      </c>
      <c r="D212" s="34">
        <v>47.5</v>
      </c>
      <c r="E212" s="34">
        <v>45</v>
      </c>
      <c r="F212" s="34">
        <v>39</v>
      </c>
      <c r="G212" s="34">
        <v>62</v>
      </c>
      <c r="H212" s="34">
        <v>43</v>
      </c>
      <c r="I212" s="34">
        <v>61</v>
      </c>
      <c r="J212" s="34">
        <v>46</v>
      </c>
      <c r="K212" s="34">
        <v>58</v>
      </c>
      <c r="L212" s="34">
        <v>60</v>
      </c>
      <c r="M212" s="34">
        <v>61</v>
      </c>
      <c r="N212" s="34">
        <v>61</v>
      </c>
      <c r="O212" s="34">
        <v>60</v>
      </c>
    </row>
    <row r="213" spans="1:15">
      <c r="A213" t="s">
        <v>280</v>
      </c>
      <c r="B213" s="34">
        <v>28.5</v>
      </c>
      <c r="C213" s="34">
        <v>34.5</v>
      </c>
      <c r="D213" s="34">
        <v>41</v>
      </c>
      <c r="E213" s="34">
        <v>48</v>
      </c>
      <c r="F213" s="34">
        <v>45</v>
      </c>
      <c r="G213" s="34">
        <v>41</v>
      </c>
      <c r="H213" s="34">
        <v>59</v>
      </c>
      <c r="I213" s="34">
        <v>45</v>
      </c>
      <c r="J213" s="34">
        <v>46</v>
      </c>
      <c r="K213" s="34">
        <v>48</v>
      </c>
      <c r="L213" s="34">
        <v>47</v>
      </c>
      <c r="M213" s="34">
        <v>40</v>
      </c>
      <c r="N213" s="34">
        <v>41</v>
      </c>
      <c r="O213" s="34">
        <v>44</v>
      </c>
    </row>
    <row r="214" spans="1:15">
      <c r="A214" t="s">
        <v>281</v>
      </c>
      <c r="B214" s="34">
        <v>35</v>
      </c>
      <c r="C214" s="34">
        <v>44</v>
      </c>
      <c r="D214" s="34">
        <v>48.5</v>
      </c>
      <c r="E214" s="34">
        <v>42</v>
      </c>
      <c r="F214" s="34">
        <v>48</v>
      </c>
      <c r="G214" s="34">
        <v>51</v>
      </c>
      <c r="H214" s="34">
        <v>51</v>
      </c>
      <c r="I214" s="34">
        <v>50</v>
      </c>
      <c r="J214" s="34">
        <v>50</v>
      </c>
      <c r="K214" s="34">
        <v>51</v>
      </c>
      <c r="L214" s="34">
        <v>50</v>
      </c>
      <c r="M214" s="34">
        <v>52</v>
      </c>
      <c r="N214" s="34">
        <v>48</v>
      </c>
      <c r="O214" s="34">
        <v>48</v>
      </c>
    </row>
    <row r="215" spans="1:15">
      <c r="A215" t="s">
        <v>282</v>
      </c>
      <c r="B215" s="34">
        <v>34.5</v>
      </c>
      <c r="C215" s="34">
        <v>43</v>
      </c>
      <c r="D215" s="34">
        <v>45.5</v>
      </c>
      <c r="E215" s="34">
        <v>41</v>
      </c>
      <c r="F215" s="34">
        <v>52</v>
      </c>
      <c r="G215" s="34">
        <v>50</v>
      </c>
      <c r="H215" s="34">
        <v>45</v>
      </c>
      <c r="I215" s="34">
        <v>42</v>
      </c>
      <c r="J215" s="34">
        <v>45</v>
      </c>
      <c r="K215" s="34">
        <v>48</v>
      </c>
      <c r="L215" s="34">
        <v>48</v>
      </c>
      <c r="M215" s="34">
        <v>45</v>
      </c>
      <c r="N215" s="34">
        <v>51</v>
      </c>
      <c r="O215" s="34">
        <v>45</v>
      </c>
    </row>
    <row r="216" spans="1:15">
      <c r="A216" t="s">
        <v>283</v>
      </c>
      <c r="B216" s="34">
        <v>32</v>
      </c>
      <c r="C216" s="34">
        <v>42</v>
      </c>
      <c r="D216" s="34">
        <v>47</v>
      </c>
      <c r="E216" s="34">
        <v>37</v>
      </c>
      <c r="F216" s="34">
        <v>41</v>
      </c>
      <c r="G216" s="34">
        <v>52</v>
      </c>
      <c r="H216" s="34">
        <v>51</v>
      </c>
      <c r="I216" s="34">
        <v>51</v>
      </c>
      <c r="J216" s="34">
        <v>53</v>
      </c>
      <c r="K216" s="34">
        <v>52</v>
      </c>
      <c r="L216" s="34">
        <v>52</v>
      </c>
      <c r="M216" s="34">
        <v>52</v>
      </c>
      <c r="N216" s="34">
        <v>53</v>
      </c>
      <c r="O216" s="34">
        <v>48</v>
      </c>
    </row>
    <row r="217" spans="1:15">
      <c r="A217" t="s">
        <v>284</v>
      </c>
      <c r="B217" s="34">
        <v>30</v>
      </c>
      <c r="C217" s="34">
        <v>41.5</v>
      </c>
      <c r="D217" s="34">
        <v>45.5</v>
      </c>
      <c r="E217" s="34">
        <v>49</v>
      </c>
      <c r="F217" s="34">
        <v>48</v>
      </c>
      <c r="G217" s="34">
        <v>46</v>
      </c>
      <c r="H217" s="34">
        <v>48</v>
      </c>
      <c r="I217" s="34">
        <v>52</v>
      </c>
      <c r="J217" s="34">
        <v>46</v>
      </c>
      <c r="K217" s="34">
        <v>53</v>
      </c>
      <c r="L217" s="34">
        <v>50</v>
      </c>
      <c r="M217" s="34">
        <v>48</v>
      </c>
      <c r="N217" s="34">
        <v>51</v>
      </c>
      <c r="O217" s="34">
        <v>46</v>
      </c>
    </row>
    <row r="218" spans="1:15">
      <c r="B218" s="34"/>
      <c r="C218" s="34"/>
      <c r="D218" s="34"/>
      <c r="E218" s="34"/>
      <c r="F218" s="34"/>
      <c r="H218" s="34"/>
      <c r="I218" s="34"/>
      <c r="J218" s="34"/>
      <c r="K218" s="34"/>
      <c r="N218" s="34"/>
      <c r="O218" s="34"/>
    </row>
    <row r="219" spans="1:15"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</row>
    <row r="220" spans="1:15"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</row>
    <row r="221" spans="1:15"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</row>
    <row r="222" spans="1:15"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</row>
    <row r="223" spans="1:15"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</row>
    <row r="224" spans="1:15"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</row>
    <row r="225" spans="2:15"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</row>
    <row r="226" spans="2:15"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EABA-2D4F-46B9-9430-6B75B8430375}">
  <dimension ref="A1:O217"/>
  <sheetViews>
    <sheetView tabSelected="1" topLeftCell="A13" workbookViewId="0">
      <selection activeCell="N62" sqref="N62"/>
    </sheetView>
  </sheetViews>
  <sheetFormatPr defaultRowHeight="12.75"/>
  <sheetData>
    <row r="1" spans="1:15">
      <c r="A1" t="s">
        <v>68</v>
      </c>
      <c r="B1" t="s">
        <v>57</v>
      </c>
      <c r="C1" t="s">
        <v>58</v>
      </c>
      <c r="D1" t="s">
        <v>59</v>
      </c>
      <c r="E1" t="s">
        <v>60</v>
      </c>
      <c r="F1" t="s">
        <v>45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52</v>
      </c>
      <c r="M1" t="s">
        <v>53</v>
      </c>
      <c r="N1" t="s">
        <v>66</v>
      </c>
      <c r="O1" t="s">
        <v>67</v>
      </c>
    </row>
    <row r="2" spans="1:15">
      <c r="A2" t="s">
        <v>69</v>
      </c>
      <c r="B2" s="34">
        <v>34.5</v>
      </c>
      <c r="C2" s="34">
        <v>40.5</v>
      </c>
      <c r="D2" s="34">
        <v>50.5</v>
      </c>
      <c r="E2" s="34">
        <v>38</v>
      </c>
      <c r="F2" s="34">
        <v>70</v>
      </c>
      <c r="G2" s="34">
        <v>83</v>
      </c>
      <c r="H2" s="34">
        <v>86</v>
      </c>
      <c r="I2" s="34">
        <v>82</v>
      </c>
      <c r="J2" s="34">
        <v>88</v>
      </c>
      <c r="K2" s="34">
        <v>107</v>
      </c>
      <c r="L2" s="34">
        <v>92</v>
      </c>
      <c r="M2" s="34">
        <v>105</v>
      </c>
      <c r="N2" s="34">
        <v>100</v>
      </c>
      <c r="O2" s="34">
        <v>100</v>
      </c>
    </row>
    <row r="3" spans="1:15">
      <c r="A3" t="s">
        <v>70</v>
      </c>
      <c r="B3" s="34">
        <v>32.5</v>
      </c>
      <c r="C3" s="34">
        <v>44</v>
      </c>
      <c r="D3" s="34">
        <v>56</v>
      </c>
      <c r="E3" s="34">
        <v>60</v>
      </c>
      <c r="F3" s="34">
        <v>82</v>
      </c>
      <c r="G3" s="34">
        <v>84</v>
      </c>
      <c r="H3" s="34">
        <v>91</v>
      </c>
      <c r="I3" s="34">
        <v>91</v>
      </c>
      <c r="J3" s="34">
        <v>100</v>
      </c>
      <c r="K3" s="34">
        <v>105</v>
      </c>
      <c r="L3" s="34">
        <v>85</v>
      </c>
      <c r="M3" s="34">
        <v>105</v>
      </c>
      <c r="N3" s="34">
        <v>100</v>
      </c>
      <c r="O3" s="34">
        <v>100</v>
      </c>
    </row>
    <row r="4" spans="1:15">
      <c r="A4" t="s">
        <v>71</v>
      </c>
      <c r="B4" s="34">
        <v>36</v>
      </c>
      <c r="C4" s="34">
        <v>43.5</v>
      </c>
      <c r="D4" s="34">
        <v>60.5</v>
      </c>
      <c r="E4" s="34">
        <v>54</v>
      </c>
      <c r="F4" s="34">
        <v>70</v>
      </c>
      <c r="G4" s="34">
        <v>80</v>
      </c>
      <c r="H4" s="34">
        <v>82</v>
      </c>
      <c r="I4" s="34">
        <v>88</v>
      </c>
      <c r="J4" s="34">
        <v>93</v>
      </c>
      <c r="K4" s="34">
        <v>103</v>
      </c>
      <c r="L4" s="34">
        <v>105</v>
      </c>
      <c r="M4" s="34">
        <v>100</v>
      </c>
      <c r="N4" s="34">
        <v>100</v>
      </c>
      <c r="O4" s="34">
        <v>100</v>
      </c>
    </row>
    <row r="5" spans="1:15">
      <c r="A5" t="s">
        <v>72</v>
      </c>
      <c r="B5" s="34">
        <v>32</v>
      </c>
      <c r="C5" s="34">
        <v>45</v>
      </c>
      <c r="D5" s="34">
        <v>50</v>
      </c>
      <c r="E5" s="34">
        <v>63</v>
      </c>
      <c r="F5" s="34">
        <v>77</v>
      </c>
      <c r="G5" s="34">
        <v>80</v>
      </c>
      <c r="H5" s="34">
        <v>80</v>
      </c>
      <c r="I5" s="34">
        <v>83</v>
      </c>
      <c r="J5" s="34">
        <v>103</v>
      </c>
      <c r="K5" s="34">
        <v>105</v>
      </c>
      <c r="L5" s="34">
        <v>95</v>
      </c>
      <c r="M5" s="34">
        <v>100</v>
      </c>
      <c r="N5" s="34">
        <v>100</v>
      </c>
      <c r="O5" s="34">
        <v>100</v>
      </c>
    </row>
    <row r="6" spans="1:15">
      <c r="A6" t="s">
        <v>73</v>
      </c>
      <c r="B6" s="34">
        <v>36</v>
      </c>
      <c r="C6" s="34">
        <v>48.5</v>
      </c>
      <c r="D6" s="34">
        <v>60</v>
      </c>
      <c r="E6" s="34">
        <v>60</v>
      </c>
      <c r="F6" s="34">
        <v>75</v>
      </c>
      <c r="G6" s="34">
        <v>80</v>
      </c>
      <c r="H6" s="34">
        <v>97</v>
      </c>
      <c r="I6" s="34">
        <v>88</v>
      </c>
      <c r="J6" s="34">
        <v>100</v>
      </c>
      <c r="K6" s="34">
        <v>103</v>
      </c>
      <c r="L6" s="34">
        <v>93</v>
      </c>
      <c r="M6" s="34">
        <v>105</v>
      </c>
      <c r="N6" s="34">
        <v>100</v>
      </c>
      <c r="O6" s="34">
        <v>100</v>
      </c>
    </row>
    <row r="7" spans="1:15">
      <c r="A7" t="s">
        <v>74</v>
      </c>
      <c r="B7" s="34">
        <v>29</v>
      </c>
      <c r="C7" s="34">
        <v>34</v>
      </c>
      <c r="D7" s="34">
        <v>39</v>
      </c>
      <c r="E7" s="34">
        <v>52</v>
      </c>
      <c r="F7" s="34">
        <v>63</v>
      </c>
      <c r="G7" s="34">
        <v>70</v>
      </c>
      <c r="H7" s="34">
        <v>85</v>
      </c>
      <c r="I7" s="34">
        <v>86</v>
      </c>
      <c r="J7" s="34">
        <v>89</v>
      </c>
      <c r="K7" s="34">
        <v>97</v>
      </c>
      <c r="L7" s="34">
        <v>88</v>
      </c>
      <c r="M7" s="34">
        <v>105</v>
      </c>
      <c r="N7" s="34">
        <v>100</v>
      </c>
      <c r="O7" s="34">
        <v>100</v>
      </c>
    </row>
    <row r="8" spans="1:15">
      <c r="A8" t="s">
        <v>75</v>
      </c>
      <c r="B8" s="34">
        <v>38</v>
      </c>
      <c r="C8" s="34">
        <v>36</v>
      </c>
      <c r="D8" s="34">
        <v>40</v>
      </c>
      <c r="E8" s="34">
        <v>44</v>
      </c>
      <c r="F8" s="34">
        <v>72</v>
      </c>
      <c r="G8" s="34">
        <v>79</v>
      </c>
      <c r="H8" s="34">
        <v>95</v>
      </c>
      <c r="I8" s="34">
        <v>94</v>
      </c>
      <c r="J8" s="34">
        <v>100</v>
      </c>
      <c r="K8" s="34">
        <v>100</v>
      </c>
      <c r="L8" s="34">
        <v>104</v>
      </c>
      <c r="M8" s="34">
        <v>92</v>
      </c>
      <c r="N8" s="34">
        <v>100</v>
      </c>
      <c r="O8" s="34">
        <v>100</v>
      </c>
    </row>
    <row r="9" spans="1:15">
      <c r="A9" t="s">
        <v>76</v>
      </c>
      <c r="B9" s="34">
        <v>41.5</v>
      </c>
      <c r="C9" s="34">
        <v>41</v>
      </c>
      <c r="D9" s="34">
        <v>49</v>
      </c>
      <c r="E9" s="34">
        <v>45</v>
      </c>
      <c r="F9" s="34">
        <v>68</v>
      </c>
      <c r="G9" s="34">
        <v>76</v>
      </c>
      <c r="H9" s="34">
        <v>83</v>
      </c>
      <c r="I9" s="34">
        <v>76</v>
      </c>
      <c r="J9" s="34">
        <v>83</v>
      </c>
      <c r="K9" s="34">
        <v>96</v>
      </c>
      <c r="L9" s="34">
        <v>83</v>
      </c>
      <c r="M9" s="34">
        <v>91</v>
      </c>
      <c r="N9" s="34">
        <v>100</v>
      </c>
      <c r="O9" s="34">
        <v>92</v>
      </c>
    </row>
    <row r="10" spans="1:15">
      <c r="A10" t="s">
        <v>77</v>
      </c>
      <c r="B10" s="34">
        <v>27.5</v>
      </c>
      <c r="C10" s="34">
        <v>41</v>
      </c>
      <c r="D10" s="34">
        <v>53</v>
      </c>
      <c r="E10" s="34">
        <v>50</v>
      </c>
      <c r="F10" s="34">
        <v>66</v>
      </c>
      <c r="G10" s="34">
        <v>70</v>
      </c>
      <c r="H10" s="34">
        <v>71</v>
      </c>
      <c r="I10" s="34">
        <v>73</v>
      </c>
      <c r="J10" s="34">
        <v>78</v>
      </c>
      <c r="K10" s="34">
        <v>95</v>
      </c>
      <c r="L10" s="34">
        <v>87</v>
      </c>
      <c r="M10" s="34">
        <v>93</v>
      </c>
      <c r="N10" s="34">
        <v>100</v>
      </c>
      <c r="O10" s="34">
        <v>79</v>
      </c>
    </row>
    <row r="11" spans="1:15">
      <c r="A11" t="s">
        <v>78</v>
      </c>
      <c r="B11" s="34">
        <v>22</v>
      </c>
      <c r="C11" s="34">
        <v>34</v>
      </c>
      <c r="D11" s="34">
        <v>53.5</v>
      </c>
      <c r="E11" s="34">
        <v>42</v>
      </c>
      <c r="F11" s="34">
        <v>73</v>
      </c>
      <c r="G11" s="34">
        <v>74</v>
      </c>
      <c r="H11" s="34">
        <v>86</v>
      </c>
      <c r="I11" s="34">
        <v>90</v>
      </c>
      <c r="J11" s="34">
        <v>85</v>
      </c>
      <c r="K11" s="34">
        <v>108</v>
      </c>
      <c r="L11" s="34">
        <v>98</v>
      </c>
      <c r="M11" s="34">
        <v>100</v>
      </c>
      <c r="N11" s="34">
        <v>100</v>
      </c>
      <c r="O11" s="34">
        <v>101</v>
      </c>
    </row>
    <row r="12" spans="1:15">
      <c r="A12" t="s">
        <v>79</v>
      </c>
      <c r="B12" s="34">
        <v>28</v>
      </c>
      <c r="C12" s="34">
        <v>35</v>
      </c>
      <c r="D12" s="34">
        <v>44.5</v>
      </c>
      <c r="E12" s="34">
        <v>48</v>
      </c>
      <c r="F12" s="34">
        <v>66</v>
      </c>
      <c r="G12" s="34">
        <v>74</v>
      </c>
      <c r="H12" s="34">
        <v>72</v>
      </c>
      <c r="I12" s="34">
        <v>83</v>
      </c>
      <c r="J12" s="34">
        <v>83</v>
      </c>
      <c r="K12" s="34">
        <v>88</v>
      </c>
      <c r="L12" s="34">
        <v>79</v>
      </c>
      <c r="M12" s="34">
        <v>81</v>
      </c>
      <c r="N12" s="34">
        <v>100</v>
      </c>
      <c r="O12" s="34">
        <v>84</v>
      </c>
    </row>
    <row r="13" spans="1:15">
      <c r="A13" t="s">
        <v>80</v>
      </c>
      <c r="B13" s="34">
        <v>30</v>
      </c>
      <c r="C13" s="34">
        <v>47</v>
      </c>
      <c r="D13" s="34">
        <v>58</v>
      </c>
      <c r="E13" s="34">
        <v>43</v>
      </c>
      <c r="F13" s="34">
        <v>74</v>
      </c>
      <c r="G13" s="34">
        <v>86</v>
      </c>
      <c r="H13" s="34">
        <v>87</v>
      </c>
      <c r="I13" s="34">
        <v>75</v>
      </c>
      <c r="J13" s="34">
        <v>93</v>
      </c>
      <c r="K13" s="34">
        <v>93</v>
      </c>
      <c r="L13" s="34">
        <v>88</v>
      </c>
      <c r="M13" s="34">
        <v>100</v>
      </c>
      <c r="N13" s="34">
        <v>100</v>
      </c>
      <c r="O13" s="34">
        <v>99</v>
      </c>
    </row>
    <row r="14" spans="1:15">
      <c r="A14" t="s">
        <v>81</v>
      </c>
      <c r="B14" s="34">
        <v>47.5</v>
      </c>
      <c r="C14" s="34">
        <v>51</v>
      </c>
      <c r="D14" s="34">
        <v>58</v>
      </c>
      <c r="E14" s="34">
        <v>69</v>
      </c>
      <c r="F14" s="34">
        <v>73</v>
      </c>
      <c r="G14" s="34">
        <v>80</v>
      </c>
      <c r="H14" s="34">
        <v>86</v>
      </c>
      <c r="I14" s="34">
        <v>87</v>
      </c>
      <c r="J14" s="34">
        <v>87</v>
      </c>
      <c r="K14" s="34">
        <v>110</v>
      </c>
      <c r="L14" s="34">
        <v>105</v>
      </c>
      <c r="M14" s="34">
        <v>105</v>
      </c>
      <c r="N14" s="34">
        <v>100</v>
      </c>
      <c r="O14" s="34">
        <v>100</v>
      </c>
    </row>
    <row r="15" spans="1:15">
      <c r="A15" t="s">
        <v>82</v>
      </c>
      <c r="B15" s="34">
        <v>58</v>
      </c>
      <c r="C15" s="34">
        <v>58</v>
      </c>
      <c r="D15" s="34">
        <v>67</v>
      </c>
      <c r="E15" s="34">
        <v>70</v>
      </c>
      <c r="F15" s="34">
        <v>77</v>
      </c>
      <c r="G15" s="34">
        <v>98</v>
      </c>
      <c r="H15" s="34">
        <v>93</v>
      </c>
      <c r="I15" s="34">
        <v>96</v>
      </c>
      <c r="J15" s="34">
        <v>101</v>
      </c>
      <c r="K15" s="34">
        <v>110</v>
      </c>
      <c r="L15" s="34">
        <v>105</v>
      </c>
      <c r="M15" s="34">
        <v>105</v>
      </c>
      <c r="N15" s="34">
        <v>100</v>
      </c>
      <c r="O15" s="34">
        <v>100</v>
      </c>
    </row>
    <row r="16" spans="1:15">
      <c r="A16" t="s">
        <v>83</v>
      </c>
      <c r="B16" s="34">
        <v>47</v>
      </c>
      <c r="C16" s="34">
        <v>52</v>
      </c>
      <c r="D16" s="34">
        <v>65</v>
      </c>
      <c r="E16" s="34">
        <v>66</v>
      </c>
      <c r="F16" s="34">
        <v>69</v>
      </c>
      <c r="G16" s="34">
        <v>84</v>
      </c>
      <c r="H16" s="34">
        <v>86</v>
      </c>
      <c r="I16" s="34">
        <v>86</v>
      </c>
      <c r="J16" s="34">
        <v>103</v>
      </c>
      <c r="K16" s="34">
        <v>115</v>
      </c>
      <c r="L16" s="34">
        <v>105</v>
      </c>
      <c r="M16" s="34">
        <v>105</v>
      </c>
      <c r="N16" s="34">
        <v>100</v>
      </c>
      <c r="O16" s="34">
        <v>100</v>
      </c>
    </row>
    <row r="17" spans="1:15">
      <c r="A17" t="s">
        <v>84</v>
      </c>
      <c r="B17" s="34">
        <v>54</v>
      </c>
      <c r="C17" s="34">
        <v>55</v>
      </c>
      <c r="D17" s="34">
        <v>65.5</v>
      </c>
      <c r="E17" s="34">
        <v>66</v>
      </c>
      <c r="F17" s="34">
        <v>80</v>
      </c>
      <c r="G17" s="34">
        <v>91</v>
      </c>
      <c r="H17" s="34">
        <v>88</v>
      </c>
      <c r="I17" s="34">
        <v>94</v>
      </c>
      <c r="J17" s="34">
        <v>98</v>
      </c>
      <c r="K17" s="34">
        <v>103</v>
      </c>
      <c r="L17" s="34">
        <v>105</v>
      </c>
      <c r="M17" s="34">
        <v>105</v>
      </c>
      <c r="N17" s="34">
        <v>100</v>
      </c>
      <c r="O17" s="34">
        <v>100</v>
      </c>
    </row>
    <row r="18" spans="1:15">
      <c r="A18" t="s">
        <v>85</v>
      </c>
      <c r="B18" s="34">
        <v>57</v>
      </c>
      <c r="C18" s="34">
        <v>60</v>
      </c>
      <c r="D18" s="34">
        <v>69.5</v>
      </c>
      <c r="E18" s="34">
        <v>65</v>
      </c>
      <c r="F18" s="34">
        <v>83.5</v>
      </c>
      <c r="G18" s="34">
        <v>91</v>
      </c>
      <c r="H18" s="34">
        <v>95</v>
      </c>
      <c r="I18" s="34">
        <v>87</v>
      </c>
      <c r="J18" s="34">
        <v>95</v>
      </c>
      <c r="K18" s="34">
        <v>98</v>
      </c>
      <c r="L18" s="34">
        <v>105</v>
      </c>
      <c r="M18" s="34">
        <v>85</v>
      </c>
      <c r="N18" s="34">
        <v>100</v>
      </c>
      <c r="O18" s="34">
        <v>100</v>
      </c>
    </row>
    <row r="19" spans="1:15">
      <c r="A19" t="s">
        <v>86</v>
      </c>
      <c r="B19" s="34">
        <v>53.5</v>
      </c>
      <c r="C19" s="34">
        <v>62</v>
      </c>
      <c r="D19" s="34">
        <v>71</v>
      </c>
      <c r="E19" s="34">
        <v>61</v>
      </c>
      <c r="F19" s="34">
        <v>86</v>
      </c>
      <c r="G19" s="34">
        <v>97</v>
      </c>
      <c r="H19" s="34">
        <v>95</v>
      </c>
      <c r="I19" s="34">
        <v>101</v>
      </c>
      <c r="J19" s="34">
        <v>109</v>
      </c>
      <c r="K19" s="34">
        <v>105</v>
      </c>
      <c r="L19" s="34">
        <v>105</v>
      </c>
      <c r="M19" s="34">
        <v>100</v>
      </c>
      <c r="N19" s="34">
        <v>100</v>
      </c>
      <c r="O19" s="34">
        <v>100</v>
      </c>
    </row>
    <row r="20" spans="1:15">
      <c r="A20" t="s">
        <v>87</v>
      </c>
      <c r="B20" s="34">
        <v>43</v>
      </c>
      <c r="C20" s="34">
        <v>39</v>
      </c>
      <c r="D20" s="34">
        <v>53</v>
      </c>
      <c r="E20" s="34">
        <v>42</v>
      </c>
      <c r="F20" s="34">
        <v>61.5</v>
      </c>
      <c r="G20" s="34">
        <v>74</v>
      </c>
      <c r="H20" s="34">
        <v>73</v>
      </c>
      <c r="I20" s="34">
        <v>78</v>
      </c>
      <c r="J20" s="34">
        <v>74</v>
      </c>
      <c r="K20" s="34">
        <v>77</v>
      </c>
      <c r="L20" s="34">
        <v>85</v>
      </c>
      <c r="M20" s="34">
        <v>85</v>
      </c>
      <c r="N20" s="34">
        <v>87</v>
      </c>
      <c r="O20" s="34">
        <v>90</v>
      </c>
    </row>
    <row r="21" spans="1:15">
      <c r="A21" t="s">
        <v>88</v>
      </c>
      <c r="B21" s="34">
        <v>37</v>
      </c>
      <c r="C21" s="34">
        <v>37.5</v>
      </c>
      <c r="D21" s="34">
        <v>42</v>
      </c>
      <c r="E21" s="34">
        <v>40</v>
      </c>
      <c r="F21" s="34">
        <v>51</v>
      </c>
      <c r="G21" s="34">
        <v>71</v>
      </c>
      <c r="H21" s="34">
        <v>72</v>
      </c>
      <c r="I21" s="34">
        <v>79</v>
      </c>
      <c r="J21" s="34">
        <v>88</v>
      </c>
      <c r="K21" s="34">
        <v>96</v>
      </c>
      <c r="L21" s="34">
        <v>103</v>
      </c>
      <c r="M21" s="34">
        <v>102</v>
      </c>
      <c r="N21" s="34">
        <v>100</v>
      </c>
      <c r="O21" s="34">
        <v>100</v>
      </c>
    </row>
    <row r="22" spans="1:15">
      <c r="A22" t="s">
        <v>89</v>
      </c>
      <c r="B22" s="34">
        <v>34</v>
      </c>
      <c r="C22" s="34">
        <v>38</v>
      </c>
      <c r="D22" s="34">
        <v>47.5</v>
      </c>
      <c r="E22" s="34">
        <v>44</v>
      </c>
      <c r="F22" s="34">
        <v>59</v>
      </c>
      <c r="G22" s="34">
        <v>68</v>
      </c>
      <c r="H22" s="34">
        <v>66</v>
      </c>
      <c r="I22" s="34">
        <v>79</v>
      </c>
      <c r="J22" s="34">
        <v>86</v>
      </c>
      <c r="K22" s="34">
        <v>98</v>
      </c>
      <c r="L22" s="34">
        <v>101</v>
      </c>
      <c r="M22" s="34">
        <v>97</v>
      </c>
      <c r="N22" s="34">
        <v>100</v>
      </c>
      <c r="O22" s="34">
        <v>86</v>
      </c>
    </row>
    <row r="23" spans="1:15">
      <c r="A23" t="s">
        <v>90</v>
      </c>
      <c r="B23" s="34">
        <v>42</v>
      </c>
      <c r="C23" s="34">
        <v>43.5</v>
      </c>
      <c r="D23" s="34">
        <v>46</v>
      </c>
      <c r="E23" s="34">
        <v>41</v>
      </c>
      <c r="F23" s="34">
        <v>68</v>
      </c>
      <c r="G23" s="34">
        <v>77</v>
      </c>
      <c r="H23" s="34">
        <v>84</v>
      </c>
      <c r="I23" s="34">
        <v>89</v>
      </c>
      <c r="J23" s="34">
        <v>88</v>
      </c>
      <c r="K23" s="34">
        <v>98</v>
      </c>
      <c r="L23" s="34">
        <v>100</v>
      </c>
      <c r="M23" s="34">
        <v>101</v>
      </c>
      <c r="N23" s="34">
        <v>100</v>
      </c>
      <c r="O23" s="34">
        <v>103</v>
      </c>
    </row>
    <row r="24" spans="1:15">
      <c r="A24" t="s">
        <v>91</v>
      </c>
      <c r="B24" s="34">
        <v>37</v>
      </c>
      <c r="C24" s="34">
        <v>37</v>
      </c>
      <c r="D24" s="34">
        <v>52</v>
      </c>
      <c r="E24" s="34">
        <v>40</v>
      </c>
      <c r="F24" s="34">
        <v>57</v>
      </c>
      <c r="G24" s="34">
        <v>77</v>
      </c>
      <c r="H24" s="34">
        <v>76</v>
      </c>
      <c r="I24" s="34">
        <v>80</v>
      </c>
      <c r="J24" s="34">
        <v>93</v>
      </c>
      <c r="K24" s="34">
        <v>90</v>
      </c>
      <c r="L24" s="34">
        <v>89</v>
      </c>
      <c r="M24" s="34">
        <v>92</v>
      </c>
      <c r="N24" s="34">
        <v>100</v>
      </c>
      <c r="O24" s="34">
        <v>92</v>
      </c>
    </row>
    <row r="25" spans="1:15">
      <c r="A25" t="s">
        <v>92</v>
      </c>
      <c r="B25" s="34">
        <v>38.5</v>
      </c>
      <c r="C25" s="34">
        <v>39</v>
      </c>
      <c r="D25" s="34">
        <v>48</v>
      </c>
      <c r="E25" s="34">
        <v>42</v>
      </c>
      <c r="F25" s="34">
        <v>63</v>
      </c>
      <c r="G25" s="34">
        <v>72</v>
      </c>
      <c r="H25" s="34">
        <v>81</v>
      </c>
      <c r="I25" s="34">
        <v>85</v>
      </c>
      <c r="J25" s="34">
        <v>86</v>
      </c>
      <c r="K25" s="34">
        <v>85</v>
      </c>
      <c r="L25" s="34">
        <v>76</v>
      </c>
      <c r="M25" s="34">
        <v>83</v>
      </c>
      <c r="N25" s="34">
        <v>100</v>
      </c>
      <c r="O25" s="34">
        <v>79</v>
      </c>
    </row>
    <row r="26" spans="1:15">
      <c r="A26" t="s">
        <v>93</v>
      </c>
      <c r="B26" s="34">
        <v>50</v>
      </c>
      <c r="C26" s="34">
        <v>53</v>
      </c>
      <c r="D26" s="34">
        <v>58.5</v>
      </c>
      <c r="E26" s="34">
        <v>67</v>
      </c>
      <c r="F26" s="34">
        <v>81</v>
      </c>
      <c r="G26" s="34">
        <v>75</v>
      </c>
      <c r="H26" s="34">
        <v>78</v>
      </c>
      <c r="I26" s="34">
        <v>87</v>
      </c>
      <c r="J26" s="34">
        <v>88</v>
      </c>
      <c r="K26" s="34">
        <v>91</v>
      </c>
      <c r="L26" s="34">
        <v>105</v>
      </c>
      <c r="M26" s="34">
        <v>105</v>
      </c>
      <c r="N26" s="34">
        <v>91</v>
      </c>
      <c r="O26" s="34">
        <v>86</v>
      </c>
    </row>
    <row r="27" spans="1:15">
      <c r="A27" t="s">
        <v>94</v>
      </c>
      <c r="B27" s="34">
        <v>57.5</v>
      </c>
      <c r="C27" s="34">
        <v>60</v>
      </c>
      <c r="D27" s="34">
        <v>71</v>
      </c>
      <c r="E27" s="34">
        <v>62</v>
      </c>
      <c r="F27" s="34">
        <v>87</v>
      </c>
      <c r="G27" s="34">
        <v>98</v>
      </c>
      <c r="H27" s="34">
        <v>95</v>
      </c>
      <c r="I27" s="34">
        <v>99</v>
      </c>
      <c r="J27" s="34">
        <v>95</v>
      </c>
      <c r="K27" s="34">
        <v>112</v>
      </c>
      <c r="L27" s="34">
        <v>100</v>
      </c>
      <c r="M27" s="34">
        <v>105</v>
      </c>
      <c r="N27" s="34">
        <v>100</v>
      </c>
      <c r="O27" s="34">
        <v>94</v>
      </c>
    </row>
    <row r="28" spans="1:15">
      <c r="A28" t="s">
        <v>95</v>
      </c>
      <c r="B28" s="34">
        <v>55</v>
      </c>
      <c r="C28" s="34">
        <v>60</v>
      </c>
      <c r="D28" s="34">
        <v>69.5</v>
      </c>
      <c r="E28" s="34">
        <v>63</v>
      </c>
      <c r="F28" s="34">
        <v>87</v>
      </c>
      <c r="G28" s="34">
        <v>94</v>
      </c>
      <c r="H28" s="34">
        <v>98</v>
      </c>
      <c r="I28" s="34">
        <v>102</v>
      </c>
      <c r="J28" s="34">
        <v>103</v>
      </c>
      <c r="K28" s="34">
        <v>110</v>
      </c>
      <c r="L28" s="34">
        <v>105</v>
      </c>
      <c r="M28" s="34">
        <v>105</v>
      </c>
      <c r="N28" s="34">
        <v>100</v>
      </c>
      <c r="O28" s="34">
        <v>103</v>
      </c>
    </row>
    <row r="29" spans="1:15">
      <c r="A29" t="s">
        <v>96</v>
      </c>
      <c r="B29" s="34">
        <v>53</v>
      </c>
      <c r="C29" s="34">
        <v>49</v>
      </c>
      <c r="D29" s="34">
        <v>56</v>
      </c>
      <c r="E29" s="34">
        <v>70</v>
      </c>
      <c r="F29" s="34">
        <v>76</v>
      </c>
      <c r="G29" s="34">
        <v>95</v>
      </c>
      <c r="H29" s="34">
        <v>85</v>
      </c>
      <c r="I29" s="34">
        <v>93</v>
      </c>
      <c r="J29" s="34">
        <v>97</v>
      </c>
      <c r="K29" s="34">
        <v>100</v>
      </c>
      <c r="L29" s="34">
        <v>98</v>
      </c>
      <c r="M29" s="34">
        <v>107</v>
      </c>
      <c r="N29" s="34">
        <v>100</v>
      </c>
      <c r="O29" s="34">
        <v>95</v>
      </c>
    </row>
    <row r="30" spans="1:15">
      <c r="A30" t="s">
        <v>97</v>
      </c>
      <c r="B30" s="34">
        <v>53.5</v>
      </c>
      <c r="C30" s="34">
        <v>53</v>
      </c>
      <c r="D30" s="34">
        <v>63</v>
      </c>
      <c r="E30" s="34">
        <v>69</v>
      </c>
      <c r="F30" s="34">
        <v>81</v>
      </c>
      <c r="G30" s="34">
        <v>95</v>
      </c>
      <c r="H30" s="34">
        <v>91</v>
      </c>
      <c r="I30" s="34">
        <v>93</v>
      </c>
      <c r="J30" s="34">
        <v>95</v>
      </c>
      <c r="K30" s="34">
        <v>82</v>
      </c>
      <c r="L30" s="34">
        <v>100</v>
      </c>
      <c r="M30" s="34">
        <v>95</v>
      </c>
      <c r="N30" s="34">
        <v>100</v>
      </c>
      <c r="O30" s="34">
        <v>100</v>
      </c>
    </row>
    <row r="31" spans="1:15">
      <c r="A31" t="s">
        <v>98</v>
      </c>
      <c r="B31" s="34">
        <v>58</v>
      </c>
      <c r="C31" s="34">
        <v>61</v>
      </c>
      <c r="D31" s="34">
        <v>68</v>
      </c>
      <c r="E31" s="34">
        <v>57</v>
      </c>
      <c r="F31" s="34">
        <v>80</v>
      </c>
      <c r="G31" s="34">
        <v>84</v>
      </c>
      <c r="H31" s="34">
        <v>85</v>
      </c>
      <c r="I31" s="34">
        <v>90</v>
      </c>
      <c r="J31" s="34">
        <v>95</v>
      </c>
      <c r="K31" s="34">
        <v>100</v>
      </c>
      <c r="L31" s="34">
        <v>97</v>
      </c>
      <c r="M31" s="34">
        <v>97</v>
      </c>
      <c r="N31" s="34">
        <v>100</v>
      </c>
      <c r="O31" s="34">
        <v>91</v>
      </c>
    </row>
    <row r="32" spans="1:15">
      <c r="A32" t="s">
        <v>99</v>
      </c>
      <c r="B32" s="34">
        <v>42</v>
      </c>
      <c r="C32" s="34">
        <v>43</v>
      </c>
      <c r="D32" s="34">
        <v>54</v>
      </c>
      <c r="E32" s="34">
        <v>40</v>
      </c>
      <c r="F32" s="34">
        <v>67</v>
      </c>
      <c r="G32" s="34">
        <v>76</v>
      </c>
      <c r="H32" s="34">
        <v>68</v>
      </c>
      <c r="I32" s="34">
        <v>91</v>
      </c>
      <c r="J32" s="34">
        <v>89</v>
      </c>
      <c r="K32" s="34">
        <v>92</v>
      </c>
      <c r="L32" s="34">
        <v>91</v>
      </c>
      <c r="M32" s="34">
        <v>105</v>
      </c>
      <c r="N32" s="34">
        <v>100</v>
      </c>
      <c r="O32" s="34">
        <v>83</v>
      </c>
    </row>
    <row r="33" spans="1:15">
      <c r="A33" t="s">
        <v>100</v>
      </c>
      <c r="B33" s="34">
        <v>31</v>
      </c>
      <c r="C33" s="34">
        <v>31</v>
      </c>
      <c r="D33" s="34">
        <v>42</v>
      </c>
      <c r="E33" s="34">
        <v>60</v>
      </c>
      <c r="F33" s="34">
        <v>62</v>
      </c>
      <c r="G33" s="34">
        <v>66</v>
      </c>
      <c r="H33" s="34">
        <v>89</v>
      </c>
      <c r="I33" s="34">
        <v>82</v>
      </c>
      <c r="J33" s="34">
        <v>86</v>
      </c>
      <c r="K33" s="34">
        <v>102</v>
      </c>
      <c r="L33" s="34">
        <v>88</v>
      </c>
      <c r="M33" s="34">
        <v>105</v>
      </c>
      <c r="N33" s="34">
        <v>100</v>
      </c>
      <c r="O33" s="34">
        <v>124</v>
      </c>
    </row>
    <row r="34" spans="1:15">
      <c r="A34" t="s">
        <v>101</v>
      </c>
      <c r="B34" s="34">
        <v>40</v>
      </c>
      <c r="C34" s="34">
        <v>45</v>
      </c>
      <c r="D34" s="34">
        <v>51.5</v>
      </c>
      <c r="E34" s="34">
        <v>51</v>
      </c>
      <c r="F34" s="34">
        <v>79</v>
      </c>
      <c r="G34" s="34">
        <v>90</v>
      </c>
      <c r="H34" s="34">
        <v>83</v>
      </c>
      <c r="I34" s="34">
        <v>92</v>
      </c>
      <c r="J34" s="34">
        <v>96</v>
      </c>
      <c r="K34" s="34">
        <v>105</v>
      </c>
      <c r="L34" s="34">
        <v>89</v>
      </c>
      <c r="M34" s="34">
        <v>105</v>
      </c>
      <c r="N34" s="34">
        <v>100</v>
      </c>
      <c r="O34" s="34">
        <v>105</v>
      </c>
    </row>
    <row r="35" spans="1:15">
      <c r="A35" t="s">
        <v>102</v>
      </c>
      <c r="B35" s="34">
        <v>36.5</v>
      </c>
      <c r="C35" s="34">
        <v>30</v>
      </c>
      <c r="D35" s="34">
        <v>51</v>
      </c>
      <c r="E35" s="34">
        <v>48</v>
      </c>
      <c r="F35" s="34">
        <v>71</v>
      </c>
      <c r="G35" s="34">
        <v>84</v>
      </c>
      <c r="H35" s="34">
        <v>87</v>
      </c>
      <c r="I35" s="34">
        <v>88</v>
      </c>
      <c r="J35" s="34">
        <v>92</v>
      </c>
      <c r="K35" s="34">
        <v>93</v>
      </c>
      <c r="L35" s="34">
        <v>102</v>
      </c>
      <c r="M35" s="34">
        <v>105</v>
      </c>
      <c r="N35" s="34">
        <v>100</v>
      </c>
      <c r="O35" s="34">
        <v>95</v>
      </c>
    </row>
    <row r="36" spans="1:15">
      <c r="A36" t="s">
        <v>103</v>
      </c>
      <c r="B36" s="34">
        <v>44.5</v>
      </c>
      <c r="C36" s="34">
        <v>43</v>
      </c>
      <c r="D36" s="34">
        <v>55</v>
      </c>
      <c r="E36" s="34">
        <v>38</v>
      </c>
      <c r="F36" s="34">
        <v>73</v>
      </c>
      <c r="G36" s="34">
        <v>84</v>
      </c>
      <c r="H36" s="34">
        <v>81</v>
      </c>
      <c r="I36" s="34">
        <v>95</v>
      </c>
      <c r="J36" s="34">
        <v>98</v>
      </c>
      <c r="K36" s="34">
        <v>103</v>
      </c>
      <c r="L36" s="34">
        <v>102</v>
      </c>
      <c r="M36" s="34">
        <v>105</v>
      </c>
      <c r="N36" s="34">
        <v>100</v>
      </c>
      <c r="O36" s="34">
        <v>97</v>
      </c>
    </row>
    <row r="37" spans="1:15">
      <c r="A37" t="s">
        <v>104</v>
      </c>
      <c r="B37" s="34">
        <v>35</v>
      </c>
      <c r="C37" s="34">
        <v>31</v>
      </c>
      <c r="D37" s="34">
        <v>49</v>
      </c>
      <c r="E37" s="34">
        <v>48</v>
      </c>
      <c r="F37" s="34">
        <v>71</v>
      </c>
      <c r="G37" s="34">
        <v>81</v>
      </c>
      <c r="H37" s="34">
        <v>85</v>
      </c>
      <c r="I37" s="34">
        <v>89</v>
      </c>
      <c r="J37" s="34">
        <v>92</v>
      </c>
      <c r="K37" s="34">
        <v>93</v>
      </c>
      <c r="L37" s="34">
        <v>92</v>
      </c>
      <c r="M37" s="34">
        <v>105</v>
      </c>
      <c r="N37" s="34">
        <v>100</v>
      </c>
      <c r="O37" s="34">
        <v>100</v>
      </c>
    </row>
    <row r="38" spans="1:15">
      <c r="A38" t="s">
        <v>105</v>
      </c>
      <c r="B38" s="34">
        <v>35</v>
      </c>
      <c r="C38" s="34">
        <v>38.5</v>
      </c>
      <c r="D38" s="34">
        <v>49.5</v>
      </c>
      <c r="E38" s="34">
        <v>42</v>
      </c>
      <c r="F38" s="34">
        <v>72</v>
      </c>
      <c r="G38" s="34">
        <v>80</v>
      </c>
      <c r="H38" s="34">
        <v>86</v>
      </c>
      <c r="I38" s="34">
        <v>79</v>
      </c>
      <c r="J38" s="34">
        <v>85</v>
      </c>
      <c r="K38" s="34">
        <v>91</v>
      </c>
      <c r="L38" s="34">
        <v>94</v>
      </c>
      <c r="M38" s="34">
        <v>105</v>
      </c>
      <c r="N38" s="34">
        <v>100</v>
      </c>
      <c r="O38" s="34">
        <v>94</v>
      </c>
    </row>
    <row r="39" spans="1:15">
      <c r="A39" t="s">
        <v>106</v>
      </c>
      <c r="B39" s="34">
        <v>31.5</v>
      </c>
      <c r="C39" s="34">
        <v>36</v>
      </c>
      <c r="D39" s="34">
        <v>54</v>
      </c>
      <c r="E39" s="34">
        <v>44</v>
      </c>
      <c r="F39" s="34">
        <v>81</v>
      </c>
      <c r="G39" s="34">
        <v>85</v>
      </c>
      <c r="H39" s="34">
        <v>88</v>
      </c>
      <c r="I39" s="34">
        <v>90</v>
      </c>
      <c r="J39" s="34">
        <v>93</v>
      </c>
      <c r="K39" s="34">
        <v>104</v>
      </c>
      <c r="L39" s="34">
        <v>101</v>
      </c>
      <c r="M39" s="34">
        <v>105</v>
      </c>
      <c r="N39" s="34">
        <v>100</v>
      </c>
      <c r="O39" s="34"/>
    </row>
    <row r="40" spans="1:15">
      <c r="A40" t="s">
        <v>107</v>
      </c>
      <c r="B40" s="34">
        <v>29</v>
      </c>
      <c r="C40" s="34">
        <v>32</v>
      </c>
      <c r="D40" s="34">
        <v>49.5</v>
      </c>
      <c r="E40" s="34">
        <v>53</v>
      </c>
      <c r="F40" s="34">
        <v>73</v>
      </c>
      <c r="G40" s="34">
        <v>80</v>
      </c>
      <c r="H40" s="34">
        <v>82</v>
      </c>
      <c r="I40" s="34">
        <v>93</v>
      </c>
      <c r="J40" s="34">
        <v>89</v>
      </c>
      <c r="K40" s="34">
        <v>90</v>
      </c>
      <c r="L40" s="34">
        <v>95</v>
      </c>
      <c r="M40" s="34">
        <v>101</v>
      </c>
      <c r="N40" s="34">
        <v>100</v>
      </c>
      <c r="O40" s="34"/>
    </row>
    <row r="41" spans="1:15">
      <c r="A41" t="s">
        <v>108</v>
      </c>
      <c r="B41" s="34">
        <v>30.5</v>
      </c>
      <c r="C41" s="34">
        <v>40</v>
      </c>
      <c r="D41" s="34">
        <v>50</v>
      </c>
      <c r="E41" s="34">
        <v>44</v>
      </c>
      <c r="F41" s="34">
        <v>79</v>
      </c>
      <c r="G41" s="34">
        <v>78</v>
      </c>
      <c r="H41" s="34">
        <v>94</v>
      </c>
      <c r="I41" s="34">
        <v>98</v>
      </c>
      <c r="J41" s="34">
        <v>105</v>
      </c>
      <c r="K41" s="34">
        <v>103</v>
      </c>
      <c r="L41" s="34">
        <v>104</v>
      </c>
      <c r="M41" s="34">
        <v>102</v>
      </c>
      <c r="N41" s="34">
        <v>100</v>
      </c>
      <c r="O41" s="34"/>
    </row>
    <row r="42" spans="1:15">
      <c r="A42" t="s">
        <v>109</v>
      </c>
      <c r="B42" s="34">
        <v>36</v>
      </c>
      <c r="C42" s="34">
        <v>31</v>
      </c>
      <c r="D42" s="34">
        <v>49</v>
      </c>
      <c r="E42" s="34">
        <v>57</v>
      </c>
      <c r="F42" s="34">
        <v>72</v>
      </c>
      <c r="G42" s="34">
        <v>78</v>
      </c>
      <c r="H42" s="34">
        <v>87</v>
      </c>
      <c r="I42" s="34">
        <v>99</v>
      </c>
      <c r="J42" s="34">
        <v>95</v>
      </c>
      <c r="K42" s="34">
        <v>103</v>
      </c>
      <c r="L42" s="34">
        <v>94</v>
      </c>
      <c r="M42" s="34">
        <v>105</v>
      </c>
      <c r="N42" s="34">
        <v>100</v>
      </c>
      <c r="O42" s="34"/>
    </row>
    <row r="43" spans="1:15">
      <c r="A43" t="s">
        <v>110</v>
      </c>
      <c r="B43" s="34">
        <v>33</v>
      </c>
      <c r="C43" s="34">
        <v>33.5</v>
      </c>
      <c r="D43" s="34">
        <v>51.5</v>
      </c>
      <c r="E43" s="34">
        <v>42</v>
      </c>
      <c r="F43" s="34">
        <v>62</v>
      </c>
      <c r="G43" s="34">
        <v>69</v>
      </c>
      <c r="H43" s="34">
        <v>74</v>
      </c>
      <c r="I43" s="34">
        <v>78</v>
      </c>
      <c r="J43" s="34">
        <v>84</v>
      </c>
      <c r="K43" s="34">
        <v>90</v>
      </c>
      <c r="L43" s="34">
        <v>85</v>
      </c>
      <c r="M43" s="34">
        <v>86</v>
      </c>
      <c r="N43" s="34">
        <v>100</v>
      </c>
      <c r="O43" s="34"/>
    </row>
    <row r="44" spans="1:15">
      <c r="A44" t="s">
        <v>111</v>
      </c>
      <c r="B44" s="34">
        <v>42.5</v>
      </c>
      <c r="C44" s="34">
        <v>45</v>
      </c>
      <c r="D44" s="34">
        <v>59</v>
      </c>
      <c r="E44" s="34">
        <v>47</v>
      </c>
      <c r="F44" s="34">
        <v>76</v>
      </c>
      <c r="G44" s="34">
        <v>83</v>
      </c>
      <c r="H44" s="34">
        <v>84</v>
      </c>
      <c r="I44" s="34">
        <v>84</v>
      </c>
      <c r="J44" s="34">
        <v>90</v>
      </c>
      <c r="K44" s="34">
        <v>99</v>
      </c>
      <c r="L44" s="34">
        <v>105</v>
      </c>
      <c r="M44" s="34">
        <v>105</v>
      </c>
      <c r="N44" s="34">
        <v>100</v>
      </c>
      <c r="O44" s="34">
        <v>100</v>
      </c>
    </row>
    <row r="45" spans="1:15">
      <c r="A45" t="s">
        <v>112</v>
      </c>
      <c r="B45" s="34">
        <v>34</v>
      </c>
      <c r="C45" s="34">
        <v>33</v>
      </c>
      <c r="D45" s="34">
        <v>48</v>
      </c>
      <c r="E45" s="34">
        <v>57</v>
      </c>
      <c r="F45" s="34">
        <v>69</v>
      </c>
      <c r="G45" s="34">
        <v>73</v>
      </c>
      <c r="H45" s="34">
        <v>73</v>
      </c>
      <c r="I45" s="34">
        <v>85</v>
      </c>
      <c r="J45" s="34">
        <v>87</v>
      </c>
      <c r="K45" s="34">
        <v>98</v>
      </c>
      <c r="L45" s="34">
        <v>105</v>
      </c>
      <c r="M45" s="34">
        <v>100</v>
      </c>
      <c r="N45" s="34">
        <v>100</v>
      </c>
      <c r="O45" s="34"/>
    </row>
    <row r="46" spans="1:15">
      <c r="A46" t="s">
        <v>113</v>
      </c>
      <c r="B46" s="34">
        <v>32</v>
      </c>
      <c r="C46" s="34">
        <v>34</v>
      </c>
      <c r="D46" s="34">
        <v>47</v>
      </c>
      <c r="E46" s="34">
        <v>62</v>
      </c>
      <c r="F46" s="34">
        <v>73</v>
      </c>
      <c r="G46" s="34">
        <v>84</v>
      </c>
      <c r="H46" s="34">
        <v>87</v>
      </c>
      <c r="I46" s="34">
        <v>92</v>
      </c>
      <c r="J46" s="34">
        <v>92</v>
      </c>
      <c r="K46" s="34">
        <v>110</v>
      </c>
      <c r="L46" s="34">
        <v>95</v>
      </c>
      <c r="M46" s="34">
        <v>100</v>
      </c>
      <c r="N46" s="34">
        <v>100</v>
      </c>
      <c r="O46" s="34"/>
    </row>
    <row r="47" spans="1:15">
      <c r="A47" t="s">
        <v>114</v>
      </c>
      <c r="B47" s="34">
        <v>36</v>
      </c>
      <c r="C47" s="34">
        <v>40</v>
      </c>
      <c r="D47" s="34">
        <v>56</v>
      </c>
      <c r="E47" s="34">
        <v>56</v>
      </c>
      <c r="F47" s="34">
        <v>72</v>
      </c>
      <c r="G47" s="34">
        <v>79</v>
      </c>
      <c r="H47" s="34">
        <v>93</v>
      </c>
      <c r="I47" s="34">
        <v>94</v>
      </c>
      <c r="J47" s="34">
        <v>102</v>
      </c>
      <c r="K47" s="34">
        <v>110</v>
      </c>
      <c r="L47" s="34">
        <v>105</v>
      </c>
      <c r="M47" s="34">
        <v>105</v>
      </c>
      <c r="N47" s="34">
        <v>100</v>
      </c>
      <c r="O47" s="34"/>
    </row>
    <row r="48" spans="1:15">
      <c r="A48" t="s">
        <v>115</v>
      </c>
      <c r="B48" s="34">
        <v>37.5</v>
      </c>
      <c r="C48" s="34">
        <v>43</v>
      </c>
      <c r="D48" s="34">
        <v>58</v>
      </c>
      <c r="E48" s="34">
        <v>50</v>
      </c>
      <c r="F48" s="34">
        <v>71</v>
      </c>
      <c r="G48" s="34">
        <v>79</v>
      </c>
      <c r="H48" s="34">
        <v>78</v>
      </c>
      <c r="I48" s="34">
        <v>87</v>
      </c>
      <c r="J48" s="34">
        <v>92</v>
      </c>
      <c r="K48" s="34">
        <v>98</v>
      </c>
      <c r="L48" s="34">
        <v>94</v>
      </c>
      <c r="M48" s="34">
        <v>105</v>
      </c>
      <c r="N48" s="34">
        <v>100</v>
      </c>
      <c r="O48" s="34"/>
    </row>
    <row r="49" spans="1:15">
      <c r="A49" t="s">
        <v>116</v>
      </c>
      <c r="B49" s="34">
        <v>33.5</v>
      </c>
      <c r="C49" s="34">
        <v>40</v>
      </c>
      <c r="D49" s="34">
        <v>54</v>
      </c>
      <c r="E49" s="34">
        <v>57</v>
      </c>
      <c r="F49" s="34">
        <v>68</v>
      </c>
      <c r="G49" s="34">
        <v>74</v>
      </c>
      <c r="H49" s="34">
        <v>78</v>
      </c>
      <c r="I49" s="34">
        <v>85</v>
      </c>
      <c r="J49" s="34">
        <v>92</v>
      </c>
      <c r="K49" s="34">
        <v>95</v>
      </c>
      <c r="L49" s="34">
        <v>105</v>
      </c>
      <c r="M49" s="34">
        <v>105</v>
      </c>
      <c r="N49" s="34">
        <v>100</v>
      </c>
      <c r="O49" s="34"/>
    </row>
    <row r="50" spans="1:15">
      <c r="A50" t="s">
        <v>117</v>
      </c>
      <c r="B50" s="34">
        <v>44</v>
      </c>
      <c r="C50" s="34">
        <v>58</v>
      </c>
      <c r="D50" s="34">
        <v>62</v>
      </c>
      <c r="E50" s="34">
        <v>62</v>
      </c>
      <c r="F50" s="34">
        <v>87</v>
      </c>
      <c r="G50" s="34">
        <v>89</v>
      </c>
      <c r="H50" s="34">
        <v>90</v>
      </c>
      <c r="I50" s="34">
        <v>88</v>
      </c>
      <c r="J50" s="34">
        <v>92</v>
      </c>
      <c r="K50" s="34">
        <v>106</v>
      </c>
      <c r="L50" s="34">
        <v>100</v>
      </c>
      <c r="M50" s="34">
        <v>97</v>
      </c>
      <c r="N50" s="34">
        <v>100</v>
      </c>
      <c r="O50" s="34">
        <v>82</v>
      </c>
    </row>
    <row r="51" spans="1:15">
      <c r="A51" t="s">
        <v>118</v>
      </c>
      <c r="B51" s="34">
        <v>54</v>
      </c>
      <c r="C51" s="34">
        <v>61.5</v>
      </c>
      <c r="D51" s="34">
        <v>71.5</v>
      </c>
      <c r="E51" s="34">
        <v>68</v>
      </c>
      <c r="F51" s="34">
        <v>84</v>
      </c>
      <c r="G51" s="34">
        <v>88</v>
      </c>
      <c r="H51" s="34">
        <v>83</v>
      </c>
      <c r="I51" s="34">
        <v>92</v>
      </c>
      <c r="J51" s="34">
        <v>98</v>
      </c>
      <c r="K51" s="34">
        <v>88</v>
      </c>
      <c r="L51" s="34">
        <v>99</v>
      </c>
      <c r="M51" s="34">
        <v>99</v>
      </c>
      <c r="N51" s="34">
        <v>100</v>
      </c>
      <c r="O51" s="34"/>
    </row>
    <row r="52" spans="1:15">
      <c r="A52" t="s">
        <v>119</v>
      </c>
      <c r="B52" s="34">
        <v>53</v>
      </c>
      <c r="C52" s="34">
        <v>62</v>
      </c>
      <c r="D52" s="34">
        <v>66</v>
      </c>
      <c r="E52" s="34">
        <v>65</v>
      </c>
      <c r="F52" s="34">
        <v>86</v>
      </c>
      <c r="G52" s="34">
        <v>88</v>
      </c>
      <c r="H52" s="34">
        <v>91</v>
      </c>
      <c r="I52" s="34">
        <v>93</v>
      </c>
      <c r="J52" s="34">
        <v>99</v>
      </c>
      <c r="K52" s="34">
        <v>104</v>
      </c>
      <c r="L52" s="34">
        <v>100</v>
      </c>
      <c r="M52" s="34">
        <v>107</v>
      </c>
      <c r="N52" s="34">
        <v>100</v>
      </c>
      <c r="O52" s="34"/>
    </row>
    <row r="53" spans="1:15">
      <c r="A53" t="s">
        <v>120</v>
      </c>
      <c r="B53" s="34">
        <v>48.5</v>
      </c>
      <c r="C53" s="34">
        <v>60</v>
      </c>
      <c r="D53" s="34">
        <v>61</v>
      </c>
      <c r="E53" s="34">
        <v>61</v>
      </c>
      <c r="F53" s="34">
        <v>74</v>
      </c>
      <c r="G53" s="34">
        <v>82</v>
      </c>
      <c r="H53" s="34">
        <v>83</v>
      </c>
      <c r="I53" s="34">
        <v>88</v>
      </c>
      <c r="J53" s="34">
        <v>83</v>
      </c>
      <c r="K53" s="34">
        <v>91</v>
      </c>
      <c r="L53" s="34">
        <v>88</v>
      </c>
      <c r="M53" s="34">
        <v>92</v>
      </c>
      <c r="N53" s="34">
        <v>100</v>
      </c>
      <c r="O53" s="34"/>
    </row>
    <row r="54" spans="1:15">
      <c r="A54" t="s">
        <v>121</v>
      </c>
      <c r="B54" s="34">
        <v>56.5</v>
      </c>
      <c r="C54" s="34">
        <v>67</v>
      </c>
      <c r="D54" s="34">
        <v>65</v>
      </c>
      <c r="E54" s="34">
        <v>64</v>
      </c>
      <c r="F54" s="34">
        <v>80</v>
      </c>
      <c r="G54" s="34">
        <v>89</v>
      </c>
      <c r="H54" s="34">
        <v>92</v>
      </c>
      <c r="I54" s="34">
        <v>98</v>
      </c>
      <c r="J54" s="34">
        <v>88</v>
      </c>
      <c r="K54" s="34">
        <v>99</v>
      </c>
      <c r="L54" s="34">
        <v>100</v>
      </c>
      <c r="M54" s="34">
        <v>99</v>
      </c>
      <c r="N54" s="34">
        <v>100</v>
      </c>
      <c r="O54" s="34"/>
    </row>
    <row r="55" spans="1:15">
      <c r="A55" t="s">
        <v>122</v>
      </c>
      <c r="B55" s="34">
        <v>52</v>
      </c>
      <c r="C55" s="34">
        <v>53</v>
      </c>
      <c r="D55" s="34">
        <v>63</v>
      </c>
      <c r="E55" s="34">
        <v>63</v>
      </c>
      <c r="F55" s="34">
        <v>76</v>
      </c>
      <c r="G55" s="34">
        <v>79</v>
      </c>
      <c r="H55" s="34">
        <v>83</v>
      </c>
      <c r="I55" s="34">
        <v>87</v>
      </c>
      <c r="J55" s="34">
        <v>92</v>
      </c>
      <c r="K55" s="34">
        <v>83</v>
      </c>
      <c r="L55" s="34">
        <v>100</v>
      </c>
      <c r="M55" s="34">
        <v>98</v>
      </c>
      <c r="N55" s="34">
        <v>100</v>
      </c>
      <c r="O55" s="34"/>
    </row>
    <row r="56" spans="1:15">
      <c r="A56" t="s">
        <v>123</v>
      </c>
      <c r="B56" s="34">
        <v>44</v>
      </c>
      <c r="C56" s="34">
        <v>55</v>
      </c>
      <c r="D56" s="34">
        <v>46.5</v>
      </c>
      <c r="E56" s="34">
        <v>46</v>
      </c>
      <c r="F56" s="34">
        <v>61</v>
      </c>
      <c r="G56" s="34">
        <v>70</v>
      </c>
      <c r="H56" s="34">
        <v>75</v>
      </c>
      <c r="I56" s="34">
        <v>79</v>
      </c>
      <c r="J56" s="34">
        <v>94</v>
      </c>
      <c r="K56" s="34">
        <v>92</v>
      </c>
      <c r="L56" s="34">
        <v>96</v>
      </c>
      <c r="M56" s="34">
        <v>101</v>
      </c>
      <c r="N56" s="34">
        <v>107</v>
      </c>
      <c r="O56" s="34">
        <v>100</v>
      </c>
    </row>
    <row r="57" spans="1:15">
      <c r="A57" t="s">
        <v>124</v>
      </c>
      <c r="B57" s="34">
        <v>42.5</v>
      </c>
      <c r="C57" s="34">
        <v>45</v>
      </c>
      <c r="D57" s="34">
        <v>48</v>
      </c>
      <c r="E57" s="34">
        <v>42</v>
      </c>
      <c r="F57" s="34">
        <v>63</v>
      </c>
      <c r="G57" s="34">
        <v>68</v>
      </c>
      <c r="H57" s="34">
        <v>72</v>
      </c>
      <c r="I57" s="34">
        <v>90</v>
      </c>
      <c r="J57" s="34">
        <v>93</v>
      </c>
      <c r="K57" s="34">
        <v>99</v>
      </c>
      <c r="L57" s="34">
        <v>92</v>
      </c>
      <c r="M57" s="34">
        <v>91</v>
      </c>
      <c r="N57" s="34">
        <v>92</v>
      </c>
      <c r="O57" s="34"/>
    </row>
    <row r="58" spans="1:15">
      <c r="A58" t="s">
        <v>125</v>
      </c>
      <c r="B58" s="34">
        <v>27.5</v>
      </c>
      <c r="C58" s="34">
        <v>28</v>
      </c>
      <c r="D58" s="34">
        <v>52</v>
      </c>
      <c r="E58" s="34">
        <v>35</v>
      </c>
      <c r="F58" s="34">
        <v>51</v>
      </c>
      <c r="G58" s="34">
        <v>69</v>
      </c>
      <c r="H58" s="34">
        <v>73</v>
      </c>
      <c r="I58" s="34">
        <v>83</v>
      </c>
      <c r="J58" s="34">
        <v>94</v>
      </c>
      <c r="K58" s="34">
        <v>94</v>
      </c>
      <c r="L58" s="34">
        <v>95</v>
      </c>
      <c r="M58" s="34">
        <v>93</v>
      </c>
      <c r="N58" s="34">
        <v>100</v>
      </c>
      <c r="O58" s="34"/>
    </row>
    <row r="59" spans="1:15">
      <c r="A59" t="s">
        <v>126</v>
      </c>
      <c r="B59" s="34">
        <v>30.5</v>
      </c>
      <c r="C59" s="34">
        <v>26.5</v>
      </c>
      <c r="D59" s="34">
        <v>34</v>
      </c>
      <c r="E59" s="34">
        <v>63</v>
      </c>
      <c r="F59" s="34">
        <v>53</v>
      </c>
      <c r="G59" s="34">
        <v>62</v>
      </c>
      <c r="H59" s="34">
        <v>80</v>
      </c>
      <c r="I59" s="34">
        <v>77</v>
      </c>
      <c r="J59" s="34">
        <v>87</v>
      </c>
      <c r="K59" s="34">
        <v>83</v>
      </c>
      <c r="L59" s="34">
        <v>98</v>
      </c>
      <c r="M59" s="34">
        <v>86</v>
      </c>
      <c r="N59" s="34">
        <v>100</v>
      </c>
      <c r="O59" s="34"/>
    </row>
    <row r="60" spans="1:15">
      <c r="A60" t="s">
        <v>127</v>
      </c>
      <c r="B60" s="34">
        <v>37</v>
      </c>
      <c r="C60" s="34">
        <v>40</v>
      </c>
      <c r="D60" s="34">
        <v>46</v>
      </c>
      <c r="E60" s="34">
        <v>38</v>
      </c>
      <c r="F60" s="34">
        <v>64</v>
      </c>
      <c r="G60" s="34">
        <v>75</v>
      </c>
      <c r="H60" s="34">
        <v>74</v>
      </c>
      <c r="I60" s="34">
        <v>87</v>
      </c>
      <c r="J60" s="34">
        <v>82</v>
      </c>
      <c r="K60" s="34">
        <v>92</v>
      </c>
      <c r="L60" s="34">
        <v>87</v>
      </c>
      <c r="M60" s="34">
        <v>91</v>
      </c>
      <c r="N60" s="34">
        <v>98</v>
      </c>
      <c r="O60" s="34"/>
    </row>
    <row r="61" spans="1:15">
      <c r="A61" t="s">
        <v>128</v>
      </c>
      <c r="B61" s="34">
        <v>35</v>
      </c>
      <c r="C61" s="34">
        <v>42</v>
      </c>
      <c r="D61" s="34">
        <v>43</v>
      </c>
      <c r="E61" s="34">
        <v>39</v>
      </c>
      <c r="F61" s="34">
        <v>55</v>
      </c>
      <c r="G61" s="34">
        <v>70</v>
      </c>
      <c r="H61" s="34">
        <v>85</v>
      </c>
      <c r="I61" s="34">
        <v>76</v>
      </c>
      <c r="J61" s="34">
        <v>83</v>
      </c>
      <c r="K61" s="34">
        <v>83</v>
      </c>
      <c r="L61" s="34">
        <v>86</v>
      </c>
      <c r="M61" s="34">
        <v>100</v>
      </c>
      <c r="N61" s="34">
        <v>100</v>
      </c>
      <c r="O61" s="34"/>
    </row>
    <row r="62" spans="1:15">
      <c r="A62" t="s">
        <v>129</v>
      </c>
      <c r="B62" s="34">
        <v>40.5</v>
      </c>
      <c r="C62" s="34">
        <v>52</v>
      </c>
      <c r="D62" s="34">
        <v>56</v>
      </c>
      <c r="E62" s="34">
        <v>55</v>
      </c>
      <c r="F62" s="34">
        <v>73</v>
      </c>
      <c r="G62" s="34">
        <v>87</v>
      </c>
      <c r="H62" s="34">
        <v>90</v>
      </c>
      <c r="I62" s="34">
        <v>90</v>
      </c>
      <c r="J62" s="34">
        <v>95</v>
      </c>
      <c r="K62" s="34">
        <v>102</v>
      </c>
      <c r="L62" s="34">
        <v>100</v>
      </c>
      <c r="M62" s="34">
        <v>105</v>
      </c>
      <c r="N62" s="34">
        <v>100</v>
      </c>
      <c r="O62" s="34">
        <v>100</v>
      </c>
    </row>
    <row r="63" spans="1:15">
      <c r="A63" t="s">
        <v>130</v>
      </c>
      <c r="B63" s="34">
        <v>31</v>
      </c>
      <c r="C63" s="34">
        <v>46</v>
      </c>
      <c r="D63" s="34">
        <v>53.5</v>
      </c>
      <c r="E63" s="34">
        <v>53</v>
      </c>
      <c r="F63" s="34">
        <v>73</v>
      </c>
      <c r="G63" s="34">
        <v>72</v>
      </c>
      <c r="H63" s="34">
        <v>82</v>
      </c>
      <c r="I63" s="34">
        <v>86</v>
      </c>
      <c r="J63" s="34">
        <v>95</v>
      </c>
      <c r="K63" s="34">
        <v>99</v>
      </c>
      <c r="L63" s="34">
        <v>100</v>
      </c>
      <c r="M63" s="34">
        <v>105</v>
      </c>
      <c r="N63" s="34">
        <v>100</v>
      </c>
      <c r="O63" s="34"/>
    </row>
    <row r="64" spans="1:15">
      <c r="A64" t="s">
        <v>131</v>
      </c>
      <c r="B64" s="34">
        <v>42</v>
      </c>
      <c r="C64" s="34">
        <v>45</v>
      </c>
      <c r="D64" s="34">
        <v>55</v>
      </c>
      <c r="E64" s="34">
        <v>56</v>
      </c>
      <c r="F64" s="34">
        <v>75</v>
      </c>
      <c r="G64" s="34">
        <v>91</v>
      </c>
      <c r="H64" s="34">
        <v>93</v>
      </c>
      <c r="I64" s="34">
        <v>88</v>
      </c>
      <c r="J64" s="34">
        <v>96</v>
      </c>
      <c r="K64" s="34">
        <v>93</v>
      </c>
      <c r="L64" s="34">
        <v>100</v>
      </c>
      <c r="M64" s="34">
        <v>101</v>
      </c>
      <c r="N64" s="34">
        <v>100</v>
      </c>
      <c r="O64" s="34"/>
    </row>
    <row r="65" spans="1:15">
      <c r="A65" t="s">
        <v>132</v>
      </c>
      <c r="B65" s="34">
        <v>27.5</v>
      </c>
      <c r="C65" s="34">
        <v>44.5</v>
      </c>
      <c r="D65" s="34">
        <v>59</v>
      </c>
      <c r="E65" s="34">
        <v>55</v>
      </c>
      <c r="F65" s="34">
        <v>82</v>
      </c>
      <c r="G65" s="34">
        <v>87</v>
      </c>
      <c r="H65" s="34">
        <v>86</v>
      </c>
      <c r="I65" s="34">
        <v>95</v>
      </c>
      <c r="J65" s="34">
        <v>98</v>
      </c>
      <c r="K65" s="34">
        <v>106</v>
      </c>
      <c r="L65" s="34">
        <v>100</v>
      </c>
      <c r="M65" s="34">
        <v>102</v>
      </c>
      <c r="N65" s="34">
        <v>100</v>
      </c>
      <c r="O65" s="34"/>
    </row>
    <row r="66" spans="1:15">
      <c r="A66" t="s">
        <v>133</v>
      </c>
      <c r="B66" s="34">
        <v>41</v>
      </c>
      <c r="C66" s="34">
        <v>43</v>
      </c>
      <c r="D66" s="34">
        <v>59</v>
      </c>
      <c r="E66" s="34">
        <v>53</v>
      </c>
      <c r="F66" s="34">
        <v>81</v>
      </c>
      <c r="G66" s="34">
        <v>76</v>
      </c>
      <c r="H66" s="34">
        <v>77</v>
      </c>
      <c r="I66" s="34">
        <v>80</v>
      </c>
      <c r="J66" s="34">
        <v>95</v>
      </c>
      <c r="K66" s="34">
        <v>101</v>
      </c>
      <c r="L66" s="34">
        <v>100</v>
      </c>
      <c r="M66" s="34">
        <v>81</v>
      </c>
      <c r="N66" s="34">
        <v>100</v>
      </c>
      <c r="O66" s="34"/>
    </row>
    <row r="67" spans="1:15">
      <c r="A67" t="s">
        <v>134</v>
      </c>
      <c r="B67" s="34">
        <v>38.5</v>
      </c>
      <c r="C67" s="34">
        <v>45</v>
      </c>
      <c r="D67" s="34">
        <v>53</v>
      </c>
      <c r="E67" s="34">
        <v>55</v>
      </c>
      <c r="F67" s="34">
        <v>69</v>
      </c>
      <c r="G67" s="34">
        <v>75</v>
      </c>
      <c r="H67" s="34">
        <v>90</v>
      </c>
      <c r="I67" s="34">
        <v>85</v>
      </c>
      <c r="J67" s="34">
        <v>94</v>
      </c>
      <c r="K67" s="34">
        <v>106</v>
      </c>
      <c r="L67" s="34">
        <v>100</v>
      </c>
      <c r="M67" s="34">
        <v>107</v>
      </c>
      <c r="N67" s="34">
        <v>100</v>
      </c>
      <c r="O67" s="34"/>
    </row>
    <row r="68" spans="1:15">
      <c r="A68" t="s">
        <v>135</v>
      </c>
      <c r="B68" s="34">
        <v>50.5</v>
      </c>
      <c r="C68" s="34">
        <v>60</v>
      </c>
      <c r="D68" s="34">
        <v>65</v>
      </c>
      <c r="E68" s="34">
        <v>62</v>
      </c>
      <c r="F68" s="34">
        <v>74</v>
      </c>
      <c r="G68" s="34">
        <v>82</v>
      </c>
      <c r="H68" s="34">
        <v>92</v>
      </c>
      <c r="I68" s="34">
        <v>90</v>
      </c>
      <c r="J68" s="34">
        <v>100</v>
      </c>
      <c r="K68" s="34">
        <v>93</v>
      </c>
      <c r="L68" s="34">
        <v>100</v>
      </c>
      <c r="M68" s="34">
        <v>105</v>
      </c>
      <c r="N68" s="34">
        <v>100</v>
      </c>
      <c r="O68" s="34">
        <v>100</v>
      </c>
    </row>
    <row r="69" spans="1:15">
      <c r="A69" t="s">
        <v>136</v>
      </c>
      <c r="B69" s="34">
        <v>55</v>
      </c>
      <c r="C69" s="34">
        <v>51</v>
      </c>
      <c r="D69" s="34">
        <v>58</v>
      </c>
      <c r="E69" s="34">
        <v>59</v>
      </c>
      <c r="F69" s="34">
        <v>76</v>
      </c>
      <c r="G69" s="34">
        <v>81</v>
      </c>
      <c r="H69" s="34">
        <v>92</v>
      </c>
      <c r="I69" s="34">
        <v>93</v>
      </c>
      <c r="J69" s="34">
        <v>100</v>
      </c>
      <c r="K69" s="34">
        <v>102</v>
      </c>
      <c r="L69" s="34">
        <v>100</v>
      </c>
      <c r="M69" s="34">
        <v>105</v>
      </c>
      <c r="N69" s="34">
        <v>100</v>
      </c>
      <c r="O69" s="34"/>
    </row>
    <row r="70" spans="1:15">
      <c r="A70" t="s">
        <v>137</v>
      </c>
      <c r="B70" s="34">
        <v>69.5</v>
      </c>
      <c r="C70" s="34">
        <v>63</v>
      </c>
      <c r="D70" s="34">
        <v>69.5</v>
      </c>
      <c r="E70" s="34">
        <v>69</v>
      </c>
      <c r="F70" s="34">
        <v>82</v>
      </c>
      <c r="G70" s="34">
        <v>85</v>
      </c>
      <c r="H70" s="34">
        <v>98</v>
      </c>
      <c r="I70" s="34">
        <v>96</v>
      </c>
      <c r="J70" s="34">
        <v>100</v>
      </c>
      <c r="K70" s="34">
        <v>105</v>
      </c>
      <c r="L70" s="34">
        <v>100</v>
      </c>
      <c r="M70" s="34">
        <v>105</v>
      </c>
      <c r="N70" s="34">
        <v>100</v>
      </c>
      <c r="O70" s="34"/>
    </row>
    <row r="71" spans="1:15">
      <c r="A71" t="s">
        <v>138</v>
      </c>
      <c r="B71" s="34">
        <v>58.5</v>
      </c>
      <c r="C71" s="34">
        <v>64</v>
      </c>
      <c r="D71" s="34">
        <v>63</v>
      </c>
      <c r="E71" s="34">
        <v>64</v>
      </c>
      <c r="F71" s="34">
        <v>75</v>
      </c>
      <c r="G71" s="34">
        <v>78</v>
      </c>
      <c r="H71" s="34">
        <v>90</v>
      </c>
      <c r="I71" s="34">
        <v>90</v>
      </c>
      <c r="J71" s="34">
        <v>100</v>
      </c>
      <c r="K71" s="34">
        <v>105</v>
      </c>
      <c r="L71" s="34">
        <v>100</v>
      </c>
      <c r="M71" s="34">
        <v>105</v>
      </c>
      <c r="N71" s="34">
        <v>100</v>
      </c>
      <c r="O71" s="34"/>
    </row>
    <row r="72" spans="1:15">
      <c r="A72" t="s">
        <v>139</v>
      </c>
      <c r="B72" s="34">
        <v>58</v>
      </c>
      <c r="C72" s="34">
        <v>59.5</v>
      </c>
      <c r="D72" s="34">
        <v>62.5</v>
      </c>
      <c r="E72" s="34">
        <v>67</v>
      </c>
      <c r="F72" s="34">
        <v>85</v>
      </c>
      <c r="G72" s="34">
        <v>85</v>
      </c>
      <c r="H72" s="34">
        <v>96</v>
      </c>
      <c r="I72" s="34">
        <v>95</v>
      </c>
      <c r="J72" s="34">
        <v>100</v>
      </c>
      <c r="K72" s="34">
        <v>106</v>
      </c>
      <c r="L72" s="34">
        <v>100</v>
      </c>
      <c r="M72" s="34">
        <v>105</v>
      </c>
      <c r="N72" s="34">
        <v>100</v>
      </c>
      <c r="O72" s="34"/>
    </row>
    <row r="73" spans="1:15">
      <c r="A73" t="s">
        <v>140</v>
      </c>
      <c r="B73" s="34">
        <v>44</v>
      </c>
      <c r="C73" s="34">
        <v>45</v>
      </c>
      <c r="D73" s="34">
        <v>56</v>
      </c>
      <c r="E73" s="34">
        <v>55</v>
      </c>
      <c r="F73" s="34">
        <v>81</v>
      </c>
      <c r="G73" s="34">
        <v>86</v>
      </c>
      <c r="H73" s="34">
        <v>84</v>
      </c>
      <c r="I73" s="34">
        <v>91</v>
      </c>
      <c r="J73" s="34">
        <v>100</v>
      </c>
      <c r="K73" s="34">
        <v>101</v>
      </c>
      <c r="L73" s="34">
        <v>100</v>
      </c>
      <c r="M73" s="34">
        <v>105</v>
      </c>
      <c r="N73" s="34">
        <v>100</v>
      </c>
      <c r="O73" s="34"/>
    </row>
    <row r="74" spans="1:15">
      <c r="A74" t="s">
        <v>141</v>
      </c>
      <c r="B74" s="34">
        <v>32.5</v>
      </c>
      <c r="C74" s="34">
        <v>38</v>
      </c>
      <c r="D74" s="34">
        <v>56</v>
      </c>
      <c r="E74" s="34">
        <v>59</v>
      </c>
      <c r="F74" s="34">
        <v>80</v>
      </c>
      <c r="G74" s="34">
        <v>78</v>
      </c>
      <c r="H74" s="34">
        <v>89</v>
      </c>
      <c r="I74" s="34">
        <v>91</v>
      </c>
      <c r="J74" s="34">
        <v>98</v>
      </c>
      <c r="K74" s="34">
        <v>102</v>
      </c>
      <c r="L74" s="34">
        <v>110</v>
      </c>
      <c r="M74" s="34">
        <v>96</v>
      </c>
      <c r="N74" s="34">
        <v>100</v>
      </c>
      <c r="O74" s="34">
        <v>100</v>
      </c>
    </row>
    <row r="75" spans="1:15">
      <c r="A75" t="s">
        <v>142</v>
      </c>
      <c r="B75" s="34">
        <v>34</v>
      </c>
      <c r="C75" s="34">
        <v>34</v>
      </c>
      <c r="D75" s="34">
        <v>47.5</v>
      </c>
      <c r="E75" s="34">
        <v>65</v>
      </c>
      <c r="F75" s="34">
        <v>72</v>
      </c>
      <c r="G75" s="34">
        <v>95</v>
      </c>
      <c r="H75" s="34">
        <v>94</v>
      </c>
      <c r="I75" s="34">
        <v>97</v>
      </c>
      <c r="J75" s="34">
        <v>94</v>
      </c>
      <c r="K75" s="34">
        <v>105</v>
      </c>
      <c r="L75" s="34">
        <v>110</v>
      </c>
      <c r="M75" s="34">
        <v>88</v>
      </c>
      <c r="N75" s="34">
        <v>100</v>
      </c>
      <c r="O75" s="34"/>
    </row>
    <row r="76" spans="1:15">
      <c r="A76" t="s">
        <v>143</v>
      </c>
      <c r="B76" s="34">
        <v>34</v>
      </c>
      <c r="C76" s="34">
        <v>36</v>
      </c>
      <c r="D76" s="34">
        <v>47</v>
      </c>
      <c r="E76" s="34">
        <v>62</v>
      </c>
      <c r="F76" s="34">
        <v>77</v>
      </c>
      <c r="G76" s="34">
        <v>89</v>
      </c>
      <c r="H76" s="34">
        <v>89</v>
      </c>
      <c r="I76" s="34">
        <v>98</v>
      </c>
      <c r="J76" s="34">
        <v>107</v>
      </c>
      <c r="K76" s="34">
        <v>109</v>
      </c>
      <c r="L76" s="34">
        <v>110</v>
      </c>
      <c r="M76" s="34">
        <v>106</v>
      </c>
      <c r="N76" s="34">
        <v>100</v>
      </c>
      <c r="O76" s="34"/>
    </row>
    <row r="77" spans="1:15">
      <c r="A77" t="s">
        <v>144</v>
      </c>
      <c r="B77" s="34">
        <v>34</v>
      </c>
      <c r="C77" s="34">
        <v>42.5</v>
      </c>
      <c r="D77" s="34">
        <v>55</v>
      </c>
      <c r="E77" s="34">
        <v>57</v>
      </c>
      <c r="F77" s="34">
        <v>68</v>
      </c>
      <c r="G77" s="34">
        <v>86</v>
      </c>
      <c r="H77" s="34">
        <v>89</v>
      </c>
      <c r="I77" s="34">
        <v>95</v>
      </c>
      <c r="J77" s="34">
        <v>89</v>
      </c>
      <c r="K77" s="34">
        <v>96</v>
      </c>
      <c r="L77" s="34">
        <v>110</v>
      </c>
      <c r="M77" s="34">
        <v>100</v>
      </c>
      <c r="N77" s="34">
        <v>100</v>
      </c>
      <c r="O77" s="34"/>
    </row>
    <row r="78" spans="1:15">
      <c r="A78" t="s">
        <v>145</v>
      </c>
      <c r="B78" s="34">
        <v>23</v>
      </c>
      <c r="C78" s="34">
        <v>40</v>
      </c>
      <c r="D78" s="34">
        <v>58</v>
      </c>
      <c r="E78" s="34">
        <v>55</v>
      </c>
      <c r="F78" s="34">
        <v>67</v>
      </c>
      <c r="G78" s="34">
        <v>88</v>
      </c>
      <c r="H78" s="34">
        <v>96</v>
      </c>
      <c r="I78" s="34">
        <v>100</v>
      </c>
      <c r="J78" s="34">
        <v>100</v>
      </c>
      <c r="K78" s="34">
        <v>109</v>
      </c>
      <c r="L78" s="34">
        <v>110</v>
      </c>
      <c r="M78" s="34">
        <v>91</v>
      </c>
      <c r="N78" s="34">
        <v>100</v>
      </c>
      <c r="O78" s="34"/>
    </row>
    <row r="79" spans="1:15">
      <c r="A79" t="s">
        <v>146</v>
      </c>
      <c r="B79" s="34">
        <v>38</v>
      </c>
      <c r="C79" s="34">
        <v>37.5</v>
      </c>
      <c r="D79" s="34">
        <v>45</v>
      </c>
      <c r="E79" s="34">
        <v>54</v>
      </c>
      <c r="F79" s="34">
        <v>70.5</v>
      </c>
      <c r="G79" s="34">
        <v>78</v>
      </c>
      <c r="H79" s="34">
        <v>85</v>
      </c>
      <c r="I79" s="34">
        <v>92</v>
      </c>
      <c r="J79" s="34">
        <v>93</v>
      </c>
      <c r="K79" s="34">
        <v>93</v>
      </c>
      <c r="L79" s="34">
        <v>100</v>
      </c>
      <c r="M79" s="34">
        <v>88</v>
      </c>
      <c r="N79" s="34">
        <v>100</v>
      </c>
      <c r="O79" s="34"/>
    </row>
    <row r="80" spans="1:15">
      <c r="A80" t="s">
        <v>147</v>
      </c>
      <c r="B80" s="34">
        <v>31</v>
      </c>
      <c r="C80" s="34">
        <v>33</v>
      </c>
      <c r="D80" s="34">
        <v>52</v>
      </c>
      <c r="E80" s="34">
        <v>40</v>
      </c>
      <c r="F80" s="34">
        <v>52</v>
      </c>
      <c r="G80" s="34">
        <v>66</v>
      </c>
      <c r="H80" s="34">
        <v>71</v>
      </c>
      <c r="I80" s="34">
        <v>79</v>
      </c>
      <c r="J80" s="34">
        <v>82</v>
      </c>
      <c r="K80" s="34">
        <v>102</v>
      </c>
      <c r="L80" s="34">
        <v>90</v>
      </c>
      <c r="M80" s="34">
        <v>105</v>
      </c>
      <c r="N80" s="34">
        <v>100</v>
      </c>
      <c r="O80" s="34">
        <v>93</v>
      </c>
    </row>
    <row r="81" spans="1:15">
      <c r="A81" t="s">
        <v>148</v>
      </c>
      <c r="B81" s="34">
        <v>30</v>
      </c>
      <c r="C81" s="34">
        <v>32</v>
      </c>
      <c r="D81" s="34">
        <v>41</v>
      </c>
      <c r="E81" s="34">
        <v>33</v>
      </c>
      <c r="F81" s="34">
        <v>48</v>
      </c>
      <c r="G81" s="34">
        <v>64</v>
      </c>
      <c r="H81" s="34">
        <v>76</v>
      </c>
      <c r="I81" s="34">
        <v>76</v>
      </c>
      <c r="J81" s="34">
        <v>82</v>
      </c>
      <c r="K81" s="34">
        <v>73</v>
      </c>
      <c r="L81" s="34">
        <v>71</v>
      </c>
      <c r="M81" s="34">
        <v>105</v>
      </c>
      <c r="N81" s="34">
        <v>77</v>
      </c>
      <c r="O81" s="34"/>
    </row>
    <row r="82" spans="1:15">
      <c r="A82" t="s">
        <v>149</v>
      </c>
      <c r="B82" s="34">
        <v>28.5</v>
      </c>
      <c r="C82" s="34">
        <v>35</v>
      </c>
      <c r="D82" s="34">
        <v>39</v>
      </c>
      <c r="E82" s="34">
        <v>32</v>
      </c>
      <c r="F82" s="34">
        <v>62</v>
      </c>
      <c r="G82" s="34">
        <v>69</v>
      </c>
      <c r="H82" s="34">
        <v>78</v>
      </c>
      <c r="I82" s="34">
        <v>87</v>
      </c>
      <c r="J82" s="34">
        <v>91</v>
      </c>
      <c r="K82" s="34">
        <v>103</v>
      </c>
      <c r="L82" s="34">
        <v>97</v>
      </c>
      <c r="M82" s="34">
        <v>105</v>
      </c>
      <c r="N82" s="34">
        <v>96</v>
      </c>
      <c r="O82" s="34"/>
    </row>
    <row r="83" spans="1:15">
      <c r="A83" t="s">
        <v>150</v>
      </c>
      <c r="B83" s="34">
        <v>38</v>
      </c>
      <c r="C83" s="34">
        <v>40</v>
      </c>
      <c r="D83" s="34">
        <v>46</v>
      </c>
      <c r="E83" s="34">
        <v>35</v>
      </c>
      <c r="F83" s="34">
        <v>65</v>
      </c>
      <c r="G83" s="34">
        <v>70</v>
      </c>
      <c r="H83" s="34">
        <v>83</v>
      </c>
      <c r="I83" s="34">
        <v>89</v>
      </c>
      <c r="J83" s="34">
        <v>93</v>
      </c>
      <c r="K83" s="34">
        <v>96</v>
      </c>
      <c r="L83" s="34">
        <v>100</v>
      </c>
      <c r="M83" s="34">
        <v>105</v>
      </c>
      <c r="N83" s="34">
        <v>94</v>
      </c>
      <c r="O83" s="34"/>
    </row>
    <row r="84" spans="1:15">
      <c r="A84" t="s">
        <v>151</v>
      </c>
      <c r="B84" s="34">
        <v>40</v>
      </c>
      <c r="C84" s="34">
        <v>43.5</v>
      </c>
      <c r="D84" s="34">
        <v>55</v>
      </c>
      <c r="E84" s="34">
        <v>46</v>
      </c>
      <c r="F84" s="34">
        <v>61</v>
      </c>
      <c r="G84" s="34">
        <v>75</v>
      </c>
      <c r="H84" s="34">
        <v>72</v>
      </c>
      <c r="I84" s="34">
        <v>78</v>
      </c>
      <c r="J84" s="34">
        <v>100</v>
      </c>
      <c r="K84" s="34">
        <v>85</v>
      </c>
      <c r="L84" s="34">
        <v>83</v>
      </c>
      <c r="M84" s="34">
        <v>105</v>
      </c>
      <c r="N84" s="34">
        <v>96</v>
      </c>
      <c r="O84" s="34"/>
    </row>
    <row r="85" spans="1:15">
      <c r="A85" t="s">
        <v>152</v>
      </c>
      <c r="B85" s="34">
        <v>24</v>
      </c>
      <c r="C85" s="34">
        <v>30</v>
      </c>
      <c r="D85" s="34">
        <v>35</v>
      </c>
      <c r="E85" s="34">
        <v>36</v>
      </c>
      <c r="F85" s="34">
        <v>51</v>
      </c>
      <c r="G85" s="34">
        <v>56</v>
      </c>
      <c r="H85" s="34">
        <v>63</v>
      </c>
      <c r="I85" s="34">
        <v>74</v>
      </c>
      <c r="J85" s="34">
        <v>73</v>
      </c>
      <c r="K85" s="34">
        <v>73</v>
      </c>
      <c r="L85" s="34">
        <v>80</v>
      </c>
      <c r="M85" s="34">
        <v>105</v>
      </c>
      <c r="N85" s="34">
        <v>90</v>
      </c>
      <c r="O85" s="34"/>
    </row>
    <row r="86" spans="1:15">
      <c r="A86" t="s">
        <v>153</v>
      </c>
      <c r="B86" s="34">
        <v>44</v>
      </c>
      <c r="C86" s="34">
        <v>48.5</v>
      </c>
      <c r="D86" s="34">
        <v>60</v>
      </c>
      <c r="E86" s="34">
        <v>61</v>
      </c>
      <c r="F86" s="34">
        <v>73</v>
      </c>
      <c r="G86" s="34">
        <v>88</v>
      </c>
      <c r="H86" s="34">
        <v>96</v>
      </c>
      <c r="I86" s="34">
        <v>98</v>
      </c>
      <c r="J86" s="34">
        <v>103</v>
      </c>
      <c r="K86" s="34">
        <v>105</v>
      </c>
      <c r="L86" s="34">
        <v>105</v>
      </c>
      <c r="M86" s="34">
        <v>105</v>
      </c>
      <c r="N86" s="34">
        <v>100</v>
      </c>
      <c r="O86" s="34">
        <v>100</v>
      </c>
    </row>
    <row r="87" spans="1:15">
      <c r="A87" t="s">
        <v>154</v>
      </c>
      <c r="B87" s="34">
        <v>39</v>
      </c>
      <c r="C87" s="34">
        <v>30</v>
      </c>
      <c r="D87" s="34">
        <v>59.5</v>
      </c>
      <c r="E87" s="34">
        <v>53</v>
      </c>
      <c r="F87" s="34">
        <v>76</v>
      </c>
      <c r="G87" s="34">
        <v>77</v>
      </c>
      <c r="H87" s="34">
        <v>80</v>
      </c>
      <c r="I87" s="34">
        <v>88</v>
      </c>
      <c r="J87" s="34">
        <v>93</v>
      </c>
      <c r="K87" s="34">
        <v>108</v>
      </c>
      <c r="L87" s="34">
        <v>105</v>
      </c>
      <c r="M87" s="34">
        <v>105</v>
      </c>
      <c r="N87" s="34">
        <v>112</v>
      </c>
      <c r="O87" s="34"/>
    </row>
    <row r="88" spans="1:15">
      <c r="A88" t="s">
        <v>155</v>
      </c>
      <c r="B88" s="34">
        <v>32.5</v>
      </c>
      <c r="C88" s="34">
        <v>39</v>
      </c>
      <c r="D88" s="34">
        <v>53</v>
      </c>
      <c r="E88" s="34">
        <v>56</v>
      </c>
      <c r="F88" s="34">
        <v>74</v>
      </c>
      <c r="G88" s="34">
        <v>78</v>
      </c>
      <c r="H88" s="34">
        <v>86</v>
      </c>
      <c r="I88" s="34">
        <v>91</v>
      </c>
      <c r="J88" s="34">
        <v>100</v>
      </c>
      <c r="K88" s="34">
        <v>100</v>
      </c>
      <c r="L88" s="34">
        <v>105</v>
      </c>
      <c r="M88" s="34">
        <v>105</v>
      </c>
      <c r="N88" s="34">
        <v>100</v>
      </c>
      <c r="O88" s="34"/>
    </row>
    <row r="89" spans="1:15">
      <c r="A89" t="s">
        <v>156</v>
      </c>
      <c r="B89" s="34">
        <v>38</v>
      </c>
      <c r="C89" s="34">
        <v>50</v>
      </c>
      <c r="D89" s="34">
        <v>57</v>
      </c>
      <c r="E89" s="34">
        <v>52</v>
      </c>
      <c r="F89" s="34">
        <v>73</v>
      </c>
      <c r="G89" s="34">
        <v>88</v>
      </c>
      <c r="H89" s="34">
        <v>93</v>
      </c>
      <c r="I89" s="34">
        <v>95</v>
      </c>
      <c r="J89" s="34">
        <v>100</v>
      </c>
      <c r="K89" s="34">
        <v>100</v>
      </c>
      <c r="L89" s="34">
        <v>105</v>
      </c>
      <c r="M89" s="34">
        <v>105</v>
      </c>
      <c r="N89" s="34">
        <v>100</v>
      </c>
      <c r="O89" s="34"/>
    </row>
    <row r="90" spans="1:15">
      <c r="A90" t="s">
        <v>157</v>
      </c>
      <c r="B90" s="34">
        <v>47.5</v>
      </c>
      <c r="C90" s="34">
        <v>39.5</v>
      </c>
      <c r="D90" s="34">
        <v>55</v>
      </c>
      <c r="E90" s="34">
        <v>54</v>
      </c>
      <c r="F90" s="34">
        <v>67</v>
      </c>
      <c r="G90" s="34">
        <v>80</v>
      </c>
      <c r="H90" s="34">
        <v>81</v>
      </c>
      <c r="I90" s="34">
        <v>83</v>
      </c>
      <c r="J90" s="34">
        <v>100</v>
      </c>
      <c r="K90" s="34">
        <v>100</v>
      </c>
      <c r="L90" s="34">
        <v>105</v>
      </c>
      <c r="M90" s="34">
        <v>105</v>
      </c>
      <c r="N90" s="34">
        <v>100</v>
      </c>
      <c r="O90" s="34"/>
    </row>
    <row r="91" spans="1:15">
      <c r="A91" t="s">
        <v>158</v>
      </c>
      <c r="B91" s="34">
        <v>39</v>
      </c>
      <c r="C91" s="34">
        <v>27.5</v>
      </c>
      <c r="D91" s="34">
        <v>45</v>
      </c>
      <c r="E91" s="34">
        <v>41</v>
      </c>
      <c r="F91" s="34">
        <v>60</v>
      </c>
      <c r="G91" s="34">
        <v>70</v>
      </c>
      <c r="H91" s="34">
        <v>71</v>
      </c>
      <c r="I91" s="34">
        <v>80</v>
      </c>
      <c r="J91" s="34">
        <v>100</v>
      </c>
      <c r="K91" s="34">
        <v>100</v>
      </c>
      <c r="L91" s="34">
        <v>105</v>
      </c>
      <c r="M91" s="34">
        <v>105</v>
      </c>
      <c r="N91" s="34">
        <v>100</v>
      </c>
      <c r="O91" s="34"/>
    </row>
    <row r="92" spans="1:15">
      <c r="A92" t="s">
        <v>159</v>
      </c>
      <c r="B92" s="34">
        <v>28</v>
      </c>
      <c r="C92" s="34">
        <v>33.5</v>
      </c>
      <c r="D92" s="34">
        <v>43</v>
      </c>
      <c r="E92" s="34">
        <v>41</v>
      </c>
      <c r="F92" s="34">
        <v>80</v>
      </c>
      <c r="G92" s="34">
        <v>70</v>
      </c>
      <c r="H92" s="34">
        <v>81</v>
      </c>
      <c r="I92" s="34">
        <v>83</v>
      </c>
      <c r="J92" s="34">
        <v>90</v>
      </c>
      <c r="K92" s="34">
        <v>100</v>
      </c>
      <c r="L92" s="34">
        <v>100</v>
      </c>
      <c r="M92" s="34">
        <v>105</v>
      </c>
      <c r="N92" s="34">
        <v>100</v>
      </c>
      <c r="O92" s="34">
        <v>100</v>
      </c>
    </row>
    <row r="93" spans="1:15">
      <c r="A93" t="s">
        <v>160</v>
      </c>
      <c r="B93" s="34">
        <v>32</v>
      </c>
      <c r="C93" s="34">
        <v>33</v>
      </c>
      <c r="D93" s="34">
        <v>48</v>
      </c>
      <c r="E93" s="34">
        <v>41</v>
      </c>
      <c r="F93" s="34">
        <v>62</v>
      </c>
      <c r="G93" s="34">
        <v>74</v>
      </c>
      <c r="H93" s="34">
        <v>82</v>
      </c>
      <c r="I93" s="34">
        <v>77</v>
      </c>
      <c r="J93" s="34">
        <v>83</v>
      </c>
      <c r="K93" s="34">
        <v>91</v>
      </c>
      <c r="L93" s="34">
        <v>105</v>
      </c>
      <c r="M93" s="34">
        <v>105</v>
      </c>
      <c r="N93" s="34">
        <v>100</v>
      </c>
      <c r="O93" s="34"/>
    </row>
    <row r="94" spans="1:15">
      <c r="A94" t="s">
        <v>161</v>
      </c>
      <c r="B94" s="34">
        <v>33</v>
      </c>
      <c r="C94" s="34">
        <v>42</v>
      </c>
      <c r="D94" s="34">
        <v>46</v>
      </c>
      <c r="E94" s="34">
        <v>45</v>
      </c>
      <c r="F94" s="34">
        <v>64</v>
      </c>
      <c r="G94" s="34">
        <v>83</v>
      </c>
      <c r="H94" s="34">
        <v>86</v>
      </c>
      <c r="I94" s="34">
        <v>90</v>
      </c>
      <c r="J94" s="34">
        <v>93</v>
      </c>
      <c r="K94" s="34">
        <v>96</v>
      </c>
      <c r="L94" s="34">
        <v>105</v>
      </c>
      <c r="M94" s="34">
        <v>105</v>
      </c>
      <c r="N94" s="34">
        <v>100</v>
      </c>
      <c r="O94" s="34"/>
    </row>
    <row r="95" spans="1:15">
      <c r="A95" t="s">
        <v>162</v>
      </c>
      <c r="B95" s="34">
        <v>36</v>
      </c>
      <c r="C95" s="34">
        <v>31</v>
      </c>
      <c r="D95" s="34">
        <v>41</v>
      </c>
      <c r="E95" s="34">
        <v>54</v>
      </c>
      <c r="F95" s="34">
        <v>71</v>
      </c>
      <c r="G95" s="34">
        <v>88</v>
      </c>
      <c r="H95" s="34">
        <v>86</v>
      </c>
      <c r="I95" s="34">
        <v>98</v>
      </c>
      <c r="J95" s="34">
        <v>104</v>
      </c>
      <c r="K95" s="34">
        <v>108</v>
      </c>
      <c r="L95" s="34">
        <v>100</v>
      </c>
      <c r="M95" s="34">
        <v>105</v>
      </c>
      <c r="N95" s="34">
        <v>100</v>
      </c>
      <c r="O95" s="34"/>
    </row>
    <row r="96" spans="1:15">
      <c r="A96" t="s">
        <v>163</v>
      </c>
      <c r="B96" s="34">
        <v>32</v>
      </c>
      <c r="C96" s="34">
        <v>27</v>
      </c>
      <c r="D96" s="34">
        <v>45</v>
      </c>
      <c r="E96" s="34">
        <v>50</v>
      </c>
      <c r="F96" s="34">
        <v>61</v>
      </c>
      <c r="G96" s="34">
        <v>78</v>
      </c>
      <c r="H96" s="34">
        <v>83</v>
      </c>
      <c r="I96" s="34">
        <v>86</v>
      </c>
      <c r="J96" s="34">
        <v>100</v>
      </c>
      <c r="K96" s="34">
        <v>108</v>
      </c>
      <c r="L96" s="34">
        <v>109</v>
      </c>
      <c r="M96" s="34">
        <v>105</v>
      </c>
      <c r="N96" s="34">
        <v>100</v>
      </c>
      <c r="O96" s="34"/>
    </row>
    <row r="97" spans="1:15">
      <c r="A97" t="s">
        <v>164</v>
      </c>
      <c r="B97" s="34">
        <v>34.5</v>
      </c>
      <c r="C97" s="34">
        <v>34.5</v>
      </c>
      <c r="D97" s="34">
        <v>38</v>
      </c>
      <c r="E97" s="34">
        <v>40</v>
      </c>
      <c r="F97" s="34">
        <v>70</v>
      </c>
      <c r="G97" s="34">
        <v>76</v>
      </c>
      <c r="H97" s="34">
        <v>74</v>
      </c>
      <c r="I97" s="34">
        <v>74</v>
      </c>
      <c r="J97" s="34">
        <v>81</v>
      </c>
      <c r="K97" s="34">
        <v>89</v>
      </c>
      <c r="L97" s="34">
        <v>92</v>
      </c>
      <c r="M97" s="34">
        <v>105</v>
      </c>
      <c r="N97" s="34">
        <v>100</v>
      </c>
      <c r="O97" s="34"/>
    </row>
    <row r="98" spans="1:15">
      <c r="A98" t="s">
        <v>165</v>
      </c>
      <c r="B98" s="34">
        <v>38</v>
      </c>
      <c r="C98" s="34">
        <v>40</v>
      </c>
      <c r="D98" s="34">
        <v>63</v>
      </c>
      <c r="E98" s="34">
        <v>54</v>
      </c>
      <c r="F98" s="34">
        <v>76</v>
      </c>
      <c r="G98" s="34">
        <v>83</v>
      </c>
      <c r="H98" s="34">
        <v>91</v>
      </c>
      <c r="I98" s="34">
        <v>85</v>
      </c>
      <c r="J98" s="34">
        <v>95</v>
      </c>
      <c r="K98" s="34">
        <v>100</v>
      </c>
      <c r="L98" s="34">
        <v>97</v>
      </c>
      <c r="M98" s="34">
        <v>100</v>
      </c>
      <c r="N98" s="34">
        <v>101</v>
      </c>
      <c r="O98" s="34">
        <v>100</v>
      </c>
    </row>
    <row r="99" spans="1:15">
      <c r="A99" t="s">
        <v>166</v>
      </c>
      <c r="B99" s="34">
        <v>34</v>
      </c>
      <c r="C99" s="34">
        <v>25.5</v>
      </c>
      <c r="D99" s="34">
        <v>41</v>
      </c>
      <c r="E99" s="34">
        <v>39</v>
      </c>
      <c r="F99" s="34">
        <v>61</v>
      </c>
      <c r="G99" s="34">
        <v>66</v>
      </c>
      <c r="H99" s="34">
        <v>63</v>
      </c>
      <c r="I99" s="34">
        <v>74</v>
      </c>
      <c r="J99" s="34">
        <v>79</v>
      </c>
      <c r="K99" s="34">
        <v>82</v>
      </c>
      <c r="L99" s="34">
        <v>81</v>
      </c>
      <c r="M99" s="34">
        <v>88</v>
      </c>
      <c r="N99" s="34">
        <v>77</v>
      </c>
      <c r="O99" s="34"/>
    </row>
    <row r="100" spans="1:15">
      <c r="A100" t="s">
        <v>167</v>
      </c>
      <c r="B100" s="34">
        <v>30</v>
      </c>
      <c r="C100" s="34">
        <v>38</v>
      </c>
      <c r="D100" s="34">
        <v>61</v>
      </c>
      <c r="E100" s="34">
        <v>38</v>
      </c>
      <c r="F100" s="34">
        <v>65</v>
      </c>
      <c r="G100" s="34">
        <v>66</v>
      </c>
      <c r="H100" s="34">
        <v>73</v>
      </c>
      <c r="I100" s="34">
        <v>93</v>
      </c>
      <c r="J100" s="34">
        <v>100</v>
      </c>
      <c r="K100" s="34">
        <v>85</v>
      </c>
      <c r="L100" s="34">
        <v>95</v>
      </c>
      <c r="M100" s="34">
        <v>94</v>
      </c>
      <c r="N100" s="34">
        <v>82</v>
      </c>
      <c r="O100" s="34"/>
    </row>
    <row r="101" spans="1:15">
      <c r="A101" t="s">
        <v>168</v>
      </c>
      <c r="B101" s="34">
        <v>35</v>
      </c>
      <c r="C101" s="34">
        <v>33</v>
      </c>
      <c r="D101" s="34">
        <v>55</v>
      </c>
      <c r="E101" s="34">
        <v>41</v>
      </c>
      <c r="F101" s="34">
        <v>61</v>
      </c>
      <c r="G101" s="34">
        <v>71</v>
      </c>
      <c r="H101" s="34">
        <v>59</v>
      </c>
      <c r="I101" s="34">
        <v>73</v>
      </c>
      <c r="J101" s="34">
        <v>82</v>
      </c>
      <c r="K101" s="34">
        <v>85</v>
      </c>
      <c r="L101" s="34">
        <v>85</v>
      </c>
      <c r="M101" s="34">
        <v>100</v>
      </c>
      <c r="N101" s="34">
        <v>96</v>
      </c>
      <c r="O101" s="34"/>
    </row>
    <row r="102" spans="1:15">
      <c r="A102" t="s">
        <v>169</v>
      </c>
      <c r="B102" s="34">
        <v>35.5</v>
      </c>
      <c r="C102" s="34">
        <v>28.5</v>
      </c>
      <c r="D102" s="34">
        <v>52</v>
      </c>
      <c r="E102" s="34">
        <v>39</v>
      </c>
      <c r="F102" s="34">
        <v>60</v>
      </c>
      <c r="G102" s="34">
        <v>64</v>
      </c>
      <c r="H102" s="34">
        <v>77</v>
      </c>
      <c r="I102" s="34">
        <v>77</v>
      </c>
      <c r="J102" s="34">
        <v>81</v>
      </c>
      <c r="K102" s="34">
        <v>81</v>
      </c>
      <c r="L102" s="34">
        <v>78</v>
      </c>
      <c r="M102" s="34">
        <v>93</v>
      </c>
      <c r="N102" s="34">
        <v>93</v>
      </c>
      <c r="O102" s="34"/>
    </row>
    <row r="103" spans="1:15">
      <c r="A103" t="s">
        <v>170</v>
      </c>
      <c r="B103" s="34">
        <v>23.5</v>
      </c>
      <c r="C103" s="34">
        <v>30</v>
      </c>
      <c r="D103" s="34">
        <v>45.5</v>
      </c>
      <c r="E103" s="34">
        <v>40</v>
      </c>
      <c r="F103" s="34">
        <v>60</v>
      </c>
      <c r="G103" s="34">
        <v>71</v>
      </c>
      <c r="H103" s="34">
        <v>71</v>
      </c>
      <c r="I103" s="34">
        <v>81</v>
      </c>
      <c r="J103" s="34">
        <v>89</v>
      </c>
      <c r="K103" s="34">
        <v>93</v>
      </c>
      <c r="L103" s="34">
        <v>101</v>
      </c>
      <c r="M103" s="34">
        <v>103</v>
      </c>
      <c r="N103" s="34">
        <v>94</v>
      </c>
      <c r="O103" s="34"/>
    </row>
    <row r="104" spans="1:15">
      <c r="A104" t="s">
        <v>171</v>
      </c>
      <c r="B104" s="34">
        <v>40</v>
      </c>
      <c r="C104" s="34">
        <v>38</v>
      </c>
      <c r="D104" s="34">
        <v>48</v>
      </c>
      <c r="E104" s="34">
        <v>47</v>
      </c>
      <c r="F104" s="34">
        <v>60</v>
      </c>
      <c r="G104" s="34">
        <v>70</v>
      </c>
      <c r="H104" s="34">
        <v>82</v>
      </c>
      <c r="I104" s="34">
        <v>82</v>
      </c>
      <c r="J104" s="34">
        <v>86</v>
      </c>
      <c r="K104" s="34">
        <v>93</v>
      </c>
      <c r="L104" s="34">
        <v>90</v>
      </c>
      <c r="M104" s="34">
        <v>97</v>
      </c>
      <c r="N104" s="34">
        <v>100</v>
      </c>
      <c r="O104" s="34">
        <v>76</v>
      </c>
    </row>
    <row r="105" spans="1:15">
      <c r="A105" t="s">
        <v>172</v>
      </c>
      <c r="B105" s="34">
        <v>42.5</v>
      </c>
      <c r="C105" s="34">
        <v>40</v>
      </c>
      <c r="D105" s="34">
        <v>43</v>
      </c>
      <c r="E105" s="34">
        <v>49</v>
      </c>
      <c r="F105" s="34">
        <v>65</v>
      </c>
      <c r="G105" s="34">
        <v>69</v>
      </c>
      <c r="H105" s="34">
        <v>80</v>
      </c>
      <c r="I105" s="34">
        <v>79</v>
      </c>
      <c r="J105" s="34">
        <v>88</v>
      </c>
      <c r="K105" s="34">
        <v>93</v>
      </c>
      <c r="L105" s="34">
        <v>96</v>
      </c>
      <c r="M105" s="34">
        <v>99</v>
      </c>
      <c r="N105" s="34">
        <v>97</v>
      </c>
      <c r="O105" s="34"/>
    </row>
    <row r="106" spans="1:15">
      <c r="A106" t="s">
        <v>173</v>
      </c>
      <c r="B106" s="34">
        <v>49</v>
      </c>
      <c r="C106" s="34">
        <v>33</v>
      </c>
      <c r="D106" s="34">
        <v>55.5</v>
      </c>
      <c r="E106" s="34">
        <v>50</v>
      </c>
      <c r="F106" s="34">
        <v>61</v>
      </c>
      <c r="G106" s="34">
        <v>70</v>
      </c>
      <c r="H106" s="34">
        <v>82</v>
      </c>
      <c r="I106" s="34">
        <v>97</v>
      </c>
      <c r="J106" s="34">
        <v>87</v>
      </c>
      <c r="K106" s="34">
        <v>100</v>
      </c>
      <c r="L106" s="34">
        <v>91</v>
      </c>
      <c r="M106" s="34">
        <v>93</v>
      </c>
      <c r="N106" s="34">
        <v>97</v>
      </c>
      <c r="O106" s="34"/>
    </row>
    <row r="107" spans="1:15">
      <c r="A107" t="s">
        <v>174</v>
      </c>
      <c r="B107" s="34">
        <v>40</v>
      </c>
      <c r="C107" s="34">
        <v>44</v>
      </c>
      <c r="D107" s="34">
        <v>59</v>
      </c>
      <c r="E107" s="34">
        <v>67</v>
      </c>
      <c r="F107" s="34">
        <v>80</v>
      </c>
      <c r="G107" s="34">
        <v>90</v>
      </c>
      <c r="H107" s="34">
        <v>95</v>
      </c>
      <c r="I107" s="34">
        <v>95</v>
      </c>
      <c r="J107" s="34">
        <v>85</v>
      </c>
      <c r="K107" s="34">
        <v>103</v>
      </c>
      <c r="L107" s="34">
        <v>95</v>
      </c>
      <c r="M107" s="34">
        <v>107</v>
      </c>
      <c r="N107" s="34">
        <v>105</v>
      </c>
      <c r="O107" s="34"/>
    </row>
    <row r="108" spans="1:15">
      <c r="A108" t="s">
        <v>175</v>
      </c>
      <c r="B108" s="34">
        <v>49</v>
      </c>
      <c r="C108" s="34">
        <v>42</v>
      </c>
      <c r="D108" s="34">
        <v>56</v>
      </c>
      <c r="E108" s="34">
        <v>55</v>
      </c>
      <c r="F108" s="34">
        <v>70</v>
      </c>
      <c r="G108" s="34">
        <v>77</v>
      </c>
      <c r="H108" s="34">
        <v>84</v>
      </c>
      <c r="I108" s="34">
        <v>90</v>
      </c>
      <c r="J108" s="34">
        <v>75</v>
      </c>
      <c r="K108" s="34">
        <v>104</v>
      </c>
      <c r="L108" s="34">
        <v>96</v>
      </c>
      <c r="M108" s="34">
        <v>82</v>
      </c>
      <c r="N108" s="34">
        <v>86</v>
      </c>
      <c r="O108" s="34"/>
    </row>
    <row r="109" spans="1:15">
      <c r="A109" t="s">
        <v>176</v>
      </c>
      <c r="B109" s="34">
        <v>44</v>
      </c>
      <c r="C109" s="34">
        <v>37</v>
      </c>
      <c r="D109" s="34">
        <v>58.5</v>
      </c>
      <c r="E109" s="34">
        <v>60</v>
      </c>
      <c r="F109" s="34">
        <v>74</v>
      </c>
      <c r="G109" s="34">
        <v>84</v>
      </c>
      <c r="H109" s="34">
        <v>90</v>
      </c>
      <c r="I109" s="34">
        <v>92</v>
      </c>
      <c r="J109" s="34">
        <v>86</v>
      </c>
      <c r="K109" s="34">
        <v>96</v>
      </c>
      <c r="L109" s="34">
        <v>105</v>
      </c>
      <c r="M109" s="34">
        <v>107</v>
      </c>
      <c r="N109" s="34">
        <v>102</v>
      </c>
      <c r="O109" s="34"/>
    </row>
    <row r="110" spans="1:15">
      <c r="A110" t="s">
        <v>177</v>
      </c>
      <c r="B110" s="34">
        <v>35</v>
      </c>
      <c r="C110" s="34">
        <v>45</v>
      </c>
      <c r="D110" s="34">
        <v>46.5</v>
      </c>
      <c r="E110" s="34">
        <v>46</v>
      </c>
      <c r="F110" s="34">
        <v>61</v>
      </c>
      <c r="G110" s="34">
        <v>84</v>
      </c>
      <c r="H110" s="34">
        <v>97</v>
      </c>
      <c r="I110" s="34">
        <v>102</v>
      </c>
      <c r="J110" s="34">
        <v>89</v>
      </c>
      <c r="K110" s="34">
        <v>98</v>
      </c>
      <c r="L110" s="34">
        <v>105</v>
      </c>
      <c r="M110" s="34">
        <v>100</v>
      </c>
      <c r="N110" s="34">
        <v>100</v>
      </c>
      <c r="O110" s="34">
        <v>93</v>
      </c>
    </row>
    <row r="111" spans="1:15">
      <c r="A111" t="s">
        <v>178</v>
      </c>
      <c r="B111" s="34">
        <v>42</v>
      </c>
      <c r="C111" s="34">
        <v>45</v>
      </c>
      <c r="D111" s="34">
        <v>52</v>
      </c>
      <c r="E111" s="34">
        <v>51</v>
      </c>
      <c r="F111" s="34">
        <v>78</v>
      </c>
      <c r="G111" s="34">
        <v>84</v>
      </c>
      <c r="H111" s="34">
        <v>88</v>
      </c>
      <c r="I111" s="34">
        <v>89</v>
      </c>
      <c r="J111" s="34">
        <v>93</v>
      </c>
      <c r="K111" s="34">
        <v>94</v>
      </c>
      <c r="L111" s="34">
        <v>96</v>
      </c>
      <c r="M111" s="34">
        <v>82</v>
      </c>
      <c r="N111" s="34">
        <v>103</v>
      </c>
      <c r="O111" s="34"/>
    </row>
    <row r="112" spans="1:15">
      <c r="A112" t="s">
        <v>179</v>
      </c>
      <c r="B112" s="34">
        <v>37</v>
      </c>
      <c r="C112" s="34">
        <v>39.5</v>
      </c>
      <c r="D112" s="34">
        <v>48</v>
      </c>
      <c r="E112" s="34">
        <v>49</v>
      </c>
      <c r="F112" s="34">
        <v>70</v>
      </c>
      <c r="G112" s="34">
        <v>79</v>
      </c>
      <c r="H112" s="34">
        <v>87</v>
      </c>
      <c r="I112" s="34">
        <v>93</v>
      </c>
      <c r="J112" s="34">
        <v>89</v>
      </c>
      <c r="K112" s="34">
        <v>100</v>
      </c>
      <c r="L112" s="34">
        <v>102</v>
      </c>
      <c r="M112" s="34">
        <v>102</v>
      </c>
      <c r="N112" s="34">
        <v>103</v>
      </c>
      <c r="O112" s="34"/>
    </row>
    <row r="113" spans="1:15">
      <c r="A113" t="s">
        <v>180</v>
      </c>
      <c r="B113" s="34">
        <v>22</v>
      </c>
      <c r="C113" s="34">
        <v>26</v>
      </c>
      <c r="D113" s="34">
        <v>47</v>
      </c>
      <c r="E113" s="34">
        <v>38</v>
      </c>
      <c r="F113" s="34">
        <v>68.5</v>
      </c>
      <c r="G113" s="34">
        <v>71</v>
      </c>
      <c r="H113" s="34">
        <v>81</v>
      </c>
      <c r="I113" s="34">
        <v>84</v>
      </c>
      <c r="J113" s="34">
        <v>79</v>
      </c>
      <c r="K113" s="34">
        <v>88</v>
      </c>
      <c r="L113" s="34">
        <v>102</v>
      </c>
      <c r="M113" s="34">
        <v>100</v>
      </c>
      <c r="N113" s="34">
        <v>98</v>
      </c>
      <c r="O113" s="34"/>
    </row>
    <row r="114" spans="1:15">
      <c r="A114" t="s">
        <v>181</v>
      </c>
      <c r="B114" s="34">
        <v>30.5</v>
      </c>
      <c r="C114" s="34">
        <v>43</v>
      </c>
      <c r="D114" s="34">
        <v>52</v>
      </c>
      <c r="E114" s="34">
        <v>51</v>
      </c>
      <c r="F114" s="34">
        <v>62</v>
      </c>
      <c r="G114" s="34">
        <v>76</v>
      </c>
      <c r="H114" s="34">
        <v>89</v>
      </c>
      <c r="I114" s="34">
        <v>91</v>
      </c>
      <c r="J114" s="34">
        <v>97</v>
      </c>
      <c r="K114" s="34">
        <v>101</v>
      </c>
      <c r="L114" s="34">
        <v>105</v>
      </c>
      <c r="M114" s="34">
        <v>92</v>
      </c>
      <c r="N114" s="34">
        <v>102</v>
      </c>
      <c r="O114" s="34"/>
    </row>
    <row r="115" spans="1:15">
      <c r="A115" t="s">
        <v>182</v>
      </c>
      <c r="B115" s="34">
        <v>40</v>
      </c>
      <c r="C115" s="34">
        <v>42</v>
      </c>
      <c r="D115" s="34">
        <v>52</v>
      </c>
      <c r="E115" s="34">
        <v>52</v>
      </c>
      <c r="F115" s="34">
        <v>67</v>
      </c>
      <c r="G115" s="34">
        <v>78</v>
      </c>
      <c r="H115" s="34">
        <v>85</v>
      </c>
      <c r="I115" s="34">
        <v>91</v>
      </c>
      <c r="J115" s="34">
        <v>100</v>
      </c>
      <c r="K115" s="34">
        <v>97</v>
      </c>
      <c r="L115" s="34">
        <v>105</v>
      </c>
      <c r="M115" s="34">
        <v>105</v>
      </c>
      <c r="N115" s="34">
        <v>95</v>
      </c>
      <c r="O115" s="34"/>
    </row>
    <row r="116" spans="1:15">
      <c r="A116" t="s">
        <v>183</v>
      </c>
      <c r="B116" s="34">
        <v>31</v>
      </c>
      <c r="C116" s="34">
        <v>46</v>
      </c>
      <c r="D116" s="34">
        <v>60</v>
      </c>
      <c r="E116" s="34">
        <v>57</v>
      </c>
      <c r="F116" s="34">
        <v>67</v>
      </c>
      <c r="G116" s="34">
        <v>86</v>
      </c>
      <c r="H116" s="34">
        <v>89</v>
      </c>
      <c r="I116" s="34">
        <v>98</v>
      </c>
      <c r="J116" s="34">
        <v>108</v>
      </c>
      <c r="K116" s="34">
        <v>102</v>
      </c>
      <c r="L116" s="34">
        <v>110</v>
      </c>
      <c r="M116" s="34">
        <v>105</v>
      </c>
      <c r="N116" s="34">
        <v>100</v>
      </c>
      <c r="O116" s="34">
        <v>100</v>
      </c>
    </row>
    <row r="117" spans="1:15">
      <c r="A117" t="s">
        <v>184</v>
      </c>
      <c r="B117" s="34">
        <v>34.5</v>
      </c>
      <c r="C117" s="34">
        <v>38</v>
      </c>
      <c r="D117" s="34">
        <v>55</v>
      </c>
      <c r="E117" s="34">
        <v>43</v>
      </c>
      <c r="F117" s="34">
        <v>68</v>
      </c>
      <c r="G117" s="34">
        <v>80</v>
      </c>
      <c r="H117" s="34">
        <v>83</v>
      </c>
      <c r="I117" s="34">
        <v>83</v>
      </c>
      <c r="J117" s="34">
        <v>93</v>
      </c>
      <c r="K117" s="34">
        <v>100</v>
      </c>
      <c r="L117" s="34">
        <v>96</v>
      </c>
      <c r="M117" s="34">
        <v>105</v>
      </c>
      <c r="N117" s="34">
        <v>100</v>
      </c>
      <c r="O117" s="34"/>
    </row>
    <row r="118" spans="1:15">
      <c r="A118" t="s">
        <v>185</v>
      </c>
      <c r="B118" s="34">
        <v>35.5</v>
      </c>
      <c r="C118" s="34">
        <v>37</v>
      </c>
      <c r="D118" s="34">
        <v>56</v>
      </c>
      <c r="E118" s="34">
        <v>56</v>
      </c>
      <c r="F118" s="34">
        <v>87</v>
      </c>
      <c r="G118" s="34">
        <v>88</v>
      </c>
      <c r="H118" s="34">
        <v>86</v>
      </c>
      <c r="I118" s="34">
        <v>86</v>
      </c>
      <c r="J118" s="34">
        <v>91</v>
      </c>
      <c r="K118" s="34">
        <v>100</v>
      </c>
      <c r="L118" s="34">
        <v>100</v>
      </c>
      <c r="M118" s="34">
        <v>105</v>
      </c>
      <c r="N118" s="34">
        <v>100</v>
      </c>
      <c r="O118" s="34"/>
    </row>
    <row r="119" spans="1:15">
      <c r="A119" t="s">
        <v>186</v>
      </c>
      <c r="B119" s="34">
        <v>33</v>
      </c>
      <c r="C119" s="34">
        <v>29</v>
      </c>
      <c r="D119" s="34">
        <v>50</v>
      </c>
      <c r="E119" s="34">
        <v>48</v>
      </c>
      <c r="F119" s="34">
        <v>70</v>
      </c>
      <c r="G119" s="34">
        <v>85</v>
      </c>
      <c r="H119" s="34">
        <v>77</v>
      </c>
      <c r="I119" s="34">
        <v>85</v>
      </c>
      <c r="J119" s="34">
        <v>90</v>
      </c>
      <c r="K119" s="34">
        <v>100</v>
      </c>
      <c r="L119" s="34">
        <v>97</v>
      </c>
      <c r="M119" s="34">
        <v>105</v>
      </c>
      <c r="N119" s="34">
        <v>100</v>
      </c>
      <c r="O119" s="34"/>
    </row>
    <row r="120" spans="1:15">
      <c r="A120" t="s">
        <v>187</v>
      </c>
      <c r="B120" s="34">
        <v>46</v>
      </c>
      <c r="C120" s="34">
        <v>44</v>
      </c>
      <c r="D120" s="34">
        <v>58.5</v>
      </c>
      <c r="E120" s="34">
        <v>69</v>
      </c>
      <c r="F120" s="34">
        <v>79</v>
      </c>
      <c r="G120" s="34">
        <v>93</v>
      </c>
      <c r="H120" s="34">
        <v>96</v>
      </c>
      <c r="I120" s="34">
        <v>94</v>
      </c>
      <c r="J120" s="34">
        <v>93</v>
      </c>
      <c r="K120" s="34">
        <v>100</v>
      </c>
      <c r="L120" s="34">
        <v>98</v>
      </c>
      <c r="M120" s="34">
        <v>105</v>
      </c>
      <c r="N120" s="34">
        <v>100</v>
      </c>
      <c r="O120" s="34"/>
    </row>
    <row r="121" spans="1:15">
      <c r="A121" t="s">
        <v>188</v>
      </c>
      <c r="B121" s="34">
        <v>28</v>
      </c>
      <c r="C121" s="34">
        <v>35</v>
      </c>
      <c r="D121" s="34">
        <v>45</v>
      </c>
      <c r="E121" s="34">
        <v>44</v>
      </c>
      <c r="F121" s="34">
        <v>63</v>
      </c>
      <c r="G121" s="34">
        <v>75</v>
      </c>
      <c r="H121" s="34">
        <v>76</v>
      </c>
      <c r="I121" s="34">
        <v>82</v>
      </c>
      <c r="J121" s="34">
        <v>84</v>
      </c>
      <c r="K121" s="34">
        <v>100</v>
      </c>
      <c r="L121" s="34">
        <v>100</v>
      </c>
      <c r="M121" s="34">
        <v>105</v>
      </c>
      <c r="N121" s="34">
        <v>105</v>
      </c>
      <c r="O121" s="34"/>
    </row>
    <row r="122" spans="1:15">
      <c r="A122" t="s">
        <v>189</v>
      </c>
      <c r="B122" s="34">
        <v>56</v>
      </c>
      <c r="C122" s="34">
        <v>59</v>
      </c>
      <c r="D122" s="34">
        <v>57.5</v>
      </c>
      <c r="E122" s="34">
        <v>59</v>
      </c>
      <c r="F122" s="34">
        <v>74</v>
      </c>
      <c r="G122" s="34">
        <v>86</v>
      </c>
      <c r="H122" s="34">
        <v>90</v>
      </c>
      <c r="I122" s="34">
        <v>94</v>
      </c>
      <c r="J122" s="34">
        <v>108</v>
      </c>
      <c r="K122" s="34">
        <v>100</v>
      </c>
      <c r="L122" s="34">
        <v>105</v>
      </c>
      <c r="M122" s="34">
        <v>105</v>
      </c>
      <c r="N122" s="34">
        <v>100</v>
      </c>
      <c r="O122" s="34">
        <v>100</v>
      </c>
    </row>
    <row r="123" spans="1:15">
      <c r="A123" t="s">
        <v>190</v>
      </c>
      <c r="B123" s="34">
        <v>59</v>
      </c>
      <c r="C123" s="34">
        <v>62</v>
      </c>
      <c r="D123" s="34">
        <v>67</v>
      </c>
      <c r="E123" s="34">
        <v>70</v>
      </c>
      <c r="F123" s="34">
        <v>81</v>
      </c>
      <c r="G123" s="34">
        <v>94</v>
      </c>
      <c r="H123" s="34">
        <v>96</v>
      </c>
      <c r="I123" s="34">
        <v>105</v>
      </c>
      <c r="J123" s="34">
        <v>108</v>
      </c>
      <c r="K123" s="34">
        <v>100</v>
      </c>
      <c r="L123" s="34">
        <v>105</v>
      </c>
      <c r="M123" s="34">
        <v>105</v>
      </c>
      <c r="N123" s="34">
        <v>100</v>
      </c>
      <c r="O123" s="34"/>
    </row>
    <row r="124" spans="1:15">
      <c r="A124" t="s">
        <v>191</v>
      </c>
      <c r="B124" s="34">
        <v>60.5</v>
      </c>
      <c r="C124" s="34">
        <v>59</v>
      </c>
      <c r="D124" s="34">
        <v>69</v>
      </c>
      <c r="E124" s="34">
        <v>68</v>
      </c>
      <c r="F124" s="34">
        <v>89</v>
      </c>
      <c r="G124" s="34">
        <v>99</v>
      </c>
      <c r="H124" s="34">
        <v>103</v>
      </c>
      <c r="I124" s="34">
        <v>99</v>
      </c>
      <c r="J124" s="34">
        <v>104</v>
      </c>
      <c r="K124" s="34">
        <v>100</v>
      </c>
      <c r="L124" s="34">
        <v>105</v>
      </c>
      <c r="M124" s="34">
        <v>105</v>
      </c>
      <c r="N124" s="34">
        <v>100</v>
      </c>
      <c r="O124" s="34"/>
    </row>
    <row r="125" spans="1:15">
      <c r="A125" t="s">
        <v>192</v>
      </c>
      <c r="B125" s="34">
        <v>52.5</v>
      </c>
      <c r="C125" s="34">
        <v>54</v>
      </c>
      <c r="D125" s="34">
        <v>67</v>
      </c>
      <c r="E125" s="34">
        <v>57</v>
      </c>
      <c r="F125" s="34">
        <v>74.5</v>
      </c>
      <c r="G125" s="34">
        <v>97</v>
      </c>
      <c r="H125" s="34">
        <v>99</v>
      </c>
      <c r="I125" s="34">
        <v>102</v>
      </c>
      <c r="J125" s="34">
        <v>97</v>
      </c>
      <c r="K125" s="34">
        <v>100</v>
      </c>
      <c r="L125" s="34">
        <v>105</v>
      </c>
      <c r="M125" s="34">
        <v>105</v>
      </c>
      <c r="N125" s="34">
        <v>100</v>
      </c>
      <c r="O125" s="34"/>
    </row>
    <row r="126" spans="1:15">
      <c r="A126" t="s">
        <v>193</v>
      </c>
      <c r="B126" s="34">
        <v>54</v>
      </c>
      <c r="C126" s="34">
        <v>50</v>
      </c>
      <c r="D126" s="34">
        <v>66.5</v>
      </c>
      <c r="E126" s="34">
        <v>56</v>
      </c>
      <c r="F126" s="34">
        <v>77</v>
      </c>
      <c r="G126" s="34">
        <v>80</v>
      </c>
      <c r="H126" s="34">
        <v>92</v>
      </c>
      <c r="I126" s="34">
        <v>96</v>
      </c>
      <c r="J126" s="34">
        <v>97</v>
      </c>
      <c r="K126" s="34">
        <v>100</v>
      </c>
      <c r="L126" s="34">
        <v>105</v>
      </c>
      <c r="M126" s="34">
        <v>105</v>
      </c>
      <c r="N126" s="34">
        <v>100</v>
      </c>
      <c r="O126" s="34"/>
    </row>
    <row r="127" spans="1:15">
      <c r="A127" t="s">
        <v>194</v>
      </c>
      <c r="B127" s="34">
        <v>47.5</v>
      </c>
      <c r="C127" s="34">
        <v>51</v>
      </c>
      <c r="D127" s="34">
        <v>58</v>
      </c>
      <c r="E127" s="34">
        <v>57</v>
      </c>
      <c r="F127" s="34">
        <v>80.5</v>
      </c>
      <c r="G127" s="34">
        <v>96</v>
      </c>
      <c r="H127" s="34">
        <v>101</v>
      </c>
      <c r="I127" s="34">
        <v>103</v>
      </c>
      <c r="J127" s="34">
        <v>93</v>
      </c>
      <c r="K127" s="34">
        <v>100</v>
      </c>
      <c r="L127" s="34">
        <v>100</v>
      </c>
      <c r="M127" s="34">
        <v>105</v>
      </c>
      <c r="N127" s="34">
        <v>100</v>
      </c>
      <c r="O127" s="34"/>
    </row>
    <row r="128" spans="1:15">
      <c r="A128" t="s">
        <v>195</v>
      </c>
      <c r="B128" s="34">
        <v>40</v>
      </c>
      <c r="C128" s="34">
        <v>53</v>
      </c>
      <c r="D128" s="34">
        <v>49</v>
      </c>
      <c r="E128" s="34">
        <v>57</v>
      </c>
      <c r="F128" s="34">
        <v>78</v>
      </c>
      <c r="G128" s="34">
        <v>89</v>
      </c>
      <c r="H128" s="34">
        <v>94</v>
      </c>
      <c r="I128" s="34">
        <v>99</v>
      </c>
      <c r="J128" s="34">
        <v>103</v>
      </c>
      <c r="K128" s="34">
        <v>105</v>
      </c>
      <c r="L128" s="34">
        <v>107</v>
      </c>
      <c r="M128" s="34">
        <v>105</v>
      </c>
      <c r="N128" s="34">
        <v>100</v>
      </c>
      <c r="O128" s="34">
        <v>99</v>
      </c>
    </row>
    <row r="129" spans="1:15">
      <c r="A129" t="s">
        <v>196</v>
      </c>
      <c r="B129" s="34">
        <v>33</v>
      </c>
      <c r="C129" s="34">
        <v>43</v>
      </c>
      <c r="D129" s="34">
        <v>40</v>
      </c>
      <c r="E129" s="34">
        <v>49</v>
      </c>
      <c r="F129" s="34">
        <v>58</v>
      </c>
      <c r="G129" s="34">
        <v>64</v>
      </c>
      <c r="H129" s="34">
        <v>70</v>
      </c>
      <c r="I129" s="34">
        <v>72</v>
      </c>
      <c r="J129" s="34">
        <v>76</v>
      </c>
      <c r="K129" s="34">
        <v>83</v>
      </c>
      <c r="L129" s="34">
        <v>105</v>
      </c>
      <c r="M129" s="34">
        <v>105</v>
      </c>
      <c r="N129" s="34">
        <v>84</v>
      </c>
      <c r="O129" s="34"/>
    </row>
    <row r="130" spans="1:15">
      <c r="A130" t="s">
        <v>197</v>
      </c>
      <c r="B130" s="34">
        <v>32.5</v>
      </c>
      <c r="C130" s="34">
        <v>44</v>
      </c>
      <c r="D130" s="34">
        <v>55</v>
      </c>
      <c r="E130" s="34">
        <v>58</v>
      </c>
      <c r="F130" s="34">
        <v>74</v>
      </c>
      <c r="G130" s="34">
        <v>82</v>
      </c>
      <c r="H130" s="34">
        <v>88</v>
      </c>
      <c r="I130" s="34">
        <v>86</v>
      </c>
      <c r="J130" s="34">
        <v>87</v>
      </c>
      <c r="K130" s="34">
        <v>92</v>
      </c>
      <c r="L130" s="34">
        <v>79</v>
      </c>
      <c r="M130" s="34">
        <v>105</v>
      </c>
      <c r="N130" s="34">
        <v>90</v>
      </c>
      <c r="O130" s="34"/>
    </row>
    <row r="131" spans="1:15">
      <c r="A131" t="s">
        <v>198</v>
      </c>
      <c r="B131" s="34">
        <v>40</v>
      </c>
      <c r="C131" s="34">
        <v>43</v>
      </c>
      <c r="D131" s="34">
        <v>65</v>
      </c>
      <c r="E131" s="34">
        <v>63</v>
      </c>
      <c r="F131" s="34">
        <v>71</v>
      </c>
      <c r="G131" s="34">
        <v>80</v>
      </c>
      <c r="H131" s="34">
        <v>86</v>
      </c>
      <c r="I131" s="34">
        <v>92</v>
      </c>
      <c r="J131" s="34">
        <v>94</v>
      </c>
      <c r="K131" s="34">
        <v>105</v>
      </c>
      <c r="L131" s="34">
        <v>91</v>
      </c>
      <c r="M131" s="34">
        <v>105</v>
      </c>
      <c r="N131" s="34">
        <v>92</v>
      </c>
      <c r="O131" s="34"/>
    </row>
    <row r="132" spans="1:15">
      <c r="A132" t="s">
        <v>199</v>
      </c>
      <c r="B132" s="34">
        <v>38</v>
      </c>
      <c r="C132" s="34">
        <v>44</v>
      </c>
      <c r="D132" s="34">
        <v>55</v>
      </c>
      <c r="E132" s="34">
        <v>56</v>
      </c>
      <c r="F132" s="34">
        <v>73</v>
      </c>
      <c r="G132" s="34">
        <v>81</v>
      </c>
      <c r="H132" s="34">
        <v>91</v>
      </c>
      <c r="I132" s="34">
        <v>81</v>
      </c>
      <c r="J132" s="34">
        <v>85</v>
      </c>
      <c r="K132" s="34">
        <v>85</v>
      </c>
      <c r="L132" s="34">
        <v>80</v>
      </c>
      <c r="M132" s="34">
        <v>105</v>
      </c>
      <c r="N132" s="34">
        <v>87</v>
      </c>
      <c r="O132" s="34"/>
    </row>
    <row r="133" spans="1:15">
      <c r="A133" t="s">
        <v>200</v>
      </c>
      <c r="B133" s="34">
        <v>31.5</v>
      </c>
      <c r="C133" s="34">
        <v>40</v>
      </c>
      <c r="D133" s="34">
        <v>50</v>
      </c>
      <c r="E133" s="34">
        <v>44</v>
      </c>
      <c r="F133" s="34">
        <v>58.5</v>
      </c>
      <c r="G133" s="34">
        <v>71</v>
      </c>
      <c r="H133" s="34">
        <v>75</v>
      </c>
      <c r="I133" s="34">
        <v>80</v>
      </c>
      <c r="J133" s="34">
        <v>89</v>
      </c>
      <c r="K133" s="34">
        <v>91</v>
      </c>
      <c r="L133" s="34">
        <v>85</v>
      </c>
      <c r="M133" s="34">
        <v>105</v>
      </c>
      <c r="N133" s="34">
        <v>97</v>
      </c>
      <c r="O133" s="34"/>
    </row>
    <row r="134" spans="1:15">
      <c r="A134" t="s">
        <v>201</v>
      </c>
      <c r="B134" s="34">
        <v>40</v>
      </c>
      <c r="C134" s="34">
        <v>37</v>
      </c>
      <c r="D134" s="34">
        <v>52</v>
      </c>
      <c r="E134" s="34">
        <v>46</v>
      </c>
      <c r="F134" s="34">
        <v>69</v>
      </c>
      <c r="G134" s="34">
        <v>78</v>
      </c>
      <c r="H134" s="34">
        <v>83</v>
      </c>
      <c r="I134" s="34">
        <v>84</v>
      </c>
      <c r="J134" s="34">
        <v>93</v>
      </c>
      <c r="K134" s="34">
        <v>102</v>
      </c>
      <c r="L134" s="34">
        <v>94</v>
      </c>
      <c r="M134" s="34">
        <v>106</v>
      </c>
      <c r="N134" s="34">
        <v>100</v>
      </c>
      <c r="O134" s="34">
        <v>98</v>
      </c>
    </row>
    <row r="135" spans="1:15">
      <c r="A135" t="s">
        <v>202</v>
      </c>
      <c r="B135" s="34">
        <v>28</v>
      </c>
      <c r="C135" s="34">
        <v>29</v>
      </c>
      <c r="D135" s="34">
        <v>48</v>
      </c>
      <c r="E135" s="34">
        <v>45</v>
      </c>
      <c r="F135" s="34">
        <v>58</v>
      </c>
      <c r="G135" s="34">
        <v>69</v>
      </c>
      <c r="H135" s="34">
        <v>72</v>
      </c>
      <c r="I135" s="34">
        <v>77</v>
      </c>
      <c r="J135" s="34">
        <v>80</v>
      </c>
      <c r="K135" s="34">
        <v>84</v>
      </c>
      <c r="L135" s="34">
        <v>105</v>
      </c>
      <c r="M135" s="34">
        <v>91</v>
      </c>
      <c r="N135" s="34">
        <v>96</v>
      </c>
      <c r="O135" s="34"/>
    </row>
    <row r="136" spans="1:15">
      <c r="A136" t="s">
        <v>203</v>
      </c>
      <c r="B136" s="34">
        <v>36</v>
      </c>
      <c r="C136" s="34">
        <v>36</v>
      </c>
      <c r="D136" s="34">
        <v>41</v>
      </c>
      <c r="E136" s="34">
        <v>48</v>
      </c>
      <c r="F136" s="34">
        <v>54</v>
      </c>
      <c r="G136" s="34">
        <v>61</v>
      </c>
      <c r="H136" s="34">
        <v>85</v>
      </c>
      <c r="I136" s="34">
        <v>85</v>
      </c>
      <c r="J136" s="34">
        <v>90</v>
      </c>
      <c r="K136" s="34">
        <v>97</v>
      </c>
      <c r="L136" s="34">
        <v>106</v>
      </c>
      <c r="M136" s="34">
        <v>98</v>
      </c>
      <c r="N136" s="34">
        <v>107</v>
      </c>
      <c r="O136" s="34"/>
    </row>
    <row r="137" spans="1:15">
      <c r="A137" t="s">
        <v>204</v>
      </c>
      <c r="B137" s="34">
        <v>26</v>
      </c>
      <c r="C137" s="34">
        <v>27</v>
      </c>
      <c r="D137" s="34">
        <v>43</v>
      </c>
      <c r="E137" s="34">
        <v>47</v>
      </c>
      <c r="F137" s="34">
        <v>61</v>
      </c>
      <c r="G137" s="34">
        <v>67</v>
      </c>
      <c r="H137" s="34">
        <v>80</v>
      </c>
      <c r="I137" s="34">
        <v>87</v>
      </c>
      <c r="J137" s="34">
        <v>82</v>
      </c>
      <c r="K137" s="34">
        <v>93</v>
      </c>
      <c r="L137" s="34">
        <v>91</v>
      </c>
      <c r="M137" s="34">
        <v>93</v>
      </c>
      <c r="N137" s="34">
        <v>92</v>
      </c>
      <c r="O137" s="34"/>
    </row>
    <row r="138" spans="1:15">
      <c r="A138" t="s">
        <v>205</v>
      </c>
      <c r="B138" s="34">
        <v>32.5</v>
      </c>
      <c r="C138" s="34">
        <v>35</v>
      </c>
      <c r="D138" s="34">
        <v>43.5</v>
      </c>
      <c r="E138" s="34">
        <v>42</v>
      </c>
      <c r="F138" s="34">
        <v>60</v>
      </c>
      <c r="G138" s="34">
        <v>68</v>
      </c>
      <c r="H138" s="34">
        <v>80</v>
      </c>
      <c r="I138" s="34">
        <v>90</v>
      </c>
      <c r="J138" s="34">
        <v>92</v>
      </c>
      <c r="K138" s="34">
        <v>95</v>
      </c>
      <c r="L138" s="34">
        <v>93</v>
      </c>
      <c r="M138" s="34">
        <v>88</v>
      </c>
      <c r="N138" s="34">
        <v>87</v>
      </c>
      <c r="O138" s="34"/>
    </row>
    <row r="139" spans="1:15">
      <c r="A139" t="s">
        <v>206</v>
      </c>
      <c r="B139" s="34">
        <v>39</v>
      </c>
      <c r="C139" s="34">
        <v>39</v>
      </c>
      <c r="D139" s="34">
        <v>47</v>
      </c>
      <c r="E139" s="34">
        <v>44</v>
      </c>
      <c r="F139" s="34">
        <v>62</v>
      </c>
      <c r="G139" s="34">
        <v>65</v>
      </c>
      <c r="H139" s="34">
        <v>67</v>
      </c>
      <c r="I139" s="34">
        <v>84</v>
      </c>
      <c r="J139" s="34">
        <v>88</v>
      </c>
      <c r="K139" s="34">
        <v>90</v>
      </c>
      <c r="L139" s="34">
        <v>92</v>
      </c>
      <c r="M139" s="34">
        <v>93</v>
      </c>
      <c r="N139" s="34">
        <v>90</v>
      </c>
      <c r="O139" s="34"/>
    </row>
    <row r="140" spans="1:15">
      <c r="A140" t="s">
        <v>207</v>
      </c>
      <c r="B140" s="34">
        <v>51</v>
      </c>
      <c r="C140" s="34">
        <v>55</v>
      </c>
      <c r="D140" s="34">
        <v>60</v>
      </c>
      <c r="E140" s="34">
        <v>58</v>
      </c>
      <c r="F140" s="34">
        <v>73</v>
      </c>
      <c r="G140" s="34">
        <v>86</v>
      </c>
      <c r="H140" s="34">
        <v>85</v>
      </c>
      <c r="I140" s="34">
        <v>91</v>
      </c>
      <c r="J140" s="34">
        <v>93</v>
      </c>
      <c r="K140" s="34">
        <v>97</v>
      </c>
      <c r="L140" s="34">
        <v>105</v>
      </c>
      <c r="M140" s="34">
        <v>103</v>
      </c>
      <c r="N140" s="34">
        <v>106</v>
      </c>
      <c r="O140" s="34">
        <v>100</v>
      </c>
    </row>
    <row r="141" spans="1:15">
      <c r="A141" t="s">
        <v>208</v>
      </c>
      <c r="B141" s="34">
        <v>48.5</v>
      </c>
      <c r="C141" s="34">
        <v>60</v>
      </c>
      <c r="D141" s="34">
        <v>61.5</v>
      </c>
      <c r="E141" s="34">
        <v>61</v>
      </c>
      <c r="F141" s="34">
        <v>74</v>
      </c>
      <c r="G141" s="34">
        <v>81</v>
      </c>
      <c r="H141" s="34">
        <v>86</v>
      </c>
      <c r="I141" s="34">
        <v>90</v>
      </c>
      <c r="J141" s="34">
        <v>98</v>
      </c>
      <c r="K141" s="34">
        <v>93</v>
      </c>
      <c r="L141" s="34">
        <v>87</v>
      </c>
      <c r="M141" s="34">
        <v>93</v>
      </c>
      <c r="N141" s="34">
        <v>93</v>
      </c>
      <c r="O141" s="34"/>
    </row>
    <row r="142" spans="1:15">
      <c r="A142" t="s">
        <v>209</v>
      </c>
      <c r="B142" s="34">
        <v>49</v>
      </c>
      <c r="C142" s="34">
        <v>52.5</v>
      </c>
      <c r="D142" s="34">
        <v>62.5</v>
      </c>
      <c r="E142" s="34">
        <v>63</v>
      </c>
      <c r="F142" s="34">
        <v>76</v>
      </c>
      <c r="G142" s="34">
        <v>78</v>
      </c>
      <c r="H142" s="34">
        <v>86</v>
      </c>
      <c r="I142" s="34">
        <v>86</v>
      </c>
      <c r="J142" s="34">
        <v>96</v>
      </c>
      <c r="K142" s="34">
        <v>88</v>
      </c>
      <c r="L142" s="34">
        <v>100</v>
      </c>
      <c r="M142" s="34">
        <v>100</v>
      </c>
      <c r="N142" s="34">
        <v>102</v>
      </c>
      <c r="O142" s="34"/>
    </row>
    <row r="143" spans="1:15">
      <c r="A143" t="s">
        <v>210</v>
      </c>
      <c r="B143" s="34">
        <v>47</v>
      </c>
      <c r="C143" s="34">
        <v>56</v>
      </c>
      <c r="D143" s="34">
        <v>59</v>
      </c>
      <c r="E143" s="34">
        <v>56</v>
      </c>
      <c r="F143" s="34">
        <v>69</v>
      </c>
      <c r="G143" s="34">
        <v>74</v>
      </c>
      <c r="H143" s="34">
        <v>80</v>
      </c>
      <c r="I143" s="34">
        <v>89</v>
      </c>
      <c r="J143" s="34">
        <v>96</v>
      </c>
      <c r="K143" s="34">
        <v>89</v>
      </c>
      <c r="L143" s="34">
        <v>92</v>
      </c>
      <c r="M143" s="34">
        <v>100</v>
      </c>
      <c r="N143" s="34">
        <v>98</v>
      </c>
      <c r="O143" s="34"/>
    </row>
    <row r="144" spans="1:15">
      <c r="A144" t="s">
        <v>211</v>
      </c>
      <c r="B144" s="34">
        <v>46</v>
      </c>
      <c r="C144" s="34">
        <v>46.5</v>
      </c>
      <c r="D144" s="34">
        <v>61</v>
      </c>
      <c r="E144" s="34">
        <v>58</v>
      </c>
      <c r="F144" s="34">
        <v>75</v>
      </c>
      <c r="G144" s="34">
        <v>92</v>
      </c>
      <c r="H144" s="34">
        <v>86</v>
      </c>
      <c r="I144" s="34">
        <v>82</v>
      </c>
      <c r="J144" s="34">
        <v>84</v>
      </c>
      <c r="K144" s="34">
        <v>87</v>
      </c>
      <c r="L144" s="34">
        <v>98</v>
      </c>
      <c r="M144" s="34">
        <v>95</v>
      </c>
      <c r="N144" s="34">
        <v>103</v>
      </c>
      <c r="O144" s="34"/>
    </row>
    <row r="145" spans="1:15">
      <c r="A145" t="s">
        <v>212</v>
      </c>
      <c r="B145" s="34">
        <v>52.5</v>
      </c>
      <c r="C145" s="34">
        <v>54</v>
      </c>
      <c r="D145" s="34">
        <v>60</v>
      </c>
      <c r="E145" s="34">
        <v>59</v>
      </c>
      <c r="F145" s="34">
        <v>79.5</v>
      </c>
      <c r="G145" s="34">
        <v>83</v>
      </c>
      <c r="H145" s="34">
        <v>87</v>
      </c>
      <c r="I145" s="34">
        <v>93</v>
      </c>
      <c r="J145" s="34">
        <v>91</v>
      </c>
      <c r="K145" s="34">
        <v>94</v>
      </c>
      <c r="L145" s="34">
        <v>93</v>
      </c>
      <c r="M145" s="34">
        <v>96</v>
      </c>
      <c r="N145" s="34">
        <v>93</v>
      </c>
      <c r="O145" s="34"/>
    </row>
    <row r="146" spans="1:15">
      <c r="A146" t="s">
        <v>213</v>
      </c>
      <c r="B146" s="34">
        <v>30</v>
      </c>
      <c r="C146" s="34">
        <v>31</v>
      </c>
      <c r="D146" s="34">
        <v>55</v>
      </c>
      <c r="E146" s="34">
        <v>41</v>
      </c>
      <c r="F146" s="34">
        <v>68</v>
      </c>
      <c r="G146" s="34">
        <v>80</v>
      </c>
      <c r="H146" s="34">
        <v>72</v>
      </c>
      <c r="I146" s="34">
        <v>88</v>
      </c>
      <c r="J146" s="34">
        <v>90</v>
      </c>
      <c r="K146" s="34">
        <v>92</v>
      </c>
      <c r="L146" s="34">
        <v>93</v>
      </c>
      <c r="M146" s="34">
        <v>97</v>
      </c>
      <c r="N146" s="34">
        <v>100</v>
      </c>
      <c r="O146" s="34">
        <v>96</v>
      </c>
    </row>
    <row r="147" spans="1:15">
      <c r="A147" t="s">
        <v>214</v>
      </c>
      <c r="B147" s="34">
        <v>26</v>
      </c>
      <c r="C147" s="34">
        <v>30</v>
      </c>
      <c r="D147" s="34">
        <v>35</v>
      </c>
      <c r="E147" s="34">
        <v>27</v>
      </c>
      <c r="F147" s="34">
        <v>47</v>
      </c>
      <c r="G147" s="34">
        <v>53</v>
      </c>
      <c r="H147" s="34">
        <v>68</v>
      </c>
      <c r="I147" s="34">
        <v>76</v>
      </c>
      <c r="J147" s="34">
        <v>74</v>
      </c>
      <c r="K147" s="34">
        <v>84</v>
      </c>
      <c r="L147" s="34">
        <v>103</v>
      </c>
      <c r="M147" s="34">
        <v>99</v>
      </c>
      <c r="N147" s="34">
        <v>100</v>
      </c>
      <c r="O147" s="34"/>
    </row>
    <row r="148" spans="1:15">
      <c r="A148" t="s">
        <v>215</v>
      </c>
      <c r="B148" s="34">
        <v>30</v>
      </c>
      <c r="C148" s="34">
        <v>33</v>
      </c>
      <c r="D148" s="34">
        <v>49</v>
      </c>
      <c r="E148" s="34">
        <v>35</v>
      </c>
      <c r="F148" s="34">
        <v>48</v>
      </c>
      <c r="G148" s="34">
        <v>63</v>
      </c>
      <c r="H148" s="34">
        <v>70</v>
      </c>
      <c r="I148" s="34">
        <v>76</v>
      </c>
      <c r="J148" s="34">
        <v>81</v>
      </c>
      <c r="K148" s="34">
        <v>90</v>
      </c>
      <c r="L148" s="34">
        <v>92</v>
      </c>
      <c r="M148" s="34">
        <v>97</v>
      </c>
      <c r="N148" s="34">
        <v>107</v>
      </c>
      <c r="O148" s="34"/>
    </row>
    <row r="149" spans="1:15">
      <c r="A149" t="s">
        <v>216</v>
      </c>
      <c r="B149" s="34">
        <v>33</v>
      </c>
      <c r="C149" s="34">
        <v>34</v>
      </c>
      <c r="D149" s="34">
        <v>52</v>
      </c>
      <c r="E149" s="34">
        <v>45</v>
      </c>
      <c r="F149" s="34">
        <v>64</v>
      </c>
      <c r="G149" s="34">
        <v>71</v>
      </c>
      <c r="H149" s="34">
        <v>81</v>
      </c>
      <c r="I149" s="34">
        <v>93</v>
      </c>
      <c r="J149" s="34">
        <v>87</v>
      </c>
      <c r="K149" s="34">
        <v>83</v>
      </c>
      <c r="L149" s="34">
        <v>95</v>
      </c>
      <c r="M149" s="34">
        <v>98</v>
      </c>
      <c r="N149" s="34">
        <v>102</v>
      </c>
      <c r="O149" s="34"/>
    </row>
    <row r="150" spans="1:15">
      <c r="A150" t="s">
        <v>217</v>
      </c>
      <c r="B150" s="34">
        <v>36.5</v>
      </c>
      <c r="C150" s="34">
        <v>35</v>
      </c>
      <c r="D150" s="34">
        <v>51</v>
      </c>
      <c r="E150" s="34">
        <v>40</v>
      </c>
      <c r="F150" s="34">
        <v>62</v>
      </c>
      <c r="G150" s="34">
        <v>61</v>
      </c>
      <c r="H150" s="34">
        <v>70</v>
      </c>
      <c r="I150" s="34">
        <v>82</v>
      </c>
      <c r="J150" s="34">
        <v>85</v>
      </c>
      <c r="K150" s="34">
        <v>83</v>
      </c>
      <c r="L150" s="34">
        <v>84</v>
      </c>
      <c r="M150" s="34">
        <v>91</v>
      </c>
      <c r="N150" s="34">
        <v>91</v>
      </c>
      <c r="O150" s="34"/>
    </row>
    <row r="151" spans="1:15">
      <c r="A151" t="s">
        <v>218</v>
      </c>
      <c r="B151" s="34">
        <v>28</v>
      </c>
      <c r="C151" s="34">
        <v>30</v>
      </c>
      <c r="D151" s="34">
        <v>46.5</v>
      </c>
      <c r="E151" s="34">
        <v>32</v>
      </c>
      <c r="F151" s="34">
        <v>51</v>
      </c>
      <c r="G151" s="34">
        <v>58</v>
      </c>
      <c r="H151" s="34">
        <v>68</v>
      </c>
      <c r="I151" s="34">
        <v>80</v>
      </c>
      <c r="J151" s="34">
        <v>81</v>
      </c>
      <c r="K151" s="34">
        <v>83</v>
      </c>
      <c r="L151" s="34">
        <v>86</v>
      </c>
      <c r="M151" s="34">
        <v>100</v>
      </c>
      <c r="N151" s="34">
        <v>97</v>
      </c>
      <c r="O151" s="34"/>
    </row>
    <row r="152" spans="1:15">
      <c r="A152" t="s">
        <v>219</v>
      </c>
      <c r="B152" s="34">
        <v>41</v>
      </c>
      <c r="C152" s="34">
        <v>41</v>
      </c>
      <c r="D152" s="34">
        <v>48.5</v>
      </c>
      <c r="E152" s="34">
        <v>41</v>
      </c>
      <c r="F152" s="34">
        <v>65</v>
      </c>
      <c r="G152" s="34">
        <v>82</v>
      </c>
      <c r="H152" s="34">
        <v>88</v>
      </c>
      <c r="I152" s="34">
        <v>93</v>
      </c>
      <c r="J152" s="34">
        <v>85</v>
      </c>
      <c r="K152" s="34">
        <v>88</v>
      </c>
      <c r="L152" s="34">
        <v>101</v>
      </c>
      <c r="M152" s="34">
        <v>100</v>
      </c>
      <c r="N152" s="34">
        <v>105</v>
      </c>
      <c r="O152" s="34">
        <v>100</v>
      </c>
    </row>
    <row r="153" spans="1:15">
      <c r="A153" t="s">
        <v>220</v>
      </c>
      <c r="B153" s="34">
        <v>32</v>
      </c>
      <c r="C153" s="34">
        <v>43</v>
      </c>
      <c r="D153" s="34">
        <v>60</v>
      </c>
      <c r="E153" s="34">
        <v>45</v>
      </c>
      <c r="F153" s="34">
        <v>66</v>
      </c>
      <c r="G153" s="34">
        <v>76</v>
      </c>
      <c r="H153" s="34">
        <v>84</v>
      </c>
      <c r="I153" s="34">
        <v>86</v>
      </c>
      <c r="J153" s="34">
        <v>90</v>
      </c>
      <c r="K153" s="34">
        <v>92</v>
      </c>
      <c r="L153" s="34">
        <v>91</v>
      </c>
      <c r="M153" s="34">
        <v>105</v>
      </c>
      <c r="N153" s="34">
        <v>100</v>
      </c>
      <c r="O153" s="34"/>
    </row>
    <row r="154" spans="1:15">
      <c r="A154" t="s">
        <v>221</v>
      </c>
      <c r="B154" s="34">
        <v>33</v>
      </c>
      <c r="C154" s="34">
        <v>35</v>
      </c>
      <c r="D154" s="34">
        <v>46</v>
      </c>
      <c r="E154" s="34">
        <v>40</v>
      </c>
      <c r="F154" s="34">
        <v>58</v>
      </c>
      <c r="G154" s="34">
        <v>72</v>
      </c>
      <c r="H154" s="34">
        <v>77</v>
      </c>
      <c r="I154" s="34">
        <v>81</v>
      </c>
      <c r="J154" s="34">
        <v>93</v>
      </c>
      <c r="K154" s="34">
        <v>96</v>
      </c>
      <c r="L154" s="34">
        <v>95</v>
      </c>
      <c r="M154" s="34">
        <v>100</v>
      </c>
      <c r="N154" s="34">
        <v>105</v>
      </c>
      <c r="O154" s="34"/>
    </row>
    <row r="155" spans="1:15">
      <c r="A155" t="s">
        <v>222</v>
      </c>
      <c r="B155" s="34">
        <v>38</v>
      </c>
      <c r="C155" s="34">
        <v>41.5</v>
      </c>
      <c r="D155" s="34">
        <v>56.5</v>
      </c>
      <c r="E155" s="34">
        <v>52</v>
      </c>
      <c r="F155" s="34">
        <v>65</v>
      </c>
      <c r="G155" s="34">
        <v>81</v>
      </c>
      <c r="H155" s="34">
        <v>81</v>
      </c>
      <c r="I155" s="34">
        <v>89</v>
      </c>
      <c r="J155" s="34">
        <v>90</v>
      </c>
      <c r="K155" s="34">
        <v>106</v>
      </c>
      <c r="L155" s="34">
        <v>105</v>
      </c>
      <c r="M155" s="34">
        <v>105</v>
      </c>
      <c r="N155" s="34">
        <v>100</v>
      </c>
      <c r="O155" s="34"/>
    </row>
    <row r="156" spans="1:15">
      <c r="A156" t="s">
        <v>223</v>
      </c>
      <c r="B156" s="34">
        <v>40</v>
      </c>
      <c r="C156" s="34">
        <v>41</v>
      </c>
      <c r="D156" s="34">
        <v>52</v>
      </c>
      <c r="E156" s="34">
        <v>41</v>
      </c>
      <c r="F156" s="34">
        <v>58</v>
      </c>
      <c r="G156" s="34">
        <v>78</v>
      </c>
      <c r="H156" s="34">
        <v>81</v>
      </c>
      <c r="I156" s="34">
        <v>90</v>
      </c>
      <c r="J156" s="34">
        <v>88</v>
      </c>
      <c r="K156" s="34">
        <v>93</v>
      </c>
      <c r="L156" s="34">
        <v>102</v>
      </c>
      <c r="M156" s="34">
        <v>100</v>
      </c>
      <c r="N156" s="34">
        <v>105</v>
      </c>
      <c r="O156" s="34"/>
    </row>
    <row r="157" spans="1:15">
      <c r="A157" t="s">
        <v>224</v>
      </c>
      <c r="B157" s="34">
        <v>42</v>
      </c>
      <c r="C157" s="34">
        <v>44.5</v>
      </c>
      <c r="D157" s="34">
        <v>52</v>
      </c>
      <c r="E157" s="34">
        <v>50</v>
      </c>
      <c r="F157" s="34">
        <v>63</v>
      </c>
      <c r="G157" s="34">
        <v>85</v>
      </c>
      <c r="H157" s="34">
        <v>86</v>
      </c>
      <c r="I157" s="34">
        <v>94</v>
      </c>
      <c r="J157" s="34">
        <v>83</v>
      </c>
      <c r="K157" s="34">
        <v>93</v>
      </c>
      <c r="L157" s="34">
        <v>88</v>
      </c>
      <c r="M157" s="34">
        <v>105</v>
      </c>
      <c r="N157" s="34">
        <v>100</v>
      </c>
      <c r="O157" s="34"/>
    </row>
    <row r="158" spans="1:15">
      <c r="A158" t="s">
        <v>225</v>
      </c>
      <c r="B158" s="34">
        <v>50</v>
      </c>
      <c r="C158" s="34">
        <v>50</v>
      </c>
      <c r="D158" s="34">
        <v>62.5</v>
      </c>
      <c r="E158" s="34">
        <v>61</v>
      </c>
      <c r="F158" s="34">
        <v>75</v>
      </c>
      <c r="G158" s="34">
        <v>79</v>
      </c>
      <c r="H158" s="34">
        <v>84</v>
      </c>
      <c r="I158" s="34">
        <v>93</v>
      </c>
      <c r="J158" s="34">
        <v>95</v>
      </c>
      <c r="K158" s="34">
        <v>103</v>
      </c>
      <c r="L158" s="34">
        <v>101</v>
      </c>
      <c r="M158" s="34">
        <v>110</v>
      </c>
      <c r="N158" s="34">
        <v>106</v>
      </c>
      <c r="O158" s="34">
        <v>92</v>
      </c>
    </row>
    <row r="159" spans="1:15">
      <c r="A159" t="s">
        <v>226</v>
      </c>
      <c r="B159" s="34">
        <v>48.5</v>
      </c>
      <c r="C159" s="34">
        <v>54</v>
      </c>
      <c r="D159" s="34">
        <v>66</v>
      </c>
      <c r="E159" s="34">
        <v>68</v>
      </c>
      <c r="F159" s="34">
        <v>76</v>
      </c>
      <c r="G159" s="34">
        <v>81</v>
      </c>
      <c r="H159" s="34">
        <v>83</v>
      </c>
      <c r="I159" s="34">
        <v>96</v>
      </c>
      <c r="J159" s="34">
        <v>97</v>
      </c>
      <c r="K159" s="34">
        <v>101</v>
      </c>
      <c r="L159" s="34">
        <v>101</v>
      </c>
      <c r="M159" s="34">
        <v>95</v>
      </c>
      <c r="N159" s="34">
        <v>91</v>
      </c>
      <c r="O159" s="34"/>
    </row>
    <row r="160" spans="1:15">
      <c r="A160" t="s">
        <v>227</v>
      </c>
      <c r="B160" s="34">
        <v>53</v>
      </c>
      <c r="C160" s="34">
        <v>53</v>
      </c>
      <c r="D160" s="34">
        <v>72</v>
      </c>
      <c r="E160" s="34">
        <v>69</v>
      </c>
      <c r="F160" s="34">
        <v>78</v>
      </c>
      <c r="G160" s="34">
        <v>84</v>
      </c>
      <c r="H160" s="34">
        <v>90</v>
      </c>
      <c r="I160" s="34">
        <v>91</v>
      </c>
      <c r="J160" s="34">
        <v>95</v>
      </c>
      <c r="K160" s="34">
        <v>94</v>
      </c>
      <c r="L160" s="34">
        <v>100</v>
      </c>
      <c r="M160" s="34">
        <v>96</v>
      </c>
      <c r="N160" s="34">
        <v>100</v>
      </c>
      <c r="O160" s="34"/>
    </row>
    <row r="161" spans="1:15">
      <c r="A161" t="s">
        <v>228</v>
      </c>
      <c r="B161" s="34">
        <v>40.5</v>
      </c>
      <c r="C161" s="34">
        <v>48</v>
      </c>
      <c r="D161" s="34">
        <v>62.5</v>
      </c>
      <c r="E161" s="34">
        <v>61</v>
      </c>
      <c r="F161" s="34">
        <v>67</v>
      </c>
      <c r="G161" s="34">
        <v>79</v>
      </c>
      <c r="H161" s="34">
        <v>69</v>
      </c>
      <c r="I161" s="34">
        <v>83</v>
      </c>
      <c r="J161" s="34">
        <v>80</v>
      </c>
      <c r="K161" s="34">
        <v>87</v>
      </c>
      <c r="L161" s="34">
        <v>85</v>
      </c>
      <c r="M161" s="34">
        <v>86</v>
      </c>
      <c r="N161" s="34">
        <v>83</v>
      </c>
      <c r="O161" s="34"/>
    </row>
    <row r="162" spans="1:15">
      <c r="A162" t="s">
        <v>229</v>
      </c>
      <c r="B162" s="34">
        <v>50</v>
      </c>
      <c r="C162" s="34">
        <v>58</v>
      </c>
      <c r="D162" s="34">
        <v>68</v>
      </c>
      <c r="E162" s="34">
        <v>64</v>
      </c>
      <c r="F162" s="34">
        <v>77</v>
      </c>
      <c r="G162" s="34">
        <v>86</v>
      </c>
      <c r="H162" s="34">
        <v>93</v>
      </c>
      <c r="I162" s="34">
        <v>93</v>
      </c>
      <c r="J162" s="34">
        <v>96</v>
      </c>
      <c r="K162" s="34">
        <v>110</v>
      </c>
      <c r="L162" s="34">
        <v>105</v>
      </c>
      <c r="M162" s="34">
        <v>110</v>
      </c>
      <c r="N162" s="34">
        <v>106</v>
      </c>
      <c r="O162" s="34"/>
    </row>
    <row r="163" spans="1:15">
      <c r="A163" t="s">
        <v>230</v>
      </c>
      <c r="B163" s="34">
        <v>47.5</v>
      </c>
      <c r="C163" s="34">
        <v>58</v>
      </c>
      <c r="D163" s="34">
        <v>64</v>
      </c>
      <c r="E163" s="34">
        <v>65</v>
      </c>
      <c r="F163" s="34">
        <v>77</v>
      </c>
      <c r="G163" s="34">
        <v>86</v>
      </c>
      <c r="H163" s="34">
        <v>87</v>
      </c>
      <c r="I163" s="34">
        <v>86</v>
      </c>
      <c r="J163" s="34">
        <v>91</v>
      </c>
      <c r="K163" s="34">
        <v>93</v>
      </c>
      <c r="L163" s="34">
        <v>93</v>
      </c>
      <c r="M163" s="34">
        <v>100</v>
      </c>
      <c r="N163" s="34">
        <v>100</v>
      </c>
      <c r="O163" s="34"/>
    </row>
    <row r="164" spans="1:15">
      <c r="A164" t="s">
        <v>231</v>
      </c>
      <c r="B164" s="34">
        <v>38</v>
      </c>
      <c r="C164" s="34">
        <v>46</v>
      </c>
      <c r="D164" s="34">
        <v>51</v>
      </c>
      <c r="E164" s="34">
        <v>56</v>
      </c>
      <c r="F164" s="34">
        <v>70</v>
      </c>
      <c r="G164" s="34">
        <v>82</v>
      </c>
      <c r="H164" s="34">
        <v>92</v>
      </c>
      <c r="I164" s="34">
        <v>92</v>
      </c>
      <c r="J164" s="34">
        <v>84</v>
      </c>
      <c r="K164" s="34">
        <v>96</v>
      </c>
      <c r="L164" s="34">
        <v>105</v>
      </c>
      <c r="M164" s="34">
        <v>105</v>
      </c>
      <c r="N164" s="34">
        <v>100</v>
      </c>
      <c r="O164" s="34">
        <v>105</v>
      </c>
    </row>
    <row r="165" spans="1:15">
      <c r="A165" t="s">
        <v>232</v>
      </c>
      <c r="B165" s="34">
        <v>39.5</v>
      </c>
      <c r="C165" s="34">
        <v>40</v>
      </c>
      <c r="D165" s="34">
        <v>52</v>
      </c>
      <c r="E165" s="34">
        <v>48</v>
      </c>
      <c r="F165" s="34">
        <v>68</v>
      </c>
      <c r="G165" s="34">
        <v>78</v>
      </c>
      <c r="H165" s="34">
        <v>84</v>
      </c>
      <c r="I165" s="34">
        <v>83</v>
      </c>
      <c r="J165" s="34">
        <v>93</v>
      </c>
      <c r="K165" s="34">
        <v>97</v>
      </c>
      <c r="L165" s="34">
        <v>89</v>
      </c>
      <c r="M165" s="34">
        <v>105</v>
      </c>
      <c r="N165" s="34">
        <v>100</v>
      </c>
      <c r="O165" s="34"/>
    </row>
    <row r="166" spans="1:15">
      <c r="A166" t="s">
        <v>233</v>
      </c>
      <c r="B166" s="34">
        <v>37</v>
      </c>
      <c r="C166" s="34">
        <v>43</v>
      </c>
      <c r="D166" s="34">
        <v>50</v>
      </c>
      <c r="E166" s="34">
        <v>61</v>
      </c>
      <c r="F166" s="34">
        <v>78</v>
      </c>
      <c r="G166" s="34">
        <v>79</v>
      </c>
      <c r="H166" s="34">
        <v>88</v>
      </c>
      <c r="I166" s="34">
        <v>94</v>
      </c>
      <c r="J166" s="34">
        <v>99</v>
      </c>
      <c r="K166" s="34">
        <v>102</v>
      </c>
      <c r="L166" s="34">
        <v>100</v>
      </c>
      <c r="M166" s="34">
        <v>98</v>
      </c>
      <c r="N166" s="34">
        <v>100</v>
      </c>
      <c r="O166" s="34"/>
    </row>
    <row r="167" spans="1:15">
      <c r="A167" t="s">
        <v>234</v>
      </c>
      <c r="B167" s="34">
        <v>34</v>
      </c>
      <c r="C167" s="34">
        <v>43</v>
      </c>
      <c r="D167" s="34">
        <v>51</v>
      </c>
      <c r="E167" s="34">
        <v>48</v>
      </c>
      <c r="F167" s="34">
        <v>77</v>
      </c>
      <c r="G167" s="34">
        <v>80</v>
      </c>
      <c r="H167" s="34">
        <v>90</v>
      </c>
      <c r="I167" s="34">
        <v>91</v>
      </c>
      <c r="J167" s="34">
        <v>90</v>
      </c>
      <c r="K167" s="34">
        <v>103</v>
      </c>
      <c r="L167" s="34">
        <v>89</v>
      </c>
      <c r="M167" s="34">
        <v>105</v>
      </c>
      <c r="N167" s="34">
        <v>100</v>
      </c>
      <c r="O167" s="34"/>
    </row>
    <row r="168" spans="1:15">
      <c r="A168" t="s">
        <v>235</v>
      </c>
      <c r="B168" s="34">
        <v>35.5</v>
      </c>
      <c r="C168" s="34">
        <v>36</v>
      </c>
      <c r="D168" s="34">
        <v>54</v>
      </c>
      <c r="E168" s="34">
        <v>51</v>
      </c>
      <c r="F168" s="34">
        <v>74</v>
      </c>
      <c r="G168" s="34">
        <v>78</v>
      </c>
      <c r="H168" s="34">
        <v>85</v>
      </c>
      <c r="I168" s="34">
        <v>90</v>
      </c>
      <c r="J168" s="34">
        <v>90</v>
      </c>
      <c r="K168" s="34">
        <v>95</v>
      </c>
      <c r="L168" s="34">
        <v>93</v>
      </c>
      <c r="M168" s="34">
        <v>105</v>
      </c>
      <c r="N168" s="34">
        <v>100</v>
      </c>
      <c r="O168" s="34"/>
    </row>
    <row r="169" spans="1:15">
      <c r="A169" t="s">
        <v>236</v>
      </c>
      <c r="B169" s="34">
        <v>40</v>
      </c>
      <c r="C169" s="34">
        <v>39</v>
      </c>
      <c r="D169" s="34">
        <v>50</v>
      </c>
      <c r="E169" s="34">
        <v>49</v>
      </c>
      <c r="F169" s="34">
        <v>55</v>
      </c>
      <c r="G169" s="34">
        <v>73</v>
      </c>
      <c r="H169" s="34">
        <v>75</v>
      </c>
      <c r="I169" s="34">
        <v>81</v>
      </c>
      <c r="J169" s="34">
        <v>85</v>
      </c>
      <c r="K169" s="34">
        <v>91</v>
      </c>
      <c r="L169" s="34">
        <v>82</v>
      </c>
      <c r="M169" s="34">
        <v>105</v>
      </c>
      <c r="N169" s="34">
        <v>100</v>
      </c>
      <c r="O169" s="34"/>
    </row>
    <row r="170" spans="1:15">
      <c r="A170" t="s">
        <v>237</v>
      </c>
      <c r="B170" s="34">
        <v>57</v>
      </c>
      <c r="C170" s="34">
        <v>50</v>
      </c>
      <c r="D170" s="34">
        <v>64.5</v>
      </c>
      <c r="E170" s="34">
        <v>63</v>
      </c>
      <c r="F170" s="34">
        <v>79</v>
      </c>
      <c r="G170" s="34">
        <v>77</v>
      </c>
      <c r="H170" s="34">
        <v>83</v>
      </c>
      <c r="I170" s="34">
        <v>96</v>
      </c>
      <c r="J170" s="34">
        <v>89</v>
      </c>
      <c r="K170" s="34">
        <v>97</v>
      </c>
      <c r="L170" s="34">
        <v>93</v>
      </c>
      <c r="M170" s="34">
        <v>102</v>
      </c>
      <c r="N170" s="34">
        <v>94</v>
      </c>
      <c r="O170" s="34">
        <v>91</v>
      </c>
    </row>
    <row r="171" spans="1:15">
      <c r="A171" t="s">
        <v>238</v>
      </c>
      <c r="B171" s="34">
        <v>53.5</v>
      </c>
      <c r="C171" s="34">
        <v>56</v>
      </c>
      <c r="D171" s="34">
        <v>69</v>
      </c>
      <c r="E171" s="34">
        <v>68</v>
      </c>
      <c r="F171" s="34">
        <v>74</v>
      </c>
      <c r="G171" s="34">
        <v>86</v>
      </c>
      <c r="H171" s="34">
        <v>91</v>
      </c>
      <c r="I171" s="34">
        <v>90</v>
      </c>
      <c r="J171" s="34">
        <v>88</v>
      </c>
      <c r="K171" s="34">
        <v>90</v>
      </c>
      <c r="L171" s="34">
        <v>103</v>
      </c>
      <c r="M171" s="34">
        <v>93</v>
      </c>
      <c r="N171" s="34">
        <v>87</v>
      </c>
      <c r="O171" s="34"/>
    </row>
    <row r="172" spans="1:15">
      <c r="A172" t="s">
        <v>239</v>
      </c>
      <c r="B172" s="34">
        <v>53.5</v>
      </c>
      <c r="C172" s="34">
        <v>59</v>
      </c>
      <c r="D172" s="34">
        <v>68.5</v>
      </c>
      <c r="E172" s="34">
        <v>69</v>
      </c>
      <c r="F172" s="34">
        <v>75</v>
      </c>
      <c r="G172" s="34">
        <v>88</v>
      </c>
      <c r="H172" s="34">
        <v>89</v>
      </c>
      <c r="I172" s="34">
        <v>91</v>
      </c>
      <c r="J172" s="34">
        <v>92</v>
      </c>
      <c r="K172" s="34">
        <v>101</v>
      </c>
      <c r="L172" s="34">
        <v>91</v>
      </c>
      <c r="M172" s="34">
        <v>100</v>
      </c>
      <c r="N172" s="34">
        <v>88</v>
      </c>
      <c r="O172" s="34"/>
    </row>
    <row r="173" spans="1:15">
      <c r="A173" t="s">
        <v>240</v>
      </c>
      <c r="B173" s="34">
        <v>47</v>
      </c>
      <c r="C173" s="34">
        <v>56</v>
      </c>
      <c r="D173" s="34">
        <v>64.5</v>
      </c>
      <c r="E173" s="34">
        <v>58</v>
      </c>
      <c r="F173" s="34">
        <v>73</v>
      </c>
      <c r="G173" s="34">
        <v>77</v>
      </c>
      <c r="H173" s="34">
        <v>91</v>
      </c>
      <c r="I173" s="34">
        <v>89</v>
      </c>
      <c r="J173" s="34">
        <v>83</v>
      </c>
      <c r="K173" s="34">
        <v>93</v>
      </c>
      <c r="L173" s="34">
        <v>97</v>
      </c>
      <c r="M173" s="34">
        <v>100</v>
      </c>
      <c r="N173" s="34">
        <v>86</v>
      </c>
      <c r="O173" s="34"/>
    </row>
    <row r="174" spans="1:15">
      <c r="A174" t="s">
        <v>241</v>
      </c>
      <c r="B174" s="34">
        <v>51</v>
      </c>
      <c r="C174" s="34">
        <v>56</v>
      </c>
      <c r="D174" s="34">
        <v>65</v>
      </c>
      <c r="E174" s="34">
        <v>58</v>
      </c>
      <c r="F174" s="34">
        <v>71</v>
      </c>
      <c r="G174" s="34">
        <v>81</v>
      </c>
      <c r="H174" s="34">
        <v>85</v>
      </c>
      <c r="I174" s="34">
        <v>97</v>
      </c>
      <c r="J174" s="34">
        <v>98</v>
      </c>
      <c r="K174" s="34">
        <v>92</v>
      </c>
      <c r="L174" s="34">
        <v>93</v>
      </c>
      <c r="M174" s="34">
        <v>100</v>
      </c>
      <c r="N174" s="34">
        <v>90</v>
      </c>
      <c r="O174" s="34"/>
    </row>
    <row r="175" spans="1:15">
      <c r="A175" t="s">
        <v>242</v>
      </c>
      <c r="B175" s="34">
        <v>49</v>
      </c>
      <c r="C175" s="34">
        <v>55</v>
      </c>
      <c r="D175" s="34">
        <v>63</v>
      </c>
      <c r="E175" s="34">
        <v>59</v>
      </c>
      <c r="F175" s="34">
        <v>63.5</v>
      </c>
      <c r="G175" s="34">
        <v>75</v>
      </c>
      <c r="H175" s="34">
        <v>83</v>
      </c>
      <c r="I175" s="34">
        <v>80</v>
      </c>
      <c r="J175" s="34">
        <v>85</v>
      </c>
      <c r="K175" s="34">
        <v>88</v>
      </c>
      <c r="L175" s="34">
        <v>82</v>
      </c>
      <c r="M175" s="34">
        <v>88</v>
      </c>
      <c r="N175" s="34">
        <v>85</v>
      </c>
      <c r="O175" s="34"/>
    </row>
    <row r="176" spans="1:15">
      <c r="A176" t="s">
        <v>243</v>
      </c>
      <c r="B176" s="34">
        <v>37.5</v>
      </c>
      <c r="C176" s="34">
        <v>43.5</v>
      </c>
      <c r="D176" s="34">
        <v>54</v>
      </c>
      <c r="E176" s="34">
        <v>51</v>
      </c>
      <c r="F176" s="34">
        <v>67</v>
      </c>
      <c r="G176" s="34">
        <v>76</v>
      </c>
      <c r="H176" s="34">
        <v>92</v>
      </c>
      <c r="I176" s="34">
        <v>93</v>
      </c>
      <c r="J176" s="34">
        <v>95</v>
      </c>
      <c r="K176" s="34">
        <v>100</v>
      </c>
      <c r="L176" s="34">
        <v>105</v>
      </c>
      <c r="M176" s="34">
        <v>100</v>
      </c>
      <c r="N176" s="34">
        <v>105</v>
      </c>
      <c r="O176" s="34">
        <v>100</v>
      </c>
    </row>
    <row r="177" spans="1:15">
      <c r="A177" t="s">
        <v>244</v>
      </c>
      <c r="B177" s="34">
        <v>39</v>
      </c>
      <c r="C177" s="34">
        <v>44</v>
      </c>
      <c r="D177" s="34">
        <v>61.5</v>
      </c>
      <c r="E177" s="34">
        <v>57</v>
      </c>
      <c r="F177" s="34">
        <v>70</v>
      </c>
      <c r="G177" s="34">
        <v>76</v>
      </c>
      <c r="H177" s="34">
        <v>84</v>
      </c>
      <c r="I177" s="34">
        <v>92</v>
      </c>
      <c r="J177" s="34">
        <v>94</v>
      </c>
      <c r="K177" s="34">
        <v>100</v>
      </c>
      <c r="L177" s="34">
        <v>92</v>
      </c>
      <c r="M177" s="34">
        <v>105</v>
      </c>
      <c r="N177" s="34">
        <v>100</v>
      </c>
      <c r="O177" s="34"/>
    </row>
    <row r="178" spans="1:15">
      <c r="A178" t="s">
        <v>245</v>
      </c>
      <c r="B178" s="34">
        <v>37.5</v>
      </c>
      <c r="C178" s="34">
        <v>46.5</v>
      </c>
      <c r="D178" s="34">
        <v>63</v>
      </c>
      <c r="E178" s="34">
        <v>52</v>
      </c>
      <c r="F178" s="34">
        <v>71</v>
      </c>
      <c r="G178" s="34">
        <v>76</v>
      </c>
      <c r="H178" s="34">
        <v>84</v>
      </c>
      <c r="I178" s="34">
        <v>83</v>
      </c>
      <c r="J178" s="34">
        <v>90</v>
      </c>
      <c r="K178" s="34">
        <v>105</v>
      </c>
      <c r="L178" s="34">
        <v>104</v>
      </c>
      <c r="M178" s="34">
        <v>100</v>
      </c>
      <c r="N178" s="34">
        <v>105</v>
      </c>
      <c r="O178" s="34"/>
    </row>
    <row r="179" spans="1:15">
      <c r="A179" t="s">
        <v>246</v>
      </c>
      <c r="B179" s="34">
        <v>40</v>
      </c>
      <c r="C179" s="34">
        <v>45</v>
      </c>
      <c r="D179" s="34">
        <v>56</v>
      </c>
      <c r="E179" s="34">
        <v>62</v>
      </c>
      <c r="F179" s="34">
        <v>77</v>
      </c>
      <c r="G179" s="34">
        <v>81</v>
      </c>
      <c r="H179" s="34">
        <v>84</v>
      </c>
      <c r="I179" s="34">
        <v>91</v>
      </c>
      <c r="J179" s="34">
        <v>96</v>
      </c>
      <c r="K179" s="34">
        <v>103</v>
      </c>
      <c r="L179" s="34">
        <v>104</v>
      </c>
      <c r="M179" s="34">
        <v>100</v>
      </c>
      <c r="N179" s="34">
        <v>100</v>
      </c>
      <c r="O179" s="34"/>
    </row>
    <row r="180" spans="1:15">
      <c r="A180" t="s">
        <v>247</v>
      </c>
      <c r="B180" s="34">
        <v>40</v>
      </c>
      <c r="C180" s="34">
        <v>44</v>
      </c>
      <c r="D180" s="34">
        <v>59.5</v>
      </c>
      <c r="E180" s="34">
        <v>61</v>
      </c>
      <c r="F180" s="34">
        <v>72</v>
      </c>
      <c r="G180" s="34">
        <v>83</v>
      </c>
      <c r="H180" s="34">
        <v>89</v>
      </c>
      <c r="I180" s="34">
        <v>89</v>
      </c>
      <c r="J180" s="34">
        <v>94</v>
      </c>
      <c r="K180" s="34">
        <v>104</v>
      </c>
      <c r="L180" s="34">
        <v>105</v>
      </c>
      <c r="M180" s="34">
        <v>100</v>
      </c>
      <c r="N180" s="34">
        <v>105</v>
      </c>
      <c r="O180" s="34"/>
    </row>
    <row r="181" spans="1:15">
      <c r="A181" t="s">
        <v>248</v>
      </c>
      <c r="B181" s="34">
        <v>39</v>
      </c>
      <c r="C181" s="34">
        <v>40.5</v>
      </c>
      <c r="D181" s="34">
        <v>60</v>
      </c>
      <c r="E181" s="34">
        <v>45</v>
      </c>
      <c r="F181" s="34">
        <v>75</v>
      </c>
      <c r="G181" s="34">
        <v>77</v>
      </c>
      <c r="H181" s="34">
        <v>85</v>
      </c>
      <c r="I181" s="34">
        <v>79</v>
      </c>
      <c r="J181" s="34">
        <v>83</v>
      </c>
      <c r="K181" s="34">
        <v>89</v>
      </c>
      <c r="L181" s="34">
        <v>105</v>
      </c>
      <c r="M181" s="34">
        <v>105</v>
      </c>
      <c r="N181" s="34">
        <v>100</v>
      </c>
      <c r="O181" s="34"/>
    </row>
    <row r="182" spans="1:15">
      <c r="A182" t="s">
        <v>249</v>
      </c>
      <c r="B182" s="34">
        <v>42</v>
      </c>
      <c r="C182" s="34">
        <v>44</v>
      </c>
      <c r="D182" s="34">
        <v>50</v>
      </c>
      <c r="E182" s="34">
        <v>52</v>
      </c>
      <c r="F182" s="34">
        <v>61</v>
      </c>
      <c r="G182" s="34">
        <v>82</v>
      </c>
      <c r="H182" s="34">
        <v>86</v>
      </c>
      <c r="I182" s="34">
        <v>85</v>
      </c>
      <c r="J182" s="34">
        <v>86</v>
      </c>
      <c r="K182" s="34">
        <v>98</v>
      </c>
      <c r="L182" s="34">
        <v>105</v>
      </c>
      <c r="M182" s="34">
        <v>102</v>
      </c>
      <c r="N182" s="34">
        <v>100</v>
      </c>
      <c r="O182" s="34">
        <v>82</v>
      </c>
    </row>
    <row r="183" spans="1:15">
      <c r="A183" t="s">
        <v>250</v>
      </c>
      <c r="B183" s="34">
        <v>33.5</v>
      </c>
      <c r="C183" s="34">
        <v>32</v>
      </c>
      <c r="D183" s="34">
        <v>45</v>
      </c>
      <c r="E183" s="34">
        <v>47</v>
      </c>
      <c r="F183" s="34">
        <v>69</v>
      </c>
      <c r="G183" s="34">
        <v>75</v>
      </c>
      <c r="H183" s="34">
        <v>88</v>
      </c>
      <c r="I183" s="34">
        <v>97</v>
      </c>
      <c r="J183" s="34">
        <v>84</v>
      </c>
      <c r="K183" s="34">
        <v>86</v>
      </c>
      <c r="L183" s="34">
        <v>92</v>
      </c>
      <c r="M183" s="34">
        <v>86</v>
      </c>
      <c r="N183" s="34">
        <v>88</v>
      </c>
      <c r="O183" s="34"/>
    </row>
    <row r="184" spans="1:15">
      <c r="A184" t="s">
        <v>251</v>
      </c>
      <c r="B184" s="34">
        <v>41</v>
      </c>
      <c r="C184" s="34">
        <v>35</v>
      </c>
      <c r="D184" s="34">
        <v>56.5</v>
      </c>
      <c r="E184" s="34">
        <v>49</v>
      </c>
      <c r="F184" s="34">
        <v>82</v>
      </c>
      <c r="G184" s="34">
        <v>93</v>
      </c>
      <c r="H184" s="34">
        <v>103</v>
      </c>
      <c r="I184" s="34">
        <v>101</v>
      </c>
      <c r="J184" s="34">
        <v>106</v>
      </c>
      <c r="K184" s="34">
        <v>104</v>
      </c>
      <c r="L184" s="34">
        <v>110</v>
      </c>
      <c r="M184" s="34">
        <v>100</v>
      </c>
      <c r="N184" s="34">
        <v>104</v>
      </c>
      <c r="O184" s="34"/>
    </row>
    <row r="185" spans="1:15">
      <c r="A185" t="s">
        <v>252</v>
      </c>
      <c r="B185" s="34">
        <v>29</v>
      </c>
      <c r="C185" s="34">
        <v>28.5</v>
      </c>
      <c r="D185" s="34">
        <v>39.5</v>
      </c>
      <c r="E185" s="34">
        <v>38</v>
      </c>
      <c r="F185" s="34">
        <v>61</v>
      </c>
      <c r="G185" s="34">
        <v>73</v>
      </c>
      <c r="H185" s="34">
        <v>79</v>
      </c>
      <c r="I185" s="34">
        <v>81</v>
      </c>
      <c r="J185" s="34">
        <v>83</v>
      </c>
      <c r="K185" s="34">
        <v>94</v>
      </c>
      <c r="L185" s="34">
        <v>95</v>
      </c>
      <c r="M185" s="34">
        <v>100</v>
      </c>
      <c r="N185" s="34">
        <v>107</v>
      </c>
      <c r="O185" s="34"/>
    </row>
    <row r="186" spans="1:15">
      <c r="A186" t="s">
        <v>253</v>
      </c>
      <c r="B186" s="34">
        <v>30</v>
      </c>
      <c r="C186" s="34">
        <v>38.5</v>
      </c>
      <c r="D186" s="34">
        <v>48</v>
      </c>
      <c r="E186" s="34">
        <v>40</v>
      </c>
      <c r="F186" s="34">
        <v>63</v>
      </c>
      <c r="G186" s="34">
        <v>82</v>
      </c>
      <c r="H186" s="34">
        <v>85</v>
      </c>
      <c r="I186" s="34">
        <v>82</v>
      </c>
      <c r="J186" s="34">
        <v>101</v>
      </c>
      <c r="K186" s="34">
        <v>102</v>
      </c>
      <c r="L186" s="34">
        <v>106</v>
      </c>
      <c r="M186" s="34">
        <v>105</v>
      </c>
      <c r="N186" s="34">
        <v>78</v>
      </c>
      <c r="O186" s="34"/>
    </row>
    <row r="187" spans="1:15">
      <c r="A187" t="s">
        <v>254</v>
      </c>
      <c r="B187" s="34">
        <v>36.5</v>
      </c>
      <c r="C187" s="34">
        <v>37.5</v>
      </c>
      <c r="D187" s="34">
        <v>57</v>
      </c>
      <c r="E187" s="34">
        <v>48</v>
      </c>
      <c r="F187" s="34">
        <v>68</v>
      </c>
      <c r="G187" s="34">
        <v>83</v>
      </c>
      <c r="H187" s="34">
        <v>87</v>
      </c>
      <c r="I187" s="34">
        <v>89</v>
      </c>
      <c r="J187" s="34">
        <v>97</v>
      </c>
      <c r="K187" s="34">
        <v>103</v>
      </c>
      <c r="L187" s="34">
        <v>104</v>
      </c>
      <c r="M187" s="34">
        <v>100</v>
      </c>
      <c r="N187" s="34">
        <v>100</v>
      </c>
      <c r="O187" s="34"/>
    </row>
    <row r="188" spans="1:15">
      <c r="A188" t="s">
        <v>255</v>
      </c>
      <c r="B188" s="34">
        <v>26.5</v>
      </c>
      <c r="C188" s="34">
        <v>26.5</v>
      </c>
      <c r="D188" s="34">
        <v>46.5</v>
      </c>
      <c r="E188" s="34">
        <v>46</v>
      </c>
      <c r="F188" s="34">
        <v>63</v>
      </c>
      <c r="G188" s="34">
        <v>70</v>
      </c>
      <c r="H188" s="34">
        <v>70</v>
      </c>
      <c r="I188" s="34">
        <v>74</v>
      </c>
      <c r="J188" s="34">
        <v>81</v>
      </c>
      <c r="K188" s="34">
        <v>93</v>
      </c>
      <c r="L188" s="34">
        <v>94</v>
      </c>
      <c r="M188" s="34">
        <v>83</v>
      </c>
      <c r="N188" s="34">
        <v>85</v>
      </c>
      <c r="O188" s="34">
        <v>86</v>
      </c>
    </row>
    <row r="189" spans="1:15">
      <c r="A189" t="s">
        <v>256</v>
      </c>
      <c r="B189" s="34">
        <v>30</v>
      </c>
      <c r="C189" s="34">
        <v>30.5</v>
      </c>
      <c r="D189" s="34">
        <v>46.5</v>
      </c>
      <c r="E189" s="34">
        <v>40</v>
      </c>
      <c r="F189" s="34">
        <v>61</v>
      </c>
      <c r="G189" s="34">
        <v>63</v>
      </c>
      <c r="H189" s="34">
        <v>66</v>
      </c>
      <c r="I189" s="34">
        <v>71</v>
      </c>
      <c r="J189" s="34">
        <v>77</v>
      </c>
      <c r="K189" s="34">
        <v>86</v>
      </c>
      <c r="L189" s="34">
        <v>105</v>
      </c>
      <c r="M189" s="34">
        <v>93</v>
      </c>
      <c r="N189" s="34">
        <v>97</v>
      </c>
      <c r="O189" s="34"/>
    </row>
    <row r="190" spans="1:15">
      <c r="A190" t="s">
        <v>257</v>
      </c>
      <c r="B190" s="34">
        <v>33</v>
      </c>
      <c r="C190" s="34">
        <v>41</v>
      </c>
      <c r="D190" s="34">
        <v>52</v>
      </c>
      <c r="E190" s="34">
        <v>44</v>
      </c>
      <c r="F190" s="34">
        <v>61.5</v>
      </c>
      <c r="G190" s="34">
        <v>66</v>
      </c>
      <c r="H190" s="34">
        <v>72</v>
      </c>
      <c r="I190" s="34">
        <v>76</v>
      </c>
      <c r="J190" s="34">
        <v>76</v>
      </c>
      <c r="K190" s="34">
        <v>72</v>
      </c>
      <c r="L190" s="34">
        <v>80</v>
      </c>
      <c r="M190" s="34">
        <v>85</v>
      </c>
      <c r="N190" s="34">
        <v>86</v>
      </c>
      <c r="O190" s="34"/>
    </row>
    <row r="191" spans="1:15">
      <c r="A191" t="s">
        <v>258</v>
      </c>
      <c r="B191" s="34">
        <v>38</v>
      </c>
      <c r="C191" s="34">
        <v>41</v>
      </c>
      <c r="D191" s="34">
        <v>45</v>
      </c>
      <c r="E191" s="34">
        <v>47</v>
      </c>
      <c r="F191" s="34">
        <v>59</v>
      </c>
      <c r="G191" s="34">
        <v>63</v>
      </c>
      <c r="H191" s="34">
        <v>81</v>
      </c>
      <c r="I191" s="34">
        <v>77</v>
      </c>
      <c r="J191" s="34">
        <v>80</v>
      </c>
      <c r="K191" s="34">
        <v>83</v>
      </c>
      <c r="L191" s="34">
        <v>80</v>
      </c>
      <c r="M191" s="34">
        <v>83</v>
      </c>
      <c r="N191" s="34">
        <v>75</v>
      </c>
      <c r="O191" s="34"/>
    </row>
    <row r="192" spans="1:15">
      <c r="A192" t="s">
        <v>259</v>
      </c>
      <c r="B192" s="34">
        <v>32</v>
      </c>
      <c r="C192" s="34">
        <v>28</v>
      </c>
      <c r="D192" s="34">
        <v>40</v>
      </c>
      <c r="E192" s="34">
        <v>44</v>
      </c>
      <c r="F192" s="34">
        <v>59</v>
      </c>
      <c r="G192" s="34">
        <v>66</v>
      </c>
      <c r="H192" s="34">
        <v>73</v>
      </c>
      <c r="I192" s="34">
        <v>78</v>
      </c>
      <c r="J192" s="34">
        <v>71</v>
      </c>
      <c r="K192" s="34">
        <v>81</v>
      </c>
      <c r="L192" s="34">
        <v>82</v>
      </c>
      <c r="M192" s="34">
        <v>82</v>
      </c>
      <c r="N192" s="34">
        <v>84</v>
      </c>
      <c r="O192" s="34"/>
    </row>
    <row r="193" spans="1:15">
      <c r="A193" t="s">
        <v>260</v>
      </c>
      <c r="B193" s="34">
        <v>27</v>
      </c>
      <c r="C193" s="34">
        <v>37</v>
      </c>
      <c r="D193" s="34">
        <v>47</v>
      </c>
      <c r="E193" s="34">
        <v>49</v>
      </c>
      <c r="F193" s="34">
        <v>52</v>
      </c>
      <c r="G193" s="34">
        <v>66</v>
      </c>
      <c r="H193" s="34">
        <v>69</v>
      </c>
      <c r="I193" s="34">
        <v>73</v>
      </c>
      <c r="J193" s="34">
        <v>72</v>
      </c>
      <c r="K193" s="34">
        <v>72</v>
      </c>
      <c r="L193" s="34">
        <v>77</v>
      </c>
      <c r="M193" s="34">
        <v>86</v>
      </c>
      <c r="N193" s="34">
        <v>86</v>
      </c>
      <c r="O193" s="34"/>
    </row>
    <row r="194" spans="1:15">
      <c r="A194" t="s">
        <v>261</v>
      </c>
      <c r="B194" s="34">
        <v>36</v>
      </c>
      <c r="C194" s="34">
        <v>40</v>
      </c>
      <c r="D194" s="34">
        <v>47.5</v>
      </c>
      <c r="E194" s="34">
        <v>52</v>
      </c>
      <c r="F194" s="34">
        <v>63</v>
      </c>
      <c r="G194" s="34">
        <v>67</v>
      </c>
      <c r="H194" s="34">
        <v>88</v>
      </c>
      <c r="I194" s="34">
        <v>93</v>
      </c>
      <c r="J194" s="34">
        <v>83</v>
      </c>
      <c r="K194" s="34">
        <v>85</v>
      </c>
      <c r="L194" s="34">
        <v>90</v>
      </c>
      <c r="M194" s="34">
        <v>83</v>
      </c>
      <c r="N194" s="34">
        <v>84</v>
      </c>
      <c r="O194" s="34">
        <v>98</v>
      </c>
    </row>
    <row r="195" spans="1:15">
      <c r="A195" t="s">
        <v>262</v>
      </c>
      <c r="B195" s="34">
        <v>33.5</v>
      </c>
      <c r="C195" s="34">
        <v>40</v>
      </c>
      <c r="D195" s="34">
        <v>51</v>
      </c>
      <c r="E195" s="34">
        <v>55</v>
      </c>
      <c r="F195" s="34">
        <v>70</v>
      </c>
      <c r="G195" s="34">
        <v>69</v>
      </c>
      <c r="H195" s="34">
        <v>84</v>
      </c>
      <c r="I195" s="34">
        <v>83</v>
      </c>
      <c r="J195" s="34">
        <v>93</v>
      </c>
      <c r="K195" s="34">
        <v>102</v>
      </c>
      <c r="L195" s="34">
        <v>99</v>
      </c>
      <c r="M195" s="34">
        <v>102</v>
      </c>
      <c r="N195" s="34">
        <v>93</v>
      </c>
      <c r="O195" s="34"/>
    </row>
    <row r="196" spans="1:15">
      <c r="A196" t="s">
        <v>263</v>
      </c>
      <c r="B196" s="34">
        <v>36.5</v>
      </c>
      <c r="C196" s="34">
        <v>45</v>
      </c>
      <c r="D196" s="34">
        <v>47</v>
      </c>
      <c r="E196" s="34">
        <v>49</v>
      </c>
      <c r="F196" s="34">
        <v>68</v>
      </c>
      <c r="G196" s="34">
        <v>74</v>
      </c>
      <c r="H196" s="34">
        <v>73</v>
      </c>
      <c r="I196" s="34">
        <v>82</v>
      </c>
      <c r="J196" s="34">
        <v>86</v>
      </c>
      <c r="K196" s="34">
        <v>91</v>
      </c>
      <c r="L196" s="34">
        <v>90</v>
      </c>
      <c r="M196" s="34">
        <v>93</v>
      </c>
      <c r="N196" s="34">
        <v>83</v>
      </c>
      <c r="O196" s="34"/>
    </row>
    <row r="197" spans="1:15">
      <c r="A197" t="s">
        <v>264</v>
      </c>
      <c r="B197" s="34">
        <v>40</v>
      </c>
      <c r="C197" s="34">
        <v>49</v>
      </c>
      <c r="D197" s="34">
        <v>42</v>
      </c>
      <c r="E197" s="34">
        <v>45</v>
      </c>
      <c r="F197" s="34">
        <v>59</v>
      </c>
      <c r="G197" s="34">
        <v>75</v>
      </c>
      <c r="H197" s="34">
        <v>82</v>
      </c>
      <c r="I197" s="34">
        <v>89</v>
      </c>
      <c r="J197" s="34">
        <v>79</v>
      </c>
      <c r="K197" s="34">
        <v>86</v>
      </c>
      <c r="L197" s="34">
        <v>81</v>
      </c>
      <c r="M197" s="34">
        <v>80</v>
      </c>
      <c r="N197" s="34">
        <v>84</v>
      </c>
      <c r="O197" s="34"/>
    </row>
    <row r="198" spans="1:15">
      <c r="A198" t="s">
        <v>265</v>
      </c>
      <c r="B198" s="34">
        <v>38.5</v>
      </c>
      <c r="C198" s="34">
        <v>51</v>
      </c>
      <c r="D198" s="34">
        <v>50</v>
      </c>
      <c r="E198" s="34">
        <v>49</v>
      </c>
      <c r="F198" s="34">
        <v>64</v>
      </c>
      <c r="G198" s="34">
        <v>86</v>
      </c>
      <c r="H198" s="34">
        <v>93</v>
      </c>
      <c r="I198" s="34">
        <v>93</v>
      </c>
      <c r="J198" s="34">
        <v>101</v>
      </c>
      <c r="K198" s="34">
        <v>89</v>
      </c>
      <c r="L198" s="34">
        <v>97</v>
      </c>
      <c r="M198" s="34">
        <v>113</v>
      </c>
      <c r="N198" s="34">
        <v>97</v>
      </c>
      <c r="O198" s="34"/>
    </row>
    <row r="199" spans="1:15">
      <c r="A199" t="s">
        <v>266</v>
      </c>
      <c r="B199" s="34">
        <v>34</v>
      </c>
      <c r="C199" s="34">
        <v>50</v>
      </c>
      <c r="D199" s="34">
        <v>50.5</v>
      </c>
      <c r="E199" s="34">
        <v>48</v>
      </c>
      <c r="F199" s="34">
        <v>69</v>
      </c>
      <c r="G199" s="34">
        <v>82</v>
      </c>
      <c r="H199" s="34">
        <v>80</v>
      </c>
      <c r="I199" s="34">
        <v>89</v>
      </c>
      <c r="J199" s="34">
        <v>91</v>
      </c>
      <c r="K199" s="34">
        <v>90</v>
      </c>
      <c r="L199" s="34">
        <v>96</v>
      </c>
      <c r="M199" s="34">
        <v>99</v>
      </c>
      <c r="N199" s="34">
        <v>94</v>
      </c>
      <c r="O199" s="34"/>
    </row>
    <row r="200" spans="1:15">
      <c r="A200" t="s">
        <v>267</v>
      </c>
      <c r="B200" s="34">
        <v>30</v>
      </c>
      <c r="C200" s="34">
        <v>37</v>
      </c>
      <c r="D200" s="34">
        <v>39</v>
      </c>
      <c r="E200" s="34">
        <v>42</v>
      </c>
      <c r="F200" s="34">
        <v>48</v>
      </c>
      <c r="G200" s="34">
        <v>55</v>
      </c>
      <c r="H200" s="34">
        <v>53</v>
      </c>
      <c r="I200" s="34">
        <v>61</v>
      </c>
      <c r="J200" s="34">
        <v>68</v>
      </c>
      <c r="K200" s="34">
        <v>54</v>
      </c>
      <c r="L200" s="34">
        <v>62</v>
      </c>
      <c r="M200" s="34">
        <v>58</v>
      </c>
      <c r="N200" s="34">
        <v>67</v>
      </c>
      <c r="O200" s="34">
        <v>60</v>
      </c>
    </row>
    <row r="201" spans="1:15">
      <c r="A201" t="s">
        <v>268</v>
      </c>
      <c r="B201" s="34">
        <v>42</v>
      </c>
      <c r="C201" s="34">
        <v>47</v>
      </c>
      <c r="D201" s="34">
        <v>46</v>
      </c>
      <c r="E201" s="34">
        <v>46</v>
      </c>
      <c r="F201" s="34">
        <v>59</v>
      </c>
      <c r="G201" s="34">
        <v>56</v>
      </c>
      <c r="H201" s="34">
        <v>66</v>
      </c>
      <c r="I201" s="34">
        <v>49</v>
      </c>
      <c r="J201" s="34">
        <v>60</v>
      </c>
      <c r="K201" s="34">
        <v>49</v>
      </c>
      <c r="L201" s="34">
        <v>50</v>
      </c>
      <c r="M201" s="34">
        <v>52</v>
      </c>
      <c r="N201" s="34">
        <v>58</v>
      </c>
      <c r="O201" s="34"/>
    </row>
    <row r="202" spans="1:15">
      <c r="A202" t="s">
        <v>269</v>
      </c>
      <c r="B202" s="34">
        <v>36</v>
      </c>
      <c r="C202" s="34">
        <v>44</v>
      </c>
      <c r="D202" s="34">
        <v>43</v>
      </c>
      <c r="E202" s="34">
        <v>38</v>
      </c>
      <c r="F202" s="34">
        <v>44</v>
      </c>
      <c r="G202" s="34">
        <v>55</v>
      </c>
      <c r="H202" s="34">
        <v>57</v>
      </c>
      <c r="I202" s="34">
        <v>61</v>
      </c>
      <c r="J202" s="34">
        <v>60</v>
      </c>
      <c r="K202" s="34">
        <v>51</v>
      </c>
      <c r="L202" s="34">
        <v>60</v>
      </c>
      <c r="M202" s="34">
        <v>52</v>
      </c>
      <c r="N202" s="34">
        <v>53</v>
      </c>
      <c r="O202" s="34"/>
    </row>
    <row r="203" spans="1:15">
      <c r="A203" t="s">
        <v>270</v>
      </c>
      <c r="B203" s="34">
        <v>36</v>
      </c>
      <c r="C203" s="34">
        <v>47</v>
      </c>
      <c r="D203" s="34">
        <v>40</v>
      </c>
      <c r="E203" s="34">
        <v>40</v>
      </c>
      <c r="F203" s="34">
        <v>47</v>
      </c>
      <c r="G203" s="34">
        <v>48</v>
      </c>
      <c r="H203" s="34">
        <v>47</v>
      </c>
      <c r="I203" s="34">
        <v>45</v>
      </c>
      <c r="J203" s="34">
        <v>46</v>
      </c>
      <c r="K203" s="34">
        <v>45</v>
      </c>
      <c r="L203" s="34">
        <v>50</v>
      </c>
      <c r="M203" s="34">
        <v>46</v>
      </c>
      <c r="N203" s="34">
        <v>51</v>
      </c>
      <c r="O203" s="34"/>
    </row>
    <row r="204" spans="1:15">
      <c r="A204" t="s">
        <v>271</v>
      </c>
      <c r="B204" s="34">
        <v>45</v>
      </c>
      <c r="C204" s="34">
        <v>41</v>
      </c>
      <c r="D204" s="34">
        <v>45</v>
      </c>
      <c r="E204" s="34">
        <v>46</v>
      </c>
      <c r="F204" s="34">
        <v>56</v>
      </c>
      <c r="G204" s="34">
        <v>62</v>
      </c>
      <c r="H204" s="34">
        <v>51</v>
      </c>
      <c r="I204" s="34">
        <v>66</v>
      </c>
      <c r="J204" s="34">
        <v>60</v>
      </c>
      <c r="K204" s="34">
        <v>53</v>
      </c>
      <c r="L204" s="34">
        <v>56</v>
      </c>
      <c r="M204" s="34">
        <v>47</v>
      </c>
      <c r="N204" s="34">
        <v>56</v>
      </c>
      <c r="O204" s="34"/>
    </row>
    <row r="205" spans="1:15">
      <c r="A205" t="s">
        <v>272</v>
      </c>
      <c r="B205" s="34">
        <v>36</v>
      </c>
      <c r="C205" s="34">
        <v>47.5</v>
      </c>
      <c r="D205" s="34">
        <v>44.5</v>
      </c>
      <c r="E205" s="34">
        <v>40</v>
      </c>
      <c r="F205" s="34">
        <v>49</v>
      </c>
      <c r="G205" s="34">
        <v>48</v>
      </c>
      <c r="H205" s="34">
        <v>48</v>
      </c>
      <c r="I205" s="34">
        <v>51</v>
      </c>
      <c r="J205" s="34">
        <v>57</v>
      </c>
      <c r="K205" s="34">
        <v>47</v>
      </c>
      <c r="L205" s="34">
        <v>55</v>
      </c>
      <c r="M205" s="34">
        <v>48</v>
      </c>
      <c r="N205" s="34">
        <v>43</v>
      </c>
      <c r="O205" s="34"/>
    </row>
    <row r="206" spans="1:15">
      <c r="A206" t="s">
        <v>273</v>
      </c>
      <c r="B206" s="34">
        <v>37</v>
      </c>
      <c r="C206" s="34">
        <v>40</v>
      </c>
      <c r="D206" s="34">
        <v>56.5</v>
      </c>
      <c r="E206" s="34">
        <v>44</v>
      </c>
      <c r="F206" s="34">
        <v>69</v>
      </c>
      <c r="G206" s="34">
        <v>85</v>
      </c>
      <c r="H206" s="34">
        <v>92</v>
      </c>
      <c r="I206" s="34">
        <v>88</v>
      </c>
      <c r="J206" s="34">
        <v>91</v>
      </c>
      <c r="K206" s="34">
        <v>97</v>
      </c>
      <c r="L206" s="34">
        <v>100</v>
      </c>
      <c r="M206" s="34">
        <v>87</v>
      </c>
      <c r="N206" s="34">
        <v>96</v>
      </c>
      <c r="O206" s="34">
        <v>81</v>
      </c>
    </row>
    <row r="207" spans="1:15">
      <c r="A207" t="s">
        <v>274</v>
      </c>
      <c r="B207" s="34">
        <v>40</v>
      </c>
      <c r="C207" s="34">
        <v>38</v>
      </c>
      <c r="D207" s="34">
        <v>57</v>
      </c>
      <c r="E207" s="34">
        <v>52</v>
      </c>
      <c r="F207" s="34">
        <v>68</v>
      </c>
      <c r="G207" s="34">
        <v>76</v>
      </c>
      <c r="H207" s="34">
        <v>86</v>
      </c>
      <c r="I207" s="34">
        <v>80</v>
      </c>
      <c r="J207" s="34">
        <v>103</v>
      </c>
      <c r="K207" s="34">
        <v>85</v>
      </c>
      <c r="L207" s="34">
        <v>100</v>
      </c>
      <c r="M207" s="34">
        <v>96</v>
      </c>
      <c r="N207" s="34">
        <v>101</v>
      </c>
      <c r="O207" s="34"/>
    </row>
    <row r="208" spans="1:15">
      <c r="A208" t="s">
        <v>275</v>
      </c>
      <c r="B208" s="34">
        <v>31</v>
      </c>
      <c r="C208" s="34">
        <v>40</v>
      </c>
      <c r="D208" s="34">
        <v>50</v>
      </c>
      <c r="E208" s="34">
        <v>51</v>
      </c>
      <c r="F208" s="34">
        <v>74</v>
      </c>
      <c r="G208" s="34">
        <v>98</v>
      </c>
      <c r="H208" s="34">
        <v>100</v>
      </c>
      <c r="I208" s="34">
        <v>96</v>
      </c>
      <c r="J208" s="34">
        <v>101</v>
      </c>
      <c r="K208" s="34">
        <v>103</v>
      </c>
      <c r="L208" s="34">
        <v>100</v>
      </c>
      <c r="M208" s="34">
        <v>105</v>
      </c>
      <c r="N208" s="34">
        <v>87</v>
      </c>
      <c r="O208" s="34"/>
    </row>
    <row r="209" spans="1:15">
      <c r="A209" t="s">
        <v>276</v>
      </c>
      <c r="B209" s="34">
        <v>40.5</v>
      </c>
      <c r="C209" s="34">
        <v>45</v>
      </c>
      <c r="D209" s="34">
        <v>53</v>
      </c>
      <c r="E209" s="34">
        <v>54</v>
      </c>
      <c r="F209" s="34">
        <v>69</v>
      </c>
      <c r="G209" s="34">
        <v>96</v>
      </c>
      <c r="H209" s="34">
        <v>91</v>
      </c>
      <c r="I209" s="34">
        <v>92</v>
      </c>
      <c r="J209" s="34">
        <v>102</v>
      </c>
      <c r="K209" s="34">
        <v>110</v>
      </c>
      <c r="L209" s="34">
        <v>100</v>
      </c>
      <c r="M209" s="34">
        <v>93</v>
      </c>
      <c r="N209" s="34">
        <v>99</v>
      </c>
      <c r="O209" s="34"/>
    </row>
    <row r="210" spans="1:15">
      <c r="A210" t="s">
        <v>277</v>
      </c>
      <c r="B210" s="34">
        <v>37</v>
      </c>
      <c r="C210" s="34">
        <v>40</v>
      </c>
      <c r="D210" s="34">
        <v>52.5</v>
      </c>
      <c r="E210" s="34">
        <v>43</v>
      </c>
      <c r="F210" s="34">
        <v>64</v>
      </c>
      <c r="G210" s="34">
        <v>81</v>
      </c>
      <c r="H210" s="34">
        <v>92</v>
      </c>
      <c r="I210" s="34">
        <v>97</v>
      </c>
      <c r="J210" s="34">
        <v>95</v>
      </c>
      <c r="K210" s="34">
        <v>87</v>
      </c>
      <c r="L210" s="34">
        <v>100</v>
      </c>
      <c r="M210" s="34">
        <v>96</v>
      </c>
      <c r="N210" s="34">
        <v>100</v>
      </c>
      <c r="O210" s="34"/>
    </row>
    <row r="211" spans="1:15">
      <c r="A211" t="s">
        <v>278</v>
      </c>
      <c r="B211" s="34">
        <v>24</v>
      </c>
      <c r="C211" s="34">
        <v>27.5</v>
      </c>
      <c r="D211" s="34">
        <v>44.5</v>
      </c>
      <c r="E211" s="34">
        <v>56</v>
      </c>
      <c r="F211" s="34">
        <v>69</v>
      </c>
      <c r="G211" s="34">
        <v>78</v>
      </c>
      <c r="H211" s="34">
        <v>76</v>
      </c>
      <c r="I211" s="34">
        <v>88</v>
      </c>
      <c r="J211" s="34">
        <v>98</v>
      </c>
      <c r="K211" s="34">
        <v>100</v>
      </c>
      <c r="L211" s="34">
        <v>100</v>
      </c>
      <c r="M211" s="34">
        <v>92</v>
      </c>
      <c r="N211" s="34">
        <v>108</v>
      </c>
      <c r="O211" s="34"/>
    </row>
    <row r="212" spans="1:15">
      <c r="A212" t="s">
        <v>279</v>
      </c>
      <c r="B212" s="34">
        <v>36</v>
      </c>
      <c r="C212" s="34">
        <v>47</v>
      </c>
      <c r="D212" s="34">
        <v>45</v>
      </c>
      <c r="E212" s="34">
        <v>34</v>
      </c>
      <c r="F212" s="34">
        <v>33</v>
      </c>
      <c r="G212" s="34">
        <v>53</v>
      </c>
      <c r="H212" s="34">
        <v>49</v>
      </c>
      <c r="I212" s="34">
        <v>54</v>
      </c>
      <c r="J212" s="34">
        <v>53</v>
      </c>
      <c r="K212" s="34">
        <v>50</v>
      </c>
      <c r="L212" s="34">
        <v>63</v>
      </c>
      <c r="M212" s="34">
        <v>51</v>
      </c>
      <c r="N212" s="34">
        <v>59</v>
      </c>
      <c r="O212" s="34">
        <v>50</v>
      </c>
    </row>
    <row r="213" spans="1:15">
      <c r="A213" t="s">
        <v>280</v>
      </c>
      <c r="B213" s="34">
        <v>35</v>
      </c>
      <c r="C213" s="34">
        <v>46</v>
      </c>
      <c r="D213" s="34">
        <v>36</v>
      </c>
      <c r="E213" s="34">
        <v>48</v>
      </c>
      <c r="F213" s="34">
        <v>54</v>
      </c>
      <c r="G213" s="34">
        <v>54</v>
      </c>
      <c r="H213" s="34">
        <v>44</v>
      </c>
      <c r="I213" s="34">
        <v>58</v>
      </c>
      <c r="J213" s="34">
        <v>56</v>
      </c>
      <c r="K213" s="34">
        <v>61</v>
      </c>
      <c r="L213" s="34">
        <v>56</v>
      </c>
      <c r="M213" s="34">
        <v>50</v>
      </c>
      <c r="N213" s="34">
        <v>47</v>
      </c>
      <c r="O213" s="34"/>
    </row>
    <row r="214" spans="1:15">
      <c r="A214" t="s">
        <v>281</v>
      </c>
      <c r="B214" s="34">
        <v>39</v>
      </c>
      <c r="C214" s="34">
        <v>42</v>
      </c>
      <c r="D214" s="34">
        <v>46</v>
      </c>
      <c r="E214" s="34">
        <v>35</v>
      </c>
      <c r="F214" s="34">
        <v>48</v>
      </c>
      <c r="G214" s="34">
        <v>64</v>
      </c>
      <c r="H214" s="34">
        <v>56</v>
      </c>
      <c r="I214" s="34">
        <v>51</v>
      </c>
      <c r="J214" s="34">
        <v>62</v>
      </c>
      <c r="K214" s="34">
        <v>56</v>
      </c>
      <c r="L214" s="34">
        <v>54</v>
      </c>
      <c r="M214" s="34">
        <v>54</v>
      </c>
      <c r="N214" s="34">
        <v>53</v>
      </c>
      <c r="O214" s="34"/>
    </row>
    <row r="215" spans="1:15">
      <c r="A215" t="s">
        <v>282</v>
      </c>
      <c r="B215" s="34">
        <v>37.5</v>
      </c>
      <c r="C215" s="34">
        <v>42</v>
      </c>
      <c r="D215" s="34">
        <v>48</v>
      </c>
      <c r="E215" s="34">
        <v>34</v>
      </c>
      <c r="F215" s="34">
        <v>51</v>
      </c>
      <c r="G215" s="34">
        <v>53</v>
      </c>
      <c r="H215" s="34">
        <v>48</v>
      </c>
      <c r="I215" s="34">
        <v>51</v>
      </c>
      <c r="J215" s="34">
        <v>51</v>
      </c>
      <c r="K215" s="34">
        <v>51</v>
      </c>
      <c r="L215" s="34">
        <v>48</v>
      </c>
      <c r="M215" s="34">
        <v>46</v>
      </c>
      <c r="N215" s="34">
        <v>46</v>
      </c>
      <c r="O215" s="34"/>
    </row>
    <row r="216" spans="1:15">
      <c r="A216" t="s">
        <v>283</v>
      </c>
      <c r="B216" s="34">
        <v>45</v>
      </c>
      <c r="C216" s="34">
        <v>41</v>
      </c>
      <c r="D216" s="34">
        <v>44</v>
      </c>
      <c r="E216" s="34">
        <v>30</v>
      </c>
      <c r="F216" s="34">
        <v>42</v>
      </c>
      <c r="G216" s="34">
        <v>55</v>
      </c>
      <c r="H216" s="34">
        <v>50</v>
      </c>
      <c r="I216" s="34">
        <v>52</v>
      </c>
      <c r="J216" s="34">
        <v>52</v>
      </c>
      <c r="K216" s="34">
        <v>50</v>
      </c>
      <c r="L216" s="34">
        <v>52</v>
      </c>
      <c r="M216" s="34">
        <v>50</v>
      </c>
      <c r="N216" s="34">
        <v>48</v>
      </c>
      <c r="O216" s="34"/>
    </row>
    <row r="217" spans="1:15">
      <c r="A217" t="s">
        <v>284</v>
      </c>
      <c r="B217" s="34">
        <v>38</v>
      </c>
      <c r="C217" s="34">
        <v>45</v>
      </c>
      <c r="D217" s="34">
        <v>40.5</v>
      </c>
      <c r="E217" s="34">
        <v>40</v>
      </c>
      <c r="F217" s="34">
        <v>51</v>
      </c>
      <c r="G217" s="34">
        <v>41</v>
      </c>
      <c r="H217" s="34">
        <v>46</v>
      </c>
      <c r="I217" s="34">
        <v>41</v>
      </c>
      <c r="J217" s="34">
        <v>46</v>
      </c>
      <c r="K217" s="34">
        <v>48</v>
      </c>
      <c r="L217" s="34">
        <v>45</v>
      </c>
      <c r="M217" s="34">
        <v>35</v>
      </c>
      <c r="N217" s="34">
        <v>42</v>
      </c>
      <c r="O217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C5D23-0AA9-4506-9390-FE375CE60F27}">
  <dimension ref="A1:K37"/>
  <sheetViews>
    <sheetView workbookViewId="0"/>
  </sheetViews>
  <sheetFormatPr defaultRowHeight="12.75"/>
  <sheetData>
    <row r="1" spans="1:11">
      <c r="A1" t="s">
        <v>68</v>
      </c>
      <c r="B1" s="40" t="s">
        <v>395</v>
      </c>
      <c r="C1" s="40" t="s">
        <v>396</v>
      </c>
      <c r="D1" s="40" t="s">
        <v>397</v>
      </c>
      <c r="E1" s="40" t="s">
        <v>398</v>
      </c>
      <c r="F1" s="40" t="s">
        <v>399</v>
      </c>
      <c r="G1" s="40" t="s">
        <v>400</v>
      </c>
      <c r="H1" s="40" t="s">
        <v>401</v>
      </c>
      <c r="I1" s="40" t="s">
        <v>402</v>
      </c>
      <c r="J1" s="40" t="s">
        <v>403</v>
      </c>
      <c r="K1" s="40" t="s">
        <v>404</v>
      </c>
    </row>
    <row r="2" spans="1:11">
      <c r="A2" s="40" t="s">
        <v>71</v>
      </c>
      <c r="B2" s="34">
        <v>44.1</v>
      </c>
      <c r="C2" s="34">
        <v>40.4</v>
      </c>
      <c r="D2" s="34">
        <v>41</v>
      </c>
      <c r="E2" s="34">
        <v>40</v>
      </c>
      <c r="F2" s="34">
        <v>43.2</v>
      </c>
      <c r="G2" s="34">
        <v>45.2</v>
      </c>
      <c r="H2" s="34">
        <v>42.9</v>
      </c>
      <c r="I2" s="34">
        <v>44.2</v>
      </c>
      <c r="J2" s="34">
        <v>46.9</v>
      </c>
      <c r="K2" s="34">
        <v>44.8</v>
      </c>
    </row>
    <row r="3" spans="1:11">
      <c r="A3" s="40" t="s">
        <v>77</v>
      </c>
      <c r="B3" s="34">
        <v>41.6</v>
      </c>
      <c r="C3" s="34">
        <v>38.299999999999997</v>
      </c>
      <c r="D3" s="34">
        <v>38.5</v>
      </c>
      <c r="E3" s="34">
        <v>37.4</v>
      </c>
      <c r="F3" s="34">
        <v>40.700000000000003</v>
      </c>
      <c r="G3" s="34">
        <v>40.5</v>
      </c>
      <c r="H3" s="34">
        <v>37.4</v>
      </c>
      <c r="I3" s="34">
        <v>38.700000000000003</v>
      </c>
      <c r="J3" s="34">
        <v>40.6</v>
      </c>
      <c r="K3" s="34">
        <v>39.1</v>
      </c>
    </row>
    <row r="4" spans="1:11">
      <c r="A4" s="40" t="s">
        <v>83</v>
      </c>
      <c r="B4" s="34">
        <v>43.3</v>
      </c>
      <c r="C4" s="34">
        <v>37.200000000000003</v>
      </c>
      <c r="D4" s="34">
        <v>36.799999999999997</v>
      </c>
      <c r="E4" s="34">
        <v>39.700000000000003</v>
      </c>
      <c r="F4" s="34">
        <v>39.200000000000003</v>
      </c>
      <c r="G4" s="34">
        <v>41.4</v>
      </c>
      <c r="H4" s="34">
        <v>38</v>
      </c>
      <c r="I4" s="34">
        <v>41.2</v>
      </c>
      <c r="J4" s="34">
        <v>44.1</v>
      </c>
      <c r="K4" s="34">
        <v>39.700000000000003</v>
      </c>
    </row>
    <row r="5" spans="1:11">
      <c r="A5" s="40" t="s">
        <v>89</v>
      </c>
      <c r="B5" s="34">
        <v>40.700000000000003</v>
      </c>
      <c r="C5" s="34">
        <v>47.3</v>
      </c>
      <c r="D5" s="34">
        <v>40</v>
      </c>
      <c r="E5" s="34">
        <v>39.1</v>
      </c>
      <c r="F5" s="34">
        <v>39.700000000000003</v>
      </c>
      <c r="G5" s="34">
        <v>41.5</v>
      </c>
      <c r="H5" s="34">
        <v>38.299999999999997</v>
      </c>
      <c r="I5" s="34">
        <v>40.5</v>
      </c>
      <c r="J5" s="34">
        <v>43.1</v>
      </c>
      <c r="K5" s="34">
        <v>41.4</v>
      </c>
    </row>
    <row r="6" spans="1:11">
      <c r="A6" s="40" t="s">
        <v>95</v>
      </c>
      <c r="B6" s="34">
        <v>39</v>
      </c>
      <c r="C6" s="34">
        <v>36.5</v>
      </c>
      <c r="D6" s="34">
        <v>36.700000000000003</v>
      </c>
      <c r="E6" s="34">
        <v>35.1</v>
      </c>
      <c r="F6" s="34">
        <v>36.6</v>
      </c>
      <c r="G6" s="34">
        <v>38.700000000000003</v>
      </c>
      <c r="H6" s="34">
        <v>37.9</v>
      </c>
      <c r="I6" s="34">
        <v>32.700000000000003</v>
      </c>
      <c r="J6" s="34">
        <v>38.4</v>
      </c>
      <c r="K6" s="34">
        <v>38.299999999999997</v>
      </c>
    </row>
    <row r="7" spans="1:11">
      <c r="A7" s="40" t="s">
        <v>101</v>
      </c>
      <c r="B7" s="34">
        <v>40.6</v>
      </c>
      <c r="C7" s="34">
        <v>45.4</v>
      </c>
      <c r="D7" s="34">
        <v>42.2</v>
      </c>
      <c r="E7" s="34">
        <v>37.299999999999997</v>
      </c>
      <c r="F7" s="34">
        <v>42.6</v>
      </c>
      <c r="G7" s="34">
        <v>39.9</v>
      </c>
      <c r="H7" s="34">
        <v>43.1</v>
      </c>
      <c r="I7" s="34">
        <v>43.4</v>
      </c>
      <c r="J7" s="34">
        <v>48.6</v>
      </c>
      <c r="K7" s="34">
        <v>47.9</v>
      </c>
    </row>
    <row r="8" spans="1:11">
      <c r="A8" s="40" t="s">
        <v>107</v>
      </c>
      <c r="B8" s="34">
        <v>39.200000000000003</v>
      </c>
      <c r="C8" s="34">
        <v>41.7</v>
      </c>
      <c r="D8" s="34">
        <v>41</v>
      </c>
      <c r="E8" s="34">
        <v>38.4</v>
      </c>
      <c r="F8" s="34">
        <v>42.9</v>
      </c>
      <c r="G8" s="34">
        <v>40.200000000000003</v>
      </c>
      <c r="H8" s="34">
        <v>39.6</v>
      </c>
      <c r="I8" s="34">
        <v>41.3</v>
      </c>
      <c r="J8" s="34">
        <v>43.1</v>
      </c>
      <c r="K8" s="34">
        <v>42.5</v>
      </c>
    </row>
    <row r="9" spans="1:11">
      <c r="A9" s="40" t="s">
        <v>113</v>
      </c>
      <c r="B9" s="34">
        <v>44.2</v>
      </c>
      <c r="C9" s="34">
        <v>39.799999999999997</v>
      </c>
      <c r="D9" s="34">
        <v>36.200000000000003</v>
      </c>
      <c r="E9" s="34">
        <v>38.299999999999997</v>
      </c>
      <c r="F9" s="34">
        <v>42.3</v>
      </c>
      <c r="G9" s="34">
        <v>40.700000000000003</v>
      </c>
      <c r="H9" s="34">
        <v>39.5</v>
      </c>
      <c r="I9" s="34">
        <v>47.4</v>
      </c>
      <c r="J9" s="34">
        <v>43.7</v>
      </c>
      <c r="K9" s="34">
        <v>42.2</v>
      </c>
    </row>
    <row r="10" spans="1:11">
      <c r="A10" t="s">
        <v>119</v>
      </c>
      <c r="B10" s="34">
        <v>40.9</v>
      </c>
      <c r="C10" s="34">
        <v>37.5</v>
      </c>
      <c r="D10" s="34">
        <v>37.1</v>
      </c>
      <c r="E10" s="34">
        <v>37.799999999999997</v>
      </c>
      <c r="F10" s="34">
        <v>38.700000000000003</v>
      </c>
      <c r="G10" s="34">
        <v>38.200000000000003</v>
      </c>
      <c r="H10" s="34">
        <v>39</v>
      </c>
      <c r="I10" s="34">
        <v>39.299999999999997</v>
      </c>
      <c r="J10" s="34">
        <v>38.9</v>
      </c>
      <c r="K10" s="34">
        <v>38</v>
      </c>
    </row>
    <row r="11" spans="1:11">
      <c r="A11" t="s">
        <v>125</v>
      </c>
      <c r="B11" s="34">
        <v>43.2</v>
      </c>
      <c r="C11" s="34">
        <v>45.3</v>
      </c>
      <c r="D11" s="34">
        <v>41.2</v>
      </c>
      <c r="E11" s="34">
        <v>39.6</v>
      </c>
      <c r="F11" s="34">
        <v>39.799999999999997</v>
      </c>
      <c r="G11" s="34">
        <v>43.8</v>
      </c>
      <c r="H11" s="34">
        <v>42.1</v>
      </c>
      <c r="I11" s="34">
        <v>45.4</v>
      </c>
      <c r="J11" s="34">
        <v>46.7</v>
      </c>
      <c r="K11" s="34">
        <v>43.9</v>
      </c>
    </row>
    <row r="12" spans="1:11">
      <c r="A12" t="s">
        <v>131</v>
      </c>
      <c r="B12" s="34">
        <v>41.9</v>
      </c>
      <c r="C12" s="34">
        <v>42.3</v>
      </c>
      <c r="D12" s="34">
        <v>40.5</v>
      </c>
      <c r="E12" s="34">
        <v>41.6</v>
      </c>
      <c r="F12" s="34">
        <v>43.1</v>
      </c>
      <c r="G12" s="34">
        <v>42</v>
      </c>
      <c r="H12" s="34">
        <v>41.4</v>
      </c>
      <c r="I12" s="34">
        <v>42.8</v>
      </c>
      <c r="J12" s="34">
        <v>46.5</v>
      </c>
      <c r="K12" s="34">
        <v>42.9</v>
      </c>
    </row>
    <row r="13" spans="1:11">
      <c r="A13" t="s">
        <v>137</v>
      </c>
      <c r="B13" s="34">
        <v>41.3</v>
      </c>
      <c r="C13" s="34">
        <v>38.9</v>
      </c>
      <c r="D13" s="34">
        <v>39.5</v>
      </c>
      <c r="E13" s="34">
        <v>39.200000000000003</v>
      </c>
      <c r="F13" s="34">
        <v>41.2</v>
      </c>
      <c r="G13" s="34">
        <v>40.9</v>
      </c>
      <c r="H13" s="34">
        <v>40.4</v>
      </c>
      <c r="I13" s="34">
        <v>42.4</v>
      </c>
      <c r="J13" s="34">
        <v>43.6</v>
      </c>
      <c r="K13" s="34">
        <v>42.3</v>
      </c>
    </row>
    <row r="14" spans="1:11">
      <c r="A14" t="s">
        <v>143</v>
      </c>
      <c r="B14" s="34">
        <v>39.9</v>
      </c>
      <c r="C14" s="34">
        <v>37.9</v>
      </c>
      <c r="D14" s="34">
        <v>39.1</v>
      </c>
      <c r="E14" s="34">
        <v>40.4</v>
      </c>
      <c r="F14" s="34">
        <v>37.700000000000003</v>
      </c>
      <c r="G14" s="34">
        <v>39.9</v>
      </c>
      <c r="H14" s="34">
        <v>40.6</v>
      </c>
      <c r="I14" s="34">
        <v>42.1</v>
      </c>
      <c r="J14" s="34">
        <v>46.5</v>
      </c>
      <c r="K14" s="34">
        <v>45.1</v>
      </c>
    </row>
    <row r="15" spans="1:11">
      <c r="A15" t="s">
        <v>149</v>
      </c>
      <c r="B15" s="34">
        <v>42.2</v>
      </c>
      <c r="C15" s="34">
        <v>45.6</v>
      </c>
      <c r="D15" s="34">
        <v>40.799999999999997</v>
      </c>
      <c r="E15" s="34">
        <v>42.1</v>
      </c>
      <c r="F15" s="34">
        <v>43</v>
      </c>
      <c r="G15" s="34">
        <v>41.7</v>
      </c>
      <c r="H15" s="34">
        <v>38.9</v>
      </c>
      <c r="I15" s="34">
        <v>43.6</v>
      </c>
      <c r="J15" s="34">
        <v>45.5</v>
      </c>
      <c r="K15" s="34">
        <v>44.5</v>
      </c>
    </row>
    <row r="16" spans="1:11">
      <c r="A16" t="s">
        <v>155</v>
      </c>
      <c r="B16" s="34">
        <v>40</v>
      </c>
      <c r="C16" s="34">
        <v>39.1</v>
      </c>
      <c r="D16" s="34">
        <v>37.6</v>
      </c>
      <c r="E16" s="34">
        <v>38.4</v>
      </c>
      <c r="F16" s="34">
        <v>38.700000000000003</v>
      </c>
      <c r="G16" s="34">
        <v>38.700000000000003</v>
      </c>
      <c r="H16" s="34">
        <v>36.9</v>
      </c>
      <c r="I16" s="34">
        <v>36.799999999999997</v>
      </c>
      <c r="J16" s="34">
        <v>38.4</v>
      </c>
      <c r="K16" s="34">
        <v>38.6</v>
      </c>
    </row>
    <row r="17" spans="1:11">
      <c r="A17" t="s">
        <v>161</v>
      </c>
      <c r="B17" s="34">
        <v>41.5</v>
      </c>
      <c r="C17" s="34">
        <v>38.6</v>
      </c>
      <c r="D17" s="34">
        <v>39.799999999999997</v>
      </c>
      <c r="E17" s="34">
        <v>39.200000000000003</v>
      </c>
      <c r="F17" s="34">
        <v>40.5</v>
      </c>
      <c r="G17" s="34">
        <v>39.4</v>
      </c>
      <c r="H17" s="34">
        <v>40.4</v>
      </c>
      <c r="I17" s="34">
        <v>40.9</v>
      </c>
      <c r="J17" s="34">
        <v>44.2</v>
      </c>
      <c r="K17" s="34">
        <v>44.5</v>
      </c>
    </row>
    <row r="18" spans="1:11">
      <c r="A18" t="s">
        <v>167</v>
      </c>
      <c r="B18" s="34">
        <v>40.1</v>
      </c>
      <c r="C18" s="34">
        <v>44.7</v>
      </c>
      <c r="D18" s="34">
        <v>43.8</v>
      </c>
      <c r="E18" s="34">
        <v>39.799999999999997</v>
      </c>
      <c r="F18" s="34">
        <v>40.700000000000003</v>
      </c>
      <c r="G18" s="34">
        <v>41.8</v>
      </c>
      <c r="H18" s="34">
        <v>39.799999999999997</v>
      </c>
      <c r="I18" s="34">
        <v>39.700000000000003</v>
      </c>
      <c r="J18" s="34">
        <v>38.5</v>
      </c>
      <c r="K18" s="34">
        <v>39.799999999999997</v>
      </c>
    </row>
    <row r="19" spans="1:11">
      <c r="A19" t="s">
        <v>173</v>
      </c>
      <c r="B19" s="34">
        <v>41.3</v>
      </c>
      <c r="C19" s="34">
        <v>40.4</v>
      </c>
      <c r="D19" s="34">
        <v>38.299999999999997</v>
      </c>
      <c r="E19" s="34">
        <v>37</v>
      </c>
      <c r="F19" s="34">
        <v>40.5</v>
      </c>
      <c r="G19" s="34">
        <v>39.4</v>
      </c>
      <c r="H19" s="34">
        <v>38.6</v>
      </c>
      <c r="I19" s="34">
        <v>36.299999999999997</v>
      </c>
      <c r="J19" s="34">
        <v>41.1</v>
      </c>
      <c r="K19" s="34">
        <v>40</v>
      </c>
    </row>
    <row r="20" spans="1:11">
      <c r="A20" t="s">
        <v>179</v>
      </c>
      <c r="B20" s="34">
        <v>40.299999999999997</v>
      </c>
      <c r="C20" s="34">
        <v>43.7</v>
      </c>
      <c r="D20" s="34">
        <v>43.4</v>
      </c>
      <c r="E20" s="34">
        <v>36.5</v>
      </c>
      <c r="F20" s="34">
        <v>39.200000000000003</v>
      </c>
      <c r="G20" s="34">
        <v>35.299999999999997</v>
      </c>
      <c r="H20" s="34">
        <v>37.4</v>
      </c>
      <c r="I20" s="34">
        <v>38.700000000000003</v>
      </c>
      <c r="J20" s="34">
        <v>41.5</v>
      </c>
      <c r="K20" s="34">
        <v>40.700000000000003</v>
      </c>
    </row>
    <row r="21" spans="1:11">
      <c r="A21" t="s">
        <v>185</v>
      </c>
      <c r="B21" s="34">
        <v>39.700000000000003</v>
      </c>
      <c r="C21" s="34">
        <v>40.5</v>
      </c>
      <c r="D21" s="34">
        <v>38.9</v>
      </c>
      <c r="E21" s="34">
        <v>37.1</v>
      </c>
      <c r="F21" s="34">
        <v>40.6</v>
      </c>
      <c r="G21" s="34">
        <v>38.200000000000003</v>
      </c>
      <c r="H21" s="34">
        <v>40.4</v>
      </c>
      <c r="I21" s="34">
        <v>37.9</v>
      </c>
      <c r="J21" s="34">
        <v>43.6</v>
      </c>
      <c r="K21" s="34">
        <v>41.7</v>
      </c>
    </row>
    <row r="22" spans="1:11">
      <c r="A22" t="s">
        <v>191</v>
      </c>
      <c r="B22" s="34">
        <v>43.5</v>
      </c>
      <c r="C22" s="34">
        <v>41.7</v>
      </c>
      <c r="D22" s="34">
        <v>38.4</v>
      </c>
      <c r="E22" s="34">
        <v>39.799999999999997</v>
      </c>
      <c r="F22" s="34">
        <v>41.8</v>
      </c>
      <c r="G22" s="34">
        <v>41.3</v>
      </c>
      <c r="H22" s="34">
        <v>41.1</v>
      </c>
      <c r="I22" s="34">
        <v>39.9</v>
      </c>
      <c r="J22" s="34">
        <v>41.5</v>
      </c>
      <c r="K22" s="34">
        <v>42.1</v>
      </c>
    </row>
    <row r="23" spans="1:11">
      <c r="A23" t="s">
        <v>197</v>
      </c>
      <c r="B23" s="34">
        <v>39.9</v>
      </c>
      <c r="C23" s="34">
        <v>40.4</v>
      </c>
      <c r="D23" s="34">
        <v>37.1</v>
      </c>
      <c r="E23" s="34">
        <v>36.700000000000003</v>
      </c>
      <c r="F23" s="34">
        <v>39.299999999999997</v>
      </c>
      <c r="G23" s="34">
        <v>36.4</v>
      </c>
      <c r="H23" s="34">
        <v>38.1</v>
      </c>
      <c r="I23" s="34">
        <v>37</v>
      </c>
      <c r="J23" s="34">
        <v>42.7</v>
      </c>
      <c r="K23" s="34">
        <v>39.700000000000003</v>
      </c>
    </row>
    <row r="24" spans="1:11">
      <c r="A24" t="s">
        <v>203</v>
      </c>
      <c r="B24" s="34">
        <v>40.5</v>
      </c>
      <c r="C24" s="34">
        <v>45.9</v>
      </c>
      <c r="D24" s="34">
        <v>43.6</v>
      </c>
      <c r="E24" s="34">
        <v>42.3</v>
      </c>
      <c r="F24" s="34">
        <v>42.9</v>
      </c>
      <c r="G24" s="34">
        <v>41.2</v>
      </c>
      <c r="H24" s="34">
        <v>42</v>
      </c>
      <c r="I24" s="34">
        <v>47</v>
      </c>
      <c r="J24" s="34">
        <v>49</v>
      </c>
      <c r="K24" s="34">
        <v>48.4</v>
      </c>
    </row>
    <row r="25" spans="1:11">
      <c r="A25" t="s">
        <v>209</v>
      </c>
      <c r="B25" s="34">
        <v>46.7</v>
      </c>
      <c r="C25" s="34">
        <v>46.5</v>
      </c>
      <c r="D25" s="34">
        <v>41.3</v>
      </c>
      <c r="E25" s="34">
        <v>40.299999999999997</v>
      </c>
      <c r="F25" s="34">
        <v>39.200000000000003</v>
      </c>
      <c r="G25" s="34">
        <v>38.799999999999997</v>
      </c>
      <c r="H25" s="34">
        <v>38.5</v>
      </c>
      <c r="I25" s="34">
        <v>42.4</v>
      </c>
      <c r="J25" s="34">
        <v>45.2</v>
      </c>
      <c r="K25" s="34">
        <v>44.4</v>
      </c>
    </row>
    <row r="26" spans="1:11">
      <c r="A26" s="40" t="s">
        <v>215</v>
      </c>
      <c r="B26" s="34">
        <v>45.9</v>
      </c>
      <c r="C26" s="34">
        <v>47.6</v>
      </c>
      <c r="D26" s="34">
        <v>47.1</v>
      </c>
      <c r="E26" s="34">
        <v>41.6</v>
      </c>
      <c r="F26" s="34">
        <v>43</v>
      </c>
      <c r="G26" s="34">
        <v>43.9</v>
      </c>
      <c r="H26" s="34">
        <v>45.4</v>
      </c>
      <c r="I26" s="34">
        <v>45.9</v>
      </c>
      <c r="J26" s="34">
        <v>47.1</v>
      </c>
      <c r="K26" s="34">
        <v>46.6</v>
      </c>
    </row>
    <row r="27" spans="1:11">
      <c r="A27" s="40" t="s">
        <v>221</v>
      </c>
      <c r="B27" s="34">
        <v>42.2</v>
      </c>
      <c r="C27" s="34">
        <v>45</v>
      </c>
      <c r="D27" s="34">
        <v>41.5</v>
      </c>
      <c r="E27" s="34">
        <v>41.7</v>
      </c>
      <c r="F27" s="34">
        <v>41.8</v>
      </c>
      <c r="G27" s="34">
        <v>43.5</v>
      </c>
      <c r="H27" s="34">
        <v>39.700000000000003</v>
      </c>
      <c r="I27" s="34">
        <v>42.5</v>
      </c>
      <c r="J27" s="34">
        <v>46.2</v>
      </c>
      <c r="K27" s="34">
        <v>42.7</v>
      </c>
    </row>
    <row r="28" spans="1:11">
      <c r="A28" s="40" t="s">
        <v>227</v>
      </c>
      <c r="B28" s="34">
        <v>40.5</v>
      </c>
      <c r="C28" s="34">
        <v>41.3</v>
      </c>
      <c r="D28" s="34">
        <v>40</v>
      </c>
      <c r="E28" s="34">
        <v>38.200000000000003</v>
      </c>
      <c r="F28" s="34">
        <v>37.700000000000003</v>
      </c>
      <c r="G28" s="34">
        <v>36.9</v>
      </c>
      <c r="H28" s="34">
        <v>37.4</v>
      </c>
      <c r="I28" s="34">
        <v>38.5</v>
      </c>
      <c r="J28" s="34">
        <v>38.700000000000003</v>
      </c>
      <c r="K28" s="34">
        <v>37</v>
      </c>
    </row>
    <row r="29" spans="1:11">
      <c r="A29" s="40" t="s">
        <v>233</v>
      </c>
      <c r="B29" s="34">
        <v>42.3</v>
      </c>
      <c r="C29" s="34">
        <v>42.3</v>
      </c>
      <c r="D29" s="34">
        <v>39.200000000000003</v>
      </c>
      <c r="E29" s="34">
        <v>41.3</v>
      </c>
      <c r="F29" s="34">
        <v>43.2</v>
      </c>
      <c r="G29" s="34">
        <v>40.200000000000003</v>
      </c>
      <c r="H29" s="34">
        <v>41.9</v>
      </c>
      <c r="I29" s="34">
        <v>43.7</v>
      </c>
      <c r="J29" s="34">
        <v>46.6</v>
      </c>
      <c r="K29" s="34">
        <v>44.9</v>
      </c>
    </row>
    <row r="30" spans="1:11">
      <c r="A30" s="40" t="s">
        <v>239</v>
      </c>
      <c r="B30" s="34">
        <v>41.3</v>
      </c>
      <c r="C30" s="34">
        <v>41</v>
      </c>
      <c r="D30" s="34">
        <v>38.4</v>
      </c>
      <c r="E30" s="34">
        <v>39.200000000000003</v>
      </c>
      <c r="F30" s="34">
        <v>38.799999999999997</v>
      </c>
      <c r="G30" s="34">
        <v>37.6</v>
      </c>
      <c r="H30" s="34">
        <v>37</v>
      </c>
      <c r="I30" s="34">
        <v>37</v>
      </c>
      <c r="J30" s="34">
        <v>39.4</v>
      </c>
      <c r="K30" s="34">
        <v>41.7</v>
      </c>
    </row>
    <row r="31" spans="1:11">
      <c r="A31" s="40" t="s">
        <v>245</v>
      </c>
      <c r="B31" s="34">
        <v>43.6</v>
      </c>
      <c r="C31" s="34">
        <v>43.7</v>
      </c>
      <c r="D31" s="34">
        <v>38.5</v>
      </c>
      <c r="E31" s="34">
        <v>42.4</v>
      </c>
      <c r="F31" s="34">
        <v>41.3</v>
      </c>
      <c r="G31" s="34">
        <v>40.200000000000003</v>
      </c>
      <c r="H31" s="34">
        <v>41.2</v>
      </c>
      <c r="I31" s="34">
        <v>43.6</v>
      </c>
      <c r="J31" s="34">
        <v>46.6</v>
      </c>
      <c r="K31" s="34">
        <v>46.2</v>
      </c>
    </row>
    <row r="32" spans="1:11">
      <c r="A32" s="40" t="s">
        <v>251</v>
      </c>
      <c r="B32" s="34">
        <v>43.1</v>
      </c>
      <c r="C32" s="34">
        <v>46.2</v>
      </c>
      <c r="D32" s="34">
        <v>47.3</v>
      </c>
      <c r="E32" s="34">
        <v>40.9</v>
      </c>
      <c r="F32" s="34">
        <v>42.2</v>
      </c>
      <c r="G32" s="34">
        <v>43.8</v>
      </c>
      <c r="H32" s="34">
        <v>46.6</v>
      </c>
      <c r="I32" s="34">
        <v>46.7</v>
      </c>
      <c r="J32" s="34">
        <v>47.7</v>
      </c>
      <c r="K32" s="34">
        <v>49.7</v>
      </c>
    </row>
    <row r="33" spans="1:11">
      <c r="A33" s="40" t="s">
        <v>257</v>
      </c>
      <c r="B33" s="34">
        <v>41.7</v>
      </c>
      <c r="C33" s="34">
        <v>47.2</v>
      </c>
      <c r="D33" s="34">
        <v>42.8</v>
      </c>
      <c r="E33" s="34">
        <v>43.3</v>
      </c>
      <c r="F33" s="34">
        <v>43.2</v>
      </c>
      <c r="G33" s="34">
        <v>43.2</v>
      </c>
      <c r="H33" s="34">
        <v>43.4</v>
      </c>
      <c r="I33" s="34">
        <v>40.5</v>
      </c>
      <c r="J33" s="34">
        <v>46.4</v>
      </c>
      <c r="K33" s="34">
        <v>46.8</v>
      </c>
    </row>
    <row r="34" spans="1:11">
      <c r="A34" s="40" t="s">
        <v>263</v>
      </c>
      <c r="B34" s="34">
        <v>38.200000000000003</v>
      </c>
      <c r="C34" s="34">
        <v>43.4</v>
      </c>
      <c r="D34" s="34">
        <v>43.1</v>
      </c>
      <c r="E34" s="34">
        <v>43</v>
      </c>
      <c r="F34" s="34">
        <v>46.7</v>
      </c>
      <c r="G34" s="34">
        <v>47.4</v>
      </c>
      <c r="H34" s="34">
        <v>46.7</v>
      </c>
      <c r="I34" s="34">
        <v>44.6</v>
      </c>
      <c r="J34" s="34">
        <v>46.5</v>
      </c>
      <c r="K34" s="34">
        <v>48</v>
      </c>
    </row>
    <row r="35" spans="1:11">
      <c r="A35" s="40" t="s">
        <v>269</v>
      </c>
      <c r="B35" s="34">
        <v>50.1</v>
      </c>
      <c r="C35" s="34">
        <v>50.7</v>
      </c>
      <c r="D35" s="34">
        <v>53.7</v>
      </c>
      <c r="E35" s="34">
        <v>53.6</v>
      </c>
      <c r="F35" s="34">
        <v>53.7</v>
      </c>
      <c r="G35" s="34">
        <v>53.9</v>
      </c>
      <c r="H35" s="34">
        <v>53.3</v>
      </c>
      <c r="I35" s="34">
        <v>56.7</v>
      </c>
      <c r="J35" s="34">
        <v>53.8</v>
      </c>
      <c r="K35" s="34">
        <v>54.2</v>
      </c>
    </row>
    <row r="36" spans="1:11">
      <c r="A36" s="40" t="s">
        <v>275</v>
      </c>
      <c r="B36" s="34">
        <v>36.5</v>
      </c>
      <c r="C36" s="34">
        <v>41.6</v>
      </c>
      <c r="D36" s="34">
        <v>41.3</v>
      </c>
      <c r="E36" s="34">
        <v>38.4</v>
      </c>
      <c r="F36" s="34">
        <v>45.2</v>
      </c>
      <c r="G36" s="34">
        <v>49.8</v>
      </c>
      <c r="H36" s="34">
        <v>43.3</v>
      </c>
      <c r="I36" s="34">
        <v>46.2</v>
      </c>
      <c r="J36" s="34">
        <v>45.9</v>
      </c>
      <c r="K36" s="34">
        <v>46.6</v>
      </c>
    </row>
    <row r="37" spans="1:11">
      <c r="A37" s="40" t="s">
        <v>281</v>
      </c>
      <c r="B37" s="34">
        <v>48</v>
      </c>
      <c r="C37" s="34">
        <v>52.3</v>
      </c>
      <c r="D37" s="34">
        <v>53.8</v>
      </c>
      <c r="E37" s="34">
        <v>55.3</v>
      </c>
      <c r="F37" s="34">
        <v>55.3</v>
      </c>
      <c r="G37" s="34">
        <v>54</v>
      </c>
      <c r="H37" s="34">
        <v>55.7</v>
      </c>
      <c r="I37" s="34">
        <v>54.9</v>
      </c>
      <c r="J37" s="34">
        <v>53.9</v>
      </c>
      <c r="K37" s="34">
        <v>57.5</v>
      </c>
    </row>
  </sheetData>
  <sortState xmlns:xlrd2="http://schemas.microsoft.com/office/spreadsheetml/2017/richdata2" ref="A2:K37">
    <sortCondition ref="A2:A3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4F371-AC7E-489F-901B-E6CBB21F5C97}">
  <dimension ref="A1:B217"/>
  <sheetViews>
    <sheetView workbookViewId="0">
      <selection activeCell="B28" sqref="B28"/>
    </sheetView>
  </sheetViews>
  <sheetFormatPr defaultRowHeight="12.75"/>
  <sheetData>
    <row r="1" spans="1:2">
      <c r="A1" s="40" t="s">
        <v>68</v>
      </c>
      <c r="B1" t="s">
        <v>391</v>
      </c>
    </row>
    <row r="2" spans="1:2">
      <c r="A2" s="40" t="s">
        <v>69</v>
      </c>
      <c r="B2" s="34">
        <v>6.3976377952755907</v>
      </c>
    </row>
    <row r="3" spans="1:2">
      <c r="A3" s="40" t="s">
        <v>70</v>
      </c>
      <c r="B3" s="34">
        <v>4.9212598425196852</v>
      </c>
    </row>
    <row r="4" spans="1:2">
      <c r="A4" s="40" t="s">
        <v>71</v>
      </c>
      <c r="B4" s="34">
        <v>4.9212598425196852</v>
      </c>
    </row>
    <row r="5" spans="1:2">
      <c r="A5" s="40" t="s">
        <v>72</v>
      </c>
      <c r="B5" s="34">
        <v>5.4133858267716537</v>
      </c>
    </row>
    <row r="6" spans="1:2">
      <c r="A6" s="40" t="s">
        <v>73</v>
      </c>
      <c r="B6" s="34">
        <v>4.4291338582677167</v>
      </c>
    </row>
    <row r="7" spans="1:2">
      <c r="A7" s="40" t="s">
        <v>74</v>
      </c>
      <c r="B7" s="34">
        <v>4.9212598425196852</v>
      </c>
    </row>
    <row r="8" spans="1:2">
      <c r="A8" s="40" t="s">
        <v>75</v>
      </c>
      <c r="B8" s="34">
        <v>11.811023622047244</v>
      </c>
    </row>
    <row r="9" spans="1:2">
      <c r="A9" s="40" t="s">
        <v>76</v>
      </c>
      <c r="B9" s="34">
        <v>12.303149606299213</v>
      </c>
    </row>
    <row r="10" spans="1:2">
      <c r="A10" s="40" t="s">
        <v>77</v>
      </c>
      <c r="B10" s="34">
        <v>13.28740157480315</v>
      </c>
    </row>
    <row r="11" spans="1:2">
      <c r="A11" s="40" t="s">
        <v>78</v>
      </c>
      <c r="B11" s="34">
        <v>8.8582677165354333</v>
      </c>
    </row>
    <row r="12" spans="1:2">
      <c r="A12" s="40" t="s">
        <v>79</v>
      </c>
      <c r="B12" s="34">
        <v>12.795275590551181</v>
      </c>
    </row>
    <row r="13" spans="1:2">
      <c r="A13" s="40" t="s">
        <v>80</v>
      </c>
      <c r="B13" s="34">
        <v>8.3661417322834648</v>
      </c>
    </row>
    <row r="14" spans="1:2">
      <c r="A14" s="40" t="s">
        <v>81</v>
      </c>
      <c r="B14" s="34">
        <v>20.669291338582678</v>
      </c>
    </row>
    <row r="15" spans="1:2">
      <c r="A15" s="40" t="s">
        <v>82</v>
      </c>
      <c r="B15" s="34">
        <v>21.161417322834644</v>
      </c>
    </row>
    <row r="16" spans="1:2">
      <c r="A16" s="40" t="s">
        <v>83</v>
      </c>
      <c r="B16" s="34">
        <v>18.208661417322833</v>
      </c>
    </row>
    <row r="17" spans="1:2">
      <c r="A17" s="40" t="s">
        <v>84</v>
      </c>
      <c r="B17" s="34">
        <v>18.700787401574804</v>
      </c>
    </row>
    <row r="18" spans="1:2">
      <c r="A18" s="40" t="s">
        <v>85</v>
      </c>
      <c r="B18" s="34">
        <v>25.098425196850393</v>
      </c>
    </row>
    <row r="19" spans="1:2">
      <c r="A19" s="40" t="s">
        <v>86</v>
      </c>
      <c r="B19" s="34">
        <v>16.73228346456693</v>
      </c>
    </row>
    <row r="20" spans="1:2">
      <c r="A20" s="40" t="s">
        <v>87</v>
      </c>
      <c r="B20" s="34">
        <v>11.318897637795276</v>
      </c>
    </row>
    <row r="21" spans="1:2">
      <c r="A21" s="40" t="s">
        <v>88</v>
      </c>
      <c r="B21" s="34">
        <v>13.28740157480315</v>
      </c>
    </row>
    <row r="22" spans="1:2">
      <c r="A22" s="40" t="s">
        <v>89</v>
      </c>
      <c r="B22" s="34">
        <v>11.318897637795276</v>
      </c>
    </row>
    <row r="23" spans="1:2">
      <c r="A23" s="40" t="s">
        <v>90</v>
      </c>
      <c r="B23" s="34">
        <v>11.811023622047244</v>
      </c>
    </row>
    <row r="24" spans="1:2">
      <c r="A24" s="40" t="s">
        <v>91</v>
      </c>
      <c r="B24" s="34">
        <v>8.8582677165354333</v>
      </c>
    </row>
    <row r="25" spans="1:2">
      <c r="A25" s="40" t="s">
        <v>92</v>
      </c>
      <c r="B25" s="34">
        <v>9.8425196850393704</v>
      </c>
    </row>
    <row r="26" spans="1:2">
      <c r="A26" s="40" t="s">
        <v>93</v>
      </c>
      <c r="B26" s="34">
        <v>20.177165354330707</v>
      </c>
    </row>
    <row r="27" spans="1:2">
      <c r="A27" s="40" t="s">
        <v>94</v>
      </c>
      <c r="B27" s="34">
        <v>18.700787401574804</v>
      </c>
    </row>
    <row r="28" spans="1:2">
      <c r="A28" s="40" t="s">
        <v>95</v>
      </c>
      <c r="B28" s="34">
        <v>22.145669291338582</v>
      </c>
    </row>
    <row r="29" spans="1:2">
      <c r="A29" s="40" t="s">
        <v>96</v>
      </c>
      <c r="B29" s="34">
        <v>20.177165354330707</v>
      </c>
    </row>
    <row r="30" spans="1:2">
      <c r="A30" s="40" t="s">
        <v>97</v>
      </c>
      <c r="B30" s="34">
        <v>19.685039370078741</v>
      </c>
    </row>
    <row r="31" spans="1:2">
      <c r="A31" s="40" t="s">
        <v>98</v>
      </c>
      <c r="B31" s="34">
        <v>20.669291338582678</v>
      </c>
    </row>
    <row r="32" spans="1:2">
      <c r="A32" s="40" t="s">
        <v>99</v>
      </c>
      <c r="B32" s="34">
        <v>11.811023622047244</v>
      </c>
    </row>
    <row r="33" spans="1:2">
      <c r="A33" s="40" t="s">
        <v>100</v>
      </c>
      <c r="B33" s="34">
        <v>14.763779527559056</v>
      </c>
    </row>
    <row r="34" spans="1:2">
      <c r="A34" s="40" t="s">
        <v>101</v>
      </c>
      <c r="B34" s="34">
        <v>12.303149606299213</v>
      </c>
    </row>
    <row r="35" spans="1:2">
      <c r="A35" s="40" t="s">
        <v>102</v>
      </c>
      <c r="B35" s="34">
        <v>11.811023622047244</v>
      </c>
    </row>
    <row r="36" spans="1:2">
      <c r="A36" s="40" t="s">
        <v>103</v>
      </c>
      <c r="B36" s="34">
        <v>10.334645669291339</v>
      </c>
    </row>
    <row r="37" spans="1:2">
      <c r="A37" s="40" t="s">
        <v>104</v>
      </c>
      <c r="B37" s="34">
        <v>9.3503937007874018</v>
      </c>
    </row>
    <row r="38" spans="1:2">
      <c r="A38" s="40" t="s">
        <v>105</v>
      </c>
      <c r="B38" s="34">
        <v>9.3503937007874018</v>
      </c>
    </row>
    <row r="39" spans="1:2">
      <c r="A39" s="40" t="s">
        <v>106</v>
      </c>
      <c r="B39" s="34">
        <v>9.3503937007874018</v>
      </c>
    </row>
    <row r="40" spans="1:2">
      <c r="A40" s="40" t="s">
        <v>107</v>
      </c>
      <c r="B40" s="34">
        <v>11.811023622047244</v>
      </c>
    </row>
    <row r="41" spans="1:2">
      <c r="A41" s="40" t="s">
        <v>108</v>
      </c>
      <c r="B41" s="34">
        <v>9.8425196850393704</v>
      </c>
    </row>
    <row r="42" spans="1:2">
      <c r="A42" s="40" t="s">
        <v>109</v>
      </c>
      <c r="B42" s="34">
        <v>10.334645669291339</v>
      </c>
    </row>
    <row r="43" spans="1:2">
      <c r="A43" s="40" t="s">
        <v>110</v>
      </c>
      <c r="B43" s="34">
        <v>11.811023622047244</v>
      </c>
    </row>
    <row r="44" spans="1:2">
      <c r="A44" s="40" t="s">
        <v>111</v>
      </c>
      <c r="B44" s="34">
        <v>13.28740157480315</v>
      </c>
    </row>
    <row r="45" spans="1:2">
      <c r="A45" s="40" t="s">
        <v>112</v>
      </c>
      <c r="B45" s="34">
        <v>13.28740157480315</v>
      </c>
    </row>
    <row r="46" spans="1:2">
      <c r="A46" s="40" t="s">
        <v>113</v>
      </c>
      <c r="B46" s="34">
        <v>12.795275590551181</v>
      </c>
    </row>
    <row r="47" spans="1:2">
      <c r="A47" s="40" t="s">
        <v>114</v>
      </c>
      <c r="B47" s="34">
        <v>11.811023622047244</v>
      </c>
    </row>
    <row r="48" spans="1:2">
      <c r="A48" s="40" t="s">
        <v>115</v>
      </c>
      <c r="B48" s="34">
        <v>10.334645669291339</v>
      </c>
    </row>
    <row r="49" spans="1:2">
      <c r="A49" s="40" t="s">
        <v>116</v>
      </c>
      <c r="B49" s="34">
        <v>13.779527559055119</v>
      </c>
    </row>
    <row r="50" spans="1:2">
      <c r="A50" s="40" t="s">
        <v>117</v>
      </c>
      <c r="B50" s="34">
        <v>22.145669291338582</v>
      </c>
    </row>
    <row r="51" spans="1:2">
      <c r="A51" s="40" t="s">
        <v>118</v>
      </c>
      <c r="B51" s="34">
        <v>20.669291338582678</v>
      </c>
    </row>
    <row r="52" spans="1:2">
      <c r="A52" s="40" t="s">
        <v>119</v>
      </c>
      <c r="B52" s="34">
        <v>22.145669291338582</v>
      </c>
    </row>
    <row r="53" spans="1:2">
      <c r="A53" s="40" t="s">
        <v>120</v>
      </c>
      <c r="B53" s="34">
        <v>19.685039370078741</v>
      </c>
    </row>
    <row r="54" spans="1:2">
      <c r="A54" s="40" t="s">
        <v>121</v>
      </c>
      <c r="B54" s="34">
        <v>24.114173228346456</v>
      </c>
    </row>
    <row r="55" spans="1:2">
      <c r="A55" s="40" t="s">
        <v>122</v>
      </c>
      <c r="B55" s="34">
        <v>23.129921259842519</v>
      </c>
    </row>
    <row r="56" spans="1:2">
      <c r="A56" s="40" t="s">
        <v>123</v>
      </c>
      <c r="B56" s="34">
        <v>10.334645669291339</v>
      </c>
    </row>
    <row r="57" spans="1:2">
      <c r="A57" s="40" t="s">
        <v>124</v>
      </c>
      <c r="B57" s="34">
        <v>10.334645669291339</v>
      </c>
    </row>
    <row r="58" spans="1:2">
      <c r="A58" s="40" t="s">
        <v>125</v>
      </c>
      <c r="B58" s="34">
        <v>10.334645669291339</v>
      </c>
    </row>
    <row r="59" spans="1:2">
      <c r="A59" s="40" t="s">
        <v>126</v>
      </c>
      <c r="B59" s="34">
        <v>10.826771653543307</v>
      </c>
    </row>
    <row r="60" spans="1:2">
      <c r="A60" s="40" t="s">
        <v>127</v>
      </c>
      <c r="B60" s="34">
        <v>11.811023622047244</v>
      </c>
    </row>
    <row r="61" spans="1:2">
      <c r="A61" s="40" t="s">
        <v>128</v>
      </c>
      <c r="B61" s="34">
        <v>9.3503937007874018</v>
      </c>
    </row>
    <row r="62" spans="1:2">
      <c r="A62" s="40" t="s">
        <v>129</v>
      </c>
      <c r="B62" s="34">
        <v>14.271653543307087</v>
      </c>
    </row>
    <row r="63" spans="1:2">
      <c r="A63" s="40" t="s">
        <v>130</v>
      </c>
      <c r="B63" s="34">
        <v>11.811023622047244</v>
      </c>
    </row>
    <row r="64" spans="1:2">
      <c r="A64" s="40" t="s">
        <v>131</v>
      </c>
      <c r="B64" s="34">
        <v>13.28740157480315</v>
      </c>
    </row>
    <row r="65" spans="1:2">
      <c r="A65" s="40" t="s">
        <v>132</v>
      </c>
      <c r="B65" s="34">
        <v>10.826771653543307</v>
      </c>
    </row>
    <row r="66" spans="1:2">
      <c r="A66" s="40" t="s">
        <v>133</v>
      </c>
      <c r="B66" s="34">
        <v>11.811023622047244</v>
      </c>
    </row>
    <row r="67" spans="1:2">
      <c r="A67" s="40" t="s">
        <v>134</v>
      </c>
      <c r="B67" s="34">
        <v>10.826771653543307</v>
      </c>
    </row>
    <row r="68" spans="1:2">
      <c r="A68" s="40" t="s">
        <v>135</v>
      </c>
      <c r="B68" s="34">
        <v>25.098425196850393</v>
      </c>
    </row>
    <row r="69" spans="1:2">
      <c r="A69" s="40" t="s">
        <v>136</v>
      </c>
      <c r="B69" s="34">
        <v>15.255905511811024</v>
      </c>
    </row>
    <row r="70" spans="1:2">
      <c r="A70" s="40" t="s">
        <v>137</v>
      </c>
      <c r="B70" s="34">
        <v>24.114173228346456</v>
      </c>
    </row>
    <row r="71" spans="1:2">
      <c r="A71" s="40" t="s">
        <v>138</v>
      </c>
      <c r="B71" s="34">
        <v>20.177165354330707</v>
      </c>
    </row>
    <row r="72" spans="1:2">
      <c r="A72" s="40" t="s">
        <v>139</v>
      </c>
      <c r="B72" s="34">
        <v>20.177165354330707</v>
      </c>
    </row>
    <row r="73" spans="1:2">
      <c r="A73" s="40" t="s">
        <v>140</v>
      </c>
      <c r="B73" s="34">
        <v>18.700787401574804</v>
      </c>
    </row>
    <row r="74" spans="1:2">
      <c r="A74" s="40" t="s">
        <v>141</v>
      </c>
      <c r="B74" s="34">
        <v>5.9055118110236222</v>
      </c>
    </row>
    <row r="75" spans="1:2">
      <c r="A75" s="40" t="s">
        <v>142</v>
      </c>
      <c r="B75" s="34">
        <v>4.9212598425196852</v>
      </c>
    </row>
    <row r="76" spans="1:2">
      <c r="A76" s="40" t="s">
        <v>143</v>
      </c>
      <c r="B76" s="34">
        <v>4.9212598425196852</v>
      </c>
    </row>
    <row r="77" spans="1:2">
      <c r="A77" s="40" t="s">
        <v>144</v>
      </c>
      <c r="B77" s="34">
        <v>6.8897637795275593</v>
      </c>
    </row>
    <row r="78" spans="1:2">
      <c r="A78" s="40" t="s">
        <v>145</v>
      </c>
      <c r="B78" s="34">
        <v>4.9212598425196852</v>
      </c>
    </row>
    <row r="79" spans="1:2">
      <c r="A79" s="40" t="s">
        <v>146</v>
      </c>
      <c r="B79" s="34">
        <v>4.9212598425196852</v>
      </c>
    </row>
    <row r="80" spans="1:2">
      <c r="A80" s="40" t="s">
        <v>147</v>
      </c>
      <c r="B80" s="34">
        <v>5.4133858267716537</v>
      </c>
    </row>
    <row r="81" spans="1:2">
      <c r="A81" s="40" t="s">
        <v>148</v>
      </c>
      <c r="B81" s="34">
        <v>5.4133858267716537</v>
      </c>
    </row>
    <row r="82" spans="1:2">
      <c r="A82" s="40" t="s">
        <v>149</v>
      </c>
      <c r="B82" s="34">
        <v>5.9055118110236222</v>
      </c>
    </row>
    <row r="83" spans="1:2">
      <c r="A83" s="40" t="s">
        <v>150</v>
      </c>
      <c r="B83" s="34">
        <v>4.4291338582677167</v>
      </c>
    </row>
    <row r="84" spans="1:2">
      <c r="A84" s="40" t="s">
        <v>151</v>
      </c>
      <c r="B84" s="34">
        <v>5.9055118110236222</v>
      </c>
    </row>
    <row r="85" spans="1:2">
      <c r="A85" s="40" t="s">
        <v>152</v>
      </c>
      <c r="B85" s="34">
        <v>4.4291338582677167</v>
      </c>
    </row>
    <row r="86" spans="1:2">
      <c r="A86" s="40" t="s">
        <v>153</v>
      </c>
      <c r="B86" s="34">
        <v>13.28740157480315</v>
      </c>
    </row>
    <row r="87" spans="1:2">
      <c r="A87" s="40" t="s">
        <v>154</v>
      </c>
      <c r="B87" s="34">
        <v>12.795275590551181</v>
      </c>
    </row>
    <row r="88" spans="1:2">
      <c r="A88" s="40" t="s">
        <v>155</v>
      </c>
      <c r="B88" s="34">
        <v>10.826771653543307</v>
      </c>
    </row>
    <row r="89" spans="1:2">
      <c r="A89" s="40" t="s">
        <v>156</v>
      </c>
      <c r="B89" s="34">
        <v>10.826771653543307</v>
      </c>
    </row>
    <row r="90" spans="1:2">
      <c r="A90" s="40" t="s">
        <v>157</v>
      </c>
      <c r="B90" s="34">
        <v>12.795275590551181</v>
      </c>
    </row>
    <row r="91" spans="1:2">
      <c r="A91" s="40" t="s">
        <v>158</v>
      </c>
      <c r="B91" s="34">
        <v>7.8740157480314963</v>
      </c>
    </row>
    <row r="92" spans="1:2">
      <c r="A92" s="40" t="s">
        <v>159</v>
      </c>
      <c r="B92" s="34">
        <v>5.9055118110236222</v>
      </c>
    </row>
    <row r="93" spans="1:2">
      <c r="A93" s="40" t="s">
        <v>160</v>
      </c>
      <c r="B93" s="34">
        <v>5.4133858267716537</v>
      </c>
    </row>
    <row r="94" spans="1:2">
      <c r="A94" s="40" t="s">
        <v>161</v>
      </c>
      <c r="B94" s="34">
        <v>4.9212598425196852</v>
      </c>
    </row>
    <row r="95" spans="1:2">
      <c r="A95" s="40" t="s">
        <v>162</v>
      </c>
      <c r="B95" s="34">
        <v>4.9212598425196852</v>
      </c>
    </row>
    <row r="96" spans="1:2">
      <c r="A96" s="40" t="s">
        <v>163</v>
      </c>
      <c r="B96" s="34">
        <v>5.4133858267716537</v>
      </c>
    </row>
    <row r="97" spans="1:2">
      <c r="A97" s="40" t="s">
        <v>164</v>
      </c>
      <c r="B97" s="34">
        <v>5.4133858267716537</v>
      </c>
    </row>
    <row r="98" spans="1:2">
      <c r="A98" s="40" t="s">
        <v>165</v>
      </c>
      <c r="B98" s="34">
        <v>11.811023622047244</v>
      </c>
    </row>
    <row r="99" spans="1:2">
      <c r="A99" s="40" t="s">
        <v>166</v>
      </c>
      <c r="B99" s="34">
        <v>10.334645669291339</v>
      </c>
    </row>
    <row r="100" spans="1:2">
      <c r="A100" s="40" t="s">
        <v>167</v>
      </c>
      <c r="B100" s="34">
        <v>13.28740157480315</v>
      </c>
    </row>
    <row r="101" spans="1:2">
      <c r="A101" s="40" t="s">
        <v>168</v>
      </c>
      <c r="B101" s="34">
        <v>9.8425196850393704</v>
      </c>
    </row>
    <row r="102" spans="1:2">
      <c r="A102" s="40" t="s">
        <v>169</v>
      </c>
      <c r="B102" s="34">
        <v>10.334645669291339</v>
      </c>
    </row>
    <row r="103" spans="1:2">
      <c r="A103" s="40" t="s">
        <v>170</v>
      </c>
      <c r="B103" s="34">
        <v>12.795275590551181</v>
      </c>
    </row>
    <row r="104" spans="1:2">
      <c r="A104" s="40" t="s">
        <v>171</v>
      </c>
      <c r="B104" s="34">
        <v>9.8425196850393704</v>
      </c>
    </row>
    <row r="105" spans="1:2">
      <c r="A105" s="40" t="s">
        <v>172</v>
      </c>
      <c r="B105" s="34">
        <v>11.811023622047244</v>
      </c>
    </row>
    <row r="106" spans="1:2">
      <c r="A106" s="40" t="s">
        <v>173</v>
      </c>
      <c r="B106" s="34">
        <v>13.28740157480315</v>
      </c>
    </row>
    <row r="107" spans="1:2">
      <c r="A107" s="40" t="s">
        <v>174</v>
      </c>
      <c r="B107" s="34">
        <v>13.779527559055119</v>
      </c>
    </row>
    <row r="108" spans="1:2">
      <c r="A108" s="40" t="s">
        <v>175</v>
      </c>
      <c r="B108" s="34">
        <v>10.334645669291339</v>
      </c>
    </row>
    <row r="109" spans="1:2">
      <c r="A109" s="40" t="s">
        <v>176</v>
      </c>
      <c r="B109" s="34">
        <v>8.8582677165354333</v>
      </c>
    </row>
    <row r="110" spans="1:2">
      <c r="A110" s="40" t="s">
        <v>177</v>
      </c>
      <c r="B110" s="34">
        <v>5.4133858267716537</v>
      </c>
    </row>
    <row r="111" spans="1:2">
      <c r="A111" s="40" t="s">
        <v>178</v>
      </c>
      <c r="B111" s="34">
        <v>4.9212598425196852</v>
      </c>
    </row>
    <row r="112" spans="1:2">
      <c r="A112" s="40" t="s">
        <v>179</v>
      </c>
      <c r="B112" s="34">
        <v>4.9212598425196852</v>
      </c>
    </row>
    <row r="113" spans="1:2">
      <c r="A113" s="40" t="s">
        <v>180</v>
      </c>
      <c r="B113" s="34">
        <v>4.4291338582677167</v>
      </c>
    </row>
    <row r="114" spans="1:2">
      <c r="A114" s="40" t="s">
        <v>181</v>
      </c>
      <c r="B114" s="34">
        <v>4.4291338582677167</v>
      </c>
    </row>
    <row r="115" spans="1:2">
      <c r="A115" s="40" t="s">
        <v>182</v>
      </c>
      <c r="B115" s="34">
        <v>4.4291338582677167</v>
      </c>
    </row>
    <row r="116" spans="1:2">
      <c r="A116" s="40" t="s">
        <v>183</v>
      </c>
      <c r="B116" s="34">
        <v>4.9212598425196852</v>
      </c>
    </row>
    <row r="117" spans="1:2">
      <c r="A117" s="40" t="s">
        <v>184</v>
      </c>
      <c r="B117" s="34">
        <v>5.4133858267716537</v>
      </c>
    </row>
    <row r="118" spans="1:2">
      <c r="A118" s="40" t="s">
        <v>185</v>
      </c>
      <c r="B118" s="34">
        <v>4.9212598425196852</v>
      </c>
    </row>
    <row r="119" spans="1:2">
      <c r="A119" s="40" t="s">
        <v>186</v>
      </c>
      <c r="B119" s="34">
        <v>4.4291338582677167</v>
      </c>
    </row>
    <row r="120" spans="1:2">
      <c r="A120" s="40" t="s">
        <v>187</v>
      </c>
      <c r="B120" s="34">
        <v>5.4133858267716537</v>
      </c>
    </row>
    <row r="121" spans="1:2">
      <c r="A121" s="40" t="s">
        <v>188</v>
      </c>
      <c r="B121" s="34">
        <v>5.4133858267716537</v>
      </c>
    </row>
    <row r="122" spans="1:2">
      <c r="A122" s="40" t="s">
        <v>189</v>
      </c>
      <c r="B122" s="34">
        <v>15.255905511811024</v>
      </c>
    </row>
    <row r="123" spans="1:2">
      <c r="A123" s="40" t="s">
        <v>190</v>
      </c>
      <c r="B123" s="34">
        <v>22.145669291338582</v>
      </c>
    </row>
    <row r="124" spans="1:2">
      <c r="A124" s="40" t="s">
        <v>191</v>
      </c>
      <c r="B124" s="34">
        <v>25.098425196850393</v>
      </c>
    </row>
    <row r="125" spans="1:2">
      <c r="A125" s="40" t="s">
        <v>192</v>
      </c>
      <c r="B125" s="34">
        <v>18.208661417322833</v>
      </c>
    </row>
    <row r="126" spans="1:2">
      <c r="A126" s="40" t="s">
        <v>193</v>
      </c>
      <c r="B126" s="34">
        <v>20.177165354330707</v>
      </c>
    </row>
    <row r="127" spans="1:2">
      <c r="A127" s="40" t="s">
        <v>194</v>
      </c>
      <c r="B127" s="34">
        <v>18.700787401574804</v>
      </c>
    </row>
    <row r="128" spans="1:2">
      <c r="A128" s="40" t="s">
        <v>195</v>
      </c>
      <c r="B128" s="34">
        <v>12.303149606299213</v>
      </c>
    </row>
    <row r="129" spans="1:2">
      <c r="A129" s="40" t="s">
        <v>196</v>
      </c>
      <c r="B129" s="34">
        <v>9.8425196850393704</v>
      </c>
    </row>
    <row r="130" spans="1:2">
      <c r="A130" s="40" t="s">
        <v>197</v>
      </c>
      <c r="B130" s="34">
        <v>12.303149606299213</v>
      </c>
    </row>
    <row r="131" spans="1:2">
      <c r="A131" s="40" t="s">
        <v>198</v>
      </c>
      <c r="B131" s="34">
        <v>13.779527559055119</v>
      </c>
    </row>
    <row r="132" spans="1:2">
      <c r="A132" s="40" t="s">
        <v>199</v>
      </c>
      <c r="B132" s="34">
        <v>10.826771653543307</v>
      </c>
    </row>
    <row r="133" spans="1:2">
      <c r="A133" s="40" t="s">
        <v>200</v>
      </c>
      <c r="B133" s="34">
        <v>8.8582677165354333</v>
      </c>
    </row>
    <row r="134" spans="1:2">
      <c r="A134" s="40" t="s">
        <v>201</v>
      </c>
      <c r="B134" s="34">
        <v>11.318897637795276</v>
      </c>
    </row>
    <row r="135" spans="1:2">
      <c r="A135" s="40" t="s">
        <v>202</v>
      </c>
      <c r="B135" s="34">
        <v>9.8425196850393704</v>
      </c>
    </row>
    <row r="136" spans="1:2">
      <c r="A136" s="40" t="s">
        <v>203</v>
      </c>
      <c r="B136" s="34">
        <v>12.303149606299213</v>
      </c>
    </row>
    <row r="137" spans="1:2">
      <c r="A137" s="40" t="s">
        <v>204</v>
      </c>
      <c r="B137" s="34">
        <v>13.779527559055119</v>
      </c>
    </row>
    <row r="138" spans="1:2">
      <c r="A138" s="40" t="s">
        <v>205</v>
      </c>
      <c r="B138" s="34">
        <v>13.28740157480315</v>
      </c>
    </row>
    <row r="139" spans="1:2">
      <c r="A139" s="40" t="s">
        <v>206</v>
      </c>
      <c r="B139" s="34">
        <v>11.318897637795276</v>
      </c>
    </row>
    <row r="140" spans="1:2">
      <c r="A140" s="40" t="s">
        <v>207</v>
      </c>
      <c r="B140" s="34">
        <v>22.145669291338582</v>
      </c>
    </row>
    <row r="141" spans="1:2">
      <c r="A141" s="40" t="s">
        <v>208</v>
      </c>
      <c r="B141" s="34">
        <v>26.5748031496063</v>
      </c>
    </row>
    <row r="142" spans="1:2">
      <c r="A142" s="40" t="s">
        <v>209</v>
      </c>
      <c r="B142" s="34">
        <v>22.637795275590552</v>
      </c>
    </row>
    <row r="143" spans="1:2">
      <c r="A143" s="40" t="s">
        <v>210</v>
      </c>
      <c r="B143" s="34">
        <v>19.19291338582677</v>
      </c>
    </row>
    <row r="144" spans="1:2">
      <c r="A144" s="40" t="s">
        <v>211</v>
      </c>
      <c r="B144" s="34">
        <v>20.177165354330707</v>
      </c>
    </row>
    <row r="145" spans="1:2">
      <c r="A145" s="40" t="s">
        <v>212</v>
      </c>
      <c r="B145" s="34">
        <v>19.19291338582677</v>
      </c>
    </row>
    <row r="146" spans="1:2">
      <c r="A146" s="40" t="s">
        <v>213</v>
      </c>
      <c r="B146" s="34">
        <v>5.4133858267716537</v>
      </c>
    </row>
    <row r="147" spans="1:2">
      <c r="A147" s="40" t="s">
        <v>214</v>
      </c>
      <c r="B147" s="34">
        <v>4.4291338582677167</v>
      </c>
    </row>
    <row r="148" spans="1:2">
      <c r="A148" s="40" t="s">
        <v>215</v>
      </c>
      <c r="B148" s="34">
        <v>5.4133858267716537</v>
      </c>
    </row>
    <row r="149" spans="1:2">
      <c r="A149" s="40" t="s">
        <v>216</v>
      </c>
      <c r="B149" s="34">
        <v>4.9212598425196852</v>
      </c>
    </row>
    <row r="150" spans="1:2">
      <c r="A150" s="40" t="s">
        <v>217</v>
      </c>
      <c r="B150" s="34">
        <v>4.9212598425196852</v>
      </c>
    </row>
    <row r="151" spans="1:2">
      <c r="A151" s="40" t="s">
        <v>218</v>
      </c>
      <c r="B151" s="34">
        <v>6.3976377952755907</v>
      </c>
    </row>
    <row r="152" spans="1:2">
      <c r="A152" s="40" t="s">
        <v>219</v>
      </c>
      <c r="B152" s="34">
        <v>11.318897637795276</v>
      </c>
    </row>
    <row r="153" spans="1:2">
      <c r="A153" s="40" t="s">
        <v>220</v>
      </c>
      <c r="B153" s="34">
        <v>12.303149606299213</v>
      </c>
    </row>
    <row r="154" spans="1:2">
      <c r="A154" s="40" t="s">
        <v>221</v>
      </c>
      <c r="B154" s="34">
        <v>6.8897637795275593</v>
      </c>
    </row>
    <row r="155" spans="1:2">
      <c r="A155" s="40" t="s">
        <v>222</v>
      </c>
      <c r="B155" s="34">
        <v>10.826771653543307</v>
      </c>
    </row>
    <row r="156" spans="1:2">
      <c r="A156" s="40" t="s">
        <v>223</v>
      </c>
      <c r="B156" s="34">
        <v>7.8740157480314963</v>
      </c>
    </row>
    <row r="157" spans="1:2">
      <c r="A157" s="40" t="s">
        <v>224</v>
      </c>
      <c r="B157" s="34">
        <v>12.303149606299213</v>
      </c>
    </row>
    <row r="158" spans="1:2">
      <c r="A158" s="40" t="s">
        <v>225</v>
      </c>
      <c r="B158" s="34">
        <v>24.606299212598426</v>
      </c>
    </row>
    <row r="159" spans="1:2">
      <c r="A159" s="40" t="s">
        <v>226</v>
      </c>
      <c r="B159" s="34">
        <v>19.19291338582677</v>
      </c>
    </row>
    <row r="160" spans="1:2">
      <c r="A160" s="40" t="s">
        <v>227</v>
      </c>
      <c r="B160" s="34">
        <v>21.653543307086615</v>
      </c>
    </row>
    <row r="161" spans="1:2">
      <c r="A161" s="40" t="s">
        <v>228</v>
      </c>
      <c r="B161" s="34">
        <v>23.129921259842519</v>
      </c>
    </row>
    <row r="162" spans="1:2">
      <c r="A162" s="40" t="s">
        <v>229</v>
      </c>
      <c r="B162" s="34">
        <v>24.114173228346456</v>
      </c>
    </row>
    <row r="163" spans="1:2">
      <c r="A163" s="40" t="s">
        <v>230</v>
      </c>
      <c r="B163" s="34">
        <v>22.145669291338582</v>
      </c>
    </row>
    <row r="164" spans="1:2">
      <c r="A164" s="40" t="s">
        <v>231</v>
      </c>
      <c r="B164" s="34">
        <v>10.334645669291339</v>
      </c>
    </row>
    <row r="165" spans="1:2">
      <c r="A165" s="40" t="s">
        <v>232</v>
      </c>
      <c r="B165" s="34">
        <v>11.811023622047244</v>
      </c>
    </row>
    <row r="166" spans="1:2">
      <c r="A166" s="40" t="s">
        <v>233</v>
      </c>
      <c r="B166" s="34">
        <v>9.8425196850393704</v>
      </c>
    </row>
    <row r="167" spans="1:2">
      <c r="A167" s="40" t="s">
        <v>234</v>
      </c>
      <c r="B167" s="34">
        <v>14.763779527559056</v>
      </c>
    </row>
    <row r="168" spans="1:2">
      <c r="A168" s="40" t="s">
        <v>235</v>
      </c>
      <c r="B168" s="34">
        <v>8.8582677165354333</v>
      </c>
    </row>
    <row r="169" spans="1:2">
      <c r="A169" s="40" t="s">
        <v>236</v>
      </c>
      <c r="B169" s="34">
        <v>12.795275590551181</v>
      </c>
    </row>
    <row r="170" spans="1:2">
      <c r="A170" s="40" t="s">
        <v>237</v>
      </c>
      <c r="B170" s="34">
        <v>19.19291338582677</v>
      </c>
    </row>
    <row r="171" spans="1:2">
      <c r="A171" s="40" t="s">
        <v>238</v>
      </c>
      <c r="B171" s="34">
        <v>18.700787401574804</v>
      </c>
    </row>
    <row r="172" spans="1:2">
      <c r="A172" s="40" t="s">
        <v>239</v>
      </c>
      <c r="B172" s="34">
        <v>22.637795275590552</v>
      </c>
    </row>
    <row r="173" spans="1:2">
      <c r="A173" s="40" t="s">
        <v>240</v>
      </c>
      <c r="B173" s="34">
        <v>16.240157480314959</v>
      </c>
    </row>
    <row r="174" spans="1:2">
      <c r="A174" s="40" t="s">
        <v>241</v>
      </c>
      <c r="B174" s="34">
        <v>19.19291338582677</v>
      </c>
    </row>
    <row r="175" spans="1:2">
      <c r="A175" s="40" t="s">
        <v>242</v>
      </c>
      <c r="B175" s="34">
        <v>17.224409448818896</v>
      </c>
    </row>
    <row r="176" spans="1:2">
      <c r="A176" s="40" t="s">
        <v>243</v>
      </c>
      <c r="B176" s="34">
        <v>10.826771653543307</v>
      </c>
    </row>
    <row r="177" spans="1:2">
      <c r="A177" s="40" t="s">
        <v>244</v>
      </c>
      <c r="B177" s="34">
        <v>13.28740157480315</v>
      </c>
    </row>
    <row r="178" spans="1:2">
      <c r="A178" s="40" t="s">
        <v>245</v>
      </c>
      <c r="B178" s="34">
        <v>9.3503937007874018</v>
      </c>
    </row>
    <row r="179" spans="1:2">
      <c r="A179" s="40" t="s">
        <v>246</v>
      </c>
      <c r="B179" s="34">
        <v>10.826771653543307</v>
      </c>
    </row>
    <row r="180" spans="1:2">
      <c r="A180" s="40" t="s">
        <v>247</v>
      </c>
      <c r="B180" s="34">
        <v>11.811023622047244</v>
      </c>
    </row>
    <row r="181" spans="1:2">
      <c r="A181" s="40" t="s">
        <v>248</v>
      </c>
      <c r="B181" s="34">
        <v>14.271653543307087</v>
      </c>
    </row>
    <row r="182" spans="1:2">
      <c r="A182" s="40" t="s">
        <v>249</v>
      </c>
      <c r="B182" s="34">
        <v>5.4133858267716537</v>
      </c>
    </row>
    <row r="183" spans="1:2">
      <c r="A183" s="40" t="s">
        <v>250</v>
      </c>
      <c r="B183" s="34">
        <v>5.9055118110236222</v>
      </c>
    </row>
    <row r="184" spans="1:2">
      <c r="A184" s="40" t="s">
        <v>251</v>
      </c>
      <c r="B184" s="34">
        <v>4.4291338582677167</v>
      </c>
    </row>
    <row r="185" spans="1:2">
      <c r="A185" s="40" t="s">
        <v>252</v>
      </c>
      <c r="B185" s="34">
        <v>5.4133858267716537</v>
      </c>
    </row>
    <row r="186" spans="1:2">
      <c r="A186" s="40" t="s">
        <v>253</v>
      </c>
      <c r="B186" s="34">
        <v>4.4291338582677167</v>
      </c>
    </row>
    <row r="187" spans="1:2">
      <c r="A187" s="40" t="s">
        <v>254</v>
      </c>
      <c r="B187" s="34">
        <v>5.9055118110236222</v>
      </c>
    </row>
    <row r="188" spans="1:2">
      <c r="A188" s="40" t="s">
        <v>255</v>
      </c>
      <c r="B188" s="34">
        <v>17.224409448818896</v>
      </c>
    </row>
    <row r="189" spans="1:2">
      <c r="A189" s="40" t="s">
        <v>256</v>
      </c>
      <c r="B189" s="34">
        <v>11.318897637795276</v>
      </c>
    </row>
    <row r="190" spans="1:2">
      <c r="A190" s="40" t="s">
        <v>257</v>
      </c>
      <c r="B190" s="34">
        <v>11.318897637795276</v>
      </c>
    </row>
    <row r="191" spans="1:2">
      <c r="A191" s="40" t="s">
        <v>258</v>
      </c>
      <c r="B191" s="34">
        <v>8.8582677165354333</v>
      </c>
    </row>
    <row r="192" spans="1:2">
      <c r="A192" s="40" t="s">
        <v>259</v>
      </c>
      <c r="B192" s="34">
        <v>11.811023622047244</v>
      </c>
    </row>
    <row r="193" spans="1:2">
      <c r="A193" s="40" t="s">
        <v>260</v>
      </c>
      <c r="B193" s="34">
        <v>11.318897637795276</v>
      </c>
    </row>
    <row r="194" spans="1:2">
      <c r="A194" s="40" t="s">
        <v>261</v>
      </c>
      <c r="B194" s="34">
        <v>13.779527559055119</v>
      </c>
    </row>
    <row r="195" spans="1:2">
      <c r="A195" s="40" t="s">
        <v>262</v>
      </c>
      <c r="B195" s="34">
        <v>14.271653543307087</v>
      </c>
    </row>
    <row r="196" spans="1:2">
      <c r="A196" s="40" t="s">
        <v>263</v>
      </c>
      <c r="B196" s="34">
        <v>14.271653543307087</v>
      </c>
    </row>
    <row r="197" spans="1:2">
      <c r="A197" s="40" t="s">
        <v>264</v>
      </c>
      <c r="B197" s="34">
        <v>11.811023622047244</v>
      </c>
    </row>
    <row r="198" spans="1:2">
      <c r="A198" s="40" t="s">
        <v>265</v>
      </c>
      <c r="B198" s="34">
        <v>15.255905511811024</v>
      </c>
    </row>
    <row r="199" spans="1:2">
      <c r="A199" s="40" t="s">
        <v>266</v>
      </c>
      <c r="B199" s="34">
        <v>13.779527559055119</v>
      </c>
    </row>
    <row r="200" spans="1:2">
      <c r="A200" s="40" t="s">
        <v>267</v>
      </c>
      <c r="B200" s="34">
        <v>11.318897637795276</v>
      </c>
    </row>
    <row r="201" spans="1:2">
      <c r="A201" s="40" t="s">
        <v>268</v>
      </c>
      <c r="B201" s="34">
        <v>12.303149606299213</v>
      </c>
    </row>
    <row r="202" spans="1:2">
      <c r="A202" s="40" t="s">
        <v>269</v>
      </c>
      <c r="B202" s="34">
        <v>11.318897637795276</v>
      </c>
    </row>
    <row r="203" spans="1:2">
      <c r="A203" s="40" t="s">
        <v>270</v>
      </c>
      <c r="B203" s="34">
        <v>13.28740157480315</v>
      </c>
    </row>
    <row r="204" spans="1:2">
      <c r="A204" s="40" t="s">
        <v>271</v>
      </c>
      <c r="B204" s="34">
        <v>11.318897637795276</v>
      </c>
    </row>
    <row r="205" spans="1:2">
      <c r="A205" s="40" t="s">
        <v>272</v>
      </c>
      <c r="B205" s="34">
        <v>13.28740157480315</v>
      </c>
    </row>
    <row r="206" spans="1:2">
      <c r="A206" s="40" t="s">
        <v>273</v>
      </c>
      <c r="B206" s="34">
        <v>12.795275590551181</v>
      </c>
    </row>
    <row r="207" spans="1:2">
      <c r="A207" s="40" t="s">
        <v>274</v>
      </c>
      <c r="B207" s="34">
        <v>12.303149606299213</v>
      </c>
    </row>
    <row r="208" spans="1:2">
      <c r="A208" s="40" t="s">
        <v>275</v>
      </c>
      <c r="B208" s="34">
        <v>10.826771653543307</v>
      </c>
    </row>
    <row r="209" spans="1:2">
      <c r="A209" s="40" t="s">
        <v>276</v>
      </c>
      <c r="B209" s="34">
        <v>9.3503937007874018</v>
      </c>
    </row>
    <row r="210" spans="1:2">
      <c r="A210" s="40" t="s">
        <v>277</v>
      </c>
      <c r="B210" s="34">
        <v>12.303149606299213</v>
      </c>
    </row>
    <row r="211" spans="1:2">
      <c r="A211" s="40" t="s">
        <v>278</v>
      </c>
      <c r="B211" s="34">
        <v>8.8582677165354333</v>
      </c>
    </row>
    <row r="212" spans="1:2">
      <c r="A212" s="40" t="s">
        <v>279</v>
      </c>
      <c r="B212" s="34">
        <v>14.271653543307087</v>
      </c>
    </row>
    <row r="213" spans="1:2">
      <c r="A213" s="40" t="s">
        <v>280</v>
      </c>
      <c r="B213" s="34">
        <v>11.318897637795276</v>
      </c>
    </row>
    <row r="214" spans="1:2">
      <c r="A214" s="40" t="s">
        <v>281</v>
      </c>
      <c r="B214" s="34">
        <v>11.811023622047244</v>
      </c>
    </row>
    <row r="215" spans="1:2">
      <c r="A215" s="40" t="s">
        <v>282</v>
      </c>
      <c r="B215" s="34">
        <v>11.811023622047244</v>
      </c>
    </row>
    <row r="216" spans="1:2">
      <c r="A216" s="40" t="s">
        <v>283</v>
      </c>
      <c r="B216" s="34">
        <v>11.811023622047244</v>
      </c>
    </row>
    <row r="217" spans="1:2">
      <c r="A217" s="40" t="s">
        <v>284</v>
      </c>
      <c r="B217" s="34">
        <v>14.271653543307087</v>
      </c>
    </row>
  </sheetData>
  <sortState xmlns:xlrd2="http://schemas.microsoft.com/office/spreadsheetml/2017/richdata2" ref="A2:B217">
    <sortCondition ref="A2:A21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B7BF2-84BB-4A08-BB39-6678440E7BD6}">
  <dimension ref="A1:D74"/>
  <sheetViews>
    <sheetView workbookViewId="0"/>
  </sheetViews>
  <sheetFormatPr defaultRowHeight="12.75"/>
  <cols>
    <col min="2" max="2" width="10.140625" bestFit="1" customWidth="1"/>
  </cols>
  <sheetData>
    <row r="1" spans="1:4">
      <c r="A1" s="40" t="s">
        <v>68</v>
      </c>
      <c r="B1" s="40" t="s">
        <v>394</v>
      </c>
      <c r="C1" s="40" t="s">
        <v>393</v>
      </c>
      <c r="D1" s="40" t="s">
        <v>392</v>
      </c>
    </row>
    <row r="2" spans="1:4">
      <c r="A2" s="40" t="s">
        <v>76</v>
      </c>
      <c r="B2" s="210">
        <v>37374</v>
      </c>
      <c r="C2" s="40">
        <v>2002</v>
      </c>
      <c r="D2" s="120">
        <v>118.33333333333333</v>
      </c>
    </row>
    <row r="3" spans="1:4">
      <c r="A3" s="40" t="s">
        <v>71</v>
      </c>
      <c r="B3" s="210">
        <v>37375</v>
      </c>
      <c r="C3" s="40">
        <v>2002</v>
      </c>
      <c r="D3" s="120">
        <v>118.5</v>
      </c>
    </row>
    <row r="4" spans="1:4">
      <c r="A4" s="40" t="s">
        <v>77</v>
      </c>
      <c r="B4" s="210">
        <v>37390</v>
      </c>
      <c r="C4" s="40">
        <v>2002</v>
      </c>
      <c r="D4" s="120">
        <v>134.375</v>
      </c>
    </row>
    <row r="5" spans="1:4">
      <c r="A5" s="40" t="s">
        <v>83</v>
      </c>
      <c r="B5" s="210">
        <v>37385</v>
      </c>
      <c r="C5" s="40">
        <v>2002</v>
      </c>
      <c r="D5" s="120">
        <v>129</v>
      </c>
    </row>
    <row r="6" spans="1:4">
      <c r="A6" s="40" t="s">
        <v>89</v>
      </c>
      <c r="B6" s="210">
        <v>37375</v>
      </c>
      <c r="C6" s="40">
        <v>2002</v>
      </c>
      <c r="D6" s="120">
        <v>119.16666666666667</v>
      </c>
    </row>
    <row r="7" spans="1:4">
      <c r="A7" s="40" t="s">
        <v>95</v>
      </c>
      <c r="B7" s="210">
        <v>37376</v>
      </c>
      <c r="C7" s="40">
        <v>2002</v>
      </c>
      <c r="D7" s="120">
        <v>119.66666666666667</v>
      </c>
    </row>
    <row r="8" spans="1:4">
      <c r="A8" s="40" t="s">
        <v>101</v>
      </c>
      <c r="B8" s="210">
        <v>37376</v>
      </c>
      <c r="C8" s="40">
        <v>2002</v>
      </c>
      <c r="D8" s="120">
        <v>120.25</v>
      </c>
    </row>
    <row r="9" spans="1:4">
      <c r="A9" s="40" t="s">
        <v>107</v>
      </c>
      <c r="B9" s="210">
        <v>37375</v>
      </c>
      <c r="C9" s="40">
        <v>2002</v>
      </c>
      <c r="D9" s="120">
        <v>118.66666666666667</v>
      </c>
    </row>
    <row r="10" spans="1:4">
      <c r="A10" s="40" t="s">
        <v>113</v>
      </c>
      <c r="B10" s="210">
        <v>37386</v>
      </c>
      <c r="C10" s="40">
        <v>2002</v>
      </c>
      <c r="D10" s="120">
        <v>130.05263157894737</v>
      </c>
    </row>
    <row r="11" spans="1:4">
      <c r="A11" s="40" t="s">
        <v>119</v>
      </c>
      <c r="B11" s="210">
        <v>37384</v>
      </c>
      <c r="C11" s="40">
        <v>2002</v>
      </c>
      <c r="D11" s="120">
        <v>127.85714285714286</v>
      </c>
    </row>
    <row r="12" spans="1:4">
      <c r="A12" s="40" t="s">
        <v>125</v>
      </c>
      <c r="B12" s="210">
        <v>37376</v>
      </c>
      <c r="C12" s="40">
        <v>2002</v>
      </c>
      <c r="D12" s="120">
        <v>119.75</v>
      </c>
    </row>
    <row r="13" spans="1:4">
      <c r="A13" s="40" t="s">
        <v>131</v>
      </c>
      <c r="B13" s="210">
        <v>37374</v>
      </c>
      <c r="C13" s="40">
        <v>2002</v>
      </c>
      <c r="D13" s="120">
        <v>118</v>
      </c>
    </row>
    <row r="14" spans="1:4">
      <c r="A14" s="40" t="s">
        <v>137</v>
      </c>
      <c r="B14" s="210">
        <v>37374</v>
      </c>
      <c r="C14" s="40">
        <v>2002</v>
      </c>
      <c r="D14" s="120">
        <v>118.125</v>
      </c>
    </row>
    <row r="15" spans="1:4">
      <c r="A15" s="40" t="s">
        <v>143</v>
      </c>
      <c r="B15" s="210">
        <v>37375</v>
      </c>
      <c r="C15" s="40">
        <v>2002</v>
      </c>
      <c r="D15" s="120">
        <v>118.66666666666667</v>
      </c>
    </row>
    <row r="16" spans="1:4">
      <c r="A16" s="40" t="s">
        <v>149</v>
      </c>
      <c r="B16" s="210">
        <v>37385</v>
      </c>
      <c r="C16" s="40">
        <v>2002</v>
      </c>
      <c r="D16" s="120">
        <v>129</v>
      </c>
    </row>
    <row r="17" spans="1:4">
      <c r="A17" s="40" t="s">
        <v>155</v>
      </c>
      <c r="B17" s="210">
        <v>37385</v>
      </c>
      <c r="C17" s="40">
        <v>2002</v>
      </c>
      <c r="D17" s="120">
        <v>129.33333333333334</v>
      </c>
    </row>
    <row r="18" spans="1:4">
      <c r="A18" s="40" t="s">
        <v>161</v>
      </c>
      <c r="B18" s="210">
        <v>37384</v>
      </c>
      <c r="C18" s="40">
        <v>2002</v>
      </c>
      <c r="D18" s="120">
        <v>127.54545454545455</v>
      </c>
    </row>
    <row r="19" spans="1:4">
      <c r="A19" s="40" t="s">
        <v>167</v>
      </c>
      <c r="B19" s="210">
        <v>37375</v>
      </c>
      <c r="C19" s="40">
        <v>2002</v>
      </c>
      <c r="D19" s="120">
        <v>118.5</v>
      </c>
    </row>
    <row r="20" spans="1:4">
      <c r="A20" s="40" t="s">
        <v>173</v>
      </c>
      <c r="B20" s="210">
        <v>37376</v>
      </c>
      <c r="C20" s="40">
        <v>2002</v>
      </c>
      <c r="D20" s="120">
        <v>119.875</v>
      </c>
    </row>
    <row r="21" spans="1:4">
      <c r="A21" s="40" t="s">
        <v>179</v>
      </c>
      <c r="B21" s="210">
        <v>37375</v>
      </c>
      <c r="C21" s="40">
        <v>2002</v>
      </c>
      <c r="D21" s="120">
        <v>119</v>
      </c>
    </row>
    <row r="22" spans="1:4">
      <c r="A22" s="40" t="s">
        <v>185</v>
      </c>
      <c r="B22" s="210">
        <v>37377</v>
      </c>
      <c r="C22" s="40">
        <v>2002</v>
      </c>
      <c r="D22" s="120">
        <v>120.5</v>
      </c>
    </row>
    <row r="23" spans="1:4">
      <c r="A23" s="40" t="s">
        <v>191</v>
      </c>
      <c r="B23" s="210">
        <v>37374</v>
      </c>
      <c r="C23" s="40">
        <v>2002</v>
      </c>
      <c r="D23" s="120">
        <v>118.1875</v>
      </c>
    </row>
    <row r="24" spans="1:4">
      <c r="A24" s="40" t="s">
        <v>197</v>
      </c>
      <c r="B24" s="210">
        <v>37375</v>
      </c>
      <c r="C24" s="40">
        <v>2002</v>
      </c>
      <c r="D24" s="120">
        <v>118.66666666666667</v>
      </c>
    </row>
    <row r="25" spans="1:4">
      <c r="A25" s="40" t="s">
        <v>203</v>
      </c>
      <c r="B25" s="210">
        <v>37377</v>
      </c>
      <c r="C25" s="40">
        <v>2002</v>
      </c>
      <c r="D25" s="120">
        <v>121</v>
      </c>
    </row>
    <row r="26" spans="1:4">
      <c r="A26" s="40" t="s">
        <v>209</v>
      </c>
      <c r="B26" s="210">
        <v>37384</v>
      </c>
      <c r="C26" s="40">
        <v>2002</v>
      </c>
      <c r="D26" s="120">
        <v>127.5</v>
      </c>
    </row>
    <row r="27" spans="1:4">
      <c r="A27" s="40" t="s">
        <v>215</v>
      </c>
      <c r="B27" s="210">
        <v>37391</v>
      </c>
      <c r="C27" s="40">
        <v>2002</v>
      </c>
      <c r="D27" s="120">
        <v>134.78571428571428</v>
      </c>
    </row>
    <row r="28" spans="1:4">
      <c r="A28" s="40" t="s">
        <v>221</v>
      </c>
      <c r="B28" s="210">
        <v>37396</v>
      </c>
      <c r="C28" s="40">
        <v>2002</v>
      </c>
      <c r="D28" s="120">
        <v>140.02941176470588</v>
      </c>
    </row>
    <row r="29" spans="1:4">
      <c r="A29" s="40" t="s">
        <v>227</v>
      </c>
      <c r="B29" s="210">
        <v>37376</v>
      </c>
      <c r="C29" s="40">
        <v>2002</v>
      </c>
      <c r="D29" s="120">
        <v>119.5</v>
      </c>
    </row>
    <row r="30" spans="1:4">
      <c r="A30" s="40" t="s">
        <v>233</v>
      </c>
      <c r="B30" s="210">
        <v>37375</v>
      </c>
      <c r="C30" s="40">
        <v>2002</v>
      </c>
      <c r="D30" s="120">
        <v>118.5</v>
      </c>
    </row>
    <row r="31" spans="1:4">
      <c r="A31" s="40" t="s">
        <v>239</v>
      </c>
      <c r="B31" s="210">
        <v>37375</v>
      </c>
      <c r="C31" s="40">
        <v>2002</v>
      </c>
      <c r="D31" s="120">
        <v>118.57142857142857</v>
      </c>
    </row>
    <row r="32" spans="1:4">
      <c r="A32" s="40" t="s">
        <v>245</v>
      </c>
      <c r="B32" s="210">
        <v>37375</v>
      </c>
      <c r="C32" s="40">
        <v>2002</v>
      </c>
      <c r="D32" s="120">
        <v>119.25</v>
      </c>
    </row>
    <row r="33" spans="1:4">
      <c r="A33" s="40" t="s">
        <v>251</v>
      </c>
      <c r="B33" s="210">
        <v>37376</v>
      </c>
      <c r="C33" s="40">
        <v>2002</v>
      </c>
      <c r="D33" s="120">
        <v>119.75</v>
      </c>
    </row>
    <row r="34" spans="1:4">
      <c r="A34" s="40" t="s">
        <v>257</v>
      </c>
      <c r="B34" s="210">
        <v>37376</v>
      </c>
      <c r="C34" s="40">
        <v>2002</v>
      </c>
      <c r="D34" s="120">
        <v>119.5</v>
      </c>
    </row>
    <row r="35" spans="1:4">
      <c r="A35" s="40" t="s">
        <v>263</v>
      </c>
      <c r="B35" s="210">
        <v>37378</v>
      </c>
      <c r="C35" s="40">
        <v>2002</v>
      </c>
      <c r="D35" s="120">
        <v>121.5625</v>
      </c>
    </row>
    <row r="36" spans="1:4">
      <c r="A36" s="40" t="s">
        <v>269</v>
      </c>
      <c r="B36" s="210">
        <v>37378</v>
      </c>
      <c r="C36" s="40">
        <v>2002</v>
      </c>
      <c r="D36" s="120">
        <v>122.16666666666667</v>
      </c>
    </row>
    <row r="37" spans="1:4">
      <c r="A37" s="40" t="s">
        <v>275</v>
      </c>
      <c r="B37" s="210">
        <v>37378</v>
      </c>
      <c r="C37" s="40">
        <v>2002</v>
      </c>
      <c r="D37" s="120">
        <v>122.25</v>
      </c>
    </row>
    <row r="38" spans="1:4">
      <c r="A38" s="40" t="s">
        <v>281</v>
      </c>
      <c r="B38" s="210">
        <v>37376</v>
      </c>
      <c r="C38" s="40">
        <v>2002</v>
      </c>
      <c r="D38" s="120">
        <v>120</v>
      </c>
    </row>
    <row r="39" spans="1:4">
      <c r="A39" s="40" t="s">
        <v>72</v>
      </c>
      <c r="B39" s="210">
        <v>37390</v>
      </c>
      <c r="C39" s="40">
        <v>2002</v>
      </c>
      <c r="D39" s="120">
        <v>134</v>
      </c>
    </row>
    <row r="40" spans="1:4">
      <c r="A40" s="40" t="s">
        <v>78</v>
      </c>
      <c r="B40" s="210">
        <v>37375</v>
      </c>
      <c r="C40" s="40">
        <v>2002</v>
      </c>
      <c r="D40" s="120">
        <v>119</v>
      </c>
    </row>
    <row r="41" spans="1:4">
      <c r="A41" s="40" t="s">
        <v>84</v>
      </c>
      <c r="B41" s="210">
        <v>37377</v>
      </c>
      <c r="C41" s="40">
        <v>2002</v>
      </c>
      <c r="D41" s="120">
        <v>121</v>
      </c>
    </row>
    <row r="42" spans="1:4">
      <c r="A42" s="40" t="s">
        <v>90</v>
      </c>
      <c r="B42" s="210">
        <v>37377</v>
      </c>
      <c r="C42" s="40">
        <v>2002</v>
      </c>
      <c r="D42" s="120">
        <v>120.5</v>
      </c>
    </row>
    <row r="43" spans="1:4">
      <c r="A43" s="40" t="s">
        <v>96</v>
      </c>
      <c r="B43" s="210">
        <v>37386</v>
      </c>
      <c r="C43" s="40">
        <v>2002</v>
      </c>
      <c r="D43" s="120">
        <v>129.88888888888889</v>
      </c>
    </row>
    <row r="44" spans="1:4">
      <c r="A44" s="40" t="s">
        <v>102</v>
      </c>
      <c r="B44" s="210">
        <v>37376</v>
      </c>
      <c r="C44" s="40">
        <v>2002</v>
      </c>
      <c r="D44" s="120">
        <v>119.875</v>
      </c>
    </row>
    <row r="45" spans="1:4">
      <c r="A45" s="40" t="s">
        <v>108</v>
      </c>
      <c r="B45" s="210">
        <v>37376</v>
      </c>
      <c r="C45" s="40">
        <v>2002</v>
      </c>
      <c r="D45" s="120">
        <v>120.25</v>
      </c>
    </row>
    <row r="46" spans="1:4">
      <c r="A46" s="40" t="s">
        <v>114</v>
      </c>
      <c r="B46" s="210">
        <v>37374</v>
      </c>
      <c r="C46" s="40">
        <v>2002</v>
      </c>
      <c r="D46" s="120">
        <v>117.83333333333333</v>
      </c>
    </row>
    <row r="47" spans="1:4">
      <c r="A47" s="40" t="s">
        <v>120</v>
      </c>
      <c r="B47" s="210">
        <v>37385</v>
      </c>
      <c r="C47" s="40">
        <v>2002</v>
      </c>
      <c r="D47" s="120">
        <v>129</v>
      </c>
    </row>
    <row r="48" spans="1:4">
      <c r="A48" s="40" t="s">
        <v>126</v>
      </c>
      <c r="B48" s="210">
        <v>37377</v>
      </c>
      <c r="C48" s="40">
        <v>2002</v>
      </c>
      <c r="D48" s="120">
        <v>120.75</v>
      </c>
    </row>
    <row r="49" spans="1:4">
      <c r="A49" s="40" t="s">
        <v>132</v>
      </c>
      <c r="B49" s="210">
        <v>37375</v>
      </c>
      <c r="C49" s="40">
        <v>2002</v>
      </c>
      <c r="D49" s="120">
        <v>118.5</v>
      </c>
    </row>
    <row r="50" spans="1:4">
      <c r="A50" s="40" t="s">
        <v>138</v>
      </c>
      <c r="B50" s="210">
        <v>37376</v>
      </c>
      <c r="C50" s="40">
        <v>2002</v>
      </c>
      <c r="D50" s="120">
        <v>119.625</v>
      </c>
    </row>
    <row r="51" spans="1:4">
      <c r="A51" s="40" t="s">
        <v>144</v>
      </c>
      <c r="B51" s="210">
        <v>37376</v>
      </c>
      <c r="C51" s="40">
        <v>2002</v>
      </c>
      <c r="D51" s="120">
        <v>119.5</v>
      </c>
    </row>
    <row r="52" spans="1:4">
      <c r="A52" s="40" t="s">
        <v>150</v>
      </c>
      <c r="B52" s="210">
        <v>37373</v>
      </c>
      <c r="C52" s="40">
        <v>2002</v>
      </c>
      <c r="D52" s="120">
        <v>117</v>
      </c>
    </row>
    <row r="53" spans="1:4">
      <c r="A53" s="40" t="s">
        <v>156</v>
      </c>
      <c r="B53" s="210">
        <v>37387</v>
      </c>
      <c r="C53" s="40">
        <v>2002</v>
      </c>
      <c r="D53" s="120">
        <v>131.4</v>
      </c>
    </row>
    <row r="54" spans="1:4">
      <c r="A54" s="40" t="s">
        <v>162</v>
      </c>
      <c r="B54" s="210">
        <v>37375</v>
      </c>
      <c r="C54" s="40">
        <v>2002</v>
      </c>
      <c r="D54" s="120">
        <v>119</v>
      </c>
    </row>
    <row r="55" spans="1:4">
      <c r="A55" s="40" t="s">
        <v>168</v>
      </c>
      <c r="B55" s="210">
        <v>37375</v>
      </c>
      <c r="C55" s="40">
        <v>2002</v>
      </c>
      <c r="D55" s="120">
        <v>118.71428571428571</v>
      </c>
    </row>
    <row r="56" spans="1:4">
      <c r="A56" s="40" t="s">
        <v>174</v>
      </c>
      <c r="B56" s="210">
        <v>37375</v>
      </c>
      <c r="C56" s="40">
        <v>2002</v>
      </c>
      <c r="D56" s="120">
        <v>119</v>
      </c>
    </row>
    <row r="57" spans="1:4">
      <c r="A57" s="40" t="s">
        <v>180</v>
      </c>
      <c r="B57" s="210">
        <v>37390</v>
      </c>
      <c r="C57" s="40">
        <v>2002</v>
      </c>
      <c r="D57" s="120">
        <v>134.19999999999999</v>
      </c>
    </row>
    <row r="58" spans="1:4">
      <c r="A58" s="40" t="s">
        <v>186</v>
      </c>
      <c r="B58" s="210">
        <v>37375</v>
      </c>
      <c r="C58" s="40">
        <v>2002</v>
      </c>
      <c r="D58" s="120">
        <v>119</v>
      </c>
    </row>
    <row r="59" spans="1:4">
      <c r="A59" s="40" t="s">
        <v>192</v>
      </c>
      <c r="B59" s="210">
        <v>37375</v>
      </c>
      <c r="C59" s="40">
        <v>2002</v>
      </c>
      <c r="D59" s="120">
        <v>118.5</v>
      </c>
    </row>
    <row r="60" spans="1:4">
      <c r="A60" s="40" t="s">
        <v>198</v>
      </c>
      <c r="B60" s="210">
        <v>37373</v>
      </c>
      <c r="C60" s="40">
        <v>2002</v>
      </c>
      <c r="D60" s="120">
        <v>117.25</v>
      </c>
    </row>
    <row r="61" spans="1:4">
      <c r="A61" s="40" t="s">
        <v>204</v>
      </c>
      <c r="B61" s="210">
        <v>37384</v>
      </c>
      <c r="C61" s="40">
        <v>2002</v>
      </c>
      <c r="D61" s="120">
        <v>128.19999999999999</v>
      </c>
    </row>
    <row r="62" spans="1:4">
      <c r="A62" s="40" t="s">
        <v>210</v>
      </c>
      <c r="B62" s="210">
        <v>37376</v>
      </c>
      <c r="C62" s="40">
        <v>2002</v>
      </c>
      <c r="D62" s="120">
        <v>119.91666666666667</v>
      </c>
    </row>
    <row r="63" spans="1:4">
      <c r="A63" s="40" t="s">
        <v>216</v>
      </c>
      <c r="B63" s="210">
        <v>37376</v>
      </c>
      <c r="C63" s="40">
        <v>2002</v>
      </c>
      <c r="D63" s="120">
        <v>119.5</v>
      </c>
    </row>
    <row r="64" spans="1:4">
      <c r="A64" s="40" t="s">
        <v>222</v>
      </c>
      <c r="B64" s="210">
        <v>37374</v>
      </c>
      <c r="C64" s="40">
        <v>2002</v>
      </c>
      <c r="D64" s="120">
        <v>118.25</v>
      </c>
    </row>
    <row r="65" spans="1:4">
      <c r="A65" s="40" t="s">
        <v>228</v>
      </c>
      <c r="B65" s="210">
        <v>37381</v>
      </c>
      <c r="C65" s="40">
        <v>2002</v>
      </c>
      <c r="D65" s="120">
        <v>124.66666666666667</v>
      </c>
    </row>
    <row r="66" spans="1:4">
      <c r="A66" s="40" t="s">
        <v>234</v>
      </c>
      <c r="B66" s="210">
        <v>37375</v>
      </c>
      <c r="C66" s="40">
        <v>2002</v>
      </c>
      <c r="D66" s="120">
        <v>119</v>
      </c>
    </row>
    <row r="67" spans="1:4">
      <c r="A67" s="40" t="s">
        <v>240</v>
      </c>
      <c r="B67" s="210">
        <v>37377</v>
      </c>
      <c r="C67" s="40">
        <v>2002</v>
      </c>
      <c r="D67" s="120">
        <v>120.66666666666667</v>
      </c>
    </row>
    <row r="68" spans="1:4">
      <c r="A68" s="40" t="s">
        <v>246</v>
      </c>
      <c r="B68" s="210">
        <v>37373</v>
      </c>
      <c r="C68" s="40">
        <v>2002</v>
      </c>
      <c r="D68" s="120">
        <v>117.25</v>
      </c>
    </row>
    <row r="69" spans="1:4">
      <c r="A69" s="40" t="s">
        <v>252</v>
      </c>
      <c r="B69" s="210">
        <v>37379</v>
      </c>
      <c r="C69" s="40">
        <v>2002</v>
      </c>
      <c r="D69" s="120">
        <v>123</v>
      </c>
    </row>
    <row r="70" spans="1:4">
      <c r="A70" s="40" t="s">
        <v>258</v>
      </c>
      <c r="B70" s="210">
        <v>37374</v>
      </c>
      <c r="C70" s="40">
        <v>2002</v>
      </c>
      <c r="D70" s="120">
        <v>117.75</v>
      </c>
    </row>
    <row r="71" spans="1:4">
      <c r="A71" s="40" t="s">
        <v>264</v>
      </c>
      <c r="B71" s="210">
        <v>37376</v>
      </c>
      <c r="C71" s="40">
        <v>2002</v>
      </c>
      <c r="D71" s="120">
        <v>119.75</v>
      </c>
    </row>
    <row r="72" spans="1:4">
      <c r="A72" s="40" t="s">
        <v>270</v>
      </c>
      <c r="B72" s="210">
        <v>37377</v>
      </c>
      <c r="C72" s="40">
        <v>2002</v>
      </c>
      <c r="D72" s="120">
        <v>121</v>
      </c>
    </row>
    <row r="73" spans="1:4">
      <c r="A73" s="40" t="s">
        <v>276</v>
      </c>
      <c r="B73" s="210">
        <v>37377</v>
      </c>
      <c r="C73" s="40">
        <v>2002</v>
      </c>
      <c r="D73" s="120">
        <v>120.83333333333333</v>
      </c>
    </row>
    <row r="74" spans="1:4">
      <c r="A74" s="40" t="s">
        <v>282</v>
      </c>
      <c r="B74" s="210">
        <v>37375</v>
      </c>
      <c r="C74" s="40">
        <v>2002</v>
      </c>
      <c r="D74" s="120">
        <v>119.35714285714286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B5D4C-6690-4244-80FD-15C1F2AD541E}">
  <dimension ref="A1:R48"/>
  <sheetViews>
    <sheetView workbookViewId="0">
      <selection activeCell="G3" sqref="G3"/>
    </sheetView>
  </sheetViews>
  <sheetFormatPr defaultRowHeight="12.75"/>
  <sheetData>
    <row r="1" spans="1:18">
      <c r="A1" t="s">
        <v>19</v>
      </c>
      <c r="J1" t="s">
        <v>19</v>
      </c>
    </row>
    <row r="2" spans="1:18">
      <c r="A2" s="1" t="s">
        <v>42</v>
      </c>
      <c r="J2" s="1" t="s">
        <v>42</v>
      </c>
      <c r="M2" t="s">
        <v>23</v>
      </c>
    </row>
    <row r="5" spans="1:18">
      <c r="A5" s="1" t="s">
        <v>22</v>
      </c>
      <c r="J5" s="1" t="s">
        <v>22</v>
      </c>
    </row>
    <row r="6" spans="1:18" ht="13.5" thickBot="1"/>
    <row r="7" spans="1:18" ht="13.5" thickBot="1">
      <c r="D7" s="2"/>
      <c r="E7" s="18"/>
      <c r="F7" s="19" t="s">
        <v>2</v>
      </c>
      <c r="G7" s="18"/>
      <c r="H7" s="18"/>
      <c r="I7" s="20"/>
      <c r="M7" s="2"/>
      <c r="N7" s="18"/>
      <c r="O7" s="18" t="s">
        <v>1</v>
      </c>
      <c r="P7" s="18"/>
      <c r="Q7" s="18"/>
      <c r="R7" s="20"/>
    </row>
    <row r="8" spans="1:18" ht="13.5" thickBot="1">
      <c r="A8" s="16" t="s">
        <v>0</v>
      </c>
      <c r="B8" s="17" t="s">
        <v>9</v>
      </c>
      <c r="C8" s="17" t="s">
        <v>18</v>
      </c>
      <c r="D8" s="21">
        <v>1</v>
      </c>
      <c r="E8" s="12">
        <v>2</v>
      </c>
      <c r="F8" s="12">
        <v>3</v>
      </c>
      <c r="G8" s="12">
        <v>4</v>
      </c>
      <c r="H8" s="12">
        <v>5</v>
      </c>
      <c r="I8" s="14">
        <v>6</v>
      </c>
      <c r="J8" s="16" t="s">
        <v>0</v>
      </c>
      <c r="K8" s="17" t="s">
        <v>9</v>
      </c>
      <c r="L8" s="17" t="s">
        <v>18</v>
      </c>
      <c r="M8" s="21">
        <v>1</v>
      </c>
      <c r="N8" s="12">
        <v>2</v>
      </c>
      <c r="O8" s="12">
        <v>3</v>
      </c>
      <c r="P8" s="12">
        <v>4</v>
      </c>
      <c r="Q8" s="12">
        <v>5</v>
      </c>
      <c r="R8" s="14">
        <v>6</v>
      </c>
    </row>
    <row r="9" spans="1:18">
      <c r="A9" s="2">
        <v>101</v>
      </c>
      <c r="B9" s="8" t="s">
        <v>3</v>
      </c>
      <c r="C9" s="9">
        <v>1</v>
      </c>
      <c r="D9" s="8"/>
      <c r="E9" s="8"/>
      <c r="F9" s="8"/>
      <c r="G9" s="8"/>
      <c r="H9" s="8"/>
      <c r="I9" s="8"/>
      <c r="J9" s="2">
        <v>101</v>
      </c>
      <c r="K9" s="8" t="s">
        <v>3</v>
      </c>
      <c r="L9" s="9">
        <v>1</v>
      </c>
      <c r="M9" s="8"/>
      <c r="N9" s="8"/>
      <c r="O9" s="8"/>
      <c r="P9" s="8"/>
      <c r="Q9" s="8"/>
      <c r="R9" s="10"/>
    </row>
    <row r="10" spans="1:18">
      <c r="A10" s="3">
        <v>102</v>
      </c>
      <c r="B10" s="5" t="s">
        <v>4</v>
      </c>
      <c r="C10" s="7">
        <v>4</v>
      </c>
      <c r="D10" s="5"/>
      <c r="E10" s="5"/>
      <c r="F10" s="5"/>
      <c r="G10" s="5"/>
      <c r="H10" s="5"/>
      <c r="I10" s="5"/>
      <c r="J10" s="3">
        <v>102</v>
      </c>
      <c r="K10" s="5" t="s">
        <v>4</v>
      </c>
      <c r="L10" s="7">
        <v>4</v>
      </c>
      <c r="M10" s="5"/>
      <c r="N10" s="5"/>
      <c r="O10" s="5"/>
      <c r="P10" s="5"/>
      <c r="Q10" s="5"/>
      <c r="R10" s="11"/>
    </row>
    <row r="11" spans="1:18">
      <c r="A11" s="3">
        <v>103</v>
      </c>
      <c r="B11" s="5" t="s">
        <v>5</v>
      </c>
      <c r="C11" s="7">
        <v>5</v>
      </c>
      <c r="D11" s="5"/>
      <c r="E11" s="5"/>
      <c r="F11" s="5"/>
      <c r="G11" s="5"/>
      <c r="H11" s="5"/>
      <c r="I11" s="5"/>
      <c r="J11" s="3">
        <v>103</v>
      </c>
      <c r="K11" s="5" t="s">
        <v>5</v>
      </c>
      <c r="L11" s="7">
        <v>5</v>
      </c>
      <c r="M11" s="5"/>
      <c r="N11" s="5"/>
      <c r="O11" s="5"/>
      <c r="P11" s="5"/>
      <c r="Q11" s="5"/>
      <c r="R11" s="11"/>
    </row>
    <row r="12" spans="1:18">
      <c r="A12" s="3">
        <v>104</v>
      </c>
      <c r="B12" s="5" t="s">
        <v>6</v>
      </c>
      <c r="C12" s="7">
        <v>10</v>
      </c>
      <c r="D12" s="5"/>
      <c r="E12" s="5"/>
      <c r="F12" s="5"/>
      <c r="G12" s="5"/>
      <c r="H12" s="5"/>
      <c r="I12" s="5"/>
      <c r="J12" s="3">
        <v>104</v>
      </c>
      <c r="K12" s="5" t="s">
        <v>6</v>
      </c>
      <c r="L12" s="7">
        <v>10</v>
      </c>
      <c r="M12" s="5"/>
      <c r="N12" s="5"/>
      <c r="O12" s="5"/>
      <c r="P12" s="5"/>
      <c r="Q12" s="5"/>
      <c r="R12" s="11"/>
    </row>
    <row r="13" spans="1:18">
      <c r="A13" s="3">
        <v>105</v>
      </c>
      <c r="B13" s="5" t="s">
        <v>10</v>
      </c>
      <c r="C13" s="7">
        <v>12</v>
      </c>
      <c r="D13" s="5"/>
      <c r="E13" s="5"/>
      <c r="F13" s="5"/>
      <c r="G13" s="5"/>
      <c r="H13" s="5"/>
      <c r="I13" s="5"/>
      <c r="J13" s="3">
        <v>105</v>
      </c>
      <c r="K13" s="5" t="s">
        <v>10</v>
      </c>
      <c r="L13" s="7">
        <v>12</v>
      </c>
      <c r="M13" s="5"/>
      <c r="N13" s="5"/>
      <c r="O13" s="5"/>
      <c r="P13" s="5"/>
      <c r="Q13" s="5"/>
      <c r="R13" s="11"/>
    </row>
    <row r="14" spans="1:18">
      <c r="A14" s="3">
        <v>106</v>
      </c>
      <c r="B14" s="5" t="s">
        <v>7</v>
      </c>
      <c r="C14" s="7">
        <v>9</v>
      </c>
      <c r="D14" s="5"/>
      <c r="E14" s="5"/>
      <c r="F14" s="5"/>
      <c r="G14" s="5"/>
      <c r="H14" s="5"/>
      <c r="I14" s="5"/>
      <c r="J14" s="3">
        <v>106</v>
      </c>
      <c r="K14" s="5" t="s">
        <v>7</v>
      </c>
      <c r="L14" s="7">
        <v>9</v>
      </c>
      <c r="M14" s="5"/>
      <c r="N14" s="5"/>
      <c r="O14" s="5"/>
      <c r="P14" s="5"/>
      <c r="Q14" s="5"/>
      <c r="R14" s="11"/>
    </row>
    <row r="15" spans="1:18">
      <c r="A15" s="3">
        <v>107</v>
      </c>
      <c r="B15" s="5" t="s">
        <v>6</v>
      </c>
      <c r="C15" s="7">
        <v>10</v>
      </c>
      <c r="D15" s="5"/>
      <c r="E15" s="5"/>
      <c r="F15" s="5"/>
      <c r="G15" s="5"/>
      <c r="H15" s="5"/>
      <c r="I15" s="5"/>
      <c r="J15" s="3">
        <v>107</v>
      </c>
      <c r="K15" s="5" t="s">
        <v>6</v>
      </c>
      <c r="L15" s="7">
        <v>10</v>
      </c>
      <c r="M15" s="5"/>
      <c r="N15" s="5"/>
      <c r="O15" s="5"/>
      <c r="P15" s="5"/>
      <c r="Q15" s="5"/>
      <c r="R15" s="11"/>
    </row>
    <row r="16" spans="1:18" ht="13.5" thickBot="1">
      <c r="A16" s="4">
        <v>108</v>
      </c>
      <c r="B16" s="12" t="s">
        <v>8</v>
      </c>
      <c r="C16" s="13">
        <v>3</v>
      </c>
      <c r="D16" s="12"/>
      <c r="E16" s="12"/>
      <c r="F16" s="12"/>
      <c r="G16" s="12"/>
      <c r="H16" s="12"/>
      <c r="I16" s="12"/>
      <c r="J16" s="4">
        <v>108</v>
      </c>
      <c r="K16" s="12" t="s">
        <v>8</v>
      </c>
      <c r="L16" s="13">
        <v>3</v>
      </c>
      <c r="M16" s="12"/>
      <c r="N16" s="12"/>
      <c r="O16" s="12"/>
      <c r="P16" s="12"/>
      <c r="Q16" s="12"/>
      <c r="R16" s="14"/>
    </row>
    <row r="17" spans="1:18">
      <c r="A17" s="2">
        <v>201</v>
      </c>
      <c r="B17" s="8" t="s">
        <v>10</v>
      </c>
      <c r="C17" s="8">
        <v>12</v>
      </c>
      <c r="D17" s="8"/>
      <c r="E17" s="8"/>
      <c r="F17" s="8"/>
      <c r="G17" s="8"/>
      <c r="H17" s="8"/>
      <c r="I17" s="8"/>
      <c r="J17" s="2">
        <v>201</v>
      </c>
      <c r="K17" s="8" t="s">
        <v>10</v>
      </c>
      <c r="L17" s="8">
        <v>12</v>
      </c>
      <c r="M17" s="8"/>
      <c r="N17" s="8"/>
      <c r="O17" s="8"/>
      <c r="P17" s="8"/>
      <c r="Q17" s="8"/>
      <c r="R17" s="10"/>
    </row>
    <row r="18" spans="1:18">
      <c r="A18" s="3">
        <v>202</v>
      </c>
      <c r="B18" s="5" t="s">
        <v>7</v>
      </c>
      <c r="C18" s="5">
        <v>9</v>
      </c>
      <c r="D18" s="5"/>
      <c r="E18" s="5"/>
      <c r="F18" s="5"/>
      <c r="G18" s="5"/>
      <c r="H18" s="5"/>
      <c r="I18" s="5"/>
      <c r="J18" s="3">
        <v>202</v>
      </c>
      <c r="K18" s="5" t="s">
        <v>7</v>
      </c>
      <c r="L18" s="5">
        <v>9</v>
      </c>
      <c r="M18" s="5"/>
      <c r="N18" s="5"/>
      <c r="O18" s="5"/>
      <c r="P18" s="5"/>
      <c r="Q18" s="5"/>
      <c r="R18" s="11"/>
    </row>
    <row r="19" spans="1:18">
      <c r="A19" s="3">
        <v>203</v>
      </c>
      <c r="B19" s="5" t="s">
        <v>8</v>
      </c>
      <c r="C19" s="5">
        <v>3</v>
      </c>
      <c r="D19" s="5"/>
      <c r="E19" s="5"/>
      <c r="F19" s="5"/>
      <c r="G19" s="5"/>
      <c r="H19" s="5"/>
      <c r="I19" s="5"/>
      <c r="J19" s="3">
        <v>203</v>
      </c>
      <c r="K19" s="5" t="s">
        <v>8</v>
      </c>
      <c r="L19" s="5">
        <v>3</v>
      </c>
      <c r="M19" s="5"/>
      <c r="N19" s="5"/>
      <c r="O19" s="5"/>
      <c r="P19" s="5"/>
      <c r="Q19" s="5"/>
      <c r="R19" s="11"/>
    </row>
    <row r="20" spans="1:18">
      <c r="A20" s="3">
        <v>204</v>
      </c>
      <c r="B20" s="5" t="s">
        <v>11</v>
      </c>
      <c r="C20" s="5">
        <v>11</v>
      </c>
      <c r="D20" s="5"/>
      <c r="E20" s="5"/>
      <c r="F20" s="5"/>
      <c r="G20" s="5"/>
      <c r="H20" s="5"/>
      <c r="I20" s="5"/>
      <c r="J20" s="3">
        <v>204</v>
      </c>
      <c r="K20" s="5" t="s">
        <v>11</v>
      </c>
      <c r="L20" s="5">
        <v>11</v>
      </c>
      <c r="M20" s="5"/>
      <c r="N20" s="5"/>
      <c r="O20" s="5"/>
      <c r="P20" s="5"/>
      <c r="Q20" s="5"/>
      <c r="R20" s="11"/>
    </row>
    <row r="21" spans="1:18">
      <c r="A21" s="3">
        <v>205</v>
      </c>
      <c r="B21" s="5" t="s">
        <v>3</v>
      </c>
      <c r="C21" s="5">
        <v>1</v>
      </c>
      <c r="D21" s="5"/>
      <c r="E21" s="5"/>
      <c r="F21" s="5"/>
      <c r="G21" s="5"/>
      <c r="H21" s="5"/>
      <c r="I21" s="5"/>
      <c r="J21" s="3">
        <v>205</v>
      </c>
      <c r="K21" s="5" t="s">
        <v>3</v>
      </c>
      <c r="L21" s="5">
        <v>1</v>
      </c>
      <c r="M21" s="5"/>
      <c r="N21" s="5"/>
      <c r="O21" s="5"/>
      <c r="P21" s="5"/>
      <c r="Q21" s="5"/>
      <c r="R21" s="11"/>
    </row>
    <row r="22" spans="1:18">
      <c r="A22" s="3">
        <v>206</v>
      </c>
      <c r="B22" s="5" t="s">
        <v>12</v>
      </c>
      <c r="C22" s="5">
        <v>8</v>
      </c>
      <c r="D22" s="5"/>
      <c r="E22" s="5"/>
      <c r="F22" s="5"/>
      <c r="G22" s="5"/>
      <c r="H22" s="5"/>
      <c r="I22" s="5"/>
      <c r="J22" s="3">
        <v>206</v>
      </c>
      <c r="K22" s="5" t="s">
        <v>12</v>
      </c>
      <c r="L22" s="5">
        <v>8</v>
      </c>
      <c r="M22" s="5"/>
      <c r="N22" s="5"/>
      <c r="O22" s="5"/>
      <c r="P22" s="5"/>
      <c r="Q22" s="5"/>
      <c r="R22" s="11"/>
    </row>
    <row r="23" spans="1:18">
      <c r="A23" s="3">
        <v>207</v>
      </c>
      <c r="B23" s="5" t="s">
        <v>4</v>
      </c>
      <c r="C23" s="5">
        <v>4</v>
      </c>
      <c r="D23" s="5"/>
      <c r="E23" s="5"/>
      <c r="F23" s="5"/>
      <c r="G23" s="5"/>
      <c r="H23" s="5"/>
      <c r="I23" s="5"/>
      <c r="J23" s="3">
        <v>207</v>
      </c>
      <c r="K23" s="5" t="s">
        <v>4</v>
      </c>
      <c r="L23" s="5">
        <v>4</v>
      </c>
      <c r="M23" s="5"/>
      <c r="N23" s="5"/>
      <c r="O23" s="5"/>
      <c r="P23" s="5"/>
      <c r="Q23" s="5"/>
      <c r="R23" s="11"/>
    </row>
    <row r="24" spans="1:18" ht="13.5" thickBot="1">
      <c r="A24" s="4">
        <v>208</v>
      </c>
      <c r="B24" s="12" t="s">
        <v>13</v>
      </c>
      <c r="C24" s="12">
        <v>2</v>
      </c>
      <c r="D24" s="12"/>
      <c r="E24" s="12"/>
      <c r="F24" s="12"/>
      <c r="G24" s="12"/>
      <c r="H24" s="12"/>
      <c r="I24" s="12"/>
      <c r="J24" s="4">
        <v>208</v>
      </c>
      <c r="K24" s="12" t="s">
        <v>13</v>
      </c>
      <c r="L24" s="12">
        <v>2</v>
      </c>
      <c r="M24" s="12"/>
      <c r="N24" s="12"/>
      <c r="O24" s="12"/>
      <c r="P24" s="12"/>
      <c r="Q24" s="12"/>
      <c r="R24" s="14"/>
    </row>
    <row r="25" spans="1:18">
      <c r="A25" s="2">
        <v>301</v>
      </c>
      <c r="B25" s="8" t="s">
        <v>6</v>
      </c>
      <c r="C25" s="8">
        <v>10</v>
      </c>
      <c r="D25" s="8"/>
      <c r="E25" s="8"/>
      <c r="F25" s="8"/>
      <c r="G25" s="8"/>
      <c r="H25" s="8"/>
      <c r="I25" s="8"/>
      <c r="J25" s="2">
        <v>301</v>
      </c>
      <c r="K25" s="8" t="s">
        <v>6</v>
      </c>
      <c r="L25" s="8">
        <v>10</v>
      </c>
      <c r="M25" s="8"/>
      <c r="N25" s="8"/>
      <c r="O25" s="8"/>
      <c r="P25" s="8"/>
      <c r="Q25" s="8"/>
      <c r="R25" s="10"/>
    </row>
    <row r="26" spans="1:18">
      <c r="A26" s="3">
        <v>302</v>
      </c>
      <c r="B26" s="5" t="s">
        <v>4</v>
      </c>
      <c r="C26" s="5">
        <v>4</v>
      </c>
      <c r="D26" s="5"/>
      <c r="E26" s="5"/>
      <c r="F26" s="5"/>
      <c r="G26" s="5"/>
      <c r="H26" s="5"/>
      <c r="I26" s="5"/>
      <c r="J26" s="3">
        <v>302</v>
      </c>
      <c r="K26" s="5" t="s">
        <v>4</v>
      </c>
      <c r="L26" s="5">
        <v>4</v>
      </c>
      <c r="M26" s="5"/>
      <c r="N26" s="5"/>
      <c r="O26" s="5"/>
      <c r="P26" s="5"/>
      <c r="Q26" s="5"/>
      <c r="R26" s="11"/>
    </row>
    <row r="27" spans="1:18">
      <c r="A27" s="3">
        <v>303</v>
      </c>
      <c r="B27" s="5" t="s">
        <v>12</v>
      </c>
      <c r="C27" s="5">
        <v>8</v>
      </c>
      <c r="D27" s="5"/>
      <c r="E27" s="5"/>
      <c r="F27" s="5"/>
      <c r="G27" s="5"/>
      <c r="H27" s="5"/>
      <c r="I27" s="5"/>
      <c r="J27" s="3">
        <v>303</v>
      </c>
      <c r="K27" s="5" t="s">
        <v>12</v>
      </c>
      <c r="L27" s="5">
        <v>8</v>
      </c>
      <c r="M27" s="5"/>
      <c r="N27" s="5"/>
      <c r="O27" s="5"/>
      <c r="P27" s="5"/>
      <c r="Q27" s="5"/>
      <c r="R27" s="11"/>
    </row>
    <row r="28" spans="1:18">
      <c r="A28" s="3">
        <v>304</v>
      </c>
      <c r="B28" s="5" t="s">
        <v>13</v>
      </c>
      <c r="C28" s="5">
        <v>2</v>
      </c>
      <c r="D28" s="5"/>
      <c r="E28" s="5"/>
      <c r="F28" s="5"/>
      <c r="G28" s="5"/>
      <c r="H28" s="5"/>
      <c r="I28" s="5"/>
      <c r="J28" s="3">
        <v>304</v>
      </c>
      <c r="K28" s="5" t="s">
        <v>13</v>
      </c>
      <c r="L28" s="5">
        <v>2</v>
      </c>
      <c r="M28" s="5"/>
      <c r="N28" s="5"/>
      <c r="O28" s="5"/>
      <c r="P28" s="5"/>
      <c r="Q28" s="5"/>
      <c r="R28" s="11"/>
    </row>
    <row r="29" spans="1:18">
      <c r="A29" s="3">
        <v>305</v>
      </c>
      <c r="B29" s="5" t="s">
        <v>11</v>
      </c>
      <c r="C29" s="5">
        <v>11</v>
      </c>
      <c r="D29" s="5"/>
      <c r="E29" s="5"/>
      <c r="F29" s="5"/>
      <c r="G29" s="5"/>
      <c r="H29" s="5"/>
      <c r="I29" s="5"/>
      <c r="J29" s="3">
        <v>305</v>
      </c>
      <c r="K29" s="5" t="s">
        <v>11</v>
      </c>
      <c r="L29" s="5">
        <v>11</v>
      </c>
      <c r="M29" s="5"/>
      <c r="N29" s="5"/>
      <c r="O29" s="5"/>
      <c r="P29" s="5"/>
      <c r="Q29" s="5"/>
      <c r="R29" s="11"/>
    </row>
    <row r="30" spans="1:18">
      <c r="A30" s="3">
        <v>306</v>
      </c>
      <c r="B30" s="5" t="s">
        <v>4</v>
      </c>
      <c r="C30" s="5">
        <v>4</v>
      </c>
      <c r="D30" s="5"/>
      <c r="E30" s="5"/>
      <c r="F30" s="5"/>
      <c r="G30" s="5"/>
      <c r="H30" s="5"/>
      <c r="I30" s="5"/>
      <c r="J30" s="3">
        <v>306</v>
      </c>
      <c r="K30" s="5" t="s">
        <v>4</v>
      </c>
      <c r="L30" s="5">
        <v>4</v>
      </c>
      <c r="M30" s="5"/>
      <c r="N30" s="5"/>
      <c r="O30" s="5"/>
      <c r="P30" s="5"/>
      <c r="Q30" s="5"/>
      <c r="R30" s="11"/>
    </row>
    <row r="31" spans="1:18">
      <c r="A31" s="3">
        <v>307</v>
      </c>
      <c r="B31" s="5" t="s">
        <v>7</v>
      </c>
      <c r="C31" s="5">
        <v>9</v>
      </c>
      <c r="D31" s="5"/>
      <c r="E31" s="5"/>
      <c r="F31" s="5"/>
      <c r="G31" s="5"/>
      <c r="H31" s="5"/>
      <c r="I31" s="5"/>
      <c r="J31" s="3">
        <v>307</v>
      </c>
      <c r="K31" s="5" t="s">
        <v>7</v>
      </c>
      <c r="L31" s="5">
        <v>9</v>
      </c>
      <c r="M31" s="5"/>
      <c r="N31" s="5"/>
      <c r="O31" s="5"/>
      <c r="P31" s="5"/>
      <c r="Q31" s="5"/>
      <c r="R31" s="11"/>
    </row>
    <row r="32" spans="1:18" ht="13.5" thickBot="1">
      <c r="A32" s="4">
        <v>308</v>
      </c>
      <c r="B32" s="12" t="s">
        <v>5</v>
      </c>
      <c r="C32" s="12">
        <v>5</v>
      </c>
      <c r="D32" s="12"/>
      <c r="E32" s="12"/>
      <c r="F32" s="12"/>
      <c r="G32" s="12"/>
      <c r="H32" s="12"/>
      <c r="I32" s="12"/>
      <c r="J32" s="4">
        <v>308</v>
      </c>
      <c r="K32" s="12" t="s">
        <v>5</v>
      </c>
      <c r="L32" s="12">
        <v>5</v>
      </c>
      <c r="M32" s="12"/>
      <c r="N32" s="12"/>
      <c r="O32" s="12"/>
      <c r="P32" s="12"/>
      <c r="Q32" s="12"/>
      <c r="R32" s="14"/>
    </row>
    <row r="33" spans="1:18">
      <c r="A33" s="2">
        <v>401</v>
      </c>
      <c r="B33" s="8" t="s">
        <v>14</v>
      </c>
      <c r="C33" s="8">
        <v>7</v>
      </c>
      <c r="D33" s="8"/>
      <c r="E33" s="8"/>
      <c r="F33" s="8"/>
      <c r="G33" s="8"/>
      <c r="H33" s="8"/>
      <c r="I33" s="8"/>
      <c r="J33" s="2">
        <v>401</v>
      </c>
      <c r="K33" s="8" t="s">
        <v>14</v>
      </c>
      <c r="L33" s="8">
        <v>7</v>
      </c>
      <c r="M33" s="8"/>
      <c r="N33" s="8"/>
      <c r="O33" s="8"/>
      <c r="P33" s="8"/>
      <c r="Q33" s="8"/>
      <c r="R33" s="10"/>
    </row>
    <row r="34" spans="1:18">
      <c r="A34" s="3">
        <v>402</v>
      </c>
      <c r="B34" s="5" t="s">
        <v>7</v>
      </c>
      <c r="C34" s="5">
        <v>9</v>
      </c>
      <c r="D34" s="5"/>
      <c r="E34" s="5"/>
      <c r="F34" s="5"/>
      <c r="G34" s="5"/>
      <c r="H34" s="5"/>
      <c r="I34" s="5"/>
      <c r="J34" s="3">
        <v>402</v>
      </c>
      <c r="K34" s="5" t="s">
        <v>7</v>
      </c>
      <c r="L34" s="5">
        <v>9</v>
      </c>
      <c r="M34" s="5"/>
      <c r="N34" s="5"/>
      <c r="O34" s="5"/>
      <c r="P34" s="5"/>
      <c r="Q34" s="5"/>
      <c r="R34" s="11"/>
    </row>
    <row r="35" spans="1:18">
      <c r="A35" s="3">
        <v>403</v>
      </c>
      <c r="B35" s="5" t="s">
        <v>15</v>
      </c>
      <c r="C35" s="5">
        <v>6</v>
      </c>
      <c r="D35" s="5"/>
      <c r="E35" s="5"/>
      <c r="F35" s="5"/>
      <c r="G35" s="5"/>
      <c r="H35" s="5"/>
      <c r="I35" s="5"/>
      <c r="J35" s="3">
        <v>403</v>
      </c>
      <c r="K35" s="5" t="s">
        <v>15</v>
      </c>
      <c r="L35" s="5">
        <v>6</v>
      </c>
      <c r="M35" s="5"/>
      <c r="N35" s="5"/>
      <c r="O35" s="5"/>
      <c r="P35" s="5"/>
      <c r="Q35" s="5"/>
      <c r="R35" s="11"/>
    </row>
    <row r="36" spans="1:18">
      <c r="A36" s="3">
        <v>404</v>
      </c>
      <c r="B36" s="5" t="s">
        <v>8</v>
      </c>
      <c r="C36" s="5">
        <v>3</v>
      </c>
      <c r="D36" s="5"/>
      <c r="E36" s="5"/>
      <c r="F36" s="5"/>
      <c r="G36" s="5"/>
      <c r="H36" s="5"/>
      <c r="I36" s="5"/>
      <c r="J36" s="3">
        <v>404</v>
      </c>
      <c r="K36" s="5" t="s">
        <v>8</v>
      </c>
      <c r="L36" s="5">
        <v>3</v>
      </c>
      <c r="M36" s="5"/>
      <c r="N36" s="5"/>
      <c r="O36" s="5"/>
      <c r="P36" s="5"/>
      <c r="Q36" s="5"/>
      <c r="R36" s="11"/>
    </row>
    <row r="37" spans="1:18">
      <c r="A37" s="3">
        <v>405</v>
      </c>
      <c r="B37" s="5" t="s">
        <v>15</v>
      </c>
      <c r="C37" s="5">
        <v>6</v>
      </c>
      <c r="D37" s="5"/>
      <c r="E37" s="5"/>
      <c r="F37" s="5"/>
      <c r="G37" s="5"/>
      <c r="H37" s="5"/>
      <c r="I37" s="5"/>
      <c r="J37" s="3">
        <v>405</v>
      </c>
      <c r="K37" s="5" t="s">
        <v>15</v>
      </c>
      <c r="L37" s="5">
        <v>6</v>
      </c>
      <c r="M37" s="5"/>
      <c r="N37" s="5"/>
      <c r="O37" s="5"/>
      <c r="P37" s="5"/>
      <c r="Q37" s="5"/>
      <c r="R37" s="11"/>
    </row>
    <row r="38" spans="1:18">
      <c r="A38" s="3">
        <v>406</v>
      </c>
      <c r="B38" s="5" t="s">
        <v>8</v>
      </c>
      <c r="C38" s="5">
        <v>3</v>
      </c>
      <c r="D38" s="5"/>
      <c r="E38" s="5"/>
      <c r="F38" s="5"/>
      <c r="G38" s="5"/>
      <c r="H38" s="5"/>
      <c r="I38" s="5"/>
      <c r="J38" s="3">
        <v>406</v>
      </c>
      <c r="K38" s="5" t="s">
        <v>8</v>
      </c>
      <c r="L38" s="5">
        <v>3</v>
      </c>
      <c r="M38" s="5"/>
      <c r="N38" s="5"/>
      <c r="O38" s="5"/>
      <c r="P38" s="5"/>
      <c r="Q38" s="5"/>
      <c r="R38" s="11"/>
    </row>
    <row r="39" spans="1:18">
      <c r="A39" s="3">
        <v>407</v>
      </c>
      <c r="B39" s="5" t="s">
        <v>14</v>
      </c>
      <c r="C39" s="5">
        <v>7</v>
      </c>
      <c r="D39" s="5"/>
      <c r="E39" s="5"/>
      <c r="F39" s="5"/>
      <c r="G39" s="5"/>
      <c r="H39" s="5"/>
      <c r="I39" s="5"/>
      <c r="J39" s="3">
        <v>407</v>
      </c>
      <c r="K39" s="5" t="s">
        <v>14</v>
      </c>
      <c r="L39" s="5">
        <v>7</v>
      </c>
      <c r="M39" s="5"/>
      <c r="N39" s="5"/>
      <c r="O39" s="5"/>
      <c r="P39" s="5"/>
      <c r="Q39" s="5"/>
      <c r="R39" s="11"/>
    </row>
    <row r="40" spans="1:18" ht="13.5" thickBot="1">
      <c r="A40" s="4">
        <v>408</v>
      </c>
      <c r="B40" s="12" t="s">
        <v>6</v>
      </c>
      <c r="C40" s="12">
        <v>10</v>
      </c>
      <c r="D40" s="12"/>
      <c r="E40" s="12"/>
      <c r="F40" s="12"/>
      <c r="G40" s="12"/>
      <c r="H40" s="12"/>
      <c r="I40" s="12"/>
      <c r="J40" s="4">
        <v>408</v>
      </c>
      <c r="K40" s="12" t="s">
        <v>6</v>
      </c>
      <c r="L40" s="12">
        <v>10</v>
      </c>
      <c r="M40" s="12"/>
      <c r="N40" s="12"/>
      <c r="O40" s="12"/>
      <c r="P40" s="12"/>
      <c r="Q40" s="12"/>
      <c r="R40" s="14"/>
    </row>
    <row r="41" spans="1:18">
      <c r="A41" s="2">
        <v>901</v>
      </c>
      <c r="B41" s="8" t="s">
        <v>16</v>
      </c>
      <c r="C41" s="8">
        <v>32</v>
      </c>
      <c r="D41" s="8"/>
      <c r="E41" s="8"/>
      <c r="F41" s="8"/>
      <c r="G41" s="8"/>
      <c r="H41" s="8"/>
      <c r="I41" s="8"/>
      <c r="J41" s="2">
        <v>901</v>
      </c>
      <c r="K41" s="8" t="s">
        <v>16</v>
      </c>
      <c r="L41" s="8">
        <v>32</v>
      </c>
      <c r="M41" s="8"/>
      <c r="N41" s="8"/>
      <c r="O41" s="8"/>
      <c r="P41" s="8"/>
      <c r="Q41" s="8"/>
      <c r="R41" s="10"/>
    </row>
    <row r="42" spans="1:18">
      <c r="A42" s="3">
        <v>902</v>
      </c>
      <c r="B42" s="6">
        <v>37452</v>
      </c>
      <c r="C42" s="5">
        <v>22</v>
      </c>
      <c r="D42" s="5"/>
      <c r="E42" s="5"/>
      <c r="F42" s="5"/>
      <c r="G42" s="5"/>
      <c r="H42" s="5"/>
      <c r="I42" s="5"/>
      <c r="J42" s="3">
        <v>902</v>
      </c>
      <c r="K42" s="6">
        <v>37452</v>
      </c>
      <c r="L42" s="5">
        <v>22</v>
      </c>
      <c r="M42" s="5"/>
      <c r="N42" s="5"/>
      <c r="O42" s="5"/>
      <c r="P42" s="5"/>
      <c r="Q42" s="5"/>
      <c r="R42" s="11"/>
    </row>
    <row r="43" spans="1:18">
      <c r="A43" s="3">
        <v>903</v>
      </c>
      <c r="B43" s="5" t="s">
        <v>17</v>
      </c>
      <c r="C43" s="5">
        <v>31</v>
      </c>
      <c r="D43" s="5"/>
      <c r="E43" s="5"/>
      <c r="F43" s="5"/>
      <c r="G43" s="5"/>
      <c r="H43" s="5"/>
      <c r="I43" s="5"/>
      <c r="J43" s="3">
        <v>903</v>
      </c>
      <c r="K43" s="5" t="s">
        <v>17</v>
      </c>
      <c r="L43" s="5">
        <v>31</v>
      </c>
      <c r="M43" s="5"/>
      <c r="N43" s="5"/>
      <c r="O43" s="5"/>
      <c r="P43" s="5"/>
      <c r="Q43" s="5"/>
      <c r="R43" s="11"/>
    </row>
    <row r="44" spans="1:18">
      <c r="A44" s="3">
        <v>904</v>
      </c>
      <c r="B44" s="6">
        <v>37408</v>
      </c>
      <c r="C44" s="5">
        <v>21</v>
      </c>
      <c r="D44" s="5"/>
      <c r="E44" s="5"/>
      <c r="F44" s="5"/>
      <c r="G44" s="5"/>
      <c r="H44" s="5"/>
      <c r="I44" s="5"/>
      <c r="J44" s="3">
        <v>904</v>
      </c>
      <c r="K44" s="6">
        <v>37408</v>
      </c>
      <c r="L44" s="5">
        <v>21</v>
      </c>
      <c r="M44" s="5"/>
      <c r="N44" s="5"/>
      <c r="O44" s="5"/>
      <c r="P44" s="5"/>
      <c r="Q44" s="5"/>
      <c r="R44" s="11"/>
    </row>
    <row r="45" spans="1:18">
      <c r="A45" s="3">
        <v>905</v>
      </c>
      <c r="B45" s="5" t="s">
        <v>16</v>
      </c>
      <c r="C45" s="5">
        <v>32</v>
      </c>
      <c r="D45" s="5"/>
      <c r="E45" s="5"/>
      <c r="F45" s="5"/>
      <c r="G45" s="5"/>
      <c r="H45" s="5"/>
      <c r="I45" s="5"/>
      <c r="J45" s="3">
        <v>905</v>
      </c>
      <c r="K45" s="5" t="s">
        <v>16</v>
      </c>
      <c r="L45" s="5">
        <v>32</v>
      </c>
      <c r="M45" s="5"/>
      <c r="N45" s="5"/>
      <c r="O45" s="5"/>
      <c r="P45" s="5"/>
      <c r="Q45" s="5"/>
      <c r="R45" s="11"/>
    </row>
    <row r="46" spans="1:18">
      <c r="A46" s="3">
        <v>906</v>
      </c>
      <c r="B46" s="6">
        <v>37452</v>
      </c>
      <c r="C46" s="5">
        <v>22</v>
      </c>
      <c r="D46" s="5"/>
      <c r="E46" s="5"/>
      <c r="F46" s="5"/>
      <c r="G46" s="5"/>
      <c r="H46" s="5"/>
      <c r="I46" s="5"/>
      <c r="J46" s="3">
        <v>906</v>
      </c>
      <c r="K46" s="6">
        <v>37452</v>
      </c>
      <c r="L46" s="5">
        <v>22</v>
      </c>
      <c r="M46" s="5"/>
      <c r="N46" s="5"/>
      <c r="O46" s="5"/>
      <c r="P46" s="5"/>
      <c r="Q46" s="5"/>
      <c r="R46" s="11"/>
    </row>
    <row r="47" spans="1:18">
      <c r="A47" s="3">
        <v>907</v>
      </c>
      <c r="B47" s="5" t="s">
        <v>17</v>
      </c>
      <c r="C47" s="5">
        <v>31</v>
      </c>
      <c r="D47" s="5"/>
      <c r="E47" s="5"/>
      <c r="F47" s="5"/>
      <c r="G47" s="5"/>
      <c r="H47" s="5"/>
      <c r="I47" s="5"/>
      <c r="J47" s="3">
        <v>907</v>
      </c>
      <c r="K47" s="5" t="s">
        <v>17</v>
      </c>
      <c r="L47" s="5">
        <v>31</v>
      </c>
      <c r="M47" s="5"/>
      <c r="N47" s="5"/>
      <c r="O47" s="5"/>
      <c r="P47" s="5"/>
      <c r="Q47" s="5"/>
      <c r="R47" s="11"/>
    </row>
    <row r="48" spans="1:18" ht="13.5" thickBot="1">
      <c r="A48" s="4">
        <v>908</v>
      </c>
      <c r="B48" s="15">
        <v>37408</v>
      </c>
      <c r="C48" s="12">
        <v>21</v>
      </c>
      <c r="D48" s="12"/>
      <c r="E48" s="12"/>
      <c r="F48" s="12"/>
      <c r="G48" s="12"/>
      <c r="H48" s="12"/>
      <c r="I48" s="12"/>
      <c r="J48" s="4">
        <v>908</v>
      </c>
      <c r="K48" s="15">
        <v>37408</v>
      </c>
      <c r="L48" s="12">
        <v>21</v>
      </c>
      <c r="M48" s="12"/>
      <c r="N48" s="12"/>
      <c r="O48" s="12"/>
      <c r="P48" s="12"/>
      <c r="Q48" s="12"/>
      <c r="R48" s="14"/>
    </row>
  </sheetData>
  <phoneticPr fontId="0" type="noConversion"/>
  <pageMargins left="0.75" right="0.75" top="1" bottom="1" header="0.5" footer="0.5"/>
  <pageSetup orientation="portrait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0EBDC-194D-4B6A-AC0A-FBD1BE82CA3D}">
  <dimension ref="A1:Q48"/>
  <sheetViews>
    <sheetView workbookViewId="0">
      <selection activeCell="Q9" sqref="Q9:Q48"/>
    </sheetView>
  </sheetViews>
  <sheetFormatPr defaultRowHeight="12.75"/>
  <cols>
    <col min="10" max="10" width="9.42578125" bestFit="1" customWidth="1"/>
    <col min="17" max="17" width="12.140625" bestFit="1" customWidth="1"/>
  </cols>
  <sheetData>
    <row r="1" spans="1:17">
      <c r="A1" t="s">
        <v>19</v>
      </c>
    </row>
    <row r="2" spans="1:17">
      <c r="A2" t="s">
        <v>20</v>
      </c>
    </row>
    <row r="3" spans="1:17">
      <c r="A3" t="s">
        <v>21</v>
      </c>
    </row>
    <row r="4" spans="1:17">
      <c r="E4" t="s">
        <v>30</v>
      </c>
    </row>
    <row r="5" spans="1:17">
      <c r="A5" s="1" t="s">
        <v>22</v>
      </c>
    </row>
    <row r="6" spans="1:17" ht="13.5" thickBot="1"/>
    <row r="7" spans="1:17" ht="13.5" thickBot="1">
      <c r="D7" s="2"/>
      <c r="E7" s="18"/>
      <c r="F7" s="19" t="s">
        <v>2</v>
      </c>
      <c r="G7" s="18"/>
      <c r="H7" s="18"/>
      <c r="I7" s="20"/>
      <c r="J7" s="18"/>
      <c r="K7" s="2"/>
      <c r="L7" s="18"/>
      <c r="M7" s="18" t="s">
        <v>1</v>
      </c>
      <c r="N7" s="18"/>
      <c r="O7" s="18"/>
      <c r="P7" s="18"/>
      <c r="Q7" s="24"/>
    </row>
    <row r="8" spans="1:17" ht="13.5" thickBot="1">
      <c r="A8" s="16" t="s">
        <v>0</v>
      </c>
      <c r="B8" s="17" t="s">
        <v>9</v>
      </c>
      <c r="C8" s="17" t="s">
        <v>18</v>
      </c>
      <c r="D8" s="21" t="s">
        <v>24</v>
      </c>
      <c r="E8" s="12" t="s">
        <v>25</v>
      </c>
      <c r="F8" s="12" t="s">
        <v>26</v>
      </c>
      <c r="G8" s="12" t="s">
        <v>27</v>
      </c>
      <c r="H8" s="12" t="s">
        <v>28</v>
      </c>
      <c r="I8" s="14" t="s">
        <v>29</v>
      </c>
      <c r="J8" s="22" t="s">
        <v>31</v>
      </c>
      <c r="K8" s="21" t="s">
        <v>24</v>
      </c>
      <c r="L8" s="12" t="s">
        <v>25</v>
      </c>
      <c r="M8" s="12" t="s">
        <v>26</v>
      </c>
      <c r="N8" s="12" t="s">
        <v>27</v>
      </c>
      <c r="O8" s="12" t="s">
        <v>28</v>
      </c>
      <c r="P8" s="13" t="s">
        <v>29</v>
      </c>
      <c r="Q8" s="25" t="s">
        <v>32</v>
      </c>
    </row>
    <row r="9" spans="1:17" ht="13.5" thickBot="1">
      <c r="A9" s="2">
        <v>101</v>
      </c>
      <c r="B9" s="8" t="s">
        <v>3</v>
      </c>
      <c r="C9" s="9">
        <v>1</v>
      </c>
      <c r="D9" s="8">
        <v>31.5</v>
      </c>
      <c r="E9" s="8">
        <v>33</v>
      </c>
      <c r="F9" s="8">
        <v>35</v>
      </c>
      <c r="G9" s="8">
        <v>34</v>
      </c>
      <c r="H9" s="8">
        <v>36.5</v>
      </c>
      <c r="I9" s="8">
        <v>28.5</v>
      </c>
      <c r="J9" s="23">
        <f>AVERAGE(D9:I9)</f>
        <v>33.083333333333336</v>
      </c>
      <c r="K9" s="8">
        <v>34.5</v>
      </c>
      <c r="L9" s="8">
        <v>32.5</v>
      </c>
      <c r="M9" s="8">
        <v>36</v>
      </c>
      <c r="N9" s="8">
        <v>32</v>
      </c>
      <c r="O9" s="8">
        <v>36</v>
      </c>
      <c r="P9" s="9">
        <v>29</v>
      </c>
      <c r="Q9" s="26">
        <f>AVERAGE(K9:P9)</f>
        <v>33.333333333333336</v>
      </c>
    </row>
    <row r="10" spans="1:17" ht="13.5" thickBot="1">
      <c r="A10" s="3">
        <v>102</v>
      </c>
      <c r="B10" s="5" t="s">
        <v>4</v>
      </c>
      <c r="C10" s="7">
        <v>4</v>
      </c>
      <c r="D10" s="5">
        <v>34</v>
      </c>
      <c r="E10" s="5">
        <v>38</v>
      </c>
      <c r="F10" s="5">
        <v>32.5</v>
      </c>
      <c r="G10" s="5">
        <v>25.5</v>
      </c>
      <c r="H10" s="5">
        <v>28.5</v>
      </c>
      <c r="I10" s="5">
        <v>24</v>
      </c>
      <c r="J10" s="23">
        <f t="shared" ref="J10:J48" si="0">AVERAGE(D10:I10)</f>
        <v>30.416666666666668</v>
      </c>
      <c r="K10" s="5">
        <v>38</v>
      </c>
      <c r="L10" s="5">
        <v>41.5</v>
      </c>
      <c r="M10" s="5">
        <v>27.5</v>
      </c>
      <c r="N10" s="5">
        <v>22</v>
      </c>
      <c r="O10" s="5">
        <v>28</v>
      </c>
      <c r="P10" s="7">
        <v>30</v>
      </c>
      <c r="Q10" s="26">
        <f t="shared" ref="Q10:Q48" si="1">AVERAGE(K10:P10)</f>
        <v>31.166666666666668</v>
      </c>
    </row>
    <row r="11" spans="1:17" ht="13.5" thickBot="1">
      <c r="A11" s="3">
        <v>103</v>
      </c>
      <c r="B11" s="5" t="s">
        <v>5</v>
      </c>
      <c r="C11" s="7">
        <v>5</v>
      </c>
      <c r="D11" s="5">
        <v>25.5</v>
      </c>
      <c r="E11" s="5">
        <v>36</v>
      </c>
      <c r="F11" s="5">
        <v>27.5</v>
      </c>
      <c r="G11" s="5">
        <v>38</v>
      </c>
      <c r="H11" s="5">
        <v>31.5</v>
      </c>
      <c r="I11" s="5">
        <v>35</v>
      </c>
      <c r="J11" s="23">
        <f t="shared" si="0"/>
        <v>32.25</v>
      </c>
      <c r="K11" s="5">
        <v>47.5</v>
      </c>
      <c r="L11" s="5">
        <v>58</v>
      </c>
      <c r="M11" s="5">
        <v>47</v>
      </c>
      <c r="N11" s="5">
        <v>54</v>
      </c>
      <c r="O11" s="5">
        <v>57</v>
      </c>
      <c r="P11" s="7">
        <v>53.5</v>
      </c>
      <c r="Q11" s="26">
        <f t="shared" si="1"/>
        <v>52.833333333333336</v>
      </c>
    </row>
    <row r="12" spans="1:17" ht="13.5" thickBot="1">
      <c r="A12" s="3">
        <v>104</v>
      </c>
      <c r="B12" s="5" t="s">
        <v>6</v>
      </c>
      <c r="C12" s="7">
        <v>10</v>
      </c>
      <c r="D12" s="5">
        <v>32.5</v>
      </c>
      <c r="E12" s="5">
        <v>34</v>
      </c>
      <c r="F12" s="5">
        <v>33</v>
      </c>
      <c r="G12" s="5">
        <v>33.5</v>
      </c>
      <c r="H12" s="5">
        <v>30</v>
      </c>
      <c r="I12" s="5">
        <v>29.5</v>
      </c>
      <c r="J12" s="23">
        <f t="shared" si="0"/>
        <v>32.083333333333336</v>
      </c>
      <c r="K12" s="5">
        <v>43</v>
      </c>
      <c r="L12" s="5">
        <v>37</v>
      </c>
      <c r="M12" s="5">
        <v>34</v>
      </c>
      <c r="N12" s="5">
        <v>42</v>
      </c>
      <c r="O12" s="5">
        <v>37</v>
      </c>
      <c r="P12" s="7">
        <v>38.5</v>
      </c>
      <c r="Q12" s="26">
        <f t="shared" si="1"/>
        <v>38.583333333333336</v>
      </c>
    </row>
    <row r="13" spans="1:17" ht="13.5" thickBot="1">
      <c r="A13" s="3">
        <v>105</v>
      </c>
      <c r="B13" s="5" t="s">
        <v>10</v>
      </c>
      <c r="C13" s="7">
        <v>12</v>
      </c>
      <c r="D13" s="5">
        <v>29</v>
      </c>
      <c r="E13" s="5">
        <v>36</v>
      </c>
      <c r="F13" s="5">
        <v>31</v>
      </c>
      <c r="G13" s="5">
        <v>26.5</v>
      </c>
      <c r="H13" s="5">
        <v>30.5</v>
      </c>
      <c r="I13" s="5">
        <v>32</v>
      </c>
      <c r="J13" s="23">
        <f t="shared" si="0"/>
        <v>30.833333333333332</v>
      </c>
      <c r="K13" s="5">
        <v>50</v>
      </c>
      <c r="L13" s="5">
        <v>57.5</v>
      </c>
      <c r="M13" s="5">
        <v>55</v>
      </c>
      <c r="N13" s="5">
        <v>53</v>
      </c>
      <c r="O13" s="5">
        <v>53.5</v>
      </c>
      <c r="P13" s="7">
        <v>58</v>
      </c>
      <c r="Q13" s="26">
        <f t="shared" si="1"/>
        <v>54.5</v>
      </c>
    </row>
    <row r="14" spans="1:17" ht="13.5" thickBot="1">
      <c r="A14" s="3">
        <v>106</v>
      </c>
      <c r="B14" s="5" t="s">
        <v>7</v>
      </c>
      <c r="C14" s="7">
        <v>9</v>
      </c>
      <c r="D14" s="5">
        <v>33</v>
      </c>
      <c r="E14" s="5">
        <v>26</v>
      </c>
      <c r="F14" s="5">
        <v>30</v>
      </c>
      <c r="G14" s="5">
        <v>29.5</v>
      </c>
      <c r="H14" s="5">
        <v>30</v>
      </c>
      <c r="I14" s="5">
        <v>25</v>
      </c>
      <c r="J14" s="23">
        <f t="shared" si="0"/>
        <v>28.916666666666668</v>
      </c>
      <c r="K14" s="5">
        <v>42</v>
      </c>
      <c r="L14" s="5">
        <v>31</v>
      </c>
      <c r="M14" s="5">
        <v>40</v>
      </c>
      <c r="N14" s="5">
        <v>36.5</v>
      </c>
      <c r="O14" s="5">
        <v>44.5</v>
      </c>
      <c r="P14" s="7">
        <v>35</v>
      </c>
      <c r="Q14" s="26">
        <f t="shared" si="1"/>
        <v>38.166666666666664</v>
      </c>
    </row>
    <row r="15" spans="1:17" ht="13.5" thickBot="1">
      <c r="A15" s="3">
        <v>107</v>
      </c>
      <c r="B15" s="5" t="s">
        <v>6</v>
      </c>
      <c r="C15" s="7">
        <v>10</v>
      </c>
      <c r="D15" s="5">
        <v>31</v>
      </c>
      <c r="E15" s="5">
        <v>30</v>
      </c>
      <c r="F15" s="5">
        <v>25.5</v>
      </c>
      <c r="G15" s="5">
        <v>28</v>
      </c>
      <c r="H15" s="5">
        <v>30</v>
      </c>
      <c r="I15" s="5">
        <v>31.5</v>
      </c>
      <c r="J15" s="23">
        <f t="shared" si="0"/>
        <v>29.333333333333332</v>
      </c>
      <c r="K15" s="5">
        <v>35</v>
      </c>
      <c r="L15" s="5">
        <v>31.5</v>
      </c>
      <c r="M15" s="5">
        <v>29</v>
      </c>
      <c r="N15" s="5">
        <v>30.5</v>
      </c>
      <c r="O15" s="5">
        <v>36</v>
      </c>
      <c r="P15" s="7">
        <v>33</v>
      </c>
      <c r="Q15" s="26">
        <f t="shared" si="1"/>
        <v>32.5</v>
      </c>
    </row>
    <row r="16" spans="1:17" ht="13.5" thickBot="1">
      <c r="A16" s="4">
        <v>108</v>
      </c>
      <c r="B16" s="12" t="s">
        <v>8</v>
      </c>
      <c r="C16" s="13">
        <v>3</v>
      </c>
      <c r="D16" s="12">
        <v>31.5</v>
      </c>
      <c r="E16" s="12">
        <v>28</v>
      </c>
      <c r="F16" s="12">
        <v>27</v>
      </c>
      <c r="G16" s="12">
        <v>31.5</v>
      </c>
      <c r="H16" s="12">
        <v>31</v>
      </c>
      <c r="I16" s="12">
        <v>24</v>
      </c>
      <c r="J16" s="23">
        <f t="shared" si="0"/>
        <v>28.833333333333332</v>
      </c>
      <c r="K16" s="12">
        <v>42.5</v>
      </c>
      <c r="L16" s="12">
        <v>34</v>
      </c>
      <c r="M16" s="12">
        <v>32</v>
      </c>
      <c r="N16" s="12">
        <v>36</v>
      </c>
      <c r="O16" s="12">
        <v>37.5</v>
      </c>
      <c r="P16" s="13">
        <v>33.5</v>
      </c>
      <c r="Q16" s="26">
        <f t="shared" si="1"/>
        <v>35.916666666666664</v>
      </c>
    </row>
    <row r="17" spans="1:17" ht="13.5" thickBot="1">
      <c r="A17" s="2">
        <v>201</v>
      </c>
      <c r="B17" s="8" t="s">
        <v>10</v>
      </c>
      <c r="C17" s="8">
        <v>12</v>
      </c>
      <c r="D17" s="8">
        <v>31.5</v>
      </c>
      <c r="E17" s="8">
        <v>33</v>
      </c>
      <c r="F17" s="8">
        <v>29.5</v>
      </c>
      <c r="G17" s="8">
        <v>30</v>
      </c>
      <c r="H17" s="8">
        <v>32</v>
      </c>
      <c r="I17" s="8">
        <v>29.5</v>
      </c>
      <c r="J17" s="23">
        <f t="shared" si="0"/>
        <v>30.916666666666668</v>
      </c>
      <c r="K17" s="8">
        <v>44</v>
      </c>
      <c r="L17" s="8">
        <v>54</v>
      </c>
      <c r="M17" s="8">
        <v>53</v>
      </c>
      <c r="N17" s="8">
        <v>48.5</v>
      </c>
      <c r="O17" s="8">
        <v>56.5</v>
      </c>
      <c r="P17" s="9">
        <v>52</v>
      </c>
      <c r="Q17" s="26">
        <f t="shared" si="1"/>
        <v>51.333333333333336</v>
      </c>
    </row>
    <row r="18" spans="1:17" ht="13.5" thickBot="1">
      <c r="A18" s="3">
        <v>202</v>
      </c>
      <c r="B18" s="5" t="s">
        <v>7</v>
      </c>
      <c r="C18" s="5">
        <v>9</v>
      </c>
      <c r="D18" s="5">
        <v>38</v>
      </c>
      <c r="E18" s="5">
        <v>35</v>
      </c>
      <c r="F18" s="5">
        <v>23.5</v>
      </c>
      <c r="G18" s="5">
        <v>30.5</v>
      </c>
      <c r="H18" s="5">
        <v>32</v>
      </c>
      <c r="I18" s="5">
        <v>30.5</v>
      </c>
      <c r="J18" s="23">
        <f t="shared" si="0"/>
        <v>31.583333333333332</v>
      </c>
      <c r="K18" s="5">
        <v>44</v>
      </c>
      <c r="L18" s="5">
        <v>42.5</v>
      </c>
      <c r="M18" s="5">
        <v>27.5</v>
      </c>
      <c r="N18" s="5">
        <v>30.5</v>
      </c>
      <c r="O18" s="5">
        <v>37</v>
      </c>
      <c r="P18" s="7">
        <v>35</v>
      </c>
      <c r="Q18" s="26">
        <f t="shared" si="1"/>
        <v>36.083333333333336</v>
      </c>
    </row>
    <row r="19" spans="1:17" ht="13.5" thickBot="1">
      <c r="A19" s="3">
        <v>203</v>
      </c>
      <c r="B19" s="5" t="s">
        <v>8</v>
      </c>
      <c r="C19" s="5">
        <v>3</v>
      </c>
      <c r="D19" s="5">
        <v>37</v>
      </c>
      <c r="E19" s="5">
        <v>32.5</v>
      </c>
      <c r="F19" s="5">
        <v>21</v>
      </c>
      <c r="G19" s="5">
        <v>33</v>
      </c>
      <c r="H19" s="5">
        <v>36.5</v>
      </c>
      <c r="I19" s="5">
        <v>24</v>
      </c>
      <c r="J19" s="23">
        <f t="shared" si="0"/>
        <v>30.666666666666668</v>
      </c>
      <c r="K19" s="5">
        <v>40.5</v>
      </c>
      <c r="L19" s="5">
        <v>31</v>
      </c>
      <c r="M19" s="5">
        <v>42</v>
      </c>
      <c r="N19" s="5">
        <v>27.5</v>
      </c>
      <c r="O19" s="5">
        <v>41</v>
      </c>
      <c r="P19" s="7">
        <v>38.5</v>
      </c>
      <c r="Q19" s="26">
        <f t="shared" si="1"/>
        <v>36.75</v>
      </c>
    </row>
    <row r="20" spans="1:17" ht="13.5" thickBot="1">
      <c r="A20" s="3">
        <v>204</v>
      </c>
      <c r="B20" s="5" t="s">
        <v>11</v>
      </c>
      <c r="C20" s="5">
        <v>11</v>
      </c>
      <c r="D20" s="5">
        <v>28.5</v>
      </c>
      <c r="E20" s="5">
        <v>30</v>
      </c>
      <c r="F20" s="5">
        <v>27.5</v>
      </c>
      <c r="G20" s="5">
        <v>34</v>
      </c>
      <c r="H20" s="5">
        <v>35</v>
      </c>
      <c r="I20" s="5">
        <v>28</v>
      </c>
      <c r="J20" s="23">
        <f t="shared" si="0"/>
        <v>30.5</v>
      </c>
      <c r="K20" s="5">
        <v>50.5</v>
      </c>
      <c r="L20" s="5">
        <v>55</v>
      </c>
      <c r="M20" s="5">
        <v>69.5</v>
      </c>
      <c r="N20" s="5">
        <v>58.5</v>
      </c>
      <c r="O20" s="5">
        <v>58</v>
      </c>
      <c r="P20" s="7">
        <v>44</v>
      </c>
      <c r="Q20" s="26">
        <f t="shared" si="1"/>
        <v>55.916666666666664</v>
      </c>
    </row>
    <row r="21" spans="1:17" ht="13.5" thickBot="1">
      <c r="A21" s="3">
        <v>205</v>
      </c>
      <c r="B21" s="5" t="s">
        <v>3</v>
      </c>
      <c r="C21" s="5">
        <v>1</v>
      </c>
      <c r="D21" s="5">
        <v>26.5</v>
      </c>
      <c r="E21" s="5">
        <v>28</v>
      </c>
      <c r="F21" s="5">
        <v>28.5</v>
      </c>
      <c r="G21" s="5">
        <v>28.5</v>
      </c>
      <c r="H21" s="5">
        <v>25</v>
      </c>
      <c r="I21" s="5">
        <v>27</v>
      </c>
      <c r="J21" s="23">
        <f t="shared" si="0"/>
        <v>27.25</v>
      </c>
      <c r="K21" s="5">
        <v>32.5</v>
      </c>
      <c r="L21" s="5">
        <v>34</v>
      </c>
      <c r="M21" s="5">
        <v>34</v>
      </c>
      <c r="N21" s="5">
        <v>34</v>
      </c>
      <c r="O21" s="5">
        <v>23</v>
      </c>
      <c r="P21" s="7">
        <v>38</v>
      </c>
      <c r="Q21" s="26">
        <f t="shared" si="1"/>
        <v>32.583333333333336</v>
      </c>
    </row>
    <row r="22" spans="1:17" ht="13.5" thickBot="1">
      <c r="A22" s="3">
        <v>206</v>
      </c>
      <c r="B22" s="5" t="s">
        <v>12</v>
      </c>
      <c r="C22" s="5">
        <v>8</v>
      </c>
      <c r="D22" s="5">
        <v>23.5</v>
      </c>
      <c r="E22" s="5">
        <v>21</v>
      </c>
      <c r="F22" s="5">
        <v>22</v>
      </c>
      <c r="G22" s="5">
        <v>28.5</v>
      </c>
      <c r="H22" s="5">
        <v>31</v>
      </c>
      <c r="I22" s="5">
        <v>21.5</v>
      </c>
      <c r="J22" s="23">
        <f t="shared" si="0"/>
        <v>24.583333333333332</v>
      </c>
      <c r="K22" s="5">
        <v>31</v>
      </c>
      <c r="L22" s="5">
        <v>30</v>
      </c>
      <c r="M22" s="5">
        <v>28.5</v>
      </c>
      <c r="N22" s="5">
        <v>38</v>
      </c>
      <c r="O22" s="5">
        <v>40</v>
      </c>
      <c r="P22" s="7">
        <v>24</v>
      </c>
      <c r="Q22" s="26">
        <f t="shared" si="1"/>
        <v>31.916666666666668</v>
      </c>
    </row>
    <row r="23" spans="1:17" ht="13.5" thickBot="1">
      <c r="A23" s="3">
        <v>207</v>
      </c>
      <c r="B23" s="5" t="s">
        <v>4</v>
      </c>
      <c r="C23" s="5">
        <v>4</v>
      </c>
      <c r="D23" s="5">
        <v>37.5</v>
      </c>
      <c r="E23" s="5">
        <v>28.5</v>
      </c>
      <c r="F23" s="5">
        <v>27</v>
      </c>
      <c r="G23" s="5">
        <v>26</v>
      </c>
      <c r="H23" s="5">
        <v>34.5</v>
      </c>
      <c r="I23" s="5">
        <v>28.5</v>
      </c>
      <c r="J23" s="23">
        <f t="shared" si="0"/>
        <v>30.333333333333332</v>
      </c>
      <c r="K23" s="5">
        <v>44</v>
      </c>
      <c r="L23" s="5">
        <v>39</v>
      </c>
      <c r="M23" s="5">
        <v>32.5</v>
      </c>
      <c r="N23" s="5">
        <v>38</v>
      </c>
      <c r="O23" s="5">
        <v>47.5</v>
      </c>
      <c r="P23" s="7">
        <v>39</v>
      </c>
      <c r="Q23" s="26">
        <f t="shared" si="1"/>
        <v>40</v>
      </c>
    </row>
    <row r="24" spans="1:17" ht="13.5" thickBot="1">
      <c r="A24" s="4">
        <v>208</v>
      </c>
      <c r="B24" s="12" t="s">
        <v>13</v>
      </c>
      <c r="C24" s="12">
        <v>2</v>
      </c>
      <c r="D24" s="12">
        <v>23.5</v>
      </c>
      <c r="E24" s="12">
        <v>28</v>
      </c>
      <c r="F24" s="12">
        <v>26.5</v>
      </c>
      <c r="G24" s="12">
        <v>25</v>
      </c>
      <c r="H24" s="12">
        <v>30.5</v>
      </c>
      <c r="I24" s="12">
        <v>25</v>
      </c>
      <c r="J24" s="23">
        <f t="shared" si="0"/>
        <v>26.416666666666668</v>
      </c>
      <c r="K24" s="12">
        <v>28</v>
      </c>
      <c r="L24" s="12">
        <v>32</v>
      </c>
      <c r="M24" s="12">
        <v>33</v>
      </c>
      <c r="N24">
        <v>36</v>
      </c>
      <c r="O24" s="12">
        <v>32</v>
      </c>
      <c r="P24" s="13">
        <v>34.5</v>
      </c>
      <c r="Q24" s="26">
        <f t="shared" si="1"/>
        <v>32.583333333333336</v>
      </c>
    </row>
    <row r="25" spans="1:17" ht="13.5" thickBot="1">
      <c r="A25" s="2">
        <v>301</v>
      </c>
      <c r="B25" s="8" t="s">
        <v>6</v>
      </c>
      <c r="C25" s="8">
        <v>10</v>
      </c>
      <c r="D25" s="8">
        <v>36.5</v>
      </c>
      <c r="E25" s="8">
        <v>29</v>
      </c>
      <c r="F25" s="8">
        <v>29.5</v>
      </c>
      <c r="G25" s="8">
        <v>28</v>
      </c>
      <c r="H25" s="8">
        <v>33.5</v>
      </c>
      <c r="I25" s="8">
        <v>26</v>
      </c>
      <c r="J25" s="23">
        <f t="shared" si="0"/>
        <v>30.416666666666668</v>
      </c>
      <c r="K25" s="8">
        <v>38</v>
      </c>
      <c r="L25" s="8">
        <v>34</v>
      </c>
      <c r="M25" s="12">
        <v>30</v>
      </c>
      <c r="N25">
        <v>35</v>
      </c>
      <c r="O25" s="8">
        <v>35.5</v>
      </c>
      <c r="P25" s="9">
        <v>23.5</v>
      </c>
      <c r="Q25" s="26">
        <f t="shared" si="1"/>
        <v>32.666666666666664</v>
      </c>
    </row>
    <row r="26" spans="1:17" ht="13.5" thickBot="1">
      <c r="A26" s="3">
        <v>302</v>
      </c>
      <c r="B26" s="5" t="s">
        <v>4</v>
      </c>
      <c r="C26" s="5">
        <v>4</v>
      </c>
      <c r="D26" s="5">
        <v>34.5</v>
      </c>
      <c r="E26" s="5">
        <v>31</v>
      </c>
      <c r="F26" s="5">
        <v>36</v>
      </c>
      <c r="G26" s="5">
        <v>35</v>
      </c>
      <c r="H26" s="5">
        <v>38.5</v>
      </c>
      <c r="I26" s="5">
        <v>36</v>
      </c>
      <c r="J26" s="23">
        <f t="shared" si="0"/>
        <v>35.166666666666664</v>
      </c>
      <c r="K26" s="5">
        <v>40</v>
      </c>
      <c r="L26" s="5">
        <v>42.5</v>
      </c>
      <c r="M26" s="8">
        <v>49</v>
      </c>
      <c r="N26">
        <v>40</v>
      </c>
      <c r="O26" s="5">
        <v>49</v>
      </c>
      <c r="P26" s="7">
        <v>44</v>
      </c>
      <c r="Q26" s="26">
        <f t="shared" si="1"/>
        <v>44.083333333333336</v>
      </c>
    </row>
    <row r="27" spans="1:17" ht="13.5" thickBot="1">
      <c r="A27" s="3">
        <v>303</v>
      </c>
      <c r="B27" s="5" t="s">
        <v>12</v>
      </c>
      <c r="C27" s="5">
        <v>8</v>
      </c>
      <c r="D27" s="5">
        <v>33.5</v>
      </c>
      <c r="E27" s="5">
        <v>35</v>
      </c>
      <c r="F27" s="5">
        <v>29.5</v>
      </c>
      <c r="G27" s="5">
        <v>20</v>
      </c>
      <c r="H27" s="5">
        <v>26</v>
      </c>
      <c r="I27" s="5">
        <v>28.5</v>
      </c>
      <c r="J27" s="23">
        <f t="shared" si="0"/>
        <v>28.75</v>
      </c>
      <c r="K27" s="5">
        <v>35</v>
      </c>
      <c r="L27" s="5">
        <v>42</v>
      </c>
      <c r="M27" s="5">
        <v>37</v>
      </c>
      <c r="N27" s="5">
        <v>22</v>
      </c>
      <c r="O27" s="5">
        <v>30.5</v>
      </c>
      <c r="P27" s="7">
        <v>40</v>
      </c>
      <c r="Q27" s="26">
        <f t="shared" si="1"/>
        <v>34.416666666666664</v>
      </c>
    </row>
    <row r="28" spans="1:17" ht="13.5" thickBot="1">
      <c r="A28" s="3">
        <v>304</v>
      </c>
      <c r="B28" s="5" t="s">
        <v>13</v>
      </c>
      <c r="C28" s="5">
        <v>2</v>
      </c>
      <c r="D28" s="5">
        <v>32</v>
      </c>
      <c r="E28" s="5">
        <v>26</v>
      </c>
      <c r="F28" s="5">
        <v>28</v>
      </c>
      <c r="G28" s="5">
        <v>26.5</v>
      </c>
      <c r="H28" s="5">
        <v>31.5</v>
      </c>
      <c r="I28" s="5">
        <v>25.5</v>
      </c>
      <c r="J28" s="23">
        <f t="shared" si="0"/>
        <v>28.25</v>
      </c>
      <c r="K28" s="5">
        <v>31</v>
      </c>
      <c r="L28" s="5">
        <v>34.5</v>
      </c>
      <c r="M28" s="5">
        <v>35.5</v>
      </c>
      <c r="N28" s="5">
        <v>33</v>
      </c>
      <c r="O28" s="5">
        <v>46</v>
      </c>
      <c r="P28" s="7">
        <v>28</v>
      </c>
      <c r="Q28" s="26">
        <f t="shared" si="1"/>
        <v>34.666666666666664</v>
      </c>
    </row>
    <row r="29" spans="1:17" ht="13.5" thickBot="1">
      <c r="A29" s="3">
        <v>305</v>
      </c>
      <c r="B29" s="5" t="s">
        <v>11</v>
      </c>
      <c r="C29" s="5">
        <v>11</v>
      </c>
      <c r="D29" s="5">
        <v>32</v>
      </c>
      <c r="E29" s="5">
        <v>34</v>
      </c>
      <c r="F29" s="5">
        <v>36.5</v>
      </c>
      <c r="G29" s="5">
        <v>27</v>
      </c>
      <c r="H29" s="5">
        <v>31</v>
      </c>
      <c r="I29" s="5">
        <v>26</v>
      </c>
      <c r="J29" s="23">
        <f t="shared" si="0"/>
        <v>31.083333333333332</v>
      </c>
      <c r="K29" s="5">
        <v>56</v>
      </c>
      <c r="L29" s="5">
        <v>59</v>
      </c>
      <c r="M29" s="5">
        <v>60.5</v>
      </c>
      <c r="N29" s="5">
        <v>52.5</v>
      </c>
      <c r="O29" s="5">
        <v>54</v>
      </c>
      <c r="P29" s="7">
        <v>47.5</v>
      </c>
      <c r="Q29" s="26">
        <f t="shared" si="1"/>
        <v>54.916666666666664</v>
      </c>
    </row>
    <row r="30" spans="1:17" ht="13.5" thickBot="1">
      <c r="A30" s="3">
        <v>306</v>
      </c>
      <c r="B30" s="5" t="s">
        <v>4</v>
      </c>
      <c r="C30" s="5">
        <v>4</v>
      </c>
      <c r="D30" s="5">
        <v>32</v>
      </c>
      <c r="E30" s="5">
        <v>29</v>
      </c>
      <c r="F30" s="5">
        <v>36.5</v>
      </c>
      <c r="G30" s="5">
        <v>36</v>
      </c>
      <c r="H30" s="5">
        <v>37</v>
      </c>
      <c r="I30" s="5">
        <v>27.5</v>
      </c>
      <c r="J30" s="23">
        <f t="shared" si="0"/>
        <v>33</v>
      </c>
      <c r="K30" s="5">
        <v>40</v>
      </c>
      <c r="L30" s="5">
        <v>33</v>
      </c>
      <c r="M30" s="5">
        <v>32.5</v>
      </c>
      <c r="N30" s="5">
        <v>40</v>
      </c>
      <c r="O30" s="5">
        <v>38</v>
      </c>
      <c r="P30" s="7">
        <v>31.5</v>
      </c>
      <c r="Q30" s="26">
        <f t="shared" si="1"/>
        <v>35.833333333333336</v>
      </c>
    </row>
    <row r="31" spans="1:17" ht="13.5" thickBot="1">
      <c r="A31" s="3">
        <v>307</v>
      </c>
      <c r="B31" s="5" t="s">
        <v>7</v>
      </c>
      <c r="C31" s="5">
        <v>9</v>
      </c>
      <c r="D31" s="5">
        <v>30.5</v>
      </c>
      <c r="E31" s="5">
        <v>29</v>
      </c>
      <c r="F31" s="5">
        <v>32</v>
      </c>
      <c r="G31" s="5">
        <v>24</v>
      </c>
      <c r="H31" s="5">
        <v>27.5</v>
      </c>
      <c r="I31" s="5">
        <v>34</v>
      </c>
      <c r="J31" s="23">
        <f t="shared" si="0"/>
        <v>29.5</v>
      </c>
      <c r="K31" s="5">
        <v>40</v>
      </c>
      <c r="L31" s="5">
        <v>28</v>
      </c>
      <c r="M31" s="5">
        <v>36</v>
      </c>
      <c r="N31" s="5">
        <v>26</v>
      </c>
      <c r="O31" s="5">
        <v>32.5</v>
      </c>
      <c r="P31" s="7">
        <v>39</v>
      </c>
      <c r="Q31" s="26">
        <f t="shared" si="1"/>
        <v>33.583333333333336</v>
      </c>
    </row>
    <row r="32" spans="1:17" ht="13.5" thickBot="1">
      <c r="A32" s="4">
        <v>308</v>
      </c>
      <c r="B32" s="12" t="s">
        <v>5</v>
      </c>
      <c r="C32" s="12">
        <v>5</v>
      </c>
      <c r="D32" s="12">
        <v>38</v>
      </c>
      <c r="E32" s="12">
        <v>26.5</v>
      </c>
      <c r="F32" s="12">
        <v>29</v>
      </c>
      <c r="G32" s="12">
        <v>28.5</v>
      </c>
      <c r="H32" s="12">
        <v>26</v>
      </c>
      <c r="I32" s="12">
        <v>29</v>
      </c>
      <c r="J32" s="23">
        <f t="shared" si="0"/>
        <v>29.5</v>
      </c>
      <c r="K32" s="12">
        <v>51</v>
      </c>
      <c r="L32" s="12">
        <v>48.5</v>
      </c>
      <c r="M32" s="12">
        <v>49</v>
      </c>
      <c r="N32" s="12">
        <v>47</v>
      </c>
      <c r="O32" s="12">
        <v>46</v>
      </c>
      <c r="P32" s="13">
        <v>52.5</v>
      </c>
      <c r="Q32" s="26">
        <f t="shared" si="1"/>
        <v>49</v>
      </c>
    </row>
    <row r="33" spans="1:17" ht="13.5" thickBot="1">
      <c r="A33" s="2">
        <v>401</v>
      </c>
      <c r="B33" s="8" t="s">
        <v>14</v>
      </c>
      <c r="C33" s="8">
        <v>7</v>
      </c>
      <c r="D33" s="8">
        <v>28</v>
      </c>
      <c r="E33" s="8">
        <v>29.5</v>
      </c>
      <c r="F33" s="8">
        <v>30.5</v>
      </c>
      <c r="G33" s="8">
        <v>27.5</v>
      </c>
      <c r="H33" s="8">
        <v>31</v>
      </c>
      <c r="I33" s="8">
        <v>24.5</v>
      </c>
      <c r="J33" s="23">
        <f t="shared" si="0"/>
        <v>28.5</v>
      </c>
      <c r="K33" s="8">
        <v>30</v>
      </c>
      <c r="L33" s="8">
        <v>26</v>
      </c>
      <c r="M33" s="8">
        <v>30</v>
      </c>
      <c r="N33" s="8">
        <v>33</v>
      </c>
      <c r="O33" s="8">
        <v>36.5</v>
      </c>
      <c r="P33" s="9">
        <v>28</v>
      </c>
      <c r="Q33" s="26">
        <f t="shared" si="1"/>
        <v>30.583333333333332</v>
      </c>
    </row>
    <row r="34" spans="1:17" ht="13.5" thickBot="1">
      <c r="A34" s="3">
        <v>402</v>
      </c>
      <c r="B34" s="5" t="s">
        <v>7</v>
      </c>
      <c r="C34" s="5">
        <v>9</v>
      </c>
      <c r="D34" s="5">
        <v>39</v>
      </c>
      <c r="E34" s="5">
        <v>28.5</v>
      </c>
      <c r="F34" s="5">
        <v>30</v>
      </c>
      <c r="G34" s="5">
        <v>33</v>
      </c>
      <c r="H34" s="5">
        <v>28.5</v>
      </c>
      <c r="I34" s="5">
        <v>33.5</v>
      </c>
      <c r="J34" s="23">
        <f t="shared" si="0"/>
        <v>32.083333333333336</v>
      </c>
      <c r="K34" s="5">
        <v>41</v>
      </c>
      <c r="L34" s="5">
        <v>32</v>
      </c>
      <c r="M34" s="5">
        <v>33</v>
      </c>
      <c r="N34" s="5">
        <v>38</v>
      </c>
      <c r="O34" s="5">
        <v>40</v>
      </c>
      <c r="P34" s="7">
        <v>42</v>
      </c>
      <c r="Q34" s="26">
        <f t="shared" si="1"/>
        <v>37.666666666666664</v>
      </c>
    </row>
    <row r="35" spans="1:17" ht="13.5" thickBot="1">
      <c r="A35" s="3">
        <v>403</v>
      </c>
      <c r="B35" s="5" t="s">
        <v>15</v>
      </c>
      <c r="C35" s="5">
        <v>6</v>
      </c>
      <c r="D35" s="5">
        <v>29.5</v>
      </c>
      <c r="E35" s="5">
        <v>28</v>
      </c>
      <c r="F35" s="5">
        <v>30</v>
      </c>
      <c r="G35" s="5">
        <v>27</v>
      </c>
      <c r="H35" s="5">
        <v>31</v>
      </c>
      <c r="I35" s="5">
        <v>30</v>
      </c>
      <c r="J35" s="23">
        <f t="shared" si="0"/>
        <v>29.25</v>
      </c>
      <c r="K35" s="5">
        <v>50</v>
      </c>
      <c r="L35" s="5">
        <v>48.5</v>
      </c>
      <c r="M35" s="5">
        <v>53</v>
      </c>
      <c r="N35" s="5">
        <v>40.5</v>
      </c>
      <c r="O35" s="5">
        <v>50</v>
      </c>
      <c r="P35" s="7">
        <v>47.5</v>
      </c>
      <c r="Q35" s="26">
        <f t="shared" si="1"/>
        <v>48.25</v>
      </c>
    </row>
    <row r="36" spans="1:17" ht="13.5" thickBot="1">
      <c r="A36" s="3">
        <v>404</v>
      </c>
      <c r="B36" s="5" t="s">
        <v>8</v>
      </c>
      <c r="C36" s="5">
        <v>3</v>
      </c>
      <c r="D36" s="5">
        <v>34.5</v>
      </c>
      <c r="E36" s="5">
        <v>33</v>
      </c>
      <c r="F36" s="5">
        <v>32</v>
      </c>
      <c r="G36" s="5">
        <v>31</v>
      </c>
      <c r="H36" s="5">
        <v>29</v>
      </c>
      <c r="I36" s="5">
        <v>28</v>
      </c>
      <c r="J36" s="23">
        <f t="shared" si="0"/>
        <v>31.25</v>
      </c>
      <c r="K36" s="5">
        <v>38</v>
      </c>
      <c r="L36" s="5">
        <v>39.5</v>
      </c>
      <c r="M36" s="5">
        <v>37</v>
      </c>
      <c r="N36" s="5">
        <v>34</v>
      </c>
      <c r="O36" s="5">
        <v>35.5</v>
      </c>
      <c r="P36" s="7">
        <v>40</v>
      </c>
      <c r="Q36" s="26">
        <f t="shared" si="1"/>
        <v>37.333333333333336</v>
      </c>
    </row>
    <row r="37" spans="1:17" ht="13.5" thickBot="1">
      <c r="A37" s="3">
        <v>405</v>
      </c>
      <c r="B37" s="5" t="s">
        <v>15</v>
      </c>
      <c r="C37" s="5">
        <v>6</v>
      </c>
      <c r="D37" s="5">
        <v>28.5</v>
      </c>
      <c r="E37" s="5">
        <v>31</v>
      </c>
      <c r="F37" s="5">
        <v>33</v>
      </c>
      <c r="G37" s="5">
        <v>28</v>
      </c>
      <c r="H37" s="5">
        <v>37</v>
      </c>
      <c r="I37" s="5">
        <v>34</v>
      </c>
      <c r="J37" s="23">
        <f t="shared" si="0"/>
        <v>31.916666666666668</v>
      </c>
      <c r="K37" s="5">
        <v>57</v>
      </c>
      <c r="L37" s="5">
        <v>53.5</v>
      </c>
      <c r="M37" s="5">
        <v>53.5</v>
      </c>
      <c r="N37" s="5">
        <v>47</v>
      </c>
      <c r="O37" s="5">
        <v>51</v>
      </c>
      <c r="P37" s="7">
        <v>49</v>
      </c>
      <c r="Q37" s="26">
        <f t="shared" si="1"/>
        <v>51.833333333333336</v>
      </c>
    </row>
    <row r="38" spans="1:17" ht="13.5" thickBot="1">
      <c r="A38" s="3">
        <v>406</v>
      </c>
      <c r="B38" s="5" t="s">
        <v>8</v>
      </c>
      <c r="C38" s="5">
        <v>3</v>
      </c>
      <c r="D38" s="5">
        <v>33</v>
      </c>
      <c r="E38" s="5">
        <v>33</v>
      </c>
      <c r="F38" s="5">
        <v>34.5</v>
      </c>
      <c r="G38" s="5">
        <v>34</v>
      </c>
      <c r="H38" s="5">
        <v>31</v>
      </c>
      <c r="I38" s="5">
        <v>29.5</v>
      </c>
      <c r="J38" s="23">
        <f t="shared" si="0"/>
        <v>32.5</v>
      </c>
      <c r="K38" s="5">
        <v>37.5</v>
      </c>
      <c r="L38" s="5">
        <v>39</v>
      </c>
      <c r="M38" s="5">
        <v>37.5</v>
      </c>
      <c r="N38" s="5">
        <v>40</v>
      </c>
      <c r="O38" s="5">
        <v>40</v>
      </c>
      <c r="P38" s="7">
        <v>39</v>
      </c>
      <c r="Q38" s="26">
        <f t="shared" si="1"/>
        <v>38.833333333333336</v>
      </c>
    </row>
    <row r="39" spans="1:17" ht="13.5" thickBot="1">
      <c r="A39" s="3">
        <v>407</v>
      </c>
      <c r="B39" s="5" t="s">
        <v>14</v>
      </c>
      <c r="C39" s="5">
        <v>7</v>
      </c>
      <c r="D39" s="5">
        <v>34.5</v>
      </c>
      <c r="E39" s="5">
        <v>31</v>
      </c>
      <c r="F39" s="5">
        <v>28</v>
      </c>
      <c r="G39" s="5">
        <v>27</v>
      </c>
      <c r="H39" s="5">
        <v>30</v>
      </c>
      <c r="I39" s="5">
        <v>33</v>
      </c>
      <c r="J39" s="23">
        <f t="shared" si="0"/>
        <v>30.583333333333332</v>
      </c>
      <c r="K39" s="5">
        <v>42</v>
      </c>
      <c r="L39" s="5">
        <v>33.5</v>
      </c>
      <c r="M39" s="5">
        <v>41</v>
      </c>
      <c r="N39" s="5">
        <v>29</v>
      </c>
      <c r="O39" s="5">
        <v>30</v>
      </c>
      <c r="P39" s="7">
        <v>36.5</v>
      </c>
      <c r="Q39" s="26">
        <f t="shared" si="1"/>
        <v>35.333333333333336</v>
      </c>
    </row>
    <row r="40" spans="1:17" ht="13.5" thickBot="1">
      <c r="A40" s="4">
        <v>408</v>
      </c>
      <c r="B40" s="12" t="s">
        <v>6</v>
      </c>
      <c r="C40" s="12">
        <v>10</v>
      </c>
      <c r="D40" s="12">
        <v>24.5</v>
      </c>
      <c r="E40" s="12">
        <v>28</v>
      </c>
      <c r="F40" s="12">
        <v>29.5</v>
      </c>
      <c r="G40" s="12">
        <v>30</v>
      </c>
      <c r="H40" s="12">
        <v>33</v>
      </c>
      <c r="I40" s="12">
        <v>23</v>
      </c>
      <c r="J40" s="23">
        <f t="shared" si="0"/>
        <v>28</v>
      </c>
      <c r="K40" s="12">
        <v>26.5</v>
      </c>
      <c r="L40" s="12">
        <v>30</v>
      </c>
      <c r="M40" s="12">
        <v>33</v>
      </c>
      <c r="N40" s="12">
        <v>38</v>
      </c>
      <c r="O40" s="12">
        <v>32</v>
      </c>
      <c r="P40" s="13">
        <v>27</v>
      </c>
      <c r="Q40" s="26">
        <f t="shared" si="1"/>
        <v>31.083333333333332</v>
      </c>
    </row>
    <row r="41" spans="1:17" ht="13.5" thickBot="1">
      <c r="A41" s="2">
        <v>901</v>
      </c>
      <c r="B41" s="8" t="s">
        <v>16</v>
      </c>
      <c r="C41" s="8">
        <v>32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23">
        <f t="shared" si="0"/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9">
        <v>0</v>
      </c>
      <c r="Q41" s="26">
        <f t="shared" si="1"/>
        <v>0</v>
      </c>
    </row>
    <row r="42" spans="1:17" ht="13.5" thickBot="1">
      <c r="A42" s="3">
        <v>902</v>
      </c>
      <c r="B42" s="6">
        <v>37452</v>
      </c>
      <c r="C42" s="5">
        <v>22</v>
      </c>
      <c r="D42" s="5">
        <v>30.5</v>
      </c>
      <c r="E42" s="5">
        <v>31.5</v>
      </c>
      <c r="F42" s="5">
        <v>30</v>
      </c>
      <c r="G42" s="5">
        <v>29</v>
      </c>
      <c r="H42" s="5">
        <v>34.5</v>
      </c>
      <c r="I42" s="5">
        <v>32</v>
      </c>
      <c r="J42" s="23">
        <f t="shared" si="0"/>
        <v>31.25</v>
      </c>
      <c r="K42" s="5">
        <v>36</v>
      </c>
      <c r="L42" s="5">
        <v>33.5</v>
      </c>
      <c r="M42" s="5">
        <v>36.5</v>
      </c>
      <c r="N42" s="5">
        <v>40</v>
      </c>
      <c r="O42" s="5">
        <v>38.5</v>
      </c>
      <c r="P42" s="7">
        <v>34</v>
      </c>
      <c r="Q42" s="26">
        <f t="shared" si="1"/>
        <v>36.416666666666664</v>
      </c>
    </row>
    <row r="43" spans="1:17" ht="13.5" thickBot="1">
      <c r="A43" s="3">
        <v>903</v>
      </c>
      <c r="B43" s="5" t="s">
        <v>17</v>
      </c>
      <c r="C43" s="5">
        <v>31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23">
        <f t="shared" si="0"/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7">
        <v>0</v>
      </c>
      <c r="Q43" s="26">
        <f t="shared" si="1"/>
        <v>0</v>
      </c>
    </row>
    <row r="44" spans="1:17" ht="13.5" thickBot="1">
      <c r="A44" s="3">
        <v>904</v>
      </c>
      <c r="B44" s="6">
        <v>37408</v>
      </c>
      <c r="C44" s="5">
        <v>21</v>
      </c>
      <c r="D44" s="5">
        <v>26</v>
      </c>
      <c r="E44" s="5">
        <v>39</v>
      </c>
      <c r="F44" s="5">
        <v>28</v>
      </c>
      <c r="G44" s="5">
        <v>31</v>
      </c>
      <c r="H44" s="5">
        <v>28.5</v>
      </c>
      <c r="I44" s="5">
        <v>32</v>
      </c>
      <c r="J44" s="23">
        <f t="shared" si="0"/>
        <v>30.75</v>
      </c>
      <c r="K44" s="5">
        <v>30</v>
      </c>
      <c r="L44" s="5">
        <v>42</v>
      </c>
      <c r="M44" s="5">
        <v>36</v>
      </c>
      <c r="N44" s="5">
        <v>36</v>
      </c>
      <c r="O44" s="5">
        <v>45</v>
      </c>
      <c r="P44" s="7">
        <v>36</v>
      </c>
      <c r="Q44" s="26">
        <f t="shared" si="1"/>
        <v>37.5</v>
      </c>
    </row>
    <row r="45" spans="1:17" ht="13.5" thickBot="1">
      <c r="A45" s="3">
        <v>905</v>
      </c>
      <c r="B45" s="5" t="s">
        <v>16</v>
      </c>
      <c r="C45" s="5">
        <v>32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23">
        <f t="shared" si="0"/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7">
        <v>0</v>
      </c>
      <c r="Q45" s="26">
        <f t="shared" si="1"/>
        <v>0</v>
      </c>
    </row>
    <row r="46" spans="1:17" ht="13.5" thickBot="1">
      <c r="A46" s="3">
        <v>906</v>
      </c>
      <c r="B46" s="6">
        <v>37452</v>
      </c>
      <c r="C46" s="5">
        <v>22</v>
      </c>
      <c r="D46" s="5">
        <v>32.5</v>
      </c>
      <c r="E46" s="5">
        <v>31</v>
      </c>
      <c r="F46" s="5">
        <v>29</v>
      </c>
      <c r="G46" s="5">
        <v>35.5</v>
      </c>
      <c r="H46" s="5">
        <v>30.5</v>
      </c>
      <c r="I46" s="5">
        <v>21</v>
      </c>
      <c r="J46" s="23">
        <f t="shared" si="0"/>
        <v>29.916666666666668</v>
      </c>
      <c r="K46" s="5">
        <v>37</v>
      </c>
      <c r="L46" s="5">
        <v>40</v>
      </c>
      <c r="M46" s="5">
        <v>31</v>
      </c>
      <c r="N46" s="5">
        <v>40.5</v>
      </c>
      <c r="O46" s="5">
        <v>37</v>
      </c>
      <c r="P46" s="7">
        <v>24</v>
      </c>
      <c r="Q46" s="26">
        <f t="shared" si="1"/>
        <v>34.916666666666664</v>
      </c>
    </row>
    <row r="47" spans="1:17" ht="13.5" thickBot="1">
      <c r="A47" s="3">
        <v>907</v>
      </c>
      <c r="B47" s="5" t="s">
        <v>17</v>
      </c>
      <c r="C47" s="5">
        <v>31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23">
        <f t="shared" si="0"/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7">
        <v>0</v>
      </c>
      <c r="Q47" s="26">
        <f t="shared" si="1"/>
        <v>0</v>
      </c>
    </row>
    <row r="48" spans="1:17" ht="13.5" thickBot="1">
      <c r="A48" s="4">
        <v>908</v>
      </c>
      <c r="B48" s="15">
        <v>37408</v>
      </c>
      <c r="C48" s="12">
        <v>21</v>
      </c>
      <c r="D48" s="12">
        <v>33</v>
      </c>
      <c r="E48" s="12">
        <v>28.5</v>
      </c>
      <c r="F48" s="12">
        <v>35</v>
      </c>
      <c r="G48" s="12">
        <v>34.5</v>
      </c>
      <c r="H48" s="12">
        <v>32</v>
      </c>
      <c r="I48" s="12">
        <v>30</v>
      </c>
      <c r="J48" s="23">
        <f t="shared" si="0"/>
        <v>32.166666666666664</v>
      </c>
      <c r="K48" s="12">
        <v>36</v>
      </c>
      <c r="L48" s="12">
        <v>35</v>
      </c>
      <c r="M48" s="12">
        <v>39</v>
      </c>
      <c r="N48" s="12">
        <v>37.5</v>
      </c>
      <c r="O48" s="12">
        <v>45</v>
      </c>
      <c r="P48" s="13">
        <v>38</v>
      </c>
      <c r="Q48" s="27">
        <f t="shared" si="1"/>
        <v>38.416666666666664</v>
      </c>
    </row>
  </sheetData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8598F-6F5B-46E2-BB47-C9CB4827EFAC}">
  <dimension ref="A1:AE48"/>
  <sheetViews>
    <sheetView workbookViewId="0">
      <selection activeCell="Q9" sqref="Q9:Q48"/>
    </sheetView>
  </sheetViews>
  <sheetFormatPr defaultRowHeight="12.75"/>
  <sheetData>
    <row r="1" spans="1:17">
      <c r="A1" t="s">
        <v>19</v>
      </c>
    </row>
    <row r="2" spans="1:17">
      <c r="A2" t="s">
        <v>34</v>
      </c>
    </row>
    <row r="3" spans="1:17">
      <c r="A3" t="s">
        <v>33</v>
      </c>
    </row>
    <row r="4" spans="1:17">
      <c r="A4" t="s">
        <v>35</v>
      </c>
      <c r="E4" t="s">
        <v>30</v>
      </c>
    </row>
    <row r="5" spans="1:17">
      <c r="A5" s="1" t="s">
        <v>22</v>
      </c>
    </row>
    <row r="6" spans="1:17" ht="13.5" thickBot="1"/>
    <row r="7" spans="1:17" ht="13.5" thickBot="1">
      <c r="D7" s="2"/>
      <c r="E7" s="18"/>
      <c r="F7" s="19" t="s">
        <v>2</v>
      </c>
      <c r="G7" s="18"/>
      <c r="H7" s="18"/>
      <c r="I7" s="20"/>
      <c r="J7" s="18"/>
      <c r="K7" s="2"/>
      <c r="L7" s="18"/>
      <c r="M7" s="18" t="s">
        <v>1</v>
      </c>
      <c r="N7" s="18"/>
      <c r="O7" s="18"/>
      <c r="P7" s="18"/>
      <c r="Q7" s="24"/>
    </row>
    <row r="8" spans="1:17" ht="13.5" thickBot="1">
      <c r="A8" s="16" t="s">
        <v>0</v>
      </c>
      <c r="B8" s="17" t="s">
        <v>9</v>
      </c>
      <c r="C8" s="17" t="s">
        <v>18</v>
      </c>
      <c r="D8" s="21" t="s">
        <v>24</v>
      </c>
      <c r="E8" s="12" t="s">
        <v>25</v>
      </c>
      <c r="F8" s="12" t="s">
        <v>26</v>
      </c>
      <c r="G8" s="12" t="s">
        <v>27</v>
      </c>
      <c r="H8" s="12" t="s">
        <v>28</v>
      </c>
      <c r="I8" s="14" t="s">
        <v>29</v>
      </c>
      <c r="J8" s="22" t="s">
        <v>31</v>
      </c>
      <c r="K8" s="21" t="s">
        <v>24</v>
      </c>
      <c r="L8" s="12" t="s">
        <v>25</v>
      </c>
      <c r="M8" s="12" t="s">
        <v>26</v>
      </c>
      <c r="N8" s="12" t="s">
        <v>27</v>
      </c>
      <c r="O8" s="12" t="s">
        <v>28</v>
      </c>
      <c r="P8" s="13" t="s">
        <v>29</v>
      </c>
      <c r="Q8" s="25" t="s">
        <v>32</v>
      </c>
    </row>
    <row r="9" spans="1:17" ht="13.5" thickBot="1">
      <c r="A9" s="2">
        <v>101</v>
      </c>
      <c r="B9" s="8" t="s">
        <v>3</v>
      </c>
      <c r="C9" s="9">
        <v>1</v>
      </c>
      <c r="D9" s="8">
        <v>36.5</v>
      </c>
      <c r="E9" s="8">
        <v>40.5</v>
      </c>
      <c r="F9" s="8">
        <v>47</v>
      </c>
      <c r="G9" s="8">
        <v>47</v>
      </c>
      <c r="H9" s="8">
        <v>48</v>
      </c>
      <c r="I9" s="8">
        <v>37</v>
      </c>
      <c r="J9" s="23">
        <f>AVERAGE(D9:I9)</f>
        <v>42.666666666666664</v>
      </c>
      <c r="K9" s="8">
        <v>40.5</v>
      </c>
      <c r="L9" s="8">
        <v>44</v>
      </c>
      <c r="M9" s="8">
        <v>43.5</v>
      </c>
      <c r="N9" s="8">
        <v>45</v>
      </c>
      <c r="O9" s="8">
        <v>48.5</v>
      </c>
      <c r="P9" s="9">
        <v>34</v>
      </c>
      <c r="Q9" s="26">
        <f>AVERAGE(K9:P9)</f>
        <v>42.583333333333336</v>
      </c>
    </row>
    <row r="10" spans="1:17" ht="13.5" thickBot="1">
      <c r="A10" s="3">
        <v>102</v>
      </c>
      <c r="B10" s="5" t="s">
        <v>4</v>
      </c>
      <c r="C10" s="7">
        <v>4</v>
      </c>
      <c r="D10" s="5">
        <v>38.5</v>
      </c>
      <c r="E10" s="5">
        <v>46</v>
      </c>
      <c r="F10" s="5">
        <v>33</v>
      </c>
      <c r="G10" s="5">
        <v>35</v>
      </c>
      <c r="H10" s="5">
        <v>36</v>
      </c>
      <c r="I10" s="5">
        <v>43</v>
      </c>
      <c r="J10" s="23">
        <f t="shared" ref="J10:J48" si="0">AVERAGE(D10:I10)</f>
        <v>38.583333333333336</v>
      </c>
      <c r="K10" s="5">
        <v>36</v>
      </c>
      <c r="L10" s="5">
        <v>41</v>
      </c>
      <c r="M10" s="5">
        <v>41</v>
      </c>
      <c r="N10" s="5">
        <v>34</v>
      </c>
      <c r="O10" s="5">
        <v>35</v>
      </c>
      <c r="P10" s="7">
        <v>47</v>
      </c>
      <c r="Q10" s="26">
        <f t="shared" ref="Q10:Q48" si="1">AVERAGE(K10:P10)</f>
        <v>39</v>
      </c>
    </row>
    <row r="11" spans="1:17" ht="13.5" thickBot="1">
      <c r="A11" s="3">
        <v>103</v>
      </c>
      <c r="B11" s="5" t="s">
        <v>5</v>
      </c>
      <c r="C11" s="7">
        <v>5</v>
      </c>
      <c r="D11" s="5">
        <v>37.5</v>
      </c>
      <c r="E11" s="5">
        <v>34</v>
      </c>
      <c r="F11" s="5">
        <v>40</v>
      </c>
      <c r="G11" s="5">
        <v>45</v>
      </c>
      <c r="H11" s="5">
        <v>43</v>
      </c>
      <c r="I11" s="5">
        <v>41</v>
      </c>
      <c r="J11" s="23">
        <f t="shared" si="0"/>
        <v>40.083333333333336</v>
      </c>
      <c r="K11" s="5">
        <v>51</v>
      </c>
      <c r="L11" s="5">
        <v>58</v>
      </c>
      <c r="M11" s="5">
        <v>52</v>
      </c>
      <c r="N11" s="5">
        <v>55</v>
      </c>
      <c r="O11" s="5">
        <v>60</v>
      </c>
      <c r="P11" s="7">
        <v>62</v>
      </c>
      <c r="Q11" s="26">
        <f t="shared" si="1"/>
        <v>56.333333333333336</v>
      </c>
    </row>
    <row r="12" spans="1:17" ht="13.5" thickBot="1">
      <c r="A12" s="3">
        <v>104</v>
      </c>
      <c r="B12" s="5" t="s">
        <v>6</v>
      </c>
      <c r="C12" s="7">
        <v>10</v>
      </c>
      <c r="D12" s="5">
        <v>42</v>
      </c>
      <c r="E12" s="5">
        <v>41</v>
      </c>
      <c r="F12" s="5">
        <v>42</v>
      </c>
      <c r="G12" s="5">
        <v>43</v>
      </c>
      <c r="H12" s="5">
        <v>40</v>
      </c>
      <c r="I12" s="5">
        <v>38.5</v>
      </c>
      <c r="J12" s="23">
        <f t="shared" si="0"/>
        <v>41.083333333333336</v>
      </c>
      <c r="K12" s="5">
        <v>39</v>
      </c>
      <c r="L12" s="5">
        <v>37.5</v>
      </c>
      <c r="M12" s="5">
        <v>38</v>
      </c>
      <c r="N12" s="5">
        <v>43.5</v>
      </c>
      <c r="O12" s="5">
        <v>37</v>
      </c>
      <c r="P12" s="7">
        <v>39</v>
      </c>
      <c r="Q12" s="26">
        <f t="shared" si="1"/>
        <v>39</v>
      </c>
    </row>
    <row r="13" spans="1:17" ht="13.5" thickBot="1">
      <c r="A13" s="3">
        <v>105</v>
      </c>
      <c r="B13" s="5" t="s">
        <v>10</v>
      </c>
      <c r="C13" s="7">
        <v>12</v>
      </c>
      <c r="D13" s="5">
        <v>40</v>
      </c>
      <c r="E13" s="5">
        <v>40</v>
      </c>
      <c r="F13" s="5">
        <v>43</v>
      </c>
      <c r="G13" s="5">
        <v>34</v>
      </c>
      <c r="H13" s="5">
        <v>40</v>
      </c>
      <c r="I13" s="5">
        <v>44</v>
      </c>
      <c r="J13" s="23">
        <f t="shared" si="0"/>
        <v>40.166666666666664</v>
      </c>
      <c r="K13" s="5">
        <v>53</v>
      </c>
      <c r="L13" s="5">
        <v>60</v>
      </c>
      <c r="M13" s="5">
        <v>60</v>
      </c>
      <c r="N13" s="5">
        <v>49</v>
      </c>
      <c r="O13" s="5">
        <v>53</v>
      </c>
      <c r="P13" s="7">
        <v>61</v>
      </c>
      <c r="Q13" s="26">
        <f t="shared" si="1"/>
        <v>56</v>
      </c>
    </row>
    <row r="14" spans="1:17" ht="13.5" thickBot="1">
      <c r="A14" s="3">
        <v>106</v>
      </c>
      <c r="B14" s="5" t="s">
        <v>7</v>
      </c>
      <c r="C14" s="7">
        <v>9</v>
      </c>
      <c r="D14" s="5">
        <v>42.5</v>
      </c>
      <c r="E14" s="5">
        <v>31</v>
      </c>
      <c r="F14" s="5">
        <v>42</v>
      </c>
      <c r="G14" s="5">
        <v>34</v>
      </c>
      <c r="H14" s="5">
        <v>39</v>
      </c>
      <c r="I14" s="5">
        <v>33</v>
      </c>
      <c r="J14" s="23">
        <f t="shared" si="0"/>
        <v>36.916666666666664</v>
      </c>
      <c r="K14" s="5">
        <v>43</v>
      </c>
      <c r="L14" s="5">
        <v>31</v>
      </c>
      <c r="M14" s="5">
        <v>45</v>
      </c>
      <c r="N14" s="5">
        <v>30</v>
      </c>
      <c r="O14" s="5">
        <v>43</v>
      </c>
      <c r="P14" s="7">
        <v>31</v>
      </c>
      <c r="Q14" s="26">
        <f t="shared" si="1"/>
        <v>37.166666666666664</v>
      </c>
    </row>
    <row r="15" spans="1:17" ht="13.5" thickBot="1">
      <c r="A15" s="3">
        <v>107</v>
      </c>
      <c r="B15" s="5" t="s">
        <v>6</v>
      </c>
      <c r="C15" s="7">
        <v>10</v>
      </c>
      <c r="D15" s="5">
        <v>39</v>
      </c>
      <c r="E15" s="5">
        <v>38</v>
      </c>
      <c r="F15" s="5">
        <v>33</v>
      </c>
      <c r="G15" s="5">
        <v>43</v>
      </c>
      <c r="H15" s="5">
        <v>37</v>
      </c>
      <c r="I15" s="5">
        <v>39.5</v>
      </c>
      <c r="J15" s="23">
        <f t="shared" si="0"/>
        <v>38.25</v>
      </c>
      <c r="K15" s="5">
        <v>38.5</v>
      </c>
      <c r="L15" s="5">
        <v>36</v>
      </c>
      <c r="M15" s="5">
        <v>32</v>
      </c>
      <c r="N15" s="5">
        <v>40</v>
      </c>
      <c r="O15" s="5">
        <v>31</v>
      </c>
      <c r="P15" s="7">
        <v>33.5</v>
      </c>
      <c r="Q15" s="26">
        <f t="shared" si="1"/>
        <v>35.166666666666664</v>
      </c>
    </row>
    <row r="16" spans="1:17" ht="13.5" thickBot="1">
      <c r="A16" s="4">
        <v>108</v>
      </c>
      <c r="B16" s="12" t="s">
        <v>8</v>
      </c>
      <c r="C16" s="13">
        <v>3</v>
      </c>
      <c r="D16" s="12">
        <v>43</v>
      </c>
      <c r="E16" s="12">
        <v>35</v>
      </c>
      <c r="F16" s="12">
        <v>35</v>
      </c>
      <c r="G16" s="12">
        <v>36</v>
      </c>
      <c r="H16" s="12">
        <v>38</v>
      </c>
      <c r="I16" s="12">
        <v>34</v>
      </c>
      <c r="J16" s="23">
        <f t="shared" si="0"/>
        <v>36.833333333333336</v>
      </c>
      <c r="K16" s="12">
        <v>45</v>
      </c>
      <c r="L16" s="12">
        <v>33</v>
      </c>
      <c r="M16" s="12">
        <v>34</v>
      </c>
      <c r="N16" s="12">
        <v>40</v>
      </c>
      <c r="O16" s="12">
        <v>43</v>
      </c>
      <c r="P16" s="13">
        <v>40</v>
      </c>
      <c r="Q16" s="26">
        <f t="shared" si="1"/>
        <v>39.166666666666664</v>
      </c>
    </row>
    <row r="17" spans="1:17" ht="13.5" thickBot="1">
      <c r="A17" s="2">
        <v>201</v>
      </c>
      <c r="B17" s="8" t="s">
        <v>10</v>
      </c>
      <c r="C17" s="8">
        <v>12</v>
      </c>
      <c r="D17" s="8">
        <v>44.5</v>
      </c>
      <c r="E17" s="8">
        <v>46</v>
      </c>
      <c r="F17" s="8">
        <v>38.5</v>
      </c>
      <c r="G17" s="8">
        <v>42.5</v>
      </c>
      <c r="H17" s="8">
        <v>47</v>
      </c>
      <c r="I17" s="8">
        <v>37.5</v>
      </c>
      <c r="J17" s="23">
        <f t="shared" si="0"/>
        <v>42.666666666666664</v>
      </c>
      <c r="K17" s="8">
        <v>58</v>
      </c>
      <c r="L17" s="8">
        <v>61.5</v>
      </c>
      <c r="M17" s="8">
        <v>62</v>
      </c>
      <c r="N17" s="8">
        <v>60</v>
      </c>
      <c r="O17" s="8">
        <v>67</v>
      </c>
      <c r="P17" s="9">
        <v>53</v>
      </c>
      <c r="Q17" s="26">
        <f t="shared" si="1"/>
        <v>60.25</v>
      </c>
    </row>
    <row r="18" spans="1:17" ht="13.5" thickBot="1">
      <c r="A18" s="3">
        <v>202</v>
      </c>
      <c r="B18" s="5" t="s">
        <v>7</v>
      </c>
      <c r="C18" s="5">
        <v>9</v>
      </c>
      <c r="D18" s="5">
        <v>43.5</v>
      </c>
      <c r="E18" s="5">
        <v>39</v>
      </c>
      <c r="F18" s="5">
        <v>29.5</v>
      </c>
      <c r="G18" s="5">
        <v>28.5</v>
      </c>
      <c r="H18" s="5">
        <v>37</v>
      </c>
      <c r="I18" s="5">
        <v>39.5</v>
      </c>
      <c r="J18" s="23">
        <f t="shared" si="0"/>
        <v>36.166666666666664</v>
      </c>
      <c r="K18" s="5">
        <v>55</v>
      </c>
      <c r="L18" s="5">
        <v>45</v>
      </c>
      <c r="M18" s="5">
        <v>28</v>
      </c>
      <c r="N18" s="5">
        <v>26.5</v>
      </c>
      <c r="O18" s="5">
        <v>40</v>
      </c>
      <c r="P18" s="7">
        <v>42</v>
      </c>
      <c r="Q18" s="26">
        <f t="shared" si="1"/>
        <v>39.416666666666664</v>
      </c>
    </row>
    <row r="19" spans="1:17" ht="13.5" thickBot="1">
      <c r="A19" s="3">
        <v>203</v>
      </c>
      <c r="B19" s="5" t="s">
        <v>8</v>
      </c>
      <c r="C19" s="5">
        <v>3</v>
      </c>
      <c r="D19" s="5">
        <v>48</v>
      </c>
      <c r="E19" s="5">
        <v>41</v>
      </c>
      <c r="F19" s="5">
        <v>46</v>
      </c>
      <c r="G19" s="5">
        <v>43</v>
      </c>
      <c r="H19" s="5">
        <v>47.5</v>
      </c>
      <c r="I19" s="5">
        <v>36.5</v>
      </c>
      <c r="J19" s="23">
        <f t="shared" si="0"/>
        <v>43.666666666666664</v>
      </c>
      <c r="K19" s="5">
        <v>52</v>
      </c>
      <c r="L19" s="5">
        <v>46</v>
      </c>
      <c r="M19" s="5">
        <v>45</v>
      </c>
      <c r="N19" s="5">
        <v>44.5</v>
      </c>
      <c r="O19" s="5">
        <v>43</v>
      </c>
      <c r="P19" s="7">
        <v>45</v>
      </c>
      <c r="Q19" s="26">
        <f t="shared" si="1"/>
        <v>45.916666666666664</v>
      </c>
    </row>
    <row r="20" spans="1:17" ht="13.5" thickBot="1">
      <c r="A20" s="3">
        <v>204</v>
      </c>
      <c r="B20" s="5" t="s">
        <v>11</v>
      </c>
      <c r="C20" s="5">
        <v>11</v>
      </c>
      <c r="D20" s="5">
        <v>35.5</v>
      </c>
      <c r="E20" s="5">
        <v>40</v>
      </c>
      <c r="F20" s="5">
        <v>40.5</v>
      </c>
      <c r="G20" s="5">
        <v>45</v>
      </c>
      <c r="H20" s="5">
        <v>43</v>
      </c>
      <c r="I20" s="5">
        <v>38.5</v>
      </c>
      <c r="J20" s="23">
        <f t="shared" si="0"/>
        <v>40.416666666666664</v>
      </c>
      <c r="K20" s="5">
        <v>60</v>
      </c>
      <c r="L20" s="5">
        <v>51</v>
      </c>
      <c r="M20" s="5">
        <v>63</v>
      </c>
      <c r="N20" s="5">
        <v>64</v>
      </c>
      <c r="O20" s="5">
        <v>59.5</v>
      </c>
      <c r="P20" s="7">
        <v>45</v>
      </c>
      <c r="Q20" s="26">
        <f t="shared" si="1"/>
        <v>57.083333333333336</v>
      </c>
    </row>
    <row r="21" spans="1:17" ht="13.5" thickBot="1">
      <c r="A21" s="3">
        <v>205</v>
      </c>
      <c r="B21" s="5" t="s">
        <v>3</v>
      </c>
      <c r="C21" s="5">
        <v>1</v>
      </c>
      <c r="D21" s="5">
        <v>36</v>
      </c>
      <c r="E21" s="5">
        <v>38</v>
      </c>
      <c r="F21" s="5">
        <v>41</v>
      </c>
      <c r="G21" s="5">
        <v>41</v>
      </c>
      <c r="H21" s="5">
        <v>37.5</v>
      </c>
      <c r="I21" s="5">
        <v>39</v>
      </c>
      <c r="J21" s="23">
        <f t="shared" si="0"/>
        <v>38.75</v>
      </c>
      <c r="K21" s="5">
        <v>38</v>
      </c>
      <c r="L21" s="5">
        <v>34</v>
      </c>
      <c r="M21" s="5">
        <v>36</v>
      </c>
      <c r="N21" s="5">
        <v>42.5</v>
      </c>
      <c r="O21" s="5">
        <v>40</v>
      </c>
      <c r="P21" s="7">
        <v>37.5</v>
      </c>
      <c r="Q21" s="26">
        <f t="shared" si="1"/>
        <v>38</v>
      </c>
    </row>
    <row r="22" spans="1:17" ht="13.5" thickBot="1">
      <c r="A22" s="3">
        <v>206</v>
      </c>
      <c r="B22" s="5" t="s">
        <v>12</v>
      </c>
      <c r="C22" s="5">
        <v>8</v>
      </c>
      <c r="D22" s="5">
        <v>36.5</v>
      </c>
      <c r="E22" s="5">
        <v>31.5</v>
      </c>
      <c r="F22" s="5">
        <v>32</v>
      </c>
      <c r="G22" s="5">
        <v>41</v>
      </c>
      <c r="H22" s="5">
        <v>44</v>
      </c>
      <c r="I22" s="5">
        <v>37</v>
      </c>
      <c r="J22" s="23">
        <f t="shared" si="0"/>
        <v>37</v>
      </c>
      <c r="K22" s="5">
        <v>33</v>
      </c>
      <c r="L22" s="5">
        <v>32</v>
      </c>
      <c r="M22" s="5">
        <v>35</v>
      </c>
      <c r="N22" s="5">
        <v>40</v>
      </c>
      <c r="O22" s="5">
        <v>43.5</v>
      </c>
      <c r="P22" s="7">
        <v>30</v>
      </c>
      <c r="Q22" s="26">
        <f t="shared" si="1"/>
        <v>35.583333333333336</v>
      </c>
    </row>
    <row r="23" spans="1:17" ht="13.5" thickBot="1">
      <c r="A23" s="3">
        <v>207</v>
      </c>
      <c r="B23" s="5" t="s">
        <v>4</v>
      </c>
      <c r="C23" s="5">
        <v>4</v>
      </c>
      <c r="D23" s="5">
        <v>48</v>
      </c>
      <c r="E23" s="5">
        <v>37.5</v>
      </c>
      <c r="F23" s="5">
        <v>37</v>
      </c>
      <c r="G23" s="5">
        <v>40</v>
      </c>
      <c r="H23" s="5">
        <v>46</v>
      </c>
      <c r="I23" s="5">
        <v>29</v>
      </c>
      <c r="J23" s="23">
        <f t="shared" si="0"/>
        <v>39.583333333333336</v>
      </c>
      <c r="K23" s="5">
        <v>48.5</v>
      </c>
      <c r="L23" s="5">
        <v>30</v>
      </c>
      <c r="M23" s="5">
        <v>39</v>
      </c>
      <c r="N23" s="5">
        <v>50</v>
      </c>
      <c r="O23" s="5">
        <v>39.5</v>
      </c>
      <c r="P23" s="7">
        <v>27.5</v>
      </c>
      <c r="Q23" s="26">
        <f t="shared" si="1"/>
        <v>39.083333333333336</v>
      </c>
    </row>
    <row r="24" spans="1:17" ht="13.5" thickBot="1">
      <c r="A24" s="4">
        <v>208</v>
      </c>
      <c r="B24" s="12" t="s">
        <v>13</v>
      </c>
      <c r="C24" s="12">
        <v>2</v>
      </c>
      <c r="D24" s="12">
        <v>32</v>
      </c>
      <c r="E24" s="12">
        <v>37</v>
      </c>
      <c r="F24" s="12">
        <v>36</v>
      </c>
      <c r="G24" s="12">
        <v>37</v>
      </c>
      <c r="H24" s="12">
        <v>34</v>
      </c>
      <c r="I24" s="12">
        <v>33</v>
      </c>
      <c r="J24" s="23">
        <f t="shared" si="0"/>
        <v>34.833333333333336</v>
      </c>
      <c r="K24" s="12">
        <v>33.5</v>
      </c>
      <c r="L24" s="12">
        <v>33</v>
      </c>
      <c r="M24" s="12">
        <v>42</v>
      </c>
      <c r="N24">
        <v>31</v>
      </c>
      <c r="O24" s="12">
        <v>27</v>
      </c>
      <c r="P24" s="13">
        <v>34.5</v>
      </c>
      <c r="Q24" s="26">
        <f t="shared" si="1"/>
        <v>33.5</v>
      </c>
    </row>
    <row r="25" spans="1:17" ht="13.5" thickBot="1">
      <c r="A25" s="2">
        <v>301</v>
      </c>
      <c r="B25" s="8" t="s">
        <v>6</v>
      </c>
      <c r="C25" s="8">
        <v>10</v>
      </c>
      <c r="D25" s="8">
        <v>42</v>
      </c>
      <c r="E25" s="8">
        <v>31</v>
      </c>
      <c r="F25" s="8">
        <v>37</v>
      </c>
      <c r="G25" s="8">
        <v>38</v>
      </c>
      <c r="H25" s="8">
        <v>32.5</v>
      </c>
      <c r="I25" s="8">
        <v>38</v>
      </c>
      <c r="J25" s="23">
        <f t="shared" si="0"/>
        <v>36.416666666666664</v>
      </c>
      <c r="K25" s="8">
        <v>40</v>
      </c>
      <c r="L25" s="8">
        <v>25.5</v>
      </c>
      <c r="M25" s="12">
        <v>38</v>
      </c>
      <c r="N25">
        <v>33</v>
      </c>
      <c r="O25" s="8">
        <v>28.5</v>
      </c>
      <c r="P25" s="9">
        <v>30</v>
      </c>
      <c r="Q25" s="26">
        <f t="shared" si="1"/>
        <v>32.5</v>
      </c>
    </row>
    <row r="26" spans="1:17" ht="13.5" thickBot="1">
      <c r="A26" s="3">
        <v>302</v>
      </c>
      <c r="B26" s="5" t="s">
        <v>4</v>
      </c>
      <c r="C26" s="5">
        <v>4</v>
      </c>
      <c r="D26" s="5">
        <v>46</v>
      </c>
      <c r="E26" s="5">
        <v>39</v>
      </c>
      <c r="F26" s="5">
        <v>34.5</v>
      </c>
      <c r="G26" s="5">
        <v>40</v>
      </c>
      <c r="H26" s="5">
        <v>48</v>
      </c>
      <c r="I26" s="5">
        <v>42</v>
      </c>
      <c r="J26" s="23">
        <f t="shared" si="0"/>
        <v>41.583333333333336</v>
      </c>
      <c r="K26" s="5">
        <v>38</v>
      </c>
      <c r="L26" s="5">
        <v>40</v>
      </c>
      <c r="M26" s="8">
        <v>33</v>
      </c>
      <c r="N26">
        <v>44</v>
      </c>
      <c r="O26" s="5">
        <v>42</v>
      </c>
      <c r="P26" s="7">
        <v>37</v>
      </c>
      <c r="Q26" s="26">
        <f t="shared" si="1"/>
        <v>39</v>
      </c>
    </row>
    <row r="27" spans="1:17" ht="13.5" thickBot="1">
      <c r="A27" s="3">
        <v>303</v>
      </c>
      <c r="B27" s="5" t="s">
        <v>12</v>
      </c>
      <c r="C27" s="5">
        <v>8</v>
      </c>
      <c r="D27" s="5">
        <v>43</v>
      </c>
      <c r="E27" s="5">
        <v>44</v>
      </c>
      <c r="F27" s="5">
        <v>40</v>
      </c>
      <c r="G27" s="5">
        <v>32</v>
      </c>
      <c r="H27" s="5">
        <v>34</v>
      </c>
      <c r="I27" s="5">
        <v>42</v>
      </c>
      <c r="J27" s="23">
        <f t="shared" si="0"/>
        <v>39.166666666666664</v>
      </c>
      <c r="K27" s="5">
        <v>45</v>
      </c>
      <c r="L27" s="5">
        <v>45</v>
      </c>
      <c r="M27" s="5">
        <v>39.5</v>
      </c>
      <c r="N27" s="5">
        <v>26</v>
      </c>
      <c r="O27" s="5">
        <v>43</v>
      </c>
      <c r="P27" s="7">
        <v>42</v>
      </c>
      <c r="Q27" s="26">
        <f t="shared" si="1"/>
        <v>40.083333333333336</v>
      </c>
    </row>
    <row r="28" spans="1:17" ht="13.5" thickBot="1">
      <c r="A28" s="3">
        <v>304</v>
      </c>
      <c r="B28" s="5" t="s">
        <v>13</v>
      </c>
      <c r="C28" s="5">
        <v>2</v>
      </c>
      <c r="D28" s="5">
        <v>41.5</v>
      </c>
      <c r="E28" s="5">
        <v>35</v>
      </c>
      <c r="F28" s="5">
        <v>40</v>
      </c>
      <c r="G28" s="5">
        <v>38</v>
      </c>
      <c r="H28" s="5">
        <v>43</v>
      </c>
      <c r="I28" s="5">
        <v>36</v>
      </c>
      <c r="J28" s="23">
        <f t="shared" si="0"/>
        <v>38.916666666666664</v>
      </c>
      <c r="K28" s="5">
        <v>46</v>
      </c>
      <c r="L28" s="5">
        <v>38</v>
      </c>
      <c r="M28" s="5">
        <v>37</v>
      </c>
      <c r="N28" s="5">
        <v>29</v>
      </c>
      <c r="O28" s="5">
        <v>44</v>
      </c>
      <c r="P28" s="7">
        <v>35</v>
      </c>
      <c r="Q28" s="26">
        <f t="shared" si="1"/>
        <v>38.166666666666664</v>
      </c>
    </row>
    <row r="29" spans="1:17" ht="13.5" thickBot="1">
      <c r="A29" s="3">
        <v>305</v>
      </c>
      <c r="B29" s="5" t="s">
        <v>11</v>
      </c>
      <c r="C29" s="5">
        <v>11</v>
      </c>
      <c r="D29" s="5">
        <v>37.5</v>
      </c>
      <c r="E29" s="5">
        <v>49</v>
      </c>
      <c r="F29" s="5">
        <v>46</v>
      </c>
      <c r="G29" s="5">
        <v>42.5</v>
      </c>
      <c r="H29" s="5">
        <v>41</v>
      </c>
      <c r="I29" s="5">
        <v>38.5</v>
      </c>
      <c r="J29" s="23">
        <f t="shared" si="0"/>
        <v>42.416666666666664</v>
      </c>
      <c r="K29" s="5">
        <v>59</v>
      </c>
      <c r="L29" s="5">
        <v>62</v>
      </c>
      <c r="M29" s="5">
        <v>59</v>
      </c>
      <c r="N29" s="5">
        <v>54</v>
      </c>
      <c r="O29" s="5">
        <v>50</v>
      </c>
      <c r="P29" s="7">
        <v>51</v>
      </c>
      <c r="Q29" s="26">
        <f t="shared" si="1"/>
        <v>55.833333333333336</v>
      </c>
    </row>
    <row r="30" spans="1:17" ht="13.5" thickBot="1">
      <c r="A30" s="3">
        <v>306</v>
      </c>
      <c r="B30" s="5" t="s">
        <v>4</v>
      </c>
      <c r="C30" s="5">
        <v>4</v>
      </c>
      <c r="D30" s="5">
        <v>43.5</v>
      </c>
      <c r="E30" s="5">
        <v>41</v>
      </c>
      <c r="F30" s="5">
        <v>46</v>
      </c>
      <c r="G30" s="5">
        <v>44.5</v>
      </c>
      <c r="H30" s="5">
        <v>47</v>
      </c>
      <c r="I30" s="5">
        <v>38</v>
      </c>
      <c r="J30" s="23">
        <f t="shared" si="0"/>
        <v>43.333333333333336</v>
      </c>
      <c r="K30" s="5">
        <v>53</v>
      </c>
      <c r="L30" s="5">
        <v>43</v>
      </c>
      <c r="M30" s="5">
        <v>44</v>
      </c>
      <c r="N30" s="5">
        <v>43</v>
      </c>
      <c r="O30" s="5">
        <v>44</v>
      </c>
      <c r="P30" s="7">
        <v>40</v>
      </c>
      <c r="Q30" s="26">
        <f t="shared" si="1"/>
        <v>44.5</v>
      </c>
    </row>
    <row r="31" spans="1:17" ht="13.5" thickBot="1">
      <c r="A31" s="3">
        <v>307</v>
      </c>
      <c r="B31" s="5" t="s">
        <v>7</v>
      </c>
      <c r="C31" s="5">
        <v>9</v>
      </c>
      <c r="D31" s="5">
        <v>40.5</v>
      </c>
      <c r="E31" s="5">
        <v>36</v>
      </c>
      <c r="F31" s="5">
        <v>31.5</v>
      </c>
      <c r="G31" s="5">
        <v>29</v>
      </c>
      <c r="H31" s="5">
        <v>37.5</v>
      </c>
      <c r="I31" s="5">
        <v>41</v>
      </c>
      <c r="J31" s="23">
        <f t="shared" si="0"/>
        <v>35.916666666666664</v>
      </c>
      <c r="K31" s="5">
        <v>37</v>
      </c>
      <c r="L31" s="5">
        <v>29</v>
      </c>
      <c r="M31" s="5">
        <v>36</v>
      </c>
      <c r="N31" s="5">
        <v>27</v>
      </c>
      <c r="O31" s="5">
        <v>35</v>
      </c>
      <c r="P31" s="7">
        <v>39</v>
      </c>
      <c r="Q31" s="26">
        <f t="shared" si="1"/>
        <v>33.833333333333336</v>
      </c>
    </row>
    <row r="32" spans="1:17" ht="13.5" thickBot="1">
      <c r="A32" s="4">
        <v>308</v>
      </c>
      <c r="B32" s="12" t="s">
        <v>5</v>
      </c>
      <c r="C32" s="12">
        <v>5</v>
      </c>
      <c r="D32" s="12">
        <v>38</v>
      </c>
      <c r="E32" s="12">
        <v>36</v>
      </c>
      <c r="F32" s="12">
        <v>37</v>
      </c>
      <c r="G32" s="12">
        <v>38</v>
      </c>
      <c r="H32" s="12">
        <v>31.5</v>
      </c>
      <c r="I32" s="12">
        <v>35</v>
      </c>
      <c r="J32" s="23">
        <f t="shared" si="0"/>
        <v>35.916666666666664</v>
      </c>
      <c r="K32" s="12">
        <v>55</v>
      </c>
      <c r="L32" s="12">
        <v>60</v>
      </c>
      <c r="M32" s="12">
        <v>52.5</v>
      </c>
      <c r="N32" s="12">
        <v>56</v>
      </c>
      <c r="O32" s="12">
        <v>46.5</v>
      </c>
      <c r="P32" s="13">
        <v>54</v>
      </c>
      <c r="Q32" s="26">
        <f t="shared" si="1"/>
        <v>54</v>
      </c>
    </row>
    <row r="33" spans="1:31" ht="13.5" thickBot="1">
      <c r="A33" s="2">
        <v>401</v>
      </c>
      <c r="B33" s="8" t="s">
        <v>14</v>
      </c>
      <c r="C33" s="8">
        <v>7</v>
      </c>
      <c r="D33" s="8">
        <v>34.5</v>
      </c>
      <c r="E33" s="8">
        <v>35.5</v>
      </c>
      <c r="F33" s="8">
        <v>37</v>
      </c>
      <c r="G33" s="8">
        <v>39</v>
      </c>
      <c r="H33" s="8">
        <v>40.5</v>
      </c>
      <c r="I33" s="8">
        <v>25</v>
      </c>
      <c r="J33" s="23">
        <f t="shared" si="0"/>
        <v>35.25</v>
      </c>
      <c r="K33" s="8">
        <v>31</v>
      </c>
      <c r="L33" s="8">
        <v>30</v>
      </c>
      <c r="M33" s="8">
        <v>33</v>
      </c>
      <c r="N33" s="8">
        <v>34</v>
      </c>
      <c r="O33" s="8">
        <v>35</v>
      </c>
      <c r="P33" s="9">
        <v>30</v>
      </c>
      <c r="Q33" s="26">
        <f t="shared" si="1"/>
        <v>32.166666666666664</v>
      </c>
    </row>
    <row r="34" spans="1:31" ht="13.5" thickBot="1">
      <c r="A34" s="3">
        <v>402</v>
      </c>
      <c r="B34" s="5" t="s">
        <v>7</v>
      </c>
      <c r="C34" s="5">
        <v>9</v>
      </c>
      <c r="D34" s="5">
        <v>42.5</v>
      </c>
      <c r="E34" s="5">
        <v>38.5</v>
      </c>
      <c r="F34" s="5">
        <v>40</v>
      </c>
      <c r="G34" s="5">
        <v>45</v>
      </c>
      <c r="H34" s="5">
        <v>39</v>
      </c>
      <c r="I34" s="5">
        <v>42</v>
      </c>
      <c r="J34" s="23">
        <f t="shared" si="0"/>
        <v>41.166666666666664</v>
      </c>
      <c r="K34" s="5">
        <v>41</v>
      </c>
      <c r="L34" s="5">
        <v>43</v>
      </c>
      <c r="M34" s="5">
        <v>35</v>
      </c>
      <c r="N34" s="5">
        <v>41.5</v>
      </c>
      <c r="O34" s="5">
        <v>41</v>
      </c>
      <c r="P34" s="7">
        <v>44.5</v>
      </c>
      <c r="Q34" s="26">
        <f t="shared" si="1"/>
        <v>41</v>
      </c>
    </row>
    <row r="35" spans="1:31" ht="13.5" thickBot="1">
      <c r="A35" s="3">
        <v>403</v>
      </c>
      <c r="B35" s="5" t="s">
        <v>15</v>
      </c>
      <c r="C35" s="5">
        <v>6</v>
      </c>
      <c r="D35" s="5">
        <v>37.5</v>
      </c>
      <c r="E35" s="5">
        <v>39.5</v>
      </c>
      <c r="F35" s="5">
        <v>41</v>
      </c>
      <c r="G35" s="5">
        <v>37.5</v>
      </c>
      <c r="H35" s="5">
        <v>37</v>
      </c>
      <c r="I35" s="5">
        <v>36.5</v>
      </c>
      <c r="J35" s="23">
        <f t="shared" si="0"/>
        <v>38.166666666666664</v>
      </c>
      <c r="K35" s="5">
        <v>50</v>
      </c>
      <c r="L35" s="5">
        <v>54</v>
      </c>
      <c r="M35" s="5">
        <v>53</v>
      </c>
      <c r="N35" s="5">
        <v>48</v>
      </c>
      <c r="O35" s="5">
        <v>58</v>
      </c>
      <c r="P35" s="7">
        <v>58</v>
      </c>
      <c r="Q35" s="26">
        <f t="shared" si="1"/>
        <v>53.5</v>
      </c>
    </row>
    <row r="36" spans="1:31" ht="13.5" thickBot="1">
      <c r="A36" s="3">
        <v>404</v>
      </c>
      <c r="B36" s="5" t="s">
        <v>8</v>
      </c>
      <c r="C36" s="5">
        <v>3</v>
      </c>
      <c r="D36" s="5">
        <v>46</v>
      </c>
      <c r="E36" s="5">
        <v>43.5</v>
      </c>
      <c r="F36" s="5">
        <v>43</v>
      </c>
      <c r="G36" s="5">
        <v>40.5</v>
      </c>
      <c r="H36" s="5">
        <v>40</v>
      </c>
      <c r="I36" s="5">
        <v>38</v>
      </c>
      <c r="J36" s="23">
        <f t="shared" si="0"/>
        <v>41.833333333333336</v>
      </c>
      <c r="K36" s="5">
        <v>46</v>
      </c>
      <c r="L36" s="5">
        <v>40</v>
      </c>
      <c r="M36" s="5">
        <v>43</v>
      </c>
      <c r="N36" s="5">
        <v>43</v>
      </c>
      <c r="O36" s="5">
        <v>36</v>
      </c>
      <c r="P36" s="7">
        <v>39</v>
      </c>
      <c r="Q36" s="26">
        <f t="shared" si="1"/>
        <v>41.166666666666664</v>
      </c>
    </row>
    <row r="37" spans="1:31" ht="13.5" thickBot="1">
      <c r="A37" s="3">
        <v>405</v>
      </c>
      <c r="B37" s="5" t="s">
        <v>15</v>
      </c>
      <c r="C37" s="5">
        <v>6</v>
      </c>
      <c r="D37" s="5">
        <v>38</v>
      </c>
      <c r="E37" s="5">
        <v>36</v>
      </c>
      <c r="F37" s="5">
        <v>44</v>
      </c>
      <c r="G37" s="5">
        <v>42</v>
      </c>
      <c r="H37" s="5">
        <v>42</v>
      </c>
      <c r="I37" s="5">
        <v>39.5</v>
      </c>
      <c r="J37" s="23">
        <f t="shared" si="0"/>
        <v>40.25</v>
      </c>
      <c r="K37" s="5">
        <v>50</v>
      </c>
      <c r="L37" s="5">
        <v>56</v>
      </c>
      <c r="M37" s="5">
        <v>59</v>
      </c>
      <c r="N37" s="5">
        <v>56</v>
      </c>
      <c r="O37" s="5">
        <v>56</v>
      </c>
      <c r="P37" s="7">
        <v>55</v>
      </c>
      <c r="Q37" s="26">
        <f t="shared" si="1"/>
        <v>55.333333333333336</v>
      </c>
    </row>
    <row r="38" spans="1:31" ht="13.5" thickBot="1">
      <c r="A38" s="3">
        <v>406</v>
      </c>
      <c r="B38" s="5" t="s">
        <v>8</v>
      </c>
      <c r="C38" s="5">
        <v>3</v>
      </c>
      <c r="D38" s="5">
        <v>43.5</v>
      </c>
      <c r="E38" s="5">
        <v>44</v>
      </c>
      <c r="F38" s="5">
        <v>51</v>
      </c>
      <c r="G38" s="5">
        <v>47.5</v>
      </c>
      <c r="H38" s="5">
        <v>44</v>
      </c>
      <c r="I38" s="5">
        <v>37</v>
      </c>
      <c r="J38" s="23">
        <f t="shared" si="0"/>
        <v>44.5</v>
      </c>
      <c r="K38" s="5">
        <v>43.5</v>
      </c>
      <c r="L38" s="5">
        <v>44</v>
      </c>
      <c r="M38" s="5">
        <v>46.5</v>
      </c>
      <c r="N38" s="5">
        <v>45</v>
      </c>
      <c r="O38" s="5">
        <v>44</v>
      </c>
      <c r="P38" s="7">
        <v>40.5</v>
      </c>
      <c r="Q38" s="26">
        <f t="shared" si="1"/>
        <v>43.916666666666664</v>
      </c>
      <c r="S38" t="s">
        <v>39</v>
      </c>
    </row>
    <row r="39" spans="1:31" ht="13.5" thickBot="1">
      <c r="A39" s="3">
        <v>407</v>
      </c>
      <c r="B39" s="5" t="s">
        <v>14</v>
      </c>
      <c r="C39" s="5">
        <v>7</v>
      </c>
      <c r="D39" s="5">
        <v>42</v>
      </c>
      <c r="E39" s="5">
        <v>38</v>
      </c>
      <c r="F39" s="5">
        <v>37</v>
      </c>
      <c r="G39" s="5">
        <v>32.5</v>
      </c>
      <c r="H39" s="5">
        <v>34</v>
      </c>
      <c r="I39" s="5">
        <v>37.5</v>
      </c>
      <c r="J39" s="23">
        <f t="shared" si="0"/>
        <v>36.833333333333336</v>
      </c>
      <c r="K39" s="5">
        <v>44</v>
      </c>
      <c r="L39" s="5">
        <v>32</v>
      </c>
      <c r="M39" s="5">
        <v>35</v>
      </c>
      <c r="N39" s="5">
        <v>28.5</v>
      </c>
      <c r="O39" s="5">
        <v>38.5</v>
      </c>
      <c r="P39" s="7">
        <v>37.5</v>
      </c>
      <c r="Q39" s="26">
        <f t="shared" si="1"/>
        <v>35.916666666666664</v>
      </c>
      <c r="R39" s="28"/>
      <c r="S39" s="29" t="s">
        <v>38</v>
      </c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</row>
    <row r="40" spans="1:31" ht="13.5" thickBot="1">
      <c r="A40" s="4">
        <v>408</v>
      </c>
      <c r="B40" s="12" t="s">
        <v>6</v>
      </c>
      <c r="C40" s="12">
        <v>10</v>
      </c>
      <c r="D40" s="12">
        <v>33</v>
      </c>
      <c r="E40" s="12">
        <v>36</v>
      </c>
      <c r="F40" s="12">
        <v>38.5</v>
      </c>
      <c r="G40" s="12">
        <v>38</v>
      </c>
      <c r="H40" s="12">
        <v>36</v>
      </c>
      <c r="I40" s="12">
        <v>34.5</v>
      </c>
      <c r="J40" s="23">
        <f t="shared" si="0"/>
        <v>36</v>
      </c>
      <c r="K40" s="12">
        <v>26.5</v>
      </c>
      <c r="L40" s="12">
        <v>30.5</v>
      </c>
      <c r="M40" s="12">
        <v>41</v>
      </c>
      <c r="N40" s="12">
        <v>41</v>
      </c>
      <c r="O40" s="12">
        <v>28</v>
      </c>
      <c r="P40" s="13">
        <v>37</v>
      </c>
      <c r="Q40" s="26">
        <f t="shared" si="1"/>
        <v>34</v>
      </c>
      <c r="R40" s="28" t="s">
        <v>36</v>
      </c>
      <c r="S40" s="28">
        <v>34</v>
      </c>
      <c r="T40" s="28">
        <v>36</v>
      </c>
      <c r="U40" s="28">
        <v>40</v>
      </c>
      <c r="V40" s="28">
        <v>41</v>
      </c>
      <c r="W40" s="28">
        <v>37.5</v>
      </c>
      <c r="X40" s="28">
        <v>39</v>
      </c>
      <c r="Y40" s="28" t="s">
        <v>37</v>
      </c>
      <c r="Z40" s="28">
        <v>33</v>
      </c>
      <c r="AA40" s="28">
        <v>38</v>
      </c>
      <c r="AB40" s="28">
        <v>41.5</v>
      </c>
      <c r="AC40" s="28">
        <v>40</v>
      </c>
      <c r="AD40" s="28">
        <v>38</v>
      </c>
      <c r="AE40" s="28">
        <v>37</v>
      </c>
    </row>
    <row r="41" spans="1:31" ht="13.5" thickBot="1">
      <c r="A41" s="2">
        <v>901</v>
      </c>
      <c r="B41" s="8" t="s">
        <v>16</v>
      </c>
      <c r="C41" s="8">
        <v>32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23">
        <f t="shared" si="0"/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9">
        <v>0</v>
      </c>
      <c r="Q41" s="26">
        <f t="shared" si="1"/>
        <v>0</v>
      </c>
    </row>
    <row r="42" spans="1:31" ht="13.5" thickBot="1">
      <c r="A42" s="3">
        <v>902</v>
      </c>
      <c r="B42" s="6">
        <v>37452</v>
      </c>
      <c r="C42" s="5">
        <v>22</v>
      </c>
      <c r="D42" s="5">
        <v>39</v>
      </c>
      <c r="E42" s="5">
        <v>41</v>
      </c>
      <c r="F42" s="5">
        <v>38.5</v>
      </c>
      <c r="G42" s="5">
        <v>48.5</v>
      </c>
      <c r="H42" s="5">
        <v>48</v>
      </c>
      <c r="I42" s="5">
        <v>44</v>
      </c>
      <c r="J42" s="23">
        <f t="shared" si="0"/>
        <v>43.166666666666664</v>
      </c>
      <c r="K42" s="5">
        <v>40</v>
      </c>
      <c r="L42" s="5">
        <v>40</v>
      </c>
      <c r="M42" s="5">
        <v>45</v>
      </c>
      <c r="N42" s="5">
        <v>49</v>
      </c>
      <c r="O42" s="5">
        <v>51</v>
      </c>
      <c r="P42" s="7">
        <v>50</v>
      </c>
      <c r="Q42" s="26">
        <f t="shared" si="1"/>
        <v>45.833333333333336</v>
      </c>
    </row>
    <row r="43" spans="1:31" ht="13.5" thickBot="1">
      <c r="A43" s="3">
        <v>903</v>
      </c>
      <c r="B43" s="5" t="s">
        <v>17</v>
      </c>
      <c r="C43" s="5">
        <v>31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23">
        <f t="shared" si="0"/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7">
        <v>0</v>
      </c>
      <c r="Q43" s="26">
        <f t="shared" si="1"/>
        <v>0</v>
      </c>
    </row>
    <row r="44" spans="1:31" ht="13.5" thickBot="1">
      <c r="A44" s="3">
        <v>904</v>
      </c>
      <c r="B44" s="6">
        <v>37408</v>
      </c>
      <c r="C44" s="5">
        <v>21</v>
      </c>
      <c r="D44" s="5">
        <v>37</v>
      </c>
      <c r="E44" s="5">
        <v>51</v>
      </c>
      <c r="F44" s="5">
        <v>48</v>
      </c>
      <c r="G44" s="5">
        <v>41</v>
      </c>
      <c r="H44" s="5">
        <v>40</v>
      </c>
      <c r="I44" s="5">
        <v>45.5</v>
      </c>
      <c r="J44" s="23">
        <f t="shared" si="0"/>
        <v>43.75</v>
      </c>
      <c r="K44" s="5">
        <v>37</v>
      </c>
      <c r="L44" s="5">
        <v>47</v>
      </c>
      <c r="M44" s="5">
        <v>44</v>
      </c>
      <c r="N44" s="5">
        <v>47</v>
      </c>
      <c r="O44" s="5">
        <v>41</v>
      </c>
      <c r="P44" s="7">
        <v>47.5</v>
      </c>
      <c r="Q44" s="26">
        <f t="shared" si="1"/>
        <v>43.916666666666664</v>
      </c>
    </row>
    <row r="45" spans="1:31" ht="13.5" thickBot="1">
      <c r="A45" s="3">
        <v>905</v>
      </c>
      <c r="B45" s="5" t="s">
        <v>16</v>
      </c>
      <c r="C45" s="5">
        <v>32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23">
        <f t="shared" si="0"/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7">
        <v>0</v>
      </c>
      <c r="Q45" s="26">
        <f t="shared" si="1"/>
        <v>0</v>
      </c>
    </row>
    <row r="46" spans="1:31" ht="13.5" thickBot="1">
      <c r="A46" s="3">
        <v>906</v>
      </c>
      <c r="B46" s="6">
        <v>37452</v>
      </c>
      <c r="C46" s="5">
        <v>22</v>
      </c>
      <c r="D46" s="5">
        <v>43</v>
      </c>
      <c r="E46" s="5">
        <v>44</v>
      </c>
      <c r="F46" s="5">
        <v>45</v>
      </c>
      <c r="G46" s="5">
        <v>52</v>
      </c>
      <c r="H46" s="5">
        <v>41</v>
      </c>
      <c r="I46" s="5">
        <v>30</v>
      </c>
      <c r="J46" s="23">
        <f t="shared" si="0"/>
        <v>42.5</v>
      </c>
      <c r="K46" s="5">
        <v>40</v>
      </c>
      <c r="L46" s="5">
        <v>38</v>
      </c>
      <c r="M46" s="5">
        <v>40</v>
      </c>
      <c r="N46" s="5">
        <v>45</v>
      </c>
      <c r="O46" s="5">
        <v>40</v>
      </c>
      <c r="P46" s="7">
        <v>27.5</v>
      </c>
      <c r="Q46" s="26">
        <f t="shared" si="1"/>
        <v>38.416666666666664</v>
      </c>
    </row>
    <row r="47" spans="1:31" ht="13.5" thickBot="1">
      <c r="A47" s="3">
        <v>907</v>
      </c>
      <c r="B47" s="5" t="s">
        <v>17</v>
      </c>
      <c r="C47" s="5">
        <v>31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23">
        <f t="shared" si="0"/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7">
        <v>0</v>
      </c>
      <c r="Q47" s="26">
        <f t="shared" si="1"/>
        <v>0</v>
      </c>
    </row>
    <row r="48" spans="1:31" ht="13.5" thickBot="1">
      <c r="A48" s="4">
        <v>908</v>
      </c>
      <c r="B48" s="15">
        <v>37408</v>
      </c>
      <c r="C48" s="12">
        <v>21</v>
      </c>
      <c r="D48" s="12">
        <v>42</v>
      </c>
      <c r="E48" s="12">
        <v>34.5</v>
      </c>
      <c r="F48" s="12">
        <v>44</v>
      </c>
      <c r="G48" s="12">
        <v>43</v>
      </c>
      <c r="H48" s="12">
        <v>42</v>
      </c>
      <c r="I48" s="12">
        <v>41.5</v>
      </c>
      <c r="J48" s="23">
        <f t="shared" si="0"/>
        <v>41.166666666666664</v>
      </c>
      <c r="K48" s="12">
        <v>47</v>
      </c>
      <c r="L48" s="12">
        <v>46</v>
      </c>
      <c r="M48" s="12">
        <v>42</v>
      </c>
      <c r="N48" s="12">
        <v>42</v>
      </c>
      <c r="O48" s="12">
        <v>41</v>
      </c>
      <c r="P48" s="13">
        <v>45</v>
      </c>
      <c r="Q48" s="27">
        <f t="shared" si="1"/>
        <v>43.833333333333336</v>
      </c>
    </row>
  </sheetData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EFC3F-A1AC-42A5-BC24-2090FAE5CD95}">
  <dimension ref="A1:Q48"/>
  <sheetViews>
    <sheetView workbookViewId="0">
      <selection activeCell="Q9" sqref="Q9:Q48"/>
    </sheetView>
  </sheetViews>
  <sheetFormatPr defaultRowHeight="12.75"/>
  <sheetData>
    <row r="1" spans="1:17">
      <c r="A1" t="s">
        <v>19</v>
      </c>
    </row>
    <row r="2" spans="1:17">
      <c r="A2" t="s">
        <v>40</v>
      </c>
    </row>
    <row r="3" spans="1:17">
      <c r="A3" s="30">
        <v>37432</v>
      </c>
    </row>
    <row r="4" spans="1:17">
      <c r="A4" t="s">
        <v>41</v>
      </c>
      <c r="E4" t="s">
        <v>30</v>
      </c>
    </row>
    <row r="5" spans="1:17">
      <c r="A5" s="1" t="s">
        <v>22</v>
      </c>
    </row>
    <row r="6" spans="1:17" ht="13.5" thickBot="1"/>
    <row r="7" spans="1:17" ht="13.5" thickBot="1">
      <c r="D7" s="2"/>
      <c r="E7" s="18"/>
      <c r="F7" s="19" t="s">
        <v>2</v>
      </c>
      <c r="G7" s="18"/>
      <c r="H7" s="18"/>
      <c r="I7" s="20"/>
      <c r="J7" s="18"/>
      <c r="K7" s="2"/>
      <c r="L7" s="18"/>
      <c r="M7" s="18" t="s">
        <v>1</v>
      </c>
      <c r="N7" s="18"/>
      <c r="O7" s="18"/>
      <c r="P7" s="18"/>
      <c r="Q7" s="24"/>
    </row>
    <row r="8" spans="1:17" ht="13.5" thickBot="1">
      <c r="A8" s="16" t="s">
        <v>0</v>
      </c>
      <c r="B8" s="17" t="s">
        <v>9</v>
      </c>
      <c r="C8" s="17" t="s">
        <v>18</v>
      </c>
      <c r="D8" s="21" t="s">
        <v>24</v>
      </c>
      <c r="E8" s="12" t="s">
        <v>25</v>
      </c>
      <c r="F8" s="12" t="s">
        <v>26</v>
      </c>
      <c r="G8" s="12" t="s">
        <v>27</v>
      </c>
      <c r="H8" s="12" t="s">
        <v>28</v>
      </c>
      <c r="I8" s="14" t="s">
        <v>29</v>
      </c>
      <c r="J8" s="22" t="s">
        <v>31</v>
      </c>
      <c r="K8" s="21" t="s">
        <v>24</v>
      </c>
      <c r="L8" s="12" t="s">
        <v>25</v>
      </c>
      <c r="M8" s="12" t="s">
        <v>26</v>
      </c>
      <c r="N8" s="12" t="s">
        <v>27</v>
      </c>
      <c r="O8" s="12" t="s">
        <v>28</v>
      </c>
      <c r="P8" s="13" t="s">
        <v>29</v>
      </c>
      <c r="Q8" s="25" t="s">
        <v>32</v>
      </c>
    </row>
    <row r="9" spans="1:17" ht="13.5" thickBot="1">
      <c r="A9" s="2">
        <v>101</v>
      </c>
      <c r="B9" s="8" t="s">
        <v>3</v>
      </c>
      <c r="C9" s="9">
        <v>1</v>
      </c>
      <c r="D9" s="8">
        <v>48</v>
      </c>
      <c r="E9" s="8">
        <v>55</v>
      </c>
      <c r="F9" s="8">
        <v>56</v>
      </c>
      <c r="G9" s="8">
        <v>53.5</v>
      </c>
      <c r="H9" s="8">
        <v>56</v>
      </c>
      <c r="I9" s="8">
        <v>48</v>
      </c>
      <c r="J9" s="23">
        <f>AVERAGE(D9:I9)</f>
        <v>52.75</v>
      </c>
      <c r="K9" s="8">
        <v>50.5</v>
      </c>
      <c r="L9" s="8">
        <v>56</v>
      </c>
      <c r="M9" s="8">
        <v>60.5</v>
      </c>
      <c r="N9" s="8">
        <v>50</v>
      </c>
      <c r="O9" s="8">
        <v>60</v>
      </c>
      <c r="P9" s="9">
        <v>39</v>
      </c>
      <c r="Q9" s="26">
        <f>AVERAGE(K9:P9)</f>
        <v>52.666666666666664</v>
      </c>
    </row>
    <row r="10" spans="1:17" ht="13.5" thickBot="1">
      <c r="A10" s="3">
        <v>102</v>
      </c>
      <c r="B10" s="5" t="s">
        <v>4</v>
      </c>
      <c r="C10" s="7">
        <v>4</v>
      </c>
      <c r="D10" s="5">
        <v>51</v>
      </c>
      <c r="E10" s="5">
        <v>57.5</v>
      </c>
      <c r="F10" s="5">
        <v>40</v>
      </c>
      <c r="G10" s="5">
        <v>55</v>
      </c>
      <c r="H10" s="5">
        <v>48.5</v>
      </c>
      <c r="I10" s="5">
        <v>48</v>
      </c>
      <c r="J10" s="23">
        <f t="shared" ref="J10:J48" si="0">AVERAGE(D10:I10)</f>
        <v>50</v>
      </c>
      <c r="K10" s="5">
        <v>40</v>
      </c>
      <c r="L10" s="5">
        <v>49</v>
      </c>
      <c r="M10" s="5">
        <v>53</v>
      </c>
      <c r="N10" s="5">
        <v>53.5</v>
      </c>
      <c r="O10" s="5">
        <v>44.5</v>
      </c>
      <c r="P10" s="7">
        <v>58</v>
      </c>
      <c r="Q10" s="26">
        <f t="shared" ref="Q10:Q48" si="1">AVERAGE(K10:P10)</f>
        <v>49.666666666666664</v>
      </c>
    </row>
    <row r="11" spans="1:17" ht="13.5" thickBot="1">
      <c r="A11" s="3">
        <v>103</v>
      </c>
      <c r="B11" s="5" t="s">
        <v>5</v>
      </c>
      <c r="C11" s="7">
        <v>5</v>
      </c>
      <c r="D11" s="5">
        <v>45</v>
      </c>
      <c r="E11" s="5">
        <v>52</v>
      </c>
      <c r="F11" s="5">
        <v>45.5</v>
      </c>
      <c r="G11" s="5">
        <v>50</v>
      </c>
      <c r="H11" s="5">
        <v>51</v>
      </c>
      <c r="I11" s="5">
        <v>53</v>
      </c>
      <c r="J11" s="23">
        <f t="shared" si="0"/>
        <v>49.416666666666664</v>
      </c>
      <c r="K11" s="5">
        <v>58</v>
      </c>
      <c r="L11" s="5">
        <v>67</v>
      </c>
      <c r="M11" s="5">
        <v>65</v>
      </c>
      <c r="N11" s="5">
        <v>65.5</v>
      </c>
      <c r="O11" s="5">
        <v>69.5</v>
      </c>
      <c r="P11" s="7">
        <v>71</v>
      </c>
      <c r="Q11" s="26">
        <f t="shared" si="1"/>
        <v>66</v>
      </c>
    </row>
    <row r="12" spans="1:17" ht="13.5" thickBot="1">
      <c r="A12" s="3">
        <v>104</v>
      </c>
      <c r="B12" s="5" t="s">
        <v>6</v>
      </c>
      <c r="C12" s="7">
        <v>10</v>
      </c>
      <c r="D12" s="5">
        <v>50</v>
      </c>
      <c r="E12" s="5">
        <v>50</v>
      </c>
      <c r="F12" s="5">
        <v>50</v>
      </c>
      <c r="G12" s="5">
        <v>54</v>
      </c>
      <c r="H12" s="5">
        <v>50.5</v>
      </c>
      <c r="I12" s="5">
        <v>49.5</v>
      </c>
      <c r="J12" s="23">
        <f t="shared" si="0"/>
        <v>50.666666666666664</v>
      </c>
      <c r="K12" s="5">
        <v>53</v>
      </c>
      <c r="L12" s="5">
        <v>42</v>
      </c>
      <c r="M12" s="5">
        <v>47.5</v>
      </c>
      <c r="N12" s="5">
        <v>46</v>
      </c>
      <c r="O12" s="5">
        <v>52</v>
      </c>
      <c r="P12" s="7">
        <v>48</v>
      </c>
      <c r="Q12" s="26">
        <f t="shared" si="1"/>
        <v>48.083333333333336</v>
      </c>
    </row>
    <row r="13" spans="1:17" ht="13.5" thickBot="1">
      <c r="A13" s="3">
        <v>105</v>
      </c>
      <c r="B13" s="5" t="s">
        <v>10</v>
      </c>
      <c r="C13" s="7">
        <v>12</v>
      </c>
      <c r="D13" s="5">
        <v>44</v>
      </c>
      <c r="E13" s="5">
        <v>48</v>
      </c>
      <c r="F13" s="5">
        <v>47.5</v>
      </c>
      <c r="G13" s="5">
        <v>57</v>
      </c>
      <c r="H13" s="5">
        <v>43.5</v>
      </c>
      <c r="I13" s="5">
        <v>45</v>
      </c>
      <c r="J13" s="23">
        <f t="shared" si="0"/>
        <v>47.5</v>
      </c>
      <c r="K13" s="5">
        <v>58.5</v>
      </c>
      <c r="L13" s="5">
        <v>71</v>
      </c>
      <c r="M13" s="5">
        <v>69.5</v>
      </c>
      <c r="N13" s="5">
        <v>56</v>
      </c>
      <c r="O13" s="5">
        <v>63</v>
      </c>
      <c r="P13" s="7">
        <v>68</v>
      </c>
      <c r="Q13" s="26">
        <f t="shared" si="1"/>
        <v>64.333333333333329</v>
      </c>
    </row>
    <row r="14" spans="1:17" ht="13.5" thickBot="1">
      <c r="A14" s="3">
        <v>106</v>
      </c>
      <c r="B14" s="5" t="s">
        <v>7</v>
      </c>
      <c r="C14" s="7">
        <v>9</v>
      </c>
      <c r="D14" s="5">
        <v>53</v>
      </c>
      <c r="E14" s="5">
        <v>45</v>
      </c>
      <c r="F14" s="5">
        <v>55</v>
      </c>
      <c r="G14" s="5">
        <v>49.5</v>
      </c>
      <c r="H14" s="5">
        <v>51.5</v>
      </c>
      <c r="I14" s="5">
        <v>48.5</v>
      </c>
      <c r="J14" s="23">
        <f t="shared" si="0"/>
        <v>50.416666666666664</v>
      </c>
      <c r="K14" s="5">
        <v>54</v>
      </c>
      <c r="L14" s="5">
        <v>42</v>
      </c>
      <c r="M14" s="5">
        <v>51.5</v>
      </c>
      <c r="N14" s="5">
        <v>51</v>
      </c>
      <c r="O14" s="5">
        <v>55</v>
      </c>
      <c r="P14" s="7">
        <v>49</v>
      </c>
      <c r="Q14" s="26">
        <f t="shared" si="1"/>
        <v>50.416666666666664</v>
      </c>
    </row>
    <row r="15" spans="1:17" ht="13.5" thickBot="1">
      <c r="A15" s="3">
        <v>107</v>
      </c>
      <c r="B15" s="5" t="s">
        <v>6</v>
      </c>
      <c r="C15" s="7">
        <v>10</v>
      </c>
      <c r="D15" s="5">
        <v>50.5</v>
      </c>
      <c r="E15" s="5">
        <v>51.5</v>
      </c>
      <c r="F15" s="5">
        <v>47</v>
      </c>
      <c r="G15" s="5">
        <v>47.5</v>
      </c>
      <c r="H15" s="5">
        <v>51</v>
      </c>
      <c r="I15" s="5">
        <v>60</v>
      </c>
      <c r="J15" s="23">
        <f t="shared" si="0"/>
        <v>51.25</v>
      </c>
      <c r="K15" s="5">
        <v>49.5</v>
      </c>
      <c r="L15" s="5">
        <v>54</v>
      </c>
      <c r="M15" s="5">
        <v>49.5</v>
      </c>
      <c r="N15" s="5">
        <v>50</v>
      </c>
      <c r="O15" s="5">
        <v>49</v>
      </c>
      <c r="P15" s="7">
        <v>51.5</v>
      </c>
      <c r="Q15" s="26">
        <f t="shared" si="1"/>
        <v>50.583333333333336</v>
      </c>
    </row>
    <row r="16" spans="1:17" ht="13.5" thickBot="1">
      <c r="A16" s="4">
        <v>108</v>
      </c>
      <c r="B16" s="12" t="s">
        <v>8</v>
      </c>
      <c r="C16" s="13">
        <v>3</v>
      </c>
      <c r="D16" s="12">
        <v>53</v>
      </c>
      <c r="E16" s="12">
        <v>45</v>
      </c>
      <c r="F16" s="12">
        <v>43</v>
      </c>
      <c r="G16" s="12">
        <v>53</v>
      </c>
      <c r="H16" s="12">
        <v>54</v>
      </c>
      <c r="I16" s="12">
        <v>48.5</v>
      </c>
      <c r="J16" s="23">
        <f t="shared" si="0"/>
        <v>49.416666666666664</v>
      </c>
      <c r="K16" s="12">
        <v>59</v>
      </c>
      <c r="L16" s="12">
        <v>48</v>
      </c>
      <c r="M16" s="12">
        <v>47</v>
      </c>
      <c r="N16" s="12">
        <v>56</v>
      </c>
      <c r="O16" s="12">
        <v>58</v>
      </c>
      <c r="P16" s="13">
        <v>54</v>
      </c>
      <c r="Q16" s="26">
        <f t="shared" si="1"/>
        <v>53.666666666666664</v>
      </c>
    </row>
    <row r="17" spans="1:17" ht="13.5" thickBot="1">
      <c r="A17" s="2">
        <v>201</v>
      </c>
      <c r="B17" s="8" t="s">
        <v>10</v>
      </c>
      <c r="C17" s="8">
        <v>12</v>
      </c>
      <c r="D17" s="8">
        <v>53.5</v>
      </c>
      <c r="E17" s="8">
        <v>51</v>
      </c>
      <c r="F17" s="8">
        <v>49.5</v>
      </c>
      <c r="G17" s="8">
        <v>54.5</v>
      </c>
      <c r="H17" s="8">
        <v>49</v>
      </c>
      <c r="I17" s="8">
        <v>48.5</v>
      </c>
      <c r="J17" s="23">
        <f t="shared" si="0"/>
        <v>51</v>
      </c>
      <c r="K17" s="8">
        <v>62</v>
      </c>
      <c r="L17" s="8">
        <v>71.5</v>
      </c>
      <c r="M17" s="8">
        <v>66</v>
      </c>
      <c r="N17" s="8">
        <v>61</v>
      </c>
      <c r="O17" s="8">
        <v>65</v>
      </c>
      <c r="P17" s="9">
        <v>63</v>
      </c>
      <c r="Q17" s="26">
        <f t="shared" si="1"/>
        <v>64.75</v>
      </c>
    </row>
    <row r="18" spans="1:17" ht="13.5" thickBot="1">
      <c r="A18" s="3">
        <v>202</v>
      </c>
      <c r="B18" s="5" t="s">
        <v>7</v>
      </c>
      <c r="C18" s="5">
        <v>9</v>
      </c>
      <c r="D18" s="5">
        <v>51.5</v>
      </c>
      <c r="E18" s="5">
        <v>49</v>
      </c>
      <c r="F18" s="5">
        <v>44</v>
      </c>
      <c r="G18" s="5">
        <v>39</v>
      </c>
      <c r="H18" s="5">
        <v>46.5</v>
      </c>
      <c r="I18" s="5">
        <v>49.5</v>
      </c>
      <c r="J18" s="23">
        <f t="shared" si="0"/>
        <v>46.583333333333336</v>
      </c>
      <c r="K18" s="5">
        <v>46.5</v>
      </c>
      <c r="L18" s="5">
        <v>48</v>
      </c>
      <c r="M18" s="5">
        <v>52</v>
      </c>
      <c r="N18" s="5">
        <v>34</v>
      </c>
      <c r="O18" s="5">
        <v>46</v>
      </c>
      <c r="P18" s="7">
        <v>43</v>
      </c>
      <c r="Q18" s="26">
        <f t="shared" si="1"/>
        <v>44.916666666666664</v>
      </c>
    </row>
    <row r="19" spans="1:17" ht="13.5" thickBot="1">
      <c r="A19" s="3">
        <v>203</v>
      </c>
      <c r="B19" s="5" t="s">
        <v>8</v>
      </c>
      <c r="C19" s="5">
        <v>3</v>
      </c>
      <c r="D19" s="5">
        <v>58</v>
      </c>
      <c r="E19" s="5">
        <v>53</v>
      </c>
      <c r="F19" s="5">
        <v>56.5</v>
      </c>
      <c r="G19" s="5">
        <v>55</v>
      </c>
      <c r="H19" s="5">
        <v>62.5</v>
      </c>
      <c r="I19" s="5">
        <v>45</v>
      </c>
      <c r="J19" s="23">
        <f t="shared" si="0"/>
        <v>55</v>
      </c>
      <c r="K19" s="5">
        <v>56</v>
      </c>
      <c r="L19" s="5">
        <v>53.5</v>
      </c>
      <c r="M19" s="5">
        <v>55</v>
      </c>
      <c r="N19" s="5">
        <v>59</v>
      </c>
      <c r="O19" s="5">
        <v>59</v>
      </c>
      <c r="P19" s="7">
        <v>53</v>
      </c>
      <c r="Q19" s="26">
        <f t="shared" si="1"/>
        <v>55.916666666666664</v>
      </c>
    </row>
    <row r="20" spans="1:17" ht="13.5" thickBot="1">
      <c r="A20" s="3">
        <v>204</v>
      </c>
      <c r="B20" s="5" t="s">
        <v>11</v>
      </c>
      <c r="C20" s="5">
        <v>11</v>
      </c>
      <c r="D20" s="5">
        <v>49.5</v>
      </c>
      <c r="E20" s="5">
        <v>56.5</v>
      </c>
      <c r="F20" s="5">
        <v>57</v>
      </c>
      <c r="G20" s="5">
        <v>52.5</v>
      </c>
      <c r="H20" s="5">
        <v>48</v>
      </c>
      <c r="I20" s="5">
        <v>48</v>
      </c>
      <c r="J20" s="23">
        <f t="shared" si="0"/>
        <v>51.916666666666664</v>
      </c>
      <c r="K20" s="5">
        <v>65</v>
      </c>
      <c r="L20" s="5">
        <v>58</v>
      </c>
      <c r="M20" s="5">
        <v>69.5</v>
      </c>
      <c r="N20" s="5">
        <v>63</v>
      </c>
      <c r="O20" s="5">
        <v>62.5</v>
      </c>
      <c r="P20" s="7">
        <v>56</v>
      </c>
      <c r="Q20" s="26">
        <f t="shared" si="1"/>
        <v>62.333333333333336</v>
      </c>
    </row>
    <row r="21" spans="1:17" ht="13.5" thickBot="1">
      <c r="A21" s="3">
        <v>205</v>
      </c>
      <c r="B21" s="5" t="s">
        <v>3</v>
      </c>
      <c r="C21" s="5">
        <v>1</v>
      </c>
      <c r="D21" s="5">
        <v>51.5</v>
      </c>
      <c r="E21" s="5">
        <v>50</v>
      </c>
      <c r="F21" s="5">
        <v>56.5</v>
      </c>
      <c r="G21" s="5">
        <v>52</v>
      </c>
      <c r="H21" s="5">
        <v>50</v>
      </c>
      <c r="I21" s="5">
        <v>47.5</v>
      </c>
      <c r="J21" s="23">
        <f t="shared" si="0"/>
        <v>51.25</v>
      </c>
      <c r="K21" s="5">
        <v>56</v>
      </c>
      <c r="L21" s="5">
        <v>47.5</v>
      </c>
      <c r="M21" s="5">
        <v>47</v>
      </c>
      <c r="N21" s="5">
        <v>55</v>
      </c>
      <c r="O21" s="5">
        <v>58</v>
      </c>
      <c r="P21" s="7">
        <v>45</v>
      </c>
      <c r="Q21" s="26">
        <f t="shared" si="1"/>
        <v>51.416666666666664</v>
      </c>
    </row>
    <row r="22" spans="1:17" ht="13.5" thickBot="1">
      <c r="A22" s="3">
        <v>206</v>
      </c>
      <c r="B22" s="5" t="s">
        <v>12</v>
      </c>
      <c r="C22" s="5">
        <v>8</v>
      </c>
      <c r="D22" s="5">
        <v>46</v>
      </c>
      <c r="E22" s="5">
        <v>38.5</v>
      </c>
      <c r="F22" s="5">
        <v>40.5</v>
      </c>
      <c r="G22" s="5">
        <v>51</v>
      </c>
      <c r="H22" s="5">
        <v>48</v>
      </c>
      <c r="I22" s="5">
        <v>33</v>
      </c>
      <c r="J22" s="23">
        <f t="shared" si="0"/>
        <v>42.833333333333336</v>
      </c>
      <c r="K22" s="5">
        <v>52</v>
      </c>
      <c r="L22" s="5">
        <v>41</v>
      </c>
      <c r="M22" s="5">
        <v>39</v>
      </c>
      <c r="N22" s="5">
        <v>46</v>
      </c>
      <c r="O22" s="5">
        <v>55</v>
      </c>
      <c r="P22" s="7">
        <v>35</v>
      </c>
      <c r="Q22" s="26">
        <f t="shared" si="1"/>
        <v>44.666666666666664</v>
      </c>
    </row>
    <row r="23" spans="1:17" ht="13.5" thickBot="1">
      <c r="A23" s="3">
        <v>207</v>
      </c>
      <c r="B23" s="5" t="s">
        <v>4</v>
      </c>
      <c r="C23" s="5">
        <v>4</v>
      </c>
      <c r="D23" s="5">
        <v>52</v>
      </c>
      <c r="E23" s="5">
        <v>50.5</v>
      </c>
      <c r="F23" s="5">
        <v>48.5</v>
      </c>
      <c r="G23" s="5">
        <v>55</v>
      </c>
      <c r="H23" s="5">
        <v>57</v>
      </c>
      <c r="I23" s="5">
        <v>48.5</v>
      </c>
      <c r="J23" s="23">
        <f t="shared" si="0"/>
        <v>51.916666666666664</v>
      </c>
      <c r="K23" s="5">
        <v>60</v>
      </c>
      <c r="L23" s="5">
        <v>59.5</v>
      </c>
      <c r="M23" s="5">
        <v>53</v>
      </c>
      <c r="N23" s="5">
        <v>57</v>
      </c>
      <c r="O23" s="5">
        <v>55</v>
      </c>
      <c r="P23" s="7">
        <v>45</v>
      </c>
      <c r="Q23" s="26">
        <f t="shared" si="1"/>
        <v>54.916666666666664</v>
      </c>
    </row>
    <row r="24" spans="1:17" ht="13.5" thickBot="1">
      <c r="A24" s="4">
        <v>208</v>
      </c>
      <c r="B24" s="12" t="s">
        <v>13</v>
      </c>
      <c r="C24" s="12">
        <v>2</v>
      </c>
      <c r="D24" s="12">
        <v>41.5</v>
      </c>
      <c r="E24" s="12">
        <v>47</v>
      </c>
      <c r="F24" s="12">
        <v>48.5</v>
      </c>
      <c r="G24" s="12">
        <v>46</v>
      </c>
      <c r="H24" s="12">
        <v>46.5</v>
      </c>
      <c r="I24" s="12">
        <v>41</v>
      </c>
      <c r="J24" s="23">
        <f t="shared" si="0"/>
        <v>45.083333333333336</v>
      </c>
      <c r="K24" s="12">
        <v>43</v>
      </c>
      <c r="L24" s="12">
        <v>48</v>
      </c>
      <c r="M24" s="12">
        <v>46</v>
      </c>
      <c r="N24">
        <v>41</v>
      </c>
      <c r="O24" s="12">
        <v>45</v>
      </c>
      <c r="P24" s="13">
        <v>38</v>
      </c>
      <c r="Q24" s="26">
        <f t="shared" si="1"/>
        <v>43.5</v>
      </c>
    </row>
    <row r="25" spans="1:17" ht="13.5" thickBot="1">
      <c r="A25" s="2">
        <v>301</v>
      </c>
      <c r="B25" s="8" t="s">
        <v>6</v>
      </c>
      <c r="C25" s="8">
        <v>10</v>
      </c>
      <c r="D25" s="8">
        <v>58</v>
      </c>
      <c r="E25" s="8">
        <v>52</v>
      </c>
      <c r="F25" s="8">
        <v>53</v>
      </c>
      <c r="G25" s="8">
        <v>54.5</v>
      </c>
      <c r="H25" s="8">
        <v>58</v>
      </c>
      <c r="I25" s="8">
        <v>49.5</v>
      </c>
      <c r="J25" s="23">
        <f t="shared" si="0"/>
        <v>54.166666666666664</v>
      </c>
      <c r="K25" s="8">
        <v>63</v>
      </c>
      <c r="L25" s="8">
        <v>41</v>
      </c>
      <c r="M25" s="12">
        <v>61</v>
      </c>
      <c r="N25">
        <v>55</v>
      </c>
      <c r="O25" s="8">
        <v>52</v>
      </c>
      <c r="P25" s="9">
        <v>45.5</v>
      </c>
      <c r="Q25" s="26">
        <f t="shared" si="1"/>
        <v>52.916666666666664</v>
      </c>
    </row>
    <row r="26" spans="1:17" ht="13.5" thickBot="1">
      <c r="A26" s="3">
        <v>302</v>
      </c>
      <c r="B26" s="5" t="s">
        <v>4</v>
      </c>
      <c r="C26" s="5">
        <v>4</v>
      </c>
      <c r="D26" s="5">
        <v>59</v>
      </c>
      <c r="E26" s="5">
        <v>51.5</v>
      </c>
      <c r="F26" s="5">
        <v>56</v>
      </c>
      <c r="G26" s="5">
        <v>56.5</v>
      </c>
      <c r="H26" s="5">
        <v>64.5</v>
      </c>
      <c r="I26" s="5">
        <v>63</v>
      </c>
      <c r="J26" s="23">
        <f t="shared" si="0"/>
        <v>58.416666666666664</v>
      </c>
      <c r="K26" s="5">
        <v>48</v>
      </c>
      <c r="L26" s="5">
        <v>43</v>
      </c>
      <c r="M26" s="8">
        <v>55.5</v>
      </c>
      <c r="N26">
        <v>59</v>
      </c>
      <c r="O26" s="5">
        <v>56</v>
      </c>
      <c r="P26" s="7">
        <v>58.5</v>
      </c>
      <c r="Q26" s="26">
        <f t="shared" si="1"/>
        <v>53.333333333333336</v>
      </c>
    </row>
    <row r="27" spans="1:17" ht="13.5" thickBot="1">
      <c r="A27" s="3">
        <v>303</v>
      </c>
      <c r="B27" s="5" t="s">
        <v>12</v>
      </c>
      <c r="C27" s="5">
        <v>8</v>
      </c>
      <c r="D27" s="5">
        <v>55</v>
      </c>
      <c r="E27" s="5">
        <v>58</v>
      </c>
      <c r="F27" s="5">
        <v>52</v>
      </c>
      <c r="G27" s="5">
        <v>42.5</v>
      </c>
      <c r="H27" s="5">
        <v>52.5</v>
      </c>
      <c r="I27" s="5">
        <v>50</v>
      </c>
      <c r="J27" s="23">
        <f t="shared" si="0"/>
        <v>51.666666666666664</v>
      </c>
      <c r="K27" s="5">
        <v>46.5</v>
      </c>
      <c r="L27" s="5">
        <v>52</v>
      </c>
      <c r="M27" s="5">
        <v>48</v>
      </c>
      <c r="N27" s="5">
        <v>47</v>
      </c>
      <c r="O27" s="5">
        <v>52</v>
      </c>
      <c r="P27" s="7">
        <v>52</v>
      </c>
      <c r="Q27" s="26">
        <f t="shared" si="1"/>
        <v>49.583333333333336</v>
      </c>
    </row>
    <row r="28" spans="1:17" ht="13.5" thickBot="1">
      <c r="A28" s="3">
        <v>304</v>
      </c>
      <c r="B28" s="5" t="s">
        <v>13</v>
      </c>
      <c r="C28" s="5">
        <v>2</v>
      </c>
      <c r="D28" s="5">
        <v>56</v>
      </c>
      <c r="E28" s="5">
        <v>54</v>
      </c>
      <c r="F28" s="5">
        <v>53</v>
      </c>
      <c r="G28" s="5">
        <v>57</v>
      </c>
      <c r="H28" s="5">
        <v>60</v>
      </c>
      <c r="I28" s="5">
        <v>45</v>
      </c>
      <c r="J28" s="23">
        <f t="shared" si="0"/>
        <v>54.166666666666664</v>
      </c>
      <c r="K28" s="5">
        <v>60</v>
      </c>
      <c r="L28" s="5">
        <v>55</v>
      </c>
      <c r="M28" s="5">
        <v>56</v>
      </c>
      <c r="N28" s="5">
        <v>50</v>
      </c>
      <c r="O28" s="5">
        <v>58.5</v>
      </c>
      <c r="P28" s="7">
        <v>45</v>
      </c>
      <c r="Q28" s="26">
        <f t="shared" si="1"/>
        <v>54.083333333333336</v>
      </c>
    </row>
    <row r="29" spans="1:17" ht="13.5" thickBot="1">
      <c r="A29" s="3">
        <v>305</v>
      </c>
      <c r="B29" s="5" t="s">
        <v>11</v>
      </c>
      <c r="C29" s="5">
        <v>11</v>
      </c>
      <c r="D29" s="5">
        <v>49</v>
      </c>
      <c r="E29" s="5">
        <v>54</v>
      </c>
      <c r="F29" s="5">
        <v>60</v>
      </c>
      <c r="G29" s="5">
        <v>53</v>
      </c>
      <c r="H29" s="5">
        <v>52.5</v>
      </c>
      <c r="I29" s="5">
        <v>47</v>
      </c>
      <c r="J29" s="23">
        <f t="shared" si="0"/>
        <v>52.583333333333336</v>
      </c>
      <c r="K29" s="5">
        <v>57.5</v>
      </c>
      <c r="L29" s="5">
        <v>67</v>
      </c>
      <c r="M29" s="5">
        <v>69</v>
      </c>
      <c r="N29" s="5">
        <v>67</v>
      </c>
      <c r="O29" s="5">
        <v>66.5</v>
      </c>
      <c r="P29" s="7">
        <v>58</v>
      </c>
      <c r="Q29" s="26">
        <f t="shared" si="1"/>
        <v>64.166666666666671</v>
      </c>
    </row>
    <row r="30" spans="1:17" ht="13.5" thickBot="1">
      <c r="A30" s="3">
        <v>306</v>
      </c>
      <c r="B30" s="5" t="s">
        <v>4</v>
      </c>
      <c r="C30" s="5">
        <v>4</v>
      </c>
      <c r="D30" s="5">
        <v>57</v>
      </c>
      <c r="E30" s="5">
        <v>44</v>
      </c>
      <c r="F30" s="5">
        <v>58.5</v>
      </c>
      <c r="G30" s="5">
        <v>60.5</v>
      </c>
      <c r="H30" s="5">
        <v>60</v>
      </c>
      <c r="I30" s="5">
        <v>45.5</v>
      </c>
      <c r="J30" s="23">
        <f t="shared" si="0"/>
        <v>54.25</v>
      </c>
      <c r="K30" s="5">
        <v>49</v>
      </c>
      <c r="L30" s="5">
        <v>40</v>
      </c>
      <c r="M30" s="5">
        <v>55</v>
      </c>
      <c r="N30" s="5">
        <v>65</v>
      </c>
      <c r="O30" s="5">
        <v>55</v>
      </c>
      <c r="P30" s="7">
        <v>50</v>
      </c>
      <c r="Q30" s="26">
        <f t="shared" si="1"/>
        <v>52.333333333333336</v>
      </c>
    </row>
    <row r="31" spans="1:17" ht="13.5" thickBot="1">
      <c r="A31" s="3">
        <v>307</v>
      </c>
      <c r="B31" s="5" t="s">
        <v>7</v>
      </c>
      <c r="C31" s="5">
        <v>9</v>
      </c>
      <c r="D31" s="5">
        <v>53</v>
      </c>
      <c r="E31" s="5">
        <v>52</v>
      </c>
      <c r="F31" s="5">
        <v>50</v>
      </c>
      <c r="G31" s="5">
        <v>42.5</v>
      </c>
      <c r="H31" s="5">
        <v>46</v>
      </c>
      <c r="I31" s="5">
        <v>55</v>
      </c>
      <c r="J31" s="23">
        <f t="shared" si="0"/>
        <v>49.75</v>
      </c>
      <c r="K31" s="5">
        <v>52</v>
      </c>
      <c r="L31" s="5">
        <v>48</v>
      </c>
      <c r="M31" s="5">
        <v>41</v>
      </c>
      <c r="N31" s="5">
        <v>43</v>
      </c>
      <c r="O31" s="5">
        <v>43.5</v>
      </c>
      <c r="P31" s="7">
        <v>47</v>
      </c>
      <c r="Q31" s="26">
        <f t="shared" si="1"/>
        <v>45.75</v>
      </c>
    </row>
    <row r="32" spans="1:17" ht="13.5" thickBot="1">
      <c r="A32" s="4">
        <v>308</v>
      </c>
      <c r="B32" s="12" t="s">
        <v>5</v>
      </c>
      <c r="C32" s="12">
        <v>5</v>
      </c>
      <c r="D32" s="12">
        <v>46</v>
      </c>
      <c r="E32" s="12">
        <v>41</v>
      </c>
      <c r="F32" s="12">
        <v>43</v>
      </c>
      <c r="G32" s="12">
        <v>49</v>
      </c>
      <c r="H32" s="12">
        <v>43.5</v>
      </c>
      <c r="I32" s="12">
        <v>42</v>
      </c>
      <c r="J32" s="23">
        <f t="shared" si="0"/>
        <v>44.083333333333336</v>
      </c>
      <c r="K32" s="12">
        <v>60</v>
      </c>
      <c r="L32" s="12">
        <v>61.5</v>
      </c>
      <c r="M32" s="12">
        <v>62.5</v>
      </c>
      <c r="N32" s="12">
        <v>59</v>
      </c>
      <c r="O32" s="12">
        <v>61</v>
      </c>
      <c r="P32" s="13">
        <v>60</v>
      </c>
      <c r="Q32" s="26">
        <f t="shared" si="1"/>
        <v>60.666666666666664</v>
      </c>
    </row>
    <row r="33" spans="1:17" ht="13.5" thickBot="1">
      <c r="A33" s="2">
        <v>401</v>
      </c>
      <c r="B33" s="8" t="s">
        <v>14</v>
      </c>
      <c r="C33" s="8">
        <v>7</v>
      </c>
      <c r="D33" s="8">
        <v>48</v>
      </c>
      <c r="E33" s="8">
        <v>46</v>
      </c>
      <c r="F33" s="8">
        <v>45</v>
      </c>
      <c r="G33" s="8">
        <v>50</v>
      </c>
      <c r="H33" s="8">
        <v>51</v>
      </c>
      <c r="I33" s="8">
        <v>45</v>
      </c>
      <c r="J33" s="23">
        <f t="shared" si="0"/>
        <v>47.5</v>
      </c>
      <c r="K33" s="8">
        <v>55</v>
      </c>
      <c r="L33" s="8">
        <v>35</v>
      </c>
      <c r="M33" s="8">
        <v>49</v>
      </c>
      <c r="N33" s="8">
        <v>52</v>
      </c>
      <c r="O33" s="8">
        <v>51</v>
      </c>
      <c r="P33" s="9">
        <v>46.5</v>
      </c>
      <c r="Q33" s="26">
        <f t="shared" si="1"/>
        <v>48.083333333333336</v>
      </c>
    </row>
    <row r="34" spans="1:17" ht="13.5" thickBot="1">
      <c r="A34" s="3">
        <v>402</v>
      </c>
      <c r="B34" s="5" t="s">
        <v>7</v>
      </c>
      <c r="C34" s="5">
        <v>9</v>
      </c>
      <c r="D34" s="5">
        <v>52</v>
      </c>
      <c r="E34" s="5">
        <v>48</v>
      </c>
      <c r="F34" s="5">
        <v>52.5</v>
      </c>
      <c r="G34" s="5">
        <v>58</v>
      </c>
      <c r="H34" s="5">
        <v>48</v>
      </c>
      <c r="I34" s="5">
        <v>51</v>
      </c>
      <c r="J34" s="23">
        <f t="shared" si="0"/>
        <v>51.583333333333336</v>
      </c>
      <c r="K34" s="5">
        <v>48.5</v>
      </c>
      <c r="L34" s="5">
        <v>60</v>
      </c>
      <c r="M34" s="5">
        <v>46</v>
      </c>
      <c r="N34" s="5">
        <v>56.5</v>
      </c>
      <c r="O34" s="5">
        <v>52</v>
      </c>
      <c r="P34" s="7">
        <v>52</v>
      </c>
      <c r="Q34" s="26">
        <f t="shared" si="1"/>
        <v>52.5</v>
      </c>
    </row>
    <row r="35" spans="1:17" ht="13.5" thickBot="1">
      <c r="A35" s="3">
        <v>403</v>
      </c>
      <c r="B35" s="5" t="s">
        <v>15</v>
      </c>
      <c r="C35" s="5">
        <v>6</v>
      </c>
      <c r="D35" s="5">
        <v>50</v>
      </c>
      <c r="E35" s="5">
        <v>45.5</v>
      </c>
      <c r="F35" s="5">
        <v>48.5</v>
      </c>
      <c r="G35" s="5">
        <v>47</v>
      </c>
      <c r="H35" s="5">
        <v>50</v>
      </c>
      <c r="I35" s="5">
        <v>47</v>
      </c>
      <c r="J35" s="23">
        <f t="shared" si="0"/>
        <v>48</v>
      </c>
      <c r="K35" s="5">
        <v>62.5</v>
      </c>
      <c r="L35" s="5">
        <v>66</v>
      </c>
      <c r="M35" s="5">
        <v>72</v>
      </c>
      <c r="N35" s="5">
        <v>62.5</v>
      </c>
      <c r="O35" s="5">
        <v>68</v>
      </c>
      <c r="P35" s="7">
        <v>64</v>
      </c>
      <c r="Q35" s="26">
        <f t="shared" si="1"/>
        <v>65.833333333333329</v>
      </c>
    </row>
    <row r="36" spans="1:17" ht="13.5" thickBot="1">
      <c r="A36" s="3">
        <v>404</v>
      </c>
      <c r="B36" s="5" t="s">
        <v>8</v>
      </c>
      <c r="C36" s="5">
        <v>3</v>
      </c>
      <c r="D36" s="5">
        <v>54.5</v>
      </c>
      <c r="E36" s="5">
        <v>63</v>
      </c>
      <c r="F36" s="5">
        <v>53</v>
      </c>
      <c r="G36" s="5">
        <v>54.5</v>
      </c>
      <c r="H36" s="5">
        <v>49</v>
      </c>
      <c r="I36" s="5">
        <v>52.5</v>
      </c>
      <c r="J36" s="23">
        <f t="shared" si="0"/>
        <v>54.416666666666664</v>
      </c>
      <c r="K36" s="5">
        <v>51</v>
      </c>
      <c r="L36" s="5">
        <v>52</v>
      </c>
      <c r="M36" s="5">
        <v>50</v>
      </c>
      <c r="N36" s="5">
        <v>51</v>
      </c>
      <c r="O36" s="5">
        <v>54</v>
      </c>
      <c r="P36" s="7">
        <v>50</v>
      </c>
      <c r="Q36" s="26">
        <f t="shared" si="1"/>
        <v>51.333333333333336</v>
      </c>
    </row>
    <row r="37" spans="1:17" ht="13.5" thickBot="1">
      <c r="A37" s="3">
        <v>405</v>
      </c>
      <c r="B37" s="5" t="s">
        <v>15</v>
      </c>
      <c r="C37" s="5">
        <v>6</v>
      </c>
      <c r="D37" s="5">
        <v>46</v>
      </c>
      <c r="E37" s="5">
        <v>43.5</v>
      </c>
      <c r="F37" s="5">
        <v>49.5</v>
      </c>
      <c r="G37" s="5">
        <v>47</v>
      </c>
      <c r="H37" s="5">
        <v>52</v>
      </c>
      <c r="I37" s="5">
        <v>46</v>
      </c>
      <c r="J37" s="23">
        <f t="shared" si="0"/>
        <v>47.333333333333336</v>
      </c>
      <c r="K37" s="5">
        <v>64.5</v>
      </c>
      <c r="L37" s="5">
        <v>69</v>
      </c>
      <c r="M37" s="5">
        <v>68.5</v>
      </c>
      <c r="N37" s="5">
        <v>64.5</v>
      </c>
      <c r="O37" s="5">
        <v>65</v>
      </c>
      <c r="P37" s="7">
        <v>63</v>
      </c>
      <c r="Q37" s="26">
        <f t="shared" si="1"/>
        <v>65.75</v>
      </c>
    </row>
    <row r="38" spans="1:17" ht="13.5" thickBot="1">
      <c r="A38" s="3">
        <v>406</v>
      </c>
      <c r="B38" s="5" t="s">
        <v>8</v>
      </c>
      <c r="C38" s="5">
        <v>3</v>
      </c>
      <c r="D38" s="5">
        <v>55.5</v>
      </c>
      <c r="E38" s="5">
        <v>54</v>
      </c>
      <c r="F38" s="5">
        <v>59</v>
      </c>
      <c r="G38" s="5">
        <v>53.5</v>
      </c>
      <c r="H38" s="5">
        <v>56</v>
      </c>
      <c r="I38" s="5">
        <v>57</v>
      </c>
      <c r="J38" s="23">
        <f t="shared" si="0"/>
        <v>55.833333333333336</v>
      </c>
      <c r="K38" s="5">
        <v>54</v>
      </c>
      <c r="L38" s="5">
        <v>61.5</v>
      </c>
      <c r="M38" s="5">
        <v>63</v>
      </c>
      <c r="N38" s="5">
        <v>56</v>
      </c>
      <c r="O38" s="5">
        <v>59.5</v>
      </c>
      <c r="P38" s="7">
        <v>60</v>
      </c>
      <c r="Q38" s="26">
        <f t="shared" si="1"/>
        <v>59</v>
      </c>
    </row>
    <row r="39" spans="1:17" ht="13.5" thickBot="1">
      <c r="A39" s="3">
        <v>407</v>
      </c>
      <c r="B39" s="5" t="s">
        <v>14</v>
      </c>
      <c r="C39" s="5">
        <v>7</v>
      </c>
      <c r="D39" s="5">
        <v>50.5</v>
      </c>
      <c r="E39" s="5">
        <v>49</v>
      </c>
      <c r="F39" s="5">
        <v>51</v>
      </c>
      <c r="G39" s="5">
        <v>46</v>
      </c>
      <c r="H39" s="5">
        <v>44</v>
      </c>
      <c r="I39" s="5">
        <v>54</v>
      </c>
      <c r="J39" s="23">
        <f t="shared" si="0"/>
        <v>49.083333333333336</v>
      </c>
      <c r="K39" s="5">
        <v>50</v>
      </c>
      <c r="L39" s="5">
        <v>45</v>
      </c>
      <c r="M39" s="5">
        <v>56.5</v>
      </c>
      <c r="N39" s="5">
        <v>39.5</v>
      </c>
      <c r="O39" s="5">
        <v>48</v>
      </c>
      <c r="P39" s="7">
        <v>57</v>
      </c>
      <c r="Q39" s="26">
        <f t="shared" si="1"/>
        <v>49.333333333333336</v>
      </c>
    </row>
    <row r="40" spans="1:17" ht="13.5" thickBot="1">
      <c r="A40" s="4">
        <v>408</v>
      </c>
      <c r="B40" s="12" t="s">
        <v>6</v>
      </c>
      <c r="C40" s="12">
        <v>10</v>
      </c>
      <c r="D40" s="12">
        <v>46</v>
      </c>
      <c r="E40" s="12">
        <v>49.5</v>
      </c>
      <c r="F40" s="12">
        <v>50</v>
      </c>
      <c r="G40" s="12">
        <v>50.5</v>
      </c>
      <c r="H40" s="12">
        <v>45.5</v>
      </c>
      <c r="I40" s="12">
        <v>53</v>
      </c>
      <c r="J40" s="23">
        <f t="shared" si="0"/>
        <v>49.083333333333336</v>
      </c>
      <c r="K40" s="12">
        <v>46.5</v>
      </c>
      <c r="L40" s="12">
        <v>46.5</v>
      </c>
      <c r="M40" s="12">
        <v>52</v>
      </c>
      <c r="N40" s="12">
        <v>45</v>
      </c>
      <c r="O40" s="12">
        <v>40</v>
      </c>
      <c r="P40" s="13">
        <v>47</v>
      </c>
      <c r="Q40" s="26">
        <f t="shared" si="1"/>
        <v>46.166666666666664</v>
      </c>
    </row>
    <row r="41" spans="1:17" ht="13.5" thickBot="1">
      <c r="A41" s="2">
        <v>901</v>
      </c>
      <c r="B41" s="8" t="s">
        <v>16</v>
      </c>
      <c r="C41" s="8">
        <v>32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23">
        <f t="shared" si="0"/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9">
        <v>0</v>
      </c>
      <c r="Q41" s="26">
        <f t="shared" si="1"/>
        <v>0</v>
      </c>
    </row>
    <row r="42" spans="1:17" ht="13.5" thickBot="1">
      <c r="A42" s="3">
        <v>902</v>
      </c>
      <c r="B42" s="6">
        <v>37452</v>
      </c>
      <c r="C42" s="5">
        <v>22</v>
      </c>
      <c r="D42" s="5">
        <v>53.5</v>
      </c>
      <c r="E42" s="5">
        <v>51</v>
      </c>
      <c r="F42" s="5">
        <v>50.5</v>
      </c>
      <c r="G42" s="5">
        <v>48</v>
      </c>
      <c r="H42" s="5">
        <v>50.5</v>
      </c>
      <c r="I42" s="5">
        <v>47.5</v>
      </c>
      <c r="J42" s="23">
        <f t="shared" si="0"/>
        <v>50.166666666666664</v>
      </c>
      <c r="K42" s="5">
        <v>47.5</v>
      </c>
      <c r="L42" s="5">
        <v>51</v>
      </c>
      <c r="M42" s="5">
        <v>47</v>
      </c>
      <c r="N42" s="5">
        <v>42</v>
      </c>
      <c r="O42" s="5">
        <v>50</v>
      </c>
      <c r="P42" s="7">
        <v>50.5</v>
      </c>
      <c r="Q42" s="26">
        <f t="shared" si="1"/>
        <v>48</v>
      </c>
    </row>
    <row r="43" spans="1:17" ht="13.5" thickBot="1">
      <c r="A43" s="3">
        <v>903</v>
      </c>
      <c r="B43" s="5" t="s">
        <v>17</v>
      </c>
      <c r="C43" s="5">
        <v>31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23">
        <f t="shared" si="0"/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7">
        <v>0</v>
      </c>
      <c r="Q43" s="26">
        <f t="shared" si="1"/>
        <v>0</v>
      </c>
    </row>
    <row r="44" spans="1:17" ht="13.5" thickBot="1">
      <c r="A44" s="3">
        <v>904</v>
      </c>
      <c r="B44" s="6">
        <v>37408</v>
      </c>
      <c r="C44" s="5">
        <v>21</v>
      </c>
      <c r="D44" s="5">
        <v>38.5</v>
      </c>
      <c r="E44" s="5">
        <v>49</v>
      </c>
      <c r="F44" s="5">
        <v>42.5</v>
      </c>
      <c r="G44" s="5">
        <v>42</v>
      </c>
      <c r="H44" s="5">
        <v>48.5</v>
      </c>
      <c r="I44" s="5">
        <v>47</v>
      </c>
      <c r="J44" s="23">
        <f t="shared" si="0"/>
        <v>44.583333333333336</v>
      </c>
      <c r="K44" s="5">
        <v>39</v>
      </c>
      <c r="L44" s="5">
        <v>46</v>
      </c>
      <c r="M44" s="5">
        <v>43</v>
      </c>
      <c r="N44" s="5">
        <v>40</v>
      </c>
      <c r="O44" s="5">
        <v>45</v>
      </c>
      <c r="P44" s="7">
        <v>44.5</v>
      </c>
      <c r="Q44" s="26">
        <f t="shared" si="1"/>
        <v>42.916666666666664</v>
      </c>
    </row>
    <row r="45" spans="1:17" ht="13.5" thickBot="1">
      <c r="A45" s="3">
        <v>905</v>
      </c>
      <c r="B45" s="5" t="s">
        <v>16</v>
      </c>
      <c r="C45" s="5">
        <v>32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23">
        <f t="shared" si="0"/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7">
        <v>0</v>
      </c>
      <c r="Q45" s="26">
        <f t="shared" si="1"/>
        <v>0</v>
      </c>
    </row>
    <row r="46" spans="1:17" ht="13.5" thickBot="1">
      <c r="A46" s="3">
        <v>906</v>
      </c>
      <c r="B46" s="6">
        <v>37452</v>
      </c>
      <c r="C46" s="5">
        <v>22</v>
      </c>
      <c r="D46" s="5">
        <v>58</v>
      </c>
      <c r="E46" s="5">
        <v>56.5</v>
      </c>
      <c r="F46" s="5">
        <v>55</v>
      </c>
      <c r="G46" s="5">
        <v>65.5</v>
      </c>
      <c r="H46" s="5">
        <v>57</v>
      </c>
      <c r="I46" s="5">
        <v>48</v>
      </c>
      <c r="J46" s="23">
        <f t="shared" si="0"/>
        <v>56.666666666666664</v>
      </c>
      <c r="K46" s="5">
        <v>56.5</v>
      </c>
      <c r="L46" s="5">
        <v>57</v>
      </c>
      <c r="M46" s="5">
        <v>50</v>
      </c>
      <c r="N46" s="5">
        <v>53</v>
      </c>
      <c r="O46" s="5">
        <v>52.5</v>
      </c>
      <c r="P46" s="7">
        <v>44.5</v>
      </c>
      <c r="Q46" s="26">
        <f t="shared" si="1"/>
        <v>52.25</v>
      </c>
    </row>
    <row r="47" spans="1:17" ht="13.5" thickBot="1">
      <c r="A47" s="3">
        <v>907</v>
      </c>
      <c r="B47" s="5" t="s">
        <v>17</v>
      </c>
      <c r="C47" s="5">
        <v>31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23">
        <f t="shared" si="0"/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7">
        <v>0</v>
      </c>
      <c r="Q47" s="26">
        <f t="shared" si="1"/>
        <v>0</v>
      </c>
    </row>
    <row r="48" spans="1:17" ht="13.5" thickBot="1">
      <c r="A48" s="4">
        <v>908</v>
      </c>
      <c r="B48" s="15">
        <v>37408</v>
      </c>
      <c r="C48" s="12">
        <v>21</v>
      </c>
      <c r="D48" s="12">
        <v>47.5</v>
      </c>
      <c r="E48" s="12">
        <v>41</v>
      </c>
      <c r="F48" s="12">
        <v>48.5</v>
      </c>
      <c r="G48" s="12">
        <v>45.5</v>
      </c>
      <c r="H48" s="12">
        <v>47</v>
      </c>
      <c r="I48" s="12">
        <v>45.5</v>
      </c>
      <c r="J48" s="23">
        <f t="shared" si="0"/>
        <v>45.833333333333336</v>
      </c>
      <c r="K48" s="12">
        <v>45</v>
      </c>
      <c r="L48" s="12">
        <v>36</v>
      </c>
      <c r="M48" s="12">
        <v>46</v>
      </c>
      <c r="N48" s="12">
        <v>48</v>
      </c>
      <c r="O48" s="12">
        <v>44</v>
      </c>
      <c r="P48" s="13">
        <v>40.5</v>
      </c>
      <c r="Q48" s="27">
        <f t="shared" si="1"/>
        <v>43.25</v>
      </c>
    </row>
  </sheetData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73F2F-90F3-4D2C-A32D-635B069C9C69}">
  <dimension ref="A1:Q48"/>
  <sheetViews>
    <sheetView workbookViewId="0">
      <selection activeCell="H67" sqref="H67"/>
    </sheetView>
  </sheetViews>
  <sheetFormatPr defaultRowHeight="12.75"/>
  <sheetData>
    <row r="1" spans="1:17">
      <c r="A1" t="s">
        <v>19</v>
      </c>
    </row>
    <row r="2" spans="1:17">
      <c r="A2" s="1" t="s">
        <v>43</v>
      </c>
    </row>
    <row r="3" spans="1:17">
      <c r="A3" s="30">
        <v>37439</v>
      </c>
    </row>
    <row r="4" spans="1:17">
      <c r="A4" s="1" t="s">
        <v>44</v>
      </c>
      <c r="E4" t="s">
        <v>30</v>
      </c>
    </row>
    <row r="5" spans="1:17">
      <c r="A5" s="1" t="s">
        <v>22</v>
      </c>
    </row>
    <row r="6" spans="1:17" ht="13.5" thickBot="1"/>
    <row r="7" spans="1:17" ht="13.5" thickBot="1">
      <c r="D7" s="2"/>
      <c r="E7" s="18"/>
      <c r="F7" s="19" t="s">
        <v>2</v>
      </c>
      <c r="G7" s="18"/>
      <c r="H7" s="18"/>
      <c r="I7" s="20"/>
      <c r="J7" s="18"/>
      <c r="K7" s="2"/>
      <c r="L7" s="18"/>
      <c r="M7" s="18" t="s">
        <v>1</v>
      </c>
      <c r="N7" s="18"/>
      <c r="O7" s="18"/>
      <c r="P7" s="18"/>
      <c r="Q7" s="24"/>
    </row>
    <row r="8" spans="1:17" ht="13.5" thickBot="1">
      <c r="A8" s="16" t="s">
        <v>0</v>
      </c>
      <c r="B8" s="17" t="s">
        <v>9</v>
      </c>
      <c r="C8" s="17" t="s">
        <v>18</v>
      </c>
      <c r="D8" s="21" t="s">
        <v>24</v>
      </c>
      <c r="E8" s="12" t="s">
        <v>25</v>
      </c>
      <c r="F8" s="12" t="s">
        <v>26</v>
      </c>
      <c r="G8" s="12" t="s">
        <v>27</v>
      </c>
      <c r="H8" s="12" t="s">
        <v>28</v>
      </c>
      <c r="I8" s="14" t="s">
        <v>29</v>
      </c>
      <c r="J8" s="22" t="s">
        <v>31</v>
      </c>
      <c r="K8" s="21" t="s">
        <v>24</v>
      </c>
      <c r="L8" s="12" t="s">
        <v>25</v>
      </c>
      <c r="M8" s="12" t="s">
        <v>26</v>
      </c>
      <c r="N8" s="12" t="s">
        <v>27</v>
      </c>
      <c r="O8" s="12" t="s">
        <v>28</v>
      </c>
      <c r="P8" s="13" t="s">
        <v>29</v>
      </c>
      <c r="Q8" s="25" t="s">
        <v>32</v>
      </c>
    </row>
    <row r="9" spans="1:17" ht="13.5" thickBot="1">
      <c r="A9" s="2">
        <v>101</v>
      </c>
      <c r="B9" s="8" t="s">
        <v>3</v>
      </c>
      <c r="C9" s="9">
        <v>1</v>
      </c>
      <c r="D9" s="8">
        <v>54</v>
      </c>
      <c r="E9" s="8">
        <v>60</v>
      </c>
      <c r="F9" s="8">
        <v>61</v>
      </c>
      <c r="G9" s="8">
        <v>53</v>
      </c>
      <c r="H9" s="8">
        <v>59</v>
      </c>
      <c r="I9" s="8">
        <v>56</v>
      </c>
      <c r="J9" s="23">
        <f>AVERAGE(D9:I9)</f>
        <v>57.166666666666664</v>
      </c>
      <c r="K9" s="8">
        <v>38</v>
      </c>
      <c r="L9" s="8">
        <v>60</v>
      </c>
      <c r="M9" s="8">
        <v>54</v>
      </c>
      <c r="N9" s="8">
        <v>63</v>
      </c>
      <c r="O9" s="8">
        <v>60</v>
      </c>
      <c r="P9" s="9">
        <v>52</v>
      </c>
      <c r="Q9" s="26">
        <f>AVERAGE(K9:P9)</f>
        <v>54.5</v>
      </c>
    </row>
    <row r="10" spans="1:17" ht="13.5" thickBot="1">
      <c r="A10" s="3">
        <v>102</v>
      </c>
      <c r="B10" s="5" t="s">
        <v>4</v>
      </c>
      <c r="C10" s="7">
        <v>4</v>
      </c>
      <c r="D10" s="5">
        <v>55</v>
      </c>
      <c r="E10" s="5">
        <v>60</v>
      </c>
      <c r="F10" s="5">
        <v>60</v>
      </c>
      <c r="G10" s="5">
        <v>55</v>
      </c>
      <c r="H10" s="5">
        <v>56</v>
      </c>
      <c r="I10" s="5">
        <v>58</v>
      </c>
      <c r="J10" s="23">
        <f t="shared" ref="J10:J48" si="0">AVERAGE(D10:I10)</f>
        <v>57.333333333333336</v>
      </c>
      <c r="K10" s="5">
        <v>44</v>
      </c>
      <c r="L10" s="5">
        <v>45</v>
      </c>
      <c r="M10" s="5">
        <v>50</v>
      </c>
      <c r="N10" s="5">
        <v>42</v>
      </c>
      <c r="O10" s="5">
        <v>48</v>
      </c>
      <c r="P10" s="7">
        <v>43</v>
      </c>
      <c r="Q10" s="26">
        <f t="shared" ref="Q10:Q48" si="1">AVERAGE(K10:P10)</f>
        <v>45.333333333333336</v>
      </c>
    </row>
    <row r="11" spans="1:17" ht="13.5" thickBot="1">
      <c r="A11" s="3">
        <v>103</v>
      </c>
      <c r="B11" s="5" t="s">
        <v>5</v>
      </c>
      <c r="C11" s="7">
        <v>5</v>
      </c>
      <c r="D11" s="5">
        <v>57</v>
      </c>
      <c r="E11" s="5">
        <v>61</v>
      </c>
      <c r="F11" s="5">
        <v>58</v>
      </c>
      <c r="G11" s="5">
        <v>53</v>
      </c>
      <c r="H11" s="5">
        <v>55</v>
      </c>
      <c r="I11" s="5">
        <v>54</v>
      </c>
      <c r="J11" s="23">
        <f t="shared" si="0"/>
        <v>56.333333333333336</v>
      </c>
      <c r="K11" s="5">
        <v>69</v>
      </c>
      <c r="L11" s="5">
        <v>70</v>
      </c>
      <c r="M11" s="5">
        <v>66</v>
      </c>
      <c r="N11" s="5">
        <v>66</v>
      </c>
      <c r="O11" s="5">
        <v>65</v>
      </c>
      <c r="P11" s="7">
        <v>61</v>
      </c>
      <c r="Q11" s="26">
        <f t="shared" si="1"/>
        <v>66.166666666666671</v>
      </c>
    </row>
    <row r="12" spans="1:17" ht="13.5" thickBot="1">
      <c r="A12" s="3">
        <v>104</v>
      </c>
      <c r="B12" s="5" t="s">
        <v>6</v>
      </c>
      <c r="C12" s="7">
        <v>10</v>
      </c>
      <c r="D12" s="5">
        <v>56</v>
      </c>
      <c r="E12" s="5">
        <v>54</v>
      </c>
      <c r="F12" s="5">
        <v>59</v>
      </c>
      <c r="G12" s="5">
        <v>55</v>
      </c>
      <c r="H12" s="5">
        <v>47</v>
      </c>
      <c r="I12" s="5">
        <v>46</v>
      </c>
      <c r="J12" s="23">
        <f t="shared" si="0"/>
        <v>52.833333333333336</v>
      </c>
      <c r="K12" s="5">
        <v>42</v>
      </c>
      <c r="L12" s="5">
        <v>40</v>
      </c>
      <c r="M12" s="5">
        <v>44</v>
      </c>
      <c r="N12" s="5">
        <v>41</v>
      </c>
      <c r="O12" s="5">
        <v>40</v>
      </c>
      <c r="P12" s="7">
        <v>42</v>
      </c>
      <c r="Q12" s="26">
        <f t="shared" si="1"/>
        <v>41.5</v>
      </c>
    </row>
    <row r="13" spans="1:17" ht="13.5" thickBot="1">
      <c r="A13" s="3">
        <v>105</v>
      </c>
      <c r="B13" s="5" t="s">
        <v>10</v>
      </c>
      <c r="C13" s="7">
        <v>12</v>
      </c>
      <c r="D13" s="5">
        <v>49</v>
      </c>
      <c r="E13" s="5">
        <v>50</v>
      </c>
      <c r="F13" s="5">
        <v>57</v>
      </c>
      <c r="G13" s="5">
        <v>56</v>
      </c>
      <c r="H13" s="5">
        <v>58</v>
      </c>
      <c r="I13" s="5">
        <v>56</v>
      </c>
      <c r="J13" s="23">
        <f t="shared" si="0"/>
        <v>54.333333333333336</v>
      </c>
      <c r="K13" s="5">
        <v>67</v>
      </c>
      <c r="L13" s="5">
        <v>62</v>
      </c>
      <c r="M13" s="5">
        <v>63</v>
      </c>
      <c r="N13" s="5">
        <v>700</v>
      </c>
      <c r="O13" s="5">
        <v>69</v>
      </c>
      <c r="P13" s="7">
        <v>57</v>
      </c>
      <c r="Q13" s="26">
        <f t="shared" si="1"/>
        <v>169.66666666666666</v>
      </c>
    </row>
    <row r="14" spans="1:17" ht="13.5" thickBot="1">
      <c r="A14" s="3">
        <v>106</v>
      </c>
      <c r="B14" s="5" t="s">
        <v>7</v>
      </c>
      <c r="C14" s="7">
        <v>9</v>
      </c>
      <c r="D14" s="5">
        <v>54</v>
      </c>
      <c r="E14" s="5">
        <v>58</v>
      </c>
      <c r="F14" s="5">
        <v>58</v>
      </c>
      <c r="G14" s="5">
        <v>60</v>
      </c>
      <c r="H14" s="5">
        <v>56</v>
      </c>
      <c r="I14" s="5">
        <v>60</v>
      </c>
      <c r="J14" s="23">
        <f t="shared" si="0"/>
        <v>57.666666666666664</v>
      </c>
      <c r="K14" s="5">
        <v>40</v>
      </c>
      <c r="L14" s="5">
        <v>60</v>
      </c>
      <c r="M14" s="5">
        <v>51</v>
      </c>
      <c r="N14" s="5">
        <v>48</v>
      </c>
      <c r="O14" s="5">
        <v>38</v>
      </c>
      <c r="P14" s="7">
        <v>48</v>
      </c>
      <c r="Q14" s="26">
        <f t="shared" si="1"/>
        <v>47.5</v>
      </c>
    </row>
    <row r="15" spans="1:17" ht="13.5" thickBot="1">
      <c r="A15" s="3">
        <v>107</v>
      </c>
      <c r="B15" s="5" t="s">
        <v>6</v>
      </c>
      <c r="C15" s="7">
        <v>10</v>
      </c>
      <c r="D15" s="5">
        <v>47</v>
      </c>
      <c r="E15" s="5">
        <v>55</v>
      </c>
      <c r="F15" s="5">
        <v>55</v>
      </c>
      <c r="G15" s="5">
        <v>54</v>
      </c>
      <c r="H15" s="5">
        <v>55</v>
      </c>
      <c r="I15" s="5">
        <v>53</v>
      </c>
      <c r="J15" s="23">
        <f t="shared" si="0"/>
        <v>53.166666666666664</v>
      </c>
      <c r="K15" s="5">
        <v>42</v>
      </c>
      <c r="L15" s="5">
        <v>44</v>
      </c>
      <c r="M15" s="5">
        <v>53</v>
      </c>
      <c r="N15" s="5">
        <v>44</v>
      </c>
      <c r="O15" s="5">
        <v>57</v>
      </c>
      <c r="P15" s="7">
        <v>42</v>
      </c>
      <c r="Q15" s="26">
        <f t="shared" si="1"/>
        <v>47</v>
      </c>
    </row>
    <row r="16" spans="1:17" ht="13.5" thickBot="1">
      <c r="A16" s="4">
        <v>108</v>
      </c>
      <c r="B16" s="12" t="s">
        <v>8</v>
      </c>
      <c r="C16" s="13">
        <v>3</v>
      </c>
      <c r="D16" s="12">
        <v>56</v>
      </c>
      <c r="E16" s="12">
        <v>65</v>
      </c>
      <c r="F16" s="12">
        <v>55</v>
      </c>
      <c r="G16" s="12">
        <v>58</v>
      </c>
      <c r="H16" s="12">
        <v>54</v>
      </c>
      <c r="I16" s="12">
        <v>65</v>
      </c>
      <c r="J16" s="23">
        <f t="shared" si="0"/>
        <v>58.833333333333336</v>
      </c>
      <c r="K16" s="12">
        <v>47</v>
      </c>
      <c r="L16" s="12">
        <v>57</v>
      </c>
      <c r="M16" s="12">
        <v>62</v>
      </c>
      <c r="N16" s="12">
        <v>56</v>
      </c>
      <c r="O16" s="12">
        <v>50</v>
      </c>
      <c r="P16" s="13">
        <v>57</v>
      </c>
      <c r="Q16" s="26">
        <f t="shared" si="1"/>
        <v>54.833333333333336</v>
      </c>
    </row>
    <row r="17" spans="1:17" ht="13.5" thickBot="1">
      <c r="A17" s="2">
        <v>201</v>
      </c>
      <c r="B17" s="8" t="s">
        <v>10</v>
      </c>
      <c r="C17" s="8">
        <v>12</v>
      </c>
      <c r="D17" s="8">
        <v>60</v>
      </c>
      <c r="E17" s="8">
        <v>55</v>
      </c>
      <c r="F17" s="8">
        <v>59</v>
      </c>
      <c r="G17" s="8">
        <v>65</v>
      </c>
      <c r="H17" s="8">
        <v>62</v>
      </c>
      <c r="I17" s="8">
        <v>56</v>
      </c>
      <c r="J17" s="23">
        <f t="shared" si="0"/>
        <v>59.5</v>
      </c>
      <c r="K17" s="8">
        <v>62</v>
      </c>
      <c r="L17" s="8">
        <v>68</v>
      </c>
      <c r="M17" s="8">
        <v>65</v>
      </c>
      <c r="N17" s="8">
        <v>61</v>
      </c>
      <c r="O17" s="8">
        <v>64</v>
      </c>
      <c r="P17" s="9">
        <v>63</v>
      </c>
      <c r="Q17" s="26">
        <f t="shared" si="1"/>
        <v>63.833333333333336</v>
      </c>
    </row>
    <row r="18" spans="1:17" ht="13.5" thickBot="1">
      <c r="A18" s="3">
        <v>202</v>
      </c>
      <c r="B18" s="5" t="s">
        <v>7</v>
      </c>
      <c r="C18" s="5">
        <v>9</v>
      </c>
      <c r="D18" s="5">
        <v>50</v>
      </c>
      <c r="E18" s="5">
        <v>50</v>
      </c>
      <c r="F18" s="5">
        <v>41</v>
      </c>
      <c r="G18" s="5">
        <v>45</v>
      </c>
      <c r="H18" s="5">
        <v>50</v>
      </c>
      <c r="I18" s="5">
        <v>59</v>
      </c>
      <c r="J18" s="23">
        <f t="shared" si="0"/>
        <v>49.166666666666664</v>
      </c>
      <c r="K18" s="5">
        <v>46</v>
      </c>
      <c r="L18" s="5">
        <v>42</v>
      </c>
      <c r="M18" s="5">
        <v>35</v>
      </c>
      <c r="N18" s="5">
        <v>63</v>
      </c>
      <c r="O18" s="5">
        <v>38</v>
      </c>
      <c r="P18" s="7">
        <v>39</v>
      </c>
      <c r="Q18" s="26">
        <f t="shared" si="1"/>
        <v>43.833333333333336</v>
      </c>
    </row>
    <row r="19" spans="1:17" ht="13.5" thickBot="1">
      <c r="A19" s="3">
        <v>203</v>
      </c>
      <c r="B19" s="5" t="s">
        <v>8</v>
      </c>
      <c r="C19" s="5">
        <v>3</v>
      </c>
      <c r="D19" s="5">
        <v>71</v>
      </c>
      <c r="E19" s="5">
        <v>55</v>
      </c>
      <c r="F19" s="5">
        <v>67</v>
      </c>
      <c r="G19" s="5">
        <v>59</v>
      </c>
      <c r="H19" s="5">
        <v>63</v>
      </c>
      <c r="I19" s="5">
        <v>58</v>
      </c>
      <c r="J19" s="23">
        <f t="shared" si="0"/>
        <v>62.166666666666664</v>
      </c>
      <c r="K19" s="5">
        <v>55</v>
      </c>
      <c r="L19" s="5">
        <v>53</v>
      </c>
      <c r="M19" s="5">
        <v>56</v>
      </c>
      <c r="N19" s="5">
        <v>55</v>
      </c>
      <c r="O19" s="5">
        <v>53</v>
      </c>
      <c r="P19" s="7">
        <v>55</v>
      </c>
      <c r="Q19" s="26">
        <f t="shared" si="1"/>
        <v>54.5</v>
      </c>
    </row>
    <row r="20" spans="1:17" ht="13.5" thickBot="1">
      <c r="A20" s="3">
        <v>204</v>
      </c>
      <c r="B20" s="5" t="s">
        <v>11</v>
      </c>
      <c r="C20" s="5">
        <v>11</v>
      </c>
      <c r="D20" s="5">
        <v>53</v>
      </c>
      <c r="E20" s="5">
        <v>56</v>
      </c>
      <c r="F20" s="5">
        <v>60</v>
      </c>
      <c r="G20" s="5">
        <v>57</v>
      </c>
      <c r="H20" s="5">
        <v>50</v>
      </c>
      <c r="I20" s="5">
        <v>46</v>
      </c>
      <c r="J20" s="23">
        <f t="shared" si="0"/>
        <v>53.666666666666664</v>
      </c>
      <c r="K20" s="5">
        <v>62</v>
      </c>
      <c r="L20" s="5">
        <v>59</v>
      </c>
      <c r="M20" s="5">
        <v>69</v>
      </c>
      <c r="N20" s="5">
        <v>64</v>
      </c>
      <c r="O20" s="5">
        <v>67</v>
      </c>
      <c r="P20" s="7">
        <v>55</v>
      </c>
      <c r="Q20" s="26">
        <f t="shared" si="1"/>
        <v>62.666666666666664</v>
      </c>
    </row>
    <row r="21" spans="1:17" ht="13.5" thickBot="1">
      <c r="A21" s="3">
        <v>205</v>
      </c>
      <c r="B21" s="5" t="s">
        <v>3</v>
      </c>
      <c r="C21" s="5">
        <v>1</v>
      </c>
      <c r="D21" s="5">
        <v>66</v>
      </c>
      <c r="E21" s="5">
        <v>70</v>
      </c>
      <c r="F21" s="5">
        <v>67</v>
      </c>
      <c r="G21" s="5">
        <v>68</v>
      </c>
      <c r="H21" s="5">
        <v>62</v>
      </c>
      <c r="I21" s="5">
        <v>56</v>
      </c>
      <c r="J21" s="23">
        <f t="shared" si="0"/>
        <v>64.833333333333329</v>
      </c>
      <c r="K21" s="5">
        <v>59</v>
      </c>
      <c r="L21" s="5">
        <v>65</v>
      </c>
      <c r="M21" s="5">
        <v>62</v>
      </c>
      <c r="N21" s="5">
        <v>57</v>
      </c>
      <c r="O21" s="5">
        <v>55</v>
      </c>
      <c r="P21" s="7">
        <v>54</v>
      </c>
      <c r="Q21" s="26">
        <f t="shared" si="1"/>
        <v>58.666666666666664</v>
      </c>
    </row>
    <row r="22" spans="1:17" ht="13.5" thickBot="1">
      <c r="A22" s="3">
        <v>206</v>
      </c>
      <c r="B22" s="5" t="s">
        <v>12</v>
      </c>
      <c r="C22" s="5">
        <v>8</v>
      </c>
      <c r="D22" s="5">
        <v>51</v>
      </c>
      <c r="E22" s="5">
        <v>44</v>
      </c>
      <c r="F22" s="5">
        <v>47</v>
      </c>
      <c r="G22" s="5">
        <v>45</v>
      </c>
      <c r="H22" s="5">
        <v>49</v>
      </c>
      <c r="I22" s="5">
        <v>46</v>
      </c>
      <c r="J22" s="23">
        <f t="shared" si="0"/>
        <v>47</v>
      </c>
      <c r="K22" s="5">
        <v>40</v>
      </c>
      <c r="L22" s="5">
        <v>33</v>
      </c>
      <c r="M22" s="5">
        <v>32</v>
      </c>
      <c r="N22" s="5">
        <v>35</v>
      </c>
      <c r="O22" s="5">
        <v>46</v>
      </c>
      <c r="P22" s="7">
        <v>36</v>
      </c>
      <c r="Q22" s="26">
        <f t="shared" si="1"/>
        <v>37</v>
      </c>
    </row>
    <row r="23" spans="1:17" ht="13.5" thickBot="1">
      <c r="A23" s="3">
        <v>207</v>
      </c>
      <c r="B23" s="5" t="s">
        <v>4</v>
      </c>
      <c r="C23" s="5">
        <v>4</v>
      </c>
      <c r="D23" s="5">
        <v>63</v>
      </c>
      <c r="E23" s="5">
        <v>63</v>
      </c>
      <c r="F23" s="5">
        <v>62</v>
      </c>
      <c r="G23" s="5">
        <v>62</v>
      </c>
      <c r="H23" s="5">
        <v>64</v>
      </c>
      <c r="I23" s="5">
        <v>60</v>
      </c>
      <c r="J23" s="23">
        <f t="shared" si="0"/>
        <v>62.333333333333336</v>
      </c>
      <c r="K23" s="5">
        <v>61</v>
      </c>
      <c r="L23" s="5">
        <v>53</v>
      </c>
      <c r="M23" s="5">
        <v>56</v>
      </c>
      <c r="N23" s="5">
        <v>52</v>
      </c>
      <c r="O23" s="5">
        <v>54</v>
      </c>
      <c r="P23" s="7">
        <v>41</v>
      </c>
      <c r="Q23" s="26">
        <f t="shared" si="1"/>
        <v>52.833333333333336</v>
      </c>
    </row>
    <row r="24" spans="1:17" ht="13.5" thickBot="1">
      <c r="A24" s="4">
        <v>208</v>
      </c>
      <c r="B24" s="12" t="s">
        <v>13</v>
      </c>
      <c r="C24" s="12">
        <v>2</v>
      </c>
      <c r="D24" s="12">
        <v>53</v>
      </c>
      <c r="E24" s="12">
        <v>55</v>
      </c>
      <c r="F24" s="12">
        <v>60</v>
      </c>
      <c r="G24" s="12">
        <v>57</v>
      </c>
      <c r="H24" s="12">
        <v>55</v>
      </c>
      <c r="I24" s="12">
        <v>46</v>
      </c>
      <c r="J24" s="23">
        <f t="shared" si="0"/>
        <v>54.333333333333336</v>
      </c>
      <c r="K24" s="12">
        <v>41</v>
      </c>
      <c r="L24" s="12">
        <v>41</v>
      </c>
      <c r="M24" s="12">
        <v>45</v>
      </c>
      <c r="N24">
        <v>54</v>
      </c>
      <c r="O24" s="12">
        <v>50</v>
      </c>
      <c r="P24" s="13">
        <v>40</v>
      </c>
      <c r="Q24" s="26">
        <f t="shared" si="1"/>
        <v>45.166666666666664</v>
      </c>
    </row>
    <row r="25" spans="1:17" ht="13.5" thickBot="1">
      <c r="A25" s="2">
        <v>301</v>
      </c>
      <c r="B25" s="8" t="s">
        <v>6</v>
      </c>
      <c r="C25" s="8">
        <v>10</v>
      </c>
      <c r="D25" s="8">
        <v>54</v>
      </c>
      <c r="E25" s="8">
        <v>48</v>
      </c>
      <c r="F25" s="8">
        <v>47</v>
      </c>
      <c r="G25" s="8">
        <v>58</v>
      </c>
      <c r="H25" s="8">
        <v>46</v>
      </c>
      <c r="I25" s="8">
        <v>53</v>
      </c>
      <c r="J25" s="23">
        <f t="shared" si="0"/>
        <v>51</v>
      </c>
      <c r="K25" s="8">
        <v>54</v>
      </c>
      <c r="L25" s="8">
        <v>39</v>
      </c>
      <c r="M25" s="12">
        <v>38</v>
      </c>
      <c r="N25">
        <v>41</v>
      </c>
      <c r="O25" s="8">
        <v>39</v>
      </c>
      <c r="P25" s="9">
        <v>40</v>
      </c>
      <c r="Q25" s="26">
        <f t="shared" si="1"/>
        <v>41.833333333333336</v>
      </c>
    </row>
    <row r="26" spans="1:17" ht="13.5" thickBot="1">
      <c r="A26" s="3">
        <v>302</v>
      </c>
      <c r="B26" s="5" t="s">
        <v>4</v>
      </c>
      <c r="C26" s="5">
        <v>4</v>
      </c>
      <c r="D26" s="5">
        <v>56</v>
      </c>
      <c r="E26" s="5">
        <v>60</v>
      </c>
      <c r="F26" s="5">
        <v>57</v>
      </c>
      <c r="G26" s="5">
        <v>70</v>
      </c>
      <c r="H26" s="5">
        <v>74</v>
      </c>
      <c r="I26" s="5">
        <v>69</v>
      </c>
      <c r="J26" s="23">
        <f t="shared" si="0"/>
        <v>64.333333333333329</v>
      </c>
      <c r="K26" s="5">
        <v>47</v>
      </c>
      <c r="L26" s="5">
        <v>49</v>
      </c>
      <c r="M26" s="8">
        <v>50</v>
      </c>
      <c r="N26">
        <v>67</v>
      </c>
      <c r="O26" s="5">
        <v>55</v>
      </c>
      <c r="P26" s="7">
        <v>60</v>
      </c>
      <c r="Q26" s="26">
        <f t="shared" si="1"/>
        <v>54.666666666666664</v>
      </c>
    </row>
    <row r="27" spans="1:17" ht="13.5" thickBot="1">
      <c r="A27" s="3">
        <v>303</v>
      </c>
      <c r="B27" s="5" t="s">
        <v>12</v>
      </c>
      <c r="C27" s="5">
        <v>8</v>
      </c>
      <c r="D27" s="5">
        <v>65</v>
      </c>
      <c r="E27" s="5">
        <v>65</v>
      </c>
      <c r="F27" s="5">
        <v>63</v>
      </c>
      <c r="G27" s="5">
        <v>52</v>
      </c>
      <c r="H27" s="5">
        <v>55</v>
      </c>
      <c r="I27" s="5">
        <v>61</v>
      </c>
      <c r="J27" s="23">
        <f t="shared" si="0"/>
        <v>60.166666666666664</v>
      </c>
      <c r="K27" s="5">
        <v>46</v>
      </c>
      <c r="L27" s="5">
        <v>51</v>
      </c>
      <c r="M27" s="5">
        <v>49</v>
      </c>
      <c r="N27" s="5">
        <v>38</v>
      </c>
      <c r="O27" s="5">
        <v>51</v>
      </c>
      <c r="P27" s="7">
        <v>52</v>
      </c>
      <c r="Q27" s="26">
        <f t="shared" si="1"/>
        <v>47.833333333333336</v>
      </c>
    </row>
    <row r="28" spans="1:17" ht="13.5" thickBot="1">
      <c r="A28" s="3">
        <v>304</v>
      </c>
      <c r="B28" s="5" t="s">
        <v>13</v>
      </c>
      <c r="C28" s="5">
        <v>2</v>
      </c>
      <c r="D28" s="5">
        <v>64</v>
      </c>
      <c r="E28" s="5">
        <v>52</v>
      </c>
      <c r="F28" s="5">
        <v>67</v>
      </c>
      <c r="G28" s="5">
        <v>64</v>
      </c>
      <c r="H28" s="5">
        <v>69</v>
      </c>
      <c r="I28" s="5">
        <v>53</v>
      </c>
      <c r="J28" s="23">
        <f t="shared" si="0"/>
        <v>61.5</v>
      </c>
      <c r="K28" s="5">
        <v>57</v>
      </c>
      <c r="L28" s="5">
        <v>43</v>
      </c>
      <c r="M28" s="5">
        <v>56</v>
      </c>
      <c r="N28" s="5">
        <v>48</v>
      </c>
      <c r="O28" s="5">
        <v>69</v>
      </c>
      <c r="P28" s="7">
        <v>44</v>
      </c>
      <c r="Q28" s="26">
        <f t="shared" si="1"/>
        <v>52.833333333333336</v>
      </c>
    </row>
    <row r="29" spans="1:17" ht="13.5" thickBot="1">
      <c r="A29" s="3">
        <v>305</v>
      </c>
      <c r="B29" s="5" t="s">
        <v>11</v>
      </c>
      <c r="C29" s="5">
        <v>11</v>
      </c>
      <c r="D29" s="5">
        <v>54</v>
      </c>
      <c r="E29" s="5">
        <v>49</v>
      </c>
      <c r="F29" s="5">
        <v>60</v>
      </c>
      <c r="G29" s="5">
        <v>60</v>
      </c>
      <c r="H29" s="5">
        <v>60</v>
      </c>
      <c r="I29" s="5">
        <v>48</v>
      </c>
      <c r="J29" s="23">
        <f t="shared" si="0"/>
        <v>55.166666666666664</v>
      </c>
      <c r="K29" s="5">
        <v>59</v>
      </c>
      <c r="L29" s="5">
        <v>70</v>
      </c>
      <c r="M29" s="5">
        <v>68</v>
      </c>
      <c r="N29" s="5">
        <v>57</v>
      </c>
      <c r="O29" s="5">
        <v>56</v>
      </c>
      <c r="P29" s="7">
        <v>57</v>
      </c>
      <c r="Q29" s="26">
        <f t="shared" si="1"/>
        <v>61.166666666666664</v>
      </c>
    </row>
    <row r="30" spans="1:17" ht="13.5" thickBot="1">
      <c r="A30" s="3">
        <v>306</v>
      </c>
      <c r="B30" s="5" t="s">
        <v>4</v>
      </c>
      <c r="C30" s="5">
        <v>4</v>
      </c>
      <c r="D30" s="5">
        <v>64</v>
      </c>
      <c r="E30" s="5">
        <v>63</v>
      </c>
      <c r="F30" s="5">
        <v>72</v>
      </c>
      <c r="G30" s="5">
        <v>74</v>
      </c>
      <c r="H30" s="5">
        <v>73</v>
      </c>
      <c r="I30" s="5">
        <v>47</v>
      </c>
      <c r="J30" s="23">
        <f t="shared" si="0"/>
        <v>65.5</v>
      </c>
      <c r="K30" s="5">
        <v>57</v>
      </c>
      <c r="L30" s="5">
        <v>49</v>
      </c>
      <c r="M30" s="5">
        <v>58</v>
      </c>
      <c r="N30" s="5">
        <v>63</v>
      </c>
      <c r="O30" s="5">
        <v>56</v>
      </c>
      <c r="P30" s="7">
        <v>44</v>
      </c>
      <c r="Q30" s="26">
        <f t="shared" si="1"/>
        <v>54.5</v>
      </c>
    </row>
    <row r="31" spans="1:17" ht="13.5" thickBot="1">
      <c r="A31" s="3">
        <v>307</v>
      </c>
      <c r="B31" s="5" t="s">
        <v>7</v>
      </c>
      <c r="C31" s="5">
        <v>9</v>
      </c>
      <c r="D31" s="5">
        <v>63</v>
      </c>
      <c r="E31" s="5">
        <v>60</v>
      </c>
      <c r="F31" s="5">
        <v>56</v>
      </c>
      <c r="G31" s="5">
        <v>50</v>
      </c>
      <c r="H31" s="5">
        <v>53</v>
      </c>
      <c r="I31" s="5">
        <v>57</v>
      </c>
      <c r="J31" s="23">
        <f t="shared" si="0"/>
        <v>56.5</v>
      </c>
      <c r="K31" s="5">
        <v>46</v>
      </c>
      <c r="L31" s="5">
        <v>45</v>
      </c>
      <c r="M31" s="5">
        <v>48</v>
      </c>
      <c r="N31" s="5">
        <v>47</v>
      </c>
      <c r="O31" s="5">
        <v>42</v>
      </c>
      <c r="P31" s="7">
        <v>44</v>
      </c>
      <c r="Q31" s="26">
        <f t="shared" si="1"/>
        <v>45.333333333333336</v>
      </c>
    </row>
    <row r="32" spans="1:17" ht="13.5" thickBot="1">
      <c r="A32" s="4">
        <v>308</v>
      </c>
      <c r="B32" s="12" t="s">
        <v>5</v>
      </c>
      <c r="C32" s="12">
        <v>5</v>
      </c>
      <c r="D32" s="12">
        <v>52</v>
      </c>
      <c r="E32" s="12">
        <v>45</v>
      </c>
      <c r="F32" s="12">
        <v>49</v>
      </c>
      <c r="G32" s="12">
        <v>58</v>
      </c>
      <c r="H32" s="12">
        <v>45</v>
      </c>
      <c r="I32" s="12">
        <v>41</v>
      </c>
      <c r="J32" s="23">
        <f t="shared" si="0"/>
        <v>48.333333333333336</v>
      </c>
      <c r="K32" s="12">
        <v>58</v>
      </c>
      <c r="L32" s="12">
        <v>61</v>
      </c>
      <c r="M32" s="12">
        <v>63</v>
      </c>
      <c r="N32" s="12">
        <v>56</v>
      </c>
      <c r="O32" s="12">
        <v>58</v>
      </c>
      <c r="P32" s="13">
        <v>59</v>
      </c>
      <c r="Q32" s="26">
        <f t="shared" si="1"/>
        <v>59.166666666666664</v>
      </c>
    </row>
    <row r="33" spans="1:17" ht="13.5" thickBot="1">
      <c r="A33" s="2">
        <v>401</v>
      </c>
      <c r="B33" s="8" t="s">
        <v>14</v>
      </c>
      <c r="C33" s="8">
        <v>7</v>
      </c>
      <c r="D33" s="8">
        <v>48</v>
      </c>
      <c r="E33" s="8">
        <v>37</v>
      </c>
      <c r="F33" s="8">
        <v>47</v>
      </c>
      <c r="G33" s="8">
        <v>56</v>
      </c>
      <c r="H33" s="8">
        <v>54</v>
      </c>
      <c r="I33" s="8">
        <v>42</v>
      </c>
      <c r="J33" s="23">
        <f t="shared" si="0"/>
        <v>47.333333333333336</v>
      </c>
      <c r="K33" s="8">
        <v>41</v>
      </c>
      <c r="L33" s="8">
        <v>27</v>
      </c>
      <c r="M33" s="8">
        <v>35</v>
      </c>
      <c r="N33" s="8">
        <v>45</v>
      </c>
      <c r="O33" s="8">
        <v>40</v>
      </c>
      <c r="P33" s="9">
        <v>32</v>
      </c>
      <c r="Q33" s="26">
        <f t="shared" si="1"/>
        <v>36.666666666666664</v>
      </c>
    </row>
    <row r="34" spans="1:17" ht="13.5" thickBot="1">
      <c r="A34" s="3">
        <v>402</v>
      </c>
      <c r="B34" s="5" t="s">
        <v>7</v>
      </c>
      <c r="C34" s="5">
        <v>9</v>
      </c>
      <c r="D34" s="5">
        <v>53</v>
      </c>
      <c r="E34" s="5">
        <v>53</v>
      </c>
      <c r="F34" s="5">
        <v>57</v>
      </c>
      <c r="G34" s="5">
        <v>62</v>
      </c>
      <c r="H34" s="5">
        <v>51</v>
      </c>
      <c r="I34" s="5">
        <v>54</v>
      </c>
      <c r="J34" s="23">
        <f t="shared" si="0"/>
        <v>55</v>
      </c>
      <c r="K34" s="5">
        <v>41</v>
      </c>
      <c r="L34" s="5">
        <v>45</v>
      </c>
      <c r="M34" s="5">
        <v>40</v>
      </c>
      <c r="N34" s="5">
        <v>52</v>
      </c>
      <c r="O34" s="5">
        <v>41</v>
      </c>
      <c r="P34" s="7">
        <v>50</v>
      </c>
      <c r="Q34" s="26">
        <f t="shared" si="1"/>
        <v>44.833333333333336</v>
      </c>
    </row>
    <row r="35" spans="1:17" ht="13.5" thickBot="1">
      <c r="A35" s="3">
        <v>403</v>
      </c>
      <c r="B35" s="5" t="s">
        <v>15</v>
      </c>
      <c r="C35" s="5">
        <v>6</v>
      </c>
      <c r="D35" s="5">
        <v>55</v>
      </c>
      <c r="E35" s="5">
        <v>55</v>
      </c>
      <c r="F35" s="5">
        <v>53</v>
      </c>
      <c r="G35" s="5">
        <v>57</v>
      </c>
      <c r="H35" s="5">
        <v>53</v>
      </c>
      <c r="I35" s="5">
        <v>55</v>
      </c>
      <c r="J35" s="23">
        <f t="shared" si="0"/>
        <v>54.666666666666664</v>
      </c>
      <c r="K35" s="5">
        <v>61</v>
      </c>
      <c r="L35" s="5">
        <v>68</v>
      </c>
      <c r="M35" s="5">
        <v>69</v>
      </c>
      <c r="N35" s="5">
        <v>61</v>
      </c>
      <c r="O35" s="5">
        <v>64</v>
      </c>
      <c r="P35" s="7">
        <v>65</v>
      </c>
      <c r="Q35" s="26">
        <f t="shared" si="1"/>
        <v>64.666666666666671</v>
      </c>
    </row>
    <row r="36" spans="1:17" ht="13.5" thickBot="1">
      <c r="A36" s="3">
        <v>404</v>
      </c>
      <c r="B36" s="5" t="s">
        <v>8</v>
      </c>
      <c r="C36" s="5">
        <v>3</v>
      </c>
      <c r="D36" s="5">
        <v>63</v>
      </c>
      <c r="E36" s="5">
        <v>62</v>
      </c>
      <c r="F36" s="5">
        <v>64</v>
      </c>
      <c r="G36" s="5">
        <v>62</v>
      </c>
      <c r="H36" s="5">
        <v>54</v>
      </c>
      <c r="I36" s="5">
        <v>62</v>
      </c>
      <c r="J36" s="23">
        <f t="shared" si="0"/>
        <v>61.166666666666664</v>
      </c>
      <c r="K36" s="5">
        <v>56</v>
      </c>
      <c r="L36" s="5">
        <v>48</v>
      </c>
      <c r="M36" s="5">
        <v>61</v>
      </c>
      <c r="N36" s="5">
        <v>48</v>
      </c>
      <c r="O36" s="5">
        <v>51</v>
      </c>
      <c r="P36" s="7">
        <v>49</v>
      </c>
      <c r="Q36" s="26">
        <f t="shared" si="1"/>
        <v>52.166666666666664</v>
      </c>
    </row>
    <row r="37" spans="1:17" ht="13.5" thickBot="1">
      <c r="A37" s="3">
        <v>405</v>
      </c>
      <c r="B37" s="5" t="s">
        <v>15</v>
      </c>
      <c r="C37" s="5">
        <v>6</v>
      </c>
      <c r="D37" s="5">
        <v>50</v>
      </c>
      <c r="E37" s="5">
        <v>46</v>
      </c>
      <c r="F37" s="5">
        <v>58</v>
      </c>
      <c r="G37" s="5">
        <v>52</v>
      </c>
      <c r="H37" s="5">
        <v>56</v>
      </c>
      <c r="I37" s="5">
        <v>45</v>
      </c>
      <c r="J37" s="23">
        <f t="shared" si="0"/>
        <v>51.166666666666664</v>
      </c>
      <c r="K37" s="5">
        <v>63</v>
      </c>
      <c r="L37" s="5">
        <v>68</v>
      </c>
      <c r="M37" s="5">
        <v>69</v>
      </c>
      <c r="N37" s="5">
        <v>58</v>
      </c>
      <c r="O37" s="5">
        <v>58</v>
      </c>
      <c r="P37" s="7">
        <v>59</v>
      </c>
      <c r="Q37" s="26">
        <f t="shared" si="1"/>
        <v>62.5</v>
      </c>
    </row>
    <row r="38" spans="1:17" ht="13.5" thickBot="1">
      <c r="A38" s="3">
        <v>406</v>
      </c>
      <c r="B38" s="5" t="s">
        <v>8</v>
      </c>
      <c r="C38" s="5">
        <v>3</v>
      </c>
      <c r="D38" s="5">
        <v>61</v>
      </c>
      <c r="E38" s="5">
        <v>62</v>
      </c>
      <c r="F38" s="5">
        <v>58</v>
      </c>
      <c r="G38" s="5">
        <v>66</v>
      </c>
      <c r="H38" s="5">
        <v>59</v>
      </c>
      <c r="I38" s="5">
        <v>61</v>
      </c>
      <c r="J38" s="23">
        <f t="shared" si="0"/>
        <v>61.166666666666664</v>
      </c>
      <c r="K38" s="5">
        <v>51</v>
      </c>
      <c r="L38" s="5">
        <v>57</v>
      </c>
      <c r="M38" s="5">
        <v>52</v>
      </c>
      <c r="N38" s="5">
        <v>62</v>
      </c>
      <c r="O38" s="5">
        <v>61</v>
      </c>
      <c r="P38" s="7">
        <v>45</v>
      </c>
      <c r="Q38" s="26">
        <f t="shared" si="1"/>
        <v>54.666666666666664</v>
      </c>
    </row>
    <row r="39" spans="1:17" ht="13.5" thickBot="1">
      <c r="A39" s="3">
        <v>407</v>
      </c>
      <c r="B39" s="5" t="s">
        <v>14</v>
      </c>
      <c r="C39" s="5">
        <v>7</v>
      </c>
      <c r="D39" s="5">
        <v>58</v>
      </c>
      <c r="E39" s="5">
        <v>51</v>
      </c>
      <c r="F39" s="5">
        <v>48</v>
      </c>
      <c r="G39" s="5">
        <v>49</v>
      </c>
      <c r="H39" s="5">
        <v>46</v>
      </c>
      <c r="I39" s="5">
        <v>56</v>
      </c>
      <c r="J39" s="23">
        <f t="shared" si="0"/>
        <v>51.333333333333336</v>
      </c>
      <c r="K39" s="5">
        <v>52</v>
      </c>
      <c r="L39" s="5">
        <v>47</v>
      </c>
      <c r="M39" s="5">
        <v>49</v>
      </c>
      <c r="N39" s="5">
        <v>38</v>
      </c>
      <c r="O39" s="5">
        <v>40</v>
      </c>
      <c r="P39" s="7">
        <v>48</v>
      </c>
      <c r="Q39" s="26">
        <f t="shared" si="1"/>
        <v>45.666666666666664</v>
      </c>
    </row>
    <row r="40" spans="1:17" ht="13.5" thickBot="1">
      <c r="A40" s="4">
        <v>408</v>
      </c>
      <c r="B40" s="12" t="s">
        <v>6</v>
      </c>
      <c r="C40" s="12">
        <v>10</v>
      </c>
      <c r="D40" s="12">
        <v>49</v>
      </c>
      <c r="E40" s="12">
        <v>50</v>
      </c>
      <c r="F40" s="12">
        <v>55</v>
      </c>
      <c r="G40" s="12">
        <v>55</v>
      </c>
      <c r="H40" s="12">
        <v>52</v>
      </c>
      <c r="I40" s="12">
        <v>47</v>
      </c>
      <c r="J40" s="23">
        <f t="shared" si="0"/>
        <v>51.333333333333336</v>
      </c>
      <c r="K40" s="12">
        <v>46</v>
      </c>
      <c r="L40" s="12">
        <v>40</v>
      </c>
      <c r="M40" s="12">
        <v>44</v>
      </c>
      <c r="N40" s="12">
        <v>47</v>
      </c>
      <c r="O40" s="12">
        <v>44</v>
      </c>
      <c r="P40" s="13">
        <v>49</v>
      </c>
      <c r="Q40" s="26">
        <f t="shared" si="1"/>
        <v>45</v>
      </c>
    </row>
    <row r="41" spans="1:17" ht="13.5" thickBot="1">
      <c r="A41" s="2">
        <v>901</v>
      </c>
      <c r="B41" s="8" t="s">
        <v>16</v>
      </c>
      <c r="C41" s="8">
        <v>32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23">
        <f t="shared" si="0"/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9">
        <v>0</v>
      </c>
      <c r="Q41" s="26">
        <f t="shared" si="1"/>
        <v>0</v>
      </c>
    </row>
    <row r="42" spans="1:17" ht="13.5" thickBot="1">
      <c r="A42" s="3">
        <v>902</v>
      </c>
      <c r="B42" s="6">
        <v>37452</v>
      </c>
      <c r="C42" s="5">
        <v>22</v>
      </c>
      <c r="D42" s="5">
        <v>61</v>
      </c>
      <c r="E42" s="5">
        <v>59</v>
      </c>
      <c r="F42" s="5">
        <v>57</v>
      </c>
      <c r="G42" s="5">
        <v>56</v>
      </c>
      <c r="H42" s="5">
        <v>52</v>
      </c>
      <c r="I42" s="5">
        <v>51</v>
      </c>
      <c r="J42" s="23">
        <f t="shared" si="0"/>
        <v>56</v>
      </c>
      <c r="K42" s="5">
        <v>52</v>
      </c>
      <c r="L42" s="5">
        <v>55</v>
      </c>
      <c r="M42" s="5">
        <v>49</v>
      </c>
      <c r="N42" s="5">
        <v>45</v>
      </c>
      <c r="O42" s="5">
        <v>49</v>
      </c>
      <c r="P42" s="7">
        <v>48</v>
      </c>
      <c r="Q42" s="26">
        <f t="shared" si="1"/>
        <v>49.666666666666664</v>
      </c>
    </row>
    <row r="43" spans="1:17" ht="13.5" thickBot="1">
      <c r="A43" s="3">
        <v>903</v>
      </c>
      <c r="B43" s="5" t="s">
        <v>17</v>
      </c>
      <c r="C43" s="5">
        <v>31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23">
        <f t="shared" si="0"/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7">
        <v>0</v>
      </c>
      <c r="Q43" s="26">
        <f t="shared" si="1"/>
        <v>0</v>
      </c>
    </row>
    <row r="44" spans="1:17" ht="13.5" thickBot="1">
      <c r="A44" s="3">
        <v>904</v>
      </c>
      <c r="B44" s="6">
        <v>37408</v>
      </c>
      <c r="C44" s="5">
        <v>21</v>
      </c>
      <c r="D44" s="5">
        <v>50</v>
      </c>
      <c r="E44" s="5">
        <v>44</v>
      </c>
      <c r="F44" s="5">
        <v>45</v>
      </c>
      <c r="G44" s="5">
        <v>54</v>
      </c>
      <c r="H44" s="5">
        <v>51</v>
      </c>
      <c r="I44" s="5">
        <v>49</v>
      </c>
      <c r="J44" s="23">
        <f t="shared" si="0"/>
        <v>48.833333333333336</v>
      </c>
      <c r="K44" s="5">
        <v>42</v>
      </c>
      <c r="L44" s="5">
        <v>46</v>
      </c>
      <c r="M44" s="5">
        <v>38</v>
      </c>
      <c r="N44" s="5">
        <v>40</v>
      </c>
      <c r="O44" s="5">
        <v>46</v>
      </c>
      <c r="P44" s="7">
        <v>40</v>
      </c>
      <c r="Q44" s="26">
        <f t="shared" si="1"/>
        <v>42</v>
      </c>
    </row>
    <row r="45" spans="1:17" ht="13.5" thickBot="1">
      <c r="A45" s="3">
        <v>905</v>
      </c>
      <c r="B45" s="5" t="s">
        <v>16</v>
      </c>
      <c r="C45" s="5">
        <v>32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23">
        <f t="shared" si="0"/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7">
        <v>0</v>
      </c>
      <c r="Q45" s="26">
        <f t="shared" si="1"/>
        <v>0</v>
      </c>
    </row>
    <row r="46" spans="1:17" ht="13.5" thickBot="1">
      <c r="A46" s="3">
        <v>906</v>
      </c>
      <c r="B46" s="6">
        <v>37452</v>
      </c>
      <c r="C46" s="5">
        <v>22</v>
      </c>
      <c r="D46" s="5">
        <v>61</v>
      </c>
      <c r="E46" s="5">
        <v>65</v>
      </c>
      <c r="F46" s="5">
        <v>70</v>
      </c>
      <c r="G46" s="5">
        <v>62</v>
      </c>
      <c r="H46" s="5">
        <v>60</v>
      </c>
      <c r="I46" s="5">
        <v>64</v>
      </c>
      <c r="J46" s="23">
        <f t="shared" si="0"/>
        <v>63.666666666666664</v>
      </c>
      <c r="K46" s="5">
        <v>44</v>
      </c>
      <c r="L46" s="5">
        <v>52</v>
      </c>
      <c r="M46" s="5">
        <v>51</v>
      </c>
      <c r="N46" s="5">
        <v>54</v>
      </c>
      <c r="O46" s="5">
        <v>43</v>
      </c>
      <c r="P46" s="7">
        <v>56</v>
      </c>
      <c r="Q46" s="26">
        <f t="shared" si="1"/>
        <v>50</v>
      </c>
    </row>
    <row r="47" spans="1:17" ht="13.5" thickBot="1">
      <c r="A47" s="3">
        <v>907</v>
      </c>
      <c r="B47" s="5" t="s">
        <v>17</v>
      </c>
      <c r="C47" s="5">
        <v>31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23">
        <f t="shared" si="0"/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7">
        <v>0</v>
      </c>
      <c r="Q47" s="26">
        <f t="shared" si="1"/>
        <v>0</v>
      </c>
    </row>
    <row r="48" spans="1:17" ht="13.5" thickBot="1">
      <c r="A48" s="4">
        <v>908</v>
      </c>
      <c r="B48" s="15">
        <v>37408</v>
      </c>
      <c r="C48" s="12">
        <v>21</v>
      </c>
      <c r="D48" s="12">
        <v>45</v>
      </c>
      <c r="E48" s="12">
        <v>48</v>
      </c>
      <c r="F48" s="12">
        <v>42</v>
      </c>
      <c r="G48" s="12">
        <v>41</v>
      </c>
      <c r="H48" s="12">
        <v>37</v>
      </c>
      <c r="I48" s="12">
        <v>49</v>
      </c>
      <c r="J48" s="23">
        <f t="shared" si="0"/>
        <v>43.666666666666664</v>
      </c>
      <c r="K48" s="12">
        <v>34</v>
      </c>
      <c r="L48" s="12">
        <v>48</v>
      </c>
      <c r="M48" s="12">
        <v>35</v>
      </c>
      <c r="N48" s="12">
        <v>34</v>
      </c>
      <c r="O48" s="12">
        <v>30</v>
      </c>
      <c r="P48" s="13">
        <v>40</v>
      </c>
      <c r="Q48" s="27">
        <f t="shared" si="1"/>
        <v>36.833333333333336</v>
      </c>
    </row>
  </sheetData>
  <phoneticPr fontId="0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C069E-801D-4FD8-9EE6-E4F5E1EEF174}">
  <dimension ref="A1:Q48"/>
  <sheetViews>
    <sheetView workbookViewId="0">
      <selection activeCell="Q9" sqref="Q9:Q48"/>
    </sheetView>
  </sheetViews>
  <sheetFormatPr defaultRowHeight="12.75"/>
  <sheetData>
    <row r="1" spans="1:17">
      <c r="A1" t="s">
        <v>19</v>
      </c>
    </row>
    <row r="2" spans="1:17">
      <c r="A2" s="1" t="s">
        <v>47</v>
      </c>
    </row>
    <row r="3" spans="1:17">
      <c r="A3" s="30">
        <v>37446</v>
      </c>
    </row>
    <row r="4" spans="1:17">
      <c r="A4" s="31" t="s">
        <v>45</v>
      </c>
      <c r="E4" t="s">
        <v>30</v>
      </c>
    </row>
    <row r="5" spans="1:17">
      <c r="A5" s="1" t="s">
        <v>22</v>
      </c>
    </row>
    <row r="6" spans="1:17" ht="13.5" thickBot="1"/>
    <row r="7" spans="1:17" ht="13.5" thickBot="1">
      <c r="D7" s="2"/>
      <c r="E7" s="18"/>
      <c r="F7" s="19" t="s">
        <v>2</v>
      </c>
      <c r="G7" s="18"/>
      <c r="H7" s="18"/>
      <c r="I7" s="20"/>
      <c r="J7" s="18"/>
      <c r="K7" s="2"/>
      <c r="L7" s="18"/>
      <c r="M7" s="18" t="s">
        <v>1</v>
      </c>
      <c r="N7" s="18"/>
      <c r="O7" s="18"/>
      <c r="P7" s="18"/>
      <c r="Q7" s="24"/>
    </row>
    <row r="8" spans="1:17" ht="13.5" thickBot="1">
      <c r="A8" s="16" t="s">
        <v>0</v>
      </c>
      <c r="B8" s="17" t="s">
        <v>9</v>
      </c>
      <c r="C8" s="17" t="s">
        <v>18</v>
      </c>
      <c r="D8" s="21" t="s">
        <v>24</v>
      </c>
      <c r="E8" s="12" t="s">
        <v>25</v>
      </c>
      <c r="F8" s="12" t="s">
        <v>26</v>
      </c>
      <c r="G8" s="12" t="s">
        <v>27</v>
      </c>
      <c r="H8" s="12" t="s">
        <v>28</v>
      </c>
      <c r="I8" s="14" t="s">
        <v>29</v>
      </c>
      <c r="J8" s="22" t="s">
        <v>31</v>
      </c>
      <c r="K8" s="21" t="s">
        <v>24</v>
      </c>
      <c r="L8" s="12" t="s">
        <v>25</v>
      </c>
      <c r="M8" s="12" t="s">
        <v>26</v>
      </c>
      <c r="N8" s="12" t="s">
        <v>27</v>
      </c>
      <c r="O8" s="12" t="s">
        <v>28</v>
      </c>
      <c r="P8" s="13" t="s">
        <v>29</v>
      </c>
      <c r="Q8" s="25" t="s">
        <v>32</v>
      </c>
    </row>
    <row r="9" spans="1:17" ht="13.5" thickBot="1">
      <c r="A9" s="2">
        <v>101</v>
      </c>
      <c r="B9" s="8" t="s">
        <v>3</v>
      </c>
      <c r="C9" s="9">
        <v>1</v>
      </c>
      <c r="D9" s="8">
        <v>69</v>
      </c>
      <c r="E9" s="8">
        <v>75</v>
      </c>
      <c r="F9" s="8">
        <v>78</v>
      </c>
      <c r="G9" s="8">
        <v>76</v>
      </c>
      <c r="H9" s="8">
        <v>81</v>
      </c>
      <c r="I9" s="8">
        <v>66</v>
      </c>
      <c r="J9" s="23">
        <f>AVERAGE(D9:I9)</f>
        <v>74.166666666666671</v>
      </c>
      <c r="K9" s="8">
        <v>70</v>
      </c>
      <c r="L9" s="8">
        <v>82</v>
      </c>
      <c r="M9" s="8">
        <v>70</v>
      </c>
      <c r="N9" s="8">
        <v>77</v>
      </c>
      <c r="O9" s="8">
        <v>75</v>
      </c>
      <c r="P9" s="9">
        <v>63</v>
      </c>
      <c r="Q9" s="26">
        <f>AVERAGE(K9:P9)</f>
        <v>72.833333333333329</v>
      </c>
    </row>
    <row r="10" spans="1:17" ht="13.5" thickBot="1">
      <c r="A10" s="3">
        <v>102</v>
      </c>
      <c r="B10" s="5" t="s">
        <v>4</v>
      </c>
      <c r="C10" s="7">
        <v>4</v>
      </c>
      <c r="D10" s="5">
        <v>66</v>
      </c>
      <c r="E10" s="5">
        <v>80</v>
      </c>
      <c r="F10" s="5">
        <v>66</v>
      </c>
      <c r="G10" s="5">
        <v>71</v>
      </c>
      <c r="H10" s="5">
        <v>69</v>
      </c>
      <c r="I10" s="5">
        <v>76</v>
      </c>
      <c r="J10" s="23">
        <f t="shared" ref="J10:J48" si="0">AVERAGE(D10:I10)</f>
        <v>71.333333333333329</v>
      </c>
      <c r="K10" s="5">
        <v>72</v>
      </c>
      <c r="L10" s="5">
        <v>68</v>
      </c>
      <c r="M10" s="5">
        <v>66</v>
      </c>
      <c r="N10" s="5">
        <v>73</v>
      </c>
      <c r="O10" s="5">
        <v>66</v>
      </c>
      <c r="P10" s="7">
        <v>74</v>
      </c>
      <c r="Q10" s="26">
        <f t="shared" ref="Q10:Q48" si="1">AVERAGE(K10:P10)</f>
        <v>69.833333333333329</v>
      </c>
    </row>
    <row r="11" spans="1:17" ht="13.5" thickBot="1">
      <c r="A11" s="3">
        <v>103</v>
      </c>
      <c r="B11" s="5" t="s">
        <v>5</v>
      </c>
      <c r="C11" s="7">
        <v>5</v>
      </c>
      <c r="D11" s="5">
        <v>63</v>
      </c>
      <c r="E11" s="5">
        <v>77</v>
      </c>
      <c r="F11" s="5">
        <v>67</v>
      </c>
      <c r="G11" s="5">
        <v>75</v>
      </c>
      <c r="H11" s="5">
        <v>68</v>
      </c>
      <c r="I11" s="5">
        <v>69</v>
      </c>
      <c r="J11" s="23">
        <f t="shared" si="0"/>
        <v>69.833333333333329</v>
      </c>
      <c r="K11" s="5">
        <v>73</v>
      </c>
      <c r="L11" s="5">
        <v>77</v>
      </c>
      <c r="M11" s="5">
        <v>69</v>
      </c>
      <c r="N11" s="5">
        <v>80</v>
      </c>
      <c r="O11" s="5">
        <v>83.5</v>
      </c>
      <c r="P11" s="7">
        <v>86</v>
      </c>
      <c r="Q11" s="26">
        <f t="shared" si="1"/>
        <v>78.083333333333329</v>
      </c>
    </row>
    <row r="12" spans="1:17" ht="13.5" thickBot="1">
      <c r="A12" s="3">
        <v>104</v>
      </c>
      <c r="B12" s="5" t="s">
        <v>6</v>
      </c>
      <c r="C12" s="7">
        <v>10</v>
      </c>
      <c r="D12" s="5">
        <v>58</v>
      </c>
      <c r="E12" s="5">
        <v>61</v>
      </c>
      <c r="F12" s="5">
        <v>60</v>
      </c>
      <c r="G12" s="5">
        <v>73.5</v>
      </c>
      <c r="H12" s="5">
        <v>74</v>
      </c>
      <c r="I12" s="5">
        <v>62</v>
      </c>
      <c r="J12" s="23">
        <f t="shared" si="0"/>
        <v>64.75</v>
      </c>
      <c r="K12" s="5">
        <v>61.5</v>
      </c>
      <c r="L12" s="5">
        <v>51</v>
      </c>
      <c r="M12" s="5">
        <v>59</v>
      </c>
      <c r="N12" s="5">
        <v>68</v>
      </c>
      <c r="O12" s="5">
        <v>57</v>
      </c>
      <c r="P12" s="7">
        <v>63</v>
      </c>
      <c r="Q12" s="26">
        <f t="shared" si="1"/>
        <v>59.916666666666664</v>
      </c>
    </row>
    <row r="13" spans="1:17" ht="13.5" thickBot="1">
      <c r="A13" s="3">
        <v>105</v>
      </c>
      <c r="B13" s="5" t="s">
        <v>10</v>
      </c>
      <c r="C13" s="7">
        <v>12</v>
      </c>
      <c r="D13" s="5">
        <v>75</v>
      </c>
      <c r="E13" s="5">
        <v>82</v>
      </c>
      <c r="F13" s="5">
        <v>76</v>
      </c>
      <c r="G13" s="5">
        <v>74</v>
      </c>
      <c r="H13" s="5">
        <v>67</v>
      </c>
      <c r="I13" s="5">
        <v>73</v>
      </c>
      <c r="J13" s="23">
        <f t="shared" si="0"/>
        <v>74.5</v>
      </c>
      <c r="K13" s="5">
        <v>81</v>
      </c>
      <c r="L13" s="5">
        <v>87</v>
      </c>
      <c r="M13" s="5">
        <v>87</v>
      </c>
      <c r="N13" s="5">
        <v>76</v>
      </c>
      <c r="O13" s="5">
        <v>81</v>
      </c>
      <c r="P13" s="7">
        <v>80</v>
      </c>
      <c r="Q13" s="26">
        <f t="shared" si="1"/>
        <v>82</v>
      </c>
    </row>
    <row r="14" spans="1:17" ht="13.5" thickBot="1">
      <c r="A14" s="3">
        <v>106</v>
      </c>
      <c r="B14" s="5" t="s">
        <v>7</v>
      </c>
      <c r="C14" s="7">
        <v>9</v>
      </c>
      <c r="D14" s="5">
        <v>75</v>
      </c>
      <c r="E14" s="5">
        <v>67</v>
      </c>
      <c r="F14" s="5">
        <v>77</v>
      </c>
      <c r="G14" s="5">
        <v>70</v>
      </c>
      <c r="H14" s="5">
        <v>72</v>
      </c>
      <c r="I14" s="5">
        <v>73</v>
      </c>
      <c r="J14" s="23">
        <f t="shared" si="0"/>
        <v>72.333333333333329</v>
      </c>
      <c r="K14" s="5">
        <v>67</v>
      </c>
      <c r="L14" s="5">
        <v>62</v>
      </c>
      <c r="M14" s="5">
        <v>79</v>
      </c>
      <c r="N14" s="5">
        <v>71</v>
      </c>
      <c r="O14" s="5">
        <v>73</v>
      </c>
      <c r="P14" s="7">
        <v>71</v>
      </c>
      <c r="Q14" s="26">
        <f t="shared" si="1"/>
        <v>70.5</v>
      </c>
    </row>
    <row r="15" spans="1:17" ht="13.5" thickBot="1">
      <c r="A15" s="3">
        <v>107</v>
      </c>
      <c r="B15" s="5" t="s">
        <v>6</v>
      </c>
      <c r="C15" s="7">
        <v>10</v>
      </c>
      <c r="D15" s="5">
        <v>80</v>
      </c>
      <c r="E15" s="5">
        <v>68</v>
      </c>
      <c r="F15" s="5">
        <v>75</v>
      </c>
      <c r="G15" s="5">
        <v>78</v>
      </c>
      <c r="H15" s="5">
        <v>77</v>
      </c>
      <c r="I15" s="5">
        <v>80</v>
      </c>
      <c r="J15" s="23">
        <f t="shared" si="0"/>
        <v>76.333333333333329</v>
      </c>
      <c r="K15" s="5">
        <v>72</v>
      </c>
      <c r="L15" s="5">
        <v>81</v>
      </c>
      <c r="M15" s="5">
        <v>73</v>
      </c>
      <c r="N15" s="5">
        <v>79</v>
      </c>
      <c r="O15" s="5">
        <v>72</v>
      </c>
      <c r="P15" s="7">
        <v>62</v>
      </c>
      <c r="Q15" s="26">
        <f t="shared" si="1"/>
        <v>73.166666666666671</v>
      </c>
    </row>
    <row r="16" spans="1:17" ht="13.5" thickBot="1">
      <c r="A16" s="4">
        <v>108</v>
      </c>
      <c r="B16" s="12" t="s">
        <v>8</v>
      </c>
      <c r="C16" s="13">
        <v>3</v>
      </c>
      <c r="D16" s="12">
        <v>77</v>
      </c>
      <c r="E16" s="12">
        <v>66</v>
      </c>
      <c r="F16" s="12">
        <v>66</v>
      </c>
      <c r="G16" s="12">
        <v>70</v>
      </c>
      <c r="H16" s="12">
        <v>77</v>
      </c>
      <c r="I16" s="12">
        <v>73</v>
      </c>
      <c r="J16" s="23">
        <f t="shared" si="0"/>
        <v>71.5</v>
      </c>
      <c r="K16" s="12">
        <v>76</v>
      </c>
      <c r="L16" s="12">
        <v>69</v>
      </c>
      <c r="M16" s="12">
        <v>73</v>
      </c>
      <c r="N16" s="12">
        <v>72</v>
      </c>
      <c r="O16" s="12">
        <v>71</v>
      </c>
      <c r="P16" s="13">
        <v>68</v>
      </c>
      <c r="Q16" s="26">
        <f t="shared" si="1"/>
        <v>71.5</v>
      </c>
    </row>
    <row r="17" spans="1:17" ht="13.5" thickBot="1">
      <c r="A17" s="2">
        <v>201</v>
      </c>
      <c r="B17" s="8" t="s">
        <v>10</v>
      </c>
      <c r="C17" s="8">
        <v>12</v>
      </c>
      <c r="D17" s="8">
        <v>71</v>
      </c>
      <c r="E17" s="8">
        <v>70</v>
      </c>
      <c r="F17" s="8">
        <v>63</v>
      </c>
      <c r="G17" s="8">
        <v>69</v>
      </c>
      <c r="H17" s="8">
        <v>69</v>
      </c>
      <c r="I17" s="8">
        <v>68</v>
      </c>
      <c r="J17" s="23">
        <f t="shared" si="0"/>
        <v>68.333333333333329</v>
      </c>
      <c r="K17" s="8">
        <v>87</v>
      </c>
      <c r="L17" s="8">
        <v>84</v>
      </c>
      <c r="M17" s="8">
        <v>86</v>
      </c>
      <c r="N17" s="8">
        <v>74</v>
      </c>
      <c r="O17" s="8">
        <v>80</v>
      </c>
      <c r="P17" s="9">
        <v>76</v>
      </c>
      <c r="Q17" s="26">
        <f t="shared" si="1"/>
        <v>81.166666666666671</v>
      </c>
    </row>
    <row r="18" spans="1:17" ht="13.5" thickBot="1">
      <c r="A18" s="3">
        <v>202</v>
      </c>
      <c r="B18" s="5" t="s">
        <v>7</v>
      </c>
      <c r="C18" s="5">
        <v>9</v>
      </c>
      <c r="D18" s="5">
        <v>60</v>
      </c>
      <c r="E18" s="5">
        <v>57</v>
      </c>
      <c r="F18" s="5">
        <v>53</v>
      </c>
      <c r="G18" s="5">
        <v>58</v>
      </c>
      <c r="H18" s="5">
        <v>65</v>
      </c>
      <c r="I18" s="5">
        <v>62</v>
      </c>
      <c r="J18" s="23">
        <f t="shared" si="0"/>
        <v>59.166666666666664</v>
      </c>
      <c r="K18" s="5">
        <v>61</v>
      </c>
      <c r="L18" s="5">
        <v>63</v>
      </c>
      <c r="M18" s="5">
        <v>51</v>
      </c>
      <c r="N18" s="5">
        <v>53</v>
      </c>
      <c r="O18" s="5">
        <v>64</v>
      </c>
      <c r="P18" s="7">
        <v>55</v>
      </c>
      <c r="Q18" s="26">
        <f t="shared" si="1"/>
        <v>57.833333333333336</v>
      </c>
    </row>
    <row r="19" spans="1:17" ht="13.5" thickBot="1">
      <c r="A19" s="3">
        <v>203</v>
      </c>
      <c r="B19" s="5" t="s">
        <v>8</v>
      </c>
      <c r="C19" s="5">
        <v>3</v>
      </c>
      <c r="D19" s="5">
        <v>68</v>
      </c>
      <c r="E19" s="5">
        <v>83</v>
      </c>
      <c r="F19" s="5">
        <v>76</v>
      </c>
      <c r="G19" s="5">
        <v>80</v>
      </c>
      <c r="H19" s="5">
        <v>72</v>
      </c>
      <c r="I19" s="5">
        <v>76</v>
      </c>
      <c r="J19" s="23">
        <f t="shared" si="0"/>
        <v>75.833333333333329</v>
      </c>
      <c r="K19" s="5">
        <v>73</v>
      </c>
      <c r="L19" s="5">
        <v>73</v>
      </c>
      <c r="M19" s="5">
        <v>75</v>
      </c>
      <c r="N19" s="5">
        <v>82</v>
      </c>
      <c r="O19" s="5">
        <v>81</v>
      </c>
      <c r="P19" s="7">
        <v>69</v>
      </c>
      <c r="Q19" s="26">
        <f t="shared" si="1"/>
        <v>75.5</v>
      </c>
    </row>
    <row r="20" spans="1:17" ht="13.5" thickBot="1">
      <c r="A20" s="3">
        <v>204</v>
      </c>
      <c r="B20" s="5" t="s">
        <v>11</v>
      </c>
      <c r="C20" s="5">
        <v>11</v>
      </c>
      <c r="D20" s="5">
        <v>66</v>
      </c>
      <c r="E20" s="5">
        <v>69</v>
      </c>
      <c r="F20" s="5">
        <v>74</v>
      </c>
      <c r="G20" s="5">
        <v>74</v>
      </c>
      <c r="H20" s="5">
        <v>77</v>
      </c>
      <c r="I20" s="5">
        <v>63</v>
      </c>
      <c r="J20" s="23">
        <f t="shared" si="0"/>
        <v>70.5</v>
      </c>
      <c r="K20" s="5">
        <v>74</v>
      </c>
      <c r="L20" s="5">
        <v>76</v>
      </c>
      <c r="M20" s="5">
        <v>82</v>
      </c>
      <c r="N20" s="5">
        <v>75</v>
      </c>
      <c r="O20" s="5">
        <v>85</v>
      </c>
      <c r="P20" s="7">
        <v>81</v>
      </c>
      <c r="Q20" s="26">
        <f t="shared" si="1"/>
        <v>78.833333333333329</v>
      </c>
    </row>
    <row r="21" spans="1:17" ht="13.5" thickBot="1">
      <c r="A21" s="3">
        <v>205</v>
      </c>
      <c r="B21" s="5" t="s">
        <v>3</v>
      </c>
      <c r="C21" s="5">
        <v>1</v>
      </c>
      <c r="D21" s="5">
        <v>76</v>
      </c>
      <c r="E21" s="5">
        <v>75</v>
      </c>
      <c r="F21" s="5">
        <v>85</v>
      </c>
      <c r="G21" s="5">
        <v>83</v>
      </c>
      <c r="H21" s="5">
        <v>74</v>
      </c>
      <c r="I21" s="5">
        <v>81</v>
      </c>
      <c r="J21" s="23">
        <f t="shared" si="0"/>
        <v>79</v>
      </c>
      <c r="K21" s="5">
        <v>80</v>
      </c>
      <c r="L21" s="5">
        <v>72</v>
      </c>
      <c r="M21" s="5">
        <v>77</v>
      </c>
      <c r="N21" s="5">
        <v>68</v>
      </c>
      <c r="O21" s="5">
        <v>67</v>
      </c>
      <c r="P21" s="7">
        <v>70.5</v>
      </c>
      <c r="Q21" s="26">
        <f t="shared" si="1"/>
        <v>72.416666666666671</v>
      </c>
    </row>
    <row r="22" spans="1:17" ht="13.5" thickBot="1">
      <c r="A22" s="3">
        <v>206</v>
      </c>
      <c r="B22" s="5" t="s">
        <v>12</v>
      </c>
      <c r="C22" s="5">
        <v>8</v>
      </c>
      <c r="D22" s="5">
        <v>56.5</v>
      </c>
      <c r="E22" s="5">
        <v>56</v>
      </c>
      <c r="F22" s="5">
        <v>61</v>
      </c>
      <c r="G22" s="5">
        <v>70</v>
      </c>
      <c r="H22" s="5">
        <v>70</v>
      </c>
      <c r="I22" s="5">
        <v>49</v>
      </c>
      <c r="J22" s="23">
        <f t="shared" si="0"/>
        <v>60.416666666666664</v>
      </c>
      <c r="K22" s="5">
        <v>52</v>
      </c>
      <c r="L22" s="5">
        <v>48</v>
      </c>
      <c r="M22" s="5">
        <v>62</v>
      </c>
      <c r="N22" s="5">
        <v>65</v>
      </c>
      <c r="O22" s="5">
        <v>61</v>
      </c>
      <c r="P22" s="7">
        <v>51</v>
      </c>
      <c r="Q22" s="26">
        <f t="shared" si="1"/>
        <v>56.5</v>
      </c>
    </row>
    <row r="23" spans="1:17" ht="13.5" thickBot="1">
      <c r="A23" s="3">
        <v>207</v>
      </c>
      <c r="B23" s="5" t="s">
        <v>4</v>
      </c>
      <c r="C23" s="5">
        <v>4</v>
      </c>
      <c r="D23" s="5">
        <v>70</v>
      </c>
      <c r="E23" s="5">
        <v>76</v>
      </c>
      <c r="F23" s="5">
        <v>77</v>
      </c>
      <c r="G23" s="5">
        <v>79</v>
      </c>
      <c r="H23" s="5">
        <v>77</v>
      </c>
      <c r="I23" s="5">
        <v>65</v>
      </c>
      <c r="J23" s="23">
        <f t="shared" si="0"/>
        <v>74</v>
      </c>
      <c r="K23" s="5">
        <v>73</v>
      </c>
      <c r="L23" s="5">
        <v>76</v>
      </c>
      <c r="M23" s="5">
        <v>74</v>
      </c>
      <c r="N23" s="5">
        <v>73</v>
      </c>
      <c r="O23" s="5">
        <v>67</v>
      </c>
      <c r="P23" s="7">
        <v>60</v>
      </c>
      <c r="Q23" s="26">
        <f t="shared" si="1"/>
        <v>70.5</v>
      </c>
    </row>
    <row r="24" spans="1:17" ht="13.5" thickBot="1">
      <c r="A24" s="4">
        <v>208</v>
      </c>
      <c r="B24" s="12" t="s">
        <v>13</v>
      </c>
      <c r="C24" s="12">
        <v>2</v>
      </c>
      <c r="D24" s="12">
        <v>74</v>
      </c>
      <c r="E24" s="12">
        <v>67</v>
      </c>
      <c r="F24" s="12">
        <v>71</v>
      </c>
      <c r="G24" s="12">
        <v>72</v>
      </c>
      <c r="H24" s="12">
        <v>74</v>
      </c>
      <c r="I24" s="12">
        <v>72</v>
      </c>
      <c r="J24" s="23">
        <f t="shared" si="0"/>
        <v>71.666666666666671</v>
      </c>
      <c r="K24" s="12">
        <v>80</v>
      </c>
      <c r="L24" s="12">
        <v>62</v>
      </c>
      <c r="M24" s="32">
        <v>64</v>
      </c>
      <c r="N24">
        <v>71</v>
      </c>
      <c r="O24" s="12">
        <v>61</v>
      </c>
      <c r="P24" s="13">
        <v>70</v>
      </c>
      <c r="Q24" s="26">
        <f t="shared" si="1"/>
        <v>68</v>
      </c>
    </row>
    <row r="25" spans="1:17" ht="13.5" thickBot="1">
      <c r="A25" s="2">
        <v>301</v>
      </c>
      <c r="B25" s="8" t="s">
        <v>6</v>
      </c>
      <c r="C25" s="8">
        <v>10</v>
      </c>
      <c r="D25" s="8">
        <v>71</v>
      </c>
      <c r="E25" s="8">
        <v>69</v>
      </c>
      <c r="F25" s="8">
        <v>66</v>
      </c>
      <c r="G25" s="8">
        <v>68</v>
      </c>
      <c r="H25" s="8">
        <v>70</v>
      </c>
      <c r="I25" s="8">
        <v>58</v>
      </c>
      <c r="J25" s="23">
        <f t="shared" si="0"/>
        <v>67</v>
      </c>
      <c r="K25" s="8">
        <v>76</v>
      </c>
      <c r="L25" s="8">
        <v>61</v>
      </c>
      <c r="M25" s="5">
        <v>65</v>
      </c>
      <c r="N25" s="5">
        <v>61</v>
      </c>
      <c r="O25" s="8">
        <v>60</v>
      </c>
      <c r="P25" s="9">
        <v>60</v>
      </c>
      <c r="Q25" s="26">
        <f t="shared" si="1"/>
        <v>63.833333333333336</v>
      </c>
    </row>
    <row r="26" spans="1:17" ht="13.5" thickBot="1">
      <c r="A26" s="3">
        <v>302</v>
      </c>
      <c r="B26" s="5" t="s">
        <v>4</v>
      </c>
      <c r="C26" s="5">
        <v>4</v>
      </c>
      <c r="D26" s="5">
        <v>73</v>
      </c>
      <c r="E26" s="5">
        <v>68</v>
      </c>
      <c r="F26" s="5">
        <v>75</v>
      </c>
      <c r="G26" s="5">
        <v>75</v>
      </c>
      <c r="H26" s="5">
        <v>82</v>
      </c>
      <c r="I26" s="5">
        <v>86</v>
      </c>
      <c r="J26" s="23">
        <f t="shared" si="0"/>
        <v>76.5</v>
      </c>
      <c r="K26" s="5">
        <v>60</v>
      </c>
      <c r="L26" s="5">
        <v>65</v>
      </c>
      <c r="M26" s="33">
        <v>61</v>
      </c>
      <c r="N26">
        <v>80</v>
      </c>
      <c r="O26" s="5">
        <v>70</v>
      </c>
      <c r="P26" s="7">
        <v>74</v>
      </c>
      <c r="Q26" s="26">
        <f t="shared" si="1"/>
        <v>68.333333333333329</v>
      </c>
    </row>
    <row r="27" spans="1:17" ht="13.5" thickBot="1">
      <c r="A27" s="3">
        <v>303</v>
      </c>
      <c r="B27" s="5" t="s">
        <v>12</v>
      </c>
      <c r="C27" s="5">
        <v>8</v>
      </c>
      <c r="D27" s="5">
        <v>70</v>
      </c>
      <c r="E27" s="5">
        <v>70</v>
      </c>
      <c r="F27" s="5">
        <v>76</v>
      </c>
      <c r="G27" s="5">
        <v>72</v>
      </c>
      <c r="H27" s="5">
        <v>71</v>
      </c>
      <c r="I27" s="5">
        <v>67</v>
      </c>
      <c r="J27" s="23">
        <f t="shared" si="0"/>
        <v>71</v>
      </c>
      <c r="K27" s="5">
        <v>61</v>
      </c>
      <c r="L27" s="5">
        <v>78</v>
      </c>
      <c r="M27" s="5">
        <v>70</v>
      </c>
      <c r="N27" s="5">
        <v>68.5</v>
      </c>
      <c r="O27" s="5">
        <v>62</v>
      </c>
      <c r="P27" s="7">
        <v>67</v>
      </c>
      <c r="Q27" s="26">
        <f t="shared" si="1"/>
        <v>67.75</v>
      </c>
    </row>
    <row r="28" spans="1:17" ht="13.5" thickBot="1">
      <c r="A28" s="3">
        <v>304</v>
      </c>
      <c r="B28" s="5" t="s">
        <v>13</v>
      </c>
      <c r="C28" s="5">
        <v>2</v>
      </c>
      <c r="D28" s="5">
        <v>68</v>
      </c>
      <c r="E28" s="5">
        <v>80</v>
      </c>
      <c r="F28" s="5">
        <v>80</v>
      </c>
      <c r="G28" s="5">
        <v>80</v>
      </c>
      <c r="H28" s="5">
        <v>77</v>
      </c>
      <c r="I28" s="5">
        <v>67</v>
      </c>
      <c r="J28" s="23">
        <f t="shared" si="0"/>
        <v>75.333333333333329</v>
      </c>
      <c r="K28" s="5">
        <v>67</v>
      </c>
      <c r="L28" s="5">
        <v>68</v>
      </c>
      <c r="M28" s="5">
        <v>87</v>
      </c>
      <c r="N28" s="5">
        <v>70</v>
      </c>
      <c r="O28" s="5">
        <v>79</v>
      </c>
      <c r="P28" s="7">
        <v>63</v>
      </c>
      <c r="Q28" s="26">
        <f t="shared" si="1"/>
        <v>72.333333333333329</v>
      </c>
    </row>
    <row r="29" spans="1:17" ht="13.5" thickBot="1">
      <c r="A29" s="3">
        <v>305</v>
      </c>
      <c r="B29" s="5" t="s">
        <v>11</v>
      </c>
      <c r="C29" s="5">
        <v>11</v>
      </c>
      <c r="D29" s="5">
        <v>74</v>
      </c>
      <c r="E29" s="5">
        <v>75</v>
      </c>
      <c r="F29" s="5">
        <v>78</v>
      </c>
      <c r="G29" s="5">
        <v>69</v>
      </c>
      <c r="H29" s="5">
        <v>79</v>
      </c>
      <c r="I29" s="5">
        <v>66</v>
      </c>
      <c r="J29" s="23">
        <f t="shared" si="0"/>
        <v>73.5</v>
      </c>
      <c r="K29" s="5">
        <v>74</v>
      </c>
      <c r="L29" s="5">
        <v>81</v>
      </c>
      <c r="M29" s="5">
        <v>89</v>
      </c>
      <c r="N29" s="5">
        <v>74.5</v>
      </c>
      <c r="O29" s="5">
        <v>77</v>
      </c>
      <c r="P29" s="7">
        <v>80.5</v>
      </c>
      <c r="Q29" s="26">
        <f t="shared" si="1"/>
        <v>79.333333333333329</v>
      </c>
    </row>
    <row r="30" spans="1:17" ht="13.5" thickBot="1">
      <c r="A30" s="3">
        <v>306</v>
      </c>
      <c r="B30" s="5" t="s">
        <v>4</v>
      </c>
      <c r="C30" s="5">
        <v>4</v>
      </c>
      <c r="D30" s="5">
        <v>72</v>
      </c>
      <c r="E30" s="5">
        <v>70</v>
      </c>
      <c r="F30" s="5">
        <v>79</v>
      </c>
      <c r="G30" s="5">
        <v>80</v>
      </c>
      <c r="H30" s="5">
        <v>84</v>
      </c>
      <c r="I30" s="5">
        <v>67</v>
      </c>
      <c r="J30" s="23">
        <f t="shared" si="0"/>
        <v>75.333333333333329</v>
      </c>
      <c r="K30" s="5">
        <v>78</v>
      </c>
      <c r="L30" s="5">
        <v>58</v>
      </c>
      <c r="M30" s="5">
        <v>74</v>
      </c>
      <c r="N30" s="5">
        <v>71</v>
      </c>
      <c r="O30" s="5">
        <v>73</v>
      </c>
      <c r="P30" s="7">
        <v>58.5</v>
      </c>
      <c r="Q30" s="26">
        <f t="shared" si="1"/>
        <v>68.75</v>
      </c>
    </row>
    <row r="31" spans="1:17" ht="13.5" thickBot="1">
      <c r="A31" s="3">
        <v>307</v>
      </c>
      <c r="B31" s="5" t="s">
        <v>7</v>
      </c>
      <c r="C31" s="5">
        <v>9</v>
      </c>
      <c r="D31" s="5">
        <v>74</v>
      </c>
      <c r="E31" s="5">
        <v>66</v>
      </c>
      <c r="F31" s="5">
        <v>67</v>
      </c>
      <c r="G31" s="5">
        <v>60</v>
      </c>
      <c r="H31" s="5">
        <v>62</v>
      </c>
      <c r="I31" s="5">
        <v>61</v>
      </c>
      <c r="J31" s="23">
        <f t="shared" si="0"/>
        <v>65</v>
      </c>
      <c r="K31" s="5">
        <v>69</v>
      </c>
      <c r="L31" s="5">
        <v>58</v>
      </c>
      <c r="M31" s="5">
        <v>54</v>
      </c>
      <c r="N31" s="5">
        <v>61</v>
      </c>
      <c r="O31" s="5">
        <v>60</v>
      </c>
      <c r="P31" s="7">
        <v>62</v>
      </c>
      <c r="Q31" s="26">
        <f t="shared" si="1"/>
        <v>60.666666666666664</v>
      </c>
    </row>
    <row r="32" spans="1:17" ht="13.5" thickBot="1">
      <c r="A32" s="4">
        <v>308</v>
      </c>
      <c r="B32" s="12" t="s">
        <v>5</v>
      </c>
      <c r="C32" s="12">
        <v>5</v>
      </c>
      <c r="D32" s="12">
        <v>60</v>
      </c>
      <c r="E32" s="12">
        <v>49</v>
      </c>
      <c r="F32" s="12">
        <v>52</v>
      </c>
      <c r="G32" s="12">
        <v>66</v>
      </c>
      <c r="H32" s="12">
        <v>63</v>
      </c>
      <c r="I32" s="12">
        <v>54</v>
      </c>
      <c r="J32" s="23">
        <f t="shared" si="0"/>
        <v>57.333333333333336</v>
      </c>
      <c r="K32" s="12">
        <v>73</v>
      </c>
      <c r="L32" s="12">
        <v>74</v>
      </c>
      <c r="M32" s="12">
        <v>76</v>
      </c>
      <c r="N32" s="12">
        <v>69</v>
      </c>
      <c r="O32" s="12">
        <v>75</v>
      </c>
      <c r="P32" s="13">
        <v>79.5</v>
      </c>
      <c r="Q32" s="26">
        <f t="shared" si="1"/>
        <v>74.416666666666671</v>
      </c>
    </row>
    <row r="33" spans="1:17" ht="13.5" thickBot="1">
      <c r="A33" s="2">
        <v>401</v>
      </c>
      <c r="B33" s="8" t="s">
        <v>14</v>
      </c>
      <c r="C33" s="8">
        <v>7</v>
      </c>
      <c r="D33" s="8">
        <v>62</v>
      </c>
      <c r="E33" s="8">
        <v>59</v>
      </c>
      <c r="F33" s="8">
        <v>56</v>
      </c>
      <c r="G33" s="8">
        <v>63.5</v>
      </c>
      <c r="H33" s="8">
        <v>63</v>
      </c>
      <c r="I33" s="8">
        <v>63</v>
      </c>
      <c r="J33" s="23">
        <f t="shared" si="0"/>
        <v>61.083333333333336</v>
      </c>
      <c r="K33" s="8">
        <v>68</v>
      </c>
      <c r="L33" s="8">
        <v>47</v>
      </c>
      <c r="M33" s="8">
        <v>48</v>
      </c>
      <c r="N33" s="8">
        <v>64</v>
      </c>
      <c r="O33" s="8">
        <v>62</v>
      </c>
      <c r="P33" s="9">
        <v>51</v>
      </c>
      <c r="Q33" s="26">
        <f t="shared" si="1"/>
        <v>56.666666666666664</v>
      </c>
    </row>
    <row r="34" spans="1:17" ht="13.5" thickBot="1">
      <c r="A34" s="3">
        <v>402</v>
      </c>
      <c r="B34" s="5" t="s">
        <v>7</v>
      </c>
      <c r="C34" s="5">
        <v>9</v>
      </c>
      <c r="D34" s="5">
        <v>68</v>
      </c>
      <c r="E34" s="5">
        <v>64</v>
      </c>
      <c r="F34" s="5">
        <v>66</v>
      </c>
      <c r="G34" s="5">
        <v>70</v>
      </c>
      <c r="H34" s="5">
        <v>65</v>
      </c>
      <c r="I34" s="5">
        <v>62</v>
      </c>
      <c r="J34" s="23">
        <f t="shared" si="0"/>
        <v>65.833333333333329</v>
      </c>
      <c r="K34" s="5">
        <v>65</v>
      </c>
      <c r="L34" s="5">
        <v>66</v>
      </c>
      <c r="M34" s="5">
        <v>58</v>
      </c>
      <c r="N34" s="5">
        <v>65</v>
      </c>
      <c r="O34" s="5">
        <v>58</v>
      </c>
      <c r="P34" s="7">
        <v>63</v>
      </c>
      <c r="Q34" s="26">
        <f t="shared" si="1"/>
        <v>62.5</v>
      </c>
    </row>
    <row r="35" spans="1:17" ht="13.5" thickBot="1">
      <c r="A35" s="3">
        <v>403</v>
      </c>
      <c r="B35" s="5" t="s">
        <v>15</v>
      </c>
      <c r="C35" s="5">
        <v>6</v>
      </c>
      <c r="D35" s="5">
        <v>60</v>
      </c>
      <c r="E35" s="5">
        <v>63</v>
      </c>
      <c r="F35" s="5">
        <v>61</v>
      </c>
      <c r="G35" s="5">
        <v>63</v>
      </c>
      <c r="H35" s="5">
        <v>65</v>
      </c>
      <c r="I35" s="5">
        <v>72</v>
      </c>
      <c r="J35" s="23">
        <f t="shared" si="0"/>
        <v>64</v>
      </c>
      <c r="K35" s="5">
        <v>75</v>
      </c>
      <c r="L35" s="5">
        <v>76</v>
      </c>
      <c r="M35" s="5">
        <v>78</v>
      </c>
      <c r="N35" s="5">
        <v>67</v>
      </c>
      <c r="O35" s="5">
        <v>77</v>
      </c>
      <c r="P35" s="7">
        <v>77</v>
      </c>
      <c r="Q35" s="26">
        <f t="shared" si="1"/>
        <v>75</v>
      </c>
    </row>
    <row r="36" spans="1:17" ht="13.5" thickBot="1">
      <c r="A36" s="3">
        <v>404</v>
      </c>
      <c r="B36" s="5" t="s">
        <v>8</v>
      </c>
      <c r="C36" s="5">
        <v>3</v>
      </c>
      <c r="D36" s="5">
        <v>74</v>
      </c>
      <c r="E36" s="5">
        <v>75</v>
      </c>
      <c r="F36" s="5">
        <v>73</v>
      </c>
      <c r="G36" s="5">
        <v>72</v>
      </c>
      <c r="H36" s="5">
        <v>71</v>
      </c>
      <c r="I36" s="5">
        <v>54</v>
      </c>
      <c r="J36" s="23">
        <f t="shared" si="0"/>
        <v>69.833333333333329</v>
      </c>
      <c r="K36" s="5">
        <v>70</v>
      </c>
      <c r="L36" s="5">
        <v>68</v>
      </c>
      <c r="M36" s="5">
        <v>78</v>
      </c>
      <c r="N36" s="5">
        <v>77</v>
      </c>
      <c r="O36" s="5">
        <v>74</v>
      </c>
      <c r="P36" s="7">
        <v>55</v>
      </c>
      <c r="Q36" s="26">
        <f t="shared" si="1"/>
        <v>70.333333333333329</v>
      </c>
    </row>
    <row r="37" spans="1:17" ht="13.5" thickBot="1">
      <c r="A37" s="3">
        <v>405</v>
      </c>
      <c r="B37" s="5" t="s">
        <v>15</v>
      </c>
      <c r="C37" s="5">
        <v>6</v>
      </c>
      <c r="D37" s="5">
        <v>62</v>
      </c>
      <c r="E37" s="5">
        <v>59</v>
      </c>
      <c r="F37" s="5">
        <v>64</v>
      </c>
      <c r="G37" s="5">
        <v>68</v>
      </c>
      <c r="H37" s="5">
        <v>59</v>
      </c>
      <c r="I37" s="5">
        <v>71</v>
      </c>
      <c r="J37" s="23">
        <f t="shared" si="0"/>
        <v>63.833333333333336</v>
      </c>
      <c r="K37" s="5">
        <v>79</v>
      </c>
      <c r="L37" s="5">
        <v>74</v>
      </c>
      <c r="M37" s="5">
        <v>75</v>
      </c>
      <c r="N37" s="5">
        <v>73</v>
      </c>
      <c r="O37" s="5">
        <v>71</v>
      </c>
      <c r="P37" s="7">
        <v>63.5</v>
      </c>
      <c r="Q37" s="26">
        <f t="shared" si="1"/>
        <v>72.583333333333329</v>
      </c>
    </row>
    <row r="38" spans="1:17" ht="13.5" thickBot="1">
      <c r="A38" s="3">
        <v>406</v>
      </c>
      <c r="B38" s="5" t="s">
        <v>8</v>
      </c>
      <c r="C38" s="5">
        <v>3</v>
      </c>
      <c r="D38" s="5">
        <v>71.5</v>
      </c>
      <c r="E38" s="5">
        <v>72</v>
      </c>
      <c r="F38" s="5">
        <v>72</v>
      </c>
      <c r="G38" s="5">
        <v>74</v>
      </c>
      <c r="H38" s="5">
        <v>73</v>
      </c>
      <c r="I38" s="5">
        <v>65</v>
      </c>
      <c r="J38" s="23">
        <f t="shared" si="0"/>
        <v>71.25</v>
      </c>
      <c r="K38" s="5">
        <v>67</v>
      </c>
      <c r="L38" s="5">
        <v>70</v>
      </c>
      <c r="M38" s="5">
        <v>71</v>
      </c>
      <c r="N38" s="5">
        <v>77</v>
      </c>
      <c r="O38" s="5">
        <v>72</v>
      </c>
      <c r="P38" s="7">
        <v>75</v>
      </c>
      <c r="Q38" s="26">
        <f t="shared" si="1"/>
        <v>72</v>
      </c>
    </row>
    <row r="39" spans="1:17" ht="13.5" thickBot="1">
      <c r="A39" s="3">
        <v>407</v>
      </c>
      <c r="B39" s="5" t="s">
        <v>14</v>
      </c>
      <c r="C39" s="5">
        <v>7</v>
      </c>
      <c r="D39" s="5">
        <v>70</v>
      </c>
      <c r="E39" s="5">
        <v>67</v>
      </c>
      <c r="F39" s="5">
        <v>77</v>
      </c>
      <c r="G39" s="5">
        <v>65</v>
      </c>
      <c r="H39" s="5">
        <v>60</v>
      </c>
      <c r="I39" s="5">
        <v>67</v>
      </c>
      <c r="J39" s="23">
        <f t="shared" si="0"/>
        <v>67.666666666666671</v>
      </c>
      <c r="K39" s="5">
        <v>61</v>
      </c>
      <c r="L39" s="5">
        <v>69</v>
      </c>
      <c r="M39" s="5">
        <v>82</v>
      </c>
      <c r="N39" s="5">
        <v>61</v>
      </c>
      <c r="O39" s="5">
        <v>63</v>
      </c>
      <c r="P39" s="7">
        <v>68</v>
      </c>
      <c r="Q39" s="26">
        <f t="shared" si="1"/>
        <v>67.333333333333329</v>
      </c>
    </row>
    <row r="40" spans="1:17" ht="13.5" thickBot="1">
      <c r="A40" s="4">
        <v>408</v>
      </c>
      <c r="B40" s="12" t="s">
        <v>6</v>
      </c>
      <c r="C40" s="12">
        <v>10</v>
      </c>
      <c r="D40" s="12">
        <v>52</v>
      </c>
      <c r="E40" s="12">
        <v>61</v>
      </c>
      <c r="F40" s="12">
        <v>60</v>
      </c>
      <c r="G40" s="12">
        <v>58.5</v>
      </c>
      <c r="H40" s="12">
        <v>60</v>
      </c>
      <c r="I40" s="12">
        <v>0</v>
      </c>
      <c r="J40" s="23">
        <f t="shared" si="0"/>
        <v>48.583333333333336</v>
      </c>
      <c r="K40" s="12">
        <v>63</v>
      </c>
      <c r="L40" s="12">
        <v>61</v>
      </c>
      <c r="M40" s="12">
        <v>61.5</v>
      </c>
      <c r="N40" s="12">
        <v>59</v>
      </c>
      <c r="O40" s="12">
        <v>59</v>
      </c>
      <c r="P40" s="13">
        <v>52</v>
      </c>
      <c r="Q40" s="26">
        <f t="shared" si="1"/>
        <v>59.25</v>
      </c>
    </row>
    <row r="41" spans="1:17" ht="13.5" thickBot="1">
      <c r="A41" s="2">
        <v>901</v>
      </c>
      <c r="B41" s="8" t="s">
        <v>16</v>
      </c>
      <c r="C41" s="8">
        <v>32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23">
        <f t="shared" si="0"/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9">
        <v>0</v>
      </c>
      <c r="Q41" s="26">
        <f t="shared" si="1"/>
        <v>0</v>
      </c>
    </row>
    <row r="42" spans="1:17" ht="13.5" thickBot="1">
      <c r="A42" s="3">
        <v>902</v>
      </c>
      <c r="B42" s="6">
        <v>37452</v>
      </c>
      <c r="C42" s="5">
        <v>22</v>
      </c>
      <c r="D42" s="5">
        <v>68</v>
      </c>
      <c r="E42" s="5">
        <v>71</v>
      </c>
      <c r="F42" s="5">
        <v>84</v>
      </c>
      <c r="G42" s="5">
        <v>68</v>
      </c>
      <c r="H42" s="5">
        <v>66</v>
      </c>
      <c r="I42" s="5">
        <v>68</v>
      </c>
      <c r="J42" s="23">
        <f t="shared" si="0"/>
        <v>70.833333333333329</v>
      </c>
      <c r="K42" s="5">
        <v>63</v>
      </c>
      <c r="L42" s="5">
        <v>70</v>
      </c>
      <c r="M42" s="5">
        <v>68</v>
      </c>
      <c r="N42" s="5">
        <v>59</v>
      </c>
      <c r="O42" s="5">
        <v>64</v>
      </c>
      <c r="P42" s="7">
        <v>69</v>
      </c>
      <c r="Q42" s="26">
        <f t="shared" si="1"/>
        <v>65.5</v>
      </c>
    </row>
    <row r="43" spans="1:17" ht="13.5" thickBot="1">
      <c r="A43" s="3">
        <v>903</v>
      </c>
      <c r="B43" s="5" t="s">
        <v>17</v>
      </c>
      <c r="C43" s="5">
        <v>31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23">
        <f t="shared" si="0"/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7">
        <v>0</v>
      </c>
      <c r="Q43" s="26">
        <f t="shared" si="1"/>
        <v>0</v>
      </c>
    </row>
    <row r="44" spans="1:17" ht="13.5" thickBot="1">
      <c r="A44" s="3">
        <v>904</v>
      </c>
      <c r="B44" s="6">
        <v>37408</v>
      </c>
      <c r="C44" s="5">
        <v>21</v>
      </c>
      <c r="D44" s="5">
        <v>49</v>
      </c>
      <c r="E44" s="5">
        <v>43</v>
      </c>
      <c r="F44" s="5">
        <v>44</v>
      </c>
      <c r="G44" s="5">
        <v>52</v>
      </c>
      <c r="H44" s="5">
        <v>59</v>
      </c>
      <c r="I44" s="5">
        <v>46</v>
      </c>
      <c r="J44" s="23">
        <f t="shared" si="0"/>
        <v>48.833333333333336</v>
      </c>
      <c r="K44" s="5">
        <v>48</v>
      </c>
      <c r="L44" s="5">
        <v>59</v>
      </c>
      <c r="M44" s="5">
        <v>44</v>
      </c>
      <c r="N44" s="5">
        <v>47</v>
      </c>
      <c r="O44" s="5">
        <v>56</v>
      </c>
      <c r="P44" s="7">
        <v>49</v>
      </c>
      <c r="Q44" s="26">
        <f t="shared" si="1"/>
        <v>50.5</v>
      </c>
    </row>
    <row r="45" spans="1:17" ht="13.5" thickBot="1">
      <c r="A45" s="3">
        <v>905</v>
      </c>
      <c r="B45" s="5" t="s">
        <v>16</v>
      </c>
      <c r="C45" s="5">
        <v>32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23">
        <f t="shared" si="0"/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7">
        <v>0</v>
      </c>
      <c r="Q45" s="26">
        <f t="shared" si="1"/>
        <v>0</v>
      </c>
    </row>
    <row r="46" spans="1:17" ht="13.5" thickBot="1">
      <c r="A46" s="3">
        <v>906</v>
      </c>
      <c r="B46" s="6">
        <v>37452</v>
      </c>
      <c r="C46" s="5">
        <v>22</v>
      </c>
      <c r="D46" s="5">
        <v>70</v>
      </c>
      <c r="E46" s="5">
        <v>83</v>
      </c>
      <c r="F46" s="5">
        <v>91</v>
      </c>
      <c r="G46" s="5">
        <v>80</v>
      </c>
      <c r="H46" s="5">
        <v>77</v>
      </c>
      <c r="I46" s="5">
        <v>75</v>
      </c>
      <c r="J46" s="23">
        <f t="shared" si="0"/>
        <v>79.333333333333329</v>
      </c>
      <c r="K46" s="5">
        <v>69</v>
      </c>
      <c r="L46" s="5">
        <v>68</v>
      </c>
      <c r="M46" s="5">
        <v>74</v>
      </c>
      <c r="N46" s="5">
        <v>69</v>
      </c>
      <c r="O46" s="5">
        <v>64</v>
      </c>
      <c r="P46" s="7">
        <v>69</v>
      </c>
      <c r="Q46" s="26">
        <f t="shared" si="1"/>
        <v>68.833333333333329</v>
      </c>
    </row>
    <row r="47" spans="1:17" ht="13.5" thickBot="1">
      <c r="A47" s="3">
        <v>907</v>
      </c>
      <c r="B47" s="5" t="s">
        <v>17</v>
      </c>
      <c r="C47" s="5">
        <v>31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23">
        <f t="shared" si="0"/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7">
        <v>0</v>
      </c>
      <c r="Q47" s="26">
        <f t="shared" si="1"/>
        <v>0</v>
      </c>
    </row>
    <row r="48" spans="1:17" ht="13.5" thickBot="1">
      <c r="A48" s="4">
        <v>908</v>
      </c>
      <c r="B48" s="15">
        <v>37408</v>
      </c>
      <c r="C48" s="12">
        <v>21</v>
      </c>
      <c r="D48" s="12">
        <v>39</v>
      </c>
      <c r="E48" s="12">
        <v>45</v>
      </c>
      <c r="F48" s="12">
        <v>48</v>
      </c>
      <c r="G48" s="12">
        <v>52</v>
      </c>
      <c r="H48" s="12">
        <v>41</v>
      </c>
      <c r="I48" s="12">
        <v>48</v>
      </c>
      <c r="J48" s="23">
        <f t="shared" si="0"/>
        <v>45.5</v>
      </c>
      <c r="K48" s="12">
        <v>33</v>
      </c>
      <c r="L48" s="12">
        <v>54</v>
      </c>
      <c r="M48" s="12">
        <v>48</v>
      </c>
      <c r="N48" s="12">
        <v>51</v>
      </c>
      <c r="O48" s="12">
        <v>42</v>
      </c>
      <c r="P48" s="13">
        <v>51</v>
      </c>
      <c r="Q48" s="27">
        <f t="shared" si="1"/>
        <v>46.5</v>
      </c>
    </row>
  </sheetData>
  <phoneticPr fontId="0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8B7D5-5ED7-4ED2-B22E-682C21A36724}">
  <dimension ref="A1:Q49"/>
  <sheetViews>
    <sheetView workbookViewId="0">
      <selection activeCell="Q9" sqref="Q9:Q48"/>
    </sheetView>
  </sheetViews>
  <sheetFormatPr defaultRowHeight="12.75"/>
  <sheetData>
    <row r="1" spans="1:17">
      <c r="A1" t="s">
        <v>19</v>
      </c>
    </row>
    <row r="2" spans="1:17">
      <c r="A2" s="1" t="s">
        <v>43</v>
      </c>
    </row>
    <row r="3" spans="1:17">
      <c r="A3" s="30">
        <v>37455</v>
      </c>
    </row>
    <row r="4" spans="1:17">
      <c r="A4" s="31" t="s">
        <v>46</v>
      </c>
      <c r="E4" t="s">
        <v>30</v>
      </c>
    </row>
    <row r="5" spans="1:17">
      <c r="A5" s="1" t="s">
        <v>22</v>
      </c>
    </row>
    <row r="6" spans="1:17" ht="13.5" thickBot="1"/>
    <row r="7" spans="1:17" ht="13.5" thickBot="1">
      <c r="D7" s="2"/>
      <c r="E7" s="18"/>
      <c r="F7" s="19" t="s">
        <v>2</v>
      </c>
      <c r="G7" s="18"/>
      <c r="H7" s="18"/>
      <c r="I7" s="20"/>
      <c r="J7" s="18"/>
      <c r="K7" s="2"/>
      <c r="L7" s="18"/>
      <c r="M7" s="18" t="s">
        <v>1</v>
      </c>
      <c r="N7" s="18"/>
      <c r="O7" s="18"/>
      <c r="P7" s="18"/>
      <c r="Q7" s="24"/>
    </row>
    <row r="8" spans="1:17" ht="13.5" thickBot="1">
      <c r="A8" s="16" t="s">
        <v>0</v>
      </c>
      <c r="B8" s="17" t="s">
        <v>9</v>
      </c>
      <c r="C8" s="17" t="s">
        <v>18</v>
      </c>
      <c r="D8" s="21" t="s">
        <v>24</v>
      </c>
      <c r="E8" s="12" t="s">
        <v>25</v>
      </c>
      <c r="F8" s="12" t="s">
        <v>26</v>
      </c>
      <c r="G8" s="12" t="s">
        <v>27</v>
      </c>
      <c r="H8" s="12" t="s">
        <v>28</v>
      </c>
      <c r="I8" s="14" t="s">
        <v>29</v>
      </c>
      <c r="J8" s="22" t="s">
        <v>31</v>
      </c>
      <c r="K8" s="21" t="s">
        <v>24</v>
      </c>
      <c r="L8" s="12" t="s">
        <v>25</v>
      </c>
      <c r="M8" s="12" t="s">
        <v>26</v>
      </c>
      <c r="N8" s="12" t="s">
        <v>27</v>
      </c>
      <c r="O8" s="12" t="s">
        <v>28</v>
      </c>
      <c r="P8" s="13" t="s">
        <v>29</v>
      </c>
      <c r="Q8" s="25" t="s">
        <v>32</v>
      </c>
    </row>
    <row r="9" spans="1:17" ht="13.5" thickBot="1">
      <c r="A9" s="2">
        <v>101</v>
      </c>
      <c r="B9" s="8" t="s">
        <v>3</v>
      </c>
      <c r="C9" s="9">
        <v>1</v>
      </c>
      <c r="D9" s="8">
        <v>80</v>
      </c>
      <c r="E9" s="8">
        <v>81</v>
      </c>
      <c r="F9" s="8">
        <v>90</v>
      </c>
      <c r="G9" s="8">
        <v>86</v>
      </c>
      <c r="H9" s="8">
        <v>86</v>
      </c>
      <c r="I9" s="8">
        <v>79</v>
      </c>
      <c r="J9" s="23">
        <f>AVERAGE(D9:I9)</f>
        <v>83.666666666666671</v>
      </c>
      <c r="K9" s="8">
        <v>83</v>
      </c>
      <c r="L9" s="8">
        <v>84</v>
      </c>
      <c r="M9" s="8">
        <v>80</v>
      </c>
      <c r="N9" s="8">
        <v>80</v>
      </c>
      <c r="O9" s="8">
        <v>80</v>
      </c>
      <c r="P9" s="9">
        <v>70</v>
      </c>
      <c r="Q9" s="26">
        <f>AVERAGE(K9:P9)</f>
        <v>79.5</v>
      </c>
    </row>
    <row r="10" spans="1:17" ht="13.5" thickBot="1">
      <c r="A10" s="3">
        <v>102</v>
      </c>
      <c r="B10" s="5" t="s">
        <v>4</v>
      </c>
      <c r="C10" s="7">
        <v>4</v>
      </c>
      <c r="D10" s="5">
        <v>77</v>
      </c>
      <c r="E10" s="5">
        <v>91</v>
      </c>
      <c r="F10" s="5">
        <v>79</v>
      </c>
      <c r="G10" s="5">
        <v>85</v>
      </c>
      <c r="H10" s="5">
        <v>87</v>
      </c>
      <c r="I10" s="5">
        <v>86</v>
      </c>
      <c r="J10" s="23">
        <f t="shared" ref="J10:J48" si="0">AVERAGE(D10:I10)</f>
        <v>84.166666666666671</v>
      </c>
      <c r="K10" s="5">
        <v>79</v>
      </c>
      <c r="L10" s="5">
        <v>76</v>
      </c>
      <c r="M10" s="5">
        <v>70</v>
      </c>
      <c r="N10" s="5">
        <v>74</v>
      </c>
      <c r="O10" s="5">
        <v>74</v>
      </c>
      <c r="P10" s="7">
        <v>86</v>
      </c>
      <c r="Q10" s="26">
        <f t="shared" ref="Q10:Q48" si="1">AVERAGE(K10:P10)</f>
        <v>76.5</v>
      </c>
    </row>
    <row r="11" spans="1:17" ht="13.5" thickBot="1">
      <c r="A11" s="3">
        <v>103</v>
      </c>
      <c r="B11" s="5" t="s">
        <v>5</v>
      </c>
      <c r="C11" s="7">
        <v>5</v>
      </c>
      <c r="D11" s="5">
        <v>82</v>
      </c>
      <c r="E11" s="5">
        <v>83</v>
      </c>
      <c r="F11" s="5">
        <v>88</v>
      </c>
      <c r="G11" s="5">
        <v>93</v>
      </c>
      <c r="H11" s="5">
        <v>80</v>
      </c>
      <c r="I11" s="5">
        <v>80</v>
      </c>
      <c r="J11" s="23">
        <f t="shared" si="0"/>
        <v>84.333333333333329</v>
      </c>
      <c r="K11" s="5">
        <v>80</v>
      </c>
      <c r="L11" s="5">
        <v>98</v>
      </c>
      <c r="M11" s="5">
        <v>84</v>
      </c>
      <c r="N11" s="5">
        <v>91</v>
      </c>
      <c r="O11" s="5">
        <v>91</v>
      </c>
      <c r="P11" s="7">
        <v>97</v>
      </c>
      <c r="Q11" s="26">
        <f t="shared" si="1"/>
        <v>90.166666666666671</v>
      </c>
    </row>
    <row r="12" spans="1:17" ht="13.5" thickBot="1">
      <c r="A12" s="3">
        <v>104</v>
      </c>
      <c r="B12" s="5" t="s">
        <v>6</v>
      </c>
      <c r="C12" s="7">
        <v>10</v>
      </c>
      <c r="D12" s="5">
        <v>67</v>
      </c>
      <c r="E12" s="5">
        <v>64</v>
      </c>
      <c r="F12" s="5">
        <v>75</v>
      </c>
      <c r="G12" s="5">
        <v>77</v>
      </c>
      <c r="H12" s="5">
        <v>74</v>
      </c>
      <c r="I12" s="5">
        <v>75</v>
      </c>
      <c r="J12" s="23">
        <f t="shared" si="0"/>
        <v>72</v>
      </c>
      <c r="K12" s="5">
        <v>74</v>
      </c>
      <c r="L12" s="5">
        <v>71</v>
      </c>
      <c r="M12" s="5">
        <v>68</v>
      </c>
      <c r="N12" s="5">
        <v>77</v>
      </c>
      <c r="O12" s="5">
        <v>77</v>
      </c>
      <c r="P12" s="7">
        <v>72</v>
      </c>
      <c r="Q12" s="26">
        <f t="shared" si="1"/>
        <v>73.166666666666671</v>
      </c>
    </row>
    <row r="13" spans="1:17" ht="13.5" thickBot="1">
      <c r="A13" s="3">
        <v>105</v>
      </c>
      <c r="B13" s="5" t="s">
        <v>10</v>
      </c>
      <c r="C13" s="7">
        <v>12</v>
      </c>
      <c r="D13" s="5">
        <v>85</v>
      </c>
      <c r="E13" s="5">
        <v>101</v>
      </c>
      <c r="F13" s="5">
        <v>83</v>
      </c>
      <c r="G13" s="5">
        <v>90</v>
      </c>
      <c r="H13" s="5">
        <v>82</v>
      </c>
      <c r="I13" s="5">
        <v>83</v>
      </c>
      <c r="J13" s="23">
        <f t="shared" si="0"/>
        <v>87.333333333333329</v>
      </c>
      <c r="K13" s="5">
        <v>75</v>
      </c>
      <c r="L13" s="5">
        <v>98</v>
      </c>
      <c r="M13" s="5">
        <v>94</v>
      </c>
      <c r="N13" s="5">
        <v>95</v>
      </c>
      <c r="O13" s="5">
        <v>95</v>
      </c>
      <c r="P13" s="7">
        <v>84</v>
      </c>
      <c r="Q13" s="26">
        <f t="shared" si="1"/>
        <v>90.166666666666671</v>
      </c>
    </row>
    <row r="14" spans="1:17" ht="13.5" thickBot="1">
      <c r="A14" s="3">
        <v>106</v>
      </c>
      <c r="B14" s="5" t="s">
        <v>7</v>
      </c>
      <c r="C14" s="7">
        <v>9</v>
      </c>
      <c r="D14" s="5">
        <v>80</v>
      </c>
      <c r="E14" s="5">
        <v>83</v>
      </c>
      <c r="F14" s="5">
        <v>83</v>
      </c>
      <c r="G14" s="5">
        <v>86</v>
      </c>
      <c r="H14" s="5">
        <v>77</v>
      </c>
      <c r="I14" s="5">
        <v>85</v>
      </c>
      <c r="J14" s="23">
        <f t="shared" si="0"/>
        <v>82.333333333333329</v>
      </c>
      <c r="K14" s="5">
        <v>76</v>
      </c>
      <c r="L14" s="5">
        <v>66</v>
      </c>
      <c r="M14" s="5">
        <v>90</v>
      </c>
      <c r="N14" s="5">
        <v>84</v>
      </c>
      <c r="O14" s="5">
        <v>84</v>
      </c>
      <c r="P14" s="7">
        <v>81</v>
      </c>
      <c r="Q14" s="26">
        <f t="shared" si="1"/>
        <v>80.166666666666671</v>
      </c>
    </row>
    <row r="15" spans="1:17" ht="13.5" thickBot="1">
      <c r="A15" s="3">
        <v>107</v>
      </c>
      <c r="B15" s="5" t="s">
        <v>6</v>
      </c>
      <c r="C15" s="7">
        <v>10</v>
      </c>
      <c r="D15" s="5">
        <v>93</v>
      </c>
      <c r="E15" s="5">
        <v>76</v>
      </c>
      <c r="F15" s="5">
        <v>78</v>
      </c>
      <c r="G15" s="5">
        <v>86</v>
      </c>
      <c r="H15" s="5">
        <v>75</v>
      </c>
      <c r="I15" s="5">
        <v>82</v>
      </c>
      <c r="J15" s="23">
        <f t="shared" si="0"/>
        <v>81.666666666666671</v>
      </c>
      <c r="K15" s="5">
        <v>80</v>
      </c>
      <c r="L15" s="5">
        <v>85</v>
      </c>
      <c r="M15" s="5">
        <v>80</v>
      </c>
      <c r="N15" s="5">
        <v>78</v>
      </c>
      <c r="O15" s="5">
        <v>78</v>
      </c>
      <c r="P15" s="7">
        <v>69</v>
      </c>
      <c r="Q15" s="26">
        <f t="shared" si="1"/>
        <v>78.333333333333329</v>
      </c>
    </row>
    <row r="16" spans="1:17" ht="13.5" thickBot="1">
      <c r="A16" s="4">
        <v>108</v>
      </c>
      <c r="B16" s="12" t="s">
        <v>8</v>
      </c>
      <c r="C16" s="13">
        <v>3</v>
      </c>
      <c r="D16" s="12">
        <v>82</v>
      </c>
      <c r="E16" s="12">
        <v>78</v>
      </c>
      <c r="F16" s="12">
        <v>80</v>
      </c>
      <c r="G16" s="12">
        <v>85</v>
      </c>
      <c r="H16" s="12">
        <v>86</v>
      </c>
      <c r="I16" s="12">
        <v>93</v>
      </c>
      <c r="J16" s="23">
        <f t="shared" si="0"/>
        <v>84</v>
      </c>
      <c r="K16" s="12">
        <v>83</v>
      </c>
      <c r="L16" s="12">
        <v>73</v>
      </c>
      <c r="M16" s="12">
        <v>84</v>
      </c>
      <c r="N16" s="12">
        <v>79</v>
      </c>
      <c r="O16" s="12">
        <v>79</v>
      </c>
      <c r="P16" s="13">
        <v>74</v>
      </c>
      <c r="Q16" s="26">
        <f t="shared" si="1"/>
        <v>78.666666666666671</v>
      </c>
    </row>
    <row r="17" spans="1:17" ht="13.5" thickBot="1">
      <c r="A17" s="2">
        <v>201</v>
      </c>
      <c r="B17" s="8" t="s">
        <v>10</v>
      </c>
      <c r="C17" s="8">
        <v>12</v>
      </c>
      <c r="D17" s="8">
        <v>85</v>
      </c>
      <c r="E17" s="8">
        <v>81</v>
      </c>
      <c r="F17" s="8">
        <v>72</v>
      </c>
      <c r="G17" s="8">
        <v>82</v>
      </c>
      <c r="H17" s="8">
        <v>81</v>
      </c>
      <c r="I17" s="8">
        <v>78</v>
      </c>
      <c r="J17" s="23">
        <f t="shared" si="0"/>
        <v>79.833333333333329</v>
      </c>
      <c r="K17" s="8">
        <v>89</v>
      </c>
      <c r="L17" s="8">
        <v>88</v>
      </c>
      <c r="M17" s="8">
        <v>88</v>
      </c>
      <c r="N17" s="8">
        <v>82</v>
      </c>
      <c r="O17" s="8">
        <v>89</v>
      </c>
      <c r="P17" s="9">
        <v>79</v>
      </c>
      <c r="Q17" s="26">
        <f t="shared" si="1"/>
        <v>85.833333333333329</v>
      </c>
    </row>
    <row r="18" spans="1:17" ht="13.5" thickBot="1">
      <c r="A18" s="3">
        <v>202</v>
      </c>
      <c r="B18" s="5" t="s">
        <v>7</v>
      </c>
      <c r="C18" s="5">
        <v>9</v>
      </c>
      <c r="D18" s="5">
        <v>68</v>
      </c>
      <c r="E18" s="5">
        <v>74</v>
      </c>
      <c r="F18" s="5">
        <v>69</v>
      </c>
      <c r="G18" s="5">
        <v>76</v>
      </c>
      <c r="H18" s="5">
        <v>70</v>
      </c>
      <c r="I18" s="5">
        <v>68</v>
      </c>
      <c r="J18" s="23">
        <f t="shared" si="0"/>
        <v>70.833333333333329</v>
      </c>
      <c r="K18" s="5">
        <v>70</v>
      </c>
      <c r="L18" s="5">
        <v>68</v>
      </c>
      <c r="M18" s="5">
        <v>69</v>
      </c>
      <c r="N18" s="5">
        <v>62</v>
      </c>
      <c r="O18" s="5">
        <v>75</v>
      </c>
      <c r="P18" s="7">
        <v>70</v>
      </c>
      <c r="Q18" s="26">
        <f t="shared" si="1"/>
        <v>69</v>
      </c>
    </row>
    <row r="19" spans="1:17" ht="13.5" thickBot="1">
      <c r="A19" s="3">
        <v>203</v>
      </c>
      <c r="B19" s="5" t="s">
        <v>8</v>
      </c>
      <c r="C19" s="5">
        <v>3</v>
      </c>
      <c r="D19" s="5">
        <v>94</v>
      </c>
      <c r="E19" s="5">
        <v>93</v>
      </c>
      <c r="F19" s="5">
        <v>90</v>
      </c>
      <c r="G19" s="5">
        <v>84</v>
      </c>
      <c r="H19" s="5">
        <v>84</v>
      </c>
      <c r="I19" s="5">
        <v>81</v>
      </c>
      <c r="J19" s="23">
        <f t="shared" si="0"/>
        <v>87.666666666666671</v>
      </c>
      <c r="K19" s="5">
        <v>87</v>
      </c>
      <c r="L19" s="5">
        <v>72</v>
      </c>
      <c r="M19" s="5">
        <v>91</v>
      </c>
      <c r="N19" s="5">
        <v>87</v>
      </c>
      <c r="O19" s="5">
        <v>76</v>
      </c>
      <c r="P19" s="7">
        <v>75</v>
      </c>
      <c r="Q19" s="26">
        <f t="shared" si="1"/>
        <v>81.333333333333329</v>
      </c>
    </row>
    <row r="20" spans="1:17" ht="13.5" thickBot="1">
      <c r="A20" s="3">
        <v>204</v>
      </c>
      <c r="B20" s="5" t="s">
        <v>11</v>
      </c>
      <c r="C20" s="5">
        <v>11</v>
      </c>
      <c r="D20" s="5">
        <v>87</v>
      </c>
      <c r="E20" s="5">
        <v>82</v>
      </c>
      <c r="F20" s="5">
        <v>81</v>
      </c>
      <c r="G20" s="5">
        <v>86</v>
      </c>
      <c r="H20" s="5">
        <v>87</v>
      </c>
      <c r="I20" s="5">
        <v>84</v>
      </c>
      <c r="J20" s="23">
        <f t="shared" si="0"/>
        <v>84.5</v>
      </c>
      <c r="K20" s="5">
        <v>82</v>
      </c>
      <c r="L20" s="5">
        <v>81</v>
      </c>
      <c r="M20" s="5">
        <v>85</v>
      </c>
      <c r="N20" s="5">
        <v>78</v>
      </c>
      <c r="O20" s="5">
        <v>85</v>
      </c>
      <c r="P20" s="7">
        <v>86</v>
      </c>
      <c r="Q20" s="26">
        <f t="shared" si="1"/>
        <v>82.833333333333329</v>
      </c>
    </row>
    <row r="21" spans="1:17" ht="13.5" thickBot="1">
      <c r="A21" s="3">
        <v>205</v>
      </c>
      <c r="B21" s="5" t="s">
        <v>3</v>
      </c>
      <c r="C21" s="5">
        <v>1</v>
      </c>
      <c r="D21" s="5">
        <v>92</v>
      </c>
      <c r="E21" s="5">
        <v>87</v>
      </c>
      <c r="F21" s="5">
        <v>93</v>
      </c>
      <c r="G21" s="5">
        <v>94</v>
      </c>
      <c r="H21" s="5">
        <v>96</v>
      </c>
      <c r="I21" s="5">
        <v>96</v>
      </c>
      <c r="J21" s="23">
        <f t="shared" si="0"/>
        <v>93</v>
      </c>
      <c r="K21" s="5">
        <v>78</v>
      </c>
      <c r="L21" s="5">
        <v>95</v>
      </c>
      <c r="M21" s="5">
        <v>89</v>
      </c>
      <c r="N21" s="5">
        <v>86</v>
      </c>
      <c r="O21" s="5">
        <v>88</v>
      </c>
      <c r="P21" s="7">
        <v>78</v>
      </c>
      <c r="Q21" s="26">
        <f t="shared" si="1"/>
        <v>85.666666666666671</v>
      </c>
    </row>
    <row r="22" spans="1:17" ht="13.5" thickBot="1">
      <c r="A22" s="3">
        <v>206</v>
      </c>
      <c r="B22" s="5" t="s">
        <v>12</v>
      </c>
      <c r="C22" s="5">
        <v>8</v>
      </c>
      <c r="D22" s="5">
        <v>71</v>
      </c>
      <c r="E22" s="5">
        <v>60</v>
      </c>
      <c r="F22" s="5">
        <v>80</v>
      </c>
      <c r="G22" s="5">
        <v>74</v>
      </c>
      <c r="H22" s="5">
        <v>71</v>
      </c>
      <c r="I22" s="5">
        <v>61</v>
      </c>
      <c r="J22" s="23">
        <f t="shared" si="0"/>
        <v>69.5</v>
      </c>
      <c r="K22" s="5">
        <v>66</v>
      </c>
      <c r="L22" s="5">
        <v>64</v>
      </c>
      <c r="M22" s="5">
        <v>69</v>
      </c>
      <c r="N22" s="5">
        <v>70</v>
      </c>
      <c r="O22" s="5">
        <v>75</v>
      </c>
      <c r="P22" s="7">
        <v>56</v>
      </c>
      <c r="Q22" s="26">
        <f t="shared" si="1"/>
        <v>66.666666666666671</v>
      </c>
    </row>
    <row r="23" spans="1:17" ht="13.5" thickBot="1">
      <c r="A23" s="3">
        <v>207</v>
      </c>
      <c r="B23" s="5" t="s">
        <v>4</v>
      </c>
      <c r="C23" s="5">
        <v>4</v>
      </c>
      <c r="D23" s="5">
        <v>98</v>
      </c>
      <c r="E23" s="5">
        <v>87</v>
      </c>
      <c r="F23" s="5">
        <v>97</v>
      </c>
      <c r="G23" s="5">
        <v>89</v>
      </c>
      <c r="H23" s="5">
        <v>90</v>
      </c>
      <c r="I23" s="5">
        <v>84</v>
      </c>
      <c r="J23" s="23">
        <f t="shared" si="0"/>
        <v>90.833333333333329</v>
      </c>
      <c r="K23" s="5">
        <v>88</v>
      </c>
      <c r="L23" s="5">
        <v>77</v>
      </c>
      <c r="M23" s="5">
        <v>78</v>
      </c>
      <c r="N23" s="5">
        <v>88</v>
      </c>
      <c r="O23" s="5">
        <v>80</v>
      </c>
      <c r="P23" s="7">
        <v>70</v>
      </c>
      <c r="Q23" s="26">
        <f t="shared" si="1"/>
        <v>80.166666666666671</v>
      </c>
    </row>
    <row r="24" spans="1:17" ht="13.5" thickBot="1">
      <c r="A24" s="4">
        <v>208</v>
      </c>
      <c r="B24" s="12" t="s">
        <v>13</v>
      </c>
      <c r="C24" s="12">
        <v>2</v>
      </c>
      <c r="D24" s="12">
        <v>80</v>
      </c>
      <c r="E24" s="12">
        <v>85</v>
      </c>
      <c r="F24" s="12">
        <v>91</v>
      </c>
      <c r="G24" s="12">
        <v>88</v>
      </c>
      <c r="H24" s="12">
        <v>83</v>
      </c>
      <c r="I24" s="12">
        <v>77</v>
      </c>
      <c r="J24" s="23">
        <f t="shared" si="0"/>
        <v>84</v>
      </c>
      <c r="K24" s="12">
        <v>70</v>
      </c>
      <c r="L24" s="12">
        <v>74</v>
      </c>
      <c r="M24" s="32">
        <v>83</v>
      </c>
      <c r="N24">
        <v>88</v>
      </c>
      <c r="O24" s="12">
        <v>78</v>
      </c>
      <c r="P24" s="13">
        <v>76</v>
      </c>
      <c r="Q24" s="26">
        <f t="shared" si="1"/>
        <v>78.166666666666671</v>
      </c>
    </row>
    <row r="25" spans="1:17" ht="13.5" thickBot="1">
      <c r="A25" s="2">
        <v>301</v>
      </c>
      <c r="B25" s="8" t="s">
        <v>6</v>
      </c>
      <c r="C25" s="8">
        <v>10</v>
      </c>
      <c r="D25" s="8">
        <v>78</v>
      </c>
      <c r="E25" s="8">
        <v>65</v>
      </c>
      <c r="F25" s="8">
        <v>63</v>
      </c>
      <c r="G25" s="8">
        <v>76</v>
      </c>
      <c r="H25" s="8">
        <v>69</v>
      </c>
      <c r="I25" s="8">
        <v>66</v>
      </c>
      <c r="J25" s="23">
        <f t="shared" si="0"/>
        <v>69.5</v>
      </c>
      <c r="K25" s="8">
        <v>83</v>
      </c>
      <c r="L25" s="8">
        <v>66</v>
      </c>
      <c r="M25" s="5">
        <v>66</v>
      </c>
      <c r="N25" s="5">
        <v>71</v>
      </c>
      <c r="O25" s="8">
        <v>64</v>
      </c>
      <c r="P25" s="9">
        <v>71</v>
      </c>
      <c r="Q25" s="26">
        <f t="shared" si="1"/>
        <v>70.166666666666671</v>
      </c>
    </row>
    <row r="26" spans="1:17" ht="13.5" thickBot="1">
      <c r="A26" s="3">
        <v>302</v>
      </c>
      <c r="B26" s="5" t="s">
        <v>4</v>
      </c>
      <c r="C26" s="5">
        <v>4</v>
      </c>
      <c r="D26" s="5">
        <v>82</v>
      </c>
      <c r="E26" s="5">
        <v>83</v>
      </c>
      <c r="F26" s="5">
        <v>80</v>
      </c>
      <c r="G26" s="5">
        <v>86</v>
      </c>
      <c r="H26" s="5">
        <v>81</v>
      </c>
      <c r="I26" s="5">
        <v>94</v>
      </c>
      <c r="J26" s="23">
        <f t="shared" si="0"/>
        <v>84.333333333333329</v>
      </c>
      <c r="K26" s="5">
        <v>70</v>
      </c>
      <c r="L26" s="5">
        <v>69</v>
      </c>
      <c r="M26" s="33">
        <v>70</v>
      </c>
      <c r="N26">
        <v>90</v>
      </c>
      <c r="O26" s="5">
        <v>77</v>
      </c>
      <c r="P26" s="7">
        <v>84</v>
      </c>
      <c r="Q26" s="26">
        <f t="shared" si="1"/>
        <v>76.666666666666671</v>
      </c>
    </row>
    <row r="27" spans="1:17" ht="13.5" thickBot="1">
      <c r="A27" s="3">
        <v>303</v>
      </c>
      <c r="B27" s="5" t="s">
        <v>12</v>
      </c>
      <c r="C27" s="5">
        <v>8</v>
      </c>
      <c r="D27" s="5">
        <v>70</v>
      </c>
      <c r="E27" s="5">
        <v>83</v>
      </c>
      <c r="F27" s="5">
        <v>81</v>
      </c>
      <c r="G27" s="5">
        <v>78</v>
      </c>
      <c r="H27" s="5">
        <v>76</v>
      </c>
      <c r="I27" s="5">
        <v>79</v>
      </c>
      <c r="J27" s="23">
        <f t="shared" si="0"/>
        <v>77.833333333333329</v>
      </c>
      <c r="K27" s="5">
        <v>84</v>
      </c>
      <c r="L27" s="5">
        <v>84</v>
      </c>
      <c r="M27" s="5">
        <v>79</v>
      </c>
      <c r="N27" s="5">
        <v>71</v>
      </c>
      <c r="O27" s="5">
        <v>76</v>
      </c>
      <c r="P27" s="7">
        <v>78</v>
      </c>
      <c r="Q27" s="26">
        <f t="shared" si="1"/>
        <v>78.666666666666671</v>
      </c>
    </row>
    <row r="28" spans="1:17" ht="13.5" thickBot="1">
      <c r="A28" s="3">
        <v>304</v>
      </c>
      <c r="B28" s="5" t="s">
        <v>13</v>
      </c>
      <c r="C28" s="5">
        <v>2</v>
      </c>
      <c r="D28" s="5">
        <v>85</v>
      </c>
      <c r="E28" s="5">
        <v>94</v>
      </c>
      <c r="F28" s="5">
        <v>100</v>
      </c>
      <c r="G28" s="5">
        <v>89</v>
      </c>
      <c r="H28" s="5">
        <v>98</v>
      </c>
      <c r="I28" s="5">
        <v>86</v>
      </c>
      <c r="J28" s="23">
        <f t="shared" si="0"/>
        <v>92</v>
      </c>
      <c r="K28" s="5">
        <v>86</v>
      </c>
      <c r="L28" s="5">
        <v>80</v>
      </c>
      <c r="M28" s="5">
        <v>88</v>
      </c>
      <c r="N28" s="5">
        <v>85</v>
      </c>
      <c r="O28" s="5">
        <v>93</v>
      </c>
      <c r="P28" s="7">
        <v>75</v>
      </c>
      <c r="Q28" s="26">
        <f t="shared" si="1"/>
        <v>84.5</v>
      </c>
    </row>
    <row r="29" spans="1:17" ht="13.5" thickBot="1">
      <c r="A29" s="3">
        <v>305</v>
      </c>
      <c r="B29" s="5" t="s">
        <v>11</v>
      </c>
      <c r="C29" s="5">
        <v>11</v>
      </c>
      <c r="D29" s="5">
        <v>92</v>
      </c>
      <c r="E29" s="5">
        <v>89</v>
      </c>
      <c r="F29" s="5">
        <v>90</v>
      </c>
      <c r="G29" s="5">
        <v>90</v>
      </c>
      <c r="H29" s="5">
        <v>94</v>
      </c>
      <c r="I29" s="5">
        <v>92</v>
      </c>
      <c r="J29" s="23">
        <f t="shared" si="0"/>
        <v>91.166666666666671</v>
      </c>
      <c r="K29" s="5">
        <v>86</v>
      </c>
      <c r="L29" s="5">
        <v>94</v>
      </c>
      <c r="M29" s="5">
        <v>99</v>
      </c>
      <c r="N29" s="5">
        <v>97</v>
      </c>
      <c r="O29" s="5">
        <v>80</v>
      </c>
      <c r="P29" s="7">
        <v>96</v>
      </c>
      <c r="Q29" s="26">
        <f t="shared" si="1"/>
        <v>92</v>
      </c>
    </row>
    <row r="30" spans="1:17" ht="13.5" thickBot="1">
      <c r="A30" s="3">
        <v>306</v>
      </c>
      <c r="B30" s="5" t="s">
        <v>4</v>
      </c>
      <c r="C30" s="5">
        <v>4</v>
      </c>
      <c r="D30" s="5">
        <v>85</v>
      </c>
      <c r="E30" s="5">
        <v>78</v>
      </c>
      <c r="F30" s="5">
        <v>83</v>
      </c>
      <c r="G30" s="5">
        <v>81</v>
      </c>
      <c r="H30" s="5">
        <v>97</v>
      </c>
      <c r="I30" s="5">
        <v>87</v>
      </c>
      <c r="J30" s="23">
        <f t="shared" si="0"/>
        <v>85.166666666666671</v>
      </c>
      <c r="K30" s="5">
        <v>89</v>
      </c>
      <c r="L30" s="5">
        <v>64</v>
      </c>
      <c r="M30" s="5">
        <v>82</v>
      </c>
      <c r="N30" s="5">
        <v>80</v>
      </c>
      <c r="O30" s="5">
        <v>81</v>
      </c>
      <c r="P30" s="7">
        <v>71</v>
      </c>
      <c r="Q30" s="26">
        <f t="shared" si="1"/>
        <v>77.833333333333329</v>
      </c>
    </row>
    <row r="31" spans="1:17" ht="13.5" thickBot="1">
      <c r="A31" s="3">
        <v>307</v>
      </c>
      <c r="B31" s="5" t="s">
        <v>7</v>
      </c>
      <c r="C31" s="5">
        <v>9</v>
      </c>
      <c r="D31" s="5">
        <v>84</v>
      </c>
      <c r="E31" s="5">
        <v>72</v>
      </c>
      <c r="F31" s="5">
        <v>80</v>
      </c>
      <c r="G31" s="5">
        <v>76</v>
      </c>
      <c r="H31" s="5">
        <v>65</v>
      </c>
      <c r="I31" s="5">
        <v>72</v>
      </c>
      <c r="J31" s="23">
        <f t="shared" si="0"/>
        <v>74.833333333333329</v>
      </c>
      <c r="K31" s="5">
        <v>78</v>
      </c>
      <c r="L31" s="5">
        <v>69</v>
      </c>
      <c r="M31" s="5">
        <v>61</v>
      </c>
      <c r="N31" s="5">
        <v>67</v>
      </c>
      <c r="O31" s="5">
        <v>68</v>
      </c>
      <c r="P31" s="7">
        <v>65</v>
      </c>
      <c r="Q31" s="26">
        <f t="shared" si="1"/>
        <v>68</v>
      </c>
    </row>
    <row r="32" spans="1:17" ht="13.5" thickBot="1">
      <c r="A32" s="4">
        <v>308</v>
      </c>
      <c r="B32" s="12" t="s">
        <v>5</v>
      </c>
      <c r="C32" s="12">
        <v>5</v>
      </c>
      <c r="D32" s="12">
        <v>72</v>
      </c>
      <c r="E32" s="12">
        <v>67</v>
      </c>
      <c r="F32" s="12">
        <v>69</v>
      </c>
      <c r="G32" s="12">
        <v>75</v>
      </c>
      <c r="H32" s="12">
        <v>72</v>
      </c>
      <c r="I32" s="12">
        <v>72</v>
      </c>
      <c r="J32" s="23">
        <f t="shared" si="0"/>
        <v>71.166666666666671</v>
      </c>
      <c r="K32" s="12">
        <v>86</v>
      </c>
      <c r="L32" s="12">
        <v>81</v>
      </c>
      <c r="M32" s="12">
        <v>78</v>
      </c>
      <c r="N32" s="12">
        <v>74</v>
      </c>
      <c r="O32" s="12">
        <v>92</v>
      </c>
      <c r="P32" s="13">
        <v>83</v>
      </c>
      <c r="Q32" s="26">
        <f t="shared" si="1"/>
        <v>82.333333333333329</v>
      </c>
    </row>
    <row r="33" spans="1:17" ht="13.5" thickBot="1">
      <c r="A33" s="2">
        <v>401</v>
      </c>
      <c r="B33" s="8" t="s">
        <v>14</v>
      </c>
      <c r="C33" s="8">
        <v>7</v>
      </c>
      <c r="D33" s="8">
        <v>66</v>
      </c>
      <c r="E33" s="8">
        <v>56</v>
      </c>
      <c r="F33" s="8">
        <v>67</v>
      </c>
      <c r="G33" s="8">
        <v>66</v>
      </c>
      <c r="H33" s="8">
        <v>66</v>
      </c>
      <c r="I33" s="8">
        <v>61</v>
      </c>
      <c r="J33" s="23">
        <f t="shared" si="0"/>
        <v>63.666666666666664</v>
      </c>
      <c r="K33" s="8">
        <v>80</v>
      </c>
      <c r="L33" s="8">
        <v>53</v>
      </c>
      <c r="M33" s="8">
        <v>63</v>
      </c>
      <c r="N33" s="8">
        <v>71</v>
      </c>
      <c r="O33" s="8">
        <v>61</v>
      </c>
      <c r="P33" s="9">
        <v>58</v>
      </c>
      <c r="Q33" s="26">
        <f t="shared" si="1"/>
        <v>64.333333333333329</v>
      </c>
    </row>
    <row r="34" spans="1:17" ht="13.5" thickBot="1">
      <c r="A34" s="3">
        <v>402</v>
      </c>
      <c r="B34" s="5" t="s">
        <v>7</v>
      </c>
      <c r="C34" s="5">
        <v>9</v>
      </c>
      <c r="D34" s="5">
        <v>78</v>
      </c>
      <c r="E34" s="5">
        <v>77</v>
      </c>
      <c r="F34" s="5">
        <v>77</v>
      </c>
      <c r="G34" s="5">
        <v>84</v>
      </c>
      <c r="H34" s="5">
        <v>82</v>
      </c>
      <c r="I34" s="5">
        <v>86</v>
      </c>
      <c r="J34" s="23">
        <f t="shared" si="0"/>
        <v>80.666666666666671</v>
      </c>
      <c r="K34" s="5">
        <v>82</v>
      </c>
      <c r="L34" s="5">
        <v>76</v>
      </c>
      <c r="M34" s="5">
        <v>72</v>
      </c>
      <c r="N34" s="5">
        <v>81</v>
      </c>
      <c r="O34" s="5">
        <v>78</v>
      </c>
      <c r="P34" s="7">
        <v>85</v>
      </c>
      <c r="Q34" s="26">
        <f t="shared" si="1"/>
        <v>79</v>
      </c>
    </row>
    <row r="35" spans="1:17" ht="13.5" thickBot="1">
      <c r="A35" s="3">
        <v>403</v>
      </c>
      <c r="B35" s="5" t="s">
        <v>15</v>
      </c>
      <c r="C35" s="5">
        <v>6</v>
      </c>
      <c r="D35" s="5">
        <v>68</v>
      </c>
      <c r="E35" s="5">
        <v>73</v>
      </c>
      <c r="F35" s="5">
        <v>72</v>
      </c>
      <c r="G35" s="5">
        <v>74</v>
      </c>
      <c r="H35" s="5">
        <v>73</v>
      </c>
      <c r="I35" s="5">
        <v>78</v>
      </c>
      <c r="J35" s="23">
        <f t="shared" si="0"/>
        <v>73</v>
      </c>
      <c r="K35" s="5">
        <v>79</v>
      </c>
      <c r="L35" s="5">
        <v>81</v>
      </c>
      <c r="M35" s="5">
        <v>84</v>
      </c>
      <c r="N35" s="5">
        <v>79</v>
      </c>
      <c r="O35" s="5">
        <v>86</v>
      </c>
      <c r="P35" s="7">
        <v>86</v>
      </c>
      <c r="Q35" s="26">
        <f t="shared" si="1"/>
        <v>82.5</v>
      </c>
    </row>
    <row r="36" spans="1:17" ht="13.5" thickBot="1">
      <c r="A36" s="3">
        <v>404</v>
      </c>
      <c r="B36" s="5" t="s">
        <v>8</v>
      </c>
      <c r="C36" s="5">
        <v>3</v>
      </c>
      <c r="D36" s="5">
        <v>88</v>
      </c>
      <c r="E36" s="5">
        <v>91</v>
      </c>
      <c r="F36" s="5">
        <v>91</v>
      </c>
      <c r="G36" s="5">
        <v>88</v>
      </c>
      <c r="H36" s="5">
        <v>88</v>
      </c>
      <c r="I36" s="5">
        <v>86</v>
      </c>
      <c r="J36" s="23">
        <f t="shared" si="0"/>
        <v>88.666666666666671</v>
      </c>
      <c r="K36" s="5">
        <v>82</v>
      </c>
      <c r="L36" s="5">
        <v>78</v>
      </c>
      <c r="M36" s="5">
        <v>79</v>
      </c>
      <c r="N36" s="5">
        <v>80</v>
      </c>
      <c r="O36" s="5">
        <v>78</v>
      </c>
      <c r="P36" s="7">
        <v>73</v>
      </c>
      <c r="Q36" s="26">
        <f t="shared" si="1"/>
        <v>78.333333333333329</v>
      </c>
    </row>
    <row r="37" spans="1:17" ht="13.5" thickBot="1">
      <c r="A37" s="3">
        <v>405</v>
      </c>
      <c r="B37" s="5" t="s">
        <v>15</v>
      </c>
      <c r="C37" s="5">
        <v>6</v>
      </c>
      <c r="D37" s="5">
        <v>72</v>
      </c>
      <c r="E37" s="5">
        <v>69</v>
      </c>
      <c r="F37" s="5">
        <v>72</v>
      </c>
      <c r="G37" s="5">
        <v>68</v>
      </c>
      <c r="H37" s="5">
        <v>65</v>
      </c>
      <c r="I37" s="5">
        <v>65</v>
      </c>
      <c r="J37" s="23">
        <f t="shared" si="0"/>
        <v>68.5</v>
      </c>
      <c r="K37" s="5">
        <v>77</v>
      </c>
      <c r="L37" s="5">
        <v>86</v>
      </c>
      <c r="M37" s="5">
        <v>88</v>
      </c>
      <c r="N37" s="5">
        <v>77</v>
      </c>
      <c r="O37" s="5">
        <v>81</v>
      </c>
      <c r="P37" s="7">
        <v>75</v>
      </c>
      <c r="Q37" s="26">
        <f t="shared" si="1"/>
        <v>80.666666666666671</v>
      </c>
    </row>
    <row r="38" spans="1:17" ht="13.5" thickBot="1">
      <c r="A38" s="3">
        <v>406</v>
      </c>
      <c r="B38" s="5" t="s">
        <v>8</v>
      </c>
      <c r="C38" s="5">
        <v>3</v>
      </c>
      <c r="D38" s="5">
        <v>89</v>
      </c>
      <c r="E38" s="5">
        <v>83</v>
      </c>
      <c r="F38" s="5">
        <v>86</v>
      </c>
      <c r="G38" s="5">
        <v>84</v>
      </c>
      <c r="H38" s="5">
        <v>96</v>
      </c>
      <c r="I38" s="5">
        <v>90</v>
      </c>
      <c r="J38" s="23">
        <f t="shared" si="0"/>
        <v>88</v>
      </c>
      <c r="K38" s="5">
        <v>76</v>
      </c>
      <c r="L38" s="5">
        <v>76</v>
      </c>
      <c r="M38" s="5">
        <v>76</v>
      </c>
      <c r="N38" s="5">
        <v>81</v>
      </c>
      <c r="O38" s="5">
        <v>83</v>
      </c>
      <c r="P38" s="7">
        <v>77</v>
      </c>
      <c r="Q38" s="26">
        <f t="shared" si="1"/>
        <v>78.166666666666671</v>
      </c>
    </row>
    <row r="39" spans="1:17" ht="13.5" thickBot="1">
      <c r="A39" s="3">
        <v>407</v>
      </c>
      <c r="B39" s="5" t="s">
        <v>14</v>
      </c>
      <c r="C39" s="5">
        <v>7</v>
      </c>
      <c r="D39" s="5">
        <v>81</v>
      </c>
      <c r="E39" s="5">
        <v>75</v>
      </c>
      <c r="F39" s="5">
        <v>79</v>
      </c>
      <c r="G39" s="5">
        <v>70</v>
      </c>
      <c r="H39" s="5">
        <v>71</v>
      </c>
      <c r="I39" s="5">
        <v>78</v>
      </c>
      <c r="J39" s="23">
        <f t="shared" si="0"/>
        <v>75.666666666666671</v>
      </c>
      <c r="K39" s="5">
        <v>82</v>
      </c>
      <c r="L39" s="5">
        <v>75</v>
      </c>
      <c r="M39" s="5">
        <v>93</v>
      </c>
      <c r="N39" s="5">
        <v>73</v>
      </c>
      <c r="O39" s="5">
        <v>82</v>
      </c>
      <c r="P39" s="7">
        <v>83</v>
      </c>
      <c r="Q39" s="26">
        <f t="shared" si="1"/>
        <v>81.333333333333329</v>
      </c>
    </row>
    <row r="40" spans="1:17" ht="13.5" thickBot="1">
      <c r="A40" s="4">
        <v>408</v>
      </c>
      <c r="B40" s="12" t="s">
        <v>6</v>
      </c>
      <c r="C40" s="12">
        <v>10</v>
      </c>
      <c r="D40" s="12">
        <v>67</v>
      </c>
      <c r="E40" s="12">
        <v>70</v>
      </c>
      <c r="F40" s="12">
        <v>62</v>
      </c>
      <c r="G40" s="12">
        <v>68</v>
      </c>
      <c r="H40" s="12">
        <v>66</v>
      </c>
      <c r="I40" s="12">
        <v>70</v>
      </c>
      <c r="J40" s="23">
        <f t="shared" si="0"/>
        <v>67.166666666666671</v>
      </c>
      <c r="K40" s="12">
        <v>70</v>
      </c>
      <c r="L40" s="12">
        <v>63</v>
      </c>
      <c r="M40" s="12">
        <v>66</v>
      </c>
      <c r="N40" s="12">
        <v>63</v>
      </c>
      <c r="O40" s="12">
        <v>66</v>
      </c>
      <c r="P40" s="13">
        <v>66</v>
      </c>
      <c r="Q40" s="26">
        <f t="shared" si="1"/>
        <v>65.666666666666671</v>
      </c>
    </row>
    <row r="41" spans="1:17" ht="13.5" thickBot="1">
      <c r="A41" s="2">
        <v>901</v>
      </c>
      <c r="B41" s="8" t="s">
        <v>16</v>
      </c>
      <c r="C41" s="8">
        <v>32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23">
        <f t="shared" si="0"/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9">
        <v>0</v>
      </c>
      <c r="Q41" s="26">
        <f t="shared" si="1"/>
        <v>0</v>
      </c>
    </row>
    <row r="42" spans="1:17" ht="13.5" thickBot="1">
      <c r="A42" s="3">
        <v>902</v>
      </c>
      <c r="B42" s="6">
        <v>37452</v>
      </c>
      <c r="C42" s="5">
        <v>22</v>
      </c>
      <c r="D42" s="5">
        <v>68</v>
      </c>
      <c r="E42" s="5">
        <v>67</v>
      </c>
      <c r="F42" s="5">
        <v>63</v>
      </c>
      <c r="G42" s="5">
        <v>73</v>
      </c>
      <c r="H42" s="5">
        <v>77</v>
      </c>
      <c r="I42" s="5">
        <v>80</v>
      </c>
      <c r="J42" s="23">
        <f t="shared" si="0"/>
        <v>71.333333333333329</v>
      </c>
      <c r="K42" s="5">
        <v>67</v>
      </c>
      <c r="L42" s="5">
        <v>69</v>
      </c>
      <c r="M42" s="5">
        <v>74</v>
      </c>
      <c r="N42" s="5">
        <v>75</v>
      </c>
      <c r="O42" s="5">
        <v>86</v>
      </c>
      <c r="P42" s="7">
        <v>82</v>
      </c>
      <c r="Q42" s="26">
        <f t="shared" si="1"/>
        <v>75.5</v>
      </c>
    </row>
    <row r="43" spans="1:17" ht="13.5" thickBot="1">
      <c r="A43" s="3">
        <v>903</v>
      </c>
      <c r="B43" s="5" t="s">
        <v>17</v>
      </c>
      <c r="C43" s="5">
        <v>31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23">
        <f t="shared" si="0"/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7">
        <v>0</v>
      </c>
      <c r="Q43" s="26">
        <f t="shared" si="1"/>
        <v>0</v>
      </c>
    </row>
    <row r="44" spans="1:17" ht="13.5" thickBot="1">
      <c r="A44" s="3">
        <v>904</v>
      </c>
      <c r="B44" s="6">
        <v>37408</v>
      </c>
      <c r="C44" s="5">
        <v>21</v>
      </c>
      <c r="D44" s="5">
        <v>54</v>
      </c>
      <c r="E44" s="5">
        <v>61</v>
      </c>
      <c r="F44" s="5">
        <v>58</v>
      </c>
      <c r="G44" s="5">
        <v>39</v>
      </c>
      <c r="H44" s="5">
        <v>47</v>
      </c>
      <c r="I44" s="5">
        <v>46</v>
      </c>
      <c r="J44" s="23">
        <f t="shared" si="0"/>
        <v>50.833333333333336</v>
      </c>
      <c r="K44" s="5">
        <v>55</v>
      </c>
      <c r="L44" s="5">
        <v>56</v>
      </c>
      <c r="M44" s="5">
        <v>55</v>
      </c>
      <c r="N44" s="5">
        <v>48</v>
      </c>
      <c r="O44" s="5">
        <v>62</v>
      </c>
      <c r="P44" s="7">
        <v>48</v>
      </c>
      <c r="Q44" s="26">
        <f t="shared" si="1"/>
        <v>54</v>
      </c>
    </row>
    <row r="45" spans="1:17" ht="13.5" thickBot="1">
      <c r="A45" s="3">
        <v>905</v>
      </c>
      <c r="B45" s="5" t="s">
        <v>16</v>
      </c>
      <c r="C45" s="5">
        <v>32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23">
        <f t="shared" si="0"/>
        <v>0</v>
      </c>
      <c r="K45" s="5">
        <v>0</v>
      </c>
      <c r="L45" s="5">
        <v>0</v>
      </c>
      <c r="M45" s="5">
        <v>0</v>
      </c>
      <c r="N45" s="5">
        <v>96</v>
      </c>
      <c r="O45" s="5">
        <v>0</v>
      </c>
      <c r="P45" s="7">
        <v>0</v>
      </c>
      <c r="Q45" s="26">
        <f t="shared" si="1"/>
        <v>16</v>
      </c>
    </row>
    <row r="46" spans="1:17" ht="13.5" thickBot="1">
      <c r="A46" s="3">
        <v>906</v>
      </c>
      <c r="B46" s="6">
        <v>37452</v>
      </c>
      <c r="C46" s="5">
        <v>22</v>
      </c>
      <c r="D46" s="5">
        <v>91</v>
      </c>
      <c r="E46" s="5">
        <v>82</v>
      </c>
      <c r="F46" s="5">
        <v>87</v>
      </c>
      <c r="G46" s="5">
        <v>103</v>
      </c>
      <c r="H46" s="5">
        <v>88</v>
      </c>
      <c r="I46" s="5">
        <v>84</v>
      </c>
      <c r="J46" s="23">
        <f t="shared" si="0"/>
        <v>89.166666666666671</v>
      </c>
      <c r="K46" s="5">
        <v>85</v>
      </c>
      <c r="L46" s="5">
        <v>76</v>
      </c>
      <c r="M46" s="5">
        <v>98</v>
      </c>
      <c r="N46" s="5">
        <v>96</v>
      </c>
      <c r="O46" s="5">
        <v>81</v>
      </c>
      <c r="P46" s="7">
        <v>78</v>
      </c>
      <c r="Q46" s="26">
        <f t="shared" si="1"/>
        <v>85.666666666666671</v>
      </c>
    </row>
    <row r="47" spans="1:17" ht="13.5" thickBot="1">
      <c r="A47" s="3">
        <v>907</v>
      </c>
      <c r="B47" s="5" t="s">
        <v>17</v>
      </c>
      <c r="C47" s="5">
        <v>31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23">
        <f t="shared" si="0"/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7">
        <v>0</v>
      </c>
      <c r="Q47" s="26">
        <f t="shared" si="1"/>
        <v>0</v>
      </c>
    </row>
    <row r="48" spans="1:17" ht="13.5" thickBot="1">
      <c r="A48" s="4">
        <v>908</v>
      </c>
      <c r="B48" s="15">
        <v>37408</v>
      </c>
      <c r="C48" s="12">
        <v>21</v>
      </c>
      <c r="D48" s="12">
        <v>62</v>
      </c>
      <c r="E48" s="12">
        <v>41</v>
      </c>
      <c r="F48" s="12">
        <v>51</v>
      </c>
      <c r="G48" s="12">
        <v>50</v>
      </c>
      <c r="H48" s="12">
        <v>52</v>
      </c>
      <c r="I48" s="12">
        <v>46</v>
      </c>
      <c r="J48" s="23">
        <f t="shared" si="0"/>
        <v>50.333333333333336</v>
      </c>
      <c r="K48" s="12">
        <v>53</v>
      </c>
      <c r="L48" s="12">
        <v>54</v>
      </c>
      <c r="M48" s="12">
        <v>64</v>
      </c>
      <c r="N48" s="12">
        <v>53</v>
      </c>
      <c r="O48" s="12">
        <v>55</v>
      </c>
      <c r="P48" s="13">
        <v>41</v>
      </c>
      <c r="Q48" s="27">
        <f t="shared" si="1"/>
        <v>53.333333333333336</v>
      </c>
    </row>
    <row r="49" spans="10:10">
      <c r="J49" s="34">
        <f>AVERAGE(J9:J48)</f>
        <v>70.816666666666663</v>
      </c>
    </row>
  </sheetData>
  <phoneticPr fontId="0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6F526-4BD7-46D3-9A10-D88D348E7A04}">
  <dimension ref="A1:Q48"/>
  <sheetViews>
    <sheetView workbookViewId="0">
      <selection activeCell="Q9" sqref="Q9:Q48"/>
    </sheetView>
  </sheetViews>
  <sheetFormatPr defaultRowHeight="12.75"/>
  <sheetData>
    <row r="1" spans="1:17">
      <c r="A1" t="s">
        <v>19</v>
      </c>
    </row>
    <row r="2" spans="1:17">
      <c r="A2" s="1" t="s">
        <v>43</v>
      </c>
    </row>
    <row r="3" spans="1:17">
      <c r="A3" s="30">
        <v>37460</v>
      </c>
    </row>
    <row r="4" spans="1:17">
      <c r="A4" s="1" t="s">
        <v>48</v>
      </c>
      <c r="E4" t="s">
        <v>30</v>
      </c>
    </row>
    <row r="5" spans="1:17">
      <c r="A5" s="1" t="s">
        <v>22</v>
      </c>
    </row>
    <row r="6" spans="1:17" ht="13.5" thickBot="1"/>
    <row r="7" spans="1:17" ht="13.5" thickBot="1">
      <c r="D7" s="2"/>
      <c r="E7" s="18"/>
      <c r="F7" s="19" t="s">
        <v>2</v>
      </c>
      <c r="G7" s="18"/>
      <c r="H7" s="18"/>
      <c r="I7" s="20"/>
      <c r="J7" s="18"/>
      <c r="K7" s="2"/>
      <c r="L7" s="18"/>
      <c r="M7" s="18" t="s">
        <v>1</v>
      </c>
      <c r="N7" s="18"/>
      <c r="O7" s="18"/>
      <c r="P7" s="18"/>
      <c r="Q7" s="24"/>
    </row>
    <row r="8" spans="1:17" ht="13.5" thickBot="1">
      <c r="A8" s="16" t="s">
        <v>0</v>
      </c>
      <c r="B8" s="17" t="s">
        <v>9</v>
      </c>
      <c r="C8" s="17" t="s">
        <v>18</v>
      </c>
      <c r="D8" s="21" t="s">
        <v>24</v>
      </c>
      <c r="E8" s="12" t="s">
        <v>25</v>
      </c>
      <c r="F8" s="12" t="s">
        <v>26</v>
      </c>
      <c r="G8" s="12" t="s">
        <v>27</v>
      </c>
      <c r="H8" s="12" t="s">
        <v>28</v>
      </c>
      <c r="I8" s="14" t="s">
        <v>29</v>
      </c>
      <c r="J8" s="22" t="s">
        <v>31</v>
      </c>
      <c r="K8" s="21" t="s">
        <v>24</v>
      </c>
      <c r="L8" s="12" t="s">
        <v>25</v>
      </c>
      <c r="M8" s="12" t="s">
        <v>26</v>
      </c>
      <c r="N8" s="12" t="s">
        <v>27</v>
      </c>
      <c r="O8" s="12" t="s">
        <v>28</v>
      </c>
      <c r="P8" s="13" t="s">
        <v>29</v>
      </c>
      <c r="Q8" s="25" t="s">
        <v>32</v>
      </c>
    </row>
    <row r="9" spans="1:17" ht="13.5" thickBot="1">
      <c r="A9" s="2">
        <v>101</v>
      </c>
      <c r="B9" s="8" t="s">
        <v>3</v>
      </c>
      <c r="C9" s="9">
        <v>1</v>
      </c>
      <c r="D9" s="8">
        <v>88</v>
      </c>
      <c r="E9" s="8">
        <v>93</v>
      </c>
      <c r="F9" s="8">
        <v>96</v>
      </c>
      <c r="G9" s="8">
        <v>92</v>
      </c>
      <c r="H9" s="8">
        <v>88</v>
      </c>
      <c r="I9" s="8">
        <v>84</v>
      </c>
      <c r="J9" s="23">
        <f>AVERAGE(D9:I9)</f>
        <v>90.166666666666671</v>
      </c>
      <c r="K9" s="8">
        <v>86</v>
      </c>
      <c r="L9" s="8">
        <v>91</v>
      </c>
      <c r="M9" s="8">
        <v>82</v>
      </c>
      <c r="N9" s="8">
        <v>80</v>
      </c>
      <c r="O9" s="8">
        <v>97</v>
      </c>
      <c r="P9" s="9">
        <v>85</v>
      </c>
      <c r="Q9" s="26">
        <f>AVERAGE(K9:P9)</f>
        <v>86.833333333333329</v>
      </c>
    </row>
    <row r="10" spans="1:17" ht="13.5" thickBot="1">
      <c r="A10" s="3">
        <v>102</v>
      </c>
      <c r="B10" s="5" t="s">
        <v>4</v>
      </c>
      <c r="C10" s="7">
        <v>4</v>
      </c>
      <c r="D10" s="5">
        <v>83</v>
      </c>
      <c r="E10" s="5">
        <v>97</v>
      </c>
      <c r="F10" s="5">
        <v>93</v>
      </c>
      <c r="G10" s="5">
        <v>94</v>
      </c>
      <c r="H10" s="5">
        <v>84</v>
      </c>
      <c r="I10" s="5">
        <v>92</v>
      </c>
      <c r="J10" s="23">
        <f t="shared" ref="J10:J48" si="0">AVERAGE(D10:I10)</f>
        <v>90.5</v>
      </c>
      <c r="K10" s="5">
        <v>95</v>
      </c>
      <c r="L10" s="5">
        <v>83</v>
      </c>
      <c r="M10" s="5">
        <v>71</v>
      </c>
      <c r="N10" s="5">
        <v>86</v>
      </c>
      <c r="O10" s="5">
        <v>72</v>
      </c>
      <c r="P10" s="7">
        <v>87</v>
      </c>
      <c r="Q10" s="26">
        <f t="shared" ref="Q10:Q48" si="1">AVERAGE(K10:P10)</f>
        <v>82.333333333333329</v>
      </c>
    </row>
    <row r="11" spans="1:17" ht="13.5" thickBot="1">
      <c r="A11" s="3">
        <v>103</v>
      </c>
      <c r="B11" s="5" t="s">
        <v>5</v>
      </c>
      <c r="C11" s="7">
        <v>5</v>
      </c>
      <c r="D11" s="5">
        <v>91</v>
      </c>
      <c r="E11" s="5">
        <v>97</v>
      </c>
      <c r="F11" s="5">
        <v>96</v>
      </c>
      <c r="G11" s="5">
        <v>95</v>
      </c>
      <c r="H11" s="5">
        <v>87</v>
      </c>
      <c r="I11" s="5">
        <v>86</v>
      </c>
      <c r="J11" s="23">
        <f t="shared" si="0"/>
        <v>92</v>
      </c>
      <c r="K11" s="5">
        <v>86</v>
      </c>
      <c r="L11" s="5">
        <v>93</v>
      </c>
      <c r="M11" s="5">
        <v>86</v>
      </c>
      <c r="N11" s="5">
        <v>88</v>
      </c>
      <c r="O11" s="5">
        <v>95</v>
      </c>
      <c r="P11" s="7">
        <v>95</v>
      </c>
      <c r="Q11" s="26">
        <f t="shared" si="1"/>
        <v>90.5</v>
      </c>
    </row>
    <row r="12" spans="1:17" ht="13.5" thickBot="1">
      <c r="A12" s="3">
        <v>104</v>
      </c>
      <c r="B12" s="5" t="s">
        <v>6</v>
      </c>
      <c r="C12" s="7">
        <v>10</v>
      </c>
      <c r="D12" s="5">
        <v>72</v>
      </c>
      <c r="E12" s="5">
        <v>68</v>
      </c>
      <c r="F12" s="5">
        <v>78</v>
      </c>
      <c r="G12" s="5">
        <v>90</v>
      </c>
      <c r="H12" s="5">
        <v>70</v>
      </c>
      <c r="I12" s="5">
        <v>94</v>
      </c>
      <c r="J12" s="23">
        <f t="shared" si="0"/>
        <v>78.666666666666671</v>
      </c>
      <c r="K12" s="5">
        <v>73</v>
      </c>
      <c r="L12" s="5">
        <v>72</v>
      </c>
      <c r="M12" s="5">
        <v>66</v>
      </c>
      <c r="N12" s="5">
        <v>84</v>
      </c>
      <c r="O12" s="5">
        <v>76</v>
      </c>
      <c r="P12" s="7">
        <v>81</v>
      </c>
      <c r="Q12" s="26">
        <f t="shared" si="1"/>
        <v>75.333333333333329</v>
      </c>
    </row>
    <row r="13" spans="1:17" ht="13.5" thickBot="1">
      <c r="A13" s="3">
        <v>105</v>
      </c>
      <c r="B13" s="5" t="s">
        <v>10</v>
      </c>
      <c r="C13" s="7">
        <v>12</v>
      </c>
      <c r="D13" s="5">
        <v>88</v>
      </c>
      <c r="E13" s="5">
        <v>100</v>
      </c>
      <c r="F13" s="5">
        <v>88</v>
      </c>
      <c r="G13" s="5">
        <v>94</v>
      </c>
      <c r="H13" s="5">
        <v>83</v>
      </c>
      <c r="I13" s="5">
        <v>90</v>
      </c>
      <c r="J13" s="23">
        <f t="shared" si="0"/>
        <v>90.5</v>
      </c>
      <c r="K13" s="5">
        <v>78</v>
      </c>
      <c r="L13" s="5">
        <v>95</v>
      </c>
      <c r="M13" s="5">
        <v>98</v>
      </c>
      <c r="N13" s="5">
        <v>85</v>
      </c>
      <c r="O13" s="5">
        <v>91</v>
      </c>
      <c r="P13" s="7">
        <v>85</v>
      </c>
      <c r="Q13" s="26">
        <f t="shared" si="1"/>
        <v>88.666666666666671</v>
      </c>
    </row>
    <row r="14" spans="1:17" ht="13.5" thickBot="1">
      <c r="A14" s="3">
        <v>106</v>
      </c>
      <c r="B14" s="5" t="s">
        <v>7</v>
      </c>
      <c r="C14" s="7">
        <v>9</v>
      </c>
      <c r="D14" s="5">
        <v>92</v>
      </c>
      <c r="E14" s="5">
        <v>77</v>
      </c>
      <c r="F14" s="5">
        <v>86</v>
      </c>
      <c r="G14" s="5">
        <v>85</v>
      </c>
      <c r="H14" s="5">
        <v>98</v>
      </c>
      <c r="I14" s="5">
        <v>85</v>
      </c>
      <c r="J14" s="23">
        <f t="shared" si="0"/>
        <v>87.166666666666671</v>
      </c>
      <c r="K14" s="5">
        <v>68</v>
      </c>
      <c r="L14" s="5">
        <v>89</v>
      </c>
      <c r="M14" s="5">
        <v>83</v>
      </c>
      <c r="N14" s="5">
        <v>87</v>
      </c>
      <c r="O14" s="5">
        <v>81</v>
      </c>
      <c r="P14" s="7">
        <v>85</v>
      </c>
      <c r="Q14" s="26">
        <f t="shared" si="1"/>
        <v>82.166666666666671</v>
      </c>
    </row>
    <row r="15" spans="1:17" ht="13.5" thickBot="1">
      <c r="A15" s="3">
        <v>107</v>
      </c>
      <c r="B15" s="5" t="s">
        <v>6</v>
      </c>
      <c r="C15" s="7">
        <v>10</v>
      </c>
      <c r="D15" s="5">
        <v>89</v>
      </c>
      <c r="E15" s="5">
        <v>83</v>
      </c>
      <c r="F15" s="5">
        <v>95</v>
      </c>
      <c r="G15" s="5">
        <v>96</v>
      </c>
      <c r="H15" s="5">
        <v>82</v>
      </c>
      <c r="I15" s="5">
        <v>92</v>
      </c>
      <c r="J15" s="23">
        <f t="shared" si="0"/>
        <v>89.5</v>
      </c>
      <c r="K15" s="5">
        <v>86</v>
      </c>
      <c r="L15" s="5">
        <v>88</v>
      </c>
      <c r="M15" s="5">
        <v>82</v>
      </c>
      <c r="N15" s="5">
        <v>94</v>
      </c>
      <c r="O15" s="5">
        <v>87</v>
      </c>
      <c r="P15" s="7">
        <v>74</v>
      </c>
      <c r="Q15" s="26">
        <f t="shared" si="1"/>
        <v>85.166666666666671</v>
      </c>
    </row>
    <row r="16" spans="1:17" ht="13.5" thickBot="1">
      <c r="A16" s="4">
        <v>108</v>
      </c>
      <c r="B16" s="12" t="s">
        <v>8</v>
      </c>
      <c r="C16" s="13">
        <v>3</v>
      </c>
      <c r="D16" s="12">
        <v>88</v>
      </c>
      <c r="E16" s="12">
        <v>86</v>
      </c>
      <c r="F16" s="12">
        <v>91</v>
      </c>
      <c r="G16" s="12">
        <v>92</v>
      </c>
      <c r="H16" s="12">
        <v>91</v>
      </c>
      <c r="I16" s="12">
        <v>104</v>
      </c>
      <c r="J16" s="23">
        <f t="shared" si="0"/>
        <v>92</v>
      </c>
      <c r="K16" s="12">
        <v>84</v>
      </c>
      <c r="L16" s="12">
        <v>73</v>
      </c>
      <c r="M16" s="12">
        <v>87</v>
      </c>
      <c r="N16" s="12">
        <v>93</v>
      </c>
      <c r="O16" s="12">
        <v>78</v>
      </c>
      <c r="P16" s="13">
        <v>78</v>
      </c>
      <c r="Q16" s="26">
        <f t="shared" si="1"/>
        <v>82.166666666666671</v>
      </c>
    </row>
    <row r="17" spans="1:17" ht="13.5" thickBot="1">
      <c r="A17" s="2">
        <v>201</v>
      </c>
      <c r="B17" s="8" t="s">
        <v>10</v>
      </c>
      <c r="C17" s="8">
        <v>12</v>
      </c>
      <c r="D17" s="8">
        <v>90</v>
      </c>
      <c r="E17" s="8">
        <v>88</v>
      </c>
      <c r="F17" s="8">
        <v>79</v>
      </c>
      <c r="G17" s="8">
        <v>92</v>
      </c>
      <c r="H17" s="8">
        <v>90</v>
      </c>
      <c r="I17" s="8">
        <v>83</v>
      </c>
      <c r="J17" s="23">
        <f t="shared" si="0"/>
        <v>87</v>
      </c>
      <c r="K17" s="8">
        <v>90</v>
      </c>
      <c r="L17" s="8">
        <v>83</v>
      </c>
      <c r="M17" s="8">
        <v>91</v>
      </c>
      <c r="N17" s="8">
        <v>83</v>
      </c>
      <c r="O17" s="8">
        <v>92</v>
      </c>
      <c r="P17" s="9">
        <v>83</v>
      </c>
      <c r="Q17" s="26">
        <f t="shared" si="1"/>
        <v>87</v>
      </c>
    </row>
    <row r="18" spans="1:17" ht="13.5" thickBot="1">
      <c r="A18" s="3">
        <v>202</v>
      </c>
      <c r="B18" s="5" t="s">
        <v>7</v>
      </c>
      <c r="C18" s="5">
        <v>9</v>
      </c>
      <c r="D18" s="5">
        <v>78</v>
      </c>
      <c r="E18" s="5">
        <v>71</v>
      </c>
      <c r="F18" s="5">
        <v>69</v>
      </c>
      <c r="G18" s="5">
        <v>77</v>
      </c>
      <c r="H18" s="5">
        <v>84</v>
      </c>
      <c r="I18" s="5">
        <v>73</v>
      </c>
      <c r="J18" s="23">
        <f t="shared" si="0"/>
        <v>75.333333333333329</v>
      </c>
      <c r="K18" s="5">
        <v>75</v>
      </c>
      <c r="L18" s="5">
        <v>72</v>
      </c>
      <c r="M18" s="5">
        <v>73</v>
      </c>
      <c r="N18" s="5">
        <v>80</v>
      </c>
      <c r="O18" s="5">
        <v>74</v>
      </c>
      <c r="P18" s="7">
        <v>85</v>
      </c>
      <c r="Q18" s="26">
        <f t="shared" si="1"/>
        <v>76.5</v>
      </c>
    </row>
    <row r="19" spans="1:17" ht="13.5" thickBot="1">
      <c r="A19" s="3">
        <v>203</v>
      </c>
      <c r="B19" s="5" t="s">
        <v>8</v>
      </c>
      <c r="C19" s="5">
        <v>3</v>
      </c>
      <c r="D19" s="5">
        <v>91</v>
      </c>
      <c r="E19" s="5">
        <v>96</v>
      </c>
      <c r="F19" s="5">
        <v>91</v>
      </c>
      <c r="G19" s="5">
        <v>94</v>
      </c>
      <c r="H19" s="5">
        <v>90</v>
      </c>
      <c r="I19" s="5">
        <v>97</v>
      </c>
      <c r="J19" s="23">
        <f t="shared" si="0"/>
        <v>93.166666666666671</v>
      </c>
      <c r="K19" s="5">
        <v>90</v>
      </c>
      <c r="L19" s="5">
        <v>82</v>
      </c>
      <c r="M19" s="5">
        <v>93</v>
      </c>
      <c r="N19" s="5">
        <v>86</v>
      </c>
      <c r="O19" s="5">
        <v>77</v>
      </c>
      <c r="P19" s="7">
        <v>90</v>
      </c>
      <c r="Q19" s="26">
        <f t="shared" si="1"/>
        <v>86.333333333333329</v>
      </c>
    </row>
    <row r="20" spans="1:17" ht="13.5" thickBot="1">
      <c r="A20" s="3">
        <v>204</v>
      </c>
      <c r="B20" s="5" t="s">
        <v>11</v>
      </c>
      <c r="C20" s="5">
        <v>11</v>
      </c>
      <c r="D20" s="5">
        <v>97</v>
      </c>
      <c r="E20" s="5">
        <v>90</v>
      </c>
      <c r="F20" s="5">
        <v>93</v>
      </c>
      <c r="G20" s="5">
        <v>105</v>
      </c>
      <c r="H20" s="5">
        <v>93</v>
      </c>
      <c r="I20" s="5">
        <v>92</v>
      </c>
      <c r="J20" s="23">
        <f t="shared" si="0"/>
        <v>95</v>
      </c>
      <c r="K20" s="5">
        <v>92</v>
      </c>
      <c r="L20" s="5">
        <v>92</v>
      </c>
      <c r="M20" s="5">
        <v>98</v>
      </c>
      <c r="N20" s="5">
        <v>90</v>
      </c>
      <c r="O20" s="5">
        <v>96</v>
      </c>
      <c r="P20" s="7">
        <v>84</v>
      </c>
      <c r="Q20" s="26">
        <f t="shared" si="1"/>
        <v>92</v>
      </c>
    </row>
    <row r="21" spans="1:17" ht="13.5" thickBot="1">
      <c r="A21" s="3">
        <v>205</v>
      </c>
      <c r="B21" s="5" t="s">
        <v>3</v>
      </c>
      <c r="C21" s="5">
        <v>1</v>
      </c>
      <c r="D21" s="5">
        <v>102</v>
      </c>
      <c r="E21" s="5">
        <v>97</v>
      </c>
      <c r="F21" s="5">
        <v>104</v>
      </c>
      <c r="G21" s="5">
        <v>101</v>
      </c>
      <c r="H21" s="5">
        <v>102</v>
      </c>
      <c r="I21" s="5">
        <v>103</v>
      </c>
      <c r="J21" s="23">
        <f t="shared" si="0"/>
        <v>101.5</v>
      </c>
      <c r="K21" s="5">
        <v>89</v>
      </c>
      <c r="L21" s="5">
        <v>94</v>
      </c>
      <c r="M21" s="5">
        <v>89</v>
      </c>
      <c r="N21" s="5">
        <v>89</v>
      </c>
      <c r="O21" s="5">
        <v>96</v>
      </c>
      <c r="P21" s="7">
        <v>85</v>
      </c>
      <c r="Q21" s="26">
        <f t="shared" si="1"/>
        <v>90.333333333333329</v>
      </c>
    </row>
    <row r="22" spans="1:17" ht="13.5" thickBot="1">
      <c r="A22" s="3">
        <v>206</v>
      </c>
      <c r="B22" s="5" t="s">
        <v>12</v>
      </c>
      <c r="C22" s="5">
        <v>8</v>
      </c>
      <c r="D22" s="5">
        <v>83</v>
      </c>
      <c r="E22" s="5">
        <v>69</v>
      </c>
      <c r="F22" s="5">
        <v>81</v>
      </c>
      <c r="G22" s="5">
        <v>77</v>
      </c>
      <c r="H22" s="5">
        <v>87</v>
      </c>
      <c r="I22" s="5">
        <v>69</v>
      </c>
      <c r="J22" s="23">
        <f t="shared" si="0"/>
        <v>77.666666666666671</v>
      </c>
      <c r="K22" s="5">
        <v>71</v>
      </c>
      <c r="L22" s="5">
        <v>76</v>
      </c>
      <c r="M22" s="5">
        <v>78</v>
      </c>
      <c r="N22" s="5">
        <v>83</v>
      </c>
      <c r="O22" s="5">
        <v>72</v>
      </c>
      <c r="P22" s="7">
        <v>63</v>
      </c>
      <c r="Q22" s="26">
        <f t="shared" si="1"/>
        <v>73.833333333333329</v>
      </c>
    </row>
    <row r="23" spans="1:17" ht="13.5" thickBot="1">
      <c r="A23" s="3">
        <v>207</v>
      </c>
      <c r="B23" s="5" t="s">
        <v>4</v>
      </c>
      <c r="C23" s="5">
        <v>4</v>
      </c>
      <c r="D23" s="5">
        <v>103</v>
      </c>
      <c r="E23" s="5">
        <v>95</v>
      </c>
      <c r="F23" s="5">
        <v>101</v>
      </c>
      <c r="G23" s="5">
        <v>93</v>
      </c>
      <c r="H23" s="5">
        <v>90</v>
      </c>
      <c r="I23" s="5">
        <v>93</v>
      </c>
      <c r="J23" s="23">
        <f t="shared" si="0"/>
        <v>95.833333333333329</v>
      </c>
      <c r="K23" s="5">
        <v>96</v>
      </c>
      <c r="L23" s="5">
        <v>80</v>
      </c>
      <c r="M23" s="5">
        <v>86</v>
      </c>
      <c r="N23" s="5">
        <v>93</v>
      </c>
      <c r="O23" s="5">
        <v>81</v>
      </c>
      <c r="P23" s="7">
        <v>71</v>
      </c>
      <c r="Q23" s="26">
        <f t="shared" si="1"/>
        <v>84.5</v>
      </c>
    </row>
    <row r="24" spans="1:17" ht="13.5" thickBot="1">
      <c r="A24" s="4">
        <v>208</v>
      </c>
      <c r="B24" s="12" t="s">
        <v>13</v>
      </c>
      <c r="C24" s="12">
        <v>2</v>
      </c>
      <c r="D24" s="12">
        <v>93</v>
      </c>
      <c r="E24" s="12">
        <v>93</v>
      </c>
      <c r="F24" s="12">
        <v>84</v>
      </c>
      <c r="G24" s="12">
        <v>97</v>
      </c>
      <c r="H24" s="12">
        <v>89</v>
      </c>
      <c r="I24" s="12">
        <v>84</v>
      </c>
      <c r="J24" s="23">
        <f t="shared" si="0"/>
        <v>90</v>
      </c>
      <c r="K24" s="12">
        <v>81</v>
      </c>
      <c r="L24" s="12">
        <v>82</v>
      </c>
      <c r="M24" s="32">
        <v>86</v>
      </c>
      <c r="N24">
        <v>86</v>
      </c>
      <c r="O24" s="12">
        <v>83</v>
      </c>
      <c r="P24" s="13">
        <v>74</v>
      </c>
      <c r="Q24" s="26">
        <f t="shared" si="1"/>
        <v>82</v>
      </c>
    </row>
    <row r="25" spans="1:17" ht="13.5" thickBot="1">
      <c r="A25" s="2">
        <v>301</v>
      </c>
      <c r="B25" s="8" t="s">
        <v>6</v>
      </c>
      <c r="C25" s="8">
        <v>10</v>
      </c>
      <c r="D25" s="8">
        <v>84</v>
      </c>
      <c r="E25" s="8">
        <v>69</v>
      </c>
      <c r="F25" s="8">
        <v>70</v>
      </c>
      <c r="G25" s="8">
        <v>80</v>
      </c>
      <c r="H25" s="8">
        <v>78</v>
      </c>
      <c r="I25" s="8">
        <v>80</v>
      </c>
      <c r="J25" s="23">
        <f t="shared" si="0"/>
        <v>76.833333333333329</v>
      </c>
      <c r="K25" s="8">
        <v>91</v>
      </c>
      <c r="L25" s="8">
        <v>63</v>
      </c>
      <c r="M25" s="5">
        <v>73</v>
      </c>
      <c r="N25" s="5">
        <v>59</v>
      </c>
      <c r="O25" s="8">
        <v>77</v>
      </c>
      <c r="P25" s="9">
        <v>71</v>
      </c>
      <c r="Q25" s="26">
        <f t="shared" si="1"/>
        <v>72.333333333333329</v>
      </c>
    </row>
    <row r="26" spans="1:17" ht="13.5" thickBot="1">
      <c r="A26" s="3">
        <v>302</v>
      </c>
      <c r="B26" s="5" t="s">
        <v>4</v>
      </c>
      <c r="C26" s="5">
        <v>4</v>
      </c>
      <c r="D26" s="5">
        <v>95</v>
      </c>
      <c r="E26" s="5">
        <v>85</v>
      </c>
      <c r="F26" s="5">
        <v>95</v>
      </c>
      <c r="G26" s="5">
        <v>107</v>
      </c>
      <c r="H26" s="5">
        <v>92</v>
      </c>
      <c r="I26" s="5">
        <v>97</v>
      </c>
      <c r="J26" s="23">
        <f t="shared" si="0"/>
        <v>95.166666666666671</v>
      </c>
      <c r="K26" s="5">
        <v>82</v>
      </c>
      <c r="L26" s="5">
        <v>80</v>
      </c>
      <c r="M26" s="33">
        <v>82</v>
      </c>
      <c r="N26">
        <v>95</v>
      </c>
      <c r="O26" s="5">
        <v>84</v>
      </c>
      <c r="P26" s="7">
        <v>90</v>
      </c>
      <c r="Q26" s="26">
        <f t="shared" si="1"/>
        <v>85.5</v>
      </c>
    </row>
    <row r="27" spans="1:17" ht="13.5" thickBot="1">
      <c r="A27" s="3">
        <v>303</v>
      </c>
      <c r="B27" s="5" t="s">
        <v>12</v>
      </c>
      <c r="C27" s="5">
        <v>8</v>
      </c>
      <c r="D27" s="5">
        <v>80</v>
      </c>
      <c r="E27" s="5">
        <v>87</v>
      </c>
      <c r="F27" s="5">
        <v>90</v>
      </c>
      <c r="G27" s="5">
        <v>88</v>
      </c>
      <c r="H27" s="5">
        <v>85</v>
      </c>
      <c r="I27" s="5">
        <v>84</v>
      </c>
      <c r="J27" s="23">
        <f t="shared" si="0"/>
        <v>85.666666666666671</v>
      </c>
      <c r="K27" s="5">
        <v>97</v>
      </c>
      <c r="L27" s="5">
        <v>88</v>
      </c>
      <c r="M27" s="5">
        <v>87</v>
      </c>
      <c r="N27" s="5">
        <v>81</v>
      </c>
      <c r="O27" s="5">
        <v>89</v>
      </c>
      <c r="P27" s="7">
        <v>85</v>
      </c>
      <c r="Q27" s="26">
        <f t="shared" si="1"/>
        <v>87.833333333333329</v>
      </c>
    </row>
    <row r="28" spans="1:17" ht="13.5" thickBot="1">
      <c r="A28" s="3">
        <v>304</v>
      </c>
      <c r="B28" s="5" t="s">
        <v>13</v>
      </c>
      <c r="C28" s="5">
        <v>2</v>
      </c>
      <c r="D28" s="5">
        <v>93</v>
      </c>
      <c r="E28" s="5">
        <v>92</v>
      </c>
      <c r="F28" s="5">
        <v>105</v>
      </c>
      <c r="G28" s="5">
        <v>101</v>
      </c>
      <c r="H28" s="5">
        <v>100</v>
      </c>
      <c r="I28" s="5">
        <v>92</v>
      </c>
      <c r="J28" s="23">
        <f t="shared" si="0"/>
        <v>97.166666666666671</v>
      </c>
      <c r="K28" s="5">
        <v>89</v>
      </c>
      <c r="L28" s="5">
        <v>83</v>
      </c>
      <c r="M28" s="5">
        <v>86</v>
      </c>
      <c r="N28" s="5">
        <v>77</v>
      </c>
      <c r="O28" s="5">
        <v>96</v>
      </c>
      <c r="P28" s="7">
        <v>76</v>
      </c>
      <c r="Q28" s="26">
        <f t="shared" si="1"/>
        <v>84.5</v>
      </c>
    </row>
    <row r="29" spans="1:17" ht="13.5" thickBot="1">
      <c r="A29" s="3">
        <v>305</v>
      </c>
      <c r="B29" s="5" t="s">
        <v>11</v>
      </c>
      <c r="C29" s="5">
        <v>11</v>
      </c>
      <c r="D29" s="5">
        <v>101</v>
      </c>
      <c r="E29" s="5">
        <v>94</v>
      </c>
      <c r="F29" s="5">
        <v>96</v>
      </c>
      <c r="G29" s="5">
        <v>94</v>
      </c>
      <c r="H29" s="5">
        <v>97</v>
      </c>
      <c r="I29" s="5">
        <v>99</v>
      </c>
      <c r="J29" s="23">
        <f t="shared" si="0"/>
        <v>96.833333333333329</v>
      </c>
      <c r="K29" s="5">
        <v>90</v>
      </c>
      <c r="L29" s="5">
        <v>96</v>
      </c>
      <c r="M29" s="5">
        <v>103</v>
      </c>
      <c r="N29" s="5">
        <v>99</v>
      </c>
      <c r="O29" s="5">
        <v>92</v>
      </c>
      <c r="P29" s="7">
        <v>101</v>
      </c>
      <c r="Q29" s="26">
        <f t="shared" si="1"/>
        <v>96.833333333333329</v>
      </c>
    </row>
    <row r="30" spans="1:17" ht="13.5" thickBot="1">
      <c r="A30" s="3">
        <v>306</v>
      </c>
      <c r="B30" s="5" t="s">
        <v>4</v>
      </c>
      <c r="C30" s="5">
        <v>4</v>
      </c>
      <c r="D30" s="5">
        <v>96</v>
      </c>
      <c r="E30" s="5">
        <v>86</v>
      </c>
      <c r="F30" s="5">
        <v>89</v>
      </c>
      <c r="G30" s="5">
        <v>82</v>
      </c>
      <c r="H30" s="5">
        <v>99</v>
      </c>
      <c r="I30" s="5">
        <v>94</v>
      </c>
      <c r="J30" s="23">
        <f t="shared" si="0"/>
        <v>91</v>
      </c>
      <c r="K30" s="5">
        <v>94</v>
      </c>
      <c r="L30" s="5">
        <v>70</v>
      </c>
      <c r="M30" s="5">
        <v>88</v>
      </c>
      <c r="N30" s="5">
        <v>86</v>
      </c>
      <c r="O30" s="5">
        <v>91</v>
      </c>
      <c r="P30" s="7">
        <v>75</v>
      </c>
      <c r="Q30" s="26">
        <f t="shared" si="1"/>
        <v>84</v>
      </c>
    </row>
    <row r="31" spans="1:17" ht="13.5" thickBot="1">
      <c r="A31" s="3">
        <v>307</v>
      </c>
      <c r="B31" s="5" t="s">
        <v>7</v>
      </c>
      <c r="C31" s="5">
        <v>9</v>
      </c>
      <c r="D31" s="5">
        <v>85</v>
      </c>
      <c r="E31" s="5">
        <v>80</v>
      </c>
      <c r="F31" s="5">
        <v>97</v>
      </c>
      <c r="G31" s="5">
        <v>81</v>
      </c>
      <c r="H31" s="5">
        <v>75</v>
      </c>
      <c r="I31" s="5">
        <v>72</v>
      </c>
      <c r="J31" s="23">
        <f t="shared" si="0"/>
        <v>81.666666666666671</v>
      </c>
      <c r="K31" s="5">
        <v>83</v>
      </c>
      <c r="L31" s="5">
        <v>72</v>
      </c>
      <c r="M31" s="5">
        <v>85</v>
      </c>
      <c r="N31" s="5">
        <v>80</v>
      </c>
      <c r="O31" s="5">
        <v>80</v>
      </c>
      <c r="P31" s="7">
        <v>67</v>
      </c>
      <c r="Q31" s="26">
        <f t="shared" si="1"/>
        <v>77.833333333333329</v>
      </c>
    </row>
    <row r="32" spans="1:17" ht="13.5" thickBot="1">
      <c r="A32" s="4">
        <v>308</v>
      </c>
      <c r="B32" s="12" t="s">
        <v>5</v>
      </c>
      <c r="C32" s="12">
        <v>5</v>
      </c>
      <c r="D32" s="12">
        <v>77</v>
      </c>
      <c r="E32" s="12">
        <v>72</v>
      </c>
      <c r="F32" s="12">
        <v>71</v>
      </c>
      <c r="G32" s="12">
        <v>80</v>
      </c>
      <c r="H32" s="12">
        <v>79</v>
      </c>
      <c r="I32" s="12">
        <v>73</v>
      </c>
      <c r="J32" s="23">
        <f t="shared" si="0"/>
        <v>75.333333333333329</v>
      </c>
      <c r="K32" s="12">
        <v>85</v>
      </c>
      <c r="L32" s="12">
        <v>86</v>
      </c>
      <c r="M32" s="12">
        <v>86</v>
      </c>
      <c r="N32" s="12">
        <v>80</v>
      </c>
      <c r="O32" s="12">
        <v>86</v>
      </c>
      <c r="P32" s="13">
        <v>87</v>
      </c>
      <c r="Q32" s="26">
        <f t="shared" si="1"/>
        <v>85</v>
      </c>
    </row>
    <row r="33" spans="1:17" ht="13.5" thickBot="1">
      <c r="A33" s="2">
        <v>401</v>
      </c>
      <c r="B33" s="8" t="s">
        <v>14</v>
      </c>
      <c r="C33" s="8">
        <v>7</v>
      </c>
      <c r="D33" s="8">
        <v>75</v>
      </c>
      <c r="E33" s="8">
        <v>64</v>
      </c>
      <c r="F33" s="8">
        <v>73</v>
      </c>
      <c r="G33" s="8">
        <v>80</v>
      </c>
      <c r="H33" s="8">
        <v>79</v>
      </c>
      <c r="I33" s="8">
        <v>70</v>
      </c>
      <c r="J33" s="23">
        <f t="shared" si="0"/>
        <v>73.5</v>
      </c>
      <c r="K33" s="8">
        <v>72</v>
      </c>
      <c r="L33" s="8">
        <v>68</v>
      </c>
      <c r="M33" s="8">
        <v>70</v>
      </c>
      <c r="N33" s="8">
        <v>81</v>
      </c>
      <c r="O33" s="8">
        <v>70</v>
      </c>
      <c r="P33" s="9">
        <v>68</v>
      </c>
      <c r="Q33" s="26">
        <f t="shared" si="1"/>
        <v>71.5</v>
      </c>
    </row>
    <row r="34" spans="1:17" ht="13.5" thickBot="1">
      <c r="A34" s="3">
        <v>402</v>
      </c>
      <c r="B34" s="5" t="s">
        <v>7</v>
      </c>
      <c r="C34" s="5">
        <v>9</v>
      </c>
      <c r="D34" s="5">
        <v>81</v>
      </c>
      <c r="E34" s="5">
        <v>94</v>
      </c>
      <c r="F34" s="5">
        <v>96</v>
      </c>
      <c r="G34" s="5">
        <v>96</v>
      </c>
      <c r="H34" s="5">
        <v>85</v>
      </c>
      <c r="I34" s="5">
        <v>91</v>
      </c>
      <c r="J34" s="23">
        <f t="shared" si="0"/>
        <v>90.5</v>
      </c>
      <c r="K34" s="5">
        <v>88</v>
      </c>
      <c r="L34" s="5">
        <v>84</v>
      </c>
      <c r="M34" s="5">
        <v>77</v>
      </c>
      <c r="N34" s="5">
        <v>81</v>
      </c>
      <c r="O34" s="5">
        <v>81</v>
      </c>
      <c r="P34" s="7">
        <v>86</v>
      </c>
      <c r="Q34" s="26">
        <f t="shared" si="1"/>
        <v>82.833333333333329</v>
      </c>
    </row>
    <row r="35" spans="1:17" ht="13.5" thickBot="1">
      <c r="A35" s="3">
        <v>403</v>
      </c>
      <c r="B35" s="5" t="s">
        <v>15</v>
      </c>
      <c r="C35" s="5">
        <v>6</v>
      </c>
      <c r="D35" s="5">
        <v>75</v>
      </c>
      <c r="E35" s="5">
        <v>79</v>
      </c>
      <c r="F35" s="5">
        <v>81</v>
      </c>
      <c r="G35" s="5">
        <v>73</v>
      </c>
      <c r="H35" s="5">
        <v>77</v>
      </c>
      <c r="I35" s="5">
        <v>80</v>
      </c>
      <c r="J35" s="23">
        <f t="shared" si="0"/>
        <v>77.5</v>
      </c>
      <c r="K35" s="5">
        <v>84</v>
      </c>
      <c r="L35" s="5">
        <v>83</v>
      </c>
      <c r="M35" s="5">
        <v>90</v>
      </c>
      <c r="N35" s="5">
        <v>69</v>
      </c>
      <c r="O35" s="5">
        <v>93</v>
      </c>
      <c r="P35" s="7">
        <v>87</v>
      </c>
      <c r="Q35" s="26">
        <f t="shared" si="1"/>
        <v>84.333333333333329</v>
      </c>
    </row>
    <row r="36" spans="1:17" ht="13.5" thickBot="1">
      <c r="A36" s="3">
        <v>404</v>
      </c>
      <c r="B36" s="5" t="s">
        <v>8</v>
      </c>
      <c r="C36" s="5">
        <v>3</v>
      </c>
      <c r="D36" s="5">
        <v>89</v>
      </c>
      <c r="E36" s="5">
        <v>91</v>
      </c>
      <c r="F36" s="5">
        <v>93</v>
      </c>
      <c r="G36" s="5">
        <v>93</v>
      </c>
      <c r="H36" s="5">
        <v>93</v>
      </c>
      <c r="I36" s="5">
        <v>98</v>
      </c>
      <c r="J36" s="23">
        <f t="shared" si="0"/>
        <v>92.833333333333329</v>
      </c>
      <c r="K36" s="5">
        <v>92</v>
      </c>
      <c r="L36" s="5">
        <v>84</v>
      </c>
      <c r="M36" s="5">
        <v>88</v>
      </c>
      <c r="N36" s="5">
        <v>90</v>
      </c>
      <c r="O36" s="5">
        <v>85</v>
      </c>
      <c r="P36" s="7">
        <v>75</v>
      </c>
      <c r="Q36" s="26">
        <f t="shared" si="1"/>
        <v>85.666666666666671</v>
      </c>
    </row>
    <row r="37" spans="1:17" ht="13.5" thickBot="1">
      <c r="A37" s="3">
        <v>405</v>
      </c>
      <c r="B37" s="5" t="s">
        <v>15</v>
      </c>
      <c r="C37" s="5">
        <v>6</v>
      </c>
      <c r="D37" s="5">
        <v>78</v>
      </c>
      <c r="E37" s="5">
        <v>80</v>
      </c>
      <c r="F37" s="5">
        <v>78</v>
      </c>
      <c r="G37" s="5">
        <v>76</v>
      </c>
      <c r="H37" s="5">
        <v>70</v>
      </c>
      <c r="I37" s="5">
        <v>68</v>
      </c>
      <c r="J37" s="23">
        <f t="shared" si="0"/>
        <v>75</v>
      </c>
      <c r="K37" s="5">
        <v>83</v>
      </c>
      <c r="L37" s="5">
        <v>91</v>
      </c>
      <c r="M37" s="5">
        <v>89</v>
      </c>
      <c r="N37" s="5">
        <v>91</v>
      </c>
      <c r="O37" s="5">
        <v>85</v>
      </c>
      <c r="P37" s="7">
        <v>83</v>
      </c>
      <c r="Q37" s="26">
        <f t="shared" si="1"/>
        <v>87</v>
      </c>
    </row>
    <row r="38" spans="1:17" ht="13.5" thickBot="1">
      <c r="A38" s="3">
        <v>406</v>
      </c>
      <c r="B38" s="5" t="s">
        <v>8</v>
      </c>
      <c r="C38" s="5">
        <v>3</v>
      </c>
      <c r="D38" s="5">
        <v>100</v>
      </c>
      <c r="E38" s="5">
        <v>87</v>
      </c>
      <c r="F38" s="5">
        <v>94</v>
      </c>
      <c r="G38" s="5">
        <v>81</v>
      </c>
      <c r="H38" s="5">
        <v>100</v>
      </c>
      <c r="I38" s="5">
        <v>84</v>
      </c>
      <c r="J38" s="23">
        <f t="shared" si="0"/>
        <v>91</v>
      </c>
      <c r="K38" s="5">
        <v>92</v>
      </c>
      <c r="L38" s="5">
        <v>84</v>
      </c>
      <c r="M38" s="5">
        <v>84</v>
      </c>
      <c r="N38" s="5">
        <v>84</v>
      </c>
      <c r="O38" s="5">
        <v>89</v>
      </c>
      <c r="P38" s="7">
        <v>85</v>
      </c>
      <c r="Q38" s="26">
        <f t="shared" si="1"/>
        <v>86.333333333333329</v>
      </c>
    </row>
    <row r="39" spans="1:17" ht="13.5" thickBot="1">
      <c r="A39" s="3">
        <v>407</v>
      </c>
      <c r="B39" s="5" t="s">
        <v>14</v>
      </c>
      <c r="C39" s="5">
        <v>7</v>
      </c>
      <c r="D39" s="5">
        <v>83</v>
      </c>
      <c r="E39" s="5">
        <v>81</v>
      </c>
      <c r="F39" s="5">
        <v>86</v>
      </c>
      <c r="G39" s="5">
        <v>76</v>
      </c>
      <c r="H39" s="5">
        <v>77</v>
      </c>
      <c r="I39" s="5">
        <v>82</v>
      </c>
      <c r="J39" s="23">
        <f t="shared" si="0"/>
        <v>80.833333333333329</v>
      </c>
      <c r="K39" s="5">
        <v>86</v>
      </c>
      <c r="L39" s="5">
        <v>88</v>
      </c>
      <c r="M39" s="5">
        <v>103</v>
      </c>
      <c r="N39" s="5">
        <v>79</v>
      </c>
      <c r="O39" s="5">
        <v>85</v>
      </c>
      <c r="P39" s="7">
        <v>87</v>
      </c>
      <c r="Q39" s="26">
        <f t="shared" si="1"/>
        <v>88</v>
      </c>
    </row>
    <row r="40" spans="1:17" ht="13.5" thickBot="1">
      <c r="A40" s="4">
        <v>408</v>
      </c>
      <c r="B40" s="12" t="s">
        <v>6</v>
      </c>
      <c r="C40" s="12">
        <v>10</v>
      </c>
      <c r="D40" s="12">
        <v>74</v>
      </c>
      <c r="E40" s="12">
        <v>73</v>
      </c>
      <c r="F40" s="12">
        <v>70</v>
      </c>
      <c r="G40" s="12">
        <v>75</v>
      </c>
      <c r="H40" s="12">
        <v>62</v>
      </c>
      <c r="I40" s="12">
        <v>71</v>
      </c>
      <c r="J40" s="23">
        <f t="shared" si="0"/>
        <v>70.833333333333329</v>
      </c>
      <c r="K40" s="12">
        <v>70</v>
      </c>
      <c r="L40" s="12">
        <v>66</v>
      </c>
      <c r="M40" s="12">
        <v>72</v>
      </c>
      <c r="N40" s="12">
        <v>81</v>
      </c>
      <c r="O40" s="12">
        <v>73</v>
      </c>
      <c r="P40" s="13">
        <v>69</v>
      </c>
      <c r="Q40" s="26">
        <f t="shared" si="1"/>
        <v>71.833333333333329</v>
      </c>
    </row>
    <row r="41" spans="1:17" ht="13.5" thickBot="1">
      <c r="A41" s="2">
        <v>901</v>
      </c>
      <c r="B41" s="8" t="s">
        <v>16</v>
      </c>
      <c r="C41" s="8">
        <v>32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23">
        <f t="shared" si="0"/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9">
        <v>0</v>
      </c>
      <c r="Q41" s="26">
        <f t="shared" si="1"/>
        <v>0</v>
      </c>
    </row>
    <row r="42" spans="1:17" ht="13.5" thickBot="1">
      <c r="A42" s="3">
        <v>902</v>
      </c>
      <c r="B42" s="6">
        <v>37452</v>
      </c>
      <c r="C42" s="5">
        <v>22</v>
      </c>
      <c r="D42" s="5">
        <v>87</v>
      </c>
      <c r="E42" s="5">
        <v>74</v>
      </c>
      <c r="F42" s="5">
        <v>83</v>
      </c>
      <c r="G42" s="5">
        <v>99</v>
      </c>
      <c r="H42" s="5">
        <v>89</v>
      </c>
      <c r="I42" s="5">
        <v>88</v>
      </c>
      <c r="J42" s="23">
        <f t="shared" si="0"/>
        <v>86.666666666666671</v>
      </c>
      <c r="K42" s="5">
        <v>88</v>
      </c>
      <c r="L42" s="5">
        <v>84</v>
      </c>
      <c r="M42" s="5">
        <v>73</v>
      </c>
      <c r="N42" s="5">
        <v>82</v>
      </c>
      <c r="O42" s="5">
        <v>93</v>
      </c>
      <c r="P42" s="7">
        <v>80</v>
      </c>
      <c r="Q42" s="26">
        <f t="shared" si="1"/>
        <v>83.333333333333329</v>
      </c>
    </row>
    <row r="43" spans="1:17" ht="13.5" thickBot="1">
      <c r="A43" s="3">
        <v>903</v>
      </c>
      <c r="B43" s="5" t="s">
        <v>17</v>
      </c>
      <c r="C43" s="5">
        <v>31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23">
        <f t="shared" si="0"/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7">
        <v>0</v>
      </c>
      <c r="Q43" s="26">
        <f t="shared" si="1"/>
        <v>0</v>
      </c>
    </row>
    <row r="44" spans="1:17" ht="13.5" thickBot="1">
      <c r="A44" s="3">
        <v>904</v>
      </c>
      <c r="B44" s="6">
        <v>37408</v>
      </c>
      <c r="C44" s="5">
        <v>21</v>
      </c>
      <c r="D44" s="5">
        <v>56</v>
      </c>
      <c r="E44" s="5">
        <v>60</v>
      </c>
      <c r="F44" s="5">
        <v>50</v>
      </c>
      <c r="G44" s="5">
        <v>41</v>
      </c>
      <c r="H44" s="5">
        <v>48</v>
      </c>
      <c r="I44" s="5">
        <v>51</v>
      </c>
      <c r="J44" s="23">
        <f t="shared" si="0"/>
        <v>51</v>
      </c>
      <c r="K44" s="5">
        <v>53</v>
      </c>
      <c r="L44" s="5">
        <v>66</v>
      </c>
      <c r="M44" s="5">
        <v>57</v>
      </c>
      <c r="N44" s="5">
        <v>47</v>
      </c>
      <c r="O44" s="5">
        <v>51</v>
      </c>
      <c r="P44" s="7">
        <v>48</v>
      </c>
      <c r="Q44" s="26">
        <f t="shared" si="1"/>
        <v>53.666666666666664</v>
      </c>
    </row>
    <row r="45" spans="1:17" ht="13.5" thickBot="1">
      <c r="A45" s="3">
        <v>905</v>
      </c>
      <c r="B45" s="5" t="s">
        <v>16</v>
      </c>
      <c r="C45" s="5">
        <v>32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23">
        <f t="shared" si="0"/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7">
        <v>0</v>
      </c>
      <c r="Q45" s="26">
        <f t="shared" si="1"/>
        <v>0</v>
      </c>
    </row>
    <row r="46" spans="1:17" ht="13.5" thickBot="1">
      <c r="A46" s="3">
        <v>906</v>
      </c>
      <c r="B46" s="6">
        <v>37452</v>
      </c>
      <c r="C46" s="5">
        <v>22</v>
      </c>
      <c r="D46" s="5">
        <v>91</v>
      </c>
      <c r="E46" s="5">
        <v>97</v>
      </c>
      <c r="F46" s="5">
        <v>98</v>
      </c>
      <c r="G46" s="5">
        <v>99</v>
      </c>
      <c r="H46" s="5">
        <v>92</v>
      </c>
      <c r="I46" s="5">
        <v>103</v>
      </c>
      <c r="J46" s="23">
        <f t="shared" si="0"/>
        <v>96.666666666666671</v>
      </c>
      <c r="K46" s="5">
        <v>92</v>
      </c>
      <c r="L46" s="5">
        <v>86</v>
      </c>
      <c r="M46" s="5">
        <v>100</v>
      </c>
      <c r="N46" s="5">
        <v>91</v>
      </c>
      <c r="O46" s="5">
        <v>92</v>
      </c>
      <c r="P46" s="7">
        <v>76</v>
      </c>
      <c r="Q46" s="26">
        <f t="shared" si="1"/>
        <v>89.5</v>
      </c>
    </row>
    <row r="47" spans="1:17" ht="13.5" thickBot="1">
      <c r="A47" s="3">
        <v>907</v>
      </c>
      <c r="B47" s="5" t="s">
        <v>17</v>
      </c>
      <c r="C47" s="5">
        <v>31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23">
        <f t="shared" si="0"/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7">
        <v>0</v>
      </c>
      <c r="Q47" s="26">
        <f t="shared" si="1"/>
        <v>0</v>
      </c>
    </row>
    <row r="48" spans="1:17" ht="13.5" thickBot="1">
      <c r="A48" s="4">
        <v>908</v>
      </c>
      <c r="B48" s="15">
        <v>37408</v>
      </c>
      <c r="C48" s="12">
        <v>21</v>
      </c>
      <c r="D48" s="12">
        <v>43</v>
      </c>
      <c r="E48" s="12">
        <v>59</v>
      </c>
      <c r="F48" s="12">
        <v>51</v>
      </c>
      <c r="G48" s="12">
        <v>45</v>
      </c>
      <c r="H48" s="12">
        <v>51</v>
      </c>
      <c r="I48" s="12">
        <v>48</v>
      </c>
      <c r="J48" s="23">
        <f t="shared" si="0"/>
        <v>49.5</v>
      </c>
      <c r="K48" s="12">
        <v>49</v>
      </c>
      <c r="L48" s="12">
        <v>44</v>
      </c>
      <c r="M48" s="12">
        <v>56</v>
      </c>
      <c r="N48" s="12">
        <v>48</v>
      </c>
      <c r="O48" s="12">
        <v>50</v>
      </c>
      <c r="P48" s="13">
        <v>46</v>
      </c>
      <c r="Q48" s="27">
        <f t="shared" si="1"/>
        <v>48.833333333333336</v>
      </c>
    </row>
  </sheetData>
  <phoneticPr fontId="0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47805-623A-4ED0-B20F-04CD79D56DC0}">
  <dimension ref="A1:Q48"/>
  <sheetViews>
    <sheetView workbookViewId="0">
      <selection activeCell="Q9" sqref="Q9:Q48"/>
    </sheetView>
  </sheetViews>
  <sheetFormatPr defaultRowHeight="12.75"/>
  <sheetData>
    <row r="1" spans="1:17">
      <c r="A1" t="s">
        <v>19</v>
      </c>
    </row>
    <row r="2" spans="1:17">
      <c r="A2" s="1"/>
    </row>
    <row r="3" spans="1:17">
      <c r="A3" s="30">
        <v>37468</v>
      </c>
    </row>
    <row r="4" spans="1:17">
      <c r="A4" s="31" t="s">
        <v>49</v>
      </c>
      <c r="E4" t="s">
        <v>30</v>
      </c>
    </row>
    <row r="5" spans="1:17">
      <c r="A5" s="1" t="s">
        <v>22</v>
      </c>
    </row>
    <row r="6" spans="1:17" ht="13.5" thickBot="1"/>
    <row r="7" spans="1:17" ht="13.5" thickBot="1">
      <c r="D7" s="2"/>
      <c r="E7" s="18"/>
      <c r="F7" s="19" t="s">
        <v>2</v>
      </c>
      <c r="G7" s="18"/>
      <c r="H7" s="18"/>
      <c r="I7" s="20"/>
      <c r="J7" s="18"/>
      <c r="K7" s="2"/>
      <c r="L7" s="18"/>
      <c r="M7" s="18" t="s">
        <v>1</v>
      </c>
      <c r="N7" s="18"/>
      <c r="O7" s="18"/>
      <c r="P7" s="18"/>
      <c r="Q7" s="24"/>
    </row>
    <row r="8" spans="1:17" ht="13.5" thickBot="1">
      <c r="A8" s="16" t="s">
        <v>0</v>
      </c>
      <c r="B8" s="17" t="s">
        <v>9</v>
      </c>
      <c r="C8" s="17" t="s">
        <v>18</v>
      </c>
      <c r="D8" s="21" t="s">
        <v>24</v>
      </c>
      <c r="E8" s="12" t="s">
        <v>25</v>
      </c>
      <c r="F8" s="12" t="s">
        <v>26</v>
      </c>
      <c r="G8" s="12" t="s">
        <v>27</v>
      </c>
      <c r="H8" s="12" t="s">
        <v>28</v>
      </c>
      <c r="I8" s="14" t="s">
        <v>29</v>
      </c>
      <c r="J8" s="22" t="s">
        <v>31</v>
      </c>
      <c r="K8" s="21" t="s">
        <v>24</v>
      </c>
      <c r="L8" s="12" t="s">
        <v>25</v>
      </c>
      <c r="M8" s="12" t="s">
        <v>26</v>
      </c>
      <c r="N8" s="12" t="s">
        <v>27</v>
      </c>
      <c r="O8" s="12" t="s">
        <v>28</v>
      </c>
      <c r="P8" s="13" t="s">
        <v>29</v>
      </c>
      <c r="Q8" s="25" t="s">
        <v>32</v>
      </c>
    </row>
    <row r="9" spans="1:17" ht="13.5" thickBot="1">
      <c r="A9" s="2">
        <v>101</v>
      </c>
      <c r="B9" s="8" t="s">
        <v>3</v>
      </c>
      <c r="C9" s="9">
        <v>1</v>
      </c>
      <c r="D9" s="8">
        <v>100</v>
      </c>
      <c r="E9" s="8">
        <v>93</v>
      </c>
      <c r="F9" s="8">
        <v>84</v>
      </c>
      <c r="G9" s="8">
        <v>97</v>
      </c>
      <c r="H9" s="8">
        <v>86</v>
      </c>
      <c r="I9" s="8">
        <v>92</v>
      </c>
      <c r="J9" s="23">
        <f>AVERAGE(D9:I9)</f>
        <v>92</v>
      </c>
      <c r="K9" s="8">
        <v>82</v>
      </c>
      <c r="L9" s="8">
        <v>91</v>
      </c>
      <c r="M9" s="8">
        <v>88</v>
      </c>
      <c r="N9" s="8">
        <v>83</v>
      </c>
      <c r="O9" s="8">
        <v>88</v>
      </c>
      <c r="P9" s="9">
        <v>86</v>
      </c>
      <c r="Q9" s="26">
        <f>AVERAGE(K9:P9)</f>
        <v>86.333333333333329</v>
      </c>
    </row>
    <row r="10" spans="1:17" ht="13.5" thickBot="1">
      <c r="A10" s="3">
        <v>102</v>
      </c>
      <c r="B10" s="5" t="s">
        <v>4</v>
      </c>
      <c r="C10" s="7">
        <v>4</v>
      </c>
      <c r="D10" s="5">
        <v>91</v>
      </c>
      <c r="E10" s="5">
        <v>97</v>
      </c>
      <c r="F10" s="5">
        <v>93</v>
      </c>
      <c r="G10" s="5">
        <v>102</v>
      </c>
      <c r="H10" s="5">
        <v>90</v>
      </c>
      <c r="I10" s="5">
        <v>104</v>
      </c>
      <c r="J10" s="23">
        <f t="shared" ref="J10:J48" si="0">AVERAGE(D10:I10)</f>
        <v>96.166666666666671</v>
      </c>
      <c r="K10" s="5">
        <v>94</v>
      </c>
      <c r="L10" s="5">
        <v>76</v>
      </c>
      <c r="M10" s="5">
        <v>73</v>
      </c>
      <c r="N10" s="5">
        <v>90</v>
      </c>
      <c r="O10" s="5">
        <v>83</v>
      </c>
      <c r="P10" s="7">
        <v>75</v>
      </c>
      <c r="Q10" s="26">
        <f t="shared" ref="Q10:Q48" si="1">AVERAGE(K10:P10)</f>
        <v>81.833333333333329</v>
      </c>
    </row>
    <row r="11" spans="1:17" ht="13.5" thickBot="1">
      <c r="A11" s="3">
        <v>103</v>
      </c>
      <c r="B11" s="5" t="s">
        <v>5</v>
      </c>
      <c r="C11" s="7">
        <v>5</v>
      </c>
      <c r="D11" s="5">
        <v>99</v>
      </c>
      <c r="E11" s="5">
        <v>102</v>
      </c>
      <c r="F11" s="5">
        <v>107</v>
      </c>
      <c r="G11" s="5">
        <v>98</v>
      </c>
      <c r="H11" s="5">
        <v>92</v>
      </c>
      <c r="I11" s="5">
        <v>91</v>
      </c>
      <c r="J11" s="23">
        <f t="shared" si="0"/>
        <v>98.166666666666671</v>
      </c>
      <c r="K11" s="5">
        <v>87</v>
      </c>
      <c r="L11" s="5">
        <v>96</v>
      </c>
      <c r="M11" s="5">
        <v>86</v>
      </c>
      <c r="N11" s="5">
        <v>94</v>
      </c>
      <c r="O11" s="5">
        <v>87</v>
      </c>
      <c r="P11" s="7">
        <v>101</v>
      </c>
      <c r="Q11" s="26">
        <f t="shared" si="1"/>
        <v>91.833333333333329</v>
      </c>
    </row>
    <row r="12" spans="1:17" ht="13.5" thickBot="1">
      <c r="A12" s="3">
        <v>104</v>
      </c>
      <c r="B12" s="5" t="s">
        <v>6</v>
      </c>
      <c r="C12" s="7">
        <v>10</v>
      </c>
      <c r="D12" s="5">
        <v>75</v>
      </c>
      <c r="E12" s="5">
        <v>72</v>
      </c>
      <c r="F12" s="5">
        <v>88</v>
      </c>
      <c r="G12" s="5">
        <v>99</v>
      </c>
      <c r="H12" s="5">
        <v>87</v>
      </c>
      <c r="I12">
        <v>87</v>
      </c>
      <c r="J12" s="23">
        <f t="shared" si="0"/>
        <v>84.666666666666671</v>
      </c>
      <c r="K12" s="5">
        <v>78</v>
      </c>
      <c r="L12" s="5">
        <v>79</v>
      </c>
      <c r="M12" s="5">
        <v>79</v>
      </c>
      <c r="N12" s="5">
        <v>89</v>
      </c>
      <c r="O12" s="5">
        <v>80</v>
      </c>
      <c r="P12" s="7">
        <v>85</v>
      </c>
      <c r="Q12" s="26">
        <f t="shared" si="1"/>
        <v>81.666666666666671</v>
      </c>
    </row>
    <row r="13" spans="1:17" ht="13.5" thickBot="1">
      <c r="A13" s="3">
        <v>105</v>
      </c>
      <c r="B13" s="5" t="s">
        <v>10</v>
      </c>
      <c r="C13" s="7">
        <v>12</v>
      </c>
      <c r="D13" s="5">
        <v>100</v>
      </c>
      <c r="E13" s="5">
        <v>106</v>
      </c>
      <c r="F13" s="5">
        <v>94</v>
      </c>
      <c r="G13" s="5">
        <v>91</v>
      </c>
      <c r="H13" s="5">
        <v>93</v>
      </c>
      <c r="I13">
        <v>93</v>
      </c>
      <c r="J13" s="23">
        <f t="shared" si="0"/>
        <v>96.166666666666671</v>
      </c>
      <c r="K13" s="5">
        <v>87</v>
      </c>
      <c r="L13" s="5">
        <v>99</v>
      </c>
      <c r="M13" s="5">
        <v>102</v>
      </c>
      <c r="N13" s="5">
        <v>93</v>
      </c>
      <c r="O13" s="5">
        <v>93</v>
      </c>
      <c r="P13" s="7">
        <v>90</v>
      </c>
      <c r="Q13" s="26">
        <f t="shared" si="1"/>
        <v>94</v>
      </c>
    </row>
    <row r="14" spans="1:17" ht="13.5" thickBot="1">
      <c r="A14" s="3">
        <v>106</v>
      </c>
      <c r="B14" s="5" t="s">
        <v>7</v>
      </c>
      <c r="C14" s="7">
        <v>9</v>
      </c>
      <c r="D14" s="5">
        <v>93</v>
      </c>
      <c r="E14" s="5">
        <v>100</v>
      </c>
      <c r="F14" s="5">
        <v>88</v>
      </c>
      <c r="G14" s="5">
        <v>96</v>
      </c>
      <c r="H14" s="5">
        <v>94</v>
      </c>
      <c r="I14">
        <v>107</v>
      </c>
      <c r="J14" s="23">
        <f t="shared" si="0"/>
        <v>96.333333333333329</v>
      </c>
      <c r="K14" s="5">
        <v>91</v>
      </c>
      <c r="L14" s="5">
        <v>82</v>
      </c>
      <c r="M14" s="5">
        <v>92</v>
      </c>
      <c r="N14" s="5">
        <v>88</v>
      </c>
      <c r="O14" s="5">
        <v>95</v>
      </c>
      <c r="P14" s="7">
        <v>89</v>
      </c>
      <c r="Q14" s="26">
        <f t="shared" si="1"/>
        <v>89.5</v>
      </c>
    </row>
    <row r="15" spans="1:17" ht="13.5" thickBot="1">
      <c r="A15" s="3">
        <v>107</v>
      </c>
      <c r="B15" s="5" t="s">
        <v>6</v>
      </c>
      <c r="C15" s="7">
        <v>10</v>
      </c>
      <c r="D15" s="5">
        <v>95</v>
      </c>
      <c r="E15" s="5">
        <v>95</v>
      </c>
      <c r="F15" s="5">
        <v>95</v>
      </c>
      <c r="G15" s="5">
        <v>90</v>
      </c>
      <c r="H15" s="5">
        <v>99</v>
      </c>
      <c r="I15">
        <v>104</v>
      </c>
      <c r="J15" s="23">
        <f t="shared" si="0"/>
        <v>96.333333333333329</v>
      </c>
      <c r="K15" s="5">
        <v>79</v>
      </c>
      <c r="L15" s="5">
        <v>90</v>
      </c>
      <c r="M15" s="5">
        <v>93</v>
      </c>
      <c r="N15" s="5">
        <v>98</v>
      </c>
      <c r="O15" s="5">
        <v>99</v>
      </c>
      <c r="P15" s="7">
        <v>78</v>
      </c>
      <c r="Q15" s="26">
        <f t="shared" si="1"/>
        <v>89.5</v>
      </c>
    </row>
    <row r="16" spans="1:17" ht="13.5" thickBot="1">
      <c r="A16" s="4">
        <v>108</v>
      </c>
      <c r="B16" s="12" t="s">
        <v>8</v>
      </c>
      <c r="C16" s="13">
        <v>3</v>
      </c>
      <c r="D16" s="12">
        <v>94</v>
      </c>
      <c r="E16" s="12">
        <v>92</v>
      </c>
      <c r="F16" s="12">
        <v>96</v>
      </c>
      <c r="G16" s="12">
        <v>98</v>
      </c>
      <c r="H16" s="5">
        <v>97</v>
      </c>
      <c r="I16">
        <v>120</v>
      </c>
      <c r="J16" s="23">
        <f t="shared" si="0"/>
        <v>99.5</v>
      </c>
      <c r="K16" s="12">
        <v>84</v>
      </c>
      <c r="L16" s="12">
        <v>85</v>
      </c>
      <c r="M16" s="12">
        <v>92</v>
      </c>
      <c r="N16" s="12">
        <v>94</v>
      </c>
      <c r="O16" s="12">
        <v>87</v>
      </c>
      <c r="P16" s="13">
        <v>85</v>
      </c>
      <c r="Q16" s="26">
        <f t="shared" si="1"/>
        <v>87.833333333333329</v>
      </c>
    </row>
    <row r="17" spans="1:17" ht="13.5" thickBot="1">
      <c r="A17" s="2">
        <v>201</v>
      </c>
      <c r="B17" s="8" t="s">
        <v>10</v>
      </c>
      <c r="C17" s="8">
        <v>12</v>
      </c>
      <c r="D17" s="8">
        <v>95</v>
      </c>
      <c r="E17" s="8">
        <v>96</v>
      </c>
      <c r="F17" s="8">
        <v>90</v>
      </c>
      <c r="G17" s="8">
        <v>81</v>
      </c>
      <c r="H17" s="12">
        <v>84</v>
      </c>
      <c r="I17">
        <v>87</v>
      </c>
      <c r="J17" s="23">
        <f t="shared" si="0"/>
        <v>88.833333333333329</v>
      </c>
      <c r="K17" s="8">
        <v>88</v>
      </c>
      <c r="L17" s="8">
        <v>92</v>
      </c>
      <c r="M17" s="8">
        <v>93</v>
      </c>
      <c r="N17" s="8">
        <v>88</v>
      </c>
      <c r="O17" s="8">
        <v>98</v>
      </c>
      <c r="P17" s="9">
        <v>87</v>
      </c>
      <c r="Q17" s="26">
        <f t="shared" si="1"/>
        <v>91</v>
      </c>
    </row>
    <row r="18" spans="1:17" ht="13.5" thickBot="1">
      <c r="A18" s="3">
        <v>202</v>
      </c>
      <c r="B18" s="5" t="s">
        <v>7</v>
      </c>
      <c r="C18" s="5">
        <v>9</v>
      </c>
      <c r="D18" s="5">
        <v>83</v>
      </c>
      <c r="E18" s="5">
        <v>81</v>
      </c>
      <c r="F18" s="5">
        <v>92</v>
      </c>
      <c r="G18" s="5">
        <v>100</v>
      </c>
      <c r="H18" s="8">
        <v>99</v>
      </c>
      <c r="I18">
        <v>86</v>
      </c>
      <c r="J18" s="23">
        <f t="shared" si="0"/>
        <v>90.166666666666671</v>
      </c>
      <c r="K18" s="5">
        <v>79</v>
      </c>
      <c r="L18" s="5">
        <v>90</v>
      </c>
      <c r="M18" s="5">
        <v>83</v>
      </c>
      <c r="N18" s="5">
        <v>77</v>
      </c>
      <c r="O18" s="5">
        <v>87</v>
      </c>
      <c r="P18" s="7">
        <v>76</v>
      </c>
      <c r="Q18" s="26">
        <f t="shared" si="1"/>
        <v>82</v>
      </c>
    </row>
    <row r="19" spans="1:17" ht="13.5" thickBot="1">
      <c r="A19" s="3">
        <v>203</v>
      </c>
      <c r="B19" s="5" t="s">
        <v>8</v>
      </c>
      <c r="C19" s="5">
        <v>3</v>
      </c>
      <c r="D19" s="5">
        <v>119</v>
      </c>
      <c r="E19" s="5">
        <v>112</v>
      </c>
      <c r="F19" s="5">
        <v>99</v>
      </c>
      <c r="G19" s="5">
        <v>103</v>
      </c>
      <c r="H19" s="5">
        <v>96</v>
      </c>
      <c r="I19">
        <v>98</v>
      </c>
      <c r="J19" s="23">
        <f t="shared" si="0"/>
        <v>104.5</v>
      </c>
      <c r="K19" s="5">
        <v>90</v>
      </c>
      <c r="L19" s="5">
        <v>86</v>
      </c>
      <c r="M19" s="5">
        <v>88</v>
      </c>
      <c r="N19" s="5">
        <v>95</v>
      </c>
      <c r="O19" s="5">
        <v>80</v>
      </c>
      <c r="P19" s="7">
        <v>85</v>
      </c>
      <c r="Q19" s="26">
        <f t="shared" si="1"/>
        <v>87.333333333333329</v>
      </c>
    </row>
    <row r="20" spans="1:17" ht="13.5" thickBot="1">
      <c r="A20" s="3">
        <v>204</v>
      </c>
      <c r="B20" s="5" t="s">
        <v>11</v>
      </c>
      <c r="C20" s="5">
        <v>11</v>
      </c>
      <c r="D20" s="5">
        <v>104</v>
      </c>
      <c r="E20" s="5">
        <v>94</v>
      </c>
      <c r="F20" s="5">
        <v>97</v>
      </c>
      <c r="G20" s="5">
        <v>112</v>
      </c>
      <c r="H20" s="5">
        <v>109</v>
      </c>
      <c r="I20">
        <v>103</v>
      </c>
      <c r="J20" s="23">
        <f t="shared" si="0"/>
        <v>103.16666666666667</v>
      </c>
      <c r="K20" s="5">
        <v>90</v>
      </c>
      <c r="L20" s="5">
        <v>93</v>
      </c>
      <c r="M20" s="5">
        <v>96</v>
      </c>
      <c r="N20" s="5">
        <v>90</v>
      </c>
      <c r="O20" s="5">
        <v>95</v>
      </c>
      <c r="P20" s="7">
        <v>91</v>
      </c>
      <c r="Q20" s="26">
        <f t="shared" si="1"/>
        <v>92.5</v>
      </c>
    </row>
    <row r="21" spans="1:17" ht="13.5" thickBot="1">
      <c r="A21" s="3">
        <v>205</v>
      </c>
      <c r="B21" s="5" t="s">
        <v>3</v>
      </c>
      <c r="C21" s="5">
        <v>1</v>
      </c>
      <c r="D21" s="5">
        <v>112</v>
      </c>
      <c r="E21" s="5">
        <v>110</v>
      </c>
      <c r="F21" s="5">
        <v>116</v>
      </c>
      <c r="G21" s="5">
        <v>123</v>
      </c>
      <c r="H21" s="5">
        <v>109</v>
      </c>
      <c r="I21">
        <v>108</v>
      </c>
      <c r="J21" s="23">
        <f t="shared" si="0"/>
        <v>113</v>
      </c>
      <c r="K21" s="5">
        <v>91</v>
      </c>
      <c r="L21" s="5">
        <v>97</v>
      </c>
      <c r="M21" s="5">
        <v>98</v>
      </c>
      <c r="N21" s="5">
        <v>95</v>
      </c>
      <c r="O21" s="5">
        <v>100</v>
      </c>
      <c r="P21" s="7">
        <v>92</v>
      </c>
      <c r="Q21" s="26">
        <f t="shared" si="1"/>
        <v>95.5</v>
      </c>
    </row>
    <row r="22" spans="1:17" ht="13.5" thickBot="1">
      <c r="A22" s="3">
        <v>206</v>
      </c>
      <c r="B22" s="5" t="s">
        <v>12</v>
      </c>
      <c r="C22" s="5">
        <v>8</v>
      </c>
      <c r="D22" s="5">
        <v>89</v>
      </c>
      <c r="E22" s="5">
        <v>76</v>
      </c>
      <c r="F22" s="5">
        <v>97</v>
      </c>
      <c r="G22" s="5">
        <v>79</v>
      </c>
      <c r="H22" s="5">
        <v>93</v>
      </c>
      <c r="I22">
        <v>83</v>
      </c>
      <c r="J22" s="23">
        <f t="shared" si="0"/>
        <v>86.166666666666671</v>
      </c>
      <c r="K22" s="5">
        <v>79</v>
      </c>
      <c r="L22" s="5">
        <v>76</v>
      </c>
      <c r="M22" s="5">
        <v>87</v>
      </c>
      <c r="N22" s="5">
        <v>89</v>
      </c>
      <c r="O22" s="5">
        <v>78</v>
      </c>
      <c r="P22" s="7">
        <v>74</v>
      </c>
      <c r="Q22" s="26">
        <f t="shared" si="1"/>
        <v>80.5</v>
      </c>
    </row>
    <row r="23" spans="1:17" ht="13.5" thickBot="1">
      <c r="A23" s="3">
        <v>207</v>
      </c>
      <c r="B23" s="5" t="s">
        <v>4</v>
      </c>
      <c r="C23" s="5">
        <v>4</v>
      </c>
      <c r="D23" s="5">
        <v>108</v>
      </c>
      <c r="E23" s="5">
        <v>99</v>
      </c>
      <c r="F23" s="5">
        <v>98</v>
      </c>
      <c r="G23" s="5">
        <v>100</v>
      </c>
      <c r="H23" s="5">
        <v>110</v>
      </c>
      <c r="I23">
        <v>100</v>
      </c>
      <c r="J23" s="23">
        <f t="shared" si="0"/>
        <v>102.5</v>
      </c>
      <c r="K23" s="5">
        <v>98</v>
      </c>
      <c r="L23" s="5">
        <v>88</v>
      </c>
      <c r="M23" s="5">
        <v>91</v>
      </c>
      <c r="N23" s="5">
        <v>95</v>
      </c>
      <c r="O23" s="5">
        <v>83</v>
      </c>
      <c r="P23" s="7">
        <v>80</v>
      </c>
      <c r="Q23" s="26">
        <f t="shared" si="1"/>
        <v>89.166666666666671</v>
      </c>
    </row>
    <row r="24" spans="1:17" ht="13.5" thickBot="1">
      <c r="A24" s="4">
        <v>208</v>
      </c>
      <c r="B24" s="12" t="s">
        <v>13</v>
      </c>
      <c r="C24" s="12">
        <v>2</v>
      </c>
      <c r="D24" s="12">
        <v>97</v>
      </c>
      <c r="E24" s="12">
        <v>93</v>
      </c>
      <c r="F24" s="12">
        <v>98</v>
      </c>
      <c r="G24" s="12">
        <v>100</v>
      </c>
      <c r="H24" s="5">
        <v>97</v>
      </c>
      <c r="I24">
        <v>88</v>
      </c>
      <c r="J24" s="23">
        <f t="shared" si="0"/>
        <v>95.5</v>
      </c>
      <c r="K24" s="12">
        <v>83</v>
      </c>
      <c r="L24" s="12">
        <v>77</v>
      </c>
      <c r="M24" s="32">
        <v>90</v>
      </c>
      <c r="N24">
        <v>98</v>
      </c>
      <c r="O24" s="12">
        <v>86</v>
      </c>
      <c r="P24" s="13">
        <v>74</v>
      </c>
      <c r="Q24" s="26">
        <f t="shared" si="1"/>
        <v>84.666666666666671</v>
      </c>
    </row>
    <row r="25" spans="1:17" ht="13.5" thickBot="1">
      <c r="A25" s="2">
        <v>301</v>
      </c>
      <c r="B25" s="8" t="s">
        <v>6</v>
      </c>
      <c r="C25" s="8">
        <v>10</v>
      </c>
      <c r="D25" s="8">
        <v>85</v>
      </c>
      <c r="E25" s="8">
        <v>82</v>
      </c>
      <c r="F25" s="8">
        <v>77</v>
      </c>
      <c r="G25" s="8">
        <v>85</v>
      </c>
      <c r="H25" s="12">
        <v>82</v>
      </c>
      <c r="I25">
        <v>90</v>
      </c>
      <c r="J25" s="23">
        <f t="shared" si="0"/>
        <v>83.5</v>
      </c>
      <c r="K25" s="8">
        <v>85</v>
      </c>
      <c r="L25" s="8">
        <v>74</v>
      </c>
      <c r="M25" s="5">
        <v>93</v>
      </c>
      <c r="N25" s="5">
        <v>73</v>
      </c>
      <c r="O25" s="8">
        <v>77</v>
      </c>
      <c r="P25" s="9">
        <v>81</v>
      </c>
      <c r="Q25" s="26">
        <f t="shared" si="1"/>
        <v>80.5</v>
      </c>
    </row>
    <row r="26" spans="1:17" ht="13.5" thickBot="1">
      <c r="A26" s="3">
        <v>302</v>
      </c>
      <c r="B26" s="5" t="s">
        <v>4</v>
      </c>
      <c r="C26" s="5">
        <v>4</v>
      </c>
      <c r="D26" s="5">
        <v>100</v>
      </c>
      <c r="E26" s="5">
        <v>90</v>
      </c>
      <c r="F26" s="5">
        <v>100</v>
      </c>
      <c r="G26" s="5">
        <v>98</v>
      </c>
      <c r="H26" s="8">
        <v>97</v>
      </c>
      <c r="I26">
        <v>106</v>
      </c>
      <c r="J26" s="23">
        <f t="shared" si="0"/>
        <v>98.5</v>
      </c>
      <c r="K26" s="5">
        <v>882</v>
      </c>
      <c r="L26" s="5">
        <v>79</v>
      </c>
      <c r="M26" s="33">
        <v>97</v>
      </c>
      <c r="N26">
        <v>95</v>
      </c>
      <c r="O26" s="5">
        <v>90</v>
      </c>
      <c r="P26" s="7">
        <v>92</v>
      </c>
      <c r="Q26" s="26">
        <f t="shared" si="1"/>
        <v>222.5</v>
      </c>
    </row>
    <row r="27" spans="1:17" ht="13.5" thickBot="1">
      <c r="A27" s="3">
        <v>303</v>
      </c>
      <c r="B27" s="5" t="s">
        <v>12</v>
      </c>
      <c r="C27" s="5">
        <v>8</v>
      </c>
      <c r="D27" s="5">
        <v>94</v>
      </c>
      <c r="E27" s="5">
        <v>95</v>
      </c>
      <c r="F27" s="5">
        <v>98</v>
      </c>
      <c r="G27" s="5">
        <v>104</v>
      </c>
      <c r="H27" s="5">
        <v>95</v>
      </c>
      <c r="I27">
        <v>91</v>
      </c>
      <c r="J27" s="23">
        <f t="shared" si="0"/>
        <v>96.166666666666671</v>
      </c>
      <c r="K27" s="5">
        <v>102</v>
      </c>
      <c r="L27" s="5">
        <v>89</v>
      </c>
      <c r="M27" s="5">
        <v>93</v>
      </c>
      <c r="N27" s="5">
        <v>84</v>
      </c>
      <c r="O27" s="5">
        <v>91</v>
      </c>
      <c r="P27" s="7">
        <v>91</v>
      </c>
      <c r="Q27" s="26">
        <f t="shared" si="1"/>
        <v>91.666666666666671</v>
      </c>
    </row>
    <row r="28" spans="1:17" ht="13.5" thickBot="1">
      <c r="A28" s="3">
        <v>304</v>
      </c>
      <c r="B28" s="5" t="s">
        <v>13</v>
      </c>
      <c r="C28" s="5">
        <v>2</v>
      </c>
      <c r="D28" s="5">
        <v>102</v>
      </c>
      <c r="E28" s="5">
        <v>100</v>
      </c>
      <c r="F28" s="5">
        <v>108</v>
      </c>
      <c r="G28" s="5">
        <v>109</v>
      </c>
      <c r="H28" s="5">
        <v>107</v>
      </c>
      <c r="I28">
        <v>100</v>
      </c>
      <c r="J28" s="23">
        <f t="shared" si="0"/>
        <v>104.33333333333333</v>
      </c>
      <c r="K28" s="5">
        <v>98</v>
      </c>
      <c r="L28" s="5">
        <v>83</v>
      </c>
      <c r="M28" s="5">
        <v>86</v>
      </c>
      <c r="N28" s="5">
        <v>85</v>
      </c>
      <c r="O28" s="5">
        <v>94</v>
      </c>
      <c r="P28" s="7">
        <v>82</v>
      </c>
      <c r="Q28" s="26">
        <f t="shared" si="1"/>
        <v>88</v>
      </c>
    </row>
    <row r="29" spans="1:17" ht="13.5" thickBot="1">
      <c r="A29" s="3">
        <v>305</v>
      </c>
      <c r="B29" s="5" t="s">
        <v>11</v>
      </c>
      <c r="C29" s="5">
        <v>11</v>
      </c>
      <c r="D29" s="5">
        <v>107</v>
      </c>
      <c r="E29" s="5">
        <v>110</v>
      </c>
      <c r="F29" s="5">
        <v>102</v>
      </c>
      <c r="G29" s="5">
        <v>105</v>
      </c>
      <c r="H29" s="5">
        <v>105</v>
      </c>
      <c r="I29">
        <v>112</v>
      </c>
      <c r="J29" s="23">
        <f t="shared" si="0"/>
        <v>106.83333333333333</v>
      </c>
      <c r="K29" s="5">
        <v>94</v>
      </c>
      <c r="L29" s="5">
        <v>105</v>
      </c>
      <c r="M29" s="5">
        <v>99</v>
      </c>
      <c r="N29" s="5">
        <v>102</v>
      </c>
      <c r="O29" s="5">
        <v>96</v>
      </c>
      <c r="P29" s="7">
        <v>103</v>
      </c>
      <c r="Q29" s="26">
        <f t="shared" si="1"/>
        <v>99.833333333333329</v>
      </c>
    </row>
    <row r="30" spans="1:17" ht="13.5" thickBot="1">
      <c r="A30" s="3">
        <v>306</v>
      </c>
      <c r="B30" s="5" t="s">
        <v>4</v>
      </c>
      <c r="C30" s="5">
        <v>4</v>
      </c>
      <c r="D30" s="5">
        <v>98</v>
      </c>
      <c r="E30" s="5">
        <v>92</v>
      </c>
      <c r="F30" s="5">
        <v>92</v>
      </c>
      <c r="G30" s="5">
        <v>95</v>
      </c>
      <c r="H30" s="5">
        <v>105</v>
      </c>
      <c r="I30">
        <v>102</v>
      </c>
      <c r="J30" s="23">
        <f t="shared" si="0"/>
        <v>97.333333333333329</v>
      </c>
      <c r="K30" s="5">
        <v>99</v>
      </c>
      <c r="L30" s="5">
        <v>72</v>
      </c>
      <c r="M30" s="5">
        <v>86</v>
      </c>
      <c r="N30" s="5">
        <v>92</v>
      </c>
      <c r="O30" s="5">
        <v>81</v>
      </c>
      <c r="P30" s="7">
        <v>80</v>
      </c>
      <c r="Q30" s="26">
        <f t="shared" si="1"/>
        <v>85</v>
      </c>
    </row>
    <row r="31" spans="1:17" ht="13.5" thickBot="1">
      <c r="A31" s="3">
        <v>307</v>
      </c>
      <c r="B31" s="5" t="s">
        <v>7</v>
      </c>
      <c r="C31" s="5">
        <v>9</v>
      </c>
      <c r="D31" s="5">
        <v>105</v>
      </c>
      <c r="E31" s="5">
        <v>91</v>
      </c>
      <c r="F31" s="5">
        <v>94</v>
      </c>
      <c r="G31" s="5">
        <v>94</v>
      </c>
      <c r="H31" s="5">
        <v>84</v>
      </c>
      <c r="I31">
        <v>77</v>
      </c>
      <c r="J31" s="23">
        <f t="shared" si="0"/>
        <v>90.833333333333329</v>
      </c>
      <c r="K31" s="5">
        <v>84</v>
      </c>
      <c r="L31" s="5">
        <v>77</v>
      </c>
      <c r="M31" s="5">
        <v>85</v>
      </c>
      <c r="N31" s="5">
        <v>87</v>
      </c>
      <c r="O31" s="5">
        <v>90</v>
      </c>
      <c r="P31" s="7">
        <v>84</v>
      </c>
      <c r="Q31" s="26">
        <f t="shared" si="1"/>
        <v>84.5</v>
      </c>
    </row>
    <row r="32" spans="1:17" ht="13.5" thickBot="1">
      <c r="A32" s="4">
        <v>308</v>
      </c>
      <c r="B32" s="12" t="s">
        <v>5</v>
      </c>
      <c r="C32" s="12">
        <v>5</v>
      </c>
      <c r="D32" s="12">
        <v>87</v>
      </c>
      <c r="E32" s="12">
        <v>90</v>
      </c>
      <c r="F32" s="12">
        <v>73</v>
      </c>
      <c r="G32" s="12">
        <v>87</v>
      </c>
      <c r="H32" s="5">
        <v>85</v>
      </c>
      <c r="I32" s="12">
        <v>76</v>
      </c>
      <c r="J32" s="23">
        <f t="shared" si="0"/>
        <v>83</v>
      </c>
      <c r="K32" s="12">
        <v>91</v>
      </c>
      <c r="L32" s="12">
        <v>90</v>
      </c>
      <c r="M32" s="12">
        <v>86</v>
      </c>
      <c r="N32" s="12">
        <v>89</v>
      </c>
      <c r="O32" s="12">
        <v>82</v>
      </c>
      <c r="P32" s="13">
        <v>93</v>
      </c>
      <c r="Q32" s="26">
        <f t="shared" si="1"/>
        <v>88.5</v>
      </c>
    </row>
    <row r="33" spans="1:17" ht="13.5" thickBot="1">
      <c r="A33" s="2">
        <v>401</v>
      </c>
      <c r="B33" s="8" t="s">
        <v>14</v>
      </c>
      <c r="C33" s="8">
        <v>7</v>
      </c>
      <c r="D33" s="8">
        <v>75</v>
      </c>
      <c r="E33" s="8">
        <v>77</v>
      </c>
      <c r="F33" s="8">
        <v>88</v>
      </c>
      <c r="G33" s="8">
        <v>90</v>
      </c>
      <c r="H33" s="8">
        <v>82</v>
      </c>
      <c r="I33" s="8">
        <v>85</v>
      </c>
      <c r="J33" s="23">
        <f t="shared" si="0"/>
        <v>82.833333333333329</v>
      </c>
      <c r="K33" s="8">
        <v>88</v>
      </c>
      <c r="L33" s="8">
        <v>76</v>
      </c>
      <c r="M33" s="8">
        <v>76</v>
      </c>
      <c r="N33" s="8">
        <v>93</v>
      </c>
      <c r="O33" s="8">
        <v>82</v>
      </c>
      <c r="P33" s="9">
        <v>80</v>
      </c>
      <c r="Q33" s="26">
        <f t="shared" si="1"/>
        <v>82.5</v>
      </c>
    </row>
    <row r="34" spans="1:17" ht="13.5" thickBot="1">
      <c r="A34" s="3">
        <v>402</v>
      </c>
      <c r="B34" s="5" t="s">
        <v>7</v>
      </c>
      <c r="C34" s="5">
        <v>9</v>
      </c>
      <c r="D34" s="5">
        <v>88</v>
      </c>
      <c r="E34" s="5">
        <v>110</v>
      </c>
      <c r="F34" s="5">
        <v>101</v>
      </c>
      <c r="G34" s="5">
        <v>103</v>
      </c>
      <c r="H34" s="5">
        <v>96</v>
      </c>
      <c r="I34" s="5">
        <v>102</v>
      </c>
      <c r="J34" s="23">
        <f t="shared" si="0"/>
        <v>100</v>
      </c>
      <c r="K34" s="5">
        <v>93</v>
      </c>
      <c r="L34" s="5">
        <v>86</v>
      </c>
      <c r="M34" s="5">
        <v>81</v>
      </c>
      <c r="N34" s="5">
        <v>89</v>
      </c>
      <c r="O34" s="5">
        <v>90</v>
      </c>
      <c r="P34" s="7">
        <v>94</v>
      </c>
      <c r="Q34" s="26">
        <f t="shared" si="1"/>
        <v>88.833333333333329</v>
      </c>
    </row>
    <row r="35" spans="1:17" ht="13.5" thickBot="1">
      <c r="A35" s="3">
        <v>403</v>
      </c>
      <c r="B35" s="5" t="s">
        <v>15</v>
      </c>
      <c r="C35" s="5">
        <v>6</v>
      </c>
      <c r="D35" s="5">
        <v>88</v>
      </c>
      <c r="E35" s="5">
        <v>82</v>
      </c>
      <c r="F35" s="5">
        <v>85</v>
      </c>
      <c r="G35" s="5">
        <v>84</v>
      </c>
      <c r="H35" s="5">
        <v>82</v>
      </c>
      <c r="I35" s="5">
        <v>86</v>
      </c>
      <c r="J35" s="23">
        <f t="shared" si="0"/>
        <v>84.5</v>
      </c>
      <c r="K35" s="5">
        <v>93</v>
      </c>
      <c r="L35" s="5">
        <v>96</v>
      </c>
      <c r="M35" s="5">
        <v>91</v>
      </c>
      <c r="N35" s="5">
        <v>83</v>
      </c>
      <c r="O35" s="5">
        <v>93</v>
      </c>
      <c r="P35" s="7">
        <v>86</v>
      </c>
      <c r="Q35" s="26">
        <f t="shared" si="1"/>
        <v>90.333333333333329</v>
      </c>
    </row>
    <row r="36" spans="1:17" ht="13.5" thickBot="1">
      <c r="A36" s="3">
        <v>404</v>
      </c>
      <c r="B36" s="5" t="s">
        <v>8</v>
      </c>
      <c r="C36" s="5">
        <v>3</v>
      </c>
      <c r="D36" s="5">
        <v>93</v>
      </c>
      <c r="E36" s="5">
        <v>106</v>
      </c>
      <c r="F36" s="5">
        <v>99</v>
      </c>
      <c r="G36" s="5">
        <v>100</v>
      </c>
      <c r="H36" s="5">
        <v>101</v>
      </c>
      <c r="I36" s="5">
        <v>107</v>
      </c>
      <c r="J36" s="23">
        <f t="shared" si="0"/>
        <v>101</v>
      </c>
      <c r="K36" s="5">
        <v>92</v>
      </c>
      <c r="L36" s="5">
        <v>83</v>
      </c>
      <c r="M36" s="5">
        <v>94</v>
      </c>
      <c r="N36" s="5">
        <v>91</v>
      </c>
      <c r="O36" s="5">
        <v>90</v>
      </c>
      <c r="P36" s="7">
        <v>81</v>
      </c>
      <c r="Q36" s="26">
        <f t="shared" si="1"/>
        <v>88.5</v>
      </c>
    </row>
    <row r="37" spans="1:17" ht="13.5" thickBot="1">
      <c r="A37" s="3">
        <v>405</v>
      </c>
      <c r="B37" s="5" t="s">
        <v>15</v>
      </c>
      <c r="C37" s="5">
        <v>6</v>
      </c>
      <c r="D37" s="5">
        <v>83</v>
      </c>
      <c r="E37" s="5">
        <v>82</v>
      </c>
      <c r="F37" s="5">
        <v>83</v>
      </c>
      <c r="G37" s="5">
        <v>77</v>
      </c>
      <c r="H37" s="5">
        <v>70</v>
      </c>
      <c r="I37" s="5">
        <v>74</v>
      </c>
      <c r="J37" s="23">
        <f t="shared" si="0"/>
        <v>78.166666666666671</v>
      </c>
      <c r="K37" s="5">
        <v>96</v>
      </c>
      <c r="L37" s="5">
        <v>90</v>
      </c>
      <c r="M37" s="5">
        <v>91</v>
      </c>
      <c r="N37" s="5">
        <v>89</v>
      </c>
      <c r="O37" s="5">
        <v>97</v>
      </c>
      <c r="P37" s="7">
        <v>80</v>
      </c>
      <c r="Q37" s="26">
        <f t="shared" si="1"/>
        <v>90.5</v>
      </c>
    </row>
    <row r="38" spans="1:17" ht="13.5" thickBot="1">
      <c r="A38" s="3">
        <v>406</v>
      </c>
      <c r="B38" s="5" t="s">
        <v>8</v>
      </c>
      <c r="C38" s="5">
        <v>3</v>
      </c>
      <c r="D38" s="5">
        <v>101</v>
      </c>
      <c r="E38" s="5">
        <v>92</v>
      </c>
      <c r="F38" s="5">
        <v>102</v>
      </c>
      <c r="G38" s="5">
        <v>94</v>
      </c>
      <c r="H38" s="5">
        <v>110</v>
      </c>
      <c r="I38" s="5">
        <v>102</v>
      </c>
      <c r="J38" s="23">
        <f t="shared" si="0"/>
        <v>100.16666666666667</v>
      </c>
      <c r="K38" s="5">
        <v>93</v>
      </c>
      <c r="L38" s="5">
        <v>92</v>
      </c>
      <c r="M38" s="5">
        <v>83</v>
      </c>
      <c r="N38" s="5">
        <v>91</v>
      </c>
      <c r="O38" s="5">
        <v>89</v>
      </c>
      <c r="P38" s="7">
        <v>79</v>
      </c>
      <c r="Q38" s="26">
        <f t="shared" si="1"/>
        <v>87.833333333333329</v>
      </c>
    </row>
    <row r="39" spans="1:17" ht="13.5" thickBot="1">
      <c r="A39" s="3">
        <v>407</v>
      </c>
      <c r="B39" s="5" t="s">
        <v>14</v>
      </c>
      <c r="C39" s="5">
        <v>7</v>
      </c>
      <c r="D39" s="5">
        <v>92</v>
      </c>
      <c r="E39" s="5">
        <v>83</v>
      </c>
      <c r="F39" s="5">
        <v>86</v>
      </c>
      <c r="G39" s="5">
        <v>88</v>
      </c>
      <c r="H39" s="5">
        <v>84</v>
      </c>
      <c r="I39" s="5">
        <v>91</v>
      </c>
      <c r="J39" s="23">
        <f t="shared" si="0"/>
        <v>87.333333333333329</v>
      </c>
      <c r="K39" s="5">
        <v>85</v>
      </c>
      <c r="L39" s="5">
        <v>97</v>
      </c>
      <c r="M39" s="5">
        <v>101</v>
      </c>
      <c r="N39" s="5">
        <v>81</v>
      </c>
      <c r="O39" s="5">
        <v>82</v>
      </c>
      <c r="P39" s="7">
        <v>89</v>
      </c>
      <c r="Q39" s="26">
        <f t="shared" si="1"/>
        <v>89.166666666666671</v>
      </c>
    </row>
    <row r="40" spans="1:17" ht="13.5" thickBot="1">
      <c r="A40" s="4">
        <v>408</v>
      </c>
      <c r="B40" s="12" t="s">
        <v>6</v>
      </c>
      <c r="C40" s="12">
        <v>10</v>
      </c>
      <c r="D40" s="12">
        <v>78</v>
      </c>
      <c r="E40" s="12">
        <v>77</v>
      </c>
      <c r="F40" s="12">
        <v>71</v>
      </c>
      <c r="G40" s="12">
        <v>78</v>
      </c>
      <c r="H40" s="12">
        <v>67</v>
      </c>
      <c r="I40" s="12">
        <v>92</v>
      </c>
      <c r="J40" s="23">
        <f t="shared" si="0"/>
        <v>77.166666666666671</v>
      </c>
      <c r="K40" s="12">
        <v>74</v>
      </c>
      <c r="L40" s="12">
        <v>71</v>
      </c>
      <c r="M40" s="12">
        <v>76</v>
      </c>
      <c r="N40" s="12">
        <v>77</v>
      </c>
      <c r="O40" s="12">
        <v>78</v>
      </c>
      <c r="P40" s="13">
        <v>73</v>
      </c>
      <c r="Q40" s="26">
        <f t="shared" si="1"/>
        <v>74.833333333333329</v>
      </c>
    </row>
    <row r="41" spans="1:17" ht="13.5" thickBot="1">
      <c r="A41" s="2">
        <v>901</v>
      </c>
      <c r="B41" s="8" t="s">
        <v>16</v>
      </c>
      <c r="C41" s="8">
        <v>32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23">
        <f t="shared" si="0"/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9">
        <v>0</v>
      </c>
      <c r="Q41" s="26">
        <f t="shared" si="1"/>
        <v>0</v>
      </c>
    </row>
    <row r="42" spans="1:17" ht="13.5" thickBot="1">
      <c r="A42" s="3">
        <v>902</v>
      </c>
      <c r="B42" s="6">
        <v>37452</v>
      </c>
      <c r="C42" s="5">
        <v>22</v>
      </c>
      <c r="D42" s="5">
        <v>85</v>
      </c>
      <c r="E42" s="5">
        <v>81</v>
      </c>
      <c r="F42" s="5">
        <v>87</v>
      </c>
      <c r="G42" s="5">
        <v>103</v>
      </c>
      <c r="H42" s="5">
        <v>94</v>
      </c>
      <c r="I42" s="5">
        <v>101</v>
      </c>
      <c r="J42" s="23">
        <f t="shared" si="0"/>
        <v>91.833333333333329</v>
      </c>
      <c r="K42" s="5">
        <v>93</v>
      </c>
      <c r="L42" s="5">
        <v>83</v>
      </c>
      <c r="M42" s="5">
        <v>82</v>
      </c>
      <c r="N42" s="5">
        <v>89</v>
      </c>
      <c r="O42" s="5">
        <v>93</v>
      </c>
      <c r="P42" s="7">
        <v>89</v>
      </c>
      <c r="Q42" s="26">
        <f t="shared" si="1"/>
        <v>88.166666666666671</v>
      </c>
    </row>
    <row r="43" spans="1:17" ht="13.5" thickBot="1">
      <c r="A43" s="3">
        <v>903</v>
      </c>
      <c r="B43" s="5" t="s">
        <v>17</v>
      </c>
      <c r="C43" s="5">
        <v>31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23">
        <f t="shared" si="0"/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7">
        <v>0</v>
      </c>
      <c r="Q43" s="26">
        <f t="shared" si="1"/>
        <v>0</v>
      </c>
    </row>
    <row r="44" spans="1:17" ht="13.5" thickBot="1">
      <c r="A44" s="3">
        <v>904</v>
      </c>
      <c r="B44" s="6">
        <v>37408</v>
      </c>
      <c r="C44" s="5">
        <v>21</v>
      </c>
      <c r="D44" s="5">
        <v>60</v>
      </c>
      <c r="E44" s="5">
        <v>43</v>
      </c>
      <c r="F44" s="5">
        <v>58</v>
      </c>
      <c r="G44" s="5">
        <v>42</v>
      </c>
      <c r="H44" s="5">
        <v>50</v>
      </c>
      <c r="I44" s="5">
        <v>46</v>
      </c>
      <c r="J44" s="23">
        <f t="shared" si="0"/>
        <v>49.833333333333336</v>
      </c>
      <c r="K44" s="5">
        <v>61</v>
      </c>
      <c r="L44" s="5">
        <v>49</v>
      </c>
      <c r="M44" s="5">
        <v>61</v>
      </c>
      <c r="N44" s="5">
        <v>45</v>
      </c>
      <c r="O44" s="5">
        <v>66</v>
      </c>
      <c r="P44" s="7">
        <v>51</v>
      </c>
      <c r="Q44" s="26">
        <f t="shared" si="1"/>
        <v>55.5</v>
      </c>
    </row>
    <row r="45" spans="1:17" ht="13.5" thickBot="1">
      <c r="A45" s="3">
        <v>905</v>
      </c>
      <c r="B45" s="5" t="s">
        <v>16</v>
      </c>
      <c r="C45" s="5">
        <v>32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23">
        <f t="shared" si="0"/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7">
        <v>0</v>
      </c>
      <c r="Q45" s="26">
        <f t="shared" si="1"/>
        <v>0</v>
      </c>
    </row>
    <row r="46" spans="1:17" ht="13.5" thickBot="1">
      <c r="A46" s="3">
        <v>906</v>
      </c>
      <c r="B46" s="6">
        <v>37452</v>
      </c>
      <c r="C46" s="5">
        <v>22</v>
      </c>
      <c r="D46" s="5">
        <v>100</v>
      </c>
      <c r="E46" s="5">
        <v>96</v>
      </c>
      <c r="F46" s="5">
        <v>105</v>
      </c>
      <c r="G46" s="5">
        <v>110</v>
      </c>
      <c r="H46" s="5">
        <v>98</v>
      </c>
      <c r="I46" s="5">
        <v>106</v>
      </c>
      <c r="J46" s="23">
        <f t="shared" si="0"/>
        <v>102.5</v>
      </c>
      <c r="K46" s="5">
        <v>88</v>
      </c>
      <c r="L46" s="5">
        <v>80</v>
      </c>
      <c r="M46" s="5">
        <v>96</v>
      </c>
      <c r="N46" s="5">
        <v>92</v>
      </c>
      <c r="O46" s="5">
        <v>97</v>
      </c>
      <c r="P46" s="7">
        <v>88</v>
      </c>
      <c r="Q46" s="26">
        <f t="shared" si="1"/>
        <v>90.166666666666671</v>
      </c>
    </row>
    <row r="47" spans="1:17" ht="13.5" thickBot="1">
      <c r="A47" s="3">
        <v>907</v>
      </c>
      <c r="B47" s="5" t="s">
        <v>17</v>
      </c>
      <c r="C47" s="5">
        <v>31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23">
        <f t="shared" si="0"/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7">
        <v>0</v>
      </c>
      <c r="Q47" s="26">
        <f t="shared" si="1"/>
        <v>0</v>
      </c>
    </row>
    <row r="48" spans="1:17" ht="13.5" thickBot="1">
      <c r="A48" s="4">
        <v>908</v>
      </c>
      <c r="B48" s="15">
        <v>37408</v>
      </c>
      <c r="C48" s="12">
        <v>21</v>
      </c>
      <c r="D48" s="12">
        <v>61</v>
      </c>
      <c r="E48" s="12">
        <v>45</v>
      </c>
      <c r="F48" s="12">
        <v>50</v>
      </c>
      <c r="G48" s="12">
        <v>42</v>
      </c>
      <c r="H48" s="12">
        <v>51</v>
      </c>
      <c r="I48" s="12">
        <v>52</v>
      </c>
      <c r="J48" s="23">
        <f t="shared" si="0"/>
        <v>50.166666666666664</v>
      </c>
      <c r="K48" s="12">
        <v>54</v>
      </c>
      <c r="L48" s="12">
        <v>58</v>
      </c>
      <c r="M48" s="12">
        <v>51</v>
      </c>
      <c r="N48" s="12">
        <v>51</v>
      </c>
      <c r="O48" s="12">
        <v>52</v>
      </c>
      <c r="P48" s="13">
        <v>41</v>
      </c>
      <c r="Q48" s="27">
        <f t="shared" si="1"/>
        <v>51.166666666666664</v>
      </c>
    </row>
  </sheetData>
  <phoneticPr fontId="0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9520F-473D-461F-8BDA-225A54F16E79}">
  <dimension ref="A1:Q48"/>
  <sheetViews>
    <sheetView workbookViewId="0">
      <selection activeCell="Q9" sqref="Q9:Q48"/>
    </sheetView>
  </sheetViews>
  <sheetFormatPr defaultRowHeight="12.75"/>
  <sheetData>
    <row r="1" spans="1:17">
      <c r="A1" t="s">
        <v>19</v>
      </c>
    </row>
    <row r="2" spans="1:17">
      <c r="A2" s="1"/>
    </row>
    <row r="3" spans="1:17">
      <c r="A3" s="30">
        <v>37474</v>
      </c>
    </row>
    <row r="4" spans="1:17">
      <c r="A4" s="31" t="s">
        <v>50</v>
      </c>
      <c r="E4" t="s">
        <v>30</v>
      </c>
    </row>
    <row r="5" spans="1:17">
      <c r="A5" s="1" t="s">
        <v>22</v>
      </c>
    </row>
    <row r="6" spans="1:17" ht="13.5" thickBot="1"/>
    <row r="7" spans="1:17" ht="13.5" thickBot="1">
      <c r="D7" s="2"/>
      <c r="E7" s="18"/>
      <c r="F7" s="19" t="s">
        <v>2</v>
      </c>
      <c r="G7" s="18"/>
      <c r="H7" s="18"/>
      <c r="I7" s="20"/>
      <c r="J7" s="18"/>
      <c r="K7" s="2"/>
      <c r="L7" s="18"/>
      <c r="M7" s="18" t="s">
        <v>1</v>
      </c>
      <c r="N7" s="18"/>
      <c r="O7" s="18"/>
      <c r="P7" s="18"/>
      <c r="Q7" s="24"/>
    </row>
    <row r="8" spans="1:17" ht="13.5" thickBot="1">
      <c r="A8" s="16" t="s">
        <v>0</v>
      </c>
      <c r="B8" s="17" t="s">
        <v>9</v>
      </c>
      <c r="C8" s="17" t="s">
        <v>18</v>
      </c>
      <c r="D8" s="21" t="s">
        <v>24</v>
      </c>
      <c r="E8" s="12" t="s">
        <v>25</v>
      </c>
      <c r="F8" s="12" t="s">
        <v>26</v>
      </c>
      <c r="G8" s="12" t="s">
        <v>27</v>
      </c>
      <c r="H8" s="12" t="s">
        <v>28</v>
      </c>
      <c r="I8" s="35" t="s">
        <v>29</v>
      </c>
      <c r="J8" s="22" t="s">
        <v>31</v>
      </c>
      <c r="K8" s="21" t="s">
        <v>24</v>
      </c>
      <c r="L8" s="12" t="s">
        <v>25</v>
      </c>
      <c r="M8" s="12" t="s">
        <v>26</v>
      </c>
      <c r="N8" s="12" t="s">
        <v>27</v>
      </c>
      <c r="O8" s="12" t="s">
        <v>28</v>
      </c>
      <c r="P8" s="13" t="s">
        <v>29</v>
      </c>
      <c r="Q8" s="25" t="s">
        <v>32</v>
      </c>
    </row>
    <row r="9" spans="1:17" ht="13.5" thickBot="1">
      <c r="A9" s="2">
        <v>101</v>
      </c>
      <c r="B9" s="8" t="s">
        <v>3</v>
      </c>
      <c r="C9" s="9">
        <v>1</v>
      </c>
      <c r="D9" s="8">
        <v>107</v>
      </c>
      <c r="E9" s="8">
        <v>93</v>
      </c>
      <c r="F9" s="8">
        <v>98</v>
      </c>
      <c r="G9" s="8">
        <v>99</v>
      </c>
      <c r="H9" s="8">
        <v>110</v>
      </c>
      <c r="I9" s="5">
        <v>123</v>
      </c>
      <c r="J9" s="23">
        <f>AVERAGE(D9:I9)</f>
        <v>105</v>
      </c>
      <c r="K9" s="8">
        <v>88</v>
      </c>
      <c r="L9" s="8">
        <v>100</v>
      </c>
      <c r="M9" s="8">
        <v>93</v>
      </c>
      <c r="N9" s="8">
        <v>103</v>
      </c>
      <c r="O9" s="8">
        <v>100</v>
      </c>
      <c r="P9" s="9">
        <v>89</v>
      </c>
      <c r="Q9" s="26">
        <f>AVERAGE(K9:P9)</f>
        <v>95.5</v>
      </c>
    </row>
    <row r="10" spans="1:17" ht="13.5" thickBot="1">
      <c r="A10" s="3">
        <v>102</v>
      </c>
      <c r="B10" s="5" t="s">
        <v>4</v>
      </c>
      <c r="C10" s="7">
        <v>4</v>
      </c>
      <c r="D10" s="5">
        <v>96</v>
      </c>
      <c r="E10" s="5">
        <v>96</v>
      </c>
      <c r="F10" s="5">
        <v>108</v>
      </c>
      <c r="G10" s="5">
        <v>101</v>
      </c>
      <c r="H10" s="5">
        <v>103</v>
      </c>
      <c r="I10" s="5">
        <v>100</v>
      </c>
      <c r="J10" s="23">
        <f t="shared" ref="J10:J48" si="0">AVERAGE(D10:I10)</f>
        <v>100.66666666666667</v>
      </c>
      <c r="K10" s="5">
        <v>100</v>
      </c>
      <c r="L10" s="5">
        <v>83</v>
      </c>
      <c r="M10" s="5">
        <v>78</v>
      </c>
      <c r="N10" s="5">
        <v>85</v>
      </c>
      <c r="O10" s="5">
        <v>83</v>
      </c>
      <c r="P10" s="7">
        <v>93</v>
      </c>
      <c r="Q10" s="26">
        <f t="shared" ref="Q10:Q48" si="1">AVERAGE(K10:P10)</f>
        <v>87</v>
      </c>
    </row>
    <row r="11" spans="1:17" ht="13.5" thickBot="1">
      <c r="A11" s="3">
        <v>103</v>
      </c>
      <c r="B11" s="5" t="s">
        <v>5</v>
      </c>
      <c r="C11" s="7">
        <v>5</v>
      </c>
      <c r="D11" s="5">
        <v>102</v>
      </c>
      <c r="E11" s="5">
        <v>107</v>
      </c>
      <c r="F11" s="5">
        <v>105</v>
      </c>
      <c r="G11" s="5">
        <v>103</v>
      </c>
      <c r="H11" s="5">
        <v>101</v>
      </c>
      <c r="I11" s="5">
        <v>100</v>
      </c>
      <c r="J11" s="23">
        <f t="shared" si="0"/>
        <v>103</v>
      </c>
      <c r="K11" s="5">
        <v>87</v>
      </c>
      <c r="L11" s="5">
        <v>101</v>
      </c>
      <c r="M11" s="5">
        <v>103</v>
      </c>
      <c r="N11" s="5">
        <v>98</v>
      </c>
      <c r="O11" s="5">
        <v>95</v>
      </c>
      <c r="P11" s="7">
        <v>109</v>
      </c>
      <c r="Q11" s="26">
        <f t="shared" si="1"/>
        <v>98.833333333333329</v>
      </c>
    </row>
    <row r="12" spans="1:17" ht="13.5" thickBot="1">
      <c r="A12" s="3">
        <v>104</v>
      </c>
      <c r="B12" s="5" t="s">
        <v>6</v>
      </c>
      <c r="C12" s="7">
        <v>10</v>
      </c>
      <c r="D12" s="5">
        <v>73</v>
      </c>
      <c r="E12" s="5">
        <v>71</v>
      </c>
      <c r="F12" s="5">
        <v>86</v>
      </c>
      <c r="G12" s="5">
        <v>100</v>
      </c>
      <c r="H12" s="5">
        <v>87</v>
      </c>
      <c r="I12" s="5">
        <v>88</v>
      </c>
      <c r="J12" s="23">
        <f t="shared" si="0"/>
        <v>84.166666666666671</v>
      </c>
      <c r="K12" s="5">
        <v>74</v>
      </c>
      <c r="L12" s="5">
        <v>88</v>
      </c>
      <c r="M12" s="5">
        <v>86</v>
      </c>
      <c r="N12" s="5">
        <v>88</v>
      </c>
      <c r="O12" s="5">
        <v>93</v>
      </c>
      <c r="P12" s="7">
        <v>86</v>
      </c>
      <c r="Q12" s="26">
        <f t="shared" si="1"/>
        <v>85.833333333333329</v>
      </c>
    </row>
    <row r="13" spans="1:17" ht="13.5" thickBot="1">
      <c r="A13" s="3">
        <v>105</v>
      </c>
      <c r="B13" s="5" t="s">
        <v>10</v>
      </c>
      <c r="C13" s="7">
        <v>12</v>
      </c>
      <c r="D13" s="5">
        <v>93</v>
      </c>
      <c r="E13" s="5">
        <v>106</v>
      </c>
      <c r="F13" s="5">
        <v>94</v>
      </c>
      <c r="G13" s="5">
        <v>94</v>
      </c>
      <c r="H13" s="5">
        <v>88</v>
      </c>
      <c r="I13" s="5">
        <v>91</v>
      </c>
      <c r="J13" s="23">
        <f t="shared" si="0"/>
        <v>94.333333333333329</v>
      </c>
      <c r="K13" s="5">
        <v>88</v>
      </c>
      <c r="L13" s="5">
        <v>95</v>
      </c>
      <c r="M13" s="5">
        <v>103</v>
      </c>
      <c r="N13" s="5">
        <v>97</v>
      </c>
      <c r="O13" s="5">
        <v>95</v>
      </c>
      <c r="P13" s="7">
        <v>95</v>
      </c>
      <c r="Q13" s="26">
        <f t="shared" si="1"/>
        <v>95.5</v>
      </c>
    </row>
    <row r="14" spans="1:17" ht="13.5" thickBot="1">
      <c r="A14" s="3">
        <v>106</v>
      </c>
      <c r="B14" s="5" t="s">
        <v>7</v>
      </c>
      <c r="C14" s="7">
        <v>9</v>
      </c>
      <c r="D14" s="5">
        <v>93</v>
      </c>
      <c r="E14" s="5">
        <v>113</v>
      </c>
      <c r="F14" s="5">
        <v>96</v>
      </c>
      <c r="G14" s="5">
        <v>99</v>
      </c>
      <c r="H14" s="5">
        <v>94</v>
      </c>
      <c r="I14" s="5">
        <v>103</v>
      </c>
      <c r="J14" s="23">
        <f t="shared" si="0"/>
        <v>99.666666666666671</v>
      </c>
      <c r="K14" s="5">
        <v>89</v>
      </c>
      <c r="L14" s="5">
        <v>86</v>
      </c>
      <c r="M14" s="5">
        <v>96</v>
      </c>
      <c r="N14" s="5">
        <v>92</v>
      </c>
      <c r="O14" s="5">
        <v>98</v>
      </c>
      <c r="P14" s="7">
        <v>92</v>
      </c>
      <c r="Q14" s="26">
        <f t="shared" si="1"/>
        <v>92.166666666666671</v>
      </c>
    </row>
    <row r="15" spans="1:17" ht="13.5" thickBot="1">
      <c r="A15" s="3">
        <v>107</v>
      </c>
      <c r="B15" s="5" t="s">
        <v>6</v>
      </c>
      <c r="C15" s="7">
        <v>10</v>
      </c>
      <c r="D15" s="5">
        <v>98</v>
      </c>
      <c r="E15" s="5">
        <v>95</v>
      </c>
      <c r="F15" s="5">
        <v>95</v>
      </c>
      <c r="G15" s="5">
        <v>92</v>
      </c>
      <c r="H15" s="5">
        <v>100</v>
      </c>
      <c r="I15" s="5">
        <v>105</v>
      </c>
      <c r="J15" s="23">
        <f t="shared" si="0"/>
        <v>97.5</v>
      </c>
      <c r="K15" s="5">
        <v>85</v>
      </c>
      <c r="L15" s="5">
        <v>93</v>
      </c>
      <c r="M15" s="5">
        <v>89</v>
      </c>
      <c r="N15" s="5">
        <v>105</v>
      </c>
      <c r="O15" s="5">
        <v>95</v>
      </c>
      <c r="P15" s="7">
        <v>84</v>
      </c>
      <c r="Q15" s="26">
        <f t="shared" si="1"/>
        <v>91.833333333333329</v>
      </c>
    </row>
    <row r="16" spans="1:17" ht="13.5" thickBot="1">
      <c r="A16" s="4">
        <v>108</v>
      </c>
      <c r="B16" s="12" t="s">
        <v>8</v>
      </c>
      <c r="C16" s="13">
        <v>3</v>
      </c>
      <c r="D16" s="12">
        <v>95</v>
      </c>
      <c r="E16" s="12">
        <v>97</v>
      </c>
      <c r="F16" s="12">
        <v>108</v>
      </c>
      <c r="G16" s="12">
        <v>103</v>
      </c>
      <c r="H16" s="5">
        <v>103</v>
      </c>
      <c r="I16" s="5">
        <v>105</v>
      </c>
      <c r="J16" s="23">
        <f t="shared" si="0"/>
        <v>101.83333333333333</v>
      </c>
      <c r="K16" s="12">
        <v>90</v>
      </c>
      <c r="L16" s="12">
        <v>87</v>
      </c>
      <c r="M16" s="12">
        <v>92</v>
      </c>
      <c r="N16" s="12">
        <v>102</v>
      </c>
      <c r="O16" s="12">
        <v>92</v>
      </c>
      <c r="P16" s="13">
        <v>92</v>
      </c>
      <c r="Q16" s="26">
        <f t="shared" si="1"/>
        <v>92.5</v>
      </c>
    </row>
    <row r="17" spans="1:17" ht="13.5" thickBot="1">
      <c r="A17" s="2">
        <v>201</v>
      </c>
      <c r="B17" s="8" t="s">
        <v>10</v>
      </c>
      <c r="C17" s="8">
        <v>12</v>
      </c>
      <c r="D17" s="8">
        <v>98</v>
      </c>
      <c r="E17" s="8">
        <v>98</v>
      </c>
      <c r="F17" s="8">
        <v>90</v>
      </c>
      <c r="G17" s="8">
        <v>83</v>
      </c>
      <c r="H17" s="12">
        <v>87</v>
      </c>
      <c r="I17" s="5">
        <v>85</v>
      </c>
      <c r="J17" s="23">
        <f t="shared" si="0"/>
        <v>90.166666666666671</v>
      </c>
      <c r="K17" s="8">
        <v>92</v>
      </c>
      <c r="L17" s="8">
        <v>98</v>
      </c>
      <c r="M17" s="8">
        <v>99</v>
      </c>
      <c r="N17" s="8">
        <v>83</v>
      </c>
      <c r="O17" s="8">
        <v>88</v>
      </c>
      <c r="P17" s="9">
        <v>92</v>
      </c>
      <c r="Q17" s="26">
        <f t="shared" si="1"/>
        <v>92</v>
      </c>
    </row>
    <row r="18" spans="1:17" ht="13.5" thickBot="1">
      <c r="A18" s="3">
        <v>202</v>
      </c>
      <c r="B18" s="5" t="s">
        <v>7</v>
      </c>
      <c r="C18" s="5">
        <v>9</v>
      </c>
      <c r="D18" s="5">
        <v>88</v>
      </c>
      <c r="E18" s="5">
        <v>81</v>
      </c>
      <c r="F18" s="5">
        <v>99</v>
      </c>
      <c r="G18" s="5">
        <v>108</v>
      </c>
      <c r="H18" s="8">
        <v>85</v>
      </c>
      <c r="I18" s="5">
        <v>90</v>
      </c>
      <c r="J18" s="23">
        <f t="shared" si="0"/>
        <v>91.833333333333329</v>
      </c>
      <c r="K18" s="5">
        <v>94</v>
      </c>
      <c r="L18" s="5">
        <v>93</v>
      </c>
      <c r="M18" s="5">
        <v>94</v>
      </c>
      <c r="N18" s="5">
        <v>87</v>
      </c>
      <c r="O18" s="5">
        <v>82</v>
      </c>
      <c r="P18" s="7">
        <v>83</v>
      </c>
      <c r="Q18" s="26">
        <f t="shared" si="1"/>
        <v>88.833333333333329</v>
      </c>
    </row>
    <row r="19" spans="1:17" ht="13.5" thickBot="1">
      <c r="A19" s="3">
        <v>203</v>
      </c>
      <c r="B19" s="5" t="s">
        <v>8</v>
      </c>
      <c r="C19" s="5">
        <v>3</v>
      </c>
      <c r="D19" s="5">
        <v>120</v>
      </c>
      <c r="E19" s="5">
        <v>121</v>
      </c>
      <c r="F19" s="5">
        <v>107</v>
      </c>
      <c r="G19" s="5">
        <v>106</v>
      </c>
      <c r="H19" s="5">
        <v>100</v>
      </c>
      <c r="I19" s="5">
        <v>104</v>
      </c>
      <c r="J19" s="23">
        <f t="shared" si="0"/>
        <v>109.66666666666667</v>
      </c>
      <c r="K19" s="5">
        <v>95</v>
      </c>
      <c r="L19" s="5">
        <v>95</v>
      </c>
      <c r="M19" s="5">
        <v>96</v>
      </c>
      <c r="N19" s="5">
        <v>98</v>
      </c>
      <c r="O19" s="5">
        <v>95</v>
      </c>
      <c r="P19" s="7">
        <v>94</v>
      </c>
      <c r="Q19" s="26">
        <f t="shared" si="1"/>
        <v>95.5</v>
      </c>
    </row>
    <row r="20" spans="1:17" ht="13.5" thickBot="1">
      <c r="A20" s="3">
        <v>204</v>
      </c>
      <c r="B20" s="5" t="s">
        <v>11</v>
      </c>
      <c r="C20" s="5">
        <v>11</v>
      </c>
      <c r="D20" s="5">
        <v>112</v>
      </c>
      <c r="E20" s="5">
        <v>100</v>
      </c>
      <c r="F20" s="5">
        <v>102</v>
      </c>
      <c r="G20" s="5">
        <v>105</v>
      </c>
      <c r="H20" s="5">
        <v>106</v>
      </c>
      <c r="I20" s="5">
        <v>105</v>
      </c>
      <c r="J20" s="23">
        <f t="shared" si="0"/>
        <v>105</v>
      </c>
      <c r="K20" s="5">
        <v>100</v>
      </c>
      <c r="L20" s="5">
        <v>100</v>
      </c>
      <c r="M20" s="5">
        <v>100</v>
      </c>
      <c r="N20" s="5">
        <v>100</v>
      </c>
      <c r="O20" s="5">
        <v>100</v>
      </c>
      <c r="P20" s="7">
        <v>100</v>
      </c>
      <c r="Q20" s="26">
        <f t="shared" si="1"/>
        <v>100</v>
      </c>
    </row>
    <row r="21" spans="1:17" ht="13.5" thickBot="1">
      <c r="A21" s="3">
        <v>205</v>
      </c>
      <c r="B21" s="5" t="s">
        <v>3</v>
      </c>
      <c r="C21" s="5">
        <v>1</v>
      </c>
      <c r="D21" s="5">
        <v>122</v>
      </c>
      <c r="E21" s="5">
        <v>103</v>
      </c>
      <c r="F21" s="5">
        <v>105</v>
      </c>
      <c r="G21" s="5">
        <v>127</v>
      </c>
      <c r="H21" s="5">
        <v>122</v>
      </c>
      <c r="I21" s="5">
        <v>106</v>
      </c>
      <c r="J21" s="23">
        <f t="shared" si="0"/>
        <v>114.16666666666667</v>
      </c>
      <c r="K21" s="5">
        <v>98</v>
      </c>
      <c r="L21" s="5">
        <v>94</v>
      </c>
      <c r="M21" s="5">
        <v>107</v>
      </c>
      <c r="N21" s="5">
        <v>89</v>
      </c>
      <c r="O21" s="5">
        <v>100</v>
      </c>
      <c r="P21" s="7">
        <v>93</v>
      </c>
      <c r="Q21" s="26">
        <f t="shared" si="1"/>
        <v>96.833333333333329</v>
      </c>
    </row>
    <row r="22" spans="1:17" ht="13.5" thickBot="1">
      <c r="A22" s="3">
        <v>206</v>
      </c>
      <c r="B22" s="5" t="s">
        <v>12</v>
      </c>
      <c r="C22" s="5">
        <v>8</v>
      </c>
      <c r="D22" s="5">
        <v>90</v>
      </c>
      <c r="E22" s="5">
        <v>83</v>
      </c>
      <c r="F22" s="5">
        <v>96</v>
      </c>
      <c r="G22" s="5">
        <v>81</v>
      </c>
      <c r="H22" s="5">
        <v>93</v>
      </c>
      <c r="I22" s="5">
        <v>90</v>
      </c>
      <c r="J22" s="23">
        <f t="shared" si="0"/>
        <v>88.833333333333329</v>
      </c>
      <c r="K22" s="5">
        <v>82</v>
      </c>
      <c r="L22" s="5">
        <v>82</v>
      </c>
      <c r="M22" s="5">
        <v>91</v>
      </c>
      <c r="N22" s="5">
        <v>93</v>
      </c>
      <c r="O22" s="5">
        <v>100</v>
      </c>
      <c r="P22" s="7">
        <v>73</v>
      </c>
      <c r="Q22" s="26">
        <f t="shared" si="1"/>
        <v>86.833333333333329</v>
      </c>
    </row>
    <row r="23" spans="1:17" ht="13.5" thickBot="1">
      <c r="A23" s="3">
        <v>207</v>
      </c>
      <c r="B23" s="5" t="s">
        <v>4</v>
      </c>
      <c r="C23" s="5">
        <v>4</v>
      </c>
      <c r="D23" s="5">
        <v>107</v>
      </c>
      <c r="E23" s="5">
        <v>104</v>
      </c>
      <c r="F23" s="5">
        <v>105</v>
      </c>
      <c r="G23" s="5">
        <v>126</v>
      </c>
      <c r="H23" s="5">
        <v>104</v>
      </c>
      <c r="I23" s="5">
        <v>107</v>
      </c>
      <c r="J23" s="23">
        <f t="shared" si="0"/>
        <v>108.83333333333333</v>
      </c>
      <c r="K23" s="5">
        <v>103</v>
      </c>
      <c r="L23" s="5">
        <v>93</v>
      </c>
      <c r="M23" s="5">
        <v>100</v>
      </c>
      <c r="N23" s="5">
        <v>100</v>
      </c>
      <c r="O23" s="5">
        <v>100</v>
      </c>
      <c r="P23" s="7">
        <v>100</v>
      </c>
      <c r="Q23" s="26">
        <f t="shared" si="1"/>
        <v>99.333333333333329</v>
      </c>
    </row>
    <row r="24" spans="1:17" ht="13.5" thickBot="1">
      <c r="A24" s="4">
        <v>208</v>
      </c>
      <c r="B24" s="12" t="s">
        <v>13</v>
      </c>
      <c r="C24" s="12">
        <v>2</v>
      </c>
      <c r="D24" s="12">
        <v>103</v>
      </c>
      <c r="E24" s="12">
        <v>97</v>
      </c>
      <c r="F24" s="12">
        <v>96</v>
      </c>
      <c r="G24" s="12">
        <v>98</v>
      </c>
      <c r="H24" s="5">
        <v>100</v>
      </c>
      <c r="I24" s="5">
        <v>95</v>
      </c>
      <c r="J24" s="23">
        <f t="shared" si="0"/>
        <v>98.166666666666671</v>
      </c>
      <c r="K24" s="12">
        <v>90</v>
      </c>
      <c r="L24" s="12">
        <v>83</v>
      </c>
      <c r="M24" s="32">
        <v>93</v>
      </c>
      <c r="N24">
        <v>104</v>
      </c>
      <c r="O24" s="12">
        <v>100</v>
      </c>
      <c r="P24" s="13">
        <v>81</v>
      </c>
      <c r="Q24" s="26">
        <f t="shared" si="1"/>
        <v>91.833333333333329</v>
      </c>
    </row>
    <row r="25" spans="1:17" ht="13.5" thickBot="1">
      <c r="A25" s="2">
        <v>301</v>
      </c>
      <c r="B25" s="8" t="s">
        <v>6</v>
      </c>
      <c r="C25" s="8">
        <v>10</v>
      </c>
      <c r="D25" s="8">
        <v>89</v>
      </c>
      <c r="E25" s="8">
        <v>80</v>
      </c>
      <c r="F25" s="8">
        <v>78</v>
      </c>
      <c r="G25" s="8">
        <v>85</v>
      </c>
      <c r="H25" s="12">
        <v>83</v>
      </c>
      <c r="I25" s="5">
        <v>94</v>
      </c>
      <c r="J25" s="23">
        <f t="shared" si="0"/>
        <v>84.833333333333329</v>
      </c>
      <c r="K25" s="8">
        <v>95</v>
      </c>
      <c r="L25" s="8">
        <v>79</v>
      </c>
      <c r="M25" s="5">
        <v>100</v>
      </c>
      <c r="N25" s="5">
        <v>82</v>
      </c>
      <c r="O25" s="8">
        <v>81</v>
      </c>
      <c r="P25" s="9">
        <v>89</v>
      </c>
      <c r="Q25" s="26">
        <f t="shared" si="1"/>
        <v>87.666666666666671</v>
      </c>
    </row>
    <row r="26" spans="1:17" ht="13.5" thickBot="1">
      <c r="A26" s="3">
        <v>302</v>
      </c>
      <c r="B26" s="5" t="s">
        <v>4</v>
      </c>
      <c r="C26" s="5">
        <v>4</v>
      </c>
      <c r="D26" s="5">
        <v>107</v>
      </c>
      <c r="E26" s="5">
        <v>88</v>
      </c>
      <c r="F26" s="5">
        <v>95</v>
      </c>
      <c r="G26" s="5">
        <v>100</v>
      </c>
      <c r="H26" s="8">
        <v>91</v>
      </c>
      <c r="I26" s="5">
        <v>107</v>
      </c>
      <c r="J26" s="23">
        <f t="shared" si="0"/>
        <v>98</v>
      </c>
      <c r="K26" s="5">
        <v>86</v>
      </c>
      <c r="L26" s="5">
        <v>88</v>
      </c>
      <c r="M26" s="33">
        <v>87</v>
      </c>
      <c r="N26">
        <v>85</v>
      </c>
      <c r="O26" s="5">
        <v>75</v>
      </c>
      <c r="P26" s="7">
        <v>86</v>
      </c>
      <c r="Q26" s="26">
        <f t="shared" si="1"/>
        <v>84.5</v>
      </c>
    </row>
    <row r="27" spans="1:17" ht="13.5" thickBot="1">
      <c r="A27" s="3">
        <v>303</v>
      </c>
      <c r="B27" s="5" t="s">
        <v>12</v>
      </c>
      <c r="C27" s="5">
        <v>8</v>
      </c>
      <c r="D27" s="5">
        <v>87</v>
      </c>
      <c r="E27" s="5">
        <v>93</v>
      </c>
      <c r="F27" s="5">
        <v>100</v>
      </c>
      <c r="G27" s="5">
        <v>102</v>
      </c>
      <c r="H27" s="5">
        <v>108</v>
      </c>
      <c r="I27" s="5">
        <v>92</v>
      </c>
      <c r="J27" s="23">
        <f t="shared" si="0"/>
        <v>97</v>
      </c>
      <c r="K27" s="5">
        <v>89</v>
      </c>
      <c r="L27" s="5">
        <v>93</v>
      </c>
      <c r="M27" s="5">
        <v>89</v>
      </c>
      <c r="N27" s="5">
        <v>79</v>
      </c>
      <c r="O27" s="5">
        <v>97</v>
      </c>
      <c r="P27" s="7">
        <v>100</v>
      </c>
      <c r="Q27" s="26">
        <f t="shared" si="1"/>
        <v>91.166666666666671</v>
      </c>
    </row>
    <row r="28" spans="1:17" ht="13.5" thickBot="1">
      <c r="A28" s="3">
        <v>304</v>
      </c>
      <c r="B28" s="5" t="s">
        <v>13</v>
      </c>
      <c r="C28" s="5">
        <v>2</v>
      </c>
      <c r="D28" s="5">
        <v>105</v>
      </c>
      <c r="E28" s="5">
        <v>102</v>
      </c>
      <c r="F28" s="5">
        <v>109</v>
      </c>
      <c r="G28" s="5">
        <v>101</v>
      </c>
      <c r="H28" s="5">
        <v>105</v>
      </c>
      <c r="I28" s="5">
        <v>104</v>
      </c>
      <c r="J28" s="23">
        <f t="shared" si="0"/>
        <v>104.33333333333333</v>
      </c>
      <c r="K28" s="5">
        <v>108</v>
      </c>
      <c r="L28" s="5">
        <v>93</v>
      </c>
      <c r="M28" s="5">
        <v>91</v>
      </c>
      <c r="N28" s="5">
        <v>90</v>
      </c>
      <c r="O28" s="5">
        <v>93</v>
      </c>
      <c r="P28" s="7">
        <v>84</v>
      </c>
      <c r="Q28" s="26">
        <f t="shared" si="1"/>
        <v>93.166666666666671</v>
      </c>
    </row>
    <row r="29" spans="1:17" ht="13.5" thickBot="1">
      <c r="A29" s="3">
        <v>305</v>
      </c>
      <c r="B29" s="5" t="s">
        <v>11</v>
      </c>
      <c r="C29" s="5">
        <v>11</v>
      </c>
      <c r="D29" s="5">
        <v>108</v>
      </c>
      <c r="E29" s="5">
        <v>106</v>
      </c>
      <c r="F29" s="5">
        <v>106</v>
      </c>
      <c r="G29" s="5">
        <v>103</v>
      </c>
      <c r="H29" s="5">
        <v>104</v>
      </c>
      <c r="I29" s="5">
        <v>104</v>
      </c>
      <c r="J29" s="23">
        <f t="shared" si="0"/>
        <v>105.16666666666667</v>
      </c>
      <c r="K29" s="5">
        <v>108</v>
      </c>
      <c r="L29" s="5">
        <v>108</v>
      </c>
      <c r="M29" s="5">
        <v>104</v>
      </c>
      <c r="N29" s="5">
        <v>97</v>
      </c>
      <c r="O29" s="5">
        <v>97</v>
      </c>
      <c r="P29" s="7">
        <v>93</v>
      </c>
      <c r="Q29" s="26">
        <f t="shared" si="1"/>
        <v>101.16666666666667</v>
      </c>
    </row>
    <row r="30" spans="1:17" ht="13.5" thickBot="1">
      <c r="A30" s="3">
        <v>306</v>
      </c>
      <c r="B30" s="5" t="s">
        <v>4</v>
      </c>
      <c r="C30" s="5">
        <v>4</v>
      </c>
      <c r="D30" s="5">
        <v>100</v>
      </c>
      <c r="E30" s="5">
        <v>92</v>
      </c>
      <c r="F30" s="5">
        <v>87</v>
      </c>
      <c r="G30" s="5">
        <v>93</v>
      </c>
      <c r="H30" s="5">
        <v>107</v>
      </c>
      <c r="I30" s="5">
        <v>105</v>
      </c>
      <c r="J30" s="23">
        <f t="shared" si="0"/>
        <v>97.333333333333329</v>
      </c>
      <c r="K30" s="5">
        <v>103</v>
      </c>
      <c r="L30" s="5">
        <v>76</v>
      </c>
      <c r="M30" s="5">
        <v>87</v>
      </c>
      <c r="N30" s="5">
        <v>94</v>
      </c>
      <c r="O30" s="5">
        <v>85</v>
      </c>
      <c r="P30" s="7">
        <v>89</v>
      </c>
      <c r="Q30" s="26">
        <f t="shared" si="1"/>
        <v>89</v>
      </c>
    </row>
    <row r="31" spans="1:17" ht="13.5" thickBot="1">
      <c r="A31" s="3">
        <v>307</v>
      </c>
      <c r="B31" s="5" t="s">
        <v>7</v>
      </c>
      <c r="C31" s="5">
        <v>9</v>
      </c>
      <c r="D31" s="5">
        <v>100</v>
      </c>
      <c r="E31" s="5">
        <v>92</v>
      </c>
      <c r="F31" s="5">
        <v>85</v>
      </c>
      <c r="G31" s="5">
        <v>97</v>
      </c>
      <c r="H31" s="5">
        <v>81</v>
      </c>
      <c r="I31" s="5">
        <v>77</v>
      </c>
      <c r="J31" s="23">
        <f t="shared" si="0"/>
        <v>88.666666666666671</v>
      </c>
      <c r="K31" s="5">
        <v>93</v>
      </c>
      <c r="L31" s="5">
        <v>80</v>
      </c>
      <c r="M31" s="5">
        <v>90</v>
      </c>
      <c r="N31" s="5">
        <v>82</v>
      </c>
      <c r="O31" s="5">
        <v>92</v>
      </c>
      <c r="P31" s="7">
        <v>88</v>
      </c>
      <c r="Q31" s="26">
        <f t="shared" si="1"/>
        <v>87.5</v>
      </c>
    </row>
    <row r="32" spans="1:17" ht="13.5" thickBot="1">
      <c r="A32" s="4">
        <v>308</v>
      </c>
      <c r="B32" s="12" t="s">
        <v>5</v>
      </c>
      <c r="C32" s="12">
        <v>5</v>
      </c>
      <c r="D32" s="12">
        <v>93</v>
      </c>
      <c r="E32" s="12">
        <v>83</v>
      </c>
      <c r="F32" s="12">
        <v>88</v>
      </c>
      <c r="G32" s="12">
        <v>100</v>
      </c>
      <c r="H32" s="5">
        <v>88</v>
      </c>
      <c r="I32" s="5">
        <v>75</v>
      </c>
      <c r="J32" s="23">
        <f t="shared" si="0"/>
        <v>87.833333333333329</v>
      </c>
      <c r="K32" s="12">
        <v>93</v>
      </c>
      <c r="L32" s="12">
        <v>98</v>
      </c>
      <c r="M32" s="12">
        <v>96</v>
      </c>
      <c r="N32" s="12">
        <v>96</v>
      </c>
      <c r="O32" s="12">
        <v>84</v>
      </c>
      <c r="P32" s="13">
        <v>91</v>
      </c>
      <c r="Q32" s="26">
        <f t="shared" si="1"/>
        <v>93</v>
      </c>
    </row>
    <row r="33" spans="1:17" ht="13.5" thickBot="1">
      <c r="A33" s="2">
        <v>401</v>
      </c>
      <c r="B33" s="8" t="s">
        <v>14</v>
      </c>
      <c r="C33" s="8">
        <v>7</v>
      </c>
      <c r="D33" s="8">
        <v>74</v>
      </c>
      <c r="E33" s="8">
        <v>80</v>
      </c>
      <c r="F33" s="8">
        <v>90</v>
      </c>
      <c r="G33" s="8">
        <v>90</v>
      </c>
      <c r="H33" s="8">
        <v>88</v>
      </c>
      <c r="I33" s="5">
        <v>88</v>
      </c>
      <c r="J33" s="23">
        <f t="shared" si="0"/>
        <v>85</v>
      </c>
      <c r="K33" s="8">
        <v>90</v>
      </c>
      <c r="L33" s="8">
        <v>74</v>
      </c>
      <c r="M33" s="8">
        <v>81</v>
      </c>
      <c r="N33" s="8">
        <v>87</v>
      </c>
      <c r="O33" s="8">
        <v>85</v>
      </c>
      <c r="P33" s="9">
        <v>81</v>
      </c>
      <c r="Q33" s="26">
        <f t="shared" si="1"/>
        <v>83</v>
      </c>
    </row>
    <row r="34" spans="1:17" ht="13.5" thickBot="1">
      <c r="A34" s="3">
        <v>402</v>
      </c>
      <c r="B34" s="5" t="s">
        <v>7</v>
      </c>
      <c r="C34" s="5">
        <v>9</v>
      </c>
      <c r="D34" s="5">
        <v>94</v>
      </c>
      <c r="E34" s="5">
        <v>107</v>
      </c>
      <c r="F34" s="5">
        <v>106</v>
      </c>
      <c r="G34" s="5">
        <v>99</v>
      </c>
      <c r="H34" s="5">
        <v>95</v>
      </c>
      <c r="I34" s="5">
        <v>104</v>
      </c>
      <c r="J34" s="23">
        <f t="shared" si="0"/>
        <v>100.83333333333333</v>
      </c>
      <c r="K34" s="5">
        <v>85</v>
      </c>
      <c r="L34" s="5">
        <v>90</v>
      </c>
      <c r="M34" s="5">
        <v>93</v>
      </c>
      <c r="N34" s="5">
        <v>90</v>
      </c>
      <c r="O34" s="5">
        <v>88</v>
      </c>
      <c r="P34" s="7">
        <v>83</v>
      </c>
      <c r="Q34" s="26">
        <f t="shared" si="1"/>
        <v>88.166666666666671</v>
      </c>
    </row>
    <row r="35" spans="1:17" ht="13.5" thickBot="1">
      <c r="A35" s="3">
        <v>403</v>
      </c>
      <c r="B35" s="5" t="s">
        <v>15</v>
      </c>
      <c r="C35" s="5">
        <v>6</v>
      </c>
      <c r="D35" s="5">
        <v>91</v>
      </c>
      <c r="E35" s="5">
        <v>81</v>
      </c>
      <c r="F35" s="5">
        <v>76</v>
      </c>
      <c r="G35" s="5">
        <v>87</v>
      </c>
      <c r="H35" s="5">
        <v>82</v>
      </c>
      <c r="I35" s="5">
        <v>90</v>
      </c>
      <c r="J35" s="23">
        <f t="shared" si="0"/>
        <v>84.5</v>
      </c>
      <c r="K35" s="5">
        <v>95</v>
      </c>
      <c r="L35" s="5">
        <v>97</v>
      </c>
      <c r="M35" s="5">
        <v>95</v>
      </c>
      <c r="N35" s="5">
        <v>80</v>
      </c>
      <c r="O35" s="5">
        <v>96</v>
      </c>
      <c r="P35" s="7">
        <v>91</v>
      </c>
      <c r="Q35" s="26">
        <f t="shared" si="1"/>
        <v>92.333333333333329</v>
      </c>
    </row>
    <row r="36" spans="1:17" ht="13.5" thickBot="1">
      <c r="A36" s="3">
        <v>404</v>
      </c>
      <c r="B36" s="5" t="s">
        <v>8</v>
      </c>
      <c r="C36" s="5">
        <v>3</v>
      </c>
      <c r="D36" s="5">
        <v>97</v>
      </c>
      <c r="E36" s="5">
        <v>122</v>
      </c>
      <c r="F36" s="5">
        <v>102</v>
      </c>
      <c r="G36" s="5">
        <v>102</v>
      </c>
      <c r="H36" s="5">
        <v>112</v>
      </c>
      <c r="I36" s="5">
        <v>110</v>
      </c>
      <c r="J36" s="23">
        <f t="shared" si="0"/>
        <v>107.5</v>
      </c>
      <c r="K36" s="5">
        <v>84</v>
      </c>
      <c r="L36" s="5">
        <v>93</v>
      </c>
      <c r="M36" s="5">
        <v>99</v>
      </c>
      <c r="N36" s="5">
        <v>90</v>
      </c>
      <c r="O36" s="5">
        <v>90</v>
      </c>
      <c r="P36" s="7">
        <v>85</v>
      </c>
      <c r="Q36" s="26">
        <f t="shared" si="1"/>
        <v>90.166666666666671</v>
      </c>
    </row>
    <row r="37" spans="1:17" ht="13.5" thickBot="1">
      <c r="A37" s="3">
        <v>405</v>
      </c>
      <c r="B37" s="5" t="s">
        <v>15</v>
      </c>
      <c r="C37" s="5">
        <v>6</v>
      </c>
      <c r="D37" s="5">
        <v>85</v>
      </c>
      <c r="E37" s="5">
        <v>81</v>
      </c>
      <c r="F37" s="5">
        <v>74</v>
      </c>
      <c r="G37" s="5">
        <v>74</v>
      </c>
      <c r="H37" s="5">
        <v>66</v>
      </c>
      <c r="I37" s="5">
        <v>75</v>
      </c>
      <c r="J37" s="23">
        <f t="shared" si="0"/>
        <v>75.833333333333329</v>
      </c>
      <c r="K37" s="5">
        <v>89</v>
      </c>
      <c r="L37" s="5">
        <v>88</v>
      </c>
      <c r="M37" s="5">
        <v>92</v>
      </c>
      <c r="N37" s="5">
        <v>83</v>
      </c>
      <c r="O37" s="5">
        <v>98</v>
      </c>
      <c r="P37" s="7">
        <v>85</v>
      </c>
      <c r="Q37" s="26">
        <f t="shared" si="1"/>
        <v>89.166666666666671</v>
      </c>
    </row>
    <row r="38" spans="1:17" ht="13.5" thickBot="1">
      <c r="A38" s="3">
        <v>406</v>
      </c>
      <c r="B38" s="5" t="s">
        <v>8</v>
      </c>
      <c r="C38" s="5">
        <v>3</v>
      </c>
      <c r="D38" s="5">
        <v>110</v>
      </c>
      <c r="E38" s="5">
        <v>98</v>
      </c>
      <c r="F38" s="5">
        <v>101</v>
      </c>
      <c r="G38" s="5">
        <v>100</v>
      </c>
      <c r="H38" s="5">
        <v>106</v>
      </c>
      <c r="I38" s="5">
        <v>103</v>
      </c>
      <c r="J38" s="23">
        <f t="shared" si="0"/>
        <v>103</v>
      </c>
      <c r="K38" s="5">
        <v>95</v>
      </c>
      <c r="L38" s="5">
        <v>94</v>
      </c>
      <c r="M38" s="5">
        <v>90</v>
      </c>
      <c r="N38" s="5">
        <v>96</v>
      </c>
      <c r="O38" s="5">
        <v>94</v>
      </c>
      <c r="P38" s="7">
        <v>83</v>
      </c>
      <c r="Q38" s="26">
        <f t="shared" si="1"/>
        <v>92</v>
      </c>
    </row>
    <row r="39" spans="1:17" ht="13.5" thickBot="1">
      <c r="A39" s="3">
        <v>407</v>
      </c>
      <c r="B39" s="5" t="s">
        <v>14</v>
      </c>
      <c r="C39" s="5">
        <v>7</v>
      </c>
      <c r="D39" s="5">
        <v>93</v>
      </c>
      <c r="E39" s="5">
        <v>85</v>
      </c>
      <c r="F39" s="5">
        <v>82</v>
      </c>
      <c r="G39" s="5">
        <v>90</v>
      </c>
      <c r="H39" s="5">
        <v>84</v>
      </c>
      <c r="I39" s="5">
        <v>96</v>
      </c>
      <c r="J39" s="23">
        <f t="shared" si="0"/>
        <v>88.333333333333329</v>
      </c>
      <c r="K39" s="5">
        <v>86</v>
      </c>
      <c r="L39" s="5">
        <v>84</v>
      </c>
      <c r="M39" s="5">
        <v>106</v>
      </c>
      <c r="N39" s="5">
        <v>83</v>
      </c>
      <c r="O39" s="5">
        <v>101</v>
      </c>
      <c r="P39" s="7">
        <v>97</v>
      </c>
      <c r="Q39" s="26">
        <f t="shared" si="1"/>
        <v>92.833333333333329</v>
      </c>
    </row>
    <row r="40" spans="1:17" ht="13.5" thickBot="1">
      <c r="A40" s="4">
        <v>408</v>
      </c>
      <c r="B40" s="12" t="s">
        <v>6</v>
      </c>
      <c r="C40" s="12">
        <v>10</v>
      </c>
      <c r="D40" s="12">
        <v>90</v>
      </c>
      <c r="E40" s="12">
        <v>75</v>
      </c>
      <c r="F40" s="12">
        <v>73</v>
      </c>
      <c r="G40" s="12">
        <v>73</v>
      </c>
      <c r="H40" s="12">
        <v>62</v>
      </c>
      <c r="I40" s="5">
        <v>87</v>
      </c>
      <c r="J40" s="23">
        <f t="shared" si="0"/>
        <v>76.666666666666671</v>
      </c>
      <c r="K40" s="12">
        <v>81</v>
      </c>
      <c r="L40" s="12">
        <v>77</v>
      </c>
      <c r="M40" s="12">
        <v>76</v>
      </c>
      <c r="N40" s="12">
        <v>80</v>
      </c>
      <c r="O40" s="12">
        <v>71</v>
      </c>
      <c r="P40" s="13">
        <v>72</v>
      </c>
      <c r="Q40" s="26">
        <f t="shared" si="1"/>
        <v>76.166666666666671</v>
      </c>
    </row>
    <row r="41" spans="1:17" ht="13.5" thickBot="1">
      <c r="A41" s="2">
        <v>901</v>
      </c>
      <c r="B41" s="8" t="s">
        <v>16</v>
      </c>
      <c r="C41" s="8">
        <v>32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5">
        <v>0</v>
      </c>
      <c r="J41" s="23">
        <f t="shared" si="0"/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9">
        <v>0</v>
      </c>
      <c r="Q41" s="26">
        <f t="shared" si="1"/>
        <v>0</v>
      </c>
    </row>
    <row r="42" spans="1:17" ht="13.5" thickBot="1">
      <c r="A42" s="3">
        <v>902</v>
      </c>
      <c r="B42" s="6">
        <v>37452</v>
      </c>
      <c r="C42" s="5">
        <v>22</v>
      </c>
      <c r="D42" s="5">
        <v>86</v>
      </c>
      <c r="E42" s="5">
        <v>83</v>
      </c>
      <c r="F42" s="5">
        <v>98</v>
      </c>
      <c r="G42" s="5">
        <v>103</v>
      </c>
      <c r="H42" s="5">
        <v>94</v>
      </c>
      <c r="I42" s="5">
        <v>104</v>
      </c>
      <c r="J42" s="23">
        <f t="shared" si="0"/>
        <v>94.666666666666671</v>
      </c>
      <c r="K42" s="5">
        <v>83</v>
      </c>
      <c r="L42" s="5">
        <v>93</v>
      </c>
      <c r="M42" s="5">
        <v>86</v>
      </c>
      <c r="N42" s="5">
        <v>79</v>
      </c>
      <c r="O42" s="5">
        <v>101</v>
      </c>
      <c r="P42" s="7">
        <v>91</v>
      </c>
      <c r="Q42" s="26">
        <f t="shared" si="1"/>
        <v>88.833333333333329</v>
      </c>
    </row>
    <row r="43" spans="1:17" ht="13.5" thickBot="1">
      <c r="A43" s="3">
        <v>903</v>
      </c>
      <c r="B43" s="5" t="s">
        <v>17</v>
      </c>
      <c r="C43" s="5">
        <v>31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23">
        <f t="shared" si="0"/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7">
        <v>0</v>
      </c>
      <c r="Q43" s="26">
        <f t="shared" si="1"/>
        <v>0</v>
      </c>
    </row>
    <row r="44" spans="1:17" ht="13.5" thickBot="1">
      <c r="A44" s="3">
        <v>904</v>
      </c>
      <c r="B44" s="6">
        <v>37408</v>
      </c>
      <c r="C44" s="5">
        <v>21</v>
      </c>
      <c r="D44" s="5">
        <v>61</v>
      </c>
      <c r="E44" s="5">
        <v>60</v>
      </c>
      <c r="F44" s="5">
        <v>55</v>
      </c>
      <c r="G44" s="5">
        <v>42</v>
      </c>
      <c r="H44" s="5">
        <v>43</v>
      </c>
      <c r="I44" s="5">
        <v>50</v>
      </c>
      <c r="J44" s="23">
        <f t="shared" si="0"/>
        <v>51.833333333333336</v>
      </c>
      <c r="K44" s="5">
        <v>68</v>
      </c>
      <c r="L44" s="5">
        <v>60</v>
      </c>
      <c r="M44" s="5">
        <v>60</v>
      </c>
      <c r="N44" s="5">
        <v>46</v>
      </c>
      <c r="O44" s="5">
        <v>60</v>
      </c>
      <c r="P44" s="7">
        <v>57</v>
      </c>
      <c r="Q44" s="26">
        <f t="shared" si="1"/>
        <v>58.5</v>
      </c>
    </row>
    <row r="45" spans="1:17" ht="13.5" thickBot="1">
      <c r="A45" s="3">
        <v>905</v>
      </c>
      <c r="B45" s="5" t="s">
        <v>16</v>
      </c>
      <c r="C45" s="5">
        <v>32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23">
        <f t="shared" si="0"/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7">
        <v>0</v>
      </c>
      <c r="Q45" s="26">
        <f t="shared" si="1"/>
        <v>0</v>
      </c>
    </row>
    <row r="46" spans="1:17" ht="13.5" thickBot="1">
      <c r="A46" s="3">
        <v>906</v>
      </c>
      <c r="B46" s="6">
        <v>37452</v>
      </c>
      <c r="C46" s="5">
        <v>22</v>
      </c>
      <c r="D46" s="5">
        <v>101</v>
      </c>
      <c r="E46" s="5">
        <v>101</v>
      </c>
      <c r="F46" s="5">
        <v>107</v>
      </c>
      <c r="G46" s="5">
        <v>110</v>
      </c>
      <c r="H46" s="5">
        <v>93</v>
      </c>
      <c r="I46" s="5">
        <v>128</v>
      </c>
      <c r="J46" s="23">
        <f t="shared" si="0"/>
        <v>106.66666666666667</v>
      </c>
      <c r="K46" s="5">
        <v>91</v>
      </c>
      <c r="L46" s="5">
        <v>103</v>
      </c>
      <c r="M46" s="5">
        <v>101</v>
      </c>
      <c r="N46" s="5">
        <v>102</v>
      </c>
      <c r="O46" s="5">
        <v>95</v>
      </c>
      <c r="P46" s="7">
        <v>98</v>
      </c>
      <c r="Q46" s="26">
        <f t="shared" si="1"/>
        <v>98.333333333333329</v>
      </c>
    </row>
    <row r="47" spans="1:17" ht="13.5" thickBot="1">
      <c r="A47" s="3">
        <v>907</v>
      </c>
      <c r="B47" s="5" t="s">
        <v>17</v>
      </c>
      <c r="C47" s="5">
        <v>31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23">
        <f t="shared" si="0"/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7">
        <v>0</v>
      </c>
      <c r="Q47" s="26">
        <f t="shared" si="1"/>
        <v>0</v>
      </c>
    </row>
    <row r="48" spans="1:17" ht="13.5" thickBot="1">
      <c r="A48" s="4">
        <v>908</v>
      </c>
      <c r="B48" s="15">
        <v>37408</v>
      </c>
      <c r="C48" s="12">
        <v>21</v>
      </c>
      <c r="D48" s="12">
        <v>46</v>
      </c>
      <c r="E48" s="12">
        <v>46</v>
      </c>
      <c r="F48" s="12">
        <v>50</v>
      </c>
      <c r="G48" s="12">
        <v>45</v>
      </c>
      <c r="H48" s="12">
        <v>53</v>
      </c>
      <c r="I48" s="5">
        <v>46</v>
      </c>
      <c r="J48" s="23">
        <f t="shared" si="0"/>
        <v>47.666666666666664</v>
      </c>
      <c r="K48" s="12">
        <v>53</v>
      </c>
      <c r="L48" s="12">
        <v>56</v>
      </c>
      <c r="M48" s="12">
        <v>62</v>
      </c>
      <c r="N48" s="12">
        <v>51</v>
      </c>
      <c r="O48" s="12">
        <v>52</v>
      </c>
      <c r="P48" s="13">
        <v>46</v>
      </c>
      <c r="Q48" s="27">
        <f t="shared" si="1"/>
        <v>53.333333333333336</v>
      </c>
    </row>
  </sheetData>
  <phoneticPr fontId="0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E5B8F-8434-4707-8599-722445800826}">
  <dimension ref="A1:Q48"/>
  <sheetViews>
    <sheetView workbookViewId="0">
      <selection activeCell="Q9" sqref="Q9:Q48"/>
    </sheetView>
  </sheetViews>
  <sheetFormatPr defaultRowHeight="12.75"/>
  <sheetData>
    <row r="1" spans="1:17">
      <c r="A1" t="s">
        <v>19</v>
      </c>
    </row>
    <row r="2" spans="1:17">
      <c r="A2" s="1"/>
    </row>
    <row r="3" spans="1:17">
      <c r="A3" s="30">
        <v>37481</v>
      </c>
    </row>
    <row r="4" spans="1:17">
      <c r="A4" s="31" t="s">
        <v>51</v>
      </c>
      <c r="E4" t="s">
        <v>30</v>
      </c>
    </row>
    <row r="5" spans="1:17">
      <c r="A5" s="1" t="s">
        <v>22</v>
      </c>
    </row>
    <row r="6" spans="1:17" ht="13.5" thickBot="1"/>
    <row r="7" spans="1:17" ht="13.5" thickBot="1">
      <c r="D7" s="2"/>
      <c r="E7" s="18"/>
      <c r="F7" s="19" t="s">
        <v>2</v>
      </c>
      <c r="G7" s="18"/>
      <c r="H7" s="18"/>
      <c r="I7" s="20"/>
      <c r="J7" s="18"/>
      <c r="K7" s="2"/>
      <c r="L7" s="18"/>
      <c r="M7" s="18" t="s">
        <v>1</v>
      </c>
      <c r="N7" s="18"/>
      <c r="O7" s="18"/>
      <c r="P7" s="18"/>
      <c r="Q7" s="24"/>
    </row>
    <row r="8" spans="1:17" ht="13.5" thickBot="1">
      <c r="A8" s="16" t="s">
        <v>0</v>
      </c>
      <c r="B8" s="17" t="s">
        <v>9</v>
      </c>
      <c r="C8" s="17" t="s">
        <v>18</v>
      </c>
      <c r="D8" s="21" t="s">
        <v>24</v>
      </c>
      <c r="E8" s="12" t="s">
        <v>25</v>
      </c>
      <c r="F8" s="12" t="s">
        <v>26</v>
      </c>
      <c r="G8" s="12" t="s">
        <v>27</v>
      </c>
      <c r="H8" s="12" t="s">
        <v>28</v>
      </c>
      <c r="I8" s="35" t="s">
        <v>29</v>
      </c>
      <c r="J8" s="22" t="s">
        <v>31</v>
      </c>
      <c r="K8" s="21" t="s">
        <v>24</v>
      </c>
      <c r="L8" s="12" t="s">
        <v>25</v>
      </c>
      <c r="M8" s="12" t="s">
        <v>26</v>
      </c>
      <c r="N8" s="12" t="s">
        <v>27</v>
      </c>
      <c r="O8" s="12" t="s">
        <v>28</v>
      </c>
      <c r="P8" s="13" t="s">
        <v>29</v>
      </c>
      <c r="Q8" s="25" t="s">
        <v>32</v>
      </c>
    </row>
    <row r="9" spans="1:17" ht="13.5" thickBot="1">
      <c r="A9" s="2">
        <v>101</v>
      </c>
      <c r="B9" s="8" t="s">
        <v>3</v>
      </c>
      <c r="C9" s="9">
        <v>1</v>
      </c>
      <c r="D9" s="8">
        <v>102</v>
      </c>
      <c r="E9" s="8">
        <v>101</v>
      </c>
      <c r="F9" s="8">
        <v>103</v>
      </c>
      <c r="G9" s="8">
        <v>114</v>
      </c>
      <c r="H9" s="8">
        <v>113</v>
      </c>
      <c r="I9" s="5">
        <v>98</v>
      </c>
      <c r="J9" s="23">
        <f>AVERAGE(D9:I9)</f>
        <v>105.16666666666667</v>
      </c>
      <c r="K9" s="8">
        <v>107</v>
      </c>
      <c r="L9" s="8">
        <v>105</v>
      </c>
      <c r="M9" s="8">
        <v>103</v>
      </c>
      <c r="N9" s="8">
        <v>105</v>
      </c>
      <c r="O9" s="8">
        <v>103</v>
      </c>
      <c r="P9" s="9">
        <v>97</v>
      </c>
      <c r="Q9" s="26">
        <f>AVERAGE(K9:P9)</f>
        <v>103.33333333333333</v>
      </c>
    </row>
    <row r="10" spans="1:17" ht="13.5" thickBot="1">
      <c r="A10" s="3">
        <v>102</v>
      </c>
      <c r="B10" s="5" t="s">
        <v>4</v>
      </c>
      <c r="C10" s="7">
        <v>4</v>
      </c>
      <c r="D10" s="5">
        <v>100</v>
      </c>
      <c r="E10" s="5">
        <v>103</v>
      </c>
      <c r="F10" s="5">
        <v>104</v>
      </c>
      <c r="G10" s="5">
        <v>109</v>
      </c>
      <c r="H10" s="5">
        <v>88</v>
      </c>
      <c r="I10" s="5">
        <v>106</v>
      </c>
      <c r="J10" s="23">
        <f t="shared" ref="J10:J48" si="0">AVERAGE(D10:I10)</f>
        <v>101.66666666666667</v>
      </c>
      <c r="K10" s="5">
        <v>100</v>
      </c>
      <c r="L10" s="5">
        <v>96</v>
      </c>
      <c r="M10" s="5">
        <v>95</v>
      </c>
      <c r="N10" s="5">
        <v>108</v>
      </c>
      <c r="O10" s="5">
        <v>88</v>
      </c>
      <c r="P10" s="7">
        <v>93</v>
      </c>
      <c r="Q10" s="26">
        <f t="shared" ref="Q10:Q48" si="1">AVERAGE(K10:P10)</f>
        <v>96.666666666666671</v>
      </c>
    </row>
    <row r="11" spans="1:17" ht="13.5" thickBot="1">
      <c r="A11" s="3">
        <v>103</v>
      </c>
      <c r="B11" s="5" t="s">
        <v>5</v>
      </c>
      <c r="C11" s="7">
        <v>5</v>
      </c>
      <c r="D11" s="5">
        <v>127</v>
      </c>
      <c r="E11" s="5">
        <v>121</v>
      </c>
      <c r="F11" s="5">
        <v>121</v>
      </c>
      <c r="G11" s="5">
        <v>120</v>
      </c>
      <c r="H11" s="5">
        <v>103</v>
      </c>
      <c r="I11" s="5">
        <v>103</v>
      </c>
      <c r="J11" s="23">
        <f t="shared" si="0"/>
        <v>115.83333333333333</v>
      </c>
      <c r="K11" s="5">
        <v>110</v>
      </c>
      <c r="L11" s="5">
        <v>110</v>
      </c>
      <c r="M11" s="5">
        <v>115</v>
      </c>
      <c r="N11" s="5">
        <v>103</v>
      </c>
      <c r="O11" s="5">
        <v>98</v>
      </c>
      <c r="P11" s="7">
        <v>105</v>
      </c>
      <c r="Q11" s="26">
        <f t="shared" si="1"/>
        <v>106.83333333333333</v>
      </c>
    </row>
    <row r="12" spans="1:17" ht="13.5" thickBot="1">
      <c r="A12" s="3">
        <v>104</v>
      </c>
      <c r="B12" s="5" t="s">
        <v>6</v>
      </c>
      <c r="C12" s="7">
        <v>10</v>
      </c>
      <c r="D12" s="5">
        <v>82</v>
      </c>
      <c r="E12" s="5">
        <v>90</v>
      </c>
      <c r="F12" s="5">
        <v>83</v>
      </c>
      <c r="G12" s="5">
        <v>100</v>
      </c>
      <c r="H12" s="5">
        <v>91</v>
      </c>
      <c r="I12" s="5">
        <v>92</v>
      </c>
      <c r="J12" s="23">
        <f t="shared" si="0"/>
        <v>89.666666666666671</v>
      </c>
      <c r="K12" s="5">
        <v>77</v>
      </c>
      <c r="L12" s="5">
        <v>96</v>
      </c>
      <c r="M12" s="5">
        <v>98</v>
      </c>
      <c r="N12" s="5">
        <v>98</v>
      </c>
      <c r="O12" s="5">
        <v>90</v>
      </c>
      <c r="P12" s="7">
        <v>85</v>
      </c>
      <c r="Q12" s="26">
        <f t="shared" si="1"/>
        <v>90.666666666666671</v>
      </c>
    </row>
    <row r="13" spans="1:17" ht="13.5" thickBot="1">
      <c r="A13" s="3">
        <v>105</v>
      </c>
      <c r="B13" s="5" t="s">
        <v>10</v>
      </c>
      <c r="C13" s="7">
        <v>12</v>
      </c>
      <c r="D13" s="5">
        <v>92</v>
      </c>
      <c r="E13" s="5">
        <v>108</v>
      </c>
      <c r="F13" s="5">
        <v>94</v>
      </c>
      <c r="G13" s="5">
        <v>98</v>
      </c>
      <c r="H13" s="5">
        <v>91</v>
      </c>
      <c r="I13" s="5">
        <v>89</v>
      </c>
      <c r="J13" s="23">
        <f t="shared" si="0"/>
        <v>95.333333333333329</v>
      </c>
      <c r="K13" s="5">
        <v>91</v>
      </c>
      <c r="L13" s="5">
        <v>112</v>
      </c>
      <c r="M13" s="5">
        <v>110</v>
      </c>
      <c r="N13" s="5">
        <v>100</v>
      </c>
      <c r="O13" s="5">
        <v>82</v>
      </c>
      <c r="P13" s="7">
        <v>100</v>
      </c>
      <c r="Q13" s="26">
        <f t="shared" si="1"/>
        <v>99.166666666666671</v>
      </c>
    </row>
    <row r="14" spans="1:17" ht="13.5" thickBot="1">
      <c r="A14" s="3">
        <v>106</v>
      </c>
      <c r="B14" s="5" t="s">
        <v>7</v>
      </c>
      <c r="C14" s="7">
        <v>9</v>
      </c>
      <c r="D14" s="5">
        <v>102</v>
      </c>
      <c r="E14" s="5">
        <v>105</v>
      </c>
      <c r="F14" s="5">
        <v>109</v>
      </c>
      <c r="G14" s="5">
        <v>111</v>
      </c>
      <c r="H14" s="5">
        <v>98</v>
      </c>
      <c r="I14" s="5">
        <v>107</v>
      </c>
      <c r="J14" s="23">
        <f t="shared" si="0"/>
        <v>105.33333333333333</v>
      </c>
      <c r="K14" s="5">
        <v>92</v>
      </c>
      <c r="L14" s="5">
        <v>102</v>
      </c>
      <c r="M14" s="5">
        <v>105</v>
      </c>
      <c r="N14" s="5">
        <v>93</v>
      </c>
      <c r="O14" s="5">
        <v>103</v>
      </c>
      <c r="P14" s="7">
        <v>93</v>
      </c>
      <c r="Q14" s="26">
        <f t="shared" si="1"/>
        <v>98</v>
      </c>
    </row>
    <row r="15" spans="1:17" ht="13.5" thickBot="1">
      <c r="A15" s="3">
        <v>107</v>
      </c>
      <c r="B15" s="5" t="s">
        <v>6</v>
      </c>
      <c r="C15" s="7">
        <v>10</v>
      </c>
      <c r="D15" s="5">
        <v>103</v>
      </c>
      <c r="E15" s="5">
        <v>109</v>
      </c>
      <c r="F15" s="5">
        <v>96</v>
      </c>
      <c r="G15" s="5">
        <v>95</v>
      </c>
      <c r="H15" s="5">
        <v>107</v>
      </c>
      <c r="I15" s="5">
        <v>112</v>
      </c>
      <c r="J15" s="23">
        <f t="shared" si="0"/>
        <v>103.66666666666667</v>
      </c>
      <c r="K15" s="5">
        <v>91</v>
      </c>
      <c r="L15" s="5">
        <v>104</v>
      </c>
      <c r="M15" s="5">
        <v>90</v>
      </c>
      <c r="N15" s="5">
        <v>103</v>
      </c>
      <c r="O15" s="5">
        <v>103</v>
      </c>
      <c r="P15" s="7">
        <v>90</v>
      </c>
      <c r="Q15" s="26">
        <f t="shared" si="1"/>
        <v>96.833333333333329</v>
      </c>
    </row>
    <row r="16" spans="1:17" ht="13.5" thickBot="1">
      <c r="A16" s="4">
        <v>108</v>
      </c>
      <c r="B16" s="12" t="s">
        <v>8</v>
      </c>
      <c r="C16" s="13">
        <v>3</v>
      </c>
      <c r="D16" s="12">
        <v>112</v>
      </c>
      <c r="E16" s="12">
        <v>111</v>
      </c>
      <c r="F16" s="12">
        <v>116</v>
      </c>
      <c r="G16" s="12">
        <v>103</v>
      </c>
      <c r="H16" s="5">
        <v>108</v>
      </c>
      <c r="I16" s="5">
        <v>122</v>
      </c>
      <c r="J16" s="23">
        <f t="shared" si="0"/>
        <v>112</v>
      </c>
      <c r="K16" s="12">
        <v>99</v>
      </c>
      <c r="L16" s="12">
        <v>98</v>
      </c>
      <c r="M16" s="12">
        <v>110</v>
      </c>
      <c r="N16" s="12">
        <v>110</v>
      </c>
      <c r="O16" s="12">
        <v>98</v>
      </c>
      <c r="P16" s="13">
        <v>95</v>
      </c>
      <c r="Q16" s="26">
        <f t="shared" si="1"/>
        <v>101.66666666666667</v>
      </c>
    </row>
    <row r="17" spans="1:17" ht="13.5" thickBot="1">
      <c r="A17" s="2">
        <v>201</v>
      </c>
      <c r="B17" s="8" t="s">
        <v>10</v>
      </c>
      <c r="C17" s="8">
        <v>12</v>
      </c>
      <c r="D17" s="8">
        <v>96</v>
      </c>
      <c r="E17" s="8">
        <v>99</v>
      </c>
      <c r="F17" s="8">
        <v>90</v>
      </c>
      <c r="G17" s="8">
        <v>83</v>
      </c>
      <c r="H17" s="12">
        <v>79</v>
      </c>
      <c r="I17" s="5">
        <v>81</v>
      </c>
      <c r="J17" s="23">
        <f t="shared" si="0"/>
        <v>88</v>
      </c>
      <c r="K17" s="8">
        <v>106</v>
      </c>
      <c r="L17" s="8">
        <v>88</v>
      </c>
      <c r="M17" s="8">
        <v>104</v>
      </c>
      <c r="N17" s="8">
        <v>91</v>
      </c>
      <c r="O17" s="8">
        <v>99</v>
      </c>
      <c r="P17" s="9">
        <v>83</v>
      </c>
      <c r="Q17" s="26">
        <f t="shared" si="1"/>
        <v>95.166666666666671</v>
      </c>
    </row>
    <row r="18" spans="1:17" ht="13.5" thickBot="1">
      <c r="A18" s="3">
        <v>202</v>
      </c>
      <c r="B18" s="5" t="s">
        <v>7</v>
      </c>
      <c r="C18" s="5">
        <v>9</v>
      </c>
      <c r="D18" s="5">
        <v>100</v>
      </c>
      <c r="E18" s="5">
        <v>87</v>
      </c>
      <c r="F18" s="5">
        <v>111</v>
      </c>
      <c r="G18" s="5">
        <v>106</v>
      </c>
      <c r="H18" s="8">
        <v>121</v>
      </c>
      <c r="I18" s="5">
        <v>100</v>
      </c>
      <c r="J18" s="23">
        <f t="shared" si="0"/>
        <v>104.16666666666667</v>
      </c>
      <c r="K18" s="5">
        <v>92</v>
      </c>
      <c r="L18" s="5">
        <v>99</v>
      </c>
      <c r="M18" s="5">
        <v>94</v>
      </c>
      <c r="N18" s="5">
        <v>83</v>
      </c>
      <c r="O18" s="5">
        <v>92</v>
      </c>
      <c r="P18" s="7">
        <v>83</v>
      </c>
      <c r="Q18" s="26">
        <f t="shared" si="1"/>
        <v>90.5</v>
      </c>
    </row>
    <row r="19" spans="1:17" ht="13.5" thickBot="1">
      <c r="A19" s="3">
        <v>203</v>
      </c>
      <c r="B19" s="5" t="s">
        <v>8</v>
      </c>
      <c r="C19" s="5">
        <v>3</v>
      </c>
      <c r="D19" s="5">
        <v>129</v>
      </c>
      <c r="E19" s="5">
        <v>106</v>
      </c>
      <c r="F19" s="5">
        <v>110</v>
      </c>
      <c r="G19" s="5">
        <v>105</v>
      </c>
      <c r="H19" s="5">
        <v>108</v>
      </c>
      <c r="I19" s="5">
        <v>108</v>
      </c>
      <c r="J19" s="23">
        <f t="shared" si="0"/>
        <v>111</v>
      </c>
      <c r="K19" s="5">
        <v>102</v>
      </c>
      <c r="L19" s="5">
        <v>99</v>
      </c>
      <c r="M19" s="5">
        <v>93</v>
      </c>
      <c r="N19" s="5">
        <v>106</v>
      </c>
      <c r="O19" s="5">
        <v>101</v>
      </c>
      <c r="P19" s="7">
        <v>106</v>
      </c>
      <c r="Q19" s="26">
        <f t="shared" si="1"/>
        <v>101.16666666666667</v>
      </c>
    </row>
    <row r="20" spans="1:17" ht="13.5" thickBot="1">
      <c r="A20" s="3">
        <v>204</v>
      </c>
      <c r="B20" s="5" t="s">
        <v>11</v>
      </c>
      <c r="C20" s="5">
        <v>11</v>
      </c>
      <c r="D20" s="5">
        <v>107</v>
      </c>
      <c r="E20" s="5">
        <v>102</v>
      </c>
      <c r="F20" s="5">
        <v>107</v>
      </c>
      <c r="G20" s="5">
        <v>103</v>
      </c>
      <c r="H20" s="5">
        <v>128</v>
      </c>
      <c r="I20" s="5">
        <v>125</v>
      </c>
      <c r="J20" s="23">
        <f t="shared" si="0"/>
        <v>112</v>
      </c>
      <c r="K20" s="5">
        <v>93</v>
      </c>
      <c r="L20" s="5">
        <v>102</v>
      </c>
      <c r="M20" s="5">
        <v>105</v>
      </c>
      <c r="N20" s="5">
        <v>105</v>
      </c>
      <c r="O20" s="5">
        <v>106</v>
      </c>
      <c r="P20" s="7">
        <v>101</v>
      </c>
      <c r="Q20" s="26">
        <f t="shared" si="1"/>
        <v>102</v>
      </c>
    </row>
    <row r="21" spans="1:17" ht="13.5" thickBot="1">
      <c r="A21" s="3">
        <v>205</v>
      </c>
      <c r="B21" s="5" t="s">
        <v>3</v>
      </c>
      <c r="C21" s="5">
        <v>1</v>
      </c>
      <c r="D21" s="5">
        <v>106</v>
      </c>
      <c r="E21" s="5">
        <v>108</v>
      </c>
      <c r="F21" s="5">
        <v>128</v>
      </c>
      <c r="G21" s="5">
        <v>135</v>
      </c>
      <c r="H21" s="5">
        <v>129</v>
      </c>
      <c r="I21" s="5">
        <v>125</v>
      </c>
      <c r="J21" s="23">
        <f t="shared" si="0"/>
        <v>121.83333333333333</v>
      </c>
      <c r="K21" s="5">
        <v>102</v>
      </c>
      <c r="L21" s="5">
        <v>105</v>
      </c>
      <c r="M21" s="5">
        <v>109</v>
      </c>
      <c r="N21" s="5">
        <v>96</v>
      </c>
      <c r="O21" s="5">
        <v>109</v>
      </c>
      <c r="P21" s="7">
        <v>93</v>
      </c>
      <c r="Q21" s="26">
        <f t="shared" si="1"/>
        <v>102.33333333333333</v>
      </c>
    </row>
    <row r="22" spans="1:17" ht="13.5" thickBot="1">
      <c r="A22" s="3">
        <v>206</v>
      </c>
      <c r="B22" s="5" t="s">
        <v>12</v>
      </c>
      <c r="C22" s="5">
        <v>8</v>
      </c>
      <c r="D22" s="5">
        <v>93</v>
      </c>
      <c r="E22" s="5">
        <v>92</v>
      </c>
      <c r="F22" s="5">
        <v>103</v>
      </c>
      <c r="G22" s="5">
        <v>87</v>
      </c>
      <c r="H22" s="5">
        <v>106</v>
      </c>
      <c r="I22" s="5">
        <v>95</v>
      </c>
      <c r="J22" s="23">
        <f t="shared" si="0"/>
        <v>96</v>
      </c>
      <c r="K22" s="5">
        <v>102</v>
      </c>
      <c r="L22" s="5">
        <v>73</v>
      </c>
      <c r="M22" s="5">
        <v>103</v>
      </c>
      <c r="N22" s="5">
        <v>96</v>
      </c>
      <c r="O22" s="5">
        <v>85</v>
      </c>
      <c r="P22" s="7">
        <v>73</v>
      </c>
      <c r="Q22" s="26">
        <f t="shared" si="1"/>
        <v>88.666666666666671</v>
      </c>
    </row>
    <row r="23" spans="1:17" ht="13.5" thickBot="1">
      <c r="A23" s="3">
        <v>207</v>
      </c>
      <c r="B23" s="5" t="s">
        <v>4</v>
      </c>
      <c r="C23" s="5">
        <v>4</v>
      </c>
      <c r="D23" s="5">
        <v>111</v>
      </c>
      <c r="E23" s="5">
        <v>118</v>
      </c>
      <c r="F23" s="5">
        <v>121</v>
      </c>
      <c r="G23" s="5">
        <v>126</v>
      </c>
      <c r="H23" s="5">
        <v>112</v>
      </c>
      <c r="I23" s="5">
        <v>105</v>
      </c>
      <c r="J23" s="23">
        <f t="shared" si="0"/>
        <v>115.5</v>
      </c>
      <c r="K23" s="5">
        <v>105</v>
      </c>
      <c r="L23" s="5">
        <v>108</v>
      </c>
      <c r="M23" s="5">
        <v>100</v>
      </c>
      <c r="N23" s="5">
        <v>100</v>
      </c>
      <c r="O23" s="5">
        <v>100</v>
      </c>
      <c r="P23" s="7">
        <v>100</v>
      </c>
      <c r="Q23" s="26">
        <f t="shared" si="1"/>
        <v>102.16666666666667</v>
      </c>
    </row>
    <row r="24" spans="1:17" ht="13.5" thickBot="1">
      <c r="A24" s="4">
        <v>208</v>
      </c>
      <c r="B24" s="12" t="s">
        <v>13</v>
      </c>
      <c r="C24" s="12">
        <v>2</v>
      </c>
      <c r="D24" s="12">
        <v>113</v>
      </c>
      <c r="E24" s="12">
        <v>102</v>
      </c>
      <c r="F24" s="12">
        <v>101</v>
      </c>
      <c r="G24" s="12">
        <v>98</v>
      </c>
      <c r="H24" s="5">
        <v>107</v>
      </c>
      <c r="I24" s="5">
        <v>101</v>
      </c>
      <c r="J24" s="23">
        <f t="shared" si="0"/>
        <v>103.66666666666667</v>
      </c>
      <c r="K24" s="12">
        <v>100</v>
      </c>
      <c r="L24" s="12">
        <v>91</v>
      </c>
      <c r="M24" s="32">
        <v>96</v>
      </c>
      <c r="N24">
        <v>108</v>
      </c>
      <c r="O24" s="12">
        <v>108</v>
      </c>
      <c r="P24" s="13">
        <v>89</v>
      </c>
      <c r="Q24" s="26">
        <f t="shared" si="1"/>
        <v>98.666666666666671</v>
      </c>
    </row>
    <row r="25" spans="1:17" ht="13.5" thickBot="1">
      <c r="A25" s="2">
        <v>301</v>
      </c>
      <c r="B25" s="8" t="s">
        <v>6</v>
      </c>
      <c r="C25" s="8">
        <v>10</v>
      </c>
      <c r="D25" s="8">
        <v>91</v>
      </c>
      <c r="E25" s="8">
        <v>88</v>
      </c>
      <c r="F25" s="8">
        <v>80</v>
      </c>
      <c r="G25" s="8">
        <v>88</v>
      </c>
      <c r="H25" s="12">
        <v>86</v>
      </c>
      <c r="I25" s="5">
        <v>97</v>
      </c>
      <c r="J25" s="23">
        <f t="shared" si="0"/>
        <v>88.333333333333329</v>
      </c>
      <c r="K25" s="8">
        <v>100</v>
      </c>
      <c r="L25" s="8">
        <v>82</v>
      </c>
      <c r="M25" s="5">
        <v>85</v>
      </c>
      <c r="N25" s="5">
        <v>85</v>
      </c>
      <c r="O25" s="8">
        <v>81</v>
      </c>
      <c r="P25" s="9">
        <v>93</v>
      </c>
      <c r="Q25" s="26">
        <f t="shared" si="1"/>
        <v>87.666666666666671</v>
      </c>
    </row>
    <row r="26" spans="1:17" ht="13.5" thickBot="1">
      <c r="A26" s="3">
        <v>302</v>
      </c>
      <c r="B26" s="5" t="s">
        <v>4</v>
      </c>
      <c r="C26" s="5">
        <v>4</v>
      </c>
      <c r="D26" s="5">
        <v>126</v>
      </c>
      <c r="E26" s="5">
        <v>91</v>
      </c>
      <c r="F26" s="5">
        <v>99</v>
      </c>
      <c r="G26" s="5">
        <v>107</v>
      </c>
      <c r="H26" s="8">
        <v>100</v>
      </c>
      <c r="I26" s="5">
        <v>102</v>
      </c>
      <c r="J26" s="23">
        <f t="shared" si="0"/>
        <v>104.16666666666667</v>
      </c>
      <c r="K26" s="5">
        <v>93</v>
      </c>
      <c r="L26" s="5">
        <v>93</v>
      </c>
      <c r="M26" s="33">
        <v>100</v>
      </c>
      <c r="N26">
        <v>103</v>
      </c>
      <c r="O26" s="5">
        <v>104</v>
      </c>
      <c r="P26" s="7">
        <v>96</v>
      </c>
      <c r="Q26" s="26">
        <f t="shared" si="1"/>
        <v>98.166666666666671</v>
      </c>
    </row>
    <row r="27" spans="1:17" ht="13.5" thickBot="1">
      <c r="A27" s="3">
        <v>303</v>
      </c>
      <c r="B27" s="5" t="s">
        <v>12</v>
      </c>
      <c r="C27" s="5">
        <v>8</v>
      </c>
      <c r="D27" s="5">
        <v>127</v>
      </c>
      <c r="E27" s="5">
        <v>95</v>
      </c>
      <c r="F27" s="5">
        <v>102</v>
      </c>
      <c r="G27" s="5">
        <v>101</v>
      </c>
      <c r="H27" s="5">
        <v>104</v>
      </c>
      <c r="I27" s="5">
        <v>93</v>
      </c>
      <c r="J27" s="23">
        <f t="shared" si="0"/>
        <v>103.66666666666667</v>
      </c>
      <c r="K27" s="5">
        <v>98</v>
      </c>
      <c r="L27" s="5">
        <v>94</v>
      </c>
      <c r="M27" s="5">
        <v>100</v>
      </c>
      <c r="N27" s="5">
        <v>88</v>
      </c>
      <c r="O27" s="5">
        <v>101</v>
      </c>
      <c r="P27" s="7">
        <v>97</v>
      </c>
      <c r="Q27" s="26">
        <f t="shared" si="1"/>
        <v>96.333333333333329</v>
      </c>
    </row>
    <row r="28" spans="1:17" ht="13.5" thickBot="1">
      <c r="A28" s="3">
        <v>304</v>
      </c>
      <c r="B28" s="5" t="s">
        <v>13</v>
      </c>
      <c r="C28" s="5">
        <v>2</v>
      </c>
      <c r="D28" s="5">
        <v>101</v>
      </c>
      <c r="E28" s="5">
        <v>105</v>
      </c>
      <c r="F28" s="5">
        <v>108</v>
      </c>
      <c r="G28" s="5">
        <v>112</v>
      </c>
      <c r="H28" s="5">
        <v>104</v>
      </c>
      <c r="I28" s="5">
        <v>106</v>
      </c>
      <c r="J28" s="23">
        <f t="shared" si="0"/>
        <v>106</v>
      </c>
      <c r="K28" s="5">
        <v>102</v>
      </c>
      <c r="L28" s="5">
        <v>100</v>
      </c>
      <c r="M28" s="5">
        <v>100</v>
      </c>
      <c r="N28" s="5">
        <v>100</v>
      </c>
      <c r="O28" s="5">
        <v>100</v>
      </c>
      <c r="P28" s="7">
        <v>100</v>
      </c>
      <c r="Q28" s="26">
        <f t="shared" si="1"/>
        <v>100.33333333333333</v>
      </c>
    </row>
    <row r="29" spans="1:17" ht="13.5" thickBot="1">
      <c r="A29" s="3">
        <v>305</v>
      </c>
      <c r="B29" s="5" t="s">
        <v>11</v>
      </c>
      <c r="C29" s="5">
        <v>11</v>
      </c>
      <c r="D29" s="5">
        <v>127</v>
      </c>
      <c r="E29" s="5">
        <v>127</v>
      </c>
      <c r="F29" s="5">
        <v>106</v>
      </c>
      <c r="G29" s="5">
        <v>120</v>
      </c>
      <c r="H29" s="5">
        <v>128</v>
      </c>
      <c r="I29" s="5">
        <v>114</v>
      </c>
      <c r="J29" s="23">
        <f t="shared" si="0"/>
        <v>120.33333333333333</v>
      </c>
      <c r="K29" s="5">
        <v>100</v>
      </c>
      <c r="L29" s="5">
        <v>100</v>
      </c>
      <c r="M29" s="5">
        <v>100</v>
      </c>
      <c r="N29" s="5">
        <v>100</v>
      </c>
      <c r="O29" s="5">
        <v>100</v>
      </c>
      <c r="P29" s="7">
        <v>100</v>
      </c>
      <c r="Q29" s="26">
        <f t="shared" si="1"/>
        <v>100</v>
      </c>
    </row>
    <row r="30" spans="1:17" ht="13.5" thickBot="1">
      <c r="A30" s="3">
        <v>306</v>
      </c>
      <c r="B30" s="5" t="s">
        <v>4</v>
      </c>
      <c r="C30" s="5">
        <v>4</v>
      </c>
      <c r="D30" s="5">
        <v>98</v>
      </c>
      <c r="E30" s="5">
        <v>96</v>
      </c>
      <c r="F30" s="5">
        <v>91</v>
      </c>
      <c r="G30" s="5">
        <v>95</v>
      </c>
      <c r="H30" s="5">
        <v>103</v>
      </c>
      <c r="I30" s="5">
        <v>118</v>
      </c>
      <c r="J30" s="23">
        <f t="shared" si="0"/>
        <v>100.16666666666667</v>
      </c>
      <c r="K30" s="5">
        <v>105</v>
      </c>
      <c r="L30" s="5">
        <v>83</v>
      </c>
      <c r="M30" s="5">
        <v>92</v>
      </c>
      <c r="N30" s="5">
        <v>105</v>
      </c>
      <c r="O30" s="5">
        <v>85</v>
      </c>
      <c r="P30" s="7">
        <v>91</v>
      </c>
      <c r="Q30" s="26">
        <f t="shared" si="1"/>
        <v>93.5</v>
      </c>
    </row>
    <row r="31" spans="1:17" ht="13.5" thickBot="1">
      <c r="A31" s="3">
        <v>307</v>
      </c>
      <c r="B31" s="5" t="s">
        <v>7</v>
      </c>
      <c r="C31" s="5">
        <v>9</v>
      </c>
      <c r="D31" s="5">
        <v>106</v>
      </c>
      <c r="E31" s="5">
        <v>104</v>
      </c>
      <c r="F31" s="5">
        <v>101</v>
      </c>
      <c r="G31" s="5">
        <v>116</v>
      </c>
      <c r="H31" s="5">
        <v>93</v>
      </c>
      <c r="I31" s="5">
        <v>85</v>
      </c>
      <c r="J31" s="23">
        <f t="shared" si="0"/>
        <v>100.83333333333333</v>
      </c>
      <c r="K31" s="5">
        <v>102</v>
      </c>
      <c r="L31" s="5">
        <v>84</v>
      </c>
      <c r="M31" s="5">
        <v>97</v>
      </c>
      <c r="N31" s="5">
        <v>93</v>
      </c>
      <c r="O31" s="5">
        <v>95</v>
      </c>
      <c r="P31" s="7">
        <v>90</v>
      </c>
      <c r="Q31" s="26">
        <f t="shared" si="1"/>
        <v>93.5</v>
      </c>
    </row>
    <row r="32" spans="1:17" ht="13.5" thickBot="1">
      <c r="A32" s="4">
        <v>308</v>
      </c>
      <c r="B32" s="12" t="s">
        <v>5</v>
      </c>
      <c r="C32" s="12">
        <v>5</v>
      </c>
      <c r="D32" s="12">
        <v>104</v>
      </c>
      <c r="E32" s="12">
        <v>102</v>
      </c>
      <c r="F32" s="12">
        <v>91</v>
      </c>
      <c r="G32" s="12">
        <v>100</v>
      </c>
      <c r="H32" s="5">
        <v>93</v>
      </c>
      <c r="I32" s="5">
        <v>82</v>
      </c>
      <c r="J32" s="23">
        <f t="shared" si="0"/>
        <v>95.333333333333329</v>
      </c>
      <c r="K32" s="12">
        <v>97</v>
      </c>
      <c r="L32" s="12">
        <v>93</v>
      </c>
      <c r="M32" s="12">
        <v>88</v>
      </c>
      <c r="N32" s="12">
        <v>89</v>
      </c>
      <c r="O32" s="12">
        <v>87</v>
      </c>
      <c r="P32" s="13">
        <v>94</v>
      </c>
      <c r="Q32" s="26">
        <f t="shared" si="1"/>
        <v>91.333333333333329</v>
      </c>
    </row>
    <row r="33" spans="1:17" ht="13.5" thickBot="1">
      <c r="A33" s="2">
        <v>401</v>
      </c>
      <c r="B33" s="8" t="s">
        <v>14</v>
      </c>
      <c r="C33" s="8">
        <v>7</v>
      </c>
      <c r="D33" s="8">
        <v>87</v>
      </c>
      <c r="E33" s="8">
        <v>87</v>
      </c>
      <c r="F33" s="8">
        <v>98</v>
      </c>
      <c r="G33" s="8">
        <v>80</v>
      </c>
      <c r="H33" s="8">
        <v>92</v>
      </c>
      <c r="I33" s="5">
        <v>95</v>
      </c>
      <c r="J33" s="23">
        <f t="shared" si="0"/>
        <v>89.833333333333329</v>
      </c>
      <c r="K33" s="8">
        <v>92</v>
      </c>
      <c r="L33" s="8">
        <v>84</v>
      </c>
      <c r="M33" s="8">
        <v>90</v>
      </c>
      <c r="N33" s="8">
        <v>83</v>
      </c>
      <c r="O33" s="8">
        <v>83</v>
      </c>
      <c r="P33" s="9">
        <v>83</v>
      </c>
      <c r="Q33" s="26">
        <f t="shared" si="1"/>
        <v>85.833333333333329</v>
      </c>
    </row>
    <row r="34" spans="1:17" ht="13.5" thickBot="1">
      <c r="A34" s="3">
        <v>402</v>
      </c>
      <c r="B34" s="5" t="s">
        <v>7</v>
      </c>
      <c r="C34" s="5">
        <v>9</v>
      </c>
      <c r="D34" s="5">
        <v>102</v>
      </c>
      <c r="E34" s="5">
        <v>128</v>
      </c>
      <c r="F34" s="5">
        <v>106</v>
      </c>
      <c r="G34" s="5">
        <v>102</v>
      </c>
      <c r="H34" s="5">
        <v>100</v>
      </c>
      <c r="I34" s="5">
        <v>118</v>
      </c>
      <c r="J34" s="23">
        <f t="shared" si="0"/>
        <v>109.33333333333333</v>
      </c>
      <c r="K34" s="5">
        <v>88</v>
      </c>
      <c r="L34" s="5">
        <v>92</v>
      </c>
      <c r="M34" s="5">
        <v>96</v>
      </c>
      <c r="N34" s="5">
        <v>106</v>
      </c>
      <c r="O34" s="5">
        <v>93</v>
      </c>
      <c r="P34" s="7">
        <v>93</v>
      </c>
      <c r="Q34" s="26">
        <f t="shared" si="1"/>
        <v>94.666666666666671</v>
      </c>
    </row>
    <row r="35" spans="1:17" ht="13.5" thickBot="1">
      <c r="A35" s="3">
        <v>403</v>
      </c>
      <c r="B35" s="5" t="s">
        <v>15</v>
      </c>
      <c r="C35" s="5">
        <v>6</v>
      </c>
      <c r="D35" s="5">
        <v>92</v>
      </c>
      <c r="E35" s="5">
        <v>84</v>
      </c>
      <c r="F35" s="5">
        <v>80</v>
      </c>
      <c r="G35" s="5">
        <v>87</v>
      </c>
      <c r="H35" s="5">
        <v>83</v>
      </c>
      <c r="I35" s="5">
        <v>90</v>
      </c>
      <c r="J35" s="23">
        <f t="shared" si="0"/>
        <v>86</v>
      </c>
      <c r="K35" s="5">
        <v>103</v>
      </c>
      <c r="L35" s="5">
        <v>101</v>
      </c>
      <c r="M35" s="5">
        <v>94</v>
      </c>
      <c r="N35" s="5">
        <v>87</v>
      </c>
      <c r="O35" s="5">
        <v>110</v>
      </c>
      <c r="P35" s="7">
        <v>93</v>
      </c>
      <c r="Q35" s="26">
        <f t="shared" si="1"/>
        <v>98</v>
      </c>
    </row>
    <row r="36" spans="1:17" ht="13.5" thickBot="1">
      <c r="A36" s="3">
        <v>404</v>
      </c>
      <c r="B36" s="5" t="s">
        <v>8</v>
      </c>
      <c r="C36" s="5">
        <v>3</v>
      </c>
      <c r="D36" s="5">
        <v>112</v>
      </c>
      <c r="E36" s="5">
        <v>127</v>
      </c>
      <c r="F36" s="5">
        <v>103</v>
      </c>
      <c r="G36" s="5">
        <v>108</v>
      </c>
      <c r="H36" s="5">
        <v>105</v>
      </c>
      <c r="I36" s="5">
        <v>104</v>
      </c>
      <c r="J36" s="23">
        <f t="shared" si="0"/>
        <v>109.83333333333333</v>
      </c>
      <c r="K36" s="5">
        <v>96</v>
      </c>
      <c r="L36" s="5">
        <v>97</v>
      </c>
      <c r="M36" s="5">
        <v>102</v>
      </c>
      <c r="N36" s="5">
        <v>103</v>
      </c>
      <c r="O36" s="5">
        <v>95</v>
      </c>
      <c r="P36" s="7">
        <v>91</v>
      </c>
      <c r="Q36" s="26">
        <f t="shared" si="1"/>
        <v>97.333333333333329</v>
      </c>
    </row>
    <row r="37" spans="1:17" ht="13.5" thickBot="1">
      <c r="A37" s="3">
        <v>405</v>
      </c>
      <c r="B37" s="5" t="s">
        <v>15</v>
      </c>
      <c r="C37" s="5">
        <v>6</v>
      </c>
      <c r="D37" s="5">
        <v>74</v>
      </c>
      <c r="E37" s="5">
        <v>95</v>
      </c>
      <c r="F37" s="5">
        <v>75</v>
      </c>
      <c r="G37" s="5">
        <v>75</v>
      </c>
      <c r="H37" s="5">
        <v>72</v>
      </c>
      <c r="I37" s="5">
        <v>77</v>
      </c>
      <c r="J37" s="23">
        <f t="shared" si="0"/>
        <v>78</v>
      </c>
      <c r="K37" s="5">
        <v>97</v>
      </c>
      <c r="L37" s="5">
        <v>90</v>
      </c>
      <c r="M37" s="5">
        <v>101</v>
      </c>
      <c r="N37" s="5">
        <v>93</v>
      </c>
      <c r="O37" s="5">
        <v>92</v>
      </c>
      <c r="P37" s="7">
        <v>88</v>
      </c>
      <c r="Q37" s="26">
        <f t="shared" si="1"/>
        <v>93.5</v>
      </c>
    </row>
    <row r="38" spans="1:17" ht="13.5" thickBot="1">
      <c r="A38" s="3">
        <v>406</v>
      </c>
      <c r="B38" s="5" t="s">
        <v>8</v>
      </c>
      <c r="C38" s="5">
        <v>3</v>
      </c>
      <c r="D38" s="5">
        <v>121</v>
      </c>
      <c r="E38" s="5">
        <v>101</v>
      </c>
      <c r="F38" s="5">
        <v>106</v>
      </c>
      <c r="G38" s="5">
        <v>107</v>
      </c>
      <c r="H38" s="5">
        <v>124</v>
      </c>
      <c r="I38" s="5">
        <v>107</v>
      </c>
      <c r="J38" s="23">
        <f t="shared" si="0"/>
        <v>111</v>
      </c>
      <c r="K38" s="5">
        <v>100</v>
      </c>
      <c r="L38" s="5">
        <v>100</v>
      </c>
      <c r="M38" s="5">
        <v>105</v>
      </c>
      <c r="N38" s="5">
        <v>103</v>
      </c>
      <c r="O38" s="5">
        <v>104</v>
      </c>
      <c r="P38" s="7">
        <v>89</v>
      </c>
      <c r="Q38" s="26">
        <f t="shared" si="1"/>
        <v>100.16666666666667</v>
      </c>
    </row>
    <row r="39" spans="1:17" ht="13.5" thickBot="1">
      <c r="A39" s="3">
        <v>407</v>
      </c>
      <c r="B39" s="5" t="s">
        <v>14</v>
      </c>
      <c r="C39" s="5">
        <v>7</v>
      </c>
      <c r="D39" s="5">
        <v>102</v>
      </c>
      <c r="E39" s="5">
        <v>88</v>
      </c>
      <c r="F39" s="5">
        <v>83</v>
      </c>
      <c r="G39" s="5">
        <v>88</v>
      </c>
      <c r="H39" s="5">
        <v>86</v>
      </c>
      <c r="I39" s="5">
        <v>108</v>
      </c>
      <c r="J39" s="23">
        <f t="shared" si="0"/>
        <v>92.5</v>
      </c>
      <c r="K39" s="5">
        <v>98</v>
      </c>
      <c r="L39" s="5">
        <v>86</v>
      </c>
      <c r="M39" s="5">
        <v>104</v>
      </c>
      <c r="N39" s="5">
        <v>94</v>
      </c>
      <c r="O39" s="5">
        <v>102</v>
      </c>
      <c r="P39" s="7">
        <v>103</v>
      </c>
      <c r="Q39" s="26">
        <f t="shared" si="1"/>
        <v>97.833333333333329</v>
      </c>
    </row>
    <row r="40" spans="1:17" ht="13.5" thickBot="1">
      <c r="A40" s="4">
        <v>408</v>
      </c>
      <c r="B40" s="12" t="s">
        <v>6</v>
      </c>
      <c r="C40" s="12">
        <v>10</v>
      </c>
      <c r="D40" s="12">
        <v>92</v>
      </c>
      <c r="E40" s="12">
        <v>75</v>
      </c>
      <c r="F40" s="12">
        <v>80</v>
      </c>
      <c r="G40" s="12">
        <v>73</v>
      </c>
      <c r="H40" s="12">
        <v>70</v>
      </c>
      <c r="I40" s="5">
        <v>82</v>
      </c>
      <c r="J40" s="23">
        <f t="shared" si="0"/>
        <v>78.666666666666671</v>
      </c>
      <c r="K40" s="12">
        <v>93</v>
      </c>
      <c r="L40" s="12">
        <v>86</v>
      </c>
      <c r="M40" s="12">
        <v>72</v>
      </c>
      <c r="N40" s="12">
        <v>83</v>
      </c>
      <c r="O40" s="12">
        <v>81</v>
      </c>
      <c r="P40" s="13">
        <v>72</v>
      </c>
      <c r="Q40" s="26">
        <f t="shared" si="1"/>
        <v>81.166666666666671</v>
      </c>
    </row>
    <row r="41" spans="1:17" ht="13.5" thickBot="1">
      <c r="A41" s="2">
        <v>901</v>
      </c>
      <c r="B41" s="8" t="s">
        <v>16</v>
      </c>
      <c r="C41" s="8">
        <v>32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5">
        <v>0</v>
      </c>
      <c r="J41" s="23">
        <f t="shared" si="0"/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9">
        <v>0</v>
      </c>
      <c r="Q41" s="26">
        <f t="shared" si="1"/>
        <v>0</v>
      </c>
    </row>
    <row r="42" spans="1:17" ht="13.5" thickBot="1">
      <c r="A42" s="3">
        <v>902</v>
      </c>
      <c r="B42" s="6">
        <v>37452</v>
      </c>
      <c r="C42" s="5">
        <v>22</v>
      </c>
      <c r="D42" s="5">
        <v>91</v>
      </c>
      <c r="E42" s="5">
        <v>83</v>
      </c>
      <c r="F42" s="5">
        <v>97</v>
      </c>
      <c r="G42" s="5">
        <v>103</v>
      </c>
      <c r="H42" s="5">
        <v>96</v>
      </c>
      <c r="I42" s="5">
        <v>107</v>
      </c>
      <c r="J42" s="23">
        <f t="shared" si="0"/>
        <v>96.166666666666671</v>
      </c>
      <c r="K42" s="5">
        <v>85</v>
      </c>
      <c r="L42" s="5">
        <v>102</v>
      </c>
      <c r="M42" s="5">
        <v>91</v>
      </c>
      <c r="N42" s="5">
        <v>86</v>
      </c>
      <c r="O42" s="5">
        <v>89</v>
      </c>
      <c r="P42" s="7">
        <v>90</v>
      </c>
      <c r="Q42" s="26">
        <f t="shared" si="1"/>
        <v>90.5</v>
      </c>
    </row>
    <row r="43" spans="1:17" ht="13.5" thickBot="1">
      <c r="A43" s="3">
        <v>903</v>
      </c>
      <c r="B43" s="5" t="s">
        <v>17</v>
      </c>
      <c r="C43" s="5">
        <v>31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23">
        <f t="shared" si="0"/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7">
        <v>0</v>
      </c>
      <c r="Q43" s="26">
        <f t="shared" si="1"/>
        <v>0</v>
      </c>
    </row>
    <row r="44" spans="1:17" ht="13.5" thickBot="1">
      <c r="A44" s="3">
        <v>904</v>
      </c>
      <c r="B44" s="6">
        <v>37408</v>
      </c>
      <c r="C44" s="5">
        <v>21</v>
      </c>
      <c r="D44" s="5">
        <v>61</v>
      </c>
      <c r="E44" s="5">
        <v>48</v>
      </c>
      <c r="F44" s="5">
        <v>55</v>
      </c>
      <c r="G44" s="5">
        <v>44</v>
      </c>
      <c r="H44" s="5">
        <v>40</v>
      </c>
      <c r="I44" s="5">
        <v>50</v>
      </c>
      <c r="J44" s="23">
        <f t="shared" si="0"/>
        <v>49.666666666666664</v>
      </c>
      <c r="K44" s="5">
        <v>54</v>
      </c>
      <c r="L44" s="5">
        <v>49</v>
      </c>
      <c r="M44" s="5">
        <v>51</v>
      </c>
      <c r="N44" s="5">
        <v>45</v>
      </c>
      <c r="O44" s="5">
        <v>53</v>
      </c>
      <c r="P44" s="7">
        <v>47</v>
      </c>
      <c r="Q44" s="26">
        <f t="shared" si="1"/>
        <v>49.833333333333336</v>
      </c>
    </row>
    <row r="45" spans="1:17" ht="13.5" thickBot="1">
      <c r="A45" s="3">
        <v>905</v>
      </c>
      <c r="B45" s="5" t="s">
        <v>16</v>
      </c>
      <c r="C45" s="5">
        <v>32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23">
        <f t="shared" si="0"/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7">
        <v>0</v>
      </c>
      <c r="Q45" s="26">
        <f t="shared" si="1"/>
        <v>0</v>
      </c>
    </row>
    <row r="46" spans="1:17" ht="13.5" thickBot="1">
      <c r="A46" s="3">
        <v>906</v>
      </c>
      <c r="B46" s="6">
        <v>37452</v>
      </c>
      <c r="C46" s="5">
        <v>22</v>
      </c>
      <c r="D46" s="5">
        <v>102</v>
      </c>
      <c r="E46" s="5">
        <v>102</v>
      </c>
      <c r="F46" s="5">
        <v>102</v>
      </c>
      <c r="G46" s="5">
        <v>103</v>
      </c>
      <c r="H46" s="5">
        <v>93</v>
      </c>
      <c r="I46" s="5">
        <v>103</v>
      </c>
      <c r="J46" s="23">
        <f t="shared" si="0"/>
        <v>100.83333333333333</v>
      </c>
      <c r="K46" s="5">
        <v>97</v>
      </c>
      <c r="L46" s="5">
        <v>85</v>
      </c>
      <c r="M46" s="5">
        <v>103</v>
      </c>
      <c r="N46" s="5">
        <v>110</v>
      </c>
      <c r="O46" s="5">
        <v>87</v>
      </c>
      <c r="P46" s="7">
        <v>100</v>
      </c>
      <c r="Q46" s="26">
        <f t="shared" si="1"/>
        <v>97</v>
      </c>
    </row>
    <row r="47" spans="1:17" ht="13.5" thickBot="1">
      <c r="A47" s="3">
        <v>907</v>
      </c>
      <c r="B47" s="5" t="s">
        <v>17</v>
      </c>
      <c r="C47" s="5">
        <v>31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23">
        <f t="shared" si="0"/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7">
        <v>0</v>
      </c>
      <c r="Q47" s="26">
        <f t="shared" si="1"/>
        <v>0</v>
      </c>
    </row>
    <row r="48" spans="1:17" ht="13.5" thickBot="1">
      <c r="A48" s="4">
        <v>908</v>
      </c>
      <c r="B48" s="15">
        <v>37408</v>
      </c>
      <c r="C48" s="12">
        <v>21</v>
      </c>
      <c r="D48" s="12">
        <v>58</v>
      </c>
      <c r="E48" s="12">
        <v>48</v>
      </c>
      <c r="F48" s="12">
        <v>51</v>
      </c>
      <c r="G48" s="12">
        <v>48</v>
      </c>
      <c r="H48" s="12">
        <v>52</v>
      </c>
      <c r="I48" s="5">
        <v>53</v>
      </c>
      <c r="J48" s="23">
        <f t="shared" si="0"/>
        <v>51.666666666666664</v>
      </c>
      <c r="K48" s="12">
        <v>50</v>
      </c>
      <c r="L48" s="12">
        <v>61</v>
      </c>
      <c r="M48" s="12">
        <v>56</v>
      </c>
      <c r="N48" s="12">
        <v>51</v>
      </c>
      <c r="O48" s="12">
        <v>50</v>
      </c>
      <c r="P48" s="13">
        <v>48</v>
      </c>
      <c r="Q48" s="27">
        <f t="shared" si="1"/>
        <v>52.666666666666664</v>
      </c>
    </row>
  </sheetData>
  <phoneticPr fontId="0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A0B6F-CB38-4C05-A2AD-7A9F792CB2F2}">
  <dimension ref="A1:Q48"/>
  <sheetViews>
    <sheetView workbookViewId="0">
      <selection activeCell="Q9" sqref="Q9:Q48"/>
    </sheetView>
  </sheetViews>
  <sheetFormatPr defaultRowHeight="12.75"/>
  <sheetData>
    <row r="1" spans="1:17">
      <c r="A1" t="s">
        <v>19</v>
      </c>
    </row>
    <row r="2" spans="1:17">
      <c r="A2" s="1"/>
    </row>
    <row r="3" spans="1:17">
      <c r="A3" s="30">
        <v>37488</v>
      </c>
    </row>
    <row r="4" spans="1:17">
      <c r="A4" s="31" t="s">
        <v>52</v>
      </c>
      <c r="E4" t="s">
        <v>30</v>
      </c>
    </row>
    <row r="5" spans="1:17">
      <c r="A5" s="1" t="s">
        <v>22</v>
      </c>
    </row>
    <row r="6" spans="1:17" ht="13.5" thickBot="1"/>
    <row r="7" spans="1:17" ht="13.5" thickBot="1">
      <c r="D7" s="2"/>
      <c r="E7" s="18"/>
      <c r="F7" s="19" t="s">
        <v>2</v>
      </c>
      <c r="G7" s="18"/>
      <c r="H7" s="18"/>
      <c r="I7" s="20"/>
      <c r="J7" s="18"/>
      <c r="K7" s="2"/>
      <c r="L7" s="18"/>
      <c r="M7" s="18" t="s">
        <v>1</v>
      </c>
      <c r="N7" s="18"/>
      <c r="O7" s="18"/>
      <c r="P7" s="18"/>
      <c r="Q7" s="24"/>
    </row>
    <row r="8" spans="1:17" ht="13.5" thickBot="1">
      <c r="A8" s="16" t="s">
        <v>0</v>
      </c>
      <c r="B8" s="17" t="s">
        <v>9</v>
      </c>
      <c r="C8" s="17" t="s">
        <v>18</v>
      </c>
      <c r="D8" s="21" t="s">
        <v>24</v>
      </c>
      <c r="E8" s="12" t="s">
        <v>25</v>
      </c>
      <c r="F8" s="12" t="s">
        <v>26</v>
      </c>
      <c r="G8" s="12" t="s">
        <v>27</v>
      </c>
      <c r="H8" s="12" t="s">
        <v>28</v>
      </c>
      <c r="I8" s="35" t="s">
        <v>29</v>
      </c>
      <c r="J8" s="22" t="s">
        <v>31</v>
      </c>
      <c r="K8" s="21" t="s">
        <v>24</v>
      </c>
      <c r="L8" s="12" t="s">
        <v>25</v>
      </c>
      <c r="M8" s="12" t="s">
        <v>26</v>
      </c>
      <c r="N8" s="12" t="s">
        <v>27</v>
      </c>
      <c r="O8" s="12" t="s">
        <v>28</v>
      </c>
      <c r="P8" s="13" t="s">
        <v>29</v>
      </c>
      <c r="Q8" s="25" t="s">
        <v>32</v>
      </c>
    </row>
    <row r="9" spans="1:17" ht="13.5" thickBot="1">
      <c r="A9" s="2">
        <v>101</v>
      </c>
      <c r="B9" s="8" t="s">
        <v>3</v>
      </c>
      <c r="C9" s="9">
        <v>1</v>
      </c>
      <c r="D9" s="8">
        <v>110</v>
      </c>
      <c r="E9" s="8">
        <v>96</v>
      </c>
      <c r="F9" s="8">
        <v>98</v>
      </c>
      <c r="G9" s="8">
        <v>103</v>
      </c>
      <c r="H9" s="8">
        <v>86</v>
      </c>
      <c r="I9" s="5">
        <v>104</v>
      </c>
      <c r="J9" s="23">
        <f>AVERAGE(D9:I9)</f>
        <v>99.5</v>
      </c>
      <c r="K9" s="8">
        <v>92</v>
      </c>
      <c r="L9" s="8">
        <v>85</v>
      </c>
      <c r="M9" s="8">
        <v>105</v>
      </c>
      <c r="N9" s="8">
        <v>95</v>
      </c>
      <c r="O9" s="8">
        <v>93</v>
      </c>
      <c r="P9" s="9">
        <v>88</v>
      </c>
      <c r="Q9" s="26">
        <f>AVERAGE(K9:P9)</f>
        <v>93</v>
      </c>
    </row>
    <row r="10" spans="1:17" ht="13.5" thickBot="1">
      <c r="A10" s="3">
        <v>102</v>
      </c>
      <c r="B10" s="5" t="s">
        <v>4</v>
      </c>
      <c r="C10" s="7">
        <v>4</v>
      </c>
      <c r="D10" s="5">
        <v>100</v>
      </c>
      <c r="E10" s="5">
        <v>112</v>
      </c>
      <c r="F10" s="5">
        <v>121</v>
      </c>
      <c r="G10" s="5">
        <v>102</v>
      </c>
      <c r="H10" s="5">
        <v>103</v>
      </c>
      <c r="I10" s="5">
        <v>104</v>
      </c>
      <c r="J10" s="23">
        <f t="shared" ref="J10:J48" si="0">AVERAGE(D10:I10)</f>
        <v>107</v>
      </c>
      <c r="K10" s="5">
        <v>104</v>
      </c>
      <c r="L10" s="5">
        <v>83</v>
      </c>
      <c r="M10" s="5">
        <v>87</v>
      </c>
      <c r="N10" s="5">
        <v>98</v>
      </c>
      <c r="O10" s="5">
        <v>79</v>
      </c>
      <c r="P10" s="7">
        <v>88</v>
      </c>
      <c r="Q10" s="26">
        <f t="shared" ref="Q10:Q48" si="1">AVERAGE(K10:P10)</f>
        <v>89.833333333333329</v>
      </c>
    </row>
    <row r="11" spans="1:17" ht="13.5" thickBot="1">
      <c r="A11" s="3">
        <v>103</v>
      </c>
      <c r="B11" s="5" t="s">
        <v>5</v>
      </c>
      <c r="C11" s="7">
        <v>5</v>
      </c>
      <c r="D11" s="5">
        <v>122</v>
      </c>
      <c r="E11" s="5">
        <v>122</v>
      </c>
      <c r="F11" s="5">
        <v>125</v>
      </c>
      <c r="G11" s="5">
        <v>113</v>
      </c>
      <c r="H11" s="5">
        <v>110</v>
      </c>
      <c r="I11" s="5">
        <v>105</v>
      </c>
      <c r="J11" s="23">
        <f t="shared" si="0"/>
        <v>116.16666666666667</v>
      </c>
      <c r="K11" s="5">
        <v>105</v>
      </c>
      <c r="L11" s="5">
        <v>105</v>
      </c>
      <c r="M11" s="5">
        <v>105</v>
      </c>
      <c r="N11" s="5">
        <v>105</v>
      </c>
      <c r="O11" s="5">
        <v>105</v>
      </c>
      <c r="P11" s="7">
        <v>105</v>
      </c>
      <c r="Q11" s="26">
        <f t="shared" si="1"/>
        <v>105</v>
      </c>
    </row>
    <row r="12" spans="1:17" ht="13.5" thickBot="1">
      <c r="A12" s="3">
        <v>104</v>
      </c>
      <c r="B12" s="5" t="s">
        <v>6</v>
      </c>
      <c r="C12" s="7">
        <v>10</v>
      </c>
      <c r="D12" s="5">
        <v>90</v>
      </c>
      <c r="E12" s="5">
        <v>93</v>
      </c>
      <c r="F12" s="5">
        <v>85</v>
      </c>
      <c r="G12" s="5">
        <v>97</v>
      </c>
      <c r="H12" s="5">
        <v>92</v>
      </c>
      <c r="I12" s="5">
        <v>86</v>
      </c>
      <c r="J12" s="23">
        <f t="shared" si="0"/>
        <v>90.5</v>
      </c>
      <c r="K12" s="5">
        <v>85</v>
      </c>
      <c r="L12" s="5">
        <v>103</v>
      </c>
      <c r="M12" s="5">
        <v>101</v>
      </c>
      <c r="N12" s="5">
        <v>100</v>
      </c>
      <c r="O12" s="5">
        <v>89</v>
      </c>
      <c r="P12" s="7">
        <v>76</v>
      </c>
      <c r="Q12" s="26">
        <f t="shared" si="1"/>
        <v>92.333333333333329</v>
      </c>
    </row>
    <row r="13" spans="1:17" ht="13.5" thickBot="1">
      <c r="A13" s="3">
        <v>105</v>
      </c>
      <c r="B13" s="5" t="s">
        <v>10</v>
      </c>
      <c r="C13" s="7">
        <v>12</v>
      </c>
      <c r="D13" s="5">
        <v>96</v>
      </c>
      <c r="E13" s="5">
        <v>107</v>
      </c>
      <c r="F13" s="5">
        <v>92</v>
      </c>
      <c r="G13" s="5">
        <v>98</v>
      </c>
      <c r="H13" s="5">
        <v>87</v>
      </c>
      <c r="I13" s="5">
        <v>93</v>
      </c>
      <c r="J13" s="23">
        <f t="shared" si="0"/>
        <v>95.5</v>
      </c>
      <c r="K13" s="5">
        <v>105</v>
      </c>
      <c r="L13" s="5">
        <v>100</v>
      </c>
      <c r="M13" s="5">
        <v>105</v>
      </c>
      <c r="N13" s="5">
        <v>98</v>
      </c>
      <c r="O13" s="5">
        <v>100</v>
      </c>
      <c r="P13" s="7">
        <v>97</v>
      </c>
      <c r="Q13" s="26">
        <f t="shared" si="1"/>
        <v>100.83333333333333</v>
      </c>
    </row>
    <row r="14" spans="1:17" ht="13.5" thickBot="1">
      <c r="A14" s="3">
        <v>106</v>
      </c>
      <c r="B14" s="5" t="s">
        <v>7</v>
      </c>
      <c r="C14" s="7">
        <v>9</v>
      </c>
      <c r="D14" s="5">
        <v>100</v>
      </c>
      <c r="E14" s="5">
        <v>107</v>
      </c>
      <c r="F14" s="5">
        <v>127</v>
      </c>
      <c r="G14" s="5">
        <v>110</v>
      </c>
      <c r="H14" s="5">
        <v>101</v>
      </c>
      <c r="I14" s="5">
        <v>107</v>
      </c>
      <c r="J14" s="23">
        <f t="shared" si="0"/>
        <v>108.66666666666667</v>
      </c>
      <c r="K14" s="5">
        <v>91</v>
      </c>
      <c r="L14" s="5">
        <v>88</v>
      </c>
      <c r="M14" s="5">
        <v>89</v>
      </c>
      <c r="N14" s="5">
        <v>102</v>
      </c>
      <c r="O14" s="5">
        <v>102</v>
      </c>
      <c r="P14" s="7">
        <v>92</v>
      </c>
      <c r="Q14" s="26">
        <f t="shared" si="1"/>
        <v>94</v>
      </c>
    </row>
    <row r="15" spans="1:17" ht="13.5" thickBot="1">
      <c r="A15" s="3">
        <v>107</v>
      </c>
      <c r="B15" s="5" t="s">
        <v>6</v>
      </c>
      <c r="C15" s="7">
        <v>10</v>
      </c>
      <c r="D15" s="5">
        <v>104</v>
      </c>
      <c r="E15" s="5">
        <v>113</v>
      </c>
      <c r="F15" s="5">
        <v>97</v>
      </c>
      <c r="G15" s="5">
        <v>93</v>
      </c>
      <c r="H15" s="5">
        <v>102</v>
      </c>
      <c r="I15" s="5">
        <v>110</v>
      </c>
      <c r="J15" s="23">
        <f t="shared" si="0"/>
        <v>103.16666666666667</v>
      </c>
      <c r="K15" s="5">
        <v>94</v>
      </c>
      <c r="L15" s="5">
        <v>101</v>
      </c>
      <c r="M15" s="5">
        <v>95</v>
      </c>
      <c r="N15" s="5">
        <v>104</v>
      </c>
      <c r="O15" s="5">
        <v>94</v>
      </c>
      <c r="P15" s="7">
        <v>85</v>
      </c>
      <c r="Q15" s="26">
        <f t="shared" si="1"/>
        <v>95.5</v>
      </c>
    </row>
    <row r="16" spans="1:17" ht="13.5" thickBot="1">
      <c r="A16" s="4">
        <v>108</v>
      </c>
      <c r="B16" s="12" t="s">
        <v>8</v>
      </c>
      <c r="C16" s="13">
        <v>3</v>
      </c>
      <c r="D16" s="12">
        <v>107</v>
      </c>
      <c r="E16" s="12">
        <v>107</v>
      </c>
      <c r="F16" s="12">
        <v>108</v>
      </c>
      <c r="G16" s="12">
        <v>103</v>
      </c>
      <c r="H16" s="5">
        <v>106</v>
      </c>
      <c r="I16" s="5">
        <v>121</v>
      </c>
      <c r="J16" s="23">
        <f t="shared" si="0"/>
        <v>108.66666666666667</v>
      </c>
      <c r="K16" s="12">
        <v>105</v>
      </c>
      <c r="L16" s="12">
        <v>105</v>
      </c>
      <c r="M16" s="12">
        <v>95</v>
      </c>
      <c r="N16" s="12">
        <v>105</v>
      </c>
      <c r="O16" s="12">
        <v>94</v>
      </c>
      <c r="P16" s="13">
        <v>105</v>
      </c>
      <c r="Q16" s="26">
        <f t="shared" si="1"/>
        <v>101.5</v>
      </c>
    </row>
    <row r="17" spans="1:17" ht="13.5" thickBot="1">
      <c r="A17" s="2">
        <v>201</v>
      </c>
      <c r="B17" s="8" t="s">
        <v>10</v>
      </c>
      <c r="C17" s="8">
        <v>12</v>
      </c>
      <c r="D17" s="8">
        <v>96</v>
      </c>
      <c r="E17" s="8">
        <v>98</v>
      </c>
      <c r="F17" s="8">
        <v>86</v>
      </c>
      <c r="G17" s="8">
        <v>94</v>
      </c>
      <c r="H17" s="12">
        <v>96</v>
      </c>
      <c r="I17" s="5">
        <v>93</v>
      </c>
      <c r="J17" s="23">
        <f t="shared" si="0"/>
        <v>93.833333333333329</v>
      </c>
      <c r="K17" s="8">
        <v>100</v>
      </c>
      <c r="L17" s="8">
        <v>99</v>
      </c>
      <c r="M17" s="8">
        <v>100</v>
      </c>
      <c r="N17" s="8">
        <v>88</v>
      </c>
      <c r="O17" s="8">
        <v>100</v>
      </c>
      <c r="P17" s="9">
        <v>100</v>
      </c>
      <c r="Q17" s="26">
        <f t="shared" si="1"/>
        <v>97.833333333333329</v>
      </c>
    </row>
    <row r="18" spans="1:17" ht="13.5" thickBot="1">
      <c r="A18" s="3">
        <v>202</v>
      </c>
      <c r="B18" s="5" t="s">
        <v>7</v>
      </c>
      <c r="C18" s="5">
        <v>9</v>
      </c>
      <c r="D18" s="5">
        <v>105</v>
      </c>
      <c r="E18" s="5">
        <v>100</v>
      </c>
      <c r="F18" s="5">
        <v>113</v>
      </c>
      <c r="G18" s="5">
        <v>125</v>
      </c>
      <c r="H18" s="8">
        <v>128</v>
      </c>
      <c r="I18" s="5">
        <v>106</v>
      </c>
      <c r="J18" s="23">
        <f t="shared" si="0"/>
        <v>112.83333333333333</v>
      </c>
      <c r="K18" s="5">
        <v>96</v>
      </c>
      <c r="L18" s="5">
        <v>92</v>
      </c>
      <c r="M18" s="5">
        <v>95</v>
      </c>
      <c r="N18" s="5">
        <v>98</v>
      </c>
      <c r="O18" s="5">
        <v>87</v>
      </c>
      <c r="P18" s="7">
        <v>86</v>
      </c>
      <c r="Q18" s="26">
        <f t="shared" si="1"/>
        <v>92.333333333333329</v>
      </c>
    </row>
    <row r="19" spans="1:17" ht="13.5" thickBot="1">
      <c r="A19" s="3">
        <v>203</v>
      </c>
      <c r="B19" s="5" t="s">
        <v>8</v>
      </c>
      <c r="C19" s="5">
        <v>3</v>
      </c>
      <c r="D19" s="5">
        <v>127</v>
      </c>
      <c r="E19" s="5">
        <v>104</v>
      </c>
      <c r="F19" s="5">
        <v>103</v>
      </c>
      <c r="G19" s="5">
        <v>128</v>
      </c>
      <c r="H19" s="5">
        <v>104</v>
      </c>
      <c r="I19" s="5">
        <v>107</v>
      </c>
      <c r="J19" s="23">
        <f t="shared" si="0"/>
        <v>112.16666666666667</v>
      </c>
      <c r="K19" s="5">
        <v>100</v>
      </c>
      <c r="L19" s="5">
        <v>100</v>
      </c>
      <c r="M19" s="5">
        <v>100</v>
      </c>
      <c r="N19" s="5">
        <v>100</v>
      </c>
      <c r="O19" s="5">
        <v>100</v>
      </c>
      <c r="P19" s="7">
        <v>100</v>
      </c>
      <c r="Q19" s="26">
        <f t="shared" si="1"/>
        <v>100</v>
      </c>
    </row>
    <row r="20" spans="1:17" ht="13.5" thickBot="1">
      <c r="A20" s="3">
        <v>204</v>
      </c>
      <c r="B20" s="5" t="s">
        <v>11</v>
      </c>
      <c r="C20" s="5">
        <v>11</v>
      </c>
      <c r="D20" s="5">
        <v>117</v>
      </c>
      <c r="E20" s="5">
        <v>119</v>
      </c>
      <c r="F20" s="5">
        <v>109</v>
      </c>
      <c r="G20" s="5">
        <v>108</v>
      </c>
      <c r="H20" s="5">
        <v>103</v>
      </c>
      <c r="I20" s="5">
        <v>107</v>
      </c>
      <c r="J20" s="23">
        <f t="shared" si="0"/>
        <v>110.5</v>
      </c>
      <c r="K20" s="5">
        <v>100</v>
      </c>
      <c r="L20" s="5">
        <v>100</v>
      </c>
      <c r="M20" s="5">
        <v>100</v>
      </c>
      <c r="N20" s="5">
        <v>100</v>
      </c>
      <c r="O20" s="5">
        <v>100</v>
      </c>
      <c r="P20" s="7">
        <v>100</v>
      </c>
      <c r="Q20" s="26">
        <f t="shared" si="1"/>
        <v>100</v>
      </c>
    </row>
    <row r="21" spans="1:17" ht="13.5" thickBot="1">
      <c r="A21" s="3">
        <v>205</v>
      </c>
      <c r="B21" s="5" t="s">
        <v>3</v>
      </c>
      <c r="C21" s="5">
        <v>1</v>
      </c>
      <c r="D21" s="5">
        <v>124</v>
      </c>
      <c r="E21" s="5">
        <v>128</v>
      </c>
      <c r="F21" s="5">
        <v>119</v>
      </c>
      <c r="G21" s="5">
        <v>141</v>
      </c>
      <c r="H21" s="5">
        <v>138</v>
      </c>
      <c r="I21" s="5">
        <v>129</v>
      </c>
      <c r="J21" s="23">
        <f t="shared" si="0"/>
        <v>129.83333333333334</v>
      </c>
      <c r="K21" s="5">
        <v>110</v>
      </c>
      <c r="L21" s="5">
        <v>110</v>
      </c>
      <c r="M21" s="5">
        <v>110</v>
      </c>
      <c r="N21" s="5">
        <v>110</v>
      </c>
      <c r="O21" s="5">
        <v>110</v>
      </c>
      <c r="P21" s="7">
        <v>100</v>
      </c>
      <c r="Q21" s="26">
        <f t="shared" si="1"/>
        <v>108.33333333333333</v>
      </c>
    </row>
    <row r="22" spans="1:17" ht="13.5" thickBot="1">
      <c r="A22" s="3">
        <v>206</v>
      </c>
      <c r="B22" s="5" t="s">
        <v>12</v>
      </c>
      <c r="C22" s="5">
        <v>8</v>
      </c>
      <c r="D22" s="5">
        <v>85</v>
      </c>
      <c r="E22" s="5">
        <v>91</v>
      </c>
      <c r="F22" s="5">
        <v>100</v>
      </c>
      <c r="G22" s="5">
        <v>87</v>
      </c>
      <c r="H22" s="5">
        <v>100</v>
      </c>
      <c r="I22" s="5">
        <v>95</v>
      </c>
      <c r="J22" s="23">
        <f t="shared" si="0"/>
        <v>93</v>
      </c>
      <c r="K22" s="5">
        <v>90</v>
      </c>
      <c r="L22" s="5">
        <v>71</v>
      </c>
      <c r="M22" s="5">
        <v>97</v>
      </c>
      <c r="N22" s="5">
        <v>100</v>
      </c>
      <c r="O22" s="5">
        <v>83</v>
      </c>
      <c r="P22" s="7">
        <v>80</v>
      </c>
      <c r="Q22" s="26">
        <f t="shared" si="1"/>
        <v>86.833333333333329</v>
      </c>
    </row>
    <row r="23" spans="1:17" ht="13.5" thickBot="1">
      <c r="A23" s="3">
        <v>207</v>
      </c>
      <c r="B23" s="5" t="s">
        <v>4</v>
      </c>
      <c r="C23" s="5">
        <v>4</v>
      </c>
      <c r="D23" s="5">
        <v>121</v>
      </c>
      <c r="E23" s="5">
        <v>112</v>
      </c>
      <c r="F23" s="5">
        <v>123</v>
      </c>
      <c r="G23" s="5">
        <v>125</v>
      </c>
      <c r="H23" s="5">
        <v>113</v>
      </c>
      <c r="I23" s="5">
        <v>113</v>
      </c>
      <c r="J23" s="23">
        <f t="shared" si="0"/>
        <v>117.83333333333333</v>
      </c>
      <c r="K23" s="5">
        <v>105</v>
      </c>
      <c r="L23" s="5">
        <v>105</v>
      </c>
      <c r="M23" s="5">
        <v>105</v>
      </c>
      <c r="N23" s="5">
        <v>105</v>
      </c>
      <c r="O23" s="5">
        <v>105</v>
      </c>
      <c r="P23" s="7">
        <v>105</v>
      </c>
      <c r="Q23" s="26">
        <f t="shared" si="1"/>
        <v>105</v>
      </c>
    </row>
    <row r="24" spans="1:17" ht="13.5" thickBot="1">
      <c r="A24" s="4">
        <v>208</v>
      </c>
      <c r="B24" s="12" t="s">
        <v>13</v>
      </c>
      <c r="C24" s="12">
        <v>2</v>
      </c>
      <c r="D24" s="12">
        <v>107</v>
      </c>
      <c r="E24" s="12">
        <v>98</v>
      </c>
      <c r="F24" s="12">
        <v>96</v>
      </c>
      <c r="G24" s="12">
        <v>108</v>
      </c>
      <c r="H24" s="5">
        <v>118</v>
      </c>
      <c r="I24" s="5">
        <v>96</v>
      </c>
      <c r="J24" s="23">
        <f t="shared" si="0"/>
        <v>103.83333333333333</v>
      </c>
      <c r="K24" s="12">
        <v>100</v>
      </c>
      <c r="L24" s="12">
        <v>105</v>
      </c>
      <c r="M24" s="32">
        <v>105</v>
      </c>
      <c r="N24" s="36">
        <v>100</v>
      </c>
      <c r="O24" s="12">
        <v>109</v>
      </c>
      <c r="P24" s="13">
        <v>92</v>
      </c>
      <c r="Q24" s="26">
        <f t="shared" si="1"/>
        <v>101.83333333333333</v>
      </c>
    </row>
    <row r="25" spans="1:17" ht="13.5" thickBot="1">
      <c r="A25" s="2">
        <v>301</v>
      </c>
      <c r="B25" s="8" t="s">
        <v>6</v>
      </c>
      <c r="C25" s="8">
        <v>10</v>
      </c>
      <c r="D25" s="8">
        <v>88</v>
      </c>
      <c r="E25" s="8">
        <v>88</v>
      </c>
      <c r="F25" s="8">
        <v>81</v>
      </c>
      <c r="G25" s="8">
        <v>106</v>
      </c>
      <c r="H25" s="12">
        <v>86</v>
      </c>
      <c r="I25" s="5">
        <v>95</v>
      </c>
      <c r="J25" s="23">
        <f t="shared" si="0"/>
        <v>90.666666666666671</v>
      </c>
      <c r="K25" s="8">
        <v>97</v>
      </c>
      <c r="L25" s="8">
        <v>81</v>
      </c>
      <c r="M25" s="5">
        <v>95</v>
      </c>
      <c r="N25" s="5">
        <v>85</v>
      </c>
      <c r="O25" s="8">
        <v>78</v>
      </c>
      <c r="P25" s="9">
        <v>101</v>
      </c>
      <c r="Q25" s="26">
        <f t="shared" si="1"/>
        <v>89.5</v>
      </c>
    </row>
    <row r="26" spans="1:17" ht="13.5" thickBot="1">
      <c r="A26" s="3">
        <v>302</v>
      </c>
      <c r="B26" s="5" t="s">
        <v>4</v>
      </c>
      <c r="C26" s="5">
        <v>4</v>
      </c>
      <c r="D26" s="5">
        <v>115</v>
      </c>
      <c r="E26" s="5">
        <v>93</v>
      </c>
      <c r="F26" s="5">
        <v>106</v>
      </c>
      <c r="G26" s="5">
        <v>108</v>
      </c>
      <c r="H26" s="8">
        <v>97</v>
      </c>
      <c r="I26" s="5">
        <v>97</v>
      </c>
      <c r="J26" s="23">
        <f t="shared" si="0"/>
        <v>102.66666666666667</v>
      </c>
      <c r="K26" s="5">
        <v>90</v>
      </c>
      <c r="L26" s="5">
        <v>96</v>
      </c>
      <c r="M26" s="33">
        <v>91</v>
      </c>
      <c r="N26" s="36">
        <v>95</v>
      </c>
      <c r="O26" s="5">
        <v>96</v>
      </c>
      <c r="P26" s="7">
        <v>105</v>
      </c>
      <c r="Q26" s="26">
        <f t="shared" si="1"/>
        <v>95.5</v>
      </c>
    </row>
    <row r="27" spans="1:17" ht="13.5" thickBot="1">
      <c r="A27" s="3">
        <v>303</v>
      </c>
      <c r="B27" s="5" t="s">
        <v>12</v>
      </c>
      <c r="C27" s="5">
        <v>8</v>
      </c>
      <c r="D27" s="5">
        <v>127</v>
      </c>
      <c r="E27" s="5">
        <v>94</v>
      </c>
      <c r="F27" s="5">
        <v>102</v>
      </c>
      <c r="G27" s="5">
        <v>122</v>
      </c>
      <c r="H27" s="5">
        <v>103</v>
      </c>
      <c r="I27" s="5">
        <v>98</v>
      </c>
      <c r="J27" s="23">
        <f t="shared" si="0"/>
        <v>107.66666666666667</v>
      </c>
      <c r="K27" s="5">
        <v>105</v>
      </c>
      <c r="L27" s="5">
        <v>96</v>
      </c>
      <c r="M27" s="5">
        <v>102</v>
      </c>
      <c r="N27" s="5">
        <v>102</v>
      </c>
      <c r="O27" s="5">
        <v>105</v>
      </c>
      <c r="P27" s="7">
        <v>105</v>
      </c>
      <c r="Q27" s="26">
        <f t="shared" si="1"/>
        <v>102.5</v>
      </c>
    </row>
    <row r="28" spans="1:17" ht="13.5" thickBot="1">
      <c r="A28" s="3">
        <v>304</v>
      </c>
      <c r="B28" s="5" t="s">
        <v>13</v>
      </c>
      <c r="C28" s="5">
        <v>2</v>
      </c>
      <c r="D28" s="5">
        <v>103</v>
      </c>
      <c r="E28" s="5">
        <v>112</v>
      </c>
      <c r="F28" s="5">
        <v>114</v>
      </c>
      <c r="G28" s="5">
        <v>117</v>
      </c>
      <c r="H28" s="5">
        <v>96</v>
      </c>
      <c r="I28" s="5">
        <v>107</v>
      </c>
      <c r="J28" s="23">
        <f t="shared" si="0"/>
        <v>108.16666666666667</v>
      </c>
      <c r="K28" s="5">
        <v>110</v>
      </c>
      <c r="L28" s="36">
        <v>96</v>
      </c>
      <c r="M28" s="5">
        <v>100</v>
      </c>
      <c r="N28" s="5">
        <v>97</v>
      </c>
      <c r="O28" s="5">
        <v>98</v>
      </c>
      <c r="P28" s="7">
        <v>100</v>
      </c>
      <c r="Q28" s="26">
        <f t="shared" si="1"/>
        <v>100.16666666666667</v>
      </c>
    </row>
    <row r="29" spans="1:17" ht="13.5" thickBot="1">
      <c r="A29" s="3">
        <v>305</v>
      </c>
      <c r="B29" s="5" t="s">
        <v>11</v>
      </c>
      <c r="C29" s="5">
        <v>11</v>
      </c>
      <c r="D29" s="5">
        <v>127</v>
      </c>
      <c r="E29" s="5">
        <v>128</v>
      </c>
      <c r="F29" s="5">
        <v>109</v>
      </c>
      <c r="G29" s="5">
        <v>110</v>
      </c>
      <c r="H29" s="5">
        <v>109</v>
      </c>
      <c r="I29" s="5">
        <v>123</v>
      </c>
      <c r="J29" s="23">
        <f t="shared" si="0"/>
        <v>117.66666666666667</v>
      </c>
      <c r="K29" s="5">
        <v>105</v>
      </c>
      <c r="L29" s="36">
        <v>105</v>
      </c>
      <c r="M29" s="5">
        <v>105</v>
      </c>
      <c r="N29" s="5">
        <v>105</v>
      </c>
      <c r="O29" s="5">
        <v>105</v>
      </c>
      <c r="P29" s="7">
        <v>100</v>
      </c>
      <c r="Q29" s="26">
        <f>AVERAGE(K29:P29)</f>
        <v>104.16666666666667</v>
      </c>
    </row>
    <row r="30" spans="1:17" ht="13.5" thickBot="1">
      <c r="A30" s="3">
        <v>306</v>
      </c>
      <c r="B30" s="5" t="s">
        <v>4</v>
      </c>
      <c r="C30" s="5">
        <v>4</v>
      </c>
      <c r="D30" s="5">
        <v>110</v>
      </c>
      <c r="E30" s="5">
        <v>93</v>
      </c>
      <c r="F30" s="5">
        <v>96</v>
      </c>
      <c r="G30" s="5">
        <v>92</v>
      </c>
      <c r="H30" s="5">
        <v>113</v>
      </c>
      <c r="I30" s="5">
        <v>103</v>
      </c>
      <c r="J30" s="23">
        <f t="shared" si="0"/>
        <v>101.16666666666667</v>
      </c>
      <c r="K30" s="5">
        <v>107</v>
      </c>
      <c r="L30" s="5">
        <v>105</v>
      </c>
      <c r="M30" s="5">
        <v>79</v>
      </c>
      <c r="N30" s="5">
        <v>91</v>
      </c>
      <c r="O30" s="5">
        <v>80</v>
      </c>
      <c r="P30" s="7">
        <v>85</v>
      </c>
      <c r="Q30" s="26">
        <f>AVERAGE(K30:P30)</f>
        <v>91.166666666666671</v>
      </c>
    </row>
    <row r="31" spans="1:17" ht="13.5" thickBot="1">
      <c r="A31" s="3">
        <v>307</v>
      </c>
      <c r="B31" s="5" t="s">
        <v>7</v>
      </c>
      <c r="C31" s="5">
        <v>9</v>
      </c>
      <c r="D31" s="5">
        <v>121</v>
      </c>
      <c r="E31" s="5">
        <v>110</v>
      </c>
      <c r="F31" s="5">
        <v>100</v>
      </c>
      <c r="G31" s="5">
        <v>126</v>
      </c>
      <c r="H31" s="5">
        <v>90</v>
      </c>
      <c r="I31" s="5">
        <v>90</v>
      </c>
      <c r="J31" s="23">
        <f t="shared" si="0"/>
        <v>106.16666666666667</v>
      </c>
      <c r="K31" s="5">
        <v>94</v>
      </c>
      <c r="L31" s="5">
        <v>105</v>
      </c>
      <c r="M31" s="5">
        <v>106</v>
      </c>
      <c r="N31" s="5">
        <v>91</v>
      </c>
      <c r="O31" s="5">
        <v>93</v>
      </c>
      <c r="P31" s="7">
        <v>92</v>
      </c>
      <c r="Q31" s="26">
        <f t="shared" si="1"/>
        <v>96.833333333333329</v>
      </c>
    </row>
    <row r="32" spans="1:17" ht="13.5" thickBot="1">
      <c r="A32" s="4">
        <v>308</v>
      </c>
      <c r="B32" s="12" t="s">
        <v>5</v>
      </c>
      <c r="C32" s="12">
        <v>5</v>
      </c>
      <c r="D32" s="12">
        <v>110</v>
      </c>
      <c r="E32" s="12">
        <v>117</v>
      </c>
      <c r="F32" s="12">
        <v>96</v>
      </c>
      <c r="G32" s="12">
        <v>92</v>
      </c>
      <c r="H32" s="5">
        <v>104</v>
      </c>
      <c r="I32" s="5">
        <v>107</v>
      </c>
      <c r="J32" s="23">
        <f t="shared" si="0"/>
        <v>104.33333333333333</v>
      </c>
      <c r="K32" s="12">
        <v>105</v>
      </c>
      <c r="L32" s="12">
        <v>87</v>
      </c>
      <c r="M32" s="12">
        <v>100</v>
      </c>
      <c r="N32" s="12">
        <v>92</v>
      </c>
      <c r="O32" s="12">
        <v>98</v>
      </c>
      <c r="P32" s="13">
        <v>93</v>
      </c>
      <c r="Q32" s="26">
        <f t="shared" si="1"/>
        <v>95.833333333333329</v>
      </c>
    </row>
    <row r="33" spans="1:17" ht="13.5" thickBot="1">
      <c r="A33" s="2">
        <v>401</v>
      </c>
      <c r="B33" s="8" t="s">
        <v>14</v>
      </c>
      <c r="C33" s="8">
        <v>7</v>
      </c>
      <c r="D33" s="8">
        <v>87</v>
      </c>
      <c r="E33" s="8">
        <v>90</v>
      </c>
      <c r="F33" s="8">
        <v>101</v>
      </c>
      <c r="G33" s="8">
        <v>108</v>
      </c>
      <c r="H33" s="8">
        <v>94</v>
      </c>
      <c r="I33" s="5">
        <v>92</v>
      </c>
      <c r="J33" s="23">
        <f t="shared" si="0"/>
        <v>95.333333333333329</v>
      </c>
      <c r="K33" s="8">
        <v>93</v>
      </c>
      <c r="L33" s="8">
        <v>103</v>
      </c>
      <c r="M33" s="8">
        <v>92</v>
      </c>
      <c r="N33" s="8">
        <v>95</v>
      </c>
      <c r="O33" s="8">
        <v>84</v>
      </c>
      <c r="P33" s="9">
        <v>86</v>
      </c>
      <c r="Q33" s="26">
        <f t="shared" si="1"/>
        <v>92.166666666666671</v>
      </c>
    </row>
    <row r="34" spans="1:17" ht="13.5" thickBot="1">
      <c r="A34" s="3">
        <v>402</v>
      </c>
      <c r="B34" s="5" t="s">
        <v>7</v>
      </c>
      <c r="C34" s="5">
        <v>9</v>
      </c>
      <c r="D34" s="5">
        <v>103</v>
      </c>
      <c r="E34" s="5">
        <v>125</v>
      </c>
      <c r="F34" s="5">
        <v>112</v>
      </c>
      <c r="G34" s="5">
        <v>99</v>
      </c>
      <c r="H34" s="5">
        <v>103</v>
      </c>
      <c r="I34" s="5">
        <v>107</v>
      </c>
      <c r="J34" s="23">
        <f t="shared" si="0"/>
        <v>108.16666666666667</v>
      </c>
      <c r="K34" s="5">
        <v>101</v>
      </c>
      <c r="L34" s="5">
        <v>91</v>
      </c>
      <c r="M34" s="5">
        <v>95</v>
      </c>
      <c r="N34" s="5">
        <v>105</v>
      </c>
      <c r="O34" s="5">
        <v>102</v>
      </c>
      <c r="P34" s="7">
        <v>88</v>
      </c>
      <c r="Q34" s="26">
        <f t="shared" si="1"/>
        <v>97</v>
      </c>
    </row>
    <row r="35" spans="1:17" ht="13.5" thickBot="1">
      <c r="A35" s="3">
        <v>403</v>
      </c>
      <c r="B35" s="5" t="s">
        <v>15</v>
      </c>
      <c r="C35" s="5">
        <v>6</v>
      </c>
      <c r="D35" s="5">
        <v>91</v>
      </c>
      <c r="E35" s="5">
        <v>84</v>
      </c>
      <c r="F35" s="5">
        <v>76</v>
      </c>
      <c r="G35" s="5">
        <v>82</v>
      </c>
      <c r="H35" s="5">
        <v>82</v>
      </c>
      <c r="I35" s="5">
        <v>90</v>
      </c>
      <c r="J35" s="23">
        <f t="shared" si="0"/>
        <v>84.166666666666671</v>
      </c>
      <c r="K35" s="5">
        <v>101</v>
      </c>
      <c r="L35" s="5">
        <v>101</v>
      </c>
      <c r="M35" s="5">
        <v>100</v>
      </c>
      <c r="N35" s="5">
        <v>85</v>
      </c>
      <c r="O35" s="5">
        <v>105</v>
      </c>
      <c r="P35" s="7">
        <v>93</v>
      </c>
      <c r="Q35" s="26">
        <f t="shared" si="1"/>
        <v>97.5</v>
      </c>
    </row>
    <row r="36" spans="1:17" ht="13.5" thickBot="1">
      <c r="A36" s="3">
        <v>404</v>
      </c>
      <c r="B36" s="5" t="s">
        <v>8</v>
      </c>
      <c r="C36" s="5">
        <v>3</v>
      </c>
      <c r="D36" s="5">
        <v>112</v>
      </c>
      <c r="E36" s="5">
        <v>126</v>
      </c>
      <c r="F36" s="5">
        <v>98</v>
      </c>
      <c r="G36" s="5">
        <v>102</v>
      </c>
      <c r="H36" s="5">
        <v>122</v>
      </c>
      <c r="I36" s="5">
        <v>107</v>
      </c>
      <c r="J36" s="23">
        <f t="shared" si="0"/>
        <v>111.16666666666667</v>
      </c>
      <c r="K36" s="5">
        <v>105</v>
      </c>
      <c r="L36" s="5">
        <v>89</v>
      </c>
      <c r="M36" s="5">
        <v>100</v>
      </c>
      <c r="N36" s="5">
        <v>89</v>
      </c>
      <c r="O36" s="5">
        <v>93</v>
      </c>
      <c r="P36" s="7">
        <v>82</v>
      </c>
      <c r="Q36" s="26">
        <f t="shared" si="1"/>
        <v>93</v>
      </c>
    </row>
    <row r="37" spans="1:17" ht="13.5" thickBot="1">
      <c r="A37" s="3">
        <v>405</v>
      </c>
      <c r="B37" s="5" t="s">
        <v>15</v>
      </c>
      <c r="C37" s="5">
        <v>6</v>
      </c>
      <c r="D37" s="5">
        <v>88</v>
      </c>
      <c r="E37" s="5">
        <v>90</v>
      </c>
      <c r="F37" s="5">
        <v>76</v>
      </c>
      <c r="G37" s="5">
        <v>81</v>
      </c>
      <c r="H37" s="5">
        <v>68</v>
      </c>
      <c r="I37" s="5">
        <v>74</v>
      </c>
      <c r="J37" s="23">
        <f t="shared" si="0"/>
        <v>79.5</v>
      </c>
      <c r="K37" s="5">
        <v>93</v>
      </c>
      <c r="L37" s="5">
        <v>103</v>
      </c>
      <c r="M37" s="5">
        <v>91</v>
      </c>
      <c r="N37" s="5">
        <v>97</v>
      </c>
      <c r="O37" s="5">
        <v>93</v>
      </c>
      <c r="P37" s="7">
        <v>82</v>
      </c>
      <c r="Q37" s="26">
        <f t="shared" si="1"/>
        <v>93.166666666666671</v>
      </c>
    </row>
    <row r="38" spans="1:17" ht="13.5" thickBot="1">
      <c r="A38" s="3">
        <v>406</v>
      </c>
      <c r="B38" s="5" t="s">
        <v>8</v>
      </c>
      <c r="C38" s="5">
        <v>3</v>
      </c>
      <c r="D38" s="5">
        <v>105</v>
      </c>
      <c r="E38" s="5">
        <v>106</v>
      </c>
      <c r="F38" s="5">
        <v>130</v>
      </c>
      <c r="G38" s="5">
        <v>113</v>
      </c>
      <c r="H38" s="5">
        <v>127</v>
      </c>
      <c r="I38" s="5">
        <v>127</v>
      </c>
      <c r="J38" s="23">
        <f t="shared" si="0"/>
        <v>118</v>
      </c>
      <c r="K38" s="5">
        <v>105</v>
      </c>
      <c r="L38" s="5">
        <v>92</v>
      </c>
      <c r="M38" s="5">
        <v>104</v>
      </c>
      <c r="N38" s="5">
        <v>104</v>
      </c>
      <c r="O38" s="5">
        <v>105</v>
      </c>
      <c r="P38" s="7">
        <v>105</v>
      </c>
      <c r="Q38" s="26">
        <f t="shared" si="1"/>
        <v>102.5</v>
      </c>
    </row>
    <row r="39" spans="1:17" ht="13.5" thickBot="1">
      <c r="A39" s="3">
        <v>407</v>
      </c>
      <c r="B39" s="5" t="s">
        <v>14</v>
      </c>
      <c r="C39" s="5">
        <v>7</v>
      </c>
      <c r="D39" s="5">
        <v>108</v>
      </c>
      <c r="E39" s="5">
        <v>90</v>
      </c>
      <c r="F39" s="5">
        <v>87</v>
      </c>
      <c r="G39" s="5">
        <v>93</v>
      </c>
      <c r="H39" s="5">
        <v>85</v>
      </c>
      <c r="I39" s="5">
        <v>112</v>
      </c>
      <c r="J39" s="23">
        <f t="shared" si="0"/>
        <v>95.833333333333329</v>
      </c>
      <c r="K39" s="5">
        <v>105</v>
      </c>
      <c r="L39" s="5">
        <v>92</v>
      </c>
      <c r="M39" s="5">
        <v>110</v>
      </c>
      <c r="N39" s="5">
        <v>95</v>
      </c>
      <c r="O39" s="5">
        <v>106</v>
      </c>
      <c r="P39" s="7">
        <v>104</v>
      </c>
      <c r="Q39" s="26">
        <f t="shared" si="1"/>
        <v>102</v>
      </c>
    </row>
    <row r="40" spans="1:17" ht="13.5" thickBot="1">
      <c r="A40" s="4">
        <v>408</v>
      </c>
      <c r="B40" s="12" t="s">
        <v>6</v>
      </c>
      <c r="C40" s="12">
        <v>10</v>
      </c>
      <c r="D40" s="12">
        <v>92</v>
      </c>
      <c r="E40" s="12">
        <v>76</v>
      </c>
      <c r="F40" s="12">
        <v>84</v>
      </c>
      <c r="G40" s="12">
        <v>74</v>
      </c>
      <c r="H40" s="12">
        <v>77</v>
      </c>
      <c r="I40" s="5">
        <v>94</v>
      </c>
      <c r="J40" s="23">
        <f t="shared" si="0"/>
        <v>82.833333333333329</v>
      </c>
      <c r="K40" s="12">
        <v>94</v>
      </c>
      <c r="L40" s="12">
        <v>105</v>
      </c>
      <c r="M40" s="12">
        <v>80</v>
      </c>
      <c r="N40" s="12">
        <v>80</v>
      </c>
      <c r="O40" s="12">
        <v>82</v>
      </c>
      <c r="P40" s="13">
        <v>77</v>
      </c>
      <c r="Q40" s="26">
        <f t="shared" si="1"/>
        <v>86.333333333333329</v>
      </c>
    </row>
    <row r="41" spans="1:17" ht="13.5" thickBot="1">
      <c r="A41" s="2">
        <v>901</v>
      </c>
      <c r="B41" s="8" t="s">
        <v>16</v>
      </c>
      <c r="C41" s="8">
        <v>32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5">
        <v>0</v>
      </c>
      <c r="J41" s="23">
        <f t="shared" si="0"/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9">
        <v>0</v>
      </c>
      <c r="Q41" s="26">
        <f t="shared" si="1"/>
        <v>0</v>
      </c>
    </row>
    <row r="42" spans="1:17" ht="13.5" thickBot="1">
      <c r="A42" s="3">
        <v>902</v>
      </c>
      <c r="B42" s="6">
        <v>37452</v>
      </c>
      <c r="C42" s="5">
        <v>22</v>
      </c>
      <c r="D42" s="5">
        <v>91</v>
      </c>
      <c r="E42" s="5">
        <v>81</v>
      </c>
      <c r="F42" s="5">
        <v>93</v>
      </c>
      <c r="G42" s="5">
        <v>102</v>
      </c>
      <c r="H42" s="5">
        <v>95</v>
      </c>
      <c r="I42" s="5">
        <v>106</v>
      </c>
      <c r="J42" s="23">
        <f t="shared" si="0"/>
        <v>94.666666666666671</v>
      </c>
      <c r="K42" s="5">
        <v>90</v>
      </c>
      <c r="L42" s="5">
        <v>99</v>
      </c>
      <c r="M42" s="5">
        <v>90</v>
      </c>
      <c r="N42" s="5">
        <v>81</v>
      </c>
      <c r="O42" s="5">
        <v>97</v>
      </c>
      <c r="P42" s="7">
        <v>96</v>
      </c>
      <c r="Q42" s="26">
        <f t="shared" si="1"/>
        <v>92.166666666666671</v>
      </c>
    </row>
    <row r="43" spans="1:17" ht="13.5" thickBot="1">
      <c r="A43" s="3">
        <v>903</v>
      </c>
      <c r="B43" s="5" t="s">
        <v>17</v>
      </c>
      <c r="C43" s="5">
        <v>31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23">
        <f t="shared" si="0"/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7">
        <v>0</v>
      </c>
      <c r="Q43" s="26">
        <f t="shared" si="1"/>
        <v>0</v>
      </c>
    </row>
    <row r="44" spans="1:17" ht="13.5" thickBot="1">
      <c r="A44" s="3">
        <v>904</v>
      </c>
      <c r="B44" s="6">
        <v>37408</v>
      </c>
      <c r="C44" s="5">
        <v>21</v>
      </c>
      <c r="D44" s="5">
        <v>58</v>
      </c>
      <c r="E44" s="5">
        <v>58</v>
      </c>
      <c r="F44" s="5">
        <v>57</v>
      </c>
      <c r="G44" s="5">
        <v>43</v>
      </c>
      <c r="H44" s="5">
        <v>47</v>
      </c>
      <c r="I44" s="5">
        <v>50</v>
      </c>
      <c r="J44" s="23">
        <f t="shared" si="0"/>
        <v>52.166666666666664</v>
      </c>
      <c r="K44" s="5">
        <v>62</v>
      </c>
      <c r="L44" s="5">
        <v>50</v>
      </c>
      <c r="M44" s="5">
        <v>60</v>
      </c>
      <c r="N44" s="5">
        <v>50</v>
      </c>
      <c r="O44" s="5">
        <v>56</v>
      </c>
      <c r="P44" s="7">
        <v>55</v>
      </c>
      <c r="Q44" s="26">
        <f t="shared" si="1"/>
        <v>55.5</v>
      </c>
    </row>
    <row r="45" spans="1:17" ht="13.5" thickBot="1">
      <c r="A45" s="3">
        <v>905</v>
      </c>
      <c r="B45" s="5" t="s">
        <v>16</v>
      </c>
      <c r="C45" s="5">
        <v>32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23">
        <f t="shared" si="0"/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7">
        <v>0</v>
      </c>
      <c r="Q45" s="26">
        <f t="shared" si="1"/>
        <v>0</v>
      </c>
    </row>
    <row r="46" spans="1:17" ht="13.5" thickBot="1">
      <c r="A46" s="3">
        <v>906</v>
      </c>
      <c r="B46" s="6">
        <v>37452</v>
      </c>
      <c r="C46" s="5">
        <v>22</v>
      </c>
      <c r="D46" s="5">
        <v>101</v>
      </c>
      <c r="E46" s="5">
        <v>98</v>
      </c>
      <c r="F46" s="5">
        <v>103</v>
      </c>
      <c r="G46" s="5">
        <v>102</v>
      </c>
      <c r="H46" s="5">
        <v>104</v>
      </c>
      <c r="I46" s="5">
        <v>102</v>
      </c>
      <c r="J46" s="23">
        <f t="shared" si="0"/>
        <v>101.66666666666667</v>
      </c>
      <c r="K46" s="5">
        <v>100</v>
      </c>
      <c r="L46" s="5">
        <v>100</v>
      </c>
      <c r="M46" s="5">
        <v>100</v>
      </c>
      <c r="N46" s="5">
        <v>100</v>
      </c>
      <c r="O46" s="5">
        <v>100</v>
      </c>
      <c r="P46" s="7">
        <v>100</v>
      </c>
      <c r="Q46" s="26">
        <f t="shared" si="1"/>
        <v>100</v>
      </c>
    </row>
    <row r="47" spans="1:17" ht="13.5" thickBot="1">
      <c r="A47" s="3">
        <v>907</v>
      </c>
      <c r="B47" s="5" t="s">
        <v>17</v>
      </c>
      <c r="C47" s="5">
        <v>31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23">
        <f t="shared" si="0"/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7">
        <v>0</v>
      </c>
      <c r="Q47" s="26">
        <f t="shared" si="1"/>
        <v>0</v>
      </c>
    </row>
    <row r="48" spans="1:17" ht="13.5" thickBot="1">
      <c r="A48" s="4">
        <v>908</v>
      </c>
      <c r="B48" s="15">
        <v>37408</v>
      </c>
      <c r="C48" s="12">
        <v>21</v>
      </c>
      <c r="D48" s="12">
        <v>60</v>
      </c>
      <c r="E48" s="12">
        <v>47</v>
      </c>
      <c r="F48" s="12">
        <v>50</v>
      </c>
      <c r="G48" s="12">
        <v>48</v>
      </c>
      <c r="H48" s="12">
        <v>52</v>
      </c>
      <c r="I48" s="5">
        <v>50</v>
      </c>
      <c r="J48" s="23">
        <f t="shared" si="0"/>
        <v>51.166666666666664</v>
      </c>
      <c r="K48" s="12">
        <v>63</v>
      </c>
      <c r="L48" s="12">
        <v>56</v>
      </c>
      <c r="M48" s="12">
        <v>54</v>
      </c>
      <c r="N48" s="12">
        <v>48</v>
      </c>
      <c r="O48" s="12">
        <v>52</v>
      </c>
      <c r="P48" s="13">
        <v>45</v>
      </c>
      <c r="Q48" s="27">
        <f t="shared" si="1"/>
        <v>53</v>
      </c>
    </row>
  </sheetData>
  <phoneticPr fontId="0" type="noConversion"/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F966B-8BDD-4DCE-B3B2-323CF3170F32}">
  <dimension ref="A1:Q48"/>
  <sheetViews>
    <sheetView workbookViewId="0">
      <selection activeCell="Q9" sqref="Q9:Q48"/>
    </sheetView>
  </sheetViews>
  <sheetFormatPr defaultRowHeight="12.75"/>
  <sheetData>
    <row r="1" spans="1:17">
      <c r="A1" t="s">
        <v>19</v>
      </c>
    </row>
    <row r="2" spans="1:17">
      <c r="A2" s="1"/>
    </row>
    <row r="3" spans="1:17">
      <c r="A3" s="30">
        <v>37495</v>
      </c>
    </row>
    <row r="4" spans="1:17">
      <c r="A4" s="31" t="s">
        <v>53</v>
      </c>
      <c r="E4" t="s">
        <v>30</v>
      </c>
    </row>
    <row r="5" spans="1:17">
      <c r="A5" s="1" t="s">
        <v>22</v>
      </c>
    </row>
    <row r="6" spans="1:17" ht="13.5" thickBot="1"/>
    <row r="7" spans="1:17" ht="13.5" thickBot="1">
      <c r="D7" s="2"/>
      <c r="E7" s="18"/>
      <c r="F7" s="19" t="s">
        <v>2</v>
      </c>
      <c r="G7" s="18"/>
      <c r="H7" s="18"/>
      <c r="I7" s="20"/>
      <c r="J7" s="18"/>
      <c r="K7" s="2"/>
      <c r="L7" s="18"/>
      <c r="M7" s="18" t="s">
        <v>1</v>
      </c>
      <c r="N7" s="18"/>
      <c r="O7" s="18"/>
      <c r="P7" s="18"/>
      <c r="Q7" s="24"/>
    </row>
    <row r="8" spans="1:17" ht="13.5" thickBot="1">
      <c r="A8" s="16" t="s">
        <v>0</v>
      </c>
      <c r="B8" s="17" t="s">
        <v>9</v>
      </c>
      <c r="C8" s="17" t="s">
        <v>18</v>
      </c>
      <c r="D8" s="21" t="s">
        <v>24</v>
      </c>
      <c r="E8" s="12" t="s">
        <v>25</v>
      </c>
      <c r="F8" s="12" t="s">
        <v>26</v>
      </c>
      <c r="G8" s="12" t="s">
        <v>27</v>
      </c>
      <c r="H8" s="12" t="s">
        <v>28</v>
      </c>
      <c r="I8" s="35" t="s">
        <v>29</v>
      </c>
      <c r="J8" s="22" t="s">
        <v>31</v>
      </c>
      <c r="K8" s="21" t="s">
        <v>24</v>
      </c>
      <c r="L8" s="12" t="s">
        <v>25</v>
      </c>
      <c r="M8" s="12" t="s">
        <v>26</v>
      </c>
      <c r="N8" s="12" t="s">
        <v>27</v>
      </c>
      <c r="O8" s="12" t="s">
        <v>28</v>
      </c>
      <c r="P8" s="13" t="s">
        <v>29</v>
      </c>
      <c r="Q8" s="25" t="s">
        <v>32</v>
      </c>
    </row>
    <row r="9" spans="1:17" ht="13.5" thickBot="1">
      <c r="A9" s="2">
        <v>101</v>
      </c>
      <c r="B9" s="8" t="s">
        <v>3</v>
      </c>
      <c r="C9" s="9">
        <v>1</v>
      </c>
      <c r="D9" s="8">
        <v>110</v>
      </c>
      <c r="E9" s="8">
        <v>98</v>
      </c>
      <c r="F9" s="8">
        <v>100</v>
      </c>
      <c r="G9" s="8">
        <v>109</v>
      </c>
      <c r="H9" s="8">
        <v>112</v>
      </c>
      <c r="I9" s="5">
        <v>115</v>
      </c>
      <c r="J9" s="23">
        <f>AVERAGE(D9:I9)</f>
        <v>107.33333333333333</v>
      </c>
      <c r="K9" s="8">
        <v>105</v>
      </c>
      <c r="L9" s="8">
        <v>105</v>
      </c>
      <c r="M9" s="8">
        <v>100</v>
      </c>
      <c r="N9" s="8">
        <v>100</v>
      </c>
      <c r="O9" s="8">
        <v>105</v>
      </c>
      <c r="P9" s="9">
        <v>105</v>
      </c>
      <c r="Q9" s="26">
        <f>AVERAGE(K9:P9)</f>
        <v>103.33333333333333</v>
      </c>
    </row>
    <row r="10" spans="1:17" ht="13.5" thickBot="1">
      <c r="A10" s="3">
        <v>102</v>
      </c>
      <c r="B10" s="5" t="s">
        <v>4</v>
      </c>
      <c r="C10" s="7">
        <v>4</v>
      </c>
      <c r="D10" s="5">
        <v>103</v>
      </c>
      <c r="E10" s="5">
        <v>116</v>
      </c>
      <c r="F10" s="5">
        <v>116</v>
      </c>
      <c r="G10" s="5">
        <v>110</v>
      </c>
      <c r="H10" s="5">
        <v>106</v>
      </c>
      <c r="I10" s="5">
        <v>103</v>
      </c>
      <c r="J10" s="23">
        <f t="shared" ref="J10:J48" si="0">AVERAGE(D10:I10)</f>
        <v>109</v>
      </c>
      <c r="K10" s="5">
        <v>92</v>
      </c>
      <c r="L10" s="5">
        <v>91</v>
      </c>
      <c r="M10" s="5">
        <v>93</v>
      </c>
      <c r="N10" s="5">
        <v>100</v>
      </c>
      <c r="O10" s="5">
        <v>81</v>
      </c>
      <c r="P10" s="7">
        <v>100</v>
      </c>
      <c r="Q10" s="26">
        <f t="shared" ref="Q10:Q48" si="1">AVERAGE(K10:P10)</f>
        <v>92.833333333333329</v>
      </c>
    </row>
    <row r="11" spans="1:17" ht="13.5" thickBot="1">
      <c r="A11" s="3">
        <v>103</v>
      </c>
      <c r="B11" s="5" t="s">
        <v>5</v>
      </c>
      <c r="C11" s="7">
        <v>5</v>
      </c>
      <c r="D11" s="5">
        <v>129</v>
      </c>
      <c r="E11" s="5">
        <v>122</v>
      </c>
      <c r="F11" s="5">
        <v>116</v>
      </c>
      <c r="G11" s="5">
        <v>115</v>
      </c>
      <c r="H11" s="5">
        <v>116</v>
      </c>
      <c r="I11" s="5">
        <v>108</v>
      </c>
      <c r="J11" s="23">
        <f t="shared" si="0"/>
        <v>117.66666666666667</v>
      </c>
      <c r="K11" s="5">
        <v>105</v>
      </c>
      <c r="L11" s="5">
        <v>105</v>
      </c>
      <c r="M11" s="5">
        <v>105</v>
      </c>
      <c r="N11" s="5">
        <v>105</v>
      </c>
      <c r="O11" s="5">
        <v>85</v>
      </c>
      <c r="P11" s="7">
        <v>100</v>
      </c>
      <c r="Q11" s="26">
        <f t="shared" si="1"/>
        <v>100.83333333333333</v>
      </c>
    </row>
    <row r="12" spans="1:17" ht="13.5" thickBot="1">
      <c r="A12" s="3">
        <v>104</v>
      </c>
      <c r="B12" s="5" t="s">
        <v>6</v>
      </c>
      <c r="C12" s="7">
        <v>10</v>
      </c>
      <c r="D12" s="5">
        <v>92</v>
      </c>
      <c r="E12" s="5">
        <v>82</v>
      </c>
      <c r="F12" s="5">
        <v>85</v>
      </c>
      <c r="G12" s="5">
        <v>98</v>
      </c>
      <c r="H12" s="5">
        <v>93</v>
      </c>
      <c r="I12" s="5">
        <v>91</v>
      </c>
      <c r="J12" s="23">
        <f t="shared" si="0"/>
        <v>90.166666666666671</v>
      </c>
      <c r="K12" s="5">
        <v>85</v>
      </c>
      <c r="L12" s="5">
        <v>102</v>
      </c>
      <c r="M12" s="5">
        <v>97</v>
      </c>
      <c r="N12" s="5">
        <v>101</v>
      </c>
      <c r="O12" s="5">
        <v>92</v>
      </c>
      <c r="P12" s="7">
        <v>83</v>
      </c>
      <c r="Q12" s="26">
        <f t="shared" si="1"/>
        <v>93.333333333333329</v>
      </c>
    </row>
    <row r="13" spans="1:17" ht="13.5" thickBot="1">
      <c r="A13" s="3">
        <v>105</v>
      </c>
      <c r="B13" s="5" t="s">
        <v>10</v>
      </c>
      <c r="C13" s="7">
        <v>12</v>
      </c>
      <c r="D13" s="5">
        <v>99</v>
      </c>
      <c r="E13" s="5">
        <v>108</v>
      </c>
      <c r="F13" s="5">
        <v>90</v>
      </c>
      <c r="G13" s="5">
        <v>97</v>
      </c>
      <c r="H13" s="5">
        <v>87</v>
      </c>
      <c r="I13" s="5">
        <v>96</v>
      </c>
      <c r="J13" s="23">
        <f t="shared" si="0"/>
        <v>96.166666666666671</v>
      </c>
      <c r="K13" s="5">
        <v>105</v>
      </c>
      <c r="L13" s="5">
        <v>105</v>
      </c>
      <c r="M13" s="5">
        <v>105</v>
      </c>
      <c r="N13" s="5">
        <v>107</v>
      </c>
      <c r="O13" s="5">
        <v>95</v>
      </c>
      <c r="P13" s="7">
        <v>97</v>
      </c>
      <c r="Q13" s="26">
        <f t="shared" si="1"/>
        <v>102.33333333333333</v>
      </c>
    </row>
    <row r="14" spans="1:17" ht="13.5" thickBot="1">
      <c r="A14" s="3">
        <v>106</v>
      </c>
      <c r="B14" s="5" t="s">
        <v>7</v>
      </c>
      <c r="C14" s="7">
        <v>9</v>
      </c>
      <c r="D14" s="5">
        <v>106</v>
      </c>
      <c r="E14" s="5">
        <v>126</v>
      </c>
      <c r="F14" s="5">
        <v>131</v>
      </c>
      <c r="G14" s="5">
        <v>119</v>
      </c>
      <c r="H14" s="5">
        <v>127</v>
      </c>
      <c r="I14" s="5">
        <v>124</v>
      </c>
      <c r="J14" s="23">
        <f t="shared" si="0"/>
        <v>122.16666666666667</v>
      </c>
      <c r="K14" s="5">
        <v>105</v>
      </c>
      <c r="L14" s="5">
        <v>105</v>
      </c>
      <c r="M14" s="5">
        <v>105</v>
      </c>
      <c r="N14" s="5">
        <v>105</v>
      </c>
      <c r="O14" s="5">
        <v>105</v>
      </c>
      <c r="P14" s="7">
        <v>105</v>
      </c>
      <c r="Q14" s="26">
        <f t="shared" si="1"/>
        <v>105</v>
      </c>
    </row>
    <row r="15" spans="1:17" ht="13.5" thickBot="1">
      <c r="A15" s="3">
        <v>107</v>
      </c>
      <c r="B15" s="5" t="s">
        <v>6</v>
      </c>
      <c r="C15" s="7">
        <v>10</v>
      </c>
      <c r="D15" s="5">
        <v>123</v>
      </c>
      <c r="E15" s="5">
        <v>128</v>
      </c>
      <c r="F15" s="5">
        <v>97</v>
      </c>
      <c r="G15" s="5">
        <v>98</v>
      </c>
      <c r="H15" s="5">
        <v>101</v>
      </c>
      <c r="I15" s="5">
        <v>108</v>
      </c>
      <c r="J15" s="23">
        <f t="shared" si="0"/>
        <v>109.16666666666667</v>
      </c>
      <c r="K15" s="5">
        <v>105</v>
      </c>
      <c r="L15" s="5">
        <v>105</v>
      </c>
      <c r="M15" s="5">
        <v>101</v>
      </c>
      <c r="N15" s="5">
        <v>102</v>
      </c>
      <c r="O15" s="5">
        <v>105</v>
      </c>
      <c r="P15" s="7">
        <v>86</v>
      </c>
      <c r="Q15" s="26">
        <f t="shared" si="1"/>
        <v>100.66666666666667</v>
      </c>
    </row>
    <row r="16" spans="1:17" ht="13.5" thickBot="1">
      <c r="A16" s="4">
        <v>108</v>
      </c>
      <c r="B16" s="12" t="s">
        <v>8</v>
      </c>
      <c r="C16" s="13">
        <v>3</v>
      </c>
      <c r="D16" s="12">
        <v>125</v>
      </c>
      <c r="E16" s="12">
        <v>123</v>
      </c>
      <c r="F16" s="12">
        <v>123</v>
      </c>
      <c r="G16" s="12">
        <v>108</v>
      </c>
      <c r="H16" s="5">
        <v>121</v>
      </c>
      <c r="I16" s="5">
        <v>123</v>
      </c>
      <c r="J16" s="23">
        <f t="shared" si="0"/>
        <v>120.5</v>
      </c>
      <c r="K16" s="12">
        <v>105</v>
      </c>
      <c r="L16" s="12">
        <v>100</v>
      </c>
      <c r="M16" s="12">
        <v>100</v>
      </c>
      <c r="N16" s="12">
        <v>105</v>
      </c>
      <c r="O16" s="12">
        <v>105</v>
      </c>
      <c r="P16" s="13">
        <v>105</v>
      </c>
      <c r="Q16" s="26">
        <f t="shared" si="1"/>
        <v>103.33333333333333</v>
      </c>
    </row>
    <row r="17" spans="1:17" ht="13.5" thickBot="1">
      <c r="A17" s="2">
        <v>201</v>
      </c>
      <c r="B17" s="8" t="s">
        <v>10</v>
      </c>
      <c r="C17" s="8">
        <v>12</v>
      </c>
      <c r="D17" s="8">
        <v>93</v>
      </c>
      <c r="E17" s="8">
        <v>100</v>
      </c>
      <c r="F17" s="8">
        <v>99</v>
      </c>
      <c r="G17" s="8">
        <v>95</v>
      </c>
      <c r="H17" s="12">
        <v>88</v>
      </c>
      <c r="I17" s="5">
        <v>89</v>
      </c>
      <c r="J17" s="23">
        <f t="shared" si="0"/>
        <v>94</v>
      </c>
      <c r="K17" s="8">
        <v>97</v>
      </c>
      <c r="L17" s="8">
        <v>99</v>
      </c>
      <c r="M17" s="8">
        <v>107</v>
      </c>
      <c r="N17" s="8">
        <v>92</v>
      </c>
      <c r="O17" s="8">
        <v>99</v>
      </c>
      <c r="P17" s="9">
        <v>98</v>
      </c>
      <c r="Q17" s="26">
        <f t="shared" si="1"/>
        <v>98.666666666666671</v>
      </c>
    </row>
    <row r="18" spans="1:17" ht="13.5" thickBot="1">
      <c r="A18" s="3">
        <v>202</v>
      </c>
      <c r="B18" s="5" t="s">
        <v>7</v>
      </c>
      <c r="C18" s="5">
        <v>9</v>
      </c>
      <c r="D18" s="5">
        <v>109</v>
      </c>
      <c r="E18" s="5">
        <v>102</v>
      </c>
      <c r="F18" s="5">
        <v>115</v>
      </c>
      <c r="G18" s="5">
        <v>116</v>
      </c>
      <c r="H18" s="8">
        <v>135</v>
      </c>
      <c r="I18" s="5">
        <v>114</v>
      </c>
      <c r="J18" s="23">
        <f t="shared" si="0"/>
        <v>115.16666666666667</v>
      </c>
      <c r="K18" s="5">
        <v>101</v>
      </c>
      <c r="L18" s="5">
        <v>91</v>
      </c>
      <c r="M18" s="5">
        <v>93</v>
      </c>
      <c r="N18" s="5">
        <v>86</v>
      </c>
      <c r="O18" s="5">
        <v>91</v>
      </c>
      <c r="P18" s="7">
        <v>100</v>
      </c>
      <c r="Q18" s="26">
        <f t="shared" si="1"/>
        <v>93.666666666666671</v>
      </c>
    </row>
    <row r="19" spans="1:17" ht="13.5" thickBot="1">
      <c r="A19" s="3">
        <v>203</v>
      </c>
      <c r="B19" s="5" t="s">
        <v>8</v>
      </c>
      <c r="C19" s="5">
        <v>3</v>
      </c>
      <c r="D19" s="5">
        <v>127</v>
      </c>
      <c r="E19" s="5">
        <v>130</v>
      </c>
      <c r="F19" s="5">
        <v>121</v>
      </c>
      <c r="G19" s="5">
        <v>113</v>
      </c>
      <c r="H19" s="5">
        <v>105</v>
      </c>
      <c r="I19" s="5">
        <v>103</v>
      </c>
      <c r="J19" s="23">
        <f t="shared" si="0"/>
        <v>116.5</v>
      </c>
      <c r="K19" s="5">
        <v>105</v>
      </c>
      <c r="L19" s="5">
        <v>105</v>
      </c>
      <c r="M19" s="5">
        <v>101</v>
      </c>
      <c r="N19" s="5">
        <v>102</v>
      </c>
      <c r="O19" s="5">
        <v>81</v>
      </c>
      <c r="P19" s="7">
        <v>107</v>
      </c>
      <c r="Q19" s="26">
        <f t="shared" si="1"/>
        <v>100.16666666666667</v>
      </c>
    </row>
    <row r="20" spans="1:17" ht="13.5" thickBot="1">
      <c r="A20" s="3">
        <v>204</v>
      </c>
      <c r="B20" s="5" t="s">
        <v>11</v>
      </c>
      <c r="C20" s="5">
        <v>11</v>
      </c>
      <c r="D20" s="5">
        <v>119</v>
      </c>
      <c r="E20" s="5">
        <v>118</v>
      </c>
      <c r="F20" s="5">
        <v>105</v>
      </c>
      <c r="G20" s="5">
        <v>127</v>
      </c>
      <c r="H20" s="5">
        <v>119</v>
      </c>
      <c r="I20" s="5">
        <v>112</v>
      </c>
      <c r="J20" s="23">
        <f t="shared" si="0"/>
        <v>116.66666666666667</v>
      </c>
      <c r="K20" s="5">
        <v>105</v>
      </c>
      <c r="L20" s="5">
        <v>105</v>
      </c>
      <c r="M20" s="5">
        <v>105</v>
      </c>
      <c r="N20" s="5">
        <v>105</v>
      </c>
      <c r="O20" s="5">
        <v>105</v>
      </c>
      <c r="P20" s="7">
        <v>105</v>
      </c>
      <c r="Q20" s="26">
        <f t="shared" si="1"/>
        <v>105</v>
      </c>
    </row>
    <row r="21" spans="1:17" ht="13.5" thickBot="1">
      <c r="A21" s="3">
        <v>205</v>
      </c>
      <c r="B21" s="5" t="s">
        <v>3</v>
      </c>
      <c r="C21" s="5">
        <v>1</v>
      </c>
      <c r="D21" s="5">
        <v>128</v>
      </c>
      <c r="E21" s="5">
        <v>148</v>
      </c>
      <c r="F21" s="5">
        <v>120</v>
      </c>
      <c r="G21" s="5">
        <v>143</v>
      </c>
      <c r="H21" s="5">
        <v>138</v>
      </c>
      <c r="I21" s="5">
        <v>128</v>
      </c>
      <c r="J21" s="23">
        <f t="shared" si="0"/>
        <v>134.16666666666666</v>
      </c>
      <c r="K21" s="5">
        <v>96</v>
      </c>
      <c r="L21" s="5">
        <v>88</v>
      </c>
      <c r="M21" s="5">
        <v>106</v>
      </c>
      <c r="N21" s="5">
        <v>100</v>
      </c>
      <c r="O21" s="5">
        <v>91</v>
      </c>
      <c r="P21" s="7">
        <v>88</v>
      </c>
      <c r="Q21" s="26">
        <f t="shared" si="1"/>
        <v>94.833333333333329</v>
      </c>
    </row>
    <row r="22" spans="1:17" ht="13.5" thickBot="1">
      <c r="A22" s="3">
        <v>206</v>
      </c>
      <c r="B22" s="5" t="s">
        <v>12</v>
      </c>
      <c r="C22" s="5">
        <v>8</v>
      </c>
      <c r="D22" s="5">
        <v>89</v>
      </c>
      <c r="E22" s="5">
        <v>97</v>
      </c>
      <c r="F22" s="5">
        <v>102</v>
      </c>
      <c r="G22" s="5">
        <v>86</v>
      </c>
      <c r="H22" s="5">
        <v>95</v>
      </c>
      <c r="I22" s="5">
        <v>95</v>
      </c>
      <c r="J22" s="23">
        <f t="shared" si="0"/>
        <v>94</v>
      </c>
      <c r="K22" s="5">
        <v>105</v>
      </c>
      <c r="L22" s="5">
        <v>105</v>
      </c>
      <c r="M22" s="5">
        <v>105</v>
      </c>
      <c r="N22" s="5">
        <v>105</v>
      </c>
      <c r="O22" s="5">
        <v>105</v>
      </c>
      <c r="P22" s="7">
        <v>105</v>
      </c>
      <c r="Q22" s="26">
        <f t="shared" si="1"/>
        <v>105</v>
      </c>
    </row>
    <row r="23" spans="1:17" ht="13.5" thickBot="1">
      <c r="A23" s="3">
        <v>207</v>
      </c>
      <c r="B23" s="5" t="s">
        <v>4</v>
      </c>
      <c r="C23" s="5">
        <v>4</v>
      </c>
      <c r="D23" s="5">
        <v>124</v>
      </c>
      <c r="E23" s="5">
        <v>119</v>
      </c>
      <c r="F23" s="5">
        <v>126</v>
      </c>
      <c r="G23" s="5">
        <v>124</v>
      </c>
      <c r="H23" s="5">
        <v>112</v>
      </c>
      <c r="I23" s="5">
        <v>113</v>
      </c>
      <c r="J23" s="23">
        <f t="shared" si="0"/>
        <v>119.66666666666667</v>
      </c>
      <c r="K23" s="5">
        <v>105</v>
      </c>
      <c r="L23" s="5">
        <v>105</v>
      </c>
      <c r="M23" s="5">
        <v>105</v>
      </c>
      <c r="N23" s="5">
        <v>105</v>
      </c>
      <c r="O23" s="5">
        <v>105</v>
      </c>
      <c r="P23" s="7">
        <v>105</v>
      </c>
      <c r="Q23" s="26">
        <f t="shared" si="1"/>
        <v>105</v>
      </c>
    </row>
    <row r="24" spans="1:17" ht="13.5" thickBot="1">
      <c r="A24" s="4">
        <v>208</v>
      </c>
      <c r="B24" s="12" t="s">
        <v>13</v>
      </c>
      <c r="C24" s="12">
        <v>2</v>
      </c>
      <c r="D24" s="12">
        <v>109</v>
      </c>
      <c r="E24" s="12">
        <v>96</v>
      </c>
      <c r="F24" s="12">
        <v>114</v>
      </c>
      <c r="G24" s="12">
        <v>114</v>
      </c>
      <c r="H24" s="5">
        <v>119</v>
      </c>
      <c r="I24" s="5">
        <v>98</v>
      </c>
      <c r="J24" s="23">
        <f t="shared" si="0"/>
        <v>108.33333333333333</v>
      </c>
      <c r="K24" s="12">
        <v>105</v>
      </c>
      <c r="L24" s="12">
        <v>105</v>
      </c>
      <c r="M24" s="32">
        <v>105</v>
      </c>
      <c r="N24" s="36">
        <v>105</v>
      </c>
      <c r="O24" s="12">
        <v>105</v>
      </c>
      <c r="P24" s="13">
        <v>105</v>
      </c>
      <c r="Q24" s="26">
        <f t="shared" si="1"/>
        <v>105</v>
      </c>
    </row>
    <row r="25" spans="1:17" ht="13.5" thickBot="1">
      <c r="A25" s="2">
        <v>301</v>
      </c>
      <c r="B25" s="8" t="s">
        <v>6</v>
      </c>
      <c r="C25" s="8">
        <v>10</v>
      </c>
      <c r="D25" s="8">
        <v>88</v>
      </c>
      <c r="E25" s="8">
        <v>87</v>
      </c>
      <c r="F25" s="8">
        <v>78</v>
      </c>
      <c r="G25" s="8">
        <v>87</v>
      </c>
      <c r="H25" s="12">
        <v>90</v>
      </c>
      <c r="I25" s="5">
        <v>93</v>
      </c>
      <c r="J25" s="23">
        <f t="shared" si="0"/>
        <v>87.166666666666671</v>
      </c>
      <c r="K25" s="8">
        <v>100</v>
      </c>
      <c r="L25" s="8">
        <v>88</v>
      </c>
      <c r="M25" s="5">
        <v>94</v>
      </c>
      <c r="N25" s="5">
        <v>100</v>
      </c>
      <c r="O25" s="8">
        <v>93</v>
      </c>
      <c r="P25" s="9">
        <v>103</v>
      </c>
      <c r="Q25" s="26">
        <f t="shared" si="1"/>
        <v>96.333333333333329</v>
      </c>
    </row>
    <row r="26" spans="1:17" ht="13.5" thickBot="1">
      <c r="A26" s="3">
        <v>302</v>
      </c>
      <c r="B26" s="5" t="s">
        <v>4</v>
      </c>
      <c r="C26" s="5">
        <v>4</v>
      </c>
      <c r="D26" s="5">
        <v>118</v>
      </c>
      <c r="E26" s="5">
        <v>110</v>
      </c>
      <c r="F26" s="5">
        <v>112</v>
      </c>
      <c r="G26" s="5">
        <v>105</v>
      </c>
      <c r="H26" s="8">
        <v>94</v>
      </c>
      <c r="I26" s="5">
        <v>99</v>
      </c>
      <c r="J26" s="23">
        <f t="shared" si="0"/>
        <v>106.33333333333333</v>
      </c>
      <c r="K26" s="5">
        <v>97</v>
      </c>
      <c r="L26" s="5">
        <v>99</v>
      </c>
      <c r="M26" s="33">
        <v>93</v>
      </c>
      <c r="N26" s="36">
        <v>107</v>
      </c>
      <c r="O26" s="5">
        <v>82</v>
      </c>
      <c r="P26" s="7">
        <v>107</v>
      </c>
      <c r="Q26" s="26">
        <f t="shared" si="1"/>
        <v>97.5</v>
      </c>
    </row>
    <row r="27" spans="1:17" ht="13.5" thickBot="1">
      <c r="A27" s="3">
        <v>303</v>
      </c>
      <c r="B27" s="5" t="s">
        <v>12</v>
      </c>
      <c r="C27" s="5">
        <v>8</v>
      </c>
      <c r="D27" s="5">
        <v>141</v>
      </c>
      <c r="E27" s="5">
        <v>105</v>
      </c>
      <c r="F27" s="5">
        <v>110</v>
      </c>
      <c r="G27" s="5">
        <v>124</v>
      </c>
      <c r="H27" s="5">
        <v>119</v>
      </c>
      <c r="I27" s="5">
        <v>96</v>
      </c>
      <c r="J27" s="23">
        <f t="shared" si="0"/>
        <v>115.83333333333333</v>
      </c>
      <c r="K27" s="5">
        <v>100</v>
      </c>
      <c r="L27" s="5">
        <v>82</v>
      </c>
      <c r="M27" s="5">
        <v>102</v>
      </c>
      <c r="N27" s="5">
        <v>100</v>
      </c>
      <c r="O27" s="5">
        <v>92</v>
      </c>
      <c r="P27" s="7">
        <v>105</v>
      </c>
      <c r="Q27" s="26">
        <f t="shared" si="1"/>
        <v>96.833333333333329</v>
      </c>
    </row>
    <row r="28" spans="1:17" ht="13.5" thickBot="1">
      <c r="A28" s="3">
        <v>304</v>
      </c>
      <c r="B28" s="5" t="s">
        <v>13</v>
      </c>
      <c r="C28" s="5">
        <v>2</v>
      </c>
      <c r="D28" s="5">
        <v>104</v>
      </c>
      <c r="E28" s="5">
        <v>121</v>
      </c>
      <c r="F28" s="5">
        <v>110</v>
      </c>
      <c r="G28" s="5">
        <v>117</v>
      </c>
      <c r="H28" s="5">
        <v>105</v>
      </c>
      <c r="I28" s="5">
        <v>109</v>
      </c>
      <c r="J28" s="23">
        <f t="shared" si="0"/>
        <v>111</v>
      </c>
      <c r="K28" s="5">
        <v>105</v>
      </c>
      <c r="L28" s="5">
        <v>105</v>
      </c>
      <c r="M28" s="5">
        <v>105</v>
      </c>
      <c r="N28" s="5">
        <v>105</v>
      </c>
      <c r="O28" s="5">
        <v>105</v>
      </c>
      <c r="P28" s="5">
        <v>105</v>
      </c>
      <c r="Q28" s="26">
        <f t="shared" si="1"/>
        <v>105</v>
      </c>
    </row>
    <row r="29" spans="1:17" ht="13.5" thickBot="1">
      <c r="A29" s="3">
        <v>305</v>
      </c>
      <c r="B29" s="5" t="s">
        <v>11</v>
      </c>
      <c r="C29" s="5">
        <v>11</v>
      </c>
      <c r="D29" s="5">
        <v>133</v>
      </c>
      <c r="E29" s="5">
        <v>133</v>
      </c>
      <c r="F29" s="5">
        <v>123</v>
      </c>
      <c r="G29" s="5">
        <v>123</v>
      </c>
      <c r="H29" s="5">
        <v>119</v>
      </c>
      <c r="I29" s="5">
        <v>121</v>
      </c>
      <c r="J29" s="23">
        <f t="shared" si="0"/>
        <v>125.33333333333333</v>
      </c>
      <c r="K29" s="5">
        <v>105</v>
      </c>
      <c r="L29" s="5">
        <v>105</v>
      </c>
      <c r="M29" s="5">
        <v>105</v>
      </c>
      <c r="N29" s="5">
        <v>105</v>
      </c>
      <c r="O29" s="5">
        <v>105</v>
      </c>
      <c r="P29" s="5">
        <v>105</v>
      </c>
      <c r="Q29" s="26">
        <f>AVERAGE(K29:P29)</f>
        <v>105</v>
      </c>
    </row>
    <row r="30" spans="1:17" ht="13.5" thickBot="1">
      <c r="A30" s="3">
        <v>306</v>
      </c>
      <c r="B30" s="5" t="s">
        <v>4</v>
      </c>
      <c r="C30" s="5">
        <v>4</v>
      </c>
      <c r="D30" s="5">
        <v>121</v>
      </c>
      <c r="E30" s="5">
        <v>99</v>
      </c>
      <c r="F30" s="5">
        <v>93</v>
      </c>
      <c r="G30" s="5">
        <v>96</v>
      </c>
      <c r="H30" s="5">
        <v>138</v>
      </c>
      <c r="I30" s="5">
        <v>124</v>
      </c>
      <c r="J30" s="23">
        <f t="shared" si="0"/>
        <v>111.83333333333333</v>
      </c>
      <c r="K30" s="5">
        <v>105</v>
      </c>
      <c r="L30" s="5">
        <v>105</v>
      </c>
      <c r="M30" s="5">
        <v>105</v>
      </c>
      <c r="N30" s="5">
        <v>105</v>
      </c>
      <c r="O30" s="5">
        <v>105</v>
      </c>
      <c r="P30" s="5">
        <v>105</v>
      </c>
      <c r="Q30" s="26">
        <f>AVERAGE(K30:P30)</f>
        <v>105</v>
      </c>
    </row>
    <row r="31" spans="1:17" ht="13.5" thickBot="1">
      <c r="A31" s="3">
        <v>307</v>
      </c>
      <c r="B31" s="5" t="s">
        <v>7</v>
      </c>
      <c r="C31" s="5">
        <v>9</v>
      </c>
      <c r="D31" s="5">
        <v>121</v>
      </c>
      <c r="E31" s="5">
        <v>111</v>
      </c>
      <c r="F31" s="5">
        <v>100</v>
      </c>
      <c r="G31" s="5">
        <v>112</v>
      </c>
      <c r="H31" s="5">
        <v>95</v>
      </c>
      <c r="I31" s="5">
        <v>97</v>
      </c>
      <c r="J31" s="23">
        <f t="shared" si="0"/>
        <v>106</v>
      </c>
      <c r="K31" s="5">
        <v>106</v>
      </c>
      <c r="L31" s="5">
        <v>91</v>
      </c>
      <c r="M31" s="5">
        <v>98</v>
      </c>
      <c r="N31" s="5">
        <v>93</v>
      </c>
      <c r="O31" s="5">
        <v>88</v>
      </c>
      <c r="P31" s="7">
        <v>93</v>
      </c>
      <c r="Q31" s="26">
        <f t="shared" si="1"/>
        <v>94.833333333333329</v>
      </c>
    </row>
    <row r="32" spans="1:17" ht="13.5" thickBot="1">
      <c r="A32" s="4">
        <v>308</v>
      </c>
      <c r="B32" s="12" t="s">
        <v>5</v>
      </c>
      <c r="C32" s="12">
        <v>5</v>
      </c>
      <c r="D32" s="12">
        <v>107</v>
      </c>
      <c r="E32" s="12">
        <v>102</v>
      </c>
      <c r="F32" s="12">
        <v>94</v>
      </c>
      <c r="G32" s="12">
        <v>102</v>
      </c>
      <c r="H32" s="5">
        <v>112</v>
      </c>
      <c r="I32" s="5">
        <v>95</v>
      </c>
      <c r="J32" s="23">
        <f t="shared" si="0"/>
        <v>102</v>
      </c>
      <c r="K32" s="12">
        <v>103</v>
      </c>
      <c r="L32" s="12">
        <v>93</v>
      </c>
      <c r="M32" s="12">
        <v>100</v>
      </c>
      <c r="N32" s="12">
        <v>100</v>
      </c>
      <c r="O32" s="12">
        <v>95</v>
      </c>
      <c r="P32" s="13">
        <v>96</v>
      </c>
      <c r="Q32" s="26">
        <f t="shared" si="1"/>
        <v>97.833333333333329</v>
      </c>
    </row>
    <row r="33" spans="1:17" ht="13.5" thickBot="1">
      <c r="A33" s="2">
        <v>401</v>
      </c>
      <c r="B33" s="8" t="s">
        <v>14</v>
      </c>
      <c r="C33" s="8">
        <v>7</v>
      </c>
      <c r="D33" s="8">
        <v>102</v>
      </c>
      <c r="E33" s="8">
        <v>91</v>
      </c>
      <c r="F33" s="8">
        <v>100</v>
      </c>
      <c r="G33" s="8">
        <v>118</v>
      </c>
      <c r="H33" s="8">
        <v>100</v>
      </c>
      <c r="I33" s="5">
        <v>98</v>
      </c>
      <c r="J33" s="23">
        <f t="shared" si="0"/>
        <v>101.5</v>
      </c>
      <c r="K33" s="8">
        <v>97</v>
      </c>
      <c r="L33" s="8">
        <v>99</v>
      </c>
      <c r="M33" s="8">
        <v>97</v>
      </c>
      <c r="N33" s="8">
        <v>98</v>
      </c>
      <c r="O33" s="8">
        <v>91</v>
      </c>
      <c r="P33" s="9">
        <v>100</v>
      </c>
      <c r="Q33" s="26">
        <f t="shared" si="1"/>
        <v>97</v>
      </c>
    </row>
    <row r="34" spans="1:17" ht="13.5" thickBot="1">
      <c r="A34" s="3">
        <v>402</v>
      </c>
      <c r="B34" s="5" t="s">
        <v>7</v>
      </c>
      <c r="C34" s="5">
        <v>9</v>
      </c>
      <c r="D34" s="5">
        <v>112</v>
      </c>
      <c r="E34" s="5">
        <v>125</v>
      </c>
      <c r="F34" s="5">
        <v>122</v>
      </c>
      <c r="G34" s="5">
        <v>101</v>
      </c>
      <c r="H34" s="5">
        <v>125</v>
      </c>
      <c r="I34" s="5">
        <v>123</v>
      </c>
      <c r="J34" s="23">
        <f t="shared" si="0"/>
        <v>118</v>
      </c>
      <c r="K34" s="5">
        <v>100</v>
      </c>
      <c r="L34" s="5">
        <v>105</v>
      </c>
      <c r="M34" s="5">
        <v>100</v>
      </c>
      <c r="N34" s="5">
        <v>105</v>
      </c>
      <c r="O34" s="5">
        <v>100</v>
      </c>
      <c r="P34" s="7">
        <v>105</v>
      </c>
      <c r="Q34" s="26">
        <f t="shared" si="1"/>
        <v>102.5</v>
      </c>
    </row>
    <row r="35" spans="1:17" ht="13.5" thickBot="1">
      <c r="A35" s="3">
        <v>403</v>
      </c>
      <c r="B35" s="5" t="s">
        <v>15</v>
      </c>
      <c r="C35" s="5">
        <v>6</v>
      </c>
      <c r="D35" s="5">
        <v>92</v>
      </c>
      <c r="E35" s="5">
        <v>97</v>
      </c>
      <c r="F35" s="5">
        <v>88</v>
      </c>
      <c r="G35" s="5">
        <v>94</v>
      </c>
      <c r="H35" s="5">
        <v>83</v>
      </c>
      <c r="I35" s="5">
        <v>90</v>
      </c>
      <c r="J35" s="23">
        <f t="shared" si="0"/>
        <v>90.666666666666671</v>
      </c>
      <c r="K35" s="5">
        <v>110</v>
      </c>
      <c r="L35" s="5">
        <v>95</v>
      </c>
      <c r="M35" s="5">
        <v>96</v>
      </c>
      <c r="N35" s="5">
        <v>86</v>
      </c>
      <c r="O35" s="5">
        <v>110</v>
      </c>
      <c r="P35" s="7">
        <v>100</v>
      </c>
      <c r="Q35" s="26">
        <f t="shared" si="1"/>
        <v>99.5</v>
      </c>
    </row>
    <row r="36" spans="1:17" ht="13.5" thickBot="1">
      <c r="A36" s="3">
        <v>404</v>
      </c>
      <c r="B36" s="5" t="s">
        <v>8</v>
      </c>
      <c r="C36" s="5">
        <v>3</v>
      </c>
      <c r="D36" s="5">
        <v>106</v>
      </c>
      <c r="E36" s="5">
        <v>104</v>
      </c>
      <c r="F36" s="5">
        <v>118</v>
      </c>
      <c r="G36" s="5">
        <v>129</v>
      </c>
      <c r="H36" s="5">
        <v>122</v>
      </c>
      <c r="I36" s="5">
        <v>105</v>
      </c>
      <c r="J36" s="23">
        <f t="shared" si="0"/>
        <v>114</v>
      </c>
      <c r="K36" s="5">
        <v>105</v>
      </c>
      <c r="L36" s="5">
        <v>105</v>
      </c>
      <c r="M36" s="5">
        <v>98</v>
      </c>
      <c r="N36" s="5">
        <v>105</v>
      </c>
      <c r="O36" s="5">
        <v>105</v>
      </c>
      <c r="P36" s="7">
        <v>105</v>
      </c>
      <c r="Q36" s="26">
        <f t="shared" si="1"/>
        <v>103.83333333333333</v>
      </c>
    </row>
    <row r="37" spans="1:17" ht="13.5" thickBot="1">
      <c r="A37" s="3">
        <v>405</v>
      </c>
      <c r="B37" s="5" t="s">
        <v>15</v>
      </c>
      <c r="C37" s="5">
        <v>6</v>
      </c>
      <c r="D37" s="5">
        <v>87</v>
      </c>
      <c r="E37" s="5">
        <v>92</v>
      </c>
      <c r="F37" s="5">
        <v>76</v>
      </c>
      <c r="G37" s="5">
        <v>77</v>
      </c>
      <c r="H37" s="5">
        <v>69</v>
      </c>
      <c r="I37" s="5">
        <v>74</v>
      </c>
      <c r="J37" s="23">
        <f t="shared" si="0"/>
        <v>79.166666666666671</v>
      </c>
      <c r="K37" s="5">
        <v>102</v>
      </c>
      <c r="L37" s="5">
        <v>93</v>
      </c>
      <c r="M37" s="5">
        <v>100</v>
      </c>
      <c r="N37" s="5">
        <v>100</v>
      </c>
      <c r="O37" s="5">
        <v>100</v>
      </c>
      <c r="P37" s="7">
        <v>88</v>
      </c>
      <c r="Q37" s="26">
        <f t="shared" si="1"/>
        <v>97.166666666666671</v>
      </c>
    </row>
    <row r="38" spans="1:17" ht="13.5" thickBot="1">
      <c r="A38" s="3">
        <v>406</v>
      </c>
      <c r="B38" s="5" t="s">
        <v>8</v>
      </c>
      <c r="C38" s="5">
        <v>3</v>
      </c>
      <c r="D38" s="5">
        <v>133</v>
      </c>
      <c r="E38" s="5">
        <v>113</v>
      </c>
      <c r="F38" s="5">
        <v>139</v>
      </c>
      <c r="G38" s="5">
        <v>106</v>
      </c>
      <c r="H38" s="5">
        <v>126</v>
      </c>
      <c r="I38" s="5">
        <v>127</v>
      </c>
      <c r="J38" s="23">
        <f t="shared" si="0"/>
        <v>124</v>
      </c>
      <c r="K38" s="5">
        <v>100</v>
      </c>
      <c r="L38" s="5">
        <v>105</v>
      </c>
      <c r="M38" s="5">
        <v>100</v>
      </c>
      <c r="N38" s="5">
        <v>100</v>
      </c>
      <c r="O38" s="5">
        <v>100</v>
      </c>
      <c r="P38" s="7">
        <v>105</v>
      </c>
      <c r="Q38" s="26">
        <f t="shared" si="1"/>
        <v>101.66666666666667</v>
      </c>
    </row>
    <row r="39" spans="1:17" ht="13.5" thickBot="1">
      <c r="A39" s="3">
        <v>407</v>
      </c>
      <c r="B39" s="5" t="s">
        <v>14</v>
      </c>
      <c r="C39" s="5">
        <v>7</v>
      </c>
      <c r="D39" s="5">
        <v>103</v>
      </c>
      <c r="E39" s="5">
        <v>97</v>
      </c>
      <c r="F39" s="5">
        <v>109</v>
      </c>
      <c r="G39" s="5">
        <v>106</v>
      </c>
      <c r="H39" s="5">
        <v>93</v>
      </c>
      <c r="I39" s="5">
        <v>117</v>
      </c>
      <c r="J39" s="23">
        <f t="shared" si="0"/>
        <v>104.16666666666667</v>
      </c>
      <c r="K39" s="5">
        <v>102</v>
      </c>
      <c r="L39" s="5">
        <v>86</v>
      </c>
      <c r="M39" s="5">
        <v>100</v>
      </c>
      <c r="N39" s="5">
        <v>100</v>
      </c>
      <c r="O39" s="5">
        <v>105</v>
      </c>
      <c r="P39" s="7">
        <v>100</v>
      </c>
      <c r="Q39" s="26">
        <f t="shared" si="1"/>
        <v>98.833333333333329</v>
      </c>
    </row>
    <row r="40" spans="1:17" ht="13.5" thickBot="1">
      <c r="A40" s="4">
        <v>408</v>
      </c>
      <c r="B40" s="12" t="s">
        <v>6</v>
      </c>
      <c r="C40" s="12">
        <v>10</v>
      </c>
      <c r="D40" s="12">
        <v>93</v>
      </c>
      <c r="E40" s="12">
        <v>76</v>
      </c>
      <c r="F40" s="12">
        <v>90</v>
      </c>
      <c r="G40" s="12">
        <v>77</v>
      </c>
      <c r="H40" s="12">
        <v>86</v>
      </c>
      <c r="I40" s="5">
        <v>91</v>
      </c>
      <c r="J40" s="23">
        <f t="shared" si="0"/>
        <v>85.5</v>
      </c>
      <c r="K40" s="12">
        <v>83</v>
      </c>
      <c r="L40" s="12">
        <v>93</v>
      </c>
      <c r="M40" s="12">
        <v>85</v>
      </c>
      <c r="N40" s="12">
        <v>83</v>
      </c>
      <c r="O40" s="12">
        <v>82</v>
      </c>
      <c r="P40" s="13">
        <v>86</v>
      </c>
      <c r="Q40" s="26">
        <f t="shared" si="1"/>
        <v>85.333333333333329</v>
      </c>
    </row>
    <row r="41" spans="1:17" ht="13.5" thickBot="1">
      <c r="A41" s="2">
        <v>901</v>
      </c>
      <c r="B41" s="8" t="s">
        <v>16</v>
      </c>
      <c r="C41" s="8">
        <v>32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5">
        <v>0</v>
      </c>
      <c r="J41" s="23">
        <f t="shared" si="0"/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9">
        <v>0</v>
      </c>
      <c r="Q41" s="26">
        <f t="shared" si="1"/>
        <v>0</v>
      </c>
    </row>
    <row r="42" spans="1:17" ht="13.5" thickBot="1">
      <c r="A42" s="3">
        <v>902</v>
      </c>
      <c r="B42" s="6">
        <v>37452</v>
      </c>
      <c r="C42" s="5">
        <v>22</v>
      </c>
      <c r="D42" s="5">
        <v>91</v>
      </c>
      <c r="E42" s="5">
        <v>80</v>
      </c>
      <c r="F42" s="5">
        <v>94</v>
      </c>
      <c r="G42" s="5">
        <v>106</v>
      </c>
      <c r="H42" s="5">
        <v>97</v>
      </c>
      <c r="I42" s="5">
        <v>107</v>
      </c>
      <c r="J42" s="23">
        <f t="shared" si="0"/>
        <v>95.833333333333329</v>
      </c>
      <c r="K42" s="5">
        <v>83</v>
      </c>
      <c r="L42" s="5">
        <v>102</v>
      </c>
      <c r="M42" s="5">
        <v>93</v>
      </c>
      <c r="N42" s="5">
        <v>80</v>
      </c>
      <c r="O42" s="5">
        <v>113</v>
      </c>
      <c r="P42" s="7">
        <v>99</v>
      </c>
      <c r="Q42" s="26">
        <f t="shared" si="1"/>
        <v>95</v>
      </c>
    </row>
    <row r="43" spans="1:17" ht="13.5" thickBot="1">
      <c r="A43" s="3">
        <v>903</v>
      </c>
      <c r="B43" s="5" t="s">
        <v>17</v>
      </c>
      <c r="C43" s="5">
        <v>31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23">
        <f t="shared" si="0"/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7">
        <v>0</v>
      </c>
      <c r="Q43" s="26">
        <f t="shared" si="1"/>
        <v>0</v>
      </c>
    </row>
    <row r="44" spans="1:17" ht="13.5" thickBot="1">
      <c r="A44" s="3">
        <v>904</v>
      </c>
      <c r="B44" s="6">
        <v>37408</v>
      </c>
      <c r="C44" s="5">
        <v>21</v>
      </c>
      <c r="D44" s="5">
        <v>63</v>
      </c>
      <c r="E44" s="5">
        <v>47</v>
      </c>
      <c r="F44" s="5">
        <v>57</v>
      </c>
      <c r="G44" s="5">
        <v>50</v>
      </c>
      <c r="H44" s="5">
        <v>50</v>
      </c>
      <c r="I44" s="5">
        <v>53</v>
      </c>
      <c r="J44" s="23">
        <f t="shared" si="0"/>
        <v>53.333333333333336</v>
      </c>
      <c r="K44" s="5">
        <v>58</v>
      </c>
      <c r="L44" s="5">
        <v>52</v>
      </c>
      <c r="M44" s="5">
        <v>52</v>
      </c>
      <c r="N44" s="5">
        <v>46</v>
      </c>
      <c r="O44" s="5">
        <v>47</v>
      </c>
      <c r="P44" s="7">
        <v>48</v>
      </c>
      <c r="Q44" s="26">
        <f t="shared" si="1"/>
        <v>50.5</v>
      </c>
    </row>
    <row r="45" spans="1:17" ht="13.5" thickBot="1">
      <c r="A45" s="3">
        <v>905</v>
      </c>
      <c r="B45" s="5" t="s">
        <v>16</v>
      </c>
      <c r="C45" s="5">
        <v>32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23">
        <f t="shared" si="0"/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7">
        <v>0</v>
      </c>
      <c r="Q45" s="26">
        <f t="shared" si="1"/>
        <v>0</v>
      </c>
    </row>
    <row r="46" spans="1:17" ht="13.5" thickBot="1">
      <c r="A46" s="3">
        <v>906</v>
      </c>
      <c r="B46" s="6">
        <v>37452</v>
      </c>
      <c r="C46" s="5">
        <v>22</v>
      </c>
      <c r="D46" s="5">
        <v>102</v>
      </c>
      <c r="E46" s="5">
        <v>102</v>
      </c>
      <c r="F46" s="5">
        <v>100</v>
      </c>
      <c r="G46" s="5">
        <v>103</v>
      </c>
      <c r="H46" s="5">
        <v>109</v>
      </c>
      <c r="I46" s="5">
        <v>112</v>
      </c>
      <c r="J46" s="23">
        <f t="shared" si="0"/>
        <v>104.66666666666667</v>
      </c>
      <c r="K46" s="5">
        <v>87</v>
      </c>
      <c r="L46" s="5">
        <v>96</v>
      </c>
      <c r="M46" s="5">
        <v>105</v>
      </c>
      <c r="N46" s="5">
        <v>93</v>
      </c>
      <c r="O46" s="5">
        <v>96</v>
      </c>
      <c r="P46" s="7">
        <v>92</v>
      </c>
      <c r="Q46" s="26">
        <f t="shared" si="1"/>
        <v>94.833333333333329</v>
      </c>
    </row>
    <row r="47" spans="1:17" ht="13.5" thickBot="1">
      <c r="A47" s="3">
        <v>907</v>
      </c>
      <c r="B47" s="5" t="s">
        <v>17</v>
      </c>
      <c r="C47" s="5">
        <v>31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23">
        <f t="shared" si="0"/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7">
        <v>0</v>
      </c>
      <c r="Q47" s="26">
        <f t="shared" si="1"/>
        <v>0</v>
      </c>
    </row>
    <row r="48" spans="1:17" ht="13.5" thickBot="1">
      <c r="A48" s="4">
        <v>908</v>
      </c>
      <c r="B48" s="15">
        <v>37408</v>
      </c>
      <c r="C48" s="12">
        <v>21</v>
      </c>
      <c r="D48" s="12">
        <v>61</v>
      </c>
      <c r="E48" s="12">
        <v>40</v>
      </c>
      <c r="F48" s="12">
        <v>52</v>
      </c>
      <c r="G48" s="12">
        <v>45</v>
      </c>
      <c r="H48" s="12">
        <v>52</v>
      </c>
      <c r="I48" s="5">
        <v>48</v>
      </c>
      <c r="J48" s="23">
        <f t="shared" si="0"/>
        <v>49.666666666666664</v>
      </c>
      <c r="K48" s="12">
        <v>51</v>
      </c>
      <c r="L48" s="12">
        <v>50</v>
      </c>
      <c r="M48" s="12">
        <v>54</v>
      </c>
      <c r="N48" s="12">
        <v>46</v>
      </c>
      <c r="O48" s="12">
        <v>50</v>
      </c>
      <c r="P48" s="13">
        <v>35</v>
      </c>
      <c r="Q48" s="27">
        <f t="shared" si="1"/>
        <v>47.666666666666664</v>
      </c>
    </row>
  </sheetData>
  <phoneticPr fontId="0" type="noConversion"/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1DD2C-60B5-4C7E-8179-5CBE9C4F5614}">
  <dimension ref="A1:Q48"/>
  <sheetViews>
    <sheetView workbookViewId="0">
      <selection activeCell="Q9" sqref="Q9:Q48"/>
    </sheetView>
  </sheetViews>
  <sheetFormatPr defaultRowHeight="12.75"/>
  <sheetData>
    <row r="1" spans="1:17">
      <c r="A1" t="s">
        <v>19</v>
      </c>
    </row>
    <row r="2" spans="1:17">
      <c r="A2" s="1"/>
    </row>
    <row r="3" spans="1:17">
      <c r="A3" s="30">
        <v>37502</v>
      </c>
    </row>
    <row r="4" spans="1:17">
      <c r="A4" s="31" t="s">
        <v>54</v>
      </c>
      <c r="E4" t="s">
        <v>30</v>
      </c>
    </row>
    <row r="5" spans="1:17">
      <c r="A5" s="1" t="s">
        <v>22</v>
      </c>
    </row>
    <row r="6" spans="1:17" ht="13.5" thickBot="1"/>
    <row r="7" spans="1:17" ht="13.5" thickBot="1">
      <c r="D7" s="2"/>
      <c r="E7" s="18"/>
      <c r="F7" s="19" t="s">
        <v>2</v>
      </c>
      <c r="G7" s="18"/>
      <c r="H7" s="18"/>
      <c r="I7" s="20"/>
      <c r="J7" s="18"/>
      <c r="K7" s="2"/>
      <c r="L7" s="18"/>
      <c r="M7" s="18" t="s">
        <v>1</v>
      </c>
      <c r="N7" s="18"/>
      <c r="O7" s="18"/>
      <c r="P7" s="18"/>
      <c r="Q7" s="24"/>
    </row>
    <row r="8" spans="1:17" ht="13.5" thickBot="1">
      <c r="A8" s="16" t="s">
        <v>0</v>
      </c>
      <c r="B8" s="17" t="s">
        <v>9</v>
      </c>
      <c r="C8" s="17" t="s">
        <v>18</v>
      </c>
      <c r="D8" s="21" t="s">
        <v>24</v>
      </c>
      <c r="E8" s="12" t="s">
        <v>25</v>
      </c>
      <c r="F8" s="12" t="s">
        <v>26</v>
      </c>
      <c r="G8" s="12" t="s">
        <v>27</v>
      </c>
      <c r="H8" s="12" t="s">
        <v>28</v>
      </c>
      <c r="I8" s="35" t="s">
        <v>29</v>
      </c>
      <c r="J8" s="22" t="s">
        <v>31</v>
      </c>
      <c r="K8" s="21" t="s">
        <v>24</v>
      </c>
      <c r="L8" s="12" t="s">
        <v>25</v>
      </c>
      <c r="M8" s="12" t="s">
        <v>26</v>
      </c>
      <c r="N8" s="12" t="s">
        <v>27</v>
      </c>
      <c r="O8" s="12" t="s">
        <v>28</v>
      </c>
      <c r="P8" s="13" t="s">
        <v>29</v>
      </c>
      <c r="Q8" s="25" t="s">
        <v>32</v>
      </c>
    </row>
    <row r="9" spans="1:17" ht="13.5" thickBot="1">
      <c r="A9" s="2">
        <v>101</v>
      </c>
      <c r="B9" s="8" t="s">
        <v>3</v>
      </c>
      <c r="C9" s="9">
        <v>1</v>
      </c>
      <c r="D9" s="8">
        <v>110</v>
      </c>
      <c r="E9" s="8">
        <v>98</v>
      </c>
      <c r="F9" s="8">
        <v>103</v>
      </c>
      <c r="G9" s="8">
        <v>119</v>
      </c>
      <c r="H9" s="8">
        <v>115</v>
      </c>
      <c r="I9" s="5">
        <v>129</v>
      </c>
      <c r="J9" s="23">
        <f>AVERAGE(D9:I9)</f>
        <v>112.33333333333333</v>
      </c>
      <c r="K9" s="8">
        <v>100</v>
      </c>
      <c r="L9" s="8">
        <v>100</v>
      </c>
      <c r="M9" s="8">
        <v>100</v>
      </c>
      <c r="N9" s="8">
        <v>100</v>
      </c>
      <c r="O9" s="8">
        <v>100</v>
      </c>
      <c r="P9" s="8">
        <v>100</v>
      </c>
      <c r="Q9" s="26">
        <f>AVERAGE(K9:P9)</f>
        <v>100</v>
      </c>
    </row>
    <row r="10" spans="1:17" ht="13.5" thickBot="1">
      <c r="A10" s="3">
        <v>102</v>
      </c>
      <c r="B10" s="5" t="s">
        <v>4</v>
      </c>
      <c r="C10" s="7">
        <v>4</v>
      </c>
      <c r="D10" s="5">
        <v>100</v>
      </c>
      <c r="E10" s="5">
        <v>118</v>
      </c>
      <c r="F10" s="5">
        <v>125</v>
      </c>
      <c r="G10" s="5">
        <v>108</v>
      </c>
      <c r="H10" s="5">
        <v>105</v>
      </c>
      <c r="I10" s="5">
        <v>102</v>
      </c>
      <c r="J10" s="23">
        <f t="shared" ref="J10:J48" si="0">AVERAGE(D10:I10)</f>
        <v>109.66666666666667</v>
      </c>
      <c r="K10" s="5">
        <v>100</v>
      </c>
      <c r="L10" s="8">
        <v>100</v>
      </c>
      <c r="M10" s="8">
        <v>100</v>
      </c>
      <c r="N10" s="8">
        <v>100</v>
      </c>
      <c r="O10" s="8">
        <v>100</v>
      </c>
      <c r="P10" s="8">
        <v>100</v>
      </c>
      <c r="Q10" s="26">
        <f t="shared" ref="Q10:Q48" si="1">AVERAGE(K10:P10)</f>
        <v>100</v>
      </c>
    </row>
    <row r="11" spans="1:17" ht="13.5" thickBot="1">
      <c r="A11" s="3">
        <v>103</v>
      </c>
      <c r="B11" s="5" t="s">
        <v>5</v>
      </c>
      <c r="C11" s="7">
        <v>5</v>
      </c>
      <c r="D11" s="5">
        <v>131</v>
      </c>
      <c r="E11" s="5">
        <v>130</v>
      </c>
      <c r="F11" s="5">
        <v>129</v>
      </c>
      <c r="G11" s="5">
        <v>102</v>
      </c>
      <c r="H11" s="5">
        <v>121</v>
      </c>
      <c r="I11" s="5">
        <v>107</v>
      </c>
      <c r="J11" s="23">
        <f t="shared" si="0"/>
        <v>120</v>
      </c>
      <c r="K11" s="5">
        <v>100</v>
      </c>
      <c r="L11" s="8">
        <v>100</v>
      </c>
      <c r="M11" s="8">
        <v>100</v>
      </c>
      <c r="N11" s="8">
        <v>100</v>
      </c>
      <c r="O11" s="8">
        <v>100</v>
      </c>
      <c r="P11" s="8">
        <v>100</v>
      </c>
      <c r="Q11" s="26">
        <f t="shared" si="1"/>
        <v>100</v>
      </c>
    </row>
    <row r="12" spans="1:17" ht="13.5" thickBot="1">
      <c r="A12" s="3">
        <v>104</v>
      </c>
      <c r="B12" s="5" t="s">
        <v>6</v>
      </c>
      <c r="C12" s="7">
        <v>10</v>
      </c>
      <c r="D12" s="5">
        <v>93</v>
      </c>
      <c r="E12" s="5">
        <v>98</v>
      </c>
      <c r="F12" s="5">
        <v>81</v>
      </c>
      <c r="G12" s="5">
        <v>103</v>
      </c>
      <c r="H12" s="5">
        <v>90</v>
      </c>
      <c r="I12" s="5">
        <v>91</v>
      </c>
      <c r="J12" s="23">
        <f t="shared" si="0"/>
        <v>92.666666666666671</v>
      </c>
      <c r="K12" s="5">
        <v>87</v>
      </c>
      <c r="L12" s="8">
        <v>100</v>
      </c>
      <c r="M12" s="8">
        <v>100</v>
      </c>
      <c r="N12" s="8">
        <v>100</v>
      </c>
      <c r="O12" s="8">
        <v>100</v>
      </c>
      <c r="P12" s="8">
        <v>100</v>
      </c>
      <c r="Q12" s="26">
        <f t="shared" si="1"/>
        <v>97.833333333333329</v>
      </c>
    </row>
    <row r="13" spans="1:17" ht="13.5" thickBot="1">
      <c r="A13" s="3">
        <v>105</v>
      </c>
      <c r="B13" s="5" t="s">
        <v>10</v>
      </c>
      <c r="C13" s="7">
        <v>12</v>
      </c>
      <c r="D13" s="5">
        <v>100</v>
      </c>
      <c r="E13" s="5">
        <v>105</v>
      </c>
      <c r="F13" s="5">
        <v>103</v>
      </c>
      <c r="G13" s="5">
        <v>95</v>
      </c>
      <c r="H13" s="5">
        <v>86</v>
      </c>
      <c r="I13" s="5">
        <v>95</v>
      </c>
      <c r="J13" s="23">
        <f t="shared" si="0"/>
        <v>97.333333333333329</v>
      </c>
      <c r="K13" s="5">
        <v>91</v>
      </c>
      <c r="L13" s="8">
        <v>100</v>
      </c>
      <c r="M13" s="8">
        <v>100</v>
      </c>
      <c r="N13" s="8">
        <v>100</v>
      </c>
      <c r="O13" s="8">
        <v>100</v>
      </c>
      <c r="P13" s="8">
        <v>100</v>
      </c>
      <c r="Q13" s="26">
        <f t="shared" si="1"/>
        <v>98.5</v>
      </c>
    </row>
    <row r="14" spans="1:17" ht="13.5" thickBot="1">
      <c r="A14" s="3">
        <v>106</v>
      </c>
      <c r="B14" s="5" t="s">
        <v>7</v>
      </c>
      <c r="C14" s="7">
        <v>9</v>
      </c>
      <c r="D14" s="5">
        <v>105</v>
      </c>
      <c r="E14" s="5">
        <v>112</v>
      </c>
      <c r="F14" s="5">
        <v>108</v>
      </c>
      <c r="G14" s="5">
        <v>110</v>
      </c>
      <c r="H14" s="5">
        <v>102</v>
      </c>
      <c r="I14" s="5">
        <v>121</v>
      </c>
      <c r="J14" s="23">
        <f t="shared" si="0"/>
        <v>109.66666666666667</v>
      </c>
      <c r="K14" s="5">
        <v>100</v>
      </c>
      <c r="L14" s="8">
        <v>100</v>
      </c>
      <c r="M14" s="8">
        <v>100</v>
      </c>
      <c r="N14" s="8">
        <v>100</v>
      </c>
      <c r="O14" s="8">
        <v>100</v>
      </c>
      <c r="P14" s="8">
        <v>100</v>
      </c>
      <c r="Q14" s="26">
        <f t="shared" si="1"/>
        <v>100</v>
      </c>
    </row>
    <row r="15" spans="1:17" ht="13.5" thickBot="1">
      <c r="A15" s="3">
        <v>107</v>
      </c>
      <c r="B15" s="5" t="s">
        <v>6</v>
      </c>
      <c r="C15" s="7">
        <v>10</v>
      </c>
      <c r="D15" s="5">
        <v>126</v>
      </c>
      <c r="E15" s="5">
        <v>126</v>
      </c>
      <c r="F15" s="5">
        <v>98</v>
      </c>
      <c r="G15" s="5">
        <v>97</v>
      </c>
      <c r="H15" s="5">
        <v>102</v>
      </c>
      <c r="I15" s="5">
        <v>109</v>
      </c>
      <c r="J15" s="23">
        <f t="shared" si="0"/>
        <v>109.66666666666667</v>
      </c>
      <c r="K15" s="5">
        <v>100</v>
      </c>
      <c r="L15" s="8">
        <v>100</v>
      </c>
      <c r="M15" s="8">
        <v>100</v>
      </c>
      <c r="N15" s="8">
        <v>100</v>
      </c>
      <c r="O15" s="8">
        <v>100</v>
      </c>
      <c r="P15" s="8">
        <v>100</v>
      </c>
      <c r="Q15" s="26">
        <f t="shared" si="1"/>
        <v>100</v>
      </c>
    </row>
    <row r="16" spans="1:17" ht="13.5" thickBot="1">
      <c r="A16" s="4">
        <v>108</v>
      </c>
      <c r="B16" s="12" t="s">
        <v>8</v>
      </c>
      <c r="C16" s="13">
        <v>3</v>
      </c>
      <c r="D16" s="12">
        <v>123</v>
      </c>
      <c r="E16" s="12">
        <v>112</v>
      </c>
      <c r="F16" s="12">
        <v>125</v>
      </c>
      <c r="G16" s="12">
        <v>109</v>
      </c>
      <c r="H16" s="5">
        <v>114</v>
      </c>
      <c r="I16" s="5">
        <v>125</v>
      </c>
      <c r="J16" s="23">
        <f t="shared" si="0"/>
        <v>118</v>
      </c>
      <c r="K16" s="12">
        <v>100</v>
      </c>
      <c r="L16" s="8">
        <v>100</v>
      </c>
      <c r="M16" s="8">
        <v>100</v>
      </c>
      <c r="N16" s="8">
        <v>100</v>
      </c>
      <c r="O16" s="8">
        <v>100</v>
      </c>
      <c r="P16" s="8">
        <v>100</v>
      </c>
      <c r="Q16" s="26">
        <f t="shared" si="1"/>
        <v>100</v>
      </c>
    </row>
    <row r="17" spans="1:17" ht="13.5" thickBot="1">
      <c r="A17" s="2">
        <v>201</v>
      </c>
      <c r="B17" s="8" t="s">
        <v>10</v>
      </c>
      <c r="C17" s="8">
        <v>12</v>
      </c>
      <c r="D17" s="8">
        <v>108</v>
      </c>
      <c r="E17" s="8">
        <v>100</v>
      </c>
      <c r="F17" s="8">
        <v>100</v>
      </c>
      <c r="G17" s="8">
        <v>82</v>
      </c>
      <c r="H17" s="12">
        <v>94</v>
      </c>
      <c r="I17" s="5">
        <v>91</v>
      </c>
      <c r="J17" s="23">
        <f t="shared" si="0"/>
        <v>95.833333333333329</v>
      </c>
      <c r="K17" s="8">
        <v>100</v>
      </c>
      <c r="L17" s="8">
        <v>100</v>
      </c>
      <c r="M17" s="8">
        <v>100</v>
      </c>
      <c r="N17" s="8">
        <v>100</v>
      </c>
      <c r="O17" s="8">
        <v>100</v>
      </c>
      <c r="P17" s="9">
        <v>100</v>
      </c>
      <c r="Q17" s="26">
        <f t="shared" si="1"/>
        <v>100</v>
      </c>
    </row>
    <row r="18" spans="1:17" ht="13.5" thickBot="1">
      <c r="A18" s="3">
        <v>202</v>
      </c>
      <c r="B18" s="5" t="s">
        <v>7</v>
      </c>
      <c r="C18" s="5">
        <v>9</v>
      </c>
      <c r="D18" s="5">
        <v>112</v>
      </c>
      <c r="E18" s="5">
        <v>108</v>
      </c>
      <c r="F18" s="5">
        <v>110</v>
      </c>
      <c r="G18" s="5">
        <v>123</v>
      </c>
      <c r="H18" s="8">
        <v>130</v>
      </c>
      <c r="I18" s="5">
        <v>104</v>
      </c>
      <c r="J18" s="23">
        <f t="shared" si="0"/>
        <v>114.5</v>
      </c>
      <c r="K18" s="5">
        <v>107</v>
      </c>
      <c r="L18" s="5">
        <v>92</v>
      </c>
      <c r="M18" s="5">
        <v>100</v>
      </c>
      <c r="N18" s="5">
        <v>100</v>
      </c>
      <c r="O18" s="5">
        <v>98</v>
      </c>
      <c r="P18" s="7" t="s">
        <v>55</v>
      </c>
      <c r="Q18" s="26">
        <f t="shared" si="1"/>
        <v>99.4</v>
      </c>
    </row>
    <row r="19" spans="1:17" ht="13.5" thickBot="1">
      <c r="A19" s="3">
        <v>203</v>
      </c>
      <c r="B19" s="5" t="s">
        <v>8</v>
      </c>
      <c r="C19" s="5">
        <v>3</v>
      </c>
      <c r="D19" s="5">
        <v>126</v>
      </c>
      <c r="E19" s="5">
        <v>124</v>
      </c>
      <c r="F19" s="5">
        <v>121</v>
      </c>
      <c r="G19" s="36">
        <v>107</v>
      </c>
      <c r="H19" s="5">
        <v>118</v>
      </c>
      <c r="I19" s="5">
        <v>104</v>
      </c>
      <c r="J19" s="23">
        <f t="shared" si="0"/>
        <v>116.66666666666667</v>
      </c>
      <c r="K19" s="5">
        <v>100</v>
      </c>
      <c r="L19" s="5">
        <v>100</v>
      </c>
      <c r="M19" s="5">
        <v>100</v>
      </c>
      <c r="N19" s="5">
        <v>100</v>
      </c>
      <c r="O19" s="5">
        <v>100</v>
      </c>
      <c r="P19" s="5">
        <v>100</v>
      </c>
      <c r="Q19" s="26">
        <f t="shared" si="1"/>
        <v>100</v>
      </c>
    </row>
    <row r="20" spans="1:17" ht="13.5" thickBot="1">
      <c r="A20" s="3">
        <v>204</v>
      </c>
      <c r="B20" s="5" t="s">
        <v>11</v>
      </c>
      <c r="C20" s="5">
        <v>11</v>
      </c>
      <c r="D20" s="5">
        <v>129</v>
      </c>
      <c r="E20" s="5">
        <v>123</v>
      </c>
      <c r="F20" s="5">
        <v>127</v>
      </c>
      <c r="G20" s="36">
        <v>106</v>
      </c>
      <c r="H20" s="5">
        <v>129</v>
      </c>
      <c r="I20" s="5">
        <v>124</v>
      </c>
      <c r="J20" s="23">
        <f t="shared" si="0"/>
        <v>123</v>
      </c>
      <c r="K20" s="5">
        <v>100</v>
      </c>
      <c r="L20" s="5">
        <v>100</v>
      </c>
      <c r="M20" s="5">
        <v>100</v>
      </c>
      <c r="N20" s="5">
        <v>100</v>
      </c>
      <c r="O20" s="5">
        <v>100</v>
      </c>
      <c r="P20" s="5">
        <v>100</v>
      </c>
      <c r="Q20" s="26">
        <f t="shared" si="1"/>
        <v>100</v>
      </c>
    </row>
    <row r="21" spans="1:17" ht="13.5" thickBot="1">
      <c r="A21" s="3">
        <v>205</v>
      </c>
      <c r="B21" s="5" t="s">
        <v>3</v>
      </c>
      <c r="C21" s="5">
        <v>1</v>
      </c>
      <c r="D21" s="5">
        <v>126</v>
      </c>
      <c r="E21" s="5">
        <v>108</v>
      </c>
      <c r="F21" s="5">
        <v>108</v>
      </c>
      <c r="G21" s="36">
        <v>148</v>
      </c>
      <c r="H21" s="5">
        <v>130</v>
      </c>
      <c r="I21" s="5">
        <v>127</v>
      </c>
      <c r="J21" s="23">
        <f t="shared" si="0"/>
        <v>124.5</v>
      </c>
      <c r="K21" s="5">
        <v>100</v>
      </c>
      <c r="L21" s="5">
        <v>100</v>
      </c>
      <c r="M21" s="5">
        <v>100</v>
      </c>
      <c r="N21" s="5">
        <v>100</v>
      </c>
      <c r="O21" s="5">
        <v>100</v>
      </c>
      <c r="P21" s="5">
        <v>100</v>
      </c>
      <c r="Q21" s="26">
        <f t="shared" si="1"/>
        <v>100</v>
      </c>
    </row>
    <row r="22" spans="1:17" ht="13.5" thickBot="1">
      <c r="A22" s="3">
        <v>206</v>
      </c>
      <c r="B22" s="5" t="s">
        <v>12</v>
      </c>
      <c r="C22" s="5">
        <v>8</v>
      </c>
      <c r="D22" s="5">
        <v>89</v>
      </c>
      <c r="E22" s="5">
        <v>96</v>
      </c>
      <c r="F22" s="5">
        <v>95</v>
      </c>
      <c r="G22" s="36">
        <v>90</v>
      </c>
      <c r="H22" s="5">
        <v>98</v>
      </c>
      <c r="I22" s="5">
        <v>94</v>
      </c>
      <c r="J22" s="23">
        <f t="shared" si="0"/>
        <v>93.666666666666671</v>
      </c>
      <c r="K22" s="5">
        <v>100</v>
      </c>
      <c r="L22" s="5">
        <v>77</v>
      </c>
      <c r="M22" s="5">
        <v>96</v>
      </c>
      <c r="N22" s="5">
        <v>94</v>
      </c>
      <c r="O22" s="5">
        <v>96</v>
      </c>
      <c r="P22" s="7">
        <v>90</v>
      </c>
      <c r="Q22" s="26">
        <f t="shared" si="1"/>
        <v>92.166666666666671</v>
      </c>
    </row>
    <row r="23" spans="1:17" ht="13.5" thickBot="1">
      <c r="A23" s="3">
        <v>207</v>
      </c>
      <c r="B23" s="5" t="s">
        <v>4</v>
      </c>
      <c r="C23" s="5">
        <v>4</v>
      </c>
      <c r="D23" s="5">
        <v>114</v>
      </c>
      <c r="E23" s="5">
        <v>105</v>
      </c>
      <c r="F23" s="5">
        <v>121</v>
      </c>
      <c r="G23" s="36">
        <v>122</v>
      </c>
      <c r="H23" s="5">
        <v>111</v>
      </c>
      <c r="I23" s="5">
        <v>110</v>
      </c>
      <c r="J23" s="23">
        <f t="shared" si="0"/>
        <v>113.83333333333333</v>
      </c>
      <c r="K23" s="5">
        <v>100</v>
      </c>
      <c r="L23" s="5">
        <v>112</v>
      </c>
      <c r="M23" s="5">
        <v>100</v>
      </c>
      <c r="N23" s="5">
        <v>100</v>
      </c>
      <c r="O23" s="5">
        <v>100</v>
      </c>
      <c r="P23" s="7">
        <v>100</v>
      </c>
      <c r="Q23" s="26">
        <f t="shared" si="1"/>
        <v>102</v>
      </c>
    </row>
    <row r="24" spans="1:17" ht="13.5" thickBot="1">
      <c r="A24" s="4">
        <v>208</v>
      </c>
      <c r="B24" s="12" t="s">
        <v>13</v>
      </c>
      <c r="C24" s="12">
        <v>2</v>
      </c>
      <c r="D24" s="12">
        <v>109</v>
      </c>
      <c r="E24" s="12">
        <v>99</v>
      </c>
      <c r="F24" s="5">
        <v>123</v>
      </c>
      <c r="G24" s="36">
        <v>112</v>
      </c>
      <c r="H24" s="5">
        <v>123</v>
      </c>
      <c r="I24" s="5">
        <v>97</v>
      </c>
      <c r="J24" s="23">
        <f t="shared" si="0"/>
        <v>110.5</v>
      </c>
      <c r="K24" s="12">
        <v>100</v>
      </c>
      <c r="L24" s="12">
        <v>100</v>
      </c>
      <c r="M24" s="32">
        <v>100</v>
      </c>
      <c r="N24" s="36">
        <v>100</v>
      </c>
      <c r="O24" s="12">
        <v>100</v>
      </c>
      <c r="P24" s="13">
        <v>100</v>
      </c>
      <c r="Q24" s="26">
        <f t="shared" si="1"/>
        <v>100</v>
      </c>
    </row>
    <row r="25" spans="1:17" ht="13.5" thickBot="1">
      <c r="A25" s="2">
        <v>301</v>
      </c>
      <c r="B25" s="8" t="s">
        <v>6</v>
      </c>
      <c r="C25" s="8">
        <v>10</v>
      </c>
      <c r="D25" s="8">
        <v>94</v>
      </c>
      <c r="E25" s="8">
        <v>87</v>
      </c>
      <c r="F25" s="12">
        <v>83</v>
      </c>
      <c r="G25" s="36">
        <v>104</v>
      </c>
      <c r="H25" s="12">
        <v>96</v>
      </c>
      <c r="I25" s="5">
        <v>92</v>
      </c>
      <c r="J25" s="23">
        <f t="shared" si="0"/>
        <v>92.666666666666671</v>
      </c>
      <c r="K25" s="8">
        <v>101</v>
      </c>
      <c r="L25" s="8">
        <v>77</v>
      </c>
      <c r="M25" s="5">
        <v>82</v>
      </c>
      <c r="N25" s="5">
        <v>96</v>
      </c>
      <c r="O25" s="8">
        <v>93</v>
      </c>
      <c r="P25" s="9">
        <v>94</v>
      </c>
      <c r="Q25" s="26">
        <f t="shared" si="1"/>
        <v>90.5</v>
      </c>
    </row>
    <row r="26" spans="1:17" ht="13.5" thickBot="1">
      <c r="A26" s="3">
        <v>302</v>
      </c>
      <c r="B26" s="5" t="s">
        <v>4</v>
      </c>
      <c r="C26" s="5">
        <v>4</v>
      </c>
      <c r="D26" s="5">
        <v>120</v>
      </c>
      <c r="E26" s="5">
        <v>110</v>
      </c>
      <c r="F26" s="8">
        <v>117</v>
      </c>
      <c r="G26" s="36">
        <v>115</v>
      </c>
      <c r="H26" s="8">
        <v>92</v>
      </c>
      <c r="I26" s="5">
        <v>103</v>
      </c>
      <c r="J26" s="23">
        <f t="shared" si="0"/>
        <v>109.5</v>
      </c>
      <c r="K26" s="5">
        <v>100</v>
      </c>
      <c r="L26" s="5">
        <v>97</v>
      </c>
      <c r="M26" s="33">
        <v>97</v>
      </c>
      <c r="N26" s="36">
        <v>105</v>
      </c>
      <c r="O26" s="5">
        <v>86</v>
      </c>
      <c r="P26" s="7">
        <v>102</v>
      </c>
      <c r="Q26" s="26">
        <f t="shared" si="1"/>
        <v>97.833333333333329</v>
      </c>
    </row>
    <row r="27" spans="1:17" ht="13.5" thickBot="1">
      <c r="A27" s="3">
        <v>303</v>
      </c>
      <c r="B27" s="5" t="s">
        <v>12</v>
      </c>
      <c r="C27" s="5">
        <v>8</v>
      </c>
      <c r="D27" s="5">
        <v>130</v>
      </c>
      <c r="E27" s="5">
        <v>101</v>
      </c>
      <c r="F27" s="5">
        <v>106</v>
      </c>
      <c r="G27" s="5">
        <v>110</v>
      </c>
      <c r="H27" s="5">
        <v>108</v>
      </c>
      <c r="I27" s="5">
        <v>98</v>
      </c>
      <c r="J27" s="23">
        <f t="shared" si="0"/>
        <v>108.83333333333333</v>
      </c>
      <c r="K27" s="5">
        <v>100</v>
      </c>
      <c r="L27" s="5">
        <v>103</v>
      </c>
      <c r="M27" s="5">
        <v>103</v>
      </c>
      <c r="N27" s="5">
        <v>98</v>
      </c>
      <c r="O27" s="5">
        <v>102</v>
      </c>
      <c r="P27" s="7">
        <v>95</v>
      </c>
      <c r="Q27" s="26">
        <f t="shared" si="1"/>
        <v>100.16666666666667</v>
      </c>
    </row>
    <row r="28" spans="1:17" ht="13.5" thickBot="1">
      <c r="A28" s="3">
        <v>304</v>
      </c>
      <c r="B28" s="5" t="s">
        <v>13</v>
      </c>
      <c r="C28" s="5">
        <v>2</v>
      </c>
      <c r="D28" s="5">
        <v>106</v>
      </c>
      <c r="E28" s="5">
        <v>107</v>
      </c>
      <c r="F28" s="5">
        <v>108</v>
      </c>
      <c r="G28" s="5">
        <v>115</v>
      </c>
      <c r="H28" s="5">
        <v>114</v>
      </c>
      <c r="I28" s="5">
        <v>116</v>
      </c>
      <c r="J28" s="23">
        <f t="shared" si="0"/>
        <v>111</v>
      </c>
      <c r="K28" s="5">
        <v>100</v>
      </c>
      <c r="L28" s="5">
        <v>100</v>
      </c>
      <c r="M28" s="5">
        <v>100</v>
      </c>
      <c r="N28" s="5">
        <v>100</v>
      </c>
      <c r="O28" s="5">
        <v>100</v>
      </c>
      <c r="P28" s="5">
        <v>105</v>
      </c>
      <c r="Q28" s="26">
        <f t="shared" si="1"/>
        <v>100.83333333333333</v>
      </c>
    </row>
    <row r="29" spans="1:17" ht="13.5" thickBot="1">
      <c r="A29" s="3">
        <v>305</v>
      </c>
      <c r="B29" s="5" t="s">
        <v>11</v>
      </c>
      <c r="C29" s="5">
        <v>11</v>
      </c>
      <c r="D29" s="5">
        <v>127</v>
      </c>
      <c r="E29" s="5">
        <v>135</v>
      </c>
      <c r="F29" s="5">
        <v>116</v>
      </c>
      <c r="G29" s="5">
        <v>121</v>
      </c>
      <c r="H29" s="5">
        <v>118</v>
      </c>
      <c r="I29" s="5">
        <v>118</v>
      </c>
      <c r="J29" s="23">
        <f t="shared" si="0"/>
        <v>122.5</v>
      </c>
      <c r="K29" s="5">
        <v>100</v>
      </c>
      <c r="L29" s="5">
        <v>100</v>
      </c>
      <c r="M29" s="5">
        <v>100</v>
      </c>
      <c r="N29" s="5">
        <v>100</v>
      </c>
      <c r="O29" s="5">
        <v>100</v>
      </c>
      <c r="P29" s="5">
        <v>100</v>
      </c>
      <c r="Q29" s="26">
        <f>AVERAGE(K29:P29)</f>
        <v>100</v>
      </c>
    </row>
    <row r="30" spans="1:17" ht="13.5" thickBot="1">
      <c r="A30" s="3">
        <v>306</v>
      </c>
      <c r="B30" s="5" t="s">
        <v>4</v>
      </c>
      <c r="C30" s="5">
        <v>4</v>
      </c>
      <c r="D30" s="5">
        <v>116</v>
      </c>
      <c r="E30" s="5">
        <v>103</v>
      </c>
      <c r="F30" s="5">
        <v>92</v>
      </c>
      <c r="G30" s="5">
        <v>100</v>
      </c>
      <c r="H30" s="5">
        <v>110</v>
      </c>
      <c r="I30" s="5">
        <v>123</v>
      </c>
      <c r="J30" s="23">
        <f t="shared" si="0"/>
        <v>107.33333333333333</v>
      </c>
      <c r="K30" s="5">
        <v>100</v>
      </c>
      <c r="L30" s="5">
        <v>84</v>
      </c>
      <c r="M30" s="5">
        <v>90</v>
      </c>
      <c r="N30" s="5">
        <v>92</v>
      </c>
      <c r="O30" s="5">
        <v>87</v>
      </c>
      <c r="P30" s="5">
        <v>97</v>
      </c>
      <c r="Q30" s="26">
        <f>AVERAGE(K30:P30)</f>
        <v>91.666666666666671</v>
      </c>
    </row>
    <row r="31" spans="1:17" ht="13.5" thickBot="1">
      <c r="A31" s="3">
        <v>307</v>
      </c>
      <c r="B31" s="5" t="s">
        <v>7</v>
      </c>
      <c r="C31" s="5">
        <v>9</v>
      </c>
      <c r="D31" s="5">
        <v>124</v>
      </c>
      <c r="E31" s="5">
        <v>114</v>
      </c>
      <c r="F31" s="5">
        <v>108</v>
      </c>
      <c r="G31" s="5">
        <v>112</v>
      </c>
      <c r="H31" s="5">
        <v>96</v>
      </c>
      <c r="I31" s="5">
        <v>101</v>
      </c>
      <c r="J31" s="23">
        <f t="shared" si="0"/>
        <v>109.16666666666667</v>
      </c>
      <c r="K31" s="5">
        <v>100</v>
      </c>
      <c r="L31" s="5">
        <v>96</v>
      </c>
      <c r="M31" s="5">
        <v>107</v>
      </c>
      <c r="N31" s="5">
        <v>92</v>
      </c>
      <c r="O31" s="5">
        <v>87</v>
      </c>
      <c r="P31" s="7">
        <v>90</v>
      </c>
      <c r="Q31" s="26">
        <f t="shared" si="1"/>
        <v>95.333333333333329</v>
      </c>
    </row>
    <row r="32" spans="1:17" ht="13.5" thickBot="1">
      <c r="A32" s="4">
        <v>308</v>
      </c>
      <c r="B32" s="12" t="s">
        <v>5</v>
      </c>
      <c r="C32" s="12">
        <v>5</v>
      </c>
      <c r="D32" s="12">
        <v>108</v>
      </c>
      <c r="E32" s="12">
        <v>102</v>
      </c>
      <c r="F32" s="12">
        <v>93</v>
      </c>
      <c r="G32" s="12">
        <v>124</v>
      </c>
      <c r="H32" s="5">
        <v>110</v>
      </c>
      <c r="I32" s="5">
        <v>100</v>
      </c>
      <c r="J32" s="23">
        <f t="shared" si="0"/>
        <v>106.16666666666667</v>
      </c>
      <c r="K32" s="12">
        <v>106</v>
      </c>
      <c r="L32" s="12">
        <v>93</v>
      </c>
      <c r="M32" s="12">
        <v>102</v>
      </c>
      <c r="N32" s="12">
        <v>98</v>
      </c>
      <c r="O32" s="12">
        <v>103</v>
      </c>
      <c r="P32" s="13">
        <v>93</v>
      </c>
      <c r="Q32" s="26">
        <f t="shared" si="1"/>
        <v>99.166666666666671</v>
      </c>
    </row>
    <row r="33" spans="1:17" ht="13.5" thickBot="1">
      <c r="A33" s="2">
        <v>401</v>
      </c>
      <c r="B33" s="8" t="s">
        <v>14</v>
      </c>
      <c r="C33" s="8">
        <v>7</v>
      </c>
      <c r="D33" s="8">
        <v>103</v>
      </c>
      <c r="E33" s="8">
        <v>96</v>
      </c>
      <c r="F33" s="8">
        <v>102</v>
      </c>
      <c r="G33" s="8">
        <v>92</v>
      </c>
      <c r="H33" s="8">
        <v>101</v>
      </c>
      <c r="I33" s="5">
        <v>95</v>
      </c>
      <c r="J33" s="23">
        <f t="shared" si="0"/>
        <v>98.166666666666671</v>
      </c>
      <c r="K33" s="8">
        <v>100</v>
      </c>
      <c r="L33" s="8">
        <v>100</v>
      </c>
      <c r="M33" s="8">
        <v>107</v>
      </c>
      <c r="N33" s="8">
        <v>102</v>
      </c>
      <c r="O33" s="8">
        <v>91</v>
      </c>
      <c r="P33" s="9">
        <v>97</v>
      </c>
      <c r="Q33" s="26">
        <f t="shared" si="1"/>
        <v>99.5</v>
      </c>
    </row>
    <row r="34" spans="1:17" ht="13.5" thickBot="1">
      <c r="A34" s="3">
        <v>402</v>
      </c>
      <c r="B34" s="5" t="s">
        <v>7</v>
      </c>
      <c r="C34" s="5">
        <v>9</v>
      </c>
      <c r="D34" s="5">
        <v>113</v>
      </c>
      <c r="E34" s="5">
        <v>126</v>
      </c>
      <c r="F34" s="5">
        <v>118</v>
      </c>
      <c r="G34" s="5">
        <v>117</v>
      </c>
      <c r="H34" s="5">
        <v>116</v>
      </c>
      <c r="I34" s="5">
        <v>122</v>
      </c>
      <c r="J34" s="23">
        <f t="shared" si="0"/>
        <v>118.66666666666667</v>
      </c>
      <c r="K34" s="5">
        <v>105</v>
      </c>
      <c r="L34" s="5">
        <v>100</v>
      </c>
      <c r="M34" s="5">
        <v>105</v>
      </c>
      <c r="N34" s="5">
        <v>100</v>
      </c>
      <c r="O34" s="5">
        <v>105</v>
      </c>
      <c r="P34" s="7">
        <v>100</v>
      </c>
      <c r="Q34" s="26">
        <f t="shared" si="1"/>
        <v>102.5</v>
      </c>
    </row>
    <row r="35" spans="1:17" ht="13.5" thickBot="1">
      <c r="A35" s="3">
        <v>403</v>
      </c>
      <c r="B35" s="5" t="s">
        <v>15</v>
      </c>
      <c r="C35" s="5">
        <v>6</v>
      </c>
      <c r="D35" s="5">
        <v>93</v>
      </c>
      <c r="E35" s="5">
        <v>90</v>
      </c>
      <c r="F35" s="5">
        <v>90</v>
      </c>
      <c r="G35" s="5">
        <v>94</v>
      </c>
      <c r="H35" s="5">
        <v>89</v>
      </c>
      <c r="I35" s="5">
        <v>97</v>
      </c>
      <c r="J35" s="23">
        <f t="shared" si="0"/>
        <v>92.166666666666671</v>
      </c>
      <c r="K35" s="5">
        <v>106</v>
      </c>
      <c r="L35" s="5">
        <v>91</v>
      </c>
      <c r="M35" s="5">
        <v>100</v>
      </c>
      <c r="N35" s="5">
        <v>83</v>
      </c>
      <c r="O35" s="5">
        <v>106</v>
      </c>
      <c r="P35" s="7">
        <v>100</v>
      </c>
      <c r="Q35" s="26">
        <f t="shared" si="1"/>
        <v>97.666666666666671</v>
      </c>
    </row>
    <row r="36" spans="1:17" ht="13.5" thickBot="1">
      <c r="A36" s="3">
        <v>404</v>
      </c>
      <c r="B36" s="5" t="s">
        <v>8</v>
      </c>
      <c r="C36" s="5">
        <v>3</v>
      </c>
      <c r="D36" s="5">
        <v>124</v>
      </c>
      <c r="E36" s="5">
        <v>133</v>
      </c>
      <c r="F36" s="5">
        <v>127</v>
      </c>
      <c r="G36" s="5">
        <v>114</v>
      </c>
      <c r="H36" s="5">
        <v>127</v>
      </c>
      <c r="I36" s="5">
        <v>117</v>
      </c>
      <c r="J36" s="23">
        <f t="shared" si="0"/>
        <v>123.66666666666667</v>
      </c>
      <c r="K36" s="5">
        <v>100</v>
      </c>
      <c r="L36" s="5">
        <v>100</v>
      </c>
      <c r="M36" s="5">
        <v>100</v>
      </c>
      <c r="N36" s="5">
        <v>100</v>
      </c>
      <c r="O36" s="5">
        <v>100</v>
      </c>
      <c r="P36" s="5">
        <v>100</v>
      </c>
      <c r="Q36" s="26">
        <f t="shared" si="1"/>
        <v>100</v>
      </c>
    </row>
    <row r="37" spans="1:17" ht="13.5" thickBot="1">
      <c r="A37" s="3">
        <v>405</v>
      </c>
      <c r="B37" s="5" t="s">
        <v>15</v>
      </c>
      <c r="C37" s="5">
        <v>6</v>
      </c>
      <c r="D37" s="5">
        <v>90</v>
      </c>
      <c r="E37" s="5">
        <v>91</v>
      </c>
      <c r="F37" s="5">
        <v>76</v>
      </c>
      <c r="G37" s="5">
        <v>80</v>
      </c>
      <c r="H37" s="5">
        <v>72</v>
      </c>
      <c r="I37" s="5">
        <v>73</v>
      </c>
      <c r="J37" s="23">
        <f t="shared" si="0"/>
        <v>80.333333333333329</v>
      </c>
      <c r="K37" s="5">
        <v>94</v>
      </c>
      <c r="L37" s="5">
        <v>87</v>
      </c>
      <c r="M37" s="5">
        <v>88</v>
      </c>
      <c r="N37" s="5">
        <v>86</v>
      </c>
      <c r="O37" s="5">
        <v>90</v>
      </c>
      <c r="P37" s="7">
        <v>85</v>
      </c>
      <c r="Q37" s="26">
        <f t="shared" si="1"/>
        <v>88.333333333333329</v>
      </c>
    </row>
    <row r="38" spans="1:17" ht="13.5" thickBot="1">
      <c r="A38" s="3">
        <v>406</v>
      </c>
      <c r="B38" s="5" t="s">
        <v>8</v>
      </c>
      <c r="C38" s="5">
        <v>3</v>
      </c>
      <c r="D38" s="5">
        <v>133</v>
      </c>
      <c r="E38" s="5">
        <v>113</v>
      </c>
      <c r="F38" s="5">
        <v>135</v>
      </c>
      <c r="G38" s="5">
        <v>108</v>
      </c>
      <c r="H38" s="5">
        <v>127</v>
      </c>
      <c r="I38" s="5">
        <v>124</v>
      </c>
      <c r="J38" s="23">
        <f t="shared" si="0"/>
        <v>123.33333333333333</v>
      </c>
      <c r="K38" s="5">
        <v>105</v>
      </c>
      <c r="L38" s="5">
        <v>100</v>
      </c>
      <c r="M38" s="5">
        <v>105</v>
      </c>
      <c r="N38" s="5">
        <v>100</v>
      </c>
      <c r="O38" s="5">
        <v>105</v>
      </c>
      <c r="P38" s="7">
        <v>100</v>
      </c>
      <c r="Q38" s="26">
        <f t="shared" si="1"/>
        <v>102.5</v>
      </c>
    </row>
    <row r="39" spans="1:17" ht="13.5" thickBot="1">
      <c r="A39" s="3">
        <v>407</v>
      </c>
      <c r="B39" s="5" t="s">
        <v>14</v>
      </c>
      <c r="C39" s="5">
        <v>7</v>
      </c>
      <c r="D39" s="5">
        <v>117</v>
      </c>
      <c r="E39" s="5">
        <v>99</v>
      </c>
      <c r="F39" s="5">
        <v>87</v>
      </c>
      <c r="G39" s="5">
        <v>106</v>
      </c>
      <c r="H39" s="5">
        <v>83</v>
      </c>
      <c r="I39" s="5">
        <v>119</v>
      </c>
      <c r="J39" s="23">
        <f t="shared" si="0"/>
        <v>101.83333333333333</v>
      </c>
      <c r="K39" s="5">
        <v>100</v>
      </c>
      <c r="L39" s="5">
        <v>88</v>
      </c>
      <c r="M39" s="5">
        <v>104</v>
      </c>
      <c r="N39" s="5">
        <v>107</v>
      </c>
      <c r="O39" s="5">
        <v>78</v>
      </c>
      <c r="P39" s="7">
        <v>100</v>
      </c>
      <c r="Q39" s="26">
        <f t="shared" si="1"/>
        <v>96.166666666666671</v>
      </c>
    </row>
    <row r="40" spans="1:17" ht="13.5" thickBot="1">
      <c r="A40" s="4">
        <v>408</v>
      </c>
      <c r="B40" s="12" t="s">
        <v>6</v>
      </c>
      <c r="C40" s="12">
        <v>10</v>
      </c>
      <c r="D40" s="12">
        <v>92</v>
      </c>
      <c r="E40" s="12">
        <v>79</v>
      </c>
      <c r="F40" s="12">
        <v>90</v>
      </c>
      <c r="G40" s="12">
        <v>78</v>
      </c>
      <c r="H40" s="12">
        <v>87</v>
      </c>
      <c r="I40" s="5">
        <v>91</v>
      </c>
      <c r="J40" s="23">
        <f t="shared" si="0"/>
        <v>86.166666666666671</v>
      </c>
      <c r="K40" s="12">
        <v>85</v>
      </c>
      <c r="L40" s="12">
        <v>97</v>
      </c>
      <c r="M40" s="12">
        <v>86</v>
      </c>
      <c r="N40" s="12">
        <v>75</v>
      </c>
      <c r="O40" s="12">
        <v>84</v>
      </c>
      <c r="P40" s="13">
        <v>86</v>
      </c>
      <c r="Q40" s="26">
        <f t="shared" si="1"/>
        <v>85.5</v>
      </c>
    </row>
    <row r="41" spans="1:17" ht="13.5" thickBot="1">
      <c r="A41" s="2">
        <v>901</v>
      </c>
      <c r="B41" s="8" t="s">
        <v>16</v>
      </c>
      <c r="C41" s="8">
        <v>32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5">
        <v>0</v>
      </c>
      <c r="J41" s="23">
        <f t="shared" si="0"/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9">
        <v>0</v>
      </c>
      <c r="Q41" s="26">
        <f t="shared" si="1"/>
        <v>0</v>
      </c>
    </row>
    <row r="42" spans="1:17" ht="13.5" thickBot="1">
      <c r="A42" s="3">
        <v>902</v>
      </c>
      <c r="B42" s="6">
        <v>37452</v>
      </c>
      <c r="C42" s="5">
        <v>22</v>
      </c>
      <c r="D42" s="5">
        <v>87</v>
      </c>
      <c r="E42" s="5">
        <v>81</v>
      </c>
      <c r="F42" s="5">
        <v>96</v>
      </c>
      <c r="G42" s="5">
        <v>103</v>
      </c>
      <c r="H42" s="5">
        <v>99</v>
      </c>
      <c r="I42" s="5">
        <v>107</v>
      </c>
      <c r="J42" s="23">
        <f t="shared" si="0"/>
        <v>95.5</v>
      </c>
      <c r="K42" s="5">
        <v>84</v>
      </c>
      <c r="L42" s="5">
        <v>93</v>
      </c>
      <c r="M42" s="5">
        <v>83</v>
      </c>
      <c r="N42" s="5">
        <v>84</v>
      </c>
      <c r="O42" s="5">
        <v>97</v>
      </c>
      <c r="P42" s="7">
        <v>94</v>
      </c>
      <c r="Q42" s="26">
        <f t="shared" si="1"/>
        <v>89.166666666666671</v>
      </c>
    </row>
    <row r="43" spans="1:17" ht="13.5" thickBot="1">
      <c r="A43" s="3">
        <v>903</v>
      </c>
      <c r="B43" s="5" t="s">
        <v>17</v>
      </c>
      <c r="C43" s="5">
        <v>31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23">
        <f t="shared" si="0"/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7">
        <v>0</v>
      </c>
      <c r="Q43" s="26">
        <f t="shared" si="1"/>
        <v>0</v>
      </c>
    </row>
    <row r="44" spans="1:17" ht="13.5" thickBot="1">
      <c r="A44" s="3">
        <v>904</v>
      </c>
      <c r="B44" s="6">
        <v>37408</v>
      </c>
      <c r="C44" s="5">
        <v>21</v>
      </c>
      <c r="D44" s="5">
        <v>61</v>
      </c>
      <c r="E44" s="5">
        <v>60</v>
      </c>
      <c r="F44" s="5">
        <v>57</v>
      </c>
      <c r="G44" s="5">
        <v>48</v>
      </c>
      <c r="H44" s="5">
        <v>48</v>
      </c>
      <c r="I44" s="5">
        <v>41</v>
      </c>
      <c r="J44" s="23">
        <f t="shared" si="0"/>
        <v>52.5</v>
      </c>
      <c r="K44" s="5">
        <v>67</v>
      </c>
      <c r="L44" s="5">
        <v>58</v>
      </c>
      <c r="M44" s="5">
        <v>53</v>
      </c>
      <c r="N44" s="5">
        <v>51</v>
      </c>
      <c r="O44" s="5">
        <v>56</v>
      </c>
      <c r="P44" s="7">
        <v>43</v>
      </c>
      <c r="Q44" s="26">
        <f t="shared" si="1"/>
        <v>54.666666666666664</v>
      </c>
    </row>
    <row r="45" spans="1:17" ht="13.5" thickBot="1">
      <c r="A45" s="3">
        <v>905</v>
      </c>
      <c r="B45" s="5" t="s">
        <v>16</v>
      </c>
      <c r="C45" s="5">
        <v>32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23">
        <f t="shared" si="0"/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7">
        <v>0</v>
      </c>
      <c r="Q45" s="26">
        <f t="shared" si="1"/>
        <v>0</v>
      </c>
    </row>
    <row r="46" spans="1:17" ht="13.5" thickBot="1">
      <c r="A46" s="3">
        <v>906</v>
      </c>
      <c r="B46" s="6">
        <v>37452</v>
      </c>
      <c r="C46" s="5">
        <v>22</v>
      </c>
      <c r="D46" s="5">
        <v>102</v>
      </c>
      <c r="E46" s="5">
        <v>92</v>
      </c>
      <c r="F46" s="5">
        <v>103</v>
      </c>
      <c r="G46" s="5">
        <v>103</v>
      </c>
      <c r="H46" s="5">
        <v>112</v>
      </c>
      <c r="I46" s="5">
        <v>103</v>
      </c>
      <c r="J46" s="23">
        <f t="shared" si="0"/>
        <v>102.5</v>
      </c>
      <c r="K46" s="5">
        <v>96</v>
      </c>
      <c r="L46" s="5">
        <v>101</v>
      </c>
      <c r="M46" s="5">
        <v>87</v>
      </c>
      <c r="N46" s="5">
        <v>99</v>
      </c>
      <c r="O46" s="5">
        <v>100</v>
      </c>
      <c r="P46" s="7">
        <v>108</v>
      </c>
      <c r="Q46" s="26">
        <f t="shared" si="1"/>
        <v>98.5</v>
      </c>
    </row>
    <row r="47" spans="1:17" ht="13.5" thickBot="1">
      <c r="A47" s="3">
        <v>907</v>
      </c>
      <c r="B47" s="5" t="s">
        <v>17</v>
      </c>
      <c r="C47" s="5">
        <v>31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23">
        <f t="shared" si="0"/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7">
        <v>0</v>
      </c>
      <c r="Q47" s="26">
        <f t="shared" si="1"/>
        <v>0</v>
      </c>
    </row>
    <row r="48" spans="1:17" ht="13.5" thickBot="1">
      <c r="A48" s="4">
        <v>908</v>
      </c>
      <c r="B48" s="15">
        <v>37408</v>
      </c>
      <c r="C48" s="12">
        <v>21</v>
      </c>
      <c r="D48" s="12">
        <v>61</v>
      </c>
      <c r="E48" s="12">
        <v>41</v>
      </c>
      <c r="F48" s="12">
        <v>48</v>
      </c>
      <c r="G48" s="12">
        <v>51</v>
      </c>
      <c r="H48" s="12">
        <v>53</v>
      </c>
      <c r="I48" s="5">
        <v>51</v>
      </c>
      <c r="J48" s="23">
        <f t="shared" si="0"/>
        <v>50.833333333333336</v>
      </c>
      <c r="K48" s="12">
        <v>59</v>
      </c>
      <c r="L48" s="12">
        <v>47</v>
      </c>
      <c r="M48" s="12">
        <v>53</v>
      </c>
      <c r="N48" s="12">
        <v>46</v>
      </c>
      <c r="O48" s="12">
        <v>48</v>
      </c>
      <c r="P48" s="13">
        <v>42</v>
      </c>
      <c r="Q48" s="27">
        <f t="shared" si="1"/>
        <v>49.166666666666664</v>
      </c>
    </row>
  </sheetData>
  <phoneticPr fontId="0" type="noConversion"/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9E043-4BEC-49ED-BF87-F0CA8E691C31}">
  <dimension ref="A1:Q48"/>
  <sheetViews>
    <sheetView workbookViewId="0">
      <selection activeCell="Q9" sqref="Q9:Q48"/>
    </sheetView>
  </sheetViews>
  <sheetFormatPr defaultRowHeight="12.75"/>
  <sheetData>
    <row r="1" spans="1:17">
      <c r="A1" t="s">
        <v>19</v>
      </c>
    </row>
    <row r="2" spans="1:17">
      <c r="A2" s="1"/>
    </row>
    <row r="3" spans="1:17">
      <c r="A3" s="30">
        <v>37516</v>
      </c>
    </row>
    <row r="4" spans="1:17">
      <c r="A4" s="31" t="s">
        <v>56</v>
      </c>
      <c r="E4" t="s">
        <v>30</v>
      </c>
    </row>
    <row r="5" spans="1:17">
      <c r="A5" s="1" t="s">
        <v>22</v>
      </c>
    </row>
    <row r="6" spans="1:17" ht="13.5" thickBot="1"/>
    <row r="7" spans="1:17" ht="13.5" thickBot="1">
      <c r="D7" s="2"/>
      <c r="E7" s="18"/>
      <c r="F7" s="19" t="s">
        <v>2</v>
      </c>
      <c r="G7" s="18"/>
      <c r="H7" s="18"/>
      <c r="I7" s="20"/>
      <c r="J7" s="18"/>
      <c r="K7" s="2"/>
      <c r="L7" s="18"/>
      <c r="M7" s="18" t="s">
        <v>1</v>
      </c>
      <c r="N7" s="18"/>
      <c r="O7" s="18"/>
      <c r="P7" s="18"/>
      <c r="Q7" s="24"/>
    </row>
    <row r="8" spans="1:17" ht="13.5" thickBot="1">
      <c r="A8" s="16" t="s">
        <v>0</v>
      </c>
      <c r="B8" s="17" t="s">
        <v>9</v>
      </c>
      <c r="C8" s="17" t="s">
        <v>18</v>
      </c>
      <c r="D8" s="21" t="s">
        <v>24</v>
      </c>
      <c r="E8" s="12" t="s">
        <v>25</v>
      </c>
      <c r="F8" s="12" t="s">
        <v>26</v>
      </c>
      <c r="G8" s="12" t="s">
        <v>27</v>
      </c>
      <c r="H8" s="12" t="s">
        <v>28</v>
      </c>
      <c r="I8" s="35" t="s">
        <v>29</v>
      </c>
      <c r="J8" s="22" t="s">
        <v>31</v>
      </c>
      <c r="K8" s="21" t="s">
        <v>24</v>
      </c>
      <c r="L8" s="12" t="s">
        <v>25</v>
      </c>
      <c r="M8" s="12" t="s">
        <v>26</v>
      </c>
      <c r="N8" s="12" t="s">
        <v>27</v>
      </c>
      <c r="O8" s="12" t="s">
        <v>28</v>
      </c>
      <c r="P8" s="13" t="s">
        <v>29</v>
      </c>
      <c r="Q8" s="25" t="s">
        <v>32</v>
      </c>
    </row>
    <row r="9" spans="1:17" ht="13.5" thickBot="1">
      <c r="A9" s="2">
        <v>101</v>
      </c>
      <c r="B9" s="8" t="s">
        <v>3</v>
      </c>
      <c r="C9" s="9">
        <v>1</v>
      </c>
      <c r="D9" s="8">
        <v>109</v>
      </c>
      <c r="E9" s="8">
        <v>93</v>
      </c>
      <c r="F9" s="8">
        <v>103</v>
      </c>
      <c r="G9" s="8">
        <v>118</v>
      </c>
      <c r="H9" s="8">
        <v>110</v>
      </c>
      <c r="I9" s="5">
        <v>121</v>
      </c>
      <c r="J9" s="23">
        <f>AVERAGE(D9:I9)</f>
        <v>109</v>
      </c>
      <c r="K9" s="8">
        <v>100</v>
      </c>
      <c r="L9" s="8">
        <v>100</v>
      </c>
      <c r="M9" s="8">
        <v>100</v>
      </c>
      <c r="N9" s="8">
        <v>100</v>
      </c>
      <c r="O9" s="8">
        <v>100</v>
      </c>
      <c r="P9" s="8">
        <v>100</v>
      </c>
      <c r="Q9" s="26">
        <f>AVERAGE(K9:P9)</f>
        <v>100</v>
      </c>
    </row>
    <row r="10" spans="1:17" ht="13.5" thickBot="1">
      <c r="A10" s="3">
        <v>102</v>
      </c>
      <c r="B10" s="5" t="s">
        <v>4</v>
      </c>
      <c r="C10" s="7">
        <v>4</v>
      </c>
      <c r="D10" s="5">
        <v>96</v>
      </c>
      <c r="E10" s="5">
        <v>126</v>
      </c>
      <c r="F10" s="5">
        <v>125</v>
      </c>
      <c r="G10" s="5">
        <v>105</v>
      </c>
      <c r="H10" s="5">
        <v>106</v>
      </c>
      <c r="I10" s="5">
        <v>99</v>
      </c>
      <c r="J10" s="23">
        <f t="shared" ref="J10:J48" si="0">AVERAGE(D10:I10)</f>
        <v>109.5</v>
      </c>
      <c r="K10" s="5">
        <v>100</v>
      </c>
      <c r="L10" s="8">
        <v>92</v>
      </c>
      <c r="M10" s="8">
        <v>79</v>
      </c>
      <c r="N10" s="8">
        <v>101</v>
      </c>
      <c r="O10" s="8">
        <v>84</v>
      </c>
      <c r="P10" s="8">
        <v>99</v>
      </c>
      <c r="Q10" s="26">
        <f t="shared" ref="Q10:Q48" si="1">AVERAGE(K10:P10)</f>
        <v>92.5</v>
      </c>
    </row>
    <row r="11" spans="1:17" ht="13.5" thickBot="1">
      <c r="A11" s="3">
        <v>103</v>
      </c>
      <c r="B11" s="5" t="s">
        <v>5</v>
      </c>
      <c r="C11" s="7">
        <v>5</v>
      </c>
      <c r="D11" s="5">
        <v>123</v>
      </c>
      <c r="E11" s="5">
        <v>126</v>
      </c>
      <c r="F11" s="5">
        <v>107</v>
      </c>
      <c r="G11" s="5">
        <v>124</v>
      </c>
      <c r="H11" s="5">
        <v>110</v>
      </c>
      <c r="I11" s="5">
        <v>112</v>
      </c>
      <c r="J11" s="23">
        <f t="shared" si="0"/>
        <v>117</v>
      </c>
      <c r="K11" s="5">
        <v>100</v>
      </c>
      <c r="L11" s="5">
        <v>100</v>
      </c>
      <c r="M11" s="5">
        <v>100</v>
      </c>
      <c r="N11" s="5">
        <v>100</v>
      </c>
      <c r="O11" s="5">
        <v>100</v>
      </c>
      <c r="P11" s="5">
        <v>100</v>
      </c>
      <c r="Q11" s="26">
        <f t="shared" si="1"/>
        <v>100</v>
      </c>
    </row>
    <row r="12" spans="1:17" ht="13.5" thickBot="1">
      <c r="A12" s="3">
        <v>104</v>
      </c>
      <c r="B12" s="5" t="s">
        <v>6</v>
      </c>
      <c r="C12" s="7">
        <v>10</v>
      </c>
      <c r="D12" s="5">
        <v>91</v>
      </c>
      <c r="E12" s="5">
        <v>94</v>
      </c>
      <c r="F12" s="5">
        <v>85</v>
      </c>
      <c r="G12" s="5">
        <v>103</v>
      </c>
      <c r="H12" s="5">
        <v>90</v>
      </c>
      <c r="I12" s="5">
        <v>89</v>
      </c>
      <c r="J12" s="23">
        <f t="shared" si="0"/>
        <v>92</v>
      </c>
      <c r="K12" s="5">
        <v>90</v>
      </c>
      <c r="L12" s="8">
        <v>100</v>
      </c>
      <c r="M12" s="8">
        <v>86</v>
      </c>
      <c r="N12" s="8">
        <v>103</v>
      </c>
      <c r="O12" s="8">
        <v>92</v>
      </c>
      <c r="P12" s="8">
        <v>79</v>
      </c>
      <c r="Q12" s="26">
        <f t="shared" si="1"/>
        <v>91.666666666666671</v>
      </c>
    </row>
    <row r="13" spans="1:17" ht="13.5" thickBot="1">
      <c r="A13" s="3">
        <v>105</v>
      </c>
      <c r="B13" s="5" t="s">
        <v>10</v>
      </c>
      <c r="C13" s="7">
        <v>12</v>
      </c>
      <c r="D13" s="5">
        <v>102</v>
      </c>
      <c r="E13" s="5">
        <v>106</v>
      </c>
      <c r="F13" s="5">
        <v>103</v>
      </c>
      <c r="G13" s="5">
        <v>100</v>
      </c>
      <c r="H13" s="5">
        <v>88</v>
      </c>
      <c r="I13" s="5">
        <v>88</v>
      </c>
      <c r="J13" s="23">
        <f t="shared" si="0"/>
        <v>97.833333333333329</v>
      </c>
      <c r="K13" s="5">
        <v>86</v>
      </c>
      <c r="L13" s="8">
        <v>94</v>
      </c>
      <c r="M13" s="8">
        <v>103</v>
      </c>
      <c r="N13" s="8">
        <v>95</v>
      </c>
      <c r="O13" s="8">
        <v>100</v>
      </c>
      <c r="P13" s="8">
        <v>91</v>
      </c>
      <c r="Q13" s="26">
        <f t="shared" si="1"/>
        <v>94.833333333333329</v>
      </c>
    </row>
    <row r="14" spans="1:17" ht="13.5" thickBot="1">
      <c r="A14" s="3">
        <v>106</v>
      </c>
      <c r="B14" s="5" t="s">
        <v>7</v>
      </c>
      <c r="C14" s="7">
        <v>9</v>
      </c>
      <c r="D14" s="5">
        <v>115</v>
      </c>
      <c r="E14" s="5">
        <v>106</v>
      </c>
      <c r="F14" s="5">
        <v>138</v>
      </c>
      <c r="G14" s="5">
        <v>119</v>
      </c>
      <c r="H14" s="5">
        <v>103</v>
      </c>
      <c r="I14" s="5">
        <v>120</v>
      </c>
      <c r="J14" s="23">
        <f t="shared" si="0"/>
        <v>116.83333333333333</v>
      </c>
      <c r="K14" s="5">
        <v>83</v>
      </c>
      <c r="L14" s="8">
        <v>124</v>
      </c>
      <c r="M14" s="8">
        <v>105</v>
      </c>
      <c r="N14" s="8">
        <v>95</v>
      </c>
      <c r="O14" s="8">
        <v>97</v>
      </c>
      <c r="P14" s="8">
        <v>100</v>
      </c>
      <c r="Q14" s="26">
        <f t="shared" si="1"/>
        <v>100.66666666666667</v>
      </c>
    </row>
    <row r="15" spans="1:17" ht="13.5" thickBot="1">
      <c r="A15" s="3">
        <v>107</v>
      </c>
      <c r="B15" s="5" t="s">
        <v>6</v>
      </c>
      <c r="C15" s="7">
        <v>10</v>
      </c>
      <c r="D15" s="5">
        <v>121</v>
      </c>
      <c r="E15" s="5">
        <v>108</v>
      </c>
      <c r="F15" s="5">
        <v>98</v>
      </c>
      <c r="G15" s="5">
        <v>96</v>
      </c>
      <c r="H15" s="5">
        <v>100</v>
      </c>
      <c r="I15" s="5">
        <v>107</v>
      </c>
      <c r="J15" s="23">
        <f t="shared" si="0"/>
        <v>105</v>
      </c>
      <c r="K15" s="5">
        <v>94</v>
      </c>
      <c r="L15" s="8"/>
      <c r="M15" s="8"/>
      <c r="N15" s="8"/>
      <c r="O15" s="8"/>
      <c r="P15" s="8"/>
      <c r="Q15" s="26">
        <f t="shared" si="1"/>
        <v>94</v>
      </c>
    </row>
    <row r="16" spans="1:17" ht="13.5" thickBot="1">
      <c r="A16" s="4">
        <v>108</v>
      </c>
      <c r="B16" s="12" t="s">
        <v>8</v>
      </c>
      <c r="C16" s="13">
        <v>3</v>
      </c>
      <c r="D16" s="12">
        <v>125</v>
      </c>
      <c r="E16" s="12">
        <v>121</v>
      </c>
      <c r="F16" s="12">
        <v>121</v>
      </c>
      <c r="G16" s="12">
        <v>105</v>
      </c>
      <c r="H16" s="5">
        <v>107</v>
      </c>
      <c r="I16" s="5">
        <v>117</v>
      </c>
      <c r="J16" s="23">
        <f t="shared" si="0"/>
        <v>116</v>
      </c>
      <c r="K16" s="12">
        <v>100</v>
      </c>
      <c r="L16" s="8"/>
      <c r="M16" s="8"/>
      <c r="N16" s="8"/>
      <c r="O16" s="8"/>
      <c r="P16" s="8"/>
      <c r="Q16" s="26">
        <f t="shared" si="1"/>
        <v>100</v>
      </c>
    </row>
    <row r="17" spans="1:17" ht="13.5" thickBot="1">
      <c r="A17" s="2">
        <v>201</v>
      </c>
      <c r="B17" s="8" t="s">
        <v>10</v>
      </c>
      <c r="C17" s="8">
        <v>12</v>
      </c>
      <c r="D17" s="8">
        <v>107</v>
      </c>
      <c r="E17" s="8">
        <v>94</v>
      </c>
      <c r="F17" s="8">
        <v>97</v>
      </c>
      <c r="G17" s="8">
        <v>107</v>
      </c>
      <c r="H17" s="12">
        <v>101</v>
      </c>
      <c r="I17" s="5">
        <v>106</v>
      </c>
      <c r="J17" s="23">
        <f t="shared" si="0"/>
        <v>102</v>
      </c>
      <c r="K17" s="8">
        <v>82</v>
      </c>
      <c r="L17" s="8"/>
      <c r="M17" s="8"/>
      <c r="N17" s="8"/>
      <c r="O17" s="8"/>
      <c r="P17" s="9"/>
      <c r="Q17" s="26">
        <f t="shared" si="1"/>
        <v>82</v>
      </c>
    </row>
    <row r="18" spans="1:17" ht="13.5" thickBot="1">
      <c r="A18" s="3">
        <v>202</v>
      </c>
      <c r="B18" s="5" t="s">
        <v>7</v>
      </c>
      <c r="C18" s="5">
        <v>9</v>
      </c>
      <c r="D18" s="5">
        <v>125</v>
      </c>
      <c r="E18" s="5">
        <v>130</v>
      </c>
      <c r="F18" s="5">
        <v>117</v>
      </c>
      <c r="G18" s="5">
        <v>121</v>
      </c>
      <c r="H18" s="8">
        <v>113</v>
      </c>
      <c r="I18" s="5">
        <v>118</v>
      </c>
      <c r="J18" s="23">
        <f t="shared" si="0"/>
        <v>120.66666666666667</v>
      </c>
      <c r="K18" s="5">
        <v>100</v>
      </c>
      <c r="L18" s="5"/>
      <c r="M18" s="5"/>
      <c r="N18" s="5"/>
      <c r="O18" s="5"/>
      <c r="P18" s="7"/>
      <c r="Q18" s="26">
        <f t="shared" si="1"/>
        <v>100</v>
      </c>
    </row>
    <row r="19" spans="1:17" ht="13.5" thickBot="1">
      <c r="A19" s="3">
        <v>203</v>
      </c>
      <c r="B19" s="5" t="s">
        <v>8</v>
      </c>
      <c r="C19" s="5">
        <v>3</v>
      </c>
      <c r="D19" s="5">
        <v>118</v>
      </c>
      <c r="E19" s="5">
        <v>117</v>
      </c>
      <c r="F19" s="5">
        <v>124</v>
      </c>
      <c r="G19" s="36">
        <v>113</v>
      </c>
      <c r="H19" s="5">
        <v>130</v>
      </c>
      <c r="I19" s="5">
        <v>126</v>
      </c>
      <c r="J19" s="23">
        <f t="shared" si="0"/>
        <v>121.33333333333333</v>
      </c>
      <c r="K19" s="5">
        <v>100</v>
      </c>
      <c r="L19" s="5"/>
      <c r="M19" s="5"/>
      <c r="N19" s="5"/>
      <c r="O19" s="5"/>
      <c r="P19" s="5"/>
      <c r="Q19" s="26">
        <f t="shared" si="1"/>
        <v>100</v>
      </c>
    </row>
    <row r="20" spans="1:17" ht="13.5" thickBot="1">
      <c r="A20" s="3">
        <v>204</v>
      </c>
      <c r="B20" s="5" t="s">
        <v>11</v>
      </c>
      <c r="C20" s="5">
        <v>11</v>
      </c>
      <c r="D20" s="5">
        <v>112</v>
      </c>
      <c r="E20" s="5">
        <v>116</v>
      </c>
      <c r="F20" s="5">
        <v>111</v>
      </c>
      <c r="G20" s="36">
        <v>110</v>
      </c>
      <c r="H20" s="5">
        <v>121</v>
      </c>
      <c r="I20" s="5">
        <v>118</v>
      </c>
      <c r="J20" s="23">
        <f t="shared" si="0"/>
        <v>114.66666666666667</v>
      </c>
      <c r="K20" s="5">
        <v>100</v>
      </c>
      <c r="L20" s="5"/>
      <c r="M20" s="5"/>
      <c r="N20" s="5"/>
      <c r="O20" s="5"/>
      <c r="P20" s="5"/>
      <c r="Q20" s="26">
        <f t="shared" si="1"/>
        <v>100</v>
      </c>
    </row>
    <row r="21" spans="1:17" ht="13.5" thickBot="1">
      <c r="A21" s="3">
        <v>205</v>
      </c>
      <c r="B21" s="5" t="s">
        <v>3</v>
      </c>
      <c r="C21" s="5">
        <v>1</v>
      </c>
      <c r="D21" s="5">
        <v>128</v>
      </c>
      <c r="E21" s="5">
        <v>133</v>
      </c>
      <c r="F21" s="5">
        <v>143</v>
      </c>
      <c r="G21" s="36">
        <v>118</v>
      </c>
      <c r="H21" s="5">
        <v>148</v>
      </c>
      <c r="I21" s="5">
        <v>123</v>
      </c>
      <c r="J21" s="23">
        <f t="shared" si="0"/>
        <v>132.16666666666666</v>
      </c>
      <c r="K21" s="5">
        <v>100</v>
      </c>
      <c r="L21" s="5"/>
      <c r="M21" s="5"/>
      <c r="N21" s="5"/>
      <c r="O21" s="5"/>
      <c r="P21" s="5"/>
      <c r="Q21" s="26">
        <f t="shared" si="1"/>
        <v>100</v>
      </c>
    </row>
    <row r="22" spans="1:17" ht="13.5" thickBot="1">
      <c r="A22" s="3">
        <v>206</v>
      </c>
      <c r="B22" s="5" t="s">
        <v>12</v>
      </c>
      <c r="C22" s="5">
        <v>8</v>
      </c>
      <c r="D22" s="5">
        <v>96</v>
      </c>
      <c r="E22" s="5">
        <v>106</v>
      </c>
      <c r="F22" s="5">
        <v>100</v>
      </c>
      <c r="G22" s="36">
        <v>100</v>
      </c>
      <c r="H22" s="5">
        <v>73</v>
      </c>
      <c r="I22" s="5">
        <v>92</v>
      </c>
      <c r="J22" s="23">
        <f t="shared" si="0"/>
        <v>94.5</v>
      </c>
      <c r="K22" s="5">
        <v>93</v>
      </c>
      <c r="L22" s="5"/>
      <c r="M22" s="5"/>
      <c r="N22" s="5"/>
      <c r="O22" s="5"/>
      <c r="P22" s="7"/>
      <c r="Q22" s="26">
        <f t="shared" si="1"/>
        <v>93</v>
      </c>
    </row>
    <row r="23" spans="1:17" ht="13.5" thickBot="1">
      <c r="A23" s="3">
        <v>207</v>
      </c>
      <c r="B23" s="5" t="s">
        <v>4</v>
      </c>
      <c r="C23" s="5">
        <v>4</v>
      </c>
      <c r="D23" s="5">
        <v>109</v>
      </c>
      <c r="E23" s="5">
        <v>113</v>
      </c>
      <c r="F23" s="5">
        <v>121</v>
      </c>
      <c r="G23" s="36">
        <v>107</v>
      </c>
      <c r="H23" s="5">
        <v>110</v>
      </c>
      <c r="I23" s="5">
        <v>111</v>
      </c>
      <c r="J23" s="23">
        <f t="shared" si="0"/>
        <v>111.83333333333333</v>
      </c>
      <c r="K23" s="5">
        <v>100</v>
      </c>
      <c r="L23" s="5"/>
      <c r="M23" s="5"/>
      <c r="N23" s="5"/>
      <c r="O23" s="5"/>
      <c r="P23" s="7"/>
      <c r="Q23" s="26">
        <f t="shared" si="1"/>
        <v>100</v>
      </c>
    </row>
    <row r="24" spans="1:17" ht="13.5" thickBot="1">
      <c r="A24" s="4">
        <v>208</v>
      </c>
      <c r="B24" s="12" t="s">
        <v>13</v>
      </c>
      <c r="C24" s="12">
        <v>2</v>
      </c>
      <c r="D24" s="12">
        <v>100</v>
      </c>
      <c r="E24" s="12">
        <v>106</v>
      </c>
      <c r="F24" s="5">
        <v>103</v>
      </c>
      <c r="G24" s="36">
        <v>102</v>
      </c>
      <c r="H24" s="5">
        <v>96</v>
      </c>
      <c r="I24" s="5">
        <v>107</v>
      </c>
      <c r="J24" s="23">
        <f t="shared" si="0"/>
        <v>102.33333333333333</v>
      </c>
      <c r="K24" s="12">
        <v>100</v>
      </c>
      <c r="L24" s="12"/>
      <c r="M24" s="32"/>
      <c r="N24" s="36"/>
      <c r="O24" s="12"/>
      <c r="P24" s="13"/>
      <c r="Q24" s="26">
        <f t="shared" si="1"/>
        <v>100</v>
      </c>
    </row>
    <row r="25" spans="1:17" ht="13.5" thickBot="1">
      <c r="A25" s="2">
        <v>301</v>
      </c>
      <c r="B25" s="8" t="s">
        <v>6</v>
      </c>
      <c r="C25" s="8">
        <v>10</v>
      </c>
      <c r="D25" s="8">
        <v>95</v>
      </c>
      <c r="E25" s="8">
        <v>88</v>
      </c>
      <c r="F25" s="12">
        <v>79</v>
      </c>
      <c r="G25" s="36">
        <v>103</v>
      </c>
      <c r="H25" s="12">
        <v>91</v>
      </c>
      <c r="I25" s="5">
        <v>89</v>
      </c>
      <c r="J25" s="23">
        <f t="shared" si="0"/>
        <v>90.833333333333329</v>
      </c>
      <c r="K25" s="8">
        <v>100</v>
      </c>
      <c r="L25" s="8"/>
      <c r="M25" s="5"/>
      <c r="N25" s="5"/>
      <c r="O25" s="8"/>
      <c r="P25" s="9"/>
      <c r="Q25" s="26">
        <f t="shared" si="1"/>
        <v>100</v>
      </c>
    </row>
    <row r="26" spans="1:17" ht="13.5" thickBot="1">
      <c r="A26" s="3">
        <v>302</v>
      </c>
      <c r="B26" s="5" t="s">
        <v>4</v>
      </c>
      <c r="C26" s="5">
        <v>4</v>
      </c>
      <c r="D26" s="5">
        <v>118</v>
      </c>
      <c r="E26" s="5">
        <v>101</v>
      </c>
      <c r="F26" s="8">
        <v>107</v>
      </c>
      <c r="G26" s="36">
        <v>107</v>
      </c>
      <c r="H26" s="8">
        <v>100</v>
      </c>
      <c r="I26" s="5">
        <v>107</v>
      </c>
      <c r="J26" s="23">
        <f t="shared" si="0"/>
        <v>106.66666666666667</v>
      </c>
      <c r="K26" s="5">
        <v>76</v>
      </c>
      <c r="L26" s="5"/>
      <c r="M26" s="33"/>
      <c r="N26" s="36"/>
      <c r="O26" s="5"/>
      <c r="P26" s="7"/>
      <c r="Q26" s="26">
        <f t="shared" si="1"/>
        <v>76</v>
      </c>
    </row>
    <row r="27" spans="1:17" ht="13.5" thickBot="1">
      <c r="A27" s="3">
        <v>303</v>
      </c>
      <c r="B27" s="5" t="s">
        <v>12</v>
      </c>
      <c r="C27" s="5">
        <v>8</v>
      </c>
      <c r="D27" s="5">
        <v>127</v>
      </c>
      <c r="E27" s="5">
        <v>91</v>
      </c>
      <c r="F27" s="5">
        <v>106</v>
      </c>
      <c r="G27" s="5">
        <v>112</v>
      </c>
      <c r="H27" s="5">
        <v>104</v>
      </c>
      <c r="I27" s="5">
        <v>100</v>
      </c>
      <c r="J27" s="23">
        <f t="shared" si="0"/>
        <v>106.66666666666667</v>
      </c>
      <c r="K27" s="5">
        <v>93</v>
      </c>
      <c r="L27" s="5"/>
      <c r="M27" s="5"/>
      <c r="N27" s="5"/>
      <c r="O27" s="5"/>
      <c r="P27" s="7"/>
      <c r="Q27" s="26">
        <f t="shared" si="1"/>
        <v>93</v>
      </c>
    </row>
    <row r="28" spans="1:17" ht="13.5" thickBot="1">
      <c r="A28" s="3">
        <v>304</v>
      </c>
      <c r="B28" s="5" t="s">
        <v>13</v>
      </c>
      <c r="C28" s="5">
        <v>2</v>
      </c>
      <c r="D28" s="5">
        <v>101</v>
      </c>
      <c r="E28" s="5">
        <v>106</v>
      </c>
      <c r="F28" s="5">
        <v>108</v>
      </c>
      <c r="G28" s="5">
        <v>118</v>
      </c>
      <c r="H28" s="5">
        <v>103</v>
      </c>
      <c r="I28" s="5">
        <v>106</v>
      </c>
      <c r="J28" s="23">
        <f t="shared" si="0"/>
        <v>107</v>
      </c>
      <c r="K28" s="5">
        <v>100</v>
      </c>
      <c r="L28" s="5"/>
      <c r="M28" s="5"/>
      <c r="N28" s="5"/>
      <c r="O28" s="5"/>
      <c r="P28" s="5"/>
      <c r="Q28" s="26">
        <f t="shared" si="1"/>
        <v>100</v>
      </c>
    </row>
    <row r="29" spans="1:17" ht="13.5" thickBot="1">
      <c r="A29" s="3">
        <v>305</v>
      </c>
      <c r="B29" s="5" t="s">
        <v>11</v>
      </c>
      <c r="C29" s="5">
        <v>11</v>
      </c>
      <c r="D29" s="5">
        <v>135</v>
      </c>
      <c r="E29" s="5">
        <v>129</v>
      </c>
      <c r="F29" s="5">
        <v>116</v>
      </c>
      <c r="G29" s="5">
        <v>102</v>
      </c>
      <c r="H29" s="5">
        <v>123</v>
      </c>
      <c r="I29" s="5">
        <v>123</v>
      </c>
      <c r="J29" s="23">
        <f t="shared" si="0"/>
        <v>121.33333333333333</v>
      </c>
      <c r="K29" s="5">
        <v>100</v>
      </c>
      <c r="L29" s="5"/>
      <c r="M29" s="5"/>
      <c r="N29" s="5"/>
      <c r="O29" s="5"/>
      <c r="P29" s="5"/>
      <c r="Q29" s="26">
        <f>AVERAGE(K29:P29)</f>
        <v>100</v>
      </c>
    </row>
    <row r="30" spans="1:17" ht="13.5" thickBot="1">
      <c r="A30" s="3">
        <v>306</v>
      </c>
      <c r="B30" s="5" t="s">
        <v>4</v>
      </c>
      <c r="C30" s="5">
        <v>4</v>
      </c>
      <c r="D30" s="5">
        <v>118</v>
      </c>
      <c r="E30" s="5">
        <v>89</v>
      </c>
      <c r="F30" s="5">
        <v>96</v>
      </c>
      <c r="G30" s="5">
        <v>123</v>
      </c>
      <c r="H30" s="5">
        <v>113</v>
      </c>
      <c r="I30" s="5">
        <v>121</v>
      </c>
      <c r="J30" s="23">
        <f t="shared" si="0"/>
        <v>110</v>
      </c>
      <c r="K30" s="5">
        <v>99</v>
      </c>
      <c r="L30" s="5"/>
      <c r="M30" s="5"/>
      <c r="N30" s="5"/>
      <c r="O30" s="5"/>
      <c r="P30" s="5"/>
      <c r="Q30" s="26">
        <f>AVERAGE(K30:P30)</f>
        <v>99</v>
      </c>
    </row>
    <row r="31" spans="1:17" ht="13.5" thickBot="1">
      <c r="A31" s="3">
        <v>307</v>
      </c>
      <c r="B31" s="5" t="s">
        <v>7</v>
      </c>
      <c r="C31" s="5">
        <v>9</v>
      </c>
      <c r="D31" s="5">
        <v>121</v>
      </c>
      <c r="E31" s="5">
        <v>99</v>
      </c>
      <c r="F31" s="5">
        <v>116</v>
      </c>
      <c r="G31" s="5">
        <v>127</v>
      </c>
      <c r="H31" s="5">
        <v>98</v>
      </c>
      <c r="I31" s="5">
        <v>100</v>
      </c>
      <c r="J31" s="23">
        <f t="shared" si="0"/>
        <v>110.16666666666667</v>
      </c>
      <c r="K31" s="5">
        <v>98</v>
      </c>
      <c r="L31" s="5"/>
      <c r="M31" s="5"/>
      <c r="N31" s="5"/>
      <c r="O31" s="5"/>
      <c r="P31" s="7"/>
      <c r="Q31" s="26">
        <f t="shared" si="1"/>
        <v>98</v>
      </c>
    </row>
    <row r="32" spans="1:17" ht="13.5" thickBot="1">
      <c r="A32" s="4">
        <v>308</v>
      </c>
      <c r="B32" s="12" t="s">
        <v>5</v>
      </c>
      <c r="C32" s="12">
        <v>5</v>
      </c>
      <c r="D32" s="12">
        <v>104</v>
      </c>
      <c r="E32" s="12">
        <v>100</v>
      </c>
      <c r="F32" s="12">
        <v>93</v>
      </c>
      <c r="G32" s="12">
        <v>90</v>
      </c>
      <c r="H32" s="5">
        <v>102</v>
      </c>
      <c r="I32" s="5">
        <v>103</v>
      </c>
      <c r="J32" s="23">
        <f t="shared" si="0"/>
        <v>98.666666666666671</v>
      </c>
      <c r="K32" s="12">
        <v>100</v>
      </c>
      <c r="L32" s="12"/>
      <c r="M32" s="12"/>
      <c r="N32" s="12"/>
      <c r="O32" s="12"/>
      <c r="P32" s="13"/>
      <c r="Q32" s="26">
        <f t="shared" si="1"/>
        <v>100</v>
      </c>
    </row>
    <row r="33" spans="1:17" ht="13.5" thickBot="1">
      <c r="A33" s="2">
        <v>401</v>
      </c>
      <c r="B33" s="8" t="s">
        <v>14</v>
      </c>
      <c r="C33" s="8">
        <v>7</v>
      </c>
      <c r="D33" s="8">
        <v>92</v>
      </c>
      <c r="E33" s="8">
        <v>124</v>
      </c>
      <c r="F33" s="8">
        <v>98</v>
      </c>
      <c r="G33" s="8">
        <v>99</v>
      </c>
      <c r="H33" s="8">
        <v>100</v>
      </c>
      <c r="I33" s="5">
        <v>92</v>
      </c>
      <c r="J33" s="23">
        <f t="shared" si="0"/>
        <v>100.83333333333333</v>
      </c>
      <c r="K33" s="8">
        <v>96</v>
      </c>
      <c r="L33" s="8"/>
      <c r="M33" s="8"/>
      <c r="N33" s="8"/>
      <c r="O33" s="8"/>
      <c r="P33" s="9"/>
      <c r="Q33" s="26">
        <f t="shared" si="1"/>
        <v>96</v>
      </c>
    </row>
    <row r="34" spans="1:17" ht="13.5" thickBot="1">
      <c r="A34" s="3">
        <v>402</v>
      </c>
      <c r="B34" s="5" t="s">
        <v>7</v>
      </c>
      <c r="C34" s="5">
        <v>9</v>
      </c>
      <c r="D34" s="5">
        <v>112</v>
      </c>
      <c r="E34" s="5">
        <v>140</v>
      </c>
      <c r="F34" s="5">
        <v>120</v>
      </c>
      <c r="G34" s="5">
        <v>92</v>
      </c>
      <c r="H34" s="5">
        <v>113</v>
      </c>
      <c r="I34" s="5">
        <v>117</v>
      </c>
      <c r="J34" s="23">
        <f t="shared" si="0"/>
        <v>115.66666666666667</v>
      </c>
      <c r="K34" s="5">
        <v>100</v>
      </c>
      <c r="L34" s="5"/>
      <c r="M34" s="5"/>
      <c r="N34" s="5"/>
      <c r="O34" s="5"/>
      <c r="P34" s="7"/>
      <c r="Q34" s="26">
        <f t="shared" si="1"/>
        <v>100</v>
      </c>
    </row>
    <row r="35" spans="1:17" ht="13.5" thickBot="1">
      <c r="A35" s="3">
        <v>403</v>
      </c>
      <c r="B35" s="5" t="s">
        <v>15</v>
      </c>
      <c r="C35" s="5">
        <v>6</v>
      </c>
      <c r="D35" s="5">
        <v>91</v>
      </c>
      <c r="E35" s="5">
        <v>98</v>
      </c>
      <c r="F35" s="5">
        <v>88</v>
      </c>
      <c r="G35" s="5">
        <v>125</v>
      </c>
      <c r="H35" s="5">
        <v>81</v>
      </c>
      <c r="I35" s="5">
        <v>91</v>
      </c>
      <c r="J35" s="23">
        <f t="shared" si="0"/>
        <v>95.666666666666671</v>
      </c>
      <c r="K35" s="5">
        <v>92</v>
      </c>
      <c r="L35" s="5"/>
      <c r="M35" s="5"/>
      <c r="N35" s="5"/>
      <c r="O35" s="5"/>
      <c r="P35" s="7"/>
      <c r="Q35" s="26">
        <f t="shared" si="1"/>
        <v>92</v>
      </c>
    </row>
    <row r="36" spans="1:17" ht="13.5" thickBot="1">
      <c r="A36" s="3">
        <v>404</v>
      </c>
      <c r="B36" s="5" t="s">
        <v>8</v>
      </c>
      <c r="C36" s="5">
        <v>3</v>
      </c>
      <c r="D36" s="5">
        <v>123</v>
      </c>
      <c r="E36" s="5">
        <v>130</v>
      </c>
      <c r="F36" s="5">
        <v>122</v>
      </c>
      <c r="G36" s="5">
        <v>85</v>
      </c>
      <c r="H36" s="5">
        <v>123</v>
      </c>
      <c r="I36" s="5">
        <v>112</v>
      </c>
      <c r="J36" s="23">
        <f t="shared" si="0"/>
        <v>115.83333333333333</v>
      </c>
      <c r="K36" s="5">
        <v>105</v>
      </c>
      <c r="L36" s="5"/>
      <c r="M36" s="5"/>
      <c r="N36" s="5"/>
      <c r="O36" s="5"/>
      <c r="P36" s="5"/>
      <c r="Q36" s="26">
        <f t="shared" si="1"/>
        <v>105</v>
      </c>
    </row>
    <row r="37" spans="1:17" ht="13.5" thickBot="1">
      <c r="A37" s="3">
        <v>405</v>
      </c>
      <c r="B37" s="5" t="s">
        <v>15</v>
      </c>
      <c r="C37" s="5">
        <v>6</v>
      </c>
      <c r="D37" s="5">
        <v>88</v>
      </c>
      <c r="E37" s="5">
        <v>89</v>
      </c>
      <c r="F37" s="5">
        <v>75</v>
      </c>
      <c r="G37" s="5">
        <v>114</v>
      </c>
      <c r="H37" s="5">
        <v>78</v>
      </c>
      <c r="I37" s="5">
        <v>76</v>
      </c>
      <c r="J37" s="23">
        <f t="shared" si="0"/>
        <v>86.666666666666671</v>
      </c>
      <c r="K37" s="5">
        <v>91</v>
      </c>
      <c r="L37" s="5"/>
      <c r="M37" s="5"/>
      <c r="N37" s="5"/>
      <c r="O37" s="5"/>
      <c r="P37" s="7"/>
      <c r="Q37" s="26">
        <f t="shared" si="1"/>
        <v>91</v>
      </c>
    </row>
    <row r="38" spans="1:17" ht="13.5" thickBot="1">
      <c r="A38" s="3">
        <v>406</v>
      </c>
      <c r="B38" s="5" t="s">
        <v>8</v>
      </c>
      <c r="C38" s="5">
        <v>3</v>
      </c>
      <c r="D38" s="5">
        <v>131</v>
      </c>
      <c r="E38" s="5">
        <v>113</v>
      </c>
      <c r="F38" s="5">
        <v>131</v>
      </c>
      <c r="G38" s="5">
        <v>100</v>
      </c>
      <c r="H38" s="5">
        <v>124</v>
      </c>
      <c r="I38" s="5">
        <v>127</v>
      </c>
      <c r="J38" s="23">
        <f t="shared" si="0"/>
        <v>121</v>
      </c>
      <c r="K38" s="5">
        <v>100</v>
      </c>
      <c r="L38" s="5"/>
      <c r="M38" s="5"/>
      <c r="N38" s="5"/>
      <c r="O38" s="5"/>
      <c r="P38" s="7"/>
      <c r="Q38" s="26">
        <f t="shared" si="1"/>
        <v>100</v>
      </c>
    </row>
    <row r="39" spans="1:17" ht="13.5" thickBot="1">
      <c r="A39" s="3">
        <v>407</v>
      </c>
      <c r="B39" s="5" t="s">
        <v>14</v>
      </c>
      <c r="C39" s="5">
        <v>7</v>
      </c>
      <c r="D39" s="5">
        <v>116</v>
      </c>
      <c r="E39" s="5">
        <v>98</v>
      </c>
      <c r="F39" s="5">
        <v>87</v>
      </c>
      <c r="G39" s="5">
        <v>83</v>
      </c>
      <c r="H39" s="5">
        <v>83</v>
      </c>
      <c r="I39" s="5">
        <v>113</v>
      </c>
      <c r="J39" s="23">
        <f t="shared" si="0"/>
        <v>96.666666666666671</v>
      </c>
      <c r="K39" s="5">
        <v>82</v>
      </c>
      <c r="L39" s="5"/>
      <c r="M39" s="5"/>
      <c r="N39" s="5"/>
      <c r="O39" s="5"/>
      <c r="P39" s="7"/>
      <c r="Q39" s="26">
        <f t="shared" si="1"/>
        <v>82</v>
      </c>
    </row>
    <row r="40" spans="1:17" ht="13.5" thickBot="1">
      <c r="A40" s="4">
        <v>408</v>
      </c>
      <c r="B40" s="12" t="s">
        <v>6</v>
      </c>
      <c r="C40" s="12">
        <v>10</v>
      </c>
      <c r="D40" s="12">
        <v>92</v>
      </c>
      <c r="E40" s="12">
        <v>81</v>
      </c>
      <c r="F40" s="12">
        <v>91</v>
      </c>
      <c r="G40" s="12">
        <v>99</v>
      </c>
      <c r="H40" s="12">
        <v>89</v>
      </c>
      <c r="I40" s="5">
        <v>83</v>
      </c>
      <c r="J40" s="23">
        <f t="shared" si="0"/>
        <v>89.166666666666671</v>
      </c>
      <c r="K40" s="12">
        <v>86</v>
      </c>
      <c r="L40" s="12"/>
      <c r="M40" s="12"/>
      <c r="N40" s="12"/>
      <c r="O40" s="12"/>
      <c r="P40" s="13"/>
      <c r="Q40" s="26">
        <f t="shared" si="1"/>
        <v>86</v>
      </c>
    </row>
    <row r="41" spans="1:17" ht="13.5" thickBot="1">
      <c r="A41" s="2">
        <v>901</v>
      </c>
      <c r="B41" s="8" t="s">
        <v>16</v>
      </c>
      <c r="C41" s="8">
        <v>32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5">
        <v>0</v>
      </c>
      <c r="J41" s="23">
        <f t="shared" si="0"/>
        <v>0</v>
      </c>
      <c r="K41" s="8">
        <v>0</v>
      </c>
      <c r="L41" s="8"/>
      <c r="M41" s="8"/>
      <c r="N41" s="8"/>
      <c r="O41" s="8"/>
      <c r="P41" s="9"/>
      <c r="Q41" s="26">
        <f t="shared" si="1"/>
        <v>0</v>
      </c>
    </row>
    <row r="42" spans="1:17" ht="13.5" thickBot="1">
      <c r="A42" s="3">
        <v>902</v>
      </c>
      <c r="B42" s="6">
        <v>37452</v>
      </c>
      <c r="C42" s="5">
        <v>22</v>
      </c>
      <c r="D42" s="5">
        <v>105</v>
      </c>
      <c r="E42" s="5">
        <v>82</v>
      </c>
      <c r="F42" s="5">
        <v>97</v>
      </c>
      <c r="G42" s="5">
        <v>99</v>
      </c>
      <c r="H42" s="5">
        <v>98</v>
      </c>
      <c r="I42" s="5">
        <v>104</v>
      </c>
      <c r="J42" s="23">
        <f t="shared" si="0"/>
        <v>97.5</v>
      </c>
      <c r="K42" s="5">
        <v>98</v>
      </c>
      <c r="L42" s="5"/>
      <c r="M42" s="5"/>
      <c r="N42" s="5"/>
      <c r="O42" s="5"/>
      <c r="P42" s="7"/>
      <c r="Q42" s="26">
        <f t="shared" si="1"/>
        <v>98</v>
      </c>
    </row>
    <row r="43" spans="1:17" ht="13.5" thickBot="1">
      <c r="A43" s="3">
        <v>903</v>
      </c>
      <c r="B43" s="5" t="s">
        <v>17</v>
      </c>
      <c r="C43" s="5">
        <v>31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23">
        <f t="shared" si="0"/>
        <v>0</v>
      </c>
      <c r="K43" s="5">
        <v>0</v>
      </c>
      <c r="L43" s="5"/>
      <c r="M43" s="5"/>
      <c r="N43" s="5"/>
      <c r="O43" s="5"/>
      <c r="P43" s="7"/>
      <c r="Q43" s="26">
        <f t="shared" si="1"/>
        <v>0</v>
      </c>
    </row>
    <row r="44" spans="1:17" ht="13.5" thickBot="1">
      <c r="A44" s="3">
        <v>904</v>
      </c>
      <c r="B44" s="6">
        <v>37408</v>
      </c>
      <c r="C44" s="5">
        <v>21</v>
      </c>
      <c r="D44" s="5">
        <v>46</v>
      </c>
      <c r="E44" s="5">
        <v>61</v>
      </c>
      <c r="F44" s="5">
        <v>58</v>
      </c>
      <c r="G44" s="5">
        <v>68</v>
      </c>
      <c r="H44" s="5">
        <v>65</v>
      </c>
      <c r="I44" s="5">
        <v>55</v>
      </c>
      <c r="J44" s="23">
        <f t="shared" si="0"/>
        <v>58.833333333333336</v>
      </c>
      <c r="K44" s="5">
        <v>60</v>
      </c>
      <c r="L44" s="5"/>
      <c r="M44" s="5"/>
      <c r="N44" s="5"/>
      <c r="O44" s="5"/>
      <c r="P44" s="7"/>
      <c r="Q44" s="26">
        <f t="shared" si="1"/>
        <v>60</v>
      </c>
    </row>
    <row r="45" spans="1:17" ht="13.5" thickBot="1">
      <c r="A45" s="3">
        <v>905</v>
      </c>
      <c r="B45" s="5" t="s">
        <v>16</v>
      </c>
      <c r="C45" s="5">
        <v>32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23">
        <f t="shared" si="0"/>
        <v>0</v>
      </c>
      <c r="K45" s="5">
        <v>0</v>
      </c>
      <c r="L45" s="5"/>
      <c r="M45" s="5"/>
      <c r="N45" s="5"/>
      <c r="O45" s="5"/>
      <c r="P45" s="7"/>
      <c r="Q45" s="26">
        <f t="shared" si="1"/>
        <v>0</v>
      </c>
    </row>
    <row r="46" spans="1:17" ht="13.5" thickBot="1">
      <c r="A46" s="3">
        <v>906</v>
      </c>
      <c r="B46" s="6">
        <v>37452</v>
      </c>
      <c r="C46" s="5">
        <v>22</v>
      </c>
      <c r="D46" s="5">
        <v>103</v>
      </c>
      <c r="E46" s="5">
        <v>106</v>
      </c>
      <c r="F46" s="5">
        <v>131</v>
      </c>
      <c r="G46" s="5">
        <v>99</v>
      </c>
      <c r="H46" s="5">
        <v>111</v>
      </c>
      <c r="I46" s="5">
        <v>137</v>
      </c>
      <c r="J46" s="23">
        <f t="shared" si="0"/>
        <v>114.5</v>
      </c>
      <c r="K46" s="5">
        <v>81</v>
      </c>
      <c r="L46" s="5"/>
      <c r="M46" s="5"/>
      <c r="N46" s="5"/>
      <c r="O46" s="5"/>
      <c r="P46" s="7"/>
      <c r="Q46" s="26">
        <f t="shared" si="1"/>
        <v>81</v>
      </c>
    </row>
    <row r="47" spans="1:17" ht="13.5" thickBot="1">
      <c r="A47" s="3">
        <v>907</v>
      </c>
      <c r="B47" s="5" t="s">
        <v>17</v>
      </c>
      <c r="C47" s="5">
        <v>31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23">
        <f t="shared" si="0"/>
        <v>0</v>
      </c>
      <c r="K47" s="5">
        <v>0</v>
      </c>
      <c r="L47" s="5"/>
      <c r="M47" s="5"/>
      <c r="N47" s="5"/>
      <c r="O47" s="5"/>
      <c r="P47" s="7"/>
      <c r="Q47" s="26">
        <f t="shared" si="1"/>
        <v>0</v>
      </c>
    </row>
    <row r="48" spans="1:17" ht="13.5" thickBot="1">
      <c r="A48" s="4">
        <v>908</v>
      </c>
      <c r="B48" s="15">
        <v>37408</v>
      </c>
      <c r="C48" s="12">
        <v>21</v>
      </c>
      <c r="D48" s="12">
        <v>60</v>
      </c>
      <c r="E48" s="12">
        <v>44</v>
      </c>
      <c r="F48" s="12">
        <v>48</v>
      </c>
      <c r="G48" s="12">
        <v>45</v>
      </c>
      <c r="H48" s="12">
        <v>48</v>
      </c>
      <c r="I48" s="5">
        <v>46</v>
      </c>
      <c r="J48" s="23">
        <f t="shared" si="0"/>
        <v>48.5</v>
      </c>
      <c r="K48" s="12">
        <v>50</v>
      </c>
      <c r="L48" s="12"/>
      <c r="M48" s="12"/>
      <c r="N48" s="12"/>
      <c r="O48" s="12"/>
      <c r="P48" s="13"/>
      <c r="Q48" s="27">
        <f t="shared" si="1"/>
        <v>50</v>
      </c>
    </row>
  </sheetData>
  <phoneticPr fontId="0" type="noConversion"/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9ABC-5BAF-4F3E-AB58-EEF3712B2203}">
  <dimension ref="D5:T52"/>
  <sheetViews>
    <sheetView workbookViewId="0">
      <selection activeCell="C35" sqref="C35"/>
    </sheetView>
  </sheetViews>
  <sheetFormatPr defaultRowHeight="12.75"/>
  <cols>
    <col min="1" max="16384" width="9.140625" style="37"/>
  </cols>
  <sheetData>
    <row r="5" spans="4:20">
      <c r="D5" s="39"/>
    </row>
    <row r="8" spans="4:20">
      <c r="D8" s="37">
        <v>118</v>
      </c>
      <c r="E8" s="37">
        <v>119</v>
      </c>
      <c r="F8" s="37">
        <v>120</v>
      </c>
      <c r="G8" s="37">
        <v>121</v>
      </c>
      <c r="H8" s="37">
        <v>122</v>
      </c>
      <c r="I8" s="37">
        <v>123</v>
      </c>
      <c r="J8" s="37">
        <v>125</v>
      </c>
      <c r="K8" s="37">
        <v>133</v>
      </c>
      <c r="L8" s="37">
        <v>134</v>
      </c>
      <c r="M8" s="37">
        <v>135</v>
      </c>
      <c r="N8" s="37">
        <v>137</v>
      </c>
      <c r="O8" s="37">
        <v>140</v>
      </c>
      <c r="P8" s="37">
        <v>141</v>
      </c>
      <c r="Q8" s="37">
        <v>149</v>
      </c>
    </row>
    <row r="10" spans="4:20">
      <c r="D10" s="38">
        <f>EmgDOY118!$S10</f>
        <v>4</v>
      </c>
      <c r="E10" s="38">
        <f>EmgDOY119!$S10</f>
        <v>5.25</v>
      </c>
      <c r="F10" s="38">
        <f>EmgDOY120!$S10</f>
        <v>5.25</v>
      </c>
      <c r="G10" s="38">
        <f>EmgDOY121!$S10</f>
        <v>5.5</v>
      </c>
      <c r="H10" s="38">
        <f>EmgDOY122!$S10</f>
        <v>5.25</v>
      </c>
      <c r="I10" s="38">
        <f>EmgDOY123!$S10</f>
        <v>5.75</v>
      </c>
      <c r="J10" s="38">
        <f>EmgDOY125!$S10</f>
        <v>5.25</v>
      </c>
      <c r="K10" s="38">
        <f>EmgDOY133!$S10</f>
        <v>6.75</v>
      </c>
      <c r="L10" s="38">
        <f>EmgDOY134!$S10</f>
        <v>7.5</v>
      </c>
      <c r="M10" s="38">
        <f>EmgDOY135!$S10</f>
        <v>9.75</v>
      </c>
      <c r="N10" s="38">
        <f>EmgDOY137!$S10</f>
        <v>10.75</v>
      </c>
      <c r="O10" s="38">
        <f>EmgDOY140!$S10</f>
        <v>12.5</v>
      </c>
      <c r="P10" s="38">
        <f>EmgDOY141!$S10</f>
        <v>9.8333333333333339</v>
      </c>
      <c r="Q10" s="38">
        <f>EmgDOY149!$S10</f>
        <v>10.5</v>
      </c>
      <c r="R10" s="38" t="e">
        <f>[1]DOYxxx!$S10</f>
        <v>#REF!</v>
      </c>
      <c r="S10" s="38" t="e">
        <f>[1]DOYxxx!$S10</f>
        <v>#REF!</v>
      </c>
      <c r="T10" s="38" t="e">
        <f>[1]DOYxxx!$S10</f>
        <v>#REF!</v>
      </c>
    </row>
    <row r="11" spans="4:20">
      <c r="D11" s="38">
        <f>EmgDOY118!$S11</f>
        <v>3.3333333333333335</v>
      </c>
      <c r="E11" s="38">
        <f>EmgDOY119!$S11</f>
        <v>2.75</v>
      </c>
      <c r="F11" s="38">
        <f>EmgDOY120!$S11</f>
        <v>3.5</v>
      </c>
      <c r="G11" s="38">
        <f>EmgDOY121!$S11</f>
        <v>5.666666666666667</v>
      </c>
      <c r="H11" s="38">
        <f>EmgDOY122!$S11</f>
        <v>4</v>
      </c>
      <c r="I11" s="38">
        <f>EmgDOY123!$S11</f>
        <v>4.25</v>
      </c>
      <c r="J11" s="38">
        <f>EmgDOY125!$S11</f>
        <v>3.75</v>
      </c>
      <c r="K11" s="38">
        <f>EmgDOY133!$S11</f>
        <v>6.5</v>
      </c>
      <c r="L11" s="38">
        <f>EmgDOY134!$S11</f>
        <v>8</v>
      </c>
      <c r="M11" s="38">
        <f>EmgDOY135!$S11</f>
        <v>10.833333333333334</v>
      </c>
      <c r="N11" s="38">
        <f>EmgDOY137!$S11</f>
        <v>11.5</v>
      </c>
      <c r="O11" s="38">
        <f>EmgDOY140!$S11</f>
        <v>12.5</v>
      </c>
      <c r="P11" s="38">
        <f>EmgDOY141!$S11</f>
        <v>11.833333333333334</v>
      </c>
      <c r="Q11" s="38">
        <f>EmgDOY149!$S11</f>
        <v>11.416666666666666</v>
      </c>
      <c r="R11" s="38" t="e">
        <f>[1]DOYxxx!$S11</f>
        <v>#REF!</v>
      </c>
      <c r="S11" s="38" t="e">
        <f>[1]DOYxxx!$S11</f>
        <v>#REF!</v>
      </c>
      <c r="T11" s="38" t="e">
        <f>[1]DOYxxx!$S11</f>
        <v>#REF!</v>
      </c>
    </row>
    <row r="12" spans="4:20">
      <c r="D12" s="38">
        <f>EmgDOY118!$S12</f>
        <v>2.5</v>
      </c>
      <c r="E12" s="38">
        <f>EmgDOY119!$S12</f>
        <v>3.5</v>
      </c>
      <c r="F12" s="38">
        <f>EmgDOY120!$S12</f>
        <v>4.125</v>
      </c>
      <c r="G12" s="38">
        <f>EmgDOY121!$S12</f>
        <v>4.375</v>
      </c>
      <c r="H12" s="38">
        <f>EmgDOY122!$S12</f>
        <v>4.5</v>
      </c>
      <c r="I12" s="38">
        <f>EmgDOY123!$S12</f>
        <v>4.625</v>
      </c>
      <c r="J12" s="38">
        <f>EmgDOY125!$S12</f>
        <v>4.875</v>
      </c>
      <c r="K12" s="38">
        <f>EmgDOY133!$S12</f>
        <v>5.25</v>
      </c>
      <c r="L12" s="38">
        <f>EmgDOY134!$S12</f>
        <v>7.125</v>
      </c>
      <c r="M12" s="38">
        <f>EmgDOY135!$S12</f>
        <v>4.125</v>
      </c>
      <c r="N12" s="38">
        <f>EmgDOY137!$S12</f>
        <v>9.25</v>
      </c>
      <c r="O12" s="38">
        <f>EmgDOY140!$S12</f>
        <v>9.75</v>
      </c>
      <c r="P12" s="38">
        <f>EmgDOY141!$S12</f>
        <v>9.9166666666666661</v>
      </c>
      <c r="Q12" s="38">
        <f>EmgDOY149!$S12</f>
        <v>10.208333333333334</v>
      </c>
      <c r="R12" s="38" t="e">
        <f>[1]DOYxxx!$S12</f>
        <v>#REF!</v>
      </c>
      <c r="S12" s="38" t="e">
        <f>[1]DOYxxx!$S12</f>
        <v>#REF!</v>
      </c>
      <c r="T12" s="38" t="e">
        <f>[1]DOYxxx!$S12</f>
        <v>#REF!</v>
      </c>
    </row>
    <row r="13" spans="4:20">
      <c r="D13" s="38">
        <f>EmgDOY118!$S13</f>
        <v>4.75</v>
      </c>
      <c r="E13" s="38">
        <f>EmgDOY119!$S13</f>
        <v>5.5</v>
      </c>
      <c r="F13" s="38">
        <f>EmgDOY120!$S13</f>
        <v>6.75</v>
      </c>
      <c r="G13" s="38">
        <f>EmgDOY121!$S13</f>
        <v>7.25</v>
      </c>
      <c r="H13" s="38">
        <f>EmgDOY122!$S13</f>
        <v>6.25</v>
      </c>
      <c r="I13" s="38">
        <f>EmgDOY123!$S13</f>
        <v>7.25</v>
      </c>
      <c r="J13" s="38">
        <f>EmgDOY125!$S13</f>
        <v>6</v>
      </c>
      <c r="K13" s="38">
        <f>EmgDOY133!$S13</f>
        <v>7.5</v>
      </c>
      <c r="L13" s="38">
        <f>EmgDOY134!$S13</f>
        <v>11.25</v>
      </c>
      <c r="M13" s="38">
        <f>EmgDOY135!$S13</f>
        <v>13.25</v>
      </c>
      <c r="N13" s="38">
        <f>EmgDOY137!$S13</f>
        <v>13.25</v>
      </c>
      <c r="O13" s="38">
        <f>EmgDOY140!$S13</f>
        <v>13.5</v>
      </c>
      <c r="P13" s="38">
        <f>EmgDOY141!$S13</f>
        <v>11.583333333333334</v>
      </c>
      <c r="Q13" s="38">
        <f>EmgDOY149!$S13</f>
        <v>11.25</v>
      </c>
      <c r="R13" s="38" t="e">
        <f>[1]DOYxxx!$S13</f>
        <v>#REF!</v>
      </c>
      <c r="S13" s="38" t="e">
        <f>[1]DOYxxx!$S13</f>
        <v>#REF!</v>
      </c>
      <c r="T13" s="38" t="e">
        <f>[1]DOYxxx!$S13</f>
        <v>#REF!</v>
      </c>
    </row>
    <row r="14" spans="4:20">
      <c r="D14" s="38">
        <f>EmgDOY118!$S14</f>
        <v>3.125</v>
      </c>
      <c r="E14" s="38">
        <f>EmgDOY119!$S14</f>
        <v>4.125</v>
      </c>
      <c r="F14" s="38">
        <f>EmgDOY120!$S14</f>
        <v>4.875</v>
      </c>
      <c r="G14" s="38">
        <f>EmgDOY121!$S14</f>
        <v>4.75</v>
      </c>
      <c r="H14" s="38">
        <f>EmgDOY122!$S14</f>
        <v>4.875</v>
      </c>
      <c r="I14" s="38">
        <f>EmgDOY123!$S14</f>
        <v>5</v>
      </c>
      <c r="J14" s="38">
        <f>EmgDOY125!$S14</f>
        <v>5</v>
      </c>
      <c r="K14" s="38">
        <f>EmgDOY133!$S14</f>
        <v>6.25</v>
      </c>
      <c r="L14" s="38">
        <f>EmgDOY134!$S14</f>
        <v>7.375</v>
      </c>
      <c r="M14" s="38">
        <f>EmgDOY135!$S14</f>
        <v>8</v>
      </c>
      <c r="N14" s="38">
        <f>EmgDOY137!$S14</f>
        <v>9.625</v>
      </c>
      <c r="O14" s="38">
        <f>EmgDOY140!$S14</f>
        <v>10.875</v>
      </c>
      <c r="P14" s="38">
        <f>EmgDOY141!$S14</f>
        <v>10.291666666666666</v>
      </c>
      <c r="Q14" s="38">
        <f>EmgDOY149!$S14</f>
        <v>10.291666666666666</v>
      </c>
      <c r="R14" s="38" t="e">
        <f>[1]DOYxxx!$S14</f>
        <v>#REF!</v>
      </c>
      <c r="S14" s="38" t="e">
        <f>[1]DOYxxx!$S14</f>
        <v>#REF!</v>
      </c>
      <c r="T14" s="38" t="e">
        <f>[1]DOYxxx!$S14</f>
        <v>#REF!</v>
      </c>
    </row>
    <row r="15" spans="4:20">
      <c r="D15" s="38">
        <f>EmgDOY118!$S15</f>
        <v>3.75</v>
      </c>
      <c r="E15" s="38">
        <f>EmgDOY119!$S15</f>
        <v>4</v>
      </c>
      <c r="F15" s="38">
        <f>EmgDOY120!$S15</f>
        <v>5.5</v>
      </c>
      <c r="G15" s="38">
        <f>EmgDOY121!$S15</f>
        <v>6</v>
      </c>
      <c r="H15" s="38">
        <f>EmgDOY122!$S15</f>
        <v>4.75</v>
      </c>
      <c r="I15" s="38">
        <f>EmgDOY123!$S15</f>
        <v>5.75</v>
      </c>
      <c r="J15" s="38">
        <f>EmgDOY125!$S15</f>
        <v>4.75</v>
      </c>
      <c r="K15" s="38">
        <f>EmgDOY133!$S15</f>
        <v>8</v>
      </c>
      <c r="L15" s="38">
        <f>EmgDOY134!$S15</f>
        <v>8.75</v>
      </c>
      <c r="M15" s="38">
        <f>EmgDOY135!$S15</f>
        <v>9.75</v>
      </c>
      <c r="N15" s="38">
        <f>EmgDOY137!$S15</f>
        <v>11</v>
      </c>
      <c r="O15" s="38">
        <f>EmgDOY140!$S15</f>
        <v>11.75</v>
      </c>
      <c r="P15" s="38">
        <f>EmgDOY141!$S15</f>
        <v>11.5</v>
      </c>
      <c r="Q15" s="38">
        <f>EmgDOY149!$S15</f>
        <v>11.916666666666666</v>
      </c>
      <c r="R15" s="38" t="e">
        <f>[1]DOYxxx!$S15</f>
        <v>#REF!</v>
      </c>
      <c r="S15" s="38" t="e">
        <f>[1]DOYxxx!$S15</f>
        <v>#REF!</v>
      </c>
      <c r="T15" s="38" t="e">
        <f>[1]DOYxxx!$S15</f>
        <v>#REF!</v>
      </c>
    </row>
    <row r="16" spans="4:20">
      <c r="D16" s="38">
        <f>EmgDOY118!$S16</f>
        <v>4</v>
      </c>
      <c r="E16" s="38">
        <f>EmgDOY119!$S16</f>
        <v>5.25</v>
      </c>
      <c r="F16" s="38">
        <f>EmgDOY120!$S16</f>
        <v>6.5</v>
      </c>
      <c r="G16" s="38">
        <f>EmgDOY121!$S16</f>
        <v>6.5</v>
      </c>
      <c r="H16" s="38">
        <f>EmgDOY122!$S16</f>
        <v>6</v>
      </c>
      <c r="I16" s="38">
        <f>EmgDOY123!$S16</f>
        <v>6</v>
      </c>
      <c r="J16" s="38">
        <f>EmgDOY125!$S16</f>
        <v>6</v>
      </c>
      <c r="K16" s="38">
        <f>EmgDOY133!$S16</f>
        <v>9.25</v>
      </c>
      <c r="L16" s="38">
        <f>EmgDOY134!$S16</f>
        <v>10.75</v>
      </c>
      <c r="M16" s="38">
        <f>EmgDOY135!$S16</f>
        <v>11</v>
      </c>
      <c r="N16" s="38">
        <f>EmgDOY137!$S16</f>
        <v>11.5</v>
      </c>
      <c r="O16" s="38">
        <f>EmgDOY140!$S16</f>
        <v>12</v>
      </c>
      <c r="P16" s="38">
        <f>EmgDOY141!$S16</f>
        <v>10.833333333333334</v>
      </c>
      <c r="Q16" s="38">
        <f>EmgDOY149!$S16</f>
        <v>10.583333333333334</v>
      </c>
      <c r="R16" s="38" t="e">
        <f>[1]DOYxxx!$S16</f>
        <v>#REF!</v>
      </c>
      <c r="S16" s="38" t="e">
        <f>[1]DOYxxx!$S16</f>
        <v>#REF!</v>
      </c>
      <c r="T16" s="38" t="e">
        <f>[1]DOYxxx!$S16</f>
        <v>#REF!</v>
      </c>
    </row>
    <row r="17" spans="4:20">
      <c r="D17" s="38">
        <f>EmgDOY118!$S17</f>
        <v>3.75</v>
      </c>
      <c r="E17" s="38">
        <f>EmgDOY119!$S17</f>
        <v>4.5</v>
      </c>
      <c r="F17" s="38">
        <f>EmgDOY120!$S17</f>
        <v>4.75</v>
      </c>
      <c r="G17" s="38">
        <f>EmgDOY121!$S17</f>
        <v>5</v>
      </c>
      <c r="H17" s="38">
        <f>EmgDOY122!$S17</f>
        <v>4.75</v>
      </c>
      <c r="I17" s="38">
        <f>EmgDOY123!$S17</f>
        <v>5</v>
      </c>
      <c r="J17" s="38">
        <f>EmgDOY125!$S17</f>
        <v>4.75</v>
      </c>
      <c r="K17" s="38">
        <f>EmgDOY133!$S17</f>
        <v>10</v>
      </c>
      <c r="L17" s="38">
        <f>EmgDOY134!$S17</f>
        <v>11.75</v>
      </c>
      <c r="M17" s="38">
        <f>EmgDOY135!$S17</f>
        <v>12.5</v>
      </c>
      <c r="N17" s="38">
        <f>EmgDOY137!$S17</f>
        <v>13</v>
      </c>
      <c r="O17" s="38">
        <f>EmgDOY140!$S17</f>
        <v>13.75</v>
      </c>
      <c r="P17" s="38">
        <f>EmgDOY141!$S17</f>
        <v>12.666666666666666</v>
      </c>
      <c r="Q17" s="38">
        <f>EmgDOY149!$S17</f>
        <v>12.75</v>
      </c>
      <c r="R17" s="38" t="e">
        <f>[1]DOYxxx!$S17</f>
        <v>#REF!</v>
      </c>
      <c r="S17" s="38" t="e">
        <f>[1]DOYxxx!$S17</f>
        <v>#REF!</v>
      </c>
      <c r="T17" s="38" t="e">
        <f>[1]DOYxxx!$S17</f>
        <v>#REF!</v>
      </c>
    </row>
    <row r="18" spans="4:20">
      <c r="D18" s="38">
        <f>EmgDOY118!$S18</f>
        <v>3.125</v>
      </c>
      <c r="E18" s="38">
        <f>EmgDOY119!$S18</f>
        <v>3.875</v>
      </c>
      <c r="F18" s="38">
        <f>EmgDOY120!$S18</f>
        <v>4.75</v>
      </c>
      <c r="G18" s="38">
        <f>EmgDOY121!$S18</f>
        <v>5</v>
      </c>
      <c r="H18" s="38">
        <f>EmgDOY122!$S18</f>
        <v>4.875</v>
      </c>
      <c r="I18" s="38">
        <f>EmgDOY123!$S18</f>
        <v>5.25</v>
      </c>
      <c r="J18" s="38">
        <f>EmgDOY125!$S18</f>
        <v>5.5</v>
      </c>
      <c r="K18" s="38">
        <f>EmgDOY133!$S18</f>
        <v>6.75</v>
      </c>
      <c r="L18" s="38">
        <f>EmgDOY134!$S18</f>
        <v>8.375</v>
      </c>
      <c r="M18" s="38">
        <f>EmgDOY135!$S18</f>
        <v>9.125</v>
      </c>
      <c r="N18" s="38">
        <f>EmgDOY137!$S18</f>
        <v>11.125</v>
      </c>
      <c r="O18" s="38">
        <f>EmgDOY140!$S18</f>
        <v>12.875</v>
      </c>
      <c r="P18" s="38">
        <f>EmgDOY141!$S18</f>
        <v>11.5</v>
      </c>
      <c r="Q18" s="38">
        <f>EmgDOY149!$S18</f>
        <v>11.166666666666666</v>
      </c>
      <c r="R18" s="38" t="e">
        <f>[1]DOYxxx!$S18</f>
        <v>#REF!</v>
      </c>
      <c r="S18" s="38" t="e">
        <f>[1]DOYxxx!$S18</f>
        <v>#REF!</v>
      </c>
      <c r="T18" s="38" t="e">
        <f>[1]DOYxxx!$S18</f>
        <v>#REF!</v>
      </c>
    </row>
    <row r="19" spans="4:20">
      <c r="D19" s="38">
        <f>EmgDOY118!$S19</f>
        <v>2</v>
      </c>
      <c r="E19" s="38">
        <f>EmgDOY119!$S19</f>
        <v>3.25</v>
      </c>
      <c r="F19" s="38">
        <f>EmgDOY120!$S19</f>
        <v>4.5</v>
      </c>
      <c r="G19" s="38">
        <f>EmgDOY121!$S19</f>
        <v>5.166666666666667</v>
      </c>
      <c r="H19" s="38">
        <f>EmgDOY122!$S19</f>
        <v>3.75</v>
      </c>
      <c r="I19" s="38">
        <f>EmgDOY123!$S19</f>
        <v>4.5</v>
      </c>
      <c r="J19" s="38">
        <f>EmgDOY125!$S19</f>
        <v>4</v>
      </c>
      <c r="K19" s="38">
        <f>EmgDOY133!$S19</f>
        <v>5.833333333333333</v>
      </c>
      <c r="L19" s="38">
        <f>EmgDOY134!$S19</f>
        <v>7.333333333333333</v>
      </c>
      <c r="M19" s="38">
        <f>EmgDOY135!$S19</f>
        <v>9</v>
      </c>
      <c r="N19" s="38">
        <f>EmgDOY137!$S19</f>
        <v>10.166666666666666</v>
      </c>
      <c r="O19" s="38">
        <f>EmgDOY140!$S19</f>
        <v>11</v>
      </c>
      <c r="P19" s="38">
        <f>EmgDOY141!$S19</f>
        <v>11.083333333333334</v>
      </c>
      <c r="Q19" s="38">
        <f>EmgDOY149!$S19</f>
        <v>10.666666666666666</v>
      </c>
      <c r="R19" s="38" t="e">
        <f>[1]DOYxxx!$S19</f>
        <v>#REF!</v>
      </c>
      <c r="S19" s="38" t="e">
        <f>[1]DOYxxx!$S19</f>
        <v>#REF!</v>
      </c>
      <c r="T19" s="38" t="e">
        <f>[1]DOYxxx!$S19</f>
        <v>#REF!</v>
      </c>
    </row>
    <row r="20" spans="4:20">
      <c r="D20" s="38">
        <f>EmgDOY118!$S20</f>
        <v>5.75</v>
      </c>
      <c r="E20" s="38">
        <f>EmgDOY119!$S20</f>
        <v>7.5</v>
      </c>
      <c r="F20" s="38">
        <f>EmgDOY120!$S20</f>
        <v>8.25</v>
      </c>
      <c r="G20" s="38">
        <f>EmgDOY121!$S20</f>
        <v>8.5</v>
      </c>
      <c r="H20" s="38">
        <f>EmgDOY122!$S20</f>
        <v>8.25</v>
      </c>
      <c r="I20" s="38">
        <f>EmgDOY123!$S20</f>
        <v>8.75</v>
      </c>
      <c r="J20" s="38">
        <f>EmgDOY125!$S20</f>
        <v>8</v>
      </c>
      <c r="K20" s="38">
        <f>EmgDOY133!$S20</f>
        <v>9</v>
      </c>
      <c r="L20" s="38">
        <f>EmgDOY134!$S20</f>
        <v>11.5</v>
      </c>
      <c r="M20" s="38">
        <f>EmgDOY135!$S20</f>
        <v>12</v>
      </c>
      <c r="N20" s="38">
        <f>EmgDOY137!$S20</f>
        <v>12</v>
      </c>
      <c r="O20" s="38">
        <f>EmgDOY140!$S20</f>
        <v>12</v>
      </c>
      <c r="P20" s="38">
        <f>EmgDOY141!$S20</f>
        <v>11.916666666666666</v>
      </c>
      <c r="Q20" s="38">
        <f>EmgDOY149!$S20</f>
        <v>12.333333333333334</v>
      </c>
      <c r="R20" s="38" t="e">
        <f>[1]DOYxxx!$S20</f>
        <v>#REF!</v>
      </c>
      <c r="S20" s="38" t="e">
        <f>[1]DOYxxx!$S20</f>
        <v>#REF!</v>
      </c>
      <c r="T20" s="38" t="e">
        <f>[1]DOYxxx!$S20</f>
        <v>#REF!</v>
      </c>
    </row>
    <row r="21" spans="4:20">
      <c r="D21" s="38">
        <f>EmgDOY118!$S21</f>
        <v>4.625</v>
      </c>
      <c r="E21" s="38">
        <f>EmgDOY119!$S21</f>
        <v>5.875</v>
      </c>
      <c r="F21" s="38">
        <f>EmgDOY120!$S21</f>
        <v>7</v>
      </c>
      <c r="G21" s="38">
        <f>EmgDOY121!$S21</f>
        <v>6.75</v>
      </c>
      <c r="H21" s="38">
        <f>EmgDOY122!$S21</f>
        <v>6.5</v>
      </c>
      <c r="I21" s="38">
        <f>EmgDOY123!$S21</f>
        <v>6.875</v>
      </c>
      <c r="J21" s="38">
        <f>EmgDOY125!$S21</f>
        <v>6.875</v>
      </c>
      <c r="K21" s="38">
        <f>EmgDOY133!$S21</f>
        <v>7.625</v>
      </c>
      <c r="L21" s="38">
        <f>EmgDOY134!$S21</f>
        <v>9.625</v>
      </c>
      <c r="M21" s="38">
        <f>EmgDOY135!$S21</f>
        <v>10.875</v>
      </c>
      <c r="N21" s="38">
        <f>EmgDOY137!$S21</f>
        <v>11.75</v>
      </c>
      <c r="O21" s="38">
        <f>EmgDOY140!$S21</f>
        <v>12.125</v>
      </c>
      <c r="P21" s="38">
        <f>EmgDOY141!$S21</f>
        <v>10.666666666666666</v>
      </c>
      <c r="Q21" s="38">
        <f>EmgDOY149!$S21</f>
        <v>10.458333333333334</v>
      </c>
      <c r="R21" s="38" t="e">
        <f>[1]DOYxxx!$S21</f>
        <v>#REF!</v>
      </c>
      <c r="S21" s="38" t="e">
        <f>[1]DOYxxx!$S21</f>
        <v>#REF!</v>
      </c>
      <c r="T21" s="38" t="e">
        <f>[1]DOYxxx!$S21</f>
        <v>#REF!</v>
      </c>
    </row>
    <row r="22" spans="4:20">
      <c r="D22" s="38">
        <f>EmgDOY118!$S22</f>
        <v>5</v>
      </c>
      <c r="E22" s="38">
        <f>EmgDOY119!$S22</f>
        <v>6</v>
      </c>
      <c r="F22" s="38">
        <f>EmgDOY120!$S22</f>
        <v>7</v>
      </c>
      <c r="G22" s="38">
        <f>EmgDOY121!$S22</f>
        <v>7.25</v>
      </c>
      <c r="H22" s="38">
        <f>EmgDOY122!$S22</f>
        <v>6.5</v>
      </c>
      <c r="I22" s="38">
        <f>EmgDOY123!$S22</f>
        <v>7.25</v>
      </c>
      <c r="J22" s="38">
        <f>EmgDOY125!$S22</f>
        <v>7</v>
      </c>
      <c r="K22" s="38">
        <f>EmgDOY133!$S22</f>
        <v>9.25</v>
      </c>
      <c r="L22" s="38">
        <f>EmgDOY134!$S22</f>
        <v>10.75</v>
      </c>
      <c r="M22" s="38">
        <f>EmgDOY135!$S22</f>
        <v>10.75</v>
      </c>
      <c r="N22" s="38">
        <f>EmgDOY137!$S22</f>
        <v>11.75</v>
      </c>
      <c r="O22" s="38">
        <f>EmgDOY140!$S22</f>
        <v>12</v>
      </c>
      <c r="P22" s="38">
        <f>EmgDOY141!$S22</f>
        <v>11.833333333333334</v>
      </c>
      <c r="Q22" s="38">
        <f>EmgDOY149!$S22</f>
        <v>11</v>
      </c>
      <c r="R22" s="38" t="e">
        <f>[1]DOYxxx!$S22</f>
        <v>#REF!</v>
      </c>
      <c r="S22" s="38" t="e">
        <f>[1]DOYxxx!$S22</f>
        <v>#REF!</v>
      </c>
      <c r="T22" s="38" t="e">
        <f>[1]DOYxxx!$S22</f>
        <v>#REF!</v>
      </c>
    </row>
    <row r="23" spans="4:20">
      <c r="D23" s="38">
        <f>EmgDOY118!$S23</f>
        <v>4.5</v>
      </c>
      <c r="E23" s="38">
        <f>EmgDOY119!$S23</f>
        <v>5.5</v>
      </c>
      <c r="F23" s="38">
        <f>EmgDOY120!$S23</f>
        <v>6</v>
      </c>
      <c r="G23" s="38">
        <f>EmgDOY121!$S23</f>
        <v>5.75</v>
      </c>
      <c r="H23" s="38">
        <f>EmgDOY122!$S23</f>
        <v>5.5</v>
      </c>
      <c r="I23" s="38">
        <f>EmgDOY123!$S23</f>
        <v>6.25</v>
      </c>
      <c r="J23" s="38">
        <f>EmgDOY125!$S23</f>
        <v>6</v>
      </c>
      <c r="K23" s="38">
        <f>EmgDOY133!$S23</f>
        <v>9</v>
      </c>
      <c r="L23" s="38">
        <f>EmgDOY134!$S23</f>
        <v>10</v>
      </c>
      <c r="M23" s="38">
        <f>EmgDOY135!$S23</f>
        <v>10.5</v>
      </c>
      <c r="N23" s="38">
        <f>EmgDOY137!$S23</f>
        <v>11</v>
      </c>
      <c r="O23" s="38">
        <f>EmgDOY140!$S23</f>
        <v>11.5</v>
      </c>
      <c r="P23" s="38">
        <f>EmgDOY141!$S23</f>
        <v>11.25</v>
      </c>
      <c r="Q23" s="38">
        <f>EmgDOY149!$S23</f>
        <v>10.666666666666666</v>
      </c>
      <c r="R23" s="38" t="e">
        <f>[1]DOYxxx!$S23</f>
        <v>#REF!</v>
      </c>
      <c r="S23" s="38" t="e">
        <f>[1]DOYxxx!$S23</f>
        <v>#REF!</v>
      </c>
      <c r="T23" s="38" t="e">
        <f>[1]DOYxxx!$S23</f>
        <v>#REF!</v>
      </c>
    </row>
    <row r="24" spans="4:20">
      <c r="D24" s="38">
        <f>EmgDOY118!$S24</f>
        <v>1</v>
      </c>
      <c r="E24" s="38">
        <f>EmgDOY119!$S24</f>
        <v>1.25</v>
      </c>
      <c r="F24" s="38">
        <f>EmgDOY120!$S24</f>
        <v>1.25</v>
      </c>
      <c r="G24" s="38">
        <f>EmgDOY121!$S24</f>
        <v>1.5</v>
      </c>
      <c r="H24" s="38">
        <f>EmgDOY122!$S24</f>
        <v>1</v>
      </c>
      <c r="I24" s="38">
        <f>EmgDOY123!$S24</f>
        <v>1.25</v>
      </c>
      <c r="J24" s="38">
        <f>EmgDOY125!$S24</f>
        <v>2.25</v>
      </c>
      <c r="K24" s="38">
        <f>EmgDOY133!$S24</f>
        <v>7.75</v>
      </c>
      <c r="L24" s="38">
        <f>EmgDOY134!$S24</f>
        <v>8.75</v>
      </c>
      <c r="M24" s="38">
        <f>EmgDOY135!$S24</f>
        <v>10.5</v>
      </c>
      <c r="N24" s="38">
        <f>EmgDOY137!$S24</f>
        <v>12</v>
      </c>
      <c r="O24" s="38">
        <f>EmgDOY140!$S24</f>
        <v>12.75</v>
      </c>
      <c r="P24" s="38">
        <f>EmgDOY141!$S24</f>
        <v>11.833333333333334</v>
      </c>
      <c r="Q24" s="38">
        <f>EmgDOY149!$S24</f>
        <v>11.583333333333334</v>
      </c>
      <c r="R24" s="38" t="e">
        <f>[1]DOYxxx!$S24</f>
        <v>#REF!</v>
      </c>
      <c r="S24" s="38" t="e">
        <f>[1]DOYxxx!$S24</f>
        <v>#REF!</v>
      </c>
      <c r="T24" s="38" t="e">
        <f>[1]DOYxxx!$S24</f>
        <v>#REF!</v>
      </c>
    </row>
    <row r="25" spans="4:20">
      <c r="D25" s="38">
        <f>EmgDOY118!$S25</f>
        <v>3.75</v>
      </c>
      <c r="E25" s="38">
        <f>EmgDOY119!$S25</f>
        <v>4.75</v>
      </c>
      <c r="F25" s="38">
        <f>EmgDOY120!$S25</f>
        <v>5.75</v>
      </c>
      <c r="G25" s="38">
        <f>EmgDOY121!$S25</f>
        <v>5.75</v>
      </c>
      <c r="H25" s="38">
        <f>EmgDOY122!$S25</f>
        <v>5.75</v>
      </c>
      <c r="I25" s="38">
        <f>EmgDOY123!$S25</f>
        <v>6</v>
      </c>
      <c r="J25" s="38">
        <f>EmgDOY125!$S25</f>
        <v>5.75</v>
      </c>
      <c r="K25" s="38">
        <f>EmgDOY133!$S25</f>
        <v>10.5</v>
      </c>
      <c r="L25" s="38">
        <f>EmgDOY134!$S25</f>
        <v>11.5</v>
      </c>
      <c r="M25" s="38">
        <f>EmgDOY135!$S25</f>
        <v>11.25</v>
      </c>
      <c r="N25" s="38">
        <f>EmgDOY137!$S25</f>
        <v>12</v>
      </c>
      <c r="O25" s="38">
        <f>EmgDOY140!$S25</f>
        <v>12.75</v>
      </c>
      <c r="P25" s="38">
        <f>EmgDOY141!$S25</f>
        <v>11</v>
      </c>
      <c r="Q25" s="38">
        <f>EmgDOY149!$S25</f>
        <v>10.833333333333334</v>
      </c>
      <c r="R25" s="38" t="e">
        <f>[1]DOYxxx!$S25</f>
        <v>#REF!</v>
      </c>
      <c r="S25" s="38" t="e">
        <f>[1]DOYxxx!$S25</f>
        <v>#REF!</v>
      </c>
      <c r="T25" s="38" t="e">
        <f>[1]DOYxxx!$S25</f>
        <v>#REF!</v>
      </c>
    </row>
    <row r="26" spans="4:20">
      <c r="D26" s="38">
        <f>EmgDOY118!$S26</f>
        <v>4</v>
      </c>
      <c r="E26" s="38">
        <f>EmgDOY119!$S26</f>
        <v>7</v>
      </c>
      <c r="F26" s="38">
        <f>EmgDOY120!$S26</f>
        <v>7</v>
      </c>
      <c r="G26" s="38">
        <f>EmgDOY121!$S26</f>
        <v>7.75</v>
      </c>
      <c r="H26" s="38">
        <f>EmgDOY122!$S26</f>
        <v>7.5</v>
      </c>
      <c r="I26" s="38">
        <f>EmgDOY123!$S26</f>
        <v>7.75</v>
      </c>
      <c r="J26" s="38">
        <f>EmgDOY125!$S26</f>
        <v>8.25</v>
      </c>
      <c r="K26" s="38">
        <f>EmgDOY133!$S26</f>
        <v>8.75</v>
      </c>
      <c r="L26" s="38">
        <f>EmgDOY134!$S26</f>
        <v>10.25</v>
      </c>
      <c r="M26" s="38">
        <f>EmgDOY135!$S26</f>
        <v>11</v>
      </c>
      <c r="N26" s="38">
        <f>EmgDOY137!$S26</f>
        <v>12</v>
      </c>
      <c r="O26" s="38">
        <f>EmgDOY140!$S26</f>
        <v>12.5</v>
      </c>
      <c r="P26" s="38">
        <f>EmgDOY141!$S26</f>
        <v>11.583333333333334</v>
      </c>
      <c r="Q26" s="38">
        <f>EmgDOY149!$S26</f>
        <v>11.583333333333334</v>
      </c>
      <c r="R26" s="38" t="e">
        <f>[1]DOYxxx!$S26</f>
        <v>#REF!</v>
      </c>
      <c r="S26" s="38" t="e">
        <f>[1]DOYxxx!$S26</f>
        <v>#REF!</v>
      </c>
      <c r="T26" s="38" t="e">
        <f>[1]DOYxxx!$S26</f>
        <v>#REF!</v>
      </c>
    </row>
    <row r="27" spans="4:20">
      <c r="D27" s="38">
        <f>EmgDOY118!$S27</f>
        <v>2.75</v>
      </c>
      <c r="E27" s="38">
        <f>EmgDOY119!$S27</f>
        <v>4.25</v>
      </c>
      <c r="F27" s="38">
        <f>EmgDOY120!$S27</f>
        <v>4.25</v>
      </c>
      <c r="G27" s="38">
        <f>EmgDOY121!$S27</f>
        <v>5.833333333333333</v>
      </c>
      <c r="H27" s="38">
        <f>EmgDOY122!$S27</f>
        <v>5</v>
      </c>
      <c r="I27" s="38">
        <f>EmgDOY123!$S27</f>
        <v>5.75</v>
      </c>
      <c r="J27" s="38">
        <f>EmgDOY125!$S27</f>
        <v>5.75</v>
      </c>
      <c r="K27" s="38">
        <f>EmgDOY133!$S27</f>
        <v>7.166666666666667</v>
      </c>
      <c r="L27" s="38">
        <f>EmgDOY134!$S27</f>
        <v>8.1666666666666661</v>
      </c>
      <c r="M27" s="38">
        <f>EmgDOY135!$S27</f>
        <v>10.75</v>
      </c>
      <c r="N27" s="38">
        <f>EmgDOY137!$S27</f>
        <v>12.333333333333334</v>
      </c>
      <c r="O27" s="38">
        <f>EmgDOY140!$S27</f>
        <v>13.5</v>
      </c>
      <c r="P27" s="38">
        <f>EmgDOY141!$S27</f>
        <v>11</v>
      </c>
      <c r="Q27" s="38">
        <f>EmgDOY149!$S27</f>
        <v>11.5</v>
      </c>
      <c r="R27" s="38" t="e">
        <f>[1]DOYxxx!$S27</f>
        <v>#REF!</v>
      </c>
      <c r="S27" s="38" t="e">
        <f>[1]DOYxxx!$S27</f>
        <v>#REF!</v>
      </c>
      <c r="T27" s="38" t="e">
        <f>[1]DOYxxx!$S27</f>
        <v>#REF!</v>
      </c>
    </row>
    <row r="28" spans="4:20">
      <c r="D28" s="38">
        <f>EmgDOY118!$S28</f>
        <v>1.5</v>
      </c>
      <c r="E28" s="38">
        <f>EmgDOY119!$S28</f>
        <v>2.25</v>
      </c>
      <c r="F28" s="38">
        <f>EmgDOY120!$S28</f>
        <v>3</v>
      </c>
      <c r="G28" s="38">
        <f>EmgDOY121!$S28</f>
        <v>3.25</v>
      </c>
      <c r="H28" s="38">
        <f>EmgDOY122!$S28</f>
        <v>2.5</v>
      </c>
      <c r="I28" s="38">
        <f>EmgDOY123!$S28</f>
        <v>3.25</v>
      </c>
      <c r="J28" s="38">
        <f>EmgDOY125!$S28</f>
        <v>3.5</v>
      </c>
      <c r="K28" s="38">
        <f>EmgDOY133!$S28</f>
        <v>4.75</v>
      </c>
      <c r="L28" s="38">
        <f>EmgDOY134!$S28</f>
        <v>4.75</v>
      </c>
      <c r="M28" s="38">
        <f>EmgDOY135!$S28</f>
        <v>6.5</v>
      </c>
      <c r="N28" s="38">
        <f>EmgDOY137!$S28</f>
        <v>7.75</v>
      </c>
      <c r="O28" s="38">
        <f>EmgDOY140!$S28</f>
        <v>9</v>
      </c>
      <c r="P28" s="38">
        <f>EmgDOY141!$S28</f>
        <v>8.25</v>
      </c>
      <c r="Q28" s="38">
        <f>EmgDOY149!$S28</f>
        <v>9.6666666666666661</v>
      </c>
      <c r="R28" s="38" t="e">
        <f>[1]DOYxxx!$S28</f>
        <v>#REF!</v>
      </c>
      <c r="S28" s="38" t="e">
        <f>[1]DOYxxx!$S28</f>
        <v>#REF!</v>
      </c>
      <c r="T28" s="38" t="e">
        <f>[1]DOYxxx!$S28</f>
        <v>#REF!</v>
      </c>
    </row>
    <row r="29" spans="4:20">
      <c r="D29" s="38">
        <f>EmgDOY118!$S29</f>
        <v>2.25</v>
      </c>
      <c r="E29" s="38">
        <f>EmgDOY119!$S29</f>
        <v>4.25</v>
      </c>
      <c r="F29" s="38">
        <f>EmgDOY120!$S29</f>
        <v>5.75</v>
      </c>
      <c r="G29" s="38">
        <f>EmgDOY121!$S29</f>
        <v>6.5</v>
      </c>
      <c r="H29" s="38">
        <f>EmgDOY122!$S29</f>
        <v>6</v>
      </c>
      <c r="I29" s="38">
        <f>EmgDOY123!$S29</f>
        <v>6.75</v>
      </c>
      <c r="J29" s="38">
        <f>EmgDOY125!$S29</f>
        <v>6.5</v>
      </c>
      <c r="K29" s="38">
        <f>EmgDOY133!$S29</f>
        <v>6.5</v>
      </c>
      <c r="L29" s="38">
        <f>EmgDOY134!$S29</f>
        <v>8.25</v>
      </c>
      <c r="M29" s="38">
        <f>EmgDOY135!$S29</f>
        <v>9.25</v>
      </c>
      <c r="N29" s="38">
        <f>EmgDOY137!$S29</f>
        <v>10.25</v>
      </c>
      <c r="O29" s="38">
        <f>EmgDOY140!$S29</f>
        <v>10</v>
      </c>
      <c r="P29" s="38">
        <f>EmgDOY141!$S29</f>
        <v>10.416666666666666</v>
      </c>
      <c r="Q29" s="38">
        <f>EmgDOY149!$S29</f>
        <v>10.333333333333334</v>
      </c>
      <c r="R29" s="38" t="e">
        <f>[1]DOYxxx!$S29</f>
        <v>#REF!</v>
      </c>
      <c r="S29" s="38" t="e">
        <f>[1]DOYxxx!$S29</f>
        <v>#REF!</v>
      </c>
      <c r="T29" s="38" t="e">
        <f>[1]DOYxxx!$S29</f>
        <v>#REF!</v>
      </c>
    </row>
    <row r="30" spans="4:20">
      <c r="D30" s="38">
        <f>EmgDOY118!$S30</f>
        <v>5.125</v>
      </c>
      <c r="E30" s="38">
        <f>EmgDOY119!$S30</f>
        <v>6.375</v>
      </c>
      <c r="F30" s="38">
        <f>EmgDOY120!$S30</f>
        <v>6.75</v>
      </c>
      <c r="G30" s="38">
        <f>EmgDOY121!$S30</f>
        <v>7.375</v>
      </c>
      <c r="H30" s="38">
        <f>EmgDOY122!$S30</f>
        <v>7</v>
      </c>
      <c r="I30" s="38">
        <f>EmgDOY123!$S30</f>
        <v>7.625</v>
      </c>
      <c r="J30" s="38">
        <f>EmgDOY125!$S30</f>
        <v>7.625</v>
      </c>
      <c r="K30" s="38">
        <f>EmgDOY133!$S30</f>
        <v>9.5</v>
      </c>
      <c r="L30" s="38">
        <f>EmgDOY134!$S30</f>
        <v>10.625</v>
      </c>
      <c r="M30" s="38">
        <f>EmgDOY135!$S30</f>
        <v>11.25</v>
      </c>
      <c r="N30" s="38">
        <f>EmgDOY137!$S30</f>
        <v>11.875</v>
      </c>
      <c r="O30" s="38">
        <f>EmgDOY140!$S30</f>
        <v>11.625</v>
      </c>
      <c r="P30" s="38">
        <f>EmgDOY141!$S30</f>
        <v>10.166666666666666</v>
      </c>
      <c r="Q30" s="38">
        <f>EmgDOY149!$S30</f>
        <v>10.125</v>
      </c>
      <c r="R30" s="38" t="e">
        <f>[1]DOYxxx!$S30</f>
        <v>#REF!</v>
      </c>
      <c r="S30" s="38" t="e">
        <f>[1]DOYxxx!$S30</f>
        <v>#REF!</v>
      </c>
      <c r="T30" s="38" t="e">
        <f>[1]DOYxxx!$S30</f>
        <v>#REF!</v>
      </c>
    </row>
    <row r="31" spans="4:20">
      <c r="D31" s="38">
        <f>EmgDOY118!$S31</f>
        <v>7</v>
      </c>
      <c r="E31" s="38">
        <f>EmgDOY119!$S31</f>
        <v>8.75</v>
      </c>
      <c r="F31" s="38">
        <f>EmgDOY120!$S31</f>
        <v>8.5</v>
      </c>
      <c r="G31" s="38">
        <f>EmgDOY121!$S31</f>
        <v>9</v>
      </c>
      <c r="H31" s="38">
        <f>EmgDOY122!$S31</f>
        <v>9</v>
      </c>
      <c r="I31" s="38">
        <f>EmgDOY123!$S31</f>
        <v>9</v>
      </c>
      <c r="J31" s="38">
        <f>EmgDOY125!$S31</f>
        <v>9</v>
      </c>
      <c r="K31" s="38">
        <f>EmgDOY133!$S31</f>
        <v>11</v>
      </c>
      <c r="L31" s="38">
        <f>EmgDOY134!$S31</f>
        <v>12.25</v>
      </c>
      <c r="M31" s="38">
        <f>EmgDOY135!$S31</f>
        <v>12</v>
      </c>
      <c r="N31" s="38">
        <f>EmgDOY137!$S31</f>
        <v>13</v>
      </c>
      <c r="O31" s="38">
        <f>EmgDOY140!$S31</f>
        <v>13.75</v>
      </c>
      <c r="P31" s="38">
        <f>EmgDOY141!$S31</f>
        <v>11.5</v>
      </c>
      <c r="Q31" s="38">
        <f>EmgDOY149!$S31</f>
        <v>11.5</v>
      </c>
      <c r="R31" s="38" t="e">
        <f>[1]DOYxxx!$S31</f>
        <v>#REF!</v>
      </c>
      <c r="S31" s="38" t="e">
        <f>[1]DOYxxx!$S31</f>
        <v>#REF!</v>
      </c>
      <c r="T31" s="38" t="e">
        <f>[1]DOYxxx!$S31</f>
        <v>#REF!</v>
      </c>
    </row>
    <row r="32" spans="4:20">
      <c r="D32" s="38">
        <f>EmgDOY118!$S32</f>
        <v>3</v>
      </c>
      <c r="E32" s="38">
        <f>EmgDOY119!$S32</f>
        <v>3.5</v>
      </c>
      <c r="F32" s="38">
        <f>EmgDOY120!$S32</f>
        <v>5.25</v>
      </c>
      <c r="G32" s="38">
        <f>EmgDOY121!$S32</f>
        <v>6</v>
      </c>
      <c r="H32" s="38">
        <f>EmgDOY122!$S32</f>
        <v>5.25</v>
      </c>
      <c r="I32" s="38">
        <f>EmgDOY123!$S32</f>
        <v>6.25</v>
      </c>
      <c r="J32" s="38">
        <f>EmgDOY125!$S32</f>
        <v>5.75</v>
      </c>
      <c r="K32" s="38">
        <f>EmgDOY133!$S32</f>
        <v>9.75</v>
      </c>
      <c r="L32" s="38">
        <f>EmgDOY134!$S32</f>
        <v>12</v>
      </c>
      <c r="M32" s="38">
        <f>EmgDOY135!$S32</f>
        <v>12.5</v>
      </c>
      <c r="N32" s="38">
        <f>EmgDOY137!$S32</f>
        <v>13.5</v>
      </c>
      <c r="O32" s="38">
        <f>EmgDOY140!$S32</f>
        <v>13.5</v>
      </c>
      <c r="P32" s="38">
        <f>EmgDOY141!$S32</f>
        <v>12.333333333333334</v>
      </c>
      <c r="Q32" s="38">
        <f>EmgDOY149!$S32</f>
        <v>12.166666666666666</v>
      </c>
      <c r="R32" s="38" t="e">
        <f>[1]DOYxxx!$S32</f>
        <v>#REF!</v>
      </c>
      <c r="S32" s="38" t="e">
        <f>[1]DOYxxx!$S32</f>
        <v>#REF!</v>
      </c>
      <c r="T32" s="38" t="e">
        <f>[1]DOYxxx!$S32</f>
        <v>#REF!</v>
      </c>
    </row>
    <row r="33" spans="4:20">
      <c r="D33" s="38">
        <f>EmgDOY118!$S33</f>
        <v>2.875</v>
      </c>
      <c r="E33" s="38">
        <f>EmgDOY119!$S33</f>
        <v>3.625</v>
      </c>
      <c r="F33" s="38">
        <f>EmgDOY120!$S33</f>
        <v>5</v>
      </c>
      <c r="G33" s="38">
        <f>EmgDOY121!$S33</f>
        <v>5.125</v>
      </c>
      <c r="H33" s="38">
        <f>EmgDOY122!$S33</f>
        <v>4.75</v>
      </c>
      <c r="I33" s="38">
        <f>EmgDOY123!$S33</f>
        <v>5.125</v>
      </c>
      <c r="J33" s="38">
        <f>EmgDOY125!$S33</f>
        <v>5.375</v>
      </c>
      <c r="K33" s="38">
        <f>EmgDOY133!$S33</f>
        <v>7.25</v>
      </c>
      <c r="L33" s="38">
        <f>EmgDOY134!$S33</f>
        <v>9.75</v>
      </c>
      <c r="M33" s="38">
        <f>EmgDOY135!$S33</f>
        <v>10.125</v>
      </c>
      <c r="N33" s="38">
        <f>EmgDOY137!$S33</f>
        <v>10.875</v>
      </c>
      <c r="O33" s="38">
        <f>EmgDOY140!$S33</f>
        <v>11.625</v>
      </c>
      <c r="P33" s="38">
        <f>EmgDOY141!$S33</f>
        <v>11.208333333333334</v>
      </c>
      <c r="Q33" s="38">
        <f>EmgDOY149!$S33</f>
        <v>11</v>
      </c>
      <c r="R33" s="38" t="e">
        <f>[1]DOYxxx!$S33</f>
        <v>#REF!</v>
      </c>
      <c r="S33" s="38" t="e">
        <f>[1]DOYxxx!$S33</f>
        <v>#REF!</v>
      </c>
      <c r="T33" s="38" t="e">
        <f>[1]DOYxxx!$S33</f>
        <v>#REF!</v>
      </c>
    </row>
    <row r="34" spans="4:20">
      <c r="D34" s="38">
        <f>EmgDOY118!$S34</f>
        <v>1.75</v>
      </c>
      <c r="E34" s="38">
        <f>EmgDOY119!$S34</f>
        <v>2.75</v>
      </c>
      <c r="F34" s="38">
        <f>EmgDOY120!$S34</f>
        <v>3.75</v>
      </c>
      <c r="G34" s="38">
        <f>EmgDOY121!$S34</f>
        <v>3.75</v>
      </c>
      <c r="H34" s="38">
        <f>EmgDOY122!$S34</f>
        <v>3.25</v>
      </c>
      <c r="I34" s="38">
        <f>EmgDOY123!$S34</f>
        <v>3.75</v>
      </c>
      <c r="J34" s="38">
        <f>EmgDOY125!$S34</f>
        <v>3.5</v>
      </c>
      <c r="K34" s="38">
        <f>EmgDOY133!$S34</f>
        <v>4.25</v>
      </c>
      <c r="L34" s="38">
        <f>EmgDOY134!$S34</f>
        <v>5</v>
      </c>
      <c r="M34" s="38">
        <f>EmgDOY135!$S34</f>
        <v>7.5</v>
      </c>
      <c r="N34" s="38">
        <f>EmgDOY137!$S34</f>
        <v>8.75</v>
      </c>
      <c r="O34" s="38">
        <f>EmgDOY140!$S34</f>
        <v>11.5</v>
      </c>
      <c r="P34" s="38">
        <f>EmgDOY141!$S34</f>
        <v>10</v>
      </c>
      <c r="Q34" s="38">
        <f>EmgDOY149!$S34</f>
        <v>10.666666666666666</v>
      </c>
      <c r="R34" s="38" t="e">
        <f>[1]DOYxxx!$S34</f>
        <v>#REF!</v>
      </c>
      <c r="S34" s="38" t="e">
        <f>[1]DOYxxx!$S34</f>
        <v>#REF!</v>
      </c>
      <c r="T34" s="38" t="e">
        <f>[1]DOYxxx!$S34</f>
        <v>#REF!</v>
      </c>
    </row>
    <row r="35" spans="4:20">
      <c r="D35" s="38">
        <f>EmgDOY118!$S35</f>
        <v>3.25</v>
      </c>
      <c r="E35" s="38">
        <f>EmgDOY119!$S35</f>
        <v>4.25</v>
      </c>
      <c r="F35" s="38">
        <f>EmgDOY120!$S35</f>
        <v>4.25</v>
      </c>
      <c r="G35" s="38">
        <f>EmgDOY121!$S35</f>
        <v>6</v>
      </c>
      <c r="H35" s="38">
        <f>EmgDOY122!$S35</f>
        <v>5</v>
      </c>
      <c r="I35" s="38">
        <f>EmgDOY123!$S35</f>
        <v>6</v>
      </c>
      <c r="J35" s="38">
        <f>EmgDOY125!$S35</f>
        <v>5</v>
      </c>
      <c r="K35" s="38">
        <f>EmgDOY133!$S35</f>
        <v>6.5</v>
      </c>
      <c r="L35" s="38">
        <f>EmgDOY134!$S35</f>
        <v>8.5</v>
      </c>
      <c r="M35" s="38">
        <f>EmgDOY135!$S35</f>
        <v>10.833333333333334</v>
      </c>
      <c r="N35" s="38">
        <f>EmgDOY137!$S35</f>
        <v>11.833333333333334</v>
      </c>
      <c r="O35" s="38">
        <f>EmgDOY140!$S35</f>
        <v>12.5</v>
      </c>
      <c r="P35" s="38">
        <f>EmgDOY141!$S35</f>
        <v>13.583333333333334</v>
      </c>
      <c r="Q35" s="38">
        <f>EmgDOY149!$S35</f>
        <v>10.416666666666666</v>
      </c>
      <c r="R35" s="38" t="e">
        <f>[1]DOYxxx!$S35</f>
        <v>#REF!</v>
      </c>
      <c r="S35" s="38" t="e">
        <f>[1]DOYxxx!$S35</f>
        <v>#REF!</v>
      </c>
      <c r="T35" s="38" t="e">
        <f>[1]DOYxxx!$S35</f>
        <v>#REF!</v>
      </c>
    </row>
    <row r="36" spans="4:20">
      <c r="D36" s="38">
        <f>EmgDOY118!$S36</f>
        <v>3.5</v>
      </c>
      <c r="E36" s="38">
        <f>EmgDOY119!$S36</f>
        <v>4.625</v>
      </c>
      <c r="F36" s="38">
        <f>EmgDOY120!$S36</f>
        <v>5.25</v>
      </c>
      <c r="G36" s="38">
        <f>EmgDOY121!$S36</f>
        <v>5.625</v>
      </c>
      <c r="H36" s="38">
        <f>EmgDOY122!$S36</f>
        <v>5.25</v>
      </c>
      <c r="I36" s="38">
        <f>EmgDOY123!$S36</f>
        <v>5.875</v>
      </c>
      <c r="J36" s="38">
        <f>EmgDOY125!$S36</f>
        <v>5.375</v>
      </c>
      <c r="K36" s="38">
        <f>EmgDOY133!$S36</f>
        <v>6.375</v>
      </c>
      <c r="L36" s="38">
        <f>EmgDOY134!$S36</f>
        <v>7.5</v>
      </c>
      <c r="M36" s="38">
        <f>EmgDOY135!$S36</f>
        <v>9.25</v>
      </c>
      <c r="N36" s="38">
        <f>EmgDOY137!$S36</f>
        <v>11.25</v>
      </c>
      <c r="O36" s="38">
        <f>EmgDOY140!$S36</f>
        <v>12.375</v>
      </c>
      <c r="P36" s="38">
        <f>EmgDOY141!$S36</f>
        <v>11.583333333333334</v>
      </c>
      <c r="Q36" s="38">
        <f>EmgDOY149!$S36</f>
        <v>11.416666666666666</v>
      </c>
      <c r="R36" s="38" t="e">
        <f>[1]DOYxxx!$S36</f>
        <v>#REF!</v>
      </c>
      <c r="S36" s="38" t="e">
        <f>[1]DOYxxx!$S36</f>
        <v>#REF!</v>
      </c>
      <c r="T36" s="38" t="e">
        <f>[1]DOYxxx!$S36</f>
        <v>#REF!</v>
      </c>
    </row>
    <row r="37" spans="4:20">
      <c r="D37" s="38">
        <f>EmgDOY118!$S37</f>
        <v>6.5</v>
      </c>
      <c r="E37" s="38">
        <f>EmgDOY119!$S37</f>
        <v>8</v>
      </c>
      <c r="F37" s="38">
        <f>EmgDOY120!$S37</f>
        <v>8.25</v>
      </c>
      <c r="G37" s="38">
        <f>EmgDOY121!$S37</f>
        <v>8.5</v>
      </c>
      <c r="H37" s="38">
        <f>EmgDOY122!$S37</f>
        <v>8</v>
      </c>
      <c r="I37" s="38">
        <f>EmgDOY123!$S37</f>
        <v>9</v>
      </c>
      <c r="J37" s="38">
        <f>EmgDOY125!$S37</f>
        <v>8.25</v>
      </c>
      <c r="K37" s="38">
        <f>EmgDOY133!$S37</f>
        <v>10</v>
      </c>
      <c r="L37" s="38">
        <f>EmgDOY134!$S37</f>
        <v>10.75</v>
      </c>
      <c r="M37" s="38">
        <f>EmgDOY135!$S37</f>
        <v>13</v>
      </c>
      <c r="N37" s="38">
        <f>EmgDOY137!$S37</f>
        <v>14.25</v>
      </c>
      <c r="O37" s="38">
        <f>EmgDOY140!$S37</f>
        <v>15.5</v>
      </c>
      <c r="P37" s="38">
        <f>EmgDOY141!$S37</f>
        <v>13.416666666666666</v>
      </c>
      <c r="Q37" s="38">
        <f>EmgDOY149!$S37</f>
        <v>11.583333333333334</v>
      </c>
      <c r="R37" s="38" t="e">
        <f>[1]DOYxxx!$S37</f>
        <v>#REF!</v>
      </c>
      <c r="S37" s="38" t="e">
        <f>[1]DOYxxx!$S37</f>
        <v>#REF!</v>
      </c>
      <c r="T37" s="38" t="e">
        <f>[1]DOYxxx!$S37</f>
        <v>#REF!</v>
      </c>
    </row>
    <row r="38" spans="4:20">
      <c r="D38" s="38">
        <f>EmgDOY118!$S38</f>
        <v>3.875</v>
      </c>
      <c r="E38" s="38">
        <f>EmgDOY119!$S38</f>
        <v>5.125</v>
      </c>
      <c r="F38" s="38">
        <f>EmgDOY120!$S38</f>
        <v>5.5</v>
      </c>
      <c r="G38" s="38">
        <f>EmgDOY121!$S38</f>
        <v>5.875</v>
      </c>
      <c r="H38" s="38">
        <f>EmgDOY122!$S38</f>
        <v>5.25</v>
      </c>
      <c r="I38" s="38">
        <f>EmgDOY123!$S38</f>
        <v>5.75</v>
      </c>
      <c r="J38" s="38">
        <f>EmgDOY125!$S38</f>
        <v>5.875</v>
      </c>
      <c r="K38" s="38">
        <f>EmgDOY133!$S38</f>
        <v>7.25</v>
      </c>
      <c r="L38" s="38">
        <f>EmgDOY134!$S38</f>
        <v>9</v>
      </c>
      <c r="M38" s="38">
        <f>EmgDOY135!$S38</f>
        <v>9.625</v>
      </c>
      <c r="N38" s="38">
        <f>EmgDOY137!$S38</f>
        <v>10.5</v>
      </c>
      <c r="O38" s="38">
        <f>EmgDOY140!$S38</f>
        <v>10.75</v>
      </c>
      <c r="P38" s="38">
        <f>EmgDOY141!$S38</f>
        <v>10.083333333333334</v>
      </c>
      <c r="Q38" s="38">
        <f>EmgDOY149!$S38</f>
        <v>9.5833333333333339</v>
      </c>
      <c r="R38" s="38" t="e">
        <f>[1]DOYxxx!$S38</f>
        <v>#REF!</v>
      </c>
      <c r="S38" s="38" t="e">
        <f>[1]DOYxxx!$S38</f>
        <v>#REF!</v>
      </c>
      <c r="T38" s="38" t="e">
        <f>[1]DOYxxx!$S38</f>
        <v>#REF!</v>
      </c>
    </row>
    <row r="39" spans="4:20">
      <c r="D39" s="38">
        <f>EmgDOY118!$S39</f>
        <v>4.75</v>
      </c>
      <c r="E39" s="38">
        <f>EmgDOY119!$S39</f>
        <v>6</v>
      </c>
      <c r="F39" s="38">
        <f>EmgDOY120!$S39</f>
        <v>6.75</v>
      </c>
      <c r="G39" s="38">
        <f>EmgDOY121!$S39</f>
        <v>6.75</v>
      </c>
      <c r="H39" s="38">
        <f>EmgDOY122!$S39</f>
        <v>6.5</v>
      </c>
      <c r="I39" s="38">
        <f>EmgDOY123!$S39</f>
        <v>6.25</v>
      </c>
      <c r="J39" s="38">
        <f>EmgDOY125!$S39</f>
        <v>6.75</v>
      </c>
      <c r="K39" s="38">
        <f>EmgDOY133!$S39</f>
        <v>9.25</v>
      </c>
      <c r="L39" s="38">
        <f>EmgDOY134!$S39</f>
        <v>9.75</v>
      </c>
      <c r="M39" s="38">
        <f>EmgDOY135!$S39</f>
        <v>10.75</v>
      </c>
      <c r="N39" s="38">
        <f>EmgDOY137!$S39</f>
        <v>10.5</v>
      </c>
      <c r="O39" s="38">
        <f>EmgDOY140!$S39</f>
        <v>10.5</v>
      </c>
      <c r="P39" s="38">
        <f>EmgDOY141!$S39</f>
        <v>12.333333333333334</v>
      </c>
      <c r="Q39" s="38">
        <f>EmgDOY149!$S39</f>
        <v>11.916666666666666</v>
      </c>
      <c r="R39" s="38" t="e">
        <f>[1]DOYxxx!$S39</f>
        <v>#REF!</v>
      </c>
      <c r="S39" s="38" t="e">
        <f>[1]DOYxxx!$S39</f>
        <v>#REF!</v>
      </c>
      <c r="T39" s="38" t="e">
        <f>[1]DOYxxx!$S39</f>
        <v>#REF!</v>
      </c>
    </row>
    <row r="40" spans="4:20">
      <c r="D40" s="38">
        <f>EmgDOY118!$S40</f>
        <v>3.5</v>
      </c>
      <c r="E40" s="38">
        <f>EmgDOY119!$S40</f>
        <v>4</v>
      </c>
      <c r="F40" s="38">
        <f>EmgDOY120!$S40</f>
        <v>5.25</v>
      </c>
      <c r="G40" s="38">
        <f>EmgDOY121!$S40</f>
        <v>5.5</v>
      </c>
      <c r="H40" s="38">
        <f>EmgDOY122!$S40</f>
        <v>5</v>
      </c>
      <c r="I40" s="38">
        <f>EmgDOY123!$S40</f>
        <v>6.25</v>
      </c>
      <c r="J40" s="38">
        <f>EmgDOY125!$S40</f>
        <v>5.5</v>
      </c>
      <c r="K40" s="38">
        <f>EmgDOY133!$S40</f>
        <v>9.25</v>
      </c>
      <c r="L40" s="38">
        <f>EmgDOY134!$S40</f>
        <v>10.5</v>
      </c>
      <c r="M40" s="38">
        <f>EmgDOY135!$S40</f>
        <v>12</v>
      </c>
      <c r="N40" s="38">
        <f>EmgDOY137!$S40</f>
        <v>13</v>
      </c>
      <c r="O40" s="38">
        <f>EmgDOY140!$S40</f>
        <v>12.75</v>
      </c>
      <c r="P40" s="38">
        <f>EmgDOY141!$S40</f>
        <v>12</v>
      </c>
      <c r="Q40" s="38">
        <f>EmgDOY149!$S40</f>
        <v>10.666666666666666</v>
      </c>
      <c r="R40" s="38" t="e">
        <f>[1]DOYxxx!$S40</f>
        <v>#REF!</v>
      </c>
      <c r="S40" s="38" t="e">
        <f>[1]DOYxxx!$S40</f>
        <v>#REF!</v>
      </c>
      <c r="T40" s="38" t="e">
        <f>[1]DOYxxx!$S40</f>
        <v>#REF!</v>
      </c>
    </row>
    <row r="41" spans="4:20">
      <c r="D41" s="38">
        <f>EmgDOY118!$S41</f>
        <v>5</v>
      </c>
      <c r="E41" s="38">
        <f>EmgDOY119!$S41</f>
        <v>6.5</v>
      </c>
      <c r="F41" s="38">
        <f>EmgDOY120!$S41</f>
        <v>7.5</v>
      </c>
      <c r="G41" s="38">
        <f>EmgDOY121!$S41</f>
        <v>7.25</v>
      </c>
      <c r="H41" s="38">
        <f>EmgDOY122!$S41</f>
        <v>6.5</v>
      </c>
      <c r="I41" s="38">
        <f>EmgDOY123!$S41</f>
        <v>7.5</v>
      </c>
      <c r="J41" s="38">
        <f>EmgDOY125!$S41</f>
        <v>6.5</v>
      </c>
      <c r="K41" s="38">
        <f>EmgDOY133!$S41</f>
        <v>9</v>
      </c>
      <c r="L41" s="38">
        <f>EmgDOY134!$S41</f>
        <v>11.25</v>
      </c>
      <c r="M41" s="38">
        <f>EmgDOY135!$S41</f>
        <v>11.75</v>
      </c>
      <c r="N41" s="38">
        <f>EmgDOY137!$S41</f>
        <v>12.5</v>
      </c>
      <c r="O41" s="38">
        <f>EmgDOY140!$S41</f>
        <v>13</v>
      </c>
      <c r="P41" s="38">
        <f>EmgDOY141!$S41</f>
        <v>14.166666666666666</v>
      </c>
      <c r="Q41" s="38">
        <f>EmgDOY149!$S41</f>
        <v>12.166666666666666</v>
      </c>
      <c r="R41" s="38" t="e">
        <f>[1]DOYxxx!$S41</f>
        <v>#REF!</v>
      </c>
      <c r="S41" s="38" t="e">
        <f>[1]DOYxxx!$S41</f>
        <v>#REF!</v>
      </c>
      <c r="T41" s="38" t="e">
        <f>[1]DOYxxx!$S41</f>
        <v>#REF!</v>
      </c>
    </row>
    <row r="42" spans="4:20">
      <c r="D42" s="38">
        <f>EmgDOY118!$S42</f>
        <v>0</v>
      </c>
      <c r="E42" s="38">
        <f>EmgDOY119!$S42</f>
        <v>0</v>
      </c>
      <c r="F42" s="38">
        <f>EmgDOY120!$S42</f>
        <v>0</v>
      </c>
      <c r="G42" s="38">
        <f>EmgDOY121!$S42</f>
        <v>0</v>
      </c>
      <c r="H42" s="38">
        <f>EmgDOY122!$S42</f>
        <v>0</v>
      </c>
      <c r="I42" s="38">
        <f>EmgDOY123!$S42</f>
        <v>0</v>
      </c>
      <c r="J42" s="38">
        <f>EmgDOY125!$S42</f>
        <v>0</v>
      </c>
      <c r="K42" s="38">
        <f>EmgDOY133!$S42</f>
        <v>0</v>
      </c>
      <c r="L42" s="38">
        <f>EmgDOY134!$S42</f>
        <v>0</v>
      </c>
      <c r="M42" s="38">
        <f>EmgDOY135!$S42</f>
        <v>0</v>
      </c>
      <c r="N42" s="38">
        <f>EmgDOY137!$S42</f>
        <v>0</v>
      </c>
      <c r="O42" s="38" t="e">
        <f>EmgDOY140!$S42</f>
        <v>#DIV/0!</v>
      </c>
      <c r="P42" s="38">
        <f>EmgDOY141!$S42</f>
        <v>0</v>
      </c>
      <c r="Q42" s="38">
        <f>EmgDOY149!$S42</f>
        <v>0</v>
      </c>
      <c r="R42" s="38" t="e">
        <f>[1]DOYxxx!$S42</f>
        <v>#REF!</v>
      </c>
      <c r="S42" s="38" t="e">
        <f>[1]DOYxxx!$S42</f>
        <v>#REF!</v>
      </c>
      <c r="T42" s="38" t="e">
        <f>[1]DOYxxx!$S42</f>
        <v>#REF!</v>
      </c>
    </row>
    <row r="43" spans="4:20">
      <c r="D43" s="38">
        <f>EmgDOY118!$S43</f>
        <v>0</v>
      </c>
      <c r="E43" s="38">
        <f>EmgDOY119!$S43</f>
        <v>1.25</v>
      </c>
      <c r="F43" s="38">
        <f>EmgDOY120!$S43</f>
        <v>5.5</v>
      </c>
      <c r="G43" s="38">
        <f>EmgDOY121!$S43</f>
        <v>6.166666666666667</v>
      </c>
      <c r="H43" s="38">
        <f>EmgDOY122!$S43</f>
        <v>8</v>
      </c>
      <c r="I43" s="38">
        <f>EmgDOY123!$S43</f>
        <v>7.25</v>
      </c>
      <c r="J43" s="38">
        <f>EmgDOY125!$S43</f>
        <v>8</v>
      </c>
      <c r="K43" s="38">
        <f>EmgDOY133!$S43</f>
        <v>8.1666666666666661</v>
      </c>
      <c r="L43" s="38">
        <f>EmgDOY134!$S43</f>
        <v>8</v>
      </c>
      <c r="M43" s="38">
        <f>EmgDOY135!$S43</f>
        <v>10.166666666666666</v>
      </c>
      <c r="N43" s="38">
        <f>EmgDOY137!$S43</f>
        <v>14</v>
      </c>
      <c r="O43" s="38">
        <f>EmgDOY140!$S43</f>
        <v>13.5</v>
      </c>
      <c r="P43" s="38">
        <f>EmgDOY141!$S43</f>
        <v>13.833333333333334</v>
      </c>
      <c r="Q43" s="38">
        <f>EmgDOY149!$S43</f>
        <v>14.083333333333334</v>
      </c>
      <c r="R43" s="38" t="e">
        <f>[1]DOYxxx!$S43</f>
        <v>#REF!</v>
      </c>
      <c r="S43" s="38" t="e">
        <f>[1]DOYxxx!$S43</f>
        <v>#REF!</v>
      </c>
      <c r="T43" s="38" t="e">
        <f>[1]DOYxxx!$S43</f>
        <v>#REF!</v>
      </c>
    </row>
    <row r="44" spans="4:20">
      <c r="D44" s="38">
        <f>EmgDOY118!$S44</f>
        <v>0</v>
      </c>
      <c r="E44" s="38">
        <f>EmgDOY119!$S44</f>
        <v>0</v>
      </c>
      <c r="F44" s="38">
        <f>EmgDOY120!$S44</f>
        <v>0</v>
      </c>
      <c r="G44" s="38">
        <f>EmgDOY121!$S44</f>
        <v>0</v>
      </c>
      <c r="H44" s="38">
        <f>EmgDOY122!$S44</f>
        <v>0</v>
      </c>
      <c r="I44" s="38">
        <f>EmgDOY123!$S44</f>
        <v>0</v>
      </c>
      <c r="J44" s="38">
        <f>EmgDOY125!$S44</f>
        <v>0</v>
      </c>
      <c r="K44" s="38">
        <f>EmgDOY133!$S44</f>
        <v>0</v>
      </c>
      <c r="L44" s="38">
        <f>EmgDOY134!$S44</f>
        <v>0</v>
      </c>
      <c r="M44" s="38">
        <f>EmgDOY135!$S44</f>
        <v>0</v>
      </c>
      <c r="N44" s="38">
        <f>EmgDOY137!$S44</f>
        <v>0</v>
      </c>
      <c r="O44" s="38" t="e">
        <f>EmgDOY140!$S44</f>
        <v>#DIV/0!</v>
      </c>
      <c r="P44" s="38">
        <f>EmgDOY141!$S44</f>
        <v>0</v>
      </c>
      <c r="Q44" s="38">
        <f>EmgDOY149!$S44</f>
        <v>0</v>
      </c>
      <c r="R44" s="38" t="e">
        <f>[1]DOYxxx!$S44</f>
        <v>#REF!</v>
      </c>
      <c r="S44" s="38" t="e">
        <f>[1]DOYxxx!$S44</f>
        <v>#REF!</v>
      </c>
      <c r="T44" s="38" t="e">
        <f>[1]DOYxxx!$S44</f>
        <v>#REF!</v>
      </c>
    </row>
    <row r="45" spans="4:20">
      <c r="D45" s="38">
        <f>EmgDOY118!$S45</f>
        <v>0</v>
      </c>
      <c r="E45" s="38">
        <f>EmgDOY119!$S45</f>
        <v>2</v>
      </c>
      <c r="F45" s="38">
        <f>EmgDOY120!$S45</f>
        <v>5.5</v>
      </c>
      <c r="G45" s="38">
        <f>EmgDOY121!$S45</f>
        <v>6.75</v>
      </c>
      <c r="H45" s="38">
        <f>EmgDOY122!$S45</f>
        <v>7.25</v>
      </c>
      <c r="I45" s="38">
        <f>EmgDOY123!$S45</f>
        <v>7.75</v>
      </c>
      <c r="J45" s="38">
        <f>EmgDOY125!$S45</f>
        <v>8</v>
      </c>
      <c r="K45" s="38">
        <f>EmgDOY133!$S45</f>
        <v>9.25</v>
      </c>
      <c r="L45" s="38">
        <f>EmgDOY134!$S45</f>
        <v>9</v>
      </c>
      <c r="M45" s="38">
        <f>EmgDOY135!$S45</f>
        <v>9.5</v>
      </c>
      <c r="N45" s="38">
        <f>EmgDOY137!$S45</f>
        <v>13.75</v>
      </c>
      <c r="O45" s="38">
        <f>EmgDOY140!$S45</f>
        <v>14.75</v>
      </c>
      <c r="P45" s="38">
        <f>EmgDOY141!$S45</f>
        <v>12.75</v>
      </c>
      <c r="Q45" s="38">
        <f>EmgDOY149!$S45</f>
        <v>12.333333333333334</v>
      </c>
      <c r="R45" s="38" t="e">
        <f>[1]DOYxxx!$S45</f>
        <v>#REF!</v>
      </c>
      <c r="S45" s="38" t="e">
        <f>[1]DOYxxx!$S45</f>
        <v>#REF!</v>
      </c>
      <c r="T45" s="38" t="e">
        <f>[1]DOYxxx!$S45</f>
        <v>#REF!</v>
      </c>
    </row>
    <row r="46" spans="4:20">
      <c r="D46" s="38">
        <f>EmgDOY118!$S46</f>
        <v>0</v>
      </c>
      <c r="E46" s="38">
        <f>EmgDOY119!$S46</f>
        <v>0</v>
      </c>
      <c r="F46" s="38">
        <f>EmgDOY120!$S46</f>
        <v>0</v>
      </c>
      <c r="G46" s="38">
        <f>EmgDOY121!$S46</f>
        <v>0</v>
      </c>
      <c r="H46" s="38">
        <f>EmgDOY122!$S46</f>
        <v>0</v>
      </c>
      <c r="I46" s="38">
        <f>EmgDOY123!$S46</f>
        <v>0</v>
      </c>
      <c r="J46" s="38">
        <f>EmgDOY125!$S46</f>
        <v>0</v>
      </c>
      <c r="K46" s="38">
        <f>EmgDOY133!$S46</f>
        <v>0</v>
      </c>
      <c r="L46" s="38">
        <f>EmgDOY134!$S46</f>
        <v>0</v>
      </c>
      <c r="M46" s="38">
        <f>EmgDOY135!$S46</f>
        <v>0</v>
      </c>
      <c r="N46" s="38">
        <f>EmgDOY137!$S46</f>
        <v>0</v>
      </c>
      <c r="O46" s="38" t="e">
        <f>EmgDOY140!$S46</f>
        <v>#DIV/0!</v>
      </c>
      <c r="P46" s="38">
        <f>EmgDOY141!$S46</f>
        <v>0</v>
      </c>
      <c r="Q46" s="38">
        <f>EmgDOY149!$S46</f>
        <v>0</v>
      </c>
      <c r="R46" s="38" t="e">
        <f>[1]DOYxxx!$S46</f>
        <v>#REF!</v>
      </c>
      <c r="S46" s="38" t="e">
        <f>[1]DOYxxx!$S46</f>
        <v>#REF!</v>
      </c>
      <c r="T46" s="38" t="e">
        <f>[1]DOYxxx!$S46</f>
        <v>#REF!</v>
      </c>
    </row>
    <row r="47" spans="4:20">
      <c r="D47" s="38">
        <f>EmgDOY118!$S47</f>
        <v>0</v>
      </c>
      <c r="E47" s="38">
        <f>EmgDOY119!$S47</f>
        <v>0.5</v>
      </c>
      <c r="F47" s="38">
        <f>EmgDOY120!$S47</f>
        <v>2.75</v>
      </c>
      <c r="G47" s="38">
        <f>EmgDOY121!$S47</f>
        <v>5</v>
      </c>
      <c r="H47" s="38">
        <f>EmgDOY122!$S47</f>
        <v>7.25</v>
      </c>
      <c r="I47" s="38">
        <f>EmgDOY123!$S47</f>
        <v>5.75</v>
      </c>
      <c r="J47" s="38">
        <f>EmgDOY125!$S47</f>
        <v>6</v>
      </c>
      <c r="K47" s="38">
        <f>EmgDOY133!$S47</f>
        <v>6.75</v>
      </c>
      <c r="L47" s="38">
        <f>EmgDOY134!$S47</f>
        <v>6.5</v>
      </c>
      <c r="M47" s="38">
        <f>EmgDOY135!$S47</f>
        <v>7</v>
      </c>
      <c r="N47" s="38">
        <f>EmgDOY137!$S47</f>
        <v>9.5</v>
      </c>
      <c r="O47" s="38">
        <f>EmgDOY140!$S47</f>
        <v>11.5</v>
      </c>
      <c r="P47" s="38">
        <f>EmgDOY141!$S47</f>
        <v>11.75</v>
      </c>
      <c r="Q47" s="38">
        <f>EmgDOY149!$S47</f>
        <v>11.25</v>
      </c>
      <c r="R47" s="38" t="e">
        <f>[1]DOYxxx!$S47</f>
        <v>#REF!</v>
      </c>
      <c r="S47" s="38" t="e">
        <f>[1]DOYxxx!$S47</f>
        <v>#REF!</v>
      </c>
      <c r="T47" s="38" t="e">
        <f>[1]DOYxxx!$S47</f>
        <v>#REF!</v>
      </c>
    </row>
    <row r="48" spans="4:20">
      <c r="D48" s="38">
        <f>EmgDOY118!$S48</f>
        <v>0</v>
      </c>
      <c r="E48" s="38">
        <f>EmgDOY119!$S48</f>
        <v>0</v>
      </c>
      <c r="F48" s="38">
        <f>EmgDOY120!$S48</f>
        <v>0</v>
      </c>
      <c r="G48" s="38">
        <f>EmgDOY121!$S48</f>
        <v>0</v>
      </c>
      <c r="H48" s="38">
        <f>EmgDOY122!$S48</f>
        <v>0</v>
      </c>
      <c r="I48" s="38">
        <f>EmgDOY123!$S48</f>
        <v>0</v>
      </c>
      <c r="J48" s="38">
        <f>EmgDOY125!$S48</f>
        <v>0</v>
      </c>
      <c r="K48" s="38">
        <f>EmgDOY133!$S48</f>
        <v>0</v>
      </c>
      <c r="L48" s="38">
        <f>EmgDOY134!$S48</f>
        <v>0</v>
      </c>
      <c r="M48" s="38">
        <f>EmgDOY135!$S48</f>
        <v>0</v>
      </c>
      <c r="N48" s="38">
        <f>EmgDOY137!$S48</f>
        <v>0</v>
      </c>
      <c r="O48" s="38" t="e">
        <f>EmgDOY140!$S48</f>
        <v>#DIV/0!</v>
      </c>
      <c r="P48" s="38">
        <f>EmgDOY141!$S48</f>
        <v>0</v>
      </c>
      <c r="Q48" s="38">
        <f>EmgDOY149!$S48</f>
        <v>0</v>
      </c>
      <c r="R48" s="38" t="e">
        <f>[1]DOYxxx!$S48</f>
        <v>#REF!</v>
      </c>
      <c r="S48" s="38" t="e">
        <f>[1]DOYxxx!$S48</f>
        <v>#REF!</v>
      </c>
      <c r="T48" s="38" t="e">
        <f>[1]DOYxxx!$S48</f>
        <v>#REF!</v>
      </c>
    </row>
    <row r="49" spans="4:20">
      <c r="D49" s="38">
        <f>EmgDOY118!$S49</f>
        <v>0</v>
      </c>
      <c r="E49" s="38">
        <f>EmgDOY119!$S49</f>
        <v>3.75</v>
      </c>
      <c r="F49" s="38">
        <f>EmgDOY120!$S49</f>
        <v>7.25</v>
      </c>
      <c r="G49" s="38">
        <f>EmgDOY121!$S49</f>
        <v>7.75</v>
      </c>
      <c r="H49" s="38">
        <f>EmgDOY122!$S49</f>
        <v>6.75</v>
      </c>
      <c r="I49" s="38">
        <f>EmgDOY123!$S49</f>
        <v>7.75</v>
      </c>
      <c r="J49" s="38">
        <f>EmgDOY125!$S49</f>
        <v>7.5</v>
      </c>
      <c r="K49" s="38">
        <f>EmgDOY133!$S49</f>
        <v>8.5</v>
      </c>
      <c r="L49" s="38">
        <f>EmgDOY134!$S49</f>
        <v>8.5</v>
      </c>
      <c r="M49" s="38">
        <f>EmgDOY135!$S49</f>
        <v>8.75</v>
      </c>
      <c r="N49" s="38">
        <f>EmgDOY137!$S49</f>
        <v>12.25</v>
      </c>
      <c r="O49" s="38">
        <f>EmgDOY140!$S49</f>
        <v>13</v>
      </c>
      <c r="P49" s="38">
        <f>EmgDOY141!$S49</f>
        <v>12.75</v>
      </c>
      <c r="Q49" s="38">
        <f>EmgDOY149!$S49</f>
        <v>12.75</v>
      </c>
      <c r="R49" s="38" t="e">
        <f>[1]DOYxxx!$S49</f>
        <v>#REF!</v>
      </c>
      <c r="S49" s="38" t="e">
        <f>[1]DOYxxx!$S49</f>
        <v>#REF!</v>
      </c>
      <c r="T49" s="38" t="e">
        <f>[1]DOYxxx!$S49</f>
        <v>#REF!</v>
      </c>
    </row>
    <row r="52" spans="4:20">
      <c r="D52" s="38">
        <f t="shared" ref="D52:Q52" si="0">AVERAGE(D10:D41)</f>
        <v>3.736979166666667</v>
      </c>
      <c r="E52" s="38">
        <f t="shared" si="0"/>
        <v>4.81640625</v>
      </c>
      <c r="F52" s="38">
        <f t="shared" si="0"/>
        <v>5.5546875</v>
      </c>
      <c r="G52" s="38">
        <f t="shared" si="0"/>
        <v>5.9622395833333339</v>
      </c>
      <c r="H52" s="38">
        <f t="shared" si="0"/>
        <v>5.4453125</v>
      </c>
      <c r="I52" s="38">
        <f t="shared" si="0"/>
        <v>5.98828125</v>
      </c>
      <c r="J52" s="38">
        <f t="shared" si="0"/>
        <v>5.7578125</v>
      </c>
      <c r="K52" s="38">
        <f t="shared" si="0"/>
        <v>7.8671874999999991</v>
      </c>
      <c r="L52" s="38">
        <f t="shared" si="0"/>
        <v>9.33203125</v>
      </c>
      <c r="M52" s="38">
        <f t="shared" si="0"/>
        <v>10.352864583333334</v>
      </c>
      <c r="N52" s="38">
        <f t="shared" si="0"/>
        <v>11.432291666666666</v>
      </c>
      <c r="O52" s="38">
        <f t="shared" si="0"/>
        <v>12.125</v>
      </c>
      <c r="P52" s="38">
        <f t="shared" si="0"/>
        <v>11.348958333333332</v>
      </c>
      <c r="Q52" s="38">
        <f t="shared" si="0"/>
        <v>11.059895833333336</v>
      </c>
    </row>
  </sheetData>
  <dataConsolidate/>
  <pageMargins left="0.75" right="0.75" top="1" bottom="1" header="0.5" footer="0.5"/>
  <headerFooter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2A3F2-B81C-4A84-8E4A-26B1847E472D}">
  <dimension ref="A1:S218"/>
  <sheetViews>
    <sheetView topLeftCell="D1" workbookViewId="0">
      <pane ySplit="1" topLeftCell="A2" activePane="bottomLeft" state="frozen"/>
      <selection activeCell="B1" sqref="B1"/>
      <selection pane="bottomLeft" activeCell="R1" sqref="R1:R1048576"/>
    </sheetView>
  </sheetViews>
  <sheetFormatPr defaultRowHeight="12.75"/>
  <sheetData>
    <row r="1" spans="1:19">
      <c r="B1">
        <v>118</v>
      </c>
      <c r="C1">
        <v>119</v>
      </c>
      <c r="D1">
        <v>120</v>
      </c>
      <c r="E1">
        <v>121</v>
      </c>
      <c r="F1">
        <v>122</v>
      </c>
      <c r="G1">
        <v>123</v>
      </c>
      <c r="H1">
        <v>125</v>
      </c>
      <c r="I1">
        <v>133</v>
      </c>
      <c r="J1">
        <v>134</v>
      </c>
      <c r="K1">
        <v>135</v>
      </c>
      <c r="L1">
        <v>137</v>
      </c>
      <c r="M1">
        <v>140</v>
      </c>
      <c r="N1">
        <v>141</v>
      </c>
      <c r="O1">
        <v>149</v>
      </c>
    </row>
    <row r="2" spans="1:19">
      <c r="A2" s="40" t="s">
        <v>68</v>
      </c>
      <c r="B2" s="40" t="s">
        <v>285</v>
      </c>
      <c r="C2" s="40" t="s">
        <v>286</v>
      </c>
      <c r="D2" s="40" t="s">
        <v>287</v>
      </c>
      <c r="E2" s="40" t="s">
        <v>288</v>
      </c>
      <c r="F2" s="40" t="s">
        <v>289</v>
      </c>
      <c r="G2" s="40" t="s">
        <v>290</v>
      </c>
      <c r="H2" s="40" t="s">
        <v>291</v>
      </c>
      <c r="I2" s="40" t="s">
        <v>293</v>
      </c>
      <c r="J2" s="40" t="s">
        <v>294</v>
      </c>
      <c r="K2" s="40" t="s">
        <v>295</v>
      </c>
      <c r="L2" s="40" t="s">
        <v>296</v>
      </c>
      <c r="M2" s="40" t="s">
        <v>297</v>
      </c>
      <c r="N2" s="40" t="s">
        <v>298</v>
      </c>
      <c r="O2" s="40" t="s">
        <v>299</v>
      </c>
      <c r="Q2" s="119">
        <v>0.5</v>
      </c>
      <c r="R2" s="40" t="s">
        <v>390</v>
      </c>
      <c r="S2" s="40" t="s">
        <v>391</v>
      </c>
    </row>
    <row r="3" spans="1:19">
      <c r="A3" s="40" t="s">
        <v>69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>
        <v>22</v>
      </c>
      <c r="O3">
        <v>13</v>
      </c>
      <c r="Q3">
        <f>N3/2</f>
        <v>11</v>
      </c>
      <c r="S3">
        <f>O3/(2*1.016)</f>
        <v>6.3976377952755907</v>
      </c>
    </row>
    <row r="4" spans="1:19">
      <c r="A4" s="40" t="s">
        <v>75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>
        <v>25</v>
      </c>
      <c r="O4">
        <v>24</v>
      </c>
      <c r="Q4">
        <f t="shared" ref="Q4:Q67" si="0">N4/2</f>
        <v>12.5</v>
      </c>
      <c r="S4">
        <f t="shared" ref="S4:S67" si="1">O4/(2*1.016)</f>
        <v>11.811023622047244</v>
      </c>
    </row>
    <row r="5" spans="1:19">
      <c r="A5" s="40" t="s">
        <v>81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>
        <v>39</v>
      </c>
      <c r="O5">
        <v>42</v>
      </c>
      <c r="Q5">
        <f t="shared" si="0"/>
        <v>19.5</v>
      </c>
      <c r="S5">
        <f t="shared" si="1"/>
        <v>20.669291338582678</v>
      </c>
    </row>
    <row r="6" spans="1:19">
      <c r="A6" s="40" t="s">
        <v>87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>
        <v>24</v>
      </c>
      <c r="O6">
        <v>23</v>
      </c>
      <c r="Q6">
        <f t="shared" si="0"/>
        <v>12</v>
      </c>
      <c r="S6">
        <f t="shared" si="1"/>
        <v>11.318897637795276</v>
      </c>
    </row>
    <row r="7" spans="1:19">
      <c r="A7" s="40" t="s">
        <v>93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>
        <v>40</v>
      </c>
      <c r="O7">
        <v>41</v>
      </c>
      <c r="Q7">
        <f t="shared" si="0"/>
        <v>20</v>
      </c>
      <c r="S7">
        <f t="shared" si="1"/>
        <v>20.177165354330707</v>
      </c>
    </row>
    <row r="8" spans="1:19">
      <c r="A8" s="40" t="s">
        <v>99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>
        <v>24</v>
      </c>
      <c r="O8">
        <v>24</v>
      </c>
      <c r="Q8">
        <f t="shared" si="0"/>
        <v>12</v>
      </c>
      <c r="S8">
        <f t="shared" si="1"/>
        <v>11.811023622047244</v>
      </c>
    </row>
    <row r="9" spans="1:19">
      <c r="A9" s="40" t="s">
        <v>105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>
        <v>19</v>
      </c>
      <c r="O9">
        <v>19</v>
      </c>
      <c r="Q9">
        <f t="shared" si="0"/>
        <v>9.5</v>
      </c>
      <c r="S9">
        <f t="shared" si="1"/>
        <v>9.3503937007874018</v>
      </c>
    </row>
    <row r="10" spans="1:19">
      <c r="A10" s="40" t="s">
        <v>111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>
        <v>22</v>
      </c>
      <c r="O10">
        <v>27</v>
      </c>
      <c r="Q10">
        <f t="shared" si="0"/>
        <v>11</v>
      </c>
      <c r="S10">
        <f t="shared" si="1"/>
        <v>13.28740157480315</v>
      </c>
    </row>
    <row r="11" spans="1:19">
      <c r="A11" s="40" t="s">
        <v>117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>
        <v>43</v>
      </c>
      <c r="O11">
        <v>45</v>
      </c>
      <c r="Q11">
        <f t="shared" si="0"/>
        <v>21.5</v>
      </c>
      <c r="S11">
        <f t="shared" si="1"/>
        <v>22.145669291338582</v>
      </c>
    </row>
    <row r="12" spans="1:19">
      <c r="A12" s="40" t="s">
        <v>123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>
        <v>24</v>
      </c>
      <c r="O12">
        <v>21</v>
      </c>
      <c r="Q12">
        <f t="shared" si="0"/>
        <v>12</v>
      </c>
      <c r="S12">
        <f t="shared" si="1"/>
        <v>10.334645669291339</v>
      </c>
    </row>
    <row r="13" spans="1:19">
      <c r="A13" s="40" t="s">
        <v>129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>
        <v>25</v>
      </c>
      <c r="O13">
        <v>29</v>
      </c>
      <c r="Q13">
        <f t="shared" si="0"/>
        <v>12.5</v>
      </c>
      <c r="S13">
        <f t="shared" si="1"/>
        <v>14.271653543307087</v>
      </c>
    </row>
    <row r="14" spans="1:19">
      <c r="A14" s="40" t="s">
        <v>135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>
        <v>50</v>
      </c>
      <c r="O14">
        <v>51</v>
      </c>
      <c r="Q14">
        <f t="shared" si="0"/>
        <v>25</v>
      </c>
      <c r="S14">
        <f t="shared" si="1"/>
        <v>25.098425196850393</v>
      </c>
    </row>
    <row r="15" spans="1:19">
      <c r="A15" s="40" t="s">
        <v>141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>
        <v>20</v>
      </c>
      <c r="O15">
        <v>12</v>
      </c>
      <c r="Q15">
        <f t="shared" si="0"/>
        <v>10</v>
      </c>
      <c r="S15">
        <f t="shared" si="1"/>
        <v>5.9055118110236222</v>
      </c>
    </row>
    <row r="16" spans="1:19">
      <c r="A16" s="40" t="s">
        <v>147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>
        <v>25</v>
      </c>
      <c r="O16">
        <v>11</v>
      </c>
      <c r="Q16">
        <f t="shared" si="0"/>
        <v>12.5</v>
      </c>
      <c r="S16">
        <f t="shared" si="1"/>
        <v>5.4133858267716537</v>
      </c>
    </row>
    <row r="17" spans="1:19">
      <c r="A17" s="40" t="s">
        <v>153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>
        <v>27</v>
      </c>
      <c r="O17">
        <v>27</v>
      </c>
      <c r="Q17">
        <f t="shared" si="0"/>
        <v>13.5</v>
      </c>
      <c r="S17">
        <f t="shared" si="1"/>
        <v>13.28740157480315</v>
      </c>
    </row>
    <row r="18" spans="1:19">
      <c r="A18" s="40" t="s">
        <v>159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>
        <v>23</v>
      </c>
      <c r="O18">
        <v>12</v>
      </c>
      <c r="Q18">
        <f t="shared" si="0"/>
        <v>11.5</v>
      </c>
      <c r="S18">
        <f t="shared" si="1"/>
        <v>5.9055118110236222</v>
      </c>
    </row>
    <row r="19" spans="1:19">
      <c r="A19" s="40" t="s">
        <v>165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>
        <v>24</v>
      </c>
      <c r="O19">
        <v>24</v>
      </c>
      <c r="Q19">
        <f t="shared" si="0"/>
        <v>12</v>
      </c>
      <c r="S19">
        <f t="shared" si="1"/>
        <v>11.811023622047244</v>
      </c>
    </row>
    <row r="20" spans="1:19">
      <c r="A20" s="40" t="s">
        <v>171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>
        <v>25</v>
      </c>
      <c r="O20">
        <v>20</v>
      </c>
      <c r="Q20">
        <f t="shared" si="0"/>
        <v>12.5</v>
      </c>
      <c r="S20">
        <f t="shared" si="1"/>
        <v>9.8425196850393704</v>
      </c>
    </row>
    <row r="21" spans="1:19">
      <c r="A21" s="40" t="s">
        <v>177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>
        <v>17</v>
      </c>
      <c r="O21">
        <v>11</v>
      </c>
      <c r="Q21">
        <f t="shared" si="0"/>
        <v>8.5</v>
      </c>
      <c r="S21">
        <f t="shared" si="1"/>
        <v>5.4133858267716537</v>
      </c>
    </row>
    <row r="22" spans="1:19">
      <c r="A22" s="40" t="s">
        <v>183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>
        <v>25</v>
      </c>
      <c r="O22">
        <v>10</v>
      </c>
      <c r="Q22">
        <f t="shared" si="0"/>
        <v>12.5</v>
      </c>
      <c r="S22">
        <f t="shared" si="1"/>
        <v>4.9212598425196852</v>
      </c>
    </row>
    <row r="23" spans="1:19">
      <c r="A23" s="40" t="s">
        <v>189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>
        <v>29</v>
      </c>
      <c r="O23">
        <v>31</v>
      </c>
      <c r="Q23">
        <f t="shared" si="0"/>
        <v>14.5</v>
      </c>
      <c r="S23">
        <f t="shared" si="1"/>
        <v>15.255905511811024</v>
      </c>
    </row>
    <row r="24" spans="1:19">
      <c r="A24" s="40" t="s">
        <v>195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>
        <v>26</v>
      </c>
      <c r="O24">
        <v>25</v>
      </c>
      <c r="Q24">
        <f t="shared" si="0"/>
        <v>13</v>
      </c>
      <c r="S24">
        <f t="shared" si="1"/>
        <v>12.303149606299213</v>
      </c>
    </row>
    <row r="25" spans="1:19">
      <c r="A25" s="40" t="s">
        <v>201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>
        <v>23</v>
      </c>
      <c r="O25">
        <v>23</v>
      </c>
      <c r="Q25">
        <f t="shared" si="0"/>
        <v>11.5</v>
      </c>
      <c r="S25">
        <f t="shared" si="1"/>
        <v>11.318897637795276</v>
      </c>
    </row>
    <row r="26" spans="1:19">
      <c r="A26" s="40" t="s">
        <v>207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>
        <v>46</v>
      </c>
      <c r="O26">
        <v>45</v>
      </c>
      <c r="Q26">
        <f t="shared" si="0"/>
        <v>23</v>
      </c>
      <c r="S26">
        <f t="shared" si="1"/>
        <v>22.145669291338582</v>
      </c>
    </row>
    <row r="27" spans="1:19">
      <c r="A27" s="40" t="s">
        <v>213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>
        <v>17</v>
      </c>
      <c r="O27">
        <v>11</v>
      </c>
      <c r="Q27">
        <f t="shared" si="0"/>
        <v>8.5</v>
      </c>
      <c r="S27">
        <f t="shared" si="1"/>
        <v>5.4133858267716537</v>
      </c>
    </row>
    <row r="28" spans="1:19">
      <c r="A28" s="40" t="s">
        <v>219</v>
      </c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>
        <v>23</v>
      </c>
      <c r="O28">
        <v>23</v>
      </c>
      <c r="Q28">
        <f t="shared" si="0"/>
        <v>11.5</v>
      </c>
      <c r="S28">
        <f t="shared" si="1"/>
        <v>11.318897637795276</v>
      </c>
    </row>
    <row r="29" spans="1:19">
      <c r="A29" s="40" t="s">
        <v>225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>
        <v>51</v>
      </c>
      <c r="O29">
        <v>50</v>
      </c>
      <c r="Q29">
        <f t="shared" si="0"/>
        <v>25.5</v>
      </c>
      <c r="S29">
        <f t="shared" si="1"/>
        <v>24.606299212598426</v>
      </c>
    </row>
    <row r="30" spans="1:19">
      <c r="A30" s="40" t="s">
        <v>231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>
        <v>25</v>
      </c>
      <c r="O30">
        <v>21</v>
      </c>
      <c r="Q30">
        <f t="shared" si="0"/>
        <v>12.5</v>
      </c>
      <c r="S30">
        <f t="shared" si="1"/>
        <v>10.334645669291339</v>
      </c>
    </row>
    <row r="31" spans="1:19">
      <c r="A31" s="40" t="s">
        <v>237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>
        <v>42</v>
      </c>
      <c r="O31">
        <v>39</v>
      </c>
      <c r="Q31">
        <f t="shared" si="0"/>
        <v>21</v>
      </c>
      <c r="S31">
        <f t="shared" si="1"/>
        <v>19.19291338582677</v>
      </c>
    </row>
    <row r="32" spans="1:19">
      <c r="A32" s="40" t="s">
        <v>243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>
        <v>22</v>
      </c>
      <c r="O32">
        <v>22</v>
      </c>
      <c r="Q32">
        <f t="shared" si="0"/>
        <v>11</v>
      </c>
      <c r="S32">
        <f t="shared" si="1"/>
        <v>10.826771653543307</v>
      </c>
    </row>
    <row r="33" spans="1:19">
      <c r="A33" s="40" t="s">
        <v>249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>
        <v>24</v>
      </c>
      <c r="O33">
        <v>11</v>
      </c>
      <c r="Q33">
        <f t="shared" si="0"/>
        <v>12</v>
      </c>
      <c r="S33">
        <f t="shared" si="1"/>
        <v>5.4133858267716537</v>
      </c>
    </row>
    <row r="34" spans="1:19">
      <c r="A34" s="40" t="s">
        <v>255</v>
      </c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>
        <v>40</v>
      </c>
      <c r="O34">
        <v>35</v>
      </c>
      <c r="Q34">
        <f t="shared" si="0"/>
        <v>20</v>
      </c>
      <c r="S34">
        <f t="shared" si="1"/>
        <v>17.224409448818896</v>
      </c>
    </row>
    <row r="35" spans="1:19">
      <c r="A35" s="40" t="s">
        <v>261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>
        <v>29</v>
      </c>
      <c r="O35">
        <v>28</v>
      </c>
      <c r="Q35">
        <f t="shared" si="0"/>
        <v>14.5</v>
      </c>
      <c r="S35">
        <f t="shared" si="1"/>
        <v>13.779527559055119</v>
      </c>
    </row>
    <row r="36" spans="1:19">
      <c r="A36" s="40" t="s">
        <v>267</v>
      </c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>
        <v>22</v>
      </c>
      <c r="O36">
        <v>23</v>
      </c>
      <c r="Q36">
        <f t="shared" si="0"/>
        <v>11</v>
      </c>
      <c r="S36">
        <f t="shared" si="1"/>
        <v>11.318897637795276</v>
      </c>
    </row>
    <row r="37" spans="1:19">
      <c r="A37" s="40" t="s">
        <v>273</v>
      </c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>
        <v>28</v>
      </c>
      <c r="O37">
        <v>26</v>
      </c>
      <c r="Q37">
        <f t="shared" si="0"/>
        <v>14</v>
      </c>
      <c r="S37">
        <f t="shared" si="1"/>
        <v>12.795275590551181</v>
      </c>
    </row>
    <row r="38" spans="1:19">
      <c r="A38" s="40" t="s">
        <v>279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>
        <v>29</v>
      </c>
      <c r="O38">
        <v>29</v>
      </c>
      <c r="Q38">
        <f t="shared" si="0"/>
        <v>14.5</v>
      </c>
      <c r="S38">
        <f t="shared" si="1"/>
        <v>14.271653543307087</v>
      </c>
    </row>
    <row r="39" spans="1:19">
      <c r="A39" s="40" t="s">
        <v>70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>
        <v>14</v>
      </c>
      <c r="O39">
        <v>10</v>
      </c>
      <c r="Q39">
        <f t="shared" si="0"/>
        <v>7</v>
      </c>
      <c r="S39">
        <f t="shared" si="1"/>
        <v>4.9212598425196852</v>
      </c>
    </row>
    <row r="40" spans="1:19">
      <c r="A40" s="40" t="s">
        <v>76</v>
      </c>
      <c r="B40" s="40">
        <v>13</v>
      </c>
      <c r="C40" s="40"/>
      <c r="D40" s="40">
        <v>19</v>
      </c>
      <c r="E40" s="40">
        <v>20</v>
      </c>
      <c r="F40" s="40"/>
      <c r="G40" s="40"/>
      <c r="H40" s="40"/>
      <c r="I40" s="40">
        <v>21</v>
      </c>
      <c r="J40" s="40">
        <v>24</v>
      </c>
      <c r="K40" s="40">
        <v>27</v>
      </c>
      <c r="L40" s="40">
        <v>25</v>
      </c>
      <c r="M40" s="40">
        <v>28</v>
      </c>
      <c r="N40">
        <v>28</v>
      </c>
      <c r="O40">
        <v>25</v>
      </c>
      <c r="Q40">
        <f t="shared" si="0"/>
        <v>14</v>
      </c>
      <c r="R40">
        <f>B$1+(Q40-B40)/(D40-B40)*(D$1-B$1)</f>
        <v>118.33333333333333</v>
      </c>
      <c r="S40">
        <f t="shared" si="1"/>
        <v>12.303149606299213</v>
      </c>
    </row>
    <row r="41" spans="1:19">
      <c r="A41" s="40" t="s">
        <v>82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>
        <v>42</v>
      </c>
      <c r="O41">
        <v>43</v>
      </c>
      <c r="Q41">
        <f t="shared" si="0"/>
        <v>21</v>
      </c>
      <c r="S41">
        <f t="shared" si="1"/>
        <v>21.161417322834644</v>
      </c>
    </row>
    <row r="42" spans="1:19">
      <c r="A42" s="40" t="s">
        <v>88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>
        <v>26</v>
      </c>
      <c r="O42">
        <v>27</v>
      </c>
      <c r="Q42">
        <f t="shared" si="0"/>
        <v>13</v>
      </c>
      <c r="S42">
        <f t="shared" si="1"/>
        <v>13.28740157480315</v>
      </c>
    </row>
    <row r="43" spans="1:19">
      <c r="A43" s="40" t="s">
        <v>94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>
        <v>40</v>
      </c>
      <c r="O43">
        <v>38</v>
      </c>
      <c r="Q43">
        <f t="shared" si="0"/>
        <v>20</v>
      </c>
      <c r="S43">
        <f t="shared" si="1"/>
        <v>18.700787401574804</v>
      </c>
    </row>
    <row r="44" spans="1:19">
      <c r="A44" s="40" t="s">
        <v>100</v>
      </c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>
        <v>29</v>
      </c>
      <c r="O44">
        <v>30</v>
      </c>
      <c r="Q44">
        <f t="shared" si="0"/>
        <v>14.5</v>
      </c>
      <c r="S44">
        <f t="shared" si="1"/>
        <v>14.763779527559056</v>
      </c>
    </row>
    <row r="45" spans="1:19">
      <c r="A45" s="40" t="s">
        <v>106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>
        <v>20</v>
      </c>
      <c r="O45">
        <v>19</v>
      </c>
      <c r="Q45">
        <f t="shared" si="0"/>
        <v>10</v>
      </c>
      <c r="S45">
        <f t="shared" si="1"/>
        <v>9.3503937007874018</v>
      </c>
    </row>
    <row r="46" spans="1:19">
      <c r="A46" s="40" t="s">
        <v>112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>
        <v>27</v>
      </c>
      <c r="O46">
        <v>27</v>
      </c>
      <c r="Q46">
        <f t="shared" si="0"/>
        <v>13.5</v>
      </c>
      <c r="S46">
        <f t="shared" si="1"/>
        <v>13.28740157480315</v>
      </c>
    </row>
    <row r="47" spans="1:19">
      <c r="A47" s="40" t="s">
        <v>118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>
        <v>41</v>
      </c>
      <c r="O47">
        <v>42</v>
      </c>
      <c r="Q47">
        <f t="shared" si="0"/>
        <v>20.5</v>
      </c>
      <c r="S47">
        <f t="shared" si="1"/>
        <v>20.669291338582678</v>
      </c>
    </row>
    <row r="48" spans="1:19">
      <c r="A48" s="40" t="s">
        <v>124</v>
      </c>
      <c r="B48" s="40"/>
      <c r="C48" s="40"/>
      <c r="D48" s="40"/>
      <c r="E48" s="40">
        <v>13</v>
      </c>
      <c r="F48" s="40"/>
      <c r="G48" s="40"/>
      <c r="H48" s="40"/>
      <c r="I48" s="40">
        <v>14</v>
      </c>
      <c r="J48" s="40">
        <v>16</v>
      </c>
      <c r="K48" s="40">
        <v>17</v>
      </c>
      <c r="L48" s="40">
        <v>18</v>
      </c>
      <c r="M48" s="40">
        <v>19</v>
      </c>
      <c r="N48">
        <v>21</v>
      </c>
      <c r="O48">
        <v>21</v>
      </c>
      <c r="Q48">
        <f t="shared" si="0"/>
        <v>10.5</v>
      </c>
      <c r="S48">
        <f t="shared" si="1"/>
        <v>10.334645669291339</v>
      </c>
    </row>
    <row r="49" spans="1:19">
      <c r="A49" s="40" t="s">
        <v>130</v>
      </c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>
        <v>24</v>
      </c>
      <c r="O49">
        <v>24</v>
      </c>
      <c r="Q49">
        <f t="shared" si="0"/>
        <v>12</v>
      </c>
      <c r="S49">
        <f t="shared" si="1"/>
        <v>11.811023622047244</v>
      </c>
    </row>
    <row r="50" spans="1:19">
      <c r="A50" s="40" t="s">
        <v>136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>
        <v>32</v>
      </c>
      <c r="O50">
        <v>31</v>
      </c>
      <c r="Q50">
        <f t="shared" si="0"/>
        <v>16</v>
      </c>
      <c r="S50">
        <f t="shared" si="1"/>
        <v>15.255905511811024</v>
      </c>
    </row>
    <row r="51" spans="1:19">
      <c r="A51" s="40" t="s">
        <v>142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>
        <v>27</v>
      </c>
      <c r="O51">
        <v>10</v>
      </c>
      <c r="Q51">
        <f t="shared" si="0"/>
        <v>13.5</v>
      </c>
      <c r="S51">
        <f t="shared" si="1"/>
        <v>4.9212598425196852</v>
      </c>
    </row>
    <row r="52" spans="1:19">
      <c r="A52" s="40" t="s">
        <v>148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>
        <v>23</v>
      </c>
      <c r="O52">
        <v>11</v>
      </c>
      <c r="Q52">
        <f t="shared" si="0"/>
        <v>11.5</v>
      </c>
      <c r="S52">
        <f t="shared" si="1"/>
        <v>5.4133858267716537</v>
      </c>
    </row>
    <row r="53" spans="1:19">
      <c r="A53" s="40" t="s">
        <v>154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>
        <v>26</v>
      </c>
      <c r="O53">
        <v>26</v>
      </c>
      <c r="Q53">
        <f t="shared" si="0"/>
        <v>13</v>
      </c>
      <c r="S53">
        <f t="shared" si="1"/>
        <v>12.795275590551181</v>
      </c>
    </row>
    <row r="54" spans="1:19">
      <c r="A54" s="40" t="s">
        <v>160</v>
      </c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>
        <v>20</v>
      </c>
      <c r="O54">
        <v>11</v>
      </c>
      <c r="Q54">
        <f t="shared" si="0"/>
        <v>10</v>
      </c>
      <c r="S54">
        <f t="shared" si="1"/>
        <v>5.4133858267716537</v>
      </c>
    </row>
    <row r="55" spans="1:19">
      <c r="A55" s="40" t="s">
        <v>166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>
        <v>21</v>
      </c>
      <c r="O55">
        <v>21</v>
      </c>
      <c r="Q55">
        <f t="shared" si="0"/>
        <v>10.5</v>
      </c>
      <c r="S55">
        <f t="shared" si="1"/>
        <v>10.334645669291339</v>
      </c>
    </row>
    <row r="56" spans="1:19">
      <c r="A56" s="40" t="s">
        <v>172</v>
      </c>
      <c r="B56" s="40"/>
      <c r="C56" s="40"/>
      <c r="D56" s="40"/>
      <c r="E56" s="40">
        <v>12</v>
      </c>
      <c r="F56" s="40"/>
      <c r="G56" s="40"/>
      <c r="H56" s="40"/>
      <c r="I56" s="40">
        <v>13</v>
      </c>
      <c r="J56" s="40">
        <v>16</v>
      </c>
      <c r="K56" s="40"/>
      <c r="L56" s="40">
        <v>20</v>
      </c>
      <c r="M56" s="40"/>
      <c r="N56">
        <v>20</v>
      </c>
      <c r="O56">
        <v>24</v>
      </c>
      <c r="Q56">
        <f t="shared" si="0"/>
        <v>10</v>
      </c>
      <c r="S56">
        <f t="shared" si="1"/>
        <v>11.811023622047244</v>
      </c>
    </row>
    <row r="57" spans="1:19">
      <c r="A57" s="40" t="s">
        <v>178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>
        <v>15</v>
      </c>
      <c r="O57">
        <v>10</v>
      </c>
      <c r="Q57">
        <f t="shared" si="0"/>
        <v>7.5</v>
      </c>
      <c r="S57">
        <f t="shared" si="1"/>
        <v>4.9212598425196852</v>
      </c>
    </row>
    <row r="58" spans="1:19">
      <c r="A58" s="40" t="s">
        <v>184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>
        <v>24</v>
      </c>
      <c r="O58">
        <v>11</v>
      </c>
      <c r="Q58">
        <f t="shared" si="0"/>
        <v>12</v>
      </c>
      <c r="S58">
        <f t="shared" si="1"/>
        <v>5.4133858267716537</v>
      </c>
    </row>
    <row r="59" spans="1:19">
      <c r="A59" s="40" t="s">
        <v>190</v>
      </c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>
        <v>47</v>
      </c>
      <c r="O59">
        <v>45</v>
      </c>
      <c r="Q59">
        <f t="shared" si="0"/>
        <v>23.5</v>
      </c>
      <c r="S59">
        <f t="shared" si="1"/>
        <v>22.145669291338582</v>
      </c>
    </row>
    <row r="60" spans="1:19">
      <c r="A60" s="40" t="s">
        <v>196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>
        <v>21</v>
      </c>
      <c r="O60">
        <v>20</v>
      </c>
      <c r="Q60">
        <f t="shared" si="0"/>
        <v>10.5</v>
      </c>
      <c r="S60">
        <f t="shared" si="1"/>
        <v>9.8425196850393704</v>
      </c>
    </row>
    <row r="61" spans="1:19">
      <c r="A61" s="40" t="s">
        <v>202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>
        <v>21</v>
      </c>
      <c r="O61">
        <v>20</v>
      </c>
      <c r="Q61">
        <f t="shared" si="0"/>
        <v>10.5</v>
      </c>
      <c r="S61">
        <f t="shared" si="1"/>
        <v>9.8425196850393704</v>
      </c>
    </row>
    <row r="62" spans="1:19">
      <c r="A62" s="40" t="s">
        <v>208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>
        <v>56</v>
      </c>
      <c r="O62">
        <v>54</v>
      </c>
      <c r="Q62">
        <f t="shared" si="0"/>
        <v>28</v>
      </c>
      <c r="S62">
        <f t="shared" si="1"/>
        <v>26.5748031496063</v>
      </c>
    </row>
    <row r="63" spans="1:19">
      <c r="A63" s="40" t="s">
        <v>214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>
        <v>16</v>
      </c>
      <c r="O63">
        <v>9</v>
      </c>
      <c r="Q63">
        <f t="shared" si="0"/>
        <v>8</v>
      </c>
      <c r="S63">
        <f t="shared" si="1"/>
        <v>4.4291338582677167</v>
      </c>
    </row>
    <row r="64" spans="1:19">
      <c r="A64" s="40" t="s">
        <v>220</v>
      </c>
      <c r="B64" s="40"/>
      <c r="C64" s="40"/>
      <c r="D64" s="40"/>
      <c r="E64" s="40">
        <v>12</v>
      </c>
      <c r="F64" s="40"/>
      <c r="G64" s="40"/>
      <c r="H64" s="40"/>
      <c r="I64" s="40">
        <v>15</v>
      </c>
      <c r="J64" s="40">
        <v>20</v>
      </c>
      <c r="K64" s="40">
        <v>30</v>
      </c>
      <c r="L64" s="40">
        <v>29</v>
      </c>
      <c r="M64" s="40">
        <v>32</v>
      </c>
      <c r="N64">
        <v>26</v>
      </c>
      <c r="O64">
        <v>25</v>
      </c>
      <c r="Q64">
        <f t="shared" si="0"/>
        <v>13</v>
      </c>
      <c r="S64">
        <f t="shared" si="1"/>
        <v>12.303149606299213</v>
      </c>
    </row>
    <row r="65" spans="1:19">
      <c r="A65" s="40" t="s">
        <v>226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>
        <v>38</v>
      </c>
      <c r="O65">
        <v>39</v>
      </c>
      <c r="Q65">
        <f t="shared" si="0"/>
        <v>19</v>
      </c>
      <c r="S65">
        <f t="shared" si="1"/>
        <v>19.19291338582677</v>
      </c>
    </row>
    <row r="66" spans="1:19">
      <c r="A66" s="40" t="s">
        <v>232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>
        <v>29</v>
      </c>
      <c r="O66">
        <v>24</v>
      </c>
      <c r="Q66">
        <f t="shared" si="0"/>
        <v>14.5</v>
      </c>
      <c r="S66">
        <f t="shared" si="1"/>
        <v>11.811023622047244</v>
      </c>
    </row>
    <row r="67" spans="1:19">
      <c r="A67" s="40" t="s">
        <v>238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>
        <v>38</v>
      </c>
      <c r="O67">
        <v>38</v>
      </c>
      <c r="Q67">
        <f t="shared" si="0"/>
        <v>19</v>
      </c>
      <c r="S67">
        <f t="shared" si="1"/>
        <v>18.700787401574804</v>
      </c>
    </row>
    <row r="68" spans="1:19">
      <c r="A68" s="40" t="s">
        <v>244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>
        <v>28</v>
      </c>
      <c r="O68">
        <v>27</v>
      </c>
      <c r="Q68">
        <f t="shared" ref="Q68:Q131" si="2">N68/2</f>
        <v>14</v>
      </c>
      <c r="S68">
        <f t="shared" ref="S68:S131" si="3">O68/(2*1.016)</f>
        <v>13.28740157480315</v>
      </c>
    </row>
    <row r="69" spans="1:19">
      <c r="A69" s="40" t="s">
        <v>250</v>
      </c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>
        <v>32</v>
      </c>
      <c r="O69">
        <v>12</v>
      </c>
      <c r="Q69">
        <f t="shared" si="2"/>
        <v>16</v>
      </c>
      <c r="S69">
        <f t="shared" si="3"/>
        <v>5.9055118110236222</v>
      </c>
    </row>
    <row r="70" spans="1:19">
      <c r="A70" s="40" t="s">
        <v>256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>
        <v>27</v>
      </c>
      <c r="O70">
        <v>23</v>
      </c>
      <c r="Q70">
        <f t="shared" si="2"/>
        <v>13.5</v>
      </c>
      <c r="S70">
        <f t="shared" si="3"/>
        <v>11.318897637795276</v>
      </c>
    </row>
    <row r="71" spans="1:19">
      <c r="A71" s="40" t="s">
        <v>262</v>
      </c>
      <c r="B71" s="40"/>
      <c r="C71" s="40"/>
      <c r="D71" s="40"/>
      <c r="E71" s="40">
        <v>8</v>
      </c>
      <c r="F71" s="40"/>
      <c r="G71" s="40"/>
      <c r="H71" s="40"/>
      <c r="I71" s="40">
        <v>14</v>
      </c>
      <c r="J71" s="40">
        <v>14</v>
      </c>
      <c r="K71" s="40">
        <v>24</v>
      </c>
      <c r="L71" s="40">
        <v>30</v>
      </c>
      <c r="M71" s="40"/>
      <c r="N71">
        <v>28</v>
      </c>
      <c r="O71">
        <v>29</v>
      </c>
      <c r="Q71">
        <f t="shared" si="2"/>
        <v>14</v>
      </c>
      <c r="S71">
        <f t="shared" si="3"/>
        <v>14.271653543307087</v>
      </c>
    </row>
    <row r="72" spans="1:19">
      <c r="A72" s="40" t="s">
        <v>268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>
        <v>26</v>
      </c>
      <c r="O72">
        <v>25</v>
      </c>
      <c r="Q72">
        <f t="shared" si="2"/>
        <v>13</v>
      </c>
      <c r="S72">
        <f t="shared" si="3"/>
        <v>12.303149606299213</v>
      </c>
    </row>
    <row r="73" spans="1:19">
      <c r="A73" s="40" t="s">
        <v>274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>
        <v>26</v>
      </c>
      <c r="O73">
        <v>25</v>
      </c>
      <c r="Q73">
        <f t="shared" si="2"/>
        <v>13</v>
      </c>
      <c r="S73">
        <f t="shared" si="3"/>
        <v>12.303149606299213</v>
      </c>
    </row>
    <row r="74" spans="1:19">
      <c r="A74" s="40" t="s">
        <v>280</v>
      </c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>
        <v>23</v>
      </c>
      <c r="O74">
        <v>23</v>
      </c>
      <c r="Q74">
        <f t="shared" si="2"/>
        <v>11.5</v>
      </c>
      <c r="S74">
        <f t="shared" si="3"/>
        <v>11.318897637795276</v>
      </c>
    </row>
    <row r="75" spans="1:19">
      <c r="A75" s="40" t="s">
        <v>71</v>
      </c>
      <c r="B75">
        <v>10</v>
      </c>
      <c r="C75">
        <v>11</v>
      </c>
      <c r="D75">
        <v>12</v>
      </c>
      <c r="E75">
        <v>13</v>
      </c>
      <c r="F75">
        <v>11</v>
      </c>
      <c r="G75">
        <v>13</v>
      </c>
      <c r="H75">
        <v>12</v>
      </c>
      <c r="I75">
        <v>16</v>
      </c>
      <c r="J75">
        <v>17</v>
      </c>
      <c r="K75">
        <v>21</v>
      </c>
      <c r="L75">
        <v>21</v>
      </c>
      <c r="M75">
        <v>23</v>
      </c>
      <c r="N75">
        <v>21</v>
      </c>
      <c r="O75">
        <v>10</v>
      </c>
      <c r="Q75">
        <f t="shared" si="2"/>
        <v>10.5</v>
      </c>
      <c r="R75">
        <f>B$1+(Q75-B75)/(C75-B75)*(C$1-B$1)</f>
        <v>118.5</v>
      </c>
      <c r="S75">
        <f t="shared" si="3"/>
        <v>4.9212598425196852</v>
      </c>
    </row>
    <row r="76" spans="1:19">
      <c r="A76" s="40" t="s">
        <v>77</v>
      </c>
      <c r="B76">
        <v>0</v>
      </c>
      <c r="C76">
        <v>2</v>
      </c>
      <c r="D76">
        <v>0</v>
      </c>
      <c r="E76">
        <v>2</v>
      </c>
      <c r="F76">
        <v>3</v>
      </c>
      <c r="G76">
        <v>3</v>
      </c>
      <c r="H76">
        <v>2</v>
      </c>
      <c r="I76">
        <v>5</v>
      </c>
      <c r="J76">
        <v>9</v>
      </c>
      <c r="K76">
        <v>21</v>
      </c>
      <c r="L76">
        <v>25</v>
      </c>
      <c r="M76">
        <v>28</v>
      </c>
      <c r="N76">
        <v>27</v>
      </c>
      <c r="O76">
        <v>27</v>
      </c>
      <c r="Q76">
        <f t="shared" si="2"/>
        <v>13.5</v>
      </c>
      <c r="R76">
        <f>J$1+(Q76-J76)/(K76-J76)*(K$1-J$1)</f>
        <v>134.375</v>
      </c>
      <c r="S76">
        <f t="shared" si="3"/>
        <v>13.28740157480315</v>
      </c>
    </row>
    <row r="77" spans="1:19">
      <c r="A77" s="40" t="s">
        <v>83</v>
      </c>
      <c r="B77">
        <v>5</v>
      </c>
      <c r="C77">
        <v>10</v>
      </c>
      <c r="D77">
        <v>15</v>
      </c>
      <c r="E77">
        <v>16</v>
      </c>
      <c r="F77">
        <v>16</v>
      </c>
      <c r="G77">
        <v>17</v>
      </c>
      <c r="H77">
        <v>17</v>
      </c>
      <c r="I77">
        <v>21</v>
      </c>
      <c r="J77">
        <v>26</v>
      </c>
      <c r="K77">
        <v>29</v>
      </c>
      <c r="L77">
        <v>34</v>
      </c>
      <c r="M77">
        <v>37</v>
      </c>
      <c r="N77">
        <v>38</v>
      </c>
      <c r="O77">
        <v>37</v>
      </c>
      <c r="Q77">
        <f t="shared" si="2"/>
        <v>19</v>
      </c>
      <c r="R77">
        <f>H$1+(Q77-H77)/(I77-H77)*(I$1-H$1)</f>
        <v>129</v>
      </c>
      <c r="S77">
        <f t="shared" si="3"/>
        <v>18.208661417322833</v>
      </c>
    </row>
    <row r="78" spans="1:19">
      <c r="A78" s="40" t="s">
        <v>89</v>
      </c>
      <c r="B78">
        <v>8</v>
      </c>
      <c r="C78">
        <v>11</v>
      </c>
      <c r="D78">
        <v>14</v>
      </c>
      <c r="E78">
        <v>15</v>
      </c>
      <c r="F78">
        <v>13</v>
      </c>
      <c r="G78">
        <v>15</v>
      </c>
      <c r="H78">
        <v>12</v>
      </c>
      <c r="I78">
        <v>15</v>
      </c>
      <c r="J78">
        <v>21</v>
      </c>
      <c r="K78">
        <v>26</v>
      </c>
      <c r="L78">
        <v>24</v>
      </c>
      <c r="M78">
        <v>26</v>
      </c>
      <c r="N78">
        <v>23</v>
      </c>
      <c r="O78">
        <v>23</v>
      </c>
      <c r="Q78">
        <f t="shared" si="2"/>
        <v>11.5</v>
      </c>
      <c r="R78">
        <f>C$1+(Q78-C78)/(D78-C78)*(D$1-C$1)</f>
        <v>119.16666666666667</v>
      </c>
      <c r="S78">
        <f t="shared" si="3"/>
        <v>11.318897637795276</v>
      </c>
    </row>
    <row r="79" spans="1:19">
      <c r="A79" s="40" t="s">
        <v>95</v>
      </c>
      <c r="B79">
        <v>14</v>
      </c>
      <c r="C79">
        <v>20</v>
      </c>
      <c r="D79">
        <v>23</v>
      </c>
      <c r="E79">
        <v>24</v>
      </c>
      <c r="F79">
        <v>25</v>
      </c>
      <c r="G79">
        <v>25</v>
      </c>
      <c r="H79">
        <v>25</v>
      </c>
      <c r="I79">
        <v>26</v>
      </c>
      <c r="J79">
        <v>29</v>
      </c>
      <c r="K79">
        <v>31</v>
      </c>
      <c r="L79">
        <v>37</v>
      </c>
      <c r="M79">
        <v>43</v>
      </c>
      <c r="N79">
        <v>44</v>
      </c>
      <c r="O79">
        <v>45</v>
      </c>
      <c r="Q79">
        <f t="shared" si="2"/>
        <v>22</v>
      </c>
      <c r="R79">
        <f>C$1+(Q79-C79)/(D79-C79)*(D$1-C$1)</f>
        <v>119.66666666666667</v>
      </c>
      <c r="S79">
        <f t="shared" si="3"/>
        <v>22.145669291338582</v>
      </c>
    </row>
    <row r="80" spans="1:19">
      <c r="A80" s="40" t="s">
        <v>101</v>
      </c>
      <c r="B80">
        <v>8</v>
      </c>
      <c r="C80">
        <v>8</v>
      </c>
      <c r="D80">
        <v>10</v>
      </c>
      <c r="E80">
        <v>12</v>
      </c>
      <c r="F80">
        <v>9</v>
      </c>
      <c r="G80">
        <v>11</v>
      </c>
      <c r="H80">
        <v>8</v>
      </c>
      <c r="I80">
        <v>13</v>
      </c>
      <c r="J80">
        <v>14</v>
      </c>
      <c r="K80">
        <v>17</v>
      </c>
      <c r="L80">
        <v>21</v>
      </c>
      <c r="M80">
        <v>23</v>
      </c>
      <c r="N80">
        <v>21</v>
      </c>
      <c r="O80">
        <v>25</v>
      </c>
      <c r="Q80">
        <f t="shared" si="2"/>
        <v>10.5</v>
      </c>
      <c r="R80">
        <f>D$1+(Q80-D80)/(E80-D80)*(E$1-D$1)</f>
        <v>120.25</v>
      </c>
      <c r="S80">
        <f t="shared" si="3"/>
        <v>12.303149606299213</v>
      </c>
    </row>
    <row r="81" spans="1:19">
      <c r="A81" s="40" t="s">
        <v>107</v>
      </c>
      <c r="B81">
        <v>10</v>
      </c>
      <c r="C81">
        <v>13</v>
      </c>
      <c r="D81">
        <v>16</v>
      </c>
      <c r="E81">
        <v>16</v>
      </c>
      <c r="F81">
        <v>14</v>
      </c>
      <c r="G81">
        <v>15</v>
      </c>
      <c r="H81">
        <v>14</v>
      </c>
      <c r="I81">
        <v>20</v>
      </c>
      <c r="J81">
        <v>22</v>
      </c>
      <c r="K81">
        <v>23</v>
      </c>
      <c r="L81">
        <v>25</v>
      </c>
      <c r="M81">
        <v>26</v>
      </c>
      <c r="N81">
        <v>24</v>
      </c>
      <c r="O81">
        <v>24</v>
      </c>
      <c r="Q81">
        <f t="shared" si="2"/>
        <v>12</v>
      </c>
      <c r="R81">
        <f>B$1+(Q81-B81)/(C81-B81)*(C$1-B$1)</f>
        <v>118.66666666666667</v>
      </c>
      <c r="S81">
        <f t="shared" si="3"/>
        <v>11.811023622047244</v>
      </c>
    </row>
    <row r="82" spans="1:19">
      <c r="A82" s="40" t="s">
        <v>113</v>
      </c>
      <c r="B82">
        <v>2</v>
      </c>
      <c r="C82">
        <v>2</v>
      </c>
      <c r="D82">
        <v>4</v>
      </c>
      <c r="E82">
        <v>4</v>
      </c>
      <c r="F82">
        <v>2</v>
      </c>
      <c r="G82">
        <v>4</v>
      </c>
      <c r="H82">
        <v>2</v>
      </c>
      <c r="I82">
        <v>21</v>
      </c>
      <c r="J82">
        <v>25</v>
      </c>
      <c r="K82">
        <v>23</v>
      </c>
      <c r="L82">
        <v>26</v>
      </c>
      <c r="M82">
        <v>28</v>
      </c>
      <c r="N82">
        <v>28</v>
      </c>
      <c r="O82">
        <v>26</v>
      </c>
      <c r="Q82">
        <f t="shared" si="2"/>
        <v>14</v>
      </c>
      <c r="R82">
        <f>H$1+(Q82-H82)/(I82-H82)*(I$1-H$1)</f>
        <v>130.05263157894737</v>
      </c>
      <c r="S82">
        <f t="shared" si="3"/>
        <v>12.795275590551181</v>
      </c>
    </row>
    <row r="83" spans="1:19">
      <c r="A83" s="40" t="s">
        <v>119</v>
      </c>
      <c r="B83">
        <v>14</v>
      </c>
      <c r="C83">
        <v>18</v>
      </c>
      <c r="D83">
        <v>22</v>
      </c>
      <c r="E83">
        <v>24</v>
      </c>
      <c r="F83">
        <v>23</v>
      </c>
      <c r="G83">
        <v>25</v>
      </c>
      <c r="H83">
        <v>25</v>
      </c>
      <c r="I83">
        <v>32</v>
      </c>
      <c r="J83">
        <v>39</v>
      </c>
      <c r="K83">
        <v>42</v>
      </c>
      <c r="L83">
        <v>48</v>
      </c>
      <c r="M83">
        <v>57</v>
      </c>
      <c r="N83">
        <v>55</v>
      </c>
      <c r="O83">
        <v>45</v>
      </c>
      <c r="Q83">
        <f t="shared" si="2"/>
        <v>27.5</v>
      </c>
      <c r="R83">
        <f>H$1+(Q83-H83)/(I83-H83)*(I$1-H$1)</f>
        <v>127.85714285714286</v>
      </c>
      <c r="S83">
        <f t="shared" si="3"/>
        <v>22.145669291338582</v>
      </c>
    </row>
    <row r="84" spans="1:19">
      <c r="A84" s="40" t="s">
        <v>125</v>
      </c>
      <c r="B84">
        <v>2</v>
      </c>
      <c r="C84">
        <v>5</v>
      </c>
      <c r="D84">
        <v>13</v>
      </c>
      <c r="E84">
        <v>5</v>
      </c>
      <c r="F84">
        <v>5</v>
      </c>
      <c r="G84">
        <v>6</v>
      </c>
      <c r="H84">
        <v>6</v>
      </c>
      <c r="I84">
        <v>9</v>
      </c>
      <c r="J84">
        <v>13</v>
      </c>
      <c r="K84">
        <v>18</v>
      </c>
      <c r="L84">
        <v>21</v>
      </c>
      <c r="M84">
        <v>22</v>
      </c>
      <c r="N84">
        <v>22</v>
      </c>
      <c r="O84">
        <v>21</v>
      </c>
      <c r="Q84">
        <f t="shared" si="2"/>
        <v>11</v>
      </c>
      <c r="R84">
        <f>C$1+(Q84-C84)/(D84-C84)*(D$1-C$1)</f>
        <v>119.75</v>
      </c>
      <c r="S84">
        <f t="shared" si="3"/>
        <v>10.334645669291339</v>
      </c>
    </row>
    <row r="85" spans="1:19">
      <c r="A85" s="40" t="s">
        <v>131</v>
      </c>
      <c r="B85">
        <v>13</v>
      </c>
      <c r="C85">
        <v>17</v>
      </c>
      <c r="D85">
        <v>18</v>
      </c>
      <c r="E85">
        <v>18</v>
      </c>
      <c r="F85">
        <v>17</v>
      </c>
      <c r="G85">
        <v>19</v>
      </c>
      <c r="H85">
        <v>16</v>
      </c>
      <c r="I85">
        <v>19</v>
      </c>
      <c r="J85">
        <v>25</v>
      </c>
      <c r="K85">
        <v>26</v>
      </c>
      <c r="L85">
        <v>25</v>
      </c>
      <c r="M85">
        <v>24</v>
      </c>
      <c r="N85">
        <v>26</v>
      </c>
      <c r="O85">
        <v>27</v>
      </c>
      <c r="Q85">
        <f t="shared" si="2"/>
        <v>13</v>
      </c>
      <c r="R85">
        <f>B$1+(Q85-B85)/(C85-B85)*(C$1-B$1)</f>
        <v>118</v>
      </c>
      <c r="S85">
        <f t="shared" si="3"/>
        <v>13.28740157480315</v>
      </c>
    </row>
    <row r="86" spans="1:19">
      <c r="A86" s="40" t="s">
        <v>137</v>
      </c>
      <c r="B86">
        <v>25</v>
      </c>
      <c r="C86">
        <v>29</v>
      </c>
      <c r="D86">
        <v>34</v>
      </c>
      <c r="E86">
        <v>34</v>
      </c>
      <c r="F86">
        <v>33</v>
      </c>
      <c r="G86">
        <v>34</v>
      </c>
      <c r="H86">
        <v>33</v>
      </c>
      <c r="I86">
        <v>33</v>
      </c>
      <c r="J86">
        <v>42</v>
      </c>
      <c r="K86">
        <v>46</v>
      </c>
      <c r="L86">
        <v>48</v>
      </c>
      <c r="M86">
        <v>51</v>
      </c>
      <c r="N86">
        <v>51</v>
      </c>
      <c r="O86">
        <v>49</v>
      </c>
      <c r="Q86">
        <f t="shared" si="2"/>
        <v>25.5</v>
      </c>
      <c r="R86">
        <f>B$1+(Q86-B86)/(C86-B86)*(C$1-B$1)</f>
        <v>118.125</v>
      </c>
      <c r="S86">
        <f t="shared" si="3"/>
        <v>24.114173228346456</v>
      </c>
    </row>
    <row r="87" spans="1:19">
      <c r="A87" s="40" t="s">
        <v>143</v>
      </c>
      <c r="B87">
        <v>8</v>
      </c>
      <c r="C87">
        <v>11</v>
      </c>
      <c r="D87">
        <v>14</v>
      </c>
      <c r="E87">
        <v>15</v>
      </c>
      <c r="F87">
        <v>13</v>
      </c>
      <c r="G87">
        <v>15</v>
      </c>
      <c r="H87">
        <v>13</v>
      </c>
      <c r="I87">
        <v>17</v>
      </c>
      <c r="J87">
        <v>18</v>
      </c>
      <c r="K87">
        <v>18</v>
      </c>
      <c r="L87">
        <v>18</v>
      </c>
      <c r="M87">
        <v>20</v>
      </c>
      <c r="N87">
        <v>20</v>
      </c>
      <c r="O87">
        <v>10</v>
      </c>
      <c r="Q87">
        <f t="shared" si="2"/>
        <v>10</v>
      </c>
      <c r="R87">
        <f>B$1+(Q87-B87)/(C87-B87)*(C$1-B$1)</f>
        <v>118.66666666666667</v>
      </c>
      <c r="S87">
        <f t="shared" si="3"/>
        <v>4.9212598425196852</v>
      </c>
    </row>
    <row r="88" spans="1:19">
      <c r="A88" s="40" t="s">
        <v>149</v>
      </c>
      <c r="B88">
        <v>6</v>
      </c>
      <c r="C88">
        <v>7</v>
      </c>
      <c r="D88">
        <v>8</v>
      </c>
      <c r="E88">
        <v>8</v>
      </c>
      <c r="F88">
        <v>8</v>
      </c>
      <c r="G88">
        <v>9</v>
      </c>
      <c r="H88">
        <v>9</v>
      </c>
      <c r="I88">
        <v>17</v>
      </c>
      <c r="J88">
        <v>22</v>
      </c>
      <c r="K88">
        <v>23</v>
      </c>
      <c r="L88">
        <v>27</v>
      </c>
      <c r="M88">
        <v>27</v>
      </c>
      <c r="N88">
        <v>26</v>
      </c>
      <c r="O88">
        <v>12</v>
      </c>
      <c r="Q88">
        <f t="shared" si="2"/>
        <v>13</v>
      </c>
      <c r="R88">
        <f>H$1+(Q88-H88)/(I88-H88)*(I$1-H$1)</f>
        <v>129</v>
      </c>
      <c r="S88">
        <f t="shared" si="3"/>
        <v>5.9055118110236222</v>
      </c>
    </row>
    <row r="89" spans="1:19">
      <c r="A89" s="40" t="s">
        <v>155</v>
      </c>
      <c r="B89">
        <v>3</v>
      </c>
      <c r="C89">
        <v>3</v>
      </c>
      <c r="D89">
        <v>2</v>
      </c>
      <c r="E89">
        <v>3</v>
      </c>
      <c r="F89">
        <v>2</v>
      </c>
      <c r="G89">
        <v>2</v>
      </c>
      <c r="H89">
        <v>6</v>
      </c>
      <c r="I89">
        <v>18</v>
      </c>
      <c r="J89">
        <v>20</v>
      </c>
      <c r="K89">
        <v>23</v>
      </c>
      <c r="L89">
        <v>25</v>
      </c>
      <c r="M89">
        <v>26</v>
      </c>
      <c r="N89">
        <v>25</v>
      </c>
      <c r="O89">
        <v>22</v>
      </c>
      <c r="Q89">
        <f t="shared" si="2"/>
        <v>12.5</v>
      </c>
      <c r="R89">
        <f>H$1+(Q89-H89)/(I89-H89)*(I$1-H$1)</f>
        <v>129.33333333333334</v>
      </c>
      <c r="S89">
        <f t="shared" si="3"/>
        <v>10.826771653543307</v>
      </c>
    </row>
    <row r="90" spans="1:19">
      <c r="A90" s="40" t="s">
        <v>161</v>
      </c>
      <c r="B90">
        <v>6</v>
      </c>
      <c r="C90">
        <v>8</v>
      </c>
      <c r="D90">
        <v>8</v>
      </c>
      <c r="E90">
        <v>8</v>
      </c>
      <c r="F90">
        <v>9</v>
      </c>
      <c r="G90">
        <v>9</v>
      </c>
      <c r="H90">
        <v>10</v>
      </c>
      <c r="I90">
        <v>21</v>
      </c>
      <c r="J90">
        <v>23</v>
      </c>
      <c r="K90">
        <v>22</v>
      </c>
      <c r="L90">
        <v>26</v>
      </c>
      <c r="M90">
        <v>27</v>
      </c>
      <c r="N90">
        <v>27</v>
      </c>
      <c r="O90">
        <v>10</v>
      </c>
      <c r="Q90">
        <f t="shared" si="2"/>
        <v>13.5</v>
      </c>
      <c r="R90">
        <f>H$1+(Q90-H90)/(I90-H90)*(I$1-H$1)</f>
        <v>127.54545454545455</v>
      </c>
      <c r="S90">
        <f t="shared" si="3"/>
        <v>4.9212598425196852</v>
      </c>
    </row>
    <row r="91" spans="1:19">
      <c r="A91" s="40" t="s">
        <v>167</v>
      </c>
      <c r="B91">
        <v>11</v>
      </c>
      <c r="C91">
        <v>16</v>
      </c>
      <c r="D91">
        <v>15</v>
      </c>
      <c r="E91">
        <v>18</v>
      </c>
      <c r="F91">
        <v>17</v>
      </c>
      <c r="G91">
        <v>17</v>
      </c>
      <c r="H91">
        <v>19</v>
      </c>
      <c r="I91">
        <v>18</v>
      </c>
      <c r="J91">
        <v>22</v>
      </c>
      <c r="K91">
        <v>24</v>
      </c>
      <c r="L91">
        <v>27</v>
      </c>
      <c r="M91">
        <v>28</v>
      </c>
      <c r="N91">
        <v>27</v>
      </c>
      <c r="O91">
        <v>27</v>
      </c>
      <c r="Q91">
        <f t="shared" si="2"/>
        <v>13.5</v>
      </c>
      <c r="R91">
        <f>B$1+(Q91-B91)/(C91-B91)*(C$1-B$1)</f>
        <v>118.5</v>
      </c>
      <c r="S91">
        <f t="shared" si="3"/>
        <v>13.28740157480315</v>
      </c>
    </row>
    <row r="92" spans="1:19">
      <c r="A92" s="40" t="s">
        <v>173</v>
      </c>
      <c r="B92">
        <v>3</v>
      </c>
      <c r="C92">
        <v>4</v>
      </c>
      <c r="D92">
        <v>12</v>
      </c>
      <c r="E92">
        <v>5</v>
      </c>
      <c r="F92">
        <v>4</v>
      </c>
      <c r="G92">
        <v>5</v>
      </c>
      <c r="H92">
        <v>6</v>
      </c>
      <c r="I92">
        <v>12</v>
      </c>
      <c r="J92">
        <v>15</v>
      </c>
      <c r="K92">
        <v>24</v>
      </c>
      <c r="L92">
        <v>27</v>
      </c>
      <c r="M92">
        <v>22</v>
      </c>
      <c r="N92">
        <v>22</v>
      </c>
      <c r="O92">
        <v>27</v>
      </c>
      <c r="Q92">
        <f t="shared" si="2"/>
        <v>11</v>
      </c>
      <c r="R92">
        <f>C$1+(Q92-C92)/(D92-C92)*(D$1-C$1)</f>
        <v>119.875</v>
      </c>
      <c r="S92">
        <f t="shared" si="3"/>
        <v>13.28740157480315</v>
      </c>
    </row>
    <row r="93" spans="1:19">
      <c r="A93" s="40" t="s">
        <v>179</v>
      </c>
      <c r="B93">
        <v>5</v>
      </c>
      <c r="C93">
        <v>8</v>
      </c>
      <c r="D93">
        <v>9</v>
      </c>
      <c r="E93">
        <v>9</v>
      </c>
      <c r="F93">
        <v>8</v>
      </c>
      <c r="G93">
        <v>9</v>
      </c>
      <c r="H93">
        <v>9</v>
      </c>
      <c r="I93">
        <v>11</v>
      </c>
      <c r="J93">
        <v>11</v>
      </c>
      <c r="K93">
        <v>13</v>
      </c>
      <c r="L93">
        <v>15</v>
      </c>
      <c r="M93">
        <v>16</v>
      </c>
      <c r="N93">
        <v>16</v>
      </c>
      <c r="O93">
        <v>10</v>
      </c>
      <c r="Q93">
        <f t="shared" si="2"/>
        <v>8</v>
      </c>
      <c r="R93">
        <f>C$1+(Q93-C93)/(D93-C93)*(D$1-C$1)</f>
        <v>119</v>
      </c>
      <c r="S93">
        <f t="shared" si="3"/>
        <v>4.9212598425196852</v>
      </c>
    </row>
    <row r="94" spans="1:19">
      <c r="A94" s="40" t="s">
        <v>185</v>
      </c>
      <c r="B94">
        <v>2</v>
      </c>
      <c r="C94">
        <v>7</v>
      </c>
      <c r="D94">
        <v>9</v>
      </c>
      <c r="E94">
        <v>10</v>
      </c>
      <c r="F94">
        <v>10</v>
      </c>
      <c r="G94">
        <v>11</v>
      </c>
      <c r="H94">
        <v>11</v>
      </c>
      <c r="I94">
        <v>10</v>
      </c>
      <c r="J94">
        <v>15</v>
      </c>
      <c r="K94">
        <v>17</v>
      </c>
      <c r="L94">
        <v>19</v>
      </c>
      <c r="M94">
        <v>18</v>
      </c>
      <c r="N94">
        <v>19</v>
      </c>
      <c r="O94">
        <v>10</v>
      </c>
      <c r="Q94">
        <f t="shared" si="2"/>
        <v>9.5</v>
      </c>
      <c r="R94">
        <f>D$1+(Q94-D94)/(E94-D94)*(E$1-D$1)</f>
        <v>120.5</v>
      </c>
      <c r="S94">
        <f t="shared" si="3"/>
        <v>4.9212598425196852</v>
      </c>
    </row>
    <row r="95" spans="1:19">
      <c r="A95" s="40" t="s">
        <v>191</v>
      </c>
      <c r="B95">
        <v>24</v>
      </c>
      <c r="C95">
        <v>32</v>
      </c>
      <c r="D95">
        <v>33</v>
      </c>
      <c r="E95">
        <v>35</v>
      </c>
      <c r="F95">
        <v>34</v>
      </c>
      <c r="G95">
        <v>37</v>
      </c>
      <c r="H95">
        <v>38</v>
      </c>
      <c r="I95">
        <v>44</v>
      </c>
      <c r="J95">
        <v>50</v>
      </c>
      <c r="K95">
        <v>52</v>
      </c>
      <c r="L95">
        <v>56</v>
      </c>
      <c r="M95">
        <v>54</v>
      </c>
      <c r="N95">
        <v>51</v>
      </c>
      <c r="O95">
        <v>51</v>
      </c>
      <c r="Q95">
        <f t="shared" si="2"/>
        <v>25.5</v>
      </c>
      <c r="R95">
        <f>B$1+(Q95-B95)/(C95-B95)*(C$1-B$1)</f>
        <v>118.1875</v>
      </c>
      <c r="S95">
        <f t="shared" si="3"/>
        <v>25.098425196850393</v>
      </c>
    </row>
    <row r="96" spans="1:19">
      <c r="A96" s="40" t="s">
        <v>197</v>
      </c>
      <c r="B96">
        <v>11</v>
      </c>
      <c r="C96">
        <v>14</v>
      </c>
      <c r="D96">
        <v>14</v>
      </c>
      <c r="E96">
        <v>14</v>
      </c>
      <c r="F96">
        <v>15</v>
      </c>
      <c r="G96">
        <v>14</v>
      </c>
      <c r="H96">
        <v>14</v>
      </c>
      <c r="I96">
        <v>21</v>
      </c>
      <c r="J96">
        <v>22</v>
      </c>
      <c r="K96">
        <v>22</v>
      </c>
      <c r="L96">
        <v>25</v>
      </c>
      <c r="M96">
        <v>25</v>
      </c>
      <c r="N96">
        <v>26</v>
      </c>
      <c r="O96">
        <v>25</v>
      </c>
      <c r="Q96">
        <f t="shared" si="2"/>
        <v>13</v>
      </c>
      <c r="R96">
        <f>B$1+(Q96-B96)/(C96-B96)*(C$1-B$1)</f>
        <v>118.66666666666667</v>
      </c>
      <c r="S96">
        <f t="shared" si="3"/>
        <v>12.303149606299213</v>
      </c>
    </row>
    <row r="97" spans="1:19">
      <c r="A97" s="40" t="s">
        <v>203</v>
      </c>
      <c r="B97">
        <v>10</v>
      </c>
      <c r="C97">
        <v>10</v>
      </c>
      <c r="D97">
        <v>11</v>
      </c>
      <c r="E97">
        <v>13</v>
      </c>
      <c r="F97">
        <v>12</v>
      </c>
      <c r="G97">
        <v>14</v>
      </c>
      <c r="H97">
        <v>13</v>
      </c>
      <c r="I97">
        <v>19</v>
      </c>
      <c r="J97">
        <v>23</v>
      </c>
      <c r="K97">
        <v>24</v>
      </c>
      <c r="L97">
        <v>25</v>
      </c>
      <c r="M97">
        <v>25</v>
      </c>
      <c r="N97">
        <v>26</v>
      </c>
      <c r="O97">
        <v>25</v>
      </c>
      <c r="Q97">
        <f t="shared" si="2"/>
        <v>13</v>
      </c>
      <c r="R97">
        <f>D$1+(Q97-D97)/(E97-D97)*(E$1-D$1)</f>
        <v>121</v>
      </c>
      <c r="S97">
        <f t="shared" si="3"/>
        <v>12.303149606299213</v>
      </c>
    </row>
    <row r="98" spans="1:19">
      <c r="A98" s="40" t="s">
        <v>209</v>
      </c>
      <c r="B98">
        <v>11</v>
      </c>
      <c r="C98">
        <v>14</v>
      </c>
      <c r="D98">
        <v>19</v>
      </c>
      <c r="E98">
        <v>20</v>
      </c>
      <c r="F98">
        <v>18</v>
      </c>
      <c r="G98">
        <v>19</v>
      </c>
      <c r="H98">
        <v>21</v>
      </c>
      <c r="I98">
        <v>29</v>
      </c>
      <c r="J98">
        <v>42</v>
      </c>
      <c r="K98">
        <v>45</v>
      </c>
      <c r="L98">
        <v>45</v>
      </c>
      <c r="M98">
        <v>49</v>
      </c>
      <c r="N98">
        <v>47</v>
      </c>
      <c r="O98">
        <v>46</v>
      </c>
      <c r="Q98">
        <f t="shared" si="2"/>
        <v>23.5</v>
      </c>
      <c r="R98">
        <f>H$1+(Q98-H98)/(I98-H98)*(I$1-H$1)</f>
        <v>127.5</v>
      </c>
      <c r="S98">
        <f t="shared" si="3"/>
        <v>22.637795275590552</v>
      </c>
    </row>
    <row r="99" spans="1:19">
      <c r="A99" s="40" t="s">
        <v>215</v>
      </c>
      <c r="B99">
        <v>2</v>
      </c>
      <c r="C99">
        <v>2</v>
      </c>
      <c r="D99">
        <v>3</v>
      </c>
      <c r="E99">
        <v>3</v>
      </c>
      <c r="F99">
        <v>2</v>
      </c>
      <c r="G99">
        <v>3</v>
      </c>
      <c r="H99">
        <v>3</v>
      </c>
      <c r="I99">
        <v>5</v>
      </c>
      <c r="J99">
        <v>6</v>
      </c>
      <c r="K99">
        <v>13</v>
      </c>
      <c r="L99">
        <v>16</v>
      </c>
      <c r="M99">
        <v>23</v>
      </c>
      <c r="N99">
        <v>23</v>
      </c>
      <c r="O99">
        <v>11</v>
      </c>
      <c r="Q99">
        <f t="shared" si="2"/>
        <v>11.5</v>
      </c>
      <c r="R99">
        <f>J$1+(Q99-J99)/(K99-J99)*(K$1-J$1)</f>
        <v>134.78571428571428</v>
      </c>
      <c r="S99">
        <f t="shared" si="3"/>
        <v>5.4133858267716537</v>
      </c>
    </row>
    <row r="100" spans="1:19">
      <c r="A100" s="40" t="s">
        <v>221</v>
      </c>
      <c r="B100">
        <v>1</v>
      </c>
      <c r="C100">
        <v>3</v>
      </c>
      <c r="D100">
        <v>12</v>
      </c>
      <c r="E100">
        <v>6</v>
      </c>
      <c r="F100">
        <v>4</v>
      </c>
      <c r="G100">
        <v>5</v>
      </c>
      <c r="H100">
        <v>4</v>
      </c>
      <c r="I100">
        <v>5</v>
      </c>
      <c r="J100">
        <v>9</v>
      </c>
      <c r="K100">
        <v>10</v>
      </c>
      <c r="L100">
        <v>14</v>
      </c>
      <c r="M100">
        <v>16</v>
      </c>
      <c r="N100">
        <v>33</v>
      </c>
      <c r="O100">
        <v>14</v>
      </c>
      <c r="Q100">
        <f t="shared" si="2"/>
        <v>16.5</v>
      </c>
      <c r="R100">
        <f>M$1+(Q100-M100)/(N100-M100)*(N$1-M$1)</f>
        <v>140.02941176470588</v>
      </c>
      <c r="S100">
        <f t="shared" si="3"/>
        <v>6.8897637795275593</v>
      </c>
    </row>
    <row r="101" spans="1:19">
      <c r="A101" s="40" t="s">
        <v>227</v>
      </c>
      <c r="B101">
        <v>16</v>
      </c>
      <c r="C101">
        <v>20</v>
      </c>
      <c r="D101">
        <v>24</v>
      </c>
      <c r="E101">
        <v>27</v>
      </c>
      <c r="F101">
        <v>25</v>
      </c>
      <c r="G101">
        <v>28</v>
      </c>
      <c r="H101">
        <v>18</v>
      </c>
      <c r="I101">
        <v>31</v>
      </c>
      <c r="J101">
        <v>32</v>
      </c>
      <c r="K101">
        <v>38</v>
      </c>
      <c r="L101">
        <v>42</v>
      </c>
      <c r="M101">
        <v>47</v>
      </c>
      <c r="N101">
        <v>44</v>
      </c>
      <c r="O101">
        <v>44</v>
      </c>
      <c r="Q101">
        <f t="shared" si="2"/>
        <v>22</v>
      </c>
      <c r="R101">
        <f>C$1+(Q101-C101)/(D101-C101)*(D$1-C$1)</f>
        <v>119.5</v>
      </c>
      <c r="S101">
        <f t="shared" si="3"/>
        <v>21.653543307086615</v>
      </c>
    </row>
    <row r="102" spans="1:19">
      <c r="A102" s="40" t="s">
        <v>233</v>
      </c>
      <c r="B102">
        <v>10</v>
      </c>
      <c r="C102">
        <v>15</v>
      </c>
      <c r="D102">
        <v>15</v>
      </c>
      <c r="E102">
        <v>16</v>
      </c>
      <c r="F102">
        <v>16</v>
      </c>
      <c r="G102">
        <v>18</v>
      </c>
      <c r="H102">
        <v>16</v>
      </c>
      <c r="I102">
        <v>20</v>
      </c>
      <c r="J102">
        <v>20</v>
      </c>
      <c r="K102">
        <v>24</v>
      </c>
      <c r="L102">
        <v>25</v>
      </c>
      <c r="M102">
        <v>26</v>
      </c>
      <c r="N102">
        <v>25</v>
      </c>
      <c r="O102">
        <v>20</v>
      </c>
      <c r="Q102">
        <f t="shared" si="2"/>
        <v>12.5</v>
      </c>
      <c r="R102">
        <f>B$1+(Q102-B102)/(C102-B102)*(C$1-B$1)</f>
        <v>118.5</v>
      </c>
      <c r="S102">
        <f t="shared" si="3"/>
        <v>9.8425196850393704</v>
      </c>
    </row>
    <row r="103" spans="1:19">
      <c r="A103" s="40" t="s">
        <v>239</v>
      </c>
      <c r="B103">
        <v>20</v>
      </c>
      <c r="C103">
        <v>27</v>
      </c>
      <c r="D103">
        <v>28</v>
      </c>
      <c r="E103">
        <v>28</v>
      </c>
      <c r="F103">
        <v>27</v>
      </c>
      <c r="G103">
        <v>27</v>
      </c>
      <c r="H103">
        <v>28</v>
      </c>
      <c r="I103">
        <v>31</v>
      </c>
      <c r="J103">
        <v>38</v>
      </c>
      <c r="K103">
        <v>42</v>
      </c>
      <c r="L103">
        <v>47</v>
      </c>
      <c r="M103">
        <v>46</v>
      </c>
      <c r="N103">
        <v>48</v>
      </c>
      <c r="O103">
        <v>46</v>
      </c>
      <c r="Q103">
        <f t="shared" si="2"/>
        <v>24</v>
      </c>
      <c r="R103">
        <f>B$1+(Q103-B103)/(C103-B103)*(C$1-B$1)</f>
        <v>118.57142857142857</v>
      </c>
      <c r="S103">
        <f t="shared" si="3"/>
        <v>22.637795275590552</v>
      </c>
    </row>
    <row r="104" spans="1:19">
      <c r="A104" s="40" t="s">
        <v>245</v>
      </c>
      <c r="B104">
        <v>6</v>
      </c>
      <c r="C104">
        <v>9</v>
      </c>
      <c r="D104">
        <v>13</v>
      </c>
      <c r="E104">
        <v>11</v>
      </c>
      <c r="F104">
        <v>11</v>
      </c>
      <c r="G104">
        <v>11</v>
      </c>
      <c r="H104">
        <v>11</v>
      </c>
      <c r="I104">
        <v>16</v>
      </c>
      <c r="J104">
        <v>16</v>
      </c>
      <c r="K104">
        <v>19</v>
      </c>
      <c r="L104">
        <v>17</v>
      </c>
      <c r="M104">
        <v>19</v>
      </c>
      <c r="N104">
        <v>20</v>
      </c>
      <c r="O104">
        <v>19</v>
      </c>
      <c r="Q104">
        <f t="shared" si="2"/>
        <v>10</v>
      </c>
      <c r="R104">
        <f>C$1+(Q104-C104)/(D104-C104)*(D$1-C$1)</f>
        <v>119.25</v>
      </c>
      <c r="S104">
        <f t="shared" si="3"/>
        <v>9.3503937007874018</v>
      </c>
    </row>
    <row r="105" spans="1:19">
      <c r="A105" s="40" t="s">
        <v>251</v>
      </c>
      <c r="B105">
        <v>10</v>
      </c>
      <c r="C105">
        <v>11</v>
      </c>
      <c r="D105">
        <v>13</v>
      </c>
      <c r="E105">
        <v>13</v>
      </c>
      <c r="F105">
        <v>11</v>
      </c>
      <c r="G105">
        <v>14</v>
      </c>
      <c r="H105">
        <v>13</v>
      </c>
      <c r="I105">
        <v>22</v>
      </c>
      <c r="J105">
        <v>23</v>
      </c>
      <c r="K105">
        <v>23</v>
      </c>
      <c r="L105">
        <v>25</v>
      </c>
      <c r="M105">
        <v>26</v>
      </c>
      <c r="N105">
        <v>25</v>
      </c>
      <c r="O105">
        <v>9</v>
      </c>
      <c r="Q105">
        <f t="shared" si="2"/>
        <v>12.5</v>
      </c>
      <c r="R105">
        <f>C$1+(Q105-C105)/(D105-C105)*(D$1-C$1)</f>
        <v>119.75</v>
      </c>
      <c r="S105">
        <f t="shared" si="3"/>
        <v>4.4291338582677167</v>
      </c>
    </row>
    <row r="106" spans="1:19">
      <c r="A106" s="40" t="s">
        <v>257</v>
      </c>
      <c r="B106">
        <v>9</v>
      </c>
      <c r="C106">
        <v>13</v>
      </c>
      <c r="D106">
        <v>14</v>
      </c>
      <c r="E106">
        <v>13</v>
      </c>
      <c r="F106">
        <v>12</v>
      </c>
      <c r="G106">
        <v>13</v>
      </c>
      <c r="H106">
        <v>12</v>
      </c>
      <c r="I106">
        <v>19</v>
      </c>
      <c r="J106">
        <v>25</v>
      </c>
      <c r="K106">
        <v>25</v>
      </c>
      <c r="L106">
        <v>27</v>
      </c>
      <c r="M106">
        <v>29</v>
      </c>
      <c r="N106">
        <v>27</v>
      </c>
      <c r="O106">
        <v>23</v>
      </c>
      <c r="Q106">
        <f t="shared" si="2"/>
        <v>13.5</v>
      </c>
      <c r="R106">
        <f>C$1+(Q106-C106)/(D106-C106)*(D$1-C$1)</f>
        <v>119.5</v>
      </c>
      <c r="S106">
        <f t="shared" si="3"/>
        <v>11.318897637795276</v>
      </c>
    </row>
    <row r="107" spans="1:19">
      <c r="A107" s="40" t="s">
        <v>263</v>
      </c>
      <c r="B107">
        <v>0</v>
      </c>
      <c r="C107">
        <v>1</v>
      </c>
      <c r="D107">
        <v>8</v>
      </c>
      <c r="E107">
        <v>10</v>
      </c>
      <c r="F107">
        <v>18</v>
      </c>
      <c r="G107">
        <v>10</v>
      </c>
      <c r="H107">
        <v>12</v>
      </c>
      <c r="I107">
        <v>17</v>
      </c>
      <c r="J107">
        <v>16</v>
      </c>
      <c r="K107">
        <v>19</v>
      </c>
      <c r="L107">
        <v>30</v>
      </c>
      <c r="M107">
        <v>29</v>
      </c>
      <c r="N107">
        <v>29</v>
      </c>
      <c r="O107">
        <v>29</v>
      </c>
      <c r="Q107">
        <f t="shared" si="2"/>
        <v>14.5</v>
      </c>
      <c r="R107">
        <f>E$1+(Q107-E107)/(F107-E107)*(F$1-E$1)</f>
        <v>121.5625</v>
      </c>
      <c r="S107">
        <f t="shared" si="3"/>
        <v>14.271653543307087</v>
      </c>
    </row>
    <row r="108" spans="1:19">
      <c r="A108" s="40" t="s">
        <v>269</v>
      </c>
      <c r="B108">
        <v>0</v>
      </c>
      <c r="C108">
        <v>5</v>
      </c>
      <c r="D108">
        <v>10</v>
      </c>
      <c r="E108">
        <v>13</v>
      </c>
      <c r="F108">
        <v>13</v>
      </c>
      <c r="G108">
        <v>16</v>
      </c>
      <c r="H108">
        <v>16</v>
      </c>
      <c r="I108">
        <v>19</v>
      </c>
      <c r="J108">
        <v>19</v>
      </c>
      <c r="K108">
        <v>21</v>
      </c>
      <c r="L108">
        <v>26</v>
      </c>
      <c r="M108">
        <v>29</v>
      </c>
      <c r="N108">
        <v>27</v>
      </c>
      <c r="O108">
        <v>23</v>
      </c>
      <c r="Q108">
        <f t="shared" si="2"/>
        <v>13.5</v>
      </c>
      <c r="R108">
        <f>F$1+(Q108-F108)/(G108-F108)*(G$1-F$1)</f>
        <v>122.16666666666667</v>
      </c>
      <c r="S108">
        <f t="shared" si="3"/>
        <v>11.318897637795276</v>
      </c>
    </row>
    <row r="109" spans="1:19">
      <c r="A109" s="40" t="s">
        <v>275</v>
      </c>
      <c r="B109">
        <v>0</v>
      </c>
      <c r="C109">
        <v>1</v>
      </c>
      <c r="D109">
        <v>3</v>
      </c>
      <c r="E109">
        <v>9</v>
      </c>
      <c r="F109">
        <v>11</v>
      </c>
      <c r="G109">
        <v>10</v>
      </c>
      <c r="H109">
        <v>10</v>
      </c>
      <c r="I109">
        <v>10</v>
      </c>
      <c r="J109">
        <v>10</v>
      </c>
      <c r="K109">
        <v>13</v>
      </c>
      <c r="L109">
        <v>19</v>
      </c>
      <c r="M109">
        <v>23</v>
      </c>
      <c r="N109">
        <v>23</v>
      </c>
      <c r="O109">
        <v>22</v>
      </c>
      <c r="Q109">
        <f t="shared" si="2"/>
        <v>11.5</v>
      </c>
      <c r="R109">
        <f>E$1+(Q109-E109)/(F109-E109)*(F$1-E$1)</f>
        <v>122.25</v>
      </c>
      <c r="S109">
        <f t="shared" si="3"/>
        <v>10.826771653543307</v>
      </c>
    </row>
    <row r="110" spans="1:19">
      <c r="A110" s="40" t="s">
        <v>281</v>
      </c>
      <c r="B110">
        <v>0</v>
      </c>
      <c r="C110">
        <v>5</v>
      </c>
      <c r="D110">
        <v>12</v>
      </c>
      <c r="E110">
        <v>13</v>
      </c>
      <c r="F110">
        <v>17</v>
      </c>
      <c r="G110">
        <v>13</v>
      </c>
      <c r="H110">
        <v>13</v>
      </c>
      <c r="I110">
        <v>15</v>
      </c>
      <c r="J110">
        <v>15</v>
      </c>
      <c r="K110">
        <v>15</v>
      </c>
      <c r="L110">
        <v>23</v>
      </c>
      <c r="M110">
        <v>25</v>
      </c>
      <c r="N110">
        <v>24</v>
      </c>
      <c r="O110">
        <v>24</v>
      </c>
      <c r="Q110">
        <f t="shared" si="2"/>
        <v>12</v>
      </c>
      <c r="R110">
        <f>C$1+(Q110-C110)/(D110-C110)*(D$1-C$1)</f>
        <v>120</v>
      </c>
      <c r="S110">
        <f t="shared" si="3"/>
        <v>11.811023622047244</v>
      </c>
    </row>
    <row r="111" spans="1:19">
      <c r="A111" s="40" t="s">
        <v>72</v>
      </c>
      <c r="B111">
        <v>6</v>
      </c>
      <c r="C111">
        <v>10</v>
      </c>
      <c r="D111">
        <v>9</v>
      </c>
      <c r="E111">
        <v>9</v>
      </c>
      <c r="F111">
        <v>10</v>
      </c>
      <c r="G111">
        <v>10</v>
      </c>
      <c r="H111">
        <v>9</v>
      </c>
      <c r="I111">
        <v>11</v>
      </c>
      <c r="J111">
        <v>13</v>
      </c>
      <c r="K111">
        <v>18</v>
      </c>
      <c r="L111">
        <v>22</v>
      </c>
      <c r="M111">
        <v>27</v>
      </c>
      <c r="N111">
        <v>26</v>
      </c>
      <c r="O111">
        <v>11</v>
      </c>
      <c r="Q111">
        <f t="shared" si="2"/>
        <v>13</v>
      </c>
      <c r="R111">
        <f>I$1+(Q111-I111)/(J111-I111)*(J$1-I$1)</f>
        <v>134</v>
      </c>
      <c r="S111">
        <f t="shared" si="3"/>
        <v>5.4133858267716537</v>
      </c>
    </row>
    <row r="112" spans="1:19">
      <c r="A112" s="40" t="s">
        <v>78</v>
      </c>
      <c r="B112">
        <v>7</v>
      </c>
      <c r="C112">
        <v>9</v>
      </c>
      <c r="D112">
        <v>2</v>
      </c>
      <c r="E112">
        <v>12</v>
      </c>
      <c r="F112">
        <v>13</v>
      </c>
      <c r="G112">
        <v>14</v>
      </c>
      <c r="H112">
        <v>13</v>
      </c>
      <c r="I112">
        <v>13</v>
      </c>
      <c r="J112">
        <v>15</v>
      </c>
      <c r="K112">
        <v>17</v>
      </c>
      <c r="L112">
        <v>19</v>
      </c>
      <c r="M112">
        <v>19</v>
      </c>
      <c r="N112">
        <v>18</v>
      </c>
      <c r="O112">
        <v>18</v>
      </c>
      <c r="Q112">
        <f t="shared" si="2"/>
        <v>9</v>
      </c>
      <c r="R112">
        <f>C$1+(Q112-C112)/(D112-C112)*(D$1-C$1)</f>
        <v>119</v>
      </c>
      <c r="S112">
        <f t="shared" si="3"/>
        <v>8.8582677165354333</v>
      </c>
    </row>
    <row r="113" spans="1:19">
      <c r="A113" s="40" t="s">
        <v>84</v>
      </c>
      <c r="B113">
        <v>15</v>
      </c>
      <c r="C113">
        <v>18</v>
      </c>
      <c r="D113">
        <v>18</v>
      </c>
      <c r="E113">
        <v>19</v>
      </c>
      <c r="F113">
        <v>20</v>
      </c>
      <c r="G113">
        <v>20</v>
      </c>
      <c r="H113">
        <v>22</v>
      </c>
      <c r="I113">
        <v>21</v>
      </c>
      <c r="J113">
        <v>31</v>
      </c>
      <c r="K113">
        <v>4</v>
      </c>
      <c r="L113">
        <v>40</v>
      </c>
      <c r="M113">
        <v>41</v>
      </c>
      <c r="N113">
        <v>38</v>
      </c>
      <c r="O113">
        <v>38</v>
      </c>
      <c r="Q113">
        <f t="shared" si="2"/>
        <v>19</v>
      </c>
      <c r="R113">
        <f>D$1+(Q113-D113)/(E113-D113)*(E$1-D$1)</f>
        <v>121</v>
      </c>
      <c r="S113">
        <f t="shared" si="3"/>
        <v>18.700787401574804</v>
      </c>
    </row>
    <row r="114" spans="1:19">
      <c r="A114" s="40" t="s">
        <v>90</v>
      </c>
      <c r="B114">
        <v>11</v>
      </c>
      <c r="C114">
        <v>11</v>
      </c>
      <c r="D114">
        <v>13</v>
      </c>
      <c r="E114">
        <v>14</v>
      </c>
      <c r="F114">
        <v>12</v>
      </c>
      <c r="G114">
        <v>14</v>
      </c>
      <c r="H114">
        <v>12</v>
      </c>
      <c r="I114">
        <v>15</v>
      </c>
      <c r="J114">
        <v>24</v>
      </c>
      <c r="K114">
        <v>27</v>
      </c>
      <c r="L114">
        <v>29</v>
      </c>
      <c r="M114">
        <v>28</v>
      </c>
      <c r="N114">
        <v>27</v>
      </c>
      <c r="O114">
        <v>24</v>
      </c>
      <c r="Q114">
        <f t="shared" si="2"/>
        <v>13.5</v>
      </c>
      <c r="R114">
        <f>D$1+(Q114-D114)/(E114-D114)*(E$1-D$1)</f>
        <v>120.5</v>
      </c>
      <c r="S114">
        <f t="shared" si="3"/>
        <v>11.811023622047244</v>
      </c>
    </row>
    <row r="115" spans="1:19">
      <c r="A115" s="40" t="s">
        <v>96</v>
      </c>
      <c r="B115">
        <v>11</v>
      </c>
      <c r="C115">
        <v>13</v>
      </c>
      <c r="D115">
        <v>16</v>
      </c>
      <c r="E115">
        <v>14</v>
      </c>
      <c r="F115">
        <v>14</v>
      </c>
      <c r="G115">
        <v>15</v>
      </c>
      <c r="H115">
        <v>15</v>
      </c>
      <c r="I115">
        <v>24</v>
      </c>
      <c r="J115">
        <v>30</v>
      </c>
      <c r="K115">
        <v>33</v>
      </c>
      <c r="L115">
        <v>40</v>
      </c>
      <c r="M115">
        <v>44</v>
      </c>
      <c r="N115">
        <v>41</v>
      </c>
      <c r="O115">
        <v>41</v>
      </c>
      <c r="Q115">
        <f t="shared" si="2"/>
        <v>20.5</v>
      </c>
      <c r="R115">
        <f>H$1+(Q115-H115)/(I115-H115)*(I$1-H$1)</f>
        <v>129.88888888888889</v>
      </c>
      <c r="S115">
        <f t="shared" si="3"/>
        <v>20.177165354330707</v>
      </c>
    </row>
    <row r="116" spans="1:19">
      <c r="A116" s="40" t="s">
        <v>102</v>
      </c>
      <c r="B116">
        <v>7</v>
      </c>
      <c r="C116">
        <v>8</v>
      </c>
      <c r="D116">
        <v>12</v>
      </c>
      <c r="E116">
        <v>12</v>
      </c>
      <c r="F116">
        <v>10</v>
      </c>
      <c r="G116">
        <v>12</v>
      </c>
      <c r="H116">
        <v>11</v>
      </c>
      <c r="I116">
        <v>19</v>
      </c>
      <c r="J116">
        <v>21</v>
      </c>
      <c r="K116">
        <v>22</v>
      </c>
      <c r="L116">
        <v>23</v>
      </c>
      <c r="M116">
        <v>24</v>
      </c>
      <c r="N116">
        <v>23</v>
      </c>
      <c r="O116">
        <v>24</v>
      </c>
      <c r="Q116">
        <f t="shared" si="2"/>
        <v>11.5</v>
      </c>
      <c r="R116">
        <f>C$1+(Q116-C116)/(D116-C116)*(D$1-C$1)</f>
        <v>119.875</v>
      </c>
      <c r="S116">
        <f t="shared" si="3"/>
        <v>11.811023622047244</v>
      </c>
    </row>
    <row r="117" spans="1:19">
      <c r="A117" s="40" t="s">
        <v>108</v>
      </c>
      <c r="B117">
        <v>6</v>
      </c>
      <c r="C117">
        <v>8</v>
      </c>
      <c r="D117">
        <v>10</v>
      </c>
      <c r="E117">
        <v>10</v>
      </c>
      <c r="F117">
        <v>10</v>
      </c>
      <c r="G117">
        <v>9</v>
      </c>
      <c r="H117">
        <v>10</v>
      </c>
      <c r="I117">
        <v>17</v>
      </c>
      <c r="J117">
        <v>21</v>
      </c>
      <c r="K117">
        <v>21</v>
      </c>
      <c r="L117">
        <v>21</v>
      </c>
      <c r="M117">
        <v>22</v>
      </c>
      <c r="N117">
        <v>21</v>
      </c>
      <c r="O117">
        <v>20</v>
      </c>
      <c r="Q117">
        <f t="shared" si="2"/>
        <v>10.5</v>
      </c>
      <c r="R117">
        <f>C$1+(Q117-C117)/(D117-C117)*(D$1-C$1)</f>
        <v>120.25</v>
      </c>
      <c r="S117">
        <f t="shared" si="3"/>
        <v>9.8425196850393704</v>
      </c>
    </row>
    <row r="118" spans="1:19">
      <c r="A118" s="40" t="s">
        <v>114</v>
      </c>
      <c r="B118">
        <v>13</v>
      </c>
      <c r="C118">
        <v>16</v>
      </c>
      <c r="D118">
        <v>15</v>
      </c>
      <c r="E118">
        <v>16</v>
      </c>
      <c r="F118">
        <v>17</v>
      </c>
      <c r="G118">
        <v>16</v>
      </c>
      <c r="H118">
        <v>17</v>
      </c>
      <c r="I118">
        <v>19</v>
      </c>
      <c r="J118">
        <v>22</v>
      </c>
      <c r="K118">
        <v>27</v>
      </c>
      <c r="L118">
        <v>26</v>
      </c>
      <c r="M118">
        <v>27</v>
      </c>
      <c r="N118">
        <v>25</v>
      </c>
      <c r="O118">
        <v>24</v>
      </c>
      <c r="Q118">
        <f t="shared" si="2"/>
        <v>12.5</v>
      </c>
      <c r="R118">
        <f>B$1+(Q118-B118)/(C118-B118)*(C$1-B$1)</f>
        <v>117.83333333333333</v>
      </c>
      <c r="S118">
        <f t="shared" si="3"/>
        <v>11.811023622047244</v>
      </c>
    </row>
    <row r="119" spans="1:19">
      <c r="A119" s="40" t="s">
        <v>120</v>
      </c>
      <c r="B119">
        <v>11</v>
      </c>
      <c r="C119">
        <v>13</v>
      </c>
      <c r="D119">
        <v>16</v>
      </c>
      <c r="E119">
        <v>16</v>
      </c>
      <c r="F119">
        <v>16</v>
      </c>
      <c r="G119">
        <v>17</v>
      </c>
      <c r="H119">
        <v>19</v>
      </c>
      <c r="I119">
        <v>22</v>
      </c>
      <c r="J119">
        <v>28</v>
      </c>
      <c r="K119">
        <v>31</v>
      </c>
      <c r="L119">
        <v>41</v>
      </c>
      <c r="M119">
        <v>46</v>
      </c>
      <c r="N119">
        <v>41</v>
      </c>
      <c r="O119">
        <v>40</v>
      </c>
      <c r="Q119">
        <f t="shared" si="2"/>
        <v>20.5</v>
      </c>
      <c r="R119">
        <f>H$1+(Q119-H119)/(I119-H119)*(I$1-H$1)</f>
        <v>129</v>
      </c>
      <c r="S119">
        <f t="shared" si="3"/>
        <v>19.685039370078741</v>
      </c>
    </row>
    <row r="120" spans="1:19">
      <c r="A120" s="40" t="s">
        <v>126</v>
      </c>
      <c r="B120">
        <v>6</v>
      </c>
      <c r="C120">
        <v>8</v>
      </c>
      <c r="D120">
        <v>5</v>
      </c>
      <c r="E120">
        <v>13</v>
      </c>
      <c r="F120">
        <v>10</v>
      </c>
      <c r="G120">
        <v>12</v>
      </c>
      <c r="H120">
        <v>10</v>
      </c>
      <c r="I120">
        <v>12</v>
      </c>
      <c r="J120">
        <v>15</v>
      </c>
      <c r="K120">
        <v>19</v>
      </c>
      <c r="L120">
        <v>22</v>
      </c>
      <c r="M120">
        <v>25</v>
      </c>
      <c r="N120">
        <v>22</v>
      </c>
      <c r="O120">
        <v>22</v>
      </c>
      <c r="Q120">
        <f t="shared" si="2"/>
        <v>11</v>
      </c>
      <c r="R120">
        <f>D$1+(Q120-D120)/(E120-D120)*(E$1-D$1)</f>
        <v>120.75</v>
      </c>
      <c r="S120">
        <f t="shared" si="3"/>
        <v>10.826771653543307</v>
      </c>
    </row>
    <row r="121" spans="1:19">
      <c r="A121" s="40" t="s">
        <v>132</v>
      </c>
      <c r="B121">
        <v>10</v>
      </c>
      <c r="C121">
        <v>13</v>
      </c>
      <c r="D121">
        <v>15</v>
      </c>
      <c r="E121">
        <v>16</v>
      </c>
      <c r="F121">
        <v>16</v>
      </c>
      <c r="G121">
        <v>16</v>
      </c>
      <c r="H121">
        <v>16</v>
      </c>
      <c r="I121">
        <v>17</v>
      </c>
      <c r="J121">
        <v>21</v>
      </c>
      <c r="K121">
        <v>22</v>
      </c>
      <c r="L121">
        <v>23</v>
      </c>
      <c r="M121">
        <v>24</v>
      </c>
      <c r="N121">
        <v>23</v>
      </c>
      <c r="O121">
        <v>22</v>
      </c>
      <c r="Q121">
        <f t="shared" si="2"/>
        <v>11.5</v>
      </c>
      <c r="R121">
        <f>B$1+(Q121-B121)/(C121-B121)*(C$1-B$1)</f>
        <v>118.5</v>
      </c>
      <c r="S121">
        <f t="shared" si="3"/>
        <v>10.826771653543307</v>
      </c>
    </row>
    <row r="122" spans="1:19">
      <c r="A122" s="40" t="s">
        <v>138</v>
      </c>
      <c r="B122">
        <v>12</v>
      </c>
      <c r="C122">
        <v>18</v>
      </c>
      <c r="D122">
        <v>22</v>
      </c>
      <c r="E122">
        <v>20</v>
      </c>
      <c r="F122">
        <v>19</v>
      </c>
      <c r="G122">
        <v>21</v>
      </c>
      <c r="H122">
        <v>22</v>
      </c>
      <c r="I122">
        <v>28</v>
      </c>
      <c r="J122">
        <v>35</v>
      </c>
      <c r="K122">
        <v>41</v>
      </c>
      <c r="L122">
        <v>46</v>
      </c>
      <c r="M122">
        <v>46</v>
      </c>
      <c r="N122">
        <v>41</v>
      </c>
      <c r="O122">
        <v>41</v>
      </c>
      <c r="Q122">
        <f t="shared" si="2"/>
        <v>20.5</v>
      </c>
      <c r="R122">
        <f>C$1+(Q122-C122)/(D122-C122)*(D$1-C$1)</f>
        <v>119.625</v>
      </c>
      <c r="S122">
        <f t="shared" si="3"/>
        <v>20.177165354330707</v>
      </c>
    </row>
    <row r="123" spans="1:19">
      <c r="A123" s="40" t="s">
        <v>144</v>
      </c>
      <c r="B123">
        <v>12</v>
      </c>
      <c r="C123">
        <v>13</v>
      </c>
      <c r="D123">
        <v>14</v>
      </c>
      <c r="E123">
        <v>14</v>
      </c>
      <c r="F123">
        <v>13</v>
      </c>
      <c r="G123">
        <v>14</v>
      </c>
      <c r="H123">
        <v>15</v>
      </c>
      <c r="I123">
        <v>20</v>
      </c>
      <c r="J123">
        <v>25</v>
      </c>
      <c r="K123">
        <v>25</v>
      </c>
      <c r="L123">
        <v>29</v>
      </c>
      <c r="M123">
        <v>28</v>
      </c>
      <c r="N123">
        <v>27</v>
      </c>
      <c r="O123">
        <v>14</v>
      </c>
      <c r="Q123">
        <f t="shared" si="2"/>
        <v>13.5</v>
      </c>
      <c r="R123">
        <f>C$1+(Q123-C123)/(D123-C123)*(D$1-C$1)</f>
        <v>119.5</v>
      </c>
      <c r="S123">
        <f t="shared" si="3"/>
        <v>6.8897637795275593</v>
      </c>
    </row>
    <row r="124" spans="1:19">
      <c r="A124" s="40" t="s">
        <v>150</v>
      </c>
      <c r="B124">
        <v>12</v>
      </c>
      <c r="C124">
        <v>15</v>
      </c>
      <c r="D124">
        <v>16</v>
      </c>
      <c r="E124">
        <v>15</v>
      </c>
      <c r="F124">
        <v>14</v>
      </c>
      <c r="G124">
        <v>16</v>
      </c>
      <c r="H124">
        <v>15</v>
      </c>
      <c r="I124">
        <v>19</v>
      </c>
      <c r="J124">
        <v>18</v>
      </c>
      <c r="K124">
        <v>19</v>
      </c>
      <c r="L124">
        <v>17</v>
      </c>
      <c r="M124">
        <v>19</v>
      </c>
      <c r="N124">
        <v>18</v>
      </c>
      <c r="O124">
        <v>9</v>
      </c>
      <c r="Q124">
        <f t="shared" si="2"/>
        <v>9</v>
      </c>
      <c r="R124">
        <f>B$1+(Q124-B124)/(C124-B124)*(C$1-B$1)</f>
        <v>117</v>
      </c>
      <c r="S124">
        <f t="shared" si="3"/>
        <v>4.4291338582677167</v>
      </c>
    </row>
    <row r="125" spans="1:19">
      <c r="A125" s="40" t="s">
        <v>156</v>
      </c>
      <c r="B125">
        <v>1</v>
      </c>
      <c r="C125">
        <v>2</v>
      </c>
      <c r="D125">
        <v>3</v>
      </c>
      <c r="E125">
        <v>3</v>
      </c>
      <c r="F125">
        <v>2</v>
      </c>
      <c r="G125">
        <v>3</v>
      </c>
      <c r="H125">
        <v>3</v>
      </c>
      <c r="I125">
        <v>13</v>
      </c>
      <c r="J125">
        <v>15</v>
      </c>
      <c r="K125">
        <v>19</v>
      </c>
      <c r="L125">
        <v>23</v>
      </c>
      <c r="M125">
        <v>25</v>
      </c>
      <c r="N125">
        <v>22</v>
      </c>
      <c r="O125">
        <v>22</v>
      </c>
      <c r="Q125">
        <f t="shared" si="2"/>
        <v>11</v>
      </c>
      <c r="R125">
        <f>H$1+(Q125-H125)/(I125-H125)*(I$1-H$1)</f>
        <v>131.4</v>
      </c>
      <c r="S125">
        <f t="shared" si="3"/>
        <v>10.826771653543307</v>
      </c>
    </row>
    <row r="126" spans="1:19">
      <c r="A126" s="40" t="s">
        <v>162</v>
      </c>
      <c r="B126">
        <v>9</v>
      </c>
      <c r="C126">
        <v>11</v>
      </c>
      <c r="D126">
        <v>15</v>
      </c>
      <c r="E126">
        <v>15</v>
      </c>
      <c r="F126">
        <v>14</v>
      </c>
      <c r="G126">
        <v>15</v>
      </c>
      <c r="H126">
        <v>13</v>
      </c>
      <c r="I126">
        <v>21</v>
      </c>
      <c r="J126">
        <v>23</v>
      </c>
      <c r="K126">
        <v>23</v>
      </c>
      <c r="L126">
        <v>22</v>
      </c>
      <c r="M126">
        <v>24</v>
      </c>
      <c r="N126">
        <v>22</v>
      </c>
      <c r="O126">
        <v>10</v>
      </c>
      <c r="Q126">
        <f t="shared" si="2"/>
        <v>11</v>
      </c>
      <c r="R126">
        <f>C$1+(Q126-C126)/(D126-C126)*(D$1-C$1)</f>
        <v>119</v>
      </c>
      <c r="S126">
        <f t="shared" si="3"/>
        <v>4.9212598425196852</v>
      </c>
    </row>
    <row r="127" spans="1:19">
      <c r="A127" s="40" t="s">
        <v>168</v>
      </c>
      <c r="B127">
        <v>5</v>
      </c>
      <c r="C127">
        <v>12</v>
      </c>
      <c r="D127">
        <v>13</v>
      </c>
      <c r="E127">
        <v>13</v>
      </c>
      <c r="F127">
        <v>13</v>
      </c>
      <c r="G127">
        <v>14</v>
      </c>
      <c r="H127">
        <v>14</v>
      </c>
      <c r="I127">
        <v>17</v>
      </c>
      <c r="J127">
        <v>19</v>
      </c>
      <c r="K127">
        <v>20</v>
      </c>
      <c r="L127">
        <v>21</v>
      </c>
      <c r="M127">
        <v>22</v>
      </c>
      <c r="N127">
        <v>20</v>
      </c>
      <c r="O127">
        <v>20</v>
      </c>
      <c r="Q127">
        <f t="shared" si="2"/>
        <v>10</v>
      </c>
      <c r="R127">
        <f>B$1+(Q127-B127)/(C127-B127)*(C$1-B$1)</f>
        <v>118.71428571428571</v>
      </c>
      <c r="S127">
        <f t="shared" si="3"/>
        <v>9.8425196850393704</v>
      </c>
    </row>
    <row r="128" spans="1:19">
      <c r="A128" s="40" t="s">
        <v>174</v>
      </c>
      <c r="B128">
        <v>8</v>
      </c>
      <c r="C128">
        <v>13</v>
      </c>
      <c r="D128">
        <v>5</v>
      </c>
      <c r="E128">
        <v>18</v>
      </c>
      <c r="F128">
        <v>16</v>
      </c>
      <c r="G128">
        <v>18</v>
      </c>
      <c r="H128">
        <v>17</v>
      </c>
      <c r="I128">
        <v>18</v>
      </c>
      <c r="J128">
        <v>18</v>
      </c>
      <c r="K128">
        <v>19</v>
      </c>
      <c r="L128">
        <v>27</v>
      </c>
      <c r="M128">
        <v>32</v>
      </c>
      <c r="N128">
        <v>26</v>
      </c>
      <c r="O128">
        <v>28</v>
      </c>
      <c r="Q128">
        <f t="shared" si="2"/>
        <v>13</v>
      </c>
      <c r="R128">
        <f>C$1+(Q128-C128)/(D128-C128)*(D$1-C$1)</f>
        <v>119</v>
      </c>
      <c r="S128">
        <f t="shared" si="3"/>
        <v>13.779527559055119</v>
      </c>
    </row>
    <row r="129" spans="1:19">
      <c r="A129" s="40" t="s">
        <v>180</v>
      </c>
      <c r="B129">
        <v>1</v>
      </c>
      <c r="C129">
        <v>1</v>
      </c>
      <c r="D129">
        <v>3</v>
      </c>
      <c r="E129">
        <v>4</v>
      </c>
      <c r="F129">
        <v>2</v>
      </c>
      <c r="G129">
        <v>4</v>
      </c>
      <c r="H129">
        <v>5</v>
      </c>
      <c r="I129">
        <v>8</v>
      </c>
      <c r="J129">
        <v>8</v>
      </c>
      <c r="K129">
        <v>13</v>
      </c>
      <c r="L129">
        <v>16</v>
      </c>
      <c r="M129">
        <v>20</v>
      </c>
      <c r="N129">
        <v>18</v>
      </c>
      <c r="O129">
        <v>9</v>
      </c>
      <c r="Q129">
        <f t="shared" si="2"/>
        <v>9</v>
      </c>
      <c r="R129">
        <f>J$1+(Q129-J129)/(K129-J129)*(K$1-J$1)</f>
        <v>134.19999999999999</v>
      </c>
      <c r="S129">
        <f t="shared" si="3"/>
        <v>4.4291338582677167</v>
      </c>
    </row>
    <row r="130" spans="1:19">
      <c r="A130" s="40" t="s">
        <v>186</v>
      </c>
      <c r="B130">
        <v>7</v>
      </c>
      <c r="C130">
        <v>10</v>
      </c>
      <c r="D130">
        <v>14</v>
      </c>
      <c r="E130">
        <v>16</v>
      </c>
      <c r="F130">
        <v>14</v>
      </c>
      <c r="G130">
        <v>16</v>
      </c>
      <c r="H130">
        <v>15</v>
      </c>
      <c r="I130">
        <v>16</v>
      </c>
      <c r="J130">
        <v>18</v>
      </c>
      <c r="K130">
        <v>20</v>
      </c>
      <c r="L130">
        <v>22</v>
      </c>
      <c r="M130">
        <v>22</v>
      </c>
      <c r="N130">
        <v>20</v>
      </c>
      <c r="O130">
        <v>9</v>
      </c>
      <c r="Q130">
        <f t="shared" si="2"/>
        <v>10</v>
      </c>
      <c r="R130">
        <f>C$1+(Q130-C130)/(D130-C130)*(D$1-C$1)</f>
        <v>119</v>
      </c>
      <c r="S130">
        <f t="shared" si="3"/>
        <v>4.4291338582677167</v>
      </c>
    </row>
    <row r="131" spans="1:19">
      <c r="A131" s="40" t="s">
        <v>192</v>
      </c>
      <c r="B131">
        <v>17</v>
      </c>
      <c r="C131">
        <v>19</v>
      </c>
      <c r="D131">
        <v>21</v>
      </c>
      <c r="E131">
        <v>24</v>
      </c>
      <c r="F131">
        <v>22</v>
      </c>
      <c r="G131">
        <v>24</v>
      </c>
      <c r="H131">
        <v>23</v>
      </c>
      <c r="I131">
        <v>32</v>
      </c>
      <c r="J131">
        <v>35</v>
      </c>
      <c r="K131">
        <v>38</v>
      </c>
      <c r="L131">
        <v>39</v>
      </c>
      <c r="M131">
        <v>39</v>
      </c>
      <c r="N131">
        <v>36</v>
      </c>
      <c r="O131">
        <v>37</v>
      </c>
      <c r="Q131">
        <f t="shared" si="2"/>
        <v>18</v>
      </c>
      <c r="R131">
        <f>B$1+(Q131-B131)/(C131-B131)*(C$1-B$1)</f>
        <v>118.5</v>
      </c>
      <c r="S131">
        <f t="shared" si="3"/>
        <v>18.208661417322833</v>
      </c>
    </row>
    <row r="132" spans="1:19">
      <c r="A132" s="40" t="s">
        <v>198</v>
      </c>
      <c r="B132">
        <v>17</v>
      </c>
      <c r="C132">
        <v>21</v>
      </c>
      <c r="D132">
        <v>20</v>
      </c>
      <c r="E132">
        <v>22</v>
      </c>
      <c r="F132">
        <v>21</v>
      </c>
      <c r="G132">
        <v>22</v>
      </c>
      <c r="H132">
        <v>22</v>
      </c>
      <c r="I132">
        <v>23</v>
      </c>
      <c r="J132">
        <v>27</v>
      </c>
      <c r="K132">
        <v>26</v>
      </c>
      <c r="L132">
        <v>27</v>
      </c>
      <c r="M132">
        <v>30</v>
      </c>
      <c r="N132">
        <v>28</v>
      </c>
      <c r="O132">
        <v>28</v>
      </c>
      <c r="Q132">
        <f t="shared" ref="Q132:Q195" si="4">N132/2</f>
        <v>14</v>
      </c>
      <c r="R132">
        <f>B$1+(Q132-B132)/(C132-B132)*(C$1-B$1)</f>
        <v>117.25</v>
      </c>
      <c r="S132">
        <f t="shared" ref="S132:S195" si="5">O132/(2*1.016)</f>
        <v>13.779527559055119</v>
      </c>
    </row>
    <row r="133" spans="1:19">
      <c r="A133" s="40" t="s">
        <v>204</v>
      </c>
      <c r="B133">
        <v>2</v>
      </c>
      <c r="C133">
        <v>4</v>
      </c>
      <c r="D133">
        <v>10</v>
      </c>
      <c r="E133">
        <v>11</v>
      </c>
      <c r="F133">
        <v>9</v>
      </c>
      <c r="G133">
        <v>11</v>
      </c>
      <c r="H133">
        <v>10</v>
      </c>
      <c r="I133">
        <v>20</v>
      </c>
      <c r="J133">
        <v>25</v>
      </c>
      <c r="K133">
        <v>26</v>
      </c>
      <c r="L133">
        <v>29</v>
      </c>
      <c r="M133">
        <v>29</v>
      </c>
      <c r="N133">
        <v>28</v>
      </c>
      <c r="O133">
        <v>28</v>
      </c>
      <c r="Q133">
        <f t="shared" si="4"/>
        <v>14</v>
      </c>
      <c r="R133">
        <f>H$1+(Q133-H133)/(I133-H133)*(I$1-H$1)</f>
        <v>128.19999999999999</v>
      </c>
      <c r="S133">
        <f t="shared" si="5"/>
        <v>13.779527559055119</v>
      </c>
    </row>
    <row r="134" spans="1:19">
      <c r="A134" s="40" t="s">
        <v>210</v>
      </c>
      <c r="B134">
        <v>12</v>
      </c>
      <c r="C134">
        <v>15</v>
      </c>
      <c r="D134">
        <v>21</v>
      </c>
      <c r="E134">
        <v>21</v>
      </c>
      <c r="F134">
        <v>20</v>
      </c>
      <c r="G134">
        <v>22</v>
      </c>
      <c r="H134">
        <v>22</v>
      </c>
      <c r="I134">
        <v>29</v>
      </c>
      <c r="J134">
        <v>36</v>
      </c>
      <c r="K134">
        <v>36</v>
      </c>
      <c r="L134">
        <v>42</v>
      </c>
      <c r="M134">
        <v>44</v>
      </c>
      <c r="N134">
        <v>41</v>
      </c>
      <c r="O134">
        <v>39</v>
      </c>
      <c r="Q134">
        <f t="shared" si="4"/>
        <v>20.5</v>
      </c>
      <c r="R134">
        <f>C$1+(Q134-C134)/(D134-C134)*(D$1-C$1)</f>
        <v>119.91666666666667</v>
      </c>
      <c r="S134">
        <f t="shared" si="5"/>
        <v>19.19291338582677</v>
      </c>
    </row>
    <row r="135" spans="1:19">
      <c r="A135" s="40" t="s">
        <v>216</v>
      </c>
      <c r="B135">
        <v>5</v>
      </c>
      <c r="C135">
        <v>9</v>
      </c>
      <c r="D135">
        <v>12</v>
      </c>
      <c r="E135">
        <v>12</v>
      </c>
      <c r="F135">
        <v>11</v>
      </c>
      <c r="G135">
        <v>12</v>
      </c>
      <c r="H135">
        <v>11</v>
      </c>
      <c r="I135">
        <v>12</v>
      </c>
      <c r="J135">
        <v>14</v>
      </c>
      <c r="K135">
        <v>17</v>
      </c>
      <c r="L135">
        <v>19</v>
      </c>
      <c r="M135">
        <v>23</v>
      </c>
      <c r="N135">
        <v>21</v>
      </c>
      <c r="O135">
        <v>10</v>
      </c>
      <c r="Q135">
        <f t="shared" si="4"/>
        <v>10.5</v>
      </c>
      <c r="R135">
        <f>C$1+(Q135-C135)/(D135-C135)*(D$1-C$1)</f>
        <v>119.5</v>
      </c>
      <c r="S135">
        <f t="shared" si="5"/>
        <v>4.9212598425196852</v>
      </c>
    </row>
    <row r="136" spans="1:19">
      <c r="A136" s="40" t="s">
        <v>222</v>
      </c>
      <c r="B136">
        <v>12</v>
      </c>
      <c r="C136">
        <v>14</v>
      </c>
      <c r="D136">
        <v>5</v>
      </c>
      <c r="E136">
        <v>18</v>
      </c>
      <c r="F136">
        <v>16</v>
      </c>
      <c r="G136">
        <v>19</v>
      </c>
      <c r="H136">
        <v>16</v>
      </c>
      <c r="I136">
        <v>19</v>
      </c>
      <c r="J136">
        <v>22</v>
      </c>
      <c r="K136">
        <v>25</v>
      </c>
      <c r="L136">
        <v>28</v>
      </c>
      <c r="M136">
        <v>27</v>
      </c>
      <c r="N136">
        <v>25</v>
      </c>
      <c r="O136">
        <v>22</v>
      </c>
      <c r="Q136">
        <f t="shared" si="4"/>
        <v>12.5</v>
      </c>
      <c r="R136">
        <f>B$1+(Q136-B136)/(C136-B136)*(C$1-B$1)</f>
        <v>118.25</v>
      </c>
      <c r="S136">
        <f t="shared" si="5"/>
        <v>10.826771653543307</v>
      </c>
    </row>
    <row r="137" spans="1:19">
      <c r="A137" s="40" t="s">
        <v>228</v>
      </c>
      <c r="B137">
        <v>12</v>
      </c>
      <c r="C137">
        <v>17</v>
      </c>
      <c r="D137">
        <v>18</v>
      </c>
      <c r="E137">
        <v>18</v>
      </c>
      <c r="F137">
        <v>17</v>
      </c>
      <c r="G137">
        <v>19</v>
      </c>
      <c r="H137">
        <v>25</v>
      </c>
      <c r="I137">
        <v>20</v>
      </c>
      <c r="J137">
        <v>28</v>
      </c>
      <c r="K137">
        <v>36</v>
      </c>
      <c r="L137">
        <v>48</v>
      </c>
      <c r="M137">
        <v>52</v>
      </c>
      <c r="N137">
        <v>48</v>
      </c>
      <c r="O137">
        <v>47</v>
      </c>
      <c r="Q137">
        <f t="shared" si="4"/>
        <v>24</v>
      </c>
      <c r="R137">
        <f>G$1+(Q137-G137)/(H137-G137)*(H$1-G$1)</f>
        <v>124.66666666666667</v>
      </c>
      <c r="S137">
        <f t="shared" si="5"/>
        <v>23.129921259842519</v>
      </c>
    </row>
    <row r="138" spans="1:19">
      <c r="A138" s="40" t="s">
        <v>234</v>
      </c>
      <c r="B138">
        <v>16</v>
      </c>
      <c r="C138">
        <v>17</v>
      </c>
      <c r="D138">
        <v>18</v>
      </c>
      <c r="E138">
        <v>18</v>
      </c>
      <c r="F138">
        <v>16</v>
      </c>
      <c r="G138">
        <v>18</v>
      </c>
      <c r="H138">
        <v>17</v>
      </c>
      <c r="I138">
        <v>20</v>
      </c>
      <c r="J138">
        <v>23</v>
      </c>
      <c r="K138">
        <v>28</v>
      </c>
      <c r="L138">
        <v>32</v>
      </c>
      <c r="M138">
        <v>36</v>
      </c>
      <c r="N138">
        <v>34</v>
      </c>
      <c r="O138">
        <v>30</v>
      </c>
      <c r="Q138">
        <f t="shared" si="4"/>
        <v>17</v>
      </c>
      <c r="R138">
        <f>C$1+(Q138-C138)/(D138-C138)*(D$1-C$1)</f>
        <v>119</v>
      </c>
      <c r="S138">
        <f t="shared" si="5"/>
        <v>14.763779527559056</v>
      </c>
    </row>
    <row r="139" spans="1:19">
      <c r="A139" s="40" t="s">
        <v>240</v>
      </c>
      <c r="B139">
        <v>11</v>
      </c>
      <c r="C139">
        <v>14</v>
      </c>
      <c r="D139">
        <v>16</v>
      </c>
      <c r="E139">
        <v>19</v>
      </c>
      <c r="F139">
        <v>15</v>
      </c>
      <c r="G139">
        <v>19</v>
      </c>
      <c r="H139">
        <v>19</v>
      </c>
      <c r="I139">
        <v>27</v>
      </c>
      <c r="J139">
        <v>34</v>
      </c>
      <c r="K139">
        <v>35</v>
      </c>
      <c r="L139">
        <v>37</v>
      </c>
      <c r="M139">
        <v>40</v>
      </c>
      <c r="N139">
        <v>36</v>
      </c>
      <c r="O139">
        <v>33</v>
      </c>
      <c r="Q139">
        <f t="shared" si="4"/>
        <v>18</v>
      </c>
      <c r="R139">
        <f>D$1+(Q139-D139)/(E139-D139)*(E$1-D$1)</f>
        <v>120.66666666666667</v>
      </c>
      <c r="S139">
        <f t="shared" si="5"/>
        <v>16.240157480314959</v>
      </c>
    </row>
    <row r="140" spans="1:19">
      <c r="A140" s="40" t="s">
        <v>246</v>
      </c>
      <c r="B140">
        <v>13</v>
      </c>
      <c r="C140">
        <v>15</v>
      </c>
      <c r="D140">
        <v>14</v>
      </c>
      <c r="E140">
        <v>16</v>
      </c>
      <c r="F140">
        <v>15</v>
      </c>
      <c r="G140">
        <v>14</v>
      </c>
      <c r="H140">
        <v>16</v>
      </c>
      <c r="I140">
        <v>21</v>
      </c>
      <c r="J140">
        <v>23</v>
      </c>
      <c r="K140">
        <v>24</v>
      </c>
      <c r="L140">
        <v>25</v>
      </c>
      <c r="M140">
        <v>23</v>
      </c>
      <c r="N140">
        <v>23</v>
      </c>
      <c r="O140">
        <v>22</v>
      </c>
      <c r="Q140">
        <f t="shared" si="4"/>
        <v>11.5</v>
      </c>
      <c r="R140">
        <f>B$1+(Q140-B140)/(C140-B140)*(C$1-B$1)</f>
        <v>117.25</v>
      </c>
      <c r="S140">
        <f t="shared" si="5"/>
        <v>10.826771653543307</v>
      </c>
    </row>
    <row r="141" spans="1:19">
      <c r="A141" s="40" t="s">
        <v>252</v>
      </c>
      <c r="B141">
        <v>4</v>
      </c>
      <c r="C141">
        <v>5</v>
      </c>
      <c r="D141">
        <v>8</v>
      </c>
      <c r="E141">
        <v>9</v>
      </c>
      <c r="F141">
        <v>9</v>
      </c>
      <c r="G141">
        <v>11</v>
      </c>
      <c r="H141">
        <v>9</v>
      </c>
      <c r="I141">
        <v>15</v>
      </c>
      <c r="J141">
        <v>19</v>
      </c>
      <c r="K141">
        <v>25</v>
      </c>
      <c r="L141">
        <v>27</v>
      </c>
      <c r="M141">
        <v>25</v>
      </c>
      <c r="N141">
        <v>22</v>
      </c>
      <c r="O141">
        <v>11</v>
      </c>
      <c r="Q141">
        <f t="shared" si="4"/>
        <v>11</v>
      </c>
      <c r="R141">
        <f>F$1+(Q141-F141)/(G141-F141)*(G$1-F$1)</f>
        <v>123</v>
      </c>
      <c r="S141">
        <f t="shared" si="5"/>
        <v>5.4133858267716537</v>
      </c>
    </row>
    <row r="142" spans="1:19">
      <c r="A142" s="40" t="s">
        <v>258</v>
      </c>
      <c r="B142">
        <v>11</v>
      </c>
      <c r="C142">
        <v>13</v>
      </c>
      <c r="D142">
        <v>16</v>
      </c>
      <c r="E142">
        <v>16</v>
      </c>
      <c r="F142">
        <v>14</v>
      </c>
      <c r="G142">
        <v>17</v>
      </c>
      <c r="H142">
        <v>14</v>
      </c>
      <c r="I142">
        <v>17</v>
      </c>
      <c r="J142">
        <v>20</v>
      </c>
      <c r="K142">
        <v>22</v>
      </c>
      <c r="L142">
        <v>23</v>
      </c>
      <c r="M142">
        <v>23</v>
      </c>
      <c r="N142">
        <v>21</v>
      </c>
      <c r="O142">
        <v>18</v>
      </c>
      <c r="Q142">
        <f t="shared" si="4"/>
        <v>10.5</v>
      </c>
      <c r="R142">
        <f>B$1+(Q142-B142)/(C142-B142)*(C$1-B$1)</f>
        <v>117.75</v>
      </c>
      <c r="S142">
        <f t="shared" si="5"/>
        <v>8.8582677165354333</v>
      </c>
    </row>
    <row r="143" spans="1:19">
      <c r="A143" s="40" t="s">
        <v>264</v>
      </c>
      <c r="B143">
        <v>0</v>
      </c>
      <c r="C143">
        <v>4</v>
      </c>
      <c r="D143">
        <v>14</v>
      </c>
      <c r="E143">
        <v>19</v>
      </c>
      <c r="F143">
        <v>14</v>
      </c>
      <c r="G143">
        <v>19</v>
      </c>
      <c r="H143">
        <v>20</v>
      </c>
      <c r="I143">
        <v>18</v>
      </c>
      <c r="J143">
        <v>18</v>
      </c>
      <c r="K143">
        <v>18</v>
      </c>
      <c r="L143">
        <v>24</v>
      </c>
      <c r="M143">
        <v>25</v>
      </c>
      <c r="N143">
        <v>23</v>
      </c>
      <c r="O143">
        <v>24</v>
      </c>
      <c r="Q143">
        <f t="shared" si="4"/>
        <v>11.5</v>
      </c>
      <c r="R143">
        <f>C$1+(Q143-C143)/(D143-C143)*(D$1-C$1)</f>
        <v>119.75</v>
      </c>
      <c r="S143">
        <f t="shared" si="5"/>
        <v>11.811023622047244</v>
      </c>
    </row>
    <row r="144" spans="1:19">
      <c r="A144" s="40" t="s">
        <v>270</v>
      </c>
      <c r="B144">
        <v>0</v>
      </c>
      <c r="C144">
        <v>3</v>
      </c>
      <c r="D144">
        <v>12</v>
      </c>
      <c r="E144">
        <v>14</v>
      </c>
      <c r="F144">
        <v>16</v>
      </c>
      <c r="G144">
        <v>15</v>
      </c>
      <c r="H144">
        <v>16</v>
      </c>
      <c r="I144">
        <v>18</v>
      </c>
      <c r="J144">
        <v>17</v>
      </c>
      <c r="K144">
        <v>17</v>
      </c>
      <c r="L144">
        <v>29</v>
      </c>
      <c r="M144">
        <v>30</v>
      </c>
      <c r="N144">
        <v>28</v>
      </c>
      <c r="O144">
        <v>27</v>
      </c>
      <c r="Q144">
        <f t="shared" si="4"/>
        <v>14</v>
      </c>
      <c r="R144">
        <f>D$1+(Q144-D144)/(E144-D144)*(E$1-D$1)</f>
        <v>121</v>
      </c>
      <c r="S144">
        <f t="shared" si="5"/>
        <v>13.28740157480315</v>
      </c>
    </row>
    <row r="145" spans="1:19">
      <c r="A145" s="40" t="s">
        <v>276</v>
      </c>
      <c r="B145">
        <v>0</v>
      </c>
      <c r="C145">
        <v>1</v>
      </c>
      <c r="D145">
        <v>8</v>
      </c>
      <c r="E145">
        <v>11</v>
      </c>
      <c r="F145">
        <v>18</v>
      </c>
      <c r="G145">
        <v>13</v>
      </c>
      <c r="H145">
        <v>14</v>
      </c>
      <c r="I145">
        <v>17</v>
      </c>
      <c r="J145">
        <v>16</v>
      </c>
      <c r="K145">
        <v>15</v>
      </c>
      <c r="L145">
        <v>19</v>
      </c>
      <c r="M145">
        <v>23</v>
      </c>
      <c r="N145">
        <v>21</v>
      </c>
      <c r="O145">
        <v>19</v>
      </c>
      <c r="Q145">
        <f t="shared" si="4"/>
        <v>10.5</v>
      </c>
      <c r="R145">
        <f>D$1+(Q145-D145)/(E145-D145)*(E$1-D$1)</f>
        <v>120.83333333333333</v>
      </c>
      <c r="S145">
        <f t="shared" si="5"/>
        <v>9.3503937007874018</v>
      </c>
    </row>
    <row r="146" spans="1:19">
      <c r="A146" s="40" t="s">
        <v>282</v>
      </c>
      <c r="B146">
        <v>0</v>
      </c>
      <c r="C146">
        <v>10</v>
      </c>
      <c r="D146">
        <v>17</v>
      </c>
      <c r="E146">
        <v>18</v>
      </c>
      <c r="F146">
        <v>10</v>
      </c>
      <c r="G146">
        <v>18</v>
      </c>
      <c r="H146">
        <v>17</v>
      </c>
      <c r="I146">
        <v>19</v>
      </c>
      <c r="J146">
        <v>19</v>
      </c>
      <c r="K146">
        <v>20</v>
      </c>
      <c r="L146">
        <v>26</v>
      </c>
      <c r="M146">
        <v>27</v>
      </c>
      <c r="N146">
        <v>25</v>
      </c>
      <c r="O146">
        <v>24</v>
      </c>
      <c r="Q146">
        <f t="shared" si="4"/>
        <v>12.5</v>
      </c>
      <c r="R146">
        <f>C$1+(Q146-C146)/(D146-C146)*(D$1-C$1)</f>
        <v>119.35714285714286</v>
      </c>
      <c r="S146">
        <f t="shared" si="5"/>
        <v>11.811023622047244</v>
      </c>
    </row>
    <row r="147" spans="1:19">
      <c r="A147" s="40" t="s">
        <v>73</v>
      </c>
      <c r="N147">
        <v>14</v>
      </c>
      <c r="O147">
        <v>9</v>
      </c>
      <c r="Q147">
        <f t="shared" si="4"/>
        <v>7</v>
      </c>
      <c r="S147">
        <f t="shared" si="5"/>
        <v>4.4291338582677167</v>
      </c>
    </row>
    <row r="148" spans="1:19">
      <c r="A148" s="40" t="s">
        <v>79</v>
      </c>
      <c r="N148">
        <v>27</v>
      </c>
      <c r="O148">
        <v>26</v>
      </c>
      <c r="Q148">
        <f t="shared" si="4"/>
        <v>13.5</v>
      </c>
      <c r="S148">
        <f t="shared" si="5"/>
        <v>12.795275590551181</v>
      </c>
    </row>
    <row r="149" spans="1:19">
      <c r="A149" s="40" t="s">
        <v>85</v>
      </c>
      <c r="N149">
        <v>48</v>
      </c>
      <c r="O149">
        <v>51</v>
      </c>
      <c r="Q149">
        <f t="shared" si="4"/>
        <v>24</v>
      </c>
      <c r="S149">
        <f t="shared" si="5"/>
        <v>25.098425196850393</v>
      </c>
    </row>
    <row r="150" spans="1:19">
      <c r="A150" s="40" t="s">
        <v>91</v>
      </c>
      <c r="N150">
        <v>20</v>
      </c>
      <c r="O150">
        <v>18</v>
      </c>
      <c r="Q150">
        <f t="shared" si="4"/>
        <v>10</v>
      </c>
      <c r="S150">
        <f t="shared" si="5"/>
        <v>8.8582677165354333</v>
      </c>
    </row>
    <row r="151" spans="1:19">
      <c r="A151" s="40" t="s">
        <v>97</v>
      </c>
      <c r="N151">
        <v>41</v>
      </c>
      <c r="O151">
        <v>40</v>
      </c>
      <c r="Q151">
        <f t="shared" si="4"/>
        <v>20.5</v>
      </c>
      <c r="S151">
        <f t="shared" si="5"/>
        <v>19.685039370078741</v>
      </c>
    </row>
    <row r="152" spans="1:19">
      <c r="A152" s="40" t="s">
        <v>103</v>
      </c>
      <c r="N152">
        <v>22</v>
      </c>
      <c r="O152">
        <v>21</v>
      </c>
      <c r="Q152">
        <f t="shared" si="4"/>
        <v>11</v>
      </c>
      <c r="S152">
        <f t="shared" si="5"/>
        <v>10.334645669291339</v>
      </c>
    </row>
    <row r="153" spans="1:19">
      <c r="A153" s="40" t="s">
        <v>109</v>
      </c>
      <c r="N153">
        <v>22</v>
      </c>
      <c r="O153">
        <v>21</v>
      </c>
      <c r="Q153">
        <f t="shared" si="4"/>
        <v>11</v>
      </c>
      <c r="S153">
        <f t="shared" si="5"/>
        <v>10.334645669291339</v>
      </c>
    </row>
    <row r="154" spans="1:19">
      <c r="A154" s="40" t="s">
        <v>115</v>
      </c>
      <c r="N154">
        <v>21</v>
      </c>
      <c r="O154">
        <v>21</v>
      </c>
      <c r="Q154">
        <f t="shared" si="4"/>
        <v>10.5</v>
      </c>
      <c r="S154">
        <f t="shared" si="5"/>
        <v>10.334645669291339</v>
      </c>
    </row>
    <row r="155" spans="1:19">
      <c r="A155" s="40" t="s">
        <v>121</v>
      </c>
      <c r="N155">
        <v>47</v>
      </c>
      <c r="O155">
        <v>49</v>
      </c>
      <c r="Q155">
        <f t="shared" si="4"/>
        <v>23.5</v>
      </c>
      <c r="S155">
        <f t="shared" si="5"/>
        <v>24.114173228346456</v>
      </c>
    </row>
    <row r="156" spans="1:19">
      <c r="A156" s="40" t="s">
        <v>127</v>
      </c>
      <c r="N156">
        <v>25</v>
      </c>
      <c r="O156">
        <v>24</v>
      </c>
      <c r="Q156">
        <f t="shared" si="4"/>
        <v>12.5</v>
      </c>
      <c r="S156">
        <f t="shared" si="5"/>
        <v>11.811023622047244</v>
      </c>
    </row>
    <row r="157" spans="1:19">
      <c r="A157" s="40" t="s">
        <v>133</v>
      </c>
      <c r="N157">
        <v>24</v>
      </c>
      <c r="O157">
        <v>24</v>
      </c>
      <c r="Q157">
        <f t="shared" si="4"/>
        <v>12</v>
      </c>
      <c r="S157">
        <f t="shared" si="5"/>
        <v>11.811023622047244</v>
      </c>
    </row>
    <row r="158" spans="1:19">
      <c r="A158" s="40" t="s">
        <v>139</v>
      </c>
      <c r="N158">
        <v>43</v>
      </c>
      <c r="O158">
        <v>41</v>
      </c>
      <c r="Q158">
        <f t="shared" si="4"/>
        <v>21.5</v>
      </c>
      <c r="S158">
        <f t="shared" si="5"/>
        <v>20.177165354330707</v>
      </c>
    </row>
    <row r="159" spans="1:19">
      <c r="A159" s="40" t="s">
        <v>145</v>
      </c>
      <c r="N159">
        <v>24</v>
      </c>
      <c r="O159">
        <v>10</v>
      </c>
      <c r="Q159">
        <f t="shared" si="4"/>
        <v>12</v>
      </c>
      <c r="S159">
        <f t="shared" si="5"/>
        <v>4.9212598425196852</v>
      </c>
    </row>
    <row r="160" spans="1:19">
      <c r="A160" s="40" t="s">
        <v>151</v>
      </c>
      <c r="N160">
        <v>24</v>
      </c>
      <c r="O160">
        <v>12</v>
      </c>
      <c r="Q160">
        <f t="shared" si="4"/>
        <v>12</v>
      </c>
      <c r="S160">
        <f t="shared" si="5"/>
        <v>5.9055118110236222</v>
      </c>
    </row>
    <row r="161" spans="1:19">
      <c r="A161" s="40" t="s">
        <v>157</v>
      </c>
      <c r="N161">
        <v>26</v>
      </c>
      <c r="O161">
        <v>26</v>
      </c>
      <c r="Q161">
        <f t="shared" si="4"/>
        <v>13</v>
      </c>
      <c r="S161">
        <f t="shared" si="5"/>
        <v>12.795275590551181</v>
      </c>
    </row>
    <row r="162" spans="1:19">
      <c r="A162" s="40" t="s">
        <v>163</v>
      </c>
      <c r="N162">
        <v>20</v>
      </c>
      <c r="O162">
        <v>11</v>
      </c>
      <c r="Q162">
        <f t="shared" si="4"/>
        <v>10</v>
      </c>
      <c r="S162">
        <f t="shared" si="5"/>
        <v>5.4133858267716537</v>
      </c>
    </row>
    <row r="163" spans="1:19">
      <c r="A163" s="40" t="s">
        <v>169</v>
      </c>
      <c r="N163">
        <v>20</v>
      </c>
      <c r="O163">
        <v>21</v>
      </c>
      <c r="Q163">
        <f t="shared" si="4"/>
        <v>10</v>
      </c>
      <c r="S163">
        <f t="shared" si="5"/>
        <v>10.334645669291339</v>
      </c>
    </row>
    <row r="164" spans="1:19">
      <c r="A164" s="40" t="s">
        <v>175</v>
      </c>
      <c r="N164">
        <v>21</v>
      </c>
      <c r="O164">
        <v>21</v>
      </c>
      <c r="Q164">
        <f t="shared" si="4"/>
        <v>10.5</v>
      </c>
      <c r="S164">
        <f t="shared" si="5"/>
        <v>10.334645669291339</v>
      </c>
    </row>
    <row r="165" spans="1:19">
      <c r="A165" s="40" t="s">
        <v>181</v>
      </c>
      <c r="N165">
        <v>18</v>
      </c>
      <c r="O165">
        <v>9</v>
      </c>
      <c r="Q165">
        <f t="shared" si="4"/>
        <v>9</v>
      </c>
      <c r="S165">
        <f t="shared" si="5"/>
        <v>4.4291338582677167</v>
      </c>
    </row>
    <row r="166" spans="1:19">
      <c r="A166" s="40" t="s">
        <v>187</v>
      </c>
      <c r="N166">
        <v>19</v>
      </c>
      <c r="O166">
        <v>11</v>
      </c>
      <c r="Q166">
        <f t="shared" si="4"/>
        <v>9.5</v>
      </c>
      <c r="S166">
        <f t="shared" si="5"/>
        <v>5.4133858267716537</v>
      </c>
    </row>
    <row r="167" spans="1:19">
      <c r="A167" s="40" t="s">
        <v>193</v>
      </c>
      <c r="N167">
        <v>43</v>
      </c>
      <c r="O167">
        <v>41</v>
      </c>
      <c r="Q167">
        <f t="shared" si="4"/>
        <v>21.5</v>
      </c>
      <c r="S167">
        <f t="shared" si="5"/>
        <v>20.177165354330707</v>
      </c>
    </row>
    <row r="168" spans="1:19">
      <c r="A168" s="40" t="s">
        <v>199</v>
      </c>
      <c r="N168">
        <v>22</v>
      </c>
      <c r="O168">
        <v>22</v>
      </c>
      <c r="Q168">
        <f t="shared" si="4"/>
        <v>11</v>
      </c>
      <c r="S168">
        <f t="shared" si="5"/>
        <v>10.826771653543307</v>
      </c>
    </row>
    <row r="169" spans="1:19">
      <c r="A169" s="40" t="s">
        <v>205</v>
      </c>
      <c r="N169">
        <v>26</v>
      </c>
      <c r="O169">
        <v>27</v>
      </c>
      <c r="Q169">
        <f t="shared" si="4"/>
        <v>13</v>
      </c>
      <c r="S169">
        <f t="shared" si="5"/>
        <v>13.28740157480315</v>
      </c>
    </row>
    <row r="170" spans="1:19">
      <c r="A170" s="40" t="s">
        <v>211</v>
      </c>
      <c r="N170">
        <v>40</v>
      </c>
      <c r="O170">
        <v>41</v>
      </c>
      <c r="Q170">
        <f t="shared" si="4"/>
        <v>20</v>
      </c>
      <c r="S170">
        <f t="shared" si="5"/>
        <v>20.177165354330707</v>
      </c>
    </row>
    <row r="171" spans="1:19">
      <c r="A171" s="40" t="s">
        <v>217</v>
      </c>
      <c r="N171">
        <v>19</v>
      </c>
      <c r="O171">
        <v>10</v>
      </c>
      <c r="Q171">
        <f t="shared" si="4"/>
        <v>9.5</v>
      </c>
      <c r="S171">
        <f t="shared" si="5"/>
        <v>4.9212598425196852</v>
      </c>
    </row>
    <row r="172" spans="1:19">
      <c r="A172" s="40" t="s">
        <v>223</v>
      </c>
      <c r="N172">
        <v>22</v>
      </c>
      <c r="O172">
        <v>16</v>
      </c>
      <c r="Q172">
        <f t="shared" si="4"/>
        <v>11</v>
      </c>
      <c r="S172">
        <f t="shared" si="5"/>
        <v>7.8740157480314963</v>
      </c>
    </row>
    <row r="173" spans="1:19">
      <c r="A173" s="40" t="s">
        <v>229</v>
      </c>
      <c r="N173">
        <v>51</v>
      </c>
      <c r="O173">
        <v>49</v>
      </c>
      <c r="Q173">
        <f t="shared" si="4"/>
        <v>25.5</v>
      </c>
      <c r="S173">
        <f t="shared" si="5"/>
        <v>24.114173228346456</v>
      </c>
    </row>
    <row r="174" spans="1:19">
      <c r="A174" s="40" t="s">
        <v>235</v>
      </c>
      <c r="N174">
        <v>19</v>
      </c>
      <c r="O174">
        <v>18</v>
      </c>
      <c r="Q174">
        <f t="shared" si="4"/>
        <v>9.5</v>
      </c>
      <c r="S174">
        <f t="shared" si="5"/>
        <v>8.8582677165354333</v>
      </c>
    </row>
    <row r="175" spans="1:19">
      <c r="A175" s="40" t="s">
        <v>241</v>
      </c>
      <c r="N175">
        <v>41</v>
      </c>
      <c r="O175">
        <v>39</v>
      </c>
      <c r="Q175">
        <f t="shared" si="4"/>
        <v>20.5</v>
      </c>
      <c r="S175">
        <f t="shared" si="5"/>
        <v>19.19291338582677</v>
      </c>
    </row>
    <row r="176" spans="1:19">
      <c r="A176" s="40" t="s">
        <v>247</v>
      </c>
      <c r="N176">
        <v>24</v>
      </c>
      <c r="O176">
        <v>24</v>
      </c>
      <c r="Q176">
        <f t="shared" si="4"/>
        <v>12</v>
      </c>
      <c r="S176">
        <f t="shared" si="5"/>
        <v>11.811023622047244</v>
      </c>
    </row>
    <row r="177" spans="1:19">
      <c r="A177" s="40" t="s">
        <v>253</v>
      </c>
      <c r="N177">
        <v>19</v>
      </c>
      <c r="O177">
        <v>9</v>
      </c>
      <c r="Q177">
        <f t="shared" si="4"/>
        <v>9.5</v>
      </c>
      <c r="S177">
        <f t="shared" si="5"/>
        <v>4.4291338582677167</v>
      </c>
    </row>
    <row r="178" spans="1:19">
      <c r="A178" s="40" t="s">
        <v>259</v>
      </c>
      <c r="N178">
        <v>29</v>
      </c>
      <c r="O178">
        <v>24</v>
      </c>
      <c r="Q178">
        <f t="shared" si="4"/>
        <v>14.5</v>
      </c>
      <c r="S178">
        <f t="shared" si="5"/>
        <v>11.811023622047244</v>
      </c>
    </row>
    <row r="179" spans="1:19">
      <c r="A179" s="40" t="s">
        <v>265</v>
      </c>
      <c r="N179">
        <v>29</v>
      </c>
      <c r="O179">
        <v>31</v>
      </c>
      <c r="Q179">
        <f t="shared" si="4"/>
        <v>14.5</v>
      </c>
      <c r="S179">
        <f t="shared" si="5"/>
        <v>15.255905511811024</v>
      </c>
    </row>
    <row r="180" spans="1:19">
      <c r="A180" s="40" t="s">
        <v>271</v>
      </c>
      <c r="N180">
        <v>23</v>
      </c>
      <c r="O180">
        <v>23</v>
      </c>
      <c r="Q180">
        <f t="shared" si="4"/>
        <v>11.5</v>
      </c>
      <c r="S180">
        <f t="shared" si="5"/>
        <v>11.318897637795276</v>
      </c>
    </row>
    <row r="181" spans="1:19">
      <c r="A181" s="40" t="s">
        <v>277</v>
      </c>
      <c r="N181">
        <v>26</v>
      </c>
      <c r="O181">
        <v>25</v>
      </c>
      <c r="Q181">
        <f t="shared" si="4"/>
        <v>13</v>
      </c>
      <c r="S181">
        <f t="shared" si="5"/>
        <v>12.303149606299213</v>
      </c>
    </row>
    <row r="182" spans="1:19">
      <c r="A182" s="40" t="s">
        <v>283</v>
      </c>
      <c r="N182">
        <v>24</v>
      </c>
      <c r="O182">
        <v>24</v>
      </c>
      <c r="Q182">
        <f t="shared" si="4"/>
        <v>12</v>
      </c>
      <c r="S182">
        <f t="shared" si="5"/>
        <v>11.811023622047244</v>
      </c>
    </row>
    <row r="183" spans="1:19">
      <c r="A183" s="40" t="s">
        <v>74</v>
      </c>
      <c r="N183">
        <v>21</v>
      </c>
      <c r="O183">
        <v>10</v>
      </c>
      <c r="Q183">
        <f t="shared" si="4"/>
        <v>10.5</v>
      </c>
      <c r="S183">
        <f t="shared" si="5"/>
        <v>4.9212598425196852</v>
      </c>
    </row>
    <row r="184" spans="1:19">
      <c r="A184" s="40" t="s">
        <v>80</v>
      </c>
      <c r="N184">
        <v>17</v>
      </c>
      <c r="O184">
        <v>17</v>
      </c>
      <c r="Q184">
        <f t="shared" si="4"/>
        <v>8.5</v>
      </c>
      <c r="S184">
        <f t="shared" si="5"/>
        <v>8.3661417322834648</v>
      </c>
    </row>
    <row r="185" spans="1:19">
      <c r="A185" s="40" t="s">
        <v>86</v>
      </c>
      <c r="N185">
        <v>33</v>
      </c>
      <c r="O185">
        <v>34</v>
      </c>
      <c r="Q185">
        <f t="shared" si="4"/>
        <v>16.5</v>
      </c>
      <c r="S185">
        <f t="shared" si="5"/>
        <v>16.73228346456693</v>
      </c>
    </row>
    <row r="186" spans="1:19">
      <c r="A186" s="40" t="s">
        <v>92</v>
      </c>
      <c r="N186">
        <v>19</v>
      </c>
      <c r="O186">
        <v>20</v>
      </c>
      <c r="Q186">
        <f t="shared" si="4"/>
        <v>9.5</v>
      </c>
      <c r="S186">
        <f t="shared" si="5"/>
        <v>9.8425196850393704</v>
      </c>
    </row>
    <row r="187" spans="1:19">
      <c r="A187" s="40" t="s">
        <v>98</v>
      </c>
      <c r="N187">
        <v>41</v>
      </c>
      <c r="O187">
        <v>42</v>
      </c>
      <c r="Q187">
        <f t="shared" si="4"/>
        <v>20.5</v>
      </c>
      <c r="S187">
        <f t="shared" si="5"/>
        <v>20.669291338582678</v>
      </c>
    </row>
    <row r="188" spans="1:19">
      <c r="A188" s="40" t="s">
        <v>104</v>
      </c>
      <c r="N188">
        <v>19</v>
      </c>
      <c r="O188">
        <v>19</v>
      </c>
      <c r="Q188">
        <f t="shared" si="4"/>
        <v>9.5</v>
      </c>
      <c r="S188">
        <f t="shared" si="5"/>
        <v>9.3503937007874018</v>
      </c>
    </row>
    <row r="189" spans="1:19">
      <c r="A189" s="40" t="s">
        <v>110</v>
      </c>
      <c r="N189">
        <v>24</v>
      </c>
      <c r="O189">
        <v>24</v>
      </c>
      <c r="Q189">
        <f t="shared" si="4"/>
        <v>12</v>
      </c>
      <c r="S189">
        <f t="shared" si="5"/>
        <v>11.811023622047244</v>
      </c>
    </row>
    <row r="190" spans="1:19">
      <c r="A190" s="40" t="s">
        <v>116</v>
      </c>
      <c r="N190">
        <v>29</v>
      </c>
      <c r="O190">
        <v>28</v>
      </c>
      <c r="Q190">
        <f t="shared" si="4"/>
        <v>14.5</v>
      </c>
      <c r="S190">
        <f t="shared" si="5"/>
        <v>13.779527559055119</v>
      </c>
    </row>
    <row r="191" spans="1:19">
      <c r="A191" s="40" t="s">
        <v>122</v>
      </c>
      <c r="N191">
        <v>49</v>
      </c>
      <c r="O191">
        <v>47</v>
      </c>
      <c r="Q191">
        <f t="shared" si="4"/>
        <v>24.5</v>
      </c>
      <c r="S191">
        <f t="shared" si="5"/>
        <v>23.129921259842519</v>
      </c>
    </row>
    <row r="192" spans="1:19">
      <c r="A192" s="40" t="s">
        <v>128</v>
      </c>
      <c r="N192">
        <v>19</v>
      </c>
      <c r="O192">
        <v>19</v>
      </c>
      <c r="Q192">
        <f t="shared" si="4"/>
        <v>9.5</v>
      </c>
      <c r="S192">
        <f t="shared" si="5"/>
        <v>9.3503937007874018</v>
      </c>
    </row>
    <row r="193" spans="1:19">
      <c r="A193" s="40" t="s">
        <v>134</v>
      </c>
      <c r="N193">
        <v>21</v>
      </c>
      <c r="O193">
        <v>22</v>
      </c>
      <c r="Q193">
        <f t="shared" si="4"/>
        <v>10.5</v>
      </c>
      <c r="S193">
        <f t="shared" si="5"/>
        <v>10.826771653543307</v>
      </c>
    </row>
    <row r="194" spans="1:19">
      <c r="A194" s="40" t="s">
        <v>140</v>
      </c>
      <c r="N194">
        <v>39</v>
      </c>
      <c r="O194">
        <v>38</v>
      </c>
      <c r="Q194">
        <f t="shared" si="4"/>
        <v>19.5</v>
      </c>
      <c r="S194">
        <f t="shared" si="5"/>
        <v>18.700787401574804</v>
      </c>
    </row>
    <row r="195" spans="1:19">
      <c r="A195" s="40" t="s">
        <v>146</v>
      </c>
      <c r="N195">
        <v>24</v>
      </c>
      <c r="O195">
        <v>10</v>
      </c>
      <c r="Q195">
        <f t="shared" si="4"/>
        <v>12</v>
      </c>
      <c r="S195">
        <f t="shared" si="5"/>
        <v>4.9212598425196852</v>
      </c>
    </row>
    <row r="196" spans="1:19">
      <c r="A196" s="40" t="s">
        <v>152</v>
      </c>
      <c r="N196">
        <v>19</v>
      </c>
      <c r="O196">
        <v>9</v>
      </c>
      <c r="Q196">
        <f t="shared" ref="Q196:Q218" si="6">N196/2</f>
        <v>9.5</v>
      </c>
      <c r="S196">
        <f t="shared" ref="S196:S218" si="7">O196/(2*1.016)</f>
        <v>4.4291338582677167</v>
      </c>
    </row>
    <row r="197" spans="1:19">
      <c r="A197" s="40" t="s">
        <v>158</v>
      </c>
      <c r="N197">
        <v>16</v>
      </c>
      <c r="O197">
        <v>16</v>
      </c>
      <c r="Q197">
        <f t="shared" si="6"/>
        <v>8</v>
      </c>
      <c r="S197">
        <f t="shared" si="7"/>
        <v>7.8740157480314963</v>
      </c>
    </row>
    <row r="198" spans="1:19">
      <c r="A198" s="40" t="s">
        <v>164</v>
      </c>
      <c r="N198">
        <v>20</v>
      </c>
      <c r="O198">
        <v>11</v>
      </c>
      <c r="Q198">
        <f t="shared" si="6"/>
        <v>10</v>
      </c>
      <c r="S198">
        <f t="shared" si="7"/>
        <v>5.4133858267716537</v>
      </c>
    </row>
    <row r="199" spans="1:19">
      <c r="A199" s="40" t="s">
        <v>170</v>
      </c>
      <c r="N199">
        <v>27</v>
      </c>
      <c r="O199">
        <v>26</v>
      </c>
      <c r="Q199">
        <f t="shared" si="6"/>
        <v>13.5</v>
      </c>
      <c r="S199">
        <f t="shared" si="7"/>
        <v>12.795275590551181</v>
      </c>
    </row>
    <row r="200" spans="1:19">
      <c r="A200" s="40" t="s">
        <v>176</v>
      </c>
      <c r="N200">
        <v>18</v>
      </c>
      <c r="O200">
        <v>18</v>
      </c>
      <c r="Q200">
        <f t="shared" si="6"/>
        <v>9</v>
      </c>
      <c r="S200">
        <f t="shared" si="7"/>
        <v>8.8582677165354333</v>
      </c>
    </row>
    <row r="201" spans="1:19">
      <c r="A201" s="40" t="s">
        <v>182</v>
      </c>
      <c r="N201">
        <v>15</v>
      </c>
      <c r="O201">
        <v>9</v>
      </c>
      <c r="Q201">
        <f t="shared" si="6"/>
        <v>7.5</v>
      </c>
      <c r="S201">
        <f t="shared" si="7"/>
        <v>4.4291338582677167</v>
      </c>
    </row>
    <row r="202" spans="1:19">
      <c r="A202" s="40" t="s">
        <v>188</v>
      </c>
      <c r="N202">
        <v>18</v>
      </c>
      <c r="O202">
        <v>11</v>
      </c>
      <c r="Q202">
        <f t="shared" si="6"/>
        <v>9</v>
      </c>
      <c r="S202">
        <f t="shared" si="7"/>
        <v>5.4133858267716537</v>
      </c>
    </row>
    <row r="203" spans="1:19">
      <c r="A203" s="40" t="s">
        <v>194</v>
      </c>
      <c r="N203">
        <v>38</v>
      </c>
      <c r="O203">
        <v>38</v>
      </c>
      <c r="Q203">
        <f t="shared" si="6"/>
        <v>19</v>
      </c>
      <c r="S203">
        <f t="shared" si="7"/>
        <v>18.700787401574804</v>
      </c>
    </row>
    <row r="204" spans="1:19">
      <c r="A204" s="40" t="s">
        <v>200</v>
      </c>
      <c r="N204">
        <v>15</v>
      </c>
      <c r="O204">
        <v>18</v>
      </c>
      <c r="Q204">
        <f t="shared" si="6"/>
        <v>7.5</v>
      </c>
      <c r="S204">
        <f t="shared" si="7"/>
        <v>8.8582677165354333</v>
      </c>
    </row>
    <row r="205" spans="1:19">
      <c r="A205" s="40" t="s">
        <v>206</v>
      </c>
      <c r="N205">
        <v>24</v>
      </c>
      <c r="O205">
        <v>23</v>
      </c>
      <c r="Q205">
        <f t="shared" si="6"/>
        <v>12</v>
      </c>
      <c r="S205">
        <f t="shared" si="7"/>
        <v>11.318897637795276</v>
      </c>
    </row>
    <row r="206" spans="1:19">
      <c r="A206" s="40" t="s">
        <v>212</v>
      </c>
      <c r="N206">
        <v>39</v>
      </c>
      <c r="O206">
        <v>39</v>
      </c>
      <c r="Q206">
        <f t="shared" si="6"/>
        <v>19.5</v>
      </c>
      <c r="S206">
        <f t="shared" si="7"/>
        <v>19.19291338582677</v>
      </c>
    </row>
    <row r="207" spans="1:19">
      <c r="A207" s="40" t="s">
        <v>218</v>
      </c>
      <c r="N207">
        <v>24</v>
      </c>
      <c r="O207">
        <v>13</v>
      </c>
      <c r="Q207">
        <f t="shared" si="6"/>
        <v>12</v>
      </c>
      <c r="S207">
        <f t="shared" si="7"/>
        <v>6.3976377952755907</v>
      </c>
    </row>
    <row r="208" spans="1:19">
      <c r="A208" s="40" t="s">
        <v>224</v>
      </c>
      <c r="N208">
        <v>34</v>
      </c>
      <c r="O208">
        <v>25</v>
      </c>
      <c r="Q208">
        <f t="shared" si="6"/>
        <v>17</v>
      </c>
      <c r="S208">
        <f t="shared" si="7"/>
        <v>12.303149606299213</v>
      </c>
    </row>
    <row r="209" spans="1:19">
      <c r="A209" s="40" t="s">
        <v>230</v>
      </c>
      <c r="N209">
        <v>46</v>
      </c>
      <c r="O209">
        <v>45</v>
      </c>
      <c r="Q209">
        <f t="shared" si="6"/>
        <v>23</v>
      </c>
      <c r="S209">
        <f t="shared" si="7"/>
        <v>22.145669291338582</v>
      </c>
    </row>
    <row r="210" spans="1:19">
      <c r="A210" s="40" t="s">
        <v>236</v>
      </c>
      <c r="N210">
        <v>29</v>
      </c>
      <c r="O210">
        <v>26</v>
      </c>
      <c r="Q210">
        <f t="shared" si="6"/>
        <v>14.5</v>
      </c>
      <c r="S210">
        <f t="shared" si="7"/>
        <v>12.795275590551181</v>
      </c>
    </row>
    <row r="211" spans="1:19">
      <c r="A211" s="40" t="s">
        <v>242</v>
      </c>
      <c r="N211">
        <v>37</v>
      </c>
      <c r="O211">
        <v>35</v>
      </c>
      <c r="Q211">
        <f t="shared" si="6"/>
        <v>18.5</v>
      </c>
      <c r="S211">
        <f t="shared" si="7"/>
        <v>17.224409448818896</v>
      </c>
    </row>
    <row r="212" spans="1:19">
      <c r="A212" s="40" t="s">
        <v>248</v>
      </c>
      <c r="N212">
        <v>31</v>
      </c>
      <c r="O212">
        <v>29</v>
      </c>
      <c r="Q212">
        <f t="shared" si="6"/>
        <v>15.5</v>
      </c>
      <c r="S212">
        <f t="shared" si="7"/>
        <v>14.271653543307087</v>
      </c>
    </row>
    <row r="213" spans="1:19">
      <c r="A213" s="40" t="s">
        <v>254</v>
      </c>
      <c r="N213">
        <v>22</v>
      </c>
      <c r="O213">
        <v>12</v>
      </c>
      <c r="Q213">
        <f t="shared" si="6"/>
        <v>11</v>
      </c>
      <c r="S213">
        <f t="shared" si="7"/>
        <v>5.9055118110236222</v>
      </c>
    </row>
    <row r="214" spans="1:19">
      <c r="A214" s="40" t="s">
        <v>260</v>
      </c>
      <c r="N214">
        <v>26</v>
      </c>
      <c r="O214">
        <v>23</v>
      </c>
      <c r="Q214">
        <f t="shared" si="6"/>
        <v>13</v>
      </c>
      <c r="S214">
        <f t="shared" si="7"/>
        <v>11.318897637795276</v>
      </c>
    </row>
    <row r="215" spans="1:19">
      <c r="A215" s="40" t="s">
        <v>266</v>
      </c>
      <c r="N215">
        <v>28</v>
      </c>
      <c r="O215">
        <v>28</v>
      </c>
      <c r="Q215">
        <f t="shared" si="6"/>
        <v>14</v>
      </c>
      <c r="S215">
        <f t="shared" si="7"/>
        <v>13.779527559055119</v>
      </c>
    </row>
    <row r="216" spans="1:19">
      <c r="A216" s="40" t="s">
        <v>272</v>
      </c>
      <c r="N216">
        <v>27</v>
      </c>
      <c r="O216">
        <v>27</v>
      </c>
      <c r="Q216">
        <f t="shared" si="6"/>
        <v>13.5</v>
      </c>
      <c r="S216">
        <f t="shared" si="7"/>
        <v>13.28740157480315</v>
      </c>
    </row>
    <row r="217" spans="1:19">
      <c r="A217" s="40" t="s">
        <v>278</v>
      </c>
      <c r="N217">
        <v>17</v>
      </c>
      <c r="O217">
        <v>18</v>
      </c>
      <c r="Q217">
        <f t="shared" si="6"/>
        <v>8.5</v>
      </c>
      <c r="S217">
        <f t="shared" si="7"/>
        <v>8.8582677165354333</v>
      </c>
    </row>
    <row r="218" spans="1:19">
      <c r="A218" s="40" t="s">
        <v>284</v>
      </c>
      <c r="N218">
        <v>28</v>
      </c>
      <c r="O218">
        <v>29</v>
      </c>
      <c r="Q218">
        <f t="shared" si="6"/>
        <v>14</v>
      </c>
      <c r="S218">
        <f t="shared" si="7"/>
        <v>14.271653543307087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6C15A-85FD-442A-B0BD-8FA966902EA0}">
  <dimension ref="A1:X53"/>
  <sheetViews>
    <sheetView workbookViewId="0">
      <selection activeCell="N10" sqref="N10:N49"/>
    </sheetView>
  </sheetViews>
  <sheetFormatPr defaultRowHeight="12.75"/>
  <cols>
    <col min="1" max="19" width="9.140625" style="37"/>
    <col min="20" max="20" width="45.7109375" style="37" customWidth="1"/>
    <col min="21" max="21" width="9.140625" style="37"/>
    <col min="22" max="22" width="23.140625" style="37" customWidth="1"/>
    <col min="23" max="23" width="5" style="37" customWidth="1"/>
    <col min="24" max="26" width="4.5703125" style="37" customWidth="1"/>
    <col min="27" max="27" width="10.5703125" style="37" bestFit="1" customWidth="1"/>
    <col min="28" max="16384" width="9.140625" style="37"/>
  </cols>
  <sheetData>
    <row r="1" spans="1:23" ht="15.75">
      <c r="A1" s="93" t="s">
        <v>340</v>
      </c>
    </row>
    <row r="3" spans="1:23" ht="13.5" thickBot="1">
      <c r="A3" s="92"/>
      <c r="B3" s="92" t="s">
        <v>339</v>
      </c>
      <c r="C3" s="91">
        <v>118</v>
      </c>
      <c r="E3" s="37" t="s">
        <v>338</v>
      </c>
      <c r="F3" s="37">
        <v>851</v>
      </c>
    </row>
    <row r="4" spans="1:23">
      <c r="E4" s="37" t="s">
        <v>337</v>
      </c>
      <c r="F4" s="37">
        <v>931</v>
      </c>
      <c r="N4" s="38">
        <f>AVERAGE(Q10:Q11,Q13,Q15:Q17,Q19:Q20,Q22:Q29,Q31:Q32,Q34:Q35,Q37,Q39:Q41)</f>
        <v>3.7847222222222228</v>
      </c>
      <c r="O4" s="38">
        <f>AVERAGE(Q12,Q14,Q18,Q21,Q30,Q36,Q38,Q33)</f>
        <v>7.1875</v>
      </c>
    </row>
    <row r="6" spans="1:23">
      <c r="B6" s="37" t="s">
        <v>336</v>
      </c>
      <c r="D6" s="90" t="s">
        <v>335</v>
      </c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</row>
    <row r="7" spans="1:23">
      <c r="D7" s="90" t="s">
        <v>334</v>
      </c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</row>
    <row r="8" spans="1:23" ht="13.5" thickBot="1"/>
    <row r="9" spans="1:23" ht="51.75" thickBot="1">
      <c r="B9" s="88" t="s">
        <v>0</v>
      </c>
      <c r="C9" s="89" t="s">
        <v>305</v>
      </c>
      <c r="D9" s="89" t="s">
        <v>333</v>
      </c>
      <c r="E9" s="88" t="s">
        <v>332</v>
      </c>
      <c r="F9" s="89" t="s">
        <v>331</v>
      </c>
      <c r="G9" s="88" t="s">
        <v>330</v>
      </c>
      <c r="H9" s="88" t="s">
        <v>329</v>
      </c>
      <c r="I9" s="88" t="s">
        <v>315</v>
      </c>
      <c r="J9" s="88" t="s">
        <v>328</v>
      </c>
      <c r="K9" s="86" t="s">
        <v>327</v>
      </c>
      <c r="L9" s="86" t="s">
        <v>326</v>
      </c>
      <c r="M9" s="86" t="s">
        <v>325</v>
      </c>
      <c r="N9" s="86" t="s">
        <v>324</v>
      </c>
      <c r="O9" s="86" t="s">
        <v>323</v>
      </c>
      <c r="P9" s="86" t="s">
        <v>322</v>
      </c>
      <c r="Q9" s="87" t="s">
        <v>321</v>
      </c>
      <c r="R9" s="86" t="s">
        <v>320</v>
      </c>
      <c r="S9" s="85" t="s">
        <v>319</v>
      </c>
      <c r="T9" s="84" t="s">
        <v>318</v>
      </c>
    </row>
    <row r="10" spans="1:23">
      <c r="B10" s="61">
        <v>101</v>
      </c>
      <c r="C10" s="62" t="s">
        <v>3</v>
      </c>
      <c r="D10" s="62">
        <v>1</v>
      </c>
      <c r="E10" s="62">
        <f t="shared" ref="E10:E41" si="0">IF(LEFT($C10,1)="F",1,2)</f>
        <v>1</v>
      </c>
      <c r="F10" s="62">
        <f t="shared" ref="F10:F41" si="1">IF(MID($C10,2,1)="S",1,IF(MID($C10,2,1)="T",2,IF(MID($C10,2,1)="D",3,0)))</f>
        <v>1</v>
      </c>
      <c r="G10" s="62">
        <f t="shared" ref="G10:G41" si="2">IF(RIGHT($C10,1)="L",1,2)</f>
        <v>2</v>
      </c>
      <c r="H10" s="61">
        <v>1</v>
      </c>
      <c r="I10" s="61">
        <f t="shared" ref="I10:I49" si="3">B10-INT(B10/100)*100</f>
        <v>1</v>
      </c>
      <c r="J10" s="61" t="str">
        <f t="shared" ref="J10:J49" si="4">(E10&amp;F10&amp;G10&amp;"."&amp;H10)</f>
        <v>112.1</v>
      </c>
      <c r="K10" s="83"/>
      <c r="L10" s="60"/>
      <c r="M10" s="60">
        <v>10</v>
      </c>
      <c r="N10" s="60">
        <v>6</v>
      </c>
      <c r="O10" s="60"/>
      <c r="P10" s="60"/>
      <c r="Q10" s="53">
        <f t="shared" ref="Q10:Q49" si="5">AVERAGE(K10:P10)/2</f>
        <v>4</v>
      </c>
      <c r="R10" s="53">
        <f t="shared" ref="R10:R49" si="6">STDEV(K10:P10)/2/SQRT(COUNT(K10:P10))</f>
        <v>1</v>
      </c>
      <c r="S10" s="46">
        <f t="shared" ref="S10:S49" si="7">IF(F10=3,Q10/2,Q10)</f>
        <v>4</v>
      </c>
      <c r="T10" s="82" t="s">
        <v>317</v>
      </c>
      <c r="V10" s="65" t="s">
        <v>316</v>
      </c>
      <c r="W10" s="63"/>
    </row>
    <row r="11" spans="1:23">
      <c r="B11" s="55">
        <v>102</v>
      </c>
      <c r="C11" s="55" t="s">
        <v>4</v>
      </c>
      <c r="D11" s="55">
        <v>4</v>
      </c>
      <c r="E11" s="56">
        <f t="shared" si="0"/>
        <v>1</v>
      </c>
      <c r="F11" s="56">
        <f t="shared" si="1"/>
        <v>2</v>
      </c>
      <c r="G11" s="56">
        <f t="shared" si="2"/>
        <v>1</v>
      </c>
      <c r="H11" s="55">
        <v>1</v>
      </c>
      <c r="I11" s="55">
        <f t="shared" si="3"/>
        <v>2</v>
      </c>
      <c r="J11" s="55" t="str">
        <f t="shared" si="4"/>
        <v>121.1</v>
      </c>
      <c r="K11" s="54"/>
      <c r="L11" s="54">
        <v>13</v>
      </c>
      <c r="M11" s="54">
        <v>0</v>
      </c>
      <c r="N11" s="54">
        <v>7</v>
      </c>
      <c r="O11" s="54"/>
      <c r="P11" s="54"/>
      <c r="Q11" s="53">
        <f t="shared" si="5"/>
        <v>3.3333333333333335</v>
      </c>
      <c r="R11" s="52">
        <f t="shared" si="6"/>
        <v>1.8782379449307742</v>
      </c>
      <c r="S11" s="46">
        <f t="shared" si="7"/>
        <v>3.3333333333333335</v>
      </c>
      <c r="T11" s="45"/>
      <c r="V11" s="64" t="s">
        <v>315</v>
      </c>
      <c r="W11" s="63" t="s">
        <v>304</v>
      </c>
    </row>
    <row r="12" spans="1:23">
      <c r="B12" s="69">
        <v>103</v>
      </c>
      <c r="C12" s="69" t="s">
        <v>5</v>
      </c>
      <c r="D12" s="69">
        <v>5</v>
      </c>
      <c r="E12" s="70">
        <f t="shared" si="0"/>
        <v>1</v>
      </c>
      <c r="F12" s="70">
        <f t="shared" si="1"/>
        <v>3</v>
      </c>
      <c r="G12" s="70">
        <f t="shared" si="2"/>
        <v>2</v>
      </c>
      <c r="H12" s="69">
        <v>1</v>
      </c>
      <c r="I12" s="69">
        <f t="shared" si="3"/>
        <v>3</v>
      </c>
      <c r="J12" s="69" t="str">
        <f t="shared" si="4"/>
        <v>132.1</v>
      </c>
      <c r="K12" s="68"/>
      <c r="L12" s="68"/>
      <c r="M12" s="68">
        <v>5</v>
      </c>
      <c r="N12" s="68">
        <v>15</v>
      </c>
      <c r="O12" s="68"/>
      <c r="P12" s="68"/>
      <c r="Q12" s="67">
        <f t="shared" si="5"/>
        <v>5</v>
      </c>
      <c r="R12" s="66">
        <f t="shared" si="6"/>
        <v>2.5</v>
      </c>
      <c r="S12" s="46">
        <f t="shared" si="7"/>
        <v>2.5</v>
      </c>
      <c r="T12" s="45"/>
      <c r="V12" s="59">
        <v>1</v>
      </c>
      <c r="W12" s="58">
        <v>3.21875</v>
      </c>
    </row>
    <row r="13" spans="1:23">
      <c r="B13" s="55">
        <v>104</v>
      </c>
      <c r="C13" s="55" t="s">
        <v>6</v>
      </c>
      <c r="D13" s="55">
        <v>10</v>
      </c>
      <c r="E13" s="56">
        <f t="shared" si="0"/>
        <v>2</v>
      </c>
      <c r="F13" s="56">
        <f t="shared" si="1"/>
        <v>2</v>
      </c>
      <c r="G13" s="56">
        <f t="shared" si="2"/>
        <v>1</v>
      </c>
      <c r="H13" s="55">
        <v>1</v>
      </c>
      <c r="I13" s="55">
        <f t="shared" si="3"/>
        <v>4</v>
      </c>
      <c r="J13" s="55" t="str">
        <f t="shared" si="4"/>
        <v>221.1</v>
      </c>
      <c r="K13" s="54"/>
      <c r="L13" s="54"/>
      <c r="M13" s="54">
        <v>8</v>
      </c>
      <c r="N13" s="54">
        <v>11</v>
      </c>
      <c r="O13" s="54"/>
      <c r="P13" s="54"/>
      <c r="Q13" s="53">
        <f t="shared" si="5"/>
        <v>4.75</v>
      </c>
      <c r="R13" s="52">
        <f t="shared" si="6"/>
        <v>0.74999999999999989</v>
      </c>
      <c r="S13" s="46">
        <f t="shared" si="7"/>
        <v>4.75</v>
      </c>
      <c r="T13" s="45"/>
      <c r="V13" s="44">
        <v>2</v>
      </c>
      <c r="W13" s="43">
        <v>2.8333333333333335</v>
      </c>
    </row>
    <row r="14" spans="1:23">
      <c r="B14" s="69">
        <v>105</v>
      </c>
      <c r="C14" s="69" t="s">
        <v>10</v>
      </c>
      <c r="D14" s="69">
        <v>12</v>
      </c>
      <c r="E14" s="70">
        <f t="shared" si="0"/>
        <v>2</v>
      </c>
      <c r="F14" s="70">
        <f t="shared" si="1"/>
        <v>3</v>
      </c>
      <c r="G14" s="70">
        <f t="shared" si="2"/>
        <v>1</v>
      </c>
      <c r="H14" s="69">
        <v>2</v>
      </c>
      <c r="I14" s="69">
        <f t="shared" si="3"/>
        <v>5</v>
      </c>
      <c r="J14" s="69" t="str">
        <f t="shared" si="4"/>
        <v>231.2</v>
      </c>
      <c r="K14" s="68"/>
      <c r="L14" s="68"/>
      <c r="M14" s="68">
        <v>14</v>
      </c>
      <c r="N14" s="68">
        <v>11</v>
      </c>
      <c r="O14" s="68"/>
      <c r="P14" s="68"/>
      <c r="Q14" s="67">
        <f t="shared" si="5"/>
        <v>6.25</v>
      </c>
      <c r="R14" s="66">
        <f t="shared" si="6"/>
        <v>0.74999999999999989</v>
      </c>
      <c r="S14" s="46">
        <f t="shared" si="7"/>
        <v>3.125</v>
      </c>
      <c r="T14" s="45"/>
      <c r="V14" s="44">
        <v>3</v>
      </c>
      <c r="W14" s="43">
        <v>3.3125</v>
      </c>
    </row>
    <row r="15" spans="1:23">
      <c r="B15" s="55">
        <v>106</v>
      </c>
      <c r="C15" s="55" t="s">
        <v>7</v>
      </c>
      <c r="D15" s="55">
        <v>9</v>
      </c>
      <c r="E15" s="56">
        <f t="shared" si="0"/>
        <v>2</v>
      </c>
      <c r="F15" s="56">
        <f t="shared" si="1"/>
        <v>2</v>
      </c>
      <c r="G15" s="56">
        <f t="shared" si="2"/>
        <v>2</v>
      </c>
      <c r="H15" s="55">
        <v>2</v>
      </c>
      <c r="I15" s="55">
        <f t="shared" si="3"/>
        <v>6</v>
      </c>
      <c r="J15" s="55" t="str">
        <f t="shared" si="4"/>
        <v>222.2</v>
      </c>
      <c r="K15" s="54"/>
      <c r="L15" s="54"/>
      <c r="M15" s="54">
        <v>8</v>
      </c>
      <c r="N15" s="54">
        <v>7</v>
      </c>
      <c r="O15" s="54"/>
      <c r="P15" s="54"/>
      <c r="Q15" s="53">
        <f t="shared" si="5"/>
        <v>3.75</v>
      </c>
      <c r="R15" s="52">
        <f t="shared" si="6"/>
        <v>0.25</v>
      </c>
      <c r="S15" s="46">
        <f t="shared" si="7"/>
        <v>3.75</v>
      </c>
      <c r="T15" s="45"/>
      <c r="V15" s="44">
        <v>4</v>
      </c>
      <c r="W15" s="43">
        <v>4.53125</v>
      </c>
    </row>
    <row r="16" spans="1:23">
      <c r="B16" s="55">
        <v>107</v>
      </c>
      <c r="C16" s="55" t="s">
        <v>6</v>
      </c>
      <c r="D16" s="55">
        <v>10</v>
      </c>
      <c r="E16" s="56">
        <f t="shared" si="0"/>
        <v>2</v>
      </c>
      <c r="F16" s="56">
        <f t="shared" si="1"/>
        <v>2</v>
      </c>
      <c r="G16" s="56">
        <f t="shared" si="2"/>
        <v>1</v>
      </c>
      <c r="H16" s="55">
        <v>2</v>
      </c>
      <c r="I16" s="55">
        <f t="shared" si="3"/>
        <v>7</v>
      </c>
      <c r="J16" s="55" t="str">
        <f t="shared" si="4"/>
        <v>221.2</v>
      </c>
      <c r="K16" s="54"/>
      <c r="L16" s="54"/>
      <c r="M16" s="54">
        <v>10</v>
      </c>
      <c r="N16" s="54">
        <v>6</v>
      </c>
      <c r="O16" s="54"/>
      <c r="P16" s="54"/>
      <c r="Q16" s="53">
        <f t="shared" si="5"/>
        <v>4</v>
      </c>
      <c r="R16" s="52">
        <f t="shared" si="6"/>
        <v>1</v>
      </c>
      <c r="S16" s="46">
        <f t="shared" si="7"/>
        <v>4</v>
      </c>
      <c r="T16" s="45"/>
      <c r="V16" s="44">
        <v>5</v>
      </c>
      <c r="W16" s="43">
        <v>4.28125</v>
      </c>
    </row>
    <row r="17" spans="2:24" ht="13.5" thickBot="1">
      <c r="B17" s="49">
        <v>108</v>
      </c>
      <c r="C17" s="49" t="s">
        <v>8</v>
      </c>
      <c r="D17" s="49">
        <v>3</v>
      </c>
      <c r="E17" s="50">
        <f t="shared" si="0"/>
        <v>1</v>
      </c>
      <c r="F17" s="50">
        <f t="shared" si="1"/>
        <v>2</v>
      </c>
      <c r="G17" s="50">
        <f t="shared" si="2"/>
        <v>2</v>
      </c>
      <c r="H17" s="49">
        <v>2</v>
      </c>
      <c r="I17" s="49">
        <f t="shared" si="3"/>
        <v>8</v>
      </c>
      <c r="J17" s="49" t="str">
        <f t="shared" si="4"/>
        <v>122.2</v>
      </c>
      <c r="K17" s="48"/>
      <c r="L17" s="48"/>
      <c r="M17" s="48">
        <v>2</v>
      </c>
      <c r="N17" s="48">
        <v>13</v>
      </c>
      <c r="O17" s="48"/>
      <c r="P17" s="48"/>
      <c r="Q17" s="48">
        <f t="shared" si="5"/>
        <v>3.75</v>
      </c>
      <c r="R17" s="47">
        <f t="shared" si="6"/>
        <v>2.7499999999999996</v>
      </c>
      <c r="S17" s="46">
        <f t="shared" si="7"/>
        <v>3.75</v>
      </c>
      <c r="T17" s="82" t="s">
        <v>314</v>
      </c>
      <c r="V17" s="44">
        <v>6</v>
      </c>
      <c r="W17" s="43">
        <v>5</v>
      </c>
    </row>
    <row r="18" spans="2:24">
      <c r="B18" s="80">
        <v>201</v>
      </c>
      <c r="C18" s="80" t="s">
        <v>10</v>
      </c>
      <c r="D18" s="80">
        <v>12</v>
      </c>
      <c r="E18" s="81">
        <f t="shared" si="0"/>
        <v>2</v>
      </c>
      <c r="F18" s="81">
        <f t="shared" si="1"/>
        <v>3</v>
      </c>
      <c r="G18" s="81">
        <f t="shared" si="2"/>
        <v>1</v>
      </c>
      <c r="H18" s="80">
        <v>1</v>
      </c>
      <c r="I18" s="80">
        <f t="shared" si="3"/>
        <v>1</v>
      </c>
      <c r="J18" s="80" t="str">
        <f t="shared" si="4"/>
        <v>231.1</v>
      </c>
      <c r="K18" s="79"/>
      <c r="L18" s="79"/>
      <c r="M18" s="79">
        <v>14</v>
      </c>
      <c r="N18" s="79">
        <v>11</v>
      </c>
      <c r="O18" s="79"/>
      <c r="P18" s="79"/>
      <c r="Q18" s="67">
        <f t="shared" si="5"/>
        <v>6.25</v>
      </c>
      <c r="R18" s="67">
        <f t="shared" si="6"/>
        <v>0.74999999999999989</v>
      </c>
      <c r="S18" s="46">
        <f t="shared" si="7"/>
        <v>3.125</v>
      </c>
      <c r="T18" s="45" t="s">
        <v>313</v>
      </c>
      <c r="V18" s="44">
        <v>7</v>
      </c>
      <c r="W18" s="43">
        <v>2.875</v>
      </c>
    </row>
    <row r="19" spans="2:24">
      <c r="B19" s="55">
        <v>202</v>
      </c>
      <c r="C19" s="55" t="s">
        <v>7</v>
      </c>
      <c r="D19" s="55">
        <v>9</v>
      </c>
      <c r="E19" s="56">
        <f t="shared" si="0"/>
        <v>2</v>
      </c>
      <c r="F19" s="56">
        <f t="shared" si="1"/>
        <v>2</v>
      </c>
      <c r="G19" s="56">
        <f t="shared" si="2"/>
        <v>2</v>
      </c>
      <c r="H19" s="55">
        <v>1</v>
      </c>
      <c r="I19" s="55">
        <f t="shared" si="3"/>
        <v>2</v>
      </c>
      <c r="J19" s="55" t="str">
        <f t="shared" si="4"/>
        <v>222.1</v>
      </c>
      <c r="K19" s="78"/>
      <c r="L19" s="77"/>
      <c r="M19" s="77">
        <v>2</v>
      </c>
      <c r="N19" s="77">
        <v>6</v>
      </c>
      <c r="O19" s="54"/>
      <c r="P19" s="54"/>
      <c r="Q19" s="53">
        <f t="shared" si="5"/>
        <v>2</v>
      </c>
      <c r="R19" s="52">
        <f t="shared" si="6"/>
        <v>1</v>
      </c>
      <c r="S19" s="46">
        <f t="shared" si="7"/>
        <v>2</v>
      </c>
      <c r="T19" s="45"/>
      <c r="V19" s="44">
        <v>8</v>
      </c>
      <c r="W19" s="43">
        <v>3.84375</v>
      </c>
    </row>
    <row r="20" spans="2:24">
      <c r="B20" s="55">
        <v>203</v>
      </c>
      <c r="C20" s="55" t="s">
        <v>8</v>
      </c>
      <c r="D20" s="55">
        <v>3</v>
      </c>
      <c r="E20" s="56">
        <f t="shared" si="0"/>
        <v>1</v>
      </c>
      <c r="F20" s="56">
        <f t="shared" si="1"/>
        <v>2</v>
      </c>
      <c r="G20" s="56">
        <f t="shared" si="2"/>
        <v>2</v>
      </c>
      <c r="H20" s="55">
        <v>1</v>
      </c>
      <c r="I20" s="55">
        <f t="shared" si="3"/>
        <v>3</v>
      </c>
      <c r="J20" s="55" t="str">
        <f t="shared" si="4"/>
        <v>122.1</v>
      </c>
      <c r="K20" s="54"/>
      <c r="L20" s="54"/>
      <c r="M20" s="54">
        <v>13</v>
      </c>
      <c r="N20" s="54">
        <v>10</v>
      </c>
      <c r="O20" s="54"/>
      <c r="P20" s="54"/>
      <c r="Q20" s="53">
        <f t="shared" si="5"/>
        <v>5.75</v>
      </c>
      <c r="R20" s="52">
        <f t="shared" si="6"/>
        <v>0.74999999999999989</v>
      </c>
      <c r="S20" s="46">
        <f t="shared" si="7"/>
        <v>5.75</v>
      </c>
      <c r="T20" s="45"/>
      <c r="V20" s="76" t="s">
        <v>312</v>
      </c>
      <c r="W20" s="75">
        <v>3.7369791666666665</v>
      </c>
    </row>
    <row r="21" spans="2:24">
      <c r="B21" s="69">
        <v>204</v>
      </c>
      <c r="C21" s="69" t="s">
        <v>11</v>
      </c>
      <c r="D21" s="69">
        <v>11</v>
      </c>
      <c r="E21" s="70">
        <f t="shared" si="0"/>
        <v>2</v>
      </c>
      <c r="F21" s="70">
        <f t="shared" si="1"/>
        <v>3</v>
      </c>
      <c r="G21" s="70">
        <f t="shared" si="2"/>
        <v>2</v>
      </c>
      <c r="H21" s="69">
        <v>1</v>
      </c>
      <c r="I21" s="69">
        <f t="shared" si="3"/>
        <v>4</v>
      </c>
      <c r="J21" s="69" t="str">
        <f t="shared" si="4"/>
        <v>232.1</v>
      </c>
      <c r="K21" s="68"/>
      <c r="L21" s="68"/>
      <c r="M21" s="68">
        <v>25</v>
      </c>
      <c r="N21" s="68">
        <v>12</v>
      </c>
      <c r="O21" s="68"/>
      <c r="P21" s="68"/>
      <c r="Q21" s="67">
        <f t="shared" si="5"/>
        <v>9.25</v>
      </c>
      <c r="R21" s="66">
        <f t="shared" si="6"/>
        <v>3.2499999999999996</v>
      </c>
      <c r="S21" s="46">
        <f t="shared" si="7"/>
        <v>4.625</v>
      </c>
      <c r="T21" s="45"/>
    </row>
    <row r="22" spans="2:24">
      <c r="B22" s="55">
        <v>205</v>
      </c>
      <c r="C22" s="55" t="s">
        <v>3</v>
      </c>
      <c r="D22" s="55">
        <v>1</v>
      </c>
      <c r="E22" s="56">
        <f t="shared" si="0"/>
        <v>1</v>
      </c>
      <c r="F22" s="56">
        <f t="shared" si="1"/>
        <v>1</v>
      </c>
      <c r="G22" s="56">
        <f t="shared" si="2"/>
        <v>2</v>
      </c>
      <c r="H22" s="55">
        <v>2</v>
      </c>
      <c r="I22" s="55">
        <f t="shared" si="3"/>
        <v>5</v>
      </c>
      <c r="J22" s="55" t="str">
        <f t="shared" si="4"/>
        <v>112.2</v>
      </c>
      <c r="K22" s="54"/>
      <c r="L22" s="54"/>
      <c r="M22" s="54">
        <v>8</v>
      </c>
      <c r="N22" s="54">
        <v>12</v>
      </c>
      <c r="O22" s="54"/>
      <c r="P22" s="54"/>
      <c r="Q22" s="53">
        <f t="shared" si="5"/>
        <v>5</v>
      </c>
      <c r="R22" s="52">
        <f t="shared" si="6"/>
        <v>1</v>
      </c>
      <c r="S22" s="46">
        <f t="shared" si="7"/>
        <v>5</v>
      </c>
      <c r="T22" s="45"/>
    </row>
    <row r="23" spans="2:24">
      <c r="B23" s="55">
        <v>206</v>
      </c>
      <c r="C23" s="55" t="s">
        <v>12</v>
      </c>
      <c r="D23" s="55">
        <v>8</v>
      </c>
      <c r="E23" s="56">
        <f t="shared" si="0"/>
        <v>2</v>
      </c>
      <c r="F23" s="56">
        <f t="shared" si="1"/>
        <v>1</v>
      </c>
      <c r="G23" s="56">
        <f t="shared" si="2"/>
        <v>1</v>
      </c>
      <c r="H23" s="55">
        <v>2</v>
      </c>
      <c r="I23" s="55">
        <f t="shared" si="3"/>
        <v>6</v>
      </c>
      <c r="J23" s="55" t="str">
        <f t="shared" si="4"/>
        <v>211.2</v>
      </c>
      <c r="K23" s="54"/>
      <c r="L23" s="54"/>
      <c r="M23" s="54">
        <v>6</v>
      </c>
      <c r="N23" s="54">
        <v>12</v>
      </c>
      <c r="O23" s="54"/>
      <c r="P23" s="54"/>
      <c r="Q23" s="53">
        <f t="shared" si="5"/>
        <v>4.5</v>
      </c>
      <c r="R23" s="52">
        <f t="shared" si="6"/>
        <v>1.4999999999999998</v>
      </c>
      <c r="S23" s="46">
        <f t="shared" si="7"/>
        <v>4.5</v>
      </c>
      <c r="T23" s="45"/>
    </row>
    <row r="24" spans="2:24">
      <c r="B24" s="55">
        <v>207</v>
      </c>
      <c r="C24" s="55" t="s">
        <v>4</v>
      </c>
      <c r="D24" s="55">
        <v>4</v>
      </c>
      <c r="E24" s="56">
        <f t="shared" si="0"/>
        <v>1</v>
      </c>
      <c r="F24" s="56">
        <f t="shared" si="1"/>
        <v>2</v>
      </c>
      <c r="G24" s="56">
        <f t="shared" si="2"/>
        <v>1</v>
      </c>
      <c r="H24" s="55">
        <v>2</v>
      </c>
      <c r="I24" s="55">
        <f t="shared" si="3"/>
        <v>7</v>
      </c>
      <c r="J24" s="55" t="str">
        <f t="shared" si="4"/>
        <v>121.2</v>
      </c>
      <c r="K24" s="54"/>
      <c r="L24" s="54"/>
      <c r="M24" s="54">
        <v>3</v>
      </c>
      <c r="N24" s="54">
        <v>1</v>
      </c>
      <c r="O24" s="54"/>
      <c r="P24" s="54"/>
      <c r="Q24" s="53">
        <f t="shared" si="5"/>
        <v>1</v>
      </c>
      <c r="R24" s="52">
        <f t="shared" si="6"/>
        <v>0.5</v>
      </c>
      <c r="S24" s="46">
        <f t="shared" si="7"/>
        <v>1</v>
      </c>
      <c r="T24" s="45"/>
      <c r="V24" s="38">
        <f>AVERAGE(W15:W17,W19)</f>
        <v>4.4140625</v>
      </c>
    </row>
    <row r="25" spans="2:24" ht="13.5" thickBot="1">
      <c r="B25" s="49">
        <v>208</v>
      </c>
      <c r="C25" s="49" t="s">
        <v>13</v>
      </c>
      <c r="D25" s="49">
        <v>2</v>
      </c>
      <c r="E25" s="50">
        <f t="shared" si="0"/>
        <v>1</v>
      </c>
      <c r="F25" s="50">
        <f t="shared" si="1"/>
        <v>1</v>
      </c>
      <c r="G25" s="50">
        <f t="shared" si="2"/>
        <v>1</v>
      </c>
      <c r="H25" s="49">
        <v>2</v>
      </c>
      <c r="I25" s="49">
        <f t="shared" si="3"/>
        <v>8</v>
      </c>
      <c r="J25" s="49" t="str">
        <f t="shared" si="4"/>
        <v>111.2</v>
      </c>
      <c r="K25" s="48"/>
      <c r="L25" s="48"/>
      <c r="M25" s="48">
        <v>6</v>
      </c>
      <c r="N25" s="48">
        <v>9</v>
      </c>
      <c r="O25" s="48"/>
      <c r="P25" s="48"/>
      <c r="Q25" s="48">
        <f t="shared" si="5"/>
        <v>3.75</v>
      </c>
      <c r="R25" s="47">
        <f t="shared" si="6"/>
        <v>0.74999999999999989</v>
      </c>
      <c r="S25" s="46">
        <f t="shared" si="7"/>
        <v>3.75</v>
      </c>
      <c r="T25" s="45" t="s">
        <v>311</v>
      </c>
    </row>
    <row r="26" spans="2:24">
      <c r="B26" s="61">
        <v>301</v>
      </c>
      <c r="C26" s="61" t="s">
        <v>6</v>
      </c>
      <c r="D26" s="61">
        <v>10</v>
      </c>
      <c r="E26" s="62">
        <f t="shared" si="0"/>
        <v>2</v>
      </c>
      <c r="F26" s="62">
        <f t="shared" si="1"/>
        <v>2</v>
      </c>
      <c r="G26" s="62">
        <f t="shared" si="2"/>
        <v>1</v>
      </c>
      <c r="H26" s="61">
        <v>3</v>
      </c>
      <c r="I26" s="61">
        <f t="shared" si="3"/>
        <v>1</v>
      </c>
      <c r="J26" s="61" t="str">
        <f t="shared" si="4"/>
        <v>221.3</v>
      </c>
      <c r="K26" s="60"/>
      <c r="L26" s="60"/>
      <c r="M26" s="60">
        <v>11</v>
      </c>
      <c r="N26" s="60">
        <v>5</v>
      </c>
      <c r="O26" s="60"/>
      <c r="P26" s="60"/>
      <c r="Q26" s="53">
        <f t="shared" si="5"/>
        <v>4</v>
      </c>
      <c r="R26" s="53">
        <f t="shared" si="6"/>
        <v>1.4999999999999998</v>
      </c>
      <c r="S26" s="46">
        <f t="shared" si="7"/>
        <v>4</v>
      </c>
      <c r="T26" s="45" t="s">
        <v>310</v>
      </c>
      <c r="V26" s="38">
        <f>AVERAGE(W12:W14,W18)</f>
        <v>3.0598958333333335</v>
      </c>
    </row>
    <row r="27" spans="2:24">
      <c r="B27" s="55">
        <v>302</v>
      </c>
      <c r="C27" s="55" t="s">
        <v>4</v>
      </c>
      <c r="D27" s="55">
        <v>4</v>
      </c>
      <c r="E27" s="56">
        <f t="shared" si="0"/>
        <v>1</v>
      </c>
      <c r="F27" s="56">
        <f t="shared" si="1"/>
        <v>2</v>
      </c>
      <c r="G27" s="56">
        <f t="shared" si="2"/>
        <v>1</v>
      </c>
      <c r="H27" s="55">
        <v>3</v>
      </c>
      <c r="I27" s="55">
        <f t="shared" si="3"/>
        <v>2</v>
      </c>
      <c r="J27" s="55" t="str">
        <f t="shared" si="4"/>
        <v>121.3</v>
      </c>
      <c r="K27" s="54"/>
      <c r="L27" s="54"/>
      <c r="M27" s="54">
        <v>3</v>
      </c>
      <c r="N27" s="54">
        <v>8</v>
      </c>
      <c r="O27" s="54"/>
      <c r="P27" s="54"/>
      <c r="Q27" s="53">
        <f t="shared" si="5"/>
        <v>2.75</v>
      </c>
      <c r="R27" s="52">
        <f t="shared" si="6"/>
        <v>1.25</v>
      </c>
      <c r="S27" s="46">
        <f t="shared" si="7"/>
        <v>2.75</v>
      </c>
      <c r="T27" s="45"/>
    </row>
    <row r="28" spans="2:24">
      <c r="B28" s="55">
        <v>303</v>
      </c>
      <c r="C28" s="55" t="s">
        <v>12</v>
      </c>
      <c r="D28" s="55">
        <v>8</v>
      </c>
      <c r="E28" s="56">
        <f t="shared" si="0"/>
        <v>2</v>
      </c>
      <c r="F28" s="56">
        <f t="shared" si="1"/>
        <v>1</v>
      </c>
      <c r="G28" s="56">
        <f t="shared" si="2"/>
        <v>1</v>
      </c>
      <c r="H28" s="55">
        <v>3</v>
      </c>
      <c r="I28" s="55">
        <f t="shared" si="3"/>
        <v>3</v>
      </c>
      <c r="J28" s="55" t="str">
        <f t="shared" si="4"/>
        <v>211.3</v>
      </c>
      <c r="K28" s="54"/>
      <c r="L28" s="54"/>
      <c r="M28" s="54">
        <v>5</v>
      </c>
      <c r="N28" s="54">
        <v>1</v>
      </c>
      <c r="O28" s="54"/>
      <c r="P28" s="54"/>
      <c r="Q28" s="53">
        <f t="shared" si="5"/>
        <v>1.5</v>
      </c>
      <c r="R28" s="52">
        <f t="shared" si="6"/>
        <v>1</v>
      </c>
      <c r="S28" s="46">
        <f t="shared" si="7"/>
        <v>1.5</v>
      </c>
      <c r="T28" s="45"/>
    </row>
    <row r="29" spans="2:24">
      <c r="B29" s="55">
        <v>304</v>
      </c>
      <c r="C29" s="55" t="s">
        <v>13</v>
      </c>
      <c r="D29" s="55">
        <v>2</v>
      </c>
      <c r="E29" s="56">
        <f t="shared" si="0"/>
        <v>1</v>
      </c>
      <c r="F29" s="56">
        <f t="shared" si="1"/>
        <v>1</v>
      </c>
      <c r="G29" s="56">
        <f t="shared" si="2"/>
        <v>1</v>
      </c>
      <c r="H29" s="55">
        <v>3</v>
      </c>
      <c r="I29" s="55">
        <f t="shared" si="3"/>
        <v>4</v>
      </c>
      <c r="J29" s="55" t="str">
        <f t="shared" si="4"/>
        <v>111.3</v>
      </c>
      <c r="K29" s="54"/>
      <c r="L29" s="54"/>
      <c r="M29" s="54">
        <v>2</v>
      </c>
      <c r="N29" s="54">
        <v>7</v>
      </c>
      <c r="O29" s="54"/>
      <c r="P29" s="54"/>
      <c r="Q29" s="53">
        <f t="shared" si="5"/>
        <v>2.25</v>
      </c>
      <c r="R29" s="52">
        <f t="shared" si="6"/>
        <v>1.25</v>
      </c>
      <c r="S29" s="46">
        <f t="shared" si="7"/>
        <v>2.25</v>
      </c>
      <c r="T29" s="45"/>
      <c r="X29" s="38"/>
    </row>
    <row r="30" spans="2:24">
      <c r="B30" s="69">
        <v>305</v>
      </c>
      <c r="C30" s="69" t="s">
        <v>11</v>
      </c>
      <c r="D30" s="69">
        <v>11</v>
      </c>
      <c r="E30" s="70">
        <f t="shared" si="0"/>
        <v>2</v>
      </c>
      <c r="F30" s="70">
        <f t="shared" si="1"/>
        <v>3</v>
      </c>
      <c r="G30" s="70">
        <f t="shared" si="2"/>
        <v>2</v>
      </c>
      <c r="H30" s="69">
        <v>4</v>
      </c>
      <c r="I30" s="69">
        <f t="shared" si="3"/>
        <v>5</v>
      </c>
      <c r="J30" s="69" t="str">
        <f t="shared" si="4"/>
        <v>232.4</v>
      </c>
      <c r="K30" s="68"/>
      <c r="L30" s="68"/>
      <c r="M30" s="68">
        <v>24</v>
      </c>
      <c r="N30" s="68">
        <v>17</v>
      </c>
      <c r="O30" s="68"/>
      <c r="P30" s="68"/>
      <c r="Q30" s="67">
        <f t="shared" si="5"/>
        <v>10.25</v>
      </c>
      <c r="R30" s="66">
        <f t="shared" si="6"/>
        <v>1.7499999999999998</v>
      </c>
      <c r="S30" s="46">
        <f t="shared" si="7"/>
        <v>5.125</v>
      </c>
      <c r="T30" s="45"/>
    </row>
    <row r="31" spans="2:24">
      <c r="B31" s="55">
        <v>306</v>
      </c>
      <c r="C31" s="55" t="s">
        <v>4</v>
      </c>
      <c r="D31" s="55">
        <v>4</v>
      </c>
      <c r="E31" s="56">
        <f t="shared" si="0"/>
        <v>1</v>
      </c>
      <c r="F31" s="56">
        <f t="shared" si="1"/>
        <v>2</v>
      </c>
      <c r="G31" s="56">
        <f t="shared" si="2"/>
        <v>1</v>
      </c>
      <c r="H31" s="55">
        <v>4</v>
      </c>
      <c r="I31" s="55">
        <f t="shared" si="3"/>
        <v>6</v>
      </c>
      <c r="J31" s="55" t="str">
        <f t="shared" si="4"/>
        <v>121.4</v>
      </c>
      <c r="K31" s="54"/>
      <c r="L31" s="54"/>
      <c r="M31" s="54">
        <v>11</v>
      </c>
      <c r="N31" s="54">
        <v>17</v>
      </c>
      <c r="O31" s="54"/>
      <c r="P31" s="54"/>
      <c r="Q31" s="53">
        <f t="shared" si="5"/>
        <v>7</v>
      </c>
      <c r="R31" s="52">
        <f t="shared" si="6"/>
        <v>1.4999999999999998</v>
      </c>
      <c r="S31" s="46">
        <f t="shared" si="7"/>
        <v>7</v>
      </c>
      <c r="T31" s="45"/>
    </row>
    <row r="32" spans="2:24">
      <c r="B32" s="55">
        <v>307</v>
      </c>
      <c r="C32" s="55" t="s">
        <v>7</v>
      </c>
      <c r="D32" s="55">
        <v>9</v>
      </c>
      <c r="E32" s="56">
        <f t="shared" si="0"/>
        <v>2</v>
      </c>
      <c r="F32" s="56">
        <f t="shared" si="1"/>
        <v>2</v>
      </c>
      <c r="G32" s="56">
        <f t="shared" si="2"/>
        <v>2</v>
      </c>
      <c r="H32" s="55">
        <v>4</v>
      </c>
      <c r="I32" s="55">
        <f t="shared" si="3"/>
        <v>7</v>
      </c>
      <c r="J32" s="55" t="str">
        <f t="shared" si="4"/>
        <v>222.4</v>
      </c>
      <c r="K32" s="54"/>
      <c r="L32" s="54"/>
      <c r="M32" s="54">
        <v>10</v>
      </c>
      <c r="N32" s="54">
        <v>2</v>
      </c>
      <c r="O32" s="54"/>
      <c r="P32" s="54"/>
      <c r="Q32" s="53">
        <f t="shared" si="5"/>
        <v>3</v>
      </c>
      <c r="R32" s="52">
        <f t="shared" si="6"/>
        <v>2</v>
      </c>
      <c r="S32" s="46">
        <f t="shared" si="7"/>
        <v>3</v>
      </c>
      <c r="T32" s="45"/>
    </row>
    <row r="33" spans="2:23" ht="13.5" thickBot="1">
      <c r="B33" s="73">
        <v>308</v>
      </c>
      <c r="C33" s="73" t="s">
        <v>5</v>
      </c>
      <c r="D33" s="73">
        <v>5</v>
      </c>
      <c r="E33" s="74">
        <f t="shared" si="0"/>
        <v>1</v>
      </c>
      <c r="F33" s="74">
        <f t="shared" si="1"/>
        <v>3</v>
      </c>
      <c r="G33" s="74">
        <f t="shared" si="2"/>
        <v>2</v>
      </c>
      <c r="H33" s="73">
        <v>4</v>
      </c>
      <c r="I33" s="73">
        <f t="shared" si="3"/>
        <v>8</v>
      </c>
      <c r="J33" s="73" t="str">
        <f t="shared" si="4"/>
        <v>132.4</v>
      </c>
      <c r="K33" s="72"/>
      <c r="L33" s="72"/>
      <c r="M33" s="72">
        <v>11</v>
      </c>
      <c r="N33" s="72">
        <v>12</v>
      </c>
      <c r="O33" s="72"/>
      <c r="P33" s="72"/>
      <c r="Q33" s="72">
        <f t="shared" si="5"/>
        <v>5.75</v>
      </c>
      <c r="R33" s="71">
        <f t="shared" si="6"/>
        <v>0.25</v>
      </c>
      <c r="S33" s="46">
        <f t="shared" si="7"/>
        <v>2.875</v>
      </c>
      <c r="T33" s="45" t="s">
        <v>309</v>
      </c>
    </row>
    <row r="34" spans="2:23">
      <c r="B34" s="61">
        <v>401</v>
      </c>
      <c r="C34" s="61" t="s">
        <v>14</v>
      </c>
      <c r="D34" s="61">
        <v>7</v>
      </c>
      <c r="E34" s="62">
        <f t="shared" si="0"/>
        <v>2</v>
      </c>
      <c r="F34" s="62">
        <f t="shared" si="1"/>
        <v>1</v>
      </c>
      <c r="G34" s="62">
        <f t="shared" si="2"/>
        <v>2</v>
      </c>
      <c r="H34" s="61">
        <v>3</v>
      </c>
      <c r="I34" s="61">
        <f t="shared" si="3"/>
        <v>1</v>
      </c>
      <c r="J34" s="61" t="str">
        <f t="shared" si="4"/>
        <v>212.3</v>
      </c>
      <c r="K34" s="60"/>
      <c r="L34" s="60"/>
      <c r="M34" s="60">
        <v>2</v>
      </c>
      <c r="N34" s="60">
        <v>5</v>
      </c>
      <c r="O34" s="60"/>
      <c r="P34" s="60"/>
      <c r="Q34" s="53">
        <f t="shared" si="5"/>
        <v>1.75</v>
      </c>
      <c r="R34" s="53">
        <f t="shared" si="6"/>
        <v>0.74999999999999989</v>
      </c>
      <c r="S34" s="46">
        <f t="shared" si="7"/>
        <v>1.75</v>
      </c>
      <c r="T34" s="45" t="s">
        <v>308</v>
      </c>
    </row>
    <row r="35" spans="2:23">
      <c r="B35" s="55">
        <v>402</v>
      </c>
      <c r="C35" s="55" t="s">
        <v>7</v>
      </c>
      <c r="D35" s="55">
        <v>9</v>
      </c>
      <c r="E35" s="56">
        <f t="shared" si="0"/>
        <v>2</v>
      </c>
      <c r="F35" s="56">
        <f t="shared" si="1"/>
        <v>2</v>
      </c>
      <c r="G35" s="56">
        <f t="shared" si="2"/>
        <v>2</v>
      </c>
      <c r="H35" s="55">
        <v>3</v>
      </c>
      <c r="I35" s="55">
        <f t="shared" si="3"/>
        <v>2</v>
      </c>
      <c r="J35" s="55" t="str">
        <f t="shared" si="4"/>
        <v>222.3</v>
      </c>
      <c r="K35" s="54"/>
      <c r="L35" s="54"/>
      <c r="M35" s="54">
        <v>1</v>
      </c>
      <c r="N35" s="54">
        <v>12</v>
      </c>
      <c r="O35" s="54"/>
      <c r="P35" s="54"/>
      <c r="Q35" s="53">
        <f t="shared" si="5"/>
        <v>3.25</v>
      </c>
      <c r="R35" s="52">
        <f t="shared" si="6"/>
        <v>2.7499999999999996</v>
      </c>
      <c r="S35" s="46">
        <f t="shared" si="7"/>
        <v>3.25</v>
      </c>
      <c r="T35" s="45"/>
    </row>
    <row r="36" spans="2:23">
      <c r="B36" s="69">
        <v>403</v>
      </c>
      <c r="C36" s="69" t="s">
        <v>15</v>
      </c>
      <c r="D36" s="69">
        <v>6</v>
      </c>
      <c r="E36" s="70">
        <f t="shared" si="0"/>
        <v>1</v>
      </c>
      <c r="F36" s="70">
        <f t="shared" si="1"/>
        <v>3</v>
      </c>
      <c r="G36" s="70">
        <f t="shared" si="2"/>
        <v>1</v>
      </c>
      <c r="H36" s="69">
        <v>3</v>
      </c>
      <c r="I36" s="69">
        <f t="shared" si="3"/>
        <v>3</v>
      </c>
      <c r="J36" s="69" t="str">
        <f t="shared" si="4"/>
        <v>131.3</v>
      </c>
      <c r="K36" s="68"/>
      <c r="L36" s="68"/>
      <c r="M36" s="68">
        <v>16</v>
      </c>
      <c r="N36" s="68">
        <v>12</v>
      </c>
      <c r="O36" s="68"/>
      <c r="P36" s="68"/>
      <c r="Q36" s="67">
        <f t="shared" si="5"/>
        <v>7</v>
      </c>
      <c r="R36" s="66">
        <f t="shared" si="6"/>
        <v>1</v>
      </c>
      <c r="S36" s="46">
        <f t="shared" si="7"/>
        <v>3.5</v>
      </c>
      <c r="T36" s="45"/>
    </row>
    <row r="37" spans="2:23">
      <c r="B37" s="55">
        <v>404</v>
      </c>
      <c r="C37" s="55" t="s">
        <v>8</v>
      </c>
      <c r="D37" s="55">
        <v>3</v>
      </c>
      <c r="E37" s="56">
        <f t="shared" si="0"/>
        <v>1</v>
      </c>
      <c r="F37" s="56">
        <f t="shared" si="1"/>
        <v>2</v>
      </c>
      <c r="G37" s="56">
        <f t="shared" si="2"/>
        <v>2</v>
      </c>
      <c r="H37" s="55">
        <v>3</v>
      </c>
      <c r="I37" s="55">
        <f t="shared" si="3"/>
        <v>4</v>
      </c>
      <c r="J37" s="55" t="str">
        <f t="shared" si="4"/>
        <v>122.3</v>
      </c>
      <c r="K37" s="54"/>
      <c r="L37" s="54"/>
      <c r="M37" s="54">
        <v>10</v>
      </c>
      <c r="N37" s="54">
        <v>16</v>
      </c>
      <c r="O37" s="54"/>
      <c r="P37" s="54"/>
      <c r="Q37" s="53">
        <f t="shared" si="5"/>
        <v>6.5</v>
      </c>
      <c r="R37" s="52">
        <f t="shared" si="6"/>
        <v>1.4999999999999998</v>
      </c>
      <c r="S37" s="46">
        <f t="shared" si="7"/>
        <v>6.5</v>
      </c>
      <c r="T37" s="45"/>
    </row>
    <row r="38" spans="2:23">
      <c r="B38" s="69">
        <v>405</v>
      </c>
      <c r="C38" s="69" t="s">
        <v>15</v>
      </c>
      <c r="D38" s="69">
        <v>6</v>
      </c>
      <c r="E38" s="70">
        <f t="shared" si="0"/>
        <v>1</v>
      </c>
      <c r="F38" s="70">
        <f t="shared" si="1"/>
        <v>3</v>
      </c>
      <c r="G38" s="70">
        <f t="shared" si="2"/>
        <v>1</v>
      </c>
      <c r="H38" s="69">
        <v>4</v>
      </c>
      <c r="I38" s="69">
        <f t="shared" si="3"/>
        <v>5</v>
      </c>
      <c r="J38" s="69" t="str">
        <f t="shared" si="4"/>
        <v>131.4</v>
      </c>
      <c r="K38" s="68"/>
      <c r="L38" s="68"/>
      <c r="M38" s="68">
        <v>20</v>
      </c>
      <c r="N38" s="68">
        <v>11</v>
      </c>
      <c r="O38" s="68"/>
      <c r="P38" s="68"/>
      <c r="Q38" s="67">
        <f t="shared" si="5"/>
        <v>7.75</v>
      </c>
      <c r="R38" s="66">
        <f t="shared" si="6"/>
        <v>2.25</v>
      </c>
      <c r="S38" s="46">
        <f t="shared" si="7"/>
        <v>3.875</v>
      </c>
      <c r="T38" s="45"/>
    </row>
    <row r="39" spans="2:23">
      <c r="B39" s="55">
        <v>406</v>
      </c>
      <c r="C39" s="55" t="s">
        <v>8</v>
      </c>
      <c r="D39" s="55">
        <v>3</v>
      </c>
      <c r="E39" s="56">
        <f t="shared" si="0"/>
        <v>1</v>
      </c>
      <c r="F39" s="56">
        <f t="shared" si="1"/>
        <v>2</v>
      </c>
      <c r="G39" s="56">
        <f t="shared" si="2"/>
        <v>2</v>
      </c>
      <c r="H39" s="55">
        <v>4</v>
      </c>
      <c r="I39" s="55">
        <f t="shared" si="3"/>
        <v>6</v>
      </c>
      <c r="J39" s="55" t="str">
        <f t="shared" si="4"/>
        <v>122.4</v>
      </c>
      <c r="K39" s="54"/>
      <c r="L39" s="54"/>
      <c r="M39" s="54">
        <v>6</v>
      </c>
      <c r="N39" s="54">
        <v>13</v>
      </c>
      <c r="O39" s="54"/>
      <c r="P39" s="54"/>
      <c r="Q39" s="53">
        <f t="shared" si="5"/>
        <v>4.75</v>
      </c>
      <c r="R39" s="52">
        <f t="shared" si="6"/>
        <v>1.7499999999999998</v>
      </c>
      <c r="S39" s="46">
        <f t="shared" si="7"/>
        <v>4.75</v>
      </c>
      <c r="T39" s="45"/>
    </row>
    <row r="40" spans="2:23">
      <c r="B40" s="55">
        <v>407</v>
      </c>
      <c r="C40" s="55" t="s">
        <v>14</v>
      </c>
      <c r="D40" s="55">
        <v>7</v>
      </c>
      <c r="E40" s="56">
        <f t="shared" si="0"/>
        <v>2</v>
      </c>
      <c r="F40" s="56">
        <f t="shared" si="1"/>
        <v>1</v>
      </c>
      <c r="G40" s="56">
        <f t="shared" si="2"/>
        <v>2</v>
      </c>
      <c r="H40" s="55">
        <v>4</v>
      </c>
      <c r="I40" s="55">
        <f t="shared" si="3"/>
        <v>7</v>
      </c>
      <c r="J40" s="55" t="str">
        <f t="shared" si="4"/>
        <v>212.4</v>
      </c>
      <c r="K40" s="54"/>
      <c r="L40" s="54"/>
      <c r="M40" s="54">
        <v>10</v>
      </c>
      <c r="N40" s="54">
        <v>4</v>
      </c>
      <c r="O40" s="54"/>
      <c r="P40" s="54"/>
      <c r="Q40" s="53">
        <f t="shared" si="5"/>
        <v>3.5</v>
      </c>
      <c r="R40" s="52">
        <f t="shared" si="6"/>
        <v>1.4999999999999998</v>
      </c>
      <c r="S40" s="46">
        <f t="shared" si="7"/>
        <v>3.5</v>
      </c>
      <c r="T40" s="45"/>
      <c r="V40" s="65" t="s">
        <v>307</v>
      </c>
      <c r="W40" s="63"/>
    </row>
    <row r="41" spans="2:23" ht="13.5" thickBot="1">
      <c r="B41" s="49">
        <v>408</v>
      </c>
      <c r="C41" s="49" t="s">
        <v>6</v>
      </c>
      <c r="D41" s="49">
        <v>10</v>
      </c>
      <c r="E41" s="50">
        <f t="shared" si="0"/>
        <v>2</v>
      </c>
      <c r="F41" s="50">
        <f t="shared" si="1"/>
        <v>2</v>
      </c>
      <c r="G41" s="50">
        <f t="shared" si="2"/>
        <v>1</v>
      </c>
      <c r="H41" s="49">
        <v>4</v>
      </c>
      <c r="I41" s="49">
        <f t="shared" si="3"/>
        <v>8</v>
      </c>
      <c r="J41" s="49" t="str">
        <f t="shared" si="4"/>
        <v>221.4</v>
      </c>
      <c r="K41" s="48"/>
      <c r="L41" s="48"/>
      <c r="M41" s="48">
        <v>9</v>
      </c>
      <c r="N41" s="48">
        <v>11</v>
      </c>
      <c r="O41" s="48"/>
      <c r="P41" s="48"/>
      <c r="Q41" s="48">
        <f t="shared" si="5"/>
        <v>5</v>
      </c>
      <c r="R41" s="47">
        <f t="shared" si="6"/>
        <v>0.5</v>
      </c>
      <c r="S41" s="46">
        <f t="shared" si="7"/>
        <v>5</v>
      </c>
      <c r="T41" s="45" t="s">
        <v>306</v>
      </c>
      <c r="V41" s="64" t="s">
        <v>305</v>
      </c>
      <c r="W41" s="63" t="s">
        <v>304</v>
      </c>
    </row>
    <row r="42" spans="2:23">
      <c r="B42" s="61">
        <v>901</v>
      </c>
      <c r="C42" s="61" t="s">
        <v>16</v>
      </c>
      <c r="D42" s="61">
        <v>32</v>
      </c>
      <c r="E42" s="62">
        <v>9</v>
      </c>
      <c r="F42" s="62">
        <v>0</v>
      </c>
      <c r="G42" s="62">
        <v>1</v>
      </c>
      <c r="H42" s="61">
        <v>1</v>
      </c>
      <c r="I42" s="61">
        <f t="shared" si="3"/>
        <v>1</v>
      </c>
      <c r="J42" s="61" t="str">
        <f t="shared" si="4"/>
        <v>901.1</v>
      </c>
      <c r="K42" s="60"/>
      <c r="L42" s="60"/>
      <c r="M42" s="60">
        <v>0</v>
      </c>
      <c r="N42" s="60">
        <v>0</v>
      </c>
      <c r="O42" s="60"/>
      <c r="P42" s="60"/>
      <c r="Q42" s="53">
        <f t="shared" si="5"/>
        <v>0</v>
      </c>
      <c r="R42" s="53">
        <f t="shared" si="6"/>
        <v>0</v>
      </c>
      <c r="S42" s="46">
        <f t="shared" si="7"/>
        <v>0</v>
      </c>
      <c r="V42" s="59" t="s">
        <v>5</v>
      </c>
      <c r="W42" s="58">
        <v>5.375</v>
      </c>
    </row>
    <row r="43" spans="2:23">
      <c r="B43" s="55">
        <v>902</v>
      </c>
      <c r="C43" s="57" t="s">
        <v>302</v>
      </c>
      <c r="D43" s="55">
        <v>22</v>
      </c>
      <c r="E43" s="56">
        <v>4</v>
      </c>
      <c r="F43" s="56">
        <v>2</v>
      </c>
      <c r="G43" s="56">
        <v>2</v>
      </c>
      <c r="H43" s="55">
        <v>1</v>
      </c>
      <c r="I43" s="55">
        <f t="shared" si="3"/>
        <v>2</v>
      </c>
      <c r="J43" s="55" t="str">
        <f t="shared" si="4"/>
        <v>422.1</v>
      </c>
      <c r="K43" s="54"/>
      <c r="L43" s="54"/>
      <c r="M43" s="54">
        <v>0</v>
      </c>
      <c r="N43" s="54">
        <v>0</v>
      </c>
      <c r="O43" s="54"/>
      <c r="P43" s="54"/>
      <c r="Q43" s="53">
        <f t="shared" si="5"/>
        <v>0</v>
      </c>
      <c r="R43" s="52">
        <f t="shared" si="6"/>
        <v>0</v>
      </c>
      <c r="S43" s="46">
        <f t="shared" si="7"/>
        <v>0</v>
      </c>
      <c r="T43" s="45" t="s">
        <v>303</v>
      </c>
      <c r="V43" s="44" t="s">
        <v>15</v>
      </c>
      <c r="W43" s="43">
        <v>7.375</v>
      </c>
    </row>
    <row r="44" spans="2:23">
      <c r="B44" s="55">
        <v>903</v>
      </c>
      <c r="C44" s="55" t="s">
        <v>17</v>
      </c>
      <c r="D44" s="55">
        <v>31</v>
      </c>
      <c r="E44" s="56">
        <v>8</v>
      </c>
      <c r="F44" s="56">
        <v>0</v>
      </c>
      <c r="G44" s="56">
        <v>1</v>
      </c>
      <c r="H44" s="55">
        <v>1</v>
      </c>
      <c r="I44" s="55">
        <f t="shared" si="3"/>
        <v>3</v>
      </c>
      <c r="J44" s="55" t="str">
        <f t="shared" si="4"/>
        <v>801.1</v>
      </c>
      <c r="K44" s="54"/>
      <c r="L44" s="54"/>
      <c r="M44" s="54">
        <v>0</v>
      </c>
      <c r="N44" s="54">
        <v>0</v>
      </c>
      <c r="O44" s="54"/>
      <c r="P44" s="54"/>
      <c r="Q44" s="53">
        <f t="shared" si="5"/>
        <v>0</v>
      </c>
      <c r="R44" s="52">
        <f t="shared" si="6"/>
        <v>0</v>
      </c>
      <c r="S44" s="46">
        <f t="shared" si="7"/>
        <v>0</v>
      </c>
      <c r="T44" s="45"/>
      <c r="V44" s="44" t="s">
        <v>3</v>
      </c>
      <c r="W44" s="43">
        <v>4.5</v>
      </c>
    </row>
    <row r="45" spans="2:23">
      <c r="B45" s="55">
        <v>904</v>
      </c>
      <c r="C45" s="57" t="s">
        <v>301</v>
      </c>
      <c r="D45" s="55">
        <v>21</v>
      </c>
      <c r="E45" s="56">
        <v>3</v>
      </c>
      <c r="F45" s="56">
        <v>2</v>
      </c>
      <c r="G45" s="56">
        <v>2</v>
      </c>
      <c r="H45" s="55">
        <v>1</v>
      </c>
      <c r="I45" s="55">
        <f t="shared" si="3"/>
        <v>4</v>
      </c>
      <c r="J45" s="55" t="str">
        <f t="shared" si="4"/>
        <v>322.1</v>
      </c>
      <c r="K45" s="54"/>
      <c r="L45" s="54"/>
      <c r="M45" s="54">
        <v>0</v>
      </c>
      <c r="N45" s="54">
        <v>0</v>
      </c>
      <c r="O45" s="54"/>
      <c r="P45" s="54"/>
      <c r="Q45" s="53">
        <f t="shared" si="5"/>
        <v>0</v>
      </c>
      <c r="R45" s="52">
        <f t="shared" si="6"/>
        <v>0</v>
      </c>
      <c r="S45" s="46">
        <f t="shared" si="7"/>
        <v>0</v>
      </c>
      <c r="T45" s="45"/>
      <c r="V45" s="44" t="s">
        <v>13</v>
      </c>
      <c r="W45" s="43">
        <v>3</v>
      </c>
    </row>
    <row r="46" spans="2:23">
      <c r="B46" s="55">
        <v>905</v>
      </c>
      <c r="C46" s="55" t="s">
        <v>16</v>
      </c>
      <c r="D46" s="55">
        <v>32</v>
      </c>
      <c r="E46" s="56">
        <v>9</v>
      </c>
      <c r="F46" s="56">
        <v>0</v>
      </c>
      <c r="G46" s="56">
        <v>1</v>
      </c>
      <c r="H46" s="55">
        <v>2</v>
      </c>
      <c r="I46" s="55">
        <f t="shared" si="3"/>
        <v>5</v>
      </c>
      <c r="J46" s="55" t="str">
        <f t="shared" si="4"/>
        <v>901.2</v>
      </c>
      <c r="K46" s="54"/>
      <c r="L46" s="54"/>
      <c r="M46" s="54">
        <v>0</v>
      </c>
      <c r="N46" s="54">
        <v>0</v>
      </c>
      <c r="O46" s="54"/>
      <c r="P46" s="54"/>
      <c r="Q46" s="53">
        <f t="shared" si="5"/>
        <v>0</v>
      </c>
      <c r="R46" s="52">
        <f t="shared" si="6"/>
        <v>0</v>
      </c>
      <c r="S46" s="46">
        <f t="shared" si="7"/>
        <v>0</v>
      </c>
      <c r="T46" s="45"/>
      <c r="V46" s="44" t="s">
        <v>8</v>
      </c>
      <c r="W46" s="43">
        <v>5.1875</v>
      </c>
    </row>
    <row r="47" spans="2:23">
      <c r="B47" s="55">
        <v>906</v>
      </c>
      <c r="C47" s="57" t="s">
        <v>302</v>
      </c>
      <c r="D47" s="55">
        <v>22</v>
      </c>
      <c r="E47" s="56">
        <v>4</v>
      </c>
      <c r="F47" s="56">
        <v>2</v>
      </c>
      <c r="G47" s="56">
        <v>2</v>
      </c>
      <c r="H47" s="55">
        <v>2</v>
      </c>
      <c r="I47" s="55">
        <f t="shared" si="3"/>
        <v>6</v>
      </c>
      <c r="J47" s="55" t="str">
        <f t="shared" si="4"/>
        <v>422.2</v>
      </c>
      <c r="K47" s="54"/>
      <c r="L47" s="54"/>
      <c r="M47" s="54">
        <v>0</v>
      </c>
      <c r="N47" s="54">
        <v>0</v>
      </c>
      <c r="O47" s="54"/>
      <c r="P47" s="54"/>
      <c r="Q47" s="53">
        <f t="shared" si="5"/>
        <v>0</v>
      </c>
      <c r="R47" s="52">
        <f t="shared" si="6"/>
        <v>0</v>
      </c>
      <c r="S47" s="46">
        <f t="shared" si="7"/>
        <v>0</v>
      </c>
      <c r="T47" s="45"/>
      <c r="V47" s="44" t="s">
        <v>4</v>
      </c>
      <c r="W47" s="43">
        <v>3.5208333333333335</v>
      </c>
    </row>
    <row r="48" spans="2:23">
      <c r="B48" s="55">
        <v>907</v>
      </c>
      <c r="C48" s="55" t="s">
        <v>17</v>
      </c>
      <c r="D48" s="55">
        <v>31</v>
      </c>
      <c r="E48" s="56">
        <v>8</v>
      </c>
      <c r="F48" s="56">
        <v>0</v>
      </c>
      <c r="G48" s="56">
        <v>1</v>
      </c>
      <c r="H48" s="55">
        <v>2</v>
      </c>
      <c r="I48" s="55">
        <f t="shared" si="3"/>
        <v>7</v>
      </c>
      <c r="J48" s="55" t="str">
        <f t="shared" si="4"/>
        <v>801.2</v>
      </c>
      <c r="K48" s="54"/>
      <c r="L48" s="54"/>
      <c r="M48" s="54">
        <v>0</v>
      </c>
      <c r="N48" s="54">
        <v>0</v>
      </c>
      <c r="O48" s="54"/>
      <c r="P48" s="54"/>
      <c r="Q48" s="53">
        <f t="shared" si="5"/>
        <v>0</v>
      </c>
      <c r="R48" s="52">
        <f t="shared" si="6"/>
        <v>0</v>
      </c>
      <c r="S48" s="46">
        <f t="shared" si="7"/>
        <v>0</v>
      </c>
      <c r="T48" s="45"/>
      <c r="V48" s="44" t="s">
        <v>11</v>
      </c>
      <c r="W48" s="43">
        <v>9.75</v>
      </c>
    </row>
    <row r="49" spans="2:23" ht="13.5" thickBot="1">
      <c r="B49" s="49">
        <v>908</v>
      </c>
      <c r="C49" s="51" t="s">
        <v>301</v>
      </c>
      <c r="D49" s="49">
        <v>21</v>
      </c>
      <c r="E49" s="50">
        <v>3</v>
      </c>
      <c r="F49" s="50">
        <v>2</v>
      </c>
      <c r="G49" s="50">
        <v>2</v>
      </c>
      <c r="H49" s="49">
        <v>2</v>
      </c>
      <c r="I49" s="49">
        <f t="shared" si="3"/>
        <v>8</v>
      </c>
      <c r="J49" s="49" t="str">
        <f t="shared" si="4"/>
        <v>322.2</v>
      </c>
      <c r="K49" s="48"/>
      <c r="L49" s="48"/>
      <c r="M49" s="48">
        <v>0</v>
      </c>
      <c r="N49" s="48">
        <v>0</v>
      </c>
      <c r="O49" s="48"/>
      <c r="P49" s="48"/>
      <c r="Q49" s="48">
        <f t="shared" si="5"/>
        <v>0</v>
      </c>
      <c r="R49" s="47">
        <f t="shared" si="6"/>
        <v>0</v>
      </c>
      <c r="S49" s="46">
        <f t="shared" si="7"/>
        <v>0</v>
      </c>
      <c r="T49" s="45" t="s">
        <v>300</v>
      </c>
      <c r="V49" s="44" t="s">
        <v>10</v>
      </c>
      <c r="W49" s="43">
        <v>6.25</v>
      </c>
    </row>
    <row r="50" spans="2:23">
      <c r="V50" s="44" t="s">
        <v>14</v>
      </c>
      <c r="W50" s="43">
        <v>2.625</v>
      </c>
    </row>
    <row r="51" spans="2:23">
      <c r="V51" s="44" t="s">
        <v>12</v>
      </c>
      <c r="W51" s="43">
        <v>3</v>
      </c>
    </row>
    <row r="52" spans="2:23">
      <c r="V52" s="44" t="s">
        <v>7</v>
      </c>
      <c r="W52" s="43">
        <v>3</v>
      </c>
    </row>
    <row r="53" spans="2:23">
      <c r="V53" s="42" t="s">
        <v>6</v>
      </c>
      <c r="W53" s="41">
        <v>4.4375</v>
      </c>
    </row>
  </sheetData>
  <pageMargins left="0.75" right="0.75" top="1" bottom="1" header="0.5" footer="0.5"/>
  <pageSetup orientation="portrait" r:id="rId3"/>
  <headerFooter alignWithMargins="0"/>
  <drawing r:id="rId4"/>
  <legacyDrawing r:id="rId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7E73-B1CD-4047-A383-67496E5F70DB}">
  <dimension ref="A1:X53"/>
  <sheetViews>
    <sheetView workbookViewId="0">
      <selection activeCell="N10" sqref="N10:N49"/>
    </sheetView>
  </sheetViews>
  <sheetFormatPr defaultRowHeight="12.75"/>
  <cols>
    <col min="1" max="19" width="9.140625" style="37"/>
    <col min="20" max="20" width="45.7109375" style="37" customWidth="1"/>
    <col min="21" max="21" width="9.140625" style="37"/>
    <col min="22" max="22" width="23.140625" style="37" customWidth="1"/>
    <col min="23" max="24" width="5.5703125" style="37" customWidth="1"/>
    <col min="25" max="26" width="4.5703125" style="37" customWidth="1"/>
    <col min="27" max="27" width="10.5703125" style="37" bestFit="1" customWidth="1"/>
    <col min="28" max="16384" width="9.140625" style="37"/>
  </cols>
  <sheetData>
    <row r="1" spans="1:23" ht="15.75">
      <c r="A1" s="93" t="s">
        <v>340</v>
      </c>
    </row>
    <row r="3" spans="1:23" ht="13.5" thickBot="1">
      <c r="A3" s="92"/>
      <c r="B3" s="92" t="s">
        <v>339</v>
      </c>
      <c r="C3" s="91">
        <v>119</v>
      </c>
      <c r="E3" s="37" t="s">
        <v>338</v>
      </c>
      <c r="F3" s="37" t="s">
        <v>344</v>
      </c>
      <c r="H3" s="37" t="s">
        <v>343</v>
      </c>
    </row>
    <row r="4" spans="1:23">
      <c r="E4" s="37" t="s">
        <v>337</v>
      </c>
      <c r="F4" s="37" t="s">
        <v>342</v>
      </c>
      <c r="N4" s="38">
        <f>AVERAGE(Q10:Q11,Q13,Q15:Q17,Q19:Q20,Q22:Q29,Q31:Q32,Q34:Q35,Q37,Q39:Q41)</f>
        <v>4.875</v>
      </c>
      <c r="O4" s="38">
        <f>AVERAGE(Q12,Q14,Q18,Q21,Q30,Q36,Q38,Q33)</f>
        <v>9.28125</v>
      </c>
    </row>
    <row r="6" spans="1:23">
      <c r="B6" s="37" t="s">
        <v>336</v>
      </c>
      <c r="D6" s="90" t="s">
        <v>341</v>
      </c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</row>
    <row r="7" spans="1:23"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</row>
    <row r="8" spans="1:23" ht="13.5" thickBot="1"/>
    <row r="9" spans="1:23" ht="51.75" thickBot="1">
      <c r="B9" s="88" t="s">
        <v>0</v>
      </c>
      <c r="C9" s="89" t="s">
        <v>305</v>
      </c>
      <c r="D9" s="89" t="s">
        <v>333</v>
      </c>
      <c r="E9" s="88" t="s">
        <v>332</v>
      </c>
      <c r="F9" s="89" t="s">
        <v>331</v>
      </c>
      <c r="G9" s="88" t="s">
        <v>330</v>
      </c>
      <c r="H9" s="88" t="s">
        <v>329</v>
      </c>
      <c r="I9" s="88" t="s">
        <v>315</v>
      </c>
      <c r="J9" s="88" t="s">
        <v>328</v>
      </c>
      <c r="K9" s="86" t="s">
        <v>327</v>
      </c>
      <c r="L9" s="86" t="s">
        <v>326</v>
      </c>
      <c r="M9" s="86" t="s">
        <v>325</v>
      </c>
      <c r="N9" s="86" t="s">
        <v>324</v>
      </c>
      <c r="O9" s="86" t="s">
        <v>323</v>
      </c>
      <c r="P9" s="86" t="s">
        <v>322</v>
      </c>
      <c r="Q9" s="87" t="s">
        <v>321</v>
      </c>
      <c r="R9" s="86" t="s">
        <v>320</v>
      </c>
      <c r="S9" s="85" t="s">
        <v>319</v>
      </c>
      <c r="T9" s="84" t="s">
        <v>318</v>
      </c>
    </row>
    <row r="10" spans="1:23">
      <c r="B10" s="61">
        <v>101</v>
      </c>
      <c r="C10" s="62" t="s">
        <v>3</v>
      </c>
      <c r="D10" s="62">
        <v>1</v>
      </c>
      <c r="E10" s="62">
        <f t="shared" ref="E10:E41" si="0">IF(LEFT($C10,1)="F",1,2)</f>
        <v>1</v>
      </c>
      <c r="F10" s="62">
        <f t="shared" ref="F10:F41" si="1">IF(MID($C10,2,1)="S",1,IF(MID($C10,2,1)="T",2,IF(MID($C10,2,1)="D",3,0)))</f>
        <v>1</v>
      </c>
      <c r="G10" s="62">
        <f t="shared" ref="G10:G41" si="2">IF(RIGHT($C10,1)="L",1,2)</f>
        <v>2</v>
      </c>
      <c r="H10" s="61">
        <v>1</v>
      </c>
      <c r="I10" s="61">
        <f t="shared" ref="I10:I49" si="3">B10-INT(B10/100)*100</f>
        <v>1</v>
      </c>
      <c r="J10" s="61" t="str">
        <f t="shared" ref="J10:J49" si="4">(E10&amp;F10&amp;G10&amp;"."&amp;H10)</f>
        <v>112.1</v>
      </c>
      <c r="K10" s="83"/>
      <c r="L10" s="60"/>
      <c r="M10" s="60">
        <v>11</v>
      </c>
      <c r="N10" s="60">
        <v>10</v>
      </c>
      <c r="O10" s="60"/>
      <c r="P10" s="60"/>
      <c r="Q10" s="53">
        <f t="shared" ref="Q10:Q49" si="5">AVERAGE(K10:P10)/2</f>
        <v>5.25</v>
      </c>
      <c r="R10" s="53">
        <f t="shared" ref="R10:R49" si="6">STDEV(K10:P10)/2/SQRT(COUNT(K10:P10))</f>
        <v>0.25</v>
      </c>
      <c r="S10" s="46">
        <f t="shared" ref="S10:S49" si="7">IF(F10=3,Q10/2,Q10)</f>
        <v>5.25</v>
      </c>
      <c r="T10" s="82" t="s">
        <v>317</v>
      </c>
      <c r="V10" s="65" t="s">
        <v>316</v>
      </c>
      <c r="W10" s="63"/>
    </row>
    <row r="11" spans="1:23">
      <c r="B11" s="55">
        <v>102</v>
      </c>
      <c r="C11" s="55" t="s">
        <v>4</v>
      </c>
      <c r="D11" s="55">
        <v>4</v>
      </c>
      <c r="E11" s="56">
        <f t="shared" si="0"/>
        <v>1</v>
      </c>
      <c r="F11" s="56">
        <f t="shared" si="1"/>
        <v>2</v>
      </c>
      <c r="G11" s="56">
        <f t="shared" si="2"/>
        <v>1</v>
      </c>
      <c r="H11" s="55">
        <v>1</v>
      </c>
      <c r="I11" s="55">
        <f t="shared" si="3"/>
        <v>2</v>
      </c>
      <c r="J11" s="55" t="str">
        <f t="shared" si="4"/>
        <v>121.1</v>
      </c>
      <c r="K11" s="54"/>
      <c r="L11" s="54"/>
      <c r="M11" s="54">
        <v>2</v>
      </c>
      <c r="N11" s="54">
        <v>9</v>
      </c>
      <c r="O11" s="54"/>
      <c r="P11" s="54"/>
      <c r="Q11" s="53">
        <f t="shared" si="5"/>
        <v>2.75</v>
      </c>
      <c r="R11" s="52">
        <f t="shared" si="6"/>
        <v>1.7499999999999998</v>
      </c>
      <c r="S11" s="46">
        <f t="shared" si="7"/>
        <v>2.75</v>
      </c>
      <c r="T11" s="45"/>
      <c r="V11" s="64" t="s">
        <v>315</v>
      </c>
      <c r="W11" s="63" t="s">
        <v>304</v>
      </c>
    </row>
    <row r="12" spans="1:23">
      <c r="B12" s="69">
        <v>103</v>
      </c>
      <c r="C12" s="69" t="s">
        <v>5</v>
      </c>
      <c r="D12" s="69">
        <v>5</v>
      </c>
      <c r="E12" s="70">
        <f t="shared" si="0"/>
        <v>1</v>
      </c>
      <c r="F12" s="70">
        <f t="shared" si="1"/>
        <v>3</v>
      </c>
      <c r="G12" s="70">
        <f t="shared" si="2"/>
        <v>2</v>
      </c>
      <c r="H12" s="69">
        <v>1</v>
      </c>
      <c r="I12" s="69">
        <f t="shared" si="3"/>
        <v>3</v>
      </c>
      <c r="J12" s="69" t="str">
        <f t="shared" si="4"/>
        <v>132.1</v>
      </c>
      <c r="K12" s="68"/>
      <c r="L12" s="68"/>
      <c r="M12" s="68">
        <v>10</v>
      </c>
      <c r="N12" s="68">
        <v>18</v>
      </c>
      <c r="O12" s="68"/>
      <c r="P12" s="68"/>
      <c r="Q12" s="67">
        <f t="shared" si="5"/>
        <v>7</v>
      </c>
      <c r="R12" s="66">
        <f t="shared" si="6"/>
        <v>2</v>
      </c>
      <c r="S12" s="46">
        <f t="shared" si="7"/>
        <v>3.5</v>
      </c>
      <c r="T12" s="45"/>
      <c r="V12" s="59">
        <v>1</v>
      </c>
      <c r="W12" s="58">
        <v>4.71875</v>
      </c>
    </row>
    <row r="13" spans="1:23">
      <c r="B13" s="55">
        <v>104</v>
      </c>
      <c r="C13" s="55" t="s">
        <v>6</v>
      </c>
      <c r="D13" s="55">
        <v>10</v>
      </c>
      <c r="E13" s="56">
        <f t="shared" si="0"/>
        <v>2</v>
      </c>
      <c r="F13" s="56">
        <f t="shared" si="1"/>
        <v>2</v>
      </c>
      <c r="G13" s="56">
        <f t="shared" si="2"/>
        <v>1</v>
      </c>
      <c r="H13" s="55">
        <v>1</v>
      </c>
      <c r="I13" s="55">
        <f t="shared" si="3"/>
        <v>4</v>
      </c>
      <c r="J13" s="55" t="str">
        <f t="shared" si="4"/>
        <v>221.1</v>
      </c>
      <c r="K13" s="54"/>
      <c r="L13" s="54"/>
      <c r="M13" s="54">
        <v>11</v>
      </c>
      <c r="N13" s="54">
        <v>11</v>
      </c>
      <c r="O13" s="54"/>
      <c r="P13" s="54"/>
      <c r="Q13" s="53">
        <f t="shared" si="5"/>
        <v>5.5</v>
      </c>
      <c r="R13" s="52">
        <f t="shared" si="6"/>
        <v>0</v>
      </c>
      <c r="S13" s="46">
        <f t="shared" si="7"/>
        <v>5.5</v>
      </c>
      <c r="T13" s="45"/>
      <c r="V13" s="44">
        <v>2</v>
      </c>
      <c r="W13" s="43">
        <v>3.625</v>
      </c>
    </row>
    <row r="14" spans="1:23">
      <c r="B14" s="69">
        <v>105</v>
      </c>
      <c r="C14" s="69" t="s">
        <v>10</v>
      </c>
      <c r="D14" s="69">
        <v>12</v>
      </c>
      <c r="E14" s="70">
        <f t="shared" si="0"/>
        <v>2</v>
      </c>
      <c r="F14" s="70">
        <f t="shared" si="1"/>
        <v>3</v>
      </c>
      <c r="G14" s="70">
        <f t="shared" si="2"/>
        <v>1</v>
      </c>
      <c r="H14" s="69">
        <v>2</v>
      </c>
      <c r="I14" s="69">
        <f t="shared" si="3"/>
        <v>5</v>
      </c>
      <c r="J14" s="69" t="str">
        <f t="shared" si="4"/>
        <v>231.2</v>
      </c>
      <c r="K14" s="68"/>
      <c r="L14" s="68"/>
      <c r="M14" s="68">
        <v>20</v>
      </c>
      <c r="N14" s="68">
        <v>13</v>
      </c>
      <c r="O14" s="68"/>
      <c r="P14" s="68"/>
      <c r="Q14" s="67">
        <f t="shared" si="5"/>
        <v>8.25</v>
      </c>
      <c r="R14" s="66">
        <f t="shared" si="6"/>
        <v>1.7499999999999998</v>
      </c>
      <c r="S14" s="46">
        <f t="shared" si="7"/>
        <v>4.125</v>
      </c>
      <c r="T14" s="45"/>
      <c r="V14" s="44">
        <v>3</v>
      </c>
      <c r="W14" s="43">
        <v>4.46875</v>
      </c>
    </row>
    <row r="15" spans="1:23">
      <c r="B15" s="55">
        <v>106</v>
      </c>
      <c r="C15" s="55" t="s">
        <v>7</v>
      </c>
      <c r="D15" s="55">
        <v>9</v>
      </c>
      <c r="E15" s="56">
        <f t="shared" si="0"/>
        <v>2</v>
      </c>
      <c r="F15" s="56">
        <f t="shared" si="1"/>
        <v>2</v>
      </c>
      <c r="G15" s="56">
        <f t="shared" si="2"/>
        <v>2</v>
      </c>
      <c r="H15" s="55">
        <v>2</v>
      </c>
      <c r="I15" s="55">
        <f t="shared" si="3"/>
        <v>6</v>
      </c>
      <c r="J15" s="55" t="str">
        <f t="shared" si="4"/>
        <v>222.2</v>
      </c>
      <c r="K15" s="54"/>
      <c r="L15" s="54"/>
      <c r="M15" s="54">
        <v>8</v>
      </c>
      <c r="N15" s="54">
        <v>8</v>
      </c>
      <c r="O15" s="54"/>
      <c r="P15" s="54"/>
      <c r="Q15" s="53">
        <f t="shared" si="5"/>
        <v>4</v>
      </c>
      <c r="R15" s="52">
        <f t="shared" si="6"/>
        <v>0</v>
      </c>
      <c r="S15" s="46">
        <f t="shared" si="7"/>
        <v>4</v>
      </c>
      <c r="T15" s="45"/>
      <c r="V15" s="44">
        <v>4</v>
      </c>
      <c r="W15" s="43">
        <v>5.90625</v>
      </c>
    </row>
    <row r="16" spans="1:23">
      <c r="B16" s="55">
        <v>107</v>
      </c>
      <c r="C16" s="55" t="s">
        <v>6</v>
      </c>
      <c r="D16" s="55">
        <v>10</v>
      </c>
      <c r="E16" s="56">
        <f t="shared" si="0"/>
        <v>2</v>
      </c>
      <c r="F16" s="56">
        <f t="shared" si="1"/>
        <v>2</v>
      </c>
      <c r="G16" s="56">
        <f t="shared" si="2"/>
        <v>1</v>
      </c>
      <c r="H16" s="55">
        <v>2</v>
      </c>
      <c r="I16" s="55">
        <f t="shared" si="3"/>
        <v>7</v>
      </c>
      <c r="J16" s="55" t="str">
        <f t="shared" si="4"/>
        <v>221.2</v>
      </c>
      <c r="K16" s="54"/>
      <c r="L16" s="54"/>
      <c r="M16" s="54">
        <v>13</v>
      </c>
      <c r="N16" s="54">
        <v>8</v>
      </c>
      <c r="O16" s="54"/>
      <c r="P16" s="54"/>
      <c r="Q16" s="53">
        <f t="shared" si="5"/>
        <v>5.25</v>
      </c>
      <c r="R16" s="52">
        <f t="shared" si="6"/>
        <v>1.25</v>
      </c>
      <c r="S16" s="46">
        <f t="shared" si="7"/>
        <v>5.25</v>
      </c>
      <c r="T16" s="45"/>
      <c r="V16" s="44">
        <v>5</v>
      </c>
      <c r="W16" s="43">
        <v>5.40625</v>
      </c>
    </row>
    <row r="17" spans="2:24" ht="13.5" thickBot="1">
      <c r="B17" s="49">
        <v>108</v>
      </c>
      <c r="C17" s="49" t="s">
        <v>8</v>
      </c>
      <c r="D17" s="49">
        <v>3</v>
      </c>
      <c r="E17" s="50">
        <f t="shared" si="0"/>
        <v>1</v>
      </c>
      <c r="F17" s="50">
        <f t="shared" si="1"/>
        <v>2</v>
      </c>
      <c r="G17" s="50">
        <f t="shared" si="2"/>
        <v>2</v>
      </c>
      <c r="H17" s="49">
        <v>2</v>
      </c>
      <c r="I17" s="49">
        <f t="shared" si="3"/>
        <v>8</v>
      </c>
      <c r="J17" s="49" t="str">
        <f t="shared" si="4"/>
        <v>122.2</v>
      </c>
      <c r="K17" s="48"/>
      <c r="L17" s="48"/>
      <c r="M17" s="48">
        <v>2</v>
      </c>
      <c r="N17" s="48">
        <v>16</v>
      </c>
      <c r="O17" s="48"/>
      <c r="P17" s="48"/>
      <c r="Q17" s="48">
        <f t="shared" si="5"/>
        <v>4.5</v>
      </c>
      <c r="R17" s="47">
        <f t="shared" si="6"/>
        <v>3.4999999999999996</v>
      </c>
      <c r="S17" s="46">
        <f t="shared" si="7"/>
        <v>4.5</v>
      </c>
      <c r="T17" s="82" t="s">
        <v>314</v>
      </c>
      <c r="V17" s="44">
        <v>6</v>
      </c>
      <c r="W17" s="43">
        <v>6.0625</v>
      </c>
    </row>
    <row r="18" spans="2:24">
      <c r="B18" s="80">
        <v>201</v>
      </c>
      <c r="C18" s="80" t="s">
        <v>10</v>
      </c>
      <c r="D18" s="80">
        <v>12</v>
      </c>
      <c r="E18" s="81">
        <f t="shared" si="0"/>
        <v>2</v>
      </c>
      <c r="F18" s="81">
        <f t="shared" si="1"/>
        <v>3</v>
      </c>
      <c r="G18" s="81">
        <f t="shared" si="2"/>
        <v>1</v>
      </c>
      <c r="H18" s="80">
        <v>1</v>
      </c>
      <c r="I18" s="80">
        <f t="shared" si="3"/>
        <v>1</v>
      </c>
      <c r="J18" s="80" t="str">
        <f t="shared" si="4"/>
        <v>231.1</v>
      </c>
      <c r="K18" s="79"/>
      <c r="L18" s="79"/>
      <c r="M18" s="79">
        <v>18</v>
      </c>
      <c r="N18" s="79">
        <v>13</v>
      </c>
      <c r="O18" s="79"/>
      <c r="P18" s="79"/>
      <c r="Q18" s="67">
        <f t="shared" si="5"/>
        <v>7.75</v>
      </c>
      <c r="R18" s="67">
        <f t="shared" si="6"/>
        <v>1.25</v>
      </c>
      <c r="S18" s="46">
        <f t="shared" si="7"/>
        <v>3.875</v>
      </c>
      <c r="T18" s="45" t="s">
        <v>313</v>
      </c>
      <c r="V18" s="44">
        <v>7</v>
      </c>
      <c r="W18" s="43">
        <v>3.5</v>
      </c>
    </row>
    <row r="19" spans="2:24">
      <c r="B19" s="55">
        <v>202</v>
      </c>
      <c r="C19" s="55" t="s">
        <v>7</v>
      </c>
      <c r="D19" s="55">
        <v>9</v>
      </c>
      <c r="E19" s="56">
        <f t="shared" si="0"/>
        <v>2</v>
      </c>
      <c r="F19" s="56">
        <f t="shared" si="1"/>
        <v>2</v>
      </c>
      <c r="G19" s="56">
        <f t="shared" si="2"/>
        <v>2</v>
      </c>
      <c r="H19" s="55">
        <v>1</v>
      </c>
      <c r="I19" s="55">
        <f t="shared" si="3"/>
        <v>2</v>
      </c>
      <c r="J19" s="55" t="str">
        <f t="shared" si="4"/>
        <v>222.1</v>
      </c>
      <c r="K19" s="78"/>
      <c r="L19" s="77"/>
      <c r="M19" s="77">
        <v>5</v>
      </c>
      <c r="N19" s="77">
        <v>8</v>
      </c>
      <c r="O19" s="54"/>
      <c r="P19" s="54"/>
      <c r="Q19" s="53">
        <f t="shared" si="5"/>
        <v>3.25</v>
      </c>
      <c r="R19" s="52">
        <f t="shared" si="6"/>
        <v>0.74999999999999989</v>
      </c>
      <c r="S19" s="46">
        <f t="shared" si="7"/>
        <v>3.25</v>
      </c>
      <c r="T19" s="45"/>
      <c r="V19" s="44">
        <v>8</v>
      </c>
      <c r="W19" s="43">
        <v>4.84375</v>
      </c>
    </row>
    <row r="20" spans="2:24">
      <c r="B20" s="55">
        <v>203</v>
      </c>
      <c r="C20" s="55" t="s">
        <v>8</v>
      </c>
      <c r="D20" s="55">
        <v>3</v>
      </c>
      <c r="E20" s="56">
        <f t="shared" si="0"/>
        <v>1</v>
      </c>
      <c r="F20" s="56">
        <f t="shared" si="1"/>
        <v>2</v>
      </c>
      <c r="G20" s="56">
        <f t="shared" si="2"/>
        <v>2</v>
      </c>
      <c r="H20" s="55">
        <v>1</v>
      </c>
      <c r="I20" s="55">
        <f t="shared" si="3"/>
        <v>3</v>
      </c>
      <c r="J20" s="55" t="str">
        <f t="shared" si="4"/>
        <v>122.1</v>
      </c>
      <c r="K20" s="54"/>
      <c r="L20" s="54"/>
      <c r="M20" s="54">
        <v>17</v>
      </c>
      <c r="N20" s="54">
        <v>13</v>
      </c>
      <c r="O20" s="54"/>
      <c r="P20" s="54"/>
      <c r="Q20" s="53">
        <f t="shared" si="5"/>
        <v>7.5</v>
      </c>
      <c r="R20" s="52">
        <f t="shared" si="6"/>
        <v>1</v>
      </c>
      <c r="S20" s="46">
        <f t="shared" si="7"/>
        <v>7.5</v>
      </c>
      <c r="T20" s="45"/>
      <c r="V20" s="76" t="s">
        <v>312</v>
      </c>
      <c r="W20" s="75">
        <v>4.81640625</v>
      </c>
    </row>
    <row r="21" spans="2:24">
      <c r="B21" s="69">
        <v>204</v>
      </c>
      <c r="C21" s="69" t="s">
        <v>11</v>
      </c>
      <c r="D21" s="69">
        <v>11</v>
      </c>
      <c r="E21" s="70">
        <f t="shared" si="0"/>
        <v>2</v>
      </c>
      <c r="F21" s="70">
        <f t="shared" si="1"/>
        <v>3</v>
      </c>
      <c r="G21" s="70">
        <f t="shared" si="2"/>
        <v>2</v>
      </c>
      <c r="H21" s="69">
        <v>1</v>
      </c>
      <c r="I21" s="69">
        <f t="shared" si="3"/>
        <v>4</v>
      </c>
      <c r="J21" s="69" t="str">
        <f t="shared" si="4"/>
        <v>232.1</v>
      </c>
      <c r="K21" s="68"/>
      <c r="L21" s="68"/>
      <c r="M21" s="68">
        <v>29</v>
      </c>
      <c r="N21" s="68">
        <v>18</v>
      </c>
      <c r="O21" s="68"/>
      <c r="P21" s="68"/>
      <c r="Q21" s="67">
        <f t="shared" si="5"/>
        <v>11.75</v>
      </c>
      <c r="R21" s="66">
        <f t="shared" si="6"/>
        <v>2.7499999999999996</v>
      </c>
      <c r="S21" s="46">
        <f t="shared" si="7"/>
        <v>5.875</v>
      </c>
      <c r="T21" s="45"/>
    </row>
    <row r="22" spans="2:24">
      <c r="B22" s="55">
        <v>205</v>
      </c>
      <c r="C22" s="55" t="s">
        <v>3</v>
      </c>
      <c r="D22" s="55">
        <v>1</v>
      </c>
      <c r="E22" s="56">
        <f t="shared" si="0"/>
        <v>1</v>
      </c>
      <c r="F22" s="56">
        <f t="shared" si="1"/>
        <v>1</v>
      </c>
      <c r="G22" s="56">
        <f t="shared" si="2"/>
        <v>2</v>
      </c>
      <c r="H22" s="55">
        <v>2</v>
      </c>
      <c r="I22" s="55">
        <f t="shared" si="3"/>
        <v>5</v>
      </c>
      <c r="J22" s="55" t="str">
        <f t="shared" si="4"/>
        <v>112.2</v>
      </c>
      <c r="K22" s="54"/>
      <c r="L22" s="54"/>
      <c r="M22" s="54">
        <v>11</v>
      </c>
      <c r="N22" s="54">
        <v>13</v>
      </c>
      <c r="O22" s="54"/>
      <c r="P22" s="54"/>
      <c r="Q22" s="53">
        <f t="shared" si="5"/>
        <v>6</v>
      </c>
      <c r="R22" s="52">
        <f t="shared" si="6"/>
        <v>0.5</v>
      </c>
      <c r="S22" s="46">
        <f t="shared" si="7"/>
        <v>6</v>
      </c>
      <c r="T22" s="45"/>
    </row>
    <row r="23" spans="2:24">
      <c r="B23" s="55">
        <v>206</v>
      </c>
      <c r="C23" s="55" t="s">
        <v>12</v>
      </c>
      <c r="D23" s="55">
        <v>8</v>
      </c>
      <c r="E23" s="56">
        <f t="shared" si="0"/>
        <v>2</v>
      </c>
      <c r="F23" s="56">
        <f t="shared" si="1"/>
        <v>1</v>
      </c>
      <c r="G23" s="56">
        <f t="shared" si="2"/>
        <v>1</v>
      </c>
      <c r="H23" s="55">
        <v>2</v>
      </c>
      <c r="I23" s="55">
        <f t="shared" si="3"/>
        <v>6</v>
      </c>
      <c r="J23" s="55" t="str">
        <f t="shared" si="4"/>
        <v>211.2</v>
      </c>
      <c r="K23" s="54"/>
      <c r="L23" s="54"/>
      <c r="M23" s="54">
        <v>7</v>
      </c>
      <c r="N23" s="54">
        <v>15</v>
      </c>
      <c r="O23" s="54"/>
      <c r="P23" s="54"/>
      <c r="Q23" s="53">
        <f t="shared" si="5"/>
        <v>5.5</v>
      </c>
      <c r="R23" s="52">
        <f t="shared" si="6"/>
        <v>2</v>
      </c>
      <c r="S23" s="46">
        <f t="shared" si="7"/>
        <v>5.5</v>
      </c>
      <c r="T23" s="45"/>
    </row>
    <row r="24" spans="2:24">
      <c r="B24" s="55">
        <v>207</v>
      </c>
      <c r="C24" s="55" t="s">
        <v>4</v>
      </c>
      <c r="D24" s="55">
        <v>4</v>
      </c>
      <c r="E24" s="56">
        <f t="shared" si="0"/>
        <v>1</v>
      </c>
      <c r="F24" s="56">
        <f t="shared" si="1"/>
        <v>2</v>
      </c>
      <c r="G24" s="56">
        <f t="shared" si="2"/>
        <v>1</v>
      </c>
      <c r="H24" s="55">
        <v>2</v>
      </c>
      <c r="I24" s="55">
        <f t="shared" si="3"/>
        <v>7</v>
      </c>
      <c r="J24" s="55" t="str">
        <f t="shared" si="4"/>
        <v>121.2</v>
      </c>
      <c r="K24" s="54"/>
      <c r="L24" s="54"/>
      <c r="M24" s="54">
        <v>3</v>
      </c>
      <c r="N24" s="54">
        <v>2</v>
      </c>
      <c r="O24" s="54"/>
      <c r="P24" s="54"/>
      <c r="Q24" s="53">
        <f t="shared" si="5"/>
        <v>1.25</v>
      </c>
      <c r="R24" s="52">
        <f t="shared" si="6"/>
        <v>0.25</v>
      </c>
      <c r="S24" s="46">
        <f t="shared" si="7"/>
        <v>1.25</v>
      </c>
      <c r="T24" s="45"/>
      <c r="V24" s="38">
        <f>AVERAGE(W15:W17,W19)</f>
        <v>5.5546875</v>
      </c>
    </row>
    <row r="25" spans="2:24" ht="13.5" thickBot="1">
      <c r="B25" s="49">
        <v>208</v>
      </c>
      <c r="C25" s="49" t="s">
        <v>13</v>
      </c>
      <c r="D25" s="49">
        <v>2</v>
      </c>
      <c r="E25" s="50">
        <f t="shared" si="0"/>
        <v>1</v>
      </c>
      <c r="F25" s="50">
        <f t="shared" si="1"/>
        <v>1</v>
      </c>
      <c r="G25" s="50">
        <f t="shared" si="2"/>
        <v>1</v>
      </c>
      <c r="H25" s="49">
        <v>2</v>
      </c>
      <c r="I25" s="49">
        <f t="shared" si="3"/>
        <v>8</v>
      </c>
      <c r="J25" s="49" t="str">
        <f t="shared" si="4"/>
        <v>111.2</v>
      </c>
      <c r="K25" s="48"/>
      <c r="L25" s="48"/>
      <c r="M25" s="48">
        <v>8</v>
      </c>
      <c r="N25" s="48">
        <v>11</v>
      </c>
      <c r="O25" s="48"/>
      <c r="P25" s="48"/>
      <c r="Q25" s="48">
        <f t="shared" si="5"/>
        <v>4.75</v>
      </c>
      <c r="R25" s="47">
        <f t="shared" si="6"/>
        <v>0.74999999999999989</v>
      </c>
      <c r="S25" s="46">
        <f t="shared" si="7"/>
        <v>4.75</v>
      </c>
      <c r="T25" s="45" t="s">
        <v>311</v>
      </c>
    </row>
    <row r="26" spans="2:24">
      <c r="B26" s="61">
        <v>301</v>
      </c>
      <c r="C26" s="61" t="s">
        <v>6</v>
      </c>
      <c r="D26" s="61">
        <v>10</v>
      </c>
      <c r="E26" s="62">
        <f t="shared" si="0"/>
        <v>2</v>
      </c>
      <c r="F26" s="62">
        <f t="shared" si="1"/>
        <v>2</v>
      </c>
      <c r="G26" s="62">
        <f t="shared" si="2"/>
        <v>1</v>
      </c>
      <c r="H26" s="61">
        <v>3</v>
      </c>
      <c r="I26" s="61">
        <f t="shared" si="3"/>
        <v>1</v>
      </c>
      <c r="J26" s="61" t="str">
        <f t="shared" si="4"/>
        <v>221.3</v>
      </c>
      <c r="K26" s="60"/>
      <c r="L26" s="60"/>
      <c r="M26" s="60">
        <v>16</v>
      </c>
      <c r="N26" s="60">
        <v>12</v>
      </c>
      <c r="O26" s="60"/>
      <c r="P26" s="60"/>
      <c r="Q26" s="53">
        <f t="shared" si="5"/>
        <v>7</v>
      </c>
      <c r="R26" s="53">
        <f t="shared" si="6"/>
        <v>1</v>
      </c>
      <c r="S26" s="46">
        <f t="shared" si="7"/>
        <v>7</v>
      </c>
      <c r="T26" s="45" t="s">
        <v>310</v>
      </c>
      <c r="V26" s="38">
        <f>AVERAGE(W12:W14,W18)</f>
        <v>4.078125</v>
      </c>
    </row>
    <row r="27" spans="2:24">
      <c r="B27" s="55">
        <v>302</v>
      </c>
      <c r="C27" s="55" t="s">
        <v>4</v>
      </c>
      <c r="D27" s="55">
        <v>4</v>
      </c>
      <c r="E27" s="56">
        <f t="shared" si="0"/>
        <v>1</v>
      </c>
      <c r="F27" s="56">
        <f t="shared" si="1"/>
        <v>2</v>
      </c>
      <c r="G27" s="56">
        <f t="shared" si="2"/>
        <v>1</v>
      </c>
      <c r="H27" s="55">
        <v>3</v>
      </c>
      <c r="I27" s="55">
        <f t="shared" si="3"/>
        <v>2</v>
      </c>
      <c r="J27" s="55" t="str">
        <f t="shared" si="4"/>
        <v>121.3</v>
      </c>
      <c r="K27" s="54"/>
      <c r="L27" s="54"/>
      <c r="M27" s="54">
        <v>4</v>
      </c>
      <c r="N27" s="54">
        <v>13</v>
      </c>
      <c r="O27" s="54"/>
      <c r="P27" s="54"/>
      <c r="Q27" s="53">
        <f t="shared" si="5"/>
        <v>4.25</v>
      </c>
      <c r="R27" s="52">
        <f t="shared" si="6"/>
        <v>2.25</v>
      </c>
      <c r="S27" s="46">
        <f t="shared" si="7"/>
        <v>4.25</v>
      </c>
      <c r="T27" s="45"/>
    </row>
    <row r="28" spans="2:24">
      <c r="B28" s="55">
        <v>303</v>
      </c>
      <c r="C28" s="55" t="s">
        <v>12</v>
      </c>
      <c r="D28" s="55">
        <v>8</v>
      </c>
      <c r="E28" s="56">
        <f t="shared" si="0"/>
        <v>2</v>
      </c>
      <c r="F28" s="56">
        <f t="shared" si="1"/>
        <v>1</v>
      </c>
      <c r="G28" s="56">
        <f t="shared" si="2"/>
        <v>1</v>
      </c>
      <c r="H28" s="55">
        <v>3</v>
      </c>
      <c r="I28" s="55">
        <f t="shared" si="3"/>
        <v>3</v>
      </c>
      <c r="J28" s="55" t="str">
        <f t="shared" si="4"/>
        <v>211.3</v>
      </c>
      <c r="K28" s="54"/>
      <c r="L28" s="54"/>
      <c r="M28" s="54">
        <v>8</v>
      </c>
      <c r="N28" s="54">
        <v>1</v>
      </c>
      <c r="O28" s="54"/>
      <c r="P28" s="54"/>
      <c r="Q28" s="53">
        <f t="shared" si="5"/>
        <v>2.25</v>
      </c>
      <c r="R28" s="52">
        <f t="shared" si="6"/>
        <v>1.7499999999999998</v>
      </c>
      <c r="S28" s="46">
        <f t="shared" si="7"/>
        <v>2.25</v>
      </c>
      <c r="T28" s="45"/>
    </row>
    <row r="29" spans="2:24">
      <c r="B29" s="55">
        <v>304</v>
      </c>
      <c r="C29" s="55" t="s">
        <v>13</v>
      </c>
      <c r="D29" s="55">
        <v>2</v>
      </c>
      <c r="E29" s="56">
        <f t="shared" si="0"/>
        <v>1</v>
      </c>
      <c r="F29" s="56">
        <f t="shared" si="1"/>
        <v>1</v>
      </c>
      <c r="G29" s="56">
        <f t="shared" si="2"/>
        <v>1</v>
      </c>
      <c r="H29" s="55">
        <v>3</v>
      </c>
      <c r="I29" s="55">
        <f t="shared" si="3"/>
        <v>4</v>
      </c>
      <c r="J29" s="55" t="str">
        <f t="shared" si="4"/>
        <v>111.3</v>
      </c>
      <c r="K29" s="54"/>
      <c r="L29" s="54"/>
      <c r="M29" s="54">
        <v>7</v>
      </c>
      <c r="N29" s="54">
        <v>10</v>
      </c>
      <c r="O29" s="54"/>
      <c r="P29" s="54"/>
      <c r="Q29" s="53">
        <f t="shared" si="5"/>
        <v>4.25</v>
      </c>
      <c r="R29" s="52">
        <f t="shared" si="6"/>
        <v>0.74999999999999989</v>
      </c>
      <c r="S29" s="46">
        <f t="shared" si="7"/>
        <v>4.25</v>
      </c>
      <c r="T29" s="45"/>
      <c r="X29" s="38"/>
    </row>
    <row r="30" spans="2:24">
      <c r="B30" s="69">
        <v>305</v>
      </c>
      <c r="C30" s="69" t="s">
        <v>11</v>
      </c>
      <c r="D30" s="69">
        <v>11</v>
      </c>
      <c r="E30" s="70">
        <f t="shared" si="0"/>
        <v>2</v>
      </c>
      <c r="F30" s="70">
        <f t="shared" si="1"/>
        <v>3</v>
      </c>
      <c r="G30" s="70">
        <f t="shared" si="2"/>
        <v>2</v>
      </c>
      <c r="H30" s="69">
        <v>4</v>
      </c>
      <c r="I30" s="69">
        <f t="shared" si="3"/>
        <v>5</v>
      </c>
      <c r="J30" s="69" t="str">
        <f t="shared" si="4"/>
        <v>232.4</v>
      </c>
      <c r="K30" s="68"/>
      <c r="L30" s="68"/>
      <c r="M30" s="68">
        <v>32</v>
      </c>
      <c r="N30" s="68">
        <v>19</v>
      </c>
      <c r="O30" s="68"/>
      <c r="P30" s="68"/>
      <c r="Q30" s="67">
        <f t="shared" si="5"/>
        <v>12.75</v>
      </c>
      <c r="R30" s="66">
        <f t="shared" si="6"/>
        <v>3.2499999999999996</v>
      </c>
      <c r="S30" s="46">
        <f t="shared" si="7"/>
        <v>6.375</v>
      </c>
      <c r="T30" s="45"/>
    </row>
    <row r="31" spans="2:24">
      <c r="B31" s="55">
        <v>306</v>
      </c>
      <c r="C31" s="55" t="s">
        <v>4</v>
      </c>
      <c r="D31" s="55">
        <v>4</v>
      </c>
      <c r="E31" s="56">
        <f t="shared" si="0"/>
        <v>1</v>
      </c>
      <c r="F31" s="56">
        <f t="shared" si="1"/>
        <v>2</v>
      </c>
      <c r="G31" s="56">
        <f t="shared" si="2"/>
        <v>1</v>
      </c>
      <c r="H31" s="55">
        <v>4</v>
      </c>
      <c r="I31" s="55">
        <f t="shared" si="3"/>
        <v>6</v>
      </c>
      <c r="J31" s="55" t="str">
        <f t="shared" si="4"/>
        <v>121.4</v>
      </c>
      <c r="K31" s="54"/>
      <c r="L31" s="54"/>
      <c r="M31" s="54">
        <v>14</v>
      </c>
      <c r="N31" s="54">
        <v>21</v>
      </c>
      <c r="O31" s="54"/>
      <c r="P31" s="54"/>
      <c r="Q31" s="53">
        <f t="shared" si="5"/>
        <v>8.75</v>
      </c>
      <c r="R31" s="52">
        <f t="shared" si="6"/>
        <v>1.7499999999999998</v>
      </c>
      <c r="S31" s="46">
        <f t="shared" si="7"/>
        <v>8.75</v>
      </c>
      <c r="T31" s="45"/>
    </row>
    <row r="32" spans="2:24">
      <c r="B32" s="55">
        <v>307</v>
      </c>
      <c r="C32" s="55" t="s">
        <v>7</v>
      </c>
      <c r="D32" s="55">
        <v>9</v>
      </c>
      <c r="E32" s="56">
        <f t="shared" si="0"/>
        <v>2</v>
      </c>
      <c r="F32" s="56">
        <f t="shared" si="1"/>
        <v>2</v>
      </c>
      <c r="G32" s="56">
        <f t="shared" si="2"/>
        <v>2</v>
      </c>
      <c r="H32" s="55">
        <v>4</v>
      </c>
      <c r="I32" s="55">
        <f t="shared" si="3"/>
        <v>7</v>
      </c>
      <c r="J32" s="55" t="str">
        <f t="shared" si="4"/>
        <v>222.4</v>
      </c>
      <c r="K32" s="54"/>
      <c r="L32" s="54"/>
      <c r="M32" s="54">
        <v>10</v>
      </c>
      <c r="N32" s="54">
        <v>4</v>
      </c>
      <c r="O32" s="54"/>
      <c r="P32" s="54"/>
      <c r="Q32" s="53">
        <f t="shared" si="5"/>
        <v>3.5</v>
      </c>
      <c r="R32" s="52">
        <f t="shared" si="6"/>
        <v>1.4999999999999998</v>
      </c>
      <c r="S32" s="46">
        <f t="shared" si="7"/>
        <v>3.5</v>
      </c>
      <c r="T32" s="45"/>
    </row>
    <row r="33" spans="2:23" ht="13.5" thickBot="1">
      <c r="B33" s="73">
        <v>308</v>
      </c>
      <c r="C33" s="73" t="s">
        <v>5</v>
      </c>
      <c r="D33" s="73">
        <v>5</v>
      </c>
      <c r="E33" s="74">
        <f t="shared" si="0"/>
        <v>1</v>
      </c>
      <c r="F33" s="74">
        <f t="shared" si="1"/>
        <v>3</v>
      </c>
      <c r="G33" s="74">
        <f t="shared" si="2"/>
        <v>2</v>
      </c>
      <c r="H33" s="73">
        <v>4</v>
      </c>
      <c r="I33" s="73">
        <f t="shared" si="3"/>
        <v>8</v>
      </c>
      <c r="J33" s="73" t="str">
        <f t="shared" si="4"/>
        <v>132.4</v>
      </c>
      <c r="K33" s="72"/>
      <c r="L33" s="72"/>
      <c r="M33" s="72">
        <v>14</v>
      </c>
      <c r="N33" s="72">
        <v>15</v>
      </c>
      <c r="O33" s="72"/>
      <c r="P33" s="72"/>
      <c r="Q33" s="72">
        <f t="shared" si="5"/>
        <v>7.25</v>
      </c>
      <c r="R33" s="71">
        <f t="shared" si="6"/>
        <v>0.25</v>
      </c>
      <c r="S33" s="46">
        <f t="shared" si="7"/>
        <v>3.625</v>
      </c>
      <c r="T33" s="45" t="s">
        <v>309</v>
      </c>
    </row>
    <row r="34" spans="2:23">
      <c r="B34" s="61">
        <v>401</v>
      </c>
      <c r="C34" s="61" t="s">
        <v>14</v>
      </c>
      <c r="D34" s="61">
        <v>7</v>
      </c>
      <c r="E34" s="62">
        <f t="shared" si="0"/>
        <v>2</v>
      </c>
      <c r="F34" s="62">
        <f t="shared" si="1"/>
        <v>1</v>
      </c>
      <c r="G34" s="62">
        <f t="shared" si="2"/>
        <v>2</v>
      </c>
      <c r="H34" s="61">
        <v>3</v>
      </c>
      <c r="I34" s="61">
        <f t="shared" si="3"/>
        <v>1</v>
      </c>
      <c r="J34" s="61" t="str">
        <f t="shared" si="4"/>
        <v>212.3</v>
      </c>
      <c r="K34" s="60"/>
      <c r="L34" s="60"/>
      <c r="M34" s="60">
        <v>2</v>
      </c>
      <c r="N34" s="60">
        <v>9</v>
      </c>
      <c r="O34" s="60"/>
      <c r="P34" s="60"/>
      <c r="Q34" s="53">
        <f t="shared" si="5"/>
        <v>2.75</v>
      </c>
      <c r="R34" s="53">
        <f t="shared" si="6"/>
        <v>1.7499999999999998</v>
      </c>
      <c r="S34" s="46">
        <f t="shared" si="7"/>
        <v>2.75</v>
      </c>
      <c r="T34" s="45" t="s">
        <v>308</v>
      </c>
    </row>
    <row r="35" spans="2:23">
      <c r="B35" s="55">
        <v>402</v>
      </c>
      <c r="C35" s="55" t="s">
        <v>7</v>
      </c>
      <c r="D35" s="55">
        <v>9</v>
      </c>
      <c r="E35" s="56">
        <f t="shared" si="0"/>
        <v>2</v>
      </c>
      <c r="F35" s="56">
        <f t="shared" si="1"/>
        <v>2</v>
      </c>
      <c r="G35" s="56">
        <f t="shared" si="2"/>
        <v>2</v>
      </c>
      <c r="H35" s="55">
        <v>3</v>
      </c>
      <c r="I35" s="55">
        <f t="shared" si="3"/>
        <v>2</v>
      </c>
      <c r="J35" s="55" t="str">
        <f t="shared" si="4"/>
        <v>222.3</v>
      </c>
      <c r="K35" s="54"/>
      <c r="L35" s="54"/>
      <c r="M35" s="54">
        <v>3</v>
      </c>
      <c r="N35" s="54">
        <v>14</v>
      </c>
      <c r="O35" s="54"/>
      <c r="P35" s="54"/>
      <c r="Q35" s="53">
        <f t="shared" si="5"/>
        <v>4.25</v>
      </c>
      <c r="R35" s="52">
        <f t="shared" si="6"/>
        <v>2.7499999999999996</v>
      </c>
      <c r="S35" s="46">
        <f t="shared" si="7"/>
        <v>4.25</v>
      </c>
      <c r="T35" s="45"/>
    </row>
    <row r="36" spans="2:23">
      <c r="B36" s="69">
        <v>403</v>
      </c>
      <c r="C36" s="69" t="s">
        <v>15</v>
      </c>
      <c r="D36" s="69">
        <v>6</v>
      </c>
      <c r="E36" s="70">
        <f t="shared" si="0"/>
        <v>1</v>
      </c>
      <c r="F36" s="70">
        <f t="shared" si="1"/>
        <v>3</v>
      </c>
      <c r="G36" s="70">
        <f t="shared" si="2"/>
        <v>1</v>
      </c>
      <c r="H36" s="69">
        <v>3</v>
      </c>
      <c r="I36" s="69">
        <f t="shared" si="3"/>
        <v>3</v>
      </c>
      <c r="J36" s="69" t="str">
        <f t="shared" si="4"/>
        <v>131.3</v>
      </c>
      <c r="K36" s="68"/>
      <c r="L36" s="68"/>
      <c r="M36" s="68">
        <v>20</v>
      </c>
      <c r="N36" s="68">
        <v>17</v>
      </c>
      <c r="O36" s="68"/>
      <c r="P36" s="68"/>
      <c r="Q36" s="67">
        <f t="shared" si="5"/>
        <v>9.25</v>
      </c>
      <c r="R36" s="66">
        <f t="shared" si="6"/>
        <v>0.74999999999999989</v>
      </c>
      <c r="S36" s="46">
        <f t="shared" si="7"/>
        <v>4.625</v>
      </c>
      <c r="T36" s="45"/>
    </row>
    <row r="37" spans="2:23">
      <c r="B37" s="55">
        <v>404</v>
      </c>
      <c r="C37" s="55" t="s">
        <v>8</v>
      </c>
      <c r="D37" s="55">
        <v>3</v>
      </c>
      <c r="E37" s="56">
        <f t="shared" si="0"/>
        <v>1</v>
      </c>
      <c r="F37" s="56">
        <f t="shared" si="1"/>
        <v>2</v>
      </c>
      <c r="G37" s="56">
        <f t="shared" si="2"/>
        <v>2</v>
      </c>
      <c r="H37" s="55">
        <v>3</v>
      </c>
      <c r="I37" s="55">
        <f t="shared" si="3"/>
        <v>4</v>
      </c>
      <c r="J37" s="55" t="str">
        <f t="shared" si="4"/>
        <v>122.3</v>
      </c>
      <c r="K37" s="54"/>
      <c r="L37" s="54"/>
      <c r="M37" s="54">
        <v>15</v>
      </c>
      <c r="N37" s="54">
        <v>17</v>
      </c>
      <c r="O37" s="54"/>
      <c r="P37" s="54"/>
      <c r="Q37" s="53">
        <f t="shared" si="5"/>
        <v>8</v>
      </c>
      <c r="R37" s="52">
        <f t="shared" si="6"/>
        <v>0.5</v>
      </c>
      <c r="S37" s="46">
        <f t="shared" si="7"/>
        <v>8</v>
      </c>
      <c r="T37" s="45"/>
    </row>
    <row r="38" spans="2:23">
      <c r="B38" s="69">
        <v>405</v>
      </c>
      <c r="C38" s="69" t="s">
        <v>15</v>
      </c>
      <c r="D38" s="69">
        <v>6</v>
      </c>
      <c r="E38" s="70">
        <f t="shared" si="0"/>
        <v>1</v>
      </c>
      <c r="F38" s="70">
        <f t="shared" si="1"/>
        <v>3</v>
      </c>
      <c r="G38" s="70">
        <f t="shared" si="2"/>
        <v>1</v>
      </c>
      <c r="H38" s="69">
        <v>4</v>
      </c>
      <c r="I38" s="69">
        <f t="shared" si="3"/>
        <v>5</v>
      </c>
      <c r="J38" s="69" t="str">
        <f t="shared" si="4"/>
        <v>131.4</v>
      </c>
      <c r="K38" s="68"/>
      <c r="L38" s="68"/>
      <c r="M38" s="68">
        <v>27</v>
      </c>
      <c r="N38" s="68">
        <v>14</v>
      </c>
      <c r="O38" s="68"/>
      <c r="P38" s="68"/>
      <c r="Q38" s="67">
        <f t="shared" si="5"/>
        <v>10.25</v>
      </c>
      <c r="R38" s="66">
        <f t="shared" si="6"/>
        <v>3.2499999999999996</v>
      </c>
      <c r="S38" s="46">
        <f t="shared" si="7"/>
        <v>5.125</v>
      </c>
      <c r="T38" s="45"/>
    </row>
    <row r="39" spans="2:23">
      <c r="B39" s="55">
        <v>406</v>
      </c>
      <c r="C39" s="55" t="s">
        <v>8</v>
      </c>
      <c r="D39" s="55">
        <v>3</v>
      </c>
      <c r="E39" s="56">
        <f t="shared" si="0"/>
        <v>1</v>
      </c>
      <c r="F39" s="56">
        <f t="shared" si="1"/>
        <v>2</v>
      </c>
      <c r="G39" s="56">
        <f t="shared" si="2"/>
        <v>2</v>
      </c>
      <c r="H39" s="55">
        <v>4</v>
      </c>
      <c r="I39" s="55">
        <f t="shared" si="3"/>
        <v>6</v>
      </c>
      <c r="J39" s="55" t="str">
        <f t="shared" si="4"/>
        <v>122.4</v>
      </c>
      <c r="K39" s="54"/>
      <c r="L39" s="54"/>
      <c r="M39" s="54">
        <v>9</v>
      </c>
      <c r="N39" s="54">
        <v>15</v>
      </c>
      <c r="O39" s="54"/>
      <c r="P39" s="54"/>
      <c r="Q39" s="53">
        <f t="shared" si="5"/>
        <v>6</v>
      </c>
      <c r="R39" s="52">
        <f t="shared" si="6"/>
        <v>1.4999999999999998</v>
      </c>
      <c r="S39" s="46">
        <f t="shared" si="7"/>
        <v>6</v>
      </c>
      <c r="T39" s="45"/>
    </row>
    <row r="40" spans="2:23">
      <c r="B40" s="55">
        <v>407</v>
      </c>
      <c r="C40" s="55" t="s">
        <v>14</v>
      </c>
      <c r="D40" s="55">
        <v>7</v>
      </c>
      <c r="E40" s="56">
        <f t="shared" si="0"/>
        <v>2</v>
      </c>
      <c r="F40" s="56">
        <f t="shared" si="1"/>
        <v>1</v>
      </c>
      <c r="G40" s="56">
        <f t="shared" si="2"/>
        <v>2</v>
      </c>
      <c r="H40" s="55">
        <v>4</v>
      </c>
      <c r="I40" s="55">
        <f t="shared" si="3"/>
        <v>7</v>
      </c>
      <c r="J40" s="55" t="str">
        <f t="shared" si="4"/>
        <v>212.4</v>
      </c>
      <c r="K40" s="54"/>
      <c r="L40" s="54"/>
      <c r="M40" s="54">
        <v>11</v>
      </c>
      <c r="N40" s="54">
        <v>5</v>
      </c>
      <c r="O40" s="54"/>
      <c r="P40" s="54"/>
      <c r="Q40" s="53">
        <f t="shared" si="5"/>
        <v>4</v>
      </c>
      <c r="R40" s="52">
        <f t="shared" si="6"/>
        <v>1.4999999999999998</v>
      </c>
      <c r="S40" s="46">
        <f t="shared" si="7"/>
        <v>4</v>
      </c>
      <c r="T40" s="45"/>
      <c r="V40" s="65" t="s">
        <v>307</v>
      </c>
      <c r="W40" s="63"/>
    </row>
    <row r="41" spans="2:23" ht="13.5" thickBot="1">
      <c r="B41" s="49">
        <v>408</v>
      </c>
      <c r="C41" s="49" t="s">
        <v>6</v>
      </c>
      <c r="D41" s="49">
        <v>10</v>
      </c>
      <c r="E41" s="50">
        <f t="shared" si="0"/>
        <v>2</v>
      </c>
      <c r="F41" s="50">
        <f t="shared" si="1"/>
        <v>2</v>
      </c>
      <c r="G41" s="50">
        <f t="shared" si="2"/>
        <v>1</v>
      </c>
      <c r="H41" s="49">
        <v>4</v>
      </c>
      <c r="I41" s="49">
        <f t="shared" si="3"/>
        <v>8</v>
      </c>
      <c r="J41" s="49" t="str">
        <f t="shared" si="4"/>
        <v>221.4</v>
      </c>
      <c r="K41" s="48"/>
      <c r="L41" s="48"/>
      <c r="M41" s="48">
        <v>13</v>
      </c>
      <c r="N41" s="48">
        <v>13</v>
      </c>
      <c r="O41" s="48"/>
      <c r="P41" s="48"/>
      <c r="Q41" s="48">
        <f t="shared" si="5"/>
        <v>6.5</v>
      </c>
      <c r="R41" s="47">
        <f t="shared" si="6"/>
        <v>0</v>
      </c>
      <c r="S41" s="46">
        <f t="shared" si="7"/>
        <v>6.5</v>
      </c>
      <c r="T41" s="45" t="s">
        <v>306</v>
      </c>
      <c r="V41" s="64" t="s">
        <v>305</v>
      </c>
      <c r="W41" s="63" t="s">
        <v>304</v>
      </c>
    </row>
    <row r="42" spans="2:23">
      <c r="B42" s="61">
        <v>901</v>
      </c>
      <c r="C42" s="61" t="s">
        <v>16</v>
      </c>
      <c r="D42" s="61">
        <v>32</v>
      </c>
      <c r="E42" s="62">
        <v>9</v>
      </c>
      <c r="F42" s="62">
        <v>0</v>
      </c>
      <c r="G42" s="62">
        <v>1</v>
      </c>
      <c r="H42" s="61">
        <v>1</v>
      </c>
      <c r="I42" s="61">
        <f t="shared" si="3"/>
        <v>1</v>
      </c>
      <c r="J42" s="61" t="str">
        <f t="shared" si="4"/>
        <v>901.1</v>
      </c>
      <c r="K42" s="60"/>
      <c r="L42" s="60"/>
      <c r="M42" s="60">
        <v>0</v>
      </c>
      <c r="N42" s="60">
        <v>0</v>
      </c>
      <c r="O42" s="60"/>
      <c r="P42" s="60"/>
      <c r="Q42" s="53">
        <f t="shared" si="5"/>
        <v>0</v>
      </c>
      <c r="R42" s="53">
        <f t="shared" si="6"/>
        <v>0</v>
      </c>
      <c r="S42" s="46">
        <f t="shared" si="7"/>
        <v>0</v>
      </c>
      <c r="V42" s="59" t="s">
        <v>5</v>
      </c>
      <c r="W42" s="58">
        <v>7.125</v>
      </c>
    </row>
    <row r="43" spans="2:23">
      <c r="B43" s="55">
        <v>902</v>
      </c>
      <c r="C43" s="57" t="s">
        <v>302</v>
      </c>
      <c r="D43" s="55">
        <v>22</v>
      </c>
      <c r="E43" s="56">
        <v>4</v>
      </c>
      <c r="F43" s="56">
        <v>2</v>
      </c>
      <c r="G43" s="56">
        <v>2</v>
      </c>
      <c r="H43" s="55">
        <v>1</v>
      </c>
      <c r="I43" s="55">
        <f t="shared" si="3"/>
        <v>2</v>
      </c>
      <c r="J43" s="55" t="str">
        <f t="shared" si="4"/>
        <v>422.1</v>
      </c>
      <c r="K43" s="54"/>
      <c r="L43" s="54"/>
      <c r="M43" s="54">
        <v>1</v>
      </c>
      <c r="N43" s="54">
        <v>4</v>
      </c>
      <c r="O43" s="54"/>
      <c r="P43" s="54"/>
      <c r="Q43" s="53">
        <f t="shared" si="5"/>
        <v>1.25</v>
      </c>
      <c r="R43" s="52">
        <f t="shared" si="6"/>
        <v>0.74999999999999989</v>
      </c>
      <c r="S43" s="46">
        <f t="shared" si="7"/>
        <v>1.25</v>
      </c>
      <c r="T43" s="45" t="s">
        <v>303</v>
      </c>
      <c r="V43" s="44" t="s">
        <v>15</v>
      </c>
      <c r="W43" s="43">
        <v>9.75</v>
      </c>
    </row>
    <row r="44" spans="2:23">
      <c r="B44" s="55">
        <v>903</v>
      </c>
      <c r="C44" s="55" t="s">
        <v>17</v>
      </c>
      <c r="D44" s="55">
        <v>31</v>
      </c>
      <c r="E44" s="56">
        <v>8</v>
      </c>
      <c r="F44" s="56">
        <v>0</v>
      </c>
      <c r="G44" s="56">
        <v>1</v>
      </c>
      <c r="H44" s="55">
        <v>1</v>
      </c>
      <c r="I44" s="55">
        <f t="shared" si="3"/>
        <v>3</v>
      </c>
      <c r="J44" s="55" t="str">
        <f t="shared" si="4"/>
        <v>801.1</v>
      </c>
      <c r="K44" s="54"/>
      <c r="L44" s="54"/>
      <c r="M44" s="54">
        <v>0</v>
      </c>
      <c r="N44" s="54">
        <v>0</v>
      </c>
      <c r="O44" s="54"/>
      <c r="P44" s="54"/>
      <c r="Q44" s="53">
        <f t="shared" si="5"/>
        <v>0</v>
      </c>
      <c r="R44" s="52">
        <f t="shared" si="6"/>
        <v>0</v>
      </c>
      <c r="S44" s="46">
        <f t="shared" si="7"/>
        <v>0</v>
      </c>
      <c r="T44" s="45"/>
      <c r="V44" s="44" t="s">
        <v>3</v>
      </c>
      <c r="W44" s="43">
        <v>5.625</v>
      </c>
    </row>
    <row r="45" spans="2:23">
      <c r="B45" s="55">
        <v>904</v>
      </c>
      <c r="C45" s="57" t="s">
        <v>301</v>
      </c>
      <c r="D45" s="55">
        <v>21</v>
      </c>
      <c r="E45" s="56">
        <v>3</v>
      </c>
      <c r="F45" s="56">
        <v>2</v>
      </c>
      <c r="G45" s="56">
        <v>2</v>
      </c>
      <c r="H45" s="55">
        <v>1</v>
      </c>
      <c r="I45" s="55">
        <f t="shared" si="3"/>
        <v>4</v>
      </c>
      <c r="J45" s="55" t="str">
        <f t="shared" si="4"/>
        <v>322.1</v>
      </c>
      <c r="K45" s="54"/>
      <c r="L45" s="54"/>
      <c r="M45" s="54">
        <v>5</v>
      </c>
      <c r="N45" s="54">
        <v>3</v>
      </c>
      <c r="O45" s="54"/>
      <c r="P45" s="54"/>
      <c r="Q45" s="53">
        <f t="shared" si="5"/>
        <v>2</v>
      </c>
      <c r="R45" s="52">
        <f t="shared" si="6"/>
        <v>0.5</v>
      </c>
      <c r="S45" s="46">
        <f t="shared" si="7"/>
        <v>2</v>
      </c>
      <c r="T45" s="45"/>
      <c r="V45" s="44" t="s">
        <v>13</v>
      </c>
      <c r="W45" s="43">
        <v>4.5</v>
      </c>
    </row>
    <row r="46" spans="2:23">
      <c r="B46" s="55">
        <v>905</v>
      </c>
      <c r="C46" s="55" t="s">
        <v>16</v>
      </c>
      <c r="D46" s="55">
        <v>32</v>
      </c>
      <c r="E46" s="56">
        <v>9</v>
      </c>
      <c r="F46" s="56">
        <v>0</v>
      </c>
      <c r="G46" s="56">
        <v>1</v>
      </c>
      <c r="H46" s="55">
        <v>2</v>
      </c>
      <c r="I46" s="55">
        <f t="shared" si="3"/>
        <v>5</v>
      </c>
      <c r="J46" s="55" t="str">
        <f t="shared" si="4"/>
        <v>901.2</v>
      </c>
      <c r="K46" s="54"/>
      <c r="L46" s="54"/>
      <c r="M46" s="54">
        <v>0</v>
      </c>
      <c r="N46" s="54">
        <v>0</v>
      </c>
      <c r="O46" s="54"/>
      <c r="P46" s="54"/>
      <c r="Q46" s="53">
        <f t="shared" si="5"/>
        <v>0</v>
      </c>
      <c r="R46" s="52">
        <f t="shared" si="6"/>
        <v>0</v>
      </c>
      <c r="S46" s="46">
        <f t="shared" si="7"/>
        <v>0</v>
      </c>
      <c r="T46" s="45"/>
      <c r="V46" s="44" t="s">
        <v>8</v>
      </c>
      <c r="W46" s="43">
        <v>6.5</v>
      </c>
    </row>
    <row r="47" spans="2:23">
      <c r="B47" s="55">
        <v>906</v>
      </c>
      <c r="C47" s="57" t="s">
        <v>302</v>
      </c>
      <c r="D47" s="55">
        <v>22</v>
      </c>
      <c r="E47" s="56">
        <v>4</v>
      </c>
      <c r="F47" s="56">
        <v>2</v>
      </c>
      <c r="G47" s="56">
        <v>2</v>
      </c>
      <c r="H47" s="55">
        <v>2</v>
      </c>
      <c r="I47" s="55">
        <f t="shared" si="3"/>
        <v>6</v>
      </c>
      <c r="J47" s="55" t="str">
        <f t="shared" si="4"/>
        <v>422.2</v>
      </c>
      <c r="K47" s="54"/>
      <c r="L47" s="54"/>
      <c r="M47" s="54">
        <v>1</v>
      </c>
      <c r="N47" s="54">
        <v>1</v>
      </c>
      <c r="O47" s="54"/>
      <c r="P47" s="54"/>
      <c r="Q47" s="53">
        <f t="shared" si="5"/>
        <v>0.5</v>
      </c>
      <c r="R47" s="52">
        <f t="shared" si="6"/>
        <v>0</v>
      </c>
      <c r="S47" s="46">
        <f t="shared" si="7"/>
        <v>0.5</v>
      </c>
      <c r="T47" s="45"/>
      <c r="V47" s="44" t="s">
        <v>4</v>
      </c>
      <c r="W47" s="43">
        <v>4.25</v>
      </c>
    </row>
    <row r="48" spans="2:23">
      <c r="B48" s="55">
        <v>907</v>
      </c>
      <c r="C48" s="55" t="s">
        <v>17</v>
      </c>
      <c r="D48" s="55">
        <v>31</v>
      </c>
      <c r="E48" s="56">
        <v>8</v>
      </c>
      <c r="F48" s="56">
        <v>0</v>
      </c>
      <c r="G48" s="56">
        <v>1</v>
      </c>
      <c r="H48" s="55">
        <v>2</v>
      </c>
      <c r="I48" s="55">
        <f t="shared" si="3"/>
        <v>7</v>
      </c>
      <c r="J48" s="55" t="str">
        <f t="shared" si="4"/>
        <v>801.2</v>
      </c>
      <c r="K48" s="54"/>
      <c r="L48" s="54"/>
      <c r="M48" s="54">
        <v>0</v>
      </c>
      <c r="N48" s="54">
        <v>0</v>
      </c>
      <c r="O48" s="54"/>
      <c r="P48" s="54"/>
      <c r="Q48" s="53">
        <f t="shared" si="5"/>
        <v>0</v>
      </c>
      <c r="R48" s="52">
        <f t="shared" si="6"/>
        <v>0</v>
      </c>
      <c r="S48" s="46">
        <f t="shared" si="7"/>
        <v>0</v>
      </c>
      <c r="T48" s="45"/>
      <c r="V48" s="44" t="s">
        <v>11</v>
      </c>
      <c r="W48" s="43">
        <v>12.25</v>
      </c>
    </row>
    <row r="49" spans="2:23" ht="13.5" thickBot="1">
      <c r="B49" s="49">
        <v>908</v>
      </c>
      <c r="C49" s="51" t="s">
        <v>301</v>
      </c>
      <c r="D49" s="49">
        <v>21</v>
      </c>
      <c r="E49" s="50">
        <v>3</v>
      </c>
      <c r="F49" s="50">
        <v>2</v>
      </c>
      <c r="G49" s="50">
        <v>2</v>
      </c>
      <c r="H49" s="49">
        <v>2</v>
      </c>
      <c r="I49" s="49">
        <f t="shared" si="3"/>
        <v>8</v>
      </c>
      <c r="J49" s="49" t="str">
        <f t="shared" si="4"/>
        <v>322.2</v>
      </c>
      <c r="K49" s="48"/>
      <c r="L49" s="48"/>
      <c r="M49" s="48">
        <v>5</v>
      </c>
      <c r="N49" s="48">
        <v>10</v>
      </c>
      <c r="O49" s="48"/>
      <c r="P49" s="48"/>
      <c r="Q49" s="48">
        <f t="shared" si="5"/>
        <v>3.75</v>
      </c>
      <c r="R49" s="47">
        <f t="shared" si="6"/>
        <v>1.25</v>
      </c>
      <c r="S49" s="46">
        <f t="shared" si="7"/>
        <v>3.75</v>
      </c>
      <c r="T49" s="45" t="s">
        <v>300</v>
      </c>
      <c r="V49" s="44" t="s">
        <v>10</v>
      </c>
      <c r="W49" s="43">
        <v>8</v>
      </c>
    </row>
    <row r="50" spans="2:23">
      <c r="V50" s="44" t="s">
        <v>14</v>
      </c>
      <c r="W50" s="43">
        <v>3.375</v>
      </c>
    </row>
    <row r="51" spans="2:23">
      <c r="V51" s="44" t="s">
        <v>12</v>
      </c>
      <c r="W51" s="43">
        <v>3.875</v>
      </c>
    </row>
    <row r="52" spans="2:23">
      <c r="V52" s="44" t="s">
        <v>7</v>
      </c>
      <c r="W52" s="43">
        <v>3.75</v>
      </c>
    </row>
    <row r="53" spans="2:23">
      <c r="V53" s="42" t="s">
        <v>6</v>
      </c>
      <c r="W53" s="41">
        <v>6.0625</v>
      </c>
    </row>
  </sheetData>
  <pageMargins left="0.75" right="0.75" top="1" bottom="1" header="0.5" footer="0.5"/>
  <pageSetup orientation="portrait" r:id="rId3"/>
  <headerFooter alignWithMargins="0"/>
  <drawing r:id="rId4"/>
  <legacyDrawing r:id="rId5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96E16-7978-43A5-9030-02E5BDD8B59F}">
  <dimension ref="A1:X53"/>
  <sheetViews>
    <sheetView workbookViewId="0">
      <selection activeCell="N10" sqref="N10:N49"/>
    </sheetView>
  </sheetViews>
  <sheetFormatPr defaultRowHeight="12.75"/>
  <cols>
    <col min="1" max="19" width="9.140625" style="37"/>
    <col min="20" max="20" width="45.7109375" style="37" customWidth="1"/>
    <col min="21" max="21" width="9.140625" style="37"/>
    <col min="22" max="22" width="23.140625" style="37" customWidth="1"/>
    <col min="23" max="23" width="5.5703125" style="37" customWidth="1"/>
    <col min="24" max="26" width="4.5703125" style="37" customWidth="1"/>
    <col min="27" max="27" width="10.5703125" style="37" bestFit="1" customWidth="1"/>
    <col min="28" max="16384" width="9.140625" style="37"/>
  </cols>
  <sheetData>
    <row r="1" spans="1:23" ht="15.75">
      <c r="A1" s="93" t="s">
        <v>340</v>
      </c>
    </row>
    <row r="3" spans="1:23" ht="13.5" thickBot="1">
      <c r="A3" s="92"/>
      <c r="B3" s="92" t="s">
        <v>339</v>
      </c>
      <c r="C3" s="91">
        <v>120</v>
      </c>
      <c r="E3" s="37" t="s">
        <v>338</v>
      </c>
      <c r="F3" s="37" t="s">
        <v>351</v>
      </c>
      <c r="H3" s="37" t="s">
        <v>350</v>
      </c>
      <c r="I3" s="37" t="s">
        <v>349</v>
      </c>
    </row>
    <row r="4" spans="1:23">
      <c r="E4" s="37" t="s">
        <v>337</v>
      </c>
      <c r="F4" s="37" t="s">
        <v>348</v>
      </c>
      <c r="N4" s="38">
        <f>AVERAGE(Q10:Q11,Q13,Q15:Q17,Q19:Q20,Q22:Q29,Q31:Q32,Q34:Q35,Q37,Q39:Q41)</f>
        <v>5.604166666666667</v>
      </c>
      <c r="O4" s="38">
        <f>AVERAGE(Q12,Q14,Q18,Q21,Q30,Q36,Q38,Q33)</f>
        <v>10.8125</v>
      </c>
    </row>
    <row r="6" spans="1:23">
      <c r="B6" s="37" t="s">
        <v>336</v>
      </c>
      <c r="D6" s="90" t="s">
        <v>347</v>
      </c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</row>
    <row r="7" spans="1:23"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</row>
    <row r="8" spans="1:23" ht="13.5" thickBot="1"/>
    <row r="9" spans="1:23" ht="51.75" thickBot="1">
      <c r="B9" s="88" t="s">
        <v>0</v>
      </c>
      <c r="C9" s="89" t="s">
        <v>305</v>
      </c>
      <c r="D9" s="89" t="s">
        <v>333</v>
      </c>
      <c r="E9" s="88" t="s">
        <v>332</v>
      </c>
      <c r="F9" s="89" t="s">
        <v>331</v>
      </c>
      <c r="G9" s="88" t="s">
        <v>330</v>
      </c>
      <c r="H9" s="88" t="s">
        <v>329</v>
      </c>
      <c r="I9" s="88" t="s">
        <v>315</v>
      </c>
      <c r="J9" s="88" t="s">
        <v>328</v>
      </c>
      <c r="K9" s="86" t="s">
        <v>327</v>
      </c>
      <c r="L9" s="86" t="s">
        <v>326</v>
      </c>
      <c r="M9" s="86" t="s">
        <v>325</v>
      </c>
      <c r="N9" s="86" t="s">
        <v>324</v>
      </c>
      <c r="O9" s="86" t="s">
        <v>323</v>
      </c>
      <c r="P9" s="86" t="s">
        <v>322</v>
      </c>
      <c r="Q9" s="87" t="s">
        <v>321</v>
      </c>
      <c r="R9" s="86" t="s">
        <v>320</v>
      </c>
      <c r="S9" s="85" t="s">
        <v>319</v>
      </c>
      <c r="T9" s="84" t="s">
        <v>318</v>
      </c>
    </row>
    <row r="10" spans="1:23">
      <c r="B10" s="61">
        <v>101</v>
      </c>
      <c r="C10" s="62" t="s">
        <v>3</v>
      </c>
      <c r="D10" s="62">
        <v>1</v>
      </c>
      <c r="E10" s="62">
        <f t="shared" ref="E10:E41" si="0">IF(LEFT($C10,1)="F",1,2)</f>
        <v>1</v>
      </c>
      <c r="F10" s="62">
        <f t="shared" ref="F10:F41" si="1">IF(MID($C10,2,1)="S",1,IF(MID($C10,2,1)="T",2,IF(MID($C10,2,1)="D",3,0)))</f>
        <v>1</v>
      </c>
      <c r="G10" s="62">
        <f t="shared" ref="G10:G41" si="2">IF(RIGHT($C10,1)="L",1,2)</f>
        <v>2</v>
      </c>
      <c r="H10" s="61">
        <v>1</v>
      </c>
      <c r="I10" s="61">
        <f t="shared" ref="I10:I49" si="3">B10-INT(B10/100)*100</f>
        <v>1</v>
      </c>
      <c r="J10" s="61" t="str">
        <f t="shared" ref="J10:J49" si="4">(E10&amp;F10&amp;G10&amp;"."&amp;H10)</f>
        <v>112.1</v>
      </c>
      <c r="K10" s="83"/>
      <c r="L10" s="60"/>
      <c r="M10" s="60">
        <v>12</v>
      </c>
      <c r="N10" s="60">
        <v>9</v>
      </c>
      <c r="O10" s="60"/>
      <c r="P10" s="60"/>
      <c r="Q10" s="53">
        <f t="shared" ref="Q10:Q49" si="5">AVERAGE(K10:P10)/2</f>
        <v>5.25</v>
      </c>
      <c r="R10" s="53">
        <f t="shared" ref="R10:R49" si="6">STDEV(K10:P10)/2/SQRT(COUNT(K10:P10))</f>
        <v>0.74999999999999989</v>
      </c>
      <c r="S10" s="46">
        <f t="shared" ref="S10:S49" si="7">IF(F10=3,Q10/2,Q10)</f>
        <v>5.25</v>
      </c>
      <c r="T10" s="82" t="s">
        <v>346</v>
      </c>
      <c r="V10" s="65" t="s">
        <v>316</v>
      </c>
      <c r="W10" s="63"/>
    </row>
    <row r="11" spans="1:23">
      <c r="B11" s="55">
        <v>102</v>
      </c>
      <c r="C11" s="55" t="s">
        <v>4</v>
      </c>
      <c r="D11" s="55">
        <v>4</v>
      </c>
      <c r="E11" s="56">
        <f t="shared" si="0"/>
        <v>1</v>
      </c>
      <c r="F11" s="56">
        <f t="shared" si="1"/>
        <v>2</v>
      </c>
      <c r="G11" s="56">
        <f t="shared" si="2"/>
        <v>1</v>
      </c>
      <c r="H11" s="55">
        <v>1</v>
      </c>
      <c r="I11" s="55">
        <f t="shared" si="3"/>
        <v>2</v>
      </c>
      <c r="J11" s="55" t="str">
        <f t="shared" si="4"/>
        <v>121.1</v>
      </c>
      <c r="K11" s="54"/>
      <c r="L11" s="54">
        <v>19</v>
      </c>
      <c r="M11" s="54">
        <v>0</v>
      </c>
      <c r="N11" s="54">
        <v>2</v>
      </c>
      <c r="O11" s="54"/>
      <c r="P11" s="54"/>
      <c r="Q11" s="53">
        <f t="shared" si="5"/>
        <v>3.5</v>
      </c>
      <c r="R11" s="52">
        <f t="shared" si="6"/>
        <v>3.0138568866708546</v>
      </c>
      <c r="S11" s="46">
        <f t="shared" si="7"/>
        <v>3.5</v>
      </c>
      <c r="T11" s="45"/>
      <c r="V11" s="64" t="s">
        <v>315</v>
      </c>
      <c r="W11" s="63" t="s">
        <v>304</v>
      </c>
    </row>
    <row r="12" spans="1:23">
      <c r="B12" s="69">
        <v>103</v>
      </c>
      <c r="C12" s="69" t="s">
        <v>5</v>
      </c>
      <c r="D12" s="69">
        <v>5</v>
      </c>
      <c r="E12" s="70">
        <f t="shared" si="0"/>
        <v>1</v>
      </c>
      <c r="F12" s="70">
        <f t="shared" si="1"/>
        <v>3</v>
      </c>
      <c r="G12" s="70">
        <f t="shared" si="2"/>
        <v>2</v>
      </c>
      <c r="H12" s="69">
        <v>1</v>
      </c>
      <c r="I12" s="69">
        <f t="shared" si="3"/>
        <v>3</v>
      </c>
      <c r="J12" s="69" t="str">
        <f t="shared" si="4"/>
        <v>132.1</v>
      </c>
      <c r="K12" s="68"/>
      <c r="L12" s="68"/>
      <c r="M12" s="68">
        <v>15</v>
      </c>
      <c r="N12" s="68">
        <v>18</v>
      </c>
      <c r="O12" s="68"/>
      <c r="P12" s="68"/>
      <c r="Q12" s="67">
        <f t="shared" si="5"/>
        <v>8.25</v>
      </c>
      <c r="R12" s="66">
        <f t="shared" si="6"/>
        <v>0.74999999999999989</v>
      </c>
      <c r="S12" s="46">
        <f t="shared" si="7"/>
        <v>4.125</v>
      </c>
      <c r="T12" s="45"/>
      <c r="V12" s="59">
        <v>1</v>
      </c>
      <c r="W12" s="58">
        <v>5.1875</v>
      </c>
    </row>
    <row r="13" spans="1:23">
      <c r="B13" s="55">
        <v>104</v>
      </c>
      <c r="C13" s="55" t="s">
        <v>6</v>
      </c>
      <c r="D13" s="55">
        <v>10</v>
      </c>
      <c r="E13" s="56">
        <f t="shared" si="0"/>
        <v>2</v>
      </c>
      <c r="F13" s="56">
        <f t="shared" si="1"/>
        <v>2</v>
      </c>
      <c r="G13" s="56">
        <f t="shared" si="2"/>
        <v>1</v>
      </c>
      <c r="H13" s="55">
        <v>1</v>
      </c>
      <c r="I13" s="55">
        <f t="shared" si="3"/>
        <v>4</v>
      </c>
      <c r="J13" s="55" t="str">
        <f t="shared" si="4"/>
        <v>221.1</v>
      </c>
      <c r="K13" s="54"/>
      <c r="L13" s="54"/>
      <c r="M13" s="54">
        <v>14</v>
      </c>
      <c r="N13" s="54">
        <v>13</v>
      </c>
      <c r="O13" s="54"/>
      <c r="P13" s="54"/>
      <c r="Q13" s="53">
        <f t="shared" si="5"/>
        <v>6.75</v>
      </c>
      <c r="R13" s="52">
        <f t="shared" si="6"/>
        <v>0.25</v>
      </c>
      <c r="S13" s="46">
        <f t="shared" si="7"/>
        <v>6.75</v>
      </c>
      <c r="T13" s="45"/>
      <c r="V13" s="44">
        <v>2</v>
      </c>
      <c r="W13" s="43">
        <v>4.125</v>
      </c>
    </row>
    <row r="14" spans="1:23">
      <c r="B14" s="69">
        <v>105</v>
      </c>
      <c r="C14" s="69" t="s">
        <v>10</v>
      </c>
      <c r="D14" s="69">
        <v>12</v>
      </c>
      <c r="E14" s="70">
        <f t="shared" si="0"/>
        <v>2</v>
      </c>
      <c r="F14" s="70">
        <f t="shared" si="1"/>
        <v>3</v>
      </c>
      <c r="G14" s="70">
        <f t="shared" si="2"/>
        <v>1</v>
      </c>
      <c r="H14" s="69">
        <v>2</v>
      </c>
      <c r="I14" s="69">
        <f t="shared" si="3"/>
        <v>5</v>
      </c>
      <c r="J14" s="69" t="str">
        <f t="shared" si="4"/>
        <v>231.2</v>
      </c>
      <c r="K14" s="68"/>
      <c r="L14" s="68"/>
      <c r="M14" s="68">
        <v>23</v>
      </c>
      <c r="N14" s="68">
        <v>16</v>
      </c>
      <c r="O14" s="68"/>
      <c r="P14" s="68"/>
      <c r="Q14" s="67">
        <f t="shared" si="5"/>
        <v>9.75</v>
      </c>
      <c r="R14" s="66">
        <f t="shared" si="6"/>
        <v>1.7499999999999998</v>
      </c>
      <c r="S14" s="46">
        <f t="shared" si="7"/>
        <v>4.875</v>
      </c>
      <c r="T14" s="45"/>
      <c r="V14" s="44">
        <v>3</v>
      </c>
      <c r="W14" s="43">
        <v>5.15625</v>
      </c>
    </row>
    <row r="15" spans="1:23">
      <c r="B15" s="55">
        <v>106</v>
      </c>
      <c r="C15" s="55" t="s">
        <v>7</v>
      </c>
      <c r="D15" s="55">
        <v>9</v>
      </c>
      <c r="E15" s="56">
        <f t="shared" si="0"/>
        <v>2</v>
      </c>
      <c r="F15" s="56">
        <f t="shared" si="1"/>
        <v>2</v>
      </c>
      <c r="G15" s="56">
        <f t="shared" si="2"/>
        <v>2</v>
      </c>
      <c r="H15" s="55">
        <v>2</v>
      </c>
      <c r="I15" s="55">
        <f t="shared" si="3"/>
        <v>6</v>
      </c>
      <c r="J15" s="55" t="str">
        <f t="shared" si="4"/>
        <v>222.2</v>
      </c>
      <c r="K15" s="54"/>
      <c r="L15" s="54"/>
      <c r="M15" s="54">
        <v>10</v>
      </c>
      <c r="N15" s="54">
        <v>12</v>
      </c>
      <c r="O15" s="54"/>
      <c r="P15" s="54"/>
      <c r="Q15" s="53">
        <f t="shared" si="5"/>
        <v>5.5</v>
      </c>
      <c r="R15" s="52">
        <f t="shared" si="6"/>
        <v>0.5</v>
      </c>
      <c r="S15" s="46">
        <f t="shared" si="7"/>
        <v>5.5</v>
      </c>
      <c r="T15" s="45"/>
      <c r="V15" s="44">
        <v>4</v>
      </c>
      <c r="W15" s="43">
        <v>6.9375</v>
      </c>
    </row>
    <row r="16" spans="1:23">
      <c r="B16" s="55">
        <v>107</v>
      </c>
      <c r="C16" s="55" t="s">
        <v>6</v>
      </c>
      <c r="D16" s="55">
        <v>10</v>
      </c>
      <c r="E16" s="56">
        <f t="shared" si="0"/>
        <v>2</v>
      </c>
      <c r="F16" s="56">
        <f t="shared" si="1"/>
        <v>2</v>
      </c>
      <c r="G16" s="56">
        <f t="shared" si="2"/>
        <v>1</v>
      </c>
      <c r="H16" s="55">
        <v>2</v>
      </c>
      <c r="I16" s="55">
        <f t="shared" si="3"/>
        <v>7</v>
      </c>
      <c r="J16" s="55" t="str">
        <f t="shared" si="4"/>
        <v>221.2</v>
      </c>
      <c r="K16" s="54"/>
      <c r="L16" s="54"/>
      <c r="M16" s="54">
        <v>16</v>
      </c>
      <c r="N16" s="54">
        <v>10</v>
      </c>
      <c r="O16" s="54"/>
      <c r="P16" s="54"/>
      <c r="Q16" s="53">
        <f t="shared" si="5"/>
        <v>6.5</v>
      </c>
      <c r="R16" s="52">
        <f t="shared" si="6"/>
        <v>1.4999999999999998</v>
      </c>
      <c r="S16" s="46">
        <f t="shared" si="7"/>
        <v>6.5</v>
      </c>
      <c r="T16" s="45"/>
      <c r="V16" s="44">
        <v>5</v>
      </c>
      <c r="W16" s="43">
        <v>6.03125</v>
      </c>
    </row>
    <row r="17" spans="2:24" ht="13.5" thickBot="1">
      <c r="B17" s="49">
        <v>108</v>
      </c>
      <c r="C17" s="49" t="s">
        <v>8</v>
      </c>
      <c r="D17" s="49">
        <v>3</v>
      </c>
      <c r="E17" s="50">
        <f t="shared" si="0"/>
        <v>1</v>
      </c>
      <c r="F17" s="50">
        <f t="shared" si="1"/>
        <v>2</v>
      </c>
      <c r="G17" s="50">
        <f t="shared" si="2"/>
        <v>2</v>
      </c>
      <c r="H17" s="49">
        <v>2</v>
      </c>
      <c r="I17" s="49">
        <f t="shared" si="3"/>
        <v>8</v>
      </c>
      <c r="J17" s="49" t="str">
        <f t="shared" si="4"/>
        <v>122.2</v>
      </c>
      <c r="K17" s="48"/>
      <c r="L17" s="48"/>
      <c r="M17" s="48">
        <v>4</v>
      </c>
      <c r="N17" s="48">
        <v>15</v>
      </c>
      <c r="O17" s="48"/>
      <c r="P17" s="48"/>
      <c r="Q17" s="48">
        <f t="shared" si="5"/>
        <v>4.75</v>
      </c>
      <c r="R17" s="47">
        <f t="shared" si="6"/>
        <v>2.7499999999999996</v>
      </c>
      <c r="S17" s="46">
        <f t="shared" si="7"/>
        <v>4.75</v>
      </c>
      <c r="T17" s="82"/>
      <c r="V17" s="44">
        <v>6</v>
      </c>
      <c r="W17" s="43">
        <v>6.6875</v>
      </c>
    </row>
    <row r="18" spans="2:24">
      <c r="B18" s="80">
        <v>201</v>
      </c>
      <c r="C18" s="80" t="s">
        <v>10</v>
      </c>
      <c r="D18" s="80">
        <v>12</v>
      </c>
      <c r="E18" s="81">
        <f t="shared" si="0"/>
        <v>2</v>
      </c>
      <c r="F18" s="81">
        <f t="shared" si="1"/>
        <v>3</v>
      </c>
      <c r="G18" s="81">
        <f t="shared" si="2"/>
        <v>1</v>
      </c>
      <c r="H18" s="80">
        <v>1</v>
      </c>
      <c r="I18" s="80">
        <f t="shared" si="3"/>
        <v>1</v>
      </c>
      <c r="J18" s="80" t="str">
        <f t="shared" si="4"/>
        <v>231.1</v>
      </c>
      <c r="K18" s="79"/>
      <c r="L18" s="79"/>
      <c r="M18" s="79">
        <v>22</v>
      </c>
      <c r="N18" s="79">
        <v>16</v>
      </c>
      <c r="O18" s="79"/>
      <c r="P18" s="79"/>
      <c r="Q18" s="67">
        <f t="shared" si="5"/>
        <v>9.5</v>
      </c>
      <c r="R18" s="67">
        <f t="shared" si="6"/>
        <v>1.4999999999999998</v>
      </c>
      <c r="S18" s="46">
        <f t="shared" si="7"/>
        <v>4.75</v>
      </c>
      <c r="T18" s="45"/>
      <c r="V18" s="44">
        <v>7</v>
      </c>
      <c r="W18" s="43">
        <v>4.5625</v>
      </c>
    </row>
    <row r="19" spans="2:24">
      <c r="B19" s="55">
        <v>202</v>
      </c>
      <c r="C19" s="55" t="s">
        <v>7</v>
      </c>
      <c r="D19" s="55">
        <v>9</v>
      </c>
      <c r="E19" s="56">
        <f t="shared" si="0"/>
        <v>2</v>
      </c>
      <c r="F19" s="56">
        <f t="shared" si="1"/>
        <v>2</v>
      </c>
      <c r="G19" s="56">
        <f t="shared" si="2"/>
        <v>2</v>
      </c>
      <c r="H19" s="55">
        <v>1</v>
      </c>
      <c r="I19" s="55">
        <f t="shared" si="3"/>
        <v>2</v>
      </c>
      <c r="J19" s="55" t="str">
        <f t="shared" si="4"/>
        <v>222.1</v>
      </c>
      <c r="K19" s="78"/>
      <c r="L19" s="77"/>
      <c r="M19" s="77">
        <v>13</v>
      </c>
      <c r="N19" s="77">
        <v>5</v>
      </c>
      <c r="O19" s="54"/>
      <c r="P19" s="54"/>
      <c r="Q19" s="53">
        <f t="shared" si="5"/>
        <v>4.5</v>
      </c>
      <c r="R19" s="52">
        <f t="shared" si="6"/>
        <v>2</v>
      </c>
      <c r="S19" s="46">
        <f t="shared" si="7"/>
        <v>4.5</v>
      </c>
      <c r="T19" s="45"/>
      <c r="V19" s="44">
        <v>8</v>
      </c>
      <c r="W19" s="43">
        <v>5.75</v>
      </c>
    </row>
    <row r="20" spans="2:24">
      <c r="B20" s="55">
        <v>203</v>
      </c>
      <c r="C20" s="55" t="s">
        <v>8</v>
      </c>
      <c r="D20" s="55">
        <v>3</v>
      </c>
      <c r="E20" s="56">
        <f t="shared" si="0"/>
        <v>1</v>
      </c>
      <c r="F20" s="56">
        <f t="shared" si="1"/>
        <v>2</v>
      </c>
      <c r="G20" s="56">
        <f t="shared" si="2"/>
        <v>2</v>
      </c>
      <c r="H20" s="55">
        <v>1</v>
      </c>
      <c r="I20" s="55">
        <f t="shared" si="3"/>
        <v>3</v>
      </c>
      <c r="J20" s="55" t="str">
        <f t="shared" si="4"/>
        <v>122.1</v>
      </c>
      <c r="K20" s="54"/>
      <c r="L20" s="54"/>
      <c r="M20" s="54">
        <v>18</v>
      </c>
      <c r="N20" s="54">
        <v>15</v>
      </c>
      <c r="O20" s="54"/>
      <c r="P20" s="54"/>
      <c r="Q20" s="53">
        <f t="shared" si="5"/>
        <v>8.25</v>
      </c>
      <c r="R20" s="52">
        <f t="shared" si="6"/>
        <v>0.74999999999999989</v>
      </c>
      <c r="S20" s="46">
        <f t="shared" si="7"/>
        <v>8.25</v>
      </c>
      <c r="T20" s="45"/>
      <c r="V20" s="76" t="s">
        <v>312</v>
      </c>
      <c r="W20" s="75">
        <v>5.5546875</v>
      </c>
    </row>
    <row r="21" spans="2:24">
      <c r="B21" s="69">
        <v>204</v>
      </c>
      <c r="C21" s="69" t="s">
        <v>11</v>
      </c>
      <c r="D21" s="69">
        <v>11</v>
      </c>
      <c r="E21" s="70">
        <f t="shared" si="0"/>
        <v>2</v>
      </c>
      <c r="F21" s="70">
        <f t="shared" si="1"/>
        <v>3</v>
      </c>
      <c r="G21" s="70">
        <f t="shared" si="2"/>
        <v>2</v>
      </c>
      <c r="H21" s="69">
        <v>1</v>
      </c>
      <c r="I21" s="69">
        <f t="shared" si="3"/>
        <v>4</v>
      </c>
      <c r="J21" s="69" t="str">
        <f t="shared" si="4"/>
        <v>232.1</v>
      </c>
      <c r="K21" s="68"/>
      <c r="L21" s="68"/>
      <c r="M21" s="68">
        <v>34</v>
      </c>
      <c r="N21" s="68">
        <v>22</v>
      </c>
      <c r="O21" s="68"/>
      <c r="P21" s="68"/>
      <c r="Q21" s="67">
        <f t="shared" si="5"/>
        <v>14</v>
      </c>
      <c r="R21" s="66">
        <f t="shared" si="6"/>
        <v>2.9999999999999996</v>
      </c>
      <c r="S21" s="46">
        <f t="shared" si="7"/>
        <v>7</v>
      </c>
      <c r="T21" s="45"/>
    </row>
    <row r="22" spans="2:24">
      <c r="B22" s="55">
        <v>205</v>
      </c>
      <c r="C22" s="55" t="s">
        <v>3</v>
      </c>
      <c r="D22" s="55">
        <v>1</v>
      </c>
      <c r="E22" s="56">
        <f t="shared" si="0"/>
        <v>1</v>
      </c>
      <c r="F22" s="56">
        <f t="shared" si="1"/>
        <v>1</v>
      </c>
      <c r="G22" s="56">
        <f t="shared" si="2"/>
        <v>2</v>
      </c>
      <c r="H22" s="55">
        <v>2</v>
      </c>
      <c r="I22" s="55">
        <f t="shared" si="3"/>
        <v>5</v>
      </c>
      <c r="J22" s="55" t="str">
        <f t="shared" si="4"/>
        <v>112.2</v>
      </c>
      <c r="K22" s="54"/>
      <c r="L22" s="54"/>
      <c r="M22" s="54">
        <v>14</v>
      </c>
      <c r="N22" s="54">
        <v>14</v>
      </c>
      <c r="O22" s="54"/>
      <c r="P22" s="54"/>
      <c r="Q22" s="53">
        <f t="shared" si="5"/>
        <v>7</v>
      </c>
      <c r="R22" s="52">
        <f t="shared" si="6"/>
        <v>0</v>
      </c>
      <c r="S22" s="46">
        <f t="shared" si="7"/>
        <v>7</v>
      </c>
      <c r="T22" s="45"/>
    </row>
    <row r="23" spans="2:24">
      <c r="B23" s="55">
        <v>206</v>
      </c>
      <c r="C23" s="55" t="s">
        <v>12</v>
      </c>
      <c r="D23" s="55">
        <v>8</v>
      </c>
      <c r="E23" s="56">
        <f t="shared" si="0"/>
        <v>2</v>
      </c>
      <c r="F23" s="56">
        <f t="shared" si="1"/>
        <v>1</v>
      </c>
      <c r="G23" s="56">
        <f t="shared" si="2"/>
        <v>1</v>
      </c>
      <c r="H23" s="55">
        <v>2</v>
      </c>
      <c r="I23" s="55">
        <f t="shared" si="3"/>
        <v>6</v>
      </c>
      <c r="J23" s="55" t="str">
        <f t="shared" si="4"/>
        <v>211.2</v>
      </c>
      <c r="K23" s="54"/>
      <c r="L23" s="54"/>
      <c r="M23" s="54">
        <v>8</v>
      </c>
      <c r="N23" s="54">
        <v>16</v>
      </c>
      <c r="O23" s="54"/>
      <c r="P23" s="54"/>
      <c r="Q23" s="53">
        <f t="shared" si="5"/>
        <v>6</v>
      </c>
      <c r="R23" s="52">
        <f t="shared" si="6"/>
        <v>2</v>
      </c>
      <c r="S23" s="46">
        <f t="shared" si="7"/>
        <v>6</v>
      </c>
      <c r="T23" s="45"/>
    </row>
    <row r="24" spans="2:24">
      <c r="B24" s="55">
        <v>207</v>
      </c>
      <c r="C24" s="55" t="s">
        <v>4</v>
      </c>
      <c r="D24" s="55">
        <v>4</v>
      </c>
      <c r="E24" s="56">
        <f t="shared" si="0"/>
        <v>1</v>
      </c>
      <c r="F24" s="56">
        <f t="shared" si="1"/>
        <v>2</v>
      </c>
      <c r="G24" s="56">
        <f t="shared" si="2"/>
        <v>1</v>
      </c>
      <c r="H24" s="55">
        <v>2</v>
      </c>
      <c r="I24" s="55">
        <f t="shared" si="3"/>
        <v>7</v>
      </c>
      <c r="J24" s="55" t="str">
        <f t="shared" si="4"/>
        <v>121.2</v>
      </c>
      <c r="K24" s="54"/>
      <c r="L24" s="54"/>
      <c r="M24" s="54">
        <v>2</v>
      </c>
      <c r="N24" s="54">
        <v>3</v>
      </c>
      <c r="O24" s="54"/>
      <c r="P24" s="54"/>
      <c r="Q24" s="53">
        <f t="shared" si="5"/>
        <v>1.25</v>
      </c>
      <c r="R24" s="52">
        <f t="shared" si="6"/>
        <v>0.25</v>
      </c>
      <c r="S24" s="46">
        <f t="shared" si="7"/>
        <v>1.25</v>
      </c>
      <c r="T24" s="45"/>
      <c r="V24" s="38"/>
    </row>
    <row r="25" spans="2:24" ht="13.5" thickBot="1">
      <c r="B25" s="49">
        <v>208</v>
      </c>
      <c r="C25" s="49" t="s">
        <v>13</v>
      </c>
      <c r="D25" s="49">
        <v>2</v>
      </c>
      <c r="E25" s="50">
        <f t="shared" si="0"/>
        <v>1</v>
      </c>
      <c r="F25" s="50">
        <f t="shared" si="1"/>
        <v>1</v>
      </c>
      <c r="G25" s="50">
        <f t="shared" si="2"/>
        <v>1</v>
      </c>
      <c r="H25" s="49">
        <v>2</v>
      </c>
      <c r="I25" s="49">
        <f t="shared" si="3"/>
        <v>8</v>
      </c>
      <c r="J25" s="49" t="str">
        <f t="shared" si="4"/>
        <v>111.2</v>
      </c>
      <c r="K25" s="48"/>
      <c r="L25" s="48"/>
      <c r="M25" s="48">
        <v>8</v>
      </c>
      <c r="N25" s="48">
        <v>15</v>
      </c>
      <c r="O25" s="48"/>
      <c r="P25" s="48"/>
      <c r="Q25" s="48">
        <f t="shared" si="5"/>
        <v>5.75</v>
      </c>
      <c r="R25" s="47">
        <f t="shared" si="6"/>
        <v>1.7499999999999998</v>
      </c>
      <c r="S25" s="46">
        <f t="shared" si="7"/>
        <v>5.75</v>
      </c>
      <c r="T25" s="45"/>
    </row>
    <row r="26" spans="2:24">
      <c r="B26" s="61">
        <v>301</v>
      </c>
      <c r="C26" s="61" t="s">
        <v>6</v>
      </c>
      <c r="D26" s="61">
        <v>10</v>
      </c>
      <c r="E26" s="62">
        <f t="shared" si="0"/>
        <v>2</v>
      </c>
      <c r="F26" s="62">
        <f t="shared" si="1"/>
        <v>2</v>
      </c>
      <c r="G26" s="62">
        <f t="shared" si="2"/>
        <v>1</v>
      </c>
      <c r="H26" s="61">
        <v>3</v>
      </c>
      <c r="I26" s="61">
        <f t="shared" si="3"/>
        <v>1</v>
      </c>
      <c r="J26" s="61" t="str">
        <f t="shared" si="4"/>
        <v>221.3</v>
      </c>
      <c r="K26" s="60"/>
      <c r="L26" s="60"/>
      <c r="M26" s="60">
        <v>15</v>
      </c>
      <c r="N26" s="60">
        <v>13</v>
      </c>
      <c r="O26" s="60"/>
      <c r="P26" s="60"/>
      <c r="Q26" s="53">
        <f t="shared" si="5"/>
        <v>7</v>
      </c>
      <c r="R26" s="53">
        <f t="shared" si="6"/>
        <v>0.5</v>
      </c>
      <c r="S26" s="46">
        <f t="shared" si="7"/>
        <v>7</v>
      </c>
      <c r="T26" s="45"/>
      <c r="V26" s="38"/>
    </row>
    <row r="27" spans="2:24">
      <c r="B27" s="55">
        <v>302</v>
      </c>
      <c r="C27" s="55" t="s">
        <v>4</v>
      </c>
      <c r="D27" s="55">
        <v>4</v>
      </c>
      <c r="E27" s="56">
        <f t="shared" si="0"/>
        <v>1</v>
      </c>
      <c r="F27" s="56">
        <f t="shared" si="1"/>
        <v>2</v>
      </c>
      <c r="G27" s="56">
        <f t="shared" si="2"/>
        <v>1</v>
      </c>
      <c r="H27" s="55">
        <v>3</v>
      </c>
      <c r="I27" s="55">
        <f t="shared" si="3"/>
        <v>2</v>
      </c>
      <c r="J27" s="55" t="str">
        <f t="shared" si="4"/>
        <v>121.3</v>
      </c>
      <c r="K27" s="54"/>
      <c r="L27" s="54"/>
      <c r="M27" s="54">
        <v>12</v>
      </c>
      <c r="N27" s="54">
        <v>5</v>
      </c>
      <c r="O27" s="54"/>
      <c r="P27" s="54"/>
      <c r="Q27" s="53">
        <f t="shared" si="5"/>
        <v>4.25</v>
      </c>
      <c r="R27" s="52">
        <f t="shared" si="6"/>
        <v>1.7499999999999998</v>
      </c>
      <c r="S27" s="46">
        <f t="shared" si="7"/>
        <v>4.25</v>
      </c>
      <c r="T27" s="45"/>
    </row>
    <row r="28" spans="2:24">
      <c r="B28" s="55">
        <v>303</v>
      </c>
      <c r="C28" s="55" t="s">
        <v>12</v>
      </c>
      <c r="D28" s="55">
        <v>8</v>
      </c>
      <c r="E28" s="56">
        <f t="shared" si="0"/>
        <v>2</v>
      </c>
      <c r="F28" s="56">
        <f t="shared" si="1"/>
        <v>1</v>
      </c>
      <c r="G28" s="56">
        <f t="shared" si="2"/>
        <v>1</v>
      </c>
      <c r="H28" s="55">
        <v>3</v>
      </c>
      <c r="I28" s="55">
        <f t="shared" si="3"/>
        <v>3</v>
      </c>
      <c r="J28" s="55" t="str">
        <f t="shared" si="4"/>
        <v>211.3</v>
      </c>
      <c r="K28" s="54"/>
      <c r="L28" s="54"/>
      <c r="M28" s="54">
        <v>9</v>
      </c>
      <c r="N28" s="54">
        <v>3</v>
      </c>
      <c r="O28" s="54"/>
      <c r="P28" s="54"/>
      <c r="Q28" s="53">
        <f t="shared" si="5"/>
        <v>3</v>
      </c>
      <c r="R28" s="52">
        <f t="shared" si="6"/>
        <v>1.4999999999999998</v>
      </c>
      <c r="S28" s="46">
        <f t="shared" si="7"/>
        <v>3</v>
      </c>
      <c r="T28" s="45"/>
    </row>
    <row r="29" spans="2:24">
      <c r="B29" s="55">
        <v>304</v>
      </c>
      <c r="C29" s="55" t="s">
        <v>13</v>
      </c>
      <c r="D29" s="55">
        <v>2</v>
      </c>
      <c r="E29" s="56">
        <f t="shared" si="0"/>
        <v>1</v>
      </c>
      <c r="F29" s="56">
        <f t="shared" si="1"/>
        <v>1</v>
      </c>
      <c r="G29" s="56">
        <f t="shared" si="2"/>
        <v>1</v>
      </c>
      <c r="H29" s="55">
        <v>3</v>
      </c>
      <c r="I29" s="55">
        <f t="shared" si="3"/>
        <v>4</v>
      </c>
      <c r="J29" s="55" t="str">
        <f t="shared" si="4"/>
        <v>111.3</v>
      </c>
      <c r="K29" s="54"/>
      <c r="L29" s="54"/>
      <c r="M29" s="54">
        <v>9</v>
      </c>
      <c r="N29" s="54">
        <v>14</v>
      </c>
      <c r="O29" s="54"/>
      <c r="P29" s="54"/>
      <c r="Q29" s="53">
        <f t="shared" si="5"/>
        <v>5.75</v>
      </c>
      <c r="R29" s="52">
        <f t="shared" si="6"/>
        <v>1.25</v>
      </c>
      <c r="S29" s="46">
        <f t="shared" si="7"/>
        <v>5.75</v>
      </c>
      <c r="T29" s="45"/>
      <c r="X29" s="38"/>
    </row>
    <row r="30" spans="2:24">
      <c r="B30" s="69">
        <v>305</v>
      </c>
      <c r="C30" s="69" t="s">
        <v>11</v>
      </c>
      <c r="D30" s="69">
        <v>11</v>
      </c>
      <c r="E30" s="70">
        <f t="shared" si="0"/>
        <v>2</v>
      </c>
      <c r="F30" s="70">
        <f t="shared" si="1"/>
        <v>3</v>
      </c>
      <c r="G30" s="70">
        <f t="shared" si="2"/>
        <v>2</v>
      </c>
      <c r="H30" s="69">
        <v>4</v>
      </c>
      <c r="I30" s="69">
        <f t="shared" si="3"/>
        <v>5</v>
      </c>
      <c r="J30" s="69" t="str">
        <f t="shared" si="4"/>
        <v>232.4</v>
      </c>
      <c r="K30" s="68"/>
      <c r="L30" s="68"/>
      <c r="M30" s="68">
        <v>33</v>
      </c>
      <c r="N30" s="68">
        <v>21</v>
      </c>
      <c r="O30" s="68"/>
      <c r="P30" s="68"/>
      <c r="Q30" s="67">
        <f t="shared" si="5"/>
        <v>13.5</v>
      </c>
      <c r="R30" s="66">
        <f t="shared" si="6"/>
        <v>2.9999999999999996</v>
      </c>
      <c r="S30" s="46">
        <f t="shared" si="7"/>
        <v>6.75</v>
      </c>
      <c r="T30" s="45"/>
    </row>
    <row r="31" spans="2:24">
      <c r="B31" s="55">
        <v>306</v>
      </c>
      <c r="C31" s="55" t="s">
        <v>4</v>
      </c>
      <c r="D31" s="55">
        <v>4</v>
      </c>
      <c r="E31" s="56">
        <f t="shared" si="0"/>
        <v>1</v>
      </c>
      <c r="F31" s="56">
        <f t="shared" si="1"/>
        <v>2</v>
      </c>
      <c r="G31" s="56">
        <f t="shared" si="2"/>
        <v>1</v>
      </c>
      <c r="H31" s="55">
        <v>4</v>
      </c>
      <c r="I31" s="55">
        <f t="shared" si="3"/>
        <v>6</v>
      </c>
      <c r="J31" s="55" t="str">
        <f t="shared" si="4"/>
        <v>121.4</v>
      </c>
      <c r="K31" s="54"/>
      <c r="L31" s="54"/>
      <c r="M31" s="54">
        <v>14</v>
      </c>
      <c r="N31" s="54">
        <v>20</v>
      </c>
      <c r="O31" s="54"/>
      <c r="P31" s="54"/>
      <c r="Q31" s="53">
        <f t="shared" si="5"/>
        <v>8.5</v>
      </c>
      <c r="R31" s="52">
        <f t="shared" si="6"/>
        <v>1.4999999999999998</v>
      </c>
      <c r="S31" s="46">
        <f t="shared" si="7"/>
        <v>8.5</v>
      </c>
      <c r="T31" s="45"/>
    </row>
    <row r="32" spans="2:24">
      <c r="B32" s="55">
        <v>307</v>
      </c>
      <c r="C32" s="55" t="s">
        <v>7</v>
      </c>
      <c r="D32" s="55">
        <v>9</v>
      </c>
      <c r="E32" s="56">
        <f t="shared" si="0"/>
        <v>2</v>
      </c>
      <c r="F32" s="56">
        <f t="shared" si="1"/>
        <v>2</v>
      </c>
      <c r="G32" s="56">
        <f t="shared" si="2"/>
        <v>2</v>
      </c>
      <c r="H32" s="55">
        <v>4</v>
      </c>
      <c r="I32" s="55">
        <f t="shared" si="3"/>
        <v>7</v>
      </c>
      <c r="J32" s="55" t="str">
        <f t="shared" si="4"/>
        <v>222.4</v>
      </c>
      <c r="K32" s="54"/>
      <c r="L32" s="54"/>
      <c r="M32" s="54">
        <v>11</v>
      </c>
      <c r="N32" s="54">
        <v>10</v>
      </c>
      <c r="O32" s="54"/>
      <c r="P32" s="54"/>
      <c r="Q32" s="53">
        <f t="shared" si="5"/>
        <v>5.25</v>
      </c>
      <c r="R32" s="52">
        <f t="shared" si="6"/>
        <v>0.25</v>
      </c>
      <c r="S32" s="46">
        <f t="shared" si="7"/>
        <v>5.25</v>
      </c>
      <c r="T32" s="45"/>
    </row>
    <row r="33" spans="2:23" ht="13.5" thickBot="1">
      <c r="B33" s="73">
        <v>308</v>
      </c>
      <c r="C33" s="73" t="s">
        <v>5</v>
      </c>
      <c r="D33" s="73">
        <v>5</v>
      </c>
      <c r="E33" s="74">
        <f t="shared" si="0"/>
        <v>1</v>
      </c>
      <c r="F33" s="74">
        <f t="shared" si="1"/>
        <v>3</v>
      </c>
      <c r="G33" s="74">
        <f t="shared" si="2"/>
        <v>2</v>
      </c>
      <c r="H33" s="73">
        <v>4</v>
      </c>
      <c r="I33" s="73">
        <f t="shared" si="3"/>
        <v>8</v>
      </c>
      <c r="J33" s="73" t="str">
        <f t="shared" si="4"/>
        <v>132.4</v>
      </c>
      <c r="K33" s="72"/>
      <c r="L33" s="72"/>
      <c r="M33" s="72">
        <v>19</v>
      </c>
      <c r="N33" s="72">
        <v>21</v>
      </c>
      <c r="O33" s="72"/>
      <c r="P33" s="72"/>
      <c r="Q33" s="72">
        <f t="shared" si="5"/>
        <v>10</v>
      </c>
      <c r="R33" s="71">
        <f t="shared" si="6"/>
        <v>0.5</v>
      </c>
      <c r="S33" s="46">
        <f t="shared" si="7"/>
        <v>5</v>
      </c>
      <c r="T33" s="45"/>
    </row>
    <row r="34" spans="2:23">
      <c r="B34" s="61">
        <v>401</v>
      </c>
      <c r="C34" s="61" t="s">
        <v>14</v>
      </c>
      <c r="D34" s="61">
        <v>7</v>
      </c>
      <c r="E34" s="62">
        <f t="shared" si="0"/>
        <v>2</v>
      </c>
      <c r="F34" s="62">
        <f t="shared" si="1"/>
        <v>1</v>
      </c>
      <c r="G34" s="62">
        <f t="shared" si="2"/>
        <v>2</v>
      </c>
      <c r="H34" s="61">
        <v>3</v>
      </c>
      <c r="I34" s="61">
        <f t="shared" si="3"/>
        <v>1</v>
      </c>
      <c r="J34" s="61" t="str">
        <f t="shared" si="4"/>
        <v>212.3</v>
      </c>
      <c r="K34" s="60"/>
      <c r="L34" s="60"/>
      <c r="M34" s="60">
        <v>3</v>
      </c>
      <c r="N34" s="60">
        <v>12</v>
      </c>
      <c r="O34" s="60"/>
      <c r="P34" s="60"/>
      <c r="Q34" s="53">
        <f t="shared" si="5"/>
        <v>3.75</v>
      </c>
      <c r="R34" s="53">
        <f t="shared" si="6"/>
        <v>2.25</v>
      </c>
      <c r="S34" s="46">
        <f t="shared" si="7"/>
        <v>3.75</v>
      </c>
      <c r="T34" s="45"/>
    </row>
    <row r="35" spans="2:23">
      <c r="B35" s="55">
        <v>402</v>
      </c>
      <c r="C35" s="55" t="s">
        <v>7</v>
      </c>
      <c r="D35" s="55">
        <v>9</v>
      </c>
      <c r="E35" s="56">
        <f t="shared" si="0"/>
        <v>2</v>
      </c>
      <c r="F35" s="56">
        <f t="shared" si="1"/>
        <v>2</v>
      </c>
      <c r="G35" s="56">
        <f t="shared" si="2"/>
        <v>2</v>
      </c>
      <c r="H35" s="55">
        <v>3</v>
      </c>
      <c r="I35" s="55">
        <f t="shared" si="3"/>
        <v>2</v>
      </c>
      <c r="J35" s="55" t="str">
        <f t="shared" si="4"/>
        <v>222.3</v>
      </c>
      <c r="K35" s="54"/>
      <c r="L35" s="54"/>
      <c r="M35" s="54">
        <v>12</v>
      </c>
      <c r="N35" s="54">
        <v>5</v>
      </c>
      <c r="O35" s="54"/>
      <c r="P35" s="54"/>
      <c r="Q35" s="53">
        <f t="shared" si="5"/>
        <v>4.25</v>
      </c>
      <c r="R35" s="52">
        <f t="shared" si="6"/>
        <v>1.7499999999999998</v>
      </c>
      <c r="S35" s="46">
        <f t="shared" si="7"/>
        <v>4.25</v>
      </c>
      <c r="T35" s="45"/>
    </row>
    <row r="36" spans="2:23">
      <c r="B36" s="69">
        <v>403</v>
      </c>
      <c r="C36" s="69" t="s">
        <v>15</v>
      </c>
      <c r="D36" s="69">
        <v>6</v>
      </c>
      <c r="E36" s="70">
        <f t="shared" si="0"/>
        <v>1</v>
      </c>
      <c r="F36" s="70">
        <f t="shared" si="1"/>
        <v>3</v>
      </c>
      <c r="G36" s="70">
        <f t="shared" si="2"/>
        <v>1</v>
      </c>
      <c r="H36" s="69">
        <v>3</v>
      </c>
      <c r="I36" s="69">
        <f t="shared" si="3"/>
        <v>3</v>
      </c>
      <c r="J36" s="69" t="str">
        <f t="shared" si="4"/>
        <v>131.3</v>
      </c>
      <c r="K36" s="68"/>
      <c r="L36" s="68"/>
      <c r="M36" s="68">
        <v>24</v>
      </c>
      <c r="N36" s="68">
        <v>18</v>
      </c>
      <c r="O36" s="68"/>
      <c r="P36" s="68"/>
      <c r="Q36" s="67">
        <f t="shared" si="5"/>
        <v>10.5</v>
      </c>
      <c r="R36" s="66">
        <f t="shared" si="6"/>
        <v>1.4999999999999998</v>
      </c>
      <c r="S36" s="46">
        <f t="shared" si="7"/>
        <v>5.25</v>
      </c>
      <c r="T36" s="45"/>
    </row>
    <row r="37" spans="2:23">
      <c r="B37" s="55">
        <v>404</v>
      </c>
      <c r="C37" s="55" t="s">
        <v>8</v>
      </c>
      <c r="D37" s="55">
        <v>3</v>
      </c>
      <c r="E37" s="56">
        <f t="shared" si="0"/>
        <v>1</v>
      </c>
      <c r="F37" s="56">
        <f t="shared" si="1"/>
        <v>2</v>
      </c>
      <c r="G37" s="56">
        <f t="shared" si="2"/>
        <v>2</v>
      </c>
      <c r="H37" s="55">
        <v>3</v>
      </c>
      <c r="I37" s="55">
        <f t="shared" si="3"/>
        <v>4</v>
      </c>
      <c r="J37" s="55" t="str">
        <f t="shared" si="4"/>
        <v>122.3</v>
      </c>
      <c r="K37" s="54"/>
      <c r="L37" s="54"/>
      <c r="M37" s="54">
        <v>15</v>
      </c>
      <c r="N37" s="54">
        <v>18</v>
      </c>
      <c r="O37" s="54"/>
      <c r="P37" s="54"/>
      <c r="Q37" s="53">
        <f t="shared" si="5"/>
        <v>8.25</v>
      </c>
      <c r="R37" s="52">
        <f t="shared" si="6"/>
        <v>0.74999999999999989</v>
      </c>
      <c r="S37" s="46">
        <f t="shared" si="7"/>
        <v>8.25</v>
      </c>
      <c r="T37" s="45"/>
    </row>
    <row r="38" spans="2:23">
      <c r="B38" s="69">
        <v>405</v>
      </c>
      <c r="C38" s="69" t="s">
        <v>15</v>
      </c>
      <c r="D38" s="69">
        <v>6</v>
      </c>
      <c r="E38" s="70">
        <f t="shared" si="0"/>
        <v>1</v>
      </c>
      <c r="F38" s="70">
        <f t="shared" si="1"/>
        <v>3</v>
      </c>
      <c r="G38" s="70">
        <f t="shared" si="2"/>
        <v>1</v>
      </c>
      <c r="H38" s="69">
        <v>4</v>
      </c>
      <c r="I38" s="69">
        <f t="shared" si="3"/>
        <v>5</v>
      </c>
      <c r="J38" s="69" t="str">
        <f t="shared" si="4"/>
        <v>131.4</v>
      </c>
      <c r="K38" s="68"/>
      <c r="L38" s="68"/>
      <c r="M38" s="68">
        <v>28</v>
      </c>
      <c r="N38" s="68">
        <v>16</v>
      </c>
      <c r="O38" s="68"/>
      <c r="P38" s="68"/>
      <c r="Q38" s="67">
        <f t="shared" si="5"/>
        <v>11</v>
      </c>
      <c r="R38" s="66">
        <f t="shared" si="6"/>
        <v>2.9999999999999996</v>
      </c>
      <c r="S38" s="46">
        <f t="shared" si="7"/>
        <v>5.5</v>
      </c>
      <c r="T38" s="45"/>
    </row>
    <row r="39" spans="2:23">
      <c r="B39" s="55">
        <v>406</v>
      </c>
      <c r="C39" s="55" t="s">
        <v>8</v>
      </c>
      <c r="D39" s="55">
        <v>3</v>
      </c>
      <c r="E39" s="56">
        <f t="shared" si="0"/>
        <v>1</v>
      </c>
      <c r="F39" s="56">
        <f t="shared" si="1"/>
        <v>2</v>
      </c>
      <c r="G39" s="56">
        <f t="shared" si="2"/>
        <v>2</v>
      </c>
      <c r="H39" s="55">
        <v>4</v>
      </c>
      <c r="I39" s="55">
        <f t="shared" si="3"/>
        <v>6</v>
      </c>
      <c r="J39" s="55" t="str">
        <f t="shared" si="4"/>
        <v>122.4</v>
      </c>
      <c r="K39" s="54"/>
      <c r="L39" s="54"/>
      <c r="M39" s="54">
        <v>13</v>
      </c>
      <c r="N39" s="54">
        <v>14</v>
      </c>
      <c r="O39" s="54"/>
      <c r="P39" s="54"/>
      <c r="Q39" s="53">
        <f t="shared" si="5"/>
        <v>6.75</v>
      </c>
      <c r="R39" s="52">
        <f t="shared" si="6"/>
        <v>0.25</v>
      </c>
      <c r="S39" s="46">
        <f t="shared" si="7"/>
        <v>6.75</v>
      </c>
      <c r="T39" s="45"/>
    </row>
    <row r="40" spans="2:23">
      <c r="B40" s="55">
        <v>407</v>
      </c>
      <c r="C40" s="55" t="s">
        <v>14</v>
      </c>
      <c r="D40" s="55">
        <v>7</v>
      </c>
      <c r="E40" s="56">
        <f t="shared" si="0"/>
        <v>2</v>
      </c>
      <c r="F40" s="56">
        <f t="shared" si="1"/>
        <v>1</v>
      </c>
      <c r="G40" s="56">
        <f t="shared" si="2"/>
        <v>2</v>
      </c>
      <c r="H40" s="55">
        <v>4</v>
      </c>
      <c r="I40" s="55">
        <f t="shared" si="3"/>
        <v>7</v>
      </c>
      <c r="J40" s="55" t="str">
        <f t="shared" si="4"/>
        <v>212.4</v>
      </c>
      <c r="K40" s="54"/>
      <c r="L40" s="54"/>
      <c r="M40" s="54">
        <v>13</v>
      </c>
      <c r="N40" s="54">
        <v>8</v>
      </c>
      <c r="O40" s="54"/>
      <c r="P40" s="54"/>
      <c r="Q40" s="53">
        <f t="shared" si="5"/>
        <v>5.25</v>
      </c>
      <c r="R40" s="52">
        <f t="shared" si="6"/>
        <v>1.25</v>
      </c>
      <c r="S40" s="46">
        <f t="shared" si="7"/>
        <v>5.25</v>
      </c>
      <c r="T40" s="45"/>
      <c r="V40" s="65" t="s">
        <v>307</v>
      </c>
      <c r="W40" s="63"/>
    </row>
    <row r="41" spans="2:23" ht="13.5" thickBot="1">
      <c r="B41" s="49">
        <v>408</v>
      </c>
      <c r="C41" s="49" t="s">
        <v>6</v>
      </c>
      <c r="D41" s="49">
        <v>10</v>
      </c>
      <c r="E41" s="50">
        <f t="shared" si="0"/>
        <v>2</v>
      </c>
      <c r="F41" s="50">
        <f t="shared" si="1"/>
        <v>2</v>
      </c>
      <c r="G41" s="50">
        <f t="shared" si="2"/>
        <v>1</v>
      </c>
      <c r="H41" s="49">
        <v>4</v>
      </c>
      <c r="I41" s="49">
        <f t="shared" si="3"/>
        <v>8</v>
      </c>
      <c r="J41" s="49" t="str">
        <f t="shared" si="4"/>
        <v>221.4</v>
      </c>
      <c r="K41" s="48"/>
      <c r="L41" s="48"/>
      <c r="M41" s="48">
        <v>14</v>
      </c>
      <c r="N41" s="48">
        <v>16</v>
      </c>
      <c r="O41" s="48"/>
      <c r="P41" s="48"/>
      <c r="Q41" s="48">
        <f t="shared" si="5"/>
        <v>7.5</v>
      </c>
      <c r="R41" s="47">
        <f t="shared" si="6"/>
        <v>0.5</v>
      </c>
      <c r="S41" s="46">
        <f t="shared" si="7"/>
        <v>7.5</v>
      </c>
      <c r="T41" s="45" t="s">
        <v>345</v>
      </c>
      <c r="V41" s="64" t="s">
        <v>305</v>
      </c>
      <c r="W41" s="63" t="s">
        <v>304</v>
      </c>
    </row>
    <row r="42" spans="2:23">
      <c r="B42" s="61">
        <v>901</v>
      </c>
      <c r="C42" s="61" t="s">
        <v>16</v>
      </c>
      <c r="D42" s="61">
        <v>32</v>
      </c>
      <c r="E42" s="62">
        <v>9</v>
      </c>
      <c r="F42" s="62">
        <v>0</v>
      </c>
      <c r="G42" s="62">
        <v>1</v>
      </c>
      <c r="H42" s="61">
        <v>1</v>
      </c>
      <c r="I42" s="61">
        <f t="shared" si="3"/>
        <v>1</v>
      </c>
      <c r="J42" s="61" t="str">
        <f t="shared" si="4"/>
        <v>901.1</v>
      </c>
      <c r="K42" s="60"/>
      <c r="L42" s="60"/>
      <c r="M42" s="60">
        <v>0</v>
      </c>
      <c r="N42" s="60">
        <v>0</v>
      </c>
      <c r="O42" s="60"/>
      <c r="P42" s="60"/>
      <c r="Q42" s="53">
        <f t="shared" si="5"/>
        <v>0</v>
      </c>
      <c r="R42" s="53">
        <f t="shared" si="6"/>
        <v>0</v>
      </c>
      <c r="S42" s="46">
        <f t="shared" si="7"/>
        <v>0</v>
      </c>
      <c r="V42" s="59" t="s">
        <v>5</v>
      </c>
      <c r="W42" s="58">
        <v>9.125</v>
      </c>
    </row>
    <row r="43" spans="2:23">
      <c r="B43" s="55">
        <v>902</v>
      </c>
      <c r="C43" s="57" t="s">
        <v>302</v>
      </c>
      <c r="D43" s="55">
        <v>22</v>
      </c>
      <c r="E43" s="56">
        <v>4</v>
      </c>
      <c r="F43" s="56">
        <v>2</v>
      </c>
      <c r="G43" s="56">
        <v>2</v>
      </c>
      <c r="H43" s="55">
        <v>1</v>
      </c>
      <c r="I43" s="55">
        <f t="shared" si="3"/>
        <v>2</v>
      </c>
      <c r="J43" s="55" t="str">
        <f t="shared" si="4"/>
        <v>422.1</v>
      </c>
      <c r="K43" s="54"/>
      <c r="L43" s="54"/>
      <c r="M43" s="54">
        <v>8</v>
      </c>
      <c r="N43" s="54">
        <v>14</v>
      </c>
      <c r="O43" s="54"/>
      <c r="P43" s="54"/>
      <c r="Q43" s="53">
        <f t="shared" si="5"/>
        <v>5.5</v>
      </c>
      <c r="R43" s="52">
        <f t="shared" si="6"/>
        <v>1.4999999999999998</v>
      </c>
      <c r="S43" s="46">
        <f t="shared" si="7"/>
        <v>5.5</v>
      </c>
      <c r="T43" s="45"/>
      <c r="V43" s="44" t="s">
        <v>15</v>
      </c>
      <c r="W43" s="43">
        <v>10.75</v>
      </c>
    </row>
    <row r="44" spans="2:23">
      <c r="B44" s="55">
        <v>903</v>
      </c>
      <c r="C44" s="55" t="s">
        <v>17</v>
      </c>
      <c r="D44" s="55">
        <v>31</v>
      </c>
      <c r="E44" s="56">
        <v>8</v>
      </c>
      <c r="F44" s="56">
        <v>0</v>
      </c>
      <c r="G44" s="56">
        <v>1</v>
      </c>
      <c r="H44" s="55">
        <v>1</v>
      </c>
      <c r="I44" s="55">
        <f t="shared" si="3"/>
        <v>3</v>
      </c>
      <c r="J44" s="55" t="str">
        <f t="shared" si="4"/>
        <v>801.1</v>
      </c>
      <c r="K44" s="54"/>
      <c r="L44" s="54"/>
      <c r="M44" s="54">
        <v>0</v>
      </c>
      <c r="N44" s="54">
        <v>0</v>
      </c>
      <c r="O44" s="54"/>
      <c r="P44" s="54"/>
      <c r="Q44" s="53">
        <f t="shared" si="5"/>
        <v>0</v>
      </c>
      <c r="R44" s="52">
        <f t="shared" si="6"/>
        <v>0</v>
      </c>
      <c r="S44" s="46">
        <f t="shared" si="7"/>
        <v>0</v>
      </c>
      <c r="T44" s="45"/>
      <c r="V44" s="44" t="s">
        <v>3</v>
      </c>
      <c r="W44" s="43">
        <v>6.125</v>
      </c>
    </row>
    <row r="45" spans="2:23">
      <c r="B45" s="55">
        <v>904</v>
      </c>
      <c r="C45" s="57" t="s">
        <v>301</v>
      </c>
      <c r="D45" s="55">
        <v>21</v>
      </c>
      <c r="E45" s="56">
        <v>3</v>
      </c>
      <c r="F45" s="56">
        <v>2</v>
      </c>
      <c r="G45" s="56">
        <v>2</v>
      </c>
      <c r="H45" s="55">
        <v>1</v>
      </c>
      <c r="I45" s="55">
        <f t="shared" si="3"/>
        <v>4</v>
      </c>
      <c r="J45" s="55" t="str">
        <f t="shared" si="4"/>
        <v>322.1</v>
      </c>
      <c r="K45" s="54"/>
      <c r="L45" s="54"/>
      <c r="M45" s="54">
        <v>10</v>
      </c>
      <c r="N45" s="54">
        <v>12</v>
      </c>
      <c r="O45" s="54"/>
      <c r="P45" s="54"/>
      <c r="Q45" s="53">
        <f t="shared" si="5"/>
        <v>5.5</v>
      </c>
      <c r="R45" s="52">
        <f t="shared" si="6"/>
        <v>0.5</v>
      </c>
      <c r="S45" s="46">
        <f t="shared" si="7"/>
        <v>5.5</v>
      </c>
      <c r="T45" s="45"/>
      <c r="V45" s="44" t="s">
        <v>13</v>
      </c>
      <c r="W45" s="43">
        <v>5.75</v>
      </c>
    </row>
    <row r="46" spans="2:23">
      <c r="B46" s="55">
        <v>905</v>
      </c>
      <c r="C46" s="55" t="s">
        <v>16</v>
      </c>
      <c r="D46" s="55">
        <v>32</v>
      </c>
      <c r="E46" s="56">
        <v>9</v>
      </c>
      <c r="F46" s="56">
        <v>0</v>
      </c>
      <c r="G46" s="56">
        <v>1</v>
      </c>
      <c r="H46" s="55">
        <v>2</v>
      </c>
      <c r="I46" s="55">
        <f t="shared" si="3"/>
        <v>5</v>
      </c>
      <c r="J46" s="55" t="str">
        <f t="shared" si="4"/>
        <v>901.2</v>
      </c>
      <c r="K46" s="54"/>
      <c r="L46" s="54"/>
      <c r="M46" s="54">
        <v>0</v>
      </c>
      <c r="N46" s="54">
        <v>0</v>
      </c>
      <c r="O46" s="54"/>
      <c r="P46" s="54"/>
      <c r="Q46" s="53">
        <f t="shared" si="5"/>
        <v>0</v>
      </c>
      <c r="R46" s="52">
        <f t="shared" si="6"/>
        <v>0</v>
      </c>
      <c r="S46" s="46">
        <f t="shared" si="7"/>
        <v>0</v>
      </c>
      <c r="T46" s="45"/>
      <c r="V46" s="44" t="s">
        <v>8</v>
      </c>
      <c r="W46" s="43">
        <v>7</v>
      </c>
    </row>
    <row r="47" spans="2:23">
      <c r="B47" s="55">
        <v>906</v>
      </c>
      <c r="C47" s="57" t="s">
        <v>302</v>
      </c>
      <c r="D47" s="55">
        <v>22</v>
      </c>
      <c r="E47" s="56">
        <v>4</v>
      </c>
      <c r="F47" s="56">
        <v>2</v>
      </c>
      <c r="G47" s="56">
        <v>2</v>
      </c>
      <c r="H47" s="55">
        <v>2</v>
      </c>
      <c r="I47" s="55">
        <f t="shared" si="3"/>
        <v>6</v>
      </c>
      <c r="J47" s="55" t="str">
        <f t="shared" si="4"/>
        <v>422.2</v>
      </c>
      <c r="K47" s="54"/>
      <c r="L47" s="54"/>
      <c r="M47" s="54">
        <v>3</v>
      </c>
      <c r="N47" s="54">
        <v>8</v>
      </c>
      <c r="O47" s="54"/>
      <c r="P47" s="54"/>
      <c r="Q47" s="53">
        <f t="shared" si="5"/>
        <v>2.75</v>
      </c>
      <c r="R47" s="52">
        <f t="shared" si="6"/>
        <v>1.25</v>
      </c>
      <c r="S47" s="46">
        <f t="shared" si="7"/>
        <v>2.75</v>
      </c>
      <c r="T47" s="45"/>
      <c r="V47" s="44" t="s">
        <v>4</v>
      </c>
      <c r="W47" s="43">
        <v>4.375</v>
      </c>
    </row>
    <row r="48" spans="2:23">
      <c r="B48" s="55">
        <v>907</v>
      </c>
      <c r="C48" s="55" t="s">
        <v>17</v>
      </c>
      <c r="D48" s="55">
        <v>31</v>
      </c>
      <c r="E48" s="56">
        <v>8</v>
      </c>
      <c r="F48" s="56">
        <v>0</v>
      </c>
      <c r="G48" s="56">
        <v>1</v>
      </c>
      <c r="H48" s="55">
        <v>2</v>
      </c>
      <c r="I48" s="55">
        <f t="shared" si="3"/>
        <v>7</v>
      </c>
      <c r="J48" s="55" t="str">
        <f t="shared" si="4"/>
        <v>801.2</v>
      </c>
      <c r="K48" s="54"/>
      <c r="L48" s="54"/>
      <c r="M48" s="54">
        <v>0</v>
      </c>
      <c r="N48" s="54">
        <v>0</v>
      </c>
      <c r="O48" s="54"/>
      <c r="P48" s="54"/>
      <c r="Q48" s="53">
        <f t="shared" si="5"/>
        <v>0</v>
      </c>
      <c r="R48" s="52">
        <f t="shared" si="6"/>
        <v>0</v>
      </c>
      <c r="S48" s="46">
        <f t="shared" si="7"/>
        <v>0</v>
      </c>
      <c r="T48" s="45"/>
      <c r="V48" s="44" t="s">
        <v>11</v>
      </c>
      <c r="W48" s="43">
        <v>13.75</v>
      </c>
    </row>
    <row r="49" spans="2:23" ht="13.5" thickBot="1">
      <c r="B49" s="49">
        <v>908</v>
      </c>
      <c r="C49" s="51" t="s">
        <v>301</v>
      </c>
      <c r="D49" s="49">
        <v>21</v>
      </c>
      <c r="E49" s="50">
        <v>3</v>
      </c>
      <c r="F49" s="50">
        <v>2</v>
      </c>
      <c r="G49" s="50">
        <v>2</v>
      </c>
      <c r="H49" s="49">
        <v>2</v>
      </c>
      <c r="I49" s="49">
        <f t="shared" si="3"/>
        <v>8</v>
      </c>
      <c r="J49" s="49" t="str">
        <f t="shared" si="4"/>
        <v>322.2</v>
      </c>
      <c r="K49" s="48"/>
      <c r="L49" s="48"/>
      <c r="M49" s="48">
        <v>12</v>
      </c>
      <c r="N49" s="48">
        <v>17</v>
      </c>
      <c r="O49" s="48"/>
      <c r="P49" s="48"/>
      <c r="Q49" s="48">
        <f t="shared" si="5"/>
        <v>7.25</v>
      </c>
      <c r="R49" s="47">
        <f t="shared" si="6"/>
        <v>1.25</v>
      </c>
      <c r="S49" s="46">
        <f t="shared" si="7"/>
        <v>7.25</v>
      </c>
      <c r="T49" s="45"/>
      <c r="V49" s="44" t="s">
        <v>10</v>
      </c>
      <c r="W49" s="43">
        <v>9.625</v>
      </c>
    </row>
    <row r="50" spans="2:23">
      <c r="V50" s="44" t="s">
        <v>14</v>
      </c>
      <c r="W50" s="43">
        <v>4.5</v>
      </c>
    </row>
    <row r="51" spans="2:23">
      <c r="V51" s="44" t="s">
        <v>12</v>
      </c>
      <c r="W51" s="43">
        <v>4.5</v>
      </c>
    </row>
    <row r="52" spans="2:23">
      <c r="V52" s="44" t="s">
        <v>7</v>
      </c>
      <c r="W52" s="43">
        <v>4.875</v>
      </c>
    </row>
    <row r="53" spans="2:23">
      <c r="V53" s="42" t="s">
        <v>6</v>
      </c>
      <c r="W53" s="41">
        <v>6.9375</v>
      </c>
    </row>
  </sheetData>
  <pageMargins left="0.75" right="0.75" top="1" bottom="1" header="0.5" footer="0.5"/>
  <pageSetup orientation="portrait" r:id="rId3"/>
  <headerFooter alignWithMargins="0"/>
  <drawing r:id="rId4"/>
  <legacyDrawing r:id="rId5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881B4-8E85-4829-BB33-B53E34708145}">
  <dimension ref="A1:X49"/>
  <sheetViews>
    <sheetView workbookViewId="0">
      <selection activeCell="N10" sqref="N10:N49"/>
    </sheetView>
  </sheetViews>
  <sheetFormatPr defaultRowHeight="12.75"/>
  <cols>
    <col min="1" max="19" width="9.140625" style="37"/>
    <col min="20" max="20" width="45.7109375" style="37" customWidth="1"/>
    <col min="21" max="21" width="9.140625" style="37"/>
    <col min="22" max="22" width="23.5703125" style="37" customWidth="1"/>
    <col min="23" max="24" width="12" style="37" customWidth="1"/>
    <col min="25" max="26" width="4.5703125" style="37" customWidth="1"/>
    <col min="27" max="27" width="10.5703125" style="37" bestFit="1" customWidth="1"/>
    <col min="28" max="16384" width="9.140625" style="37"/>
  </cols>
  <sheetData>
    <row r="1" spans="1:23" ht="15.75">
      <c r="A1" s="93" t="s">
        <v>340</v>
      </c>
    </row>
    <row r="3" spans="1:23" ht="13.5" thickBot="1">
      <c r="A3" s="92"/>
      <c r="B3" s="92" t="s">
        <v>339</v>
      </c>
      <c r="C3" s="96">
        <v>121</v>
      </c>
      <c r="E3" s="37" t="s">
        <v>338</v>
      </c>
      <c r="F3" s="37" t="s">
        <v>355</v>
      </c>
      <c r="H3" s="37" t="s">
        <v>350</v>
      </c>
      <c r="I3" s="37" t="s">
        <v>354</v>
      </c>
    </row>
    <row r="4" spans="1:23">
      <c r="E4" s="37" t="s">
        <v>337</v>
      </c>
      <c r="F4" s="37" t="s">
        <v>353</v>
      </c>
      <c r="N4" s="38">
        <f>AVERAGE(Q10:Q11,Q13,Q15:Q17,Q19:Q20,Q22:Q29,Q31:Q32,Q34:Q35,Q37,Q39:Q41)</f>
        <v>6.0798611111111116</v>
      </c>
      <c r="O4" s="38">
        <f>AVERAGE(Q12,Q14,Q18,Q21,Q30,Q36,Q38,Q33)</f>
        <v>11.21875</v>
      </c>
    </row>
    <row r="6" spans="1:23">
      <c r="B6" s="37" t="s">
        <v>336</v>
      </c>
      <c r="D6" s="95">
        <v>37377</v>
      </c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</row>
    <row r="7" spans="1:23"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</row>
    <row r="8" spans="1:23" ht="13.5" thickBot="1"/>
    <row r="9" spans="1:23" ht="51.75" thickBot="1">
      <c r="B9" s="88" t="s">
        <v>0</v>
      </c>
      <c r="C9" s="89" t="s">
        <v>305</v>
      </c>
      <c r="D9" s="89" t="s">
        <v>333</v>
      </c>
      <c r="E9" s="88" t="s">
        <v>332</v>
      </c>
      <c r="F9" s="89" t="s">
        <v>331</v>
      </c>
      <c r="G9" s="88" t="s">
        <v>330</v>
      </c>
      <c r="H9" s="88" t="s">
        <v>329</v>
      </c>
      <c r="I9" s="88" t="s">
        <v>315</v>
      </c>
      <c r="J9" s="88" t="s">
        <v>328</v>
      </c>
      <c r="K9" s="86" t="s">
        <v>327</v>
      </c>
      <c r="L9" s="86" t="s">
        <v>326</v>
      </c>
      <c r="M9" s="86" t="s">
        <v>325</v>
      </c>
      <c r="N9" s="86" t="s">
        <v>324</v>
      </c>
      <c r="O9" s="86" t="s">
        <v>323</v>
      </c>
      <c r="P9" s="86" t="s">
        <v>322</v>
      </c>
      <c r="Q9" s="87" t="s">
        <v>321</v>
      </c>
      <c r="R9" s="86" t="s">
        <v>320</v>
      </c>
      <c r="S9" s="85" t="s">
        <v>319</v>
      </c>
      <c r="T9" s="84" t="s">
        <v>318</v>
      </c>
    </row>
    <row r="10" spans="1:23">
      <c r="B10" s="61">
        <v>101</v>
      </c>
      <c r="C10" s="62" t="s">
        <v>3</v>
      </c>
      <c r="D10" s="62">
        <v>1</v>
      </c>
      <c r="E10" s="62">
        <f t="shared" ref="E10:E41" si="0">IF(LEFT($C10,1)="F",1,2)</f>
        <v>1</v>
      </c>
      <c r="F10" s="62">
        <f t="shared" ref="F10:F41" si="1">IF(MID($C10,2,1)="S",1,IF(MID($C10,2,1)="T",2,IF(MID($C10,2,1)="D",3,0)))</f>
        <v>1</v>
      </c>
      <c r="G10" s="62">
        <f t="shared" ref="G10:G41" si="2">IF(RIGHT($C10,1)="L",1,2)</f>
        <v>2</v>
      </c>
      <c r="H10" s="61">
        <v>1</v>
      </c>
      <c r="I10" s="61">
        <f t="shared" ref="I10:I49" si="3">B10-INT(B10/100)*100</f>
        <v>1</v>
      </c>
      <c r="J10" s="61" t="str">
        <f t="shared" ref="J10:J49" si="4">(E10&amp;F10&amp;G10&amp;"."&amp;H10)</f>
        <v>112.1</v>
      </c>
      <c r="K10" s="83"/>
      <c r="L10" s="60"/>
      <c r="M10" s="60">
        <v>13</v>
      </c>
      <c r="N10" s="60">
        <v>9</v>
      </c>
      <c r="O10" s="60"/>
      <c r="P10" s="60"/>
      <c r="Q10" s="53">
        <f t="shared" ref="Q10:Q49" si="5">AVERAGE(K10:P10)/2</f>
        <v>5.5</v>
      </c>
      <c r="R10" s="53">
        <f t="shared" ref="R10:R49" si="6">STDEV(K10:P10)/2/SQRT(COUNT(K10:P10))</f>
        <v>1</v>
      </c>
      <c r="S10" s="46">
        <f t="shared" ref="S10:S49" si="7">IF(F10=3,Q10/2,Q10)</f>
        <v>5.5</v>
      </c>
      <c r="T10" s="82" t="s">
        <v>346</v>
      </c>
      <c r="V10" s="65" t="s">
        <v>316</v>
      </c>
      <c r="W10" s="63"/>
    </row>
    <row r="11" spans="1:23">
      <c r="B11" s="55">
        <v>102</v>
      </c>
      <c r="C11" s="55" t="s">
        <v>4</v>
      </c>
      <c r="D11" s="55">
        <v>4</v>
      </c>
      <c r="E11" s="56">
        <f t="shared" si="0"/>
        <v>1</v>
      </c>
      <c r="F11" s="56">
        <f t="shared" si="1"/>
        <v>2</v>
      </c>
      <c r="G11" s="56">
        <f t="shared" si="2"/>
        <v>1</v>
      </c>
      <c r="H11" s="55">
        <v>1</v>
      </c>
      <c r="I11" s="55">
        <f t="shared" si="3"/>
        <v>2</v>
      </c>
      <c r="J11" s="55" t="str">
        <f t="shared" si="4"/>
        <v>121.1</v>
      </c>
      <c r="K11" s="54"/>
      <c r="L11" s="54">
        <v>20</v>
      </c>
      <c r="M11" s="54">
        <v>2</v>
      </c>
      <c r="N11" s="54">
        <v>12</v>
      </c>
      <c r="O11" s="54"/>
      <c r="P11" s="54"/>
      <c r="Q11" s="53">
        <f t="shared" si="5"/>
        <v>5.666666666666667</v>
      </c>
      <c r="R11" s="52">
        <f t="shared" si="6"/>
        <v>2.6034165586355518</v>
      </c>
      <c r="S11" s="46">
        <f t="shared" si="7"/>
        <v>5.666666666666667</v>
      </c>
      <c r="T11" s="45"/>
      <c r="V11" s="65" t="s">
        <v>315</v>
      </c>
      <c r="W11" s="63" t="s">
        <v>304</v>
      </c>
    </row>
    <row r="12" spans="1:23">
      <c r="B12" s="69">
        <v>103</v>
      </c>
      <c r="C12" s="69" t="s">
        <v>5</v>
      </c>
      <c r="D12" s="69">
        <v>5</v>
      </c>
      <c r="E12" s="70">
        <f t="shared" si="0"/>
        <v>1</v>
      </c>
      <c r="F12" s="70">
        <f t="shared" si="1"/>
        <v>3</v>
      </c>
      <c r="G12" s="70">
        <f t="shared" si="2"/>
        <v>2</v>
      </c>
      <c r="H12" s="69">
        <v>1</v>
      </c>
      <c r="I12" s="69">
        <f t="shared" si="3"/>
        <v>3</v>
      </c>
      <c r="J12" s="69" t="str">
        <f t="shared" si="4"/>
        <v>132.1</v>
      </c>
      <c r="K12" s="68"/>
      <c r="L12" s="68"/>
      <c r="M12" s="68">
        <v>16</v>
      </c>
      <c r="N12" s="68">
        <v>19</v>
      </c>
      <c r="O12" s="68"/>
      <c r="P12" s="68"/>
      <c r="Q12" s="67">
        <f t="shared" si="5"/>
        <v>8.75</v>
      </c>
      <c r="R12" s="66">
        <f t="shared" si="6"/>
        <v>0.74999999999999989</v>
      </c>
      <c r="S12" s="46">
        <f t="shared" si="7"/>
        <v>4.375</v>
      </c>
      <c r="T12" s="45"/>
      <c r="V12" s="59">
        <v>1</v>
      </c>
      <c r="W12" s="58">
        <v>6.625</v>
      </c>
    </row>
    <row r="13" spans="1:23">
      <c r="B13" s="55">
        <v>104</v>
      </c>
      <c r="C13" s="55" t="s">
        <v>6</v>
      </c>
      <c r="D13" s="55">
        <v>10</v>
      </c>
      <c r="E13" s="56">
        <f t="shared" si="0"/>
        <v>2</v>
      </c>
      <c r="F13" s="56">
        <f t="shared" si="1"/>
        <v>2</v>
      </c>
      <c r="G13" s="56">
        <f t="shared" si="2"/>
        <v>1</v>
      </c>
      <c r="H13" s="55">
        <v>1</v>
      </c>
      <c r="I13" s="55">
        <f t="shared" si="3"/>
        <v>4</v>
      </c>
      <c r="J13" s="55" t="str">
        <f t="shared" si="4"/>
        <v>221.1</v>
      </c>
      <c r="K13" s="54"/>
      <c r="L13" s="54"/>
      <c r="M13" s="54">
        <v>15</v>
      </c>
      <c r="N13" s="54">
        <v>14</v>
      </c>
      <c r="O13" s="54"/>
      <c r="P13" s="54"/>
      <c r="Q13" s="53">
        <f t="shared" si="5"/>
        <v>7.25</v>
      </c>
      <c r="R13" s="52">
        <f t="shared" si="6"/>
        <v>0.25</v>
      </c>
      <c r="S13" s="46">
        <f t="shared" si="7"/>
        <v>7.25</v>
      </c>
      <c r="T13" s="45"/>
      <c r="V13" s="44">
        <v>2</v>
      </c>
      <c r="W13" s="43">
        <v>6.5</v>
      </c>
    </row>
    <row r="14" spans="1:23">
      <c r="B14" s="69">
        <v>105</v>
      </c>
      <c r="C14" s="69" t="s">
        <v>10</v>
      </c>
      <c r="D14" s="69">
        <v>12</v>
      </c>
      <c r="E14" s="70">
        <f t="shared" si="0"/>
        <v>2</v>
      </c>
      <c r="F14" s="70">
        <f t="shared" si="1"/>
        <v>3</v>
      </c>
      <c r="G14" s="70">
        <f t="shared" si="2"/>
        <v>1</v>
      </c>
      <c r="H14" s="69">
        <v>2</v>
      </c>
      <c r="I14" s="69">
        <f t="shared" si="3"/>
        <v>5</v>
      </c>
      <c r="J14" s="69" t="str">
        <f t="shared" si="4"/>
        <v>231.2</v>
      </c>
      <c r="K14" s="68"/>
      <c r="L14" s="68"/>
      <c r="M14" s="68">
        <v>24</v>
      </c>
      <c r="N14" s="68">
        <v>14</v>
      </c>
      <c r="O14" s="68"/>
      <c r="P14" s="68"/>
      <c r="Q14" s="67">
        <f t="shared" si="5"/>
        <v>9.5</v>
      </c>
      <c r="R14" s="66">
        <f t="shared" si="6"/>
        <v>2.5</v>
      </c>
      <c r="S14" s="46">
        <f t="shared" si="7"/>
        <v>4.75</v>
      </c>
      <c r="T14" s="45"/>
      <c r="V14" s="44">
        <v>3</v>
      </c>
      <c r="W14" s="43">
        <v>6.34375</v>
      </c>
    </row>
    <row r="15" spans="1:23">
      <c r="B15" s="55">
        <v>106</v>
      </c>
      <c r="C15" s="55" t="s">
        <v>7</v>
      </c>
      <c r="D15" s="55">
        <v>9</v>
      </c>
      <c r="E15" s="56">
        <f t="shared" si="0"/>
        <v>2</v>
      </c>
      <c r="F15" s="56">
        <f t="shared" si="1"/>
        <v>2</v>
      </c>
      <c r="G15" s="56">
        <f t="shared" si="2"/>
        <v>2</v>
      </c>
      <c r="H15" s="55">
        <v>2</v>
      </c>
      <c r="I15" s="55">
        <f t="shared" si="3"/>
        <v>6</v>
      </c>
      <c r="J15" s="55" t="str">
        <f t="shared" si="4"/>
        <v>222.2</v>
      </c>
      <c r="K15" s="54"/>
      <c r="L15" s="54"/>
      <c r="M15" s="54">
        <v>12</v>
      </c>
      <c r="N15" s="54">
        <v>12</v>
      </c>
      <c r="O15" s="54"/>
      <c r="P15" s="54"/>
      <c r="Q15" s="53">
        <f t="shared" si="5"/>
        <v>6</v>
      </c>
      <c r="R15" s="52">
        <f t="shared" si="6"/>
        <v>0</v>
      </c>
      <c r="S15" s="46">
        <f t="shared" si="7"/>
        <v>6</v>
      </c>
      <c r="T15" s="45"/>
      <c r="V15" s="44">
        <v>4</v>
      </c>
      <c r="W15" s="43">
        <v>7.90625</v>
      </c>
    </row>
    <row r="16" spans="1:23">
      <c r="B16" s="55">
        <v>107</v>
      </c>
      <c r="C16" s="55" t="s">
        <v>6</v>
      </c>
      <c r="D16" s="55">
        <v>10</v>
      </c>
      <c r="E16" s="56">
        <f t="shared" si="0"/>
        <v>2</v>
      </c>
      <c r="F16" s="56">
        <f t="shared" si="1"/>
        <v>2</v>
      </c>
      <c r="G16" s="56">
        <f t="shared" si="2"/>
        <v>1</v>
      </c>
      <c r="H16" s="55">
        <v>2</v>
      </c>
      <c r="I16" s="55">
        <f t="shared" si="3"/>
        <v>7</v>
      </c>
      <c r="J16" s="55" t="str">
        <f t="shared" si="4"/>
        <v>221.2</v>
      </c>
      <c r="K16" s="54"/>
      <c r="L16" s="54"/>
      <c r="M16" s="54">
        <v>16</v>
      </c>
      <c r="N16" s="54">
        <v>10</v>
      </c>
      <c r="O16" s="54"/>
      <c r="P16" s="54"/>
      <c r="Q16" s="53">
        <f t="shared" si="5"/>
        <v>6.5</v>
      </c>
      <c r="R16" s="52">
        <f t="shared" si="6"/>
        <v>1.4999999999999998</v>
      </c>
      <c r="S16" s="46">
        <f t="shared" si="7"/>
        <v>6.5</v>
      </c>
      <c r="T16" s="45"/>
      <c r="V16" s="44">
        <v>5</v>
      </c>
      <c r="W16" s="43">
        <v>8.0625</v>
      </c>
    </row>
    <row r="17" spans="2:24" ht="13.5" thickBot="1">
      <c r="B17" s="49">
        <v>108</v>
      </c>
      <c r="C17" s="49" t="s">
        <v>8</v>
      </c>
      <c r="D17" s="49">
        <v>3</v>
      </c>
      <c r="E17" s="50">
        <f t="shared" si="0"/>
        <v>1</v>
      </c>
      <c r="F17" s="50">
        <f t="shared" si="1"/>
        <v>2</v>
      </c>
      <c r="G17" s="50">
        <f t="shared" si="2"/>
        <v>2</v>
      </c>
      <c r="H17" s="49">
        <v>2</v>
      </c>
      <c r="I17" s="49">
        <f t="shared" si="3"/>
        <v>8</v>
      </c>
      <c r="J17" s="49" t="str">
        <f t="shared" si="4"/>
        <v>122.2</v>
      </c>
      <c r="K17" s="48"/>
      <c r="L17" s="48"/>
      <c r="M17" s="48">
        <v>4</v>
      </c>
      <c r="N17" s="48">
        <v>16</v>
      </c>
      <c r="O17" s="48"/>
      <c r="P17" s="48"/>
      <c r="Q17" s="48">
        <f t="shared" si="5"/>
        <v>5</v>
      </c>
      <c r="R17" s="47">
        <f t="shared" si="6"/>
        <v>2.9999999999999996</v>
      </c>
      <c r="S17" s="46">
        <f t="shared" si="7"/>
        <v>5</v>
      </c>
      <c r="T17" s="82"/>
      <c r="V17" s="44">
        <v>6</v>
      </c>
      <c r="W17" s="43">
        <v>9.3125</v>
      </c>
    </row>
    <row r="18" spans="2:24">
      <c r="B18" s="80">
        <v>201</v>
      </c>
      <c r="C18" s="80" t="s">
        <v>10</v>
      </c>
      <c r="D18" s="80">
        <v>12</v>
      </c>
      <c r="E18" s="81">
        <f t="shared" si="0"/>
        <v>2</v>
      </c>
      <c r="F18" s="81">
        <f t="shared" si="1"/>
        <v>3</v>
      </c>
      <c r="G18" s="81">
        <f t="shared" si="2"/>
        <v>1</v>
      </c>
      <c r="H18" s="80">
        <v>1</v>
      </c>
      <c r="I18" s="80">
        <f t="shared" si="3"/>
        <v>1</v>
      </c>
      <c r="J18" s="80" t="str">
        <f t="shared" si="4"/>
        <v>231.1</v>
      </c>
      <c r="K18" s="79"/>
      <c r="L18" s="79"/>
      <c r="M18" s="79">
        <v>24</v>
      </c>
      <c r="N18" s="79">
        <v>16</v>
      </c>
      <c r="O18" s="79"/>
      <c r="P18" s="79"/>
      <c r="Q18" s="67">
        <f t="shared" si="5"/>
        <v>10</v>
      </c>
      <c r="R18" s="67">
        <f t="shared" si="6"/>
        <v>2</v>
      </c>
      <c r="S18" s="46">
        <f t="shared" si="7"/>
        <v>5</v>
      </c>
      <c r="T18" s="45"/>
      <c r="V18" s="44">
        <v>7</v>
      </c>
      <c r="W18" s="43">
        <v>9</v>
      </c>
    </row>
    <row r="19" spans="2:24">
      <c r="B19" s="55">
        <v>202</v>
      </c>
      <c r="C19" s="55" t="s">
        <v>7</v>
      </c>
      <c r="D19" s="55">
        <v>9</v>
      </c>
      <c r="E19" s="56">
        <f t="shared" si="0"/>
        <v>2</v>
      </c>
      <c r="F19" s="56">
        <f t="shared" si="1"/>
        <v>2</v>
      </c>
      <c r="G19" s="56">
        <f t="shared" si="2"/>
        <v>2</v>
      </c>
      <c r="H19" s="55">
        <v>1</v>
      </c>
      <c r="I19" s="55">
        <f t="shared" si="3"/>
        <v>2</v>
      </c>
      <c r="J19" s="55" t="str">
        <f t="shared" si="4"/>
        <v>222.1</v>
      </c>
      <c r="K19" s="78"/>
      <c r="L19" s="77">
        <v>13</v>
      </c>
      <c r="M19" s="77">
        <v>5</v>
      </c>
      <c r="N19" s="77">
        <v>13</v>
      </c>
      <c r="O19" s="54"/>
      <c r="P19" s="54"/>
      <c r="Q19" s="53">
        <f t="shared" si="5"/>
        <v>5.166666666666667</v>
      </c>
      <c r="R19" s="52">
        <f t="shared" si="6"/>
        <v>1.3333333333333335</v>
      </c>
      <c r="S19" s="46">
        <f t="shared" si="7"/>
        <v>5.166666666666667</v>
      </c>
      <c r="T19" s="45"/>
      <c r="V19" s="44">
        <v>8</v>
      </c>
      <c r="W19" s="43">
        <v>9.1875</v>
      </c>
    </row>
    <row r="20" spans="2:24">
      <c r="B20" s="55">
        <v>203</v>
      </c>
      <c r="C20" s="55" t="s">
        <v>8</v>
      </c>
      <c r="D20" s="55">
        <v>3</v>
      </c>
      <c r="E20" s="56">
        <f t="shared" si="0"/>
        <v>1</v>
      </c>
      <c r="F20" s="56">
        <f t="shared" si="1"/>
        <v>2</v>
      </c>
      <c r="G20" s="56">
        <f t="shared" si="2"/>
        <v>2</v>
      </c>
      <c r="H20" s="55">
        <v>1</v>
      </c>
      <c r="I20" s="55">
        <f t="shared" si="3"/>
        <v>3</v>
      </c>
      <c r="J20" s="55" t="str">
        <f t="shared" si="4"/>
        <v>122.1</v>
      </c>
      <c r="K20" s="54"/>
      <c r="L20" s="54"/>
      <c r="M20" s="54">
        <v>18</v>
      </c>
      <c r="N20" s="54">
        <v>16</v>
      </c>
      <c r="O20" s="54"/>
      <c r="P20" s="54"/>
      <c r="Q20" s="53">
        <f t="shared" si="5"/>
        <v>8.5</v>
      </c>
      <c r="R20" s="52">
        <f t="shared" si="6"/>
        <v>0.5</v>
      </c>
      <c r="S20" s="46">
        <f t="shared" si="7"/>
        <v>8.5</v>
      </c>
      <c r="T20" s="45"/>
      <c r="V20" s="76" t="s">
        <v>312</v>
      </c>
      <c r="W20" s="75">
        <v>7.8671875</v>
      </c>
    </row>
    <row r="21" spans="2:24">
      <c r="B21" s="69">
        <v>204</v>
      </c>
      <c r="C21" s="69" t="s">
        <v>11</v>
      </c>
      <c r="D21" s="69">
        <v>11</v>
      </c>
      <c r="E21" s="70">
        <f t="shared" si="0"/>
        <v>2</v>
      </c>
      <c r="F21" s="70">
        <f t="shared" si="1"/>
        <v>3</v>
      </c>
      <c r="G21" s="70">
        <f t="shared" si="2"/>
        <v>2</v>
      </c>
      <c r="H21" s="69">
        <v>1</v>
      </c>
      <c r="I21" s="69">
        <f t="shared" si="3"/>
        <v>4</v>
      </c>
      <c r="J21" s="69" t="str">
        <f t="shared" si="4"/>
        <v>232.1</v>
      </c>
      <c r="K21" s="68"/>
      <c r="L21" s="68"/>
      <c r="M21" s="68">
        <v>34</v>
      </c>
      <c r="N21" s="68">
        <v>20</v>
      </c>
      <c r="O21" s="68"/>
      <c r="P21" s="68"/>
      <c r="Q21" s="67">
        <f t="shared" si="5"/>
        <v>13.5</v>
      </c>
      <c r="R21" s="66">
        <f t="shared" si="6"/>
        <v>3.4999999999999996</v>
      </c>
      <c r="S21" s="46">
        <f t="shared" si="7"/>
        <v>6.75</v>
      </c>
      <c r="T21" s="45"/>
    </row>
    <row r="22" spans="2:24">
      <c r="B22" s="55">
        <v>205</v>
      </c>
      <c r="C22" s="55" t="s">
        <v>3</v>
      </c>
      <c r="D22" s="55">
        <v>1</v>
      </c>
      <c r="E22" s="56">
        <f t="shared" si="0"/>
        <v>1</v>
      </c>
      <c r="F22" s="56">
        <f t="shared" si="1"/>
        <v>1</v>
      </c>
      <c r="G22" s="56">
        <f t="shared" si="2"/>
        <v>2</v>
      </c>
      <c r="H22" s="55">
        <v>2</v>
      </c>
      <c r="I22" s="55">
        <f t="shared" si="3"/>
        <v>5</v>
      </c>
      <c r="J22" s="55" t="str">
        <f t="shared" si="4"/>
        <v>112.2</v>
      </c>
      <c r="K22" s="54"/>
      <c r="L22" s="54"/>
      <c r="M22" s="54">
        <v>15</v>
      </c>
      <c r="N22" s="54">
        <v>14</v>
      </c>
      <c r="O22" s="54"/>
      <c r="P22" s="54"/>
      <c r="Q22" s="53">
        <f t="shared" si="5"/>
        <v>7.25</v>
      </c>
      <c r="R22" s="52">
        <f t="shared" si="6"/>
        <v>0.25</v>
      </c>
      <c r="S22" s="46">
        <f t="shared" si="7"/>
        <v>7.25</v>
      </c>
      <c r="T22" s="45"/>
    </row>
    <row r="23" spans="2:24">
      <c r="B23" s="55">
        <v>206</v>
      </c>
      <c r="C23" s="55" t="s">
        <v>12</v>
      </c>
      <c r="D23" s="55">
        <v>8</v>
      </c>
      <c r="E23" s="56">
        <f t="shared" si="0"/>
        <v>2</v>
      </c>
      <c r="F23" s="56">
        <f t="shared" si="1"/>
        <v>1</v>
      </c>
      <c r="G23" s="56">
        <f t="shared" si="2"/>
        <v>1</v>
      </c>
      <c r="H23" s="55">
        <v>2</v>
      </c>
      <c r="I23" s="55">
        <f t="shared" si="3"/>
        <v>6</v>
      </c>
      <c r="J23" s="55" t="str">
        <f t="shared" si="4"/>
        <v>211.2</v>
      </c>
      <c r="K23" s="54"/>
      <c r="L23" s="54"/>
      <c r="M23" s="54">
        <v>8</v>
      </c>
      <c r="N23" s="54">
        <v>15</v>
      </c>
      <c r="O23" s="54"/>
      <c r="P23" s="54"/>
      <c r="Q23" s="53">
        <f t="shared" si="5"/>
        <v>5.75</v>
      </c>
      <c r="R23" s="52">
        <f t="shared" si="6"/>
        <v>1.7499999999999998</v>
      </c>
      <c r="S23" s="46">
        <f t="shared" si="7"/>
        <v>5.75</v>
      </c>
      <c r="T23" s="45"/>
    </row>
    <row r="24" spans="2:24">
      <c r="B24" s="55">
        <v>207</v>
      </c>
      <c r="C24" s="55" t="s">
        <v>4</v>
      </c>
      <c r="D24" s="55">
        <v>4</v>
      </c>
      <c r="E24" s="56">
        <f t="shared" si="0"/>
        <v>1</v>
      </c>
      <c r="F24" s="56">
        <f t="shared" si="1"/>
        <v>2</v>
      </c>
      <c r="G24" s="56">
        <f t="shared" si="2"/>
        <v>1</v>
      </c>
      <c r="H24" s="55">
        <v>2</v>
      </c>
      <c r="I24" s="55">
        <f t="shared" si="3"/>
        <v>7</v>
      </c>
      <c r="J24" s="55" t="str">
        <f t="shared" si="4"/>
        <v>121.2</v>
      </c>
      <c r="K24" s="54"/>
      <c r="L24" s="54"/>
      <c r="M24" s="54">
        <v>3</v>
      </c>
      <c r="N24" s="54">
        <v>3</v>
      </c>
      <c r="O24" s="54"/>
      <c r="P24" s="54"/>
      <c r="Q24" s="53">
        <f t="shared" si="5"/>
        <v>1.5</v>
      </c>
      <c r="R24" s="52">
        <f t="shared" si="6"/>
        <v>0</v>
      </c>
      <c r="S24" s="46">
        <f t="shared" si="7"/>
        <v>1.5</v>
      </c>
      <c r="T24" s="45"/>
      <c r="V24" s="38"/>
    </row>
    <row r="25" spans="2:24" ht="13.5" thickBot="1">
      <c r="B25" s="49">
        <v>208</v>
      </c>
      <c r="C25" s="49" t="s">
        <v>13</v>
      </c>
      <c r="D25" s="49">
        <v>2</v>
      </c>
      <c r="E25" s="50">
        <f t="shared" si="0"/>
        <v>1</v>
      </c>
      <c r="F25" s="50">
        <f t="shared" si="1"/>
        <v>1</v>
      </c>
      <c r="G25" s="50">
        <f t="shared" si="2"/>
        <v>1</v>
      </c>
      <c r="H25" s="49">
        <v>2</v>
      </c>
      <c r="I25" s="49">
        <f t="shared" si="3"/>
        <v>8</v>
      </c>
      <c r="J25" s="49" t="str">
        <f t="shared" si="4"/>
        <v>111.2</v>
      </c>
      <c r="K25" s="48"/>
      <c r="L25" s="48"/>
      <c r="M25" s="48">
        <v>8</v>
      </c>
      <c r="N25" s="48">
        <v>15</v>
      </c>
      <c r="O25" s="48"/>
      <c r="P25" s="48"/>
      <c r="Q25" s="48">
        <f t="shared" si="5"/>
        <v>5.75</v>
      </c>
      <c r="R25" s="47">
        <f t="shared" si="6"/>
        <v>1.7499999999999998</v>
      </c>
      <c r="S25" s="46">
        <f t="shared" si="7"/>
        <v>5.75</v>
      </c>
      <c r="T25" s="45"/>
    </row>
    <row r="26" spans="2:24">
      <c r="B26" s="61">
        <v>301</v>
      </c>
      <c r="C26" s="61" t="s">
        <v>6</v>
      </c>
      <c r="D26" s="61">
        <v>10</v>
      </c>
      <c r="E26" s="62">
        <f t="shared" si="0"/>
        <v>2</v>
      </c>
      <c r="F26" s="62">
        <f t="shared" si="1"/>
        <v>2</v>
      </c>
      <c r="G26" s="62">
        <f t="shared" si="2"/>
        <v>1</v>
      </c>
      <c r="H26" s="61">
        <v>3</v>
      </c>
      <c r="I26" s="61">
        <f t="shared" si="3"/>
        <v>1</v>
      </c>
      <c r="J26" s="61" t="str">
        <f t="shared" si="4"/>
        <v>221.3</v>
      </c>
      <c r="K26" s="60"/>
      <c r="L26" s="60"/>
      <c r="M26" s="60">
        <v>18</v>
      </c>
      <c r="N26" s="60">
        <v>13</v>
      </c>
      <c r="O26" s="60"/>
      <c r="P26" s="60"/>
      <c r="Q26" s="53">
        <f t="shared" si="5"/>
        <v>7.75</v>
      </c>
      <c r="R26" s="53">
        <f t="shared" si="6"/>
        <v>1.25</v>
      </c>
      <c r="S26" s="46">
        <f t="shared" si="7"/>
        <v>7.75</v>
      </c>
      <c r="T26" s="45"/>
      <c r="V26" s="38"/>
    </row>
    <row r="27" spans="2:24">
      <c r="B27" s="55">
        <v>302</v>
      </c>
      <c r="C27" s="55" t="s">
        <v>4</v>
      </c>
      <c r="D27" s="55">
        <v>4</v>
      </c>
      <c r="E27" s="56">
        <f t="shared" si="0"/>
        <v>1</v>
      </c>
      <c r="F27" s="56">
        <f t="shared" si="1"/>
        <v>2</v>
      </c>
      <c r="G27" s="56">
        <f t="shared" si="2"/>
        <v>1</v>
      </c>
      <c r="H27" s="55">
        <v>3</v>
      </c>
      <c r="I27" s="55">
        <f t="shared" si="3"/>
        <v>2</v>
      </c>
      <c r="J27" s="55" t="str">
        <f t="shared" si="4"/>
        <v>121.3</v>
      </c>
      <c r="K27" s="54"/>
      <c r="L27" s="54">
        <v>12</v>
      </c>
      <c r="M27" s="54">
        <v>5</v>
      </c>
      <c r="N27" s="54">
        <v>18</v>
      </c>
      <c r="O27" s="54"/>
      <c r="P27" s="54"/>
      <c r="Q27" s="53">
        <f t="shared" si="5"/>
        <v>5.833333333333333</v>
      </c>
      <c r="R27" s="52">
        <f t="shared" si="6"/>
        <v>1.8782379449307745</v>
      </c>
      <c r="S27" s="46">
        <f t="shared" si="7"/>
        <v>5.833333333333333</v>
      </c>
      <c r="T27" s="45"/>
    </row>
    <row r="28" spans="2:24">
      <c r="B28" s="55">
        <v>303</v>
      </c>
      <c r="C28" s="55" t="s">
        <v>12</v>
      </c>
      <c r="D28" s="55">
        <v>8</v>
      </c>
      <c r="E28" s="56">
        <f t="shared" si="0"/>
        <v>2</v>
      </c>
      <c r="F28" s="56">
        <f t="shared" si="1"/>
        <v>1</v>
      </c>
      <c r="G28" s="56">
        <f t="shared" si="2"/>
        <v>1</v>
      </c>
      <c r="H28" s="55">
        <v>3</v>
      </c>
      <c r="I28" s="55">
        <f t="shared" si="3"/>
        <v>3</v>
      </c>
      <c r="J28" s="55" t="str">
        <f t="shared" si="4"/>
        <v>211.3</v>
      </c>
      <c r="K28" s="54"/>
      <c r="L28" s="54"/>
      <c r="M28" s="54">
        <v>9</v>
      </c>
      <c r="N28" s="54">
        <v>4</v>
      </c>
      <c r="O28" s="54"/>
      <c r="P28" s="54"/>
      <c r="Q28" s="53">
        <f t="shared" si="5"/>
        <v>3.25</v>
      </c>
      <c r="R28" s="52">
        <f t="shared" si="6"/>
        <v>1.25</v>
      </c>
      <c r="S28" s="46">
        <f t="shared" si="7"/>
        <v>3.25</v>
      </c>
      <c r="T28" s="45"/>
    </row>
    <row r="29" spans="2:24">
      <c r="B29" s="55">
        <v>304</v>
      </c>
      <c r="C29" s="55" t="s">
        <v>13</v>
      </c>
      <c r="D29" s="55">
        <v>2</v>
      </c>
      <c r="E29" s="56">
        <f t="shared" si="0"/>
        <v>1</v>
      </c>
      <c r="F29" s="56">
        <f t="shared" si="1"/>
        <v>1</v>
      </c>
      <c r="G29" s="56">
        <f t="shared" si="2"/>
        <v>1</v>
      </c>
      <c r="H29" s="55">
        <v>3</v>
      </c>
      <c r="I29" s="55">
        <f t="shared" si="3"/>
        <v>4</v>
      </c>
      <c r="J29" s="55" t="str">
        <f t="shared" si="4"/>
        <v>111.3</v>
      </c>
      <c r="K29" s="54"/>
      <c r="L29" s="54"/>
      <c r="M29" s="54">
        <v>10</v>
      </c>
      <c r="N29" s="54">
        <v>16</v>
      </c>
      <c r="O29" s="54"/>
      <c r="P29" s="54"/>
      <c r="Q29" s="53">
        <f t="shared" si="5"/>
        <v>6.5</v>
      </c>
      <c r="R29" s="52">
        <f t="shared" si="6"/>
        <v>1.4999999999999998</v>
      </c>
      <c r="S29" s="46">
        <f t="shared" si="7"/>
        <v>6.5</v>
      </c>
      <c r="T29" s="45"/>
      <c r="X29" s="38"/>
    </row>
    <row r="30" spans="2:24">
      <c r="B30" s="69">
        <v>305</v>
      </c>
      <c r="C30" s="69" t="s">
        <v>11</v>
      </c>
      <c r="D30" s="69">
        <v>11</v>
      </c>
      <c r="E30" s="70">
        <f t="shared" si="0"/>
        <v>2</v>
      </c>
      <c r="F30" s="70">
        <f t="shared" si="1"/>
        <v>3</v>
      </c>
      <c r="G30" s="70">
        <f t="shared" si="2"/>
        <v>2</v>
      </c>
      <c r="H30" s="69">
        <v>4</v>
      </c>
      <c r="I30" s="69">
        <f t="shared" si="3"/>
        <v>5</v>
      </c>
      <c r="J30" s="69" t="str">
        <f t="shared" si="4"/>
        <v>232.4</v>
      </c>
      <c r="K30" s="68"/>
      <c r="L30" s="68"/>
      <c r="M30" s="68">
        <v>35</v>
      </c>
      <c r="N30" s="68">
        <v>24</v>
      </c>
      <c r="O30" s="68"/>
      <c r="P30" s="68"/>
      <c r="Q30" s="67">
        <f t="shared" si="5"/>
        <v>14.75</v>
      </c>
      <c r="R30" s="66">
        <f t="shared" si="6"/>
        <v>2.7499999999999996</v>
      </c>
      <c r="S30" s="46">
        <f t="shared" si="7"/>
        <v>7.375</v>
      </c>
      <c r="T30" s="45"/>
    </row>
    <row r="31" spans="2:24">
      <c r="B31" s="55">
        <v>306</v>
      </c>
      <c r="C31" s="55" t="s">
        <v>4</v>
      </c>
      <c r="D31" s="55">
        <v>4</v>
      </c>
      <c r="E31" s="56">
        <f t="shared" si="0"/>
        <v>1</v>
      </c>
      <c r="F31" s="56">
        <f t="shared" si="1"/>
        <v>2</v>
      </c>
      <c r="G31" s="56">
        <f t="shared" si="2"/>
        <v>1</v>
      </c>
      <c r="H31" s="55">
        <v>4</v>
      </c>
      <c r="I31" s="55">
        <f t="shared" si="3"/>
        <v>6</v>
      </c>
      <c r="J31" s="55" t="str">
        <f t="shared" si="4"/>
        <v>121.4</v>
      </c>
      <c r="K31" s="54"/>
      <c r="L31" s="54"/>
      <c r="M31" s="54">
        <v>14</v>
      </c>
      <c r="N31" s="54">
        <v>22</v>
      </c>
      <c r="O31" s="54"/>
      <c r="P31" s="54"/>
      <c r="Q31" s="53">
        <f t="shared" si="5"/>
        <v>9</v>
      </c>
      <c r="R31" s="52">
        <f t="shared" si="6"/>
        <v>2</v>
      </c>
      <c r="S31" s="46">
        <f t="shared" si="7"/>
        <v>9</v>
      </c>
      <c r="T31" s="45"/>
    </row>
    <row r="32" spans="2:24">
      <c r="B32" s="55">
        <v>307</v>
      </c>
      <c r="C32" s="55" t="s">
        <v>7</v>
      </c>
      <c r="D32" s="55">
        <v>9</v>
      </c>
      <c r="E32" s="56">
        <f t="shared" si="0"/>
        <v>2</v>
      </c>
      <c r="F32" s="56">
        <f t="shared" si="1"/>
        <v>2</v>
      </c>
      <c r="G32" s="56">
        <f t="shared" si="2"/>
        <v>2</v>
      </c>
      <c r="H32" s="55">
        <v>4</v>
      </c>
      <c r="I32" s="55">
        <f t="shared" si="3"/>
        <v>7</v>
      </c>
      <c r="J32" s="55" t="str">
        <f t="shared" si="4"/>
        <v>222.4</v>
      </c>
      <c r="K32" s="54"/>
      <c r="L32" s="54"/>
      <c r="M32" s="54">
        <v>13</v>
      </c>
      <c r="N32" s="54">
        <v>11</v>
      </c>
      <c r="O32" s="54"/>
      <c r="P32" s="54"/>
      <c r="Q32" s="53">
        <f t="shared" si="5"/>
        <v>6</v>
      </c>
      <c r="R32" s="52">
        <f t="shared" si="6"/>
        <v>0.5</v>
      </c>
      <c r="S32" s="46">
        <f t="shared" si="7"/>
        <v>6</v>
      </c>
      <c r="T32" s="45"/>
    </row>
    <row r="33" spans="2:23" ht="13.5" thickBot="1">
      <c r="B33" s="73">
        <v>308</v>
      </c>
      <c r="C33" s="73" t="s">
        <v>5</v>
      </c>
      <c r="D33" s="73">
        <v>5</v>
      </c>
      <c r="E33" s="74">
        <f t="shared" si="0"/>
        <v>1</v>
      </c>
      <c r="F33" s="74">
        <f t="shared" si="1"/>
        <v>3</v>
      </c>
      <c r="G33" s="74">
        <f t="shared" si="2"/>
        <v>2</v>
      </c>
      <c r="H33" s="73">
        <v>4</v>
      </c>
      <c r="I33" s="73">
        <f t="shared" si="3"/>
        <v>8</v>
      </c>
      <c r="J33" s="73" t="str">
        <f t="shared" si="4"/>
        <v>132.4</v>
      </c>
      <c r="K33" s="72"/>
      <c r="L33" s="72"/>
      <c r="M33" s="72">
        <v>20</v>
      </c>
      <c r="N33" s="72">
        <v>21</v>
      </c>
      <c r="O33" s="72"/>
      <c r="P33" s="72"/>
      <c r="Q33" s="72">
        <f t="shared" si="5"/>
        <v>10.25</v>
      </c>
      <c r="R33" s="71">
        <f t="shared" si="6"/>
        <v>0.25</v>
      </c>
      <c r="S33" s="46">
        <f t="shared" si="7"/>
        <v>5.125</v>
      </c>
      <c r="T33" s="45"/>
    </row>
    <row r="34" spans="2:23">
      <c r="B34" s="61">
        <v>401</v>
      </c>
      <c r="C34" s="61" t="s">
        <v>14</v>
      </c>
      <c r="D34" s="61">
        <v>7</v>
      </c>
      <c r="E34" s="62">
        <f t="shared" si="0"/>
        <v>2</v>
      </c>
      <c r="F34" s="62">
        <f t="shared" si="1"/>
        <v>1</v>
      </c>
      <c r="G34" s="62">
        <f t="shared" si="2"/>
        <v>2</v>
      </c>
      <c r="H34" s="61">
        <v>3</v>
      </c>
      <c r="I34" s="61">
        <f t="shared" si="3"/>
        <v>1</v>
      </c>
      <c r="J34" s="61" t="str">
        <f t="shared" si="4"/>
        <v>212.3</v>
      </c>
      <c r="K34" s="60"/>
      <c r="L34" s="60"/>
      <c r="M34" s="60">
        <v>3</v>
      </c>
      <c r="N34" s="60">
        <v>12</v>
      </c>
      <c r="O34" s="60"/>
      <c r="P34" s="60"/>
      <c r="Q34" s="53">
        <f t="shared" si="5"/>
        <v>3.75</v>
      </c>
      <c r="R34" s="53">
        <f t="shared" si="6"/>
        <v>2.25</v>
      </c>
      <c r="S34" s="46">
        <f t="shared" si="7"/>
        <v>3.75</v>
      </c>
      <c r="T34" s="45"/>
    </row>
    <row r="35" spans="2:23">
      <c r="B35" s="55">
        <v>402</v>
      </c>
      <c r="C35" s="55" t="s">
        <v>7</v>
      </c>
      <c r="D35" s="55">
        <v>9</v>
      </c>
      <c r="E35" s="56">
        <f t="shared" si="0"/>
        <v>2</v>
      </c>
      <c r="F35" s="56">
        <f t="shared" si="1"/>
        <v>2</v>
      </c>
      <c r="G35" s="56">
        <f t="shared" si="2"/>
        <v>2</v>
      </c>
      <c r="H35" s="55">
        <v>3</v>
      </c>
      <c r="I35" s="55">
        <f t="shared" si="3"/>
        <v>2</v>
      </c>
      <c r="J35" s="55" t="str">
        <f t="shared" si="4"/>
        <v>222.3</v>
      </c>
      <c r="K35" s="54"/>
      <c r="L35" s="54">
        <v>12</v>
      </c>
      <c r="M35" s="54">
        <v>6</v>
      </c>
      <c r="N35" s="54">
        <v>18</v>
      </c>
      <c r="O35" s="54"/>
      <c r="P35" s="54"/>
      <c r="Q35" s="53">
        <f t="shared" si="5"/>
        <v>6</v>
      </c>
      <c r="R35" s="52">
        <f t="shared" si="6"/>
        <v>1.7320508075688774</v>
      </c>
      <c r="S35" s="46">
        <f t="shared" si="7"/>
        <v>6</v>
      </c>
      <c r="T35" s="45"/>
    </row>
    <row r="36" spans="2:23">
      <c r="B36" s="69">
        <v>403</v>
      </c>
      <c r="C36" s="69" t="s">
        <v>15</v>
      </c>
      <c r="D36" s="69">
        <v>6</v>
      </c>
      <c r="E36" s="70">
        <f t="shared" si="0"/>
        <v>1</v>
      </c>
      <c r="F36" s="70">
        <f t="shared" si="1"/>
        <v>3</v>
      </c>
      <c r="G36" s="70">
        <f t="shared" si="2"/>
        <v>1</v>
      </c>
      <c r="H36" s="69">
        <v>3</v>
      </c>
      <c r="I36" s="69">
        <f t="shared" si="3"/>
        <v>3</v>
      </c>
      <c r="J36" s="69" t="str">
        <f t="shared" si="4"/>
        <v>131.3</v>
      </c>
      <c r="K36" s="68"/>
      <c r="L36" s="68"/>
      <c r="M36" s="68">
        <v>27</v>
      </c>
      <c r="N36" s="68">
        <v>18</v>
      </c>
      <c r="O36" s="68"/>
      <c r="P36" s="68"/>
      <c r="Q36" s="67">
        <f t="shared" si="5"/>
        <v>11.25</v>
      </c>
      <c r="R36" s="66">
        <f t="shared" si="6"/>
        <v>2.25</v>
      </c>
      <c r="S36" s="46">
        <f t="shared" si="7"/>
        <v>5.625</v>
      </c>
      <c r="T36" s="45"/>
    </row>
    <row r="37" spans="2:23">
      <c r="B37" s="55">
        <v>404</v>
      </c>
      <c r="C37" s="55" t="s">
        <v>8</v>
      </c>
      <c r="D37" s="55">
        <v>3</v>
      </c>
      <c r="E37" s="56">
        <f t="shared" si="0"/>
        <v>1</v>
      </c>
      <c r="F37" s="56">
        <f t="shared" si="1"/>
        <v>2</v>
      </c>
      <c r="G37" s="56">
        <f t="shared" si="2"/>
        <v>2</v>
      </c>
      <c r="H37" s="55">
        <v>3</v>
      </c>
      <c r="I37" s="55">
        <f t="shared" si="3"/>
        <v>4</v>
      </c>
      <c r="J37" s="55" t="str">
        <f t="shared" si="4"/>
        <v>122.3</v>
      </c>
      <c r="K37" s="54"/>
      <c r="L37" s="54"/>
      <c r="M37" s="54">
        <v>16</v>
      </c>
      <c r="N37" s="54">
        <v>18</v>
      </c>
      <c r="O37" s="54"/>
      <c r="P37" s="54"/>
      <c r="Q37" s="53">
        <f t="shared" si="5"/>
        <v>8.5</v>
      </c>
      <c r="R37" s="52">
        <f t="shared" si="6"/>
        <v>0.5</v>
      </c>
      <c r="S37" s="46">
        <f t="shared" si="7"/>
        <v>8.5</v>
      </c>
      <c r="T37" s="45"/>
    </row>
    <row r="38" spans="2:23">
      <c r="B38" s="69">
        <v>405</v>
      </c>
      <c r="C38" s="69" t="s">
        <v>15</v>
      </c>
      <c r="D38" s="69">
        <v>6</v>
      </c>
      <c r="E38" s="70">
        <f t="shared" si="0"/>
        <v>1</v>
      </c>
      <c r="F38" s="70">
        <f t="shared" si="1"/>
        <v>3</v>
      </c>
      <c r="G38" s="70">
        <f t="shared" si="2"/>
        <v>1</v>
      </c>
      <c r="H38" s="69">
        <v>4</v>
      </c>
      <c r="I38" s="69">
        <f t="shared" si="3"/>
        <v>5</v>
      </c>
      <c r="J38" s="69" t="str">
        <f t="shared" si="4"/>
        <v>131.4</v>
      </c>
      <c r="K38" s="68"/>
      <c r="L38" s="68"/>
      <c r="M38" s="68">
        <v>28</v>
      </c>
      <c r="N38" s="68">
        <v>19</v>
      </c>
      <c r="O38" s="68"/>
      <c r="P38" s="68"/>
      <c r="Q38" s="67">
        <f t="shared" si="5"/>
        <v>11.75</v>
      </c>
      <c r="R38" s="66">
        <f t="shared" si="6"/>
        <v>2.25</v>
      </c>
      <c r="S38" s="46">
        <f t="shared" si="7"/>
        <v>5.875</v>
      </c>
      <c r="T38" s="45"/>
    </row>
    <row r="39" spans="2:23">
      <c r="B39" s="55">
        <v>406</v>
      </c>
      <c r="C39" s="55" t="s">
        <v>8</v>
      </c>
      <c r="D39" s="55">
        <v>3</v>
      </c>
      <c r="E39" s="56">
        <f t="shared" si="0"/>
        <v>1</v>
      </c>
      <c r="F39" s="56">
        <f t="shared" si="1"/>
        <v>2</v>
      </c>
      <c r="G39" s="56">
        <f t="shared" si="2"/>
        <v>2</v>
      </c>
      <c r="H39" s="55">
        <v>4</v>
      </c>
      <c r="I39" s="55">
        <f t="shared" si="3"/>
        <v>6</v>
      </c>
      <c r="J39" s="55" t="str">
        <f t="shared" si="4"/>
        <v>122.4</v>
      </c>
      <c r="K39" s="54"/>
      <c r="L39" s="54"/>
      <c r="M39" s="54">
        <v>11</v>
      </c>
      <c r="N39" s="54">
        <v>16</v>
      </c>
      <c r="O39" s="54"/>
      <c r="P39" s="54"/>
      <c r="Q39" s="53">
        <f t="shared" si="5"/>
        <v>6.75</v>
      </c>
      <c r="R39" s="52">
        <f t="shared" si="6"/>
        <v>1.25</v>
      </c>
      <c r="S39" s="46">
        <f t="shared" si="7"/>
        <v>6.75</v>
      </c>
      <c r="T39" s="45"/>
    </row>
    <row r="40" spans="2:23">
      <c r="B40" s="55">
        <v>407</v>
      </c>
      <c r="C40" s="55" t="s">
        <v>14</v>
      </c>
      <c r="D40" s="55">
        <v>7</v>
      </c>
      <c r="E40" s="56">
        <f t="shared" si="0"/>
        <v>2</v>
      </c>
      <c r="F40" s="56">
        <f t="shared" si="1"/>
        <v>1</v>
      </c>
      <c r="G40" s="56">
        <f t="shared" si="2"/>
        <v>2</v>
      </c>
      <c r="H40" s="55">
        <v>4</v>
      </c>
      <c r="I40" s="55">
        <f t="shared" si="3"/>
        <v>7</v>
      </c>
      <c r="J40" s="55" t="str">
        <f t="shared" si="4"/>
        <v>212.4</v>
      </c>
      <c r="K40" s="54"/>
      <c r="L40" s="54"/>
      <c r="M40" s="54">
        <v>13</v>
      </c>
      <c r="N40" s="54">
        <v>9</v>
      </c>
      <c r="O40" s="54"/>
      <c r="P40" s="54"/>
      <c r="Q40" s="53">
        <f t="shared" si="5"/>
        <v>5.5</v>
      </c>
      <c r="R40" s="52">
        <f t="shared" si="6"/>
        <v>1</v>
      </c>
      <c r="S40" s="46">
        <f t="shared" si="7"/>
        <v>5.5</v>
      </c>
      <c r="T40" s="45"/>
      <c r="V40" s="65" t="s">
        <v>307</v>
      </c>
      <c r="W40" s="63"/>
    </row>
    <row r="41" spans="2:23" ht="13.5" thickBot="1">
      <c r="B41" s="49">
        <v>408</v>
      </c>
      <c r="C41" s="49" t="s">
        <v>6</v>
      </c>
      <c r="D41" s="49">
        <v>10</v>
      </c>
      <c r="E41" s="50">
        <f t="shared" si="0"/>
        <v>2</v>
      </c>
      <c r="F41" s="50">
        <f t="shared" si="1"/>
        <v>2</v>
      </c>
      <c r="G41" s="50">
        <f t="shared" si="2"/>
        <v>1</v>
      </c>
      <c r="H41" s="49">
        <v>4</v>
      </c>
      <c r="I41" s="49">
        <f t="shared" si="3"/>
        <v>8</v>
      </c>
      <c r="J41" s="49" t="str">
        <f t="shared" si="4"/>
        <v>221.4</v>
      </c>
      <c r="K41" s="48"/>
      <c r="L41" s="48"/>
      <c r="M41" s="48">
        <v>13</v>
      </c>
      <c r="N41" s="48">
        <v>16</v>
      </c>
      <c r="O41" s="48"/>
      <c r="P41" s="48"/>
      <c r="Q41" s="48">
        <f t="shared" si="5"/>
        <v>7.25</v>
      </c>
      <c r="R41" s="47">
        <f t="shared" si="6"/>
        <v>0.74999999999999989</v>
      </c>
      <c r="S41" s="46">
        <f t="shared" si="7"/>
        <v>7.25</v>
      </c>
      <c r="T41" s="82" t="s">
        <v>352</v>
      </c>
      <c r="V41" s="65" t="s">
        <v>332</v>
      </c>
      <c r="W41" s="63" t="s">
        <v>304</v>
      </c>
    </row>
    <row r="42" spans="2:23">
      <c r="B42" s="61">
        <v>901</v>
      </c>
      <c r="C42" s="61" t="s">
        <v>16</v>
      </c>
      <c r="D42" s="61">
        <v>32</v>
      </c>
      <c r="E42" s="62">
        <v>9</v>
      </c>
      <c r="F42" s="62">
        <v>0</v>
      </c>
      <c r="G42" s="62">
        <v>1</v>
      </c>
      <c r="H42" s="61">
        <v>1</v>
      </c>
      <c r="I42" s="61">
        <f t="shared" si="3"/>
        <v>1</v>
      </c>
      <c r="J42" s="61" t="str">
        <f t="shared" si="4"/>
        <v>901.1</v>
      </c>
      <c r="K42" s="60"/>
      <c r="L42" s="60"/>
      <c r="M42" s="60">
        <v>0</v>
      </c>
      <c r="N42" s="60">
        <v>0</v>
      </c>
      <c r="O42" s="60"/>
      <c r="P42" s="60"/>
      <c r="Q42" s="53">
        <f t="shared" si="5"/>
        <v>0</v>
      </c>
      <c r="R42" s="53">
        <f t="shared" si="6"/>
        <v>0</v>
      </c>
      <c r="S42" s="46">
        <f t="shared" si="7"/>
        <v>0</v>
      </c>
      <c r="V42" s="59">
        <v>1</v>
      </c>
      <c r="W42" s="63">
        <v>9.7447916666666679</v>
      </c>
    </row>
    <row r="43" spans="2:23">
      <c r="B43" s="55">
        <v>902</v>
      </c>
      <c r="C43" s="57" t="s">
        <v>302</v>
      </c>
      <c r="D43" s="55">
        <v>22</v>
      </c>
      <c r="E43" s="56">
        <v>4</v>
      </c>
      <c r="F43" s="56">
        <v>2</v>
      </c>
      <c r="G43" s="56">
        <v>2</v>
      </c>
      <c r="H43" s="55">
        <v>1</v>
      </c>
      <c r="I43" s="55">
        <f t="shared" si="3"/>
        <v>2</v>
      </c>
      <c r="J43" s="55" t="str">
        <f t="shared" si="4"/>
        <v>422.1</v>
      </c>
      <c r="K43" s="54"/>
      <c r="L43" s="54">
        <v>8</v>
      </c>
      <c r="M43" s="54">
        <v>10</v>
      </c>
      <c r="N43" s="54">
        <v>19</v>
      </c>
      <c r="O43" s="54"/>
      <c r="P43" s="54"/>
      <c r="Q43" s="53">
        <f t="shared" si="5"/>
        <v>6.166666666666667</v>
      </c>
      <c r="R43" s="52">
        <f t="shared" si="6"/>
        <v>1.6914819275153703</v>
      </c>
      <c r="S43" s="46">
        <f t="shared" si="7"/>
        <v>6.166666666666667</v>
      </c>
      <c r="T43" s="45"/>
      <c r="V43" s="42">
        <v>2</v>
      </c>
      <c r="W43" s="94">
        <v>9.5052083333333339</v>
      </c>
    </row>
    <row r="44" spans="2:23">
      <c r="B44" s="55">
        <v>903</v>
      </c>
      <c r="C44" s="55" t="s">
        <v>17</v>
      </c>
      <c r="D44" s="55">
        <v>31</v>
      </c>
      <c r="E44" s="56">
        <v>8</v>
      </c>
      <c r="F44" s="56">
        <v>0</v>
      </c>
      <c r="G44" s="56">
        <v>1</v>
      </c>
      <c r="H44" s="55">
        <v>1</v>
      </c>
      <c r="I44" s="55">
        <f t="shared" si="3"/>
        <v>3</v>
      </c>
      <c r="J44" s="55" t="str">
        <f t="shared" si="4"/>
        <v>801.1</v>
      </c>
      <c r="K44" s="54"/>
      <c r="L44" s="54"/>
      <c r="M44" s="54">
        <v>0</v>
      </c>
      <c r="N44" s="54">
        <v>0</v>
      </c>
      <c r="O44" s="54"/>
      <c r="P44" s="54"/>
      <c r="Q44" s="53">
        <f t="shared" si="5"/>
        <v>0</v>
      </c>
      <c r="R44" s="52">
        <f t="shared" si="6"/>
        <v>0</v>
      </c>
      <c r="S44" s="46">
        <f t="shared" si="7"/>
        <v>0</v>
      </c>
      <c r="T44" s="45"/>
    </row>
    <row r="45" spans="2:23">
      <c r="B45" s="55">
        <v>904</v>
      </c>
      <c r="C45" s="57" t="s">
        <v>301</v>
      </c>
      <c r="D45" s="55">
        <v>21</v>
      </c>
      <c r="E45" s="56">
        <v>3</v>
      </c>
      <c r="F45" s="56">
        <v>2</v>
      </c>
      <c r="G45" s="56">
        <v>2</v>
      </c>
      <c r="H45" s="55">
        <v>1</v>
      </c>
      <c r="I45" s="55">
        <f t="shared" si="3"/>
        <v>4</v>
      </c>
      <c r="J45" s="55" t="str">
        <f t="shared" si="4"/>
        <v>322.1</v>
      </c>
      <c r="K45" s="54"/>
      <c r="L45" s="54"/>
      <c r="M45" s="54">
        <v>13</v>
      </c>
      <c r="N45" s="54">
        <v>14</v>
      </c>
      <c r="O45" s="54"/>
      <c r="P45" s="54"/>
      <c r="Q45" s="53">
        <f t="shared" si="5"/>
        <v>6.75</v>
      </c>
      <c r="R45" s="52">
        <f t="shared" si="6"/>
        <v>0.25</v>
      </c>
      <c r="S45" s="46">
        <f t="shared" si="7"/>
        <v>6.75</v>
      </c>
      <c r="T45" s="45"/>
    </row>
    <row r="46" spans="2:23">
      <c r="B46" s="55">
        <v>905</v>
      </c>
      <c r="C46" s="55" t="s">
        <v>16</v>
      </c>
      <c r="D46" s="55">
        <v>32</v>
      </c>
      <c r="E46" s="56">
        <v>9</v>
      </c>
      <c r="F46" s="56">
        <v>0</v>
      </c>
      <c r="G46" s="56">
        <v>1</v>
      </c>
      <c r="H46" s="55">
        <v>2</v>
      </c>
      <c r="I46" s="55">
        <f t="shared" si="3"/>
        <v>5</v>
      </c>
      <c r="J46" s="55" t="str">
        <f t="shared" si="4"/>
        <v>901.2</v>
      </c>
      <c r="K46" s="54"/>
      <c r="L46" s="54"/>
      <c r="M46" s="54">
        <v>0</v>
      </c>
      <c r="N46" s="54">
        <v>0</v>
      </c>
      <c r="O46" s="54"/>
      <c r="P46" s="54"/>
      <c r="Q46" s="53">
        <f t="shared" si="5"/>
        <v>0</v>
      </c>
      <c r="R46" s="52">
        <f t="shared" si="6"/>
        <v>0</v>
      </c>
      <c r="S46" s="46">
        <f t="shared" si="7"/>
        <v>0</v>
      </c>
      <c r="T46" s="45"/>
    </row>
    <row r="47" spans="2:23">
      <c r="B47" s="55">
        <v>906</v>
      </c>
      <c r="C47" s="57" t="s">
        <v>302</v>
      </c>
      <c r="D47" s="55">
        <v>22</v>
      </c>
      <c r="E47" s="56">
        <v>4</v>
      </c>
      <c r="F47" s="56">
        <v>2</v>
      </c>
      <c r="G47" s="56">
        <v>2</v>
      </c>
      <c r="H47" s="55">
        <v>2</v>
      </c>
      <c r="I47" s="55">
        <f t="shared" si="3"/>
        <v>6</v>
      </c>
      <c r="J47" s="55" t="str">
        <f t="shared" si="4"/>
        <v>422.2</v>
      </c>
      <c r="K47" s="54"/>
      <c r="L47" s="54"/>
      <c r="M47" s="54">
        <v>9</v>
      </c>
      <c r="N47" s="54">
        <v>11</v>
      </c>
      <c r="O47" s="54"/>
      <c r="P47" s="54"/>
      <c r="Q47" s="53">
        <f t="shared" si="5"/>
        <v>5</v>
      </c>
      <c r="R47" s="52">
        <f t="shared" si="6"/>
        <v>0.5</v>
      </c>
      <c r="S47" s="46">
        <f t="shared" si="7"/>
        <v>5</v>
      </c>
      <c r="T47" s="45"/>
    </row>
    <row r="48" spans="2:23">
      <c r="B48" s="55">
        <v>907</v>
      </c>
      <c r="C48" s="55" t="s">
        <v>17</v>
      </c>
      <c r="D48" s="55">
        <v>31</v>
      </c>
      <c r="E48" s="56">
        <v>8</v>
      </c>
      <c r="F48" s="56">
        <v>0</v>
      </c>
      <c r="G48" s="56">
        <v>1</v>
      </c>
      <c r="H48" s="55">
        <v>2</v>
      </c>
      <c r="I48" s="55">
        <f t="shared" si="3"/>
        <v>7</v>
      </c>
      <c r="J48" s="55" t="str">
        <f t="shared" si="4"/>
        <v>801.2</v>
      </c>
      <c r="K48" s="54"/>
      <c r="L48" s="54"/>
      <c r="M48" s="54">
        <v>0</v>
      </c>
      <c r="N48" s="54">
        <v>0</v>
      </c>
      <c r="O48" s="54"/>
      <c r="P48" s="54"/>
      <c r="Q48" s="53">
        <f t="shared" si="5"/>
        <v>0</v>
      </c>
      <c r="R48" s="52">
        <f t="shared" si="6"/>
        <v>0</v>
      </c>
      <c r="S48" s="46">
        <f t="shared" si="7"/>
        <v>0</v>
      </c>
      <c r="T48" s="45"/>
    </row>
    <row r="49" spans="2:20" ht="13.5" thickBot="1">
      <c r="B49" s="49">
        <v>908</v>
      </c>
      <c r="C49" s="51" t="s">
        <v>301</v>
      </c>
      <c r="D49" s="49">
        <v>21</v>
      </c>
      <c r="E49" s="50">
        <v>3</v>
      </c>
      <c r="F49" s="50">
        <v>2</v>
      </c>
      <c r="G49" s="50">
        <v>2</v>
      </c>
      <c r="H49" s="49">
        <v>2</v>
      </c>
      <c r="I49" s="49">
        <f t="shared" si="3"/>
        <v>8</v>
      </c>
      <c r="J49" s="49" t="str">
        <f t="shared" si="4"/>
        <v>322.2</v>
      </c>
      <c r="K49" s="48"/>
      <c r="L49" s="48"/>
      <c r="M49" s="48">
        <v>13</v>
      </c>
      <c r="N49" s="48">
        <v>18</v>
      </c>
      <c r="O49" s="48"/>
      <c r="P49" s="48"/>
      <c r="Q49" s="48">
        <f t="shared" si="5"/>
        <v>7.75</v>
      </c>
      <c r="R49" s="47">
        <f t="shared" si="6"/>
        <v>1.25</v>
      </c>
      <c r="S49" s="46">
        <f t="shared" si="7"/>
        <v>7.75</v>
      </c>
      <c r="T49" s="45"/>
    </row>
  </sheetData>
  <pageMargins left="0.75" right="0.75" top="1" bottom="1" header="0.5" footer="0.5"/>
  <pageSetup orientation="portrait" r:id="rId3"/>
  <headerFooter alignWithMargins="0"/>
  <drawing r:id="rId4"/>
  <legacyDrawing r:id="rId5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E60B5-026F-455C-99B9-80239B0987D0}">
  <dimension ref="A1:X53"/>
  <sheetViews>
    <sheetView workbookViewId="0">
      <selection activeCell="N10" sqref="N10:N49"/>
    </sheetView>
  </sheetViews>
  <sheetFormatPr defaultRowHeight="12.75"/>
  <cols>
    <col min="1" max="18" width="9.140625" style="37"/>
    <col min="19" max="19" width="12.42578125" style="37" customWidth="1"/>
    <col min="20" max="20" width="45.7109375" style="37" customWidth="1"/>
    <col min="21" max="21" width="9.140625" style="37"/>
    <col min="22" max="22" width="23.5703125" style="37" customWidth="1"/>
    <col min="23" max="23" width="5.5703125" style="37" customWidth="1"/>
    <col min="24" max="24" width="5.42578125" style="37" customWidth="1"/>
    <col min="25" max="26" width="4.5703125" style="37" customWidth="1"/>
    <col min="27" max="27" width="10.5703125" style="37" bestFit="1" customWidth="1"/>
    <col min="28" max="16384" width="9.140625" style="37"/>
  </cols>
  <sheetData>
    <row r="1" spans="1:23" ht="22.5" customHeight="1">
      <c r="A1" s="93" t="s">
        <v>340</v>
      </c>
    </row>
    <row r="2" spans="1:23">
      <c r="Q2" s="92" t="s">
        <v>359</v>
      </c>
    </row>
    <row r="3" spans="1:23" ht="13.5" thickBot="1">
      <c r="A3" s="92"/>
      <c r="B3" s="104" t="s">
        <v>339</v>
      </c>
      <c r="C3" s="96"/>
      <c r="E3" s="104" t="s">
        <v>338</v>
      </c>
      <c r="F3" s="96"/>
      <c r="H3" s="104" t="s">
        <v>358</v>
      </c>
      <c r="I3" s="96"/>
      <c r="J3" s="96"/>
      <c r="Q3" s="117" t="s">
        <v>357</v>
      </c>
      <c r="R3" s="118"/>
      <c r="S3" s="91">
        <f>AVERAGE(Q10:Q11,Q13,Q15:Q17,Q19:Q20,Q22:Q29,Q31:Q32,Q34:Q35,Q37,Q39:Q41)</f>
        <v>5.46875</v>
      </c>
    </row>
    <row r="4" spans="1:23" ht="18.75" customHeight="1" thickBot="1">
      <c r="E4" s="104" t="s">
        <v>337</v>
      </c>
      <c r="F4" s="96"/>
      <c r="H4" s="104" t="s">
        <v>350</v>
      </c>
      <c r="I4" s="96"/>
      <c r="J4" s="96"/>
      <c r="Q4" s="117" t="s">
        <v>356</v>
      </c>
      <c r="R4" s="118"/>
      <c r="S4" s="91">
        <f>AVERAGE(Q12,Q14,Q18,Q21,Q30,Q36,Q38,Q33)</f>
        <v>10.75</v>
      </c>
    </row>
    <row r="6" spans="1:23" ht="13.5" thickBot="1">
      <c r="B6" s="104" t="s">
        <v>336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</row>
    <row r="7" spans="1:23" ht="13.5" thickBot="1"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</row>
    <row r="8" spans="1:23" ht="13.5" thickBot="1"/>
    <row r="9" spans="1:23" ht="39" thickBot="1">
      <c r="B9" s="88" t="s">
        <v>0</v>
      </c>
      <c r="C9" s="89" t="s">
        <v>305</v>
      </c>
      <c r="D9" s="89" t="s">
        <v>333</v>
      </c>
      <c r="E9" s="88" t="s">
        <v>332</v>
      </c>
      <c r="F9" s="89" t="s">
        <v>331</v>
      </c>
      <c r="G9" s="88" t="s">
        <v>330</v>
      </c>
      <c r="H9" s="88" t="s">
        <v>329</v>
      </c>
      <c r="I9" s="88" t="s">
        <v>315</v>
      </c>
      <c r="J9" s="88" t="s">
        <v>328</v>
      </c>
      <c r="K9" s="86" t="s">
        <v>327</v>
      </c>
      <c r="L9" s="86" t="s">
        <v>326</v>
      </c>
      <c r="M9" s="86" t="s">
        <v>325</v>
      </c>
      <c r="N9" s="86" t="s">
        <v>324</v>
      </c>
      <c r="O9" s="86" t="s">
        <v>323</v>
      </c>
      <c r="P9" s="86" t="s">
        <v>322</v>
      </c>
      <c r="Q9" s="87" t="s">
        <v>321</v>
      </c>
      <c r="R9" s="86" t="s">
        <v>320</v>
      </c>
      <c r="S9" s="87" t="s">
        <v>319</v>
      </c>
      <c r="T9" s="103" t="s">
        <v>318</v>
      </c>
    </row>
    <row r="10" spans="1:23">
      <c r="B10" s="61">
        <v>101</v>
      </c>
      <c r="C10" s="62" t="s">
        <v>3</v>
      </c>
      <c r="D10" s="62">
        <v>1</v>
      </c>
      <c r="E10" s="62">
        <f t="shared" ref="E10:E41" si="0">IF(LEFT($C10,1)="F",1,2)</f>
        <v>1</v>
      </c>
      <c r="F10" s="62">
        <f t="shared" ref="F10:F41" si="1">IF(MID($C10,2,1)="S",1,IF(MID($C10,2,1)="T",2,IF(MID($C10,2,1)="D",3,0)))</f>
        <v>1</v>
      </c>
      <c r="G10" s="62">
        <f t="shared" ref="G10:G41" si="2">IF(RIGHT($C10,1)="L",1,2)</f>
        <v>2</v>
      </c>
      <c r="H10" s="61">
        <v>1</v>
      </c>
      <c r="I10" s="61">
        <f t="shared" ref="I10:I49" si="3">B10-INT(B10/100)*100</f>
        <v>1</v>
      </c>
      <c r="J10" s="61" t="str">
        <f t="shared" ref="J10:J49" si="4">(E10&amp;F10&amp;G10&amp;"."&amp;H10)</f>
        <v>112.1</v>
      </c>
      <c r="K10" s="83"/>
      <c r="L10" s="60"/>
      <c r="M10" s="60">
        <v>11</v>
      </c>
      <c r="N10" s="60">
        <v>10</v>
      </c>
      <c r="O10" s="60"/>
      <c r="P10" s="60"/>
      <c r="Q10" s="53">
        <f t="shared" ref="Q10:Q49" si="5">AVERAGE(K10:P10)/2</f>
        <v>5.25</v>
      </c>
      <c r="R10" s="53">
        <f t="shared" ref="R10:R49" si="6">STDEV(K10:P10)/2/SQRT(COUNT(K10:P10))</f>
        <v>0.25</v>
      </c>
      <c r="S10" s="53">
        <f t="shared" ref="S10:S49" si="7">IF(F10=3,Q10/2,Q10)</f>
        <v>5.25</v>
      </c>
      <c r="T10" s="99"/>
      <c r="V10" s="65" t="s">
        <v>316</v>
      </c>
      <c r="W10" s="63"/>
    </row>
    <row r="11" spans="1:23">
      <c r="B11" s="55">
        <v>102</v>
      </c>
      <c r="C11" s="55" t="s">
        <v>4</v>
      </c>
      <c r="D11" s="55">
        <v>4</v>
      </c>
      <c r="E11" s="56">
        <f t="shared" si="0"/>
        <v>1</v>
      </c>
      <c r="F11" s="56">
        <f t="shared" si="1"/>
        <v>2</v>
      </c>
      <c r="G11" s="56">
        <f t="shared" si="2"/>
        <v>1</v>
      </c>
      <c r="H11" s="55">
        <v>1</v>
      </c>
      <c r="I11" s="55">
        <f t="shared" si="3"/>
        <v>2</v>
      </c>
      <c r="J11" s="55" t="str">
        <f t="shared" si="4"/>
        <v>121.1</v>
      </c>
      <c r="K11" s="54"/>
      <c r="L11" s="54"/>
      <c r="M11" s="54">
        <v>3</v>
      </c>
      <c r="N11" s="54">
        <v>13</v>
      </c>
      <c r="O11" s="54"/>
      <c r="P11" s="54"/>
      <c r="Q11" s="53">
        <f t="shared" si="5"/>
        <v>4</v>
      </c>
      <c r="R11" s="52">
        <f t="shared" si="6"/>
        <v>2.5</v>
      </c>
      <c r="S11" s="53">
        <f t="shared" si="7"/>
        <v>4</v>
      </c>
      <c r="T11" s="98"/>
      <c r="V11" s="65" t="s">
        <v>315</v>
      </c>
      <c r="W11" s="63" t="s">
        <v>304</v>
      </c>
    </row>
    <row r="12" spans="1:23">
      <c r="B12" s="69">
        <v>103</v>
      </c>
      <c r="C12" s="69" t="s">
        <v>5</v>
      </c>
      <c r="D12" s="69">
        <v>5</v>
      </c>
      <c r="E12" s="70">
        <f t="shared" si="0"/>
        <v>1</v>
      </c>
      <c r="F12" s="70">
        <f t="shared" si="1"/>
        <v>3</v>
      </c>
      <c r="G12" s="70">
        <f t="shared" si="2"/>
        <v>2</v>
      </c>
      <c r="H12" s="69">
        <v>1</v>
      </c>
      <c r="I12" s="69">
        <f t="shared" si="3"/>
        <v>3</v>
      </c>
      <c r="J12" s="69" t="str">
        <f t="shared" si="4"/>
        <v>132.1</v>
      </c>
      <c r="K12" s="68"/>
      <c r="L12" s="68"/>
      <c r="M12" s="68">
        <v>16</v>
      </c>
      <c r="N12" s="68">
        <v>20</v>
      </c>
      <c r="O12" s="68"/>
      <c r="P12" s="68"/>
      <c r="Q12" s="67">
        <f t="shared" si="5"/>
        <v>9</v>
      </c>
      <c r="R12" s="66">
        <f t="shared" si="6"/>
        <v>1</v>
      </c>
      <c r="S12" s="67">
        <f t="shared" si="7"/>
        <v>4.5</v>
      </c>
      <c r="T12" s="100"/>
      <c r="V12" s="59">
        <v>1</v>
      </c>
      <c r="W12" s="58">
        <v>5.625</v>
      </c>
    </row>
    <row r="13" spans="1:23">
      <c r="B13" s="55">
        <v>104</v>
      </c>
      <c r="C13" s="55" t="s">
        <v>6</v>
      </c>
      <c r="D13" s="55">
        <v>10</v>
      </c>
      <c r="E13" s="56">
        <f t="shared" si="0"/>
        <v>2</v>
      </c>
      <c r="F13" s="56">
        <f t="shared" si="1"/>
        <v>2</v>
      </c>
      <c r="G13" s="56">
        <f t="shared" si="2"/>
        <v>1</v>
      </c>
      <c r="H13" s="55">
        <v>1</v>
      </c>
      <c r="I13" s="55">
        <f t="shared" si="3"/>
        <v>4</v>
      </c>
      <c r="J13" s="55" t="str">
        <f t="shared" si="4"/>
        <v>221.1</v>
      </c>
      <c r="K13" s="54"/>
      <c r="L13" s="54"/>
      <c r="M13" s="54">
        <v>13</v>
      </c>
      <c r="N13" s="54">
        <v>12</v>
      </c>
      <c r="O13" s="54"/>
      <c r="P13" s="54"/>
      <c r="Q13" s="53">
        <f t="shared" si="5"/>
        <v>6.25</v>
      </c>
      <c r="R13" s="52">
        <f t="shared" si="6"/>
        <v>0.25</v>
      </c>
      <c r="S13" s="53">
        <f t="shared" si="7"/>
        <v>6.25</v>
      </c>
      <c r="T13" s="98"/>
      <c r="V13" s="44">
        <v>2</v>
      </c>
      <c r="W13" s="43">
        <v>5.833333333333333</v>
      </c>
    </row>
    <row r="14" spans="1:23">
      <c r="B14" s="69">
        <v>105</v>
      </c>
      <c r="C14" s="69" t="s">
        <v>10</v>
      </c>
      <c r="D14" s="69">
        <v>12</v>
      </c>
      <c r="E14" s="70">
        <f t="shared" si="0"/>
        <v>2</v>
      </c>
      <c r="F14" s="70">
        <f t="shared" si="1"/>
        <v>3</v>
      </c>
      <c r="G14" s="70">
        <f t="shared" si="2"/>
        <v>1</v>
      </c>
      <c r="H14" s="69">
        <v>2</v>
      </c>
      <c r="I14" s="69">
        <f t="shared" si="3"/>
        <v>5</v>
      </c>
      <c r="J14" s="69" t="str">
        <f t="shared" si="4"/>
        <v>231.2</v>
      </c>
      <c r="K14" s="68"/>
      <c r="L14" s="68"/>
      <c r="M14" s="68">
        <v>25</v>
      </c>
      <c r="N14" s="68">
        <v>14</v>
      </c>
      <c r="O14" s="68"/>
      <c r="P14" s="68"/>
      <c r="Q14" s="67">
        <f t="shared" si="5"/>
        <v>9.75</v>
      </c>
      <c r="R14" s="66">
        <f t="shared" si="6"/>
        <v>2.7499999999999996</v>
      </c>
      <c r="S14" s="67">
        <f t="shared" si="7"/>
        <v>4.875</v>
      </c>
      <c r="T14" s="100"/>
      <c r="V14" s="44">
        <v>3</v>
      </c>
      <c r="W14" s="43">
        <v>5.625</v>
      </c>
    </row>
    <row r="15" spans="1:23">
      <c r="B15" s="55">
        <v>106</v>
      </c>
      <c r="C15" s="55" t="s">
        <v>7</v>
      </c>
      <c r="D15" s="55">
        <v>9</v>
      </c>
      <c r="E15" s="56">
        <f t="shared" si="0"/>
        <v>2</v>
      </c>
      <c r="F15" s="56">
        <f t="shared" si="1"/>
        <v>2</v>
      </c>
      <c r="G15" s="56">
        <f t="shared" si="2"/>
        <v>2</v>
      </c>
      <c r="H15" s="55">
        <v>2</v>
      </c>
      <c r="I15" s="55">
        <f t="shared" si="3"/>
        <v>6</v>
      </c>
      <c r="J15" s="55" t="str">
        <f t="shared" si="4"/>
        <v>222.2</v>
      </c>
      <c r="K15" s="54"/>
      <c r="L15" s="54"/>
      <c r="M15" s="54">
        <v>9</v>
      </c>
      <c r="N15" s="54">
        <v>10</v>
      </c>
      <c r="O15" s="54"/>
      <c r="P15" s="54"/>
      <c r="Q15" s="53">
        <f t="shared" si="5"/>
        <v>4.75</v>
      </c>
      <c r="R15" s="52">
        <f t="shared" si="6"/>
        <v>0.25</v>
      </c>
      <c r="S15" s="53">
        <f t="shared" si="7"/>
        <v>4.75</v>
      </c>
      <c r="T15" s="98"/>
      <c r="V15" s="44">
        <v>4</v>
      </c>
      <c r="W15" s="43">
        <v>7.46875</v>
      </c>
    </row>
    <row r="16" spans="1:23">
      <c r="B16" s="55">
        <v>107</v>
      </c>
      <c r="C16" s="55" t="s">
        <v>6</v>
      </c>
      <c r="D16" s="55">
        <v>10</v>
      </c>
      <c r="E16" s="56">
        <f t="shared" si="0"/>
        <v>2</v>
      </c>
      <c r="F16" s="56">
        <f t="shared" si="1"/>
        <v>2</v>
      </c>
      <c r="G16" s="56">
        <f t="shared" si="2"/>
        <v>1</v>
      </c>
      <c r="H16" s="55">
        <v>2</v>
      </c>
      <c r="I16" s="55">
        <f t="shared" si="3"/>
        <v>7</v>
      </c>
      <c r="J16" s="55" t="str">
        <f t="shared" si="4"/>
        <v>221.2</v>
      </c>
      <c r="K16" s="54"/>
      <c r="L16" s="54"/>
      <c r="M16" s="54">
        <v>14</v>
      </c>
      <c r="N16" s="54">
        <v>10</v>
      </c>
      <c r="O16" s="54"/>
      <c r="P16" s="54"/>
      <c r="Q16" s="53">
        <f t="shared" si="5"/>
        <v>6</v>
      </c>
      <c r="R16" s="52">
        <f t="shared" si="6"/>
        <v>1</v>
      </c>
      <c r="S16" s="53">
        <f t="shared" si="7"/>
        <v>6</v>
      </c>
      <c r="T16" s="98"/>
      <c r="V16" s="44">
        <v>5</v>
      </c>
      <c r="W16" s="43">
        <v>6.40625</v>
      </c>
    </row>
    <row r="17" spans="2:24" ht="13.5" thickBot="1">
      <c r="B17" s="49">
        <v>108</v>
      </c>
      <c r="C17" s="49" t="s">
        <v>8</v>
      </c>
      <c r="D17" s="49">
        <v>3</v>
      </c>
      <c r="E17" s="50">
        <f t="shared" si="0"/>
        <v>1</v>
      </c>
      <c r="F17" s="50">
        <f t="shared" si="1"/>
        <v>2</v>
      </c>
      <c r="G17" s="50">
        <f t="shared" si="2"/>
        <v>2</v>
      </c>
      <c r="H17" s="49">
        <v>2</v>
      </c>
      <c r="I17" s="49">
        <f t="shared" si="3"/>
        <v>8</v>
      </c>
      <c r="J17" s="49" t="str">
        <f t="shared" si="4"/>
        <v>122.2</v>
      </c>
      <c r="K17" s="48"/>
      <c r="L17" s="48"/>
      <c r="M17" s="48">
        <v>2</v>
      </c>
      <c r="N17" s="48">
        <v>17</v>
      </c>
      <c r="O17" s="48"/>
      <c r="P17" s="48"/>
      <c r="Q17" s="48">
        <f t="shared" si="5"/>
        <v>4.75</v>
      </c>
      <c r="R17" s="47">
        <f t="shared" si="6"/>
        <v>3.75</v>
      </c>
      <c r="S17" s="48">
        <f t="shared" si="7"/>
        <v>4.75</v>
      </c>
      <c r="T17" s="97"/>
      <c r="V17" s="44">
        <v>6</v>
      </c>
      <c r="W17" s="43">
        <v>6.8125</v>
      </c>
    </row>
    <row r="18" spans="2:24">
      <c r="B18" s="80">
        <v>201</v>
      </c>
      <c r="C18" s="80" t="s">
        <v>10</v>
      </c>
      <c r="D18" s="80">
        <v>12</v>
      </c>
      <c r="E18" s="81">
        <f t="shared" si="0"/>
        <v>2</v>
      </c>
      <c r="F18" s="81">
        <f t="shared" si="1"/>
        <v>3</v>
      </c>
      <c r="G18" s="81">
        <f t="shared" si="2"/>
        <v>1</v>
      </c>
      <c r="H18" s="80">
        <v>1</v>
      </c>
      <c r="I18" s="80">
        <f t="shared" si="3"/>
        <v>1</v>
      </c>
      <c r="J18" s="80" t="str">
        <f t="shared" si="4"/>
        <v>231.1</v>
      </c>
      <c r="K18" s="79"/>
      <c r="L18" s="79"/>
      <c r="M18" s="79">
        <v>23</v>
      </c>
      <c r="N18" s="79">
        <v>16</v>
      </c>
      <c r="O18" s="79"/>
      <c r="P18" s="79"/>
      <c r="Q18" s="67">
        <f t="shared" si="5"/>
        <v>9.75</v>
      </c>
      <c r="R18" s="67">
        <f t="shared" si="6"/>
        <v>1.7499999999999998</v>
      </c>
      <c r="S18" s="67">
        <f t="shared" si="7"/>
        <v>4.875</v>
      </c>
      <c r="T18" s="102"/>
      <c r="V18" s="44">
        <v>7</v>
      </c>
      <c r="W18" s="43">
        <v>4.9375</v>
      </c>
    </row>
    <row r="19" spans="2:24">
      <c r="B19" s="55">
        <v>202</v>
      </c>
      <c r="C19" s="55" t="s">
        <v>7</v>
      </c>
      <c r="D19" s="55">
        <v>9</v>
      </c>
      <c r="E19" s="56">
        <f t="shared" si="0"/>
        <v>2</v>
      </c>
      <c r="F19" s="56">
        <f t="shared" si="1"/>
        <v>2</v>
      </c>
      <c r="G19" s="56">
        <f t="shared" si="2"/>
        <v>2</v>
      </c>
      <c r="H19" s="55">
        <v>1</v>
      </c>
      <c r="I19" s="55">
        <f t="shared" si="3"/>
        <v>2</v>
      </c>
      <c r="J19" s="55" t="str">
        <f t="shared" si="4"/>
        <v>222.1</v>
      </c>
      <c r="K19" s="78"/>
      <c r="L19" s="77"/>
      <c r="M19" s="77">
        <v>5</v>
      </c>
      <c r="N19" s="77">
        <v>10</v>
      </c>
      <c r="O19" s="54"/>
      <c r="P19" s="54"/>
      <c r="Q19" s="53">
        <f t="shared" si="5"/>
        <v>3.75</v>
      </c>
      <c r="R19" s="52">
        <f t="shared" si="6"/>
        <v>1.25</v>
      </c>
      <c r="S19" s="53">
        <f t="shared" si="7"/>
        <v>3.75</v>
      </c>
      <c r="T19" s="98"/>
      <c r="V19" s="44">
        <v>8</v>
      </c>
      <c r="W19" s="43">
        <v>5.90625</v>
      </c>
    </row>
    <row r="20" spans="2:24">
      <c r="B20" s="55">
        <v>203</v>
      </c>
      <c r="C20" s="55" t="s">
        <v>8</v>
      </c>
      <c r="D20" s="55">
        <v>3</v>
      </c>
      <c r="E20" s="56">
        <f t="shared" si="0"/>
        <v>1</v>
      </c>
      <c r="F20" s="56">
        <f t="shared" si="1"/>
        <v>2</v>
      </c>
      <c r="G20" s="56">
        <f t="shared" si="2"/>
        <v>2</v>
      </c>
      <c r="H20" s="55">
        <v>1</v>
      </c>
      <c r="I20" s="55">
        <f t="shared" si="3"/>
        <v>3</v>
      </c>
      <c r="J20" s="55" t="str">
        <f t="shared" si="4"/>
        <v>122.1</v>
      </c>
      <c r="K20" s="54"/>
      <c r="L20" s="54"/>
      <c r="M20" s="54">
        <v>17</v>
      </c>
      <c r="N20" s="54">
        <v>16</v>
      </c>
      <c r="O20" s="54"/>
      <c r="P20" s="54"/>
      <c r="Q20" s="53">
        <f t="shared" si="5"/>
        <v>8.25</v>
      </c>
      <c r="R20" s="52">
        <f t="shared" si="6"/>
        <v>0.25</v>
      </c>
      <c r="S20" s="53">
        <f t="shared" si="7"/>
        <v>8.25</v>
      </c>
      <c r="T20" s="98"/>
      <c r="V20" s="76" t="s">
        <v>312</v>
      </c>
      <c r="W20" s="75">
        <v>6.076822916666667</v>
      </c>
    </row>
    <row r="21" spans="2:24">
      <c r="B21" s="69">
        <v>204</v>
      </c>
      <c r="C21" s="69" t="s">
        <v>11</v>
      </c>
      <c r="D21" s="69">
        <v>11</v>
      </c>
      <c r="E21" s="70">
        <f t="shared" si="0"/>
        <v>2</v>
      </c>
      <c r="F21" s="70">
        <f t="shared" si="1"/>
        <v>3</v>
      </c>
      <c r="G21" s="70">
        <f t="shared" si="2"/>
        <v>2</v>
      </c>
      <c r="H21" s="69">
        <v>1</v>
      </c>
      <c r="I21" s="69">
        <f t="shared" si="3"/>
        <v>4</v>
      </c>
      <c r="J21" s="69" t="str">
        <f t="shared" si="4"/>
        <v>232.1</v>
      </c>
      <c r="K21" s="68"/>
      <c r="L21" s="68"/>
      <c r="M21" s="68">
        <v>33</v>
      </c>
      <c r="N21" s="68">
        <v>19</v>
      </c>
      <c r="O21" s="68"/>
      <c r="P21" s="68"/>
      <c r="Q21" s="67">
        <f t="shared" si="5"/>
        <v>13</v>
      </c>
      <c r="R21" s="66">
        <f t="shared" si="6"/>
        <v>3.4999999999999996</v>
      </c>
      <c r="S21" s="67">
        <f t="shared" si="7"/>
        <v>6.5</v>
      </c>
      <c r="T21" s="100"/>
    </row>
    <row r="22" spans="2:24">
      <c r="B22" s="55">
        <v>205</v>
      </c>
      <c r="C22" s="55" t="s">
        <v>3</v>
      </c>
      <c r="D22" s="55">
        <v>1</v>
      </c>
      <c r="E22" s="56">
        <f t="shared" si="0"/>
        <v>1</v>
      </c>
      <c r="F22" s="56">
        <f t="shared" si="1"/>
        <v>1</v>
      </c>
      <c r="G22" s="56">
        <f t="shared" si="2"/>
        <v>2</v>
      </c>
      <c r="H22" s="55">
        <v>2</v>
      </c>
      <c r="I22" s="55">
        <f t="shared" si="3"/>
        <v>5</v>
      </c>
      <c r="J22" s="55" t="str">
        <f t="shared" si="4"/>
        <v>112.2</v>
      </c>
      <c r="K22" s="54"/>
      <c r="L22" s="54"/>
      <c r="M22" s="54">
        <v>13</v>
      </c>
      <c r="N22" s="54">
        <v>13</v>
      </c>
      <c r="O22" s="54"/>
      <c r="P22" s="54"/>
      <c r="Q22" s="53">
        <f t="shared" si="5"/>
        <v>6.5</v>
      </c>
      <c r="R22" s="52">
        <f t="shared" si="6"/>
        <v>0</v>
      </c>
      <c r="S22" s="53">
        <f t="shared" si="7"/>
        <v>6.5</v>
      </c>
      <c r="T22" s="98"/>
    </row>
    <row r="23" spans="2:24">
      <c r="B23" s="55">
        <v>206</v>
      </c>
      <c r="C23" s="55" t="s">
        <v>12</v>
      </c>
      <c r="D23" s="55">
        <v>8</v>
      </c>
      <c r="E23" s="56">
        <f t="shared" si="0"/>
        <v>2</v>
      </c>
      <c r="F23" s="56">
        <f t="shared" si="1"/>
        <v>1</v>
      </c>
      <c r="G23" s="56">
        <f t="shared" si="2"/>
        <v>1</v>
      </c>
      <c r="H23" s="55">
        <v>2</v>
      </c>
      <c r="I23" s="55">
        <f t="shared" si="3"/>
        <v>6</v>
      </c>
      <c r="J23" s="55" t="str">
        <f t="shared" si="4"/>
        <v>211.2</v>
      </c>
      <c r="K23" s="54"/>
      <c r="L23" s="54"/>
      <c r="M23" s="54">
        <v>8</v>
      </c>
      <c r="N23" s="54">
        <v>14</v>
      </c>
      <c r="O23" s="54"/>
      <c r="P23" s="54"/>
      <c r="Q23" s="53">
        <f t="shared" si="5"/>
        <v>5.5</v>
      </c>
      <c r="R23" s="52">
        <f t="shared" si="6"/>
        <v>1.4999999999999998</v>
      </c>
      <c r="S23" s="53">
        <f t="shared" si="7"/>
        <v>5.5</v>
      </c>
      <c r="T23" s="98"/>
    </row>
    <row r="24" spans="2:24">
      <c r="B24" s="55">
        <v>207</v>
      </c>
      <c r="C24" s="55" t="s">
        <v>4</v>
      </c>
      <c r="D24" s="55">
        <v>4</v>
      </c>
      <c r="E24" s="56">
        <f t="shared" si="0"/>
        <v>1</v>
      </c>
      <c r="F24" s="56">
        <f t="shared" si="1"/>
        <v>2</v>
      </c>
      <c r="G24" s="56">
        <f t="shared" si="2"/>
        <v>1</v>
      </c>
      <c r="H24" s="55">
        <v>2</v>
      </c>
      <c r="I24" s="55">
        <f t="shared" si="3"/>
        <v>7</v>
      </c>
      <c r="J24" s="55" t="str">
        <f t="shared" si="4"/>
        <v>121.2</v>
      </c>
      <c r="K24" s="54"/>
      <c r="L24" s="54"/>
      <c r="M24" s="54">
        <v>2</v>
      </c>
      <c r="N24" s="54">
        <v>2</v>
      </c>
      <c r="O24" s="54"/>
      <c r="P24" s="54"/>
      <c r="Q24" s="53">
        <f t="shared" si="5"/>
        <v>1</v>
      </c>
      <c r="R24" s="52">
        <f t="shared" si="6"/>
        <v>0</v>
      </c>
      <c r="S24" s="53">
        <f t="shared" si="7"/>
        <v>1</v>
      </c>
      <c r="T24" s="98"/>
      <c r="V24" s="38"/>
    </row>
    <row r="25" spans="2:24" ht="13.5" thickBot="1">
      <c r="B25" s="49">
        <v>208</v>
      </c>
      <c r="C25" s="49" t="s">
        <v>13</v>
      </c>
      <c r="D25" s="49">
        <v>2</v>
      </c>
      <c r="E25" s="50">
        <f t="shared" si="0"/>
        <v>1</v>
      </c>
      <c r="F25" s="50">
        <f t="shared" si="1"/>
        <v>1</v>
      </c>
      <c r="G25" s="50">
        <f t="shared" si="2"/>
        <v>1</v>
      </c>
      <c r="H25" s="49">
        <v>2</v>
      </c>
      <c r="I25" s="49">
        <f t="shared" si="3"/>
        <v>8</v>
      </c>
      <c r="J25" s="49" t="str">
        <f t="shared" si="4"/>
        <v>111.2</v>
      </c>
      <c r="K25" s="48"/>
      <c r="L25" s="48"/>
      <c r="M25" s="48">
        <v>9</v>
      </c>
      <c r="N25" s="48">
        <v>14</v>
      </c>
      <c r="O25" s="48"/>
      <c r="P25" s="48"/>
      <c r="Q25" s="48">
        <f t="shared" si="5"/>
        <v>5.75</v>
      </c>
      <c r="R25" s="47">
        <f t="shared" si="6"/>
        <v>1.25</v>
      </c>
      <c r="S25" s="48">
        <f t="shared" si="7"/>
        <v>5.75</v>
      </c>
      <c r="T25" s="97"/>
    </row>
    <row r="26" spans="2:24">
      <c r="B26" s="61">
        <v>301</v>
      </c>
      <c r="C26" s="61" t="s">
        <v>6</v>
      </c>
      <c r="D26" s="61">
        <v>10</v>
      </c>
      <c r="E26" s="62">
        <f t="shared" si="0"/>
        <v>2</v>
      </c>
      <c r="F26" s="62">
        <f t="shared" si="1"/>
        <v>2</v>
      </c>
      <c r="G26" s="62">
        <f t="shared" si="2"/>
        <v>1</v>
      </c>
      <c r="H26" s="61">
        <v>3</v>
      </c>
      <c r="I26" s="61">
        <f t="shared" si="3"/>
        <v>1</v>
      </c>
      <c r="J26" s="61" t="str">
        <f t="shared" si="4"/>
        <v>221.3</v>
      </c>
      <c r="K26" s="60"/>
      <c r="L26" s="60"/>
      <c r="M26" s="60">
        <v>17</v>
      </c>
      <c r="N26" s="60">
        <v>13</v>
      </c>
      <c r="O26" s="60"/>
      <c r="P26" s="60"/>
      <c r="Q26" s="53">
        <f t="shared" si="5"/>
        <v>7.5</v>
      </c>
      <c r="R26" s="53">
        <f t="shared" si="6"/>
        <v>1</v>
      </c>
      <c r="S26" s="53">
        <f t="shared" si="7"/>
        <v>7.5</v>
      </c>
      <c r="T26" s="99"/>
      <c r="V26" s="38"/>
    </row>
    <row r="27" spans="2:24">
      <c r="B27" s="55">
        <v>302</v>
      </c>
      <c r="C27" s="55" t="s">
        <v>4</v>
      </c>
      <c r="D27" s="55">
        <v>4</v>
      </c>
      <c r="E27" s="56">
        <f t="shared" si="0"/>
        <v>1</v>
      </c>
      <c r="F27" s="56">
        <f t="shared" si="1"/>
        <v>2</v>
      </c>
      <c r="G27" s="56">
        <f t="shared" si="2"/>
        <v>1</v>
      </c>
      <c r="H27" s="55">
        <v>3</v>
      </c>
      <c r="I27" s="55">
        <f t="shared" si="3"/>
        <v>2</v>
      </c>
      <c r="J27" s="55" t="str">
        <f t="shared" si="4"/>
        <v>121.3</v>
      </c>
      <c r="K27" s="54"/>
      <c r="L27" s="54"/>
      <c r="M27" s="54">
        <v>4</v>
      </c>
      <c r="N27" s="54">
        <v>16</v>
      </c>
      <c r="O27" s="54"/>
      <c r="P27" s="54"/>
      <c r="Q27" s="53">
        <f t="shared" si="5"/>
        <v>5</v>
      </c>
      <c r="R27" s="52">
        <f t="shared" si="6"/>
        <v>2.9999999999999996</v>
      </c>
      <c r="S27" s="53">
        <f t="shared" si="7"/>
        <v>5</v>
      </c>
      <c r="T27" s="98"/>
    </row>
    <row r="28" spans="2:24">
      <c r="B28" s="55">
        <v>303</v>
      </c>
      <c r="C28" s="55" t="s">
        <v>12</v>
      </c>
      <c r="D28" s="55">
        <v>8</v>
      </c>
      <c r="E28" s="56">
        <f t="shared" si="0"/>
        <v>2</v>
      </c>
      <c r="F28" s="56">
        <f t="shared" si="1"/>
        <v>1</v>
      </c>
      <c r="G28" s="56">
        <f t="shared" si="2"/>
        <v>1</v>
      </c>
      <c r="H28" s="55">
        <v>3</v>
      </c>
      <c r="I28" s="55">
        <f t="shared" si="3"/>
        <v>3</v>
      </c>
      <c r="J28" s="55" t="str">
        <f t="shared" si="4"/>
        <v>211.3</v>
      </c>
      <c r="K28" s="54"/>
      <c r="L28" s="54"/>
      <c r="M28" s="54">
        <v>8</v>
      </c>
      <c r="N28" s="54">
        <v>2</v>
      </c>
      <c r="O28" s="54"/>
      <c r="P28" s="54"/>
      <c r="Q28" s="53">
        <f t="shared" si="5"/>
        <v>2.5</v>
      </c>
      <c r="R28" s="52">
        <f t="shared" si="6"/>
        <v>1.4999999999999998</v>
      </c>
      <c r="S28" s="53">
        <f t="shared" si="7"/>
        <v>2.5</v>
      </c>
      <c r="T28" s="98"/>
    </row>
    <row r="29" spans="2:24">
      <c r="B29" s="55">
        <v>304</v>
      </c>
      <c r="C29" s="55" t="s">
        <v>13</v>
      </c>
      <c r="D29" s="55">
        <v>2</v>
      </c>
      <c r="E29" s="56">
        <f t="shared" si="0"/>
        <v>1</v>
      </c>
      <c r="F29" s="56">
        <f t="shared" si="1"/>
        <v>1</v>
      </c>
      <c r="G29" s="56">
        <f t="shared" si="2"/>
        <v>1</v>
      </c>
      <c r="H29" s="55">
        <v>3</v>
      </c>
      <c r="I29" s="55">
        <f t="shared" si="3"/>
        <v>4</v>
      </c>
      <c r="J29" s="55" t="str">
        <f t="shared" si="4"/>
        <v>111.3</v>
      </c>
      <c r="K29" s="54"/>
      <c r="L29" s="54"/>
      <c r="M29" s="54">
        <v>10</v>
      </c>
      <c r="N29" s="54">
        <v>14</v>
      </c>
      <c r="O29" s="54"/>
      <c r="P29" s="54"/>
      <c r="Q29" s="53">
        <f t="shared" si="5"/>
        <v>6</v>
      </c>
      <c r="R29" s="52">
        <f t="shared" si="6"/>
        <v>1</v>
      </c>
      <c r="S29" s="53">
        <f t="shared" si="7"/>
        <v>6</v>
      </c>
      <c r="T29" s="98"/>
      <c r="X29" s="38"/>
    </row>
    <row r="30" spans="2:24">
      <c r="B30" s="69">
        <v>305</v>
      </c>
      <c r="C30" s="69" t="s">
        <v>11</v>
      </c>
      <c r="D30" s="69">
        <v>11</v>
      </c>
      <c r="E30" s="70">
        <f t="shared" si="0"/>
        <v>2</v>
      </c>
      <c r="F30" s="70">
        <f t="shared" si="1"/>
        <v>3</v>
      </c>
      <c r="G30" s="70">
        <f t="shared" si="2"/>
        <v>2</v>
      </c>
      <c r="H30" s="69">
        <v>4</v>
      </c>
      <c r="I30" s="69">
        <f t="shared" si="3"/>
        <v>5</v>
      </c>
      <c r="J30" s="69" t="str">
        <f t="shared" si="4"/>
        <v>232.4</v>
      </c>
      <c r="K30" s="68"/>
      <c r="L30" s="68"/>
      <c r="M30" s="68">
        <v>34</v>
      </c>
      <c r="N30" s="68">
        <v>22</v>
      </c>
      <c r="O30" s="68"/>
      <c r="P30" s="68"/>
      <c r="Q30" s="67">
        <f t="shared" si="5"/>
        <v>14</v>
      </c>
      <c r="R30" s="66">
        <f t="shared" si="6"/>
        <v>2.9999999999999996</v>
      </c>
      <c r="S30" s="67">
        <f t="shared" si="7"/>
        <v>7</v>
      </c>
      <c r="T30" s="100"/>
    </row>
    <row r="31" spans="2:24">
      <c r="B31" s="55">
        <v>306</v>
      </c>
      <c r="C31" s="55" t="s">
        <v>4</v>
      </c>
      <c r="D31" s="55">
        <v>4</v>
      </c>
      <c r="E31" s="56">
        <f t="shared" si="0"/>
        <v>1</v>
      </c>
      <c r="F31" s="56">
        <f t="shared" si="1"/>
        <v>2</v>
      </c>
      <c r="G31" s="56">
        <f t="shared" si="2"/>
        <v>1</v>
      </c>
      <c r="H31" s="55">
        <v>4</v>
      </c>
      <c r="I31" s="55">
        <f t="shared" si="3"/>
        <v>6</v>
      </c>
      <c r="J31" s="55" t="str">
        <f t="shared" si="4"/>
        <v>121.4</v>
      </c>
      <c r="K31" s="54"/>
      <c r="L31" s="54"/>
      <c r="M31" s="54">
        <v>15</v>
      </c>
      <c r="N31" s="54">
        <v>21</v>
      </c>
      <c r="O31" s="54"/>
      <c r="P31" s="54"/>
      <c r="Q31" s="53">
        <f t="shared" si="5"/>
        <v>9</v>
      </c>
      <c r="R31" s="52">
        <f t="shared" si="6"/>
        <v>1.4999999999999998</v>
      </c>
      <c r="S31" s="53">
        <f t="shared" si="7"/>
        <v>9</v>
      </c>
      <c r="T31" s="98"/>
    </row>
    <row r="32" spans="2:24">
      <c r="B32" s="55">
        <v>307</v>
      </c>
      <c r="C32" s="55" t="s">
        <v>7</v>
      </c>
      <c r="D32" s="55">
        <v>9</v>
      </c>
      <c r="E32" s="56">
        <f t="shared" si="0"/>
        <v>2</v>
      </c>
      <c r="F32" s="56">
        <f t="shared" si="1"/>
        <v>2</v>
      </c>
      <c r="G32" s="56">
        <f t="shared" si="2"/>
        <v>2</v>
      </c>
      <c r="H32" s="55">
        <v>4</v>
      </c>
      <c r="I32" s="55">
        <f t="shared" si="3"/>
        <v>7</v>
      </c>
      <c r="J32" s="55" t="str">
        <f t="shared" si="4"/>
        <v>222.4</v>
      </c>
      <c r="K32" s="54"/>
      <c r="L32" s="54"/>
      <c r="M32" s="54">
        <v>12</v>
      </c>
      <c r="N32" s="54">
        <v>9</v>
      </c>
      <c r="O32" s="54"/>
      <c r="P32" s="54"/>
      <c r="Q32" s="53">
        <f t="shared" si="5"/>
        <v>5.25</v>
      </c>
      <c r="R32" s="52">
        <f t="shared" si="6"/>
        <v>0.74999999999999989</v>
      </c>
      <c r="S32" s="53">
        <f t="shared" si="7"/>
        <v>5.25</v>
      </c>
      <c r="T32" s="98"/>
    </row>
    <row r="33" spans="2:23" ht="13.5" thickBot="1">
      <c r="B33" s="73">
        <v>308</v>
      </c>
      <c r="C33" s="73" t="s">
        <v>5</v>
      </c>
      <c r="D33" s="73">
        <v>5</v>
      </c>
      <c r="E33" s="74">
        <f t="shared" si="0"/>
        <v>1</v>
      </c>
      <c r="F33" s="74">
        <f t="shared" si="1"/>
        <v>3</v>
      </c>
      <c r="G33" s="74">
        <f t="shared" si="2"/>
        <v>2</v>
      </c>
      <c r="H33" s="73">
        <v>4</v>
      </c>
      <c r="I33" s="73">
        <f t="shared" si="3"/>
        <v>8</v>
      </c>
      <c r="J33" s="73" t="str">
        <f t="shared" si="4"/>
        <v>132.4</v>
      </c>
      <c r="K33" s="72"/>
      <c r="L33" s="72"/>
      <c r="M33" s="72">
        <v>18</v>
      </c>
      <c r="N33" s="72">
        <v>20</v>
      </c>
      <c r="O33" s="72"/>
      <c r="P33" s="72"/>
      <c r="Q33" s="72">
        <f t="shared" si="5"/>
        <v>9.5</v>
      </c>
      <c r="R33" s="71">
        <f t="shared" si="6"/>
        <v>0.5</v>
      </c>
      <c r="S33" s="72">
        <f t="shared" si="7"/>
        <v>4.75</v>
      </c>
      <c r="T33" s="101"/>
    </row>
    <row r="34" spans="2:23">
      <c r="B34" s="61">
        <v>401</v>
      </c>
      <c r="C34" s="61" t="s">
        <v>14</v>
      </c>
      <c r="D34" s="61">
        <v>7</v>
      </c>
      <c r="E34" s="62">
        <f t="shared" si="0"/>
        <v>2</v>
      </c>
      <c r="F34" s="62">
        <f t="shared" si="1"/>
        <v>1</v>
      </c>
      <c r="G34" s="62">
        <f t="shared" si="2"/>
        <v>2</v>
      </c>
      <c r="H34" s="61">
        <v>3</v>
      </c>
      <c r="I34" s="61">
        <f t="shared" si="3"/>
        <v>1</v>
      </c>
      <c r="J34" s="61" t="str">
        <f t="shared" si="4"/>
        <v>212.3</v>
      </c>
      <c r="K34" s="60"/>
      <c r="L34" s="60"/>
      <c r="M34" s="60">
        <v>2</v>
      </c>
      <c r="N34" s="60">
        <v>11</v>
      </c>
      <c r="O34" s="60"/>
      <c r="P34" s="60"/>
      <c r="Q34" s="53">
        <f t="shared" si="5"/>
        <v>3.25</v>
      </c>
      <c r="R34" s="53">
        <f t="shared" si="6"/>
        <v>2.25</v>
      </c>
      <c r="S34" s="53">
        <f t="shared" si="7"/>
        <v>3.25</v>
      </c>
      <c r="T34" s="99"/>
    </row>
    <row r="35" spans="2:23">
      <c r="B35" s="55">
        <v>402</v>
      </c>
      <c r="C35" s="55" t="s">
        <v>7</v>
      </c>
      <c r="D35" s="55">
        <v>9</v>
      </c>
      <c r="E35" s="56">
        <f t="shared" si="0"/>
        <v>2</v>
      </c>
      <c r="F35" s="56">
        <f t="shared" si="1"/>
        <v>2</v>
      </c>
      <c r="G35" s="56">
        <f t="shared" si="2"/>
        <v>2</v>
      </c>
      <c r="H35" s="55">
        <v>3</v>
      </c>
      <c r="I35" s="55">
        <f t="shared" si="3"/>
        <v>2</v>
      </c>
      <c r="J35" s="55" t="str">
        <f t="shared" si="4"/>
        <v>222.3</v>
      </c>
      <c r="K35" s="54"/>
      <c r="L35" s="54"/>
      <c r="M35" s="54">
        <v>4</v>
      </c>
      <c r="N35" s="54">
        <v>16</v>
      </c>
      <c r="O35" s="54"/>
      <c r="P35" s="54"/>
      <c r="Q35" s="53">
        <f t="shared" si="5"/>
        <v>5</v>
      </c>
      <c r="R35" s="52">
        <f t="shared" si="6"/>
        <v>2.9999999999999996</v>
      </c>
      <c r="S35" s="53">
        <f t="shared" si="7"/>
        <v>5</v>
      </c>
      <c r="T35" s="98"/>
    </row>
    <row r="36" spans="2:23">
      <c r="B36" s="69">
        <v>403</v>
      </c>
      <c r="C36" s="69" t="s">
        <v>15</v>
      </c>
      <c r="D36" s="69">
        <v>6</v>
      </c>
      <c r="E36" s="70">
        <f t="shared" si="0"/>
        <v>1</v>
      </c>
      <c r="F36" s="70">
        <f t="shared" si="1"/>
        <v>3</v>
      </c>
      <c r="G36" s="70">
        <f t="shared" si="2"/>
        <v>1</v>
      </c>
      <c r="H36" s="69">
        <v>3</v>
      </c>
      <c r="I36" s="69">
        <f t="shared" si="3"/>
        <v>3</v>
      </c>
      <c r="J36" s="69" t="str">
        <f t="shared" si="4"/>
        <v>131.3</v>
      </c>
      <c r="K36" s="68"/>
      <c r="L36" s="68"/>
      <c r="M36" s="68">
        <v>25</v>
      </c>
      <c r="N36" s="68">
        <v>17</v>
      </c>
      <c r="O36" s="68"/>
      <c r="P36" s="68"/>
      <c r="Q36" s="67">
        <f t="shared" si="5"/>
        <v>10.5</v>
      </c>
      <c r="R36" s="66">
        <f t="shared" si="6"/>
        <v>2</v>
      </c>
      <c r="S36" s="67">
        <f t="shared" si="7"/>
        <v>5.25</v>
      </c>
      <c r="T36" s="100"/>
    </row>
    <row r="37" spans="2:23">
      <c r="B37" s="55">
        <v>404</v>
      </c>
      <c r="C37" s="55" t="s">
        <v>8</v>
      </c>
      <c r="D37" s="55">
        <v>3</v>
      </c>
      <c r="E37" s="56">
        <f t="shared" si="0"/>
        <v>1</v>
      </c>
      <c r="F37" s="56">
        <f t="shared" si="1"/>
        <v>2</v>
      </c>
      <c r="G37" s="56">
        <f t="shared" si="2"/>
        <v>2</v>
      </c>
      <c r="H37" s="55">
        <v>3</v>
      </c>
      <c r="I37" s="55">
        <f t="shared" si="3"/>
        <v>4</v>
      </c>
      <c r="J37" s="55" t="str">
        <f t="shared" si="4"/>
        <v>122.3</v>
      </c>
      <c r="K37" s="54"/>
      <c r="L37" s="54"/>
      <c r="M37" s="54">
        <v>16</v>
      </c>
      <c r="N37" s="54">
        <v>16</v>
      </c>
      <c r="O37" s="54"/>
      <c r="P37" s="54"/>
      <c r="Q37" s="53">
        <f t="shared" si="5"/>
        <v>8</v>
      </c>
      <c r="R37" s="52">
        <f t="shared" si="6"/>
        <v>0</v>
      </c>
      <c r="S37" s="53">
        <f t="shared" si="7"/>
        <v>8</v>
      </c>
      <c r="T37" s="98"/>
    </row>
    <row r="38" spans="2:23">
      <c r="B38" s="69">
        <v>405</v>
      </c>
      <c r="C38" s="69" t="s">
        <v>15</v>
      </c>
      <c r="D38" s="69">
        <v>6</v>
      </c>
      <c r="E38" s="70">
        <f t="shared" si="0"/>
        <v>1</v>
      </c>
      <c r="F38" s="70">
        <f t="shared" si="1"/>
        <v>3</v>
      </c>
      <c r="G38" s="70">
        <f t="shared" si="2"/>
        <v>1</v>
      </c>
      <c r="H38" s="69">
        <v>4</v>
      </c>
      <c r="I38" s="69">
        <f t="shared" si="3"/>
        <v>5</v>
      </c>
      <c r="J38" s="69" t="str">
        <f t="shared" si="4"/>
        <v>131.4</v>
      </c>
      <c r="K38" s="68"/>
      <c r="L38" s="68"/>
      <c r="M38" s="68">
        <v>27</v>
      </c>
      <c r="N38" s="68">
        <v>15</v>
      </c>
      <c r="O38" s="68"/>
      <c r="P38" s="68"/>
      <c r="Q38" s="67">
        <f t="shared" si="5"/>
        <v>10.5</v>
      </c>
      <c r="R38" s="66">
        <f t="shared" si="6"/>
        <v>2.9999999999999996</v>
      </c>
      <c r="S38" s="67">
        <f t="shared" si="7"/>
        <v>5.25</v>
      </c>
      <c r="T38" s="100"/>
    </row>
    <row r="39" spans="2:23">
      <c r="B39" s="55">
        <v>406</v>
      </c>
      <c r="C39" s="55" t="s">
        <v>8</v>
      </c>
      <c r="D39" s="55">
        <v>3</v>
      </c>
      <c r="E39" s="56">
        <f t="shared" si="0"/>
        <v>1</v>
      </c>
      <c r="F39" s="56">
        <f t="shared" si="1"/>
        <v>2</v>
      </c>
      <c r="G39" s="56">
        <f t="shared" si="2"/>
        <v>2</v>
      </c>
      <c r="H39" s="55">
        <v>4</v>
      </c>
      <c r="I39" s="55">
        <f t="shared" si="3"/>
        <v>6</v>
      </c>
      <c r="J39" s="55" t="str">
        <f t="shared" si="4"/>
        <v>122.4</v>
      </c>
      <c r="K39" s="54"/>
      <c r="L39" s="54"/>
      <c r="M39" s="54">
        <v>11</v>
      </c>
      <c r="N39" s="54">
        <v>15</v>
      </c>
      <c r="O39" s="54"/>
      <c r="P39" s="54"/>
      <c r="Q39" s="53">
        <f t="shared" si="5"/>
        <v>6.5</v>
      </c>
      <c r="R39" s="52">
        <f t="shared" si="6"/>
        <v>1</v>
      </c>
      <c r="S39" s="53">
        <f t="shared" si="7"/>
        <v>6.5</v>
      </c>
      <c r="T39" s="98"/>
    </row>
    <row r="40" spans="2:23">
      <c r="B40" s="55">
        <v>407</v>
      </c>
      <c r="C40" s="55" t="s">
        <v>14</v>
      </c>
      <c r="D40" s="55">
        <v>7</v>
      </c>
      <c r="E40" s="56">
        <f t="shared" si="0"/>
        <v>2</v>
      </c>
      <c r="F40" s="56">
        <f t="shared" si="1"/>
        <v>1</v>
      </c>
      <c r="G40" s="56">
        <f t="shared" si="2"/>
        <v>2</v>
      </c>
      <c r="H40" s="55">
        <v>4</v>
      </c>
      <c r="I40" s="55">
        <f t="shared" si="3"/>
        <v>7</v>
      </c>
      <c r="J40" s="55" t="str">
        <f t="shared" si="4"/>
        <v>212.4</v>
      </c>
      <c r="K40" s="54"/>
      <c r="L40" s="54"/>
      <c r="M40" s="54">
        <v>11</v>
      </c>
      <c r="N40" s="54">
        <v>9</v>
      </c>
      <c r="O40" s="54"/>
      <c r="P40" s="54"/>
      <c r="Q40" s="53">
        <f t="shared" si="5"/>
        <v>5</v>
      </c>
      <c r="R40" s="52">
        <f t="shared" si="6"/>
        <v>0.5</v>
      </c>
      <c r="S40" s="53">
        <f t="shared" si="7"/>
        <v>5</v>
      </c>
      <c r="T40" s="98"/>
      <c r="V40" s="65" t="s">
        <v>307</v>
      </c>
      <c r="W40" s="63"/>
    </row>
    <row r="41" spans="2:23" ht="13.5" thickBot="1">
      <c r="B41" s="49">
        <v>408</v>
      </c>
      <c r="C41" s="49" t="s">
        <v>6</v>
      </c>
      <c r="D41" s="49">
        <v>10</v>
      </c>
      <c r="E41" s="50">
        <f t="shared" si="0"/>
        <v>2</v>
      </c>
      <c r="F41" s="50">
        <f t="shared" si="1"/>
        <v>2</v>
      </c>
      <c r="G41" s="50">
        <f t="shared" si="2"/>
        <v>1</v>
      </c>
      <c r="H41" s="49">
        <v>4</v>
      </c>
      <c r="I41" s="49">
        <f t="shared" si="3"/>
        <v>8</v>
      </c>
      <c r="J41" s="49" t="str">
        <f t="shared" si="4"/>
        <v>221.4</v>
      </c>
      <c r="K41" s="48"/>
      <c r="L41" s="48"/>
      <c r="M41" s="48">
        <v>12</v>
      </c>
      <c r="N41" s="48">
        <v>14</v>
      </c>
      <c r="O41" s="48"/>
      <c r="P41" s="48"/>
      <c r="Q41" s="48">
        <f t="shared" si="5"/>
        <v>6.5</v>
      </c>
      <c r="R41" s="47">
        <f t="shared" si="6"/>
        <v>0.5</v>
      </c>
      <c r="S41" s="48">
        <f t="shared" si="7"/>
        <v>6.5</v>
      </c>
      <c r="T41" s="97"/>
      <c r="V41" s="65" t="s">
        <v>305</v>
      </c>
      <c r="W41" s="63" t="s">
        <v>304</v>
      </c>
    </row>
    <row r="42" spans="2:23">
      <c r="B42" s="61">
        <v>901</v>
      </c>
      <c r="C42" s="61" t="s">
        <v>16</v>
      </c>
      <c r="D42" s="61">
        <v>32</v>
      </c>
      <c r="E42" s="62">
        <v>9</v>
      </c>
      <c r="F42" s="62">
        <v>0</v>
      </c>
      <c r="G42" s="62">
        <v>1</v>
      </c>
      <c r="H42" s="61">
        <v>1</v>
      </c>
      <c r="I42" s="61">
        <f t="shared" si="3"/>
        <v>1</v>
      </c>
      <c r="J42" s="61" t="str">
        <f t="shared" si="4"/>
        <v>901.1</v>
      </c>
      <c r="K42" s="60"/>
      <c r="L42" s="60"/>
      <c r="M42" s="60">
        <v>0</v>
      </c>
      <c r="N42" s="60">
        <v>0</v>
      </c>
      <c r="O42" s="60"/>
      <c r="P42" s="60"/>
      <c r="Q42" s="53">
        <f t="shared" si="5"/>
        <v>0</v>
      </c>
      <c r="R42" s="53">
        <f t="shared" si="6"/>
        <v>0</v>
      </c>
      <c r="S42" s="53">
        <f t="shared" si="7"/>
        <v>0</v>
      </c>
      <c r="T42" s="99"/>
      <c r="V42" s="59" t="s">
        <v>5</v>
      </c>
      <c r="W42" s="58">
        <v>9.75</v>
      </c>
    </row>
    <row r="43" spans="2:23">
      <c r="B43" s="55">
        <v>902</v>
      </c>
      <c r="C43" s="57" t="s">
        <v>302</v>
      </c>
      <c r="D43" s="55">
        <v>22</v>
      </c>
      <c r="E43" s="56">
        <v>4</v>
      </c>
      <c r="F43" s="56">
        <v>2</v>
      </c>
      <c r="G43" s="56">
        <v>2</v>
      </c>
      <c r="H43" s="55">
        <v>1</v>
      </c>
      <c r="I43" s="55">
        <f t="shared" si="3"/>
        <v>2</v>
      </c>
      <c r="J43" s="55" t="str">
        <f t="shared" si="4"/>
        <v>422.1</v>
      </c>
      <c r="K43" s="54"/>
      <c r="L43" s="54"/>
      <c r="M43" s="54">
        <v>18</v>
      </c>
      <c r="N43" s="54">
        <v>14</v>
      </c>
      <c r="O43" s="54"/>
      <c r="P43" s="54"/>
      <c r="Q43" s="53">
        <f t="shared" si="5"/>
        <v>8</v>
      </c>
      <c r="R43" s="52">
        <f t="shared" si="6"/>
        <v>1</v>
      </c>
      <c r="S43" s="53">
        <f t="shared" si="7"/>
        <v>8</v>
      </c>
      <c r="T43" s="98"/>
      <c r="V43" s="44" t="s">
        <v>15</v>
      </c>
      <c r="W43" s="43">
        <v>11.625</v>
      </c>
    </row>
    <row r="44" spans="2:23">
      <c r="B44" s="55">
        <v>903</v>
      </c>
      <c r="C44" s="55" t="s">
        <v>17</v>
      </c>
      <c r="D44" s="55">
        <v>31</v>
      </c>
      <c r="E44" s="56">
        <v>8</v>
      </c>
      <c r="F44" s="56">
        <v>0</v>
      </c>
      <c r="G44" s="56">
        <v>1</v>
      </c>
      <c r="H44" s="55">
        <v>1</v>
      </c>
      <c r="I44" s="55">
        <f t="shared" si="3"/>
        <v>3</v>
      </c>
      <c r="J44" s="55" t="str">
        <f t="shared" si="4"/>
        <v>801.1</v>
      </c>
      <c r="K44" s="54"/>
      <c r="L44" s="54"/>
      <c r="M44" s="54">
        <v>0</v>
      </c>
      <c r="N44" s="54">
        <v>0</v>
      </c>
      <c r="O44" s="54"/>
      <c r="P44" s="54"/>
      <c r="Q44" s="53">
        <f t="shared" si="5"/>
        <v>0</v>
      </c>
      <c r="R44" s="52">
        <f t="shared" si="6"/>
        <v>0</v>
      </c>
      <c r="S44" s="53">
        <f t="shared" si="7"/>
        <v>0</v>
      </c>
      <c r="T44" s="98"/>
      <c r="V44" s="44" t="s">
        <v>3</v>
      </c>
      <c r="W44" s="43">
        <v>6.5</v>
      </c>
    </row>
    <row r="45" spans="2:23">
      <c r="B45" s="55">
        <v>904</v>
      </c>
      <c r="C45" s="57" t="s">
        <v>301</v>
      </c>
      <c r="D45" s="55">
        <v>21</v>
      </c>
      <c r="E45" s="56">
        <v>3</v>
      </c>
      <c r="F45" s="56">
        <v>2</v>
      </c>
      <c r="G45" s="56">
        <v>2</v>
      </c>
      <c r="H45" s="55">
        <v>1</v>
      </c>
      <c r="I45" s="55">
        <f t="shared" si="3"/>
        <v>4</v>
      </c>
      <c r="J45" s="55" t="str">
        <f t="shared" si="4"/>
        <v>322.1</v>
      </c>
      <c r="K45" s="54"/>
      <c r="L45" s="54"/>
      <c r="M45" s="54">
        <v>13</v>
      </c>
      <c r="N45" s="54">
        <v>16</v>
      </c>
      <c r="O45" s="54"/>
      <c r="P45" s="54"/>
      <c r="Q45" s="53">
        <f t="shared" si="5"/>
        <v>7.25</v>
      </c>
      <c r="R45" s="52">
        <f t="shared" si="6"/>
        <v>0.74999999999999989</v>
      </c>
      <c r="S45" s="53">
        <f t="shared" si="7"/>
        <v>7.25</v>
      </c>
      <c r="T45" s="98"/>
      <c r="V45" s="44" t="s">
        <v>13</v>
      </c>
      <c r="W45" s="43">
        <v>6.375</v>
      </c>
    </row>
    <row r="46" spans="2:23">
      <c r="B46" s="55">
        <v>905</v>
      </c>
      <c r="C46" s="55" t="s">
        <v>16</v>
      </c>
      <c r="D46" s="55">
        <v>32</v>
      </c>
      <c r="E46" s="56">
        <v>9</v>
      </c>
      <c r="F46" s="56">
        <v>0</v>
      </c>
      <c r="G46" s="56">
        <v>1</v>
      </c>
      <c r="H46" s="55">
        <v>2</v>
      </c>
      <c r="I46" s="55">
        <f t="shared" si="3"/>
        <v>5</v>
      </c>
      <c r="J46" s="55" t="str">
        <f t="shared" si="4"/>
        <v>901.2</v>
      </c>
      <c r="K46" s="54"/>
      <c r="L46" s="54"/>
      <c r="M46" s="54">
        <v>0</v>
      </c>
      <c r="N46" s="54">
        <v>0</v>
      </c>
      <c r="O46" s="54"/>
      <c r="P46" s="54"/>
      <c r="Q46" s="53">
        <f t="shared" si="5"/>
        <v>0</v>
      </c>
      <c r="R46" s="52">
        <f t="shared" si="6"/>
        <v>0</v>
      </c>
      <c r="S46" s="53">
        <f t="shared" si="7"/>
        <v>0</v>
      </c>
      <c r="T46" s="98"/>
      <c r="V46" s="44" t="s">
        <v>8</v>
      </c>
      <c r="W46" s="43">
        <v>7.25</v>
      </c>
    </row>
    <row r="47" spans="2:23">
      <c r="B47" s="55">
        <v>906</v>
      </c>
      <c r="C47" s="57" t="s">
        <v>302</v>
      </c>
      <c r="D47" s="55">
        <v>22</v>
      </c>
      <c r="E47" s="56">
        <v>4</v>
      </c>
      <c r="F47" s="56">
        <v>2</v>
      </c>
      <c r="G47" s="56">
        <v>2</v>
      </c>
      <c r="H47" s="55">
        <v>2</v>
      </c>
      <c r="I47" s="55">
        <f t="shared" si="3"/>
        <v>6</v>
      </c>
      <c r="J47" s="55" t="str">
        <f t="shared" si="4"/>
        <v>422.2</v>
      </c>
      <c r="K47" s="54"/>
      <c r="L47" s="54"/>
      <c r="M47" s="54">
        <v>11</v>
      </c>
      <c r="N47" s="54">
        <v>18</v>
      </c>
      <c r="O47" s="54"/>
      <c r="P47" s="54"/>
      <c r="Q47" s="53">
        <f t="shared" si="5"/>
        <v>7.25</v>
      </c>
      <c r="R47" s="52">
        <f t="shared" si="6"/>
        <v>1.7499999999999998</v>
      </c>
      <c r="S47" s="53">
        <f t="shared" si="7"/>
        <v>7.25</v>
      </c>
      <c r="T47" s="98"/>
      <c r="V47" s="44" t="s">
        <v>4</v>
      </c>
      <c r="W47" s="43">
        <v>5.645833333333333</v>
      </c>
    </row>
    <row r="48" spans="2:23">
      <c r="B48" s="55">
        <v>907</v>
      </c>
      <c r="C48" s="55" t="s">
        <v>17</v>
      </c>
      <c r="D48" s="55">
        <v>31</v>
      </c>
      <c r="E48" s="56">
        <v>8</v>
      </c>
      <c r="F48" s="56">
        <v>0</v>
      </c>
      <c r="G48" s="56">
        <v>1</v>
      </c>
      <c r="H48" s="55">
        <v>2</v>
      </c>
      <c r="I48" s="55">
        <f t="shared" si="3"/>
        <v>7</v>
      </c>
      <c r="J48" s="55" t="str">
        <f t="shared" si="4"/>
        <v>801.2</v>
      </c>
      <c r="K48" s="54"/>
      <c r="L48" s="54"/>
      <c r="M48" s="54">
        <v>0</v>
      </c>
      <c r="N48" s="54">
        <v>0</v>
      </c>
      <c r="O48" s="54"/>
      <c r="P48" s="54"/>
      <c r="Q48" s="53">
        <f t="shared" si="5"/>
        <v>0</v>
      </c>
      <c r="R48" s="52">
        <f t="shared" si="6"/>
        <v>0</v>
      </c>
      <c r="S48" s="53">
        <f t="shared" si="7"/>
        <v>0</v>
      </c>
      <c r="T48" s="98"/>
      <c r="V48" s="44" t="s">
        <v>11</v>
      </c>
      <c r="W48" s="43">
        <v>14.5</v>
      </c>
    </row>
    <row r="49" spans="2:23" ht="13.5" thickBot="1">
      <c r="B49" s="49">
        <v>908</v>
      </c>
      <c r="C49" s="51" t="s">
        <v>301</v>
      </c>
      <c r="D49" s="49">
        <v>21</v>
      </c>
      <c r="E49" s="50">
        <v>3</v>
      </c>
      <c r="F49" s="50">
        <v>2</v>
      </c>
      <c r="G49" s="50">
        <v>2</v>
      </c>
      <c r="H49" s="49">
        <v>2</v>
      </c>
      <c r="I49" s="49">
        <f t="shared" si="3"/>
        <v>8</v>
      </c>
      <c r="J49" s="49" t="str">
        <f t="shared" si="4"/>
        <v>322.2</v>
      </c>
      <c r="K49" s="48"/>
      <c r="L49" s="48"/>
      <c r="M49" s="48">
        <v>17</v>
      </c>
      <c r="N49" s="48">
        <v>10</v>
      </c>
      <c r="O49" s="48"/>
      <c r="P49" s="48"/>
      <c r="Q49" s="48">
        <f t="shared" si="5"/>
        <v>6.75</v>
      </c>
      <c r="R49" s="47">
        <f t="shared" si="6"/>
        <v>1.7499999999999998</v>
      </c>
      <c r="S49" s="48">
        <f t="shared" si="7"/>
        <v>6.75</v>
      </c>
      <c r="T49" s="97"/>
      <c r="V49" s="44" t="s">
        <v>10</v>
      </c>
      <c r="W49" s="43">
        <v>10.25</v>
      </c>
    </row>
    <row r="50" spans="2:23">
      <c r="V50" s="44" t="s">
        <v>14</v>
      </c>
      <c r="W50" s="43">
        <v>5</v>
      </c>
    </row>
    <row r="51" spans="2:23">
      <c r="T51" s="38">
        <f>AVERAGE(S49,S47,S45,S43)</f>
        <v>7.3125</v>
      </c>
      <c r="V51" s="44" t="s">
        <v>12</v>
      </c>
      <c r="W51" s="43">
        <v>4.75</v>
      </c>
    </row>
    <row r="52" spans="2:23">
      <c r="M52" s="37">
        <f>AVERAGE(M42:N49)</f>
        <v>7.3125</v>
      </c>
      <c r="V52" s="44" t="s">
        <v>7</v>
      </c>
      <c r="W52" s="43">
        <v>5.75</v>
      </c>
    </row>
    <row r="53" spans="2:23">
      <c r="V53" s="42" t="s">
        <v>6</v>
      </c>
      <c r="W53" s="41">
        <v>7.125</v>
      </c>
    </row>
  </sheetData>
  <mergeCells count="2">
    <mergeCell ref="Q3:R3"/>
    <mergeCell ref="Q4:R4"/>
  </mergeCells>
  <pageMargins left="0.75" right="0.75" top="1" bottom="1" header="0.5" footer="0.5"/>
  <pageSetup orientation="portrait" r:id="rId3"/>
  <headerFooter alignWithMargins="0"/>
  <drawing r:id="rId4"/>
  <legacyDrawing r:id="rId5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5E09F-14B5-40B1-8079-2BBA1D7697D9}">
  <dimension ref="A1:X53"/>
  <sheetViews>
    <sheetView workbookViewId="0">
      <selection activeCell="N10" sqref="N10:N49"/>
    </sheetView>
  </sheetViews>
  <sheetFormatPr defaultRowHeight="12.75"/>
  <cols>
    <col min="1" max="18" width="9.140625" style="37"/>
    <col min="19" max="19" width="12.42578125" style="37" customWidth="1"/>
    <col min="20" max="20" width="45.7109375" style="37" customWidth="1"/>
    <col min="21" max="21" width="9.140625" style="37"/>
    <col min="22" max="22" width="23.5703125" style="37" customWidth="1"/>
    <col min="23" max="23" width="5.5703125" style="37" customWidth="1"/>
    <col min="24" max="24" width="5.42578125" style="37" customWidth="1"/>
    <col min="25" max="26" width="4.5703125" style="37" customWidth="1"/>
    <col min="27" max="27" width="10.5703125" style="37" bestFit="1" customWidth="1"/>
    <col min="28" max="16384" width="9.140625" style="37"/>
  </cols>
  <sheetData>
    <row r="1" spans="1:23" ht="22.5" customHeight="1">
      <c r="A1" s="93" t="s">
        <v>340</v>
      </c>
    </row>
    <row r="2" spans="1:23">
      <c r="Q2" s="92" t="s">
        <v>359</v>
      </c>
    </row>
    <row r="3" spans="1:23" ht="13.5" thickBot="1">
      <c r="A3" s="92"/>
      <c r="B3" s="104" t="s">
        <v>339</v>
      </c>
      <c r="C3" s="96">
        <v>123</v>
      </c>
      <c r="E3" s="104" t="s">
        <v>338</v>
      </c>
      <c r="F3" s="105">
        <v>0.26874999999999999</v>
      </c>
      <c r="H3" s="104" t="s">
        <v>358</v>
      </c>
      <c r="I3" s="106">
        <v>43954</v>
      </c>
      <c r="J3" s="96"/>
      <c r="Q3" s="117" t="s">
        <v>357</v>
      </c>
      <c r="R3" s="118"/>
      <c r="S3" s="91">
        <f>AVERAGE(Q10:Q11,Q13,Q15:Q17,Q19:Q20,Q22:Q29,Q31:Q32,Q34:Q35,Q37,Q39:Q41)</f>
        <v>6.0625</v>
      </c>
    </row>
    <row r="4" spans="1:23" ht="18.75" customHeight="1" thickBot="1">
      <c r="E4" s="104" t="s">
        <v>337</v>
      </c>
      <c r="F4" s="105">
        <v>0.30208333333333331</v>
      </c>
      <c r="H4" s="104" t="s">
        <v>350</v>
      </c>
      <c r="I4" s="96" t="s">
        <v>360</v>
      </c>
      <c r="J4" s="96"/>
      <c r="Q4" s="117" t="s">
        <v>356</v>
      </c>
      <c r="R4" s="118"/>
      <c r="S4" s="91">
        <f>AVERAGE(Q12,Q14,Q18,Q21,Q30,Q36,Q38,Q33)</f>
        <v>11.53125</v>
      </c>
    </row>
    <row r="6" spans="1:23" ht="13.5" thickBot="1">
      <c r="B6" s="104" t="s">
        <v>336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</row>
    <row r="7" spans="1:23" ht="13.5" thickBot="1"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</row>
    <row r="8" spans="1:23" ht="13.5" thickBot="1"/>
    <row r="9" spans="1:23" ht="39" thickBot="1">
      <c r="B9" s="88" t="s">
        <v>0</v>
      </c>
      <c r="C9" s="89" t="s">
        <v>305</v>
      </c>
      <c r="D9" s="89" t="s">
        <v>333</v>
      </c>
      <c r="E9" s="88" t="s">
        <v>332</v>
      </c>
      <c r="F9" s="89" t="s">
        <v>331</v>
      </c>
      <c r="G9" s="88" t="s">
        <v>330</v>
      </c>
      <c r="H9" s="88" t="s">
        <v>329</v>
      </c>
      <c r="I9" s="88" t="s">
        <v>315</v>
      </c>
      <c r="J9" s="88" t="s">
        <v>328</v>
      </c>
      <c r="K9" s="86" t="s">
        <v>327</v>
      </c>
      <c r="L9" s="86" t="s">
        <v>326</v>
      </c>
      <c r="M9" s="86" t="s">
        <v>325</v>
      </c>
      <c r="N9" s="86" t="s">
        <v>324</v>
      </c>
      <c r="O9" s="86" t="s">
        <v>323</v>
      </c>
      <c r="P9" s="86" t="s">
        <v>322</v>
      </c>
      <c r="Q9" s="87" t="s">
        <v>321</v>
      </c>
      <c r="R9" s="86" t="s">
        <v>320</v>
      </c>
      <c r="S9" s="87" t="s">
        <v>319</v>
      </c>
      <c r="T9" s="103" t="s">
        <v>318</v>
      </c>
    </row>
    <row r="10" spans="1:23">
      <c r="B10" s="61">
        <v>101</v>
      </c>
      <c r="C10" s="62" t="s">
        <v>3</v>
      </c>
      <c r="D10" s="62">
        <v>1</v>
      </c>
      <c r="E10" s="62">
        <f t="shared" ref="E10:E41" si="0">IF(LEFT($C10,1)="F",1,2)</f>
        <v>1</v>
      </c>
      <c r="F10" s="62">
        <f t="shared" ref="F10:F41" si="1">IF(MID($C10,2,1)="S",1,IF(MID($C10,2,1)="T",2,IF(MID($C10,2,1)="D",3,0)))</f>
        <v>1</v>
      </c>
      <c r="G10" s="62">
        <f t="shared" ref="G10:G41" si="2">IF(RIGHT($C10,1)="L",1,2)</f>
        <v>2</v>
      </c>
      <c r="H10" s="61">
        <v>1</v>
      </c>
      <c r="I10" s="61">
        <f t="shared" ref="I10:I49" si="3">B10-INT(B10/100)*100</f>
        <v>1</v>
      </c>
      <c r="J10" s="61" t="str">
        <f t="shared" ref="J10:J49" si="4">(E10&amp;F10&amp;G10&amp;"."&amp;H10)</f>
        <v>112.1</v>
      </c>
      <c r="K10" s="83"/>
      <c r="L10" s="60"/>
      <c r="M10" s="60">
        <v>13</v>
      </c>
      <c r="N10" s="60">
        <v>10</v>
      </c>
      <c r="O10" s="60"/>
      <c r="P10" s="60"/>
      <c r="Q10" s="53">
        <f t="shared" ref="Q10:Q49" si="5">AVERAGE(K10:P10)/2</f>
        <v>5.75</v>
      </c>
      <c r="R10" s="53">
        <f t="shared" ref="R10:R49" si="6">STDEV(K10:P10)/2/SQRT(COUNT(K10:P10))</f>
        <v>0.74999999999999989</v>
      </c>
      <c r="S10" s="53">
        <f t="shared" ref="S10:S49" si="7">IF(F10=3,Q10/2,Q10)</f>
        <v>5.75</v>
      </c>
      <c r="T10" s="99"/>
      <c r="V10" s="65" t="s">
        <v>316</v>
      </c>
      <c r="W10" s="63"/>
    </row>
    <row r="11" spans="1:23">
      <c r="B11" s="55">
        <v>102</v>
      </c>
      <c r="C11" s="55" t="s">
        <v>4</v>
      </c>
      <c r="D11" s="55">
        <v>4</v>
      </c>
      <c r="E11" s="56">
        <f t="shared" si="0"/>
        <v>1</v>
      </c>
      <c r="F11" s="56">
        <f t="shared" si="1"/>
        <v>2</v>
      </c>
      <c r="G11" s="56">
        <f t="shared" si="2"/>
        <v>1</v>
      </c>
      <c r="H11" s="55">
        <v>1</v>
      </c>
      <c r="I11" s="55">
        <f t="shared" si="3"/>
        <v>2</v>
      </c>
      <c r="J11" s="55" t="str">
        <f t="shared" si="4"/>
        <v>121.1</v>
      </c>
      <c r="K11" s="54"/>
      <c r="L11" s="54"/>
      <c r="M11" s="54">
        <v>3</v>
      </c>
      <c r="N11" s="54">
        <v>14</v>
      </c>
      <c r="O11" s="54"/>
      <c r="P11" s="54"/>
      <c r="Q11" s="53">
        <f t="shared" si="5"/>
        <v>4.25</v>
      </c>
      <c r="R11" s="52">
        <f t="shared" si="6"/>
        <v>2.7499999999999996</v>
      </c>
      <c r="S11" s="53">
        <f t="shared" si="7"/>
        <v>4.25</v>
      </c>
      <c r="T11" s="98"/>
      <c r="V11" s="65" t="s">
        <v>315</v>
      </c>
      <c r="W11" s="63" t="s">
        <v>304</v>
      </c>
    </row>
    <row r="12" spans="1:23">
      <c r="B12" s="69">
        <v>103</v>
      </c>
      <c r="C12" s="69" t="s">
        <v>5</v>
      </c>
      <c r="D12" s="69">
        <v>5</v>
      </c>
      <c r="E12" s="70">
        <f t="shared" si="0"/>
        <v>1</v>
      </c>
      <c r="F12" s="70">
        <f t="shared" si="1"/>
        <v>3</v>
      </c>
      <c r="G12" s="70">
        <f t="shared" si="2"/>
        <v>2</v>
      </c>
      <c r="H12" s="69">
        <v>1</v>
      </c>
      <c r="I12" s="69">
        <f t="shared" si="3"/>
        <v>3</v>
      </c>
      <c r="J12" s="69" t="str">
        <f t="shared" si="4"/>
        <v>132.1</v>
      </c>
      <c r="K12" s="68"/>
      <c r="L12" s="68"/>
      <c r="M12" s="68">
        <v>17</v>
      </c>
      <c r="N12" s="68">
        <v>20</v>
      </c>
      <c r="O12" s="68"/>
      <c r="P12" s="68"/>
      <c r="Q12" s="67">
        <f t="shared" si="5"/>
        <v>9.25</v>
      </c>
      <c r="R12" s="66">
        <f t="shared" si="6"/>
        <v>0.74999999999999989</v>
      </c>
      <c r="S12" s="67">
        <f t="shared" si="7"/>
        <v>4.625</v>
      </c>
      <c r="T12" s="100"/>
      <c r="V12" s="59">
        <v>1</v>
      </c>
      <c r="W12" s="58">
        <v>5.625</v>
      </c>
    </row>
    <row r="13" spans="1:23">
      <c r="B13" s="55">
        <v>104</v>
      </c>
      <c r="C13" s="55" t="s">
        <v>6</v>
      </c>
      <c r="D13" s="55">
        <v>10</v>
      </c>
      <c r="E13" s="56">
        <f t="shared" si="0"/>
        <v>2</v>
      </c>
      <c r="F13" s="56">
        <f t="shared" si="1"/>
        <v>2</v>
      </c>
      <c r="G13" s="56">
        <f t="shared" si="2"/>
        <v>1</v>
      </c>
      <c r="H13" s="55">
        <v>1</v>
      </c>
      <c r="I13" s="55">
        <f t="shared" si="3"/>
        <v>4</v>
      </c>
      <c r="J13" s="55" t="str">
        <f t="shared" si="4"/>
        <v>221.1</v>
      </c>
      <c r="K13" s="54"/>
      <c r="L13" s="54"/>
      <c r="M13" s="54">
        <v>15</v>
      </c>
      <c r="N13" s="54">
        <v>14</v>
      </c>
      <c r="O13" s="54"/>
      <c r="P13" s="54"/>
      <c r="Q13" s="53">
        <f t="shared" si="5"/>
        <v>7.25</v>
      </c>
      <c r="R13" s="52">
        <f t="shared" si="6"/>
        <v>0.25</v>
      </c>
      <c r="S13" s="53">
        <f t="shared" si="7"/>
        <v>7.25</v>
      </c>
      <c r="T13" s="98"/>
      <c r="V13" s="44">
        <v>2</v>
      </c>
      <c r="W13" s="43">
        <v>5.833333333333333</v>
      </c>
    </row>
    <row r="14" spans="1:23">
      <c r="B14" s="69">
        <v>105</v>
      </c>
      <c r="C14" s="69" t="s">
        <v>10</v>
      </c>
      <c r="D14" s="69">
        <v>12</v>
      </c>
      <c r="E14" s="70">
        <f t="shared" si="0"/>
        <v>2</v>
      </c>
      <c r="F14" s="70">
        <f t="shared" si="1"/>
        <v>3</v>
      </c>
      <c r="G14" s="70">
        <f t="shared" si="2"/>
        <v>1</v>
      </c>
      <c r="H14" s="69">
        <v>2</v>
      </c>
      <c r="I14" s="69">
        <f t="shared" si="3"/>
        <v>5</v>
      </c>
      <c r="J14" s="69" t="str">
        <f t="shared" si="4"/>
        <v>231.2</v>
      </c>
      <c r="K14" s="68"/>
      <c r="L14" s="68"/>
      <c r="M14" s="68">
        <v>25</v>
      </c>
      <c r="N14" s="68">
        <v>15</v>
      </c>
      <c r="O14" s="68"/>
      <c r="P14" s="68"/>
      <c r="Q14" s="67">
        <f t="shared" si="5"/>
        <v>10</v>
      </c>
      <c r="R14" s="66">
        <f t="shared" si="6"/>
        <v>2.5</v>
      </c>
      <c r="S14" s="67">
        <f t="shared" si="7"/>
        <v>5</v>
      </c>
      <c r="T14" s="100"/>
      <c r="V14" s="44">
        <v>3</v>
      </c>
      <c r="W14" s="43">
        <v>5.625</v>
      </c>
    </row>
    <row r="15" spans="1:23">
      <c r="B15" s="55">
        <v>106</v>
      </c>
      <c r="C15" s="55" t="s">
        <v>7</v>
      </c>
      <c r="D15" s="55">
        <v>9</v>
      </c>
      <c r="E15" s="56">
        <f t="shared" si="0"/>
        <v>2</v>
      </c>
      <c r="F15" s="56">
        <f t="shared" si="1"/>
        <v>2</v>
      </c>
      <c r="G15" s="56">
        <f t="shared" si="2"/>
        <v>2</v>
      </c>
      <c r="H15" s="55">
        <v>2</v>
      </c>
      <c r="I15" s="55">
        <f t="shared" si="3"/>
        <v>6</v>
      </c>
      <c r="J15" s="55" t="str">
        <f t="shared" si="4"/>
        <v>222.2</v>
      </c>
      <c r="K15" s="54"/>
      <c r="L15" s="54"/>
      <c r="M15" s="54">
        <v>11</v>
      </c>
      <c r="N15" s="54">
        <v>12</v>
      </c>
      <c r="O15" s="54"/>
      <c r="P15" s="54"/>
      <c r="Q15" s="53">
        <f t="shared" si="5"/>
        <v>5.75</v>
      </c>
      <c r="R15" s="52">
        <f t="shared" si="6"/>
        <v>0.25</v>
      </c>
      <c r="S15" s="53">
        <f t="shared" si="7"/>
        <v>5.75</v>
      </c>
      <c r="T15" s="98"/>
      <c r="V15" s="44">
        <v>4</v>
      </c>
      <c r="W15" s="43">
        <v>7.46875</v>
      </c>
    </row>
    <row r="16" spans="1:23">
      <c r="B16" s="55">
        <v>107</v>
      </c>
      <c r="C16" s="55" t="s">
        <v>6</v>
      </c>
      <c r="D16" s="55">
        <v>10</v>
      </c>
      <c r="E16" s="56">
        <f t="shared" si="0"/>
        <v>2</v>
      </c>
      <c r="F16" s="56">
        <f t="shared" si="1"/>
        <v>2</v>
      </c>
      <c r="G16" s="56">
        <f t="shared" si="2"/>
        <v>1</v>
      </c>
      <c r="H16" s="55">
        <v>2</v>
      </c>
      <c r="I16" s="55">
        <f t="shared" si="3"/>
        <v>7</v>
      </c>
      <c r="J16" s="55" t="str">
        <f t="shared" si="4"/>
        <v>221.2</v>
      </c>
      <c r="K16" s="54"/>
      <c r="L16" s="54"/>
      <c r="M16" s="54">
        <v>15</v>
      </c>
      <c r="N16" s="54">
        <v>9</v>
      </c>
      <c r="O16" s="54"/>
      <c r="P16" s="54"/>
      <c r="Q16" s="53">
        <f t="shared" si="5"/>
        <v>6</v>
      </c>
      <c r="R16" s="52">
        <f t="shared" si="6"/>
        <v>1.4999999999999998</v>
      </c>
      <c r="S16" s="53">
        <f t="shared" si="7"/>
        <v>6</v>
      </c>
      <c r="T16" s="98"/>
      <c r="V16" s="44">
        <v>5</v>
      </c>
      <c r="W16" s="43">
        <v>6.40625</v>
      </c>
    </row>
    <row r="17" spans="2:24" ht="13.5" thickBot="1">
      <c r="B17" s="49">
        <v>108</v>
      </c>
      <c r="C17" s="49" t="s">
        <v>8</v>
      </c>
      <c r="D17" s="49">
        <v>3</v>
      </c>
      <c r="E17" s="50">
        <f t="shared" si="0"/>
        <v>1</v>
      </c>
      <c r="F17" s="50">
        <f t="shared" si="1"/>
        <v>2</v>
      </c>
      <c r="G17" s="50">
        <f t="shared" si="2"/>
        <v>2</v>
      </c>
      <c r="H17" s="49">
        <v>2</v>
      </c>
      <c r="I17" s="49">
        <f t="shared" si="3"/>
        <v>8</v>
      </c>
      <c r="J17" s="49" t="str">
        <f t="shared" si="4"/>
        <v>122.2</v>
      </c>
      <c r="K17" s="48"/>
      <c r="L17" s="48"/>
      <c r="M17" s="48">
        <v>4</v>
      </c>
      <c r="N17" s="48">
        <v>16</v>
      </c>
      <c r="O17" s="48"/>
      <c r="P17" s="48"/>
      <c r="Q17" s="48">
        <f t="shared" si="5"/>
        <v>5</v>
      </c>
      <c r="R17" s="47">
        <f t="shared" si="6"/>
        <v>2.9999999999999996</v>
      </c>
      <c r="S17" s="48">
        <f t="shared" si="7"/>
        <v>5</v>
      </c>
      <c r="T17" s="97"/>
      <c r="V17" s="44">
        <v>6</v>
      </c>
      <c r="W17" s="43">
        <v>6.8125</v>
      </c>
    </row>
    <row r="18" spans="2:24">
      <c r="B18" s="80">
        <v>201</v>
      </c>
      <c r="C18" s="80" t="s">
        <v>10</v>
      </c>
      <c r="D18" s="80">
        <v>12</v>
      </c>
      <c r="E18" s="81">
        <f t="shared" si="0"/>
        <v>2</v>
      </c>
      <c r="F18" s="81">
        <f t="shared" si="1"/>
        <v>3</v>
      </c>
      <c r="G18" s="81">
        <f t="shared" si="2"/>
        <v>1</v>
      </c>
      <c r="H18" s="80">
        <v>1</v>
      </c>
      <c r="I18" s="80">
        <f t="shared" si="3"/>
        <v>1</v>
      </c>
      <c r="J18" s="80" t="str">
        <f t="shared" si="4"/>
        <v>231.1</v>
      </c>
      <c r="K18" s="79"/>
      <c r="L18" s="79"/>
      <c r="M18" s="79">
        <v>25</v>
      </c>
      <c r="N18" s="79">
        <v>17</v>
      </c>
      <c r="O18" s="79"/>
      <c r="P18" s="79"/>
      <c r="Q18" s="67">
        <f t="shared" si="5"/>
        <v>10.5</v>
      </c>
      <c r="R18" s="67">
        <f t="shared" si="6"/>
        <v>2</v>
      </c>
      <c r="S18" s="67">
        <f t="shared" si="7"/>
        <v>5.25</v>
      </c>
      <c r="T18" s="102"/>
      <c r="V18" s="44">
        <v>7</v>
      </c>
      <c r="W18" s="43">
        <v>4.9375</v>
      </c>
    </row>
    <row r="19" spans="2:24">
      <c r="B19" s="55">
        <v>202</v>
      </c>
      <c r="C19" s="55" t="s">
        <v>7</v>
      </c>
      <c r="D19" s="55">
        <v>9</v>
      </c>
      <c r="E19" s="56">
        <f t="shared" si="0"/>
        <v>2</v>
      </c>
      <c r="F19" s="56">
        <f t="shared" si="1"/>
        <v>2</v>
      </c>
      <c r="G19" s="56">
        <f t="shared" si="2"/>
        <v>2</v>
      </c>
      <c r="H19" s="55">
        <v>1</v>
      </c>
      <c r="I19" s="55">
        <f t="shared" si="3"/>
        <v>2</v>
      </c>
      <c r="J19" s="55" t="str">
        <f t="shared" si="4"/>
        <v>222.1</v>
      </c>
      <c r="K19" s="78"/>
      <c r="L19" s="77"/>
      <c r="M19" s="77">
        <v>6</v>
      </c>
      <c r="N19" s="77">
        <v>12</v>
      </c>
      <c r="O19" s="54"/>
      <c r="P19" s="54"/>
      <c r="Q19" s="53">
        <f t="shared" si="5"/>
        <v>4.5</v>
      </c>
      <c r="R19" s="52">
        <f t="shared" si="6"/>
        <v>1.4999999999999998</v>
      </c>
      <c r="S19" s="53">
        <f t="shared" si="7"/>
        <v>4.5</v>
      </c>
      <c r="T19" s="98"/>
      <c r="V19" s="44">
        <v>8</v>
      </c>
      <c r="W19" s="43">
        <v>5.90625</v>
      </c>
    </row>
    <row r="20" spans="2:24">
      <c r="B20" s="55">
        <v>203</v>
      </c>
      <c r="C20" s="55" t="s">
        <v>8</v>
      </c>
      <c r="D20" s="55">
        <v>3</v>
      </c>
      <c r="E20" s="56">
        <f t="shared" si="0"/>
        <v>1</v>
      </c>
      <c r="F20" s="56">
        <f t="shared" si="1"/>
        <v>2</v>
      </c>
      <c r="G20" s="56">
        <f t="shared" si="2"/>
        <v>2</v>
      </c>
      <c r="H20" s="55">
        <v>1</v>
      </c>
      <c r="I20" s="55">
        <f t="shared" si="3"/>
        <v>3</v>
      </c>
      <c r="J20" s="55" t="str">
        <f t="shared" si="4"/>
        <v>122.1</v>
      </c>
      <c r="K20" s="54"/>
      <c r="L20" s="54"/>
      <c r="M20" s="54">
        <v>19</v>
      </c>
      <c r="N20" s="54">
        <v>16</v>
      </c>
      <c r="O20" s="54"/>
      <c r="P20" s="54"/>
      <c r="Q20" s="53">
        <f t="shared" si="5"/>
        <v>8.75</v>
      </c>
      <c r="R20" s="52">
        <f t="shared" si="6"/>
        <v>0.74999999999999989</v>
      </c>
      <c r="S20" s="53">
        <f t="shared" si="7"/>
        <v>8.75</v>
      </c>
      <c r="T20" s="98"/>
      <c r="V20" s="76" t="s">
        <v>312</v>
      </c>
      <c r="W20" s="75">
        <v>6.076822916666667</v>
      </c>
    </row>
    <row r="21" spans="2:24">
      <c r="B21" s="69">
        <v>204</v>
      </c>
      <c r="C21" s="69" t="s">
        <v>11</v>
      </c>
      <c r="D21" s="69">
        <v>11</v>
      </c>
      <c r="E21" s="70">
        <f t="shared" si="0"/>
        <v>2</v>
      </c>
      <c r="F21" s="70">
        <f t="shared" si="1"/>
        <v>3</v>
      </c>
      <c r="G21" s="70">
        <f t="shared" si="2"/>
        <v>2</v>
      </c>
      <c r="H21" s="69">
        <v>1</v>
      </c>
      <c r="I21" s="69">
        <f t="shared" si="3"/>
        <v>4</v>
      </c>
      <c r="J21" s="69" t="str">
        <f t="shared" si="4"/>
        <v>232.1</v>
      </c>
      <c r="K21" s="68"/>
      <c r="L21" s="68"/>
      <c r="M21" s="68">
        <v>34</v>
      </c>
      <c r="N21" s="68">
        <v>21</v>
      </c>
      <c r="O21" s="68"/>
      <c r="P21" s="68"/>
      <c r="Q21" s="67">
        <f t="shared" si="5"/>
        <v>13.75</v>
      </c>
      <c r="R21" s="66">
        <f t="shared" si="6"/>
        <v>3.2499999999999996</v>
      </c>
      <c r="S21" s="67">
        <f t="shared" si="7"/>
        <v>6.875</v>
      </c>
      <c r="T21" s="100"/>
    </row>
    <row r="22" spans="2:24">
      <c r="B22" s="55">
        <v>205</v>
      </c>
      <c r="C22" s="55" t="s">
        <v>3</v>
      </c>
      <c r="D22" s="55">
        <v>1</v>
      </c>
      <c r="E22" s="56">
        <f t="shared" si="0"/>
        <v>1</v>
      </c>
      <c r="F22" s="56">
        <f t="shared" si="1"/>
        <v>1</v>
      </c>
      <c r="G22" s="56">
        <f t="shared" si="2"/>
        <v>2</v>
      </c>
      <c r="H22" s="55">
        <v>2</v>
      </c>
      <c r="I22" s="55">
        <f t="shared" si="3"/>
        <v>5</v>
      </c>
      <c r="J22" s="55" t="str">
        <f t="shared" si="4"/>
        <v>112.2</v>
      </c>
      <c r="K22" s="54"/>
      <c r="L22" s="54"/>
      <c r="M22" s="54">
        <v>15</v>
      </c>
      <c r="N22" s="54">
        <v>14</v>
      </c>
      <c r="O22" s="54"/>
      <c r="P22" s="54"/>
      <c r="Q22" s="53">
        <f t="shared" si="5"/>
        <v>7.25</v>
      </c>
      <c r="R22" s="52">
        <f t="shared" si="6"/>
        <v>0.25</v>
      </c>
      <c r="S22" s="53">
        <f t="shared" si="7"/>
        <v>7.25</v>
      </c>
      <c r="T22" s="98"/>
    </row>
    <row r="23" spans="2:24">
      <c r="B23" s="55">
        <v>206</v>
      </c>
      <c r="C23" s="55" t="s">
        <v>12</v>
      </c>
      <c r="D23" s="55">
        <v>8</v>
      </c>
      <c r="E23" s="56">
        <f t="shared" si="0"/>
        <v>2</v>
      </c>
      <c r="F23" s="56">
        <f t="shared" si="1"/>
        <v>1</v>
      </c>
      <c r="G23" s="56">
        <f t="shared" si="2"/>
        <v>1</v>
      </c>
      <c r="H23" s="55">
        <v>2</v>
      </c>
      <c r="I23" s="55">
        <f t="shared" si="3"/>
        <v>6</v>
      </c>
      <c r="J23" s="55" t="str">
        <f t="shared" si="4"/>
        <v>211.2</v>
      </c>
      <c r="K23" s="54"/>
      <c r="L23" s="54"/>
      <c r="M23" s="54">
        <v>9</v>
      </c>
      <c r="N23" s="54">
        <v>16</v>
      </c>
      <c r="O23" s="54"/>
      <c r="P23" s="54"/>
      <c r="Q23" s="53">
        <f t="shared" si="5"/>
        <v>6.25</v>
      </c>
      <c r="R23" s="52">
        <f t="shared" si="6"/>
        <v>1.7499999999999998</v>
      </c>
      <c r="S23" s="53">
        <f t="shared" si="7"/>
        <v>6.25</v>
      </c>
      <c r="T23" s="98"/>
    </row>
    <row r="24" spans="2:24">
      <c r="B24" s="55">
        <v>207</v>
      </c>
      <c r="C24" s="55" t="s">
        <v>4</v>
      </c>
      <c r="D24" s="55">
        <v>4</v>
      </c>
      <c r="E24" s="56">
        <f t="shared" si="0"/>
        <v>1</v>
      </c>
      <c r="F24" s="56">
        <f t="shared" si="1"/>
        <v>2</v>
      </c>
      <c r="G24" s="56">
        <f t="shared" si="2"/>
        <v>1</v>
      </c>
      <c r="H24" s="55">
        <v>2</v>
      </c>
      <c r="I24" s="55">
        <f t="shared" si="3"/>
        <v>7</v>
      </c>
      <c r="J24" s="55" t="str">
        <f t="shared" si="4"/>
        <v>121.2</v>
      </c>
      <c r="K24" s="54"/>
      <c r="L24" s="54"/>
      <c r="M24" s="54">
        <v>2</v>
      </c>
      <c r="N24" s="54">
        <v>3</v>
      </c>
      <c r="O24" s="54"/>
      <c r="P24" s="54"/>
      <c r="Q24" s="53">
        <f t="shared" si="5"/>
        <v>1.25</v>
      </c>
      <c r="R24" s="52">
        <f t="shared" si="6"/>
        <v>0.25</v>
      </c>
      <c r="S24" s="53">
        <f t="shared" si="7"/>
        <v>1.25</v>
      </c>
      <c r="T24" s="98"/>
      <c r="V24" s="38"/>
    </row>
    <row r="25" spans="2:24" ht="13.5" thickBot="1">
      <c r="B25" s="49">
        <v>208</v>
      </c>
      <c r="C25" s="49" t="s">
        <v>13</v>
      </c>
      <c r="D25" s="49">
        <v>2</v>
      </c>
      <c r="E25" s="50">
        <f t="shared" si="0"/>
        <v>1</v>
      </c>
      <c r="F25" s="50">
        <f t="shared" si="1"/>
        <v>1</v>
      </c>
      <c r="G25" s="50">
        <f t="shared" si="2"/>
        <v>1</v>
      </c>
      <c r="H25" s="49">
        <v>2</v>
      </c>
      <c r="I25" s="49">
        <f t="shared" si="3"/>
        <v>8</v>
      </c>
      <c r="J25" s="49" t="str">
        <f t="shared" si="4"/>
        <v>111.2</v>
      </c>
      <c r="K25" s="48"/>
      <c r="L25" s="48"/>
      <c r="M25" s="48">
        <v>9</v>
      </c>
      <c r="N25" s="48">
        <v>15</v>
      </c>
      <c r="O25" s="48"/>
      <c r="P25" s="48"/>
      <c r="Q25" s="48">
        <f t="shared" si="5"/>
        <v>6</v>
      </c>
      <c r="R25" s="47">
        <f t="shared" si="6"/>
        <v>1.4999999999999998</v>
      </c>
      <c r="S25" s="48">
        <f t="shared" si="7"/>
        <v>6</v>
      </c>
      <c r="T25" s="97"/>
    </row>
    <row r="26" spans="2:24">
      <c r="B26" s="61">
        <v>301</v>
      </c>
      <c r="C26" s="61" t="s">
        <v>6</v>
      </c>
      <c r="D26" s="61">
        <v>10</v>
      </c>
      <c r="E26" s="62">
        <f t="shared" si="0"/>
        <v>2</v>
      </c>
      <c r="F26" s="62">
        <f t="shared" si="1"/>
        <v>2</v>
      </c>
      <c r="G26" s="62">
        <f t="shared" si="2"/>
        <v>1</v>
      </c>
      <c r="H26" s="61">
        <v>3</v>
      </c>
      <c r="I26" s="61">
        <f t="shared" si="3"/>
        <v>1</v>
      </c>
      <c r="J26" s="61" t="str">
        <f t="shared" si="4"/>
        <v>221.3</v>
      </c>
      <c r="K26" s="60"/>
      <c r="L26" s="60"/>
      <c r="M26" s="60">
        <v>17</v>
      </c>
      <c r="N26" s="60">
        <v>14</v>
      </c>
      <c r="O26" s="60"/>
      <c r="P26" s="60"/>
      <c r="Q26" s="53">
        <f t="shared" si="5"/>
        <v>7.75</v>
      </c>
      <c r="R26" s="53">
        <f t="shared" si="6"/>
        <v>0.74999999999999989</v>
      </c>
      <c r="S26" s="53">
        <f t="shared" si="7"/>
        <v>7.75</v>
      </c>
      <c r="T26" s="99"/>
      <c r="V26" s="38"/>
    </row>
    <row r="27" spans="2:24">
      <c r="B27" s="55">
        <v>302</v>
      </c>
      <c r="C27" s="55" t="s">
        <v>4</v>
      </c>
      <c r="D27" s="55">
        <v>4</v>
      </c>
      <c r="E27" s="56">
        <f t="shared" si="0"/>
        <v>1</v>
      </c>
      <c r="F27" s="56">
        <f t="shared" si="1"/>
        <v>2</v>
      </c>
      <c r="G27" s="56">
        <f t="shared" si="2"/>
        <v>1</v>
      </c>
      <c r="H27" s="55">
        <v>3</v>
      </c>
      <c r="I27" s="55">
        <f t="shared" si="3"/>
        <v>2</v>
      </c>
      <c r="J27" s="55" t="str">
        <f t="shared" si="4"/>
        <v>121.3</v>
      </c>
      <c r="K27" s="54"/>
      <c r="L27" s="54"/>
      <c r="M27" s="54">
        <v>5</v>
      </c>
      <c r="N27" s="54">
        <v>18</v>
      </c>
      <c r="O27" s="54"/>
      <c r="P27" s="54"/>
      <c r="Q27" s="53">
        <f t="shared" si="5"/>
        <v>5.75</v>
      </c>
      <c r="R27" s="52">
        <f t="shared" si="6"/>
        <v>3.2499999999999996</v>
      </c>
      <c r="S27" s="53">
        <f t="shared" si="7"/>
        <v>5.75</v>
      </c>
      <c r="T27" s="98"/>
    </row>
    <row r="28" spans="2:24">
      <c r="B28" s="55">
        <v>303</v>
      </c>
      <c r="C28" s="55" t="s">
        <v>12</v>
      </c>
      <c r="D28" s="55">
        <v>8</v>
      </c>
      <c r="E28" s="56">
        <f t="shared" si="0"/>
        <v>2</v>
      </c>
      <c r="F28" s="56">
        <f t="shared" si="1"/>
        <v>1</v>
      </c>
      <c r="G28" s="56">
        <f t="shared" si="2"/>
        <v>1</v>
      </c>
      <c r="H28" s="55">
        <v>3</v>
      </c>
      <c r="I28" s="55">
        <f t="shared" si="3"/>
        <v>3</v>
      </c>
      <c r="J28" s="55" t="str">
        <f t="shared" si="4"/>
        <v>211.3</v>
      </c>
      <c r="K28" s="54"/>
      <c r="L28" s="54"/>
      <c r="M28" s="54">
        <v>9</v>
      </c>
      <c r="N28" s="54">
        <v>4</v>
      </c>
      <c r="O28" s="54"/>
      <c r="P28" s="54"/>
      <c r="Q28" s="53">
        <f t="shared" si="5"/>
        <v>3.25</v>
      </c>
      <c r="R28" s="52">
        <f t="shared" si="6"/>
        <v>1.25</v>
      </c>
      <c r="S28" s="53">
        <f t="shared" si="7"/>
        <v>3.25</v>
      </c>
      <c r="T28" s="98"/>
    </row>
    <row r="29" spans="2:24">
      <c r="B29" s="55">
        <v>304</v>
      </c>
      <c r="C29" s="55" t="s">
        <v>13</v>
      </c>
      <c r="D29" s="55">
        <v>2</v>
      </c>
      <c r="E29" s="56">
        <f t="shared" si="0"/>
        <v>1</v>
      </c>
      <c r="F29" s="56">
        <f t="shared" si="1"/>
        <v>1</v>
      </c>
      <c r="G29" s="56">
        <f t="shared" si="2"/>
        <v>1</v>
      </c>
      <c r="H29" s="55">
        <v>3</v>
      </c>
      <c r="I29" s="55">
        <f t="shared" si="3"/>
        <v>4</v>
      </c>
      <c r="J29" s="55" t="str">
        <f t="shared" si="4"/>
        <v>111.3</v>
      </c>
      <c r="K29" s="54"/>
      <c r="L29" s="54"/>
      <c r="M29" s="54">
        <v>11</v>
      </c>
      <c r="N29" s="54">
        <v>16</v>
      </c>
      <c r="O29" s="54"/>
      <c r="P29" s="54"/>
      <c r="Q29" s="53">
        <f t="shared" si="5"/>
        <v>6.75</v>
      </c>
      <c r="R29" s="52">
        <f t="shared" si="6"/>
        <v>1.25</v>
      </c>
      <c r="S29" s="53">
        <f t="shared" si="7"/>
        <v>6.75</v>
      </c>
      <c r="T29" s="98"/>
      <c r="X29" s="38"/>
    </row>
    <row r="30" spans="2:24">
      <c r="B30" s="69">
        <v>305</v>
      </c>
      <c r="C30" s="69" t="s">
        <v>11</v>
      </c>
      <c r="D30" s="69">
        <v>11</v>
      </c>
      <c r="E30" s="70">
        <f t="shared" si="0"/>
        <v>2</v>
      </c>
      <c r="F30" s="70">
        <f t="shared" si="1"/>
        <v>3</v>
      </c>
      <c r="G30" s="70">
        <f t="shared" si="2"/>
        <v>2</v>
      </c>
      <c r="H30" s="69">
        <v>4</v>
      </c>
      <c r="I30" s="69">
        <f t="shared" si="3"/>
        <v>5</v>
      </c>
      <c r="J30" s="69" t="str">
        <f t="shared" si="4"/>
        <v>232.4</v>
      </c>
      <c r="K30" s="68"/>
      <c r="L30" s="68"/>
      <c r="M30" s="68">
        <v>37</v>
      </c>
      <c r="N30" s="68">
        <v>24</v>
      </c>
      <c r="O30" s="68"/>
      <c r="P30" s="68"/>
      <c r="Q30" s="67">
        <f t="shared" si="5"/>
        <v>15.25</v>
      </c>
      <c r="R30" s="66">
        <f t="shared" si="6"/>
        <v>3.2499999999999996</v>
      </c>
      <c r="S30" s="67">
        <f t="shared" si="7"/>
        <v>7.625</v>
      </c>
      <c r="T30" s="100"/>
    </row>
    <row r="31" spans="2:24">
      <c r="B31" s="55">
        <v>306</v>
      </c>
      <c r="C31" s="55" t="s">
        <v>4</v>
      </c>
      <c r="D31" s="55">
        <v>4</v>
      </c>
      <c r="E31" s="56">
        <f t="shared" si="0"/>
        <v>1</v>
      </c>
      <c r="F31" s="56">
        <f t="shared" si="1"/>
        <v>2</v>
      </c>
      <c r="G31" s="56">
        <f t="shared" si="2"/>
        <v>1</v>
      </c>
      <c r="H31" s="55">
        <v>4</v>
      </c>
      <c r="I31" s="55">
        <f t="shared" si="3"/>
        <v>6</v>
      </c>
      <c r="J31" s="55" t="str">
        <f t="shared" si="4"/>
        <v>121.4</v>
      </c>
      <c r="K31" s="54"/>
      <c r="L31" s="54"/>
      <c r="M31" s="54">
        <v>14</v>
      </c>
      <c r="N31" s="54">
        <v>22</v>
      </c>
      <c r="O31" s="54"/>
      <c r="P31" s="54"/>
      <c r="Q31" s="53">
        <f t="shared" si="5"/>
        <v>9</v>
      </c>
      <c r="R31" s="52">
        <f t="shared" si="6"/>
        <v>2</v>
      </c>
      <c r="S31" s="53">
        <f t="shared" si="7"/>
        <v>9</v>
      </c>
      <c r="T31" s="98"/>
    </row>
    <row r="32" spans="2:24">
      <c r="B32" s="55">
        <v>307</v>
      </c>
      <c r="C32" s="55" t="s">
        <v>7</v>
      </c>
      <c r="D32" s="55">
        <v>9</v>
      </c>
      <c r="E32" s="56">
        <f t="shared" si="0"/>
        <v>2</v>
      </c>
      <c r="F32" s="56">
        <f t="shared" si="1"/>
        <v>2</v>
      </c>
      <c r="G32" s="56">
        <f t="shared" si="2"/>
        <v>2</v>
      </c>
      <c r="H32" s="55">
        <v>4</v>
      </c>
      <c r="I32" s="55">
        <f t="shared" si="3"/>
        <v>7</v>
      </c>
      <c r="J32" s="55" t="str">
        <f t="shared" si="4"/>
        <v>222.4</v>
      </c>
      <c r="K32" s="54"/>
      <c r="L32" s="54"/>
      <c r="M32" s="54">
        <v>14</v>
      </c>
      <c r="N32" s="54">
        <v>11</v>
      </c>
      <c r="O32" s="54"/>
      <c r="P32" s="54"/>
      <c r="Q32" s="53">
        <f t="shared" si="5"/>
        <v>6.25</v>
      </c>
      <c r="R32" s="52">
        <f t="shared" si="6"/>
        <v>0.74999999999999989</v>
      </c>
      <c r="S32" s="53">
        <f t="shared" si="7"/>
        <v>6.25</v>
      </c>
      <c r="T32" s="98"/>
    </row>
    <row r="33" spans="2:23" ht="13.5" thickBot="1">
      <c r="B33" s="73">
        <v>308</v>
      </c>
      <c r="C33" s="73" t="s">
        <v>5</v>
      </c>
      <c r="D33" s="73">
        <v>5</v>
      </c>
      <c r="E33" s="74">
        <f t="shared" si="0"/>
        <v>1</v>
      </c>
      <c r="F33" s="74">
        <f t="shared" si="1"/>
        <v>3</v>
      </c>
      <c r="G33" s="74">
        <f t="shared" si="2"/>
        <v>2</v>
      </c>
      <c r="H33" s="73">
        <v>4</v>
      </c>
      <c r="I33" s="73">
        <f t="shared" si="3"/>
        <v>8</v>
      </c>
      <c r="J33" s="73" t="str">
        <f t="shared" si="4"/>
        <v>132.4</v>
      </c>
      <c r="K33" s="72"/>
      <c r="L33" s="72"/>
      <c r="M33" s="72">
        <v>19</v>
      </c>
      <c r="N33" s="72">
        <v>22</v>
      </c>
      <c r="O33" s="72"/>
      <c r="P33" s="72"/>
      <c r="Q33" s="72">
        <f t="shared" si="5"/>
        <v>10.25</v>
      </c>
      <c r="R33" s="71">
        <f t="shared" si="6"/>
        <v>0.74999999999999989</v>
      </c>
      <c r="S33" s="72">
        <f t="shared" si="7"/>
        <v>5.125</v>
      </c>
      <c r="T33" s="101"/>
    </row>
    <row r="34" spans="2:23">
      <c r="B34" s="61">
        <v>401</v>
      </c>
      <c r="C34" s="61" t="s">
        <v>14</v>
      </c>
      <c r="D34" s="61">
        <v>7</v>
      </c>
      <c r="E34" s="62">
        <f t="shared" si="0"/>
        <v>2</v>
      </c>
      <c r="F34" s="62">
        <f t="shared" si="1"/>
        <v>1</v>
      </c>
      <c r="G34" s="62">
        <f t="shared" si="2"/>
        <v>2</v>
      </c>
      <c r="H34" s="61">
        <v>3</v>
      </c>
      <c r="I34" s="61">
        <f t="shared" si="3"/>
        <v>1</v>
      </c>
      <c r="J34" s="61" t="str">
        <f t="shared" si="4"/>
        <v>212.3</v>
      </c>
      <c r="K34" s="60"/>
      <c r="L34" s="60"/>
      <c r="M34" s="60">
        <v>3</v>
      </c>
      <c r="N34" s="60">
        <v>12</v>
      </c>
      <c r="O34" s="60"/>
      <c r="P34" s="60"/>
      <c r="Q34" s="53">
        <f t="shared" si="5"/>
        <v>3.75</v>
      </c>
      <c r="R34" s="53">
        <f t="shared" si="6"/>
        <v>2.25</v>
      </c>
      <c r="S34" s="53">
        <f t="shared" si="7"/>
        <v>3.75</v>
      </c>
      <c r="T34" s="99"/>
    </row>
    <row r="35" spans="2:23">
      <c r="B35" s="55">
        <v>402</v>
      </c>
      <c r="C35" s="55" t="s">
        <v>7</v>
      </c>
      <c r="D35" s="55">
        <v>9</v>
      </c>
      <c r="E35" s="56">
        <f t="shared" si="0"/>
        <v>2</v>
      </c>
      <c r="F35" s="56">
        <f t="shared" si="1"/>
        <v>2</v>
      </c>
      <c r="G35" s="56">
        <f t="shared" si="2"/>
        <v>2</v>
      </c>
      <c r="H35" s="55">
        <v>3</v>
      </c>
      <c r="I35" s="55">
        <f t="shared" si="3"/>
        <v>2</v>
      </c>
      <c r="J35" s="55" t="str">
        <f t="shared" si="4"/>
        <v>222.3</v>
      </c>
      <c r="K35" s="54"/>
      <c r="L35" s="54"/>
      <c r="M35" s="54">
        <v>5</v>
      </c>
      <c r="N35" s="54">
        <v>19</v>
      </c>
      <c r="O35" s="54"/>
      <c r="P35" s="54"/>
      <c r="Q35" s="53">
        <f t="shared" si="5"/>
        <v>6</v>
      </c>
      <c r="R35" s="52">
        <f t="shared" si="6"/>
        <v>3.4999999999999996</v>
      </c>
      <c r="S35" s="53">
        <f t="shared" si="7"/>
        <v>6</v>
      </c>
      <c r="T35" s="98"/>
    </row>
    <row r="36" spans="2:23">
      <c r="B36" s="69">
        <v>403</v>
      </c>
      <c r="C36" s="69" t="s">
        <v>15</v>
      </c>
      <c r="D36" s="69">
        <v>6</v>
      </c>
      <c r="E36" s="70">
        <f t="shared" si="0"/>
        <v>1</v>
      </c>
      <c r="F36" s="70">
        <f t="shared" si="1"/>
        <v>3</v>
      </c>
      <c r="G36" s="70">
        <f t="shared" si="2"/>
        <v>1</v>
      </c>
      <c r="H36" s="69">
        <v>3</v>
      </c>
      <c r="I36" s="69">
        <f t="shared" si="3"/>
        <v>3</v>
      </c>
      <c r="J36" s="69" t="str">
        <f t="shared" si="4"/>
        <v>131.3</v>
      </c>
      <c r="K36" s="68"/>
      <c r="L36" s="68"/>
      <c r="M36" s="68">
        <v>28</v>
      </c>
      <c r="N36" s="68">
        <v>19</v>
      </c>
      <c r="O36" s="68"/>
      <c r="P36" s="68"/>
      <c r="Q36" s="67">
        <f t="shared" si="5"/>
        <v>11.75</v>
      </c>
      <c r="R36" s="66">
        <f t="shared" si="6"/>
        <v>2.25</v>
      </c>
      <c r="S36" s="67">
        <f t="shared" si="7"/>
        <v>5.875</v>
      </c>
      <c r="T36" s="100"/>
    </row>
    <row r="37" spans="2:23">
      <c r="B37" s="55">
        <v>404</v>
      </c>
      <c r="C37" s="55" t="s">
        <v>8</v>
      </c>
      <c r="D37" s="55">
        <v>3</v>
      </c>
      <c r="E37" s="56">
        <f t="shared" si="0"/>
        <v>1</v>
      </c>
      <c r="F37" s="56">
        <f t="shared" si="1"/>
        <v>2</v>
      </c>
      <c r="G37" s="56">
        <f t="shared" si="2"/>
        <v>2</v>
      </c>
      <c r="H37" s="55">
        <v>3</v>
      </c>
      <c r="I37" s="55">
        <f t="shared" si="3"/>
        <v>4</v>
      </c>
      <c r="J37" s="55" t="str">
        <f t="shared" si="4"/>
        <v>122.3</v>
      </c>
      <c r="K37" s="54"/>
      <c r="L37" s="54"/>
      <c r="M37" s="54">
        <v>18</v>
      </c>
      <c r="N37" s="54">
        <v>18</v>
      </c>
      <c r="O37" s="54"/>
      <c r="P37" s="54"/>
      <c r="Q37" s="53">
        <f t="shared" si="5"/>
        <v>9</v>
      </c>
      <c r="R37" s="52">
        <f t="shared" si="6"/>
        <v>0</v>
      </c>
      <c r="S37" s="53">
        <f t="shared" si="7"/>
        <v>9</v>
      </c>
      <c r="T37" s="98"/>
    </row>
    <row r="38" spans="2:23">
      <c r="B38" s="69">
        <v>405</v>
      </c>
      <c r="C38" s="69" t="s">
        <v>15</v>
      </c>
      <c r="D38" s="69">
        <v>6</v>
      </c>
      <c r="E38" s="70">
        <f t="shared" si="0"/>
        <v>1</v>
      </c>
      <c r="F38" s="70">
        <f t="shared" si="1"/>
        <v>3</v>
      </c>
      <c r="G38" s="70">
        <f t="shared" si="2"/>
        <v>1</v>
      </c>
      <c r="H38" s="69">
        <v>4</v>
      </c>
      <c r="I38" s="69">
        <f t="shared" si="3"/>
        <v>5</v>
      </c>
      <c r="J38" s="69" t="str">
        <f t="shared" si="4"/>
        <v>131.4</v>
      </c>
      <c r="K38" s="68"/>
      <c r="L38" s="68"/>
      <c r="M38" s="68">
        <v>27</v>
      </c>
      <c r="N38" s="68">
        <v>19</v>
      </c>
      <c r="O38" s="68"/>
      <c r="P38" s="68"/>
      <c r="Q38" s="67">
        <f t="shared" si="5"/>
        <v>11.5</v>
      </c>
      <c r="R38" s="66">
        <f t="shared" si="6"/>
        <v>2</v>
      </c>
      <c r="S38" s="67">
        <f t="shared" si="7"/>
        <v>5.75</v>
      </c>
      <c r="T38" s="100"/>
    </row>
    <row r="39" spans="2:23">
      <c r="B39" s="55">
        <v>406</v>
      </c>
      <c r="C39" s="55" t="s">
        <v>8</v>
      </c>
      <c r="D39" s="55">
        <v>3</v>
      </c>
      <c r="E39" s="56">
        <f t="shared" si="0"/>
        <v>1</v>
      </c>
      <c r="F39" s="56">
        <f t="shared" si="1"/>
        <v>2</v>
      </c>
      <c r="G39" s="56">
        <f t="shared" si="2"/>
        <v>2</v>
      </c>
      <c r="H39" s="55">
        <v>4</v>
      </c>
      <c r="I39" s="55">
        <f t="shared" si="3"/>
        <v>6</v>
      </c>
      <c r="J39" s="55" t="str">
        <f t="shared" si="4"/>
        <v>122.4</v>
      </c>
      <c r="K39" s="54"/>
      <c r="L39" s="54"/>
      <c r="M39" s="54">
        <v>11</v>
      </c>
      <c r="N39" s="54">
        <v>14</v>
      </c>
      <c r="O39" s="54"/>
      <c r="P39" s="54"/>
      <c r="Q39" s="53">
        <f t="shared" si="5"/>
        <v>6.25</v>
      </c>
      <c r="R39" s="52">
        <f t="shared" si="6"/>
        <v>0.74999999999999989</v>
      </c>
      <c r="S39" s="53">
        <f t="shared" si="7"/>
        <v>6.25</v>
      </c>
      <c r="T39" s="98"/>
    </row>
    <row r="40" spans="2:23">
      <c r="B40" s="55">
        <v>407</v>
      </c>
      <c r="C40" s="55" t="s">
        <v>14</v>
      </c>
      <c r="D40" s="55">
        <v>7</v>
      </c>
      <c r="E40" s="56">
        <f t="shared" si="0"/>
        <v>2</v>
      </c>
      <c r="F40" s="56">
        <f t="shared" si="1"/>
        <v>1</v>
      </c>
      <c r="G40" s="56">
        <f t="shared" si="2"/>
        <v>2</v>
      </c>
      <c r="H40" s="55">
        <v>4</v>
      </c>
      <c r="I40" s="55">
        <f t="shared" si="3"/>
        <v>7</v>
      </c>
      <c r="J40" s="55" t="str">
        <f t="shared" si="4"/>
        <v>212.4</v>
      </c>
      <c r="K40" s="54"/>
      <c r="L40" s="54"/>
      <c r="M40" s="54">
        <v>14</v>
      </c>
      <c r="N40" s="54">
        <v>11</v>
      </c>
      <c r="O40" s="54"/>
      <c r="P40" s="54"/>
      <c r="Q40" s="53">
        <f t="shared" si="5"/>
        <v>6.25</v>
      </c>
      <c r="R40" s="52">
        <f t="shared" si="6"/>
        <v>0.74999999999999989</v>
      </c>
      <c r="S40" s="53">
        <f t="shared" si="7"/>
        <v>6.25</v>
      </c>
      <c r="T40" s="98"/>
      <c r="V40" s="65" t="s">
        <v>307</v>
      </c>
      <c r="W40" s="63"/>
    </row>
    <row r="41" spans="2:23" ht="13.5" thickBot="1">
      <c r="B41" s="49">
        <v>408</v>
      </c>
      <c r="C41" s="49" t="s">
        <v>6</v>
      </c>
      <c r="D41" s="49">
        <v>10</v>
      </c>
      <c r="E41" s="50">
        <f t="shared" si="0"/>
        <v>2</v>
      </c>
      <c r="F41" s="50">
        <f t="shared" si="1"/>
        <v>2</v>
      </c>
      <c r="G41" s="50">
        <f t="shared" si="2"/>
        <v>1</v>
      </c>
      <c r="H41" s="49">
        <v>4</v>
      </c>
      <c r="I41" s="49">
        <f t="shared" si="3"/>
        <v>8</v>
      </c>
      <c r="J41" s="49" t="str">
        <f t="shared" si="4"/>
        <v>221.4</v>
      </c>
      <c r="K41" s="48"/>
      <c r="L41" s="48"/>
      <c r="M41" s="48">
        <v>13</v>
      </c>
      <c r="N41" s="48">
        <v>17</v>
      </c>
      <c r="O41" s="48"/>
      <c r="P41" s="48"/>
      <c r="Q41" s="48">
        <f t="shared" si="5"/>
        <v>7.5</v>
      </c>
      <c r="R41" s="47">
        <f t="shared" si="6"/>
        <v>1</v>
      </c>
      <c r="S41" s="48">
        <f t="shared" si="7"/>
        <v>7.5</v>
      </c>
      <c r="T41" s="97"/>
      <c r="V41" s="65" t="s">
        <v>305</v>
      </c>
      <c r="W41" s="63" t="s">
        <v>304</v>
      </c>
    </row>
    <row r="42" spans="2:23">
      <c r="B42" s="61">
        <v>901</v>
      </c>
      <c r="C42" s="61" t="s">
        <v>16</v>
      </c>
      <c r="D42" s="61">
        <v>32</v>
      </c>
      <c r="E42" s="62">
        <v>9</v>
      </c>
      <c r="F42" s="62">
        <v>0</v>
      </c>
      <c r="G42" s="62">
        <v>1</v>
      </c>
      <c r="H42" s="61">
        <v>1</v>
      </c>
      <c r="I42" s="61">
        <f t="shared" si="3"/>
        <v>1</v>
      </c>
      <c r="J42" s="61" t="str">
        <f t="shared" si="4"/>
        <v>901.1</v>
      </c>
      <c r="K42" s="60"/>
      <c r="L42" s="60"/>
      <c r="M42" s="60">
        <v>0</v>
      </c>
      <c r="N42" s="60">
        <v>0</v>
      </c>
      <c r="O42" s="60"/>
      <c r="P42" s="60"/>
      <c r="Q42" s="53">
        <f t="shared" si="5"/>
        <v>0</v>
      </c>
      <c r="R42" s="53">
        <f t="shared" si="6"/>
        <v>0</v>
      </c>
      <c r="S42" s="53">
        <f t="shared" si="7"/>
        <v>0</v>
      </c>
      <c r="T42" s="99"/>
      <c r="V42" s="59" t="s">
        <v>5</v>
      </c>
      <c r="W42" s="58">
        <v>9.75</v>
      </c>
    </row>
    <row r="43" spans="2:23">
      <c r="B43" s="55">
        <v>902</v>
      </c>
      <c r="C43" s="57" t="s">
        <v>302</v>
      </c>
      <c r="D43" s="55">
        <v>22</v>
      </c>
      <c r="E43" s="56">
        <v>4</v>
      </c>
      <c r="F43" s="56">
        <v>2</v>
      </c>
      <c r="G43" s="56">
        <v>2</v>
      </c>
      <c r="H43" s="55">
        <v>1</v>
      </c>
      <c r="I43" s="55">
        <f t="shared" si="3"/>
        <v>2</v>
      </c>
      <c r="J43" s="55" t="str">
        <f t="shared" si="4"/>
        <v>422.1</v>
      </c>
      <c r="K43" s="54"/>
      <c r="L43" s="54"/>
      <c r="M43" s="54">
        <v>10</v>
      </c>
      <c r="N43" s="54">
        <v>19</v>
      </c>
      <c r="O43" s="54"/>
      <c r="P43" s="54"/>
      <c r="Q43" s="53">
        <f t="shared" si="5"/>
        <v>7.25</v>
      </c>
      <c r="R43" s="52">
        <f t="shared" si="6"/>
        <v>2.25</v>
      </c>
      <c r="S43" s="53">
        <f t="shared" si="7"/>
        <v>7.25</v>
      </c>
      <c r="T43" s="98"/>
      <c r="V43" s="44" t="s">
        <v>15</v>
      </c>
      <c r="W43" s="43">
        <v>11.625</v>
      </c>
    </row>
    <row r="44" spans="2:23">
      <c r="B44" s="55">
        <v>903</v>
      </c>
      <c r="C44" s="55" t="s">
        <v>17</v>
      </c>
      <c r="D44" s="55">
        <v>31</v>
      </c>
      <c r="E44" s="56">
        <v>8</v>
      </c>
      <c r="F44" s="56">
        <v>0</v>
      </c>
      <c r="G44" s="56">
        <v>1</v>
      </c>
      <c r="H44" s="55">
        <v>1</v>
      </c>
      <c r="I44" s="55">
        <f t="shared" si="3"/>
        <v>3</v>
      </c>
      <c r="J44" s="55" t="str">
        <f t="shared" si="4"/>
        <v>801.1</v>
      </c>
      <c r="K44" s="54"/>
      <c r="L44" s="54"/>
      <c r="M44" s="54">
        <v>0</v>
      </c>
      <c r="N44" s="54">
        <v>0</v>
      </c>
      <c r="O44" s="54"/>
      <c r="P44" s="54"/>
      <c r="Q44" s="53">
        <f t="shared" si="5"/>
        <v>0</v>
      </c>
      <c r="R44" s="52">
        <f t="shared" si="6"/>
        <v>0</v>
      </c>
      <c r="S44" s="53">
        <f t="shared" si="7"/>
        <v>0</v>
      </c>
      <c r="T44" s="98"/>
      <c r="V44" s="44" t="s">
        <v>3</v>
      </c>
      <c r="W44" s="43">
        <v>6.5</v>
      </c>
    </row>
    <row r="45" spans="2:23">
      <c r="B45" s="55">
        <v>904</v>
      </c>
      <c r="C45" s="57" t="s">
        <v>301</v>
      </c>
      <c r="D45" s="55">
        <v>21</v>
      </c>
      <c r="E45" s="56">
        <v>3</v>
      </c>
      <c r="F45" s="56">
        <v>2</v>
      </c>
      <c r="G45" s="56">
        <v>2</v>
      </c>
      <c r="H45" s="55">
        <v>1</v>
      </c>
      <c r="I45" s="55">
        <f t="shared" si="3"/>
        <v>4</v>
      </c>
      <c r="J45" s="55" t="str">
        <f t="shared" si="4"/>
        <v>322.1</v>
      </c>
      <c r="K45" s="54"/>
      <c r="L45" s="54"/>
      <c r="M45" s="54">
        <v>16</v>
      </c>
      <c r="N45" s="54">
        <v>15</v>
      </c>
      <c r="O45" s="54"/>
      <c r="P45" s="54"/>
      <c r="Q45" s="53">
        <f t="shared" si="5"/>
        <v>7.75</v>
      </c>
      <c r="R45" s="52">
        <f t="shared" si="6"/>
        <v>0.25</v>
      </c>
      <c r="S45" s="53">
        <f t="shared" si="7"/>
        <v>7.75</v>
      </c>
      <c r="T45" s="98"/>
      <c r="V45" s="44" t="s">
        <v>13</v>
      </c>
      <c r="W45" s="43">
        <v>6.375</v>
      </c>
    </row>
    <row r="46" spans="2:23">
      <c r="B46" s="55">
        <v>905</v>
      </c>
      <c r="C46" s="55" t="s">
        <v>16</v>
      </c>
      <c r="D46" s="55">
        <v>32</v>
      </c>
      <c r="E46" s="56">
        <v>9</v>
      </c>
      <c r="F46" s="56">
        <v>0</v>
      </c>
      <c r="G46" s="56">
        <v>1</v>
      </c>
      <c r="H46" s="55">
        <v>2</v>
      </c>
      <c r="I46" s="55">
        <f t="shared" si="3"/>
        <v>5</v>
      </c>
      <c r="J46" s="55" t="str">
        <f t="shared" si="4"/>
        <v>901.2</v>
      </c>
      <c r="K46" s="54"/>
      <c r="L46" s="54"/>
      <c r="M46" s="54">
        <v>0</v>
      </c>
      <c r="N46" s="54">
        <v>0</v>
      </c>
      <c r="O46" s="54"/>
      <c r="P46" s="54"/>
      <c r="Q46" s="53">
        <f t="shared" si="5"/>
        <v>0</v>
      </c>
      <c r="R46" s="52">
        <f t="shared" si="6"/>
        <v>0</v>
      </c>
      <c r="S46" s="53">
        <f t="shared" si="7"/>
        <v>0</v>
      </c>
      <c r="T46" s="98"/>
      <c r="V46" s="44" t="s">
        <v>8</v>
      </c>
      <c r="W46" s="43">
        <v>7.25</v>
      </c>
    </row>
    <row r="47" spans="2:23">
      <c r="B47" s="55">
        <v>906</v>
      </c>
      <c r="C47" s="57" t="s">
        <v>302</v>
      </c>
      <c r="D47" s="55">
        <v>22</v>
      </c>
      <c r="E47" s="56">
        <v>4</v>
      </c>
      <c r="F47" s="56">
        <v>2</v>
      </c>
      <c r="G47" s="56">
        <v>2</v>
      </c>
      <c r="H47" s="55">
        <v>2</v>
      </c>
      <c r="I47" s="55">
        <f t="shared" si="3"/>
        <v>6</v>
      </c>
      <c r="J47" s="55" t="str">
        <f t="shared" si="4"/>
        <v>422.2</v>
      </c>
      <c r="K47" s="54"/>
      <c r="L47" s="54"/>
      <c r="M47" s="54">
        <v>10</v>
      </c>
      <c r="N47" s="54">
        <v>13</v>
      </c>
      <c r="O47" s="54"/>
      <c r="P47" s="54"/>
      <c r="Q47" s="53">
        <f t="shared" si="5"/>
        <v>5.75</v>
      </c>
      <c r="R47" s="52">
        <f t="shared" si="6"/>
        <v>0.74999999999999989</v>
      </c>
      <c r="S47" s="53">
        <f t="shared" si="7"/>
        <v>5.75</v>
      </c>
      <c r="T47" s="98"/>
      <c r="V47" s="44" t="s">
        <v>4</v>
      </c>
      <c r="W47" s="43">
        <v>5.645833333333333</v>
      </c>
    </row>
    <row r="48" spans="2:23">
      <c r="B48" s="55">
        <v>907</v>
      </c>
      <c r="C48" s="55" t="s">
        <v>17</v>
      </c>
      <c r="D48" s="55">
        <v>31</v>
      </c>
      <c r="E48" s="56">
        <v>8</v>
      </c>
      <c r="F48" s="56">
        <v>0</v>
      </c>
      <c r="G48" s="56">
        <v>1</v>
      </c>
      <c r="H48" s="55">
        <v>2</v>
      </c>
      <c r="I48" s="55">
        <f t="shared" si="3"/>
        <v>7</v>
      </c>
      <c r="J48" s="55" t="str">
        <f t="shared" si="4"/>
        <v>801.2</v>
      </c>
      <c r="K48" s="54"/>
      <c r="L48" s="54"/>
      <c r="M48" s="54">
        <v>0</v>
      </c>
      <c r="N48" s="54">
        <v>0</v>
      </c>
      <c r="O48" s="54"/>
      <c r="P48" s="54"/>
      <c r="Q48" s="53">
        <f t="shared" si="5"/>
        <v>0</v>
      </c>
      <c r="R48" s="52">
        <f t="shared" si="6"/>
        <v>0</v>
      </c>
      <c r="S48" s="53">
        <f t="shared" si="7"/>
        <v>0</v>
      </c>
      <c r="T48" s="98"/>
      <c r="V48" s="44" t="s">
        <v>11</v>
      </c>
      <c r="W48" s="43">
        <v>14.5</v>
      </c>
    </row>
    <row r="49" spans="2:23" ht="13.5" thickBot="1">
      <c r="B49" s="49">
        <v>908</v>
      </c>
      <c r="C49" s="51" t="s">
        <v>301</v>
      </c>
      <c r="D49" s="49">
        <v>21</v>
      </c>
      <c r="E49" s="50">
        <v>3</v>
      </c>
      <c r="F49" s="50">
        <v>2</v>
      </c>
      <c r="G49" s="50">
        <v>2</v>
      </c>
      <c r="H49" s="49">
        <v>2</v>
      </c>
      <c r="I49" s="49">
        <f t="shared" si="3"/>
        <v>8</v>
      </c>
      <c r="J49" s="49" t="str">
        <f t="shared" si="4"/>
        <v>322.2</v>
      </c>
      <c r="K49" s="48"/>
      <c r="L49" s="48"/>
      <c r="M49" s="48">
        <v>13</v>
      </c>
      <c r="N49" s="48">
        <v>18</v>
      </c>
      <c r="O49" s="48"/>
      <c r="P49" s="48"/>
      <c r="Q49" s="48">
        <f t="shared" si="5"/>
        <v>7.75</v>
      </c>
      <c r="R49" s="47">
        <f t="shared" si="6"/>
        <v>1.25</v>
      </c>
      <c r="S49" s="48">
        <f t="shared" si="7"/>
        <v>7.75</v>
      </c>
      <c r="T49" s="97"/>
      <c r="V49" s="44" t="s">
        <v>10</v>
      </c>
      <c r="W49" s="43">
        <v>10.25</v>
      </c>
    </row>
    <row r="50" spans="2:23">
      <c r="V50" s="44" t="s">
        <v>14</v>
      </c>
      <c r="W50" s="43">
        <v>5</v>
      </c>
    </row>
    <row r="51" spans="2:23">
      <c r="V51" s="44" t="s">
        <v>12</v>
      </c>
      <c r="W51" s="43">
        <v>4.75</v>
      </c>
    </row>
    <row r="52" spans="2:23">
      <c r="M52" s="37">
        <f>AVERAGE(M42:N49)</f>
        <v>7.125</v>
      </c>
      <c r="V52" s="44" t="s">
        <v>7</v>
      </c>
      <c r="W52" s="43">
        <v>5.75</v>
      </c>
    </row>
    <row r="53" spans="2:23">
      <c r="V53" s="42" t="s">
        <v>6</v>
      </c>
      <c r="W53" s="41">
        <v>7.125</v>
      </c>
    </row>
  </sheetData>
  <mergeCells count="2">
    <mergeCell ref="Q3:R3"/>
    <mergeCell ref="Q4:R4"/>
  </mergeCells>
  <pageMargins left="0.75" right="0.75" top="1" bottom="1" header="0.5" footer="0.5"/>
  <pageSetup orientation="portrait" r:id="rId3"/>
  <headerFooter alignWithMargins="0"/>
  <drawing r:id="rId4"/>
  <legacyDrawing r:id="rId5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EF175-31DB-4617-9197-E99579D343DD}">
  <dimension ref="A1:W54"/>
  <sheetViews>
    <sheetView topLeftCell="H8" workbookViewId="0">
      <selection activeCell="N10" sqref="N10:N49"/>
    </sheetView>
  </sheetViews>
  <sheetFormatPr defaultRowHeight="12.75"/>
  <cols>
    <col min="1" max="18" width="9.140625" style="37"/>
    <col min="19" max="19" width="12.42578125" style="37" customWidth="1"/>
    <col min="20" max="20" width="45.7109375" style="37" customWidth="1"/>
    <col min="21" max="21" width="9.140625" style="37"/>
    <col min="22" max="22" width="28.140625" style="37" customWidth="1"/>
    <col min="23" max="24" width="5" style="37" customWidth="1"/>
    <col min="25" max="26" width="4.5703125" style="37" customWidth="1"/>
    <col min="27" max="27" width="10.5703125" style="37" bestFit="1" customWidth="1"/>
    <col min="28" max="16384" width="9.140625" style="37"/>
  </cols>
  <sheetData>
    <row r="1" spans="1:23" ht="22.5" customHeight="1">
      <c r="A1" s="93" t="s">
        <v>340</v>
      </c>
    </row>
    <row r="2" spans="1:23">
      <c r="Q2" s="92" t="s">
        <v>359</v>
      </c>
    </row>
    <row r="3" spans="1:23" ht="13.5" thickBot="1">
      <c r="A3" s="92"/>
      <c r="B3" s="104" t="s">
        <v>339</v>
      </c>
      <c r="C3" s="96">
        <v>125</v>
      </c>
      <c r="E3" s="104" t="s">
        <v>338</v>
      </c>
      <c r="F3" s="96" t="s">
        <v>365</v>
      </c>
      <c r="H3" s="104" t="s">
        <v>358</v>
      </c>
      <c r="I3" s="107">
        <v>37381</v>
      </c>
      <c r="J3" s="96"/>
      <c r="Q3" s="117" t="s">
        <v>357</v>
      </c>
      <c r="R3" s="118"/>
      <c r="S3" s="91">
        <f>AVERAGE(Q10:Q11,Q13,Q15:Q17,Q19:Q20,Q22:Q29,Q31:Q32,Q34:Q35,Q37,Q39:Q41)</f>
        <v>5.739583333333333</v>
      </c>
    </row>
    <row r="4" spans="1:23" ht="18.75" customHeight="1" thickBot="1">
      <c r="E4" s="104" t="s">
        <v>337</v>
      </c>
      <c r="F4" s="96" t="s">
        <v>364</v>
      </c>
      <c r="H4" s="104" t="s">
        <v>350</v>
      </c>
      <c r="I4" s="96" t="s">
        <v>363</v>
      </c>
      <c r="J4" s="96"/>
      <c r="Q4" s="117" t="s">
        <v>356</v>
      </c>
      <c r="R4" s="118"/>
      <c r="S4" s="91">
        <f>AVERAGE(Q12,Q14,Q18,Q21,Q30,Q36,Q38,Q33)</f>
        <v>11.625</v>
      </c>
    </row>
    <row r="6" spans="1:23" ht="13.5" thickBot="1">
      <c r="B6" s="104" t="s">
        <v>336</v>
      </c>
      <c r="C6" s="96" t="s">
        <v>362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</row>
    <row r="7" spans="1:23" ht="13.5" thickBot="1">
      <c r="C7" s="96" t="s">
        <v>361</v>
      </c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</row>
    <row r="8" spans="1:23" ht="13.5" thickBot="1"/>
    <row r="9" spans="1:23" ht="39" thickBot="1">
      <c r="B9" s="88" t="s">
        <v>0</v>
      </c>
      <c r="C9" s="89" t="s">
        <v>305</v>
      </c>
      <c r="D9" s="89" t="s">
        <v>333</v>
      </c>
      <c r="E9" s="88" t="s">
        <v>332</v>
      </c>
      <c r="F9" s="89" t="s">
        <v>331</v>
      </c>
      <c r="G9" s="88" t="s">
        <v>330</v>
      </c>
      <c r="H9" s="88" t="s">
        <v>329</v>
      </c>
      <c r="I9" s="88" t="s">
        <v>315</v>
      </c>
      <c r="J9" s="88" t="s">
        <v>328</v>
      </c>
      <c r="K9" s="86" t="s">
        <v>327</v>
      </c>
      <c r="L9" s="86" t="s">
        <v>326</v>
      </c>
      <c r="M9" s="86" t="s">
        <v>325</v>
      </c>
      <c r="N9" s="86" t="s">
        <v>324</v>
      </c>
      <c r="O9" s="86" t="s">
        <v>323</v>
      </c>
      <c r="P9" s="86" t="s">
        <v>322</v>
      </c>
      <c r="Q9" s="87" t="s">
        <v>321</v>
      </c>
      <c r="R9" s="86" t="s">
        <v>320</v>
      </c>
      <c r="S9" s="87" t="s">
        <v>319</v>
      </c>
      <c r="T9" s="103" t="s">
        <v>318</v>
      </c>
    </row>
    <row r="10" spans="1:23">
      <c r="B10" s="61">
        <v>101</v>
      </c>
      <c r="C10" s="62" t="s">
        <v>3</v>
      </c>
      <c r="D10" s="62">
        <v>1</v>
      </c>
      <c r="E10" s="62">
        <f t="shared" ref="E10:E41" si="0">IF(LEFT($C10,1)="F",1,2)</f>
        <v>1</v>
      </c>
      <c r="F10" s="62">
        <f t="shared" ref="F10:F41" si="1">IF(MID($C10,2,1)="S",1,IF(MID($C10,2,1)="T",2,IF(MID($C10,2,1)="D",3,0)))</f>
        <v>1</v>
      </c>
      <c r="G10" s="62">
        <f t="shared" ref="G10:G41" si="2">IF(RIGHT($C10,1)="L",1,2)</f>
        <v>2</v>
      </c>
      <c r="H10" s="61">
        <v>1</v>
      </c>
      <c r="I10" s="61">
        <f t="shared" ref="I10:I49" si="3">B10-INT(B10/100)*100</f>
        <v>1</v>
      </c>
      <c r="J10" s="61" t="str">
        <f t="shared" ref="J10:J49" si="4">(E10&amp;F10&amp;G10&amp;"."&amp;H10)</f>
        <v>112.1</v>
      </c>
      <c r="K10" s="83"/>
      <c r="L10" s="60"/>
      <c r="M10" s="60">
        <v>12</v>
      </c>
      <c r="N10" s="60">
        <v>9</v>
      </c>
      <c r="O10" s="60"/>
      <c r="P10" s="60"/>
      <c r="Q10" s="53">
        <f t="shared" ref="Q10:Q41" si="5">AVERAGE(K10:P10)/2</f>
        <v>5.25</v>
      </c>
      <c r="R10" s="53">
        <f t="shared" ref="R10:R41" si="6">STDEV(K10:P10)/2/SQRT(COUNT(K10:P10))</f>
        <v>0.74999999999999989</v>
      </c>
      <c r="S10" s="53">
        <f t="shared" ref="S10:S41" si="7">IF(F10=3,Q10/2,Q10)</f>
        <v>5.25</v>
      </c>
      <c r="T10" s="99"/>
      <c r="V10" s="65" t="s">
        <v>316</v>
      </c>
      <c r="W10" s="63"/>
    </row>
    <row r="11" spans="1:23">
      <c r="B11" s="55">
        <v>102</v>
      </c>
      <c r="C11" s="55" t="s">
        <v>4</v>
      </c>
      <c r="D11" s="55">
        <v>4</v>
      </c>
      <c r="E11" s="56">
        <f t="shared" si="0"/>
        <v>1</v>
      </c>
      <c r="F11" s="56">
        <f t="shared" si="1"/>
        <v>2</v>
      </c>
      <c r="G11" s="56">
        <f t="shared" si="2"/>
        <v>1</v>
      </c>
      <c r="H11" s="55">
        <v>1</v>
      </c>
      <c r="I11" s="55">
        <f t="shared" si="3"/>
        <v>2</v>
      </c>
      <c r="J11" s="55" t="str">
        <f t="shared" si="4"/>
        <v>121.1</v>
      </c>
      <c r="K11" s="54"/>
      <c r="L11" s="54"/>
      <c r="M11" s="54">
        <v>2</v>
      </c>
      <c r="N11" s="54">
        <v>13</v>
      </c>
      <c r="O11" s="54"/>
      <c r="P11" s="54"/>
      <c r="Q11" s="53">
        <f t="shared" si="5"/>
        <v>3.75</v>
      </c>
      <c r="R11" s="52">
        <f t="shared" si="6"/>
        <v>2.7499999999999996</v>
      </c>
      <c r="S11" s="53">
        <f t="shared" si="7"/>
        <v>3.75</v>
      </c>
      <c r="T11" s="98"/>
      <c r="V11" s="64" t="s">
        <v>315</v>
      </c>
      <c r="W11" s="63" t="s">
        <v>304</v>
      </c>
    </row>
    <row r="12" spans="1:23">
      <c r="B12" s="69">
        <v>103</v>
      </c>
      <c r="C12" s="69" t="s">
        <v>5</v>
      </c>
      <c r="D12" s="69">
        <v>5</v>
      </c>
      <c r="E12" s="70">
        <f t="shared" si="0"/>
        <v>1</v>
      </c>
      <c r="F12" s="70">
        <f t="shared" si="1"/>
        <v>3</v>
      </c>
      <c r="G12" s="70">
        <f t="shared" si="2"/>
        <v>2</v>
      </c>
      <c r="H12" s="69">
        <v>1</v>
      </c>
      <c r="I12" s="69">
        <f t="shared" si="3"/>
        <v>3</v>
      </c>
      <c r="J12" s="69" t="str">
        <f t="shared" si="4"/>
        <v>132.1</v>
      </c>
      <c r="K12" s="68"/>
      <c r="L12" s="68"/>
      <c r="M12" s="68">
        <v>17</v>
      </c>
      <c r="N12" s="68">
        <v>22</v>
      </c>
      <c r="O12" s="68"/>
      <c r="P12" s="68"/>
      <c r="Q12" s="67">
        <f t="shared" si="5"/>
        <v>9.75</v>
      </c>
      <c r="R12" s="66">
        <f t="shared" si="6"/>
        <v>1.25</v>
      </c>
      <c r="S12" s="67">
        <f t="shared" si="7"/>
        <v>4.875</v>
      </c>
      <c r="T12" s="100"/>
      <c r="V12" s="59">
        <v>1</v>
      </c>
      <c r="W12" s="58">
        <v>5.625</v>
      </c>
    </row>
    <row r="13" spans="1:23">
      <c r="B13" s="55">
        <v>104</v>
      </c>
      <c r="C13" s="55" t="s">
        <v>6</v>
      </c>
      <c r="D13" s="55">
        <v>10</v>
      </c>
      <c r="E13" s="56">
        <f t="shared" si="0"/>
        <v>2</v>
      </c>
      <c r="F13" s="56">
        <f t="shared" si="1"/>
        <v>2</v>
      </c>
      <c r="G13" s="56">
        <f t="shared" si="2"/>
        <v>1</v>
      </c>
      <c r="H13" s="55">
        <v>1</v>
      </c>
      <c r="I13" s="55">
        <f t="shared" si="3"/>
        <v>4</v>
      </c>
      <c r="J13" s="55" t="str">
        <f t="shared" si="4"/>
        <v>221.1</v>
      </c>
      <c r="K13" s="54"/>
      <c r="L13" s="54"/>
      <c r="M13" s="54">
        <v>12</v>
      </c>
      <c r="N13" s="54">
        <v>12</v>
      </c>
      <c r="O13" s="54"/>
      <c r="P13" s="54"/>
      <c r="Q13" s="53">
        <f t="shared" si="5"/>
        <v>6</v>
      </c>
      <c r="R13" s="52">
        <f t="shared" si="6"/>
        <v>0</v>
      </c>
      <c r="S13" s="53">
        <f t="shared" si="7"/>
        <v>6</v>
      </c>
      <c r="T13" s="98"/>
      <c r="V13" s="44">
        <v>2</v>
      </c>
      <c r="W13" s="43">
        <v>4.625</v>
      </c>
    </row>
    <row r="14" spans="1:23">
      <c r="B14" s="69">
        <v>105</v>
      </c>
      <c r="C14" s="69" t="s">
        <v>10</v>
      </c>
      <c r="D14" s="69">
        <v>12</v>
      </c>
      <c r="E14" s="70">
        <f t="shared" si="0"/>
        <v>2</v>
      </c>
      <c r="F14" s="70">
        <f t="shared" si="1"/>
        <v>3</v>
      </c>
      <c r="G14" s="70">
        <f t="shared" si="2"/>
        <v>1</v>
      </c>
      <c r="H14" s="69">
        <v>2</v>
      </c>
      <c r="I14" s="69">
        <f t="shared" si="3"/>
        <v>5</v>
      </c>
      <c r="J14" s="69" t="str">
        <f t="shared" si="4"/>
        <v>231.2</v>
      </c>
      <c r="K14" s="68"/>
      <c r="L14" s="68"/>
      <c r="M14" s="68">
        <v>25</v>
      </c>
      <c r="N14" s="68">
        <v>15</v>
      </c>
      <c r="O14" s="68"/>
      <c r="P14" s="68"/>
      <c r="Q14" s="67">
        <f t="shared" si="5"/>
        <v>10</v>
      </c>
      <c r="R14" s="66">
        <f t="shared" si="6"/>
        <v>2.5</v>
      </c>
      <c r="S14" s="67">
        <f t="shared" si="7"/>
        <v>5</v>
      </c>
      <c r="T14" s="100"/>
      <c r="V14" s="44">
        <v>3</v>
      </c>
      <c r="W14" s="43">
        <v>5.4375</v>
      </c>
    </row>
    <row r="15" spans="1:23">
      <c r="B15" s="55">
        <v>106</v>
      </c>
      <c r="C15" s="55" t="s">
        <v>7</v>
      </c>
      <c r="D15" s="55">
        <v>9</v>
      </c>
      <c r="E15" s="56">
        <f t="shared" si="0"/>
        <v>2</v>
      </c>
      <c r="F15" s="56">
        <f t="shared" si="1"/>
        <v>2</v>
      </c>
      <c r="G15" s="56">
        <f t="shared" si="2"/>
        <v>2</v>
      </c>
      <c r="H15" s="55">
        <v>2</v>
      </c>
      <c r="I15" s="55">
        <f t="shared" si="3"/>
        <v>6</v>
      </c>
      <c r="J15" s="55" t="str">
        <f t="shared" si="4"/>
        <v>222.2</v>
      </c>
      <c r="K15" s="54"/>
      <c r="L15" s="54"/>
      <c r="M15" s="54">
        <v>8</v>
      </c>
      <c r="N15" s="54">
        <v>11</v>
      </c>
      <c r="O15" s="54"/>
      <c r="P15" s="54"/>
      <c r="Q15" s="53">
        <f t="shared" si="5"/>
        <v>4.75</v>
      </c>
      <c r="R15" s="52">
        <f t="shared" si="6"/>
        <v>0.74999999999999989</v>
      </c>
      <c r="S15" s="53">
        <f t="shared" si="7"/>
        <v>4.75</v>
      </c>
      <c r="T15" s="98"/>
      <c r="V15" s="44">
        <v>4</v>
      </c>
      <c r="W15" s="43">
        <v>6.90625</v>
      </c>
    </row>
    <row r="16" spans="1:23">
      <c r="B16" s="55">
        <v>107</v>
      </c>
      <c r="C16" s="55" t="s">
        <v>6</v>
      </c>
      <c r="D16" s="55">
        <v>10</v>
      </c>
      <c r="E16" s="56">
        <f t="shared" si="0"/>
        <v>2</v>
      </c>
      <c r="F16" s="56">
        <f t="shared" si="1"/>
        <v>2</v>
      </c>
      <c r="G16" s="56">
        <f t="shared" si="2"/>
        <v>1</v>
      </c>
      <c r="H16" s="55">
        <v>2</v>
      </c>
      <c r="I16" s="55">
        <f t="shared" si="3"/>
        <v>7</v>
      </c>
      <c r="J16" s="55" t="str">
        <f t="shared" si="4"/>
        <v>221.2</v>
      </c>
      <c r="K16" s="54"/>
      <c r="L16" s="54"/>
      <c r="M16" s="54">
        <v>14</v>
      </c>
      <c r="N16" s="54">
        <v>10</v>
      </c>
      <c r="O16" s="54"/>
      <c r="P16" s="54"/>
      <c r="Q16" s="53">
        <f t="shared" si="5"/>
        <v>6</v>
      </c>
      <c r="R16" s="52">
        <f t="shared" si="6"/>
        <v>1</v>
      </c>
      <c r="S16" s="53">
        <f t="shared" si="7"/>
        <v>6</v>
      </c>
      <c r="T16" s="98"/>
      <c r="V16" s="44">
        <v>5</v>
      </c>
      <c r="W16" s="43">
        <v>6.375</v>
      </c>
    </row>
    <row r="17" spans="2:23" ht="13.5" thickBot="1">
      <c r="B17" s="49">
        <v>108</v>
      </c>
      <c r="C17" s="49" t="s">
        <v>8</v>
      </c>
      <c r="D17" s="49">
        <v>3</v>
      </c>
      <c r="E17" s="50">
        <f t="shared" si="0"/>
        <v>1</v>
      </c>
      <c r="F17" s="50">
        <f t="shared" si="1"/>
        <v>2</v>
      </c>
      <c r="G17" s="50">
        <f t="shared" si="2"/>
        <v>2</v>
      </c>
      <c r="H17" s="49">
        <v>2</v>
      </c>
      <c r="I17" s="49">
        <f t="shared" si="3"/>
        <v>8</v>
      </c>
      <c r="J17" s="49" t="str">
        <f t="shared" si="4"/>
        <v>122.2</v>
      </c>
      <c r="K17" s="48"/>
      <c r="L17" s="48"/>
      <c r="M17" s="48">
        <v>2</v>
      </c>
      <c r="N17" s="48">
        <v>17</v>
      </c>
      <c r="O17" s="48"/>
      <c r="P17" s="48"/>
      <c r="Q17" s="48">
        <f t="shared" si="5"/>
        <v>4.75</v>
      </c>
      <c r="R17" s="47">
        <f t="shared" si="6"/>
        <v>3.75</v>
      </c>
      <c r="S17" s="48">
        <f t="shared" si="7"/>
        <v>4.75</v>
      </c>
      <c r="T17" s="97"/>
      <c r="V17" s="44">
        <v>6</v>
      </c>
      <c r="W17" s="43">
        <v>6.625</v>
      </c>
    </row>
    <row r="18" spans="2:23">
      <c r="B18" s="80">
        <v>201</v>
      </c>
      <c r="C18" s="80" t="s">
        <v>10</v>
      </c>
      <c r="D18" s="80">
        <v>12</v>
      </c>
      <c r="E18" s="81">
        <f t="shared" si="0"/>
        <v>2</v>
      </c>
      <c r="F18" s="81">
        <f t="shared" si="1"/>
        <v>3</v>
      </c>
      <c r="G18" s="81">
        <f t="shared" si="2"/>
        <v>1</v>
      </c>
      <c r="H18" s="80">
        <v>1</v>
      </c>
      <c r="I18" s="80">
        <f t="shared" si="3"/>
        <v>1</v>
      </c>
      <c r="J18" s="80" t="str">
        <f t="shared" si="4"/>
        <v>231.1</v>
      </c>
      <c r="K18" s="79"/>
      <c r="L18" s="79"/>
      <c r="M18" s="79">
        <v>25</v>
      </c>
      <c r="N18" s="79">
        <v>19</v>
      </c>
      <c r="O18" s="79"/>
      <c r="P18" s="79"/>
      <c r="Q18" s="67">
        <f t="shared" si="5"/>
        <v>11</v>
      </c>
      <c r="R18" s="67">
        <f t="shared" si="6"/>
        <v>1.4999999999999998</v>
      </c>
      <c r="S18" s="67">
        <f t="shared" si="7"/>
        <v>5.5</v>
      </c>
      <c r="T18" s="102"/>
      <c r="V18" s="44">
        <v>7</v>
      </c>
      <c r="W18" s="43">
        <v>4.875</v>
      </c>
    </row>
    <row r="19" spans="2:23">
      <c r="B19" s="55">
        <v>202</v>
      </c>
      <c r="C19" s="55" t="s">
        <v>7</v>
      </c>
      <c r="D19" s="55">
        <v>9</v>
      </c>
      <c r="E19" s="56">
        <f t="shared" si="0"/>
        <v>2</v>
      </c>
      <c r="F19" s="56">
        <f t="shared" si="1"/>
        <v>2</v>
      </c>
      <c r="G19" s="56">
        <f t="shared" si="2"/>
        <v>2</v>
      </c>
      <c r="H19" s="55">
        <v>1</v>
      </c>
      <c r="I19" s="55">
        <f t="shared" si="3"/>
        <v>2</v>
      </c>
      <c r="J19" s="55" t="str">
        <f t="shared" si="4"/>
        <v>222.1</v>
      </c>
      <c r="K19" s="78"/>
      <c r="L19" s="77"/>
      <c r="M19" s="77">
        <v>6</v>
      </c>
      <c r="N19" s="77">
        <v>10</v>
      </c>
      <c r="O19" s="54"/>
      <c r="P19" s="54"/>
      <c r="Q19" s="53">
        <f t="shared" si="5"/>
        <v>4</v>
      </c>
      <c r="R19" s="52">
        <f t="shared" si="6"/>
        <v>1</v>
      </c>
      <c r="S19" s="53">
        <f t="shared" si="7"/>
        <v>4</v>
      </c>
      <c r="T19" s="98"/>
      <c r="V19" s="44">
        <v>8</v>
      </c>
      <c r="W19" s="43">
        <v>5.59375</v>
      </c>
    </row>
    <row r="20" spans="2:23">
      <c r="B20" s="55">
        <v>203</v>
      </c>
      <c r="C20" s="55" t="s">
        <v>8</v>
      </c>
      <c r="D20" s="55">
        <v>3</v>
      </c>
      <c r="E20" s="56">
        <f t="shared" si="0"/>
        <v>1</v>
      </c>
      <c r="F20" s="56">
        <f t="shared" si="1"/>
        <v>2</v>
      </c>
      <c r="G20" s="56">
        <f t="shared" si="2"/>
        <v>2</v>
      </c>
      <c r="H20" s="55">
        <v>1</v>
      </c>
      <c r="I20" s="55">
        <f t="shared" si="3"/>
        <v>3</v>
      </c>
      <c r="J20" s="55" t="str">
        <f t="shared" si="4"/>
        <v>122.1</v>
      </c>
      <c r="K20" s="54"/>
      <c r="L20" s="54"/>
      <c r="M20" s="54">
        <v>16</v>
      </c>
      <c r="N20" s="54">
        <v>16</v>
      </c>
      <c r="O20" s="54"/>
      <c r="P20" s="54"/>
      <c r="Q20" s="53">
        <f t="shared" si="5"/>
        <v>8</v>
      </c>
      <c r="R20" s="52">
        <f t="shared" si="6"/>
        <v>0</v>
      </c>
      <c r="S20" s="53">
        <f t="shared" si="7"/>
        <v>8</v>
      </c>
      <c r="T20" s="98"/>
      <c r="V20" s="76" t="s">
        <v>312</v>
      </c>
      <c r="W20" s="75">
        <v>5.7578125</v>
      </c>
    </row>
    <row r="21" spans="2:23">
      <c r="B21" s="69">
        <v>204</v>
      </c>
      <c r="C21" s="69" t="s">
        <v>11</v>
      </c>
      <c r="D21" s="69">
        <v>11</v>
      </c>
      <c r="E21" s="70">
        <f t="shared" si="0"/>
        <v>2</v>
      </c>
      <c r="F21" s="70">
        <f t="shared" si="1"/>
        <v>3</v>
      </c>
      <c r="G21" s="70">
        <f t="shared" si="2"/>
        <v>2</v>
      </c>
      <c r="H21" s="69">
        <v>1</v>
      </c>
      <c r="I21" s="69">
        <f t="shared" si="3"/>
        <v>4</v>
      </c>
      <c r="J21" s="69" t="str">
        <f t="shared" si="4"/>
        <v>232.1</v>
      </c>
      <c r="K21" s="68"/>
      <c r="L21" s="68"/>
      <c r="M21" s="68">
        <v>33</v>
      </c>
      <c r="N21" s="68">
        <v>22</v>
      </c>
      <c r="O21" s="68"/>
      <c r="P21" s="68"/>
      <c r="Q21" s="67">
        <f t="shared" si="5"/>
        <v>13.75</v>
      </c>
      <c r="R21" s="66">
        <f t="shared" si="6"/>
        <v>2.7499999999999996</v>
      </c>
      <c r="S21" s="67">
        <f t="shared" si="7"/>
        <v>6.875</v>
      </c>
      <c r="T21" s="100"/>
    </row>
    <row r="22" spans="2:23">
      <c r="B22" s="55">
        <v>205</v>
      </c>
      <c r="C22" s="55" t="s">
        <v>3</v>
      </c>
      <c r="D22" s="55">
        <v>1</v>
      </c>
      <c r="E22" s="56">
        <f t="shared" si="0"/>
        <v>1</v>
      </c>
      <c r="F22" s="56">
        <f t="shared" si="1"/>
        <v>1</v>
      </c>
      <c r="G22" s="56">
        <f t="shared" si="2"/>
        <v>2</v>
      </c>
      <c r="H22" s="55">
        <v>2</v>
      </c>
      <c r="I22" s="55">
        <f t="shared" si="3"/>
        <v>5</v>
      </c>
      <c r="J22" s="55" t="str">
        <f t="shared" si="4"/>
        <v>112.2</v>
      </c>
      <c r="K22" s="54"/>
      <c r="L22" s="54"/>
      <c r="M22" s="54">
        <v>13</v>
      </c>
      <c r="N22" s="54">
        <v>15</v>
      </c>
      <c r="O22" s="54"/>
      <c r="P22" s="54"/>
      <c r="Q22" s="53">
        <f t="shared" si="5"/>
        <v>7</v>
      </c>
      <c r="R22" s="52">
        <f t="shared" si="6"/>
        <v>0.5</v>
      </c>
      <c r="S22" s="53">
        <f t="shared" si="7"/>
        <v>7</v>
      </c>
      <c r="T22" s="98"/>
    </row>
    <row r="23" spans="2:23">
      <c r="B23" s="55">
        <v>206</v>
      </c>
      <c r="C23" s="55" t="s">
        <v>12</v>
      </c>
      <c r="D23" s="55">
        <v>8</v>
      </c>
      <c r="E23" s="56">
        <f t="shared" si="0"/>
        <v>2</v>
      </c>
      <c r="F23" s="56">
        <f t="shared" si="1"/>
        <v>1</v>
      </c>
      <c r="G23" s="56">
        <f t="shared" si="2"/>
        <v>1</v>
      </c>
      <c r="H23" s="55">
        <v>2</v>
      </c>
      <c r="I23" s="55">
        <f t="shared" si="3"/>
        <v>6</v>
      </c>
      <c r="J23" s="55" t="str">
        <f t="shared" si="4"/>
        <v>211.2</v>
      </c>
      <c r="K23" s="54"/>
      <c r="L23" s="54"/>
      <c r="M23" s="54">
        <v>9</v>
      </c>
      <c r="N23" s="54">
        <v>15</v>
      </c>
      <c r="O23" s="54"/>
      <c r="P23" s="54"/>
      <c r="Q23" s="53">
        <f t="shared" si="5"/>
        <v>6</v>
      </c>
      <c r="R23" s="52">
        <f t="shared" si="6"/>
        <v>1.4999999999999998</v>
      </c>
      <c r="S23" s="53">
        <f t="shared" si="7"/>
        <v>6</v>
      </c>
      <c r="T23" s="98"/>
    </row>
    <row r="24" spans="2:23">
      <c r="B24" s="55">
        <v>207</v>
      </c>
      <c r="C24" s="55" t="s">
        <v>4</v>
      </c>
      <c r="D24" s="55">
        <v>4</v>
      </c>
      <c r="E24" s="56">
        <f t="shared" si="0"/>
        <v>1</v>
      </c>
      <c r="F24" s="56">
        <f t="shared" si="1"/>
        <v>2</v>
      </c>
      <c r="G24" s="56">
        <f t="shared" si="2"/>
        <v>1</v>
      </c>
      <c r="H24" s="55">
        <v>2</v>
      </c>
      <c r="I24" s="55">
        <f t="shared" si="3"/>
        <v>7</v>
      </c>
      <c r="J24" s="55" t="str">
        <f t="shared" si="4"/>
        <v>121.2</v>
      </c>
      <c r="K24" s="54"/>
      <c r="L24" s="54"/>
      <c r="M24" s="54">
        <v>6</v>
      </c>
      <c r="N24" s="54">
        <v>3</v>
      </c>
      <c r="O24" s="54"/>
      <c r="P24" s="54"/>
      <c r="Q24" s="53">
        <f t="shared" si="5"/>
        <v>2.25</v>
      </c>
      <c r="R24" s="52">
        <f t="shared" si="6"/>
        <v>0.74999999999999989</v>
      </c>
      <c r="S24" s="53">
        <f t="shared" si="7"/>
        <v>2.25</v>
      </c>
      <c r="T24" s="98"/>
    </row>
    <row r="25" spans="2:23" ht="13.5" thickBot="1">
      <c r="B25" s="49">
        <v>208</v>
      </c>
      <c r="C25" s="49" t="s">
        <v>13</v>
      </c>
      <c r="D25" s="49">
        <v>2</v>
      </c>
      <c r="E25" s="50">
        <f t="shared" si="0"/>
        <v>1</v>
      </c>
      <c r="F25" s="50">
        <f t="shared" si="1"/>
        <v>1</v>
      </c>
      <c r="G25" s="50">
        <f t="shared" si="2"/>
        <v>1</v>
      </c>
      <c r="H25" s="49">
        <v>2</v>
      </c>
      <c r="I25" s="49">
        <f t="shared" si="3"/>
        <v>8</v>
      </c>
      <c r="J25" s="49" t="str">
        <f t="shared" si="4"/>
        <v>111.2</v>
      </c>
      <c r="K25" s="48"/>
      <c r="L25" s="48"/>
      <c r="M25" s="48">
        <v>10</v>
      </c>
      <c r="N25" s="48">
        <v>13</v>
      </c>
      <c r="O25" s="48"/>
      <c r="P25" s="48"/>
      <c r="Q25" s="48">
        <f t="shared" si="5"/>
        <v>5.75</v>
      </c>
      <c r="R25" s="47">
        <f t="shared" si="6"/>
        <v>0.74999999999999989</v>
      </c>
      <c r="S25" s="48">
        <f t="shared" si="7"/>
        <v>5.75</v>
      </c>
      <c r="T25" s="97"/>
    </row>
    <row r="26" spans="2:23">
      <c r="B26" s="61">
        <v>301</v>
      </c>
      <c r="C26" s="61" t="s">
        <v>6</v>
      </c>
      <c r="D26" s="61">
        <v>10</v>
      </c>
      <c r="E26" s="62">
        <f t="shared" si="0"/>
        <v>2</v>
      </c>
      <c r="F26" s="62">
        <f t="shared" si="1"/>
        <v>2</v>
      </c>
      <c r="G26" s="62">
        <f t="shared" si="2"/>
        <v>1</v>
      </c>
      <c r="H26" s="61">
        <v>3</v>
      </c>
      <c r="I26" s="61">
        <f t="shared" si="3"/>
        <v>1</v>
      </c>
      <c r="J26" s="61" t="str">
        <f t="shared" si="4"/>
        <v>221.3</v>
      </c>
      <c r="K26" s="60"/>
      <c r="L26" s="60"/>
      <c r="M26" s="60">
        <v>19</v>
      </c>
      <c r="N26" s="60">
        <v>14</v>
      </c>
      <c r="O26" s="60"/>
      <c r="P26" s="60"/>
      <c r="Q26" s="53">
        <f t="shared" si="5"/>
        <v>8.25</v>
      </c>
      <c r="R26" s="53">
        <f t="shared" si="6"/>
        <v>1.25</v>
      </c>
      <c r="S26" s="53">
        <f t="shared" si="7"/>
        <v>8.25</v>
      </c>
      <c r="T26" s="99"/>
    </row>
    <row r="27" spans="2:23">
      <c r="B27" s="55">
        <v>302</v>
      </c>
      <c r="C27" s="55" t="s">
        <v>4</v>
      </c>
      <c r="D27" s="55">
        <v>4</v>
      </c>
      <c r="E27" s="56">
        <f t="shared" si="0"/>
        <v>1</v>
      </c>
      <c r="F27" s="56">
        <f t="shared" si="1"/>
        <v>2</v>
      </c>
      <c r="G27" s="56">
        <f t="shared" si="2"/>
        <v>1</v>
      </c>
      <c r="H27" s="55">
        <v>3</v>
      </c>
      <c r="I27" s="55">
        <f t="shared" si="3"/>
        <v>2</v>
      </c>
      <c r="J27" s="55" t="str">
        <f t="shared" si="4"/>
        <v>121.3</v>
      </c>
      <c r="K27" s="54"/>
      <c r="L27" s="54"/>
      <c r="M27" s="54">
        <v>6</v>
      </c>
      <c r="N27" s="54">
        <v>17</v>
      </c>
      <c r="O27" s="54"/>
      <c r="P27" s="54"/>
      <c r="Q27" s="53">
        <f t="shared" si="5"/>
        <v>5.75</v>
      </c>
      <c r="R27" s="52">
        <f t="shared" si="6"/>
        <v>2.7499999999999996</v>
      </c>
      <c r="S27" s="53">
        <f t="shared" si="7"/>
        <v>5.75</v>
      </c>
      <c r="T27" s="98"/>
    </row>
    <row r="28" spans="2:23">
      <c r="B28" s="55">
        <v>303</v>
      </c>
      <c r="C28" s="55" t="s">
        <v>12</v>
      </c>
      <c r="D28" s="55">
        <v>8</v>
      </c>
      <c r="E28" s="56">
        <f t="shared" si="0"/>
        <v>2</v>
      </c>
      <c r="F28" s="56">
        <f t="shared" si="1"/>
        <v>1</v>
      </c>
      <c r="G28" s="56">
        <f t="shared" si="2"/>
        <v>1</v>
      </c>
      <c r="H28" s="55">
        <v>3</v>
      </c>
      <c r="I28" s="55">
        <f t="shared" si="3"/>
        <v>3</v>
      </c>
      <c r="J28" s="55" t="str">
        <f t="shared" si="4"/>
        <v>211.3</v>
      </c>
      <c r="K28" s="54"/>
      <c r="L28" s="54"/>
      <c r="M28" s="54">
        <v>9</v>
      </c>
      <c r="N28" s="54">
        <v>5</v>
      </c>
      <c r="O28" s="54"/>
      <c r="P28" s="54"/>
      <c r="Q28" s="53">
        <f t="shared" si="5"/>
        <v>3.5</v>
      </c>
      <c r="R28" s="52">
        <f t="shared" si="6"/>
        <v>1</v>
      </c>
      <c r="S28" s="53">
        <f t="shared" si="7"/>
        <v>3.5</v>
      </c>
      <c r="T28" s="98"/>
    </row>
    <row r="29" spans="2:23">
      <c r="B29" s="55">
        <v>304</v>
      </c>
      <c r="C29" s="55" t="s">
        <v>13</v>
      </c>
      <c r="D29" s="55">
        <v>2</v>
      </c>
      <c r="E29" s="56">
        <f t="shared" si="0"/>
        <v>1</v>
      </c>
      <c r="F29" s="56">
        <f t="shared" si="1"/>
        <v>1</v>
      </c>
      <c r="G29" s="56">
        <f t="shared" si="2"/>
        <v>1</v>
      </c>
      <c r="H29" s="55">
        <v>3</v>
      </c>
      <c r="I29" s="55">
        <f t="shared" si="3"/>
        <v>4</v>
      </c>
      <c r="J29" s="55" t="str">
        <f t="shared" si="4"/>
        <v>111.3</v>
      </c>
      <c r="K29" s="54"/>
      <c r="L29" s="54"/>
      <c r="M29" s="54">
        <v>11</v>
      </c>
      <c r="N29" s="54">
        <v>15</v>
      </c>
      <c r="O29" s="54"/>
      <c r="P29" s="54"/>
      <c r="Q29" s="53">
        <f t="shared" si="5"/>
        <v>6.5</v>
      </c>
      <c r="R29" s="52">
        <f t="shared" si="6"/>
        <v>1</v>
      </c>
      <c r="S29" s="53">
        <f t="shared" si="7"/>
        <v>6.5</v>
      </c>
      <c r="T29" s="98"/>
    </row>
    <row r="30" spans="2:23">
      <c r="B30" s="69">
        <v>305</v>
      </c>
      <c r="C30" s="69" t="s">
        <v>11</v>
      </c>
      <c r="D30" s="69">
        <v>11</v>
      </c>
      <c r="E30" s="70">
        <f t="shared" si="0"/>
        <v>2</v>
      </c>
      <c r="F30" s="70">
        <f t="shared" si="1"/>
        <v>3</v>
      </c>
      <c r="G30" s="70">
        <f t="shared" si="2"/>
        <v>2</v>
      </c>
      <c r="H30" s="69">
        <v>4</v>
      </c>
      <c r="I30" s="69">
        <f t="shared" si="3"/>
        <v>5</v>
      </c>
      <c r="J30" s="69" t="str">
        <f t="shared" si="4"/>
        <v>232.4</v>
      </c>
      <c r="K30" s="68"/>
      <c r="L30" s="68"/>
      <c r="M30" s="68">
        <v>38</v>
      </c>
      <c r="N30" s="68">
        <v>23</v>
      </c>
      <c r="O30" s="68"/>
      <c r="P30" s="68"/>
      <c r="Q30" s="67">
        <f t="shared" si="5"/>
        <v>15.25</v>
      </c>
      <c r="R30" s="66">
        <f t="shared" si="6"/>
        <v>3.75</v>
      </c>
      <c r="S30" s="67">
        <f t="shared" si="7"/>
        <v>7.625</v>
      </c>
      <c r="T30" s="100"/>
    </row>
    <row r="31" spans="2:23">
      <c r="B31" s="55">
        <v>306</v>
      </c>
      <c r="C31" s="55" t="s">
        <v>4</v>
      </c>
      <c r="D31" s="55">
        <v>4</v>
      </c>
      <c r="E31" s="56">
        <f t="shared" si="0"/>
        <v>1</v>
      </c>
      <c r="F31" s="56">
        <f t="shared" si="1"/>
        <v>2</v>
      </c>
      <c r="G31" s="56">
        <f t="shared" si="2"/>
        <v>1</v>
      </c>
      <c r="H31" s="55">
        <v>4</v>
      </c>
      <c r="I31" s="55">
        <f t="shared" si="3"/>
        <v>6</v>
      </c>
      <c r="J31" s="55" t="str">
        <f t="shared" si="4"/>
        <v>121.4</v>
      </c>
      <c r="K31" s="54"/>
      <c r="L31" s="54"/>
      <c r="M31" s="54">
        <v>14</v>
      </c>
      <c r="N31" s="54">
        <v>22</v>
      </c>
      <c r="O31" s="54"/>
      <c r="P31" s="54"/>
      <c r="Q31" s="53">
        <f t="shared" si="5"/>
        <v>9</v>
      </c>
      <c r="R31" s="52">
        <f t="shared" si="6"/>
        <v>2</v>
      </c>
      <c r="S31" s="53">
        <f t="shared" si="7"/>
        <v>9</v>
      </c>
      <c r="T31" s="98"/>
    </row>
    <row r="32" spans="2:23">
      <c r="B32" s="55">
        <v>307</v>
      </c>
      <c r="C32" s="55" t="s">
        <v>7</v>
      </c>
      <c r="D32" s="55">
        <v>9</v>
      </c>
      <c r="E32" s="56">
        <f t="shared" si="0"/>
        <v>2</v>
      </c>
      <c r="F32" s="56">
        <f t="shared" si="1"/>
        <v>2</v>
      </c>
      <c r="G32" s="56">
        <f t="shared" si="2"/>
        <v>2</v>
      </c>
      <c r="H32" s="55">
        <v>4</v>
      </c>
      <c r="I32" s="55">
        <f t="shared" si="3"/>
        <v>7</v>
      </c>
      <c r="J32" s="55" t="str">
        <f t="shared" si="4"/>
        <v>222.4</v>
      </c>
      <c r="K32" s="54"/>
      <c r="L32" s="54"/>
      <c r="M32" s="54">
        <v>13</v>
      </c>
      <c r="N32" s="54">
        <v>10</v>
      </c>
      <c r="O32" s="54"/>
      <c r="P32" s="54"/>
      <c r="Q32" s="53">
        <f t="shared" si="5"/>
        <v>5.75</v>
      </c>
      <c r="R32" s="52">
        <f t="shared" si="6"/>
        <v>0.74999999999999989</v>
      </c>
      <c r="S32" s="53">
        <f t="shared" si="7"/>
        <v>5.75</v>
      </c>
      <c r="T32" s="98"/>
    </row>
    <row r="33" spans="2:23" ht="13.5" thickBot="1">
      <c r="B33" s="73">
        <v>308</v>
      </c>
      <c r="C33" s="73" t="s">
        <v>5</v>
      </c>
      <c r="D33" s="73">
        <v>5</v>
      </c>
      <c r="E33" s="74">
        <f t="shared" si="0"/>
        <v>1</v>
      </c>
      <c r="F33" s="74">
        <f t="shared" si="1"/>
        <v>3</v>
      </c>
      <c r="G33" s="74">
        <f t="shared" si="2"/>
        <v>2</v>
      </c>
      <c r="H33" s="73">
        <v>4</v>
      </c>
      <c r="I33" s="73">
        <f t="shared" si="3"/>
        <v>8</v>
      </c>
      <c r="J33" s="73" t="str">
        <f t="shared" si="4"/>
        <v>132.4</v>
      </c>
      <c r="K33" s="72"/>
      <c r="L33" s="72"/>
      <c r="M33" s="72">
        <v>21</v>
      </c>
      <c r="N33" s="72">
        <v>22</v>
      </c>
      <c r="O33" s="72"/>
      <c r="P33" s="72"/>
      <c r="Q33" s="72">
        <f t="shared" si="5"/>
        <v>10.75</v>
      </c>
      <c r="R33" s="71">
        <f t="shared" si="6"/>
        <v>0.25</v>
      </c>
      <c r="S33" s="72">
        <f t="shared" si="7"/>
        <v>5.375</v>
      </c>
      <c r="T33" s="101"/>
    </row>
    <row r="34" spans="2:23">
      <c r="B34" s="61">
        <v>401</v>
      </c>
      <c r="C34" s="61" t="s">
        <v>14</v>
      </c>
      <c r="D34" s="61">
        <v>7</v>
      </c>
      <c r="E34" s="62">
        <f t="shared" si="0"/>
        <v>2</v>
      </c>
      <c r="F34" s="62">
        <f t="shared" si="1"/>
        <v>1</v>
      </c>
      <c r="G34" s="62">
        <f t="shared" si="2"/>
        <v>2</v>
      </c>
      <c r="H34" s="61">
        <v>3</v>
      </c>
      <c r="I34" s="61">
        <f t="shared" si="3"/>
        <v>1</v>
      </c>
      <c r="J34" s="61" t="str">
        <f t="shared" si="4"/>
        <v>212.3</v>
      </c>
      <c r="K34" s="60"/>
      <c r="L34" s="60"/>
      <c r="M34" s="60">
        <v>3</v>
      </c>
      <c r="N34" s="60">
        <v>11</v>
      </c>
      <c r="O34" s="60"/>
      <c r="P34" s="60"/>
      <c r="Q34" s="53">
        <f t="shared" si="5"/>
        <v>3.5</v>
      </c>
      <c r="R34" s="53">
        <f t="shared" si="6"/>
        <v>2</v>
      </c>
      <c r="S34" s="53">
        <f t="shared" si="7"/>
        <v>3.5</v>
      </c>
      <c r="T34" s="99"/>
    </row>
    <row r="35" spans="2:23">
      <c r="B35" s="55">
        <v>402</v>
      </c>
      <c r="C35" s="55" t="s">
        <v>7</v>
      </c>
      <c r="D35" s="55">
        <v>9</v>
      </c>
      <c r="E35" s="56">
        <f t="shared" si="0"/>
        <v>2</v>
      </c>
      <c r="F35" s="56">
        <f t="shared" si="1"/>
        <v>2</v>
      </c>
      <c r="G35" s="56">
        <f t="shared" si="2"/>
        <v>2</v>
      </c>
      <c r="H35" s="55">
        <v>3</v>
      </c>
      <c r="I35" s="55">
        <f t="shared" si="3"/>
        <v>2</v>
      </c>
      <c r="J35" s="55" t="str">
        <f t="shared" si="4"/>
        <v>222.3</v>
      </c>
      <c r="K35" s="54"/>
      <c r="L35" s="54"/>
      <c r="M35" s="54">
        <v>4</v>
      </c>
      <c r="N35" s="54">
        <v>16</v>
      </c>
      <c r="O35" s="54"/>
      <c r="P35" s="54"/>
      <c r="Q35" s="53">
        <f t="shared" si="5"/>
        <v>5</v>
      </c>
      <c r="R35" s="52">
        <f t="shared" si="6"/>
        <v>2.9999999999999996</v>
      </c>
      <c r="S35" s="53">
        <f t="shared" si="7"/>
        <v>5</v>
      </c>
      <c r="T35" s="98"/>
    </row>
    <row r="36" spans="2:23">
      <c r="B36" s="69">
        <v>403</v>
      </c>
      <c r="C36" s="69" t="s">
        <v>15</v>
      </c>
      <c r="D36" s="69">
        <v>6</v>
      </c>
      <c r="E36" s="70">
        <f t="shared" si="0"/>
        <v>1</v>
      </c>
      <c r="F36" s="70">
        <f t="shared" si="1"/>
        <v>3</v>
      </c>
      <c r="G36" s="70">
        <f t="shared" si="2"/>
        <v>1</v>
      </c>
      <c r="H36" s="69">
        <v>3</v>
      </c>
      <c r="I36" s="69">
        <f t="shared" si="3"/>
        <v>3</v>
      </c>
      <c r="J36" s="69" t="str">
        <f t="shared" si="4"/>
        <v>131.3</v>
      </c>
      <c r="K36" s="68"/>
      <c r="L36" s="68"/>
      <c r="M36" s="68">
        <v>18</v>
      </c>
      <c r="N36" s="68">
        <v>25</v>
      </c>
      <c r="O36" s="68"/>
      <c r="P36" s="68"/>
      <c r="Q36" s="67">
        <f t="shared" si="5"/>
        <v>10.75</v>
      </c>
      <c r="R36" s="66">
        <f t="shared" si="6"/>
        <v>1.7499999999999998</v>
      </c>
      <c r="S36" s="67">
        <f t="shared" si="7"/>
        <v>5.375</v>
      </c>
      <c r="T36" s="100"/>
    </row>
    <row r="37" spans="2:23">
      <c r="B37" s="55">
        <v>404</v>
      </c>
      <c r="C37" s="55" t="s">
        <v>8</v>
      </c>
      <c r="D37" s="55">
        <v>3</v>
      </c>
      <c r="E37" s="56">
        <f t="shared" si="0"/>
        <v>1</v>
      </c>
      <c r="F37" s="56">
        <f t="shared" si="1"/>
        <v>2</v>
      </c>
      <c r="G37" s="56">
        <f t="shared" si="2"/>
        <v>2</v>
      </c>
      <c r="H37" s="55">
        <v>3</v>
      </c>
      <c r="I37" s="55">
        <f t="shared" si="3"/>
        <v>4</v>
      </c>
      <c r="J37" s="55" t="str">
        <f t="shared" si="4"/>
        <v>122.3</v>
      </c>
      <c r="K37" s="54"/>
      <c r="L37" s="54"/>
      <c r="M37" s="54">
        <v>16</v>
      </c>
      <c r="N37" s="54">
        <v>17</v>
      </c>
      <c r="O37" s="54"/>
      <c r="P37" s="54"/>
      <c r="Q37" s="53">
        <f t="shared" si="5"/>
        <v>8.25</v>
      </c>
      <c r="R37" s="52">
        <f t="shared" si="6"/>
        <v>0.25</v>
      </c>
      <c r="S37" s="53">
        <f t="shared" si="7"/>
        <v>8.25</v>
      </c>
      <c r="T37" s="98"/>
    </row>
    <row r="38" spans="2:23">
      <c r="B38" s="69">
        <v>405</v>
      </c>
      <c r="C38" s="69" t="s">
        <v>15</v>
      </c>
      <c r="D38" s="69">
        <v>6</v>
      </c>
      <c r="E38" s="70">
        <f t="shared" si="0"/>
        <v>1</v>
      </c>
      <c r="F38" s="70">
        <f t="shared" si="1"/>
        <v>3</v>
      </c>
      <c r="G38" s="70">
        <f t="shared" si="2"/>
        <v>1</v>
      </c>
      <c r="H38" s="69">
        <v>4</v>
      </c>
      <c r="I38" s="69">
        <f t="shared" si="3"/>
        <v>5</v>
      </c>
      <c r="J38" s="69" t="str">
        <f t="shared" si="4"/>
        <v>131.4</v>
      </c>
      <c r="K38" s="68"/>
      <c r="L38" s="68"/>
      <c r="M38" s="68">
        <v>28</v>
      </c>
      <c r="N38" s="68">
        <v>19</v>
      </c>
      <c r="O38" s="68"/>
      <c r="P38" s="68"/>
      <c r="Q38" s="67">
        <f t="shared" si="5"/>
        <v>11.75</v>
      </c>
      <c r="R38" s="66">
        <f t="shared" si="6"/>
        <v>2.25</v>
      </c>
      <c r="S38" s="67">
        <f t="shared" si="7"/>
        <v>5.875</v>
      </c>
      <c r="T38" s="100"/>
    </row>
    <row r="39" spans="2:23">
      <c r="B39" s="55">
        <v>406</v>
      </c>
      <c r="C39" s="55" t="s">
        <v>8</v>
      </c>
      <c r="D39" s="55">
        <v>3</v>
      </c>
      <c r="E39" s="56">
        <f t="shared" si="0"/>
        <v>1</v>
      </c>
      <c r="F39" s="56">
        <f t="shared" si="1"/>
        <v>2</v>
      </c>
      <c r="G39" s="56">
        <f t="shared" si="2"/>
        <v>2</v>
      </c>
      <c r="H39" s="55">
        <v>4</v>
      </c>
      <c r="I39" s="55">
        <f t="shared" si="3"/>
        <v>6</v>
      </c>
      <c r="J39" s="55" t="str">
        <f t="shared" si="4"/>
        <v>122.4</v>
      </c>
      <c r="K39" s="54"/>
      <c r="L39" s="54"/>
      <c r="M39" s="54">
        <v>11</v>
      </c>
      <c r="N39" s="54">
        <v>16</v>
      </c>
      <c r="O39" s="54"/>
      <c r="P39" s="54"/>
      <c r="Q39" s="53">
        <f t="shared" si="5"/>
        <v>6.75</v>
      </c>
      <c r="R39" s="52">
        <f t="shared" si="6"/>
        <v>1.25</v>
      </c>
      <c r="S39" s="53">
        <f t="shared" si="7"/>
        <v>6.75</v>
      </c>
      <c r="T39" s="98"/>
    </row>
    <row r="40" spans="2:23">
      <c r="B40" s="55">
        <v>407</v>
      </c>
      <c r="C40" s="55" t="s">
        <v>14</v>
      </c>
      <c r="D40" s="55">
        <v>7</v>
      </c>
      <c r="E40" s="56">
        <f t="shared" si="0"/>
        <v>2</v>
      </c>
      <c r="F40" s="56">
        <f t="shared" si="1"/>
        <v>1</v>
      </c>
      <c r="G40" s="56">
        <f t="shared" si="2"/>
        <v>2</v>
      </c>
      <c r="H40" s="55">
        <v>4</v>
      </c>
      <c r="I40" s="55">
        <f t="shared" si="3"/>
        <v>7</v>
      </c>
      <c r="J40" s="55" t="str">
        <f t="shared" si="4"/>
        <v>212.4</v>
      </c>
      <c r="K40" s="54"/>
      <c r="L40" s="54"/>
      <c r="M40" s="54">
        <v>13</v>
      </c>
      <c r="N40" s="54">
        <v>9</v>
      </c>
      <c r="O40" s="54"/>
      <c r="P40" s="54"/>
      <c r="Q40" s="53">
        <f t="shared" si="5"/>
        <v>5.5</v>
      </c>
      <c r="R40" s="52">
        <f t="shared" si="6"/>
        <v>1</v>
      </c>
      <c r="S40" s="53">
        <f t="shared" si="7"/>
        <v>5.5</v>
      </c>
      <c r="T40" s="98"/>
      <c r="V40" s="65" t="s">
        <v>307</v>
      </c>
      <c r="W40" s="63"/>
    </row>
    <row r="41" spans="2:23" ht="13.5" thickBot="1">
      <c r="B41" s="49">
        <v>408</v>
      </c>
      <c r="C41" s="49" t="s">
        <v>6</v>
      </c>
      <c r="D41" s="49">
        <v>10</v>
      </c>
      <c r="E41" s="50">
        <f t="shared" si="0"/>
        <v>2</v>
      </c>
      <c r="F41" s="50">
        <f t="shared" si="1"/>
        <v>2</v>
      </c>
      <c r="G41" s="50">
        <f t="shared" si="2"/>
        <v>1</v>
      </c>
      <c r="H41" s="49">
        <v>4</v>
      </c>
      <c r="I41" s="49">
        <f t="shared" si="3"/>
        <v>8</v>
      </c>
      <c r="J41" s="49" t="str">
        <f t="shared" si="4"/>
        <v>221.4</v>
      </c>
      <c r="K41" s="48"/>
      <c r="L41" s="48"/>
      <c r="M41" s="48">
        <v>12</v>
      </c>
      <c r="N41" s="48">
        <v>14</v>
      </c>
      <c r="O41" s="48"/>
      <c r="P41" s="48"/>
      <c r="Q41" s="48">
        <f t="shared" si="5"/>
        <v>6.5</v>
      </c>
      <c r="R41" s="47">
        <f t="shared" si="6"/>
        <v>0.5</v>
      </c>
      <c r="S41" s="48">
        <f t="shared" si="7"/>
        <v>6.5</v>
      </c>
      <c r="T41" s="97"/>
      <c r="V41" s="64" t="s">
        <v>305</v>
      </c>
      <c r="W41" s="63" t="s">
        <v>304</v>
      </c>
    </row>
    <row r="42" spans="2:23">
      <c r="B42" s="61">
        <v>901</v>
      </c>
      <c r="C42" s="61" t="s">
        <v>16</v>
      </c>
      <c r="D42" s="61">
        <v>32</v>
      </c>
      <c r="E42" s="62">
        <v>9</v>
      </c>
      <c r="F42" s="62">
        <v>0</v>
      </c>
      <c r="G42" s="62">
        <v>1</v>
      </c>
      <c r="H42" s="61">
        <v>1</v>
      </c>
      <c r="I42" s="61">
        <f t="shared" si="3"/>
        <v>1</v>
      </c>
      <c r="J42" s="61" t="str">
        <f t="shared" si="4"/>
        <v>901.1</v>
      </c>
      <c r="K42" s="60"/>
      <c r="L42" s="60"/>
      <c r="M42" s="60" t="s">
        <v>292</v>
      </c>
      <c r="N42" s="60"/>
      <c r="O42" s="60"/>
      <c r="P42" s="60"/>
      <c r="Q42" s="53"/>
      <c r="R42" s="53"/>
      <c r="S42" s="53"/>
      <c r="T42" s="99"/>
      <c r="V42" s="59" t="s">
        <v>5</v>
      </c>
      <c r="W42" s="58">
        <v>10.25</v>
      </c>
    </row>
    <row r="43" spans="2:23">
      <c r="B43" s="55">
        <v>902</v>
      </c>
      <c r="C43" s="57" t="s">
        <v>302</v>
      </c>
      <c r="D43" s="55">
        <v>22</v>
      </c>
      <c r="E43" s="56">
        <v>4</v>
      </c>
      <c r="F43" s="56">
        <v>2</v>
      </c>
      <c r="G43" s="56">
        <v>2</v>
      </c>
      <c r="H43" s="55">
        <v>1</v>
      </c>
      <c r="I43" s="55">
        <f t="shared" si="3"/>
        <v>2</v>
      </c>
      <c r="J43" s="55" t="str">
        <f t="shared" si="4"/>
        <v>422.1</v>
      </c>
      <c r="K43" s="54"/>
      <c r="L43" s="54"/>
      <c r="M43" s="54">
        <v>12</v>
      </c>
      <c r="N43" s="54">
        <v>20</v>
      </c>
      <c r="O43" s="54"/>
      <c r="P43" s="54"/>
      <c r="Q43" s="53">
        <f>AVERAGE(K43:P43)/2</f>
        <v>8</v>
      </c>
      <c r="R43" s="52">
        <f>STDEV(K43:P43)/2/SQRT(COUNT(K43:P43))</f>
        <v>2</v>
      </c>
      <c r="S43" s="53">
        <f>IF(F43=3,Q43/2,Q43)</f>
        <v>8</v>
      </c>
      <c r="T43" s="98"/>
      <c r="V43" s="44" t="s">
        <v>15</v>
      </c>
      <c r="W43" s="43">
        <v>11.25</v>
      </c>
    </row>
    <row r="44" spans="2:23">
      <c r="B44" s="55">
        <v>903</v>
      </c>
      <c r="C44" s="55" t="s">
        <v>17</v>
      </c>
      <c r="D44" s="55">
        <v>31</v>
      </c>
      <c r="E44" s="56">
        <v>8</v>
      </c>
      <c r="F44" s="56">
        <v>0</v>
      </c>
      <c r="G44" s="56">
        <v>1</v>
      </c>
      <c r="H44" s="55">
        <v>1</v>
      </c>
      <c r="I44" s="55">
        <f t="shared" si="3"/>
        <v>3</v>
      </c>
      <c r="J44" s="55" t="str">
        <f t="shared" si="4"/>
        <v>801.1</v>
      </c>
      <c r="K44" s="54"/>
      <c r="L44" s="54"/>
      <c r="M44" s="54"/>
      <c r="N44" s="54"/>
      <c r="O44" s="54"/>
      <c r="P44" s="54"/>
      <c r="Q44" s="53"/>
      <c r="R44" s="53"/>
      <c r="S44" s="53"/>
      <c r="T44" s="98"/>
      <c r="V44" s="44" t="s">
        <v>3</v>
      </c>
      <c r="W44" s="43">
        <v>6.125</v>
      </c>
    </row>
    <row r="45" spans="2:23">
      <c r="B45" s="55">
        <v>904</v>
      </c>
      <c r="C45" s="57" t="s">
        <v>301</v>
      </c>
      <c r="D45" s="55">
        <v>21</v>
      </c>
      <c r="E45" s="56">
        <v>3</v>
      </c>
      <c r="F45" s="56">
        <v>2</v>
      </c>
      <c r="G45" s="56">
        <v>2</v>
      </c>
      <c r="H45" s="55">
        <v>1</v>
      </c>
      <c r="I45" s="55">
        <f t="shared" si="3"/>
        <v>4</v>
      </c>
      <c r="J45" s="55" t="str">
        <f t="shared" si="4"/>
        <v>322.1</v>
      </c>
      <c r="K45" s="54"/>
      <c r="L45" s="54"/>
      <c r="M45" s="54">
        <v>16</v>
      </c>
      <c r="N45" s="54">
        <v>16</v>
      </c>
      <c r="O45" s="54"/>
      <c r="P45" s="54"/>
      <c r="Q45" s="53">
        <f>AVERAGE(K45:P45)/2</f>
        <v>8</v>
      </c>
      <c r="R45" s="52">
        <f>STDEV(K45:P45)/2/SQRT(COUNT(K45:P45))</f>
        <v>0</v>
      </c>
      <c r="S45" s="53">
        <f>IF(F45=3,Q45/2,Q45)</f>
        <v>8</v>
      </c>
      <c r="T45" s="98"/>
      <c r="V45" s="44" t="s">
        <v>13</v>
      </c>
      <c r="W45" s="43">
        <v>6.125</v>
      </c>
    </row>
    <row r="46" spans="2:23">
      <c r="B46" s="55">
        <v>905</v>
      </c>
      <c r="C46" s="55" t="s">
        <v>16</v>
      </c>
      <c r="D46" s="55">
        <v>32</v>
      </c>
      <c r="E46" s="56">
        <v>9</v>
      </c>
      <c r="F46" s="56">
        <v>0</v>
      </c>
      <c r="G46" s="56">
        <v>1</v>
      </c>
      <c r="H46" s="55">
        <v>2</v>
      </c>
      <c r="I46" s="55">
        <f t="shared" si="3"/>
        <v>5</v>
      </c>
      <c r="J46" s="55" t="str">
        <f t="shared" si="4"/>
        <v>901.2</v>
      </c>
      <c r="K46" s="54"/>
      <c r="L46" s="54"/>
      <c r="M46" s="54"/>
      <c r="N46" s="54"/>
      <c r="O46" s="54"/>
      <c r="P46" s="54"/>
      <c r="Q46" s="53"/>
      <c r="R46" s="53"/>
      <c r="S46" s="53"/>
      <c r="T46" s="98"/>
      <c r="V46" s="44" t="s">
        <v>8</v>
      </c>
      <c r="W46" s="43">
        <v>6.9375</v>
      </c>
    </row>
    <row r="47" spans="2:23">
      <c r="B47" s="55">
        <v>906</v>
      </c>
      <c r="C47" s="57" t="s">
        <v>302</v>
      </c>
      <c r="D47" s="55">
        <v>22</v>
      </c>
      <c r="E47" s="56">
        <v>4</v>
      </c>
      <c r="F47" s="56">
        <v>2</v>
      </c>
      <c r="G47" s="56">
        <v>2</v>
      </c>
      <c r="H47" s="55">
        <v>2</v>
      </c>
      <c r="I47" s="55">
        <f t="shared" si="3"/>
        <v>6</v>
      </c>
      <c r="J47" s="55" t="str">
        <f t="shared" si="4"/>
        <v>422.2</v>
      </c>
      <c r="K47" s="54"/>
      <c r="L47" s="54"/>
      <c r="M47" s="54">
        <v>10</v>
      </c>
      <c r="N47" s="54">
        <v>14</v>
      </c>
      <c r="O47" s="54"/>
      <c r="P47" s="54"/>
      <c r="Q47" s="53">
        <f>AVERAGE(K47:P47)/2</f>
        <v>6</v>
      </c>
      <c r="R47" s="52">
        <f>STDEV(K47:P47)/2/SQRT(COUNT(K47:P47))</f>
        <v>1</v>
      </c>
      <c r="S47" s="53">
        <f>IF(F47=3,Q47/2,Q47)</f>
        <v>6</v>
      </c>
      <c r="T47" s="98"/>
      <c r="V47" s="44" t="s">
        <v>4</v>
      </c>
      <c r="W47" s="43">
        <v>5.1875</v>
      </c>
    </row>
    <row r="48" spans="2:23">
      <c r="B48" s="55">
        <v>907</v>
      </c>
      <c r="C48" s="55" t="s">
        <v>17</v>
      </c>
      <c r="D48" s="55">
        <v>31</v>
      </c>
      <c r="E48" s="56">
        <v>8</v>
      </c>
      <c r="F48" s="56">
        <v>0</v>
      </c>
      <c r="G48" s="56">
        <v>1</v>
      </c>
      <c r="H48" s="55">
        <v>2</v>
      </c>
      <c r="I48" s="55">
        <f t="shared" si="3"/>
        <v>7</v>
      </c>
      <c r="J48" s="55" t="str">
        <f t="shared" si="4"/>
        <v>801.2</v>
      </c>
      <c r="K48" s="54"/>
      <c r="L48" s="54"/>
      <c r="M48" s="54"/>
      <c r="N48" s="54"/>
      <c r="O48" s="54"/>
      <c r="P48" s="54"/>
      <c r="Q48" s="53"/>
      <c r="R48" s="53"/>
      <c r="S48" s="53"/>
      <c r="T48" s="98"/>
      <c r="V48" s="44" t="s">
        <v>11</v>
      </c>
      <c r="W48" s="43">
        <v>14.5</v>
      </c>
    </row>
    <row r="49" spans="2:23" ht="13.5" thickBot="1">
      <c r="B49" s="49">
        <v>908</v>
      </c>
      <c r="C49" s="51" t="s">
        <v>301</v>
      </c>
      <c r="D49" s="49">
        <v>21</v>
      </c>
      <c r="E49" s="50">
        <v>3</v>
      </c>
      <c r="F49" s="50">
        <v>2</v>
      </c>
      <c r="G49" s="50">
        <v>2</v>
      </c>
      <c r="H49" s="49">
        <v>2</v>
      </c>
      <c r="I49" s="49">
        <f t="shared" si="3"/>
        <v>8</v>
      </c>
      <c r="J49" s="49" t="str">
        <f t="shared" si="4"/>
        <v>322.2</v>
      </c>
      <c r="K49" s="48"/>
      <c r="L49" s="48"/>
      <c r="M49" s="48">
        <v>13</v>
      </c>
      <c r="N49" s="48">
        <v>17</v>
      </c>
      <c r="O49" s="48"/>
      <c r="P49" s="48"/>
      <c r="Q49" s="48">
        <f>AVERAGE(K49:P49)/2</f>
        <v>7.5</v>
      </c>
      <c r="R49" s="47">
        <f>STDEV(K49:P49)/2/SQRT(COUNT(K49:P49))</f>
        <v>1</v>
      </c>
      <c r="S49" s="48">
        <f>IF(F49=3,Q49/2,Q49)</f>
        <v>7.5</v>
      </c>
      <c r="T49" s="97"/>
      <c r="V49" s="44" t="s">
        <v>10</v>
      </c>
      <c r="W49" s="43">
        <v>10.5</v>
      </c>
    </row>
    <row r="50" spans="2:23">
      <c r="V50" s="44" t="s">
        <v>14</v>
      </c>
      <c r="W50" s="43">
        <v>4.5</v>
      </c>
    </row>
    <row r="51" spans="2:23">
      <c r="V51" s="44" t="s">
        <v>12</v>
      </c>
      <c r="W51" s="43">
        <v>4.75</v>
      </c>
    </row>
    <row r="52" spans="2:23">
      <c r="V52" s="44" t="s">
        <v>7</v>
      </c>
      <c r="W52" s="43">
        <v>4.875</v>
      </c>
    </row>
    <row r="53" spans="2:23">
      <c r="V53" s="42" t="s">
        <v>6</v>
      </c>
      <c r="W53" s="41">
        <v>6.6875</v>
      </c>
    </row>
    <row r="54" spans="2:23">
      <c r="M54" s="38">
        <f>SUM(M10:N49)</f>
        <v>1041</v>
      </c>
      <c r="Q54" s="38"/>
    </row>
  </sheetData>
  <mergeCells count="2">
    <mergeCell ref="Q3:R3"/>
    <mergeCell ref="Q4:R4"/>
  </mergeCells>
  <pageMargins left="0.75" right="0.75" top="1" bottom="1" header="0.5" footer="0.5"/>
  <pageSetup orientation="portrait" r:id="rId3"/>
  <headerFooter alignWithMargins="0"/>
  <drawing r:id="rId4"/>
  <legacyDrawing r:id="rId5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2C788-AFE0-47AA-A69A-58E27DDF5CA4}">
  <dimension ref="A1:X53"/>
  <sheetViews>
    <sheetView topLeftCell="B1" workbookViewId="0">
      <selection activeCell="H74" sqref="H74"/>
    </sheetView>
  </sheetViews>
  <sheetFormatPr defaultRowHeight="12.75"/>
  <cols>
    <col min="1" max="18" width="9.140625" style="37"/>
    <col min="19" max="19" width="12.42578125" style="37" customWidth="1"/>
    <col min="20" max="20" width="45.7109375" style="37" customWidth="1"/>
    <col min="21" max="21" width="9.140625" style="37"/>
    <col min="22" max="22" width="23.5703125" style="37" customWidth="1"/>
    <col min="23" max="23" width="7" style="37" customWidth="1"/>
    <col min="24" max="24" width="5.42578125" style="37" customWidth="1"/>
    <col min="25" max="26" width="4.5703125" style="37" customWidth="1"/>
    <col min="27" max="27" width="10.5703125" style="37" bestFit="1" customWidth="1"/>
    <col min="28" max="16384" width="9.140625" style="37"/>
  </cols>
  <sheetData>
    <row r="1" spans="1:23" ht="22.5" customHeight="1">
      <c r="A1" s="93" t="s">
        <v>340</v>
      </c>
    </row>
    <row r="2" spans="1:23">
      <c r="Q2" s="92" t="s">
        <v>359</v>
      </c>
    </row>
    <row r="3" spans="1:23" ht="13.5" thickBot="1">
      <c r="A3" s="92"/>
      <c r="B3" s="104" t="s">
        <v>339</v>
      </c>
      <c r="C3" s="96">
        <v>133</v>
      </c>
      <c r="E3" s="104" t="s">
        <v>338</v>
      </c>
      <c r="F3" s="105">
        <v>0.34791666666666665</v>
      </c>
      <c r="H3" s="104" t="s">
        <v>358</v>
      </c>
      <c r="I3" s="106">
        <v>37389</v>
      </c>
      <c r="J3" s="96"/>
      <c r="Q3" s="117" t="s">
        <v>357</v>
      </c>
      <c r="R3" s="118"/>
      <c r="S3" s="91">
        <f>AVERAGE(Q10:Q11,Q13,Q15:Q17,Q19:Q20,Q22:Q29,Q31:Q32,Q34:Q35,Q37,Q39:Q41)</f>
        <v>8.1458333333333339</v>
      </c>
    </row>
    <row r="4" spans="1:23" ht="18.75" customHeight="1" thickBot="1">
      <c r="E4" s="104" t="s">
        <v>337</v>
      </c>
      <c r="F4" s="105">
        <v>0.38611111111111113</v>
      </c>
      <c r="H4" s="104" t="s">
        <v>350</v>
      </c>
      <c r="I4" s="96" t="s">
        <v>367</v>
      </c>
      <c r="J4" s="96"/>
      <c r="Q4" s="117" t="s">
        <v>356</v>
      </c>
      <c r="R4" s="118"/>
      <c r="S4" s="91">
        <f>AVERAGE(Q12,Q14,Q18,Q21,Q30,Q36,Q38,Q33)</f>
        <v>14.0625</v>
      </c>
    </row>
    <row r="6" spans="1:23" ht="13.5" thickBot="1">
      <c r="B6" s="104" t="s">
        <v>336</v>
      </c>
      <c r="C6" s="96" t="s">
        <v>366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</row>
    <row r="7" spans="1:23" ht="13.5" thickBot="1"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</row>
    <row r="8" spans="1:23" ht="13.5" thickBot="1"/>
    <row r="9" spans="1:23" ht="39" thickBot="1">
      <c r="B9" s="88" t="s">
        <v>0</v>
      </c>
      <c r="C9" s="89" t="s">
        <v>305</v>
      </c>
      <c r="D9" s="89" t="s">
        <v>333</v>
      </c>
      <c r="E9" s="88" t="s">
        <v>332</v>
      </c>
      <c r="F9" s="89" t="s">
        <v>331</v>
      </c>
      <c r="G9" s="88" t="s">
        <v>330</v>
      </c>
      <c r="H9" s="88" t="s">
        <v>329</v>
      </c>
      <c r="I9" s="88" t="s">
        <v>315</v>
      </c>
      <c r="J9" s="88" t="s">
        <v>328</v>
      </c>
      <c r="K9" s="86" t="s">
        <v>327</v>
      </c>
      <c r="L9" s="86" t="s">
        <v>326</v>
      </c>
      <c r="M9" s="86" t="s">
        <v>325</v>
      </c>
      <c r="N9" s="86" t="s">
        <v>324</v>
      </c>
      <c r="O9" s="86" t="s">
        <v>323</v>
      </c>
      <c r="P9" s="86" t="s">
        <v>322</v>
      </c>
      <c r="Q9" s="87" t="s">
        <v>321</v>
      </c>
      <c r="R9" s="86" t="s">
        <v>320</v>
      </c>
      <c r="S9" s="87" t="s">
        <v>319</v>
      </c>
      <c r="T9" s="103" t="s">
        <v>318</v>
      </c>
    </row>
    <row r="10" spans="1:23">
      <c r="B10" s="61">
        <v>101</v>
      </c>
      <c r="C10" s="62" t="s">
        <v>3</v>
      </c>
      <c r="D10" s="62">
        <v>1</v>
      </c>
      <c r="E10" s="62">
        <f t="shared" ref="E10:E41" si="0">IF(LEFT($C10,1)="F",1,2)</f>
        <v>1</v>
      </c>
      <c r="F10" s="62">
        <f t="shared" ref="F10:F41" si="1">IF(MID($C10,2,1)="S",1,IF(MID($C10,2,1)="T",2,IF(MID($C10,2,1)="D",3,0)))</f>
        <v>1</v>
      </c>
      <c r="G10" s="62">
        <f t="shared" ref="G10:G41" si="2">IF(RIGHT($C10,1)="L",1,2)</f>
        <v>2</v>
      </c>
      <c r="H10" s="61">
        <v>1</v>
      </c>
      <c r="I10" s="61">
        <f t="shared" ref="I10:I49" si="3">B10-INT(B10/100)*100</f>
        <v>1</v>
      </c>
      <c r="J10" s="61" t="str">
        <f t="shared" ref="J10:J49" si="4">(E10&amp;F10&amp;G10&amp;"."&amp;H10)</f>
        <v>112.1</v>
      </c>
      <c r="K10" s="83"/>
      <c r="L10" s="60"/>
      <c r="M10" s="60">
        <v>16</v>
      </c>
      <c r="N10" s="60">
        <v>11</v>
      </c>
      <c r="O10" s="60"/>
      <c r="P10" s="60"/>
      <c r="Q10" s="53">
        <f t="shared" ref="Q10:Q49" si="5">AVERAGE(K10:P10)/2</f>
        <v>6.75</v>
      </c>
      <c r="R10" s="53">
        <f t="shared" ref="R10:R49" si="6">STDEV(K10:P10)/2/SQRT(COUNT(K10:P10))</f>
        <v>1.25</v>
      </c>
      <c r="S10" s="53">
        <f t="shared" ref="S10:S49" si="7">IF(F10=3,Q10/2,Q10)</f>
        <v>6.75</v>
      </c>
      <c r="T10" s="99"/>
      <c r="V10" s="65" t="s">
        <v>316</v>
      </c>
      <c r="W10" s="63"/>
    </row>
    <row r="11" spans="1:23">
      <c r="B11" s="55">
        <v>102</v>
      </c>
      <c r="C11" s="55" t="s">
        <v>4</v>
      </c>
      <c r="D11" s="55">
        <v>4</v>
      </c>
      <c r="E11" s="56">
        <f t="shared" si="0"/>
        <v>1</v>
      </c>
      <c r="F11" s="56">
        <f t="shared" si="1"/>
        <v>2</v>
      </c>
      <c r="G11" s="56">
        <f t="shared" si="2"/>
        <v>1</v>
      </c>
      <c r="H11" s="55">
        <v>1</v>
      </c>
      <c r="I11" s="55">
        <f t="shared" si="3"/>
        <v>2</v>
      </c>
      <c r="J11" s="55" t="str">
        <f t="shared" si="4"/>
        <v>121.1</v>
      </c>
      <c r="K11" s="54"/>
      <c r="L11" s="54">
        <v>21</v>
      </c>
      <c r="M11" s="54">
        <v>5</v>
      </c>
      <c r="N11" s="54">
        <v>13</v>
      </c>
      <c r="O11" s="54"/>
      <c r="P11" s="54"/>
      <c r="Q11" s="53">
        <f t="shared" si="5"/>
        <v>6.5</v>
      </c>
      <c r="R11" s="52">
        <f t="shared" si="6"/>
        <v>2.3094010767585034</v>
      </c>
      <c r="S11" s="53">
        <f t="shared" si="7"/>
        <v>6.5</v>
      </c>
      <c r="T11" s="98"/>
      <c r="V11" s="65" t="s">
        <v>315</v>
      </c>
      <c r="W11" s="63" t="s">
        <v>304</v>
      </c>
    </row>
    <row r="12" spans="1:23">
      <c r="B12" s="69">
        <v>103</v>
      </c>
      <c r="C12" s="69" t="s">
        <v>5</v>
      </c>
      <c r="D12" s="69">
        <v>5</v>
      </c>
      <c r="E12" s="70">
        <f t="shared" si="0"/>
        <v>1</v>
      </c>
      <c r="F12" s="70">
        <f t="shared" si="1"/>
        <v>3</v>
      </c>
      <c r="G12" s="70">
        <f t="shared" si="2"/>
        <v>2</v>
      </c>
      <c r="H12" s="69">
        <v>1</v>
      </c>
      <c r="I12" s="69">
        <f t="shared" si="3"/>
        <v>3</v>
      </c>
      <c r="J12" s="69" t="str">
        <f t="shared" si="4"/>
        <v>132.1</v>
      </c>
      <c r="K12" s="68"/>
      <c r="L12" s="68"/>
      <c r="M12" s="68">
        <v>21</v>
      </c>
      <c r="N12" s="68">
        <v>21</v>
      </c>
      <c r="O12" s="68"/>
      <c r="P12" s="68"/>
      <c r="Q12" s="67">
        <f t="shared" si="5"/>
        <v>10.5</v>
      </c>
      <c r="R12" s="66">
        <f t="shared" si="6"/>
        <v>0</v>
      </c>
      <c r="S12" s="67">
        <f t="shared" si="7"/>
        <v>5.25</v>
      </c>
      <c r="T12" s="100"/>
      <c r="V12" s="59">
        <v>1</v>
      </c>
      <c r="W12" s="58" t="e">
        <v>#DIV/0!</v>
      </c>
    </row>
    <row r="13" spans="1:23">
      <c r="B13" s="55">
        <v>104</v>
      </c>
      <c r="C13" s="55" t="s">
        <v>6</v>
      </c>
      <c r="D13" s="55">
        <v>10</v>
      </c>
      <c r="E13" s="56">
        <f t="shared" si="0"/>
        <v>2</v>
      </c>
      <c r="F13" s="56">
        <f t="shared" si="1"/>
        <v>2</v>
      </c>
      <c r="G13" s="56">
        <f t="shared" si="2"/>
        <v>1</v>
      </c>
      <c r="H13" s="55">
        <v>1</v>
      </c>
      <c r="I13" s="55">
        <f t="shared" si="3"/>
        <v>4</v>
      </c>
      <c r="J13" s="55" t="str">
        <f t="shared" si="4"/>
        <v>221.1</v>
      </c>
      <c r="K13" s="54"/>
      <c r="L13" s="54"/>
      <c r="M13" s="54">
        <v>15</v>
      </c>
      <c r="N13" s="54">
        <v>15</v>
      </c>
      <c r="O13" s="54"/>
      <c r="P13" s="54"/>
      <c r="Q13" s="53">
        <f t="shared" si="5"/>
        <v>7.5</v>
      </c>
      <c r="R13" s="52">
        <f t="shared" si="6"/>
        <v>0</v>
      </c>
      <c r="S13" s="53">
        <f t="shared" si="7"/>
        <v>7.5</v>
      </c>
      <c r="T13" s="98"/>
      <c r="V13" s="44">
        <v>2</v>
      </c>
      <c r="W13" s="43" t="e">
        <v>#DIV/0!</v>
      </c>
    </row>
    <row r="14" spans="1:23">
      <c r="B14" s="69">
        <v>105</v>
      </c>
      <c r="C14" s="69" t="s">
        <v>10</v>
      </c>
      <c r="D14" s="69">
        <v>12</v>
      </c>
      <c r="E14" s="70">
        <f t="shared" si="0"/>
        <v>2</v>
      </c>
      <c r="F14" s="70">
        <f t="shared" si="1"/>
        <v>3</v>
      </c>
      <c r="G14" s="70">
        <f t="shared" si="2"/>
        <v>1</v>
      </c>
      <c r="H14" s="69">
        <v>2</v>
      </c>
      <c r="I14" s="69">
        <f t="shared" si="3"/>
        <v>5</v>
      </c>
      <c r="J14" s="69" t="str">
        <f t="shared" si="4"/>
        <v>231.2</v>
      </c>
      <c r="K14" s="68"/>
      <c r="L14" s="68"/>
      <c r="M14" s="68">
        <v>26</v>
      </c>
      <c r="N14" s="68">
        <v>24</v>
      </c>
      <c r="O14" s="68"/>
      <c r="P14" s="68"/>
      <c r="Q14" s="67">
        <f t="shared" si="5"/>
        <v>12.5</v>
      </c>
      <c r="R14" s="66">
        <f t="shared" si="6"/>
        <v>0.5</v>
      </c>
      <c r="S14" s="67">
        <f t="shared" si="7"/>
        <v>6.25</v>
      </c>
      <c r="T14" s="100"/>
      <c r="V14" s="44">
        <v>3</v>
      </c>
      <c r="W14" s="43" t="e">
        <v>#DIV/0!</v>
      </c>
    </row>
    <row r="15" spans="1:23">
      <c r="B15" s="55">
        <v>106</v>
      </c>
      <c r="C15" s="55" t="s">
        <v>7</v>
      </c>
      <c r="D15" s="55">
        <v>9</v>
      </c>
      <c r="E15" s="56">
        <f t="shared" si="0"/>
        <v>2</v>
      </c>
      <c r="F15" s="56">
        <f t="shared" si="1"/>
        <v>2</v>
      </c>
      <c r="G15" s="56">
        <f t="shared" si="2"/>
        <v>2</v>
      </c>
      <c r="H15" s="55">
        <v>2</v>
      </c>
      <c r="I15" s="55">
        <f t="shared" si="3"/>
        <v>6</v>
      </c>
      <c r="J15" s="55" t="str">
        <f t="shared" si="4"/>
        <v>222.2</v>
      </c>
      <c r="K15" s="54"/>
      <c r="L15" s="54"/>
      <c r="M15" s="54">
        <v>13</v>
      </c>
      <c r="N15" s="54">
        <v>19</v>
      </c>
      <c r="O15" s="54"/>
      <c r="P15" s="54"/>
      <c r="Q15" s="53">
        <f t="shared" si="5"/>
        <v>8</v>
      </c>
      <c r="R15" s="52">
        <f t="shared" si="6"/>
        <v>1.4999999999999998</v>
      </c>
      <c r="S15" s="53">
        <f t="shared" si="7"/>
        <v>8</v>
      </c>
      <c r="T15" s="98"/>
      <c r="V15" s="44">
        <v>4</v>
      </c>
      <c r="W15" s="43" t="e">
        <v>#DIV/0!</v>
      </c>
    </row>
    <row r="16" spans="1:23">
      <c r="B16" s="55">
        <v>107</v>
      </c>
      <c r="C16" s="55" t="s">
        <v>6</v>
      </c>
      <c r="D16" s="55">
        <v>10</v>
      </c>
      <c r="E16" s="56">
        <f t="shared" si="0"/>
        <v>2</v>
      </c>
      <c r="F16" s="56">
        <f t="shared" si="1"/>
        <v>2</v>
      </c>
      <c r="G16" s="56">
        <f t="shared" si="2"/>
        <v>1</v>
      </c>
      <c r="H16" s="55">
        <v>2</v>
      </c>
      <c r="I16" s="55">
        <f t="shared" si="3"/>
        <v>7</v>
      </c>
      <c r="J16" s="55" t="str">
        <f t="shared" si="4"/>
        <v>221.2</v>
      </c>
      <c r="K16" s="54"/>
      <c r="L16" s="54"/>
      <c r="M16" s="54">
        <v>20</v>
      </c>
      <c r="N16" s="54">
        <v>17</v>
      </c>
      <c r="O16" s="54"/>
      <c r="P16" s="54"/>
      <c r="Q16" s="53">
        <f t="shared" si="5"/>
        <v>9.25</v>
      </c>
      <c r="R16" s="52">
        <f t="shared" si="6"/>
        <v>0.74999999999999989</v>
      </c>
      <c r="S16" s="53">
        <f t="shared" si="7"/>
        <v>9.25</v>
      </c>
      <c r="T16" s="98"/>
      <c r="V16" s="44">
        <v>5</v>
      </c>
      <c r="W16" s="43" t="e">
        <v>#DIV/0!</v>
      </c>
    </row>
    <row r="17" spans="2:24" ht="13.5" thickBot="1">
      <c r="B17" s="49">
        <v>108</v>
      </c>
      <c r="C17" s="49" t="s">
        <v>8</v>
      </c>
      <c r="D17" s="49">
        <v>3</v>
      </c>
      <c r="E17" s="50">
        <f t="shared" si="0"/>
        <v>1</v>
      </c>
      <c r="F17" s="50">
        <f t="shared" si="1"/>
        <v>2</v>
      </c>
      <c r="G17" s="50">
        <f t="shared" si="2"/>
        <v>2</v>
      </c>
      <c r="H17" s="49">
        <v>2</v>
      </c>
      <c r="I17" s="49">
        <f t="shared" si="3"/>
        <v>8</v>
      </c>
      <c r="J17" s="49" t="str">
        <f t="shared" si="4"/>
        <v>122.2</v>
      </c>
      <c r="K17" s="48"/>
      <c r="L17" s="48"/>
      <c r="M17" s="48">
        <v>21</v>
      </c>
      <c r="N17" s="48">
        <v>19</v>
      </c>
      <c r="O17" s="48"/>
      <c r="P17" s="48"/>
      <c r="Q17" s="48">
        <f t="shared" si="5"/>
        <v>10</v>
      </c>
      <c r="R17" s="47">
        <f t="shared" si="6"/>
        <v>0.5</v>
      </c>
      <c r="S17" s="48">
        <f t="shared" si="7"/>
        <v>10</v>
      </c>
      <c r="T17" s="97"/>
      <c r="V17" s="44">
        <v>6</v>
      </c>
      <c r="W17" s="43" t="e">
        <v>#DIV/0!</v>
      </c>
    </row>
    <row r="18" spans="2:24">
      <c r="B18" s="80">
        <v>201</v>
      </c>
      <c r="C18" s="80" t="s">
        <v>10</v>
      </c>
      <c r="D18" s="80">
        <v>12</v>
      </c>
      <c r="E18" s="81">
        <f t="shared" si="0"/>
        <v>2</v>
      </c>
      <c r="F18" s="81">
        <f t="shared" si="1"/>
        <v>3</v>
      </c>
      <c r="G18" s="81">
        <f t="shared" si="2"/>
        <v>1</v>
      </c>
      <c r="H18" s="80">
        <v>1</v>
      </c>
      <c r="I18" s="80">
        <f t="shared" si="3"/>
        <v>1</v>
      </c>
      <c r="J18" s="80" t="str">
        <f t="shared" si="4"/>
        <v>231.1</v>
      </c>
      <c r="K18" s="79"/>
      <c r="L18" s="79"/>
      <c r="M18" s="79">
        <v>32</v>
      </c>
      <c r="N18" s="79">
        <v>22</v>
      </c>
      <c r="O18" s="79"/>
      <c r="P18" s="79"/>
      <c r="Q18" s="67">
        <f t="shared" si="5"/>
        <v>13.5</v>
      </c>
      <c r="R18" s="67">
        <f t="shared" si="6"/>
        <v>2.5</v>
      </c>
      <c r="S18" s="67">
        <f t="shared" si="7"/>
        <v>6.75</v>
      </c>
      <c r="T18" s="102"/>
      <c r="V18" s="44">
        <v>7</v>
      </c>
      <c r="W18" s="43" t="e">
        <v>#DIV/0!</v>
      </c>
    </row>
    <row r="19" spans="2:24">
      <c r="B19" s="55">
        <v>202</v>
      </c>
      <c r="C19" s="55" t="s">
        <v>7</v>
      </c>
      <c r="D19" s="55">
        <v>9</v>
      </c>
      <c r="E19" s="56">
        <f t="shared" si="0"/>
        <v>2</v>
      </c>
      <c r="F19" s="56">
        <f t="shared" si="1"/>
        <v>2</v>
      </c>
      <c r="G19" s="56">
        <f t="shared" si="2"/>
        <v>2</v>
      </c>
      <c r="H19" s="55">
        <v>1</v>
      </c>
      <c r="I19" s="55">
        <f t="shared" si="3"/>
        <v>2</v>
      </c>
      <c r="J19" s="55" t="str">
        <f t="shared" si="4"/>
        <v>222.1</v>
      </c>
      <c r="K19" s="78"/>
      <c r="L19" s="77">
        <v>14</v>
      </c>
      <c r="M19" s="77">
        <v>9</v>
      </c>
      <c r="N19" s="77">
        <v>12</v>
      </c>
      <c r="O19" s="54"/>
      <c r="P19" s="54"/>
      <c r="Q19" s="53">
        <f t="shared" si="5"/>
        <v>5.833333333333333</v>
      </c>
      <c r="R19" s="52">
        <f t="shared" si="6"/>
        <v>0.72648315725677948</v>
      </c>
      <c r="S19" s="53">
        <f t="shared" si="7"/>
        <v>5.833333333333333</v>
      </c>
      <c r="T19" s="98"/>
      <c r="V19" s="44">
        <v>8</v>
      </c>
      <c r="W19" s="43" t="e">
        <v>#DIV/0!</v>
      </c>
    </row>
    <row r="20" spans="2:24">
      <c r="B20" s="55">
        <v>203</v>
      </c>
      <c r="C20" s="55" t="s">
        <v>8</v>
      </c>
      <c r="D20" s="55">
        <v>3</v>
      </c>
      <c r="E20" s="56">
        <f t="shared" si="0"/>
        <v>1</v>
      </c>
      <c r="F20" s="56">
        <f t="shared" si="1"/>
        <v>2</v>
      </c>
      <c r="G20" s="56">
        <f t="shared" si="2"/>
        <v>2</v>
      </c>
      <c r="H20" s="55">
        <v>1</v>
      </c>
      <c r="I20" s="55">
        <f t="shared" si="3"/>
        <v>3</v>
      </c>
      <c r="J20" s="55" t="str">
        <f t="shared" si="4"/>
        <v>122.1</v>
      </c>
      <c r="K20" s="54"/>
      <c r="L20" s="54"/>
      <c r="M20" s="54">
        <v>19</v>
      </c>
      <c r="N20" s="54">
        <v>17</v>
      </c>
      <c r="O20" s="54"/>
      <c r="P20" s="54"/>
      <c r="Q20" s="53">
        <f t="shared" si="5"/>
        <v>9</v>
      </c>
      <c r="R20" s="52">
        <f t="shared" si="6"/>
        <v>0.5</v>
      </c>
      <c r="S20" s="53">
        <f t="shared" si="7"/>
        <v>9</v>
      </c>
      <c r="T20" s="98"/>
      <c r="V20" s="76" t="s">
        <v>312</v>
      </c>
      <c r="W20" s="75" t="e">
        <v>#DIV/0!</v>
      </c>
    </row>
    <row r="21" spans="2:24">
      <c r="B21" s="69">
        <v>204</v>
      </c>
      <c r="C21" s="69" t="s">
        <v>11</v>
      </c>
      <c r="D21" s="69">
        <v>11</v>
      </c>
      <c r="E21" s="70">
        <f t="shared" si="0"/>
        <v>2</v>
      </c>
      <c r="F21" s="70">
        <f t="shared" si="1"/>
        <v>3</v>
      </c>
      <c r="G21" s="70">
        <f t="shared" si="2"/>
        <v>2</v>
      </c>
      <c r="H21" s="69">
        <v>1</v>
      </c>
      <c r="I21" s="69">
        <f t="shared" si="3"/>
        <v>4</v>
      </c>
      <c r="J21" s="69" t="str">
        <f t="shared" si="4"/>
        <v>232.1</v>
      </c>
      <c r="K21" s="68"/>
      <c r="L21" s="68"/>
      <c r="M21" s="68">
        <v>33</v>
      </c>
      <c r="N21" s="68">
        <v>28</v>
      </c>
      <c r="O21" s="68"/>
      <c r="P21" s="68"/>
      <c r="Q21" s="67">
        <f t="shared" si="5"/>
        <v>15.25</v>
      </c>
      <c r="R21" s="66">
        <f t="shared" si="6"/>
        <v>1.25</v>
      </c>
      <c r="S21" s="67">
        <f t="shared" si="7"/>
        <v>7.625</v>
      </c>
      <c r="T21" s="100"/>
    </row>
    <row r="22" spans="2:24">
      <c r="B22" s="55">
        <v>205</v>
      </c>
      <c r="C22" s="55" t="s">
        <v>3</v>
      </c>
      <c r="D22" s="55">
        <v>1</v>
      </c>
      <c r="E22" s="56">
        <f t="shared" si="0"/>
        <v>1</v>
      </c>
      <c r="F22" s="56">
        <f t="shared" si="1"/>
        <v>1</v>
      </c>
      <c r="G22" s="56">
        <f t="shared" si="2"/>
        <v>2</v>
      </c>
      <c r="H22" s="55">
        <v>2</v>
      </c>
      <c r="I22" s="55">
        <f t="shared" si="3"/>
        <v>5</v>
      </c>
      <c r="J22" s="55" t="str">
        <f t="shared" si="4"/>
        <v>112.2</v>
      </c>
      <c r="K22" s="54"/>
      <c r="L22" s="54"/>
      <c r="M22" s="54">
        <v>17</v>
      </c>
      <c r="N22" s="54">
        <v>20</v>
      </c>
      <c r="O22" s="54"/>
      <c r="P22" s="54"/>
      <c r="Q22" s="53">
        <f t="shared" si="5"/>
        <v>9.25</v>
      </c>
      <c r="R22" s="52">
        <f t="shared" si="6"/>
        <v>0.74999999999999989</v>
      </c>
      <c r="S22" s="53">
        <f t="shared" si="7"/>
        <v>9.25</v>
      </c>
      <c r="T22" s="98"/>
    </row>
    <row r="23" spans="2:24">
      <c r="B23" s="55">
        <v>206</v>
      </c>
      <c r="C23" s="55" t="s">
        <v>12</v>
      </c>
      <c r="D23" s="55">
        <v>8</v>
      </c>
      <c r="E23" s="56">
        <f t="shared" si="0"/>
        <v>2</v>
      </c>
      <c r="F23" s="56">
        <f t="shared" si="1"/>
        <v>1</v>
      </c>
      <c r="G23" s="56">
        <f t="shared" si="2"/>
        <v>1</v>
      </c>
      <c r="H23" s="55">
        <v>2</v>
      </c>
      <c r="I23" s="55">
        <f t="shared" si="3"/>
        <v>6</v>
      </c>
      <c r="J23" s="55" t="str">
        <f t="shared" si="4"/>
        <v>211.2</v>
      </c>
      <c r="K23" s="54"/>
      <c r="L23" s="54"/>
      <c r="M23" s="54">
        <v>17</v>
      </c>
      <c r="N23" s="54">
        <v>19</v>
      </c>
      <c r="O23" s="54"/>
      <c r="P23" s="54"/>
      <c r="Q23" s="53">
        <f t="shared" si="5"/>
        <v>9</v>
      </c>
      <c r="R23" s="52">
        <f t="shared" si="6"/>
        <v>0.5</v>
      </c>
      <c r="S23" s="53">
        <f t="shared" si="7"/>
        <v>9</v>
      </c>
      <c r="T23" s="98"/>
    </row>
    <row r="24" spans="2:24">
      <c r="B24" s="55">
        <v>207</v>
      </c>
      <c r="C24" s="55" t="s">
        <v>4</v>
      </c>
      <c r="D24" s="55">
        <v>4</v>
      </c>
      <c r="E24" s="56">
        <f t="shared" si="0"/>
        <v>1</v>
      </c>
      <c r="F24" s="56">
        <f t="shared" si="1"/>
        <v>2</v>
      </c>
      <c r="G24" s="56">
        <f t="shared" si="2"/>
        <v>1</v>
      </c>
      <c r="H24" s="55">
        <v>2</v>
      </c>
      <c r="I24" s="55">
        <f t="shared" si="3"/>
        <v>7</v>
      </c>
      <c r="J24" s="55" t="str">
        <f t="shared" si="4"/>
        <v>121.2</v>
      </c>
      <c r="K24" s="54"/>
      <c r="L24" s="54"/>
      <c r="M24" s="54">
        <v>18</v>
      </c>
      <c r="N24" s="54">
        <v>13</v>
      </c>
      <c r="O24" s="54"/>
      <c r="P24" s="54"/>
      <c r="Q24" s="53">
        <f t="shared" si="5"/>
        <v>7.75</v>
      </c>
      <c r="R24" s="52">
        <f t="shared" si="6"/>
        <v>1.25</v>
      </c>
      <c r="S24" s="53">
        <f t="shared" si="7"/>
        <v>7.75</v>
      </c>
      <c r="T24" s="98"/>
      <c r="V24" s="38"/>
    </row>
    <row r="25" spans="2:24" ht="13.5" thickBot="1">
      <c r="B25" s="49">
        <v>208</v>
      </c>
      <c r="C25" s="49" t="s">
        <v>13</v>
      </c>
      <c r="D25" s="49">
        <v>2</v>
      </c>
      <c r="E25" s="50">
        <f t="shared" si="0"/>
        <v>1</v>
      </c>
      <c r="F25" s="50">
        <f t="shared" si="1"/>
        <v>1</v>
      </c>
      <c r="G25" s="50">
        <f t="shared" si="2"/>
        <v>1</v>
      </c>
      <c r="H25" s="49">
        <v>2</v>
      </c>
      <c r="I25" s="49">
        <f t="shared" si="3"/>
        <v>8</v>
      </c>
      <c r="J25" s="49" t="str">
        <f t="shared" si="4"/>
        <v>111.2</v>
      </c>
      <c r="K25" s="48"/>
      <c r="L25" s="48"/>
      <c r="M25" s="48">
        <v>21</v>
      </c>
      <c r="N25" s="48">
        <v>21</v>
      </c>
      <c r="O25" s="48"/>
      <c r="P25" s="48"/>
      <c r="Q25" s="48">
        <f t="shared" si="5"/>
        <v>10.5</v>
      </c>
      <c r="R25" s="47">
        <f t="shared" si="6"/>
        <v>0</v>
      </c>
      <c r="S25" s="48">
        <f t="shared" si="7"/>
        <v>10.5</v>
      </c>
      <c r="T25" s="97"/>
    </row>
    <row r="26" spans="2:24">
      <c r="B26" s="61">
        <v>301</v>
      </c>
      <c r="C26" s="61" t="s">
        <v>6</v>
      </c>
      <c r="D26" s="61">
        <v>10</v>
      </c>
      <c r="E26" s="62">
        <f t="shared" si="0"/>
        <v>2</v>
      </c>
      <c r="F26" s="62">
        <f t="shared" si="1"/>
        <v>2</v>
      </c>
      <c r="G26" s="62">
        <f t="shared" si="2"/>
        <v>1</v>
      </c>
      <c r="H26" s="61">
        <v>3</v>
      </c>
      <c r="I26" s="61">
        <f t="shared" si="3"/>
        <v>1</v>
      </c>
      <c r="J26" s="61" t="str">
        <f t="shared" si="4"/>
        <v>221.3</v>
      </c>
      <c r="K26" s="60"/>
      <c r="L26" s="60"/>
      <c r="M26" s="60">
        <v>18</v>
      </c>
      <c r="N26" s="60">
        <v>17</v>
      </c>
      <c r="O26" s="60"/>
      <c r="P26" s="60"/>
      <c r="Q26" s="53">
        <f t="shared" si="5"/>
        <v>8.75</v>
      </c>
      <c r="R26" s="53">
        <f t="shared" si="6"/>
        <v>0.25</v>
      </c>
      <c r="S26" s="53">
        <f t="shared" si="7"/>
        <v>8.75</v>
      </c>
      <c r="T26" s="99"/>
      <c r="V26" s="38"/>
    </row>
    <row r="27" spans="2:24">
      <c r="B27" s="55">
        <v>302</v>
      </c>
      <c r="C27" s="55" t="s">
        <v>4</v>
      </c>
      <c r="D27" s="55">
        <v>4</v>
      </c>
      <c r="E27" s="56">
        <f t="shared" si="0"/>
        <v>1</v>
      </c>
      <c r="F27" s="56">
        <f t="shared" si="1"/>
        <v>2</v>
      </c>
      <c r="G27" s="56">
        <f t="shared" si="2"/>
        <v>1</v>
      </c>
      <c r="H27" s="55">
        <v>3</v>
      </c>
      <c r="I27" s="55">
        <f t="shared" si="3"/>
        <v>2</v>
      </c>
      <c r="J27" s="55" t="str">
        <f t="shared" si="4"/>
        <v>121.3</v>
      </c>
      <c r="K27" s="54"/>
      <c r="L27" s="54">
        <v>13</v>
      </c>
      <c r="M27" s="54">
        <v>12</v>
      </c>
      <c r="N27" s="54">
        <v>18</v>
      </c>
      <c r="O27" s="54"/>
      <c r="P27" s="54"/>
      <c r="Q27" s="53">
        <f t="shared" si="5"/>
        <v>7.166666666666667</v>
      </c>
      <c r="R27" s="52">
        <f t="shared" si="6"/>
        <v>0.92796072713833622</v>
      </c>
      <c r="S27" s="53">
        <f t="shared" si="7"/>
        <v>7.166666666666667</v>
      </c>
      <c r="T27" s="98"/>
    </row>
    <row r="28" spans="2:24">
      <c r="B28" s="55">
        <v>303</v>
      </c>
      <c r="C28" s="55" t="s">
        <v>12</v>
      </c>
      <c r="D28" s="55">
        <v>8</v>
      </c>
      <c r="E28" s="56">
        <f t="shared" si="0"/>
        <v>2</v>
      </c>
      <c r="F28" s="56">
        <f t="shared" si="1"/>
        <v>1</v>
      </c>
      <c r="G28" s="56">
        <f t="shared" si="2"/>
        <v>1</v>
      </c>
      <c r="H28" s="55">
        <v>3</v>
      </c>
      <c r="I28" s="55">
        <f t="shared" si="3"/>
        <v>3</v>
      </c>
      <c r="J28" s="55" t="str">
        <f t="shared" si="4"/>
        <v>211.3</v>
      </c>
      <c r="K28" s="54"/>
      <c r="L28" s="54"/>
      <c r="M28" s="54">
        <v>11</v>
      </c>
      <c r="N28" s="54">
        <v>8</v>
      </c>
      <c r="O28" s="54"/>
      <c r="P28" s="54"/>
      <c r="Q28" s="53">
        <f t="shared" si="5"/>
        <v>4.75</v>
      </c>
      <c r="R28" s="52">
        <f t="shared" si="6"/>
        <v>0.74999999999999989</v>
      </c>
      <c r="S28" s="53">
        <f t="shared" si="7"/>
        <v>4.75</v>
      </c>
      <c r="T28" s="98"/>
    </row>
    <row r="29" spans="2:24">
      <c r="B29" s="55">
        <v>304</v>
      </c>
      <c r="C29" s="55" t="s">
        <v>13</v>
      </c>
      <c r="D29" s="55">
        <v>2</v>
      </c>
      <c r="E29" s="56">
        <f t="shared" si="0"/>
        <v>1</v>
      </c>
      <c r="F29" s="56">
        <f t="shared" si="1"/>
        <v>1</v>
      </c>
      <c r="G29" s="56">
        <f t="shared" si="2"/>
        <v>1</v>
      </c>
      <c r="H29" s="55">
        <v>3</v>
      </c>
      <c r="I29" s="55">
        <f t="shared" si="3"/>
        <v>4</v>
      </c>
      <c r="J29" s="55" t="str">
        <f t="shared" si="4"/>
        <v>111.3</v>
      </c>
      <c r="K29" s="54"/>
      <c r="L29" s="54"/>
      <c r="M29" s="54">
        <v>10</v>
      </c>
      <c r="N29" s="54">
        <v>16</v>
      </c>
      <c r="O29" s="54"/>
      <c r="P29" s="54"/>
      <c r="Q29" s="53">
        <f t="shared" si="5"/>
        <v>6.5</v>
      </c>
      <c r="R29" s="52">
        <f t="shared" si="6"/>
        <v>1.4999999999999998</v>
      </c>
      <c r="S29" s="53">
        <f t="shared" si="7"/>
        <v>6.5</v>
      </c>
      <c r="T29" s="98"/>
      <c r="X29" s="38"/>
    </row>
    <row r="30" spans="2:24">
      <c r="B30" s="69">
        <v>305</v>
      </c>
      <c r="C30" s="69" t="s">
        <v>11</v>
      </c>
      <c r="D30" s="69">
        <v>11</v>
      </c>
      <c r="E30" s="70">
        <f t="shared" si="0"/>
        <v>2</v>
      </c>
      <c r="F30" s="70">
        <f t="shared" si="1"/>
        <v>3</v>
      </c>
      <c r="G30" s="70">
        <f t="shared" si="2"/>
        <v>2</v>
      </c>
      <c r="H30" s="69">
        <v>4</v>
      </c>
      <c r="I30" s="69">
        <f t="shared" si="3"/>
        <v>5</v>
      </c>
      <c r="J30" s="69" t="str">
        <f t="shared" si="4"/>
        <v>232.4</v>
      </c>
      <c r="K30" s="68"/>
      <c r="L30" s="68"/>
      <c r="M30" s="68">
        <v>44</v>
      </c>
      <c r="N30" s="68">
        <v>32</v>
      </c>
      <c r="O30" s="68"/>
      <c r="P30" s="68"/>
      <c r="Q30" s="67">
        <f t="shared" si="5"/>
        <v>19</v>
      </c>
      <c r="R30" s="66">
        <f t="shared" si="6"/>
        <v>2.9999999999999996</v>
      </c>
      <c r="S30" s="67">
        <f t="shared" si="7"/>
        <v>9.5</v>
      </c>
      <c r="T30" s="100"/>
    </row>
    <row r="31" spans="2:24">
      <c r="B31" s="55">
        <v>306</v>
      </c>
      <c r="C31" s="55" t="s">
        <v>4</v>
      </c>
      <c r="D31" s="55">
        <v>4</v>
      </c>
      <c r="E31" s="56">
        <f t="shared" si="0"/>
        <v>1</v>
      </c>
      <c r="F31" s="56">
        <f t="shared" si="1"/>
        <v>2</v>
      </c>
      <c r="G31" s="56">
        <f t="shared" si="2"/>
        <v>1</v>
      </c>
      <c r="H31" s="55">
        <v>4</v>
      </c>
      <c r="I31" s="55">
        <f t="shared" si="3"/>
        <v>6</v>
      </c>
      <c r="J31" s="55" t="str">
        <f t="shared" si="4"/>
        <v>121.4</v>
      </c>
      <c r="K31" s="54"/>
      <c r="L31" s="54"/>
      <c r="M31" s="54">
        <v>21</v>
      </c>
      <c r="N31" s="54">
        <v>23</v>
      </c>
      <c r="O31" s="54"/>
      <c r="P31" s="54"/>
      <c r="Q31" s="53">
        <f t="shared" si="5"/>
        <v>11</v>
      </c>
      <c r="R31" s="52">
        <f t="shared" si="6"/>
        <v>0.5</v>
      </c>
      <c r="S31" s="53">
        <f t="shared" si="7"/>
        <v>11</v>
      </c>
      <c r="T31" s="98"/>
    </row>
    <row r="32" spans="2:24">
      <c r="B32" s="55">
        <v>307</v>
      </c>
      <c r="C32" s="55" t="s">
        <v>7</v>
      </c>
      <c r="D32" s="55">
        <v>9</v>
      </c>
      <c r="E32" s="56">
        <f t="shared" si="0"/>
        <v>2</v>
      </c>
      <c r="F32" s="56">
        <f t="shared" si="1"/>
        <v>2</v>
      </c>
      <c r="G32" s="56">
        <f t="shared" si="2"/>
        <v>2</v>
      </c>
      <c r="H32" s="55">
        <v>4</v>
      </c>
      <c r="I32" s="55">
        <f t="shared" si="3"/>
        <v>7</v>
      </c>
      <c r="J32" s="55" t="str">
        <f t="shared" si="4"/>
        <v>222.4</v>
      </c>
      <c r="K32" s="54"/>
      <c r="L32" s="54"/>
      <c r="M32" s="54">
        <v>19</v>
      </c>
      <c r="N32" s="54">
        <v>20</v>
      </c>
      <c r="O32" s="54"/>
      <c r="P32" s="54"/>
      <c r="Q32" s="53">
        <f t="shared" si="5"/>
        <v>9.75</v>
      </c>
      <c r="R32" s="52">
        <f t="shared" si="6"/>
        <v>0.25</v>
      </c>
      <c r="S32" s="53">
        <f t="shared" si="7"/>
        <v>9.75</v>
      </c>
      <c r="T32" s="98"/>
    </row>
    <row r="33" spans="2:23" ht="13.5" thickBot="1">
      <c r="B33" s="73">
        <v>308</v>
      </c>
      <c r="C33" s="73" t="s">
        <v>5</v>
      </c>
      <c r="D33" s="73">
        <v>5</v>
      </c>
      <c r="E33" s="74">
        <f t="shared" si="0"/>
        <v>1</v>
      </c>
      <c r="F33" s="74">
        <f t="shared" si="1"/>
        <v>3</v>
      </c>
      <c r="G33" s="74">
        <f t="shared" si="2"/>
        <v>2</v>
      </c>
      <c r="H33" s="73">
        <v>4</v>
      </c>
      <c r="I33" s="73">
        <f t="shared" si="3"/>
        <v>8</v>
      </c>
      <c r="J33" s="73" t="str">
        <f t="shared" si="4"/>
        <v>132.4</v>
      </c>
      <c r="K33" s="72"/>
      <c r="L33" s="72"/>
      <c r="M33" s="72">
        <v>29</v>
      </c>
      <c r="N33" s="72">
        <v>29</v>
      </c>
      <c r="O33" s="72"/>
      <c r="P33" s="72"/>
      <c r="Q33" s="72">
        <f t="shared" si="5"/>
        <v>14.5</v>
      </c>
      <c r="R33" s="71">
        <f t="shared" si="6"/>
        <v>0</v>
      </c>
      <c r="S33" s="72">
        <f t="shared" si="7"/>
        <v>7.25</v>
      </c>
      <c r="T33" s="101"/>
    </row>
    <row r="34" spans="2:23">
      <c r="B34" s="61">
        <v>401</v>
      </c>
      <c r="C34" s="61" t="s">
        <v>14</v>
      </c>
      <c r="D34" s="61">
        <v>7</v>
      </c>
      <c r="E34" s="62">
        <f t="shared" si="0"/>
        <v>2</v>
      </c>
      <c r="F34" s="62">
        <f t="shared" si="1"/>
        <v>1</v>
      </c>
      <c r="G34" s="62">
        <f t="shared" si="2"/>
        <v>2</v>
      </c>
      <c r="H34" s="61">
        <v>3</v>
      </c>
      <c r="I34" s="61">
        <f t="shared" si="3"/>
        <v>1</v>
      </c>
      <c r="J34" s="61" t="str">
        <f t="shared" si="4"/>
        <v>212.3</v>
      </c>
      <c r="K34" s="60"/>
      <c r="L34" s="60"/>
      <c r="M34" s="60">
        <v>5</v>
      </c>
      <c r="N34" s="60">
        <v>12</v>
      </c>
      <c r="O34" s="60"/>
      <c r="P34" s="60"/>
      <c r="Q34" s="53">
        <f t="shared" si="5"/>
        <v>4.25</v>
      </c>
      <c r="R34" s="53">
        <f t="shared" si="6"/>
        <v>1.7499999999999998</v>
      </c>
      <c r="S34" s="53">
        <f t="shared" si="7"/>
        <v>4.25</v>
      </c>
      <c r="T34" s="99"/>
    </row>
    <row r="35" spans="2:23">
      <c r="B35" s="55">
        <v>402</v>
      </c>
      <c r="C35" s="55" t="s">
        <v>7</v>
      </c>
      <c r="D35" s="55">
        <v>9</v>
      </c>
      <c r="E35" s="56">
        <f t="shared" si="0"/>
        <v>2</v>
      </c>
      <c r="F35" s="56">
        <f t="shared" si="1"/>
        <v>2</v>
      </c>
      <c r="G35" s="56">
        <f t="shared" si="2"/>
        <v>2</v>
      </c>
      <c r="H35" s="55">
        <v>3</v>
      </c>
      <c r="I35" s="55">
        <f t="shared" si="3"/>
        <v>2</v>
      </c>
      <c r="J35" s="55" t="str">
        <f t="shared" si="4"/>
        <v>222.3</v>
      </c>
      <c r="K35" s="54"/>
      <c r="L35" s="54">
        <v>15</v>
      </c>
      <c r="M35" s="54">
        <v>5</v>
      </c>
      <c r="N35" s="54">
        <v>19</v>
      </c>
      <c r="O35" s="54"/>
      <c r="P35" s="54"/>
      <c r="Q35" s="53">
        <f t="shared" si="5"/>
        <v>6.5</v>
      </c>
      <c r="R35" s="52">
        <f t="shared" si="6"/>
        <v>2.0816659994661326</v>
      </c>
      <c r="S35" s="53">
        <f t="shared" si="7"/>
        <v>6.5</v>
      </c>
      <c r="T35" s="98"/>
    </row>
    <row r="36" spans="2:23">
      <c r="B36" s="69">
        <v>403</v>
      </c>
      <c r="C36" s="69" t="s">
        <v>15</v>
      </c>
      <c r="D36" s="69">
        <v>6</v>
      </c>
      <c r="E36" s="70">
        <f t="shared" si="0"/>
        <v>1</v>
      </c>
      <c r="F36" s="70">
        <f t="shared" si="1"/>
        <v>3</v>
      </c>
      <c r="G36" s="70">
        <f t="shared" si="2"/>
        <v>1</v>
      </c>
      <c r="H36" s="69">
        <v>3</v>
      </c>
      <c r="I36" s="69">
        <f t="shared" si="3"/>
        <v>3</v>
      </c>
      <c r="J36" s="69" t="str">
        <f t="shared" si="4"/>
        <v>131.3</v>
      </c>
      <c r="K36" s="68"/>
      <c r="L36" s="68"/>
      <c r="M36" s="68">
        <v>31</v>
      </c>
      <c r="N36" s="68">
        <v>20</v>
      </c>
      <c r="O36" s="68"/>
      <c r="P36" s="68"/>
      <c r="Q36" s="67">
        <f t="shared" si="5"/>
        <v>12.75</v>
      </c>
      <c r="R36" s="66">
        <f t="shared" si="6"/>
        <v>2.7499999999999996</v>
      </c>
      <c r="S36" s="67">
        <f t="shared" si="7"/>
        <v>6.375</v>
      </c>
      <c r="T36" s="100"/>
    </row>
    <row r="37" spans="2:23">
      <c r="B37" s="55">
        <v>404</v>
      </c>
      <c r="C37" s="55" t="s">
        <v>8</v>
      </c>
      <c r="D37" s="55">
        <v>3</v>
      </c>
      <c r="E37" s="56">
        <f t="shared" si="0"/>
        <v>1</v>
      </c>
      <c r="F37" s="56">
        <f t="shared" si="1"/>
        <v>2</v>
      </c>
      <c r="G37" s="56">
        <f t="shared" si="2"/>
        <v>2</v>
      </c>
      <c r="H37" s="55">
        <v>3</v>
      </c>
      <c r="I37" s="55">
        <f t="shared" si="3"/>
        <v>4</v>
      </c>
      <c r="J37" s="55" t="str">
        <f t="shared" si="4"/>
        <v>122.3</v>
      </c>
      <c r="K37" s="54"/>
      <c r="L37" s="54"/>
      <c r="M37" s="54">
        <v>20</v>
      </c>
      <c r="N37" s="54">
        <v>20</v>
      </c>
      <c r="O37" s="54"/>
      <c r="P37" s="54"/>
      <c r="Q37" s="53">
        <f t="shared" si="5"/>
        <v>10</v>
      </c>
      <c r="R37" s="52">
        <f t="shared" si="6"/>
        <v>0</v>
      </c>
      <c r="S37" s="53">
        <f t="shared" si="7"/>
        <v>10</v>
      </c>
      <c r="T37" s="98"/>
    </row>
    <row r="38" spans="2:23">
      <c r="B38" s="69">
        <v>405</v>
      </c>
      <c r="C38" s="69" t="s">
        <v>15</v>
      </c>
      <c r="D38" s="69">
        <v>6</v>
      </c>
      <c r="E38" s="70">
        <f t="shared" si="0"/>
        <v>1</v>
      </c>
      <c r="F38" s="70">
        <f t="shared" si="1"/>
        <v>3</v>
      </c>
      <c r="G38" s="70">
        <f t="shared" si="2"/>
        <v>1</v>
      </c>
      <c r="H38" s="69">
        <v>4</v>
      </c>
      <c r="I38" s="69">
        <f t="shared" si="3"/>
        <v>5</v>
      </c>
      <c r="J38" s="69" t="str">
        <f t="shared" si="4"/>
        <v>131.4</v>
      </c>
      <c r="K38" s="68"/>
      <c r="L38" s="68"/>
      <c r="M38" s="68">
        <v>31</v>
      </c>
      <c r="N38" s="68">
        <v>27</v>
      </c>
      <c r="O38" s="68"/>
      <c r="P38" s="68"/>
      <c r="Q38" s="67">
        <f t="shared" si="5"/>
        <v>14.5</v>
      </c>
      <c r="R38" s="66">
        <f t="shared" si="6"/>
        <v>1</v>
      </c>
      <c r="S38" s="67">
        <f t="shared" si="7"/>
        <v>7.25</v>
      </c>
      <c r="T38" s="100"/>
    </row>
    <row r="39" spans="2:23">
      <c r="B39" s="55">
        <v>406</v>
      </c>
      <c r="C39" s="55" t="s">
        <v>8</v>
      </c>
      <c r="D39" s="55">
        <v>3</v>
      </c>
      <c r="E39" s="56">
        <f t="shared" si="0"/>
        <v>1</v>
      </c>
      <c r="F39" s="56">
        <f t="shared" si="1"/>
        <v>2</v>
      </c>
      <c r="G39" s="56">
        <f t="shared" si="2"/>
        <v>2</v>
      </c>
      <c r="H39" s="55">
        <v>4</v>
      </c>
      <c r="I39" s="55">
        <f t="shared" si="3"/>
        <v>6</v>
      </c>
      <c r="J39" s="55" t="str">
        <f t="shared" si="4"/>
        <v>122.4</v>
      </c>
      <c r="K39" s="54"/>
      <c r="L39" s="54"/>
      <c r="M39" s="54">
        <v>16</v>
      </c>
      <c r="N39" s="54">
        <v>21</v>
      </c>
      <c r="O39" s="54"/>
      <c r="P39" s="54"/>
      <c r="Q39" s="53">
        <f t="shared" si="5"/>
        <v>9.25</v>
      </c>
      <c r="R39" s="52">
        <f t="shared" si="6"/>
        <v>1.25</v>
      </c>
      <c r="S39" s="53">
        <f t="shared" si="7"/>
        <v>9.25</v>
      </c>
      <c r="T39" s="98"/>
    </row>
    <row r="40" spans="2:23">
      <c r="B40" s="55">
        <v>407</v>
      </c>
      <c r="C40" s="55" t="s">
        <v>14</v>
      </c>
      <c r="D40" s="55">
        <v>7</v>
      </c>
      <c r="E40" s="56">
        <f t="shared" si="0"/>
        <v>2</v>
      </c>
      <c r="F40" s="56">
        <f t="shared" si="1"/>
        <v>1</v>
      </c>
      <c r="G40" s="56">
        <f t="shared" si="2"/>
        <v>2</v>
      </c>
      <c r="H40" s="55">
        <v>4</v>
      </c>
      <c r="I40" s="55">
        <f t="shared" si="3"/>
        <v>7</v>
      </c>
      <c r="J40" s="55" t="str">
        <f t="shared" si="4"/>
        <v>212.4</v>
      </c>
      <c r="K40" s="54"/>
      <c r="L40" s="54"/>
      <c r="M40" s="54">
        <v>22</v>
      </c>
      <c r="N40" s="54">
        <v>15</v>
      </c>
      <c r="O40" s="54"/>
      <c r="P40" s="54"/>
      <c r="Q40" s="53">
        <f t="shared" si="5"/>
        <v>9.25</v>
      </c>
      <c r="R40" s="52">
        <f t="shared" si="6"/>
        <v>1.7499999999999998</v>
      </c>
      <c r="S40" s="53">
        <f t="shared" si="7"/>
        <v>9.25</v>
      </c>
      <c r="T40" s="98"/>
      <c r="V40" s="65" t="s">
        <v>307</v>
      </c>
      <c r="W40" s="63"/>
    </row>
    <row r="41" spans="2:23" ht="13.5" thickBot="1">
      <c r="B41" s="49">
        <v>408</v>
      </c>
      <c r="C41" s="49" t="s">
        <v>6</v>
      </c>
      <c r="D41" s="49">
        <v>10</v>
      </c>
      <c r="E41" s="50">
        <f t="shared" si="0"/>
        <v>2</v>
      </c>
      <c r="F41" s="50">
        <f t="shared" si="1"/>
        <v>2</v>
      </c>
      <c r="G41" s="50">
        <f t="shared" si="2"/>
        <v>1</v>
      </c>
      <c r="H41" s="49">
        <v>4</v>
      </c>
      <c r="I41" s="49">
        <f t="shared" si="3"/>
        <v>8</v>
      </c>
      <c r="J41" s="49" t="str">
        <f t="shared" si="4"/>
        <v>221.4</v>
      </c>
      <c r="K41" s="48"/>
      <c r="L41" s="48"/>
      <c r="M41" s="48">
        <v>19</v>
      </c>
      <c r="N41" s="48">
        <v>17</v>
      </c>
      <c r="O41" s="48"/>
      <c r="P41" s="48"/>
      <c r="Q41" s="48">
        <f t="shared" si="5"/>
        <v>9</v>
      </c>
      <c r="R41" s="47">
        <f t="shared" si="6"/>
        <v>0.5</v>
      </c>
      <c r="S41" s="48">
        <f t="shared" si="7"/>
        <v>9</v>
      </c>
      <c r="T41" s="97"/>
      <c r="V41" s="65" t="s">
        <v>305</v>
      </c>
      <c r="W41" s="63" t="s">
        <v>304</v>
      </c>
    </row>
    <row r="42" spans="2:23">
      <c r="B42" s="61">
        <v>901</v>
      </c>
      <c r="C42" s="61" t="s">
        <v>16</v>
      </c>
      <c r="D42" s="61">
        <v>32</v>
      </c>
      <c r="E42" s="62">
        <v>9</v>
      </c>
      <c r="F42" s="62">
        <v>0</v>
      </c>
      <c r="G42" s="62">
        <v>1</v>
      </c>
      <c r="H42" s="61">
        <v>1</v>
      </c>
      <c r="I42" s="61">
        <f t="shared" si="3"/>
        <v>1</v>
      </c>
      <c r="J42" s="61" t="str">
        <f t="shared" si="4"/>
        <v>901.1</v>
      </c>
      <c r="K42" s="60"/>
      <c r="L42" s="60"/>
      <c r="M42" s="60">
        <v>0</v>
      </c>
      <c r="N42" s="60">
        <v>0</v>
      </c>
      <c r="O42" s="60"/>
      <c r="P42" s="60"/>
      <c r="Q42" s="53">
        <f t="shared" si="5"/>
        <v>0</v>
      </c>
      <c r="R42" s="53">
        <f t="shared" si="6"/>
        <v>0</v>
      </c>
      <c r="S42" s="53">
        <f t="shared" si="7"/>
        <v>0</v>
      </c>
      <c r="T42" s="99"/>
      <c r="V42" s="59" t="s">
        <v>5</v>
      </c>
      <c r="W42" s="58" t="e">
        <v>#DIV/0!</v>
      </c>
    </row>
    <row r="43" spans="2:23">
      <c r="B43" s="55">
        <v>902</v>
      </c>
      <c r="C43" s="57" t="s">
        <v>302</v>
      </c>
      <c r="D43" s="55">
        <v>22</v>
      </c>
      <c r="E43" s="56">
        <v>4</v>
      </c>
      <c r="F43" s="56">
        <v>2</v>
      </c>
      <c r="G43" s="56">
        <v>2</v>
      </c>
      <c r="H43" s="55">
        <v>1</v>
      </c>
      <c r="I43" s="55">
        <f t="shared" si="3"/>
        <v>2</v>
      </c>
      <c r="J43" s="55" t="str">
        <f t="shared" si="4"/>
        <v>422.1</v>
      </c>
      <c r="K43" s="54"/>
      <c r="L43" s="54">
        <v>14</v>
      </c>
      <c r="M43" s="54">
        <v>17</v>
      </c>
      <c r="N43" s="54">
        <v>18</v>
      </c>
      <c r="O43" s="54"/>
      <c r="P43" s="54"/>
      <c r="Q43" s="53">
        <f t="shared" si="5"/>
        <v>8.1666666666666661</v>
      </c>
      <c r="R43" s="52">
        <f t="shared" si="6"/>
        <v>0.60092521257733023</v>
      </c>
      <c r="S43" s="53">
        <f t="shared" si="7"/>
        <v>8.1666666666666661</v>
      </c>
      <c r="T43" s="98"/>
      <c r="V43" s="44" t="s">
        <v>15</v>
      </c>
      <c r="W43" s="43" t="e">
        <v>#DIV/0!</v>
      </c>
    </row>
    <row r="44" spans="2:23">
      <c r="B44" s="55">
        <v>903</v>
      </c>
      <c r="C44" s="55" t="s">
        <v>17</v>
      </c>
      <c r="D44" s="55">
        <v>31</v>
      </c>
      <c r="E44" s="56">
        <v>8</v>
      </c>
      <c r="F44" s="56">
        <v>0</v>
      </c>
      <c r="G44" s="56">
        <v>1</v>
      </c>
      <c r="H44" s="55">
        <v>1</v>
      </c>
      <c r="I44" s="55">
        <f t="shared" si="3"/>
        <v>3</v>
      </c>
      <c r="J44" s="55" t="str">
        <f t="shared" si="4"/>
        <v>801.1</v>
      </c>
      <c r="K44" s="54"/>
      <c r="L44" s="54"/>
      <c r="M44" s="54">
        <v>0</v>
      </c>
      <c r="N44" s="54">
        <v>0</v>
      </c>
      <c r="O44" s="54"/>
      <c r="P44" s="54"/>
      <c r="Q44" s="53">
        <f t="shared" si="5"/>
        <v>0</v>
      </c>
      <c r="R44" s="52">
        <f t="shared" si="6"/>
        <v>0</v>
      </c>
      <c r="S44" s="53">
        <f t="shared" si="7"/>
        <v>0</v>
      </c>
      <c r="T44" s="98"/>
      <c r="V44" s="44" t="s">
        <v>3</v>
      </c>
      <c r="W44" s="43" t="e">
        <v>#DIV/0!</v>
      </c>
    </row>
    <row r="45" spans="2:23">
      <c r="B45" s="55">
        <v>904</v>
      </c>
      <c r="C45" s="57" t="s">
        <v>301</v>
      </c>
      <c r="D45" s="55">
        <v>21</v>
      </c>
      <c r="E45" s="56">
        <v>3</v>
      </c>
      <c r="F45" s="56">
        <v>2</v>
      </c>
      <c r="G45" s="56">
        <v>2</v>
      </c>
      <c r="H45" s="55">
        <v>1</v>
      </c>
      <c r="I45" s="55">
        <f t="shared" si="3"/>
        <v>4</v>
      </c>
      <c r="J45" s="55" t="str">
        <f t="shared" si="4"/>
        <v>322.1</v>
      </c>
      <c r="K45" s="54"/>
      <c r="L45" s="54"/>
      <c r="M45" s="54">
        <v>19</v>
      </c>
      <c r="N45" s="54">
        <v>18</v>
      </c>
      <c r="O45" s="54"/>
      <c r="P45" s="54"/>
      <c r="Q45" s="53">
        <f t="shared" si="5"/>
        <v>9.25</v>
      </c>
      <c r="R45" s="52">
        <f t="shared" si="6"/>
        <v>0.25</v>
      </c>
      <c r="S45" s="53">
        <f t="shared" si="7"/>
        <v>9.25</v>
      </c>
      <c r="T45" s="98"/>
      <c r="V45" s="44" t="s">
        <v>13</v>
      </c>
      <c r="W45" s="43" t="e">
        <v>#DIV/0!</v>
      </c>
    </row>
    <row r="46" spans="2:23">
      <c r="B46" s="55">
        <v>905</v>
      </c>
      <c r="C46" s="55" t="s">
        <v>16</v>
      </c>
      <c r="D46" s="55">
        <v>32</v>
      </c>
      <c r="E46" s="56">
        <v>9</v>
      </c>
      <c r="F46" s="56">
        <v>0</v>
      </c>
      <c r="G46" s="56">
        <v>1</v>
      </c>
      <c r="H46" s="55">
        <v>2</v>
      </c>
      <c r="I46" s="55">
        <f t="shared" si="3"/>
        <v>5</v>
      </c>
      <c r="J46" s="55" t="str">
        <f t="shared" si="4"/>
        <v>901.2</v>
      </c>
      <c r="K46" s="54"/>
      <c r="L46" s="54"/>
      <c r="M46" s="54">
        <v>0</v>
      </c>
      <c r="N46" s="54">
        <v>0</v>
      </c>
      <c r="O46" s="54"/>
      <c r="P46" s="54"/>
      <c r="Q46" s="53">
        <f t="shared" si="5"/>
        <v>0</v>
      </c>
      <c r="R46" s="52">
        <f t="shared" si="6"/>
        <v>0</v>
      </c>
      <c r="S46" s="53">
        <f t="shared" si="7"/>
        <v>0</v>
      </c>
      <c r="T46" s="98"/>
      <c r="V46" s="44" t="s">
        <v>8</v>
      </c>
      <c r="W46" s="43" t="e">
        <v>#DIV/0!</v>
      </c>
    </row>
    <row r="47" spans="2:23">
      <c r="B47" s="55">
        <v>906</v>
      </c>
      <c r="C47" s="57" t="s">
        <v>302</v>
      </c>
      <c r="D47" s="55">
        <v>22</v>
      </c>
      <c r="E47" s="56">
        <v>4</v>
      </c>
      <c r="F47" s="56">
        <v>2</v>
      </c>
      <c r="G47" s="56">
        <v>2</v>
      </c>
      <c r="H47" s="55">
        <v>2</v>
      </c>
      <c r="I47" s="55">
        <f t="shared" si="3"/>
        <v>6</v>
      </c>
      <c r="J47" s="55" t="str">
        <f t="shared" si="4"/>
        <v>422.2</v>
      </c>
      <c r="K47" s="54"/>
      <c r="L47" s="54"/>
      <c r="M47" s="54">
        <v>10</v>
      </c>
      <c r="N47" s="54">
        <v>17</v>
      </c>
      <c r="O47" s="54"/>
      <c r="P47" s="54"/>
      <c r="Q47" s="53">
        <f t="shared" si="5"/>
        <v>6.75</v>
      </c>
      <c r="R47" s="52">
        <f t="shared" si="6"/>
        <v>1.7499999999999998</v>
      </c>
      <c r="S47" s="53">
        <f t="shared" si="7"/>
        <v>6.75</v>
      </c>
      <c r="T47" s="98"/>
      <c r="V47" s="44" t="s">
        <v>4</v>
      </c>
      <c r="W47" s="43" t="e">
        <v>#DIV/0!</v>
      </c>
    </row>
    <row r="48" spans="2:23">
      <c r="B48" s="55">
        <v>907</v>
      </c>
      <c r="C48" s="55" t="s">
        <v>17</v>
      </c>
      <c r="D48" s="55">
        <v>31</v>
      </c>
      <c r="E48" s="56">
        <v>8</v>
      </c>
      <c r="F48" s="56">
        <v>0</v>
      </c>
      <c r="G48" s="56">
        <v>1</v>
      </c>
      <c r="H48" s="55">
        <v>2</v>
      </c>
      <c r="I48" s="55">
        <f t="shared" si="3"/>
        <v>7</v>
      </c>
      <c r="J48" s="55" t="str">
        <f t="shared" si="4"/>
        <v>801.2</v>
      </c>
      <c r="K48" s="54"/>
      <c r="L48" s="54"/>
      <c r="M48" s="54">
        <v>0</v>
      </c>
      <c r="N48" s="54">
        <v>0</v>
      </c>
      <c r="O48" s="54"/>
      <c r="P48" s="54"/>
      <c r="Q48" s="53">
        <f t="shared" si="5"/>
        <v>0</v>
      </c>
      <c r="R48" s="52">
        <f t="shared" si="6"/>
        <v>0</v>
      </c>
      <c r="S48" s="53">
        <f t="shared" si="7"/>
        <v>0</v>
      </c>
      <c r="T48" s="98"/>
      <c r="V48" s="44" t="s">
        <v>11</v>
      </c>
      <c r="W48" s="43" t="e">
        <v>#DIV/0!</v>
      </c>
    </row>
    <row r="49" spans="2:23" ht="13.5" thickBot="1">
      <c r="B49" s="49">
        <v>908</v>
      </c>
      <c r="C49" s="51" t="s">
        <v>301</v>
      </c>
      <c r="D49" s="49">
        <v>21</v>
      </c>
      <c r="E49" s="50">
        <v>3</v>
      </c>
      <c r="F49" s="50">
        <v>2</v>
      </c>
      <c r="G49" s="50">
        <v>2</v>
      </c>
      <c r="H49" s="49">
        <v>2</v>
      </c>
      <c r="I49" s="49">
        <f t="shared" si="3"/>
        <v>8</v>
      </c>
      <c r="J49" s="49" t="str">
        <f t="shared" si="4"/>
        <v>322.2</v>
      </c>
      <c r="K49" s="48"/>
      <c r="L49" s="48"/>
      <c r="M49" s="48">
        <v>15</v>
      </c>
      <c r="N49" s="48">
        <v>19</v>
      </c>
      <c r="O49" s="48"/>
      <c r="P49" s="48"/>
      <c r="Q49" s="48">
        <f t="shared" si="5"/>
        <v>8.5</v>
      </c>
      <c r="R49" s="47">
        <f t="shared" si="6"/>
        <v>1</v>
      </c>
      <c r="S49" s="48">
        <f t="shared" si="7"/>
        <v>8.5</v>
      </c>
      <c r="T49" s="97"/>
      <c r="V49" s="44" t="s">
        <v>10</v>
      </c>
      <c r="W49" s="43" t="e">
        <v>#DIV/0!</v>
      </c>
    </row>
    <row r="50" spans="2:23">
      <c r="V50" s="44" t="s">
        <v>14</v>
      </c>
      <c r="W50" s="43" t="e">
        <v>#DIV/0!</v>
      </c>
    </row>
    <row r="51" spans="2:23">
      <c r="V51" s="44" t="s">
        <v>12</v>
      </c>
      <c r="W51" s="43" t="e">
        <v>#DIV/0!</v>
      </c>
    </row>
    <row r="52" spans="2:23">
      <c r="V52" s="44" t="s">
        <v>7</v>
      </c>
      <c r="W52" s="43" t="e">
        <v>#DIV/0!</v>
      </c>
    </row>
    <row r="53" spans="2:23">
      <c r="V53" s="42" t="s">
        <v>6</v>
      </c>
      <c r="W53" s="41" t="e">
        <v>#DIV/0!</v>
      </c>
    </row>
  </sheetData>
  <mergeCells count="2">
    <mergeCell ref="Q3:R3"/>
    <mergeCell ref="Q4:R4"/>
  </mergeCells>
  <pageMargins left="0.75" right="0.75" top="1" bottom="1" header="0.5" footer="0.5"/>
  <pageSetup orientation="portrait" r:id="rId3"/>
  <headerFooter alignWithMargins="0"/>
  <drawing r:id="rId4"/>
  <legacyDrawing r:id="rId5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6B9BD-04B3-4360-AB75-7A5AB98F6DD1}">
  <dimension ref="A1:X53"/>
  <sheetViews>
    <sheetView workbookViewId="0">
      <selection activeCell="N10" sqref="N10:N49"/>
    </sheetView>
  </sheetViews>
  <sheetFormatPr defaultRowHeight="12.75"/>
  <cols>
    <col min="1" max="18" width="9.140625" style="37"/>
    <col min="19" max="19" width="12.42578125" style="37" customWidth="1"/>
    <col min="20" max="20" width="45.7109375" style="37" customWidth="1"/>
    <col min="21" max="21" width="9.140625" style="37"/>
    <col min="22" max="22" width="23.5703125" style="37" customWidth="1"/>
    <col min="23" max="23" width="5.5703125" style="37" customWidth="1"/>
    <col min="24" max="24" width="5.42578125" style="37" customWidth="1"/>
    <col min="25" max="26" width="4.5703125" style="37" customWidth="1"/>
    <col min="27" max="27" width="10.5703125" style="37" bestFit="1" customWidth="1"/>
    <col min="28" max="16384" width="9.140625" style="37"/>
  </cols>
  <sheetData>
    <row r="1" spans="1:23" ht="22.5" customHeight="1">
      <c r="A1" s="93" t="s">
        <v>340</v>
      </c>
    </row>
    <row r="2" spans="1:23">
      <c r="Q2" s="92" t="s">
        <v>359</v>
      </c>
    </row>
    <row r="3" spans="1:23" ht="13.5" thickBot="1">
      <c r="A3" s="92"/>
      <c r="B3" s="104" t="s">
        <v>339</v>
      </c>
      <c r="C3" s="96">
        <v>134</v>
      </c>
      <c r="E3" s="104" t="s">
        <v>338</v>
      </c>
      <c r="F3" s="105">
        <v>0.34027777777777773</v>
      </c>
      <c r="H3" s="104" t="s">
        <v>358</v>
      </c>
      <c r="I3" s="108">
        <v>37390</v>
      </c>
      <c r="J3" s="96"/>
      <c r="Q3" s="117" t="s">
        <v>357</v>
      </c>
      <c r="R3" s="118"/>
      <c r="S3" s="91">
        <f>AVERAGE(Q10:Q11,Q13,Q15:Q17,Q19:Q20,Q22:Q29,Q31:Q32,Q34:Q35,Q37,Q39:Q41)</f>
        <v>9.5520833333333321</v>
      </c>
    </row>
    <row r="4" spans="1:23" ht="18.75" customHeight="1" thickBot="1">
      <c r="E4" s="104" t="s">
        <v>337</v>
      </c>
      <c r="F4" s="105">
        <v>0.37638888888888888</v>
      </c>
      <c r="H4" s="104" t="s">
        <v>350</v>
      </c>
      <c r="I4" s="96"/>
      <c r="J4" s="96" t="s">
        <v>367</v>
      </c>
      <c r="Q4" s="117" t="s">
        <v>356</v>
      </c>
      <c r="R4" s="118"/>
      <c r="S4" s="91">
        <f>AVERAGE(Q12,Q14,Q18,Q21,Q30,Q36,Q38,Q33)</f>
        <v>17.34375</v>
      </c>
    </row>
    <row r="6" spans="1:23" ht="13.5" thickBot="1">
      <c r="B6" s="104" t="s">
        <v>336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</row>
    <row r="7" spans="1:23" ht="13.5" thickBot="1"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</row>
    <row r="8" spans="1:23" ht="13.5" thickBot="1"/>
    <row r="9" spans="1:23" ht="39" thickBot="1">
      <c r="B9" s="88" t="s">
        <v>0</v>
      </c>
      <c r="C9" s="89" t="s">
        <v>305</v>
      </c>
      <c r="D9" s="89" t="s">
        <v>333</v>
      </c>
      <c r="E9" s="88" t="s">
        <v>332</v>
      </c>
      <c r="F9" s="89" t="s">
        <v>331</v>
      </c>
      <c r="G9" s="88" t="s">
        <v>330</v>
      </c>
      <c r="H9" s="88" t="s">
        <v>329</v>
      </c>
      <c r="I9" s="88" t="s">
        <v>315</v>
      </c>
      <c r="J9" s="88" t="s">
        <v>328</v>
      </c>
      <c r="K9" s="86" t="s">
        <v>327</v>
      </c>
      <c r="L9" s="86" t="s">
        <v>326</v>
      </c>
      <c r="M9" s="86" t="s">
        <v>325</v>
      </c>
      <c r="N9" s="86" t="s">
        <v>324</v>
      </c>
      <c r="O9" s="86" t="s">
        <v>323</v>
      </c>
      <c r="P9" s="86" t="s">
        <v>322</v>
      </c>
      <c r="Q9" s="87" t="s">
        <v>321</v>
      </c>
      <c r="R9" s="86" t="s">
        <v>320</v>
      </c>
      <c r="S9" s="87" t="s">
        <v>319</v>
      </c>
      <c r="T9" s="103" t="s">
        <v>318</v>
      </c>
    </row>
    <row r="10" spans="1:23">
      <c r="B10" s="61">
        <v>101</v>
      </c>
      <c r="C10" s="62" t="s">
        <v>3</v>
      </c>
      <c r="D10" s="62">
        <v>1</v>
      </c>
      <c r="E10" s="62">
        <f t="shared" ref="E10:E41" si="0">IF(LEFT($C10,1)="F",1,2)</f>
        <v>1</v>
      </c>
      <c r="F10" s="62">
        <f t="shared" ref="F10:F41" si="1">IF(MID($C10,2,1)="S",1,IF(MID($C10,2,1)="T",2,IF(MID($C10,2,1)="D",3,0)))</f>
        <v>1</v>
      </c>
      <c r="G10" s="62">
        <f t="shared" ref="G10:G41" si="2">IF(RIGHT($C10,1)="L",1,2)</f>
        <v>2</v>
      </c>
      <c r="H10" s="61">
        <v>1</v>
      </c>
      <c r="I10" s="61">
        <f t="shared" ref="I10:I49" si="3">B10-INT(B10/100)*100</f>
        <v>1</v>
      </c>
      <c r="J10" s="61" t="str">
        <f t="shared" ref="J10:J49" si="4">(E10&amp;F10&amp;G10&amp;"."&amp;H10)</f>
        <v>112.1</v>
      </c>
      <c r="K10" s="83"/>
      <c r="L10" s="60"/>
      <c r="M10" s="60">
        <v>17</v>
      </c>
      <c r="N10" s="60">
        <v>13</v>
      </c>
      <c r="O10" s="60"/>
      <c r="P10" s="60"/>
      <c r="Q10" s="53">
        <f t="shared" ref="Q10:Q49" si="5">AVERAGE(K10:P10)/2</f>
        <v>7.5</v>
      </c>
      <c r="R10" s="53">
        <f t="shared" ref="R10:R49" si="6">STDEV(K10:P10)/2/SQRT(COUNT(K10:P10))</f>
        <v>1</v>
      </c>
      <c r="S10" s="53">
        <f t="shared" ref="S10:S49" si="7">IF(F10=3,Q10/2,Q10)</f>
        <v>7.5</v>
      </c>
      <c r="T10" s="99"/>
      <c r="V10" s="65" t="s">
        <v>316</v>
      </c>
      <c r="W10" s="63"/>
    </row>
    <row r="11" spans="1:23">
      <c r="B11" s="55">
        <v>102</v>
      </c>
      <c r="C11" s="55" t="s">
        <v>4</v>
      </c>
      <c r="D11" s="55">
        <v>4</v>
      </c>
      <c r="E11" s="56">
        <f t="shared" si="0"/>
        <v>1</v>
      </c>
      <c r="F11" s="56">
        <f t="shared" si="1"/>
        <v>2</v>
      </c>
      <c r="G11" s="56">
        <f t="shared" si="2"/>
        <v>1</v>
      </c>
      <c r="H11" s="55">
        <v>1</v>
      </c>
      <c r="I11" s="55">
        <f t="shared" si="3"/>
        <v>2</v>
      </c>
      <c r="J11" s="55" t="str">
        <f t="shared" si="4"/>
        <v>121.1</v>
      </c>
      <c r="K11" s="54"/>
      <c r="L11" s="54">
        <v>24</v>
      </c>
      <c r="M11" s="54">
        <v>9</v>
      </c>
      <c r="N11" s="54">
        <v>15</v>
      </c>
      <c r="O11" s="54"/>
      <c r="P11" s="54"/>
      <c r="Q11" s="53">
        <f t="shared" si="5"/>
        <v>8</v>
      </c>
      <c r="R11" s="52">
        <f t="shared" si="6"/>
        <v>2.179449471770337</v>
      </c>
      <c r="S11" s="53">
        <f t="shared" si="7"/>
        <v>8</v>
      </c>
      <c r="T11" s="98"/>
      <c r="V11" s="65" t="s">
        <v>315</v>
      </c>
      <c r="W11" s="63" t="s">
        <v>304</v>
      </c>
    </row>
    <row r="12" spans="1:23">
      <c r="B12" s="69">
        <v>103</v>
      </c>
      <c r="C12" s="69" t="s">
        <v>5</v>
      </c>
      <c r="D12" s="69">
        <v>5</v>
      </c>
      <c r="E12" s="70">
        <f t="shared" si="0"/>
        <v>1</v>
      </c>
      <c r="F12" s="70">
        <f t="shared" si="1"/>
        <v>3</v>
      </c>
      <c r="G12" s="70">
        <f t="shared" si="2"/>
        <v>2</v>
      </c>
      <c r="H12" s="69">
        <v>1</v>
      </c>
      <c r="I12" s="69">
        <f t="shared" si="3"/>
        <v>3</v>
      </c>
      <c r="J12" s="69" t="str">
        <f t="shared" si="4"/>
        <v>132.1</v>
      </c>
      <c r="K12" s="68"/>
      <c r="L12" s="68"/>
      <c r="M12" s="68">
        <v>26</v>
      </c>
      <c r="N12" s="68">
        <v>31</v>
      </c>
      <c r="O12" s="68"/>
      <c r="P12" s="68"/>
      <c r="Q12" s="67">
        <f t="shared" si="5"/>
        <v>14.25</v>
      </c>
      <c r="R12" s="66">
        <f t="shared" si="6"/>
        <v>1.25</v>
      </c>
      <c r="S12" s="67">
        <f t="shared" si="7"/>
        <v>7.125</v>
      </c>
      <c r="T12" s="100"/>
      <c r="V12" s="59">
        <v>1</v>
      </c>
      <c r="W12" s="58">
        <v>7.78125</v>
      </c>
    </row>
    <row r="13" spans="1:23">
      <c r="B13" s="55">
        <v>104</v>
      </c>
      <c r="C13" s="55" t="s">
        <v>6</v>
      </c>
      <c r="D13" s="55">
        <v>10</v>
      </c>
      <c r="E13" s="56">
        <f t="shared" si="0"/>
        <v>2</v>
      </c>
      <c r="F13" s="56">
        <f t="shared" si="1"/>
        <v>2</v>
      </c>
      <c r="G13" s="56">
        <f t="shared" si="2"/>
        <v>1</v>
      </c>
      <c r="H13" s="55">
        <v>1</v>
      </c>
      <c r="I13" s="55">
        <f t="shared" si="3"/>
        <v>4</v>
      </c>
      <c r="J13" s="55" t="str">
        <f t="shared" si="4"/>
        <v>221.1</v>
      </c>
      <c r="K13" s="54"/>
      <c r="L13" s="54"/>
      <c r="M13" s="54">
        <v>21</v>
      </c>
      <c r="N13" s="54">
        <v>24</v>
      </c>
      <c r="O13" s="54"/>
      <c r="P13" s="54"/>
      <c r="Q13" s="53">
        <f t="shared" si="5"/>
        <v>11.25</v>
      </c>
      <c r="R13" s="52">
        <f t="shared" si="6"/>
        <v>0.74999999999999989</v>
      </c>
      <c r="S13" s="53">
        <f t="shared" si="7"/>
        <v>11.25</v>
      </c>
      <c r="T13" s="98"/>
      <c r="V13" s="44">
        <v>2</v>
      </c>
      <c r="W13" s="43">
        <v>8</v>
      </c>
    </row>
    <row r="14" spans="1:23">
      <c r="B14" s="69">
        <v>105</v>
      </c>
      <c r="C14" s="69" t="s">
        <v>10</v>
      </c>
      <c r="D14" s="69">
        <v>12</v>
      </c>
      <c r="E14" s="70">
        <f t="shared" si="0"/>
        <v>2</v>
      </c>
      <c r="F14" s="70">
        <f t="shared" si="1"/>
        <v>3</v>
      </c>
      <c r="G14" s="70">
        <f t="shared" si="2"/>
        <v>1</v>
      </c>
      <c r="H14" s="69">
        <v>2</v>
      </c>
      <c r="I14" s="69">
        <f t="shared" si="3"/>
        <v>5</v>
      </c>
      <c r="J14" s="69" t="str">
        <f t="shared" si="4"/>
        <v>231.2</v>
      </c>
      <c r="K14" s="68"/>
      <c r="L14" s="68"/>
      <c r="M14" s="68">
        <v>29</v>
      </c>
      <c r="N14" s="68">
        <v>30</v>
      </c>
      <c r="O14" s="68"/>
      <c r="P14" s="68"/>
      <c r="Q14" s="67">
        <f t="shared" si="5"/>
        <v>14.75</v>
      </c>
      <c r="R14" s="66">
        <f t="shared" si="6"/>
        <v>0.25</v>
      </c>
      <c r="S14" s="67">
        <f t="shared" si="7"/>
        <v>7.375</v>
      </c>
      <c r="T14" s="100"/>
      <c r="V14" s="44">
        <v>3</v>
      </c>
      <c r="W14" s="43">
        <v>7.71875</v>
      </c>
    </row>
    <row r="15" spans="1:23">
      <c r="B15" s="55">
        <v>106</v>
      </c>
      <c r="C15" s="55" t="s">
        <v>7</v>
      </c>
      <c r="D15" s="55">
        <v>9</v>
      </c>
      <c r="E15" s="56">
        <f t="shared" si="0"/>
        <v>2</v>
      </c>
      <c r="F15" s="56">
        <f t="shared" si="1"/>
        <v>2</v>
      </c>
      <c r="G15" s="56">
        <f t="shared" si="2"/>
        <v>2</v>
      </c>
      <c r="H15" s="55">
        <v>2</v>
      </c>
      <c r="I15" s="55">
        <f t="shared" si="3"/>
        <v>6</v>
      </c>
      <c r="J15" s="55" t="str">
        <f t="shared" si="4"/>
        <v>222.2</v>
      </c>
      <c r="K15" s="54"/>
      <c r="L15" s="54"/>
      <c r="M15" s="54">
        <v>14</v>
      </c>
      <c r="N15" s="54">
        <v>21</v>
      </c>
      <c r="O15" s="54"/>
      <c r="P15" s="54"/>
      <c r="Q15" s="53">
        <f t="shared" si="5"/>
        <v>8.75</v>
      </c>
      <c r="R15" s="52">
        <f t="shared" si="6"/>
        <v>1.7499999999999998</v>
      </c>
      <c r="S15" s="53">
        <f t="shared" si="7"/>
        <v>8.75</v>
      </c>
      <c r="T15" s="98"/>
      <c r="V15" s="44">
        <v>4</v>
      </c>
      <c r="W15" s="43">
        <v>9.96875</v>
      </c>
    </row>
    <row r="16" spans="1:23">
      <c r="B16" s="55">
        <v>107</v>
      </c>
      <c r="C16" s="55" t="s">
        <v>6</v>
      </c>
      <c r="D16" s="55">
        <v>10</v>
      </c>
      <c r="E16" s="56">
        <f t="shared" si="0"/>
        <v>2</v>
      </c>
      <c r="F16" s="56">
        <f t="shared" si="1"/>
        <v>2</v>
      </c>
      <c r="G16" s="56">
        <f t="shared" si="2"/>
        <v>1</v>
      </c>
      <c r="H16" s="55">
        <v>2</v>
      </c>
      <c r="I16" s="55">
        <f t="shared" si="3"/>
        <v>7</v>
      </c>
      <c r="J16" s="55" t="str">
        <f t="shared" si="4"/>
        <v>221.2</v>
      </c>
      <c r="K16" s="54"/>
      <c r="L16" s="54"/>
      <c r="M16" s="54">
        <v>22</v>
      </c>
      <c r="N16" s="54">
        <v>21</v>
      </c>
      <c r="O16" s="54"/>
      <c r="P16" s="54"/>
      <c r="Q16" s="53">
        <f t="shared" si="5"/>
        <v>10.75</v>
      </c>
      <c r="R16" s="52">
        <f t="shared" si="6"/>
        <v>0.25</v>
      </c>
      <c r="S16" s="53">
        <f t="shared" si="7"/>
        <v>10.75</v>
      </c>
      <c r="T16" s="98"/>
      <c r="V16" s="44">
        <v>5</v>
      </c>
      <c r="W16" s="43">
        <v>9.4375</v>
      </c>
    </row>
    <row r="17" spans="2:24" ht="13.5" thickBot="1">
      <c r="B17" s="49">
        <v>108</v>
      </c>
      <c r="C17" s="49" t="s">
        <v>8</v>
      </c>
      <c r="D17" s="49">
        <v>3</v>
      </c>
      <c r="E17" s="50">
        <f t="shared" si="0"/>
        <v>1</v>
      </c>
      <c r="F17" s="50">
        <f t="shared" si="1"/>
        <v>2</v>
      </c>
      <c r="G17" s="50">
        <f t="shared" si="2"/>
        <v>2</v>
      </c>
      <c r="H17" s="49">
        <v>2</v>
      </c>
      <c r="I17" s="49">
        <f t="shared" si="3"/>
        <v>8</v>
      </c>
      <c r="J17" s="49" t="str">
        <f t="shared" si="4"/>
        <v>122.2</v>
      </c>
      <c r="K17" s="48"/>
      <c r="L17" s="48"/>
      <c r="M17" s="48">
        <v>25</v>
      </c>
      <c r="N17" s="48">
        <v>22</v>
      </c>
      <c r="O17" s="48"/>
      <c r="P17" s="48"/>
      <c r="Q17" s="48">
        <f t="shared" si="5"/>
        <v>11.75</v>
      </c>
      <c r="R17" s="47">
        <f t="shared" si="6"/>
        <v>0.74999999999999989</v>
      </c>
      <c r="S17" s="48">
        <f t="shared" si="7"/>
        <v>11.75</v>
      </c>
      <c r="T17" s="97"/>
      <c r="V17" s="44">
        <v>6</v>
      </c>
      <c r="W17" s="43">
        <v>10.1875</v>
      </c>
    </row>
    <row r="18" spans="2:24">
      <c r="B18" s="80">
        <v>201</v>
      </c>
      <c r="C18" s="80" t="s">
        <v>10</v>
      </c>
      <c r="D18" s="80">
        <v>12</v>
      </c>
      <c r="E18" s="81">
        <f t="shared" si="0"/>
        <v>2</v>
      </c>
      <c r="F18" s="81">
        <f t="shared" si="1"/>
        <v>3</v>
      </c>
      <c r="G18" s="81">
        <f t="shared" si="2"/>
        <v>1</v>
      </c>
      <c r="H18" s="80">
        <v>1</v>
      </c>
      <c r="I18" s="80">
        <f t="shared" si="3"/>
        <v>1</v>
      </c>
      <c r="J18" s="80" t="str">
        <f t="shared" si="4"/>
        <v>231.1</v>
      </c>
      <c r="K18" s="79"/>
      <c r="L18" s="79"/>
      <c r="M18" s="79">
        <v>39</v>
      </c>
      <c r="N18" s="79">
        <v>28</v>
      </c>
      <c r="O18" s="79"/>
      <c r="P18" s="79"/>
      <c r="Q18" s="67">
        <f t="shared" si="5"/>
        <v>16.75</v>
      </c>
      <c r="R18" s="67">
        <f t="shared" si="6"/>
        <v>2.7499999999999996</v>
      </c>
      <c r="S18" s="67">
        <f t="shared" si="7"/>
        <v>8.375</v>
      </c>
      <c r="T18" s="102"/>
      <c r="V18" s="44">
        <v>7</v>
      </c>
      <c r="W18" s="43">
        <v>10.5</v>
      </c>
    </row>
    <row r="19" spans="2:24">
      <c r="B19" s="55">
        <v>202</v>
      </c>
      <c r="C19" s="55" t="s">
        <v>7</v>
      </c>
      <c r="D19" s="55">
        <v>9</v>
      </c>
      <c r="E19" s="56">
        <f t="shared" si="0"/>
        <v>2</v>
      </c>
      <c r="F19" s="56">
        <f t="shared" si="1"/>
        <v>2</v>
      </c>
      <c r="G19" s="56">
        <f t="shared" si="2"/>
        <v>2</v>
      </c>
      <c r="H19" s="55">
        <v>1</v>
      </c>
      <c r="I19" s="55">
        <f t="shared" si="3"/>
        <v>2</v>
      </c>
      <c r="J19" s="55" t="str">
        <f t="shared" si="4"/>
        <v>222.1</v>
      </c>
      <c r="K19" s="78"/>
      <c r="L19" s="77">
        <v>16</v>
      </c>
      <c r="M19" s="77">
        <v>13</v>
      </c>
      <c r="N19" s="77">
        <v>15</v>
      </c>
      <c r="O19" s="54"/>
      <c r="P19" s="54"/>
      <c r="Q19" s="53">
        <f t="shared" si="5"/>
        <v>7.333333333333333</v>
      </c>
      <c r="R19" s="52">
        <f t="shared" si="6"/>
        <v>0.44095855184409849</v>
      </c>
      <c r="S19" s="53">
        <f t="shared" si="7"/>
        <v>7.333333333333333</v>
      </c>
      <c r="T19" s="98"/>
      <c r="V19" s="44">
        <v>8</v>
      </c>
      <c r="W19" s="43">
        <v>11.0625</v>
      </c>
    </row>
    <row r="20" spans="2:24">
      <c r="B20" s="55">
        <v>203</v>
      </c>
      <c r="C20" s="55" t="s">
        <v>8</v>
      </c>
      <c r="D20" s="55">
        <v>3</v>
      </c>
      <c r="E20" s="56">
        <f t="shared" si="0"/>
        <v>1</v>
      </c>
      <c r="F20" s="56">
        <f t="shared" si="1"/>
        <v>2</v>
      </c>
      <c r="G20" s="56">
        <f t="shared" si="2"/>
        <v>2</v>
      </c>
      <c r="H20" s="55">
        <v>1</v>
      </c>
      <c r="I20" s="55">
        <f t="shared" si="3"/>
        <v>3</v>
      </c>
      <c r="J20" s="55" t="str">
        <f t="shared" si="4"/>
        <v>122.1</v>
      </c>
      <c r="K20" s="54"/>
      <c r="L20" s="54"/>
      <c r="M20" s="54">
        <v>25</v>
      </c>
      <c r="N20" s="54">
        <v>21</v>
      </c>
      <c r="O20" s="54"/>
      <c r="P20" s="54"/>
      <c r="Q20" s="53">
        <f t="shared" si="5"/>
        <v>11.5</v>
      </c>
      <c r="R20" s="52">
        <f t="shared" si="6"/>
        <v>1</v>
      </c>
      <c r="S20" s="53">
        <f t="shared" si="7"/>
        <v>11.5</v>
      </c>
      <c r="T20" s="98"/>
      <c r="V20" s="76" t="s">
        <v>312</v>
      </c>
      <c r="W20" s="75">
        <v>9.33203125</v>
      </c>
    </row>
    <row r="21" spans="2:24">
      <c r="B21" s="69">
        <v>204</v>
      </c>
      <c r="C21" s="69" t="s">
        <v>11</v>
      </c>
      <c r="D21" s="69">
        <v>11</v>
      </c>
      <c r="E21" s="70">
        <f t="shared" si="0"/>
        <v>2</v>
      </c>
      <c r="F21" s="70">
        <f t="shared" si="1"/>
        <v>3</v>
      </c>
      <c r="G21" s="70">
        <f t="shared" si="2"/>
        <v>2</v>
      </c>
      <c r="H21" s="69">
        <v>1</v>
      </c>
      <c r="I21" s="69">
        <f t="shared" si="3"/>
        <v>4</v>
      </c>
      <c r="J21" s="69" t="str">
        <f t="shared" si="4"/>
        <v>232.1</v>
      </c>
      <c r="K21" s="68"/>
      <c r="L21" s="68"/>
      <c r="M21" s="68">
        <v>42</v>
      </c>
      <c r="N21" s="68">
        <v>35</v>
      </c>
      <c r="O21" s="68"/>
      <c r="P21" s="68"/>
      <c r="Q21" s="67">
        <f t="shared" si="5"/>
        <v>19.25</v>
      </c>
      <c r="R21" s="66">
        <f t="shared" si="6"/>
        <v>1.7499999999999998</v>
      </c>
      <c r="S21" s="67">
        <f t="shared" si="7"/>
        <v>9.625</v>
      </c>
      <c r="T21" s="100"/>
    </row>
    <row r="22" spans="2:24">
      <c r="B22" s="55">
        <v>205</v>
      </c>
      <c r="C22" s="55" t="s">
        <v>3</v>
      </c>
      <c r="D22" s="55">
        <v>1</v>
      </c>
      <c r="E22" s="56">
        <f t="shared" si="0"/>
        <v>1</v>
      </c>
      <c r="F22" s="56">
        <f t="shared" si="1"/>
        <v>1</v>
      </c>
      <c r="G22" s="56">
        <f t="shared" si="2"/>
        <v>2</v>
      </c>
      <c r="H22" s="55">
        <v>2</v>
      </c>
      <c r="I22" s="55">
        <f t="shared" si="3"/>
        <v>5</v>
      </c>
      <c r="J22" s="55" t="str">
        <f t="shared" si="4"/>
        <v>112.2</v>
      </c>
      <c r="K22" s="54"/>
      <c r="L22" s="54"/>
      <c r="M22" s="54">
        <v>18</v>
      </c>
      <c r="N22" s="54">
        <v>25</v>
      </c>
      <c r="O22" s="54"/>
      <c r="P22" s="54"/>
      <c r="Q22" s="53">
        <f t="shared" si="5"/>
        <v>10.75</v>
      </c>
      <c r="R22" s="52">
        <f t="shared" si="6"/>
        <v>1.7499999999999998</v>
      </c>
      <c r="S22" s="53">
        <f t="shared" si="7"/>
        <v>10.75</v>
      </c>
      <c r="T22" s="98"/>
    </row>
    <row r="23" spans="2:24">
      <c r="B23" s="55">
        <v>206</v>
      </c>
      <c r="C23" s="55" t="s">
        <v>12</v>
      </c>
      <c r="D23" s="55">
        <v>8</v>
      </c>
      <c r="E23" s="56">
        <f t="shared" si="0"/>
        <v>2</v>
      </c>
      <c r="F23" s="56">
        <f t="shared" si="1"/>
        <v>1</v>
      </c>
      <c r="G23" s="56">
        <f t="shared" si="2"/>
        <v>1</v>
      </c>
      <c r="H23" s="55">
        <v>2</v>
      </c>
      <c r="I23" s="55">
        <f t="shared" si="3"/>
        <v>6</v>
      </c>
      <c r="J23" s="55" t="str">
        <f t="shared" si="4"/>
        <v>211.2</v>
      </c>
      <c r="K23" s="54"/>
      <c r="L23" s="54"/>
      <c r="M23" s="54">
        <v>22</v>
      </c>
      <c r="N23" s="54">
        <v>18</v>
      </c>
      <c r="O23" s="54"/>
      <c r="P23" s="54"/>
      <c r="Q23" s="53">
        <f t="shared" si="5"/>
        <v>10</v>
      </c>
      <c r="R23" s="52">
        <f t="shared" si="6"/>
        <v>1</v>
      </c>
      <c r="S23" s="53">
        <f t="shared" si="7"/>
        <v>10</v>
      </c>
      <c r="T23" s="98"/>
    </row>
    <row r="24" spans="2:24">
      <c r="B24" s="55">
        <v>207</v>
      </c>
      <c r="C24" s="55" t="s">
        <v>4</v>
      </c>
      <c r="D24" s="55">
        <v>4</v>
      </c>
      <c r="E24" s="56">
        <f t="shared" si="0"/>
        <v>1</v>
      </c>
      <c r="F24" s="56">
        <f t="shared" si="1"/>
        <v>2</v>
      </c>
      <c r="G24" s="56">
        <f t="shared" si="2"/>
        <v>1</v>
      </c>
      <c r="H24" s="55">
        <v>2</v>
      </c>
      <c r="I24" s="55">
        <f t="shared" si="3"/>
        <v>7</v>
      </c>
      <c r="J24" s="55" t="str">
        <f t="shared" si="4"/>
        <v>121.2</v>
      </c>
      <c r="K24" s="54"/>
      <c r="L24" s="54"/>
      <c r="M24" s="54">
        <v>20</v>
      </c>
      <c r="N24" s="54">
        <v>15</v>
      </c>
      <c r="O24" s="54"/>
      <c r="P24" s="54"/>
      <c r="Q24" s="53">
        <f t="shared" si="5"/>
        <v>8.75</v>
      </c>
      <c r="R24" s="52">
        <f t="shared" si="6"/>
        <v>1.25</v>
      </c>
      <c r="S24" s="53">
        <f t="shared" si="7"/>
        <v>8.75</v>
      </c>
      <c r="T24" s="98"/>
      <c r="V24" s="38"/>
    </row>
    <row r="25" spans="2:24" ht="13.5" thickBot="1">
      <c r="B25" s="49">
        <v>208</v>
      </c>
      <c r="C25" s="49" t="s">
        <v>13</v>
      </c>
      <c r="D25" s="49">
        <v>2</v>
      </c>
      <c r="E25" s="50">
        <f t="shared" si="0"/>
        <v>1</v>
      </c>
      <c r="F25" s="50">
        <f t="shared" si="1"/>
        <v>1</v>
      </c>
      <c r="G25" s="50">
        <f t="shared" si="2"/>
        <v>1</v>
      </c>
      <c r="H25" s="49">
        <v>2</v>
      </c>
      <c r="I25" s="49">
        <f t="shared" si="3"/>
        <v>8</v>
      </c>
      <c r="J25" s="49" t="str">
        <f t="shared" si="4"/>
        <v>111.2</v>
      </c>
      <c r="K25" s="48"/>
      <c r="L25" s="48"/>
      <c r="M25" s="48">
        <v>23</v>
      </c>
      <c r="N25" s="48">
        <v>23</v>
      </c>
      <c r="O25" s="48"/>
      <c r="P25" s="48"/>
      <c r="Q25" s="48">
        <f t="shared" si="5"/>
        <v>11.5</v>
      </c>
      <c r="R25" s="47">
        <f t="shared" si="6"/>
        <v>0</v>
      </c>
      <c r="S25" s="48">
        <f t="shared" si="7"/>
        <v>11.5</v>
      </c>
      <c r="T25" s="97"/>
    </row>
    <row r="26" spans="2:24">
      <c r="B26" s="61">
        <v>301</v>
      </c>
      <c r="C26" s="61" t="s">
        <v>6</v>
      </c>
      <c r="D26" s="61">
        <v>10</v>
      </c>
      <c r="E26" s="62">
        <f t="shared" si="0"/>
        <v>2</v>
      </c>
      <c r="F26" s="62">
        <f t="shared" si="1"/>
        <v>2</v>
      </c>
      <c r="G26" s="62">
        <f t="shared" si="2"/>
        <v>1</v>
      </c>
      <c r="H26" s="61">
        <v>3</v>
      </c>
      <c r="I26" s="61">
        <f t="shared" si="3"/>
        <v>1</v>
      </c>
      <c r="J26" s="61" t="str">
        <f t="shared" si="4"/>
        <v>221.3</v>
      </c>
      <c r="K26" s="60"/>
      <c r="L26" s="60"/>
      <c r="M26" s="60">
        <v>22</v>
      </c>
      <c r="N26" s="60">
        <v>19</v>
      </c>
      <c r="O26" s="60"/>
      <c r="P26" s="60"/>
      <c r="Q26" s="53">
        <f t="shared" si="5"/>
        <v>10.25</v>
      </c>
      <c r="R26" s="53">
        <f t="shared" si="6"/>
        <v>0.74999999999999989</v>
      </c>
      <c r="S26" s="53">
        <f t="shared" si="7"/>
        <v>10.25</v>
      </c>
      <c r="T26" s="99"/>
      <c r="V26" s="38"/>
    </row>
    <row r="27" spans="2:24">
      <c r="B27" s="55">
        <v>302</v>
      </c>
      <c r="C27" s="55" t="s">
        <v>4</v>
      </c>
      <c r="D27" s="55">
        <v>4</v>
      </c>
      <c r="E27" s="56">
        <f t="shared" si="0"/>
        <v>1</v>
      </c>
      <c r="F27" s="56">
        <f t="shared" si="1"/>
        <v>2</v>
      </c>
      <c r="G27" s="56">
        <f t="shared" si="2"/>
        <v>1</v>
      </c>
      <c r="H27" s="55">
        <v>3</v>
      </c>
      <c r="I27" s="55">
        <f t="shared" si="3"/>
        <v>2</v>
      </c>
      <c r="J27" s="55" t="str">
        <f t="shared" si="4"/>
        <v>121.3</v>
      </c>
      <c r="K27" s="54"/>
      <c r="L27" s="54">
        <v>16</v>
      </c>
      <c r="M27" s="54">
        <v>15</v>
      </c>
      <c r="N27" s="54">
        <v>18</v>
      </c>
      <c r="O27" s="54"/>
      <c r="P27" s="54"/>
      <c r="Q27" s="53">
        <f t="shared" si="5"/>
        <v>8.1666666666666661</v>
      </c>
      <c r="R27" s="52">
        <f t="shared" si="6"/>
        <v>0.44095855184409843</v>
      </c>
      <c r="S27" s="53">
        <f t="shared" si="7"/>
        <v>8.1666666666666661</v>
      </c>
      <c r="T27" s="98"/>
    </row>
    <row r="28" spans="2:24">
      <c r="B28" s="55">
        <v>303</v>
      </c>
      <c r="C28" s="55" t="s">
        <v>12</v>
      </c>
      <c r="D28" s="55">
        <v>8</v>
      </c>
      <c r="E28" s="56">
        <f t="shared" si="0"/>
        <v>2</v>
      </c>
      <c r="F28" s="56">
        <f t="shared" si="1"/>
        <v>1</v>
      </c>
      <c r="G28" s="56">
        <f t="shared" si="2"/>
        <v>1</v>
      </c>
      <c r="H28" s="55">
        <v>3</v>
      </c>
      <c r="I28" s="55">
        <f t="shared" si="3"/>
        <v>3</v>
      </c>
      <c r="J28" s="55" t="str">
        <f t="shared" si="4"/>
        <v>211.3</v>
      </c>
      <c r="K28" s="54"/>
      <c r="L28" s="54"/>
      <c r="M28" s="54">
        <v>11</v>
      </c>
      <c r="N28" s="54">
        <v>8</v>
      </c>
      <c r="O28" s="54"/>
      <c r="P28" s="54"/>
      <c r="Q28" s="53">
        <f t="shared" si="5"/>
        <v>4.75</v>
      </c>
      <c r="R28" s="52">
        <f t="shared" si="6"/>
        <v>0.74999999999999989</v>
      </c>
      <c r="S28" s="53">
        <f t="shared" si="7"/>
        <v>4.75</v>
      </c>
      <c r="T28" s="98"/>
    </row>
    <row r="29" spans="2:24">
      <c r="B29" s="55">
        <v>304</v>
      </c>
      <c r="C29" s="55" t="s">
        <v>13</v>
      </c>
      <c r="D29" s="55">
        <v>2</v>
      </c>
      <c r="E29" s="56">
        <f t="shared" si="0"/>
        <v>1</v>
      </c>
      <c r="F29" s="56">
        <f t="shared" si="1"/>
        <v>1</v>
      </c>
      <c r="G29" s="56">
        <f t="shared" si="2"/>
        <v>1</v>
      </c>
      <c r="H29" s="55">
        <v>3</v>
      </c>
      <c r="I29" s="55">
        <f t="shared" si="3"/>
        <v>4</v>
      </c>
      <c r="J29" s="55" t="str">
        <f t="shared" si="4"/>
        <v>111.3</v>
      </c>
      <c r="K29" s="54"/>
      <c r="L29" s="54"/>
      <c r="M29" s="54">
        <v>15</v>
      </c>
      <c r="N29" s="54">
        <v>18</v>
      </c>
      <c r="O29" s="54"/>
      <c r="P29" s="54"/>
      <c r="Q29" s="53">
        <f t="shared" si="5"/>
        <v>8.25</v>
      </c>
      <c r="R29" s="52">
        <f t="shared" si="6"/>
        <v>0.74999999999999989</v>
      </c>
      <c r="S29" s="53">
        <f t="shared" si="7"/>
        <v>8.25</v>
      </c>
      <c r="T29" s="98"/>
      <c r="X29" s="38"/>
    </row>
    <row r="30" spans="2:24">
      <c r="B30" s="69">
        <v>305</v>
      </c>
      <c r="C30" s="69" t="s">
        <v>11</v>
      </c>
      <c r="D30" s="69">
        <v>11</v>
      </c>
      <c r="E30" s="70">
        <f t="shared" si="0"/>
        <v>2</v>
      </c>
      <c r="F30" s="70">
        <f t="shared" si="1"/>
        <v>3</v>
      </c>
      <c r="G30" s="70">
        <f t="shared" si="2"/>
        <v>2</v>
      </c>
      <c r="H30" s="69">
        <v>4</v>
      </c>
      <c r="I30" s="69">
        <f t="shared" si="3"/>
        <v>5</v>
      </c>
      <c r="J30" s="69" t="str">
        <f t="shared" si="4"/>
        <v>232.4</v>
      </c>
      <c r="K30" s="68"/>
      <c r="L30" s="68"/>
      <c r="M30" s="68">
        <v>50</v>
      </c>
      <c r="N30" s="68">
        <v>35</v>
      </c>
      <c r="O30" s="68"/>
      <c r="P30" s="68"/>
      <c r="Q30" s="67">
        <f t="shared" si="5"/>
        <v>21.25</v>
      </c>
      <c r="R30" s="66">
        <f t="shared" si="6"/>
        <v>3.75</v>
      </c>
      <c r="S30" s="67">
        <f t="shared" si="7"/>
        <v>10.625</v>
      </c>
      <c r="T30" s="100"/>
    </row>
    <row r="31" spans="2:24">
      <c r="B31" s="55">
        <v>306</v>
      </c>
      <c r="C31" s="55" t="s">
        <v>4</v>
      </c>
      <c r="D31" s="55">
        <v>4</v>
      </c>
      <c r="E31" s="56">
        <f t="shared" si="0"/>
        <v>1</v>
      </c>
      <c r="F31" s="56">
        <f t="shared" si="1"/>
        <v>2</v>
      </c>
      <c r="G31" s="56">
        <f t="shared" si="2"/>
        <v>1</v>
      </c>
      <c r="H31" s="55">
        <v>4</v>
      </c>
      <c r="I31" s="55">
        <f t="shared" si="3"/>
        <v>6</v>
      </c>
      <c r="J31" s="55" t="str">
        <f t="shared" si="4"/>
        <v>121.4</v>
      </c>
      <c r="K31" s="54"/>
      <c r="L31" s="54"/>
      <c r="M31" s="54">
        <v>22</v>
      </c>
      <c r="N31" s="54">
        <v>27</v>
      </c>
      <c r="O31" s="54"/>
      <c r="P31" s="54"/>
      <c r="Q31" s="53">
        <f t="shared" si="5"/>
        <v>12.25</v>
      </c>
      <c r="R31" s="52">
        <f t="shared" si="6"/>
        <v>1.25</v>
      </c>
      <c r="S31" s="53">
        <f t="shared" si="7"/>
        <v>12.25</v>
      </c>
      <c r="T31" s="98"/>
    </row>
    <row r="32" spans="2:24">
      <c r="B32" s="55">
        <v>307</v>
      </c>
      <c r="C32" s="55" t="s">
        <v>7</v>
      </c>
      <c r="D32" s="55">
        <v>9</v>
      </c>
      <c r="E32" s="56">
        <f t="shared" si="0"/>
        <v>2</v>
      </c>
      <c r="F32" s="56">
        <f t="shared" si="1"/>
        <v>2</v>
      </c>
      <c r="G32" s="56">
        <f t="shared" si="2"/>
        <v>2</v>
      </c>
      <c r="H32" s="55">
        <v>4</v>
      </c>
      <c r="I32" s="55">
        <f t="shared" si="3"/>
        <v>7</v>
      </c>
      <c r="J32" s="55" t="str">
        <f t="shared" si="4"/>
        <v>222.4</v>
      </c>
      <c r="K32" s="54"/>
      <c r="L32" s="54"/>
      <c r="M32" s="54">
        <v>23</v>
      </c>
      <c r="N32" s="54">
        <v>25</v>
      </c>
      <c r="O32" s="54"/>
      <c r="P32" s="54"/>
      <c r="Q32" s="53">
        <f t="shared" si="5"/>
        <v>12</v>
      </c>
      <c r="R32" s="52">
        <f t="shared" si="6"/>
        <v>0.5</v>
      </c>
      <c r="S32" s="53">
        <f t="shared" si="7"/>
        <v>12</v>
      </c>
      <c r="T32" s="98"/>
    </row>
    <row r="33" spans="2:23" ht="13.5" thickBot="1">
      <c r="B33" s="73">
        <v>308</v>
      </c>
      <c r="C33" s="73" t="s">
        <v>5</v>
      </c>
      <c r="D33" s="73">
        <v>5</v>
      </c>
      <c r="E33" s="74">
        <f t="shared" si="0"/>
        <v>1</v>
      </c>
      <c r="F33" s="74">
        <f t="shared" si="1"/>
        <v>3</v>
      </c>
      <c r="G33" s="74">
        <f t="shared" si="2"/>
        <v>2</v>
      </c>
      <c r="H33" s="73">
        <v>4</v>
      </c>
      <c r="I33" s="73">
        <f t="shared" si="3"/>
        <v>8</v>
      </c>
      <c r="J33" s="73" t="str">
        <f t="shared" si="4"/>
        <v>132.4</v>
      </c>
      <c r="K33" s="72"/>
      <c r="L33" s="72"/>
      <c r="M33" s="72">
        <v>42</v>
      </c>
      <c r="N33" s="72">
        <v>36</v>
      </c>
      <c r="O33" s="72"/>
      <c r="P33" s="72"/>
      <c r="Q33" s="72">
        <f t="shared" si="5"/>
        <v>19.5</v>
      </c>
      <c r="R33" s="71">
        <f t="shared" si="6"/>
        <v>1.4999999999999998</v>
      </c>
      <c r="S33" s="72">
        <f t="shared" si="7"/>
        <v>9.75</v>
      </c>
      <c r="T33" s="101"/>
    </row>
    <row r="34" spans="2:23">
      <c r="B34" s="61">
        <v>401</v>
      </c>
      <c r="C34" s="61" t="s">
        <v>14</v>
      </c>
      <c r="D34" s="61">
        <v>7</v>
      </c>
      <c r="E34" s="62">
        <f t="shared" si="0"/>
        <v>2</v>
      </c>
      <c r="F34" s="62">
        <f t="shared" si="1"/>
        <v>1</v>
      </c>
      <c r="G34" s="62">
        <f t="shared" si="2"/>
        <v>2</v>
      </c>
      <c r="H34" s="61">
        <v>3</v>
      </c>
      <c r="I34" s="61">
        <f t="shared" si="3"/>
        <v>1</v>
      </c>
      <c r="J34" s="61" t="str">
        <f t="shared" si="4"/>
        <v>212.3</v>
      </c>
      <c r="K34" s="60"/>
      <c r="L34" s="60"/>
      <c r="M34" s="60">
        <v>6</v>
      </c>
      <c r="N34" s="60">
        <v>14</v>
      </c>
      <c r="O34" s="60"/>
      <c r="P34" s="60"/>
      <c r="Q34" s="53">
        <f t="shared" si="5"/>
        <v>5</v>
      </c>
      <c r="R34" s="53">
        <f t="shared" si="6"/>
        <v>2</v>
      </c>
      <c r="S34" s="53">
        <f t="shared" si="7"/>
        <v>5</v>
      </c>
      <c r="T34" s="99"/>
    </row>
    <row r="35" spans="2:23">
      <c r="B35" s="55">
        <v>402</v>
      </c>
      <c r="C35" s="55" t="s">
        <v>7</v>
      </c>
      <c r="D35" s="55">
        <v>9</v>
      </c>
      <c r="E35" s="56">
        <f t="shared" si="0"/>
        <v>2</v>
      </c>
      <c r="F35" s="56">
        <f t="shared" si="1"/>
        <v>2</v>
      </c>
      <c r="G35" s="56">
        <f t="shared" si="2"/>
        <v>2</v>
      </c>
      <c r="H35" s="55">
        <v>3</v>
      </c>
      <c r="I35" s="55">
        <f t="shared" si="3"/>
        <v>2</v>
      </c>
      <c r="J35" s="55" t="str">
        <f t="shared" si="4"/>
        <v>222.3</v>
      </c>
      <c r="K35" s="54"/>
      <c r="L35" s="54">
        <v>20</v>
      </c>
      <c r="M35" s="54">
        <v>9</v>
      </c>
      <c r="N35" s="54">
        <v>22</v>
      </c>
      <c r="O35" s="54"/>
      <c r="P35" s="54"/>
      <c r="Q35" s="53">
        <f t="shared" si="5"/>
        <v>8.5</v>
      </c>
      <c r="R35" s="52">
        <f t="shared" si="6"/>
        <v>2.0207259421636903</v>
      </c>
      <c r="S35" s="53">
        <f t="shared" si="7"/>
        <v>8.5</v>
      </c>
      <c r="T35" s="98"/>
    </row>
    <row r="36" spans="2:23">
      <c r="B36" s="69">
        <v>403</v>
      </c>
      <c r="C36" s="69" t="s">
        <v>15</v>
      </c>
      <c r="D36" s="69">
        <v>6</v>
      </c>
      <c r="E36" s="70">
        <f t="shared" si="0"/>
        <v>1</v>
      </c>
      <c r="F36" s="70">
        <f t="shared" si="1"/>
        <v>3</v>
      </c>
      <c r="G36" s="70">
        <f t="shared" si="2"/>
        <v>1</v>
      </c>
      <c r="H36" s="69">
        <v>3</v>
      </c>
      <c r="I36" s="69">
        <f t="shared" si="3"/>
        <v>3</v>
      </c>
      <c r="J36" s="69" t="str">
        <f t="shared" si="4"/>
        <v>131.3</v>
      </c>
      <c r="K36" s="68"/>
      <c r="L36" s="68"/>
      <c r="M36" s="68">
        <v>32</v>
      </c>
      <c r="N36" s="68">
        <v>28</v>
      </c>
      <c r="O36" s="68"/>
      <c r="P36" s="68"/>
      <c r="Q36" s="67">
        <f t="shared" si="5"/>
        <v>15</v>
      </c>
      <c r="R36" s="66">
        <f t="shared" si="6"/>
        <v>1</v>
      </c>
      <c r="S36" s="67">
        <f t="shared" si="7"/>
        <v>7.5</v>
      </c>
      <c r="T36" s="100"/>
    </row>
    <row r="37" spans="2:23">
      <c r="B37" s="55">
        <v>404</v>
      </c>
      <c r="C37" s="55" t="s">
        <v>8</v>
      </c>
      <c r="D37" s="55">
        <v>3</v>
      </c>
      <c r="E37" s="56">
        <f t="shared" si="0"/>
        <v>1</v>
      </c>
      <c r="F37" s="56">
        <f t="shared" si="1"/>
        <v>2</v>
      </c>
      <c r="G37" s="56">
        <f t="shared" si="2"/>
        <v>2</v>
      </c>
      <c r="H37" s="55">
        <v>3</v>
      </c>
      <c r="I37" s="55">
        <f t="shared" si="3"/>
        <v>4</v>
      </c>
      <c r="J37" s="55" t="str">
        <f t="shared" si="4"/>
        <v>122.3</v>
      </c>
      <c r="K37" s="54"/>
      <c r="L37" s="54"/>
      <c r="M37" s="54">
        <v>20</v>
      </c>
      <c r="N37" s="54">
        <v>23</v>
      </c>
      <c r="O37" s="54"/>
      <c r="P37" s="54"/>
      <c r="Q37" s="53">
        <f t="shared" si="5"/>
        <v>10.75</v>
      </c>
      <c r="R37" s="52">
        <f t="shared" si="6"/>
        <v>0.74999999999999989</v>
      </c>
      <c r="S37" s="53">
        <f t="shared" si="7"/>
        <v>10.75</v>
      </c>
      <c r="T37" s="98"/>
    </row>
    <row r="38" spans="2:23">
      <c r="B38" s="69">
        <v>405</v>
      </c>
      <c r="C38" s="69" t="s">
        <v>15</v>
      </c>
      <c r="D38" s="69">
        <v>6</v>
      </c>
      <c r="E38" s="70">
        <f t="shared" si="0"/>
        <v>1</v>
      </c>
      <c r="F38" s="70">
        <f t="shared" si="1"/>
        <v>3</v>
      </c>
      <c r="G38" s="70">
        <f t="shared" si="2"/>
        <v>1</v>
      </c>
      <c r="H38" s="69">
        <v>4</v>
      </c>
      <c r="I38" s="69">
        <f t="shared" si="3"/>
        <v>5</v>
      </c>
      <c r="J38" s="69" t="str">
        <f t="shared" si="4"/>
        <v>131.4</v>
      </c>
      <c r="K38" s="68"/>
      <c r="L38" s="68"/>
      <c r="M38" s="68">
        <v>38</v>
      </c>
      <c r="N38" s="68">
        <v>34</v>
      </c>
      <c r="O38" s="68"/>
      <c r="P38" s="68"/>
      <c r="Q38" s="67">
        <f t="shared" si="5"/>
        <v>18</v>
      </c>
      <c r="R38" s="66">
        <f t="shared" si="6"/>
        <v>1</v>
      </c>
      <c r="S38" s="67">
        <f t="shared" si="7"/>
        <v>9</v>
      </c>
      <c r="T38" s="100"/>
    </row>
    <row r="39" spans="2:23">
      <c r="B39" s="55">
        <v>406</v>
      </c>
      <c r="C39" s="55" t="s">
        <v>8</v>
      </c>
      <c r="D39" s="55">
        <v>3</v>
      </c>
      <c r="E39" s="56">
        <f t="shared" si="0"/>
        <v>1</v>
      </c>
      <c r="F39" s="56">
        <f t="shared" si="1"/>
        <v>2</v>
      </c>
      <c r="G39" s="56">
        <f t="shared" si="2"/>
        <v>2</v>
      </c>
      <c r="H39" s="55">
        <v>4</v>
      </c>
      <c r="I39" s="55">
        <f t="shared" si="3"/>
        <v>6</v>
      </c>
      <c r="J39" s="55" t="str">
        <f t="shared" si="4"/>
        <v>122.4</v>
      </c>
      <c r="K39" s="54"/>
      <c r="L39" s="54"/>
      <c r="M39" s="54">
        <v>16</v>
      </c>
      <c r="N39" s="54">
        <v>23</v>
      </c>
      <c r="O39" s="54"/>
      <c r="P39" s="54"/>
      <c r="Q39" s="53">
        <f t="shared" si="5"/>
        <v>9.75</v>
      </c>
      <c r="R39" s="52">
        <f t="shared" si="6"/>
        <v>1.7499999999999998</v>
      </c>
      <c r="S39" s="53">
        <f t="shared" si="7"/>
        <v>9.75</v>
      </c>
      <c r="T39" s="98"/>
    </row>
    <row r="40" spans="2:23">
      <c r="B40" s="55">
        <v>407</v>
      </c>
      <c r="C40" s="55" t="s">
        <v>14</v>
      </c>
      <c r="D40" s="55">
        <v>7</v>
      </c>
      <c r="E40" s="56">
        <f t="shared" si="0"/>
        <v>2</v>
      </c>
      <c r="F40" s="56">
        <f t="shared" si="1"/>
        <v>1</v>
      </c>
      <c r="G40" s="56">
        <f t="shared" si="2"/>
        <v>2</v>
      </c>
      <c r="H40" s="55">
        <v>4</v>
      </c>
      <c r="I40" s="55">
        <f t="shared" si="3"/>
        <v>7</v>
      </c>
      <c r="J40" s="55" t="str">
        <f t="shared" si="4"/>
        <v>212.4</v>
      </c>
      <c r="K40" s="54"/>
      <c r="L40" s="54"/>
      <c r="M40" s="54">
        <v>23</v>
      </c>
      <c r="N40" s="54">
        <v>19</v>
      </c>
      <c r="O40" s="54"/>
      <c r="P40" s="54"/>
      <c r="Q40" s="53">
        <f t="shared" si="5"/>
        <v>10.5</v>
      </c>
      <c r="R40" s="52">
        <f t="shared" si="6"/>
        <v>1</v>
      </c>
      <c r="S40" s="53">
        <f t="shared" si="7"/>
        <v>10.5</v>
      </c>
      <c r="T40" s="98"/>
      <c r="V40" s="65" t="s">
        <v>307</v>
      </c>
      <c r="W40" s="63"/>
    </row>
    <row r="41" spans="2:23" ht="13.5" thickBot="1">
      <c r="B41" s="49">
        <v>408</v>
      </c>
      <c r="C41" s="49" t="s">
        <v>6</v>
      </c>
      <c r="D41" s="49">
        <v>10</v>
      </c>
      <c r="E41" s="50">
        <f t="shared" si="0"/>
        <v>2</v>
      </c>
      <c r="F41" s="50">
        <f t="shared" si="1"/>
        <v>2</v>
      </c>
      <c r="G41" s="50">
        <f t="shared" si="2"/>
        <v>1</v>
      </c>
      <c r="H41" s="49">
        <v>4</v>
      </c>
      <c r="I41" s="49">
        <f t="shared" si="3"/>
        <v>8</v>
      </c>
      <c r="J41" s="49" t="str">
        <f t="shared" si="4"/>
        <v>221.4</v>
      </c>
      <c r="K41" s="48"/>
      <c r="L41" s="48"/>
      <c r="M41" s="48">
        <v>25</v>
      </c>
      <c r="N41" s="48">
        <v>20</v>
      </c>
      <c r="O41" s="48"/>
      <c r="P41" s="48"/>
      <c r="Q41" s="48">
        <f t="shared" si="5"/>
        <v>11.25</v>
      </c>
      <c r="R41" s="47">
        <f t="shared" si="6"/>
        <v>1.25</v>
      </c>
      <c r="S41" s="48">
        <f t="shared" si="7"/>
        <v>11.25</v>
      </c>
      <c r="T41" s="97"/>
      <c r="V41" s="65" t="s">
        <v>305</v>
      </c>
      <c r="W41" s="63" t="s">
        <v>304</v>
      </c>
    </row>
    <row r="42" spans="2:23">
      <c r="B42" s="61">
        <v>901</v>
      </c>
      <c r="C42" s="61" t="s">
        <v>16</v>
      </c>
      <c r="D42" s="61">
        <v>32</v>
      </c>
      <c r="E42" s="62">
        <v>9</v>
      </c>
      <c r="F42" s="62">
        <v>0</v>
      </c>
      <c r="G42" s="62">
        <v>1</v>
      </c>
      <c r="H42" s="61">
        <v>1</v>
      </c>
      <c r="I42" s="61">
        <f t="shared" si="3"/>
        <v>1</v>
      </c>
      <c r="J42" s="61" t="str">
        <f t="shared" si="4"/>
        <v>901.1</v>
      </c>
      <c r="K42" s="60"/>
      <c r="L42" s="60"/>
      <c r="M42" s="60">
        <v>0</v>
      </c>
      <c r="N42" s="60">
        <v>0</v>
      </c>
      <c r="O42" s="60"/>
      <c r="P42" s="60"/>
      <c r="Q42" s="53">
        <f t="shared" si="5"/>
        <v>0</v>
      </c>
      <c r="R42" s="53">
        <f t="shared" si="6"/>
        <v>0</v>
      </c>
      <c r="S42" s="53">
        <f t="shared" si="7"/>
        <v>0</v>
      </c>
      <c r="T42" s="99"/>
      <c r="V42" s="59" t="s">
        <v>5</v>
      </c>
      <c r="W42" s="58">
        <v>16.875</v>
      </c>
    </row>
    <row r="43" spans="2:23">
      <c r="B43" s="55">
        <v>902</v>
      </c>
      <c r="C43" s="57" t="s">
        <v>302</v>
      </c>
      <c r="D43" s="55">
        <v>22</v>
      </c>
      <c r="E43" s="56">
        <v>4</v>
      </c>
      <c r="F43" s="56">
        <v>2</v>
      </c>
      <c r="G43" s="56">
        <v>2</v>
      </c>
      <c r="H43" s="55">
        <v>1</v>
      </c>
      <c r="I43" s="55">
        <f t="shared" si="3"/>
        <v>2</v>
      </c>
      <c r="J43" s="55" t="str">
        <f t="shared" si="4"/>
        <v>422.1</v>
      </c>
      <c r="K43" s="54"/>
      <c r="L43" s="54">
        <v>14</v>
      </c>
      <c r="M43" s="54">
        <v>16</v>
      </c>
      <c r="N43" s="54">
        <v>18</v>
      </c>
      <c r="O43" s="54"/>
      <c r="P43" s="54"/>
      <c r="Q43" s="53">
        <f t="shared" si="5"/>
        <v>8</v>
      </c>
      <c r="R43" s="52">
        <f t="shared" si="6"/>
        <v>0.57735026918962584</v>
      </c>
      <c r="S43" s="53">
        <f t="shared" si="7"/>
        <v>8</v>
      </c>
      <c r="T43" s="98"/>
      <c r="V43" s="44" t="s">
        <v>15</v>
      </c>
      <c r="W43" s="43">
        <v>16.5</v>
      </c>
    </row>
    <row r="44" spans="2:23">
      <c r="B44" s="55">
        <v>903</v>
      </c>
      <c r="C44" s="55" t="s">
        <v>17</v>
      </c>
      <c r="D44" s="55">
        <v>31</v>
      </c>
      <c r="E44" s="56">
        <v>8</v>
      </c>
      <c r="F44" s="56">
        <v>0</v>
      </c>
      <c r="G44" s="56">
        <v>1</v>
      </c>
      <c r="H44" s="55">
        <v>1</v>
      </c>
      <c r="I44" s="55">
        <f t="shared" si="3"/>
        <v>3</v>
      </c>
      <c r="J44" s="55" t="str">
        <f t="shared" si="4"/>
        <v>801.1</v>
      </c>
      <c r="K44" s="54"/>
      <c r="L44" s="54"/>
      <c r="M44" s="54">
        <v>0</v>
      </c>
      <c r="N44" s="54">
        <v>0</v>
      </c>
      <c r="O44" s="54"/>
      <c r="P44" s="54"/>
      <c r="Q44" s="53">
        <f t="shared" si="5"/>
        <v>0</v>
      </c>
      <c r="R44" s="52">
        <f t="shared" si="6"/>
        <v>0</v>
      </c>
      <c r="S44" s="53">
        <f t="shared" si="7"/>
        <v>0</v>
      </c>
      <c r="T44" s="98"/>
      <c r="V44" s="44" t="s">
        <v>3</v>
      </c>
      <c r="W44" s="43">
        <v>9.125</v>
      </c>
    </row>
    <row r="45" spans="2:23">
      <c r="B45" s="55">
        <v>904</v>
      </c>
      <c r="C45" s="57" t="s">
        <v>301</v>
      </c>
      <c r="D45" s="55">
        <v>21</v>
      </c>
      <c r="E45" s="56">
        <v>3</v>
      </c>
      <c r="F45" s="56">
        <v>2</v>
      </c>
      <c r="G45" s="56">
        <v>2</v>
      </c>
      <c r="H45" s="55">
        <v>1</v>
      </c>
      <c r="I45" s="55">
        <f t="shared" si="3"/>
        <v>4</v>
      </c>
      <c r="J45" s="55" t="str">
        <f t="shared" si="4"/>
        <v>322.1</v>
      </c>
      <c r="K45" s="54"/>
      <c r="L45" s="54"/>
      <c r="M45" s="54">
        <v>19</v>
      </c>
      <c r="N45" s="54">
        <v>17</v>
      </c>
      <c r="O45" s="54"/>
      <c r="P45" s="54"/>
      <c r="Q45" s="53">
        <f t="shared" si="5"/>
        <v>9</v>
      </c>
      <c r="R45" s="52">
        <f t="shared" si="6"/>
        <v>0.5</v>
      </c>
      <c r="S45" s="53">
        <f t="shared" si="7"/>
        <v>9</v>
      </c>
      <c r="T45" s="98"/>
      <c r="V45" s="44" t="s">
        <v>13</v>
      </c>
      <c r="W45" s="43">
        <v>9.875</v>
      </c>
    </row>
    <row r="46" spans="2:23">
      <c r="B46" s="55">
        <v>905</v>
      </c>
      <c r="C46" s="55" t="s">
        <v>16</v>
      </c>
      <c r="D46" s="55">
        <v>32</v>
      </c>
      <c r="E46" s="56">
        <v>9</v>
      </c>
      <c r="F46" s="56">
        <v>0</v>
      </c>
      <c r="G46" s="56">
        <v>1</v>
      </c>
      <c r="H46" s="55">
        <v>2</v>
      </c>
      <c r="I46" s="55">
        <f t="shared" si="3"/>
        <v>5</v>
      </c>
      <c r="J46" s="55" t="str">
        <f t="shared" si="4"/>
        <v>901.2</v>
      </c>
      <c r="K46" s="54"/>
      <c r="L46" s="54"/>
      <c r="M46" s="54">
        <v>0</v>
      </c>
      <c r="N46" s="54">
        <v>0</v>
      </c>
      <c r="O46" s="54"/>
      <c r="P46" s="54"/>
      <c r="Q46" s="53">
        <f t="shared" si="5"/>
        <v>0</v>
      </c>
      <c r="R46" s="52">
        <f t="shared" si="6"/>
        <v>0</v>
      </c>
      <c r="S46" s="53">
        <f t="shared" si="7"/>
        <v>0</v>
      </c>
      <c r="T46" s="98"/>
      <c r="V46" s="44" t="s">
        <v>8</v>
      </c>
      <c r="W46" s="43">
        <v>10.9375</v>
      </c>
    </row>
    <row r="47" spans="2:23">
      <c r="B47" s="55">
        <v>906</v>
      </c>
      <c r="C47" s="57" t="s">
        <v>302</v>
      </c>
      <c r="D47" s="55">
        <v>22</v>
      </c>
      <c r="E47" s="56">
        <v>4</v>
      </c>
      <c r="F47" s="56">
        <v>2</v>
      </c>
      <c r="G47" s="56">
        <v>2</v>
      </c>
      <c r="H47" s="55">
        <v>2</v>
      </c>
      <c r="I47" s="55">
        <f t="shared" si="3"/>
        <v>6</v>
      </c>
      <c r="J47" s="55" t="str">
        <f t="shared" si="4"/>
        <v>422.2</v>
      </c>
      <c r="K47" s="54"/>
      <c r="L47" s="54"/>
      <c r="M47" s="54">
        <v>10</v>
      </c>
      <c r="N47" s="54">
        <v>16</v>
      </c>
      <c r="O47" s="54"/>
      <c r="P47" s="54"/>
      <c r="Q47" s="53">
        <f t="shared" si="5"/>
        <v>6.5</v>
      </c>
      <c r="R47" s="52">
        <f t="shared" si="6"/>
        <v>1.4999999999999998</v>
      </c>
      <c r="S47" s="53">
        <f t="shared" si="7"/>
        <v>6.5</v>
      </c>
      <c r="T47" s="98"/>
      <c r="V47" s="44" t="s">
        <v>4</v>
      </c>
      <c r="W47" s="43">
        <v>9.2916666666666661</v>
      </c>
    </row>
    <row r="48" spans="2:23">
      <c r="B48" s="55">
        <v>907</v>
      </c>
      <c r="C48" s="55" t="s">
        <v>17</v>
      </c>
      <c r="D48" s="55">
        <v>31</v>
      </c>
      <c r="E48" s="56">
        <v>8</v>
      </c>
      <c r="F48" s="56">
        <v>0</v>
      </c>
      <c r="G48" s="56">
        <v>1</v>
      </c>
      <c r="H48" s="55">
        <v>2</v>
      </c>
      <c r="I48" s="55">
        <f t="shared" si="3"/>
        <v>7</v>
      </c>
      <c r="J48" s="55" t="str">
        <f t="shared" si="4"/>
        <v>801.2</v>
      </c>
      <c r="K48" s="54"/>
      <c r="L48" s="54"/>
      <c r="M48" s="54">
        <v>0</v>
      </c>
      <c r="N48" s="54">
        <v>0</v>
      </c>
      <c r="O48" s="54"/>
      <c r="P48" s="54"/>
      <c r="Q48" s="53">
        <f t="shared" si="5"/>
        <v>0</v>
      </c>
      <c r="R48" s="52">
        <f t="shared" si="6"/>
        <v>0</v>
      </c>
      <c r="S48" s="53">
        <f t="shared" si="7"/>
        <v>0</v>
      </c>
      <c r="T48" s="98"/>
      <c r="V48" s="44" t="s">
        <v>11</v>
      </c>
      <c r="W48" s="43">
        <v>20.25</v>
      </c>
    </row>
    <row r="49" spans="2:23" ht="13.5" thickBot="1">
      <c r="B49" s="49">
        <v>908</v>
      </c>
      <c r="C49" s="51" t="s">
        <v>301</v>
      </c>
      <c r="D49" s="49">
        <v>21</v>
      </c>
      <c r="E49" s="50">
        <v>3</v>
      </c>
      <c r="F49" s="50">
        <v>2</v>
      </c>
      <c r="G49" s="50">
        <v>2</v>
      </c>
      <c r="H49" s="49">
        <v>2</v>
      </c>
      <c r="I49" s="49">
        <f t="shared" si="3"/>
        <v>8</v>
      </c>
      <c r="J49" s="49" t="str">
        <f t="shared" si="4"/>
        <v>322.2</v>
      </c>
      <c r="K49" s="48"/>
      <c r="L49" s="48"/>
      <c r="M49" s="48">
        <v>15</v>
      </c>
      <c r="N49" s="48">
        <v>19</v>
      </c>
      <c r="O49" s="48"/>
      <c r="P49" s="48"/>
      <c r="Q49" s="48">
        <f t="shared" si="5"/>
        <v>8.5</v>
      </c>
      <c r="R49" s="47">
        <f t="shared" si="6"/>
        <v>1</v>
      </c>
      <c r="S49" s="48">
        <f t="shared" si="7"/>
        <v>8.5</v>
      </c>
      <c r="T49" s="97"/>
      <c r="V49" s="44" t="s">
        <v>10</v>
      </c>
      <c r="W49" s="43">
        <v>15.75</v>
      </c>
    </row>
    <row r="50" spans="2:23">
      <c r="V50" s="44" t="s">
        <v>14</v>
      </c>
      <c r="W50" s="43">
        <v>7.75</v>
      </c>
    </row>
    <row r="51" spans="2:23">
      <c r="V51" s="44" t="s">
        <v>12</v>
      </c>
      <c r="W51" s="43">
        <v>7.375</v>
      </c>
    </row>
    <row r="52" spans="2:23">
      <c r="V52" s="44" t="s">
        <v>7</v>
      </c>
      <c r="W52" s="43">
        <v>9.1458333333333321</v>
      </c>
    </row>
    <row r="53" spans="2:23">
      <c r="V53" s="42" t="s">
        <v>6</v>
      </c>
      <c r="W53" s="41">
        <v>10.875</v>
      </c>
    </row>
  </sheetData>
  <mergeCells count="2">
    <mergeCell ref="Q3:R3"/>
    <mergeCell ref="Q4:R4"/>
  </mergeCells>
  <pageMargins left="0.75" right="0.75" top="1" bottom="1" header="0.5" footer="0.5"/>
  <pageSetup orientation="portrait" r:id="rId3"/>
  <headerFooter alignWithMargins="0"/>
  <drawing r:id="rId4"/>
  <legacyDrawing r:id="rId5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3BED-52E3-4934-8F14-58FF90ACD8EC}">
  <dimension ref="A1:X53"/>
  <sheetViews>
    <sheetView workbookViewId="0">
      <selection activeCell="N10" sqref="N10:N49"/>
    </sheetView>
  </sheetViews>
  <sheetFormatPr defaultRowHeight="12.75"/>
  <cols>
    <col min="1" max="18" width="9.140625" style="37"/>
    <col min="19" max="19" width="12.42578125" style="37" customWidth="1"/>
    <col min="20" max="20" width="45.7109375" style="37" customWidth="1"/>
    <col min="21" max="21" width="9.140625" style="37"/>
    <col min="22" max="22" width="23.5703125" style="37" customWidth="1"/>
    <col min="23" max="23" width="5.5703125" style="37" customWidth="1"/>
    <col min="24" max="24" width="5.42578125" style="37" customWidth="1"/>
    <col min="25" max="26" width="4.5703125" style="37" customWidth="1"/>
    <col min="27" max="27" width="10.5703125" style="37" bestFit="1" customWidth="1"/>
    <col min="28" max="16384" width="9.140625" style="37"/>
  </cols>
  <sheetData>
    <row r="1" spans="1:23" ht="22.5" customHeight="1">
      <c r="A1" s="93" t="s">
        <v>340</v>
      </c>
    </row>
    <row r="2" spans="1:23">
      <c r="Q2" s="92" t="s">
        <v>359</v>
      </c>
    </row>
    <row r="3" spans="1:23" ht="13.5" thickBot="1">
      <c r="A3" s="92"/>
      <c r="B3" s="104" t="s">
        <v>339</v>
      </c>
      <c r="C3" s="96"/>
      <c r="E3" s="104" t="s">
        <v>338</v>
      </c>
      <c r="F3" s="96"/>
      <c r="H3" s="104" t="s">
        <v>358</v>
      </c>
      <c r="I3" s="108">
        <v>37391</v>
      </c>
      <c r="J3" s="96"/>
      <c r="Q3" s="117" t="s">
        <v>357</v>
      </c>
      <c r="R3" s="118"/>
      <c r="S3" s="91">
        <f>AVERAGE(Q10:Q11,Q13,Q15:Q17,Q19:Q20,Q22:Q29,Q31:Q32,Q34:Q35,Q37,Q39:Q41)</f>
        <v>10.788194444444445</v>
      </c>
    </row>
    <row r="4" spans="1:23" ht="18.75" customHeight="1" thickBot="1">
      <c r="E4" s="104" t="s">
        <v>337</v>
      </c>
      <c r="F4" s="96"/>
      <c r="H4" s="104" t="s">
        <v>350</v>
      </c>
      <c r="I4" s="96" t="s">
        <v>367</v>
      </c>
      <c r="J4" s="96"/>
      <c r="Q4" s="117" t="s">
        <v>356</v>
      </c>
      <c r="R4" s="118"/>
      <c r="S4" s="91">
        <f>AVERAGE(Q12,Q14,Q18,Q21,Q30,Q36,Q38,Q33)</f>
        <v>18.09375</v>
      </c>
    </row>
    <row r="6" spans="1:23" ht="13.5" thickBot="1">
      <c r="B6" s="104" t="s">
        <v>336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</row>
    <row r="7" spans="1:23" ht="13.5" thickBot="1"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</row>
    <row r="8" spans="1:23" ht="13.5" thickBot="1"/>
    <row r="9" spans="1:23" ht="39" thickBot="1">
      <c r="B9" s="88" t="s">
        <v>0</v>
      </c>
      <c r="C9" s="89" t="s">
        <v>305</v>
      </c>
      <c r="D9" s="89" t="s">
        <v>333</v>
      </c>
      <c r="E9" s="88" t="s">
        <v>332</v>
      </c>
      <c r="F9" s="89" t="s">
        <v>331</v>
      </c>
      <c r="G9" s="88" t="s">
        <v>330</v>
      </c>
      <c r="H9" s="88" t="s">
        <v>329</v>
      </c>
      <c r="I9" s="88" t="s">
        <v>315</v>
      </c>
      <c r="J9" s="88" t="s">
        <v>328</v>
      </c>
      <c r="K9" s="86" t="s">
        <v>327</v>
      </c>
      <c r="L9" s="86" t="s">
        <v>326</v>
      </c>
      <c r="M9" s="86" t="s">
        <v>325</v>
      </c>
      <c r="N9" s="86" t="s">
        <v>324</v>
      </c>
      <c r="O9" s="86" t="s">
        <v>323</v>
      </c>
      <c r="P9" s="86" t="s">
        <v>322</v>
      </c>
      <c r="Q9" s="87" t="s">
        <v>321</v>
      </c>
      <c r="R9" s="86" t="s">
        <v>320</v>
      </c>
      <c r="S9" s="87" t="s">
        <v>319</v>
      </c>
      <c r="T9" s="103" t="s">
        <v>318</v>
      </c>
    </row>
    <row r="10" spans="1:23">
      <c r="B10" s="61">
        <v>101</v>
      </c>
      <c r="C10" s="62" t="s">
        <v>3</v>
      </c>
      <c r="D10" s="62">
        <v>1</v>
      </c>
      <c r="E10" s="62">
        <f t="shared" ref="E10:E41" si="0">IF(LEFT($C10,1)="F",1,2)</f>
        <v>1</v>
      </c>
      <c r="F10" s="62">
        <f t="shared" ref="F10:F41" si="1">IF(MID($C10,2,1)="S",1,IF(MID($C10,2,1)="T",2,IF(MID($C10,2,1)="D",3,0)))</f>
        <v>1</v>
      </c>
      <c r="G10" s="62">
        <f t="shared" ref="G10:G41" si="2">IF(RIGHT($C10,1)="L",1,2)</f>
        <v>2</v>
      </c>
      <c r="H10" s="61">
        <v>1</v>
      </c>
      <c r="I10" s="61">
        <f t="shared" ref="I10:I49" si="3">B10-INT(B10/100)*100</f>
        <v>1</v>
      </c>
      <c r="J10" s="61" t="str">
        <f t="shared" ref="J10:J49" si="4">(E10&amp;F10&amp;G10&amp;"."&amp;H10)</f>
        <v>112.1</v>
      </c>
      <c r="K10" s="83"/>
      <c r="L10" s="60"/>
      <c r="M10" s="60">
        <v>21</v>
      </c>
      <c r="N10" s="60">
        <v>18</v>
      </c>
      <c r="O10" s="60"/>
      <c r="P10" s="60"/>
      <c r="Q10" s="53">
        <f t="shared" ref="Q10:Q49" si="5">AVERAGE(K10:P10)/2</f>
        <v>9.75</v>
      </c>
      <c r="R10" s="53">
        <f t="shared" ref="R10:R49" si="6">STDEV(K10:P10)/2/SQRT(COUNT(K10:P10))</f>
        <v>0.74999999999999989</v>
      </c>
      <c r="S10" s="53">
        <f t="shared" ref="S10:S49" si="7">IF(F10=3,Q10/2,Q10)</f>
        <v>9.75</v>
      </c>
      <c r="T10" s="99"/>
      <c r="V10" s="65" t="s">
        <v>316</v>
      </c>
      <c r="W10" s="63"/>
    </row>
    <row r="11" spans="1:23">
      <c r="B11" s="55">
        <v>102</v>
      </c>
      <c r="C11" s="55" t="s">
        <v>4</v>
      </c>
      <c r="D11" s="55">
        <v>4</v>
      </c>
      <c r="E11" s="56">
        <f t="shared" si="0"/>
        <v>1</v>
      </c>
      <c r="F11" s="56">
        <f t="shared" si="1"/>
        <v>2</v>
      </c>
      <c r="G11" s="56">
        <f t="shared" si="2"/>
        <v>1</v>
      </c>
      <c r="H11" s="55">
        <v>1</v>
      </c>
      <c r="I11" s="55">
        <f t="shared" si="3"/>
        <v>2</v>
      </c>
      <c r="J11" s="55" t="str">
        <f t="shared" si="4"/>
        <v>121.1</v>
      </c>
      <c r="K11" s="54"/>
      <c r="L11" s="54">
        <v>27</v>
      </c>
      <c r="M11" s="54">
        <v>21</v>
      </c>
      <c r="N11" s="54">
        <v>17</v>
      </c>
      <c r="O11" s="54"/>
      <c r="P11" s="54"/>
      <c r="Q11" s="53">
        <f t="shared" si="5"/>
        <v>10.833333333333334</v>
      </c>
      <c r="R11" s="52">
        <f t="shared" si="6"/>
        <v>1.452966314513559</v>
      </c>
      <c r="S11" s="53">
        <f t="shared" si="7"/>
        <v>10.833333333333334</v>
      </c>
      <c r="T11" s="98"/>
      <c r="V11" s="65" t="s">
        <v>315</v>
      </c>
      <c r="W11" s="63" t="s">
        <v>304</v>
      </c>
    </row>
    <row r="12" spans="1:23">
      <c r="B12" s="69">
        <v>103</v>
      </c>
      <c r="C12" s="69" t="s">
        <v>5</v>
      </c>
      <c r="D12" s="69">
        <v>5</v>
      </c>
      <c r="E12" s="70">
        <f t="shared" si="0"/>
        <v>1</v>
      </c>
      <c r="F12" s="70">
        <f t="shared" si="1"/>
        <v>3</v>
      </c>
      <c r="G12" s="70">
        <f t="shared" si="2"/>
        <v>2</v>
      </c>
      <c r="H12" s="69">
        <v>1</v>
      </c>
      <c r="I12" s="69">
        <f t="shared" si="3"/>
        <v>3</v>
      </c>
      <c r="J12" s="69" t="str">
        <f t="shared" si="4"/>
        <v>132.1</v>
      </c>
      <c r="K12" s="68"/>
      <c r="L12" s="68"/>
      <c r="M12" s="68">
        <v>29</v>
      </c>
      <c r="N12" s="68">
        <v>4</v>
      </c>
      <c r="O12" s="68"/>
      <c r="P12" s="68"/>
      <c r="Q12" s="67">
        <f t="shared" si="5"/>
        <v>8.25</v>
      </c>
      <c r="R12" s="66">
        <f t="shared" si="6"/>
        <v>6.25</v>
      </c>
      <c r="S12" s="67">
        <f t="shared" si="7"/>
        <v>4.125</v>
      </c>
      <c r="T12" s="100"/>
      <c r="V12" s="59">
        <v>1</v>
      </c>
      <c r="W12" s="58">
        <v>9.34375</v>
      </c>
    </row>
    <row r="13" spans="1:23">
      <c r="B13" s="55">
        <v>104</v>
      </c>
      <c r="C13" s="55" t="s">
        <v>6</v>
      </c>
      <c r="D13" s="55">
        <v>10</v>
      </c>
      <c r="E13" s="56">
        <f t="shared" si="0"/>
        <v>2</v>
      </c>
      <c r="F13" s="56">
        <f t="shared" si="1"/>
        <v>2</v>
      </c>
      <c r="G13" s="56">
        <f t="shared" si="2"/>
        <v>1</v>
      </c>
      <c r="H13" s="55">
        <v>1</v>
      </c>
      <c r="I13" s="55">
        <f t="shared" si="3"/>
        <v>4</v>
      </c>
      <c r="J13" s="55" t="str">
        <f t="shared" si="4"/>
        <v>221.1</v>
      </c>
      <c r="K13" s="54"/>
      <c r="L13" s="54"/>
      <c r="M13" s="54">
        <v>26</v>
      </c>
      <c r="N13" s="54">
        <v>27</v>
      </c>
      <c r="O13" s="54"/>
      <c r="P13" s="54"/>
      <c r="Q13" s="53">
        <f t="shared" si="5"/>
        <v>13.25</v>
      </c>
      <c r="R13" s="52">
        <f t="shared" si="6"/>
        <v>0.25</v>
      </c>
      <c r="S13" s="53">
        <f t="shared" si="7"/>
        <v>13.25</v>
      </c>
      <c r="T13" s="98"/>
      <c r="V13" s="44">
        <v>2</v>
      </c>
      <c r="W13" s="43">
        <v>10.354166666666668</v>
      </c>
    </row>
    <row r="14" spans="1:23">
      <c r="B14" s="69">
        <v>105</v>
      </c>
      <c r="C14" s="69" t="s">
        <v>10</v>
      </c>
      <c r="D14" s="69">
        <v>12</v>
      </c>
      <c r="E14" s="70">
        <f t="shared" si="0"/>
        <v>2</v>
      </c>
      <c r="F14" s="70">
        <f t="shared" si="1"/>
        <v>3</v>
      </c>
      <c r="G14" s="70">
        <f t="shared" si="2"/>
        <v>1</v>
      </c>
      <c r="H14" s="69">
        <v>2</v>
      </c>
      <c r="I14" s="69">
        <f t="shared" si="3"/>
        <v>5</v>
      </c>
      <c r="J14" s="69" t="str">
        <f t="shared" si="4"/>
        <v>231.2</v>
      </c>
      <c r="K14" s="68"/>
      <c r="L14" s="68"/>
      <c r="M14" s="68">
        <v>31</v>
      </c>
      <c r="N14" s="68">
        <v>33</v>
      </c>
      <c r="O14" s="68"/>
      <c r="P14" s="68"/>
      <c r="Q14" s="67">
        <f t="shared" si="5"/>
        <v>16</v>
      </c>
      <c r="R14" s="66">
        <f t="shared" si="6"/>
        <v>0.5</v>
      </c>
      <c r="S14" s="67">
        <f t="shared" si="7"/>
        <v>8</v>
      </c>
      <c r="T14" s="100"/>
      <c r="V14" s="44">
        <v>3</v>
      </c>
      <c r="W14" s="43">
        <v>7.96875</v>
      </c>
    </row>
    <row r="15" spans="1:23">
      <c r="B15" s="55">
        <v>106</v>
      </c>
      <c r="C15" s="55" t="s">
        <v>7</v>
      </c>
      <c r="D15" s="55">
        <v>9</v>
      </c>
      <c r="E15" s="56">
        <f t="shared" si="0"/>
        <v>2</v>
      </c>
      <c r="F15" s="56">
        <f t="shared" si="1"/>
        <v>2</v>
      </c>
      <c r="G15" s="56">
        <f t="shared" si="2"/>
        <v>2</v>
      </c>
      <c r="H15" s="55">
        <v>2</v>
      </c>
      <c r="I15" s="55">
        <f t="shared" si="3"/>
        <v>6</v>
      </c>
      <c r="J15" s="55" t="str">
        <f t="shared" si="4"/>
        <v>222.2</v>
      </c>
      <c r="K15" s="54"/>
      <c r="L15" s="54"/>
      <c r="M15" s="54">
        <v>17</v>
      </c>
      <c r="N15" s="54">
        <v>22</v>
      </c>
      <c r="O15" s="54"/>
      <c r="P15" s="54"/>
      <c r="Q15" s="53">
        <f t="shared" si="5"/>
        <v>9.75</v>
      </c>
      <c r="R15" s="52">
        <f t="shared" si="6"/>
        <v>1.25</v>
      </c>
      <c r="S15" s="53">
        <f t="shared" si="7"/>
        <v>9.75</v>
      </c>
      <c r="T15" s="98"/>
      <c r="V15" s="44">
        <v>4</v>
      </c>
      <c r="W15" s="43">
        <v>11.59375</v>
      </c>
    </row>
    <row r="16" spans="1:23">
      <c r="B16" s="55">
        <v>107</v>
      </c>
      <c r="C16" s="55" t="s">
        <v>6</v>
      </c>
      <c r="D16" s="55">
        <v>10</v>
      </c>
      <c r="E16" s="56">
        <f t="shared" si="0"/>
        <v>2</v>
      </c>
      <c r="F16" s="56">
        <f t="shared" si="1"/>
        <v>2</v>
      </c>
      <c r="G16" s="56">
        <f t="shared" si="2"/>
        <v>1</v>
      </c>
      <c r="H16" s="55">
        <v>2</v>
      </c>
      <c r="I16" s="55">
        <f t="shared" si="3"/>
        <v>7</v>
      </c>
      <c r="J16" s="55" t="str">
        <f t="shared" si="4"/>
        <v>221.2</v>
      </c>
      <c r="K16" s="54"/>
      <c r="L16" s="54"/>
      <c r="M16" s="54">
        <v>23</v>
      </c>
      <c r="N16" s="54">
        <v>21</v>
      </c>
      <c r="O16" s="54"/>
      <c r="P16" s="54"/>
      <c r="Q16" s="53">
        <f t="shared" si="5"/>
        <v>11</v>
      </c>
      <c r="R16" s="52">
        <f t="shared" si="6"/>
        <v>0.5</v>
      </c>
      <c r="S16" s="53">
        <f t="shared" si="7"/>
        <v>11</v>
      </c>
      <c r="T16" s="98"/>
      <c r="V16" s="44">
        <v>5</v>
      </c>
      <c r="W16" s="43">
        <v>9.90625</v>
      </c>
    </row>
    <row r="17" spans="2:24" ht="13.5" thickBot="1">
      <c r="B17" s="49">
        <v>108</v>
      </c>
      <c r="C17" s="49" t="s">
        <v>8</v>
      </c>
      <c r="D17" s="49">
        <v>3</v>
      </c>
      <c r="E17" s="50">
        <f t="shared" si="0"/>
        <v>1</v>
      </c>
      <c r="F17" s="50">
        <f t="shared" si="1"/>
        <v>2</v>
      </c>
      <c r="G17" s="50">
        <f t="shared" si="2"/>
        <v>2</v>
      </c>
      <c r="H17" s="49">
        <v>2</v>
      </c>
      <c r="I17" s="49">
        <f t="shared" si="3"/>
        <v>8</v>
      </c>
      <c r="J17" s="49" t="str">
        <f t="shared" si="4"/>
        <v>122.2</v>
      </c>
      <c r="K17" s="48"/>
      <c r="L17" s="48"/>
      <c r="M17" s="48">
        <v>23</v>
      </c>
      <c r="N17" s="48">
        <v>27</v>
      </c>
      <c r="O17" s="48"/>
      <c r="P17" s="48"/>
      <c r="Q17" s="48">
        <f t="shared" si="5"/>
        <v>12.5</v>
      </c>
      <c r="R17" s="47">
        <f t="shared" si="6"/>
        <v>1</v>
      </c>
      <c r="S17" s="48">
        <f t="shared" si="7"/>
        <v>12.5</v>
      </c>
      <c r="T17" s="97"/>
      <c r="V17" s="44">
        <v>6</v>
      </c>
      <c r="W17" s="43">
        <v>10.75</v>
      </c>
    </row>
    <row r="18" spans="2:24">
      <c r="B18" s="80">
        <v>201</v>
      </c>
      <c r="C18" s="80" t="s">
        <v>10</v>
      </c>
      <c r="D18" s="80">
        <v>12</v>
      </c>
      <c r="E18" s="81">
        <f t="shared" si="0"/>
        <v>2</v>
      </c>
      <c r="F18" s="81">
        <f t="shared" si="1"/>
        <v>3</v>
      </c>
      <c r="G18" s="81">
        <f t="shared" si="2"/>
        <v>1</v>
      </c>
      <c r="H18" s="80">
        <v>1</v>
      </c>
      <c r="I18" s="80">
        <f t="shared" si="3"/>
        <v>1</v>
      </c>
      <c r="J18" s="80" t="str">
        <f t="shared" si="4"/>
        <v>231.1</v>
      </c>
      <c r="K18" s="79"/>
      <c r="L18" s="79"/>
      <c r="M18" s="79">
        <v>42</v>
      </c>
      <c r="N18" s="79">
        <v>31</v>
      </c>
      <c r="O18" s="79"/>
      <c r="P18" s="79"/>
      <c r="Q18" s="67">
        <f t="shared" si="5"/>
        <v>18.25</v>
      </c>
      <c r="R18" s="67">
        <f t="shared" si="6"/>
        <v>2.7499999999999996</v>
      </c>
      <c r="S18" s="67">
        <f t="shared" si="7"/>
        <v>9.125</v>
      </c>
      <c r="T18" s="102"/>
      <c r="V18" s="44">
        <v>7</v>
      </c>
      <c r="W18" s="43">
        <v>11.5</v>
      </c>
    </row>
    <row r="19" spans="2:24">
      <c r="B19" s="55">
        <v>202</v>
      </c>
      <c r="C19" s="55" t="s">
        <v>7</v>
      </c>
      <c r="D19" s="55">
        <v>9</v>
      </c>
      <c r="E19" s="56">
        <f t="shared" si="0"/>
        <v>2</v>
      </c>
      <c r="F19" s="56">
        <f t="shared" si="1"/>
        <v>2</v>
      </c>
      <c r="G19" s="56">
        <f t="shared" si="2"/>
        <v>2</v>
      </c>
      <c r="H19" s="55">
        <v>1</v>
      </c>
      <c r="I19" s="55">
        <f t="shared" si="3"/>
        <v>2</v>
      </c>
      <c r="J19" s="55" t="str">
        <f t="shared" si="4"/>
        <v>222.1</v>
      </c>
      <c r="K19" s="78"/>
      <c r="L19" s="77">
        <v>17</v>
      </c>
      <c r="M19" s="77">
        <v>18</v>
      </c>
      <c r="N19" s="77">
        <v>19</v>
      </c>
      <c r="O19" s="54"/>
      <c r="P19" s="54"/>
      <c r="Q19" s="53">
        <f t="shared" si="5"/>
        <v>9</v>
      </c>
      <c r="R19" s="52">
        <f t="shared" si="6"/>
        <v>0.28867513459481292</v>
      </c>
      <c r="S19" s="53">
        <f t="shared" si="7"/>
        <v>9</v>
      </c>
      <c r="T19" s="98"/>
      <c r="V19" s="44">
        <v>8</v>
      </c>
      <c r="W19" s="43">
        <v>11.40625</v>
      </c>
    </row>
    <row r="20" spans="2:24">
      <c r="B20" s="55">
        <v>203</v>
      </c>
      <c r="C20" s="55" t="s">
        <v>8</v>
      </c>
      <c r="D20" s="55">
        <v>3</v>
      </c>
      <c r="E20" s="56">
        <f t="shared" si="0"/>
        <v>1</v>
      </c>
      <c r="F20" s="56">
        <f t="shared" si="1"/>
        <v>2</v>
      </c>
      <c r="G20" s="56">
        <f t="shared" si="2"/>
        <v>2</v>
      </c>
      <c r="H20" s="55">
        <v>1</v>
      </c>
      <c r="I20" s="55">
        <f t="shared" si="3"/>
        <v>3</v>
      </c>
      <c r="J20" s="55" t="str">
        <f t="shared" si="4"/>
        <v>122.1</v>
      </c>
      <c r="K20" s="54"/>
      <c r="L20" s="54"/>
      <c r="M20" s="54">
        <v>26</v>
      </c>
      <c r="N20" s="54">
        <v>22</v>
      </c>
      <c r="O20" s="54"/>
      <c r="P20" s="54"/>
      <c r="Q20" s="53">
        <f t="shared" si="5"/>
        <v>12</v>
      </c>
      <c r="R20" s="52">
        <f t="shared" si="6"/>
        <v>1</v>
      </c>
      <c r="S20" s="53">
        <f t="shared" si="7"/>
        <v>12</v>
      </c>
      <c r="T20" s="98"/>
      <c r="V20" s="76" t="s">
        <v>312</v>
      </c>
      <c r="W20" s="75">
        <v>10.352864583333334</v>
      </c>
    </row>
    <row r="21" spans="2:24">
      <c r="B21" s="69">
        <v>204</v>
      </c>
      <c r="C21" s="69" t="s">
        <v>11</v>
      </c>
      <c r="D21" s="69">
        <v>11</v>
      </c>
      <c r="E21" s="70">
        <f t="shared" si="0"/>
        <v>2</v>
      </c>
      <c r="F21" s="70">
        <f t="shared" si="1"/>
        <v>3</v>
      </c>
      <c r="G21" s="70">
        <f t="shared" si="2"/>
        <v>2</v>
      </c>
      <c r="H21" s="69">
        <v>1</v>
      </c>
      <c r="I21" s="69">
        <f t="shared" si="3"/>
        <v>4</v>
      </c>
      <c r="J21" s="69" t="str">
        <f t="shared" si="4"/>
        <v>232.1</v>
      </c>
      <c r="K21" s="68"/>
      <c r="L21" s="68"/>
      <c r="M21" s="68">
        <v>46</v>
      </c>
      <c r="N21" s="68">
        <v>41</v>
      </c>
      <c r="O21" s="68"/>
      <c r="P21" s="68"/>
      <c r="Q21" s="67">
        <f t="shared" si="5"/>
        <v>21.75</v>
      </c>
      <c r="R21" s="66">
        <f t="shared" si="6"/>
        <v>1.25</v>
      </c>
      <c r="S21" s="67">
        <f t="shared" si="7"/>
        <v>10.875</v>
      </c>
      <c r="T21" s="100"/>
    </row>
    <row r="22" spans="2:24">
      <c r="B22" s="55">
        <v>205</v>
      </c>
      <c r="C22" s="55" t="s">
        <v>3</v>
      </c>
      <c r="D22" s="55">
        <v>1</v>
      </c>
      <c r="E22" s="56">
        <f t="shared" si="0"/>
        <v>1</v>
      </c>
      <c r="F22" s="56">
        <f t="shared" si="1"/>
        <v>1</v>
      </c>
      <c r="G22" s="56">
        <f t="shared" si="2"/>
        <v>2</v>
      </c>
      <c r="H22" s="55">
        <v>2</v>
      </c>
      <c r="I22" s="55">
        <f t="shared" si="3"/>
        <v>5</v>
      </c>
      <c r="J22" s="55" t="str">
        <f t="shared" si="4"/>
        <v>112.2</v>
      </c>
      <c r="K22" s="54"/>
      <c r="L22" s="54"/>
      <c r="M22" s="54">
        <v>18</v>
      </c>
      <c r="N22" s="54">
        <v>25</v>
      </c>
      <c r="O22" s="54"/>
      <c r="P22" s="54"/>
      <c r="Q22" s="53">
        <f t="shared" si="5"/>
        <v>10.75</v>
      </c>
      <c r="R22" s="52">
        <f t="shared" si="6"/>
        <v>1.7499999999999998</v>
      </c>
      <c r="S22" s="53">
        <f t="shared" si="7"/>
        <v>10.75</v>
      </c>
      <c r="T22" s="98"/>
    </row>
    <row r="23" spans="2:24">
      <c r="B23" s="55">
        <v>206</v>
      </c>
      <c r="C23" s="55" t="s">
        <v>12</v>
      </c>
      <c r="D23" s="55">
        <v>8</v>
      </c>
      <c r="E23" s="56">
        <f t="shared" si="0"/>
        <v>2</v>
      </c>
      <c r="F23" s="56">
        <f t="shared" si="1"/>
        <v>1</v>
      </c>
      <c r="G23" s="56">
        <f t="shared" si="2"/>
        <v>1</v>
      </c>
      <c r="H23" s="55">
        <v>2</v>
      </c>
      <c r="I23" s="55">
        <f t="shared" si="3"/>
        <v>6</v>
      </c>
      <c r="J23" s="55" t="str">
        <f t="shared" si="4"/>
        <v>211.2</v>
      </c>
      <c r="K23" s="54"/>
      <c r="L23" s="54"/>
      <c r="M23" s="54">
        <v>23</v>
      </c>
      <c r="N23" s="54">
        <v>19</v>
      </c>
      <c r="O23" s="54"/>
      <c r="P23" s="54"/>
      <c r="Q23" s="53">
        <f t="shared" si="5"/>
        <v>10.5</v>
      </c>
      <c r="R23" s="52">
        <f t="shared" si="6"/>
        <v>1</v>
      </c>
      <c r="S23" s="53">
        <f t="shared" si="7"/>
        <v>10.5</v>
      </c>
      <c r="T23" s="98"/>
    </row>
    <row r="24" spans="2:24">
      <c r="B24" s="55">
        <v>207</v>
      </c>
      <c r="C24" s="55" t="s">
        <v>4</v>
      </c>
      <c r="D24" s="55">
        <v>4</v>
      </c>
      <c r="E24" s="56">
        <f t="shared" si="0"/>
        <v>1</v>
      </c>
      <c r="F24" s="56">
        <f t="shared" si="1"/>
        <v>2</v>
      </c>
      <c r="G24" s="56">
        <f t="shared" si="2"/>
        <v>1</v>
      </c>
      <c r="H24" s="55">
        <v>2</v>
      </c>
      <c r="I24" s="55">
        <f t="shared" si="3"/>
        <v>7</v>
      </c>
      <c r="J24" s="55" t="str">
        <f t="shared" si="4"/>
        <v>121.2</v>
      </c>
      <c r="K24" s="54"/>
      <c r="L24" s="54"/>
      <c r="M24" s="54">
        <v>23</v>
      </c>
      <c r="N24" s="54">
        <v>19</v>
      </c>
      <c r="O24" s="54"/>
      <c r="P24" s="54"/>
      <c r="Q24" s="53">
        <f t="shared" si="5"/>
        <v>10.5</v>
      </c>
      <c r="R24" s="52">
        <f t="shared" si="6"/>
        <v>1</v>
      </c>
      <c r="S24" s="53">
        <f t="shared" si="7"/>
        <v>10.5</v>
      </c>
      <c r="T24" s="98"/>
      <c r="V24" s="38"/>
    </row>
    <row r="25" spans="2:24" ht="13.5" thickBot="1">
      <c r="B25" s="49">
        <v>208</v>
      </c>
      <c r="C25" s="49" t="s">
        <v>13</v>
      </c>
      <c r="D25" s="49">
        <v>2</v>
      </c>
      <c r="E25" s="50">
        <f t="shared" si="0"/>
        <v>1</v>
      </c>
      <c r="F25" s="50">
        <f t="shared" si="1"/>
        <v>1</v>
      </c>
      <c r="G25" s="50">
        <f t="shared" si="2"/>
        <v>1</v>
      </c>
      <c r="H25" s="49">
        <v>2</v>
      </c>
      <c r="I25" s="49">
        <f t="shared" si="3"/>
        <v>8</v>
      </c>
      <c r="J25" s="49" t="str">
        <f t="shared" si="4"/>
        <v>111.2</v>
      </c>
      <c r="K25" s="48"/>
      <c r="L25" s="48"/>
      <c r="M25" s="48">
        <v>22</v>
      </c>
      <c r="N25" s="48">
        <v>23</v>
      </c>
      <c r="O25" s="48"/>
      <c r="P25" s="48"/>
      <c r="Q25" s="48">
        <f t="shared" si="5"/>
        <v>11.25</v>
      </c>
      <c r="R25" s="47">
        <f t="shared" si="6"/>
        <v>0.25</v>
      </c>
      <c r="S25" s="48">
        <f t="shared" si="7"/>
        <v>11.25</v>
      </c>
      <c r="T25" s="97"/>
    </row>
    <row r="26" spans="2:24">
      <c r="B26" s="61">
        <v>301</v>
      </c>
      <c r="C26" s="61" t="s">
        <v>6</v>
      </c>
      <c r="D26" s="61">
        <v>10</v>
      </c>
      <c r="E26" s="62">
        <f t="shared" si="0"/>
        <v>2</v>
      </c>
      <c r="F26" s="62">
        <f t="shared" si="1"/>
        <v>2</v>
      </c>
      <c r="G26" s="62">
        <f t="shared" si="2"/>
        <v>1</v>
      </c>
      <c r="H26" s="61">
        <v>3</v>
      </c>
      <c r="I26" s="61">
        <f t="shared" si="3"/>
        <v>1</v>
      </c>
      <c r="J26" s="61" t="str">
        <f t="shared" si="4"/>
        <v>221.3</v>
      </c>
      <c r="K26" s="60"/>
      <c r="L26" s="60"/>
      <c r="M26" s="60">
        <v>24</v>
      </c>
      <c r="N26" s="60">
        <v>20</v>
      </c>
      <c r="O26" s="60"/>
      <c r="P26" s="60"/>
      <c r="Q26" s="53">
        <f t="shared" si="5"/>
        <v>11</v>
      </c>
      <c r="R26" s="53">
        <f t="shared" si="6"/>
        <v>1</v>
      </c>
      <c r="S26" s="53">
        <f t="shared" si="7"/>
        <v>11</v>
      </c>
      <c r="T26" s="99"/>
      <c r="V26" s="38"/>
    </row>
    <row r="27" spans="2:24">
      <c r="B27" s="55">
        <v>302</v>
      </c>
      <c r="C27" s="55" t="s">
        <v>4</v>
      </c>
      <c r="D27" s="55">
        <v>4</v>
      </c>
      <c r="E27" s="56">
        <f t="shared" si="0"/>
        <v>1</v>
      </c>
      <c r="F27" s="56">
        <f t="shared" si="1"/>
        <v>2</v>
      </c>
      <c r="G27" s="56">
        <f t="shared" si="2"/>
        <v>1</v>
      </c>
      <c r="H27" s="55">
        <v>3</v>
      </c>
      <c r="I27" s="55">
        <f t="shared" si="3"/>
        <v>2</v>
      </c>
      <c r="J27" s="55" t="str">
        <f t="shared" si="4"/>
        <v>121.3</v>
      </c>
      <c r="K27" s="54"/>
      <c r="L27" s="54"/>
      <c r="M27" s="54">
        <v>24</v>
      </c>
      <c r="N27" s="54">
        <v>19</v>
      </c>
      <c r="O27" s="54"/>
      <c r="P27" s="54"/>
      <c r="Q27" s="53">
        <f t="shared" si="5"/>
        <v>10.75</v>
      </c>
      <c r="R27" s="52">
        <f t="shared" si="6"/>
        <v>1.25</v>
      </c>
      <c r="S27" s="53">
        <f t="shared" si="7"/>
        <v>10.75</v>
      </c>
      <c r="T27" s="98"/>
    </row>
    <row r="28" spans="2:24">
      <c r="B28" s="55">
        <v>303</v>
      </c>
      <c r="C28" s="55" t="s">
        <v>12</v>
      </c>
      <c r="D28" s="55">
        <v>8</v>
      </c>
      <c r="E28" s="56">
        <f t="shared" si="0"/>
        <v>2</v>
      </c>
      <c r="F28" s="56">
        <f t="shared" si="1"/>
        <v>1</v>
      </c>
      <c r="G28" s="56">
        <f t="shared" si="2"/>
        <v>1</v>
      </c>
      <c r="H28" s="55">
        <v>3</v>
      </c>
      <c r="I28" s="55">
        <f t="shared" si="3"/>
        <v>3</v>
      </c>
      <c r="J28" s="55" t="str">
        <f t="shared" si="4"/>
        <v>211.3</v>
      </c>
      <c r="K28" s="54"/>
      <c r="L28" s="54"/>
      <c r="M28" s="54">
        <v>13</v>
      </c>
      <c r="N28" s="54">
        <v>13</v>
      </c>
      <c r="O28" s="54"/>
      <c r="P28" s="54"/>
      <c r="Q28" s="53">
        <f t="shared" si="5"/>
        <v>6.5</v>
      </c>
      <c r="R28" s="52">
        <f t="shared" si="6"/>
        <v>0</v>
      </c>
      <c r="S28" s="53">
        <f t="shared" si="7"/>
        <v>6.5</v>
      </c>
      <c r="T28" s="98"/>
    </row>
    <row r="29" spans="2:24">
      <c r="B29" s="55">
        <v>304</v>
      </c>
      <c r="C29" s="55" t="s">
        <v>13</v>
      </c>
      <c r="D29" s="55">
        <v>2</v>
      </c>
      <c r="E29" s="56">
        <f t="shared" si="0"/>
        <v>1</v>
      </c>
      <c r="F29" s="56">
        <f t="shared" si="1"/>
        <v>1</v>
      </c>
      <c r="G29" s="56">
        <f t="shared" si="2"/>
        <v>1</v>
      </c>
      <c r="H29" s="55">
        <v>3</v>
      </c>
      <c r="I29" s="55">
        <f t="shared" si="3"/>
        <v>4</v>
      </c>
      <c r="J29" s="55" t="str">
        <f t="shared" si="4"/>
        <v>111.3</v>
      </c>
      <c r="K29" s="54"/>
      <c r="L29" s="54"/>
      <c r="M29" s="54">
        <v>17</v>
      </c>
      <c r="N29" s="54">
        <v>20</v>
      </c>
      <c r="O29" s="54"/>
      <c r="P29" s="54"/>
      <c r="Q29" s="53">
        <f t="shared" si="5"/>
        <v>9.25</v>
      </c>
      <c r="R29" s="52">
        <f t="shared" si="6"/>
        <v>0.74999999999999989</v>
      </c>
      <c r="S29" s="53">
        <f t="shared" si="7"/>
        <v>9.25</v>
      </c>
      <c r="T29" s="98"/>
      <c r="X29" s="38"/>
    </row>
    <row r="30" spans="2:24">
      <c r="B30" s="69">
        <v>305</v>
      </c>
      <c r="C30" s="69" t="s">
        <v>11</v>
      </c>
      <c r="D30" s="69">
        <v>11</v>
      </c>
      <c r="E30" s="70">
        <f t="shared" si="0"/>
        <v>2</v>
      </c>
      <c r="F30" s="70">
        <f t="shared" si="1"/>
        <v>3</v>
      </c>
      <c r="G30" s="70">
        <f t="shared" si="2"/>
        <v>2</v>
      </c>
      <c r="H30" s="69">
        <v>4</v>
      </c>
      <c r="I30" s="69">
        <f t="shared" si="3"/>
        <v>5</v>
      </c>
      <c r="J30" s="69" t="str">
        <f t="shared" si="4"/>
        <v>232.4</v>
      </c>
      <c r="K30" s="68"/>
      <c r="L30" s="68"/>
      <c r="M30" s="68">
        <v>52</v>
      </c>
      <c r="N30" s="68">
        <v>38</v>
      </c>
      <c r="O30" s="68"/>
      <c r="P30" s="68"/>
      <c r="Q30" s="67">
        <f t="shared" si="5"/>
        <v>22.5</v>
      </c>
      <c r="R30" s="66">
        <f t="shared" si="6"/>
        <v>3.4999999999999996</v>
      </c>
      <c r="S30" s="67">
        <f t="shared" si="7"/>
        <v>11.25</v>
      </c>
      <c r="T30" s="100"/>
    </row>
    <row r="31" spans="2:24">
      <c r="B31" s="55">
        <v>306</v>
      </c>
      <c r="C31" s="55" t="s">
        <v>4</v>
      </c>
      <c r="D31" s="55">
        <v>4</v>
      </c>
      <c r="E31" s="56">
        <f t="shared" si="0"/>
        <v>1</v>
      </c>
      <c r="F31" s="56">
        <f t="shared" si="1"/>
        <v>2</v>
      </c>
      <c r="G31" s="56">
        <f t="shared" si="2"/>
        <v>1</v>
      </c>
      <c r="H31" s="55">
        <v>4</v>
      </c>
      <c r="I31" s="55">
        <f t="shared" si="3"/>
        <v>6</v>
      </c>
      <c r="J31" s="55" t="str">
        <f t="shared" si="4"/>
        <v>121.4</v>
      </c>
      <c r="K31" s="54"/>
      <c r="L31" s="54"/>
      <c r="M31" s="54">
        <v>22</v>
      </c>
      <c r="N31" s="54">
        <v>26</v>
      </c>
      <c r="O31" s="54"/>
      <c r="P31" s="54"/>
      <c r="Q31" s="53">
        <f t="shared" si="5"/>
        <v>12</v>
      </c>
      <c r="R31" s="52">
        <f t="shared" si="6"/>
        <v>1</v>
      </c>
      <c r="S31" s="53">
        <f t="shared" si="7"/>
        <v>12</v>
      </c>
      <c r="T31" s="98"/>
    </row>
    <row r="32" spans="2:24">
      <c r="B32" s="55">
        <v>307</v>
      </c>
      <c r="C32" s="55" t="s">
        <v>7</v>
      </c>
      <c r="D32" s="55">
        <v>9</v>
      </c>
      <c r="E32" s="56">
        <f t="shared" si="0"/>
        <v>2</v>
      </c>
      <c r="F32" s="56">
        <f t="shared" si="1"/>
        <v>2</v>
      </c>
      <c r="G32" s="56">
        <f t="shared" si="2"/>
        <v>2</v>
      </c>
      <c r="H32" s="55">
        <v>4</v>
      </c>
      <c r="I32" s="55">
        <f t="shared" si="3"/>
        <v>7</v>
      </c>
      <c r="J32" s="55" t="str">
        <f t="shared" si="4"/>
        <v>222.4</v>
      </c>
      <c r="K32" s="54"/>
      <c r="L32" s="54"/>
      <c r="M32" s="54">
        <v>24</v>
      </c>
      <c r="N32" s="54">
        <v>26</v>
      </c>
      <c r="O32" s="54"/>
      <c r="P32" s="54"/>
      <c r="Q32" s="53">
        <f t="shared" si="5"/>
        <v>12.5</v>
      </c>
      <c r="R32" s="52">
        <f t="shared" si="6"/>
        <v>0.5</v>
      </c>
      <c r="S32" s="53">
        <f t="shared" si="7"/>
        <v>12.5</v>
      </c>
      <c r="T32" s="98"/>
    </row>
    <row r="33" spans="2:23" ht="13.5" thickBot="1">
      <c r="B33" s="73">
        <v>308</v>
      </c>
      <c r="C33" s="73" t="s">
        <v>5</v>
      </c>
      <c r="D33" s="73">
        <v>5</v>
      </c>
      <c r="E33" s="74">
        <f t="shared" si="0"/>
        <v>1</v>
      </c>
      <c r="F33" s="74">
        <f t="shared" si="1"/>
        <v>3</v>
      </c>
      <c r="G33" s="74">
        <f t="shared" si="2"/>
        <v>2</v>
      </c>
      <c r="H33" s="73">
        <v>4</v>
      </c>
      <c r="I33" s="73">
        <f t="shared" si="3"/>
        <v>8</v>
      </c>
      <c r="J33" s="73" t="str">
        <f t="shared" si="4"/>
        <v>132.4</v>
      </c>
      <c r="K33" s="72"/>
      <c r="L33" s="72"/>
      <c r="M33" s="72">
        <v>45</v>
      </c>
      <c r="N33" s="72">
        <v>36</v>
      </c>
      <c r="O33" s="72"/>
      <c r="P33" s="72"/>
      <c r="Q33" s="72">
        <f t="shared" si="5"/>
        <v>20.25</v>
      </c>
      <c r="R33" s="71">
        <f t="shared" si="6"/>
        <v>2.25</v>
      </c>
      <c r="S33" s="72">
        <f t="shared" si="7"/>
        <v>10.125</v>
      </c>
      <c r="T33" s="101"/>
    </row>
    <row r="34" spans="2:23">
      <c r="B34" s="61">
        <v>401</v>
      </c>
      <c r="C34" s="61" t="s">
        <v>14</v>
      </c>
      <c r="D34" s="61">
        <v>7</v>
      </c>
      <c r="E34" s="62">
        <f t="shared" si="0"/>
        <v>2</v>
      </c>
      <c r="F34" s="62">
        <f t="shared" si="1"/>
        <v>1</v>
      </c>
      <c r="G34" s="62">
        <f t="shared" si="2"/>
        <v>2</v>
      </c>
      <c r="H34" s="61">
        <v>3</v>
      </c>
      <c r="I34" s="61">
        <f t="shared" si="3"/>
        <v>1</v>
      </c>
      <c r="J34" s="61" t="str">
        <f t="shared" si="4"/>
        <v>212.3</v>
      </c>
      <c r="K34" s="60"/>
      <c r="L34" s="60"/>
      <c r="M34" s="60">
        <v>13</v>
      </c>
      <c r="N34" s="60">
        <v>17</v>
      </c>
      <c r="O34" s="60"/>
      <c r="P34" s="60"/>
      <c r="Q34" s="53">
        <f t="shared" si="5"/>
        <v>7.5</v>
      </c>
      <c r="R34" s="53">
        <f t="shared" si="6"/>
        <v>1</v>
      </c>
      <c r="S34" s="53">
        <f t="shared" si="7"/>
        <v>7.5</v>
      </c>
      <c r="T34" s="99"/>
    </row>
    <row r="35" spans="2:23">
      <c r="B35" s="55">
        <v>402</v>
      </c>
      <c r="C35" s="55" t="s">
        <v>7</v>
      </c>
      <c r="D35" s="55">
        <v>9</v>
      </c>
      <c r="E35" s="56">
        <f t="shared" si="0"/>
        <v>2</v>
      </c>
      <c r="F35" s="56">
        <f t="shared" si="1"/>
        <v>2</v>
      </c>
      <c r="G35" s="56">
        <f t="shared" si="2"/>
        <v>2</v>
      </c>
      <c r="H35" s="55">
        <v>3</v>
      </c>
      <c r="I35" s="55">
        <f t="shared" si="3"/>
        <v>2</v>
      </c>
      <c r="J35" s="55" t="str">
        <f t="shared" si="4"/>
        <v>222.3</v>
      </c>
      <c r="K35" s="54"/>
      <c r="L35" s="54">
        <v>30</v>
      </c>
      <c r="M35" s="54">
        <v>10</v>
      </c>
      <c r="N35" s="54">
        <v>25</v>
      </c>
      <c r="O35" s="54"/>
      <c r="P35" s="54"/>
      <c r="Q35" s="53">
        <f t="shared" si="5"/>
        <v>10.833333333333334</v>
      </c>
      <c r="R35" s="52">
        <f t="shared" si="6"/>
        <v>3.0046260628866586</v>
      </c>
      <c r="S35" s="53">
        <f t="shared" si="7"/>
        <v>10.833333333333334</v>
      </c>
      <c r="T35" s="98"/>
    </row>
    <row r="36" spans="2:23">
      <c r="B36" s="69">
        <v>403</v>
      </c>
      <c r="C36" s="69" t="s">
        <v>15</v>
      </c>
      <c r="D36" s="69">
        <v>6</v>
      </c>
      <c r="E36" s="70">
        <f t="shared" si="0"/>
        <v>1</v>
      </c>
      <c r="F36" s="70">
        <f t="shared" si="1"/>
        <v>3</v>
      </c>
      <c r="G36" s="70">
        <f t="shared" si="2"/>
        <v>1</v>
      </c>
      <c r="H36" s="69">
        <v>3</v>
      </c>
      <c r="I36" s="69">
        <f t="shared" si="3"/>
        <v>3</v>
      </c>
      <c r="J36" s="69" t="str">
        <f t="shared" si="4"/>
        <v>131.3</v>
      </c>
      <c r="K36" s="68"/>
      <c r="L36" s="68"/>
      <c r="M36" s="68">
        <v>38</v>
      </c>
      <c r="N36" s="68">
        <v>36</v>
      </c>
      <c r="O36" s="68"/>
      <c r="P36" s="68"/>
      <c r="Q36" s="67">
        <f t="shared" si="5"/>
        <v>18.5</v>
      </c>
      <c r="R36" s="66">
        <f t="shared" si="6"/>
        <v>0.5</v>
      </c>
      <c r="S36" s="67">
        <f t="shared" si="7"/>
        <v>9.25</v>
      </c>
      <c r="T36" s="100"/>
    </row>
    <row r="37" spans="2:23">
      <c r="B37" s="55">
        <v>404</v>
      </c>
      <c r="C37" s="55" t="s">
        <v>8</v>
      </c>
      <c r="D37" s="55">
        <v>3</v>
      </c>
      <c r="E37" s="56">
        <f t="shared" si="0"/>
        <v>1</v>
      </c>
      <c r="F37" s="56">
        <f t="shared" si="1"/>
        <v>2</v>
      </c>
      <c r="G37" s="56">
        <f t="shared" si="2"/>
        <v>2</v>
      </c>
      <c r="H37" s="55">
        <v>3</v>
      </c>
      <c r="I37" s="55">
        <f t="shared" si="3"/>
        <v>4</v>
      </c>
      <c r="J37" s="55" t="str">
        <f t="shared" si="4"/>
        <v>122.3</v>
      </c>
      <c r="K37" s="54"/>
      <c r="L37" s="54"/>
      <c r="M37" s="54">
        <v>24</v>
      </c>
      <c r="N37" s="54">
        <v>28</v>
      </c>
      <c r="O37" s="54"/>
      <c r="P37" s="54"/>
      <c r="Q37" s="53">
        <f t="shared" si="5"/>
        <v>13</v>
      </c>
      <c r="R37" s="52">
        <f t="shared" si="6"/>
        <v>1</v>
      </c>
      <c r="S37" s="53">
        <f t="shared" si="7"/>
        <v>13</v>
      </c>
      <c r="T37" s="98"/>
    </row>
    <row r="38" spans="2:23">
      <c r="B38" s="69">
        <v>405</v>
      </c>
      <c r="C38" s="69" t="s">
        <v>15</v>
      </c>
      <c r="D38" s="69">
        <v>6</v>
      </c>
      <c r="E38" s="70">
        <f t="shared" si="0"/>
        <v>1</v>
      </c>
      <c r="F38" s="70">
        <f t="shared" si="1"/>
        <v>3</v>
      </c>
      <c r="G38" s="70">
        <f t="shared" si="2"/>
        <v>1</v>
      </c>
      <c r="H38" s="69">
        <v>4</v>
      </c>
      <c r="I38" s="69">
        <f t="shared" si="3"/>
        <v>5</v>
      </c>
      <c r="J38" s="69" t="str">
        <f t="shared" si="4"/>
        <v>131.4</v>
      </c>
      <c r="K38" s="68"/>
      <c r="L38" s="68"/>
      <c r="M38" s="68">
        <v>42</v>
      </c>
      <c r="N38" s="68">
        <v>35</v>
      </c>
      <c r="O38" s="68"/>
      <c r="P38" s="68"/>
      <c r="Q38" s="67">
        <f t="shared" si="5"/>
        <v>19.25</v>
      </c>
      <c r="R38" s="66">
        <f t="shared" si="6"/>
        <v>1.7499999999999998</v>
      </c>
      <c r="S38" s="67">
        <f t="shared" si="7"/>
        <v>9.625</v>
      </c>
      <c r="T38" s="100"/>
    </row>
    <row r="39" spans="2:23">
      <c r="B39" s="55">
        <v>406</v>
      </c>
      <c r="C39" s="55" t="s">
        <v>8</v>
      </c>
      <c r="D39" s="55">
        <v>3</v>
      </c>
      <c r="E39" s="56">
        <f t="shared" si="0"/>
        <v>1</v>
      </c>
      <c r="F39" s="56">
        <f t="shared" si="1"/>
        <v>2</v>
      </c>
      <c r="G39" s="56">
        <f t="shared" si="2"/>
        <v>2</v>
      </c>
      <c r="H39" s="55">
        <v>4</v>
      </c>
      <c r="I39" s="55">
        <f t="shared" si="3"/>
        <v>6</v>
      </c>
      <c r="J39" s="55" t="str">
        <f t="shared" si="4"/>
        <v>122.4</v>
      </c>
      <c r="K39" s="54"/>
      <c r="L39" s="54"/>
      <c r="M39" s="54">
        <v>19</v>
      </c>
      <c r="N39" s="54">
        <v>24</v>
      </c>
      <c r="O39" s="54"/>
      <c r="P39" s="54"/>
      <c r="Q39" s="53">
        <f t="shared" si="5"/>
        <v>10.75</v>
      </c>
      <c r="R39" s="52">
        <f t="shared" si="6"/>
        <v>1.25</v>
      </c>
      <c r="S39" s="53">
        <f t="shared" si="7"/>
        <v>10.75</v>
      </c>
      <c r="T39" s="98"/>
    </row>
    <row r="40" spans="2:23">
      <c r="B40" s="55">
        <v>407</v>
      </c>
      <c r="C40" s="55" t="s">
        <v>14</v>
      </c>
      <c r="D40" s="55">
        <v>7</v>
      </c>
      <c r="E40" s="56">
        <f t="shared" si="0"/>
        <v>2</v>
      </c>
      <c r="F40" s="56">
        <f t="shared" si="1"/>
        <v>1</v>
      </c>
      <c r="G40" s="56">
        <f t="shared" si="2"/>
        <v>2</v>
      </c>
      <c r="H40" s="55">
        <v>4</v>
      </c>
      <c r="I40" s="55">
        <f t="shared" si="3"/>
        <v>7</v>
      </c>
      <c r="J40" s="55" t="str">
        <f t="shared" si="4"/>
        <v>212.4</v>
      </c>
      <c r="K40" s="54"/>
      <c r="L40" s="54"/>
      <c r="M40" s="54">
        <v>23</v>
      </c>
      <c r="N40" s="54">
        <v>25</v>
      </c>
      <c r="O40" s="54"/>
      <c r="P40" s="54"/>
      <c r="Q40" s="53">
        <f t="shared" si="5"/>
        <v>12</v>
      </c>
      <c r="R40" s="52">
        <f t="shared" si="6"/>
        <v>0.5</v>
      </c>
      <c r="S40" s="53">
        <f t="shared" si="7"/>
        <v>12</v>
      </c>
      <c r="T40" s="98"/>
      <c r="V40" s="65" t="s">
        <v>307</v>
      </c>
      <c r="W40" s="63"/>
    </row>
    <row r="41" spans="2:23" ht="13.5" thickBot="1">
      <c r="B41" s="49">
        <v>408</v>
      </c>
      <c r="C41" s="49" t="s">
        <v>6</v>
      </c>
      <c r="D41" s="49">
        <v>10</v>
      </c>
      <c r="E41" s="50">
        <f t="shared" si="0"/>
        <v>2</v>
      </c>
      <c r="F41" s="50">
        <f t="shared" si="1"/>
        <v>2</v>
      </c>
      <c r="G41" s="50">
        <f t="shared" si="2"/>
        <v>1</v>
      </c>
      <c r="H41" s="49">
        <v>4</v>
      </c>
      <c r="I41" s="49">
        <f t="shared" si="3"/>
        <v>8</v>
      </c>
      <c r="J41" s="49" t="str">
        <f t="shared" si="4"/>
        <v>221.4</v>
      </c>
      <c r="K41" s="48"/>
      <c r="L41" s="48"/>
      <c r="M41" s="48">
        <v>25</v>
      </c>
      <c r="N41" s="48">
        <v>22</v>
      </c>
      <c r="O41" s="48"/>
      <c r="P41" s="48"/>
      <c r="Q41" s="48">
        <f t="shared" si="5"/>
        <v>11.75</v>
      </c>
      <c r="R41" s="47">
        <f t="shared" si="6"/>
        <v>0.74999999999999989</v>
      </c>
      <c r="S41" s="48">
        <f t="shared" si="7"/>
        <v>11.75</v>
      </c>
      <c r="T41" s="97"/>
      <c r="V41" s="65" t="s">
        <v>305</v>
      </c>
      <c r="W41" s="63" t="s">
        <v>304</v>
      </c>
    </row>
    <row r="42" spans="2:23">
      <c r="B42" s="61">
        <v>901</v>
      </c>
      <c r="C42" s="61" t="s">
        <v>16</v>
      </c>
      <c r="D42" s="61">
        <v>32</v>
      </c>
      <c r="E42" s="62">
        <v>9</v>
      </c>
      <c r="F42" s="62">
        <v>0</v>
      </c>
      <c r="G42" s="62">
        <v>1</v>
      </c>
      <c r="H42" s="61">
        <v>1</v>
      </c>
      <c r="I42" s="61">
        <f t="shared" si="3"/>
        <v>1</v>
      </c>
      <c r="J42" s="61" t="str">
        <f t="shared" si="4"/>
        <v>901.1</v>
      </c>
      <c r="K42" s="60"/>
      <c r="L42" s="60"/>
      <c r="M42" s="60">
        <v>0</v>
      </c>
      <c r="N42" s="60">
        <v>0</v>
      </c>
      <c r="O42" s="60"/>
      <c r="P42" s="60"/>
      <c r="Q42" s="53">
        <f t="shared" si="5"/>
        <v>0</v>
      </c>
      <c r="R42" s="53">
        <f t="shared" si="6"/>
        <v>0</v>
      </c>
      <c r="S42" s="53">
        <f t="shared" si="7"/>
        <v>0</v>
      </c>
      <c r="T42" s="99"/>
      <c r="V42" s="59" t="s">
        <v>5</v>
      </c>
      <c r="W42" s="58">
        <v>14.25</v>
      </c>
    </row>
    <row r="43" spans="2:23">
      <c r="B43" s="55">
        <v>902</v>
      </c>
      <c r="C43" s="57" t="s">
        <v>302</v>
      </c>
      <c r="D43" s="55">
        <v>22</v>
      </c>
      <c r="E43" s="56">
        <v>4</v>
      </c>
      <c r="F43" s="56">
        <v>2</v>
      </c>
      <c r="G43" s="56">
        <v>2</v>
      </c>
      <c r="H43" s="55">
        <v>1</v>
      </c>
      <c r="I43" s="55">
        <f t="shared" si="3"/>
        <v>2</v>
      </c>
      <c r="J43" s="55" t="str">
        <f t="shared" si="4"/>
        <v>422.1</v>
      </c>
      <c r="K43" s="54"/>
      <c r="L43" s="54">
        <v>24</v>
      </c>
      <c r="M43" s="54">
        <v>19</v>
      </c>
      <c r="N43" s="54">
        <v>18</v>
      </c>
      <c r="O43" s="54"/>
      <c r="P43" s="54"/>
      <c r="Q43" s="53">
        <f t="shared" si="5"/>
        <v>10.166666666666666</v>
      </c>
      <c r="R43" s="52">
        <f t="shared" si="6"/>
        <v>0.92796072713833877</v>
      </c>
      <c r="S43" s="53">
        <f t="shared" si="7"/>
        <v>10.166666666666666</v>
      </c>
      <c r="T43" s="98"/>
      <c r="V43" s="44" t="s">
        <v>15</v>
      </c>
      <c r="W43" s="43">
        <v>18.875</v>
      </c>
    </row>
    <row r="44" spans="2:23">
      <c r="B44" s="55">
        <v>903</v>
      </c>
      <c r="C44" s="55" t="s">
        <v>17</v>
      </c>
      <c r="D44" s="55">
        <v>31</v>
      </c>
      <c r="E44" s="56">
        <v>8</v>
      </c>
      <c r="F44" s="56">
        <v>0</v>
      </c>
      <c r="G44" s="56">
        <v>1</v>
      </c>
      <c r="H44" s="55">
        <v>1</v>
      </c>
      <c r="I44" s="55">
        <f t="shared" si="3"/>
        <v>3</v>
      </c>
      <c r="J44" s="55" t="str">
        <f t="shared" si="4"/>
        <v>801.1</v>
      </c>
      <c r="K44" s="54"/>
      <c r="L44" s="54"/>
      <c r="M44" s="54">
        <v>0</v>
      </c>
      <c r="N44" s="54">
        <v>0</v>
      </c>
      <c r="O44" s="54"/>
      <c r="P44" s="54"/>
      <c r="Q44" s="53">
        <f t="shared" si="5"/>
        <v>0</v>
      </c>
      <c r="R44" s="52">
        <f t="shared" si="6"/>
        <v>0</v>
      </c>
      <c r="S44" s="53">
        <f t="shared" si="7"/>
        <v>0</v>
      </c>
      <c r="T44" s="98"/>
      <c r="V44" s="44" t="s">
        <v>3</v>
      </c>
      <c r="W44" s="43">
        <v>10.25</v>
      </c>
    </row>
    <row r="45" spans="2:23">
      <c r="B45" s="55">
        <v>904</v>
      </c>
      <c r="C45" s="57" t="s">
        <v>301</v>
      </c>
      <c r="D45" s="55">
        <v>21</v>
      </c>
      <c r="E45" s="56">
        <v>3</v>
      </c>
      <c r="F45" s="56">
        <v>2</v>
      </c>
      <c r="G45" s="56">
        <v>2</v>
      </c>
      <c r="H45" s="55">
        <v>1</v>
      </c>
      <c r="I45" s="55">
        <f t="shared" si="3"/>
        <v>4</v>
      </c>
      <c r="J45" s="55" t="str">
        <f t="shared" si="4"/>
        <v>322.1</v>
      </c>
      <c r="K45" s="54"/>
      <c r="L45" s="54"/>
      <c r="M45" s="54">
        <v>21</v>
      </c>
      <c r="N45" s="54">
        <v>17</v>
      </c>
      <c r="O45" s="54"/>
      <c r="P45" s="54"/>
      <c r="Q45" s="53">
        <f t="shared" si="5"/>
        <v>9.5</v>
      </c>
      <c r="R45" s="52">
        <f t="shared" si="6"/>
        <v>1</v>
      </c>
      <c r="S45" s="53">
        <f t="shared" si="7"/>
        <v>9.5</v>
      </c>
      <c r="T45" s="98"/>
      <c r="V45" s="44" t="s">
        <v>13</v>
      </c>
      <c r="W45" s="43">
        <v>10.25</v>
      </c>
    </row>
    <row r="46" spans="2:23">
      <c r="B46" s="55">
        <v>905</v>
      </c>
      <c r="C46" s="55" t="s">
        <v>16</v>
      </c>
      <c r="D46" s="55">
        <v>32</v>
      </c>
      <c r="E46" s="56">
        <v>9</v>
      </c>
      <c r="F46" s="56">
        <v>0</v>
      </c>
      <c r="G46" s="56">
        <v>1</v>
      </c>
      <c r="H46" s="55">
        <v>2</v>
      </c>
      <c r="I46" s="55">
        <f t="shared" si="3"/>
        <v>5</v>
      </c>
      <c r="J46" s="55" t="str">
        <f t="shared" si="4"/>
        <v>901.2</v>
      </c>
      <c r="K46" s="54"/>
      <c r="L46" s="54"/>
      <c r="M46" s="54">
        <v>0</v>
      </c>
      <c r="N46" s="54">
        <v>0</v>
      </c>
      <c r="O46" s="54"/>
      <c r="P46" s="54"/>
      <c r="Q46" s="53">
        <f t="shared" si="5"/>
        <v>0</v>
      </c>
      <c r="R46" s="52">
        <f t="shared" si="6"/>
        <v>0</v>
      </c>
      <c r="S46" s="53">
        <f t="shared" si="7"/>
        <v>0</v>
      </c>
      <c r="T46" s="98"/>
      <c r="V46" s="44" t="s">
        <v>8</v>
      </c>
      <c r="W46" s="43">
        <v>12.0625</v>
      </c>
    </row>
    <row r="47" spans="2:23">
      <c r="B47" s="55">
        <v>906</v>
      </c>
      <c r="C47" s="57" t="s">
        <v>302</v>
      </c>
      <c r="D47" s="55">
        <v>22</v>
      </c>
      <c r="E47" s="56">
        <v>4</v>
      </c>
      <c r="F47" s="56">
        <v>2</v>
      </c>
      <c r="G47" s="56">
        <v>2</v>
      </c>
      <c r="H47" s="55">
        <v>2</v>
      </c>
      <c r="I47" s="55">
        <f t="shared" si="3"/>
        <v>6</v>
      </c>
      <c r="J47" s="55" t="str">
        <f t="shared" si="4"/>
        <v>422.2</v>
      </c>
      <c r="K47" s="54"/>
      <c r="L47" s="54"/>
      <c r="M47" s="54">
        <v>13</v>
      </c>
      <c r="N47" s="54">
        <v>15</v>
      </c>
      <c r="O47" s="54"/>
      <c r="P47" s="54"/>
      <c r="Q47" s="53">
        <f t="shared" si="5"/>
        <v>7</v>
      </c>
      <c r="R47" s="52">
        <f t="shared" si="6"/>
        <v>0.5</v>
      </c>
      <c r="S47" s="53">
        <f t="shared" si="7"/>
        <v>7</v>
      </c>
      <c r="T47" s="98"/>
      <c r="V47" s="44" t="s">
        <v>4</v>
      </c>
      <c r="W47" s="43">
        <v>11.020833333333334</v>
      </c>
    </row>
    <row r="48" spans="2:23">
      <c r="B48" s="55">
        <v>907</v>
      </c>
      <c r="C48" s="55" t="s">
        <v>17</v>
      </c>
      <c r="D48" s="55">
        <v>31</v>
      </c>
      <c r="E48" s="56">
        <v>8</v>
      </c>
      <c r="F48" s="56">
        <v>0</v>
      </c>
      <c r="G48" s="56">
        <v>1</v>
      </c>
      <c r="H48" s="55">
        <v>2</v>
      </c>
      <c r="I48" s="55">
        <f t="shared" si="3"/>
        <v>7</v>
      </c>
      <c r="J48" s="55" t="str">
        <f t="shared" si="4"/>
        <v>801.2</v>
      </c>
      <c r="K48" s="54"/>
      <c r="L48" s="54"/>
      <c r="M48" s="54">
        <v>0</v>
      </c>
      <c r="N48" s="54">
        <v>0</v>
      </c>
      <c r="O48" s="54"/>
      <c r="P48" s="54"/>
      <c r="Q48" s="53">
        <f t="shared" si="5"/>
        <v>0</v>
      </c>
      <c r="R48" s="52">
        <f t="shared" si="6"/>
        <v>0</v>
      </c>
      <c r="S48" s="53">
        <f t="shared" si="7"/>
        <v>0</v>
      </c>
      <c r="T48" s="98"/>
      <c r="V48" s="44" t="s">
        <v>11</v>
      </c>
      <c r="W48" s="43">
        <v>22.125</v>
      </c>
    </row>
    <row r="49" spans="2:23" ht="13.5" thickBot="1">
      <c r="B49" s="49">
        <v>908</v>
      </c>
      <c r="C49" s="51" t="s">
        <v>301</v>
      </c>
      <c r="D49" s="49">
        <v>21</v>
      </c>
      <c r="E49" s="50">
        <v>3</v>
      </c>
      <c r="F49" s="50">
        <v>2</v>
      </c>
      <c r="G49" s="50">
        <v>2</v>
      </c>
      <c r="H49" s="49">
        <v>2</v>
      </c>
      <c r="I49" s="49">
        <f t="shared" si="3"/>
        <v>8</v>
      </c>
      <c r="J49" s="49" t="str">
        <f t="shared" si="4"/>
        <v>322.2</v>
      </c>
      <c r="K49" s="48"/>
      <c r="L49" s="48"/>
      <c r="M49" s="48">
        <v>15</v>
      </c>
      <c r="N49" s="48">
        <v>20</v>
      </c>
      <c r="O49" s="48"/>
      <c r="P49" s="48"/>
      <c r="Q49" s="48">
        <f t="shared" si="5"/>
        <v>8.75</v>
      </c>
      <c r="R49" s="47">
        <f t="shared" si="6"/>
        <v>1.25</v>
      </c>
      <c r="S49" s="48">
        <f t="shared" si="7"/>
        <v>8.75</v>
      </c>
      <c r="T49" s="97"/>
      <c r="V49" s="44" t="s">
        <v>10</v>
      </c>
      <c r="W49" s="43">
        <v>17.125</v>
      </c>
    </row>
    <row r="50" spans="2:23">
      <c r="V50" s="44" t="s">
        <v>14</v>
      </c>
      <c r="W50" s="43">
        <v>9.75</v>
      </c>
    </row>
    <row r="51" spans="2:23">
      <c r="V51" s="44" t="s">
        <v>12</v>
      </c>
      <c r="W51" s="43">
        <v>8.5</v>
      </c>
    </row>
    <row r="52" spans="2:23">
      <c r="V52" s="44" t="s">
        <v>7</v>
      </c>
      <c r="W52" s="43">
        <v>10.520833333333334</v>
      </c>
    </row>
    <row r="53" spans="2:23">
      <c r="V53" s="42" t="s">
        <v>6</v>
      </c>
      <c r="W53" s="41">
        <v>11.75</v>
      </c>
    </row>
  </sheetData>
  <mergeCells count="2">
    <mergeCell ref="Q3:R3"/>
    <mergeCell ref="Q4:R4"/>
  </mergeCells>
  <pageMargins left="0.75" right="0.75" top="1" bottom="1" header="0.5" footer="0.5"/>
  <pageSetup orientation="portrait" r:id="rId3"/>
  <headerFooter alignWithMargins="0"/>
  <drawing r:id="rId4"/>
  <legacyDrawing r:id="rId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83D6A-1E95-4CB3-8C50-978F2C522C9C}">
  <dimension ref="A1:X49"/>
  <sheetViews>
    <sheetView workbookViewId="0">
      <selection activeCell="N10" sqref="N10:N49"/>
    </sheetView>
  </sheetViews>
  <sheetFormatPr defaultRowHeight="12.75"/>
  <cols>
    <col min="1" max="8" width="9.140625" style="37"/>
    <col min="9" max="9" width="9.7109375" style="37" bestFit="1" customWidth="1"/>
    <col min="10" max="18" width="9.140625" style="37"/>
    <col min="19" max="19" width="12.42578125" style="37" customWidth="1"/>
    <col min="20" max="20" width="45.7109375" style="37" customWidth="1"/>
    <col min="21" max="21" width="9.140625" style="37"/>
    <col min="22" max="22" width="23.5703125" style="37" customWidth="1"/>
    <col min="23" max="24" width="5.5703125" style="37" customWidth="1"/>
    <col min="25" max="26" width="4.5703125" style="37" customWidth="1"/>
    <col min="27" max="27" width="10.5703125" style="37" bestFit="1" customWidth="1"/>
    <col min="28" max="16384" width="9.140625" style="37"/>
  </cols>
  <sheetData>
    <row r="1" spans="1:23" ht="22.5" customHeight="1">
      <c r="A1" s="93" t="s">
        <v>340</v>
      </c>
    </row>
    <row r="2" spans="1:23">
      <c r="Q2" s="92" t="s">
        <v>359</v>
      </c>
    </row>
    <row r="3" spans="1:23" ht="13.5" thickBot="1">
      <c r="A3" s="92"/>
      <c r="B3" s="104" t="s">
        <v>339</v>
      </c>
      <c r="C3" s="96">
        <v>137</v>
      </c>
      <c r="E3" s="104" t="s">
        <v>338</v>
      </c>
      <c r="F3" s="96" t="s">
        <v>371</v>
      </c>
      <c r="H3" s="104" t="s">
        <v>358</v>
      </c>
      <c r="I3" s="107">
        <v>37393</v>
      </c>
      <c r="J3" s="96"/>
      <c r="Q3" s="117" t="s">
        <v>357</v>
      </c>
      <c r="R3" s="118"/>
      <c r="S3" s="91">
        <f>AVERAGE(Q10:Q11,Q13,Q15:Q17,Q19:Q20,Q22:Q29,Q31:Q32,Q34:Q35,Q37,Q39:Q41)</f>
        <v>11.649305555555557</v>
      </c>
    </row>
    <row r="4" spans="1:23" ht="18.75" customHeight="1" thickBot="1">
      <c r="E4" s="104" t="s">
        <v>337</v>
      </c>
      <c r="F4" s="96" t="s">
        <v>314</v>
      </c>
      <c r="H4" s="104" t="s">
        <v>350</v>
      </c>
      <c r="I4" s="96" t="s">
        <v>370</v>
      </c>
      <c r="J4" s="96"/>
      <c r="Q4" s="117" t="s">
        <v>356</v>
      </c>
      <c r="R4" s="118"/>
      <c r="S4" s="91">
        <f>AVERAGE(Q12,Q14,Q18,Q21,Q30,Q36,Q38,Q33)</f>
        <v>21.5625</v>
      </c>
    </row>
    <row r="6" spans="1:23" ht="13.5" thickBot="1">
      <c r="B6" s="104" t="s">
        <v>336</v>
      </c>
      <c r="C6" s="96" t="s">
        <v>369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</row>
    <row r="7" spans="1:23" ht="13.5" thickBot="1">
      <c r="C7" s="96" t="s">
        <v>368</v>
      </c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</row>
    <row r="8" spans="1:23" ht="13.5" thickBot="1"/>
    <row r="9" spans="1:23" ht="39" thickBot="1">
      <c r="B9" s="88" t="s">
        <v>0</v>
      </c>
      <c r="C9" s="89" t="s">
        <v>305</v>
      </c>
      <c r="D9" s="89" t="s">
        <v>333</v>
      </c>
      <c r="E9" s="88" t="s">
        <v>332</v>
      </c>
      <c r="F9" s="89" t="s">
        <v>331</v>
      </c>
      <c r="G9" s="88" t="s">
        <v>330</v>
      </c>
      <c r="H9" s="88" t="s">
        <v>329</v>
      </c>
      <c r="I9" s="88" t="s">
        <v>315</v>
      </c>
      <c r="J9" s="88" t="s">
        <v>328</v>
      </c>
      <c r="K9" s="86" t="s">
        <v>327</v>
      </c>
      <c r="L9" s="86" t="s">
        <v>326</v>
      </c>
      <c r="M9" s="86" t="s">
        <v>325</v>
      </c>
      <c r="N9" s="86" t="s">
        <v>324</v>
      </c>
      <c r="O9" s="86" t="s">
        <v>323</v>
      </c>
      <c r="P9" s="86" t="s">
        <v>322</v>
      </c>
      <c r="Q9" s="87" t="s">
        <v>321</v>
      </c>
      <c r="R9" s="86" t="s">
        <v>320</v>
      </c>
      <c r="S9" s="87" t="s">
        <v>319</v>
      </c>
      <c r="T9" s="103" t="s">
        <v>318</v>
      </c>
    </row>
    <row r="10" spans="1:23">
      <c r="B10" s="61">
        <v>101</v>
      </c>
      <c r="C10" s="62" t="s">
        <v>3</v>
      </c>
      <c r="D10" s="62">
        <v>1</v>
      </c>
      <c r="E10" s="62">
        <f t="shared" ref="E10:E41" si="0">IF(LEFT($C10,1)="F",1,2)</f>
        <v>1</v>
      </c>
      <c r="F10" s="62">
        <f t="shared" ref="F10:F41" si="1">IF(MID($C10,2,1)="S",1,IF(MID($C10,2,1)="T",2,IF(MID($C10,2,1)="D",3,0)))</f>
        <v>1</v>
      </c>
      <c r="G10" s="62">
        <f t="shared" ref="G10:G41" si="2">IF(RIGHT($C10,1)="L",1,2)</f>
        <v>2</v>
      </c>
      <c r="H10" s="61">
        <v>1</v>
      </c>
      <c r="I10" s="61">
        <f t="shared" ref="I10:I49" si="3">B10-INT(B10/100)*100</f>
        <v>1</v>
      </c>
      <c r="J10" s="61" t="str">
        <f t="shared" ref="J10:J49" si="4">(E10&amp;F10&amp;G10&amp;"."&amp;H10)</f>
        <v>112.1</v>
      </c>
      <c r="K10" s="83"/>
      <c r="L10" s="60"/>
      <c r="M10" s="60">
        <v>21</v>
      </c>
      <c r="N10" s="60">
        <v>22</v>
      </c>
      <c r="O10" s="60"/>
      <c r="P10" s="60"/>
      <c r="Q10" s="53">
        <f t="shared" ref="Q10:Q49" si="5">AVERAGE(K10:P10)/2</f>
        <v>10.75</v>
      </c>
      <c r="R10" s="53">
        <f t="shared" ref="R10:R49" si="6">STDEV(K10:P10)/2/SQRT(COUNT(K10:P10))</f>
        <v>0.25</v>
      </c>
      <c r="S10" s="53">
        <f t="shared" ref="S10:S49" si="7">IF(F10=3,Q10/2,Q10)</f>
        <v>10.75</v>
      </c>
      <c r="T10" s="99"/>
      <c r="V10" s="65" t="s">
        <v>316</v>
      </c>
      <c r="W10" s="63"/>
    </row>
    <row r="11" spans="1:23">
      <c r="B11" s="55">
        <v>102</v>
      </c>
      <c r="C11" s="55" t="s">
        <v>4</v>
      </c>
      <c r="D11" s="55">
        <v>4</v>
      </c>
      <c r="E11" s="56">
        <f t="shared" si="0"/>
        <v>1</v>
      </c>
      <c r="F11" s="56">
        <f t="shared" si="1"/>
        <v>2</v>
      </c>
      <c r="G11" s="56">
        <f t="shared" si="2"/>
        <v>1</v>
      </c>
      <c r="H11" s="55">
        <v>1</v>
      </c>
      <c r="I11" s="55">
        <f t="shared" si="3"/>
        <v>2</v>
      </c>
      <c r="J11" s="55" t="str">
        <f t="shared" si="4"/>
        <v>121.1</v>
      </c>
      <c r="K11" s="54"/>
      <c r="L11" s="54">
        <v>25</v>
      </c>
      <c r="M11" s="54">
        <v>25</v>
      </c>
      <c r="N11" s="54">
        <v>19</v>
      </c>
      <c r="O11" s="54"/>
      <c r="P11" s="54"/>
      <c r="Q11" s="53">
        <f t="shared" si="5"/>
        <v>11.5</v>
      </c>
      <c r="R11" s="52">
        <f t="shared" si="6"/>
        <v>1</v>
      </c>
      <c r="S11" s="53">
        <f t="shared" si="7"/>
        <v>11.5</v>
      </c>
      <c r="T11" s="98"/>
      <c r="V11" s="65" t="s">
        <v>315</v>
      </c>
      <c r="W11" s="63" t="s">
        <v>304</v>
      </c>
    </row>
    <row r="12" spans="1:23">
      <c r="B12" s="69">
        <v>103</v>
      </c>
      <c r="C12" s="69" t="s">
        <v>5</v>
      </c>
      <c r="D12" s="69">
        <v>5</v>
      </c>
      <c r="E12" s="70">
        <f t="shared" si="0"/>
        <v>1</v>
      </c>
      <c r="F12" s="70">
        <f t="shared" si="1"/>
        <v>3</v>
      </c>
      <c r="G12" s="70">
        <f t="shared" si="2"/>
        <v>2</v>
      </c>
      <c r="H12" s="69">
        <v>1</v>
      </c>
      <c r="I12" s="69">
        <f t="shared" si="3"/>
        <v>3</v>
      </c>
      <c r="J12" s="69" t="str">
        <f t="shared" si="4"/>
        <v>132.1</v>
      </c>
      <c r="K12" s="68"/>
      <c r="L12" s="68"/>
      <c r="M12" s="68">
        <v>34</v>
      </c>
      <c r="N12" s="68">
        <v>40</v>
      </c>
      <c r="O12" s="68"/>
      <c r="P12" s="68"/>
      <c r="Q12" s="67">
        <f t="shared" si="5"/>
        <v>18.5</v>
      </c>
      <c r="R12" s="66">
        <f t="shared" si="6"/>
        <v>1.4999999999999998</v>
      </c>
      <c r="S12" s="67">
        <f t="shared" si="7"/>
        <v>9.25</v>
      </c>
      <c r="T12" s="100"/>
      <c r="V12" s="59">
        <v>1</v>
      </c>
      <c r="W12" s="58">
        <v>10.65625</v>
      </c>
    </row>
    <row r="13" spans="1:23">
      <c r="B13" s="55">
        <v>104</v>
      </c>
      <c r="C13" s="55" t="s">
        <v>6</v>
      </c>
      <c r="D13" s="55">
        <v>10</v>
      </c>
      <c r="E13" s="56">
        <f t="shared" si="0"/>
        <v>2</v>
      </c>
      <c r="F13" s="56">
        <f t="shared" si="1"/>
        <v>2</v>
      </c>
      <c r="G13" s="56">
        <f t="shared" si="2"/>
        <v>1</v>
      </c>
      <c r="H13" s="55">
        <v>1</v>
      </c>
      <c r="I13" s="55">
        <f t="shared" si="3"/>
        <v>4</v>
      </c>
      <c r="J13" s="55" t="str">
        <f t="shared" si="4"/>
        <v>221.1</v>
      </c>
      <c r="K13" s="54"/>
      <c r="L13" s="54"/>
      <c r="M13" s="54">
        <v>24</v>
      </c>
      <c r="N13" s="54">
        <v>29</v>
      </c>
      <c r="O13" s="54"/>
      <c r="P13" s="54"/>
      <c r="Q13" s="53">
        <f t="shared" si="5"/>
        <v>13.25</v>
      </c>
      <c r="R13" s="52">
        <f t="shared" si="6"/>
        <v>1.25</v>
      </c>
      <c r="S13" s="53">
        <f t="shared" si="7"/>
        <v>13.25</v>
      </c>
      <c r="T13" s="98"/>
      <c r="V13" s="44">
        <v>2</v>
      </c>
      <c r="W13" s="43">
        <v>11.458333333333334</v>
      </c>
    </row>
    <row r="14" spans="1:23">
      <c r="B14" s="69">
        <v>105</v>
      </c>
      <c r="C14" s="69" t="s">
        <v>10</v>
      </c>
      <c r="D14" s="69">
        <v>12</v>
      </c>
      <c r="E14" s="70">
        <f t="shared" si="0"/>
        <v>2</v>
      </c>
      <c r="F14" s="70">
        <f t="shared" si="1"/>
        <v>3</v>
      </c>
      <c r="G14" s="70">
        <f t="shared" si="2"/>
        <v>1</v>
      </c>
      <c r="H14" s="69">
        <v>2</v>
      </c>
      <c r="I14" s="69">
        <f t="shared" si="3"/>
        <v>5</v>
      </c>
      <c r="J14" s="69" t="str">
        <f t="shared" si="4"/>
        <v>231.2</v>
      </c>
      <c r="K14" s="68"/>
      <c r="L14" s="68"/>
      <c r="M14" s="68">
        <v>37</v>
      </c>
      <c r="N14" s="68">
        <v>40</v>
      </c>
      <c r="O14" s="68"/>
      <c r="P14" s="68"/>
      <c r="Q14" s="67">
        <f t="shared" si="5"/>
        <v>19.25</v>
      </c>
      <c r="R14" s="66">
        <f t="shared" si="6"/>
        <v>0.74999999999999989</v>
      </c>
      <c r="S14" s="67">
        <f t="shared" si="7"/>
        <v>9.625</v>
      </c>
      <c r="T14" s="100"/>
      <c r="V14" s="44">
        <v>3</v>
      </c>
      <c r="W14" s="43">
        <v>10.0625</v>
      </c>
    </row>
    <row r="15" spans="1:23">
      <c r="B15" s="55">
        <v>106</v>
      </c>
      <c r="C15" s="55" t="s">
        <v>7</v>
      </c>
      <c r="D15" s="55">
        <v>9</v>
      </c>
      <c r="E15" s="56">
        <f t="shared" si="0"/>
        <v>2</v>
      </c>
      <c r="F15" s="56">
        <f t="shared" si="1"/>
        <v>2</v>
      </c>
      <c r="G15" s="56">
        <f t="shared" si="2"/>
        <v>2</v>
      </c>
      <c r="H15" s="55">
        <v>2</v>
      </c>
      <c r="I15" s="55">
        <f t="shared" si="3"/>
        <v>6</v>
      </c>
      <c r="J15" s="55" t="str">
        <f t="shared" si="4"/>
        <v>222.2</v>
      </c>
      <c r="K15" s="54"/>
      <c r="L15" s="54"/>
      <c r="M15" s="54">
        <v>21</v>
      </c>
      <c r="N15" s="54">
        <v>23</v>
      </c>
      <c r="O15" s="54"/>
      <c r="P15" s="54"/>
      <c r="Q15" s="53">
        <f t="shared" si="5"/>
        <v>11</v>
      </c>
      <c r="R15" s="52">
        <f t="shared" si="6"/>
        <v>0.5</v>
      </c>
      <c r="S15" s="53">
        <f t="shared" si="7"/>
        <v>11</v>
      </c>
      <c r="T15" s="98"/>
      <c r="V15" s="44">
        <v>4</v>
      </c>
      <c r="W15" s="43">
        <v>12.375</v>
      </c>
    </row>
    <row r="16" spans="1:23">
      <c r="B16" s="55">
        <v>107</v>
      </c>
      <c r="C16" s="55" t="s">
        <v>6</v>
      </c>
      <c r="D16" s="55">
        <v>10</v>
      </c>
      <c r="E16" s="56">
        <f t="shared" si="0"/>
        <v>2</v>
      </c>
      <c r="F16" s="56">
        <f t="shared" si="1"/>
        <v>2</v>
      </c>
      <c r="G16" s="56">
        <f t="shared" si="2"/>
        <v>1</v>
      </c>
      <c r="H16" s="55">
        <v>2</v>
      </c>
      <c r="I16" s="55">
        <f t="shared" si="3"/>
        <v>7</v>
      </c>
      <c r="J16" s="55" t="str">
        <f t="shared" si="4"/>
        <v>221.2</v>
      </c>
      <c r="K16" s="54"/>
      <c r="L16" s="54"/>
      <c r="M16" s="54">
        <v>25</v>
      </c>
      <c r="N16" s="54">
        <v>21</v>
      </c>
      <c r="O16" s="54"/>
      <c r="P16" s="54"/>
      <c r="Q16" s="53">
        <f t="shared" si="5"/>
        <v>11.5</v>
      </c>
      <c r="R16" s="52">
        <f t="shared" si="6"/>
        <v>1</v>
      </c>
      <c r="S16" s="53">
        <f t="shared" si="7"/>
        <v>11.5</v>
      </c>
      <c r="T16" s="98"/>
      <c r="V16" s="44">
        <v>5</v>
      </c>
      <c r="W16" s="43">
        <v>10.9375</v>
      </c>
    </row>
    <row r="17" spans="2:24" ht="13.5" thickBot="1">
      <c r="B17" s="49">
        <v>108</v>
      </c>
      <c r="C17" s="49" t="s">
        <v>8</v>
      </c>
      <c r="D17" s="49">
        <v>3</v>
      </c>
      <c r="E17" s="50">
        <f t="shared" si="0"/>
        <v>1</v>
      </c>
      <c r="F17" s="50">
        <f t="shared" si="1"/>
        <v>2</v>
      </c>
      <c r="G17" s="50">
        <f t="shared" si="2"/>
        <v>2</v>
      </c>
      <c r="H17" s="49">
        <v>2</v>
      </c>
      <c r="I17" s="49">
        <f t="shared" si="3"/>
        <v>8</v>
      </c>
      <c r="J17" s="49" t="str">
        <f t="shared" si="4"/>
        <v>122.2</v>
      </c>
      <c r="K17" s="48"/>
      <c r="L17" s="48"/>
      <c r="M17" s="48">
        <v>26</v>
      </c>
      <c r="N17" s="48">
        <v>26</v>
      </c>
      <c r="O17" s="48"/>
      <c r="P17" s="48"/>
      <c r="Q17" s="48">
        <f t="shared" si="5"/>
        <v>13</v>
      </c>
      <c r="R17" s="47">
        <f t="shared" si="6"/>
        <v>0</v>
      </c>
      <c r="S17" s="48">
        <f t="shared" si="7"/>
        <v>13</v>
      </c>
      <c r="T17" s="97"/>
      <c r="V17" s="44">
        <v>6</v>
      </c>
      <c r="W17" s="43">
        <v>11.375</v>
      </c>
    </row>
    <row r="18" spans="2:24">
      <c r="B18" s="80">
        <v>201</v>
      </c>
      <c r="C18" s="80" t="s">
        <v>10</v>
      </c>
      <c r="D18" s="80">
        <v>12</v>
      </c>
      <c r="E18" s="81">
        <f t="shared" si="0"/>
        <v>2</v>
      </c>
      <c r="F18" s="81">
        <f t="shared" si="1"/>
        <v>3</v>
      </c>
      <c r="G18" s="81">
        <f t="shared" si="2"/>
        <v>1</v>
      </c>
      <c r="H18" s="80">
        <v>1</v>
      </c>
      <c r="I18" s="80">
        <f t="shared" si="3"/>
        <v>1</v>
      </c>
      <c r="J18" s="80" t="str">
        <f t="shared" si="4"/>
        <v>231.1</v>
      </c>
      <c r="K18" s="79"/>
      <c r="L18" s="79"/>
      <c r="M18" s="79">
        <v>48</v>
      </c>
      <c r="N18" s="79">
        <v>41</v>
      </c>
      <c r="O18" s="79"/>
      <c r="P18" s="79"/>
      <c r="Q18" s="67">
        <f t="shared" si="5"/>
        <v>22.25</v>
      </c>
      <c r="R18" s="67">
        <f t="shared" si="6"/>
        <v>1.7499999999999998</v>
      </c>
      <c r="S18" s="67">
        <f t="shared" si="7"/>
        <v>11.125</v>
      </c>
      <c r="T18" s="102"/>
      <c r="V18" s="44">
        <v>7</v>
      </c>
      <c r="W18" s="43">
        <v>12.5</v>
      </c>
    </row>
    <row r="19" spans="2:24">
      <c r="B19" s="55">
        <v>202</v>
      </c>
      <c r="C19" s="55" t="s">
        <v>7</v>
      </c>
      <c r="D19" s="55">
        <v>9</v>
      </c>
      <c r="E19" s="56">
        <f t="shared" si="0"/>
        <v>2</v>
      </c>
      <c r="F19" s="56">
        <f t="shared" si="1"/>
        <v>2</v>
      </c>
      <c r="G19" s="56">
        <f t="shared" si="2"/>
        <v>2</v>
      </c>
      <c r="H19" s="55">
        <v>1</v>
      </c>
      <c r="I19" s="55">
        <f t="shared" si="3"/>
        <v>2</v>
      </c>
      <c r="J19" s="55" t="str">
        <f t="shared" si="4"/>
        <v>222.1</v>
      </c>
      <c r="K19" s="78"/>
      <c r="L19" s="77">
        <v>18</v>
      </c>
      <c r="M19" s="77">
        <v>21</v>
      </c>
      <c r="N19" s="77">
        <v>22</v>
      </c>
      <c r="O19" s="54"/>
      <c r="P19" s="54"/>
      <c r="Q19" s="53">
        <f t="shared" si="5"/>
        <v>10.166666666666666</v>
      </c>
      <c r="R19" s="52">
        <f t="shared" si="6"/>
        <v>0.60092521257733167</v>
      </c>
      <c r="S19" s="53">
        <f t="shared" si="7"/>
        <v>10.166666666666666</v>
      </c>
      <c r="T19" s="98"/>
      <c r="V19" s="44">
        <v>8</v>
      </c>
      <c r="W19" s="43">
        <v>12.09375</v>
      </c>
    </row>
    <row r="20" spans="2:24">
      <c r="B20" s="55">
        <v>203</v>
      </c>
      <c r="C20" s="55" t="s">
        <v>8</v>
      </c>
      <c r="D20" s="55">
        <v>3</v>
      </c>
      <c r="E20" s="56">
        <f t="shared" si="0"/>
        <v>1</v>
      </c>
      <c r="F20" s="56">
        <f t="shared" si="1"/>
        <v>2</v>
      </c>
      <c r="G20" s="56">
        <f t="shared" si="2"/>
        <v>2</v>
      </c>
      <c r="H20" s="55">
        <v>1</v>
      </c>
      <c r="I20" s="55">
        <f t="shared" si="3"/>
        <v>3</v>
      </c>
      <c r="J20" s="55" t="str">
        <f t="shared" si="4"/>
        <v>122.1</v>
      </c>
      <c r="K20" s="54"/>
      <c r="L20" s="54"/>
      <c r="M20" s="54">
        <v>25</v>
      </c>
      <c r="N20" s="54">
        <v>23</v>
      </c>
      <c r="O20" s="54"/>
      <c r="P20" s="54"/>
      <c r="Q20" s="53">
        <f t="shared" si="5"/>
        <v>12</v>
      </c>
      <c r="R20" s="52">
        <f t="shared" si="6"/>
        <v>0.5</v>
      </c>
      <c r="S20" s="53">
        <f t="shared" si="7"/>
        <v>12</v>
      </c>
      <c r="T20" s="98"/>
      <c r="V20" s="76" t="s">
        <v>312</v>
      </c>
      <c r="W20" s="75">
        <v>11.432291666666666</v>
      </c>
    </row>
    <row r="21" spans="2:24">
      <c r="B21" s="69">
        <v>204</v>
      </c>
      <c r="C21" s="69" t="s">
        <v>11</v>
      </c>
      <c r="D21" s="69">
        <v>11</v>
      </c>
      <c r="E21" s="70">
        <f t="shared" si="0"/>
        <v>2</v>
      </c>
      <c r="F21" s="70">
        <f t="shared" si="1"/>
        <v>3</v>
      </c>
      <c r="G21" s="70">
        <f t="shared" si="2"/>
        <v>2</v>
      </c>
      <c r="H21" s="69">
        <v>1</v>
      </c>
      <c r="I21" s="69">
        <f t="shared" si="3"/>
        <v>4</v>
      </c>
      <c r="J21" s="69" t="str">
        <f t="shared" si="4"/>
        <v>232.1</v>
      </c>
      <c r="K21" s="68"/>
      <c r="L21" s="68"/>
      <c r="M21" s="68">
        <v>48</v>
      </c>
      <c r="N21" s="68">
        <v>46</v>
      </c>
      <c r="O21" s="68"/>
      <c r="P21" s="68"/>
      <c r="Q21" s="67">
        <f t="shared" si="5"/>
        <v>23.5</v>
      </c>
      <c r="R21" s="66">
        <f t="shared" si="6"/>
        <v>0.5</v>
      </c>
      <c r="S21" s="67">
        <f t="shared" si="7"/>
        <v>11.75</v>
      </c>
      <c r="T21" s="100"/>
    </row>
    <row r="22" spans="2:24">
      <c r="B22" s="55">
        <v>205</v>
      </c>
      <c r="C22" s="55" t="s">
        <v>3</v>
      </c>
      <c r="D22" s="55">
        <v>1</v>
      </c>
      <c r="E22" s="56">
        <f t="shared" si="0"/>
        <v>1</v>
      </c>
      <c r="F22" s="56">
        <f t="shared" si="1"/>
        <v>1</v>
      </c>
      <c r="G22" s="56">
        <f t="shared" si="2"/>
        <v>2</v>
      </c>
      <c r="H22" s="55">
        <v>2</v>
      </c>
      <c r="I22" s="55">
        <f t="shared" si="3"/>
        <v>5</v>
      </c>
      <c r="J22" s="55" t="str">
        <f t="shared" si="4"/>
        <v>112.2</v>
      </c>
      <c r="K22" s="54"/>
      <c r="L22" s="54"/>
      <c r="M22" s="54">
        <v>18</v>
      </c>
      <c r="N22" s="54">
        <v>29</v>
      </c>
      <c r="O22" s="54"/>
      <c r="P22" s="54"/>
      <c r="Q22" s="53">
        <f t="shared" si="5"/>
        <v>11.75</v>
      </c>
      <c r="R22" s="52">
        <f t="shared" si="6"/>
        <v>2.7499999999999996</v>
      </c>
      <c r="S22" s="53">
        <f t="shared" si="7"/>
        <v>11.75</v>
      </c>
      <c r="T22" s="98"/>
    </row>
    <row r="23" spans="2:24">
      <c r="B23" s="55">
        <v>206</v>
      </c>
      <c r="C23" s="55" t="s">
        <v>12</v>
      </c>
      <c r="D23" s="55">
        <v>8</v>
      </c>
      <c r="E23" s="56">
        <f t="shared" si="0"/>
        <v>2</v>
      </c>
      <c r="F23" s="56">
        <f t="shared" si="1"/>
        <v>1</v>
      </c>
      <c r="G23" s="56">
        <f t="shared" si="2"/>
        <v>1</v>
      </c>
      <c r="H23" s="55">
        <v>2</v>
      </c>
      <c r="I23" s="55">
        <f t="shared" si="3"/>
        <v>6</v>
      </c>
      <c r="J23" s="55" t="str">
        <f t="shared" si="4"/>
        <v>211.2</v>
      </c>
      <c r="K23" s="54"/>
      <c r="L23" s="54"/>
      <c r="M23" s="54">
        <v>27</v>
      </c>
      <c r="N23" s="54">
        <v>17</v>
      </c>
      <c r="O23" s="54"/>
      <c r="P23" s="54"/>
      <c r="Q23" s="53">
        <f t="shared" si="5"/>
        <v>11</v>
      </c>
      <c r="R23" s="52">
        <f t="shared" si="6"/>
        <v>2.5</v>
      </c>
      <c r="S23" s="53">
        <f t="shared" si="7"/>
        <v>11</v>
      </c>
      <c r="T23" s="98"/>
    </row>
    <row r="24" spans="2:24">
      <c r="B24" s="55">
        <v>207</v>
      </c>
      <c r="C24" s="55" t="s">
        <v>4</v>
      </c>
      <c r="D24" s="55">
        <v>4</v>
      </c>
      <c r="E24" s="56">
        <f t="shared" si="0"/>
        <v>1</v>
      </c>
      <c r="F24" s="56">
        <f t="shared" si="1"/>
        <v>2</v>
      </c>
      <c r="G24" s="56">
        <f t="shared" si="2"/>
        <v>1</v>
      </c>
      <c r="H24" s="55">
        <v>2</v>
      </c>
      <c r="I24" s="55">
        <f t="shared" si="3"/>
        <v>7</v>
      </c>
      <c r="J24" s="55" t="str">
        <f t="shared" si="4"/>
        <v>121.2</v>
      </c>
      <c r="K24" s="54"/>
      <c r="L24" s="54"/>
      <c r="M24" s="54">
        <v>25</v>
      </c>
      <c r="N24" s="54">
        <v>23</v>
      </c>
      <c r="O24" s="54"/>
      <c r="P24" s="54"/>
      <c r="Q24" s="53">
        <f t="shared" si="5"/>
        <v>12</v>
      </c>
      <c r="R24" s="52">
        <f t="shared" si="6"/>
        <v>0.5</v>
      </c>
      <c r="S24" s="53">
        <f t="shared" si="7"/>
        <v>12</v>
      </c>
      <c r="T24" s="98"/>
      <c r="V24" s="38"/>
    </row>
    <row r="25" spans="2:24" ht="13.5" thickBot="1">
      <c r="B25" s="49">
        <v>208</v>
      </c>
      <c r="C25" s="49" t="s">
        <v>13</v>
      </c>
      <c r="D25" s="49">
        <v>2</v>
      </c>
      <c r="E25" s="50">
        <f t="shared" si="0"/>
        <v>1</v>
      </c>
      <c r="F25" s="50">
        <f t="shared" si="1"/>
        <v>1</v>
      </c>
      <c r="G25" s="50">
        <f t="shared" si="2"/>
        <v>1</v>
      </c>
      <c r="H25" s="49">
        <v>2</v>
      </c>
      <c r="I25" s="49">
        <f t="shared" si="3"/>
        <v>8</v>
      </c>
      <c r="J25" s="49" t="str">
        <f t="shared" si="4"/>
        <v>111.2</v>
      </c>
      <c r="K25" s="48"/>
      <c r="L25" s="48"/>
      <c r="M25" s="48">
        <v>26</v>
      </c>
      <c r="N25" s="48">
        <v>22</v>
      </c>
      <c r="O25" s="48"/>
      <c r="P25" s="48"/>
      <c r="Q25" s="48">
        <f t="shared" si="5"/>
        <v>12</v>
      </c>
      <c r="R25" s="47">
        <f t="shared" si="6"/>
        <v>1</v>
      </c>
      <c r="S25" s="48">
        <f t="shared" si="7"/>
        <v>12</v>
      </c>
      <c r="T25" s="97"/>
    </row>
    <row r="26" spans="2:24">
      <c r="B26" s="61">
        <v>301</v>
      </c>
      <c r="C26" s="61" t="s">
        <v>6</v>
      </c>
      <c r="D26" s="61">
        <v>10</v>
      </c>
      <c r="E26" s="62">
        <f t="shared" si="0"/>
        <v>2</v>
      </c>
      <c r="F26" s="62">
        <f t="shared" si="1"/>
        <v>2</v>
      </c>
      <c r="G26" s="62">
        <f t="shared" si="2"/>
        <v>1</v>
      </c>
      <c r="H26" s="61">
        <v>3</v>
      </c>
      <c r="I26" s="61">
        <f t="shared" si="3"/>
        <v>1</v>
      </c>
      <c r="J26" s="61" t="str">
        <f t="shared" si="4"/>
        <v>221.3</v>
      </c>
      <c r="K26" s="60"/>
      <c r="L26" s="60"/>
      <c r="M26" s="60">
        <v>27</v>
      </c>
      <c r="N26" s="60">
        <v>21</v>
      </c>
      <c r="O26" s="60"/>
      <c r="P26" s="60"/>
      <c r="Q26" s="53">
        <f t="shared" si="5"/>
        <v>12</v>
      </c>
      <c r="R26" s="53">
        <f t="shared" si="6"/>
        <v>1.4999999999999998</v>
      </c>
      <c r="S26" s="53">
        <f t="shared" si="7"/>
        <v>12</v>
      </c>
      <c r="T26" s="99"/>
      <c r="V26" s="38"/>
    </row>
    <row r="27" spans="2:24">
      <c r="B27" s="55">
        <v>302</v>
      </c>
      <c r="C27" s="55" t="s">
        <v>4</v>
      </c>
      <c r="D27" s="55">
        <v>4</v>
      </c>
      <c r="E27" s="56">
        <f t="shared" si="0"/>
        <v>1</v>
      </c>
      <c r="F27" s="56">
        <f t="shared" si="1"/>
        <v>2</v>
      </c>
      <c r="G27" s="56">
        <f t="shared" si="2"/>
        <v>1</v>
      </c>
      <c r="H27" s="55">
        <v>3</v>
      </c>
      <c r="I27" s="55">
        <f t="shared" si="3"/>
        <v>2</v>
      </c>
      <c r="J27" s="55" t="str">
        <f t="shared" si="4"/>
        <v>121.3</v>
      </c>
      <c r="K27" s="54"/>
      <c r="L27" s="54">
        <v>20</v>
      </c>
      <c r="M27" s="54">
        <v>27</v>
      </c>
      <c r="N27" s="54">
        <v>27</v>
      </c>
      <c r="O27" s="54"/>
      <c r="P27" s="54"/>
      <c r="Q27" s="53">
        <f t="shared" si="5"/>
        <v>12.333333333333334</v>
      </c>
      <c r="R27" s="52">
        <f t="shared" si="6"/>
        <v>1.1666666666666681</v>
      </c>
      <c r="S27" s="53">
        <f t="shared" si="7"/>
        <v>12.333333333333334</v>
      </c>
      <c r="T27" s="98"/>
    </row>
    <row r="28" spans="2:24">
      <c r="B28" s="55">
        <v>303</v>
      </c>
      <c r="C28" s="55" t="s">
        <v>12</v>
      </c>
      <c r="D28" s="55">
        <v>8</v>
      </c>
      <c r="E28" s="56">
        <f t="shared" si="0"/>
        <v>2</v>
      </c>
      <c r="F28" s="56">
        <f t="shared" si="1"/>
        <v>1</v>
      </c>
      <c r="G28" s="56">
        <f t="shared" si="2"/>
        <v>1</v>
      </c>
      <c r="H28" s="55">
        <v>3</v>
      </c>
      <c r="I28" s="55">
        <f t="shared" si="3"/>
        <v>3</v>
      </c>
      <c r="J28" s="55" t="str">
        <f t="shared" si="4"/>
        <v>211.3</v>
      </c>
      <c r="K28" s="54"/>
      <c r="L28" s="54"/>
      <c r="M28" s="54">
        <v>15</v>
      </c>
      <c r="N28" s="54">
        <v>16</v>
      </c>
      <c r="O28" s="54"/>
      <c r="P28" s="54"/>
      <c r="Q28" s="53">
        <f t="shared" si="5"/>
        <v>7.75</v>
      </c>
      <c r="R28" s="52">
        <f t="shared" si="6"/>
        <v>0.25</v>
      </c>
      <c r="S28" s="53">
        <f t="shared" si="7"/>
        <v>7.75</v>
      </c>
      <c r="T28" s="98"/>
    </row>
    <row r="29" spans="2:24">
      <c r="B29" s="55">
        <v>304</v>
      </c>
      <c r="C29" s="55" t="s">
        <v>13</v>
      </c>
      <c r="D29" s="55">
        <v>2</v>
      </c>
      <c r="E29" s="56">
        <f t="shared" si="0"/>
        <v>1</v>
      </c>
      <c r="F29" s="56">
        <f t="shared" si="1"/>
        <v>1</v>
      </c>
      <c r="G29" s="56">
        <f t="shared" si="2"/>
        <v>1</v>
      </c>
      <c r="H29" s="55">
        <v>3</v>
      </c>
      <c r="I29" s="55">
        <f t="shared" si="3"/>
        <v>4</v>
      </c>
      <c r="J29" s="55" t="str">
        <f t="shared" si="4"/>
        <v>111.3</v>
      </c>
      <c r="K29" s="54"/>
      <c r="L29" s="54"/>
      <c r="M29" s="54">
        <v>19</v>
      </c>
      <c r="N29" s="54">
        <v>22</v>
      </c>
      <c r="O29" s="54"/>
      <c r="P29" s="54"/>
      <c r="Q29" s="53">
        <f t="shared" si="5"/>
        <v>10.25</v>
      </c>
      <c r="R29" s="52">
        <f t="shared" si="6"/>
        <v>0.74999999999999989</v>
      </c>
      <c r="S29" s="53">
        <f t="shared" si="7"/>
        <v>10.25</v>
      </c>
      <c r="T29" s="98"/>
      <c r="X29" s="38"/>
    </row>
    <row r="30" spans="2:24">
      <c r="B30" s="69">
        <v>305</v>
      </c>
      <c r="C30" s="69" t="s">
        <v>11</v>
      </c>
      <c r="D30" s="69">
        <v>11</v>
      </c>
      <c r="E30" s="70">
        <f t="shared" si="0"/>
        <v>2</v>
      </c>
      <c r="F30" s="70">
        <f t="shared" si="1"/>
        <v>3</v>
      </c>
      <c r="G30" s="70">
        <f t="shared" si="2"/>
        <v>2</v>
      </c>
      <c r="H30" s="69">
        <v>4</v>
      </c>
      <c r="I30" s="69">
        <f t="shared" si="3"/>
        <v>5</v>
      </c>
      <c r="J30" s="69" t="str">
        <f t="shared" si="4"/>
        <v>232.4</v>
      </c>
      <c r="K30" s="68"/>
      <c r="L30" s="68"/>
      <c r="M30" s="68">
        <v>56</v>
      </c>
      <c r="N30" s="68">
        <v>39</v>
      </c>
      <c r="O30" s="68"/>
      <c r="P30" s="68"/>
      <c r="Q30" s="67">
        <f t="shared" si="5"/>
        <v>23.75</v>
      </c>
      <c r="R30" s="66">
        <f t="shared" si="6"/>
        <v>4.2499999999999991</v>
      </c>
      <c r="S30" s="67">
        <f t="shared" si="7"/>
        <v>11.875</v>
      </c>
      <c r="T30" s="100"/>
    </row>
    <row r="31" spans="2:24">
      <c r="B31" s="55">
        <v>306</v>
      </c>
      <c r="C31" s="55" t="s">
        <v>4</v>
      </c>
      <c r="D31" s="55">
        <v>4</v>
      </c>
      <c r="E31" s="56">
        <f t="shared" si="0"/>
        <v>1</v>
      </c>
      <c r="F31" s="56">
        <f t="shared" si="1"/>
        <v>2</v>
      </c>
      <c r="G31" s="56">
        <f t="shared" si="2"/>
        <v>1</v>
      </c>
      <c r="H31" s="55">
        <v>4</v>
      </c>
      <c r="I31" s="55">
        <f t="shared" si="3"/>
        <v>6</v>
      </c>
      <c r="J31" s="55" t="str">
        <f t="shared" si="4"/>
        <v>121.4</v>
      </c>
      <c r="K31" s="54"/>
      <c r="L31" s="54"/>
      <c r="M31" s="54">
        <v>25</v>
      </c>
      <c r="N31" s="54">
        <v>27</v>
      </c>
      <c r="O31" s="54"/>
      <c r="P31" s="54"/>
      <c r="Q31" s="53">
        <f t="shared" si="5"/>
        <v>13</v>
      </c>
      <c r="R31" s="52">
        <f t="shared" si="6"/>
        <v>0.5</v>
      </c>
      <c r="S31" s="53">
        <f t="shared" si="7"/>
        <v>13</v>
      </c>
      <c r="T31" s="98"/>
    </row>
    <row r="32" spans="2:24">
      <c r="B32" s="55">
        <v>307</v>
      </c>
      <c r="C32" s="55" t="s">
        <v>7</v>
      </c>
      <c r="D32" s="55">
        <v>9</v>
      </c>
      <c r="E32" s="56">
        <f t="shared" si="0"/>
        <v>2</v>
      </c>
      <c r="F32" s="56">
        <f t="shared" si="1"/>
        <v>2</v>
      </c>
      <c r="G32" s="56">
        <f t="shared" si="2"/>
        <v>2</v>
      </c>
      <c r="H32" s="55">
        <v>4</v>
      </c>
      <c r="I32" s="55">
        <f t="shared" si="3"/>
        <v>7</v>
      </c>
      <c r="J32" s="55" t="str">
        <f t="shared" si="4"/>
        <v>222.4</v>
      </c>
      <c r="K32" s="54"/>
      <c r="L32" s="54"/>
      <c r="M32" s="54">
        <v>25</v>
      </c>
      <c r="N32" s="54">
        <v>29</v>
      </c>
      <c r="O32" s="54"/>
      <c r="P32" s="54"/>
      <c r="Q32" s="53">
        <f t="shared" si="5"/>
        <v>13.5</v>
      </c>
      <c r="R32" s="52">
        <f t="shared" si="6"/>
        <v>1</v>
      </c>
      <c r="S32" s="53">
        <f t="shared" si="7"/>
        <v>13.5</v>
      </c>
      <c r="T32" s="98"/>
    </row>
    <row r="33" spans="2:23" ht="13.5" thickBot="1">
      <c r="B33" s="73">
        <v>308</v>
      </c>
      <c r="C33" s="73" t="s">
        <v>5</v>
      </c>
      <c r="D33" s="73">
        <v>5</v>
      </c>
      <c r="E33" s="74">
        <f t="shared" si="0"/>
        <v>1</v>
      </c>
      <c r="F33" s="74">
        <f t="shared" si="1"/>
        <v>3</v>
      </c>
      <c r="G33" s="74">
        <f t="shared" si="2"/>
        <v>2</v>
      </c>
      <c r="H33" s="73">
        <v>4</v>
      </c>
      <c r="I33" s="73">
        <f t="shared" si="3"/>
        <v>8</v>
      </c>
      <c r="J33" s="73" t="str">
        <f t="shared" si="4"/>
        <v>132.4</v>
      </c>
      <c r="K33" s="72"/>
      <c r="L33" s="72"/>
      <c r="M33" s="72">
        <v>45</v>
      </c>
      <c r="N33" s="72">
        <v>42</v>
      </c>
      <c r="O33" s="72"/>
      <c r="P33" s="72"/>
      <c r="Q33" s="72">
        <f t="shared" si="5"/>
        <v>21.75</v>
      </c>
      <c r="R33" s="71">
        <f t="shared" si="6"/>
        <v>0.74999999999999989</v>
      </c>
      <c r="S33" s="72">
        <f t="shared" si="7"/>
        <v>10.875</v>
      </c>
      <c r="T33" s="101"/>
    </row>
    <row r="34" spans="2:23">
      <c r="B34" s="61">
        <v>401</v>
      </c>
      <c r="C34" s="61" t="s">
        <v>14</v>
      </c>
      <c r="D34" s="61">
        <v>7</v>
      </c>
      <c r="E34" s="62">
        <f t="shared" si="0"/>
        <v>2</v>
      </c>
      <c r="F34" s="62">
        <f t="shared" si="1"/>
        <v>1</v>
      </c>
      <c r="G34" s="62">
        <f t="shared" si="2"/>
        <v>2</v>
      </c>
      <c r="H34" s="61">
        <v>3</v>
      </c>
      <c r="I34" s="61">
        <f t="shared" si="3"/>
        <v>1</v>
      </c>
      <c r="J34" s="61" t="str">
        <f t="shared" si="4"/>
        <v>212.3</v>
      </c>
      <c r="K34" s="60"/>
      <c r="L34" s="60"/>
      <c r="M34" s="60">
        <v>16</v>
      </c>
      <c r="N34" s="60">
        <v>19</v>
      </c>
      <c r="O34" s="60"/>
      <c r="P34" s="60"/>
      <c r="Q34" s="53">
        <f t="shared" si="5"/>
        <v>8.75</v>
      </c>
      <c r="R34" s="53">
        <f t="shared" si="6"/>
        <v>0.74999999999999989</v>
      </c>
      <c r="S34" s="53">
        <f t="shared" si="7"/>
        <v>8.75</v>
      </c>
      <c r="T34" s="99"/>
    </row>
    <row r="35" spans="2:23">
      <c r="B35" s="55">
        <v>402</v>
      </c>
      <c r="C35" s="55" t="s">
        <v>7</v>
      </c>
      <c r="D35" s="55">
        <v>9</v>
      </c>
      <c r="E35" s="56">
        <f t="shared" si="0"/>
        <v>2</v>
      </c>
      <c r="F35" s="56">
        <f t="shared" si="1"/>
        <v>2</v>
      </c>
      <c r="G35" s="56">
        <f t="shared" si="2"/>
        <v>2</v>
      </c>
      <c r="H35" s="55">
        <v>3</v>
      </c>
      <c r="I35" s="55">
        <f t="shared" si="3"/>
        <v>2</v>
      </c>
      <c r="J35" s="55" t="str">
        <f t="shared" si="4"/>
        <v>222.3</v>
      </c>
      <c r="K35" s="54"/>
      <c r="L35" s="54">
        <v>29</v>
      </c>
      <c r="M35" s="54">
        <v>14</v>
      </c>
      <c r="N35" s="54">
        <v>28</v>
      </c>
      <c r="O35" s="54"/>
      <c r="P35" s="54"/>
      <c r="Q35" s="53">
        <f t="shared" si="5"/>
        <v>11.833333333333334</v>
      </c>
      <c r="R35" s="52">
        <f t="shared" si="6"/>
        <v>2.4209731743889926</v>
      </c>
      <c r="S35" s="53">
        <f t="shared" si="7"/>
        <v>11.833333333333334</v>
      </c>
      <c r="T35" s="98"/>
    </row>
    <row r="36" spans="2:23">
      <c r="B36" s="69">
        <v>403</v>
      </c>
      <c r="C36" s="69" t="s">
        <v>15</v>
      </c>
      <c r="D36" s="69">
        <v>6</v>
      </c>
      <c r="E36" s="70">
        <f t="shared" si="0"/>
        <v>1</v>
      </c>
      <c r="F36" s="70">
        <f t="shared" si="1"/>
        <v>3</v>
      </c>
      <c r="G36" s="70">
        <f t="shared" si="2"/>
        <v>1</v>
      </c>
      <c r="H36" s="69">
        <v>3</v>
      </c>
      <c r="I36" s="69">
        <f t="shared" si="3"/>
        <v>3</v>
      </c>
      <c r="J36" s="69" t="str">
        <f t="shared" si="4"/>
        <v>131.3</v>
      </c>
      <c r="K36" s="68"/>
      <c r="L36" s="68"/>
      <c r="M36" s="68">
        <v>42</v>
      </c>
      <c r="N36" s="68">
        <v>48</v>
      </c>
      <c r="O36" s="68"/>
      <c r="P36" s="68"/>
      <c r="Q36" s="67">
        <f t="shared" si="5"/>
        <v>22.5</v>
      </c>
      <c r="R36" s="66">
        <f t="shared" si="6"/>
        <v>1.4999999999999998</v>
      </c>
      <c r="S36" s="67">
        <f t="shared" si="7"/>
        <v>11.25</v>
      </c>
      <c r="T36" s="100"/>
    </row>
    <row r="37" spans="2:23">
      <c r="B37" s="55">
        <v>404</v>
      </c>
      <c r="C37" s="55" t="s">
        <v>8</v>
      </c>
      <c r="D37" s="55">
        <v>3</v>
      </c>
      <c r="E37" s="56">
        <f t="shared" si="0"/>
        <v>1</v>
      </c>
      <c r="F37" s="56">
        <f t="shared" si="1"/>
        <v>2</v>
      </c>
      <c r="G37" s="56">
        <f t="shared" si="2"/>
        <v>2</v>
      </c>
      <c r="H37" s="55">
        <v>3</v>
      </c>
      <c r="I37" s="55">
        <f t="shared" si="3"/>
        <v>4</v>
      </c>
      <c r="J37" s="55" t="str">
        <f t="shared" si="4"/>
        <v>122.3</v>
      </c>
      <c r="K37" s="54"/>
      <c r="L37" s="54"/>
      <c r="M37" s="54">
        <v>25</v>
      </c>
      <c r="N37" s="54">
        <v>32</v>
      </c>
      <c r="O37" s="54"/>
      <c r="P37" s="54"/>
      <c r="Q37" s="53">
        <f t="shared" si="5"/>
        <v>14.25</v>
      </c>
      <c r="R37" s="52">
        <f t="shared" si="6"/>
        <v>1.7499999999999998</v>
      </c>
      <c r="S37" s="53">
        <f t="shared" si="7"/>
        <v>14.25</v>
      </c>
      <c r="T37" s="98"/>
    </row>
    <row r="38" spans="2:23">
      <c r="B38" s="69">
        <v>405</v>
      </c>
      <c r="C38" s="69" t="s">
        <v>15</v>
      </c>
      <c r="D38" s="69">
        <v>6</v>
      </c>
      <c r="E38" s="70">
        <f t="shared" si="0"/>
        <v>1</v>
      </c>
      <c r="F38" s="70">
        <f t="shared" si="1"/>
        <v>3</v>
      </c>
      <c r="G38" s="70">
        <f t="shared" si="2"/>
        <v>1</v>
      </c>
      <c r="H38" s="69">
        <v>4</v>
      </c>
      <c r="I38" s="69">
        <f t="shared" si="3"/>
        <v>5</v>
      </c>
      <c r="J38" s="69" t="str">
        <f t="shared" si="4"/>
        <v>131.4</v>
      </c>
      <c r="K38" s="68"/>
      <c r="L38" s="68"/>
      <c r="M38" s="68">
        <v>47</v>
      </c>
      <c r="N38" s="68">
        <v>37</v>
      </c>
      <c r="O38" s="68"/>
      <c r="P38" s="68"/>
      <c r="Q38" s="67">
        <f t="shared" si="5"/>
        <v>21</v>
      </c>
      <c r="R38" s="66">
        <f t="shared" si="6"/>
        <v>2.5</v>
      </c>
      <c r="S38" s="67">
        <f t="shared" si="7"/>
        <v>10.5</v>
      </c>
      <c r="T38" s="100"/>
    </row>
    <row r="39" spans="2:23">
      <c r="B39" s="55">
        <v>406</v>
      </c>
      <c r="C39" s="55" t="s">
        <v>8</v>
      </c>
      <c r="D39" s="55">
        <v>3</v>
      </c>
      <c r="E39" s="56">
        <f t="shared" si="0"/>
        <v>1</v>
      </c>
      <c r="F39" s="56">
        <f t="shared" si="1"/>
        <v>2</v>
      </c>
      <c r="G39" s="56">
        <f t="shared" si="2"/>
        <v>2</v>
      </c>
      <c r="H39" s="55">
        <v>4</v>
      </c>
      <c r="I39" s="55">
        <f t="shared" si="3"/>
        <v>6</v>
      </c>
      <c r="J39" s="55" t="str">
        <f t="shared" si="4"/>
        <v>122.4</v>
      </c>
      <c r="K39" s="54"/>
      <c r="L39" s="54"/>
      <c r="M39" s="54">
        <v>17</v>
      </c>
      <c r="N39" s="54">
        <v>25</v>
      </c>
      <c r="O39" s="54"/>
      <c r="P39" s="54"/>
      <c r="Q39" s="53">
        <f t="shared" si="5"/>
        <v>10.5</v>
      </c>
      <c r="R39" s="52">
        <f t="shared" si="6"/>
        <v>2</v>
      </c>
      <c r="S39" s="53">
        <f t="shared" si="7"/>
        <v>10.5</v>
      </c>
      <c r="T39" s="98"/>
    </row>
    <row r="40" spans="2:23">
      <c r="B40" s="55">
        <v>407</v>
      </c>
      <c r="C40" s="55" t="s">
        <v>14</v>
      </c>
      <c r="D40" s="55">
        <v>7</v>
      </c>
      <c r="E40" s="56">
        <f t="shared" si="0"/>
        <v>2</v>
      </c>
      <c r="F40" s="56">
        <f t="shared" si="1"/>
        <v>1</v>
      </c>
      <c r="G40" s="56">
        <f t="shared" si="2"/>
        <v>2</v>
      </c>
      <c r="H40" s="55">
        <v>4</v>
      </c>
      <c r="I40" s="55">
        <f t="shared" si="3"/>
        <v>7</v>
      </c>
      <c r="J40" s="55" t="str">
        <f t="shared" si="4"/>
        <v>212.4</v>
      </c>
      <c r="K40" s="54"/>
      <c r="L40" s="54"/>
      <c r="M40" s="54">
        <v>25</v>
      </c>
      <c r="N40" s="54">
        <v>27</v>
      </c>
      <c r="O40" s="54"/>
      <c r="P40" s="54"/>
      <c r="Q40" s="53">
        <f t="shared" si="5"/>
        <v>13</v>
      </c>
      <c r="R40" s="52">
        <f t="shared" si="6"/>
        <v>0.5</v>
      </c>
      <c r="S40" s="53">
        <f t="shared" si="7"/>
        <v>13</v>
      </c>
      <c r="T40" s="98"/>
      <c r="V40" s="65" t="s">
        <v>307</v>
      </c>
      <c r="W40" s="63"/>
    </row>
    <row r="41" spans="2:23" ht="13.5" thickBot="1">
      <c r="B41" s="49">
        <v>408</v>
      </c>
      <c r="C41" s="49" t="s">
        <v>6</v>
      </c>
      <c r="D41" s="49">
        <v>10</v>
      </c>
      <c r="E41" s="50">
        <f t="shared" si="0"/>
        <v>2</v>
      </c>
      <c r="F41" s="50">
        <f t="shared" si="1"/>
        <v>2</v>
      </c>
      <c r="G41" s="50">
        <f t="shared" si="2"/>
        <v>1</v>
      </c>
      <c r="H41" s="49">
        <v>4</v>
      </c>
      <c r="I41" s="49">
        <f t="shared" si="3"/>
        <v>8</v>
      </c>
      <c r="J41" s="49" t="str">
        <f t="shared" si="4"/>
        <v>221.4</v>
      </c>
      <c r="K41" s="48"/>
      <c r="L41" s="48"/>
      <c r="M41" s="48">
        <v>27</v>
      </c>
      <c r="N41" s="48">
        <v>23</v>
      </c>
      <c r="O41" s="48"/>
      <c r="P41" s="48"/>
      <c r="Q41" s="48">
        <f t="shared" si="5"/>
        <v>12.5</v>
      </c>
      <c r="R41" s="47">
        <f t="shared" si="6"/>
        <v>1</v>
      </c>
      <c r="S41" s="48">
        <f t="shared" si="7"/>
        <v>12.5</v>
      </c>
      <c r="T41" s="97"/>
      <c r="V41" s="65" t="s">
        <v>331</v>
      </c>
      <c r="W41" s="63" t="s">
        <v>304</v>
      </c>
    </row>
    <row r="42" spans="2:23">
      <c r="B42" s="61">
        <v>901</v>
      </c>
      <c r="C42" s="61" t="s">
        <v>16</v>
      </c>
      <c r="D42" s="61">
        <v>32</v>
      </c>
      <c r="E42" s="62">
        <v>9</v>
      </c>
      <c r="F42" s="62">
        <v>0</v>
      </c>
      <c r="G42" s="62">
        <v>1</v>
      </c>
      <c r="H42" s="61">
        <v>1</v>
      </c>
      <c r="I42" s="61">
        <f t="shared" si="3"/>
        <v>1</v>
      </c>
      <c r="J42" s="61" t="str">
        <f t="shared" si="4"/>
        <v>901.1</v>
      </c>
      <c r="K42" s="60"/>
      <c r="L42" s="60"/>
      <c r="M42" s="60">
        <v>0</v>
      </c>
      <c r="N42" s="60">
        <v>0</v>
      </c>
      <c r="O42" s="60"/>
      <c r="P42" s="60"/>
      <c r="Q42" s="53">
        <f t="shared" si="5"/>
        <v>0</v>
      </c>
      <c r="R42" s="53">
        <f t="shared" si="6"/>
        <v>0</v>
      </c>
      <c r="S42" s="53">
        <f t="shared" si="7"/>
        <v>0</v>
      </c>
      <c r="T42" s="99"/>
      <c r="V42" s="59">
        <v>1</v>
      </c>
      <c r="W42" s="58">
        <v>10.65625</v>
      </c>
    </row>
    <row r="43" spans="2:23">
      <c r="B43" s="55">
        <v>902</v>
      </c>
      <c r="C43" s="57" t="s">
        <v>302</v>
      </c>
      <c r="D43" s="55">
        <v>22</v>
      </c>
      <c r="E43" s="56">
        <v>4</v>
      </c>
      <c r="F43" s="56">
        <v>2</v>
      </c>
      <c r="G43" s="56">
        <v>2</v>
      </c>
      <c r="H43" s="55">
        <v>1</v>
      </c>
      <c r="I43" s="55">
        <f t="shared" si="3"/>
        <v>2</v>
      </c>
      <c r="J43" s="55" t="str">
        <f t="shared" si="4"/>
        <v>422.1</v>
      </c>
      <c r="K43" s="54"/>
      <c r="L43" s="54">
        <v>30</v>
      </c>
      <c r="M43" s="54">
        <v>30</v>
      </c>
      <c r="N43" s="54">
        <v>24</v>
      </c>
      <c r="O43" s="54"/>
      <c r="P43" s="54"/>
      <c r="Q43" s="53">
        <f t="shared" si="5"/>
        <v>14</v>
      </c>
      <c r="R43" s="52">
        <f t="shared" si="6"/>
        <v>1</v>
      </c>
      <c r="S43" s="53">
        <f t="shared" si="7"/>
        <v>14</v>
      </c>
      <c r="T43" s="98"/>
      <c r="V43" s="44">
        <v>2</v>
      </c>
      <c r="W43" s="43">
        <v>12.145833333333334</v>
      </c>
    </row>
    <row r="44" spans="2:23">
      <c r="B44" s="55">
        <v>903</v>
      </c>
      <c r="C44" s="55" t="s">
        <v>17</v>
      </c>
      <c r="D44" s="55">
        <v>31</v>
      </c>
      <c r="E44" s="56">
        <v>8</v>
      </c>
      <c r="F44" s="56">
        <v>0</v>
      </c>
      <c r="G44" s="56">
        <v>1</v>
      </c>
      <c r="H44" s="55">
        <v>1</v>
      </c>
      <c r="I44" s="55">
        <f t="shared" si="3"/>
        <v>3</v>
      </c>
      <c r="J44" s="55" t="str">
        <f t="shared" si="4"/>
        <v>801.1</v>
      </c>
      <c r="K44" s="54"/>
      <c r="L44" s="54"/>
      <c r="M44" s="54">
        <v>0</v>
      </c>
      <c r="N44" s="54">
        <v>0</v>
      </c>
      <c r="O44" s="54"/>
      <c r="P44" s="54"/>
      <c r="Q44" s="53">
        <f t="shared" si="5"/>
        <v>0</v>
      </c>
      <c r="R44" s="52">
        <f t="shared" si="6"/>
        <v>0</v>
      </c>
      <c r="S44" s="53">
        <f t="shared" si="7"/>
        <v>0</v>
      </c>
      <c r="T44" s="98"/>
      <c r="V44" s="42">
        <v>3</v>
      </c>
      <c r="W44" s="41">
        <v>21.5625</v>
      </c>
    </row>
    <row r="45" spans="2:23">
      <c r="B45" s="55">
        <v>904</v>
      </c>
      <c r="C45" s="57" t="s">
        <v>301</v>
      </c>
      <c r="D45" s="55">
        <v>21</v>
      </c>
      <c r="E45" s="56">
        <v>3</v>
      </c>
      <c r="F45" s="56">
        <v>2</v>
      </c>
      <c r="G45" s="56">
        <v>2</v>
      </c>
      <c r="H45" s="55">
        <v>1</v>
      </c>
      <c r="I45" s="55">
        <f t="shared" si="3"/>
        <v>4</v>
      </c>
      <c r="J45" s="55" t="str">
        <f t="shared" si="4"/>
        <v>322.1</v>
      </c>
      <c r="K45" s="54"/>
      <c r="L45" s="54"/>
      <c r="M45" s="54">
        <v>26</v>
      </c>
      <c r="N45" s="54">
        <v>29</v>
      </c>
      <c r="O45" s="54"/>
      <c r="P45" s="54"/>
      <c r="Q45" s="53">
        <f t="shared" si="5"/>
        <v>13.75</v>
      </c>
      <c r="R45" s="52">
        <f t="shared" si="6"/>
        <v>0.74999999999999989</v>
      </c>
      <c r="S45" s="53">
        <f t="shared" si="7"/>
        <v>13.75</v>
      </c>
      <c r="T45" s="98"/>
    </row>
    <row r="46" spans="2:23">
      <c r="B46" s="55">
        <v>905</v>
      </c>
      <c r="C46" s="55" t="s">
        <v>16</v>
      </c>
      <c r="D46" s="55">
        <v>32</v>
      </c>
      <c r="E46" s="56">
        <v>9</v>
      </c>
      <c r="F46" s="56">
        <v>0</v>
      </c>
      <c r="G46" s="56">
        <v>1</v>
      </c>
      <c r="H46" s="55">
        <v>2</v>
      </c>
      <c r="I46" s="55">
        <f t="shared" si="3"/>
        <v>5</v>
      </c>
      <c r="J46" s="55" t="str">
        <f t="shared" si="4"/>
        <v>901.2</v>
      </c>
      <c r="K46" s="54"/>
      <c r="L46" s="54"/>
      <c r="M46" s="54">
        <v>0</v>
      </c>
      <c r="N46" s="54">
        <v>0</v>
      </c>
      <c r="O46" s="54"/>
      <c r="P46" s="54"/>
      <c r="Q46" s="53">
        <f t="shared" si="5"/>
        <v>0</v>
      </c>
      <c r="R46" s="52">
        <f t="shared" si="6"/>
        <v>0</v>
      </c>
      <c r="S46" s="53">
        <f t="shared" si="7"/>
        <v>0</v>
      </c>
      <c r="T46" s="98"/>
    </row>
    <row r="47" spans="2:23">
      <c r="B47" s="55">
        <v>906</v>
      </c>
      <c r="C47" s="57" t="s">
        <v>302</v>
      </c>
      <c r="D47" s="55">
        <v>22</v>
      </c>
      <c r="E47" s="56">
        <v>4</v>
      </c>
      <c r="F47" s="56">
        <v>2</v>
      </c>
      <c r="G47" s="56">
        <v>2</v>
      </c>
      <c r="H47" s="55">
        <v>2</v>
      </c>
      <c r="I47" s="55">
        <f t="shared" si="3"/>
        <v>6</v>
      </c>
      <c r="J47" s="55" t="str">
        <f t="shared" si="4"/>
        <v>422.2</v>
      </c>
      <c r="K47" s="54"/>
      <c r="L47" s="54"/>
      <c r="M47" s="54">
        <v>19</v>
      </c>
      <c r="N47" s="54">
        <v>19</v>
      </c>
      <c r="O47" s="54"/>
      <c r="P47" s="54"/>
      <c r="Q47" s="53">
        <f t="shared" si="5"/>
        <v>9.5</v>
      </c>
      <c r="R47" s="52">
        <f t="shared" si="6"/>
        <v>0</v>
      </c>
      <c r="S47" s="53">
        <f t="shared" si="7"/>
        <v>9.5</v>
      </c>
      <c r="T47" s="98"/>
    </row>
    <row r="48" spans="2:23">
      <c r="B48" s="55">
        <v>907</v>
      </c>
      <c r="C48" s="55" t="s">
        <v>17</v>
      </c>
      <c r="D48" s="55">
        <v>31</v>
      </c>
      <c r="E48" s="56">
        <v>8</v>
      </c>
      <c r="F48" s="56">
        <v>0</v>
      </c>
      <c r="G48" s="56">
        <v>1</v>
      </c>
      <c r="H48" s="55">
        <v>2</v>
      </c>
      <c r="I48" s="55">
        <f t="shared" si="3"/>
        <v>7</v>
      </c>
      <c r="J48" s="55" t="str">
        <f t="shared" si="4"/>
        <v>801.2</v>
      </c>
      <c r="K48" s="54"/>
      <c r="L48" s="54"/>
      <c r="M48" s="54">
        <v>0</v>
      </c>
      <c r="N48" s="54">
        <v>0</v>
      </c>
      <c r="O48" s="54"/>
      <c r="P48" s="54"/>
      <c r="Q48" s="53">
        <f t="shared" si="5"/>
        <v>0</v>
      </c>
      <c r="R48" s="52">
        <f t="shared" si="6"/>
        <v>0</v>
      </c>
      <c r="S48" s="53">
        <f t="shared" si="7"/>
        <v>0</v>
      </c>
      <c r="T48" s="98"/>
    </row>
    <row r="49" spans="2:20" ht="13.5" thickBot="1">
      <c r="B49" s="49">
        <v>908</v>
      </c>
      <c r="C49" s="51" t="s">
        <v>301</v>
      </c>
      <c r="D49" s="49">
        <v>21</v>
      </c>
      <c r="E49" s="50">
        <v>3</v>
      </c>
      <c r="F49" s="50">
        <v>2</v>
      </c>
      <c r="G49" s="50">
        <v>2</v>
      </c>
      <c r="H49" s="49">
        <v>2</v>
      </c>
      <c r="I49" s="49">
        <f t="shared" si="3"/>
        <v>8</v>
      </c>
      <c r="J49" s="49" t="str">
        <f t="shared" si="4"/>
        <v>322.2</v>
      </c>
      <c r="K49" s="48"/>
      <c r="L49" s="48"/>
      <c r="M49" s="48">
        <v>23</v>
      </c>
      <c r="N49" s="48">
        <v>26</v>
      </c>
      <c r="O49" s="48"/>
      <c r="P49" s="48"/>
      <c r="Q49" s="48">
        <f t="shared" si="5"/>
        <v>12.25</v>
      </c>
      <c r="R49" s="47">
        <f t="shared" si="6"/>
        <v>0.74999999999999989</v>
      </c>
      <c r="S49" s="48">
        <f t="shared" si="7"/>
        <v>12.25</v>
      </c>
      <c r="T49" s="97"/>
    </row>
  </sheetData>
  <mergeCells count="2">
    <mergeCell ref="Q3:R3"/>
    <mergeCell ref="Q4:R4"/>
  </mergeCells>
  <pageMargins left="0.75" right="0.75" top="1" bottom="1" header="0.5" footer="0.5"/>
  <pageSetup orientation="portrait" r:id="rId3"/>
  <headerFooter alignWithMargins="0"/>
  <drawing r:id="rId4"/>
  <legacyDrawing r:id="rId5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1EA90-329C-41F3-ADF1-23BF6B70A23F}">
  <dimension ref="A1:W49"/>
  <sheetViews>
    <sheetView topLeftCell="F1" workbookViewId="0">
      <selection activeCell="N10" sqref="N10:N49"/>
    </sheetView>
  </sheetViews>
  <sheetFormatPr defaultRowHeight="12.75"/>
  <cols>
    <col min="1" max="18" width="9.140625" style="37"/>
    <col min="19" max="19" width="12.42578125" style="37" customWidth="1"/>
    <col min="20" max="20" width="45.7109375" style="37" customWidth="1"/>
    <col min="21" max="21" width="9.140625" style="37"/>
    <col min="22" max="22" width="28.7109375" style="37" customWidth="1"/>
    <col min="23" max="24" width="5.5703125" style="37" customWidth="1"/>
    <col min="25" max="26" width="4.5703125" style="37" customWidth="1"/>
    <col min="27" max="27" width="10.5703125" style="37" bestFit="1" customWidth="1"/>
    <col min="28" max="16384" width="9.140625" style="37"/>
  </cols>
  <sheetData>
    <row r="1" spans="1:23" ht="22.5" customHeight="1">
      <c r="A1" s="93" t="s">
        <v>340</v>
      </c>
    </row>
    <row r="2" spans="1:23">
      <c r="Q2" s="92" t="s">
        <v>359</v>
      </c>
    </row>
    <row r="3" spans="1:23" ht="13.5" thickBot="1">
      <c r="A3" s="92"/>
      <c r="B3" s="104" t="s">
        <v>339</v>
      </c>
      <c r="C3" s="96">
        <v>140</v>
      </c>
      <c r="E3" s="104" t="s">
        <v>338</v>
      </c>
      <c r="F3" s="105">
        <v>0.3125</v>
      </c>
      <c r="H3" s="104" t="s">
        <v>358</v>
      </c>
      <c r="I3" s="108">
        <v>37396</v>
      </c>
      <c r="J3" s="96"/>
      <c r="Q3" s="117" t="s">
        <v>357</v>
      </c>
      <c r="R3" s="118"/>
      <c r="S3" s="91">
        <f>AVERAGE(Q10:Q11,Q13,Q15:Q17,Q19:Q20,Q22:Q29,Q31:Q32,Q34:Q35,Q37,Q39:Q41)</f>
        <v>12.333333333333334</v>
      </c>
    </row>
    <row r="4" spans="1:23" ht="18.75" customHeight="1" thickBot="1">
      <c r="E4" s="104" t="s">
        <v>337</v>
      </c>
      <c r="F4" s="105">
        <v>0.34375</v>
      </c>
      <c r="H4" s="104" t="s">
        <v>350</v>
      </c>
      <c r="I4" s="96" t="s">
        <v>367</v>
      </c>
      <c r="J4" s="96"/>
      <c r="Q4" s="117" t="s">
        <v>356</v>
      </c>
      <c r="R4" s="118"/>
      <c r="S4" s="91">
        <f>AVERAGE(Q12,Q14,Q18,Q21,Q30,Q36,Q38,Q33)</f>
        <v>23</v>
      </c>
    </row>
    <row r="6" spans="1:23" ht="13.5" thickBot="1">
      <c r="B6" s="104" t="s">
        <v>336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</row>
    <row r="7" spans="1:23" ht="13.5" thickBot="1"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</row>
    <row r="8" spans="1:23" ht="13.5" thickBot="1"/>
    <row r="9" spans="1:23" ht="39" thickBot="1">
      <c r="B9" s="88" t="s">
        <v>0</v>
      </c>
      <c r="C9" s="89" t="s">
        <v>305</v>
      </c>
      <c r="D9" s="89" t="s">
        <v>333</v>
      </c>
      <c r="E9" s="88" t="s">
        <v>332</v>
      </c>
      <c r="F9" s="89" t="s">
        <v>331</v>
      </c>
      <c r="G9" s="88" t="s">
        <v>330</v>
      </c>
      <c r="H9" s="88" t="s">
        <v>329</v>
      </c>
      <c r="I9" s="88" t="s">
        <v>315</v>
      </c>
      <c r="J9" s="88" t="s">
        <v>328</v>
      </c>
      <c r="K9" s="86" t="s">
        <v>327</v>
      </c>
      <c r="L9" s="86" t="s">
        <v>326</v>
      </c>
      <c r="M9" s="86" t="s">
        <v>325</v>
      </c>
      <c r="N9" s="86" t="s">
        <v>324</v>
      </c>
      <c r="O9" s="86" t="s">
        <v>323</v>
      </c>
      <c r="P9" s="86" t="s">
        <v>322</v>
      </c>
      <c r="Q9" s="87" t="s">
        <v>321</v>
      </c>
      <c r="R9" s="86" t="s">
        <v>320</v>
      </c>
      <c r="S9" s="87" t="s">
        <v>319</v>
      </c>
      <c r="T9" s="103" t="s">
        <v>318</v>
      </c>
    </row>
    <row r="10" spans="1:23">
      <c r="B10" s="61">
        <v>101</v>
      </c>
      <c r="C10" s="62" t="s">
        <v>3</v>
      </c>
      <c r="D10" s="62">
        <v>1</v>
      </c>
      <c r="E10" s="62">
        <f t="shared" ref="E10:E41" si="0">IF(LEFT($C10,1)="F",1,2)</f>
        <v>1</v>
      </c>
      <c r="F10" s="62">
        <f t="shared" ref="F10:F41" si="1">IF(MID($C10,2,1)="S",1,IF(MID($C10,2,1)="T",2,IF(MID($C10,2,1)="D",3,0)))</f>
        <v>1</v>
      </c>
      <c r="G10" s="62">
        <f t="shared" ref="G10:G41" si="2">IF(RIGHT($C10,1)="L",1,2)</f>
        <v>2</v>
      </c>
      <c r="H10" s="61">
        <v>1</v>
      </c>
      <c r="I10" s="61">
        <f t="shared" ref="I10:I49" si="3">B10-INT(B10/100)*100</f>
        <v>1</v>
      </c>
      <c r="J10" s="61" t="str">
        <f t="shared" ref="J10:J49" si="4">(E10&amp;F10&amp;G10&amp;"."&amp;H10)</f>
        <v>112.1</v>
      </c>
      <c r="K10" s="83"/>
      <c r="L10" s="60"/>
      <c r="M10" s="60">
        <v>23</v>
      </c>
      <c r="N10" s="60">
        <v>27</v>
      </c>
      <c r="O10" s="60"/>
      <c r="P10" s="60"/>
      <c r="Q10" s="53">
        <f t="shared" ref="Q10:Q49" si="5">AVERAGE(K10:P10)/2</f>
        <v>12.5</v>
      </c>
      <c r="R10" s="53">
        <f t="shared" ref="R10:R49" si="6">STDEV(K10:P10)/2/SQRT(COUNT(K10:P10))</f>
        <v>1</v>
      </c>
      <c r="S10" s="53">
        <f t="shared" ref="S10:S49" si="7">IF(F10=3,Q10/2,Q10)</f>
        <v>12.5</v>
      </c>
      <c r="T10" s="99"/>
      <c r="V10" s="65" t="s">
        <v>316</v>
      </c>
      <c r="W10" s="63"/>
    </row>
    <row r="11" spans="1:23">
      <c r="B11" s="55">
        <v>102</v>
      </c>
      <c r="C11" s="55" t="s">
        <v>4</v>
      </c>
      <c r="D11" s="55">
        <v>4</v>
      </c>
      <c r="E11" s="56">
        <f t="shared" si="0"/>
        <v>1</v>
      </c>
      <c r="F11" s="56">
        <f t="shared" si="1"/>
        <v>2</v>
      </c>
      <c r="G11" s="56">
        <f t="shared" si="2"/>
        <v>1</v>
      </c>
      <c r="H11" s="55">
        <v>1</v>
      </c>
      <c r="I11" s="55">
        <f t="shared" si="3"/>
        <v>2</v>
      </c>
      <c r="J11" s="55" t="str">
        <f t="shared" si="4"/>
        <v>121.1</v>
      </c>
      <c r="K11" s="54"/>
      <c r="L11" s="54">
        <v>28</v>
      </c>
      <c r="M11" s="54">
        <v>28</v>
      </c>
      <c r="N11" s="54">
        <v>19</v>
      </c>
      <c r="O11" s="54"/>
      <c r="P11" s="54"/>
      <c r="Q11" s="53">
        <f t="shared" si="5"/>
        <v>12.5</v>
      </c>
      <c r="R11" s="52">
        <f t="shared" si="6"/>
        <v>1.5000000000000002</v>
      </c>
      <c r="S11" s="53">
        <f t="shared" si="7"/>
        <v>12.5</v>
      </c>
      <c r="T11" s="98"/>
      <c r="V11" s="65" t="s">
        <v>315</v>
      </c>
      <c r="W11" s="63" t="s">
        <v>304</v>
      </c>
    </row>
    <row r="12" spans="1:23">
      <c r="B12" s="69">
        <v>103</v>
      </c>
      <c r="C12" s="69" t="s">
        <v>5</v>
      </c>
      <c r="D12" s="69">
        <v>5</v>
      </c>
      <c r="E12" s="70">
        <f t="shared" si="0"/>
        <v>1</v>
      </c>
      <c r="F12" s="70">
        <f t="shared" si="1"/>
        <v>3</v>
      </c>
      <c r="G12" s="70">
        <f t="shared" si="2"/>
        <v>2</v>
      </c>
      <c r="H12" s="69">
        <v>1</v>
      </c>
      <c r="I12" s="69">
        <f t="shared" si="3"/>
        <v>3</v>
      </c>
      <c r="J12" s="69" t="str">
        <f t="shared" si="4"/>
        <v>132.1</v>
      </c>
      <c r="K12" s="68"/>
      <c r="L12" s="68"/>
      <c r="M12" s="68">
        <v>37</v>
      </c>
      <c r="N12" s="68">
        <v>41</v>
      </c>
      <c r="O12" s="68"/>
      <c r="P12" s="68"/>
      <c r="Q12" s="68">
        <f t="shared" si="5"/>
        <v>19.5</v>
      </c>
      <c r="R12" s="66">
        <f t="shared" si="6"/>
        <v>1</v>
      </c>
      <c r="S12" s="67">
        <f t="shared" si="7"/>
        <v>9.75</v>
      </c>
      <c r="T12" s="100"/>
      <c r="V12" s="59">
        <v>1</v>
      </c>
      <c r="W12" s="58">
        <v>12.34375</v>
      </c>
    </row>
    <row r="13" spans="1:23">
      <c r="B13" s="55">
        <v>104</v>
      </c>
      <c r="C13" s="55" t="s">
        <v>6</v>
      </c>
      <c r="D13" s="55">
        <v>10</v>
      </c>
      <c r="E13" s="56">
        <f t="shared" si="0"/>
        <v>2</v>
      </c>
      <c r="F13" s="56">
        <f t="shared" si="1"/>
        <v>2</v>
      </c>
      <c r="G13" s="56">
        <f t="shared" si="2"/>
        <v>1</v>
      </c>
      <c r="H13" s="55">
        <v>1</v>
      </c>
      <c r="I13" s="55">
        <f t="shared" si="3"/>
        <v>4</v>
      </c>
      <c r="J13" s="55" t="str">
        <f t="shared" si="4"/>
        <v>221.1</v>
      </c>
      <c r="K13" s="54"/>
      <c r="L13" s="54"/>
      <c r="M13" s="54">
        <v>26</v>
      </c>
      <c r="N13" s="54">
        <v>28</v>
      </c>
      <c r="O13" s="54"/>
      <c r="P13" s="54"/>
      <c r="Q13" s="53">
        <f t="shared" si="5"/>
        <v>13.5</v>
      </c>
      <c r="R13" s="52">
        <f t="shared" si="6"/>
        <v>0.5</v>
      </c>
      <c r="S13" s="53">
        <f t="shared" si="7"/>
        <v>13.5</v>
      </c>
      <c r="T13" s="98"/>
      <c r="V13" s="44">
        <v>2</v>
      </c>
      <c r="W13" s="43">
        <v>12.375</v>
      </c>
    </row>
    <row r="14" spans="1:23">
      <c r="B14" s="69">
        <v>105</v>
      </c>
      <c r="C14" s="69" t="s">
        <v>10</v>
      </c>
      <c r="D14" s="69">
        <v>12</v>
      </c>
      <c r="E14" s="70">
        <f t="shared" si="0"/>
        <v>2</v>
      </c>
      <c r="F14" s="70">
        <f t="shared" si="1"/>
        <v>3</v>
      </c>
      <c r="G14" s="70">
        <f t="shared" si="2"/>
        <v>1</v>
      </c>
      <c r="H14" s="69">
        <v>2</v>
      </c>
      <c r="I14" s="69">
        <f t="shared" si="3"/>
        <v>5</v>
      </c>
      <c r="J14" s="69" t="str">
        <f t="shared" si="4"/>
        <v>231.2</v>
      </c>
      <c r="K14" s="68"/>
      <c r="L14" s="68"/>
      <c r="M14" s="68">
        <v>43</v>
      </c>
      <c r="N14" s="68">
        <v>44</v>
      </c>
      <c r="O14" s="68"/>
      <c r="P14" s="68"/>
      <c r="Q14" s="68">
        <f t="shared" si="5"/>
        <v>21.75</v>
      </c>
      <c r="R14" s="66">
        <f t="shared" si="6"/>
        <v>0.25</v>
      </c>
      <c r="S14" s="67">
        <f t="shared" si="7"/>
        <v>10.875</v>
      </c>
      <c r="T14" s="100"/>
      <c r="V14" s="44">
        <v>3</v>
      </c>
      <c r="W14" s="43">
        <v>10.78125</v>
      </c>
    </row>
    <row r="15" spans="1:23">
      <c r="B15" s="55">
        <v>106</v>
      </c>
      <c r="C15" s="55" t="s">
        <v>7</v>
      </c>
      <c r="D15" s="55">
        <v>9</v>
      </c>
      <c r="E15" s="56">
        <f t="shared" si="0"/>
        <v>2</v>
      </c>
      <c r="F15" s="56">
        <f t="shared" si="1"/>
        <v>2</v>
      </c>
      <c r="G15" s="56">
        <f t="shared" si="2"/>
        <v>2</v>
      </c>
      <c r="H15" s="55">
        <v>2</v>
      </c>
      <c r="I15" s="55">
        <f t="shared" si="3"/>
        <v>6</v>
      </c>
      <c r="J15" s="55" t="str">
        <f t="shared" si="4"/>
        <v>222.2</v>
      </c>
      <c r="K15" s="54"/>
      <c r="L15" s="54"/>
      <c r="M15" s="54">
        <v>23</v>
      </c>
      <c r="N15" s="54">
        <v>24</v>
      </c>
      <c r="O15" s="54"/>
      <c r="P15" s="54"/>
      <c r="Q15" s="54">
        <f t="shared" si="5"/>
        <v>11.75</v>
      </c>
      <c r="R15" s="52">
        <f t="shared" si="6"/>
        <v>0.25</v>
      </c>
      <c r="S15" s="53">
        <f t="shared" si="7"/>
        <v>11.75</v>
      </c>
      <c r="T15" s="98"/>
      <c r="V15" s="44">
        <v>4</v>
      </c>
      <c r="W15" s="43">
        <v>12.78125</v>
      </c>
    </row>
    <row r="16" spans="1:23">
      <c r="B16" s="55">
        <v>107</v>
      </c>
      <c r="C16" s="55" t="s">
        <v>6</v>
      </c>
      <c r="D16" s="55">
        <v>10</v>
      </c>
      <c r="E16" s="56">
        <f t="shared" si="0"/>
        <v>2</v>
      </c>
      <c r="F16" s="56">
        <f t="shared" si="1"/>
        <v>2</v>
      </c>
      <c r="G16" s="56">
        <f t="shared" si="2"/>
        <v>1</v>
      </c>
      <c r="H16" s="55">
        <v>2</v>
      </c>
      <c r="I16" s="55">
        <f t="shared" si="3"/>
        <v>7</v>
      </c>
      <c r="J16" s="55" t="str">
        <f t="shared" si="4"/>
        <v>221.2</v>
      </c>
      <c r="K16" s="54"/>
      <c r="L16" s="54"/>
      <c r="M16" s="54">
        <v>26</v>
      </c>
      <c r="N16" s="54">
        <v>22</v>
      </c>
      <c r="O16" s="54"/>
      <c r="P16" s="54"/>
      <c r="Q16" s="53">
        <f t="shared" si="5"/>
        <v>12</v>
      </c>
      <c r="R16" s="52">
        <f t="shared" si="6"/>
        <v>1</v>
      </c>
      <c r="S16" s="53">
        <f t="shared" si="7"/>
        <v>12</v>
      </c>
      <c r="T16" s="98"/>
      <c r="V16" s="44">
        <v>5</v>
      </c>
      <c r="W16" s="43">
        <v>11.3125</v>
      </c>
    </row>
    <row r="17" spans="2:23" ht="13.5" thickBot="1">
      <c r="B17" s="49">
        <v>108</v>
      </c>
      <c r="C17" s="49" t="s">
        <v>8</v>
      </c>
      <c r="D17" s="49">
        <v>3</v>
      </c>
      <c r="E17" s="50">
        <f t="shared" si="0"/>
        <v>1</v>
      </c>
      <c r="F17" s="50">
        <f t="shared" si="1"/>
        <v>2</v>
      </c>
      <c r="G17" s="50">
        <f t="shared" si="2"/>
        <v>2</v>
      </c>
      <c r="H17" s="49">
        <v>2</v>
      </c>
      <c r="I17" s="49">
        <f t="shared" si="3"/>
        <v>8</v>
      </c>
      <c r="J17" s="49" t="str">
        <f t="shared" si="4"/>
        <v>122.2</v>
      </c>
      <c r="K17" s="48"/>
      <c r="L17" s="48"/>
      <c r="M17" s="48">
        <v>28</v>
      </c>
      <c r="N17" s="48">
        <v>27</v>
      </c>
      <c r="O17" s="48"/>
      <c r="P17" s="48"/>
      <c r="Q17" s="48">
        <f t="shared" si="5"/>
        <v>13.75</v>
      </c>
      <c r="R17" s="47">
        <f t="shared" si="6"/>
        <v>0.25</v>
      </c>
      <c r="S17" s="48">
        <f t="shared" si="7"/>
        <v>13.75</v>
      </c>
      <c r="T17" s="97"/>
      <c r="V17" s="44">
        <v>6</v>
      </c>
      <c r="W17" s="43">
        <v>11.875</v>
      </c>
    </row>
    <row r="18" spans="2:23">
      <c r="B18" s="80">
        <v>201</v>
      </c>
      <c r="C18" s="80" t="s">
        <v>10</v>
      </c>
      <c r="D18" s="80">
        <v>12</v>
      </c>
      <c r="E18" s="81">
        <f t="shared" si="0"/>
        <v>2</v>
      </c>
      <c r="F18" s="81">
        <f t="shared" si="1"/>
        <v>3</v>
      </c>
      <c r="G18" s="81">
        <f t="shared" si="2"/>
        <v>1</v>
      </c>
      <c r="H18" s="80">
        <v>1</v>
      </c>
      <c r="I18" s="80">
        <f t="shared" si="3"/>
        <v>1</v>
      </c>
      <c r="J18" s="80" t="str">
        <f t="shared" si="4"/>
        <v>231.1</v>
      </c>
      <c r="K18" s="79"/>
      <c r="L18" s="79"/>
      <c r="M18" s="79">
        <v>57</v>
      </c>
      <c r="N18" s="79">
        <v>46</v>
      </c>
      <c r="O18" s="79"/>
      <c r="P18" s="79"/>
      <c r="Q18" s="68">
        <f t="shared" si="5"/>
        <v>25.75</v>
      </c>
      <c r="R18" s="67">
        <f t="shared" si="6"/>
        <v>2.7499999999999996</v>
      </c>
      <c r="S18" s="67">
        <f t="shared" si="7"/>
        <v>12.875</v>
      </c>
      <c r="T18" s="102"/>
      <c r="V18" s="44">
        <v>7</v>
      </c>
      <c r="W18" s="43">
        <v>12.75</v>
      </c>
    </row>
    <row r="19" spans="2:23">
      <c r="B19" s="55">
        <v>202</v>
      </c>
      <c r="C19" s="55" t="s">
        <v>7</v>
      </c>
      <c r="D19" s="55">
        <v>9</v>
      </c>
      <c r="E19" s="56">
        <f t="shared" si="0"/>
        <v>2</v>
      </c>
      <c r="F19" s="56">
        <f t="shared" si="1"/>
        <v>2</v>
      </c>
      <c r="G19" s="56">
        <f t="shared" si="2"/>
        <v>2</v>
      </c>
      <c r="H19" s="55">
        <v>1</v>
      </c>
      <c r="I19" s="55">
        <f t="shared" si="3"/>
        <v>2</v>
      </c>
      <c r="J19" s="55" t="str">
        <f t="shared" si="4"/>
        <v>222.1</v>
      </c>
      <c r="K19" s="78"/>
      <c r="L19" s="77">
        <v>19</v>
      </c>
      <c r="M19" s="77">
        <v>22</v>
      </c>
      <c r="N19" s="77">
        <v>25</v>
      </c>
      <c r="O19" s="54"/>
      <c r="P19" s="54"/>
      <c r="Q19" s="54">
        <f t="shared" si="5"/>
        <v>11</v>
      </c>
      <c r="R19" s="52">
        <f t="shared" si="6"/>
        <v>0.86602540378443871</v>
      </c>
      <c r="S19" s="53">
        <f t="shared" si="7"/>
        <v>11</v>
      </c>
      <c r="T19" s="98"/>
      <c r="V19" s="44">
        <v>8</v>
      </c>
      <c r="W19" s="43">
        <v>12.78125</v>
      </c>
    </row>
    <row r="20" spans="2:23">
      <c r="B20" s="55">
        <v>203</v>
      </c>
      <c r="C20" s="55" t="s">
        <v>8</v>
      </c>
      <c r="D20" s="55">
        <v>3</v>
      </c>
      <c r="E20" s="56">
        <f t="shared" si="0"/>
        <v>1</v>
      </c>
      <c r="F20" s="56">
        <f t="shared" si="1"/>
        <v>2</v>
      </c>
      <c r="G20" s="56">
        <f t="shared" si="2"/>
        <v>2</v>
      </c>
      <c r="H20" s="55">
        <v>1</v>
      </c>
      <c r="I20" s="55">
        <f t="shared" si="3"/>
        <v>3</v>
      </c>
      <c r="J20" s="55" t="str">
        <f t="shared" si="4"/>
        <v>122.1</v>
      </c>
      <c r="K20" s="54"/>
      <c r="L20" s="54"/>
      <c r="M20" s="54">
        <v>24</v>
      </c>
      <c r="N20" s="54">
        <v>24</v>
      </c>
      <c r="O20" s="54"/>
      <c r="P20" s="54"/>
      <c r="Q20" s="54">
        <f t="shared" si="5"/>
        <v>12</v>
      </c>
      <c r="R20" s="52">
        <f t="shared" si="6"/>
        <v>0</v>
      </c>
      <c r="S20" s="53">
        <f t="shared" si="7"/>
        <v>12</v>
      </c>
      <c r="T20" s="98"/>
      <c r="V20" s="76" t="s">
        <v>312</v>
      </c>
      <c r="W20" s="75">
        <v>12.125</v>
      </c>
    </row>
    <row r="21" spans="2:23">
      <c r="B21" s="69">
        <v>204</v>
      </c>
      <c r="C21" s="69" t="s">
        <v>11</v>
      </c>
      <c r="D21" s="69">
        <v>11</v>
      </c>
      <c r="E21" s="70">
        <f t="shared" si="0"/>
        <v>2</v>
      </c>
      <c r="F21" s="70">
        <f t="shared" si="1"/>
        <v>3</v>
      </c>
      <c r="G21" s="70">
        <f t="shared" si="2"/>
        <v>2</v>
      </c>
      <c r="H21" s="69">
        <v>1</v>
      </c>
      <c r="I21" s="69">
        <f t="shared" si="3"/>
        <v>4</v>
      </c>
      <c r="J21" s="69" t="str">
        <f t="shared" si="4"/>
        <v>232.1</v>
      </c>
      <c r="K21" s="68"/>
      <c r="L21" s="68"/>
      <c r="M21" s="68">
        <v>51</v>
      </c>
      <c r="N21" s="68">
        <v>46</v>
      </c>
      <c r="O21" s="68"/>
      <c r="P21" s="68"/>
      <c r="Q21" s="68">
        <f t="shared" si="5"/>
        <v>24.25</v>
      </c>
      <c r="R21" s="66">
        <f t="shared" si="6"/>
        <v>1.25</v>
      </c>
      <c r="S21" s="67">
        <f t="shared" si="7"/>
        <v>12.125</v>
      </c>
      <c r="T21" s="100"/>
    </row>
    <row r="22" spans="2:23">
      <c r="B22" s="55">
        <v>205</v>
      </c>
      <c r="C22" s="55" t="s">
        <v>3</v>
      </c>
      <c r="D22" s="55">
        <v>1</v>
      </c>
      <c r="E22" s="56">
        <f t="shared" si="0"/>
        <v>1</v>
      </c>
      <c r="F22" s="56">
        <f t="shared" si="1"/>
        <v>1</v>
      </c>
      <c r="G22" s="56">
        <f t="shared" si="2"/>
        <v>2</v>
      </c>
      <c r="H22" s="55">
        <v>2</v>
      </c>
      <c r="I22" s="55">
        <f t="shared" si="3"/>
        <v>5</v>
      </c>
      <c r="J22" s="55" t="str">
        <f t="shared" si="4"/>
        <v>112.2</v>
      </c>
      <c r="K22" s="54"/>
      <c r="L22" s="54"/>
      <c r="M22" s="54">
        <v>20</v>
      </c>
      <c r="N22" s="54">
        <v>28</v>
      </c>
      <c r="O22" s="54"/>
      <c r="P22" s="54"/>
      <c r="Q22" s="53">
        <f t="shared" si="5"/>
        <v>12</v>
      </c>
      <c r="R22" s="52">
        <f t="shared" si="6"/>
        <v>2</v>
      </c>
      <c r="S22" s="53">
        <f t="shared" si="7"/>
        <v>12</v>
      </c>
      <c r="T22" s="98"/>
    </row>
    <row r="23" spans="2:23">
      <c r="B23" s="55">
        <v>206</v>
      </c>
      <c r="C23" s="55" t="s">
        <v>12</v>
      </c>
      <c r="D23" s="55">
        <v>8</v>
      </c>
      <c r="E23" s="56">
        <f t="shared" si="0"/>
        <v>2</v>
      </c>
      <c r="F23" s="56">
        <f t="shared" si="1"/>
        <v>1</v>
      </c>
      <c r="G23" s="56">
        <f t="shared" si="2"/>
        <v>1</v>
      </c>
      <c r="H23" s="55">
        <v>2</v>
      </c>
      <c r="I23" s="55">
        <f t="shared" si="3"/>
        <v>6</v>
      </c>
      <c r="J23" s="55" t="str">
        <f t="shared" si="4"/>
        <v>211.2</v>
      </c>
      <c r="K23" s="54"/>
      <c r="L23" s="54"/>
      <c r="M23" s="54">
        <v>27</v>
      </c>
      <c r="N23" s="54">
        <v>19</v>
      </c>
      <c r="O23" s="54"/>
      <c r="P23" s="54"/>
      <c r="Q23" s="53">
        <f t="shared" si="5"/>
        <v>11.5</v>
      </c>
      <c r="R23" s="52">
        <f t="shared" si="6"/>
        <v>2</v>
      </c>
      <c r="S23" s="53">
        <f t="shared" si="7"/>
        <v>11.5</v>
      </c>
      <c r="T23" s="98"/>
    </row>
    <row r="24" spans="2:23">
      <c r="B24" s="55">
        <v>207</v>
      </c>
      <c r="C24" s="55" t="s">
        <v>4</v>
      </c>
      <c r="D24" s="55">
        <v>4</v>
      </c>
      <c r="E24" s="56">
        <f t="shared" si="0"/>
        <v>1</v>
      </c>
      <c r="F24" s="56">
        <f t="shared" si="1"/>
        <v>2</v>
      </c>
      <c r="G24" s="56">
        <f t="shared" si="2"/>
        <v>1</v>
      </c>
      <c r="H24" s="55">
        <v>2</v>
      </c>
      <c r="I24" s="55">
        <f t="shared" si="3"/>
        <v>7</v>
      </c>
      <c r="J24" s="55" t="str">
        <f t="shared" si="4"/>
        <v>121.2</v>
      </c>
      <c r="K24" s="54"/>
      <c r="L24" s="54"/>
      <c r="M24" s="54">
        <v>26</v>
      </c>
      <c r="N24" s="54">
        <v>25</v>
      </c>
      <c r="O24" s="54"/>
      <c r="P24" s="54"/>
      <c r="Q24" s="53">
        <f t="shared" si="5"/>
        <v>12.75</v>
      </c>
      <c r="R24" s="52">
        <f t="shared" si="6"/>
        <v>0.25</v>
      </c>
      <c r="S24" s="53">
        <f t="shared" si="7"/>
        <v>12.75</v>
      </c>
      <c r="T24" s="98"/>
    </row>
    <row r="25" spans="2:23" ht="13.5" thickBot="1">
      <c r="B25" s="49">
        <v>208</v>
      </c>
      <c r="C25" s="49" t="s">
        <v>13</v>
      </c>
      <c r="D25" s="49">
        <v>2</v>
      </c>
      <c r="E25" s="50">
        <f t="shared" si="0"/>
        <v>1</v>
      </c>
      <c r="F25" s="50">
        <f t="shared" si="1"/>
        <v>1</v>
      </c>
      <c r="G25" s="50">
        <f t="shared" si="2"/>
        <v>1</v>
      </c>
      <c r="H25" s="49">
        <v>2</v>
      </c>
      <c r="I25" s="49">
        <f t="shared" si="3"/>
        <v>8</v>
      </c>
      <c r="J25" s="49" t="str">
        <f t="shared" si="4"/>
        <v>111.2</v>
      </c>
      <c r="K25" s="48"/>
      <c r="L25" s="48"/>
      <c r="M25" s="48">
        <v>27</v>
      </c>
      <c r="N25" s="48">
        <v>24</v>
      </c>
      <c r="O25" s="48"/>
      <c r="P25" s="48"/>
      <c r="Q25" s="48">
        <f t="shared" si="5"/>
        <v>12.75</v>
      </c>
      <c r="R25" s="47">
        <f t="shared" si="6"/>
        <v>0.74999999999999989</v>
      </c>
      <c r="S25" s="48">
        <f t="shared" si="7"/>
        <v>12.75</v>
      </c>
      <c r="T25" s="97"/>
    </row>
    <row r="26" spans="2:23">
      <c r="B26" s="61">
        <v>301</v>
      </c>
      <c r="C26" s="61" t="s">
        <v>6</v>
      </c>
      <c r="D26" s="61">
        <v>10</v>
      </c>
      <c r="E26" s="62">
        <f t="shared" si="0"/>
        <v>2</v>
      </c>
      <c r="F26" s="62">
        <f t="shared" si="1"/>
        <v>2</v>
      </c>
      <c r="G26" s="62">
        <f t="shared" si="2"/>
        <v>1</v>
      </c>
      <c r="H26" s="61">
        <v>3</v>
      </c>
      <c r="I26" s="61">
        <f t="shared" si="3"/>
        <v>1</v>
      </c>
      <c r="J26" s="61" t="str">
        <f t="shared" si="4"/>
        <v>221.3</v>
      </c>
      <c r="K26" s="60"/>
      <c r="L26" s="60"/>
      <c r="M26" s="60">
        <v>28</v>
      </c>
      <c r="N26" s="60">
        <v>22</v>
      </c>
      <c r="O26" s="60"/>
      <c r="P26" s="60"/>
      <c r="Q26" s="53">
        <f t="shared" si="5"/>
        <v>12.5</v>
      </c>
      <c r="R26" s="53">
        <f t="shared" si="6"/>
        <v>1.4999999999999998</v>
      </c>
      <c r="S26" s="53">
        <f t="shared" si="7"/>
        <v>12.5</v>
      </c>
      <c r="T26" s="99"/>
    </row>
    <row r="27" spans="2:23">
      <c r="B27" s="55">
        <v>302</v>
      </c>
      <c r="C27" s="55" t="s">
        <v>4</v>
      </c>
      <c r="D27" s="55">
        <v>4</v>
      </c>
      <c r="E27" s="56">
        <f t="shared" si="0"/>
        <v>1</v>
      </c>
      <c r="F27" s="56">
        <f t="shared" si="1"/>
        <v>2</v>
      </c>
      <c r="G27" s="56">
        <f t="shared" si="2"/>
        <v>1</v>
      </c>
      <c r="H27" s="55">
        <v>3</v>
      </c>
      <c r="I27" s="55">
        <f t="shared" si="3"/>
        <v>2</v>
      </c>
      <c r="J27" s="55" t="str">
        <f t="shared" si="4"/>
        <v>121.3</v>
      </c>
      <c r="K27" s="54"/>
      <c r="L27" s="54"/>
      <c r="M27" s="54">
        <v>22</v>
      </c>
      <c r="N27" s="54">
        <v>32</v>
      </c>
      <c r="O27" s="54"/>
      <c r="P27" s="54"/>
      <c r="Q27" s="53">
        <f t="shared" si="5"/>
        <v>13.5</v>
      </c>
      <c r="R27" s="52">
        <f t="shared" si="6"/>
        <v>2.5</v>
      </c>
      <c r="S27" s="53">
        <f t="shared" si="7"/>
        <v>13.5</v>
      </c>
      <c r="T27" s="98"/>
    </row>
    <row r="28" spans="2:23">
      <c r="B28" s="55">
        <v>303</v>
      </c>
      <c r="C28" s="55" t="s">
        <v>12</v>
      </c>
      <c r="D28" s="55">
        <v>8</v>
      </c>
      <c r="E28" s="56">
        <f t="shared" si="0"/>
        <v>2</v>
      </c>
      <c r="F28" s="56">
        <f t="shared" si="1"/>
        <v>1</v>
      </c>
      <c r="G28" s="56">
        <f t="shared" si="2"/>
        <v>1</v>
      </c>
      <c r="H28" s="55">
        <v>3</v>
      </c>
      <c r="I28" s="55">
        <f t="shared" si="3"/>
        <v>3</v>
      </c>
      <c r="J28" s="55" t="str">
        <f t="shared" si="4"/>
        <v>211.3</v>
      </c>
      <c r="K28" s="54"/>
      <c r="L28" s="54"/>
      <c r="M28" s="54">
        <v>16</v>
      </c>
      <c r="N28" s="54">
        <v>20</v>
      </c>
      <c r="O28" s="54"/>
      <c r="P28" s="54"/>
      <c r="Q28" s="53">
        <f t="shared" si="5"/>
        <v>9</v>
      </c>
      <c r="R28" s="52">
        <f t="shared" si="6"/>
        <v>1</v>
      </c>
      <c r="S28" s="53">
        <f t="shared" si="7"/>
        <v>9</v>
      </c>
      <c r="T28" s="98"/>
    </row>
    <row r="29" spans="2:23">
      <c r="B29" s="55">
        <v>304</v>
      </c>
      <c r="C29" s="55" t="s">
        <v>13</v>
      </c>
      <c r="D29" s="55">
        <v>2</v>
      </c>
      <c r="E29" s="56">
        <f t="shared" si="0"/>
        <v>1</v>
      </c>
      <c r="F29" s="56">
        <f t="shared" si="1"/>
        <v>1</v>
      </c>
      <c r="G29" s="56">
        <f t="shared" si="2"/>
        <v>1</v>
      </c>
      <c r="H29" s="55">
        <v>3</v>
      </c>
      <c r="I29" s="55">
        <f t="shared" si="3"/>
        <v>4</v>
      </c>
      <c r="J29" s="55" t="str">
        <f t="shared" si="4"/>
        <v>111.3</v>
      </c>
      <c r="K29" s="54"/>
      <c r="L29" s="54"/>
      <c r="M29" s="54">
        <v>18</v>
      </c>
      <c r="N29" s="54">
        <v>22</v>
      </c>
      <c r="O29" s="54"/>
      <c r="P29" s="54"/>
      <c r="Q29" s="53">
        <f t="shared" si="5"/>
        <v>10</v>
      </c>
      <c r="R29" s="52">
        <f t="shared" si="6"/>
        <v>1</v>
      </c>
      <c r="S29" s="53">
        <f t="shared" si="7"/>
        <v>10</v>
      </c>
      <c r="T29" s="98"/>
    </row>
    <row r="30" spans="2:23">
      <c r="B30" s="69">
        <v>305</v>
      </c>
      <c r="C30" s="69" t="s">
        <v>11</v>
      </c>
      <c r="D30" s="69">
        <v>11</v>
      </c>
      <c r="E30" s="70">
        <f t="shared" si="0"/>
        <v>2</v>
      </c>
      <c r="F30" s="70">
        <f t="shared" si="1"/>
        <v>3</v>
      </c>
      <c r="G30" s="70">
        <f t="shared" si="2"/>
        <v>2</v>
      </c>
      <c r="H30" s="69">
        <v>4</v>
      </c>
      <c r="I30" s="69">
        <f t="shared" si="3"/>
        <v>5</v>
      </c>
      <c r="J30" s="69" t="str">
        <f t="shared" si="4"/>
        <v>232.4</v>
      </c>
      <c r="K30" s="68"/>
      <c r="L30" s="68"/>
      <c r="M30" s="68">
        <v>54</v>
      </c>
      <c r="N30" s="68">
        <v>39</v>
      </c>
      <c r="O30" s="68"/>
      <c r="P30" s="68"/>
      <c r="Q30" s="68">
        <f t="shared" si="5"/>
        <v>23.25</v>
      </c>
      <c r="R30" s="66">
        <f t="shared" si="6"/>
        <v>3.75</v>
      </c>
      <c r="S30" s="67">
        <f t="shared" si="7"/>
        <v>11.625</v>
      </c>
      <c r="T30" s="100"/>
    </row>
    <row r="31" spans="2:23">
      <c r="B31" s="55">
        <v>306</v>
      </c>
      <c r="C31" s="55" t="s">
        <v>4</v>
      </c>
      <c r="D31" s="55">
        <v>4</v>
      </c>
      <c r="E31" s="56">
        <f t="shared" si="0"/>
        <v>1</v>
      </c>
      <c r="F31" s="56">
        <f t="shared" si="1"/>
        <v>2</v>
      </c>
      <c r="G31" s="56">
        <f t="shared" si="2"/>
        <v>1</v>
      </c>
      <c r="H31" s="55">
        <v>4</v>
      </c>
      <c r="I31" s="55">
        <f t="shared" si="3"/>
        <v>6</v>
      </c>
      <c r="J31" s="55" t="str">
        <f t="shared" si="4"/>
        <v>121.4</v>
      </c>
      <c r="K31" s="54"/>
      <c r="L31" s="54"/>
      <c r="M31" s="54">
        <v>25</v>
      </c>
      <c r="N31" s="54">
        <v>30</v>
      </c>
      <c r="O31" s="54"/>
      <c r="P31" s="54"/>
      <c r="Q31" s="53">
        <f t="shared" si="5"/>
        <v>13.75</v>
      </c>
      <c r="R31" s="52">
        <f t="shared" si="6"/>
        <v>1.25</v>
      </c>
      <c r="S31" s="53">
        <f t="shared" si="7"/>
        <v>13.75</v>
      </c>
      <c r="T31" s="98"/>
    </row>
    <row r="32" spans="2:23">
      <c r="B32" s="55">
        <v>307</v>
      </c>
      <c r="C32" s="55" t="s">
        <v>7</v>
      </c>
      <c r="D32" s="55">
        <v>9</v>
      </c>
      <c r="E32" s="56">
        <f t="shared" si="0"/>
        <v>2</v>
      </c>
      <c r="F32" s="56">
        <f t="shared" si="1"/>
        <v>2</v>
      </c>
      <c r="G32" s="56">
        <f t="shared" si="2"/>
        <v>2</v>
      </c>
      <c r="H32" s="55">
        <v>4</v>
      </c>
      <c r="I32" s="55">
        <f t="shared" si="3"/>
        <v>7</v>
      </c>
      <c r="J32" s="55" t="str">
        <f t="shared" si="4"/>
        <v>222.4</v>
      </c>
      <c r="K32" s="54"/>
      <c r="L32" s="54"/>
      <c r="M32" s="54">
        <v>25</v>
      </c>
      <c r="N32" s="54">
        <v>29</v>
      </c>
      <c r="O32" s="54"/>
      <c r="P32" s="54"/>
      <c r="Q32" s="53">
        <f t="shared" si="5"/>
        <v>13.5</v>
      </c>
      <c r="R32" s="52">
        <f t="shared" si="6"/>
        <v>1</v>
      </c>
      <c r="S32" s="53">
        <f t="shared" si="7"/>
        <v>13.5</v>
      </c>
      <c r="T32" s="98"/>
    </row>
    <row r="33" spans="2:23" ht="13.5" thickBot="1">
      <c r="B33" s="73">
        <v>308</v>
      </c>
      <c r="C33" s="73" t="s">
        <v>5</v>
      </c>
      <c r="D33" s="73">
        <v>5</v>
      </c>
      <c r="E33" s="74">
        <f t="shared" si="0"/>
        <v>1</v>
      </c>
      <c r="F33" s="74">
        <f t="shared" si="1"/>
        <v>3</v>
      </c>
      <c r="G33" s="74">
        <f t="shared" si="2"/>
        <v>2</v>
      </c>
      <c r="H33" s="73">
        <v>4</v>
      </c>
      <c r="I33" s="73">
        <f t="shared" si="3"/>
        <v>8</v>
      </c>
      <c r="J33" s="73" t="str">
        <f t="shared" si="4"/>
        <v>132.4</v>
      </c>
      <c r="K33" s="72"/>
      <c r="L33" s="72"/>
      <c r="M33" s="72">
        <v>49</v>
      </c>
      <c r="N33" s="72">
        <v>44</v>
      </c>
      <c r="O33" s="72"/>
      <c r="P33" s="72"/>
      <c r="Q33" s="68">
        <f t="shared" si="5"/>
        <v>23.25</v>
      </c>
      <c r="R33" s="71">
        <f t="shared" si="6"/>
        <v>1.25</v>
      </c>
      <c r="S33" s="72">
        <f t="shared" si="7"/>
        <v>11.625</v>
      </c>
      <c r="T33" s="101"/>
    </row>
    <row r="34" spans="2:23">
      <c r="B34" s="61">
        <v>401</v>
      </c>
      <c r="C34" s="61" t="s">
        <v>14</v>
      </c>
      <c r="D34" s="61">
        <v>7</v>
      </c>
      <c r="E34" s="62">
        <f t="shared" si="0"/>
        <v>2</v>
      </c>
      <c r="F34" s="62">
        <f t="shared" si="1"/>
        <v>1</v>
      </c>
      <c r="G34" s="62">
        <f t="shared" si="2"/>
        <v>2</v>
      </c>
      <c r="H34" s="61">
        <v>3</v>
      </c>
      <c r="I34" s="61">
        <f t="shared" si="3"/>
        <v>1</v>
      </c>
      <c r="J34" s="61" t="str">
        <f t="shared" si="4"/>
        <v>212.3</v>
      </c>
      <c r="K34" s="60"/>
      <c r="L34" s="60"/>
      <c r="M34" s="60">
        <v>23</v>
      </c>
      <c r="N34" s="60">
        <v>23</v>
      </c>
      <c r="O34" s="60"/>
      <c r="P34" s="60"/>
      <c r="Q34" s="53">
        <f t="shared" si="5"/>
        <v>11.5</v>
      </c>
      <c r="R34" s="53">
        <f t="shared" si="6"/>
        <v>0</v>
      </c>
      <c r="S34" s="53">
        <f t="shared" si="7"/>
        <v>11.5</v>
      </c>
      <c r="T34" s="99"/>
    </row>
    <row r="35" spans="2:23">
      <c r="B35" s="55">
        <v>402</v>
      </c>
      <c r="C35" s="55" t="s">
        <v>7</v>
      </c>
      <c r="D35" s="55">
        <v>9</v>
      </c>
      <c r="E35" s="56">
        <f t="shared" si="0"/>
        <v>2</v>
      </c>
      <c r="F35" s="56">
        <f t="shared" si="1"/>
        <v>2</v>
      </c>
      <c r="G35" s="56">
        <f t="shared" si="2"/>
        <v>2</v>
      </c>
      <c r="H35" s="55">
        <v>3</v>
      </c>
      <c r="I35" s="55">
        <f t="shared" si="3"/>
        <v>2</v>
      </c>
      <c r="J35" s="55" t="str">
        <f t="shared" si="4"/>
        <v>222.3</v>
      </c>
      <c r="K35" s="54"/>
      <c r="L35" s="54">
        <v>32</v>
      </c>
      <c r="M35" s="54">
        <v>16</v>
      </c>
      <c r="N35" s="54">
        <v>27</v>
      </c>
      <c r="O35" s="54"/>
      <c r="P35" s="54"/>
      <c r="Q35" s="53">
        <f t="shared" si="5"/>
        <v>12.5</v>
      </c>
      <c r="R35" s="52">
        <f t="shared" si="6"/>
        <v>2.3629078131263044</v>
      </c>
      <c r="S35" s="53">
        <f t="shared" si="7"/>
        <v>12.5</v>
      </c>
      <c r="T35" s="98"/>
    </row>
    <row r="36" spans="2:23">
      <c r="B36" s="69">
        <v>403</v>
      </c>
      <c r="C36" s="69" t="s">
        <v>15</v>
      </c>
      <c r="D36" s="69">
        <v>6</v>
      </c>
      <c r="E36" s="70">
        <f t="shared" si="0"/>
        <v>1</v>
      </c>
      <c r="F36" s="70">
        <f t="shared" si="1"/>
        <v>3</v>
      </c>
      <c r="G36" s="70">
        <f t="shared" si="2"/>
        <v>1</v>
      </c>
      <c r="H36" s="69">
        <v>3</v>
      </c>
      <c r="I36" s="69">
        <f t="shared" si="3"/>
        <v>3</v>
      </c>
      <c r="J36" s="69" t="str">
        <f t="shared" si="4"/>
        <v>131.3</v>
      </c>
      <c r="K36" s="68"/>
      <c r="L36" s="68"/>
      <c r="M36" s="68">
        <v>47</v>
      </c>
      <c r="N36" s="68">
        <v>52</v>
      </c>
      <c r="O36" s="68"/>
      <c r="P36" s="68"/>
      <c r="Q36" s="68">
        <f t="shared" si="5"/>
        <v>24.75</v>
      </c>
      <c r="R36" s="66">
        <f t="shared" si="6"/>
        <v>1.25</v>
      </c>
      <c r="S36" s="67">
        <f t="shared" si="7"/>
        <v>12.375</v>
      </c>
      <c r="T36" s="100"/>
    </row>
    <row r="37" spans="2:23">
      <c r="B37" s="55">
        <v>404</v>
      </c>
      <c r="C37" s="55" t="s">
        <v>8</v>
      </c>
      <c r="D37" s="55">
        <v>3</v>
      </c>
      <c r="E37" s="56">
        <f t="shared" si="0"/>
        <v>1</v>
      </c>
      <c r="F37" s="56">
        <f t="shared" si="1"/>
        <v>2</v>
      </c>
      <c r="G37" s="56">
        <f t="shared" si="2"/>
        <v>2</v>
      </c>
      <c r="H37" s="55">
        <v>3</v>
      </c>
      <c r="I37" s="55">
        <f t="shared" si="3"/>
        <v>4</v>
      </c>
      <c r="J37" s="55" t="str">
        <f t="shared" si="4"/>
        <v>122.3</v>
      </c>
      <c r="K37" s="54"/>
      <c r="L37" s="54"/>
      <c r="M37" s="54">
        <v>26</v>
      </c>
      <c r="N37" s="54">
        <v>36</v>
      </c>
      <c r="O37" s="54"/>
      <c r="P37" s="54"/>
      <c r="Q37" s="53">
        <f t="shared" si="5"/>
        <v>15.5</v>
      </c>
      <c r="R37" s="52">
        <f t="shared" si="6"/>
        <v>2.5</v>
      </c>
      <c r="S37" s="53">
        <f t="shared" si="7"/>
        <v>15.5</v>
      </c>
      <c r="T37" s="98"/>
    </row>
    <row r="38" spans="2:23">
      <c r="B38" s="69">
        <v>405</v>
      </c>
      <c r="C38" s="69" t="s">
        <v>15</v>
      </c>
      <c r="D38" s="69">
        <v>6</v>
      </c>
      <c r="E38" s="70">
        <f t="shared" si="0"/>
        <v>1</v>
      </c>
      <c r="F38" s="70">
        <f t="shared" si="1"/>
        <v>3</v>
      </c>
      <c r="G38" s="70">
        <f t="shared" si="2"/>
        <v>1</v>
      </c>
      <c r="H38" s="69">
        <v>4</v>
      </c>
      <c r="I38" s="69">
        <f t="shared" si="3"/>
        <v>5</v>
      </c>
      <c r="J38" s="69" t="str">
        <f t="shared" si="4"/>
        <v>131.4</v>
      </c>
      <c r="K38" s="68"/>
      <c r="L38" s="68"/>
      <c r="M38" s="68">
        <v>46</v>
      </c>
      <c r="N38" s="68">
        <v>40</v>
      </c>
      <c r="O38" s="68"/>
      <c r="P38" s="68"/>
      <c r="Q38" s="68">
        <f t="shared" si="5"/>
        <v>21.5</v>
      </c>
      <c r="R38" s="66">
        <f t="shared" si="6"/>
        <v>1.4999999999999998</v>
      </c>
      <c r="S38" s="67">
        <f t="shared" si="7"/>
        <v>10.75</v>
      </c>
      <c r="T38" s="100"/>
      <c r="V38" s="64" t="s">
        <v>333</v>
      </c>
      <c r="W38" s="110" t="s">
        <v>372</v>
      </c>
    </row>
    <row r="39" spans="2:23">
      <c r="B39" s="55">
        <v>406</v>
      </c>
      <c r="C39" s="55" t="s">
        <v>8</v>
      </c>
      <c r="D39" s="55">
        <v>3</v>
      </c>
      <c r="E39" s="56">
        <f t="shared" si="0"/>
        <v>1</v>
      </c>
      <c r="F39" s="56">
        <f t="shared" si="1"/>
        <v>2</v>
      </c>
      <c r="G39" s="56">
        <f t="shared" si="2"/>
        <v>2</v>
      </c>
      <c r="H39" s="55">
        <v>4</v>
      </c>
      <c r="I39" s="55">
        <f t="shared" si="3"/>
        <v>6</v>
      </c>
      <c r="J39" s="55" t="str">
        <f t="shared" si="4"/>
        <v>122.4</v>
      </c>
      <c r="K39" s="54"/>
      <c r="L39" s="54"/>
      <c r="M39" s="54">
        <v>19</v>
      </c>
      <c r="N39" s="54">
        <v>23</v>
      </c>
      <c r="O39" s="54"/>
      <c r="P39" s="54"/>
      <c r="Q39" s="53">
        <f t="shared" si="5"/>
        <v>10.5</v>
      </c>
      <c r="R39" s="52">
        <f t="shared" si="6"/>
        <v>1</v>
      </c>
      <c r="S39" s="53">
        <f t="shared" si="7"/>
        <v>10.5</v>
      </c>
      <c r="T39" s="98"/>
    </row>
    <row r="40" spans="2:23">
      <c r="B40" s="55">
        <v>407</v>
      </c>
      <c r="C40" s="55" t="s">
        <v>14</v>
      </c>
      <c r="D40" s="55">
        <v>7</v>
      </c>
      <c r="E40" s="56">
        <f t="shared" si="0"/>
        <v>2</v>
      </c>
      <c r="F40" s="56">
        <f t="shared" si="1"/>
        <v>1</v>
      </c>
      <c r="G40" s="56">
        <f t="shared" si="2"/>
        <v>2</v>
      </c>
      <c r="H40" s="55">
        <v>4</v>
      </c>
      <c r="I40" s="55">
        <f t="shared" si="3"/>
        <v>7</v>
      </c>
      <c r="J40" s="55" t="str">
        <f t="shared" si="4"/>
        <v>212.4</v>
      </c>
      <c r="K40" s="54"/>
      <c r="L40" s="54"/>
      <c r="M40" s="54">
        <v>26</v>
      </c>
      <c r="N40" s="54">
        <v>25</v>
      </c>
      <c r="O40" s="54"/>
      <c r="P40" s="54"/>
      <c r="Q40" s="53">
        <f t="shared" si="5"/>
        <v>12.75</v>
      </c>
      <c r="R40" s="52">
        <f t="shared" si="6"/>
        <v>0.25</v>
      </c>
      <c r="S40" s="53">
        <f t="shared" si="7"/>
        <v>12.75</v>
      </c>
      <c r="T40" s="98"/>
      <c r="V40" s="65" t="s">
        <v>307</v>
      </c>
      <c r="W40" s="63"/>
    </row>
    <row r="41" spans="2:23" ht="13.5" thickBot="1">
      <c r="B41" s="49">
        <v>408</v>
      </c>
      <c r="C41" s="49" t="s">
        <v>6</v>
      </c>
      <c r="D41" s="49">
        <v>10</v>
      </c>
      <c r="E41" s="50">
        <f t="shared" si="0"/>
        <v>2</v>
      </c>
      <c r="F41" s="50">
        <f t="shared" si="1"/>
        <v>2</v>
      </c>
      <c r="G41" s="50">
        <f t="shared" si="2"/>
        <v>1</v>
      </c>
      <c r="H41" s="49">
        <v>4</v>
      </c>
      <c r="I41" s="49">
        <f t="shared" si="3"/>
        <v>8</v>
      </c>
      <c r="J41" s="49" t="str">
        <f t="shared" si="4"/>
        <v>221.4</v>
      </c>
      <c r="K41" s="48"/>
      <c r="L41" s="48"/>
      <c r="M41" s="48">
        <v>29</v>
      </c>
      <c r="N41" s="48">
        <v>23</v>
      </c>
      <c r="O41" s="48"/>
      <c r="P41" s="48"/>
      <c r="Q41" s="48">
        <f t="shared" si="5"/>
        <v>13</v>
      </c>
      <c r="R41" s="47">
        <f t="shared" si="6"/>
        <v>1.4999999999999998</v>
      </c>
      <c r="S41" s="48">
        <f t="shared" si="7"/>
        <v>13</v>
      </c>
      <c r="T41" s="97"/>
      <c r="V41" s="65" t="s">
        <v>331</v>
      </c>
      <c r="W41" s="109" t="s">
        <v>304</v>
      </c>
    </row>
    <row r="42" spans="2:23">
      <c r="B42" s="61">
        <v>901</v>
      </c>
      <c r="C42" s="61" t="s">
        <v>16</v>
      </c>
      <c r="D42" s="61">
        <v>32</v>
      </c>
      <c r="E42" s="62">
        <v>9</v>
      </c>
      <c r="F42" s="62">
        <v>0</v>
      </c>
      <c r="G42" s="62"/>
      <c r="H42" s="61">
        <v>1</v>
      </c>
      <c r="I42" s="61">
        <f t="shared" si="3"/>
        <v>1</v>
      </c>
      <c r="J42" s="61" t="str">
        <f t="shared" si="4"/>
        <v>90.1</v>
      </c>
      <c r="K42" s="60"/>
      <c r="L42" s="60"/>
      <c r="M42" s="60"/>
      <c r="N42" s="60"/>
      <c r="O42" s="60"/>
      <c r="P42" s="60"/>
      <c r="Q42" s="53" t="e">
        <f t="shared" si="5"/>
        <v>#DIV/0!</v>
      </c>
      <c r="R42" s="53" t="e">
        <f t="shared" si="6"/>
        <v>#DIV/0!</v>
      </c>
      <c r="S42" s="53" t="e">
        <f t="shared" si="7"/>
        <v>#DIV/0!</v>
      </c>
      <c r="T42" s="99"/>
      <c r="V42" s="59">
        <v>1</v>
      </c>
      <c r="W42" s="58">
        <v>11.5</v>
      </c>
    </row>
    <row r="43" spans="2:23">
      <c r="B43" s="55">
        <v>902</v>
      </c>
      <c r="C43" s="57" t="s">
        <v>302</v>
      </c>
      <c r="D43" s="55">
        <v>22</v>
      </c>
      <c r="E43" s="56">
        <v>4</v>
      </c>
      <c r="F43" s="56">
        <v>2</v>
      </c>
      <c r="G43" s="56"/>
      <c r="H43" s="55">
        <v>1</v>
      </c>
      <c r="I43" s="55">
        <f t="shared" si="3"/>
        <v>2</v>
      </c>
      <c r="J43" s="55" t="str">
        <f t="shared" si="4"/>
        <v>42.1</v>
      </c>
      <c r="K43" s="54"/>
      <c r="L43" s="54"/>
      <c r="M43" s="54">
        <v>29</v>
      </c>
      <c r="N43" s="54">
        <v>25</v>
      </c>
      <c r="O43" s="54"/>
      <c r="P43" s="54"/>
      <c r="Q43" s="53">
        <f t="shared" si="5"/>
        <v>13.5</v>
      </c>
      <c r="R43" s="52">
        <f t="shared" si="6"/>
        <v>1</v>
      </c>
      <c r="S43" s="53">
        <f t="shared" si="7"/>
        <v>13.5</v>
      </c>
      <c r="T43" s="98"/>
      <c r="V43" s="44">
        <v>2</v>
      </c>
      <c r="W43" s="43">
        <v>12.75</v>
      </c>
    </row>
    <row r="44" spans="2:23">
      <c r="B44" s="55">
        <v>903</v>
      </c>
      <c r="C44" s="55" t="s">
        <v>17</v>
      </c>
      <c r="D44" s="55">
        <v>31</v>
      </c>
      <c r="E44" s="56">
        <v>8</v>
      </c>
      <c r="F44" s="56">
        <v>0</v>
      </c>
      <c r="G44" s="56"/>
      <c r="H44" s="55">
        <v>1</v>
      </c>
      <c r="I44" s="55">
        <f t="shared" si="3"/>
        <v>3</v>
      </c>
      <c r="J44" s="55" t="str">
        <f t="shared" si="4"/>
        <v>80.1</v>
      </c>
      <c r="K44" s="54"/>
      <c r="L44" s="54"/>
      <c r="M44" s="54"/>
      <c r="N44" s="54"/>
      <c r="O44" s="54"/>
      <c r="P44" s="54"/>
      <c r="Q44" s="53" t="e">
        <f t="shared" si="5"/>
        <v>#DIV/0!</v>
      </c>
      <c r="R44" s="52" t="e">
        <f t="shared" si="6"/>
        <v>#DIV/0!</v>
      </c>
      <c r="S44" s="53" t="e">
        <f t="shared" si="7"/>
        <v>#DIV/0!</v>
      </c>
      <c r="T44" s="98"/>
      <c r="V44" s="42">
        <v>3</v>
      </c>
      <c r="W44" s="41">
        <v>23</v>
      </c>
    </row>
    <row r="45" spans="2:23">
      <c r="B45" s="55">
        <v>904</v>
      </c>
      <c r="C45" s="57" t="s">
        <v>301</v>
      </c>
      <c r="D45" s="55">
        <v>21</v>
      </c>
      <c r="E45" s="56">
        <v>3</v>
      </c>
      <c r="F45" s="56">
        <v>2</v>
      </c>
      <c r="G45" s="56"/>
      <c r="H45" s="55">
        <v>1</v>
      </c>
      <c r="I45" s="55">
        <f t="shared" si="3"/>
        <v>4</v>
      </c>
      <c r="J45" s="55" t="str">
        <f t="shared" si="4"/>
        <v>32.1</v>
      </c>
      <c r="K45" s="54"/>
      <c r="L45" s="54"/>
      <c r="M45" s="54">
        <v>29</v>
      </c>
      <c r="N45" s="54">
        <v>30</v>
      </c>
      <c r="O45" s="54"/>
      <c r="P45" s="54"/>
      <c r="Q45" s="53">
        <f t="shared" si="5"/>
        <v>14.75</v>
      </c>
      <c r="R45" s="52">
        <f t="shared" si="6"/>
        <v>0.25</v>
      </c>
      <c r="S45" s="53">
        <f t="shared" si="7"/>
        <v>14.75</v>
      </c>
      <c r="T45" s="98"/>
    </row>
    <row r="46" spans="2:23">
      <c r="B46" s="55">
        <v>905</v>
      </c>
      <c r="C46" s="55" t="s">
        <v>16</v>
      </c>
      <c r="D46" s="55">
        <v>32</v>
      </c>
      <c r="E46" s="56">
        <v>9</v>
      </c>
      <c r="F46" s="56">
        <v>0</v>
      </c>
      <c r="G46" s="56"/>
      <c r="H46" s="55">
        <v>2</v>
      </c>
      <c r="I46" s="55">
        <f t="shared" si="3"/>
        <v>5</v>
      </c>
      <c r="J46" s="55" t="str">
        <f t="shared" si="4"/>
        <v>90.2</v>
      </c>
      <c r="K46" s="54"/>
      <c r="L46" s="54"/>
      <c r="M46" s="54"/>
      <c r="N46" s="54"/>
      <c r="O46" s="54"/>
      <c r="P46" s="54"/>
      <c r="Q46" s="53" t="e">
        <f t="shared" si="5"/>
        <v>#DIV/0!</v>
      </c>
      <c r="R46" s="52" t="e">
        <f t="shared" si="6"/>
        <v>#DIV/0!</v>
      </c>
      <c r="S46" s="53" t="e">
        <f t="shared" si="7"/>
        <v>#DIV/0!</v>
      </c>
      <c r="T46" s="98"/>
    </row>
    <row r="47" spans="2:23">
      <c r="B47" s="55">
        <v>906</v>
      </c>
      <c r="C47" s="57" t="s">
        <v>302</v>
      </c>
      <c r="D47" s="55">
        <v>22</v>
      </c>
      <c r="E47" s="56">
        <v>4</v>
      </c>
      <c r="F47" s="56">
        <v>2</v>
      </c>
      <c r="G47" s="56"/>
      <c r="H47" s="55">
        <v>2</v>
      </c>
      <c r="I47" s="55">
        <f t="shared" si="3"/>
        <v>6</v>
      </c>
      <c r="J47" s="55" t="str">
        <f t="shared" si="4"/>
        <v>42.2</v>
      </c>
      <c r="K47" s="54"/>
      <c r="L47" s="54"/>
      <c r="M47" s="54">
        <v>23</v>
      </c>
      <c r="N47" s="54">
        <v>23</v>
      </c>
      <c r="O47" s="54"/>
      <c r="P47" s="54"/>
      <c r="Q47" s="53">
        <f t="shared" si="5"/>
        <v>11.5</v>
      </c>
      <c r="R47" s="52">
        <f t="shared" si="6"/>
        <v>0</v>
      </c>
      <c r="S47" s="53">
        <f t="shared" si="7"/>
        <v>11.5</v>
      </c>
      <c r="T47" s="98"/>
    </row>
    <row r="48" spans="2:23">
      <c r="B48" s="55">
        <v>907</v>
      </c>
      <c r="C48" s="55" t="s">
        <v>17</v>
      </c>
      <c r="D48" s="55">
        <v>31</v>
      </c>
      <c r="E48" s="56">
        <v>8</v>
      </c>
      <c r="F48" s="56">
        <v>0</v>
      </c>
      <c r="G48" s="56"/>
      <c r="H48" s="55">
        <v>2</v>
      </c>
      <c r="I48" s="55">
        <f t="shared" si="3"/>
        <v>7</v>
      </c>
      <c r="J48" s="55" t="str">
        <f t="shared" si="4"/>
        <v>80.2</v>
      </c>
      <c r="K48" s="54"/>
      <c r="L48" s="54"/>
      <c r="M48" s="54"/>
      <c r="N48" s="54"/>
      <c r="O48" s="54"/>
      <c r="P48" s="54"/>
      <c r="Q48" s="53" t="e">
        <f t="shared" si="5"/>
        <v>#DIV/0!</v>
      </c>
      <c r="R48" s="52" t="e">
        <f t="shared" si="6"/>
        <v>#DIV/0!</v>
      </c>
      <c r="S48" s="53" t="e">
        <f t="shared" si="7"/>
        <v>#DIV/0!</v>
      </c>
      <c r="T48" s="98"/>
    </row>
    <row r="49" spans="2:20" ht="13.5" thickBot="1">
      <c r="B49" s="49">
        <v>908</v>
      </c>
      <c r="C49" s="51" t="s">
        <v>301</v>
      </c>
      <c r="D49" s="49">
        <v>21</v>
      </c>
      <c r="E49" s="50">
        <v>3</v>
      </c>
      <c r="F49" s="50">
        <v>2</v>
      </c>
      <c r="G49" s="50"/>
      <c r="H49" s="49">
        <v>2</v>
      </c>
      <c r="I49" s="49">
        <f t="shared" si="3"/>
        <v>8</v>
      </c>
      <c r="J49" s="49" t="str">
        <f t="shared" si="4"/>
        <v>32.2</v>
      </c>
      <c r="K49" s="48"/>
      <c r="L49" s="48"/>
      <c r="M49" s="48">
        <v>25</v>
      </c>
      <c r="N49" s="48">
        <v>27</v>
      </c>
      <c r="O49" s="48"/>
      <c r="P49" s="48"/>
      <c r="Q49" s="48">
        <f t="shared" si="5"/>
        <v>13</v>
      </c>
      <c r="R49" s="47">
        <f t="shared" si="6"/>
        <v>0.5</v>
      </c>
      <c r="S49" s="48">
        <f t="shared" si="7"/>
        <v>13</v>
      </c>
      <c r="T49" s="97"/>
    </row>
  </sheetData>
  <mergeCells count="2">
    <mergeCell ref="Q3:R3"/>
    <mergeCell ref="Q4:R4"/>
  </mergeCells>
  <pageMargins left="0.75" right="0.75" top="1" bottom="1" header="0.5" footer="0.5"/>
  <pageSetup orientation="portrait" r:id="rId3"/>
  <headerFooter alignWithMargins="0"/>
  <drawing r:id="rId4"/>
  <legacyDrawing r:id="rId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E6DA3-28B0-4DDB-95BA-7E3011BFCF3F}">
  <sheetPr>
    <pageSetUpPr fitToPage="1"/>
  </sheetPr>
  <dimension ref="A1:AK111"/>
  <sheetViews>
    <sheetView workbookViewId="0">
      <selection activeCell="N10" sqref="N10:N49"/>
    </sheetView>
  </sheetViews>
  <sheetFormatPr defaultRowHeight="12.75"/>
  <cols>
    <col min="1" max="21" width="9.140625" style="37"/>
    <col min="22" max="22" width="23.5703125" style="37" customWidth="1"/>
    <col min="23" max="23" width="6.5703125" style="37" customWidth="1"/>
    <col min="24" max="24" width="5.5703125" style="37" customWidth="1"/>
    <col min="25" max="16384" width="9.140625" style="37"/>
  </cols>
  <sheetData>
    <row r="1" spans="1:23" ht="15.75">
      <c r="A1" s="93" t="s">
        <v>340</v>
      </c>
    </row>
    <row r="2" spans="1:23">
      <c r="Q2" s="92" t="s">
        <v>359</v>
      </c>
    </row>
    <row r="3" spans="1:23" ht="13.5" thickBot="1">
      <c r="A3" s="92"/>
      <c r="B3" s="104" t="s">
        <v>339</v>
      </c>
      <c r="C3" s="96">
        <v>141</v>
      </c>
      <c r="E3" s="104" t="s">
        <v>338</v>
      </c>
      <c r="F3" s="105"/>
      <c r="H3" s="104" t="s">
        <v>358</v>
      </c>
      <c r="I3" s="108">
        <v>37397</v>
      </c>
      <c r="J3" s="96"/>
      <c r="Q3" s="117" t="s">
        <v>357</v>
      </c>
      <c r="R3" s="118"/>
      <c r="S3" s="91">
        <f>AVERAGE(Q10:Q11,Q13,Q15:Q17,Q19:Q20,Q22:Q29,Q31:Q32,Q34:Q35,Q37,Q39:Q41)</f>
        <v>11.57291666666667</v>
      </c>
    </row>
    <row r="4" spans="1:23" ht="13.5" thickBot="1">
      <c r="E4" s="104" t="s">
        <v>337</v>
      </c>
      <c r="F4" s="105"/>
      <c r="H4" s="104" t="s">
        <v>350</v>
      </c>
      <c r="I4" s="96" t="s">
        <v>384</v>
      </c>
      <c r="J4" s="96"/>
      <c r="Q4" s="117" t="s">
        <v>356</v>
      </c>
      <c r="R4" s="118"/>
      <c r="S4" s="91">
        <f>AVERAGE(Q12,Q14,Q18,Q21,Q30,Q36,Q38,Q33)</f>
        <v>21.354166666666664</v>
      </c>
    </row>
    <row r="6" spans="1:23" ht="13.5" thickBot="1">
      <c r="B6" s="104" t="s">
        <v>336</v>
      </c>
      <c r="C6" s="96" t="s">
        <v>383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</row>
    <row r="7" spans="1:23" ht="13.5" thickBot="1"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</row>
    <row r="8" spans="1:23" ht="13.5" thickBot="1"/>
    <row r="9" spans="1:23" ht="51.75" thickBot="1">
      <c r="B9" s="88" t="s">
        <v>0</v>
      </c>
      <c r="C9" s="89" t="s">
        <v>305</v>
      </c>
      <c r="D9" s="89" t="s">
        <v>333</v>
      </c>
      <c r="E9" s="88" t="s">
        <v>332</v>
      </c>
      <c r="F9" s="89" t="s">
        <v>331</v>
      </c>
      <c r="G9" s="88" t="s">
        <v>330</v>
      </c>
      <c r="H9" s="88" t="s">
        <v>329</v>
      </c>
      <c r="I9" s="88" t="s">
        <v>315</v>
      </c>
      <c r="J9" s="88" t="s">
        <v>328</v>
      </c>
      <c r="K9" s="86" t="s">
        <v>327</v>
      </c>
      <c r="L9" s="86" t="s">
        <v>326</v>
      </c>
      <c r="M9" s="86" t="s">
        <v>325</v>
      </c>
      <c r="N9" s="86" t="s">
        <v>324</v>
      </c>
      <c r="O9" s="86" t="s">
        <v>323</v>
      </c>
      <c r="P9" s="86" t="s">
        <v>322</v>
      </c>
      <c r="Q9" s="87" t="s">
        <v>321</v>
      </c>
      <c r="R9" s="86" t="s">
        <v>320</v>
      </c>
      <c r="S9" s="87" t="s">
        <v>319</v>
      </c>
      <c r="T9" s="103" t="s">
        <v>318</v>
      </c>
    </row>
    <row r="10" spans="1:23">
      <c r="B10" s="61">
        <v>101</v>
      </c>
      <c r="C10" s="62" t="s">
        <v>3</v>
      </c>
      <c r="D10" s="62">
        <v>1</v>
      </c>
      <c r="E10" s="62">
        <f t="shared" ref="E10:E41" si="0">IF(LEFT($C10,1)="F",1,2)</f>
        <v>1</v>
      </c>
      <c r="F10" s="62">
        <f t="shared" ref="F10:F41" si="1">IF(MID($C10,2,1)="S",1,IF(MID($C10,2,1)="T",2,IF(MID($C10,2,1)="D",3,0)))</f>
        <v>1</v>
      </c>
      <c r="G10" s="62">
        <f t="shared" ref="G10:G41" si="2">IF(RIGHT($C10,1)="L",1,2)</f>
        <v>2</v>
      </c>
      <c r="H10" s="61">
        <v>1</v>
      </c>
      <c r="I10" s="61">
        <f t="shared" ref="I10:I49" si="3">B10-INT(B10/100)*100</f>
        <v>1</v>
      </c>
      <c r="J10" s="61" t="str">
        <f t="shared" ref="J10:J49" si="4">(E10&amp;F10&amp;G10&amp;"."&amp;H10)</f>
        <v>112.1</v>
      </c>
      <c r="K10" s="83">
        <v>22</v>
      </c>
      <c r="L10" s="60">
        <v>14</v>
      </c>
      <c r="M10" s="60">
        <v>21</v>
      </c>
      <c r="N10" s="60">
        <v>26</v>
      </c>
      <c r="O10" s="60">
        <v>14</v>
      </c>
      <c r="P10" s="60">
        <v>21</v>
      </c>
      <c r="Q10" s="53">
        <f t="shared" ref="Q10:Q49" si="5">AVERAGE(K10:P10)/2</f>
        <v>9.8333333333333339</v>
      </c>
      <c r="R10" s="53">
        <f t="shared" ref="R10:R49" si="6">STDEV(K10:P10)/2/SQRT(COUNT(K10:P10))</f>
        <v>0.97182531580755094</v>
      </c>
      <c r="S10" s="53">
        <f t="shared" ref="S10:S49" si="7">IF(F10=3,Q10/2,Q10)</f>
        <v>9.8333333333333339</v>
      </c>
      <c r="T10" s="99"/>
      <c r="V10" s="65" t="s">
        <v>316</v>
      </c>
      <c r="W10" s="63"/>
    </row>
    <row r="11" spans="1:23">
      <c r="B11" s="55">
        <v>102</v>
      </c>
      <c r="C11" s="55" t="s">
        <v>4</v>
      </c>
      <c r="D11" s="55">
        <v>4</v>
      </c>
      <c r="E11" s="56">
        <f t="shared" si="0"/>
        <v>1</v>
      </c>
      <c r="F11" s="56">
        <f t="shared" si="1"/>
        <v>2</v>
      </c>
      <c r="G11" s="56">
        <f t="shared" si="2"/>
        <v>1</v>
      </c>
      <c r="H11" s="55">
        <v>1</v>
      </c>
      <c r="I11" s="55">
        <f t="shared" si="3"/>
        <v>2</v>
      </c>
      <c r="J11" s="55" t="str">
        <f t="shared" si="4"/>
        <v>121.1</v>
      </c>
      <c r="K11" s="54">
        <v>25</v>
      </c>
      <c r="L11" s="54">
        <v>28</v>
      </c>
      <c r="M11" s="54">
        <v>27</v>
      </c>
      <c r="N11" s="54">
        <v>18</v>
      </c>
      <c r="O11" s="54">
        <v>27</v>
      </c>
      <c r="P11" s="54">
        <v>17</v>
      </c>
      <c r="Q11" s="53">
        <f t="shared" si="5"/>
        <v>11.833333333333334</v>
      </c>
      <c r="R11" s="52">
        <f t="shared" si="6"/>
        <v>0.99721835344344001</v>
      </c>
      <c r="S11" s="53">
        <f t="shared" si="7"/>
        <v>11.833333333333334</v>
      </c>
      <c r="T11" s="98"/>
      <c r="V11" s="65" t="s">
        <v>315</v>
      </c>
      <c r="W11" s="63" t="s">
        <v>304</v>
      </c>
    </row>
    <row r="12" spans="1:23">
      <c r="B12" s="69">
        <v>103</v>
      </c>
      <c r="C12" s="69" t="s">
        <v>5</v>
      </c>
      <c r="D12" s="69">
        <v>5</v>
      </c>
      <c r="E12" s="70">
        <f t="shared" si="0"/>
        <v>1</v>
      </c>
      <c r="F12" s="70">
        <f t="shared" si="1"/>
        <v>3</v>
      </c>
      <c r="G12" s="70">
        <f t="shared" si="2"/>
        <v>2</v>
      </c>
      <c r="H12" s="69">
        <v>1</v>
      </c>
      <c r="I12" s="69">
        <f t="shared" si="3"/>
        <v>3</v>
      </c>
      <c r="J12" s="69" t="str">
        <f t="shared" si="4"/>
        <v>132.1</v>
      </c>
      <c r="K12" s="68">
        <v>39</v>
      </c>
      <c r="L12" s="68">
        <v>42</v>
      </c>
      <c r="M12" s="68">
        <v>38</v>
      </c>
      <c r="N12" s="68">
        <v>38</v>
      </c>
      <c r="O12" s="68">
        <v>48</v>
      </c>
      <c r="P12" s="68">
        <v>33</v>
      </c>
      <c r="Q12" s="67">
        <f t="shared" si="5"/>
        <v>19.833333333333332</v>
      </c>
      <c r="R12" s="66">
        <f t="shared" si="6"/>
        <v>1.0219806477837288</v>
      </c>
      <c r="S12" s="67">
        <f t="shared" si="7"/>
        <v>9.9166666666666661</v>
      </c>
      <c r="T12" s="100"/>
      <c r="V12" s="59">
        <v>1</v>
      </c>
      <c r="W12" s="58">
        <v>10.729166666666668</v>
      </c>
    </row>
    <row r="13" spans="1:23">
      <c r="B13" s="55">
        <v>104</v>
      </c>
      <c r="C13" s="55" t="s">
        <v>6</v>
      </c>
      <c r="D13" s="55">
        <v>10</v>
      </c>
      <c r="E13" s="56">
        <f t="shared" si="0"/>
        <v>2</v>
      </c>
      <c r="F13" s="56">
        <f t="shared" si="1"/>
        <v>2</v>
      </c>
      <c r="G13" s="56">
        <f t="shared" si="2"/>
        <v>1</v>
      </c>
      <c r="H13" s="55">
        <v>1</v>
      </c>
      <c r="I13" s="55">
        <f t="shared" si="3"/>
        <v>4</v>
      </c>
      <c r="J13" s="55" t="str">
        <f t="shared" si="4"/>
        <v>221.1</v>
      </c>
      <c r="K13" s="54">
        <v>24</v>
      </c>
      <c r="L13" s="54">
        <v>26</v>
      </c>
      <c r="M13" s="54">
        <v>23</v>
      </c>
      <c r="N13" s="54">
        <v>27</v>
      </c>
      <c r="O13" s="54">
        <v>20</v>
      </c>
      <c r="P13" s="54">
        <v>19</v>
      </c>
      <c r="Q13" s="53">
        <f t="shared" si="5"/>
        <v>11.583333333333334</v>
      </c>
      <c r="R13" s="52">
        <f t="shared" si="6"/>
        <v>0.65085413965888894</v>
      </c>
      <c r="S13" s="53">
        <f t="shared" si="7"/>
        <v>11.583333333333334</v>
      </c>
      <c r="T13" s="98"/>
      <c r="V13" s="44">
        <v>2</v>
      </c>
      <c r="W13" s="43">
        <v>11.875</v>
      </c>
    </row>
    <row r="14" spans="1:23">
      <c r="B14" s="69">
        <v>105</v>
      </c>
      <c r="C14" s="69" t="s">
        <v>10</v>
      </c>
      <c r="D14" s="69">
        <v>12</v>
      </c>
      <c r="E14" s="70">
        <f t="shared" si="0"/>
        <v>2</v>
      </c>
      <c r="F14" s="70">
        <f t="shared" si="1"/>
        <v>3</v>
      </c>
      <c r="G14" s="70">
        <f t="shared" si="2"/>
        <v>1</v>
      </c>
      <c r="H14" s="69">
        <v>2</v>
      </c>
      <c r="I14" s="69">
        <f t="shared" si="3"/>
        <v>5</v>
      </c>
      <c r="J14" s="69" t="str">
        <f t="shared" si="4"/>
        <v>231.2</v>
      </c>
      <c r="K14" s="68">
        <v>40</v>
      </c>
      <c r="L14" s="68">
        <v>40</v>
      </c>
      <c r="M14" s="68">
        <v>44</v>
      </c>
      <c r="N14" s="68">
        <v>41</v>
      </c>
      <c r="O14" s="68">
        <v>41</v>
      </c>
      <c r="P14" s="68">
        <v>41</v>
      </c>
      <c r="Q14" s="67">
        <f t="shared" si="5"/>
        <v>20.583333333333332</v>
      </c>
      <c r="R14" s="66">
        <f t="shared" si="6"/>
        <v>0.30046260628866578</v>
      </c>
      <c r="S14" s="67">
        <f t="shared" si="7"/>
        <v>10.291666666666666</v>
      </c>
      <c r="T14" s="100"/>
      <c r="V14" s="44">
        <v>3</v>
      </c>
      <c r="W14" s="43">
        <v>10.416666666666666</v>
      </c>
    </row>
    <row r="15" spans="1:23">
      <c r="B15" s="55">
        <v>106</v>
      </c>
      <c r="C15" s="55" t="s">
        <v>7</v>
      </c>
      <c r="D15" s="55">
        <v>9</v>
      </c>
      <c r="E15" s="56">
        <f t="shared" si="0"/>
        <v>2</v>
      </c>
      <c r="F15" s="56">
        <f t="shared" si="1"/>
        <v>2</v>
      </c>
      <c r="G15" s="56">
        <f t="shared" si="2"/>
        <v>2</v>
      </c>
      <c r="H15" s="55">
        <v>2</v>
      </c>
      <c r="I15" s="55">
        <f t="shared" si="3"/>
        <v>6</v>
      </c>
      <c r="J15" s="55" t="str">
        <f t="shared" si="4"/>
        <v>222.2</v>
      </c>
      <c r="K15" s="54">
        <v>24</v>
      </c>
      <c r="L15" s="54">
        <v>29</v>
      </c>
      <c r="M15" s="54">
        <v>21</v>
      </c>
      <c r="N15" s="54">
        <v>23</v>
      </c>
      <c r="O15" s="54">
        <v>22</v>
      </c>
      <c r="P15" s="54">
        <v>19</v>
      </c>
      <c r="Q15" s="53">
        <f t="shared" si="5"/>
        <v>11.5</v>
      </c>
      <c r="R15" s="52">
        <f t="shared" si="6"/>
        <v>0.695221787153807</v>
      </c>
      <c r="S15" s="53">
        <f t="shared" si="7"/>
        <v>11.5</v>
      </c>
      <c r="T15" s="98"/>
      <c r="V15" s="44">
        <v>4</v>
      </c>
      <c r="W15" s="43">
        <v>11.520833333333332</v>
      </c>
    </row>
    <row r="16" spans="1:23">
      <c r="B16" s="55">
        <v>107</v>
      </c>
      <c r="C16" s="55" t="s">
        <v>6</v>
      </c>
      <c r="D16" s="55">
        <v>10</v>
      </c>
      <c r="E16" s="56">
        <f t="shared" si="0"/>
        <v>2</v>
      </c>
      <c r="F16" s="56">
        <f t="shared" si="1"/>
        <v>2</v>
      </c>
      <c r="G16" s="56">
        <f t="shared" si="2"/>
        <v>1</v>
      </c>
      <c r="H16" s="55">
        <v>2</v>
      </c>
      <c r="I16" s="55">
        <f t="shared" si="3"/>
        <v>7</v>
      </c>
      <c r="J16" s="55" t="str">
        <f t="shared" si="4"/>
        <v>221.2</v>
      </c>
      <c r="K16" s="54">
        <v>19</v>
      </c>
      <c r="L16" s="54">
        <v>20</v>
      </c>
      <c r="M16" s="54">
        <v>24</v>
      </c>
      <c r="N16" s="54">
        <v>21</v>
      </c>
      <c r="O16" s="54">
        <v>22</v>
      </c>
      <c r="P16" s="54">
        <v>24</v>
      </c>
      <c r="Q16" s="53">
        <f t="shared" si="5"/>
        <v>10.833333333333334</v>
      </c>
      <c r="R16" s="52">
        <f t="shared" si="6"/>
        <v>0.42163702135578401</v>
      </c>
      <c r="S16" s="53">
        <f t="shared" si="7"/>
        <v>10.833333333333334</v>
      </c>
      <c r="T16" s="98"/>
      <c r="V16" s="44">
        <v>5</v>
      </c>
      <c r="W16" s="43">
        <v>10.59375</v>
      </c>
    </row>
    <row r="17" spans="2:24" ht="13.5" thickBot="1">
      <c r="B17" s="49">
        <v>108</v>
      </c>
      <c r="C17" s="49" t="s">
        <v>8</v>
      </c>
      <c r="D17" s="49">
        <v>3</v>
      </c>
      <c r="E17" s="50">
        <f t="shared" si="0"/>
        <v>1</v>
      </c>
      <c r="F17" s="50">
        <f t="shared" si="1"/>
        <v>2</v>
      </c>
      <c r="G17" s="50">
        <f t="shared" si="2"/>
        <v>2</v>
      </c>
      <c r="H17" s="49">
        <v>2</v>
      </c>
      <c r="I17" s="49">
        <f t="shared" si="3"/>
        <v>8</v>
      </c>
      <c r="J17" s="49" t="str">
        <f t="shared" si="4"/>
        <v>122.2</v>
      </c>
      <c r="K17" s="48">
        <v>22</v>
      </c>
      <c r="L17" s="48">
        <v>27</v>
      </c>
      <c r="M17" s="48">
        <v>28</v>
      </c>
      <c r="N17" s="48">
        <v>25</v>
      </c>
      <c r="O17" s="48">
        <v>21</v>
      </c>
      <c r="P17" s="48">
        <v>29</v>
      </c>
      <c r="Q17" s="47">
        <f t="shared" si="5"/>
        <v>12.666666666666666</v>
      </c>
      <c r="R17" s="47">
        <f t="shared" si="6"/>
        <v>0.66666666666666763</v>
      </c>
      <c r="S17" s="47">
        <f t="shared" si="7"/>
        <v>12.666666666666666</v>
      </c>
      <c r="T17" s="97"/>
      <c r="V17" s="44">
        <v>6</v>
      </c>
      <c r="W17" s="43">
        <v>11.645833333333334</v>
      </c>
    </row>
    <row r="18" spans="2:24">
      <c r="B18" s="80">
        <v>201</v>
      </c>
      <c r="C18" s="80" t="s">
        <v>10</v>
      </c>
      <c r="D18" s="80">
        <v>12</v>
      </c>
      <c r="E18" s="81">
        <f t="shared" si="0"/>
        <v>2</v>
      </c>
      <c r="F18" s="81">
        <f t="shared" si="1"/>
        <v>3</v>
      </c>
      <c r="G18" s="81">
        <f t="shared" si="2"/>
        <v>1</v>
      </c>
      <c r="H18" s="80">
        <v>1</v>
      </c>
      <c r="I18" s="80">
        <f t="shared" si="3"/>
        <v>1</v>
      </c>
      <c r="J18" s="80" t="str">
        <f t="shared" si="4"/>
        <v>231.1</v>
      </c>
      <c r="K18" s="79">
        <v>43</v>
      </c>
      <c r="L18" s="79">
        <v>41</v>
      </c>
      <c r="M18" s="79">
        <v>55</v>
      </c>
      <c r="N18" s="79">
        <v>41</v>
      </c>
      <c r="O18" s="79">
        <v>47</v>
      </c>
      <c r="P18" s="79">
        <v>49</v>
      </c>
      <c r="Q18" s="67">
        <f t="shared" si="5"/>
        <v>23</v>
      </c>
      <c r="R18" s="67">
        <f t="shared" si="6"/>
        <v>1.1180339887498949</v>
      </c>
      <c r="S18" s="67">
        <f t="shared" si="7"/>
        <v>11.5</v>
      </c>
      <c r="T18" s="102"/>
      <c r="V18" s="44">
        <v>7</v>
      </c>
      <c r="W18" s="43">
        <v>11.75</v>
      </c>
    </row>
    <row r="19" spans="2:24">
      <c r="B19" s="55">
        <v>202</v>
      </c>
      <c r="C19" s="55" t="s">
        <v>7</v>
      </c>
      <c r="D19" s="55">
        <v>9</v>
      </c>
      <c r="E19" s="56">
        <f t="shared" si="0"/>
        <v>2</v>
      </c>
      <c r="F19" s="56">
        <f t="shared" si="1"/>
        <v>2</v>
      </c>
      <c r="G19" s="56">
        <f t="shared" si="2"/>
        <v>2</v>
      </c>
      <c r="H19" s="55">
        <v>1</v>
      </c>
      <c r="I19" s="55">
        <f t="shared" si="3"/>
        <v>2</v>
      </c>
      <c r="J19" s="55" t="str">
        <f t="shared" si="4"/>
        <v>222.1</v>
      </c>
      <c r="K19" s="54">
        <v>24</v>
      </c>
      <c r="L19" s="77">
        <v>21</v>
      </c>
      <c r="M19" s="77">
        <v>22</v>
      </c>
      <c r="N19" s="77">
        <v>22</v>
      </c>
      <c r="O19" s="54">
        <v>25</v>
      </c>
      <c r="P19" s="54">
        <v>19</v>
      </c>
      <c r="Q19" s="53">
        <f t="shared" si="5"/>
        <v>11.083333333333334</v>
      </c>
      <c r="R19" s="52">
        <f t="shared" si="6"/>
        <v>0.43620841094341339</v>
      </c>
      <c r="S19" s="53">
        <f t="shared" si="7"/>
        <v>11.083333333333334</v>
      </c>
      <c r="T19" s="98"/>
      <c r="V19" s="44">
        <v>8</v>
      </c>
      <c r="W19" s="43">
        <v>12.260416666666666</v>
      </c>
    </row>
    <row r="20" spans="2:24">
      <c r="B20" s="55">
        <v>203</v>
      </c>
      <c r="C20" s="55" t="s">
        <v>8</v>
      </c>
      <c r="D20" s="55">
        <v>3</v>
      </c>
      <c r="E20" s="56">
        <f t="shared" si="0"/>
        <v>1</v>
      </c>
      <c r="F20" s="56">
        <f t="shared" si="1"/>
        <v>2</v>
      </c>
      <c r="G20" s="56">
        <f t="shared" si="2"/>
        <v>2</v>
      </c>
      <c r="H20" s="55">
        <v>1</v>
      </c>
      <c r="I20" s="55">
        <f t="shared" si="3"/>
        <v>3</v>
      </c>
      <c r="J20" s="55" t="str">
        <f t="shared" si="4"/>
        <v>122.1</v>
      </c>
      <c r="K20" s="54">
        <v>25</v>
      </c>
      <c r="L20" s="54">
        <v>24</v>
      </c>
      <c r="M20" s="54">
        <v>26</v>
      </c>
      <c r="N20" s="54">
        <v>23</v>
      </c>
      <c r="O20" s="54">
        <v>24</v>
      </c>
      <c r="P20" s="54">
        <v>21</v>
      </c>
      <c r="Q20" s="53">
        <f t="shared" si="5"/>
        <v>11.916666666666666</v>
      </c>
      <c r="R20" s="52">
        <f t="shared" si="6"/>
        <v>0.35158371849548314</v>
      </c>
      <c r="S20" s="53">
        <f t="shared" si="7"/>
        <v>11.916666666666666</v>
      </c>
      <c r="T20" s="98"/>
      <c r="V20" s="76" t="s">
        <v>312</v>
      </c>
      <c r="W20" s="75">
        <v>11.348958333333332</v>
      </c>
    </row>
    <row r="21" spans="2:24">
      <c r="B21" s="69">
        <v>204</v>
      </c>
      <c r="C21" s="69" t="s">
        <v>11</v>
      </c>
      <c r="D21" s="69">
        <v>11</v>
      </c>
      <c r="E21" s="70">
        <f t="shared" si="0"/>
        <v>2</v>
      </c>
      <c r="F21" s="70">
        <f t="shared" si="1"/>
        <v>3</v>
      </c>
      <c r="G21" s="70">
        <f t="shared" si="2"/>
        <v>2</v>
      </c>
      <c r="H21" s="69">
        <v>1</v>
      </c>
      <c r="I21" s="69">
        <f t="shared" si="3"/>
        <v>4</v>
      </c>
      <c r="J21" s="69" t="str">
        <f t="shared" si="4"/>
        <v>232.1</v>
      </c>
      <c r="K21" s="68">
        <v>50</v>
      </c>
      <c r="L21" s="68">
        <v>32</v>
      </c>
      <c r="M21" s="68">
        <v>51</v>
      </c>
      <c r="N21" s="68">
        <v>41</v>
      </c>
      <c r="O21" s="68">
        <v>43</v>
      </c>
      <c r="P21" s="68">
        <v>39</v>
      </c>
      <c r="Q21" s="67">
        <f t="shared" si="5"/>
        <v>21.333333333333332</v>
      </c>
      <c r="R21" s="66">
        <f t="shared" si="6"/>
        <v>1.4529663145135596</v>
      </c>
      <c r="S21" s="67">
        <f t="shared" si="7"/>
        <v>10.666666666666666</v>
      </c>
      <c r="T21" s="100"/>
    </row>
    <row r="22" spans="2:24">
      <c r="B22" s="55">
        <v>205</v>
      </c>
      <c r="C22" s="55" t="s">
        <v>3</v>
      </c>
      <c r="D22" s="55">
        <v>1</v>
      </c>
      <c r="E22" s="56">
        <f t="shared" si="0"/>
        <v>1</v>
      </c>
      <c r="F22" s="56">
        <f t="shared" si="1"/>
        <v>1</v>
      </c>
      <c r="G22" s="56">
        <f t="shared" si="2"/>
        <v>2</v>
      </c>
      <c r="H22" s="55">
        <v>2</v>
      </c>
      <c r="I22" s="55">
        <f t="shared" si="3"/>
        <v>5</v>
      </c>
      <c r="J22" s="55" t="str">
        <f t="shared" si="4"/>
        <v>112.2</v>
      </c>
      <c r="K22" s="54">
        <v>20</v>
      </c>
      <c r="L22" s="54">
        <v>27</v>
      </c>
      <c r="M22" s="54">
        <v>20</v>
      </c>
      <c r="N22" s="54">
        <v>27</v>
      </c>
      <c r="O22" s="54">
        <v>24</v>
      </c>
      <c r="P22" s="54">
        <v>24</v>
      </c>
      <c r="Q22" s="53">
        <f t="shared" si="5"/>
        <v>11.833333333333334</v>
      </c>
      <c r="R22" s="52">
        <f t="shared" si="6"/>
        <v>0.64117946872237919</v>
      </c>
      <c r="S22" s="53">
        <f t="shared" si="7"/>
        <v>11.833333333333334</v>
      </c>
      <c r="T22" s="98"/>
    </row>
    <row r="23" spans="2:24">
      <c r="B23" s="55">
        <v>206</v>
      </c>
      <c r="C23" s="55" t="s">
        <v>12</v>
      </c>
      <c r="D23" s="55">
        <v>8</v>
      </c>
      <c r="E23" s="56">
        <f t="shared" si="0"/>
        <v>2</v>
      </c>
      <c r="F23" s="56">
        <f t="shared" si="1"/>
        <v>1</v>
      </c>
      <c r="G23" s="56">
        <f t="shared" si="2"/>
        <v>1</v>
      </c>
      <c r="H23" s="55">
        <v>2</v>
      </c>
      <c r="I23" s="55">
        <f t="shared" si="3"/>
        <v>6</v>
      </c>
      <c r="J23" s="55" t="str">
        <f t="shared" si="4"/>
        <v>211.2</v>
      </c>
      <c r="K23" s="54">
        <v>25</v>
      </c>
      <c r="L23" s="54">
        <v>23</v>
      </c>
      <c r="M23" s="54">
        <v>26</v>
      </c>
      <c r="N23" s="54">
        <v>18</v>
      </c>
      <c r="O23" s="54">
        <v>24</v>
      </c>
      <c r="P23" s="54">
        <v>19</v>
      </c>
      <c r="Q23" s="53">
        <f t="shared" si="5"/>
        <v>11.25</v>
      </c>
      <c r="R23" s="52">
        <f t="shared" si="6"/>
        <v>0.66770752080033768</v>
      </c>
      <c r="S23" s="53">
        <f t="shared" si="7"/>
        <v>11.25</v>
      </c>
      <c r="T23" s="98"/>
    </row>
    <row r="24" spans="2:24">
      <c r="B24" s="55">
        <v>207</v>
      </c>
      <c r="C24" s="55" t="s">
        <v>4</v>
      </c>
      <c r="D24" s="55">
        <v>4</v>
      </c>
      <c r="E24" s="56">
        <f t="shared" si="0"/>
        <v>1</v>
      </c>
      <c r="F24" s="56">
        <f t="shared" si="1"/>
        <v>2</v>
      </c>
      <c r="G24" s="56">
        <f t="shared" si="2"/>
        <v>1</v>
      </c>
      <c r="H24" s="55">
        <v>2</v>
      </c>
      <c r="I24" s="55">
        <f t="shared" si="3"/>
        <v>7</v>
      </c>
      <c r="J24" s="55" t="str">
        <f t="shared" si="4"/>
        <v>121.2</v>
      </c>
      <c r="K24" s="54">
        <v>27</v>
      </c>
      <c r="L24" s="54">
        <v>26</v>
      </c>
      <c r="M24" s="54">
        <v>25</v>
      </c>
      <c r="N24" s="54">
        <v>22</v>
      </c>
      <c r="O24" s="54">
        <v>26</v>
      </c>
      <c r="P24" s="54">
        <v>16</v>
      </c>
      <c r="Q24" s="53">
        <f t="shared" si="5"/>
        <v>11.833333333333334</v>
      </c>
      <c r="R24" s="52">
        <f t="shared" si="6"/>
        <v>0.84327404271156869</v>
      </c>
      <c r="S24" s="53">
        <f t="shared" si="7"/>
        <v>11.833333333333334</v>
      </c>
      <c r="T24" s="98"/>
      <c r="V24" s="38"/>
    </row>
    <row r="25" spans="2:24" ht="13.5" thickBot="1">
      <c r="B25" s="49">
        <v>208</v>
      </c>
      <c r="C25" s="49" t="s">
        <v>13</v>
      </c>
      <c r="D25" s="49">
        <v>2</v>
      </c>
      <c r="E25" s="50">
        <f t="shared" si="0"/>
        <v>1</v>
      </c>
      <c r="F25" s="50">
        <f t="shared" si="1"/>
        <v>1</v>
      </c>
      <c r="G25" s="50">
        <f t="shared" si="2"/>
        <v>1</v>
      </c>
      <c r="H25" s="49">
        <v>2</v>
      </c>
      <c r="I25" s="49">
        <f t="shared" si="3"/>
        <v>8</v>
      </c>
      <c r="J25" s="49" t="str">
        <f t="shared" si="4"/>
        <v>111.2</v>
      </c>
      <c r="K25" s="48">
        <v>23</v>
      </c>
      <c r="L25" s="48">
        <v>20</v>
      </c>
      <c r="M25" s="48">
        <v>27</v>
      </c>
      <c r="N25" s="48">
        <v>22</v>
      </c>
      <c r="O25" s="48">
        <v>20</v>
      </c>
      <c r="P25" s="48">
        <v>20</v>
      </c>
      <c r="Q25" s="47">
        <f t="shared" si="5"/>
        <v>11</v>
      </c>
      <c r="R25" s="47">
        <f t="shared" si="6"/>
        <v>0.56273143387113778</v>
      </c>
      <c r="S25" s="47">
        <f t="shared" si="7"/>
        <v>11</v>
      </c>
      <c r="T25" s="97"/>
    </row>
    <row r="26" spans="2:24">
      <c r="B26" s="61">
        <v>301</v>
      </c>
      <c r="C26" s="61" t="s">
        <v>6</v>
      </c>
      <c r="D26" s="61">
        <v>10</v>
      </c>
      <c r="E26" s="62">
        <f t="shared" si="0"/>
        <v>2</v>
      </c>
      <c r="F26" s="62">
        <f t="shared" si="1"/>
        <v>2</v>
      </c>
      <c r="G26" s="62">
        <f t="shared" si="2"/>
        <v>1</v>
      </c>
      <c r="H26" s="61">
        <v>3</v>
      </c>
      <c r="I26" s="61">
        <f t="shared" si="3"/>
        <v>1</v>
      </c>
      <c r="J26" s="61" t="str">
        <f t="shared" si="4"/>
        <v>221.3</v>
      </c>
      <c r="K26" s="60">
        <v>24</v>
      </c>
      <c r="L26" s="60">
        <v>21</v>
      </c>
      <c r="M26" s="60">
        <v>27</v>
      </c>
      <c r="N26" s="60">
        <v>20</v>
      </c>
      <c r="O26" s="60">
        <v>20</v>
      </c>
      <c r="P26" s="60">
        <v>27</v>
      </c>
      <c r="Q26" s="53">
        <f t="shared" si="5"/>
        <v>11.583333333333334</v>
      </c>
      <c r="R26" s="53">
        <f t="shared" si="6"/>
        <v>0.67597665968910925</v>
      </c>
      <c r="S26" s="53">
        <f t="shared" si="7"/>
        <v>11.583333333333334</v>
      </c>
      <c r="T26" s="99"/>
      <c r="V26" s="38"/>
    </row>
    <row r="27" spans="2:24">
      <c r="B27" s="55">
        <v>302</v>
      </c>
      <c r="C27" s="55" t="s">
        <v>4</v>
      </c>
      <c r="D27" s="55">
        <v>4</v>
      </c>
      <c r="E27" s="56">
        <f t="shared" si="0"/>
        <v>1</v>
      </c>
      <c r="F27" s="56">
        <f t="shared" si="1"/>
        <v>2</v>
      </c>
      <c r="G27" s="56">
        <f t="shared" si="2"/>
        <v>1</v>
      </c>
      <c r="H27" s="55">
        <v>3</v>
      </c>
      <c r="I27" s="55">
        <f t="shared" si="3"/>
        <v>2</v>
      </c>
      <c r="J27" s="55" t="str">
        <f t="shared" si="4"/>
        <v>121.3</v>
      </c>
      <c r="K27" s="54">
        <v>25</v>
      </c>
      <c r="L27" s="54">
        <v>20</v>
      </c>
      <c r="M27" s="54">
        <v>22</v>
      </c>
      <c r="N27" s="54">
        <v>26</v>
      </c>
      <c r="O27" s="54">
        <v>21</v>
      </c>
      <c r="P27" s="54">
        <v>18</v>
      </c>
      <c r="Q27" s="53">
        <f t="shared" si="5"/>
        <v>11</v>
      </c>
      <c r="R27" s="52">
        <f t="shared" si="6"/>
        <v>0.61913918736689033</v>
      </c>
      <c r="S27" s="53">
        <f t="shared" si="7"/>
        <v>11</v>
      </c>
      <c r="T27" s="98"/>
    </row>
    <row r="28" spans="2:24">
      <c r="B28" s="55">
        <v>303</v>
      </c>
      <c r="C28" s="55" t="s">
        <v>12</v>
      </c>
      <c r="D28" s="55">
        <v>8</v>
      </c>
      <c r="E28" s="56">
        <f t="shared" si="0"/>
        <v>2</v>
      </c>
      <c r="F28" s="56">
        <f t="shared" si="1"/>
        <v>1</v>
      </c>
      <c r="G28" s="56">
        <f t="shared" si="2"/>
        <v>1</v>
      </c>
      <c r="H28" s="55">
        <v>3</v>
      </c>
      <c r="I28" s="55">
        <f t="shared" si="3"/>
        <v>3</v>
      </c>
      <c r="J28" s="55" t="str">
        <f t="shared" si="4"/>
        <v>211.3</v>
      </c>
      <c r="K28" s="54">
        <v>17</v>
      </c>
      <c r="L28" s="54">
        <v>15</v>
      </c>
      <c r="M28" s="54">
        <v>16</v>
      </c>
      <c r="N28" s="54">
        <v>18</v>
      </c>
      <c r="O28" s="54">
        <v>18</v>
      </c>
      <c r="P28" s="54">
        <v>15</v>
      </c>
      <c r="Q28" s="53">
        <f t="shared" si="5"/>
        <v>8.25</v>
      </c>
      <c r="R28" s="52">
        <f t="shared" si="6"/>
        <v>0.28136571693556889</v>
      </c>
      <c r="S28" s="53">
        <f t="shared" si="7"/>
        <v>8.25</v>
      </c>
      <c r="T28" s="98"/>
    </row>
    <row r="29" spans="2:24">
      <c r="B29" s="55">
        <v>304</v>
      </c>
      <c r="C29" s="55" t="s">
        <v>13</v>
      </c>
      <c r="D29" s="55">
        <v>2</v>
      </c>
      <c r="E29" s="56">
        <f t="shared" si="0"/>
        <v>1</v>
      </c>
      <c r="F29" s="56">
        <f t="shared" si="1"/>
        <v>1</v>
      </c>
      <c r="G29" s="56">
        <f t="shared" si="2"/>
        <v>1</v>
      </c>
      <c r="H29" s="55">
        <v>3</v>
      </c>
      <c r="I29" s="55">
        <f t="shared" si="3"/>
        <v>4</v>
      </c>
      <c r="J29" s="55" t="str">
        <f t="shared" si="4"/>
        <v>111.3</v>
      </c>
      <c r="K29" s="54">
        <v>25</v>
      </c>
      <c r="L29" s="54">
        <v>24</v>
      </c>
      <c r="M29" s="54">
        <v>19</v>
      </c>
      <c r="N29" s="54">
        <v>20</v>
      </c>
      <c r="O29" s="54">
        <v>19</v>
      </c>
      <c r="P29" s="54">
        <v>18</v>
      </c>
      <c r="Q29" s="53">
        <f t="shared" si="5"/>
        <v>10.416666666666666</v>
      </c>
      <c r="R29" s="52">
        <f t="shared" si="6"/>
        <v>0.59744827763116515</v>
      </c>
      <c r="S29" s="53">
        <f t="shared" si="7"/>
        <v>10.416666666666666</v>
      </c>
      <c r="T29" s="98"/>
      <c r="X29" s="38"/>
    </row>
    <row r="30" spans="2:24">
      <c r="B30" s="69">
        <v>305</v>
      </c>
      <c r="C30" s="69" t="s">
        <v>11</v>
      </c>
      <c r="D30" s="69">
        <v>11</v>
      </c>
      <c r="E30" s="70">
        <f t="shared" si="0"/>
        <v>2</v>
      </c>
      <c r="F30" s="70">
        <f t="shared" si="1"/>
        <v>3</v>
      </c>
      <c r="G30" s="70">
        <f t="shared" si="2"/>
        <v>2</v>
      </c>
      <c r="H30" s="69">
        <v>4</v>
      </c>
      <c r="I30" s="69">
        <f t="shared" si="3"/>
        <v>5</v>
      </c>
      <c r="J30" s="69" t="str">
        <f t="shared" si="4"/>
        <v>232.4</v>
      </c>
      <c r="K30" s="68">
        <v>29</v>
      </c>
      <c r="L30" s="68">
        <v>47</v>
      </c>
      <c r="M30" s="68">
        <v>51</v>
      </c>
      <c r="N30" s="68">
        <v>36</v>
      </c>
      <c r="O30" s="68">
        <v>43</v>
      </c>
      <c r="P30" s="68">
        <v>38</v>
      </c>
      <c r="Q30" s="67">
        <f t="shared" si="5"/>
        <v>20.333333333333332</v>
      </c>
      <c r="R30" s="66">
        <f t="shared" si="6"/>
        <v>1.626174789020064</v>
      </c>
      <c r="S30" s="67">
        <f t="shared" si="7"/>
        <v>10.166666666666666</v>
      </c>
      <c r="T30" s="100"/>
    </row>
    <row r="31" spans="2:24">
      <c r="B31" s="55">
        <v>306</v>
      </c>
      <c r="C31" s="55" t="s">
        <v>4</v>
      </c>
      <c r="D31" s="55">
        <v>4</v>
      </c>
      <c r="E31" s="56">
        <f t="shared" si="0"/>
        <v>1</v>
      </c>
      <c r="F31" s="56">
        <f t="shared" si="1"/>
        <v>2</v>
      </c>
      <c r="G31" s="56">
        <f t="shared" si="2"/>
        <v>1</v>
      </c>
      <c r="H31" s="55">
        <v>4</v>
      </c>
      <c r="I31" s="55">
        <f t="shared" si="3"/>
        <v>6</v>
      </c>
      <c r="J31" s="55" t="str">
        <f t="shared" si="4"/>
        <v>121.4</v>
      </c>
      <c r="K31" s="54">
        <v>26</v>
      </c>
      <c r="L31" s="54">
        <v>21</v>
      </c>
      <c r="M31" s="54">
        <v>26</v>
      </c>
      <c r="N31" s="54">
        <v>28</v>
      </c>
      <c r="O31" s="54">
        <v>22</v>
      </c>
      <c r="P31" s="54">
        <v>15</v>
      </c>
      <c r="Q31" s="53">
        <f t="shared" si="5"/>
        <v>11.5</v>
      </c>
      <c r="R31" s="52">
        <f t="shared" si="6"/>
        <v>0.966091783079296</v>
      </c>
      <c r="S31" s="53">
        <f t="shared" si="7"/>
        <v>11.5</v>
      </c>
      <c r="T31" s="98"/>
    </row>
    <row r="32" spans="2:24">
      <c r="B32" s="55">
        <v>307</v>
      </c>
      <c r="C32" s="55" t="s">
        <v>7</v>
      </c>
      <c r="D32" s="55">
        <v>9</v>
      </c>
      <c r="E32" s="56">
        <f t="shared" si="0"/>
        <v>2</v>
      </c>
      <c r="F32" s="56">
        <f t="shared" si="1"/>
        <v>2</v>
      </c>
      <c r="G32" s="56">
        <f t="shared" si="2"/>
        <v>2</v>
      </c>
      <c r="H32" s="55">
        <v>4</v>
      </c>
      <c r="I32" s="55">
        <f t="shared" si="3"/>
        <v>7</v>
      </c>
      <c r="J32" s="55" t="str">
        <f t="shared" si="4"/>
        <v>222.4</v>
      </c>
      <c r="K32" s="54">
        <v>23</v>
      </c>
      <c r="L32" s="54">
        <v>21</v>
      </c>
      <c r="M32" s="54">
        <v>26</v>
      </c>
      <c r="N32" s="54">
        <v>28</v>
      </c>
      <c r="O32" s="54">
        <v>26</v>
      </c>
      <c r="P32" s="54">
        <v>24</v>
      </c>
      <c r="Q32" s="53">
        <f t="shared" si="5"/>
        <v>12.333333333333334</v>
      </c>
      <c r="R32" s="52">
        <f t="shared" si="6"/>
        <v>0.51099032389186305</v>
      </c>
      <c r="S32" s="53">
        <f t="shared" si="7"/>
        <v>12.333333333333334</v>
      </c>
      <c r="T32" s="98"/>
    </row>
    <row r="33" spans="2:24" ht="13.5" thickBot="1">
      <c r="B33" s="73">
        <v>308</v>
      </c>
      <c r="C33" s="73" t="s">
        <v>5</v>
      </c>
      <c r="D33" s="73">
        <v>5</v>
      </c>
      <c r="E33" s="74">
        <f t="shared" si="0"/>
        <v>1</v>
      </c>
      <c r="F33" s="74">
        <f t="shared" si="1"/>
        <v>3</v>
      </c>
      <c r="G33" s="74">
        <f t="shared" si="2"/>
        <v>2</v>
      </c>
      <c r="H33" s="73">
        <v>4</v>
      </c>
      <c r="I33" s="73">
        <f t="shared" si="3"/>
        <v>8</v>
      </c>
      <c r="J33" s="73" t="str">
        <f t="shared" si="4"/>
        <v>132.4</v>
      </c>
      <c r="K33" s="72">
        <v>46</v>
      </c>
      <c r="L33" s="72">
        <v>56</v>
      </c>
      <c r="M33" s="72">
        <v>47</v>
      </c>
      <c r="N33" s="72">
        <v>41</v>
      </c>
      <c r="O33" s="72">
        <v>40</v>
      </c>
      <c r="P33" s="72">
        <v>39</v>
      </c>
      <c r="Q33" s="71">
        <f t="shared" si="5"/>
        <v>22.416666666666668</v>
      </c>
      <c r="R33" s="71">
        <f t="shared" si="6"/>
        <v>1.3001068332170951</v>
      </c>
      <c r="S33" s="71">
        <f t="shared" si="7"/>
        <v>11.208333333333334</v>
      </c>
      <c r="T33" s="101"/>
    </row>
    <row r="34" spans="2:24">
      <c r="B34" s="61">
        <v>401</v>
      </c>
      <c r="C34" s="61" t="s">
        <v>14</v>
      </c>
      <c r="D34" s="61">
        <v>7</v>
      </c>
      <c r="E34" s="62">
        <f t="shared" si="0"/>
        <v>2</v>
      </c>
      <c r="F34" s="62">
        <f t="shared" si="1"/>
        <v>1</v>
      </c>
      <c r="G34" s="62">
        <f t="shared" si="2"/>
        <v>2</v>
      </c>
      <c r="H34" s="61">
        <v>3</v>
      </c>
      <c r="I34" s="61">
        <f t="shared" si="3"/>
        <v>1</v>
      </c>
      <c r="J34" s="61" t="str">
        <f t="shared" si="4"/>
        <v>212.3</v>
      </c>
      <c r="K34" s="60">
        <v>17</v>
      </c>
      <c r="L34" s="60">
        <v>16</v>
      </c>
      <c r="M34" s="60">
        <v>23</v>
      </c>
      <c r="N34" s="60">
        <v>21</v>
      </c>
      <c r="O34" s="60">
        <v>19</v>
      </c>
      <c r="P34" s="60">
        <v>24</v>
      </c>
      <c r="Q34" s="53">
        <f t="shared" si="5"/>
        <v>10</v>
      </c>
      <c r="R34" s="53">
        <f t="shared" si="6"/>
        <v>0.65828058860438343</v>
      </c>
      <c r="S34" s="53">
        <f t="shared" si="7"/>
        <v>10</v>
      </c>
      <c r="T34" s="99"/>
    </row>
    <row r="35" spans="2:24">
      <c r="B35" s="55">
        <v>402</v>
      </c>
      <c r="C35" s="55" t="s">
        <v>7</v>
      </c>
      <c r="D35" s="55">
        <v>9</v>
      </c>
      <c r="E35" s="56">
        <f t="shared" si="0"/>
        <v>2</v>
      </c>
      <c r="F35" s="56">
        <f t="shared" si="1"/>
        <v>2</v>
      </c>
      <c r="G35" s="56">
        <f t="shared" si="2"/>
        <v>2</v>
      </c>
      <c r="H35" s="55">
        <v>3</v>
      </c>
      <c r="I35" s="55">
        <f t="shared" si="3"/>
        <v>2</v>
      </c>
      <c r="J35" s="55" t="str">
        <f t="shared" si="4"/>
        <v>222.3</v>
      </c>
      <c r="K35" s="54">
        <v>23</v>
      </c>
      <c r="L35" s="54">
        <v>26</v>
      </c>
      <c r="M35" s="54">
        <v>33</v>
      </c>
      <c r="N35" s="54">
        <v>25</v>
      </c>
      <c r="O35" s="54">
        <v>22</v>
      </c>
      <c r="P35" s="54">
        <v>34</v>
      </c>
      <c r="Q35" s="53">
        <f t="shared" si="5"/>
        <v>13.583333333333334</v>
      </c>
      <c r="R35" s="52">
        <f t="shared" si="6"/>
        <v>1.0441636738451379</v>
      </c>
      <c r="S35" s="53">
        <f t="shared" si="7"/>
        <v>13.583333333333334</v>
      </c>
      <c r="T35" s="98"/>
    </row>
    <row r="36" spans="2:24">
      <c r="B36" s="69">
        <v>403</v>
      </c>
      <c r="C36" s="69" t="s">
        <v>15</v>
      </c>
      <c r="D36" s="69">
        <v>6</v>
      </c>
      <c r="E36" s="70">
        <f t="shared" si="0"/>
        <v>1</v>
      </c>
      <c r="F36" s="70">
        <f t="shared" si="1"/>
        <v>3</v>
      </c>
      <c r="G36" s="70">
        <f t="shared" si="2"/>
        <v>1</v>
      </c>
      <c r="H36" s="69">
        <v>3</v>
      </c>
      <c r="I36" s="69">
        <f t="shared" si="3"/>
        <v>3</v>
      </c>
      <c r="J36" s="69" t="str">
        <f t="shared" si="4"/>
        <v>131.3</v>
      </c>
      <c r="K36" s="68">
        <v>51</v>
      </c>
      <c r="L36" s="68">
        <v>38</v>
      </c>
      <c r="M36" s="68">
        <v>44</v>
      </c>
      <c r="N36" s="68">
        <v>48</v>
      </c>
      <c r="O36" s="68">
        <v>51</v>
      </c>
      <c r="P36" s="68">
        <v>46</v>
      </c>
      <c r="Q36" s="67">
        <f t="shared" si="5"/>
        <v>23.166666666666668</v>
      </c>
      <c r="R36" s="66">
        <f t="shared" si="6"/>
        <v>1.0055402085998906</v>
      </c>
      <c r="S36" s="67">
        <f t="shared" si="7"/>
        <v>11.583333333333334</v>
      </c>
      <c r="T36" s="100"/>
    </row>
    <row r="37" spans="2:24">
      <c r="B37" s="55">
        <v>404</v>
      </c>
      <c r="C37" s="55" t="s">
        <v>8</v>
      </c>
      <c r="D37" s="55">
        <v>3</v>
      </c>
      <c r="E37" s="56">
        <f t="shared" si="0"/>
        <v>1</v>
      </c>
      <c r="F37" s="56">
        <f t="shared" si="1"/>
        <v>2</v>
      </c>
      <c r="G37" s="56">
        <f t="shared" si="2"/>
        <v>2</v>
      </c>
      <c r="H37" s="55">
        <v>3</v>
      </c>
      <c r="I37" s="55">
        <f t="shared" si="3"/>
        <v>4</v>
      </c>
      <c r="J37" s="55" t="str">
        <f t="shared" si="4"/>
        <v>122.3</v>
      </c>
      <c r="K37" s="54">
        <v>25</v>
      </c>
      <c r="L37" s="54">
        <v>29</v>
      </c>
      <c r="M37" s="54">
        <v>25</v>
      </c>
      <c r="N37" s="54">
        <v>34</v>
      </c>
      <c r="O37" s="54">
        <v>19</v>
      </c>
      <c r="P37" s="54">
        <v>29</v>
      </c>
      <c r="Q37" s="53">
        <f t="shared" si="5"/>
        <v>13.416666666666666</v>
      </c>
      <c r="R37" s="52">
        <f t="shared" si="6"/>
        <v>1.0361520694913022</v>
      </c>
      <c r="S37" s="53">
        <f t="shared" si="7"/>
        <v>13.416666666666666</v>
      </c>
      <c r="T37" s="98"/>
    </row>
    <row r="38" spans="2:24">
      <c r="B38" s="69">
        <v>405</v>
      </c>
      <c r="C38" s="69" t="s">
        <v>15</v>
      </c>
      <c r="D38" s="69">
        <v>6</v>
      </c>
      <c r="E38" s="70">
        <f t="shared" si="0"/>
        <v>1</v>
      </c>
      <c r="F38" s="70">
        <f t="shared" si="1"/>
        <v>3</v>
      </c>
      <c r="G38" s="70">
        <f t="shared" si="2"/>
        <v>1</v>
      </c>
      <c r="H38" s="69">
        <v>4</v>
      </c>
      <c r="I38" s="69">
        <f t="shared" si="3"/>
        <v>5</v>
      </c>
      <c r="J38" s="69" t="str">
        <f t="shared" si="4"/>
        <v>131.4</v>
      </c>
      <c r="K38" s="68">
        <v>42</v>
      </c>
      <c r="L38" s="68">
        <v>38</v>
      </c>
      <c r="M38" s="68">
        <v>48</v>
      </c>
      <c r="N38" s="68">
        <v>36</v>
      </c>
      <c r="O38" s="68">
        <v>41</v>
      </c>
      <c r="P38" s="68">
        <v>37</v>
      </c>
      <c r="Q38" s="67">
        <f t="shared" si="5"/>
        <v>20.166666666666668</v>
      </c>
      <c r="R38" s="66">
        <f t="shared" si="6"/>
        <v>0.90061707240708655</v>
      </c>
      <c r="S38" s="67">
        <f t="shared" si="7"/>
        <v>10.083333333333334</v>
      </c>
      <c r="T38" s="100"/>
      <c r="V38" s="64" t="s">
        <v>329</v>
      </c>
      <c r="W38" s="110" t="s">
        <v>372</v>
      </c>
    </row>
    <row r="39" spans="2:24">
      <c r="B39" s="55">
        <v>406</v>
      </c>
      <c r="C39" s="55" t="s">
        <v>8</v>
      </c>
      <c r="D39" s="55">
        <v>3</v>
      </c>
      <c r="E39" s="56">
        <f t="shared" si="0"/>
        <v>1</v>
      </c>
      <c r="F39" s="56">
        <f t="shared" si="1"/>
        <v>2</v>
      </c>
      <c r="G39" s="56">
        <f t="shared" si="2"/>
        <v>2</v>
      </c>
      <c r="H39" s="55">
        <v>4</v>
      </c>
      <c r="I39" s="55">
        <f t="shared" si="3"/>
        <v>6</v>
      </c>
      <c r="J39" s="55" t="str">
        <f t="shared" si="4"/>
        <v>122.4</v>
      </c>
      <c r="K39" s="54">
        <v>22</v>
      </c>
      <c r="L39" s="54">
        <v>28</v>
      </c>
      <c r="M39" s="54">
        <v>20</v>
      </c>
      <c r="N39" s="54">
        <v>23</v>
      </c>
      <c r="O39" s="54">
        <v>24</v>
      </c>
      <c r="P39" s="54">
        <v>31</v>
      </c>
      <c r="Q39" s="53">
        <f t="shared" si="5"/>
        <v>12.333333333333334</v>
      </c>
      <c r="R39" s="52">
        <f t="shared" si="6"/>
        <v>0.83333333333333415</v>
      </c>
      <c r="S39" s="53">
        <f t="shared" si="7"/>
        <v>12.333333333333334</v>
      </c>
      <c r="T39" s="98"/>
    </row>
    <row r="40" spans="2:24">
      <c r="B40" s="55">
        <v>407</v>
      </c>
      <c r="C40" s="55" t="s">
        <v>14</v>
      </c>
      <c r="D40" s="55">
        <v>7</v>
      </c>
      <c r="E40" s="56">
        <f t="shared" si="0"/>
        <v>2</v>
      </c>
      <c r="F40" s="56">
        <f t="shared" si="1"/>
        <v>1</v>
      </c>
      <c r="G40" s="56">
        <f t="shared" si="2"/>
        <v>2</v>
      </c>
      <c r="H40" s="55">
        <v>4</v>
      </c>
      <c r="I40" s="55">
        <f t="shared" si="3"/>
        <v>7</v>
      </c>
      <c r="J40" s="55" t="str">
        <f t="shared" si="4"/>
        <v>212.4</v>
      </c>
      <c r="K40" s="54">
        <v>24</v>
      </c>
      <c r="L40" s="54">
        <v>32</v>
      </c>
      <c r="M40" s="54">
        <v>25</v>
      </c>
      <c r="N40" s="54">
        <v>22</v>
      </c>
      <c r="O40" s="54">
        <v>19</v>
      </c>
      <c r="P40" s="54">
        <v>22</v>
      </c>
      <c r="Q40" s="53">
        <f t="shared" si="5"/>
        <v>12</v>
      </c>
      <c r="R40" s="52">
        <f t="shared" si="6"/>
        <v>0.90369611411506401</v>
      </c>
      <c r="S40" s="53">
        <f t="shared" si="7"/>
        <v>12</v>
      </c>
      <c r="T40" s="98"/>
      <c r="V40" s="65" t="s">
        <v>307</v>
      </c>
      <c r="W40" s="114"/>
      <c r="X40" s="63"/>
    </row>
    <row r="41" spans="2:24" ht="13.5" thickBot="1">
      <c r="B41" s="49">
        <v>408</v>
      </c>
      <c r="C41" s="49" t="s">
        <v>6</v>
      </c>
      <c r="D41" s="49">
        <v>10</v>
      </c>
      <c r="E41" s="50">
        <f t="shared" si="0"/>
        <v>2</v>
      </c>
      <c r="F41" s="50">
        <f t="shared" si="1"/>
        <v>2</v>
      </c>
      <c r="G41" s="50">
        <f t="shared" si="2"/>
        <v>1</v>
      </c>
      <c r="H41" s="49">
        <v>4</v>
      </c>
      <c r="I41" s="49">
        <f t="shared" si="3"/>
        <v>8</v>
      </c>
      <c r="J41" s="49" t="str">
        <f t="shared" si="4"/>
        <v>221.4</v>
      </c>
      <c r="K41" s="48">
        <v>40</v>
      </c>
      <c r="L41" s="48">
        <v>27</v>
      </c>
      <c r="M41" s="48">
        <v>27</v>
      </c>
      <c r="N41" s="48">
        <v>21</v>
      </c>
      <c r="O41" s="48">
        <v>29</v>
      </c>
      <c r="P41" s="48">
        <v>26</v>
      </c>
      <c r="Q41" s="47">
        <f t="shared" si="5"/>
        <v>14.166666666666666</v>
      </c>
      <c r="R41" s="47">
        <f t="shared" si="6"/>
        <v>1.2888409952787461</v>
      </c>
      <c r="S41" s="47">
        <f t="shared" si="7"/>
        <v>14.166666666666666</v>
      </c>
      <c r="T41" s="97"/>
      <c r="V41" s="65" t="s">
        <v>331</v>
      </c>
      <c r="W41" s="65" t="s">
        <v>0</v>
      </c>
      <c r="X41" s="63" t="s">
        <v>304</v>
      </c>
    </row>
    <row r="42" spans="2:24">
      <c r="B42" s="61">
        <v>901</v>
      </c>
      <c r="C42" s="61" t="s">
        <v>16</v>
      </c>
      <c r="D42" s="61">
        <v>32</v>
      </c>
      <c r="E42" s="62">
        <v>9</v>
      </c>
      <c r="F42" s="62">
        <v>0</v>
      </c>
      <c r="G42" s="62">
        <v>1</v>
      </c>
      <c r="H42" s="61">
        <v>1</v>
      </c>
      <c r="I42" s="61">
        <f t="shared" si="3"/>
        <v>1</v>
      </c>
      <c r="J42" s="61" t="str">
        <f t="shared" si="4"/>
        <v>901.1</v>
      </c>
      <c r="K42" s="60">
        <v>0</v>
      </c>
      <c r="L42" s="60">
        <v>0</v>
      </c>
      <c r="M42" s="60">
        <v>0</v>
      </c>
      <c r="N42" s="60">
        <v>0</v>
      </c>
      <c r="O42" s="60">
        <v>0</v>
      </c>
      <c r="P42" s="60">
        <v>0</v>
      </c>
      <c r="Q42" s="53">
        <f t="shared" si="5"/>
        <v>0</v>
      </c>
      <c r="R42" s="53">
        <f t="shared" si="6"/>
        <v>0</v>
      </c>
      <c r="S42" s="53">
        <f t="shared" si="7"/>
        <v>0</v>
      </c>
      <c r="T42" s="99"/>
      <c r="V42" s="59">
        <v>1</v>
      </c>
      <c r="W42" s="59">
        <v>101</v>
      </c>
      <c r="X42" s="58">
        <v>9.8333333333333339</v>
      </c>
    </row>
    <row r="43" spans="2:24">
      <c r="B43" s="55">
        <v>902</v>
      </c>
      <c r="C43" s="57" t="s">
        <v>302</v>
      </c>
      <c r="D43" s="55">
        <v>22</v>
      </c>
      <c r="E43" s="56">
        <v>4</v>
      </c>
      <c r="F43" s="56">
        <v>2</v>
      </c>
      <c r="G43" s="56">
        <v>2</v>
      </c>
      <c r="H43" s="55">
        <v>1</v>
      </c>
      <c r="I43" s="55">
        <f t="shared" si="3"/>
        <v>2</v>
      </c>
      <c r="J43" s="55" t="str">
        <f t="shared" si="4"/>
        <v>422.1</v>
      </c>
      <c r="K43" s="54">
        <v>29</v>
      </c>
      <c r="L43" s="54">
        <v>28</v>
      </c>
      <c r="M43" s="54">
        <v>29</v>
      </c>
      <c r="N43" s="54">
        <v>23</v>
      </c>
      <c r="O43" s="54">
        <v>29</v>
      </c>
      <c r="P43" s="54">
        <v>28</v>
      </c>
      <c r="Q43" s="53">
        <f t="shared" si="5"/>
        <v>13.833333333333334</v>
      </c>
      <c r="R43" s="52">
        <f t="shared" si="6"/>
        <v>0.47726070210921184</v>
      </c>
      <c r="S43" s="53">
        <f t="shared" si="7"/>
        <v>13.833333333333334</v>
      </c>
      <c r="T43" s="98"/>
      <c r="V43" s="113"/>
      <c r="W43" s="44">
        <v>205</v>
      </c>
      <c r="X43" s="43">
        <v>11.833333333333334</v>
      </c>
    </row>
    <row r="44" spans="2:24">
      <c r="B44" s="55">
        <v>903</v>
      </c>
      <c r="C44" s="55" t="s">
        <v>17</v>
      </c>
      <c r="D44" s="55">
        <v>31</v>
      </c>
      <c r="E44" s="56">
        <v>8</v>
      </c>
      <c r="F44" s="56">
        <v>0</v>
      </c>
      <c r="G44" s="56">
        <v>1</v>
      </c>
      <c r="H44" s="55">
        <v>1</v>
      </c>
      <c r="I44" s="55">
        <f t="shared" si="3"/>
        <v>3</v>
      </c>
      <c r="J44" s="55" t="str">
        <f t="shared" si="4"/>
        <v>801.1</v>
      </c>
      <c r="K44" s="54">
        <v>0</v>
      </c>
      <c r="L44" s="54">
        <v>0</v>
      </c>
      <c r="M44" s="54">
        <v>0</v>
      </c>
      <c r="N44" s="54">
        <v>0</v>
      </c>
      <c r="O44" s="54">
        <v>0</v>
      </c>
      <c r="P44" s="54">
        <v>0</v>
      </c>
      <c r="Q44" s="53">
        <f t="shared" si="5"/>
        <v>0</v>
      </c>
      <c r="R44" s="52">
        <f t="shared" si="6"/>
        <v>0</v>
      </c>
      <c r="S44" s="53">
        <f t="shared" si="7"/>
        <v>0</v>
      </c>
      <c r="T44" s="98"/>
      <c r="V44" s="113"/>
      <c r="W44" s="44">
        <v>206</v>
      </c>
      <c r="X44" s="43">
        <v>11.25</v>
      </c>
    </row>
    <row r="45" spans="2:24">
      <c r="B45" s="55">
        <v>904</v>
      </c>
      <c r="C45" s="57" t="s">
        <v>301</v>
      </c>
      <c r="D45" s="55">
        <v>21</v>
      </c>
      <c r="E45" s="56">
        <v>3</v>
      </c>
      <c r="F45" s="56">
        <v>2</v>
      </c>
      <c r="G45" s="56">
        <v>2</v>
      </c>
      <c r="H45" s="55">
        <v>1</v>
      </c>
      <c r="I45" s="55">
        <f t="shared" si="3"/>
        <v>4</v>
      </c>
      <c r="J45" s="55" t="str">
        <f t="shared" si="4"/>
        <v>322.1</v>
      </c>
      <c r="K45" s="54">
        <v>22</v>
      </c>
      <c r="L45" s="54">
        <v>26</v>
      </c>
      <c r="M45" s="54">
        <v>27</v>
      </c>
      <c r="N45" s="54">
        <v>28</v>
      </c>
      <c r="O45" s="54">
        <v>23</v>
      </c>
      <c r="P45" s="54">
        <v>27</v>
      </c>
      <c r="Q45" s="53">
        <f t="shared" si="5"/>
        <v>12.75</v>
      </c>
      <c r="R45" s="52">
        <f t="shared" si="6"/>
        <v>0.49581582602145058</v>
      </c>
      <c r="S45" s="53">
        <f t="shared" si="7"/>
        <v>12.75</v>
      </c>
      <c r="T45" s="98"/>
      <c r="V45" s="113"/>
      <c r="W45" s="44">
        <v>208</v>
      </c>
      <c r="X45" s="43">
        <v>11</v>
      </c>
    </row>
    <row r="46" spans="2:24">
      <c r="B46" s="55">
        <v>905</v>
      </c>
      <c r="C46" s="55" t="s">
        <v>16</v>
      </c>
      <c r="D46" s="55">
        <v>32</v>
      </c>
      <c r="E46" s="56">
        <v>9</v>
      </c>
      <c r="F46" s="56">
        <v>0</v>
      </c>
      <c r="G46" s="56">
        <v>1</v>
      </c>
      <c r="H46" s="55">
        <v>2</v>
      </c>
      <c r="I46" s="55">
        <f t="shared" si="3"/>
        <v>5</v>
      </c>
      <c r="J46" s="55" t="str">
        <f t="shared" si="4"/>
        <v>901.2</v>
      </c>
      <c r="K46" s="54">
        <v>0</v>
      </c>
      <c r="L46" s="54">
        <v>0</v>
      </c>
      <c r="M46" s="54">
        <v>0</v>
      </c>
      <c r="N46" s="54">
        <v>0</v>
      </c>
      <c r="O46" s="54">
        <v>0</v>
      </c>
      <c r="P46" s="54">
        <v>0</v>
      </c>
      <c r="Q46" s="53">
        <f t="shared" si="5"/>
        <v>0</v>
      </c>
      <c r="R46" s="52">
        <f t="shared" si="6"/>
        <v>0</v>
      </c>
      <c r="S46" s="53">
        <f t="shared" si="7"/>
        <v>0</v>
      </c>
      <c r="T46" s="98"/>
      <c r="V46" s="113"/>
      <c r="W46" s="44">
        <v>303</v>
      </c>
      <c r="X46" s="43">
        <v>8.25</v>
      </c>
    </row>
    <row r="47" spans="2:24">
      <c r="B47" s="55">
        <v>906</v>
      </c>
      <c r="C47" s="57" t="s">
        <v>302</v>
      </c>
      <c r="D47" s="55">
        <v>22</v>
      </c>
      <c r="E47" s="56">
        <v>4</v>
      </c>
      <c r="F47" s="56">
        <v>2</v>
      </c>
      <c r="G47" s="56">
        <v>2</v>
      </c>
      <c r="H47" s="55">
        <v>2</v>
      </c>
      <c r="I47" s="55">
        <f t="shared" si="3"/>
        <v>6</v>
      </c>
      <c r="J47" s="55" t="str">
        <f t="shared" si="4"/>
        <v>422.2</v>
      </c>
      <c r="K47" s="54">
        <v>28</v>
      </c>
      <c r="L47" s="54">
        <v>26</v>
      </c>
      <c r="M47" s="54">
        <v>23</v>
      </c>
      <c r="N47" s="54">
        <v>21</v>
      </c>
      <c r="O47" s="54">
        <v>26</v>
      </c>
      <c r="P47" s="54">
        <v>17</v>
      </c>
      <c r="Q47" s="53">
        <f t="shared" si="5"/>
        <v>11.75</v>
      </c>
      <c r="R47" s="52">
        <f t="shared" si="6"/>
        <v>0.82411568767174115</v>
      </c>
      <c r="S47" s="53">
        <f t="shared" si="7"/>
        <v>11.75</v>
      </c>
      <c r="T47" s="98"/>
      <c r="V47" s="113"/>
      <c r="W47" s="44">
        <v>304</v>
      </c>
      <c r="X47" s="43">
        <v>10.416666666666666</v>
      </c>
    </row>
    <row r="48" spans="2:24">
      <c r="B48" s="55">
        <v>907</v>
      </c>
      <c r="C48" s="55" t="s">
        <v>17</v>
      </c>
      <c r="D48" s="55">
        <v>31</v>
      </c>
      <c r="E48" s="56">
        <v>8</v>
      </c>
      <c r="F48" s="56">
        <v>0</v>
      </c>
      <c r="G48" s="56">
        <v>1</v>
      </c>
      <c r="H48" s="55">
        <v>2</v>
      </c>
      <c r="I48" s="55">
        <f t="shared" si="3"/>
        <v>7</v>
      </c>
      <c r="J48" s="55" t="str">
        <f t="shared" si="4"/>
        <v>801.2</v>
      </c>
      <c r="K48" s="54">
        <v>0</v>
      </c>
      <c r="L48" s="54">
        <v>0</v>
      </c>
      <c r="M48" s="54">
        <v>0</v>
      </c>
      <c r="N48" s="54">
        <v>0</v>
      </c>
      <c r="O48" s="54">
        <v>0</v>
      </c>
      <c r="P48" s="54">
        <v>0</v>
      </c>
      <c r="Q48" s="53">
        <f t="shared" si="5"/>
        <v>0</v>
      </c>
      <c r="R48" s="52">
        <f t="shared" si="6"/>
        <v>0</v>
      </c>
      <c r="S48" s="53">
        <f t="shared" si="7"/>
        <v>0</v>
      </c>
      <c r="T48" s="98"/>
      <c r="V48" s="113"/>
      <c r="W48" s="44">
        <v>401</v>
      </c>
      <c r="X48" s="43">
        <v>10</v>
      </c>
    </row>
    <row r="49" spans="2:37" ht="13.5" thickBot="1">
      <c r="B49" s="49">
        <v>908</v>
      </c>
      <c r="C49" s="51" t="s">
        <v>301</v>
      </c>
      <c r="D49" s="49">
        <v>21</v>
      </c>
      <c r="E49" s="50">
        <v>3</v>
      </c>
      <c r="F49" s="50">
        <v>2</v>
      </c>
      <c r="G49" s="50">
        <v>2</v>
      </c>
      <c r="H49" s="49">
        <v>2</v>
      </c>
      <c r="I49" s="49">
        <f t="shared" si="3"/>
        <v>8</v>
      </c>
      <c r="J49" s="49" t="str">
        <f t="shared" si="4"/>
        <v>322.2</v>
      </c>
      <c r="K49" s="48">
        <v>29</v>
      </c>
      <c r="L49" s="48">
        <v>23</v>
      </c>
      <c r="M49" s="48">
        <v>24</v>
      </c>
      <c r="N49" s="48">
        <v>25</v>
      </c>
      <c r="O49" s="48">
        <v>24</v>
      </c>
      <c r="P49" s="48">
        <v>28</v>
      </c>
      <c r="Q49" s="47">
        <f t="shared" si="5"/>
        <v>12.75</v>
      </c>
      <c r="R49" s="47">
        <f t="shared" si="6"/>
        <v>0.49581582602145058</v>
      </c>
      <c r="S49" s="47">
        <f t="shared" si="7"/>
        <v>12.75</v>
      </c>
      <c r="T49" s="97"/>
      <c r="V49" s="113"/>
      <c r="W49" s="44">
        <v>407</v>
      </c>
      <c r="X49" s="43">
        <v>12</v>
      </c>
      <c r="Z49" s="37">
        <f>STDEV(X42:X49)/SQRT(8)</f>
        <v>0.43428167177133564</v>
      </c>
      <c r="AC49" s="37" t="s">
        <v>382</v>
      </c>
    </row>
    <row r="50" spans="2:37" ht="13.5" thickBot="1">
      <c r="V50" s="59" t="s">
        <v>381</v>
      </c>
      <c r="W50" s="114"/>
      <c r="X50" s="58">
        <v>10.572916666666668</v>
      </c>
      <c r="AJ50" s="37" t="s">
        <v>380</v>
      </c>
    </row>
    <row r="51" spans="2:37">
      <c r="V51" s="59">
        <v>2</v>
      </c>
      <c r="W51" s="59">
        <v>102</v>
      </c>
      <c r="X51" s="58">
        <v>11.833333333333334</v>
      </c>
      <c r="AC51" s="37">
        <v>102</v>
      </c>
      <c r="AD51" s="38">
        <v>11.833333333333334</v>
      </c>
      <c r="AG51" s="38">
        <v>10</v>
      </c>
      <c r="AJ51" s="111" t="s">
        <v>375</v>
      </c>
      <c r="AK51" s="111" t="s">
        <v>374</v>
      </c>
    </row>
    <row r="52" spans="2:37">
      <c r="V52" s="113"/>
      <c r="W52" s="44">
        <v>104</v>
      </c>
      <c r="X52" s="43">
        <v>11.583333333333334</v>
      </c>
      <c r="AC52" s="37">
        <v>104</v>
      </c>
      <c r="AD52" s="38">
        <v>11.583333333333334</v>
      </c>
      <c r="AG52" s="38">
        <v>10.33333</v>
      </c>
      <c r="AH52" s="38"/>
      <c r="AJ52" s="38">
        <v>10</v>
      </c>
      <c r="AK52" s="37">
        <v>0</v>
      </c>
    </row>
    <row r="53" spans="2:37">
      <c r="V53" s="113"/>
      <c r="W53" s="44">
        <v>106</v>
      </c>
      <c r="X53" s="43">
        <v>11.5</v>
      </c>
      <c r="AC53" s="37">
        <v>106</v>
      </c>
      <c r="AD53" s="38">
        <v>11.5</v>
      </c>
      <c r="AG53" s="38">
        <v>10.66666</v>
      </c>
      <c r="AH53" s="38"/>
      <c r="AJ53" s="38">
        <v>10.33333</v>
      </c>
      <c r="AK53" s="37">
        <v>0</v>
      </c>
    </row>
    <row r="54" spans="2:37">
      <c r="V54" s="113"/>
      <c r="W54" s="44">
        <v>107</v>
      </c>
      <c r="X54" s="43">
        <v>10.833333333333334</v>
      </c>
      <c r="AC54" s="37">
        <v>107</v>
      </c>
      <c r="AD54" s="38">
        <v>10.833333333333334</v>
      </c>
      <c r="AG54" s="38">
        <v>10.99999</v>
      </c>
      <c r="AH54" s="38"/>
      <c r="AJ54" s="38">
        <v>10.66666</v>
      </c>
      <c r="AK54" s="37">
        <v>0</v>
      </c>
    </row>
    <row r="55" spans="2:37">
      <c r="V55" s="113"/>
      <c r="W55" s="44">
        <v>108</v>
      </c>
      <c r="X55" s="43">
        <v>12.666666666666666</v>
      </c>
      <c r="AC55" s="37">
        <v>108</v>
      </c>
      <c r="AD55" s="38">
        <v>12.666666666666666</v>
      </c>
      <c r="AG55" s="38">
        <v>11.333320000000001</v>
      </c>
      <c r="AH55" s="38"/>
      <c r="AJ55" s="38">
        <v>10.99999</v>
      </c>
      <c r="AK55" s="37">
        <v>1</v>
      </c>
    </row>
    <row r="56" spans="2:37">
      <c r="V56" s="113"/>
      <c r="W56" s="44">
        <v>202</v>
      </c>
      <c r="X56" s="43">
        <v>11.083333333333334</v>
      </c>
      <c r="AC56" s="37">
        <v>202</v>
      </c>
      <c r="AD56" s="38">
        <v>11.083333333333334</v>
      </c>
      <c r="AG56" s="38">
        <v>11.666650000000001</v>
      </c>
      <c r="AH56" s="38"/>
      <c r="AJ56" s="38">
        <v>11.333320000000001</v>
      </c>
      <c r="AK56" s="37">
        <v>2</v>
      </c>
    </row>
    <row r="57" spans="2:37">
      <c r="V57" s="113"/>
      <c r="W57" s="44">
        <v>203</v>
      </c>
      <c r="X57" s="43">
        <v>11.916666666666666</v>
      </c>
      <c r="AC57" s="37">
        <v>203</v>
      </c>
      <c r="AD57" s="38">
        <v>11.916666666666666</v>
      </c>
      <c r="AG57" s="38">
        <v>11.999980000000001</v>
      </c>
      <c r="AH57" s="38"/>
      <c r="AJ57" s="38">
        <v>11.666650000000001</v>
      </c>
      <c r="AK57" s="37">
        <v>4</v>
      </c>
    </row>
    <row r="58" spans="2:37">
      <c r="V58" s="113"/>
      <c r="W58" s="44">
        <v>207</v>
      </c>
      <c r="X58" s="43">
        <v>11.833333333333334</v>
      </c>
      <c r="AC58" s="37">
        <v>207</v>
      </c>
      <c r="AD58" s="38">
        <v>11.833333333333334</v>
      </c>
      <c r="AG58" s="38">
        <v>12.333310000000001</v>
      </c>
      <c r="AH58" s="38"/>
      <c r="AJ58" s="38">
        <v>11.999980000000001</v>
      </c>
      <c r="AK58" s="37">
        <v>3</v>
      </c>
    </row>
    <row r="59" spans="2:37">
      <c r="V59" s="113"/>
      <c r="W59" s="44">
        <v>301</v>
      </c>
      <c r="X59" s="43">
        <v>11.583333333333334</v>
      </c>
      <c r="AC59" s="37">
        <v>301</v>
      </c>
      <c r="AD59" s="38">
        <v>11.583333333333334</v>
      </c>
      <c r="AG59" s="38">
        <v>12.666640000000001</v>
      </c>
      <c r="AH59" s="38"/>
      <c r="AJ59" s="38">
        <v>12.333310000000001</v>
      </c>
      <c r="AK59" s="37">
        <v>0</v>
      </c>
    </row>
    <row r="60" spans="2:37">
      <c r="V60" s="113"/>
      <c r="W60" s="44">
        <v>302</v>
      </c>
      <c r="X60" s="43">
        <v>11</v>
      </c>
      <c r="AC60" s="37">
        <v>302</v>
      </c>
      <c r="AD60" s="38">
        <v>11</v>
      </c>
      <c r="AG60" s="38">
        <v>12.999970000000001</v>
      </c>
      <c r="AH60" s="38"/>
      <c r="AJ60" s="38">
        <v>12.666640000000001</v>
      </c>
      <c r="AK60" s="37">
        <v>2</v>
      </c>
    </row>
    <row r="61" spans="2:37">
      <c r="V61" s="113"/>
      <c r="W61" s="44">
        <v>306</v>
      </c>
      <c r="X61" s="43">
        <v>11.5</v>
      </c>
      <c r="AC61" s="37">
        <v>306</v>
      </c>
      <c r="AD61" s="38">
        <v>11.5</v>
      </c>
      <c r="AG61" s="38">
        <v>13.333300000000001</v>
      </c>
      <c r="AH61" s="38"/>
      <c r="AJ61" s="38">
        <v>12.999970000000001</v>
      </c>
      <c r="AK61" s="37">
        <v>1</v>
      </c>
    </row>
    <row r="62" spans="2:37">
      <c r="V62" s="113"/>
      <c r="W62" s="44">
        <v>307</v>
      </c>
      <c r="X62" s="43">
        <v>12.333333333333334</v>
      </c>
      <c r="AC62" s="37">
        <v>307</v>
      </c>
      <c r="AD62" s="38">
        <v>12.333333333333334</v>
      </c>
      <c r="AG62" s="38">
        <v>13.66663</v>
      </c>
      <c r="AH62" s="38"/>
      <c r="AJ62" s="38">
        <v>13.333300000000001</v>
      </c>
      <c r="AK62" s="37">
        <v>0</v>
      </c>
    </row>
    <row r="63" spans="2:37">
      <c r="V63" s="113"/>
      <c r="W63" s="44">
        <v>402</v>
      </c>
      <c r="X63" s="43">
        <v>13.583333333333334</v>
      </c>
      <c r="AC63" s="37">
        <v>402</v>
      </c>
      <c r="AD63" s="38">
        <v>13.583333333333334</v>
      </c>
      <c r="AG63" s="38">
        <v>13.99996</v>
      </c>
      <c r="AH63" s="38"/>
      <c r="AJ63" s="38">
        <v>13.66663</v>
      </c>
      <c r="AK63" s="37">
        <v>2</v>
      </c>
    </row>
    <row r="64" spans="2:37">
      <c r="V64" s="113"/>
      <c r="W64" s="44">
        <v>404</v>
      </c>
      <c r="X64" s="43">
        <v>13.416666666666666</v>
      </c>
      <c r="Z64" s="38">
        <f>AVERAGE(X65,X51:X62)</f>
        <v>11.692307692307692</v>
      </c>
      <c r="AA64" s="37">
        <f>STDEV(X65,X51:X62)/SQRT(13)</f>
        <v>0.15078870738784059</v>
      </c>
      <c r="AC64" s="37">
        <v>404</v>
      </c>
      <c r="AD64" s="38">
        <v>13.416666666666666</v>
      </c>
      <c r="AG64" s="38">
        <v>14.33329</v>
      </c>
      <c r="AH64" s="38"/>
      <c r="AJ64" s="38">
        <v>13.99996</v>
      </c>
      <c r="AK64" s="37">
        <v>0</v>
      </c>
    </row>
    <row r="65" spans="22:37">
      <c r="V65" s="113"/>
      <c r="W65" s="44">
        <v>406</v>
      </c>
      <c r="X65" s="43">
        <v>12.333333333333334</v>
      </c>
      <c r="AC65" s="37">
        <v>406</v>
      </c>
      <c r="AD65" s="38">
        <v>12.333333333333334</v>
      </c>
      <c r="AG65" s="38">
        <v>14.66662</v>
      </c>
      <c r="AH65" s="38"/>
      <c r="AJ65" s="38">
        <v>14.33329</v>
      </c>
      <c r="AK65" s="37">
        <v>1</v>
      </c>
    </row>
    <row r="66" spans="22:37">
      <c r="V66" s="113"/>
      <c r="W66" s="44">
        <v>408</v>
      </c>
      <c r="X66" s="43">
        <v>14.166666666666666</v>
      </c>
      <c r="Z66" s="37">
        <f>STDEV(X51:X66)/SQRT(16)</f>
        <v>0.24066783529263819</v>
      </c>
      <c r="AC66" s="37">
        <v>408</v>
      </c>
      <c r="AD66" s="38">
        <v>14.166666666666666</v>
      </c>
      <c r="AG66" s="38">
        <v>14.99995</v>
      </c>
      <c r="AH66" s="38"/>
      <c r="AJ66" s="38">
        <v>14.66662</v>
      </c>
      <c r="AK66" s="37">
        <v>0</v>
      </c>
    </row>
    <row r="67" spans="22:37">
      <c r="V67" s="59" t="s">
        <v>379</v>
      </c>
      <c r="W67" s="114"/>
      <c r="X67" s="58">
        <v>12.072916666666666</v>
      </c>
      <c r="AH67" s="38"/>
      <c r="AJ67" s="38">
        <v>14.99995</v>
      </c>
      <c r="AK67" s="37">
        <v>0</v>
      </c>
    </row>
    <row r="68" spans="22:37" ht="13.5" thickBot="1">
      <c r="V68" s="59">
        <v>3</v>
      </c>
      <c r="W68" s="59">
        <v>103</v>
      </c>
      <c r="X68" s="58">
        <v>19.833333333333332</v>
      </c>
      <c r="AJ68" s="96" t="s">
        <v>373</v>
      </c>
      <c r="AK68" s="96">
        <v>0</v>
      </c>
    </row>
    <row r="69" spans="22:37">
      <c r="V69" s="113"/>
      <c r="W69" s="44">
        <v>105</v>
      </c>
      <c r="X69" s="43">
        <v>20.583333333333332</v>
      </c>
    </row>
    <row r="70" spans="22:37" ht="13.5" thickBot="1">
      <c r="V70" s="113"/>
      <c r="W70" s="44">
        <v>201</v>
      </c>
      <c r="X70" s="43">
        <v>23</v>
      </c>
      <c r="AJ70" s="37" t="s">
        <v>378</v>
      </c>
    </row>
    <row r="71" spans="22:37">
      <c r="V71" s="113"/>
      <c r="W71" s="44">
        <v>204</v>
      </c>
      <c r="X71" s="43">
        <v>21.333333333333332</v>
      </c>
      <c r="AC71" s="37" t="s">
        <v>378</v>
      </c>
      <c r="AJ71" s="111" t="s">
        <v>375</v>
      </c>
      <c r="AK71" s="111" t="s">
        <v>374</v>
      </c>
    </row>
    <row r="72" spans="22:37">
      <c r="V72" s="113"/>
      <c r="W72" s="44">
        <v>305</v>
      </c>
      <c r="X72" s="43">
        <v>20.333333333333332</v>
      </c>
      <c r="AC72" s="59">
        <v>101</v>
      </c>
      <c r="AD72" s="58">
        <v>9.8333333333333339</v>
      </c>
      <c r="AJ72" s="38">
        <v>10</v>
      </c>
      <c r="AK72" s="37">
        <v>3</v>
      </c>
    </row>
    <row r="73" spans="22:37">
      <c r="V73" s="113"/>
      <c r="W73" s="44">
        <v>308</v>
      </c>
      <c r="X73" s="43">
        <v>22.416666666666668</v>
      </c>
      <c r="AC73" s="44">
        <v>205</v>
      </c>
      <c r="AD73" s="43">
        <v>11.833333333333334</v>
      </c>
      <c r="AJ73" s="38">
        <v>10.33333</v>
      </c>
      <c r="AK73" s="37">
        <v>0</v>
      </c>
    </row>
    <row r="74" spans="22:37">
      <c r="V74" s="113"/>
      <c r="W74" s="44">
        <v>403</v>
      </c>
      <c r="X74" s="43">
        <v>23.166666666666668</v>
      </c>
      <c r="AC74" s="44">
        <v>206</v>
      </c>
      <c r="AD74" s="43">
        <v>11.25</v>
      </c>
      <c r="AJ74" s="38">
        <v>10.66666</v>
      </c>
      <c r="AK74" s="37">
        <v>1</v>
      </c>
    </row>
    <row r="75" spans="22:37">
      <c r="V75" s="113"/>
      <c r="W75" s="44">
        <v>405</v>
      </c>
      <c r="X75" s="43">
        <v>20.166666666666668</v>
      </c>
      <c r="Z75" s="37">
        <f>STDEV(X68:X75)/SQRT(8)</f>
        <v>0.47212738310017138</v>
      </c>
      <c r="AC75" s="44">
        <v>208</v>
      </c>
      <c r="AD75" s="43">
        <v>11</v>
      </c>
      <c r="AJ75" s="38">
        <v>10.99999</v>
      </c>
      <c r="AK75" s="37">
        <v>0</v>
      </c>
    </row>
    <row r="76" spans="22:37">
      <c r="V76" s="76" t="s">
        <v>377</v>
      </c>
      <c r="W76" s="112"/>
      <c r="X76" s="75">
        <v>21.354166666666664</v>
      </c>
      <c r="AC76" s="44">
        <v>303</v>
      </c>
      <c r="AD76" s="43">
        <v>8.25</v>
      </c>
      <c r="AJ76" s="38">
        <v>11.333320000000001</v>
      </c>
      <c r="AK76" s="37">
        <v>2</v>
      </c>
    </row>
    <row r="77" spans="22:37">
      <c r="AC77" s="44">
        <v>304</v>
      </c>
      <c r="AD77" s="43">
        <v>10.416666666666666</v>
      </c>
      <c r="AJ77" s="38">
        <v>11.666650000000001</v>
      </c>
      <c r="AK77" s="37">
        <v>0</v>
      </c>
    </row>
    <row r="78" spans="22:37">
      <c r="AC78" s="44">
        <v>401</v>
      </c>
      <c r="AD78" s="43">
        <v>10</v>
      </c>
      <c r="AJ78" s="38">
        <v>11.999980000000001</v>
      </c>
      <c r="AK78" s="37">
        <v>1</v>
      </c>
    </row>
    <row r="79" spans="22:37">
      <c r="AC79" s="44">
        <v>407</v>
      </c>
      <c r="AD79" s="43">
        <v>12</v>
      </c>
      <c r="AJ79" s="38">
        <v>12.333310000000001</v>
      </c>
      <c r="AK79" s="37">
        <v>1</v>
      </c>
    </row>
    <row r="80" spans="22:37">
      <c r="AJ80" s="38">
        <v>12.666640000000001</v>
      </c>
      <c r="AK80" s="37">
        <v>0</v>
      </c>
    </row>
    <row r="81" spans="29:37">
      <c r="AJ81" s="38">
        <v>12.999970000000001</v>
      </c>
      <c r="AK81" s="37">
        <v>0</v>
      </c>
    </row>
    <row r="82" spans="29:37">
      <c r="AJ82" s="38">
        <v>13.333300000000001</v>
      </c>
      <c r="AK82" s="37">
        <v>0</v>
      </c>
    </row>
    <row r="83" spans="29:37">
      <c r="AC83" s="37" t="s">
        <v>376</v>
      </c>
      <c r="AJ83" s="38">
        <v>13.66663</v>
      </c>
      <c r="AK83" s="37">
        <v>0</v>
      </c>
    </row>
    <row r="84" spans="29:37">
      <c r="AC84" s="59">
        <v>103</v>
      </c>
      <c r="AD84" s="58">
        <v>19.833333333333332</v>
      </c>
      <c r="AJ84" s="38">
        <v>13.99996</v>
      </c>
      <c r="AK84" s="37">
        <v>0</v>
      </c>
    </row>
    <row r="85" spans="29:37">
      <c r="AC85" s="44">
        <v>105</v>
      </c>
      <c r="AD85" s="43">
        <v>20.583333333333332</v>
      </c>
      <c r="AG85" s="37">
        <v>19</v>
      </c>
      <c r="AJ85" s="38">
        <v>14.33329</v>
      </c>
      <c r="AK85" s="37">
        <v>0</v>
      </c>
    </row>
    <row r="86" spans="29:37">
      <c r="AC86" s="44">
        <v>201</v>
      </c>
      <c r="AD86" s="43">
        <v>23</v>
      </c>
      <c r="AG86" s="37">
        <v>19.33333</v>
      </c>
      <c r="AJ86" s="38">
        <v>14.66662</v>
      </c>
      <c r="AK86" s="37">
        <v>0</v>
      </c>
    </row>
    <row r="87" spans="29:37">
      <c r="AC87" s="44">
        <v>204</v>
      </c>
      <c r="AD87" s="43">
        <v>21.333333333333332</v>
      </c>
      <c r="AG87" s="37">
        <v>19.66666</v>
      </c>
      <c r="AJ87" s="38">
        <v>14.99995</v>
      </c>
      <c r="AK87" s="37">
        <v>0</v>
      </c>
    </row>
    <row r="88" spans="29:37" ht="13.5" thickBot="1">
      <c r="AC88" s="44">
        <v>305</v>
      </c>
      <c r="AD88" s="43">
        <v>20.333333333333332</v>
      </c>
      <c r="AG88" s="37">
        <v>19.99999</v>
      </c>
      <c r="AJ88" s="96" t="s">
        <v>373</v>
      </c>
      <c r="AK88" s="96">
        <v>0</v>
      </c>
    </row>
    <row r="89" spans="29:37">
      <c r="AC89" s="44">
        <v>308</v>
      </c>
      <c r="AD89" s="43">
        <v>22.416666666666668</v>
      </c>
      <c r="AG89" s="37">
        <v>20.333320000000001</v>
      </c>
    </row>
    <row r="90" spans="29:37">
      <c r="AC90" s="44">
        <v>403</v>
      </c>
      <c r="AD90" s="43">
        <v>23.166666666666668</v>
      </c>
      <c r="AG90" s="37">
        <v>20.666650000000001</v>
      </c>
    </row>
    <row r="91" spans="29:37">
      <c r="AC91" s="44">
        <v>405</v>
      </c>
      <c r="AD91" s="43">
        <v>20.166666666666668</v>
      </c>
      <c r="AG91" s="37">
        <v>20.999980000000001</v>
      </c>
    </row>
    <row r="92" spans="29:37" ht="13.5" thickBot="1">
      <c r="AG92" s="37">
        <v>21.333310000000001</v>
      </c>
      <c r="AJ92" s="37" t="s">
        <v>376</v>
      </c>
    </row>
    <row r="93" spans="29:37">
      <c r="AG93" s="37">
        <v>21.666640000000001</v>
      </c>
      <c r="AJ93" s="111" t="s">
        <v>375</v>
      </c>
      <c r="AK93" s="111" t="s">
        <v>374</v>
      </c>
    </row>
    <row r="94" spans="29:37">
      <c r="AG94" s="37">
        <v>21.999970000000001</v>
      </c>
      <c r="AJ94" s="38">
        <v>19</v>
      </c>
      <c r="AK94" s="37">
        <v>0</v>
      </c>
    </row>
    <row r="95" spans="29:37">
      <c r="AG95" s="37">
        <v>22.333300000000001</v>
      </c>
      <c r="AJ95" s="38">
        <v>19.33333</v>
      </c>
      <c r="AK95" s="37">
        <v>0</v>
      </c>
    </row>
    <row r="96" spans="29:37">
      <c r="AG96" s="37">
        <v>22.666630000000001</v>
      </c>
      <c r="AJ96" s="38">
        <v>19.66666</v>
      </c>
      <c r="AK96" s="37">
        <v>0</v>
      </c>
    </row>
    <row r="97" spans="33:37">
      <c r="AG97" s="37">
        <v>22.999960000000002</v>
      </c>
      <c r="AJ97" s="38">
        <v>19.99999</v>
      </c>
      <c r="AK97" s="37">
        <v>1</v>
      </c>
    </row>
    <row r="98" spans="33:37">
      <c r="AG98" s="37">
        <v>23.333289999999998</v>
      </c>
      <c r="AJ98" s="38">
        <v>20.333320000000001</v>
      </c>
      <c r="AK98" s="37">
        <v>1</v>
      </c>
    </row>
    <row r="99" spans="33:37">
      <c r="AG99" s="37">
        <v>23.666620000000002</v>
      </c>
      <c r="AJ99" s="38">
        <v>20.666650000000001</v>
      </c>
      <c r="AK99" s="37">
        <v>2</v>
      </c>
    </row>
    <row r="100" spans="33:37">
      <c r="AG100" s="37">
        <v>23.999949999999998</v>
      </c>
      <c r="AJ100" s="38">
        <v>20.999980000000001</v>
      </c>
      <c r="AK100" s="37">
        <v>0</v>
      </c>
    </row>
    <row r="101" spans="33:37">
      <c r="AG101" s="37">
        <v>24.333280000000002</v>
      </c>
      <c r="AJ101" s="38">
        <v>21.333310000000001</v>
      </c>
      <c r="AK101" s="37">
        <v>0</v>
      </c>
    </row>
    <row r="102" spans="33:37">
      <c r="AJ102" s="38">
        <v>21.666640000000001</v>
      </c>
      <c r="AK102" s="37">
        <v>1</v>
      </c>
    </row>
    <row r="103" spans="33:37">
      <c r="AJ103" s="38">
        <v>21.999970000000001</v>
      </c>
      <c r="AK103" s="37">
        <v>0</v>
      </c>
    </row>
    <row r="104" spans="33:37">
      <c r="AJ104" s="38">
        <v>22.333300000000001</v>
      </c>
      <c r="AK104" s="37">
        <v>0</v>
      </c>
    </row>
    <row r="105" spans="33:37">
      <c r="AJ105" s="38">
        <v>22.666630000000001</v>
      </c>
      <c r="AK105" s="37">
        <v>1</v>
      </c>
    </row>
    <row r="106" spans="33:37">
      <c r="AJ106" s="38">
        <v>22.999960000000002</v>
      </c>
      <c r="AK106" s="37">
        <v>0</v>
      </c>
    </row>
    <row r="107" spans="33:37">
      <c r="AJ107" s="38">
        <v>23.333289999999998</v>
      </c>
      <c r="AK107" s="37">
        <v>2</v>
      </c>
    </row>
    <row r="108" spans="33:37">
      <c r="AJ108" s="38">
        <v>23.666620000000002</v>
      </c>
      <c r="AK108" s="37">
        <v>0</v>
      </c>
    </row>
    <row r="109" spans="33:37">
      <c r="AJ109" s="38">
        <v>23.999949999999998</v>
      </c>
      <c r="AK109" s="37">
        <v>0</v>
      </c>
    </row>
    <row r="110" spans="33:37">
      <c r="AJ110" s="38">
        <v>24.333280000000002</v>
      </c>
      <c r="AK110" s="37">
        <v>0</v>
      </c>
    </row>
    <row r="111" spans="33:37" ht="13.5" thickBot="1">
      <c r="AJ111" s="96" t="s">
        <v>373</v>
      </c>
      <c r="AK111" s="96">
        <v>0</v>
      </c>
    </row>
  </sheetData>
  <mergeCells count="2">
    <mergeCell ref="Q3:R3"/>
    <mergeCell ref="Q4:R4"/>
  </mergeCells>
  <pageMargins left="0.75" right="0.75" top="1" bottom="1" header="0.5" footer="0.5"/>
  <pageSetup scale="68" orientation="landscape" r:id="rId3"/>
  <headerFooter alignWithMargins="0"/>
  <drawing r:id="rId4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50137-318E-438D-B92F-974BDF32451A}">
  <dimension ref="A1:Z76"/>
  <sheetViews>
    <sheetView workbookViewId="0">
      <selection activeCell="H73" sqref="H73"/>
    </sheetView>
  </sheetViews>
  <sheetFormatPr defaultRowHeight="12.75"/>
  <cols>
    <col min="1" max="18" width="9.140625" style="37"/>
    <col min="19" max="19" width="12.42578125" style="37" customWidth="1"/>
    <col min="20" max="20" width="45.7109375" style="37" customWidth="1"/>
    <col min="21" max="21" width="9.140625" style="37"/>
    <col min="22" max="22" width="28.7109375" style="37" customWidth="1"/>
    <col min="23" max="23" width="6.5703125" style="37" customWidth="1"/>
    <col min="24" max="25" width="5.5703125" style="37" customWidth="1"/>
    <col min="26" max="26" width="4.5703125" style="37" customWidth="1"/>
    <col min="27" max="27" width="10.5703125" style="37" bestFit="1" customWidth="1"/>
    <col min="28" max="16384" width="9.140625" style="37"/>
  </cols>
  <sheetData>
    <row r="1" spans="1:23" ht="22.5" customHeight="1">
      <c r="A1" s="93" t="s">
        <v>340</v>
      </c>
    </row>
    <row r="2" spans="1:23">
      <c r="Q2" s="92" t="s">
        <v>359</v>
      </c>
    </row>
    <row r="3" spans="1:23" ht="13.5" thickBot="1">
      <c r="A3" s="92"/>
      <c r="B3" s="104" t="s">
        <v>339</v>
      </c>
      <c r="C3" s="96">
        <v>149</v>
      </c>
      <c r="E3" s="104" t="s">
        <v>338</v>
      </c>
      <c r="F3" s="105">
        <v>0.39583333333333331</v>
      </c>
      <c r="H3" s="104" t="s">
        <v>358</v>
      </c>
      <c r="I3" s="106">
        <v>37405</v>
      </c>
      <c r="J3" s="96"/>
      <c r="Q3" s="117" t="s">
        <v>389</v>
      </c>
      <c r="R3" s="118"/>
      <c r="S3" s="116">
        <f>AVERAGE(Q10,Q22,Q23,Q25,Q28,Q29,Q34,Q40,Q10,Q10)</f>
        <v>5.2666666666666675</v>
      </c>
    </row>
    <row r="4" spans="1:23" ht="18.75" customHeight="1" thickBot="1">
      <c r="E4" s="104" t="s">
        <v>337</v>
      </c>
      <c r="F4" s="105">
        <v>0.45833333333333331</v>
      </c>
      <c r="H4" s="104" t="s">
        <v>350</v>
      </c>
      <c r="I4" s="96" t="s">
        <v>388</v>
      </c>
      <c r="J4" s="96"/>
      <c r="Q4" s="117" t="s">
        <v>387</v>
      </c>
      <c r="R4" s="118"/>
      <c r="S4" s="116">
        <f>AVERAGE(Q11,Q13,Q15,Q16,Q17,Q19,Q20,Q24,Q26,Q27,Q31,Q32,Q35,Q37,Q39,Q41)</f>
        <v>11.58333333333333</v>
      </c>
    </row>
    <row r="5" spans="1:23">
      <c r="Q5" s="117" t="s">
        <v>386</v>
      </c>
      <c r="R5" s="118"/>
      <c r="S5" s="38">
        <f>AVERAGE(Q12,Q14,Q18,Q21,Q30,Q33,Q36,Q38)</f>
        <v>21.0625</v>
      </c>
    </row>
    <row r="6" spans="1:23" ht="13.5" thickBot="1">
      <c r="B6" s="104" t="s">
        <v>336</v>
      </c>
      <c r="C6" s="96" t="s">
        <v>385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</row>
    <row r="7" spans="1:23" ht="13.5" thickBot="1"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</row>
    <row r="8" spans="1:23" ht="13.5" thickBot="1"/>
    <row r="9" spans="1:23" ht="39" thickBot="1">
      <c r="B9" s="88" t="s">
        <v>0</v>
      </c>
      <c r="C9" s="89" t="s">
        <v>305</v>
      </c>
      <c r="D9" s="89" t="s">
        <v>333</v>
      </c>
      <c r="E9" s="88" t="s">
        <v>332</v>
      </c>
      <c r="F9" s="89" t="s">
        <v>331</v>
      </c>
      <c r="G9" s="88" t="s">
        <v>330</v>
      </c>
      <c r="H9" s="88" t="s">
        <v>329</v>
      </c>
      <c r="I9" s="88" t="s">
        <v>315</v>
      </c>
      <c r="J9" s="88" t="s">
        <v>328</v>
      </c>
      <c r="K9" s="86" t="s">
        <v>327</v>
      </c>
      <c r="L9" s="86" t="s">
        <v>326</v>
      </c>
      <c r="M9" s="86" t="s">
        <v>325</v>
      </c>
      <c r="N9" s="86" t="s">
        <v>324</v>
      </c>
      <c r="O9" s="86" t="s">
        <v>323</v>
      </c>
      <c r="P9" s="86" t="s">
        <v>322</v>
      </c>
      <c r="Q9" s="87" t="s">
        <v>321</v>
      </c>
      <c r="R9" s="86" t="s">
        <v>320</v>
      </c>
      <c r="S9" s="87" t="s">
        <v>319</v>
      </c>
      <c r="T9" s="103" t="s">
        <v>318</v>
      </c>
    </row>
    <row r="10" spans="1:23">
      <c r="B10" s="61">
        <v>101</v>
      </c>
      <c r="C10" s="62" t="s">
        <v>3</v>
      </c>
      <c r="D10" s="62">
        <v>1</v>
      </c>
      <c r="E10" s="62">
        <f t="shared" ref="E10:E41" si="0">IF(LEFT($C10,1)="F",1,2)</f>
        <v>1</v>
      </c>
      <c r="F10" s="62">
        <f t="shared" ref="F10:F41" si="1">IF(MID($C10,2,1)="S",1,IF(MID($C10,2,1)="T",2,IF(MID($C10,2,1)="D",3,0)))</f>
        <v>1</v>
      </c>
      <c r="G10" s="62">
        <f t="shared" ref="G10:G41" si="2">IF(RIGHT($C10,1)="L",1,2)</f>
        <v>2</v>
      </c>
      <c r="H10" s="61">
        <v>1</v>
      </c>
      <c r="I10" s="61">
        <f t="shared" ref="I10:I49" si="3">B10-INT(B10/100)*100</f>
        <v>1</v>
      </c>
      <c r="J10" s="61" t="str">
        <f t="shared" ref="J10:J49" si="4">(E10&amp;F10&amp;G10&amp;"."&amp;H10)</f>
        <v>112.1</v>
      </c>
      <c r="K10" s="83">
        <v>13</v>
      </c>
      <c r="L10" s="60">
        <v>10</v>
      </c>
      <c r="M10" s="60">
        <v>10</v>
      </c>
      <c r="N10" s="60">
        <v>11</v>
      </c>
      <c r="O10" s="60">
        <v>9</v>
      </c>
      <c r="P10" s="60">
        <v>10</v>
      </c>
      <c r="Q10" s="53">
        <f t="shared" ref="Q10:Q49" si="5">AVERAGE(K10:P10)/2</f>
        <v>5.25</v>
      </c>
      <c r="R10" s="53">
        <f t="shared" ref="R10:R49" si="6">STDEV(K10:P10)/2/SQRT(COUNT(K10:P10))</f>
        <v>0.28136571693556889</v>
      </c>
      <c r="S10" s="53">
        <f t="shared" ref="S10:S41" si="7">IF(F10=3,Q10/2,IF(F10=1,Q10*2,Q10))</f>
        <v>10.5</v>
      </c>
      <c r="T10" s="99"/>
      <c r="V10" s="65" t="s">
        <v>316</v>
      </c>
      <c r="W10" s="63"/>
    </row>
    <row r="11" spans="1:23">
      <c r="B11" s="55">
        <v>102</v>
      </c>
      <c r="C11" s="55" t="s">
        <v>4</v>
      </c>
      <c r="D11" s="55">
        <v>4</v>
      </c>
      <c r="E11" s="56">
        <f t="shared" si="0"/>
        <v>1</v>
      </c>
      <c r="F11" s="56">
        <f t="shared" si="1"/>
        <v>2</v>
      </c>
      <c r="G11" s="56">
        <f t="shared" si="2"/>
        <v>1</v>
      </c>
      <c r="H11" s="55">
        <v>1</v>
      </c>
      <c r="I11" s="55">
        <f t="shared" si="3"/>
        <v>2</v>
      </c>
      <c r="J11" s="55" t="str">
        <f t="shared" si="4"/>
        <v>121.1</v>
      </c>
      <c r="K11" s="54">
        <v>24</v>
      </c>
      <c r="L11" s="54">
        <v>25</v>
      </c>
      <c r="M11" s="54">
        <v>27</v>
      </c>
      <c r="N11" s="54">
        <v>18</v>
      </c>
      <c r="O11" s="54">
        <v>26</v>
      </c>
      <c r="P11" s="54">
        <v>17</v>
      </c>
      <c r="Q11" s="53">
        <f t="shared" si="5"/>
        <v>11.416666666666666</v>
      </c>
      <c r="R11" s="52">
        <f t="shared" si="6"/>
        <v>0.87002554240921326</v>
      </c>
      <c r="S11" s="53">
        <f t="shared" si="7"/>
        <v>11.416666666666666</v>
      </c>
      <c r="T11" s="98"/>
      <c r="V11" s="65" t="s">
        <v>315</v>
      </c>
      <c r="W11" s="63" t="s">
        <v>304</v>
      </c>
    </row>
    <row r="12" spans="1:23">
      <c r="B12" s="69">
        <v>103</v>
      </c>
      <c r="C12" s="69" t="s">
        <v>5</v>
      </c>
      <c r="D12" s="69">
        <v>5</v>
      </c>
      <c r="E12" s="70">
        <f t="shared" si="0"/>
        <v>1</v>
      </c>
      <c r="F12" s="70">
        <f t="shared" si="1"/>
        <v>3</v>
      </c>
      <c r="G12" s="70">
        <f t="shared" si="2"/>
        <v>2</v>
      </c>
      <c r="H12" s="69">
        <v>1</v>
      </c>
      <c r="I12" s="69">
        <f t="shared" si="3"/>
        <v>3</v>
      </c>
      <c r="J12" s="69" t="str">
        <f t="shared" si="4"/>
        <v>132.1</v>
      </c>
      <c r="K12" s="68">
        <v>42</v>
      </c>
      <c r="L12" s="68">
        <v>43</v>
      </c>
      <c r="M12" s="68">
        <v>37</v>
      </c>
      <c r="N12" s="68">
        <v>38</v>
      </c>
      <c r="O12" s="68">
        <v>51</v>
      </c>
      <c r="P12" s="68">
        <v>34</v>
      </c>
      <c r="Q12" s="67">
        <f t="shared" si="5"/>
        <v>20.416666666666668</v>
      </c>
      <c r="R12" s="66">
        <f t="shared" si="6"/>
        <v>1.2207693384820013</v>
      </c>
      <c r="S12" s="67">
        <f t="shared" si="7"/>
        <v>10.208333333333334</v>
      </c>
      <c r="T12" s="100"/>
      <c r="V12" s="59">
        <v>1</v>
      </c>
      <c r="W12" s="58">
        <v>10.979166666666666</v>
      </c>
    </row>
    <row r="13" spans="1:23">
      <c r="B13" s="55">
        <v>104</v>
      </c>
      <c r="C13" s="55" t="s">
        <v>6</v>
      </c>
      <c r="D13" s="55">
        <v>10</v>
      </c>
      <c r="E13" s="56">
        <f t="shared" si="0"/>
        <v>2</v>
      </c>
      <c r="F13" s="56">
        <f t="shared" si="1"/>
        <v>2</v>
      </c>
      <c r="G13" s="56">
        <f t="shared" si="2"/>
        <v>1</v>
      </c>
      <c r="H13" s="55">
        <v>1</v>
      </c>
      <c r="I13" s="55">
        <f t="shared" si="3"/>
        <v>4</v>
      </c>
      <c r="J13" s="55" t="str">
        <f t="shared" si="4"/>
        <v>221.1</v>
      </c>
      <c r="K13" s="54">
        <v>23</v>
      </c>
      <c r="L13" s="54">
        <v>27</v>
      </c>
      <c r="M13" s="54">
        <v>23</v>
      </c>
      <c r="N13" s="54">
        <v>24</v>
      </c>
      <c r="O13" s="54">
        <v>18</v>
      </c>
      <c r="P13" s="54">
        <v>20</v>
      </c>
      <c r="Q13" s="53">
        <f t="shared" si="5"/>
        <v>11.25</v>
      </c>
      <c r="R13" s="52">
        <f t="shared" si="6"/>
        <v>0.64226162893325656</v>
      </c>
      <c r="S13" s="53">
        <f t="shared" si="7"/>
        <v>11.25</v>
      </c>
      <c r="T13" s="98"/>
      <c r="V13" s="44">
        <v>2</v>
      </c>
      <c r="W13" s="43">
        <v>11</v>
      </c>
    </row>
    <row r="14" spans="1:23">
      <c r="B14" s="69">
        <v>105</v>
      </c>
      <c r="C14" s="69" t="s">
        <v>10</v>
      </c>
      <c r="D14" s="69">
        <v>12</v>
      </c>
      <c r="E14" s="70">
        <f t="shared" si="0"/>
        <v>2</v>
      </c>
      <c r="F14" s="70">
        <f t="shared" si="1"/>
        <v>3</v>
      </c>
      <c r="G14" s="70">
        <f t="shared" si="2"/>
        <v>1</v>
      </c>
      <c r="H14" s="69">
        <v>2</v>
      </c>
      <c r="I14" s="69">
        <f t="shared" si="3"/>
        <v>5</v>
      </c>
      <c r="J14" s="69" t="str">
        <f t="shared" si="4"/>
        <v>231.2</v>
      </c>
      <c r="K14" s="68">
        <v>41</v>
      </c>
      <c r="L14" s="68">
        <v>38</v>
      </c>
      <c r="M14" s="68">
        <v>45</v>
      </c>
      <c r="N14" s="68">
        <v>41</v>
      </c>
      <c r="O14" s="68">
        <v>40</v>
      </c>
      <c r="P14" s="68">
        <v>42</v>
      </c>
      <c r="Q14" s="67">
        <f t="shared" si="5"/>
        <v>20.583333333333332</v>
      </c>
      <c r="R14" s="66">
        <f t="shared" si="6"/>
        <v>0.47287536530370367</v>
      </c>
      <c r="S14" s="67">
        <f t="shared" si="7"/>
        <v>10.291666666666666</v>
      </c>
      <c r="T14" s="100"/>
      <c r="V14" s="44">
        <v>3</v>
      </c>
      <c r="W14" s="43">
        <v>10.90625</v>
      </c>
    </row>
    <row r="15" spans="1:23">
      <c r="B15" s="55">
        <v>106</v>
      </c>
      <c r="C15" s="55" t="s">
        <v>7</v>
      </c>
      <c r="D15" s="55">
        <v>9</v>
      </c>
      <c r="E15" s="56">
        <f t="shared" si="0"/>
        <v>2</v>
      </c>
      <c r="F15" s="56">
        <f t="shared" si="1"/>
        <v>2</v>
      </c>
      <c r="G15" s="56">
        <f t="shared" si="2"/>
        <v>2</v>
      </c>
      <c r="H15" s="55">
        <v>2</v>
      </c>
      <c r="I15" s="55">
        <f t="shared" si="3"/>
        <v>6</v>
      </c>
      <c r="J15" s="55" t="str">
        <f t="shared" si="4"/>
        <v>222.2</v>
      </c>
      <c r="K15" s="54">
        <v>24</v>
      </c>
      <c r="L15" s="54">
        <v>30</v>
      </c>
      <c r="M15" s="54">
        <v>25</v>
      </c>
      <c r="N15" s="54">
        <v>24</v>
      </c>
      <c r="O15" s="54">
        <v>21</v>
      </c>
      <c r="P15" s="54">
        <v>19</v>
      </c>
      <c r="Q15" s="53">
        <f t="shared" si="5"/>
        <v>11.916666666666666</v>
      </c>
      <c r="R15" s="52">
        <f t="shared" si="6"/>
        <v>0.76829537144107474</v>
      </c>
      <c r="S15" s="53">
        <f t="shared" si="7"/>
        <v>11.916666666666666</v>
      </c>
      <c r="T15" s="98"/>
      <c r="V15" s="44">
        <v>4</v>
      </c>
      <c r="W15" s="43">
        <v>10.90625</v>
      </c>
    </row>
    <row r="16" spans="1:23">
      <c r="B16" s="55">
        <v>107</v>
      </c>
      <c r="C16" s="55" t="s">
        <v>6</v>
      </c>
      <c r="D16" s="55">
        <v>10</v>
      </c>
      <c r="E16" s="56">
        <f t="shared" si="0"/>
        <v>2</v>
      </c>
      <c r="F16" s="56">
        <f t="shared" si="1"/>
        <v>2</v>
      </c>
      <c r="G16" s="56">
        <f t="shared" si="2"/>
        <v>1</v>
      </c>
      <c r="H16" s="55">
        <v>2</v>
      </c>
      <c r="I16" s="55">
        <f t="shared" si="3"/>
        <v>7</v>
      </c>
      <c r="J16" s="55" t="str">
        <f t="shared" si="4"/>
        <v>221.2</v>
      </c>
      <c r="K16" s="54">
        <v>19</v>
      </c>
      <c r="L16" s="54">
        <v>19</v>
      </c>
      <c r="M16" s="54">
        <v>24</v>
      </c>
      <c r="N16" s="54">
        <v>20</v>
      </c>
      <c r="O16" s="54">
        <v>21</v>
      </c>
      <c r="P16" s="54">
        <v>24</v>
      </c>
      <c r="Q16" s="53">
        <f t="shared" si="5"/>
        <v>10.583333333333334</v>
      </c>
      <c r="R16" s="52">
        <f t="shared" si="6"/>
        <v>0.47287536530370367</v>
      </c>
      <c r="S16" s="53">
        <f t="shared" si="7"/>
        <v>10.583333333333334</v>
      </c>
      <c r="T16" s="98"/>
      <c r="V16" s="44">
        <v>5</v>
      </c>
      <c r="W16" s="43">
        <v>10.25</v>
      </c>
    </row>
    <row r="17" spans="2:23" ht="13.5" thickBot="1">
      <c r="B17" s="49">
        <v>108</v>
      </c>
      <c r="C17" s="49" t="s">
        <v>8</v>
      </c>
      <c r="D17" s="49">
        <v>3</v>
      </c>
      <c r="E17" s="50">
        <f t="shared" si="0"/>
        <v>1</v>
      </c>
      <c r="F17" s="50">
        <f t="shared" si="1"/>
        <v>2</v>
      </c>
      <c r="G17" s="50">
        <f t="shared" si="2"/>
        <v>2</v>
      </c>
      <c r="H17" s="49">
        <v>2</v>
      </c>
      <c r="I17" s="49">
        <f t="shared" si="3"/>
        <v>8</v>
      </c>
      <c r="J17" s="49" t="str">
        <f t="shared" si="4"/>
        <v>122.2</v>
      </c>
      <c r="K17" s="48">
        <v>27</v>
      </c>
      <c r="L17" s="48">
        <v>27</v>
      </c>
      <c r="M17" s="48">
        <v>26</v>
      </c>
      <c r="N17" s="48">
        <v>24</v>
      </c>
      <c r="O17" s="48">
        <v>21</v>
      </c>
      <c r="P17" s="48">
        <v>28</v>
      </c>
      <c r="Q17" s="48">
        <f t="shared" si="5"/>
        <v>12.75</v>
      </c>
      <c r="R17" s="47">
        <f t="shared" si="6"/>
        <v>0.52836224947157862</v>
      </c>
      <c r="S17" s="48">
        <f t="shared" si="7"/>
        <v>12.75</v>
      </c>
      <c r="T17" s="97"/>
      <c r="V17" s="44">
        <v>6</v>
      </c>
      <c r="W17" s="43">
        <v>11.5</v>
      </c>
    </row>
    <row r="18" spans="2:23">
      <c r="B18" s="80">
        <v>201</v>
      </c>
      <c r="C18" s="80" t="s">
        <v>10</v>
      </c>
      <c r="D18" s="80">
        <v>12</v>
      </c>
      <c r="E18" s="81">
        <f t="shared" si="0"/>
        <v>2</v>
      </c>
      <c r="F18" s="81">
        <f t="shared" si="1"/>
        <v>3</v>
      </c>
      <c r="G18" s="81">
        <f t="shared" si="2"/>
        <v>1</v>
      </c>
      <c r="H18" s="80">
        <v>1</v>
      </c>
      <c r="I18" s="80">
        <f t="shared" si="3"/>
        <v>1</v>
      </c>
      <c r="J18" s="80" t="str">
        <f t="shared" si="4"/>
        <v>231.1</v>
      </c>
      <c r="K18" s="79">
        <v>45</v>
      </c>
      <c r="L18" s="79">
        <v>42</v>
      </c>
      <c r="M18" s="79">
        <v>45</v>
      </c>
      <c r="N18" s="79">
        <v>40</v>
      </c>
      <c r="O18" s="79">
        <v>49</v>
      </c>
      <c r="P18" s="79">
        <v>47</v>
      </c>
      <c r="Q18" s="67">
        <f t="shared" si="5"/>
        <v>22.333333333333332</v>
      </c>
      <c r="R18" s="67">
        <f t="shared" si="6"/>
        <v>0.66666666666666674</v>
      </c>
      <c r="S18" s="67">
        <f t="shared" si="7"/>
        <v>11.166666666666666</v>
      </c>
      <c r="T18" s="102"/>
      <c r="V18" s="44">
        <v>7</v>
      </c>
      <c r="W18" s="43">
        <v>11.25</v>
      </c>
    </row>
    <row r="19" spans="2:23">
      <c r="B19" s="55">
        <v>202</v>
      </c>
      <c r="C19" s="55" t="s">
        <v>7</v>
      </c>
      <c r="D19" s="55">
        <v>9</v>
      </c>
      <c r="E19" s="56">
        <f t="shared" si="0"/>
        <v>2</v>
      </c>
      <c r="F19" s="56">
        <f t="shared" si="1"/>
        <v>2</v>
      </c>
      <c r="G19" s="56">
        <f t="shared" si="2"/>
        <v>2</v>
      </c>
      <c r="H19" s="55">
        <v>1</v>
      </c>
      <c r="I19" s="55">
        <f t="shared" si="3"/>
        <v>2</v>
      </c>
      <c r="J19" s="55" t="str">
        <f t="shared" si="4"/>
        <v>222.1</v>
      </c>
      <c r="K19" s="54">
        <v>21</v>
      </c>
      <c r="L19" s="77">
        <v>21</v>
      </c>
      <c r="M19" s="77">
        <v>21</v>
      </c>
      <c r="N19" s="77">
        <v>22</v>
      </c>
      <c r="O19" s="54">
        <v>24</v>
      </c>
      <c r="P19" s="54">
        <v>19</v>
      </c>
      <c r="Q19" s="53">
        <f t="shared" si="5"/>
        <v>10.666666666666666</v>
      </c>
      <c r="R19" s="52">
        <f t="shared" si="6"/>
        <v>0.33333333333333337</v>
      </c>
      <c r="S19" s="53">
        <f t="shared" si="7"/>
        <v>10.666666666666666</v>
      </c>
      <c r="T19" s="98"/>
      <c r="V19" s="44">
        <v>8</v>
      </c>
      <c r="W19" s="43">
        <v>11.6875</v>
      </c>
    </row>
    <row r="20" spans="2:23">
      <c r="B20" s="55">
        <v>203</v>
      </c>
      <c r="C20" s="55" t="s">
        <v>8</v>
      </c>
      <c r="D20" s="55">
        <v>3</v>
      </c>
      <c r="E20" s="56">
        <f t="shared" si="0"/>
        <v>1</v>
      </c>
      <c r="F20" s="56">
        <f t="shared" si="1"/>
        <v>2</v>
      </c>
      <c r="G20" s="56">
        <f t="shared" si="2"/>
        <v>2</v>
      </c>
      <c r="H20" s="55">
        <v>1</v>
      </c>
      <c r="I20" s="55">
        <f t="shared" si="3"/>
        <v>3</v>
      </c>
      <c r="J20" s="55" t="str">
        <f t="shared" si="4"/>
        <v>122.1</v>
      </c>
      <c r="K20" s="54">
        <v>29</v>
      </c>
      <c r="L20" s="54">
        <v>24</v>
      </c>
      <c r="M20" s="54">
        <v>27</v>
      </c>
      <c r="N20" s="54">
        <v>22</v>
      </c>
      <c r="O20" s="54">
        <v>24</v>
      </c>
      <c r="P20" s="54">
        <v>22</v>
      </c>
      <c r="Q20" s="53">
        <f t="shared" si="5"/>
        <v>12.333333333333334</v>
      </c>
      <c r="R20" s="52">
        <f t="shared" si="6"/>
        <v>0.57251880124392351</v>
      </c>
      <c r="S20" s="53">
        <f t="shared" si="7"/>
        <v>12.333333333333334</v>
      </c>
      <c r="T20" s="98"/>
      <c r="V20" s="76" t="s">
        <v>312</v>
      </c>
      <c r="W20" s="75">
        <v>11.059895833333334</v>
      </c>
    </row>
    <row r="21" spans="2:23">
      <c r="B21" s="69">
        <v>204</v>
      </c>
      <c r="C21" s="69" t="s">
        <v>11</v>
      </c>
      <c r="D21" s="69">
        <v>11</v>
      </c>
      <c r="E21" s="70">
        <f t="shared" si="0"/>
        <v>2</v>
      </c>
      <c r="F21" s="70">
        <f t="shared" si="1"/>
        <v>3</v>
      </c>
      <c r="G21" s="70">
        <f t="shared" si="2"/>
        <v>2</v>
      </c>
      <c r="H21" s="69">
        <v>1</v>
      </c>
      <c r="I21" s="69">
        <f t="shared" si="3"/>
        <v>4</v>
      </c>
      <c r="J21" s="69" t="str">
        <f t="shared" si="4"/>
        <v>232.1</v>
      </c>
      <c r="K21" s="68">
        <v>51</v>
      </c>
      <c r="L21" s="68">
        <v>31</v>
      </c>
      <c r="M21" s="68">
        <v>49</v>
      </c>
      <c r="N21" s="68">
        <v>41</v>
      </c>
      <c r="O21" s="68">
        <v>41</v>
      </c>
      <c r="P21" s="68">
        <v>38</v>
      </c>
      <c r="Q21" s="67">
        <f t="shared" si="5"/>
        <v>20.916666666666668</v>
      </c>
      <c r="R21" s="66">
        <f t="shared" si="6"/>
        <v>1.496755750875133</v>
      </c>
      <c r="S21" s="67">
        <f t="shared" si="7"/>
        <v>10.458333333333334</v>
      </c>
      <c r="T21" s="100"/>
    </row>
    <row r="22" spans="2:23">
      <c r="B22" s="55">
        <v>205</v>
      </c>
      <c r="C22" s="55" t="s">
        <v>3</v>
      </c>
      <c r="D22" s="55">
        <v>1</v>
      </c>
      <c r="E22" s="56">
        <f t="shared" si="0"/>
        <v>1</v>
      </c>
      <c r="F22" s="56">
        <f t="shared" si="1"/>
        <v>1</v>
      </c>
      <c r="G22" s="56">
        <f t="shared" si="2"/>
        <v>2</v>
      </c>
      <c r="H22" s="55">
        <v>2</v>
      </c>
      <c r="I22" s="55">
        <f t="shared" si="3"/>
        <v>5</v>
      </c>
      <c r="J22" s="55" t="str">
        <f t="shared" si="4"/>
        <v>112.2</v>
      </c>
      <c r="K22" s="54">
        <v>12</v>
      </c>
      <c r="L22" s="54">
        <v>10</v>
      </c>
      <c r="M22" s="54">
        <v>10</v>
      </c>
      <c r="N22" s="54">
        <v>14</v>
      </c>
      <c r="O22" s="54">
        <v>10</v>
      </c>
      <c r="P22" s="54">
        <v>10</v>
      </c>
      <c r="Q22" s="53">
        <f t="shared" si="5"/>
        <v>5.5</v>
      </c>
      <c r="R22" s="52">
        <f t="shared" si="6"/>
        <v>0.34156502553198664</v>
      </c>
      <c r="S22" s="53">
        <f t="shared" si="7"/>
        <v>11</v>
      </c>
      <c r="T22" s="98"/>
    </row>
    <row r="23" spans="2:23">
      <c r="B23" s="55">
        <v>206</v>
      </c>
      <c r="C23" s="55" t="s">
        <v>12</v>
      </c>
      <c r="D23" s="55">
        <v>8</v>
      </c>
      <c r="E23" s="56">
        <f t="shared" si="0"/>
        <v>2</v>
      </c>
      <c r="F23" s="56">
        <f t="shared" si="1"/>
        <v>1</v>
      </c>
      <c r="G23" s="56">
        <f t="shared" si="2"/>
        <v>1</v>
      </c>
      <c r="H23" s="55">
        <v>2</v>
      </c>
      <c r="I23" s="55">
        <f t="shared" si="3"/>
        <v>6</v>
      </c>
      <c r="J23" s="55" t="str">
        <f t="shared" si="4"/>
        <v>211.2</v>
      </c>
      <c r="K23" s="54">
        <v>11</v>
      </c>
      <c r="L23" s="54">
        <v>11</v>
      </c>
      <c r="M23" s="54">
        <v>12</v>
      </c>
      <c r="N23" s="54">
        <v>9</v>
      </c>
      <c r="O23" s="54">
        <v>12</v>
      </c>
      <c r="P23" s="54">
        <v>9</v>
      </c>
      <c r="Q23" s="53">
        <f t="shared" si="5"/>
        <v>5.333333333333333</v>
      </c>
      <c r="R23" s="52">
        <f t="shared" si="6"/>
        <v>0.27888667551135909</v>
      </c>
      <c r="S23" s="53">
        <f t="shared" si="7"/>
        <v>10.666666666666666</v>
      </c>
      <c r="T23" s="98"/>
    </row>
    <row r="24" spans="2:23">
      <c r="B24" s="55">
        <v>207</v>
      </c>
      <c r="C24" s="55" t="s">
        <v>4</v>
      </c>
      <c r="D24" s="55">
        <v>4</v>
      </c>
      <c r="E24" s="56">
        <f t="shared" si="0"/>
        <v>1</v>
      </c>
      <c r="F24" s="56">
        <f t="shared" si="1"/>
        <v>2</v>
      </c>
      <c r="G24" s="56">
        <f t="shared" si="2"/>
        <v>1</v>
      </c>
      <c r="H24" s="55">
        <v>2</v>
      </c>
      <c r="I24" s="55">
        <f t="shared" si="3"/>
        <v>7</v>
      </c>
      <c r="J24" s="55" t="str">
        <f t="shared" si="4"/>
        <v>121.2</v>
      </c>
      <c r="K24" s="54">
        <v>27</v>
      </c>
      <c r="L24" s="54">
        <v>26</v>
      </c>
      <c r="M24" s="54">
        <v>22</v>
      </c>
      <c r="N24" s="54">
        <v>22</v>
      </c>
      <c r="O24" s="54">
        <v>26</v>
      </c>
      <c r="P24" s="54">
        <v>16</v>
      </c>
      <c r="Q24" s="53">
        <f t="shared" si="5"/>
        <v>11.583333333333334</v>
      </c>
      <c r="R24" s="52">
        <f t="shared" si="6"/>
        <v>0.84079988370863012</v>
      </c>
      <c r="S24" s="53">
        <f t="shared" si="7"/>
        <v>11.583333333333334</v>
      </c>
      <c r="T24" s="98"/>
    </row>
    <row r="25" spans="2:23" ht="13.5" thickBot="1">
      <c r="B25" s="49">
        <v>208</v>
      </c>
      <c r="C25" s="49" t="s">
        <v>13</v>
      </c>
      <c r="D25" s="49">
        <v>2</v>
      </c>
      <c r="E25" s="50">
        <f t="shared" si="0"/>
        <v>1</v>
      </c>
      <c r="F25" s="50">
        <f t="shared" si="1"/>
        <v>1</v>
      </c>
      <c r="G25" s="50">
        <f t="shared" si="2"/>
        <v>1</v>
      </c>
      <c r="H25" s="49">
        <v>2</v>
      </c>
      <c r="I25" s="49">
        <f t="shared" si="3"/>
        <v>8</v>
      </c>
      <c r="J25" s="49" t="str">
        <f t="shared" si="4"/>
        <v>111.2</v>
      </c>
      <c r="K25" s="48">
        <v>12</v>
      </c>
      <c r="L25" s="48">
        <v>11</v>
      </c>
      <c r="M25" s="48">
        <v>10</v>
      </c>
      <c r="N25" s="48">
        <v>10</v>
      </c>
      <c r="O25" s="48">
        <v>11</v>
      </c>
      <c r="P25" s="48">
        <v>11</v>
      </c>
      <c r="Q25" s="48">
        <f t="shared" si="5"/>
        <v>5.416666666666667</v>
      </c>
      <c r="R25" s="47">
        <f t="shared" si="6"/>
        <v>0.15365907428821482</v>
      </c>
      <c r="S25" s="48">
        <f t="shared" si="7"/>
        <v>10.833333333333334</v>
      </c>
      <c r="T25" s="97"/>
    </row>
    <row r="26" spans="2:23">
      <c r="B26" s="61">
        <v>301</v>
      </c>
      <c r="C26" s="61" t="s">
        <v>6</v>
      </c>
      <c r="D26" s="61">
        <v>10</v>
      </c>
      <c r="E26" s="62">
        <f t="shared" si="0"/>
        <v>2</v>
      </c>
      <c r="F26" s="62">
        <f t="shared" si="1"/>
        <v>2</v>
      </c>
      <c r="G26" s="62">
        <f t="shared" si="2"/>
        <v>1</v>
      </c>
      <c r="H26" s="61">
        <v>3</v>
      </c>
      <c r="I26" s="61">
        <f t="shared" si="3"/>
        <v>1</v>
      </c>
      <c r="J26" s="61" t="str">
        <f t="shared" si="4"/>
        <v>221.3</v>
      </c>
      <c r="K26" s="60">
        <v>24</v>
      </c>
      <c r="L26" s="60">
        <v>21</v>
      </c>
      <c r="M26" s="60">
        <v>27</v>
      </c>
      <c r="N26" s="60">
        <v>20</v>
      </c>
      <c r="O26" s="60">
        <v>21</v>
      </c>
      <c r="P26" s="60">
        <v>26</v>
      </c>
      <c r="Q26" s="53">
        <f t="shared" si="5"/>
        <v>11.583333333333334</v>
      </c>
      <c r="R26" s="53">
        <f t="shared" si="6"/>
        <v>0.59744827763116515</v>
      </c>
      <c r="S26" s="53">
        <f t="shared" si="7"/>
        <v>11.583333333333334</v>
      </c>
      <c r="T26" s="99"/>
    </row>
    <row r="27" spans="2:23">
      <c r="B27" s="55">
        <v>302</v>
      </c>
      <c r="C27" s="55" t="s">
        <v>4</v>
      </c>
      <c r="D27" s="55">
        <v>4</v>
      </c>
      <c r="E27" s="56">
        <f t="shared" si="0"/>
        <v>1</v>
      </c>
      <c r="F27" s="56">
        <f t="shared" si="1"/>
        <v>2</v>
      </c>
      <c r="G27" s="56">
        <f t="shared" si="2"/>
        <v>1</v>
      </c>
      <c r="H27" s="55">
        <v>3</v>
      </c>
      <c r="I27" s="55">
        <f t="shared" si="3"/>
        <v>2</v>
      </c>
      <c r="J27" s="55" t="str">
        <f t="shared" si="4"/>
        <v>121.3</v>
      </c>
      <c r="K27" s="54">
        <v>20</v>
      </c>
      <c r="L27" s="54">
        <v>24</v>
      </c>
      <c r="M27" s="54">
        <v>27</v>
      </c>
      <c r="N27" s="54">
        <v>28</v>
      </c>
      <c r="O27" s="54">
        <v>21</v>
      </c>
      <c r="P27" s="54">
        <v>18</v>
      </c>
      <c r="Q27" s="53">
        <f t="shared" si="5"/>
        <v>11.5</v>
      </c>
      <c r="R27" s="52">
        <f t="shared" si="6"/>
        <v>0.81649658092772615</v>
      </c>
      <c r="S27" s="53">
        <f t="shared" si="7"/>
        <v>11.5</v>
      </c>
      <c r="T27" s="98"/>
    </row>
    <row r="28" spans="2:23">
      <c r="B28" s="55">
        <v>303</v>
      </c>
      <c r="C28" s="55" t="s">
        <v>12</v>
      </c>
      <c r="D28" s="55">
        <v>8</v>
      </c>
      <c r="E28" s="56">
        <f t="shared" si="0"/>
        <v>2</v>
      </c>
      <c r="F28" s="56">
        <f t="shared" si="1"/>
        <v>1</v>
      </c>
      <c r="G28" s="56">
        <f t="shared" si="2"/>
        <v>1</v>
      </c>
      <c r="H28" s="55">
        <v>3</v>
      </c>
      <c r="I28" s="55">
        <f t="shared" si="3"/>
        <v>3</v>
      </c>
      <c r="J28" s="55" t="str">
        <f t="shared" si="4"/>
        <v>211.3</v>
      </c>
      <c r="K28" s="54">
        <v>11</v>
      </c>
      <c r="L28" s="54">
        <v>10</v>
      </c>
      <c r="M28" s="54">
        <v>10</v>
      </c>
      <c r="N28" s="54">
        <v>9</v>
      </c>
      <c r="O28" s="54">
        <v>9</v>
      </c>
      <c r="P28" s="54">
        <v>9</v>
      </c>
      <c r="Q28" s="53">
        <f t="shared" si="5"/>
        <v>4.833333333333333</v>
      </c>
      <c r="R28" s="52">
        <f t="shared" si="6"/>
        <v>0.16666666666666669</v>
      </c>
      <c r="S28" s="53">
        <f t="shared" si="7"/>
        <v>9.6666666666666661</v>
      </c>
      <c r="T28" s="98"/>
    </row>
    <row r="29" spans="2:23">
      <c r="B29" s="55">
        <v>304</v>
      </c>
      <c r="C29" s="55" t="s">
        <v>13</v>
      </c>
      <c r="D29" s="55">
        <v>2</v>
      </c>
      <c r="E29" s="56">
        <f t="shared" si="0"/>
        <v>1</v>
      </c>
      <c r="F29" s="56">
        <f t="shared" si="1"/>
        <v>1</v>
      </c>
      <c r="G29" s="56">
        <f t="shared" si="2"/>
        <v>1</v>
      </c>
      <c r="H29" s="55">
        <v>3</v>
      </c>
      <c r="I29" s="55">
        <f t="shared" si="3"/>
        <v>4</v>
      </c>
      <c r="J29" s="55" t="str">
        <f t="shared" si="4"/>
        <v>111.3</v>
      </c>
      <c r="K29" s="54">
        <v>10</v>
      </c>
      <c r="L29" s="54">
        <v>11</v>
      </c>
      <c r="M29" s="54">
        <v>10</v>
      </c>
      <c r="N29" s="54">
        <v>9</v>
      </c>
      <c r="O29" s="54">
        <v>11</v>
      </c>
      <c r="P29" s="54">
        <v>11</v>
      </c>
      <c r="Q29" s="53">
        <f t="shared" si="5"/>
        <v>5.166666666666667</v>
      </c>
      <c r="R29" s="52">
        <f t="shared" si="6"/>
        <v>0.16666666666666669</v>
      </c>
      <c r="S29" s="53">
        <f t="shared" si="7"/>
        <v>10.333333333333334</v>
      </c>
      <c r="T29" s="98"/>
    </row>
    <row r="30" spans="2:23">
      <c r="B30" s="69">
        <v>305</v>
      </c>
      <c r="C30" s="69" t="s">
        <v>11</v>
      </c>
      <c r="D30" s="69">
        <v>11</v>
      </c>
      <c r="E30" s="70">
        <f t="shared" si="0"/>
        <v>2</v>
      </c>
      <c r="F30" s="70">
        <f t="shared" si="1"/>
        <v>3</v>
      </c>
      <c r="G30" s="70">
        <f t="shared" si="2"/>
        <v>2</v>
      </c>
      <c r="H30" s="69">
        <v>4</v>
      </c>
      <c r="I30" s="69">
        <f t="shared" si="3"/>
        <v>5</v>
      </c>
      <c r="J30" s="69" t="str">
        <f t="shared" si="4"/>
        <v>232.4</v>
      </c>
      <c r="K30" s="68">
        <v>31</v>
      </c>
      <c r="L30" s="68">
        <v>45</v>
      </c>
      <c r="M30" s="68">
        <v>51</v>
      </c>
      <c r="N30" s="68">
        <v>37</v>
      </c>
      <c r="O30" s="68">
        <v>41</v>
      </c>
      <c r="P30" s="68">
        <v>38</v>
      </c>
      <c r="Q30" s="67">
        <f t="shared" si="5"/>
        <v>20.25</v>
      </c>
      <c r="R30" s="66">
        <f t="shared" si="6"/>
        <v>1.4127396551853897</v>
      </c>
      <c r="S30" s="67">
        <f t="shared" si="7"/>
        <v>10.125</v>
      </c>
      <c r="T30" s="100"/>
    </row>
    <row r="31" spans="2:23">
      <c r="B31" s="55">
        <v>306</v>
      </c>
      <c r="C31" s="55" t="s">
        <v>4</v>
      </c>
      <c r="D31" s="55">
        <v>4</v>
      </c>
      <c r="E31" s="56">
        <f t="shared" si="0"/>
        <v>1</v>
      </c>
      <c r="F31" s="56">
        <f t="shared" si="1"/>
        <v>2</v>
      </c>
      <c r="G31" s="56">
        <f t="shared" si="2"/>
        <v>1</v>
      </c>
      <c r="H31" s="55">
        <v>4</v>
      </c>
      <c r="I31" s="55">
        <f t="shared" si="3"/>
        <v>6</v>
      </c>
      <c r="J31" s="55" t="str">
        <f t="shared" si="4"/>
        <v>121.4</v>
      </c>
      <c r="K31" s="54">
        <v>25</v>
      </c>
      <c r="L31" s="54">
        <v>20</v>
      </c>
      <c r="M31" s="54">
        <v>25</v>
      </c>
      <c r="N31" s="54">
        <v>28</v>
      </c>
      <c r="O31" s="54">
        <v>22</v>
      </c>
      <c r="P31" s="54">
        <v>18</v>
      </c>
      <c r="Q31" s="53">
        <f t="shared" si="5"/>
        <v>11.5</v>
      </c>
      <c r="R31" s="52">
        <f t="shared" si="6"/>
        <v>0.75277265270908111</v>
      </c>
      <c r="S31" s="53">
        <f t="shared" si="7"/>
        <v>11.5</v>
      </c>
      <c r="T31" s="98"/>
    </row>
    <row r="32" spans="2:23">
      <c r="B32" s="55">
        <v>307</v>
      </c>
      <c r="C32" s="55" t="s">
        <v>7</v>
      </c>
      <c r="D32" s="55">
        <v>9</v>
      </c>
      <c r="E32" s="56">
        <f t="shared" si="0"/>
        <v>2</v>
      </c>
      <c r="F32" s="56">
        <f t="shared" si="1"/>
        <v>2</v>
      </c>
      <c r="G32" s="56">
        <f t="shared" si="2"/>
        <v>2</v>
      </c>
      <c r="H32" s="55">
        <v>4</v>
      </c>
      <c r="I32" s="55">
        <f t="shared" si="3"/>
        <v>7</v>
      </c>
      <c r="J32" s="55" t="str">
        <f t="shared" si="4"/>
        <v>222.4</v>
      </c>
      <c r="K32" s="54">
        <v>23</v>
      </c>
      <c r="L32" s="54">
        <v>20</v>
      </c>
      <c r="M32" s="54">
        <v>25</v>
      </c>
      <c r="N32" s="54">
        <v>28</v>
      </c>
      <c r="O32" s="54">
        <v>27</v>
      </c>
      <c r="P32" s="54">
        <v>23</v>
      </c>
      <c r="Q32" s="53">
        <f t="shared" si="5"/>
        <v>12.166666666666666</v>
      </c>
      <c r="R32" s="52">
        <f t="shared" si="6"/>
        <v>0.60092521257733267</v>
      </c>
      <c r="S32" s="53">
        <f t="shared" si="7"/>
        <v>12.166666666666666</v>
      </c>
      <c r="T32" s="98"/>
    </row>
    <row r="33" spans="2:24" ht="13.5" thickBot="1">
      <c r="B33" s="73">
        <v>308</v>
      </c>
      <c r="C33" s="73" t="s">
        <v>5</v>
      </c>
      <c r="D33" s="73">
        <v>5</v>
      </c>
      <c r="E33" s="74">
        <f t="shared" si="0"/>
        <v>1</v>
      </c>
      <c r="F33" s="74">
        <f t="shared" si="1"/>
        <v>3</v>
      </c>
      <c r="G33" s="74">
        <f t="shared" si="2"/>
        <v>2</v>
      </c>
      <c r="H33" s="73">
        <v>4</v>
      </c>
      <c r="I33" s="73">
        <f t="shared" si="3"/>
        <v>8</v>
      </c>
      <c r="J33" s="73" t="str">
        <f t="shared" si="4"/>
        <v>132.4</v>
      </c>
      <c r="K33" s="72">
        <v>45</v>
      </c>
      <c r="L33" s="72">
        <v>54</v>
      </c>
      <c r="M33" s="72">
        <v>46</v>
      </c>
      <c r="N33" s="72">
        <v>39</v>
      </c>
      <c r="O33" s="72">
        <v>41</v>
      </c>
      <c r="P33" s="72">
        <v>39</v>
      </c>
      <c r="Q33" s="72">
        <f t="shared" si="5"/>
        <v>22</v>
      </c>
      <c r="R33" s="71">
        <f t="shared" si="6"/>
        <v>1.1690451944500122</v>
      </c>
      <c r="S33" s="72">
        <f t="shared" si="7"/>
        <v>11</v>
      </c>
      <c r="T33" s="101"/>
    </row>
    <row r="34" spans="2:24">
      <c r="B34" s="61">
        <v>401</v>
      </c>
      <c r="C34" s="61" t="s">
        <v>14</v>
      </c>
      <c r="D34" s="61">
        <v>7</v>
      </c>
      <c r="E34" s="62">
        <f t="shared" si="0"/>
        <v>2</v>
      </c>
      <c r="F34" s="62">
        <f t="shared" si="1"/>
        <v>1</v>
      </c>
      <c r="G34" s="62">
        <f t="shared" si="2"/>
        <v>2</v>
      </c>
      <c r="H34" s="61">
        <v>3</v>
      </c>
      <c r="I34" s="61">
        <f t="shared" si="3"/>
        <v>1</v>
      </c>
      <c r="J34" s="61" t="str">
        <f t="shared" si="4"/>
        <v>212.3</v>
      </c>
      <c r="K34" s="60">
        <v>11</v>
      </c>
      <c r="L34" s="60">
        <v>9</v>
      </c>
      <c r="M34" s="60">
        <v>11</v>
      </c>
      <c r="N34" s="60">
        <v>10</v>
      </c>
      <c r="O34" s="60">
        <v>10</v>
      </c>
      <c r="P34" s="60">
        <v>13</v>
      </c>
      <c r="Q34" s="53">
        <f t="shared" si="5"/>
        <v>5.333333333333333</v>
      </c>
      <c r="R34" s="53">
        <f t="shared" si="6"/>
        <v>0.27888667551135909</v>
      </c>
      <c r="S34" s="53">
        <f t="shared" si="7"/>
        <v>10.666666666666666</v>
      </c>
      <c r="T34" s="99"/>
    </row>
    <row r="35" spans="2:24">
      <c r="B35" s="55">
        <v>402</v>
      </c>
      <c r="C35" s="55" t="s">
        <v>7</v>
      </c>
      <c r="D35" s="55">
        <v>9</v>
      </c>
      <c r="E35" s="56">
        <f t="shared" si="0"/>
        <v>2</v>
      </c>
      <c r="F35" s="56">
        <f t="shared" si="1"/>
        <v>2</v>
      </c>
      <c r="G35" s="56">
        <f t="shared" si="2"/>
        <v>2</v>
      </c>
      <c r="H35" s="55">
        <v>3</v>
      </c>
      <c r="I35" s="55">
        <f t="shared" si="3"/>
        <v>2</v>
      </c>
      <c r="J35" s="55" t="str">
        <f t="shared" si="4"/>
        <v>222.3</v>
      </c>
      <c r="K35" s="54">
        <v>23</v>
      </c>
      <c r="L35" s="54">
        <v>25</v>
      </c>
      <c r="M35" s="54">
        <v>14</v>
      </c>
      <c r="N35" s="54">
        <v>22</v>
      </c>
      <c r="O35" s="54">
        <v>16</v>
      </c>
      <c r="P35" s="54">
        <v>25</v>
      </c>
      <c r="Q35" s="53">
        <f t="shared" si="5"/>
        <v>10.416666666666666</v>
      </c>
      <c r="R35" s="52">
        <f t="shared" si="6"/>
        <v>0.96104688288923368</v>
      </c>
      <c r="S35" s="53">
        <f t="shared" si="7"/>
        <v>10.416666666666666</v>
      </c>
      <c r="T35" s="98"/>
    </row>
    <row r="36" spans="2:24">
      <c r="B36" s="69">
        <v>403</v>
      </c>
      <c r="C36" s="69" t="s">
        <v>15</v>
      </c>
      <c r="D36" s="69">
        <v>6</v>
      </c>
      <c r="E36" s="70">
        <f t="shared" si="0"/>
        <v>1</v>
      </c>
      <c r="F36" s="70">
        <f t="shared" si="1"/>
        <v>3</v>
      </c>
      <c r="G36" s="70">
        <f t="shared" si="2"/>
        <v>1</v>
      </c>
      <c r="H36" s="69">
        <v>3</v>
      </c>
      <c r="I36" s="69">
        <f t="shared" si="3"/>
        <v>3</v>
      </c>
      <c r="J36" s="69" t="str">
        <f t="shared" si="4"/>
        <v>131.3</v>
      </c>
      <c r="K36" s="68">
        <v>50</v>
      </c>
      <c r="L36" s="68">
        <v>39</v>
      </c>
      <c r="M36" s="68">
        <v>44</v>
      </c>
      <c r="N36" s="68">
        <v>47</v>
      </c>
      <c r="O36" s="68">
        <v>49</v>
      </c>
      <c r="P36" s="68">
        <v>45</v>
      </c>
      <c r="Q36" s="67">
        <f t="shared" si="5"/>
        <v>22.833333333333332</v>
      </c>
      <c r="R36" s="66">
        <f t="shared" si="6"/>
        <v>0.81308739451003131</v>
      </c>
      <c r="S36" s="67">
        <f t="shared" si="7"/>
        <v>11.416666666666666</v>
      </c>
      <c r="T36" s="100"/>
    </row>
    <row r="37" spans="2:24">
      <c r="B37" s="55">
        <v>404</v>
      </c>
      <c r="C37" s="55" t="s">
        <v>8</v>
      </c>
      <c r="D37" s="55">
        <v>3</v>
      </c>
      <c r="E37" s="56">
        <f t="shared" si="0"/>
        <v>1</v>
      </c>
      <c r="F37" s="56">
        <f t="shared" si="1"/>
        <v>2</v>
      </c>
      <c r="G37" s="56">
        <f t="shared" si="2"/>
        <v>2</v>
      </c>
      <c r="H37" s="55">
        <v>3</v>
      </c>
      <c r="I37" s="55">
        <f t="shared" si="3"/>
        <v>4</v>
      </c>
      <c r="J37" s="55" t="str">
        <f t="shared" si="4"/>
        <v>122.3</v>
      </c>
      <c r="K37" s="54">
        <v>21</v>
      </c>
      <c r="L37" s="54">
        <v>24</v>
      </c>
      <c r="M37" s="54">
        <v>20</v>
      </c>
      <c r="N37" s="54">
        <v>30</v>
      </c>
      <c r="O37" s="54">
        <v>18</v>
      </c>
      <c r="P37" s="54">
        <v>26</v>
      </c>
      <c r="Q37" s="53">
        <f t="shared" si="5"/>
        <v>11.583333333333334</v>
      </c>
      <c r="R37" s="52">
        <f t="shared" si="6"/>
        <v>0.89830086521412522</v>
      </c>
      <c r="S37" s="53">
        <f t="shared" si="7"/>
        <v>11.583333333333334</v>
      </c>
      <c r="T37" s="98"/>
    </row>
    <row r="38" spans="2:24">
      <c r="B38" s="69">
        <v>405</v>
      </c>
      <c r="C38" s="69" t="s">
        <v>15</v>
      </c>
      <c r="D38" s="69">
        <v>6</v>
      </c>
      <c r="E38" s="70">
        <f t="shared" si="0"/>
        <v>1</v>
      </c>
      <c r="F38" s="70">
        <f t="shared" si="1"/>
        <v>3</v>
      </c>
      <c r="G38" s="70">
        <f t="shared" si="2"/>
        <v>1</v>
      </c>
      <c r="H38" s="69">
        <v>4</v>
      </c>
      <c r="I38" s="69">
        <f t="shared" si="3"/>
        <v>5</v>
      </c>
      <c r="J38" s="69" t="str">
        <f t="shared" si="4"/>
        <v>131.4</v>
      </c>
      <c r="K38" s="68">
        <v>39</v>
      </c>
      <c r="L38" s="68">
        <v>38</v>
      </c>
      <c r="M38" s="68">
        <v>46</v>
      </c>
      <c r="N38" s="68">
        <v>33</v>
      </c>
      <c r="O38" s="68">
        <v>39</v>
      </c>
      <c r="P38" s="68">
        <v>35</v>
      </c>
      <c r="Q38" s="67">
        <f t="shared" si="5"/>
        <v>19.166666666666668</v>
      </c>
      <c r="R38" s="66">
        <f t="shared" si="6"/>
        <v>0.90982293759708155</v>
      </c>
      <c r="S38" s="67">
        <f t="shared" si="7"/>
        <v>9.5833333333333339</v>
      </c>
      <c r="T38" s="100"/>
    </row>
    <row r="39" spans="2:24">
      <c r="B39" s="55">
        <v>406</v>
      </c>
      <c r="C39" s="55" t="s">
        <v>8</v>
      </c>
      <c r="D39" s="55">
        <v>3</v>
      </c>
      <c r="E39" s="56">
        <f t="shared" si="0"/>
        <v>1</v>
      </c>
      <c r="F39" s="56">
        <f t="shared" si="1"/>
        <v>2</v>
      </c>
      <c r="G39" s="56">
        <f t="shared" si="2"/>
        <v>2</v>
      </c>
      <c r="H39" s="55">
        <v>4</v>
      </c>
      <c r="I39" s="55">
        <f t="shared" si="3"/>
        <v>6</v>
      </c>
      <c r="J39" s="55" t="str">
        <f t="shared" si="4"/>
        <v>122.4</v>
      </c>
      <c r="K39" s="54">
        <v>22</v>
      </c>
      <c r="L39" s="54">
        <v>27</v>
      </c>
      <c r="M39" s="54">
        <v>19</v>
      </c>
      <c r="N39" s="54">
        <v>22</v>
      </c>
      <c r="O39" s="54">
        <v>24</v>
      </c>
      <c r="P39" s="54">
        <v>29</v>
      </c>
      <c r="Q39" s="53">
        <f t="shared" si="5"/>
        <v>11.916666666666666</v>
      </c>
      <c r="R39" s="52">
        <f t="shared" si="6"/>
        <v>0.74628710590793801</v>
      </c>
      <c r="S39" s="53">
        <f t="shared" si="7"/>
        <v>11.916666666666666</v>
      </c>
      <c r="T39" s="98"/>
    </row>
    <row r="40" spans="2:24">
      <c r="B40" s="55">
        <v>407</v>
      </c>
      <c r="C40" s="55" t="s">
        <v>14</v>
      </c>
      <c r="D40" s="55">
        <v>7</v>
      </c>
      <c r="E40" s="56">
        <f t="shared" si="0"/>
        <v>2</v>
      </c>
      <c r="F40" s="56">
        <f t="shared" si="1"/>
        <v>1</v>
      </c>
      <c r="G40" s="56">
        <f t="shared" si="2"/>
        <v>2</v>
      </c>
      <c r="H40" s="55">
        <v>4</v>
      </c>
      <c r="I40" s="55">
        <f t="shared" si="3"/>
        <v>7</v>
      </c>
      <c r="J40" s="55" t="str">
        <f t="shared" si="4"/>
        <v>212.4</v>
      </c>
      <c r="K40" s="54">
        <v>11</v>
      </c>
      <c r="L40" s="54">
        <v>12</v>
      </c>
      <c r="M40" s="54">
        <v>9</v>
      </c>
      <c r="N40" s="54">
        <v>11</v>
      </c>
      <c r="O40" s="54">
        <v>9</v>
      </c>
      <c r="P40" s="54">
        <v>12</v>
      </c>
      <c r="Q40" s="53">
        <f t="shared" si="5"/>
        <v>5.333333333333333</v>
      </c>
      <c r="R40" s="52">
        <f t="shared" si="6"/>
        <v>0.27888667551135909</v>
      </c>
      <c r="S40" s="53">
        <f t="shared" si="7"/>
        <v>10.666666666666666</v>
      </c>
      <c r="T40" s="98"/>
      <c r="V40" s="65" t="s">
        <v>307</v>
      </c>
      <c r="W40" s="114"/>
      <c r="X40" s="63"/>
    </row>
    <row r="41" spans="2:24" ht="13.5" thickBot="1">
      <c r="B41" s="49">
        <v>408</v>
      </c>
      <c r="C41" s="49" t="s">
        <v>6</v>
      </c>
      <c r="D41" s="49">
        <v>10</v>
      </c>
      <c r="E41" s="50">
        <f t="shared" si="0"/>
        <v>2</v>
      </c>
      <c r="F41" s="50">
        <f t="shared" si="1"/>
        <v>2</v>
      </c>
      <c r="G41" s="50">
        <f t="shared" si="2"/>
        <v>1</v>
      </c>
      <c r="H41" s="49">
        <v>4</v>
      </c>
      <c r="I41" s="49">
        <f t="shared" si="3"/>
        <v>8</v>
      </c>
      <c r="J41" s="49" t="str">
        <f t="shared" si="4"/>
        <v>221.4</v>
      </c>
      <c r="K41" s="72">
        <v>35</v>
      </c>
      <c r="L41" s="115">
        <v>23</v>
      </c>
      <c r="M41" s="115">
        <v>23</v>
      </c>
      <c r="N41" s="48">
        <v>18</v>
      </c>
      <c r="O41" s="48">
        <v>24</v>
      </c>
      <c r="P41" s="48">
        <v>23</v>
      </c>
      <c r="Q41" s="48">
        <f t="shared" si="5"/>
        <v>12.166666666666666</v>
      </c>
      <c r="R41" s="47">
        <f t="shared" si="6"/>
        <v>1.1522924011629077</v>
      </c>
      <c r="S41" s="48">
        <f t="shared" si="7"/>
        <v>12.166666666666666</v>
      </c>
      <c r="T41" s="97"/>
      <c r="V41" s="65" t="s">
        <v>331</v>
      </c>
      <c r="W41" s="65" t="s">
        <v>0</v>
      </c>
      <c r="X41" s="63" t="s">
        <v>304</v>
      </c>
    </row>
    <row r="42" spans="2:24">
      <c r="B42" s="61">
        <v>901</v>
      </c>
      <c r="C42" s="61" t="s">
        <v>16</v>
      </c>
      <c r="D42" s="61">
        <v>32</v>
      </c>
      <c r="E42" s="62">
        <v>9</v>
      </c>
      <c r="F42" s="62">
        <v>0</v>
      </c>
      <c r="G42" s="62">
        <v>1</v>
      </c>
      <c r="H42" s="61">
        <v>1</v>
      </c>
      <c r="I42" s="61">
        <f t="shared" si="3"/>
        <v>1</v>
      </c>
      <c r="J42" s="61" t="str">
        <f t="shared" si="4"/>
        <v>901.1</v>
      </c>
      <c r="K42" s="60">
        <v>0</v>
      </c>
      <c r="L42" s="60">
        <v>0</v>
      </c>
      <c r="M42" s="60">
        <v>0</v>
      </c>
      <c r="N42" s="60">
        <v>0</v>
      </c>
      <c r="O42" s="60">
        <v>0</v>
      </c>
      <c r="P42" s="60">
        <v>0</v>
      </c>
      <c r="Q42" s="53">
        <f t="shared" si="5"/>
        <v>0</v>
      </c>
      <c r="R42" s="53">
        <f t="shared" si="6"/>
        <v>0</v>
      </c>
      <c r="S42" s="53">
        <f t="shared" ref="S42:S49" si="8">IF(F42=3,Q42/2,Q42)</f>
        <v>0</v>
      </c>
      <c r="T42" s="99"/>
      <c r="V42" s="59">
        <v>1</v>
      </c>
      <c r="W42" s="59">
        <v>101</v>
      </c>
      <c r="X42" s="58">
        <v>5.25</v>
      </c>
    </row>
    <row r="43" spans="2:24">
      <c r="B43" s="55">
        <v>902</v>
      </c>
      <c r="C43" s="57" t="s">
        <v>302</v>
      </c>
      <c r="D43" s="55">
        <v>22</v>
      </c>
      <c r="E43" s="56">
        <v>4</v>
      </c>
      <c r="F43" s="56">
        <v>2</v>
      </c>
      <c r="G43" s="56">
        <v>2</v>
      </c>
      <c r="H43" s="55">
        <v>1</v>
      </c>
      <c r="I43" s="55">
        <f t="shared" si="3"/>
        <v>2</v>
      </c>
      <c r="J43" s="55" t="str">
        <f t="shared" si="4"/>
        <v>422.1</v>
      </c>
      <c r="K43" s="54">
        <v>28</v>
      </c>
      <c r="L43" s="54">
        <v>29</v>
      </c>
      <c r="M43" s="54">
        <v>29</v>
      </c>
      <c r="N43" s="54">
        <v>24</v>
      </c>
      <c r="O43" s="54">
        <v>31</v>
      </c>
      <c r="P43" s="54">
        <v>28</v>
      </c>
      <c r="Q43" s="53">
        <f t="shared" si="5"/>
        <v>14.083333333333334</v>
      </c>
      <c r="R43" s="52">
        <f t="shared" si="6"/>
        <v>0.47287536530370367</v>
      </c>
      <c r="S43" s="53">
        <f t="shared" si="8"/>
        <v>14.083333333333334</v>
      </c>
      <c r="T43" s="98"/>
      <c r="V43" s="113"/>
      <c r="W43" s="44">
        <v>205</v>
      </c>
      <c r="X43" s="43">
        <v>5.5</v>
      </c>
    </row>
    <row r="44" spans="2:24">
      <c r="B44" s="55">
        <v>903</v>
      </c>
      <c r="C44" s="55" t="s">
        <v>17</v>
      </c>
      <c r="D44" s="55">
        <v>31</v>
      </c>
      <c r="E44" s="56">
        <v>8</v>
      </c>
      <c r="F44" s="56">
        <v>0</v>
      </c>
      <c r="G44" s="56">
        <v>1</v>
      </c>
      <c r="H44" s="55">
        <v>1</v>
      </c>
      <c r="I44" s="55">
        <f t="shared" si="3"/>
        <v>3</v>
      </c>
      <c r="J44" s="55" t="str">
        <f t="shared" si="4"/>
        <v>801.1</v>
      </c>
      <c r="K44" s="54">
        <v>0</v>
      </c>
      <c r="L44" s="54">
        <v>0</v>
      </c>
      <c r="M44" s="54">
        <v>0</v>
      </c>
      <c r="N44" s="54">
        <v>0</v>
      </c>
      <c r="O44" s="54">
        <v>0</v>
      </c>
      <c r="P44" s="54">
        <v>0</v>
      </c>
      <c r="Q44" s="53">
        <f t="shared" si="5"/>
        <v>0</v>
      </c>
      <c r="R44" s="52">
        <f t="shared" si="6"/>
        <v>0</v>
      </c>
      <c r="S44" s="53">
        <f t="shared" si="8"/>
        <v>0</v>
      </c>
      <c r="T44" s="98"/>
      <c r="V44" s="113"/>
      <c r="W44" s="44">
        <v>206</v>
      </c>
      <c r="X44" s="43">
        <v>5.333333333333333</v>
      </c>
    </row>
    <row r="45" spans="2:24">
      <c r="B45" s="55">
        <v>904</v>
      </c>
      <c r="C45" s="57" t="s">
        <v>301</v>
      </c>
      <c r="D45" s="55">
        <v>21</v>
      </c>
      <c r="E45" s="56">
        <v>3</v>
      </c>
      <c r="F45" s="56">
        <v>2</v>
      </c>
      <c r="G45" s="56">
        <v>2</v>
      </c>
      <c r="H45" s="55">
        <v>1</v>
      </c>
      <c r="I45" s="55">
        <f t="shared" si="3"/>
        <v>4</v>
      </c>
      <c r="J45" s="55" t="str">
        <f t="shared" si="4"/>
        <v>322.1</v>
      </c>
      <c r="K45" s="54">
        <v>23</v>
      </c>
      <c r="L45" s="54">
        <v>25</v>
      </c>
      <c r="M45" s="54">
        <v>23</v>
      </c>
      <c r="N45" s="54">
        <v>27</v>
      </c>
      <c r="O45" s="54">
        <v>23</v>
      </c>
      <c r="P45" s="54">
        <v>27</v>
      </c>
      <c r="Q45" s="53">
        <f t="shared" si="5"/>
        <v>12.333333333333334</v>
      </c>
      <c r="R45" s="52">
        <f t="shared" si="6"/>
        <v>0.40138648595974324</v>
      </c>
      <c r="S45" s="53">
        <f t="shared" si="8"/>
        <v>12.333333333333334</v>
      </c>
      <c r="T45" s="98"/>
      <c r="V45" s="113"/>
      <c r="W45" s="44">
        <v>208</v>
      </c>
      <c r="X45" s="43">
        <v>5.416666666666667</v>
      </c>
    </row>
    <row r="46" spans="2:24">
      <c r="B46" s="55">
        <v>905</v>
      </c>
      <c r="C46" s="55" t="s">
        <v>16</v>
      </c>
      <c r="D46" s="55">
        <v>32</v>
      </c>
      <c r="E46" s="56">
        <v>9</v>
      </c>
      <c r="F46" s="56">
        <v>0</v>
      </c>
      <c r="G46" s="56">
        <v>1</v>
      </c>
      <c r="H46" s="55">
        <v>2</v>
      </c>
      <c r="I46" s="55">
        <f t="shared" si="3"/>
        <v>5</v>
      </c>
      <c r="J46" s="55" t="str">
        <f t="shared" si="4"/>
        <v>901.2</v>
      </c>
      <c r="K46" s="54">
        <v>0</v>
      </c>
      <c r="L46" s="54">
        <v>0</v>
      </c>
      <c r="M46" s="54">
        <v>0</v>
      </c>
      <c r="N46" s="54">
        <v>0</v>
      </c>
      <c r="O46" s="54">
        <v>0</v>
      </c>
      <c r="P46" s="54">
        <v>0</v>
      </c>
      <c r="Q46" s="53">
        <f t="shared" si="5"/>
        <v>0</v>
      </c>
      <c r="R46" s="52">
        <f t="shared" si="6"/>
        <v>0</v>
      </c>
      <c r="S46" s="53">
        <f t="shared" si="8"/>
        <v>0</v>
      </c>
      <c r="T46" s="98"/>
      <c r="V46" s="113"/>
      <c r="W46" s="44">
        <v>303</v>
      </c>
      <c r="X46" s="43">
        <v>4.833333333333333</v>
      </c>
    </row>
    <row r="47" spans="2:24">
      <c r="B47" s="55">
        <v>906</v>
      </c>
      <c r="C47" s="57" t="s">
        <v>302</v>
      </c>
      <c r="D47" s="55">
        <v>22</v>
      </c>
      <c r="E47" s="56">
        <v>4</v>
      </c>
      <c r="F47" s="56">
        <v>2</v>
      </c>
      <c r="G47" s="56">
        <v>2</v>
      </c>
      <c r="H47" s="55">
        <v>2</v>
      </c>
      <c r="I47" s="55">
        <f t="shared" si="3"/>
        <v>6</v>
      </c>
      <c r="J47" s="55" t="str">
        <f t="shared" si="4"/>
        <v>422.2</v>
      </c>
      <c r="K47" s="54">
        <v>26</v>
      </c>
      <c r="L47" s="54">
        <v>25</v>
      </c>
      <c r="M47" s="54">
        <v>22</v>
      </c>
      <c r="N47" s="54">
        <v>19</v>
      </c>
      <c r="O47" s="54">
        <v>25</v>
      </c>
      <c r="P47" s="54">
        <v>18</v>
      </c>
      <c r="Q47" s="53">
        <f t="shared" si="5"/>
        <v>11.25</v>
      </c>
      <c r="R47" s="52">
        <f t="shared" si="6"/>
        <v>0.69221865524317294</v>
      </c>
      <c r="S47" s="53">
        <f t="shared" si="8"/>
        <v>11.25</v>
      </c>
      <c r="T47" s="98"/>
      <c r="V47" s="113"/>
      <c r="W47" s="44">
        <v>304</v>
      </c>
      <c r="X47" s="43">
        <v>5.166666666666667</v>
      </c>
    </row>
    <row r="48" spans="2:24">
      <c r="B48" s="55">
        <v>907</v>
      </c>
      <c r="C48" s="55" t="s">
        <v>17</v>
      </c>
      <c r="D48" s="55">
        <v>31</v>
      </c>
      <c r="E48" s="56">
        <v>8</v>
      </c>
      <c r="F48" s="56">
        <v>0</v>
      </c>
      <c r="G48" s="56">
        <v>1</v>
      </c>
      <c r="H48" s="55">
        <v>2</v>
      </c>
      <c r="I48" s="55">
        <f t="shared" si="3"/>
        <v>7</v>
      </c>
      <c r="J48" s="55" t="str">
        <f t="shared" si="4"/>
        <v>801.2</v>
      </c>
      <c r="K48" s="54">
        <v>0</v>
      </c>
      <c r="L48" s="54">
        <v>0</v>
      </c>
      <c r="M48" s="54">
        <v>0</v>
      </c>
      <c r="N48" s="54">
        <v>0</v>
      </c>
      <c r="O48" s="54">
        <v>0</v>
      </c>
      <c r="P48" s="54">
        <v>0</v>
      </c>
      <c r="Q48" s="53">
        <f t="shared" si="5"/>
        <v>0</v>
      </c>
      <c r="R48" s="52">
        <f t="shared" si="6"/>
        <v>0</v>
      </c>
      <c r="S48" s="53">
        <f t="shared" si="8"/>
        <v>0</v>
      </c>
      <c r="T48" s="98"/>
      <c r="V48" s="113"/>
      <c r="W48" s="44">
        <v>401</v>
      </c>
      <c r="X48" s="43">
        <v>5.333333333333333</v>
      </c>
    </row>
    <row r="49" spans="2:26" ht="13.5" thickBot="1">
      <c r="B49" s="49">
        <v>908</v>
      </c>
      <c r="C49" s="51" t="s">
        <v>301</v>
      </c>
      <c r="D49" s="49">
        <v>21</v>
      </c>
      <c r="E49" s="50">
        <v>3</v>
      </c>
      <c r="F49" s="50">
        <v>2</v>
      </c>
      <c r="G49" s="50">
        <v>2</v>
      </c>
      <c r="H49" s="49">
        <v>2</v>
      </c>
      <c r="I49" s="49">
        <f t="shared" si="3"/>
        <v>8</v>
      </c>
      <c r="J49" s="49" t="str">
        <f t="shared" si="4"/>
        <v>322.2</v>
      </c>
      <c r="K49" s="48">
        <v>29</v>
      </c>
      <c r="L49" s="48">
        <v>23</v>
      </c>
      <c r="M49" s="48">
        <v>24</v>
      </c>
      <c r="N49" s="48">
        <v>24</v>
      </c>
      <c r="O49" s="48">
        <v>24</v>
      </c>
      <c r="P49" s="48">
        <v>29</v>
      </c>
      <c r="Q49" s="48">
        <f t="shared" si="5"/>
        <v>12.75</v>
      </c>
      <c r="R49" s="47">
        <f t="shared" si="6"/>
        <v>0.55901699437494745</v>
      </c>
      <c r="S49" s="48">
        <f t="shared" si="8"/>
        <v>12.75</v>
      </c>
      <c r="T49" s="97"/>
      <c r="V49" s="113"/>
      <c r="W49" s="44">
        <v>407</v>
      </c>
      <c r="X49" s="43">
        <v>5.333333333333333</v>
      </c>
    </row>
    <row r="50" spans="2:26">
      <c r="V50" s="59" t="s">
        <v>381</v>
      </c>
      <c r="W50" s="114"/>
      <c r="X50" s="58">
        <v>5.2708333333333339</v>
      </c>
      <c r="Z50" s="38">
        <f>STDEV(X42:X49)/SQRT(COUNT(X42:X49))</f>
        <v>7.1737921388059234E-2</v>
      </c>
    </row>
    <row r="51" spans="2:26">
      <c r="V51" s="59">
        <v>2</v>
      </c>
      <c r="W51" s="59">
        <v>102</v>
      </c>
      <c r="X51" s="58">
        <v>11.416666666666666</v>
      </c>
    </row>
    <row r="52" spans="2:26">
      <c r="V52" s="113"/>
      <c r="W52" s="44">
        <v>104</v>
      </c>
      <c r="X52" s="43">
        <v>11.25</v>
      </c>
    </row>
    <row r="53" spans="2:26">
      <c r="V53" s="113"/>
      <c r="W53" s="44">
        <v>106</v>
      </c>
      <c r="X53" s="43">
        <v>11.916666666666666</v>
      </c>
    </row>
    <row r="54" spans="2:26">
      <c r="V54" s="113"/>
      <c r="W54" s="44">
        <v>107</v>
      </c>
      <c r="X54" s="43">
        <v>10.583333333333334</v>
      </c>
    </row>
    <row r="55" spans="2:26">
      <c r="V55" s="113"/>
      <c r="W55" s="44">
        <v>108</v>
      </c>
      <c r="X55" s="43">
        <v>12.75</v>
      </c>
    </row>
    <row r="56" spans="2:26">
      <c r="V56" s="113"/>
      <c r="W56" s="44">
        <v>202</v>
      </c>
      <c r="X56" s="43">
        <v>10.666666666666666</v>
      </c>
    </row>
    <row r="57" spans="2:26">
      <c r="V57" s="113"/>
      <c r="W57" s="44">
        <v>203</v>
      </c>
      <c r="X57" s="43">
        <v>12.333333333333334</v>
      </c>
    </row>
    <row r="58" spans="2:26">
      <c r="V58" s="113"/>
      <c r="W58" s="44">
        <v>207</v>
      </c>
      <c r="X58" s="43">
        <v>11.583333333333334</v>
      </c>
    </row>
    <row r="59" spans="2:26">
      <c r="V59" s="113"/>
      <c r="W59" s="44">
        <v>301</v>
      </c>
      <c r="X59" s="43">
        <v>11.583333333333334</v>
      </c>
    </row>
    <row r="60" spans="2:26">
      <c r="V60" s="113"/>
      <c r="W60" s="44">
        <v>302</v>
      </c>
      <c r="X60" s="43">
        <v>11.5</v>
      </c>
    </row>
    <row r="61" spans="2:26">
      <c r="V61" s="113"/>
      <c r="W61" s="44">
        <v>306</v>
      </c>
      <c r="X61" s="43">
        <v>11.5</v>
      </c>
    </row>
    <row r="62" spans="2:26">
      <c r="V62" s="113"/>
      <c r="W62" s="44">
        <v>307</v>
      </c>
      <c r="X62" s="43">
        <v>12.166666666666666</v>
      </c>
    </row>
    <row r="63" spans="2:26">
      <c r="V63" s="113"/>
      <c r="W63" s="44">
        <v>402</v>
      </c>
      <c r="X63" s="43">
        <v>10.416666666666666</v>
      </c>
    </row>
    <row r="64" spans="2:26">
      <c r="V64" s="113"/>
      <c r="W64" s="44">
        <v>404</v>
      </c>
      <c r="X64" s="43">
        <v>11.583333333333334</v>
      </c>
    </row>
    <row r="65" spans="22:26">
      <c r="V65" s="113"/>
      <c r="W65" s="44">
        <v>406</v>
      </c>
      <c r="X65" s="43">
        <v>11.916666666666666</v>
      </c>
    </row>
    <row r="66" spans="22:26">
      <c r="V66" s="113"/>
      <c r="W66" s="44">
        <v>408</v>
      </c>
      <c r="X66" s="43">
        <v>12.166666666666666</v>
      </c>
    </row>
    <row r="67" spans="22:26">
      <c r="V67" s="59" t="s">
        <v>379</v>
      </c>
      <c r="W67" s="114"/>
      <c r="X67" s="58">
        <v>11.58333333333333</v>
      </c>
      <c r="Z67" s="38">
        <f>STDEV(X51:X66)/SQRT(COUNT(X51:X66))</f>
        <v>0.16047527789293531</v>
      </c>
    </row>
    <row r="68" spans="22:26">
      <c r="V68" s="59">
        <v>3</v>
      </c>
      <c r="W68" s="59">
        <v>103</v>
      </c>
      <c r="X68" s="58">
        <v>20.416666666666668</v>
      </c>
    </row>
    <row r="69" spans="22:26">
      <c r="V69" s="113"/>
      <c r="W69" s="44">
        <v>105</v>
      </c>
      <c r="X69" s="43">
        <v>20.583333333333332</v>
      </c>
    </row>
    <row r="70" spans="22:26">
      <c r="V70" s="113"/>
      <c r="W70" s="44">
        <v>201</v>
      </c>
      <c r="X70" s="43">
        <v>22.333333333333332</v>
      </c>
    </row>
    <row r="71" spans="22:26">
      <c r="V71" s="113"/>
      <c r="W71" s="44">
        <v>204</v>
      </c>
      <c r="X71" s="43">
        <v>20.916666666666668</v>
      </c>
    </row>
    <row r="72" spans="22:26">
      <c r="V72" s="113"/>
      <c r="W72" s="44">
        <v>305</v>
      </c>
      <c r="X72" s="43">
        <v>20.25</v>
      </c>
    </row>
    <row r="73" spans="22:26">
      <c r="V73" s="113"/>
      <c r="W73" s="44">
        <v>308</v>
      </c>
      <c r="X73" s="43">
        <v>22</v>
      </c>
    </row>
    <row r="74" spans="22:26">
      <c r="V74" s="113"/>
      <c r="W74" s="44">
        <v>403</v>
      </c>
      <c r="X74" s="43">
        <v>22.833333333333332</v>
      </c>
    </row>
    <row r="75" spans="22:26">
      <c r="V75" s="113"/>
      <c r="W75" s="44">
        <v>405</v>
      </c>
      <c r="X75" s="43">
        <v>19.166666666666668</v>
      </c>
    </row>
    <row r="76" spans="22:26">
      <c r="V76" s="76" t="s">
        <v>377</v>
      </c>
      <c r="W76" s="112"/>
      <c r="X76" s="75">
        <v>21.0625</v>
      </c>
      <c r="Z76" s="38">
        <f>STDEV(X68:X75)/SQRT(COUNT(X68:X75))</f>
        <v>0.43408531364676378</v>
      </c>
    </row>
  </sheetData>
  <autoFilter ref="B9:T49" xr:uid="{BC21E0E7-AF0E-4693-AF57-13582D78C96D}"/>
  <mergeCells count="3">
    <mergeCell ref="Q3:R3"/>
    <mergeCell ref="Q4:R4"/>
    <mergeCell ref="Q5:R5"/>
  </mergeCells>
  <pageMargins left="0.75" right="0.75" top="1" bottom="1" header="0.5" footer="0.5"/>
  <pageSetup orientation="portrait" r:id="rId3"/>
  <headerFooter alignWithMargins="0"/>
  <drawing r:id="rId4"/>
  <legacyDrawing r:id="rId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15511-BF67-4FE2-8B73-71C9D9867563}">
  <dimension ref="A2:BW58"/>
  <sheetViews>
    <sheetView topLeftCell="D10" zoomScaleNormal="100" workbookViewId="0">
      <selection activeCell="U12" sqref="U12"/>
    </sheetView>
  </sheetViews>
  <sheetFormatPr defaultRowHeight="12.75"/>
  <cols>
    <col min="1" max="1" width="9.140625" style="122"/>
    <col min="2" max="2" width="3.7109375" style="122" hidden="1" customWidth="1"/>
    <col min="3" max="3" width="5.140625" style="122" hidden="1" customWidth="1"/>
    <col min="4" max="4" width="4.85546875" style="122" customWidth="1"/>
    <col min="5" max="5" width="5.7109375" style="122" customWidth="1"/>
    <col min="6" max="6" width="5.28515625" style="122" customWidth="1"/>
    <col min="7" max="9" width="5.28515625" style="122" hidden="1" customWidth="1"/>
    <col min="10" max="10" width="5.28515625" style="122" customWidth="1"/>
    <col min="11" max="11" width="7" style="122" hidden="1" customWidth="1"/>
    <col min="12" max="19" width="9.140625" style="122"/>
    <col min="20" max="20" width="11.7109375" style="122" customWidth="1"/>
    <col min="21" max="21" width="6.5703125" style="122" customWidth="1"/>
    <col min="22" max="22" width="11.7109375" style="122" customWidth="1"/>
    <col min="23" max="23" width="9.140625" style="122"/>
    <col min="24" max="24" width="7.5703125" style="122" customWidth="1"/>
    <col min="25" max="34" width="7.7109375" style="122" customWidth="1"/>
    <col min="35" max="16384" width="9.140625" style="122"/>
  </cols>
  <sheetData>
    <row r="2" spans="1:75" ht="22.5">
      <c r="A2" s="177" t="s">
        <v>429</v>
      </c>
    </row>
    <row r="4" spans="1:75" ht="22.5">
      <c r="A4" s="177" t="s">
        <v>428</v>
      </c>
      <c r="D4" s="201">
        <v>186</v>
      </c>
      <c r="E4" s="201"/>
    </row>
    <row r="6" spans="1:75" ht="15" customHeight="1" thickBot="1">
      <c r="B6" s="123"/>
      <c r="C6" s="123"/>
      <c r="D6" s="123" t="s">
        <v>427</v>
      </c>
      <c r="E6" s="123"/>
      <c r="P6" s="123" t="s">
        <v>426</v>
      </c>
      <c r="R6" s="124">
        <v>85421064</v>
      </c>
    </row>
    <row r="7" spans="1:75" ht="15" customHeight="1" thickBot="1">
      <c r="A7" s="123"/>
      <c r="B7" s="123"/>
      <c r="C7" s="123"/>
      <c r="D7" s="123" t="s">
        <v>336</v>
      </c>
      <c r="E7" s="123"/>
      <c r="F7" s="199" t="s">
        <v>425</v>
      </c>
      <c r="G7" s="199"/>
      <c r="H7" s="199"/>
      <c r="I7" s="199"/>
      <c r="J7" s="199"/>
      <c r="K7" s="199"/>
      <c r="L7" s="199"/>
      <c r="M7" s="199"/>
      <c r="N7" s="199"/>
      <c r="O7" s="199"/>
      <c r="P7" s="125" t="s">
        <v>358</v>
      </c>
      <c r="Q7" s="200">
        <v>37442</v>
      </c>
      <c r="R7" s="199"/>
      <c r="U7" s="171"/>
      <c r="V7" s="171"/>
      <c r="W7" s="171"/>
      <c r="X7" s="171"/>
    </row>
    <row r="8" spans="1:75" ht="13.5" thickBot="1">
      <c r="F8" s="198" t="s">
        <v>424</v>
      </c>
      <c r="G8" s="198"/>
      <c r="H8" s="198"/>
      <c r="I8" s="198"/>
      <c r="J8" s="198"/>
      <c r="K8" s="198"/>
      <c r="L8" s="198"/>
      <c r="M8" s="198"/>
      <c r="N8" s="198"/>
      <c r="O8" s="198"/>
      <c r="P8" s="125" t="s">
        <v>350</v>
      </c>
      <c r="Q8" s="198" t="s">
        <v>423</v>
      </c>
      <c r="R8" s="198"/>
      <c r="T8" s="172" t="s">
        <v>332</v>
      </c>
      <c r="U8" s="173" t="s">
        <v>372</v>
      </c>
      <c r="V8" s="170"/>
      <c r="W8" s="170"/>
      <c r="X8" s="170"/>
    </row>
    <row r="9" spans="1:75" ht="13.5" thickBot="1">
      <c r="T9" s="172" t="s">
        <v>331</v>
      </c>
      <c r="U9" s="173" t="s">
        <v>372</v>
      </c>
      <c r="V9" s="170"/>
      <c r="W9" s="170"/>
      <c r="X9" s="170"/>
    </row>
    <row r="10" spans="1:75" ht="25.5" customHeight="1" thickBot="1">
      <c r="B10" s="127"/>
      <c r="C10" s="128"/>
      <c r="D10" s="197" t="s">
        <v>0</v>
      </c>
      <c r="E10" s="129" t="s">
        <v>305</v>
      </c>
      <c r="F10" s="129" t="s">
        <v>333</v>
      </c>
      <c r="G10" s="130" t="s">
        <v>332</v>
      </c>
      <c r="H10" s="129" t="s">
        <v>331</v>
      </c>
      <c r="I10" s="130" t="s">
        <v>330</v>
      </c>
      <c r="J10" s="130" t="s">
        <v>329</v>
      </c>
      <c r="K10" s="130" t="s">
        <v>328</v>
      </c>
      <c r="L10" s="131" t="s">
        <v>422</v>
      </c>
      <c r="M10" s="132" t="s">
        <v>421</v>
      </c>
      <c r="N10" s="196" t="s">
        <v>420</v>
      </c>
      <c r="O10" s="195"/>
      <c r="P10" s="195"/>
      <c r="Q10" s="195"/>
      <c r="R10" s="194"/>
      <c r="X10" s="193"/>
      <c r="Y10" s="193"/>
      <c r="Z10" s="193"/>
      <c r="AA10" s="193"/>
      <c r="AB10" s="193"/>
      <c r="AC10" s="193"/>
      <c r="AD10" s="193"/>
      <c r="AE10" s="193"/>
      <c r="AF10" s="193"/>
      <c r="AG10" s="193"/>
      <c r="AH10" s="193"/>
    </row>
    <row r="11" spans="1:75" ht="13.35" customHeight="1" thickBot="1">
      <c r="B11" s="133"/>
      <c r="C11" s="134"/>
      <c r="D11" s="135">
        <v>108</v>
      </c>
      <c r="E11" s="136" t="s">
        <v>8</v>
      </c>
      <c r="F11" s="136">
        <v>3</v>
      </c>
      <c r="G11" s="62">
        <f>IF(LEFT(E11,1)="F",1,2)</f>
        <v>1</v>
      </c>
      <c r="H11" s="62">
        <f>IF(MID(E11,2,1)="S",1,IF(MID(E11,2,1)="T",2,IF(MID(E11,2,1)="D",3,0)))</f>
        <v>2</v>
      </c>
      <c r="I11" s="62">
        <f>IF(RIGHT(E11,1)="L",1,2)</f>
        <v>2</v>
      </c>
      <c r="J11" s="136">
        <v>2</v>
      </c>
      <c r="K11" s="136" t="str">
        <f>(G11&amp;H11&amp;I11&amp;"."&amp;J11)</f>
        <v>122.2</v>
      </c>
      <c r="L11" s="182">
        <v>0.4201388888888889</v>
      </c>
      <c r="M11" s="137">
        <v>44.2</v>
      </c>
      <c r="N11" s="138"/>
      <c r="O11" s="139"/>
      <c r="P11" s="139"/>
      <c r="Q11" s="185" t="s">
        <v>419</v>
      </c>
      <c r="R11" s="184"/>
      <c r="S11" s="170"/>
      <c r="T11" s="192" t="s">
        <v>330</v>
      </c>
      <c r="U11" s="191" t="s">
        <v>418</v>
      </c>
      <c r="V11" s="191" t="s">
        <v>417</v>
      </c>
      <c r="AA11" s="186"/>
      <c r="AB11" s="186"/>
      <c r="AC11" s="186"/>
      <c r="AD11" s="186"/>
      <c r="AE11" s="186"/>
      <c r="AF11" s="186"/>
      <c r="AG11" s="186"/>
      <c r="AH11" s="186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</row>
    <row r="12" spans="1:75" ht="13.35" customHeight="1" thickBot="1">
      <c r="B12" s="133"/>
      <c r="C12" s="134"/>
      <c r="D12" s="140">
        <v>107</v>
      </c>
      <c r="E12" s="133" t="s">
        <v>6</v>
      </c>
      <c r="F12" s="133">
        <v>10</v>
      </c>
      <c r="G12" s="56">
        <f>IF(LEFT(E12,1)="F",1,2)</f>
        <v>2</v>
      </c>
      <c r="H12" s="56">
        <f>IF(MID(E12,2,1)="S",1,IF(MID(E12,2,1)="T",2,IF(MID(E12,2,1)="D",3,0)))</f>
        <v>2</v>
      </c>
      <c r="I12" s="56">
        <f>IF(RIGHT(E12,1)="L",1,2)</f>
        <v>1</v>
      </c>
      <c r="J12" s="133">
        <v>2</v>
      </c>
      <c r="K12" s="133" t="str">
        <f>(G12&amp;H12&amp;I12&amp;"."&amp;J12)</f>
        <v>221.2</v>
      </c>
      <c r="L12" s="141"/>
      <c r="M12" s="134">
        <v>39.200000000000003</v>
      </c>
      <c r="N12" s="142"/>
      <c r="O12" s="143"/>
      <c r="P12" s="144"/>
      <c r="Q12" s="145" t="s">
        <v>413</v>
      </c>
      <c r="R12" s="146"/>
      <c r="S12" s="170"/>
      <c r="T12" s="178">
        <v>1</v>
      </c>
      <c r="U12" s="189">
        <v>16</v>
      </c>
      <c r="V12" s="175">
        <v>40.618749999999999</v>
      </c>
      <c r="AA12" s="186"/>
      <c r="AB12" s="186"/>
      <c r="AC12" s="186"/>
      <c r="AD12" s="186"/>
      <c r="AE12" s="186"/>
      <c r="AF12" s="186"/>
      <c r="AG12" s="186"/>
      <c r="AH12" s="186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</row>
    <row r="13" spans="1:75" ht="13.35" customHeight="1" thickBot="1">
      <c r="B13" s="133"/>
      <c r="C13" s="134"/>
      <c r="D13" s="140">
        <v>106</v>
      </c>
      <c r="E13" s="133" t="s">
        <v>7</v>
      </c>
      <c r="F13" s="133">
        <v>9</v>
      </c>
      <c r="G13" s="56">
        <f>IF(LEFT(E13,1)="F",1,2)</f>
        <v>2</v>
      </c>
      <c r="H13" s="56">
        <f>IF(MID(E13,2,1)="S",1,IF(MID(E13,2,1)="T",2,IF(MID(E13,2,1)="D",3,0)))</f>
        <v>2</v>
      </c>
      <c r="I13" s="56">
        <f>IF(RIGHT(E13,1)="L",1,2)</f>
        <v>2</v>
      </c>
      <c r="J13" s="133">
        <v>2</v>
      </c>
      <c r="K13" s="133" t="str">
        <f>(G13&amp;H13&amp;I13&amp;"."&amp;J13)</f>
        <v>222.2</v>
      </c>
      <c r="L13" s="141"/>
      <c r="M13" s="134">
        <v>40.6</v>
      </c>
      <c r="N13" s="142"/>
      <c r="O13" s="143"/>
      <c r="P13" s="144"/>
      <c r="Q13" s="145" t="s">
        <v>412</v>
      </c>
      <c r="R13" s="146"/>
      <c r="S13" s="170"/>
      <c r="T13" s="178">
        <v>2</v>
      </c>
      <c r="U13" s="189">
        <v>20</v>
      </c>
      <c r="V13" s="175">
        <v>42.954999999999998</v>
      </c>
      <c r="AA13" s="171"/>
      <c r="AB13" s="171"/>
      <c r="AC13" s="171"/>
      <c r="AD13" s="171"/>
      <c r="AE13" s="171"/>
      <c r="AF13" s="171"/>
      <c r="AG13" s="171"/>
      <c r="AH13" s="171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</row>
    <row r="14" spans="1:75" ht="13.35" customHeight="1" thickBot="1">
      <c r="B14" s="133"/>
      <c r="C14" s="134"/>
      <c r="D14" s="140">
        <v>105</v>
      </c>
      <c r="E14" s="133" t="s">
        <v>10</v>
      </c>
      <c r="F14" s="133">
        <v>12</v>
      </c>
      <c r="G14" s="56">
        <f>IF(LEFT(E14,1)="F",1,2)</f>
        <v>2</v>
      </c>
      <c r="H14" s="56">
        <f>IF(MID(E14,2,1)="S",1,IF(MID(E14,2,1)="T",2,IF(MID(E14,2,1)="D",3,0)))</f>
        <v>3</v>
      </c>
      <c r="I14" s="56">
        <f>IF(RIGHT(E14,1)="L",1,2)</f>
        <v>1</v>
      </c>
      <c r="J14" s="133">
        <v>2</v>
      </c>
      <c r="K14" s="133" t="str">
        <f>(G14&amp;H14&amp;I14&amp;"."&amp;J14)</f>
        <v>231.2</v>
      </c>
      <c r="L14" s="141"/>
      <c r="M14" s="134">
        <v>39</v>
      </c>
      <c r="N14" s="142"/>
      <c r="O14" s="143"/>
      <c r="P14" s="144"/>
      <c r="Q14" s="145" t="s">
        <v>411</v>
      </c>
      <c r="R14" s="146"/>
      <c r="S14" s="170"/>
      <c r="T14" s="174" t="s">
        <v>312</v>
      </c>
      <c r="U14" s="188">
        <v>36</v>
      </c>
      <c r="V14" s="176">
        <v>41.916666666666664</v>
      </c>
      <c r="AA14" s="171"/>
      <c r="AB14" s="171"/>
      <c r="AC14" s="171"/>
      <c r="AD14" s="171"/>
      <c r="AE14" s="171"/>
      <c r="AF14" s="171"/>
      <c r="AG14" s="171"/>
      <c r="AH14" s="171"/>
    </row>
    <row r="15" spans="1:75" ht="13.35" customHeight="1" thickBot="1">
      <c r="B15" s="133"/>
      <c r="C15" s="134"/>
      <c r="D15" s="140">
        <v>104</v>
      </c>
      <c r="E15" s="133" t="s">
        <v>6</v>
      </c>
      <c r="F15" s="133">
        <v>10</v>
      </c>
      <c r="G15" s="56">
        <f>IF(LEFT(E15,1)="F",1,2)</f>
        <v>2</v>
      </c>
      <c r="H15" s="56">
        <f>IF(MID(E15,2,1)="S",1,IF(MID(E15,2,1)="T",2,IF(MID(E15,2,1)="D",3,0)))</f>
        <v>2</v>
      </c>
      <c r="I15" s="56">
        <f>IF(RIGHT(E15,1)="L",1,2)</f>
        <v>1</v>
      </c>
      <c r="J15" s="133">
        <v>1</v>
      </c>
      <c r="K15" s="133" t="str">
        <f>(G15&amp;H15&amp;I15&amp;"."&amp;J15)</f>
        <v>221.1</v>
      </c>
      <c r="L15" s="141"/>
      <c r="M15" s="134">
        <v>40.700000000000003</v>
      </c>
      <c r="N15" s="142"/>
      <c r="O15" s="143"/>
      <c r="P15" s="144"/>
      <c r="Q15" s="145" t="s">
        <v>410</v>
      </c>
      <c r="R15" s="146"/>
      <c r="S15" s="170"/>
      <c r="AA15" s="171"/>
      <c r="AB15" s="171"/>
      <c r="AC15" s="171"/>
      <c r="AD15" s="171"/>
      <c r="AE15" s="171"/>
      <c r="AF15" s="171"/>
      <c r="AG15" s="171"/>
      <c r="AH15" s="171"/>
    </row>
    <row r="16" spans="1:75" ht="13.35" customHeight="1" thickBot="1">
      <c r="B16" s="133"/>
      <c r="C16" s="134"/>
      <c r="D16" s="140">
        <v>103</v>
      </c>
      <c r="E16" s="133" t="s">
        <v>5</v>
      </c>
      <c r="F16" s="133">
        <v>5</v>
      </c>
      <c r="G16" s="56">
        <f>IF(LEFT(E16,1)="F",1,2)</f>
        <v>1</v>
      </c>
      <c r="H16" s="56">
        <f>IF(MID(E16,2,1)="S",1,IF(MID(E16,2,1)="T",2,IF(MID(E16,2,1)="D",3,0)))</f>
        <v>3</v>
      </c>
      <c r="I16" s="56">
        <f>IF(RIGHT(E16,1)="L",1,2)</f>
        <v>2</v>
      </c>
      <c r="J16" s="133">
        <v>1</v>
      </c>
      <c r="K16" s="133" t="str">
        <f>(G16&amp;H16&amp;I16&amp;"."&amp;J16)</f>
        <v>132.1</v>
      </c>
      <c r="L16" s="141"/>
      <c r="M16" s="134">
        <v>43.3</v>
      </c>
      <c r="N16" s="142"/>
      <c r="O16" s="143"/>
      <c r="P16" s="144"/>
      <c r="Q16" s="145" t="s">
        <v>409</v>
      </c>
      <c r="R16" s="146"/>
      <c r="S16" s="170"/>
    </row>
    <row r="17" spans="2:34" ht="13.35" customHeight="1" thickBot="1">
      <c r="B17" s="133"/>
      <c r="C17" s="134"/>
      <c r="D17" s="140">
        <v>102</v>
      </c>
      <c r="E17" s="133" t="s">
        <v>4</v>
      </c>
      <c r="F17" s="133">
        <v>4</v>
      </c>
      <c r="G17" s="56">
        <f>IF(LEFT(E17,1)="F",1,2)</f>
        <v>1</v>
      </c>
      <c r="H17" s="56">
        <f>IF(MID(E17,2,1)="S",1,IF(MID(E17,2,1)="T",2,IF(MID(E17,2,1)="D",3,0)))</f>
        <v>2</v>
      </c>
      <c r="I17" s="56">
        <f>IF(RIGHT(E17,1)="L",1,2)</f>
        <v>1</v>
      </c>
      <c r="J17" s="133">
        <v>1</v>
      </c>
      <c r="K17" s="133" t="str">
        <f>(G17&amp;H17&amp;I17&amp;"."&amp;J17)</f>
        <v>121.1</v>
      </c>
      <c r="L17" s="141"/>
      <c r="M17" s="134">
        <v>41.6</v>
      </c>
      <c r="N17" s="142"/>
      <c r="O17" s="143"/>
      <c r="P17" s="144"/>
      <c r="Q17" s="145" t="s">
        <v>408</v>
      </c>
      <c r="R17" s="146"/>
      <c r="S17" s="170"/>
      <c r="AA17" s="186"/>
      <c r="AB17" s="186"/>
      <c r="AC17" s="186"/>
      <c r="AD17" s="186"/>
      <c r="AE17" s="186"/>
      <c r="AF17" s="186"/>
      <c r="AG17" s="186"/>
      <c r="AH17" s="186"/>
    </row>
    <row r="18" spans="2:34" ht="13.35" customHeight="1" thickBot="1">
      <c r="B18" s="133"/>
      <c r="C18" s="134"/>
      <c r="D18" s="147">
        <v>101</v>
      </c>
      <c r="E18" s="50" t="s">
        <v>3</v>
      </c>
      <c r="F18" s="50">
        <v>1</v>
      </c>
      <c r="G18" s="50">
        <f>IF(LEFT(E18,1)="F",1,2)</f>
        <v>1</v>
      </c>
      <c r="H18" s="50">
        <f>IF(MID(E18,2,1)="S",1,IF(MID(E18,2,1)="T",2,IF(MID(E18,2,1)="D",3,0)))</f>
        <v>1</v>
      </c>
      <c r="I18" s="50">
        <f>IF(RIGHT(E18,1)="L",1,2)</f>
        <v>2</v>
      </c>
      <c r="J18" s="148">
        <v>1</v>
      </c>
      <c r="K18" s="148" t="str">
        <f>(G18&amp;H18&amp;I18&amp;"."&amp;J18)</f>
        <v>112.1</v>
      </c>
      <c r="L18" s="149"/>
      <c r="M18" s="150">
        <v>44.1</v>
      </c>
      <c r="N18" s="151"/>
      <c r="O18" s="152"/>
      <c r="P18" s="153"/>
      <c r="Q18" s="145" t="s">
        <v>407</v>
      </c>
      <c r="R18" s="146"/>
      <c r="S18" s="170"/>
      <c r="AA18" s="186"/>
      <c r="AB18" s="186"/>
      <c r="AC18" s="186"/>
      <c r="AD18" s="186"/>
      <c r="AE18" s="186"/>
      <c r="AF18" s="186"/>
      <c r="AG18" s="186"/>
      <c r="AH18" s="186"/>
    </row>
    <row r="19" spans="2:34" ht="13.35" customHeight="1" thickBot="1">
      <c r="B19" s="133"/>
      <c r="C19" s="134"/>
      <c r="D19" s="135">
        <v>201</v>
      </c>
      <c r="E19" s="136" t="s">
        <v>10</v>
      </c>
      <c r="F19" s="136">
        <v>12</v>
      </c>
      <c r="G19" s="62">
        <f>IF(LEFT(E19,1)="F",1,2)</f>
        <v>2</v>
      </c>
      <c r="H19" s="62">
        <f>IF(MID(E19,2,1)="S",1,IF(MID(E19,2,1)="T",2,IF(MID(E19,2,1)="D",3,0)))</f>
        <v>3</v>
      </c>
      <c r="I19" s="62">
        <f>IF(RIGHT(E19,1)="L",1,2)</f>
        <v>1</v>
      </c>
      <c r="J19" s="136">
        <v>1</v>
      </c>
      <c r="K19" s="136" t="str">
        <f>(G19&amp;H19&amp;I19&amp;"."&amp;J19)</f>
        <v>231.1</v>
      </c>
      <c r="L19" s="182">
        <v>0.4236111111111111</v>
      </c>
      <c r="M19" s="137">
        <v>40.9</v>
      </c>
      <c r="N19" s="138"/>
      <c r="O19" s="139"/>
      <c r="P19" s="139"/>
      <c r="Q19" s="145" t="s">
        <v>406</v>
      </c>
      <c r="R19" s="146"/>
      <c r="S19" s="170"/>
      <c r="AA19" s="171"/>
      <c r="AB19" s="171"/>
      <c r="AC19" s="171"/>
      <c r="AD19" s="171"/>
      <c r="AE19" s="171"/>
      <c r="AF19" s="171"/>
      <c r="AG19" s="187"/>
      <c r="AH19" s="187"/>
    </row>
    <row r="20" spans="2:34" ht="13.35" customHeight="1" thickBot="1">
      <c r="B20" s="133"/>
      <c r="C20" s="134"/>
      <c r="D20" s="140">
        <v>202</v>
      </c>
      <c r="E20" s="133" t="s">
        <v>7</v>
      </c>
      <c r="F20" s="133">
        <v>9</v>
      </c>
      <c r="G20" s="56">
        <f>IF(LEFT(E20,1)="F",1,2)</f>
        <v>2</v>
      </c>
      <c r="H20" s="56">
        <f>IF(MID(E20,2,1)="S",1,IF(MID(E20,2,1)="T",2,IF(MID(E20,2,1)="D",3,0)))</f>
        <v>2</v>
      </c>
      <c r="I20" s="56">
        <f>IF(RIGHT(E20,1)="L",1,2)</f>
        <v>2</v>
      </c>
      <c r="J20" s="133">
        <v>1</v>
      </c>
      <c r="K20" s="133" t="str">
        <f>(G20&amp;H20&amp;I20&amp;"."&amp;J20)</f>
        <v>222.1</v>
      </c>
      <c r="L20" s="154"/>
      <c r="M20" s="134">
        <v>43.2</v>
      </c>
      <c r="N20" s="142"/>
      <c r="O20" s="143"/>
      <c r="P20" s="144"/>
      <c r="Q20" s="145" t="s">
        <v>405</v>
      </c>
      <c r="R20" s="146">
        <v>68.3</v>
      </c>
      <c r="S20" s="170"/>
      <c r="AA20" s="171"/>
      <c r="AB20" s="171"/>
      <c r="AC20" s="171"/>
      <c r="AD20" s="171"/>
      <c r="AE20" s="171"/>
      <c r="AF20" s="171"/>
      <c r="AG20" s="171"/>
      <c r="AH20" s="171"/>
    </row>
    <row r="21" spans="2:34" ht="13.35" customHeight="1">
      <c r="B21" s="133"/>
      <c r="C21" s="134"/>
      <c r="D21" s="140">
        <v>203</v>
      </c>
      <c r="E21" s="133" t="s">
        <v>8</v>
      </c>
      <c r="F21" s="133">
        <v>3</v>
      </c>
      <c r="G21" s="56">
        <f>IF(LEFT(E21,1)="F",1,2)</f>
        <v>1</v>
      </c>
      <c r="H21" s="56">
        <f>IF(MID(E21,2,1)="S",1,IF(MID(E21,2,1)="T",2,IF(MID(E21,2,1)="D",3,0)))</f>
        <v>2</v>
      </c>
      <c r="I21" s="56">
        <f>IF(RIGHT(E21,1)="L",1,2)</f>
        <v>2</v>
      </c>
      <c r="J21" s="133">
        <v>1</v>
      </c>
      <c r="K21" s="133" t="str">
        <f>(G21&amp;H21&amp;I21&amp;"."&amp;J21)</f>
        <v>122.1</v>
      </c>
      <c r="L21" s="141"/>
      <c r="M21" s="134">
        <v>41.9</v>
      </c>
      <c r="N21" s="142"/>
      <c r="O21" s="143"/>
      <c r="P21" s="144"/>
      <c r="Q21" s="144"/>
      <c r="R21" s="155"/>
      <c r="S21" s="170"/>
      <c r="AA21" s="171"/>
      <c r="AB21" s="171"/>
      <c r="AC21" s="171"/>
      <c r="AD21" s="171"/>
      <c r="AE21" s="171"/>
      <c r="AF21" s="171"/>
      <c r="AG21" s="171"/>
      <c r="AH21" s="171"/>
    </row>
    <row r="22" spans="2:34" ht="13.35" customHeight="1">
      <c r="B22" s="133"/>
      <c r="C22" s="134"/>
      <c r="D22" s="140">
        <v>204</v>
      </c>
      <c r="E22" s="133" t="s">
        <v>11</v>
      </c>
      <c r="F22" s="133">
        <v>11</v>
      </c>
      <c r="G22" s="56">
        <f>IF(LEFT(E22,1)="F",1,2)</f>
        <v>2</v>
      </c>
      <c r="H22" s="56">
        <f>IF(MID(E22,2,1)="S",1,IF(MID(E22,2,1)="T",2,IF(MID(E22,2,1)="D",3,0)))</f>
        <v>3</v>
      </c>
      <c r="I22" s="56">
        <f>IF(RIGHT(E22,1)="L",1,2)</f>
        <v>2</v>
      </c>
      <c r="J22" s="133">
        <v>1</v>
      </c>
      <c r="K22" s="133" t="str">
        <f>(G22&amp;H22&amp;I22&amp;"."&amp;J22)</f>
        <v>232.1</v>
      </c>
      <c r="L22" s="141"/>
      <c r="M22" s="134">
        <v>41.3</v>
      </c>
      <c r="N22" s="142"/>
      <c r="O22" s="143"/>
      <c r="P22" s="144"/>
      <c r="Q22" s="144"/>
      <c r="R22" s="155"/>
      <c r="S22" s="170"/>
    </row>
    <row r="23" spans="2:34" ht="13.35" customHeight="1">
      <c r="B23" s="133"/>
      <c r="C23" s="134"/>
      <c r="D23" s="140">
        <v>205</v>
      </c>
      <c r="E23" s="133" t="s">
        <v>3</v>
      </c>
      <c r="F23" s="133">
        <v>1</v>
      </c>
      <c r="G23" s="56">
        <f>IF(LEFT(E23,1)="F",1,2)</f>
        <v>1</v>
      </c>
      <c r="H23" s="56">
        <f>IF(MID(E23,2,1)="S",1,IF(MID(E23,2,1)="T",2,IF(MID(E23,2,1)="D",3,0)))</f>
        <v>1</v>
      </c>
      <c r="I23" s="56">
        <f>IF(RIGHT(E23,1)="L",1,2)</f>
        <v>2</v>
      </c>
      <c r="J23" s="133">
        <v>2</v>
      </c>
      <c r="K23" s="133" t="str">
        <f>(G23&amp;H23&amp;I23&amp;"."&amp;J23)</f>
        <v>112.2</v>
      </c>
      <c r="L23" s="141"/>
      <c r="M23" s="134">
        <v>39.9</v>
      </c>
      <c r="N23" s="142"/>
      <c r="O23" s="143"/>
      <c r="P23" s="144"/>
      <c r="Q23" s="144"/>
      <c r="R23" s="155"/>
      <c r="S23" s="170"/>
      <c r="AA23" s="186"/>
      <c r="AB23" s="186"/>
      <c r="AC23" s="186"/>
      <c r="AD23" s="186"/>
      <c r="AE23" s="186"/>
      <c r="AF23" s="186"/>
      <c r="AG23" s="186"/>
      <c r="AH23" s="186"/>
    </row>
    <row r="24" spans="2:34" ht="13.35" customHeight="1">
      <c r="B24" s="133"/>
      <c r="C24" s="134"/>
      <c r="D24" s="140">
        <v>206</v>
      </c>
      <c r="E24" s="133" t="s">
        <v>12</v>
      </c>
      <c r="F24" s="133">
        <v>8</v>
      </c>
      <c r="G24" s="56">
        <f>IF(LEFT(E24,1)="F",1,2)</f>
        <v>2</v>
      </c>
      <c r="H24" s="56">
        <f>IF(MID(E24,2,1)="S",1,IF(MID(E24,2,1)="T",2,IF(MID(E24,2,1)="D",3,0)))</f>
        <v>1</v>
      </c>
      <c r="I24" s="56">
        <f>IF(RIGHT(E24,1)="L",1,2)</f>
        <v>1</v>
      </c>
      <c r="J24" s="133">
        <v>2</v>
      </c>
      <c r="K24" s="133" t="str">
        <f>(G24&amp;H24&amp;I24&amp;"."&amp;J24)</f>
        <v>211.2</v>
      </c>
      <c r="L24" s="141"/>
      <c r="M24" s="134">
        <v>42.2</v>
      </c>
      <c r="N24" s="142"/>
      <c r="O24" s="143"/>
      <c r="P24" s="144"/>
      <c r="Q24" s="144"/>
      <c r="R24" s="155"/>
      <c r="S24" s="170"/>
      <c r="AA24" s="186"/>
      <c r="AB24" s="186"/>
      <c r="AC24" s="186"/>
      <c r="AD24" s="186"/>
      <c r="AE24" s="186"/>
      <c r="AF24" s="186"/>
      <c r="AG24" s="186"/>
      <c r="AH24" s="186"/>
    </row>
    <row r="25" spans="2:34" ht="13.35" customHeight="1">
      <c r="B25" s="133"/>
      <c r="C25" s="134"/>
      <c r="D25" s="140">
        <v>207</v>
      </c>
      <c r="E25" s="133" t="s">
        <v>4</v>
      </c>
      <c r="F25" s="133">
        <v>4</v>
      </c>
      <c r="G25" s="56">
        <f>IF(LEFT(E25,1)="F",1,2)</f>
        <v>1</v>
      </c>
      <c r="H25" s="56">
        <f>IF(MID(E25,2,1)="S",1,IF(MID(E25,2,1)="T",2,IF(MID(E25,2,1)="D",3,0)))</f>
        <v>2</v>
      </c>
      <c r="I25" s="56">
        <f>IF(RIGHT(E25,1)="L",1,2)</f>
        <v>1</v>
      </c>
      <c r="J25" s="133">
        <v>2</v>
      </c>
      <c r="K25" s="133" t="str">
        <f>(G25&amp;H25&amp;I25&amp;"."&amp;J25)</f>
        <v>121.2</v>
      </c>
      <c r="L25" s="141"/>
      <c r="M25" s="134">
        <v>40</v>
      </c>
      <c r="N25" s="142"/>
      <c r="O25" s="143"/>
      <c r="P25" s="144"/>
      <c r="Q25" s="144"/>
      <c r="R25" s="155"/>
      <c r="S25" s="170"/>
      <c r="AA25" s="171"/>
      <c r="AB25" s="171"/>
      <c r="AC25" s="171"/>
      <c r="AD25" s="171"/>
      <c r="AE25" s="171"/>
      <c r="AF25" s="171"/>
      <c r="AG25" s="171"/>
      <c r="AH25" s="171"/>
    </row>
    <row r="26" spans="2:34" ht="13.35" customHeight="1" thickBot="1">
      <c r="B26" s="133"/>
      <c r="C26" s="134"/>
      <c r="D26" s="147">
        <v>208</v>
      </c>
      <c r="E26" s="148" t="s">
        <v>13</v>
      </c>
      <c r="F26" s="148">
        <v>2</v>
      </c>
      <c r="G26" s="50">
        <f>IF(LEFT(E26,1)="F",1,2)</f>
        <v>1</v>
      </c>
      <c r="H26" s="50">
        <f>IF(MID(E26,2,1)="S",1,IF(MID(E26,2,1)="T",2,IF(MID(E26,2,1)="D",3,0)))</f>
        <v>1</v>
      </c>
      <c r="I26" s="50">
        <f>IF(RIGHT(E26,1)="L",1,2)</f>
        <v>1</v>
      </c>
      <c r="J26" s="148">
        <v>2</v>
      </c>
      <c r="K26" s="148" t="str">
        <f>(G26&amp;H26&amp;I26&amp;"."&amp;J26)</f>
        <v>111.2</v>
      </c>
      <c r="L26" s="149"/>
      <c r="M26" s="150">
        <v>41.5</v>
      </c>
      <c r="N26" s="151"/>
      <c r="O26" s="152"/>
      <c r="P26" s="153"/>
      <c r="Q26" s="153"/>
      <c r="R26" s="156"/>
      <c r="S26" s="170"/>
      <c r="X26" s="183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</row>
    <row r="27" spans="2:34" ht="13.35" customHeight="1">
      <c r="B27" s="133"/>
      <c r="C27" s="134"/>
      <c r="D27" s="135">
        <v>908</v>
      </c>
      <c r="E27" s="157" t="s">
        <v>416</v>
      </c>
      <c r="F27" s="136">
        <v>21</v>
      </c>
      <c r="G27" s="62">
        <v>3</v>
      </c>
      <c r="H27" s="62">
        <v>2</v>
      </c>
      <c r="I27" s="62">
        <v>2</v>
      </c>
      <c r="J27" s="136">
        <v>2</v>
      </c>
      <c r="K27" s="136" t="str">
        <f>(G27&amp;H27&amp;I27&amp;"."&amp;J27)</f>
        <v>322.2</v>
      </c>
      <c r="L27" s="182">
        <v>0.4368055555555555</v>
      </c>
      <c r="M27" s="137">
        <v>48</v>
      </c>
      <c r="N27" s="138"/>
      <c r="O27" s="139"/>
      <c r="P27" s="139"/>
      <c r="Q27" s="139"/>
      <c r="R27" s="158"/>
      <c r="S27" s="170"/>
      <c r="X27" s="183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</row>
    <row r="28" spans="2:34" ht="13.35" customHeight="1">
      <c r="B28" s="133"/>
      <c r="C28" s="134"/>
      <c r="D28" s="140">
        <v>907</v>
      </c>
      <c r="E28" s="133" t="s">
        <v>17</v>
      </c>
      <c r="F28" s="133">
        <v>31</v>
      </c>
      <c r="G28" s="56">
        <v>8</v>
      </c>
      <c r="H28" s="56">
        <v>0</v>
      </c>
      <c r="I28" s="56">
        <v>1</v>
      </c>
      <c r="J28" s="133">
        <v>2</v>
      </c>
      <c r="K28" s="133" t="str">
        <f>(G28&amp;H28&amp;I28&amp;"."&amp;J28)</f>
        <v>801.2</v>
      </c>
      <c r="L28" s="154"/>
      <c r="M28" s="159"/>
      <c r="N28" s="160"/>
      <c r="O28" s="161"/>
      <c r="P28" s="162"/>
      <c r="Q28" s="162"/>
      <c r="R28" s="163"/>
      <c r="S28" s="170"/>
      <c r="X28" s="183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</row>
    <row r="29" spans="2:34" ht="13.35" customHeight="1">
      <c r="B29" s="133"/>
      <c r="C29" s="134"/>
      <c r="D29" s="140">
        <v>906</v>
      </c>
      <c r="E29" s="164" t="s">
        <v>415</v>
      </c>
      <c r="F29" s="133">
        <v>22</v>
      </c>
      <c r="G29" s="56">
        <v>4</v>
      </c>
      <c r="H29" s="56">
        <v>2</v>
      </c>
      <c r="I29" s="56">
        <v>2</v>
      </c>
      <c r="J29" s="133">
        <v>2</v>
      </c>
      <c r="K29" s="133" t="str">
        <f>(G29&amp;H29&amp;I29&amp;"."&amp;J29)</f>
        <v>422.2</v>
      </c>
      <c r="L29" s="141"/>
      <c r="M29" s="134">
        <v>36.5</v>
      </c>
      <c r="N29" s="142"/>
      <c r="O29" s="143"/>
      <c r="P29" s="144"/>
      <c r="Q29" s="144"/>
      <c r="R29" s="155"/>
      <c r="S29" s="170"/>
      <c r="X29" s="183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</row>
    <row r="30" spans="2:34" ht="13.35" customHeight="1">
      <c r="B30" s="133"/>
      <c r="C30" s="134"/>
      <c r="D30" s="140">
        <v>905</v>
      </c>
      <c r="E30" s="133" t="s">
        <v>16</v>
      </c>
      <c r="F30" s="133">
        <v>32</v>
      </c>
      <c r="G30" s="56">
        <v>9</v>
      </c>
      <c r="H30" s="56">
        <v>0</v>
      </c>
      <c r="I30" s="56">
        <v>1</v>
      </c>
      <c r="J30" s="133">
        <v>2</v>
      </c>
      <c r="K30" s="133" t="str">
        <f>(G30&amp;H30&amp;I30&amp;"."&amp;J30)</f>
        <v>901.2</v>
      </c>
      <c r="L30" s="154"/>
      <c r="M30" s="159"/>
      <c r="N30" s="160"/>
      <c r="O30" s="161"/>
      <c r="P30" s="162"/>
      <c r="Q30" s="162"/>
      <c r="R30" s="163"/>
      <c r="S30" s="170"/>
      <c r="X30" s="183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</row>
    <row r="31" spans="2:34" ht="13.35" customHeight="1">
      <c r="B31" s="133"/>
      <c r="C31" s="134"/>
      <c r="D31" s="140">
        <v>904</v>
      </c>
      <c r="E31" s="164" t="s">
        <v>416</v>
      </c>
      <c r="F31" s="133">
        <v>21</v>
      </c>
      <c r="G31" s="56">
        <v>3</v>
      </c>
      <c r="H31" s="56">
        <v>2</v>
      </c>
      <c r="I31" s="56">
        <v>2</v>
      </c>
      <c r="J31" s="133">
        <v>1</v>
      </c>
      <c r="K31" s="133" t="str">
        <f>(G31&amp;H31&amp;I31&amp;"."&amp;J31)</f>
        <v>322.1</v>
      </c>
      <c r="L31" s="141"/>
      <c r="M31" s="134">
        <v>50.1</v>
      </c>
      <c r="N31" s="142"/>
      <c r="O31" s="143"/>
      <c r="P31" s="144"/>
      <c r="Q31" s="144"/>
      <c r="R31" s="155"/>
      <c r="S31" s="170"/>
      <c r="X31" s="183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</row>
    <row r="32" spans="2:34" ht="13.35" customHeight="1">
      <c r="B32" s="133"/>
      <c r="C32" s="134"/>
      <c r="D32" s="140">
        <v>903</v>
      </c>
      <c r="E32" s="133" t="s">
        <v>17</v>
      </c>
      <c r="F32" s="133">
        <v>31</v>
      </c>
      <c r="G32" s="56">
        <v>8</v>
      </c>
      <c r="H32" s="56">
        <v>0</v>
      </c>
      <c r="I32" s="56">
        <v>1</v>
      </c>
      <c r="J32" s="133">
        <v>1</v>
      </c>
      <c r="K32" s="133" t="str">
        <f>(G32&amp;H32&amp;I32&amp;"."&amp;J32)</f>
        <v>801.1</v>
      </c>
      <c r="L32" s="154"/>
      <c r="M32" s="159"/>
      <c r="N32" s="160"/>
      <c r="O32" s="161"/>
      <c r="P32" s="162"/>
      <c r="Q32" s="162"/>
      <c r="R32" s="163"/>
      <c r="S32" s="170"/>
      <c r="T32" s="170"/>
      <c r="U32" s="170"/>
      <c r="V32" s="170"/>
      <c r="X32" s="183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</row>
    <row r="33" spans="2:34" ht="13.35" customHeight="1">
      <c r="B33" s="133"/>
      <c r="C33" s="134"/>
      <c r="D33" s="140">
        <v>902</v>
      </c>
      <c r="E33" s="164" t="s">
        <v>415</v>
      </c>
      <c r="F33" s="133">
        <v>22</v>
      </c>
      <c r="G33" s="56">
        <v>4</v>
      </c>
      <c r="H33" s="56">
        <v>2</v>
      </c>
      <c r="I33" s="56">
        <v>2</v>
      </c>
      <c r="J33" s="133">
        <v>1</v>
      </c>
      <c r="K33" s="133" t="str">
        <f>(G33&amp;H33&amp;I33&amp;"."&amp;J33)</f>
        <v>422.1</v>
      </c>
      <c r="L33" s="141"/>
      <c r="M33" s="134">
        <v>38.200000000000003</v>
      </c>
      <c r="N33" s="142"/>
      <c r="O33" s="143"/>
      <c r="P33" s="144"/>
      <c r="Q33" s="144"/>
      <c r="R33" s="155"/>
      <c r="S33" s="170"/>
      <c r="T33" s="170"/>
      <c r="U33" s="170"/>
      <c r="V33" s="170"/>
      <c r="X33" s="183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</row>
    <row r="34" spans="2:34" ht="13.35" customHeight="1" thickBot="1">
      <c r="B34" s="133"/>
      <c r="C34" s="134"/>
      <c r="D34" s="147">
        <v>901</v>
      </c>
      <c r="E34" s="148" t="s">
        <v>16</v>
      </c>
      <c r="F34" s="148">
        <v>32</v>
      </c>
      <c r="G34" s="50">
        <v>9</v>
      </c>
      <c r="H34" s="50">
        <v>0</v>
      </c>
      <c r="I34" s="50">
        <v>1</v>
      </c>
      <c r="J34" s="148">
        <v>1</v>
      </c>
      <c r="K34" s="148" t="str">
        <f>(G34&amp;H34&amp;I34&amp;"."&amp;J34)</f>
        <v>901.1</v>
      </c>
      <c r="L34" s="154"/>
      <c r="M34" s="165"/>
      <c r="N34" s="166"/>
      <c r="O34" s="167"/>
      <c r="P34" s="168"/>
      <c r="Q34" s="168"/>
      <c r="R34" s="169"/>
      <c r="S34" s="170"/>
      <c r="T34" s="170"/>
      <c r="U34" s="170"/>
      <c r="V34" s="170"/>
      <c r="X34" s="183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</row>
    <row r="35" spans="2:34" ht="13.35" customHeight="1">
      <c r="B35" s="133"/>
      <c r="C35" s="134"/>
      <c r="D35" s="135">
        <v>301</v>
      </c>
      <c r="E35" s="136" t="s">
        <v>6</v>
      </c>
      <c r="F35" s="136">
        <v>10</v>
      </c>
      <c r="G35" s="62">
        <f>IF(LEFT(E35,1)="F",1,2)</f>
        <v>2</v>
      </c>
      <c r="H35" s="62">
        <f>IF(MID(E35,2,1)="S",1,IF(MID(E35,2,1)="T",2,IF(MID(E35,2,1)="D",3,0)))</f>
        <v>2</v>
      </c>
      <c r="I35" s="62">
        <f>IF(RIGHT(E35,1)="L",1,2)</f>
        <v>1</v>
      </c>
      <c r="J35" s="136">
        <v>3</v>
      </c>
      <c r="K35" s="136" t="str">
        <f>(G35&amp;H35&amp;I35&amp;"."&amp;J35)</f>
        <v>221.3</v>
      </c>
      <c r="L35" s="182">
        <v>0.44236111111111115</v>
      </c>
      <c r="M35" s="137">
        <v>40.1</v>
      </c>
      <c r="N35" s="138"/>
      <c r="O35" s="139"/>
      <c r="P35" s="139"/>
      <c r="Q35" s="139"/>
      <c r="R35" s="158"/>
      <c r="S35" s="170"/>
      <c r="T35" s="170"/>
      <c r="U35" s="170"/>
      <c r="V35" s="170"/>
      <c r="X35" s="183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</row>
    <row r="36" spans="2:34" ht="13.35" customHeight="1">
      <c r="B36" s="133"/>
      <c r="C36" s="134"/>
      <c r="D36" s="140">
        <v>302</v>
      </c>
      <c r="E36" s="133" t="s">
        <v>4</v>
      </c>
      <c r="F36" s="133">
        <v>4</v>
      </c>
      <c r="G36" s="56">
        <f>IF(LEFT(E36,1)="F",1,2)</f>
        <v>1</v>
      </c>
      <c r="H36" s="56">
        <f>IF(MID(E36,2,1)="S",1,IF(MID(E36,2,1)="T",2,IF(MID(E36,2,1)="D",3,0)))</f>
        <v>2</v>
      </c>
      <c r="I36" s="56">
        <f>IF(RIGHT(E36,1)="L",1,2)</f>
        <v>1</v>
      </c>
      <c r="J36" s="133">
        <v>3</v>
      </c>
      <c r="K36" s="133" t="str">
        <f>(G36&amp;H36&amp;I36&amp;"."&amp;J36)</f>
        <v>121.3</v>
      </c>
      <c r="L36" s="154"/>
      <c r="M36" s="134">
        <v>41.3</v>
      </c>
      <c r="N36" s="142"/>
      <c r="O36" s="143"/>
      <c r="P36" s="144"/>
      <c r="Q36" s="144"/>
      <c r="R36" s="155"/>
      <c r="S36" s="170"/>
      <c r="T36" s="170"/>
      <c r="U36" s="170"/>
      <c r="V36" s="170"/>
    </row>
    <row r="37" spans="2:34" ht="13.35" customHeight="1">
      <c r="B37" s="133"/>
      <c r="C37" s="134"/>
      <c r="D37" s="140">
        <v>303</v>
      </c>
      <c r="E37" s="133" t="s">
        <v>12</v>
      </c>
      <c r="F37" s="133">
        <v>8</v>
      </c>
      <c r="G37" s="56">
        <f>IF(LEFT(E37,1)="F",1,2)</f>
        <v>2</v>
      </c>
      <c r="H37" s="56">
        <f>IF(MID(E37,2,1)="S",1,IF(MID(E37,2,1)="T",2,IF(MID(E37,2,1)="D",3,0)))</f>
        <v>1</v>
      </c>
      <c r="I37" s="56">
        <f>IF(RIGHT(E37,1)="L",1,2)</f>
        <v>1</v>
      </c>
      <c r="J37" s="133">
        <v>3</v>
      </c>
      <c r="K37" s="133" t="str">
        <f>(G37&amp;H37&amp;I37&amp;"."&amp;J37)</f>
        <v>211.3</v>
      </c>
      <c r="L37" s="141"/>
      <c r="M37" s="134">
        <v>40.299999999999997</v>
      </c>
      <c r="N37" s="142"/>
      <c r="O37" s="143"/>
      <c r="P37" s="144"/>
      <c r="Q37" s="144"/>
      <c r="R37" s="155"/>
      <c r="S37" s="170"/>
      <c r="T37" s="170"/>
      <c r="U37" s="170"/>
      <c r="V37" s="170"/>
      <c r="X37" s="183"/>
      <c r="Y37" s="186"/>
      <c r="Z37" s="186"/>
      <c r="AA37" s="186"/>
      <c r="AB37" s="186"/>
      <c r="AC37" s="186"/>
      <c r="AD37" s="186"/>
      <c r="AE37" s="186"/>
      <c r="AF37" s="186"/>
      <c r="AG37" s="186"/>
      <c r="AH37" s="186"/>
    </row>
    <row r="38" spans="2:34" ht="13.35" customHeight="1">
      <c r="B38" s="133"/>
      <c r="C38" s="134"/>
      <c r="D38" s="140">
        <v>304</v>
      </c>
      <c r="E38" s="133" t="s">
        <v>13</v>
      </c>
      <c r="F38" s="133">
        <v>2</v>
      </c>
      <c r="G38" s="56">
        <f>IF(LEFT(E38,1)="F",1,2)</f>
        <v>1</v>
      </c>
      <c r="H38" s="56">
        <f>IF(MID(E38,2,1)="S",1,IF(MID(E38,2,1)="T",2,IF(MID(E38,2,1)="D",3,0)))</f>
        <v>1</v>
      </c>
      <c r="I38" s="56">
        <f>IF(RIGHT(E38,1)="L",1,2)</f>
        <v>1</v>
      </c>
      <c r="J38" s="133">
        <v>3</v>
      </c>
      <c r="K38" s="133" t="str">
        <f>(G38&amp;H38&amp;I38&amp;"."&amp;J38)</f>
        <v>111.3</v>
      </c>
      <c r="L38" s="141"/>
      <c r="M38" s="134">
        <v>39.700000000000003</v>
      </c>
      <c r="N38" s="142"/>
      <c r="O38" s="143"/>
      <c r="P38" s="144"/>
      <c r="Q38" s="144"/>
      <c r="R38" s="155"/>
      <c r="S38" s="170"/>
      <c r="T38" s="170"/>
      <c r="U38" s="170"/>
      <c r="V38" s="170"/>
      <c r="X38" s="183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</row>
    <row r="39" spans="2:34" ht="13.35" customHeight="1">
      <c r="B39" s="133"/>
      <c r="C39" s="134"/>
      <c r="D39" s="140">
        <v>305</v>
      </c>
      <c r="E39" s="133" t="s">
        <v>11</v>
      </c>
      <c r="F39" s="133">
        <v>11</v>
      </c>
      <c r="G39" s="56">
        <f>IF(LEFT(E39,1)="F",1,2)</f>
        <v>2</v>
      </c>
      <c r="H39" s="56">
        <f>IF(MID(E39,2,1)="S",1,IF(MID(E39,2,1)="T",2,IF(MID(E39,2,1)="D",3,0)))</f>
        <v>3</v>
      </c>
      <c r="I39" s="56">
        <f>IF(RIGHT(E39,1)="L",1,2)</f>
        <v>2</v>
      </c>
      <c r="J39" s="133">
        <v>4</v>
      </c>
      <c r="K39" s="133" t="str">
        <f>(G39&amp;H39&amp;I39&amp;"."&amp;J39)</f>
        <v>232.4</v>
      </c>
      <c r="L39" s="141"/>
      <c r="M39" s="134">
        <v>43.5</v>
      </c>
      <c r="N39" s="142"/>
      <c r="O39" s="143"/>
      <c r="P39" s="144"/>
      <c r="Q39" s="144"/>
      <c r="R39" s="155"/>
      <c r="S39" s="170"/>
      <c r="T39" s="170"/>
      <c r="U39" s="170"/>
      <c r="V39" s="170"/>
      <c r="X39" s="183"/>
      <c r="Y39" s="171"/>
      <c r="Z39" s="171"/>
      <c r="AA39" s="171"/>
      <c r="AB39" s="171"/>
      <c r="AC39" s="171"/>
      <c r="AD39" s="171"/>
      <c r="AE39" s="171"/>
      <c r="AF39" s="171"/>
      <c r="AG39" s="187"/>
      <c r="AH39" s="186"/>
    </row>
    <row r="40" spans="2:34" ht="13.35" customHeight="1" thickBot="1">
      <c r="B40" s="133"/>
      <c r="C40" s="134"/>
      <c r="D40" s="140">
        <v>306</v>
      </c>
      <c r="E40" s="133" t="s">
        <v>4</v>
      </c>
      <c r="F40" s="133">
        <v>4</v>
      </c>
      <c r="G40" s="56">
        <f>IF(LEFT(E40,1)="F",1,2)</f>
        <v>1</v>
      </c>
      <c r="H40" s="56">
        <f>IF(MID(E40,2,1)="S",1,IF(MID(E40,2,1)="T",2,IF(MID(E40,2,1)="D",3,0)))</f>
        <v>2</v>
      </c>
      <c r="I40" s="56">
        <f>IF(RIGHT(E40,1)="L",1,2)</f>
        <v>1</v>
      </c>
      <c r="J40" s="133">
        <v>4</v>
      </c>
      <c r="K40" s="133" t="str">
        <f>(G40&amp;H40&amp;I40&amp;"."&amp;J40)</f>
        <v>121.4</v>
      </c>
      <c r="L40" s="141"/>
      <c r="M40" s="134">
        <v>39.9</v>
      </c>
      <c r="N40" s="142"/>
      <c r="O40" s="143"/>
      <c r="P40" s="144"/>
      <c r="Q40" s="144"/>
      <c r="R40" s="155"/>
      <c r="S40" s="170"/>
      <c r="T40" s="170"/>
      <c r="U40" s="170"/>
      <c r="V40" s="170"/>
      <c r="X40" s="183"/>
      <c r="Y40" s="171"/>
      <c r="Z40" s="171"/>
      <c r="AA40" s="171"/>
      <c r="AB40" s="171"/>
      <c r="AC40" s="171"/>
      <c r="AD40" s="171"/>
      <c r="AE40" s="171"/>
      <c r="AF40" s="171"/>
      <c r="AG40" s="171"/>
      <c r="AH40" s="186"/>
    </row>
    <row r="41" spans="2:34" ht="13.35" customHeight="1" thickBot="1">
      <c r="B41" s="133"/>
      <c r="C41" s="134"/>
      <c r="D41" s="140">
        <v>307</v>
      </c>
      <c r="E41" s="133" t="s">
        <v>7</v>
      </c>
      <c r="F41" s="133">
        <v>9</v>
      </c>
      <c r="G41" s="56">
        <f>IF(LEFT(E41,1)="F",1,2)</f>
        <v>2</v>
      </c>
      <c r="H41" s="56">
        <f>IF(MID(E41,2,1)="S",1,IF(MID(E41,2,1)="T",2,IF(MID(E41,2,1)="D",3,0)))</f>
        <v>2</v>
      </c>
      <c r="I41" s="56">
        <f>IF(RIGHT(E41,1)="L",1,2)</f>
        <v>2</v>
      </c>
      <c r="J41" s="133">
        <v>4</v>
      </c>
      <c r="K41" s="133" t="str">
        <f>(G41&amp;H41&amp;I41&amp;"."&amp;J41)</f>
        <v>222.4</v>
      </c>
      <c r="L41" s="141"/>
      <c r="M41" s="134">
        <v>40.5</v>
      </c>
      <c r="N41" s="142"/>
      <c r="O41" s="143"/>
      <c r="P41" s="144"/>
      <c r="Q41" s="185" t="s">
        <v>414</v>
      </c>
      <c r="R41" s="184"/>
      <c r="S41" s="170"/>
      <c r="T41" s="170"/>
      <c r="U41" s="170"/>
      <c r="V41" s="170"/>
      <c r="X41" s="183"/>
      <c r="Y41" s="171"/>
      <c r="Z41" s="171"/>
      <c r="AA41" s="171"/>
      <c r="AB41" s="171"/>
      <c r="AC41" s="171"/>
      <c r="AD41" s="171"/>
      <c r="AE41" s="171"/>
      <c r="AF41" s="171"/>
      <c r="AG41" s="171"/>
    </row>
    <row r="42" spans="2:34" ht="13.35" customHeight="1" thickBot="1">
      <c r="B42" s="133"/>
      <c r="C42" s="134"/>
      <c r="D42" s="147">
        <v>308</v>
      </c>
      <c r="E42" s="148" t="s">
        <v>5</v>
      </c>
      <c r="F42" s="148">
        <v>5</v>
      </c>
      <c r="G42" s="50">
        <f>IF(LEFT(E42,1)="F",1,2)</f>
        <v>1</v>
      </c>
      <c r="H42" s="50">
        <f>IF(MID(E42,2,1)="S",1,IF(MID(E42,2,1)="T",2,IF(MID(E42,2,1)="D",3,0)))</f>
        <v>3</v>
      </c>
      <c r="I42" s="50">
        <f>IF(RIGHT(E42,1)="L",1,2)</f>
        <v>2</v>
      </c>
      <c r="J42" s="148">
        <v>4</v>
      </c>
      <c r="K42" s="148" t="str">
        <f>(G42&amp;H42&amp;I42&amp;"."&amp;J42)</f>
        <v>132.4</v>
      </c>
      <c r="L42" s="149"/>
      <c r="M42" s="150">
        <v>46.7</v>
      </c>
      <c r="N42" s="151"/>
      <c r="O42" s="152"/>
      <c r="P42" s="153"/>
      <c r="Q42" s="145" t="s">
        <v>413</v>
      </c>
      <c r="R42" s="146"/>
      <c r="S42" s="170"/>
      <c r="T42" s="170"/>
      <c r="U42" s="170"/>
      <c r="V42" s="170"/>
    </row>
    <row r="43" spans="2:34" ht="13.35" customHeight="1" thickBot="1">
      <c r="B43" s="133"/>
      <c r="C43" s="134"/>
      <c r="D43" s="135">
        <v>408</v>
      </c>
      <c r="E43" s="136" t="s">
        <v>6</v>
      </c>
      <c r="F43" s="136">
        <v>10</v>
      </c>
      <c r="G43" s="62">
        <f>IF(LEFT(E43,1)="F",1,2)</f>
        <v>2</v>
      </c>
      <c r="H43" s="62">
        <f>IF(MID(E43,2,1)="S",1,IF(MID(E43,2,1)="T",2,IF(MID(E43,2,1)="D",3,0)))</f>
        <v>2</v>
      </c>
      <c r="I43" s="62">
        <f>IF(RIGHT(E43,1)="L",1,2)</f>
        <v>1</v>
      </c>
      <c r="J43" s="136">
        <v>4</v>
      </c>
      <c r="K43" s="136" t="str">
        <f>(G43&amp;H43&amp;I43&amp;"."&amp;J43)</f>
        <v>221.4</v>
      </c>
      <c r="L43" s="182">
        <v>0.44722222222222219</v>
      </c>
      <c r="M43" s="137">
        <v>41.7</v>
      </c>
      <c r="N43" s="138"/>
      <c r="O43" s="139"/>
      <c r="P43" s="139"/>
      <c r="Q43" s="145" t="s">
        <v>412</v>
      </c>
      <c r="R43" s="146"/>
      <c r="S43" s="170"/>
      <c r="T43" s="170"/>
      <c r="U43" s="170"/>
      <c r="V43" s="170"/>
    </row>
    <row r="44" spans="2:34" ht="13.35" customHeight="1" thickBot="1">
      <c r="B44" s="133"/>
      <c r="C44" s="134"/>
      <c r="D44" s="140">
        <v>407</v>
      </c>
      <c r="E44" s="133" t="s">
        <v>14</v>
      </c>
      <c r="F44" s="133">
        <v>7</v>
      </c>
      <c r="G44" s="56">
        <f>IF(LEFT(E44,1)="F",1,2)</f>
        <v>2</v>
      </c>
      <c r="H44" s="56">
        <f>IF(MID(E44,2,1)="S",1,IF(MID(E44,2,1)="T",2,IF(MID(E44,2,1)="D",3,0)))</f>
        <v>1</v>
      </c>
      <c r="I44" s="56">
        <f>IF(RIGHT(E44,1)="L",1,2)</f>
        <v>2</v>
      </c>
      <c r="J44" s="133">
        <v>4</v>
      </c>
      <c r="K44" s="133" t="str">
        <f>(G44&amp;H44&amp;I44&amp;"."&amp;J44)</f>
        <v>212.4</v>
      </c>
      <c r="L44" s="154"/>
      <c r="M44" s="134">
        <v>43.1</v>
      </c>
      <c r="N44" s="142"/>
      <c r="O44" s="143"/>
      <c r="P44" s="144"/>
      <c r="Q44" s="145" t="s">
        <v>411</v>
      </c>
      <c r="R44" s="146"/>
      <c r="S44" s="170"/>
      <c r="T44" s="170"/>
      <c r="U44" s="170"/>
      <c r="V44" s="170"/>
    </row>
    <row r="45" spans="2:34" ht="13.35" customHeight="1" thickBot="1">
      <c r="B45" s="133"/>
      <c r="C45" s="134"/>
      <c r="D45" s="140">
        <v>406</v>
      </c>
      <c r="E45" s="133" t="s">
        <v>8</v>
      </c>
      <c r="F45" s="133">
        <v>3</v>
      </c>
      <c r="G45" s="56">
        <f>IF(LEFT(E45,1)="F",1,2)</f>
        <v>1</v>
      </c>
      <c r="H45" s="56">
        <f>IF(MID(E45,2,1)="S",1,IF(MID(E45,2,1)="T",2,IF(MID(E45,2,1)="D",3,0)))</f>
        <v>2</v>
      </c>
      <c r="I45" s="56">
        <f>IF(RIGHT(E45,1)="L",1,2)</f>
        <v>2</v>
      </c>
      <c r="J45" s="133">
        <v>4</v>
      </c>
      <c r="K45" s="133" t="str">
        <f>(G45&amp;H45&amp;I45&amp;"."&amp;J45)</f>
        <v>122.4</v>
      </c>
      <c r="L45" s="141"/>
      <c r="M45" s="134">
        <v>43.6</v>
      </c>
      <c r="N45" s="142"/>
      <c r="O45" s="143"/>
      <c r="P45" s="144"/>
      <c r="Q45" s="145" t="s">
        <v>410</v>
      </c>
      <c r="R45" s="146"/>
      <c r="S45" s="170"/>
      <c r="T45" s="170"/>
      <c r="U45" s="170"/>
      <c r="V45" s="170"/>
    </row>
    <row r="46" spans="2:34" ht="13.35" customHeight="1" thickBot="1">
      <c r="B46" s="133"/>
      <c r="C46" s="134"/>
      <c r="D46" s="140">
        <v>405</v>
      </c>
      <c r="E46" s="133" t="s">
        <v>15</v>
      </c>
      <c r="F46" s="133">
        <v>6</v>
      </c>
      <c r="G46" s="56">
        <f>IF(LEFT(E46,1)="F",1,2)</f>
        <v>1</v>
      </c>
      <c r="H46" s="56">
        <f>IF(MID(E46,2,1)="S",1,IF(MID(E46,2,1)="T",2,IF(MID(E46,2,1)="D",3,0)))</f>
        <v>3</v>
      </c>
      <c r="I46" s="56">
        <f>IF(RIGHT(E46,1)="L",1,2)</f>
        <v>1</v>
      </c>
      <c r="J46" s="133">
        <v>4</v>
      </c>
      <c r="K46" s="133" t="str">
        <f>(G46&amp;H46&amp;I46&amp;"."&amp;J46)</f>
        <v>131.4</v>
      </c>
      <c r="L46" s="141"/>
      <c r="M46" s="134">
        <v>41.3</v>
      </c>
      <c r="N46" s="142"/>
      <c r="O46" s="143"/>
      <c r="P46" s="144"/>
      <c r="Q46" s="145" t="s">
        <v>409</v>
      </c>
      <c r="R46" s="146"/>
      <c r="S46" s="170"/>
      <c r="T46" s="170"/>
      <c r="U46" s="170"/>
      <c r="V46" s="170"/>
    </row>
    <row r="47" spans="2:34" ht="13.35" customHeight="1" thickBot="1">
      <c r="B47" s="133"/>
      <c r="C47" s="134"/>
      <c r="D47" s="140">
        <v>404</v>
      </c>
      <c r="E47" s="133" t="s">
        <v>8</v>
      </c>
      <c r="F47" s="133">
        <v>3</v>
      </c>
      <c r="G47" s="56">
        <f>IF(LEFT(E47,1)="F",1,2)</f>
        <v>1</v>
      </c>
      <c r="H47" s="56">
        <f>IF(MID(E47,2,1)="S",1,IF(MID(E47,2,1)="T",2,IF(MID(E47,2,1)="D",3,0)))</f>
        <v>2</v>
      </c>
      <c r="I47" s="56">
        <f>IF(RIGHT(E47,1)="L",1,2)</f>
        <v>2</v>
      </c>
      <c r="J47" s="133">
        <v>3</v>
      </c>
      <c r="K47" s="133" t="str">
        <f>(G47&amp;H47&amp;I47&amp;"."&amp;J47)</f>
        <v>122.3</v>
      </c>
      <c r="L47" s="141"/>
      <c r="M47" s="134">
        <v>42.3</v>
      </c>
      <c r="N47" s="142"/>
      <c r="O47" s="143"/>
      <c r="P47" s="144"/>
      <c r="Q47" s="145" t="s">
        <v>408</v>
      </c>
      <c r="R47" s="146"/>
      <c r="S47" s="170"/>
      <c r="T47" s="170"/>
      <c r="U47" s="170"/>
      <c r="V47" s="170"/>
    </row>
    <row r="48" spans="2:34" ht="13.35" customHeight="1" thickBot="1">
      <c r="B48" s="133"/>
      <c r="C48" s="134"/>
      <c r="D48" s="140">
        <v>403</v>
      </c>
      <c r="E48" s="133" t="s">
        <v>15</v>
      </c>
      <c r="F48" s="133">
        <v>6</v>
      </c>
      <c r="G48" s="56">
        <f>IF(LEFT(E48,1)="F",1,2)</f>
        <v>1</v>
      </c>
      <c r="H48" s="56">
        <f>IF(MID(E48,2,1)="S",1,IF(MID(E48,2,1)="T",2,IF(MID(E48,2,1)="D",3,0)))</f>
        <v>3</v>
      </c>
      <c r="I48" s="56">
        <f>IF(RIGHT(E48,1)="L",1,2)</f>
        <v>1</v>
      </c>
      <c r="J48" s="133">
        <v>3</v>
      </c>
      <c r="K48" s="133" t="str">
        <f>(G48&amp;H48&amp;I48&amp;"."&amp;J48)</f>
        <v>131.3</v>
      </c>
      <c r="L48" s="141"/>
      <c r="M48" s="134">
        <v>40.5</v>
      </c>
      <c r="N48" s="142"/>
      <c r="O48" s="143"/>
      <c r="P48" s="144"/>
      <c r="Q48" s="145" t="s">
        <v>407</v>
      </c>
      <c r="R48" s="146"/>
      <c r="S48" s="170"/>
      <c r="T48" s="170"/>
      <c r="U48" s="170"/>
      <c r="V48" s="170"/>
    </row>
    <row r="49" spans="2:22" ht="13.35" customHeight="1" thickBot="1">
      <c r="B49" s="133"/>
      <c r="C49" s="134"/>
      <c r="D49" s="140">
        <v>402</v>
      </c>
      <c r="E49" s="133" t="s">
        <v>7</v>
      </c>
      <c r="F49" s="133">
        <v>9</v>
      </c>
      <c r="G49" s="56">
        <f>IF(LEFT(E49,1)="F",1,2)</f>
        <v>2</v>
      </c>
      <c r="H49" s="56">
        <f>IF(MID(E49,2,1)="S",1,IF(MID(E49,2,1)="T",2,IF(MID(E49,2,1)="D",3,0)))</f>
        <v>2</v>
      </c>
      <c r="I49" s="56">
        <f>IF(RIGHT(E49,1)="L",1,2)</f>
        <v>2</v>
      </c>
      <c r="J49" s="133">
        <v>3</v>
      </c>
      <c r="K49" s="133" t="str">
        <f>(G49&amp;H49&amp;I49&amp;"."&amp;J49)</f>
        <v>222.3</v>
      </c>
      <c r="L49" s="141"/>
      <c r="M49" s="134">
        <v>42.2</v>
      </c>
      <c r="N49" s="142"/>
      <c r="O49" s="143"/>
      <c r="P49" s="144"/>
      <c r="Q49" s="145" t="s">
        <v>406</v>
      </c>
      <c r="R49" s="146"/>
      <c r="S49" s="170"/>
      <c r="T49" s="170"/>
      <c r="U49" s="170"/>
      <c r="V49" s="170"/>
    </row>
    <row r="50" spans="2:22" ht="13.35" customHeight="1" thickBot="1">
      <c r="B50" s="148"/>
      <c r="C50" s="150"/>
      <c r="D50" s="147">
        <v>401</v>
      </c>
      <c r="E50" s="148" t="s">
        <v>14</v>
      </c>
      <c r="F50" s="148">
        <v>7</v>
      </c>
      <c r="G50" s="50">
        <f>IF(LEFT(E50,1)="F",1,2)</f>
        <v>2</v>
      </c>
      <c r="H50" s="50">
        <f>IF(MID(E50,2,1)="S",1,IF(MID(E50,2,1)="T",2,IF(MID(E50,2,1)="D",3,0)))</f>
        <v>1</v>
      </c>
      <c r="I50" s="50">
        <f>IF(RIGHT(E50,1)="L",1,2)</f>
        <v>2</v>
      </c>
      <c r="J50" s="148">
        <v>3</v>
      </c>
      <c r="K50" s="148" t="str">
        <f>(G50&amp;H50&amp;I50&amp;"."&amp;J50)</f>
        <v>212.3</v>
      </c>
      <c r="L50" s="182">
        <v>0.45763888888888887</v>
      </c>
      <c r="M50" s="150">
        <v>45.9</v>
      </c>
      <c r="N50" s="151"/>
      <c r="O50" s="152"/>
      <c r="P50" s="153"/>
      <c r="Q50" s="145" t="s">
        <v>405</v>
      </c>
      <c r="R50" s="146">
        <v>65.8</v>
      </c>
      <c r="S50" s="170"/>
      <c r="T50" s="170"/>
      <c r="U50" s="170"/>
      <c r="V50" s="170"/>
    </row>
    <row r="51" spans="2:22">
      <c r="B51" s="171"/>
      <c r="C51" s="171"/>
      <c r="D51" s="171"/>
      <c r="E51" s="171"/>
      <c r="F51" s="171"/>
      <c r="G51" s="121"/>
      <c r="H51" s="121"/>
      <c r="I51" s="121"/>
      <c r="J51" s="171"/>
      <c r="K51" s="171"/>
      <c r="L51" s="123"/>
      <c r="M51" s="123"/>
      <c r="N51" s="123"/>
      <c r="O51" s="123"/>
      <c r="P51" s="123"/>
      <c r="Q51" s="123"/>
      <c r="R51" s="123"/>
      <c r="S51" s="170"/>
      <c r="T51" s="170"/>
      <c r="U51" s="170"/>
      <c r="V51" s="170"/>
    </row>
    <row r="52" spans="2:22">
      <c r="B52" s="171"/>
      <c r="C52" s="171"/>
      <c r="D52" s="171"/>
      <c r="E52" s="181"/>
      <c r="F52" s="171"/>
      <c r="G52" s="121"/>
      <c r="H52" s="121"/>
      <c r="I52" s="121"/>
      <c r="J52" s="171"/>
      <c r="K52" s="171"/>
      <c r="L52" s="123"/>
      <c r="M52" s="123"/>
      <c r="N52" s="123"/>
      <c r="O52" s="123"/>
      <c r="P52" s="123"/>
      <c r="Q52" s="123"/>
      <c r="R52" s="123"/>
      <c r="S52" s="170"/>
      <c r="T52" s="170"/>
      <c r="U52" s="170"/>
      <c r="V52" s="170"/>
    </row>
    <row r="53" spans="2:22">
      <c r="B53" s="171"/>
      <c r="C53" s="171"/>
      <c r="D53" s="171"/>
      <c r="E53" s="171"/>
      <c r="F53" s="171"/>
      <c r="G53" s="121"/>
      <c r="H53" s="121"/>
      <c r="I53" s="121"/>
      <c r="J53" s="171"/>
      <c r="K53" s="171"/>
      <c r="L53" s="123"/>
      <c r="M53" s="123"/>
      <c r="N53" s="123"/>
      <c r="O53" s="123"/>
      <c r="P53" s="123"/>
      <c r="Q53" s="123"/>
      <c r="R53" s="123"/>
      <c r="S53" s="170"/>
      <c r="T53" s="170"/>
      <c r="U53" s="170"/>
      <c r="V53" s="170"/>
    </row>
    <row r="54" spans="2:22">
      <c r="B54" s="171"/>
      <c r="C54" s="171"/>
      <c r="D54" s="171"/>
      <c r="E54" s="181"/>
      <c r="F54" s="171"/>
      <c r="G54" s="121"/>
      <c r="H54" s="121"/>
      <c r="I54" s="121"/>
      <c r="J54" s="171"/>
      <c r="K54" s="171"/>
      <c r="L54" s="123"/>
      <c r="M54" s="123"/>
      <c r="N54" s="123"/>
      <c r="O54" s="123"/>
      <c r="P54" s="123"/>
      <c r="Q54" s="123"/>
      <c r="R54" s="123"/>
      <c r="S54" s="170"/>
      <c r="T54" s="170"/>
      <c r="U54" s="170"/>
      <c r="V54" s="170"/>
    </row>
    <row r="55" spans="2:22">
      <c r="B55" s="171"/>
      <c r="C55" s="171"/>
      <c r="D55" s="171"/>
      <c r="E55" s="171"/>
      <c r="F55" s="171"/>
      <c r="G55" s="121"/>
      <c r="H55" s="121"/>
      <c r="I55" s="121"/>
      <c r="J55" s="171"/>
      <c r="K55" s="171"/>
      <c r="L55" s="123"/>
      <c r="M55" s="123"/>
      <c r="N55" s="123"/>
      <c r="O55" s="123"/>
      <c r="P55" s="123"/>
      <c r="Q55" s="123"/>
      <c r="R55" s="123"/>
      <c r="S55" s="170"/>
      <c r="T55" s="170"/>
      <c r="U55" s="170"/>
      <c r="V55" s="170"/>
    </row>
    <row r="56" spans="2:22">
      <c r="B56" s="171"/>
      <c r="C56" s="171"/>
      <c r="D56" s="171"/>
      <c r="E56" s="181"/>
      <c r="F56" s="171"/>
      <c r="G56" s="121"/>
      <c r="H56" s="121"/>
      <c r="I56" s="121"/>
      <c r="J56" s="171"/>
      <c r="K56" s="171"/>
      <c r="L56" s="123"/>
      <c r="M56" s="123"/>
      <c r="N56" s="123"/>
      <c r="O56" s="123"/>
      <c r="P56" s="123"/>
      <c r="Q56" s="123"/>
      <c r="R56" s="123"/>
      <c r="S56" s="170"/>
      <c r="T56" s="170"/>
      <c r="U56" s="170"/>
      <c r="V56" s="170"/>
    </row>
    <row r="57" spans="2:22">
      <c r="B57" s="171"/>
      <c r="C57" s="171"/>
      <c r="D57" s="171"/>
      <c r="E57" s="171"/>
      <c r="F57" s="171"/>
      <c r="G57" s="121"/>
      <c r="H57" s="121"/>
      <c r="I57" s="121"/>
      <c r="J57" s="171"/>
      <c r="K57" s="171"/>
      <c r="L57" s="123"/>
      <c r="M57" s="123"/>
      <c r="N57" s="123"/>
      <c r="O57" s="123"/>
      <c r="P57" s="123"/>
      <c r="Q57" s="123"/>
      <c r="R57" s="123"/>
      <c r="S57" s="170"/>
      <c r="T57" s="170"/>
      <c r="U57" s="170"/>
      <c r="V57" s="170"/>
    </row>
    <row r="58" spans="2:22">
      <c r="B58" s="171"/>
      <c r="C58" s="171"/>
      <c r="D58" s="171"/>
      <c r="E58" s="181"/>
      <c r="F58" s="171"/>
      <c r="G58" s="121"/>
      <c r="H58" s="121"/>
      <c r="I58" s="121"/>
      <c r="J58" s="171"/>
      <c r="K58" s="171"/>
      <c r="L58" s="123"/>
      <c r="M58" s="123"/>
      <c r="N58" s="123"/>
      <c r="O58" s="123"/>
      <c r="P58" s="123"/>
      <c r="Q58" s="123"/>
      <c r="R58" s="123"/>
    </row>
  </sheetData>
  <mergeCells count="8">
    <mergeCell ref="N10:R10"/>
    <mergeCell ref="Q11:R11"/>
    <mergeCell ref="Q41:R41"/>
    <mergeCell ref="D4:E4"/>
    <mergeCell ref="Q7:R7"/>
    <mergeCell ref="Q8:R8"/>
    <mergeCell ref="F7:O7"/>
    <mergeCell ref="F8:O8"/>
  </mergeCells>
  <pageMargins left="0.23" right="0" top="0.85" bottom="0.57999999999999996" header="0.43" footer="0"/>
  <pageSetup paperSize="512" scale="110" orientation="portrait" r:id="rId2"/>
  <headerFooter alignWithMargins="0">
    <oddHeader xml:space="preserve">&amp;L&amp;"Comic Sans MS,Bold"&amp;14FISE2002 ---SPAD Readings in target area &amp;10(12 rdgs. per plot)&amp;C&amp;"Comic Sans MS,Bold"&amp;12       </oddHeader>
    <oddFooter>&amp;L&amp;F  &amp;A
  USWCL Remote Sensing &amp;"Arial,Italic"&amp;8(PJPinter 602-437-1702 x230)&amp;R&amp;D</oddFooter>
  </headerFooter>
  <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B0E16-5FE1-44CD-A590-655D215DE330}">
  <dimension ref="A2:BW58"/>
  <sheetViews>
    <sheetView topLeftCell="D1" zoomScaleNormal="100" workbookViewId="0">
      <selection activeCell="U12" sqref="U12"/>
    </sheetView>
  </sheetViews>
  <sheetFormatPr defaultRowHeight="12.75"/>
  <cols>
    <col min="1" max="1" width="9.140625" style="122"/>
    <col min="2" max="2" width="3.7109375" style="122" hidden="1" customWidth="1"/>
    <col min="3" max="3" width="5.140625" style="122" hidden="1" customWidth="1"/>
    <col min="4" max="4" width="4.85546875" style="122" customWidth="1"/>
    <col min="5" max="5" width="5.7109375" style="122" customWidth="1"/>
    <col min="6" max="6" width="5.28515625" style="122" customWidth="1"/>
    <col min="7" max="9" width="5.28515625" style="122" hidden="1" customWidth="1"/>
    <col min="10" max="10" width="5.28515625" style="122" customWidth="1"/>
    <col min="11" max="11" width="7" style="122" hidden="1" customWidth="1"/>
    <col min="12" max="19" width="9.140625" style="122"/>
    <col min="20" max="20" width="11.7109375" style="122" customWidth="1"/>
    <col min="21" max="21" width="6.5703125" style="122" customWidth="1"/>
    <col min="22" max="22" width="11.7109375" style="122" customWidth="1"/>
    <col min="23" max="23" width="9.140625" style="122"/>
    <col min="24" max="24" width="7.5703125" style="122" customWidth="1"/>
    <col min="25" max="34" width="7.7109375" style="122" customWidth="1"/>
    <col min="35" max="16384" width="9.140625" style="122"/>
  </cols>
  <sheetData>
    <row r="2" spans="1:75" ht="22.5">
      <c r="A2" s="177" t="s">
        <v>429</v>
      </c>
    </row>
    <row r="4" spans="1:75" ht="22.5">
      <c r="A4" s="177" t="s">
        <v>428</v>
      </c>
      <c r="D4" s="201">
        <v>192</v>
      </c>
      <c r="E4" s="201"/>
    </row>
    <row r="6" spans="1:75" ht="15" customHeight="1" thickBot="1">
      <c r="B6" s="123"/>
      <c r="C6" s="123"/>
      <c r="D6" s="123" t="s">
        <v>427</v>
      </c>
      <c r="E6" s="123"/>
      <c r="P6" s="123" t="s">
        <v>426</v>
      </c>
      <c r="R6" s="124">
        <v>95421064</v>
      </c>
    </row>
    <row r="7" spans="1:75" ht="15" customHeight="1" thickBot="1">
      <c r="A7" s="123"/>
      <c r="B7" s="123"/>
      <c r="C7" s="123"/>
      <c r="D7" s="123" t="s">
        <v>336</v>
      </c>
      <c r="E7" s="123"/>
      <c r="F7" s="199" t="s">
        <v>431</v>
      </c>
      <c r="G7" s="199"/>
      <c r="H7" s="199"/>
      <c r="I7" s="199"/>
      <c r="J7" s="199"/>
      <c r="K7" s="199"/>
      <c r="L7" s="199"/>
      <c r="M7" s="199"/>
      <c r="N7" s="199"/>
      <c r="O7" s="199"/>
      <c r="P7" s="125" t="s">
        <v>358</v>
      </c>
      <c r="Q7" s="200">
        <v>37448</v>
      </c>
      <c r="R7" s="199"/>
      <c r="U7" s="171"/>
      <c r="V7" s="171"/>
      <c r="W7" s="171"/>
      <c r="X7" s="171"/>
    </row>
    <row r="8" spans="1:75" ht="13.5" thickBot="1">
      <c r="F8" s="198" t="s">
        <v>430</v>
      </c>
      <c r="G8" s="198"/>
      <c r="H8" s="198"/>
      <c r="I8" s="198"/>
      <c r="J8" s="198"/>
      <c r="K8" s="198"/>
      <c r="L8" s="198"/>
      <c r="M8" s="198"/>
      <c r="N8" s="198"/>
      <c r="O8" s="198"/>
      <c r="P8" s="125" t="s">
        <v>350</v>
      </c>
      <c r="Q8" s="198" t="s">
        <v>423</v>
      </c>
      <c r="R8" s="198"/>
      <c r="T8" s="172" t="s">
        <v>332</v>
      </c>
      <c r="U8" s="173" t="s">
        <v>372</v>
      </c>
      <c r="V8" s="170"/>
      <c r="W8" s="170"/>
      <c r="X8" s="170"/>
    </row>
    <row r="9" spans="1:75" ht="13.5" thickBot="1">
      <c r="T9" s="172" t="s">
        <v>331</v>
      </c>
      <c r="U9" s="173" t="s">
        <v>372</v>
      </c>
      <c r="V9" s="170"/>
      <c r="W9" s="170"/>
      <c r="X9" s="170"/>
    </row>
    <row r="10" spans="1:75" ht="25.5" customHeight="1" thickBot="1">
      <c r="B10" s="127"/>
      <c r="C10" s="128"/>
      <c r="D10" s="197" t="s">
        <v>0</v>
      </c>
      <c r="E10" s="129" t="s">
        <v>305</v>
      </c>
      <c r="F10" s="129" t="s">
        <v>333</v>
      </c>
      <c r="G10" s="130" t="s">
        <v>332</v>
      </c>
      <c r="H10" s="129" t="s">
        <v>331</v>
      </c>
      <c r="I10" s="130" t="s">
        <v>330</v>
      </c>
      <c r="J10" s="130" t="s">
        <v>329</v>
      </c>
      <c r="K10" s="130" t="s">
        <v>328</v>
      </c>
      <c r="L10" s="131" t="s">
        <v>422</v>
      </c>
      <c r="M10" s="132" t="s">
        <v>421</v>
      </c>
      <c r="N10" s="196" t="s">
        <v>420</v>
      </c>
      <c r="O10" s="195"/>
      <c r="P10" s="195"/>
      <c r="Q10" s="195"/>
      <c r="R10" s="194"/>
      <c r="X10" s="193"/>
      <c r="Y10" s="193"/>
      <c r="Z10" s="193"/>
      <c r="AA10" s="193"/>
      <c r="AB10" s="193"/>
      <c r="AC10" s="193"/>
      <c r="AD10" s="193"/>
      <c r="AE10" s="193"/>
      <c r="AF10" s="193"/>
      <c r="AG10" s="193"/>
      <c r="AH10" s="193"/>
    </row>
    <row r="11" spans="1:75" ht="13.35" customHeight="1" thickBot="1">
      <c r="B11" s="133"/>
      <c r="C11" s="134"/>
      <c r="D11" s="135">
        <v>108</v>
      </c>
      <c r="E11" s="136" t="s">
        <v>8</v>
      </c>
      <c r="F11" s="136">
        <v>3</v>
      </c>
      <c r="G11" s="62">
        <f>IF(LEFT(E11,1)="F",1,2)</f>
        <v>1</v>
      </c>
      <c r="H11" s="62">
        <f>IF(MID(E11,2,1)="S",1,IF(MID(E11,2,1)="T",2,IF(MID(E11,2,1)="D",3,0)))</f>
        <v>2</v>
      </c>
      <c r="I11" s="62">
        <f>IF(RIGHT(E11,1)="L",1,2)</f>
        <v>2</v>
      </c>
      <c r="J11" s="136">
        <v>2</v>
      </c>
      <c r="K11" s="136" t="str">
        <f>(G11&amp;H11&amp;I11&amp;"."&amp;J11)</f>
        <v>122.2</v>
      </c>
      <c r="L11" s="182">
        <v>0.46736111111111112</v>
      </c>
      <c r="M11" s="137">
        <v>39.799999999999997</v>
      </c>
      <c r="N11" s="138"/>
      <c r="O11" s="139"/>
      <c r="P11" s="139"/>
      <c r="Q11" s="185" t="s">
        <v>419</v>
      </c>
      <c r="R11" s="184"/>
      <c r="S11" s="170"/>
      <c r="T11" s="192" t="s">
        <v>330</v>
      </c>
      <c r="U11" s="191" t="s">
        <v>418</v>
      </c>
      <c r="V11" s="191" t="s">
        <v>417</v>
      </c>
      <c r="AA11" s="186"/>
      <c r="AB11" s="186"/>
      <c r="AC11" s="186"/>
      <c r="AD11" s="186"/>
      <c r="AE11" s="186"/>
      <c r="AF11" s="186"/>
      <c r="AG11" s="186"/>
      <c r="AH11" s="186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</row>
    <row r="12" spans="1:75" ht="13.35" customHeight="1" thickBot="1">
      <c r="B12" s="133"/>
      <c r="C12" s="134"/>
      <c r="D12" s="140">
        <v>107</v>
      </c>
      <c r="E12" s="133" t="s">
        <v>6</v>
      </c>
      <c r="F12" s="133">
        <v>10</v>
      </c>
      <c r="G12" s="56">
        <f>IF(LEFT(E12,1)="F",1,2)</f>
        <v>2</v>
      </c>
      <c r="H12" s="56">
        <f>IF(MID(E12,2,1)="S",1,IF(MID(E12,2,1)="T",2,IF(MID(E12,2,1)="D",3,0)))</f>
        <v>2</v>
      </c>
      <c r="I12" s="56">
        <f>IF(RIGHT(E12,1)="L",1,2)</f>
        <v>1</v>
      </c>
      <c r="J12" s="133">
        <v>2</v>
      </c>
      <c r="K12" s="133" t="str">
        <f>(G12&amp;H12&amp;I12&amp;"."&amp;J12)</f>
        <v>221.2</v>
      </c>
      <c r="L12" s="141"/>
      <c r="M12" s="134">
        <v>41.7</v>
      </c>
      <c r="N12" s="142"/>
      <c r="O12" s="143"/>
      <c r="P12" s="144"/>
      <c r="Q12" s="145" t="s">
        <v>413</v>
      </c>
      <c r="R12" s="146">
        <v>4.3</v>
      </c>
      <c r="S12" s="170"/>
      <c r="T12" s="178">
        <v>1</v>
      </c>
      <c r="U12" s="189">
        <v>16</v>
      </c>
      <c r="V12" s="175">
        <v>41.487499999999997</v>
      </c>
      <c r="AA12" s="186"/>
      <c r="AB12" s="186"/>
      <c r="AC12" s="186"/>
      <c r="AD12" s="186"/>
      <c r="AE12" s="186"/>
      <c r="AF12" s="186"/>
      <c r="AG12" s="186"/>
      <c r="AH12" s="186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</row>
    <row r="13" spans="1:75" ht="13.35" customHeight="1" thickBot="1">
      <c r="B13" s="133"/>
      <c r="C13" s="134"/>
      <c r="D13" s="140">
        <v>106</v>
      </c>
      <c r="E13" s="133" t="s">
        <v>7</v>
      </c>
      <c r="F13" s="133">
        <v>9</v>
      </c>
      <c r="G13" s="56">
        <f>IF(LEFT(E13,1)="F",1,2)</f>
        <v>2</v>
      </c>
      <c r="H13" s="56">
        <f>IF(MID(E13,2,1)="S",1,IF(MID(E13,2,1)="T",2,IF(MID(E13,2,1)="D",3,0)))</f>
        <v>2</v>
      </c>
      <c r="I13" s="56">
        <f>IF(RIGHT(E13,1)="L",1,2)</f>
        <v>2</v>
      </c>
      <c r="J13" s="133">
        <v>2</v>
      </c>
      <c r="K13" s="133" t="str">
        <f>(G13&amp;H13&amp;I13&amp;"."&amp;J13)</f>
        <v>222.2</v>
      </c>
      <c r="L13" s="141"/>
      <c r="M13" s="134">
        <v>45.4</v>
      </c>
      <c r="N13" s="142"/>
      <c r="O13" s="143"/>
      <c r="P13" s="144"/>
      <c r="Q13" s="145" t="s">
        <v>412</v>
      </c>
      <c r="R13" s="146">
        <v>11.8</v>
      </c>
      <c r="S13" s="170"/>
      <c r="T13" s="178">
        <v>2</v>
      </c>
      <c r="U13" s="189">
        <v>20</v>
      </c>
      <c r="V13" s="175">
        <v>43.704999999999998</v>
      </c>
      <c r="AA13" s="171"/>
      <c r="AB13" s="171"/>
      <c r="AC13" s="171"/>
      <c r="AD13" s="171"/>
      <c r="AE13" s="171"/>
      <c r="AF13" s="171"/>
      <c r="AG13" s="171"/>
      <c r="AH13" s="171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</row>
    <row r="14" spans="1:75" ht="13.35" customHeight="1" thickBot="1">
      <c r="B14" s="133"/>
      <c r="C14" s="134"/>
      <c r="D14" s="140">
        <v>105</v>
      </c>
      <c r="E14" s="133" t="s">
        <v>10</v>
      </c>
      <c r="F14" s="133">
        <v>12</v>
      </c>
      <c r="G14" s="56">
        <f>IF(LEFT(E14,1)="F",1,2)</f>
        <v>2</v>
      </c>
      <c r="H14" s="56">
        <f>IF(MID(E14,2,1)="S",1,IF(MID(E14,2,1)="T",2,IF(MID(E14,2,1)="D",3,0)))</f>
        <v>3</v>
      </c>
      <c r="I14" s="56">
        <f>IF(RIGHT(E14,1)="L",1,2)</f>
        <v>1</v>
      </c>
      <c r="J14" s="133">
        <v>2</v>
      </c>
      <c r="K14" s="133" t="str">
        <f>(G14&amp;H14&amp;I14&amp;"."&amp;J14)</f>
        <v>231.2</v>
      </c>
      <c r="L14" s="141"/>
      <c r="M14" s="134">
        <v>36.5</v>
      </c>
      <c r="N14" s="142"/>
      <c r="O14" s="143"/>
      <c r="P14" s="144"/>
      <c r="Q14" s="145" t="s">
        <v>411</v>
      </c>
      <c r="R14" s="146">
        <v>19.2</v>
      </c>
      <c r="S14" s="170"/>
      <c r="T14" s="174" t="s">
        <v>312</v>
      </c>
      <c r="U14" s="188">
        <v>36</v>
      </c>
      <c r="V14" s="176">
        <v>42.719444444444441</v>
      </c>
      <c r="AA14" s="171"/>
      <c r="AB14" s="171"/>
      <c r="AC14" s="171"/>
      <c r="AD14" s="171"/>
      <c r="AE14" s="171"/>
      <c r="AF14" s="171"/>
      <c r="AG14" s="171"/>
      <c r="AH14" s="171"/>
    </row>
    <row r="15" spans="1:75" ht="13.35" customHeight="1" thickBot="1">
      <c r="B15" s="133"/>
      <c r="C15" s="134"/>
      <c r="D15" s="140">
        <v>104</v>
      </c>
      <c r="E15" s="133" t="s">
        <v>6</v>
      </c>
      <c r="F15" s="133">
        <v>10</v>
      </c>
      <c r="G15" s="56">
        <f>IF(LEFT(E15,1)="F",1,2)</f>
        <v>2</v>
      </c>
      <c r="H15" s="56">
        <f>IF(MID(E15,2,1)="S",1,IF(MID(E15,2,1)="T",2,IF(MID(E15,2,1)="D",3,0)))</f>
        <v>2</v>
      </c>
      <c r="I15" s="56">
        <f>IF(RIGHT(E15,1)="L",1,2)</f>
        <v>1</v>
      </c>
      <c r="J15" s="133">
        <v>1</v>
      </c>
      <c r="K15" s="133" t="str">
        <f>(G15&amp;H15&amp;I15&amp;"."&amp;J15)</f>
        <v>221.1</v>
      </c>
      <c r="L15" s="141"/>
      <c r="M15" s="134">
        <v>47.3</v>
      </c>
      <c r="N15" s="142"/>
      <c r="O15" s="143"/>
      <c r="P15" s="144"/>
      <c r="Q15" s="145" t="s">
        <v>410</v>
      </c>
      <c r="R15" s="146">
        <v>26.4</v>
      </c>
      <c r="S15" s="170"/>
      <c r="AA15" s="171"/>
      <c r="AB15" s="171"/>
      <c r="AC15" s="171"/>
      <c r="AD15" s="171"/>
      <c r="AE15" s="171"/>
      <c r="AF15" s="171"/>
      <c r="AG15" s="171"/>
      <c r="AH15" s="171"/>
    </row>
    <row r="16" spans="1:75" ht="13.35" customHeight="1" thickBot="1">
      <c r="B16" s="133"/>
      <c r="C16" s="134"/>
      <c r="D16" s="140">
        <v>103</v>
      </c>
      <c r="E16" s="133" t="s">
        <v>5</v>
      </c>
      <c r="F16" s="133">
        <v>5</v>
      </c>
      <c r="G16" s="56">
        <f>IF(LEFT(E16,1)="F",1,2)</f>
        <v>1</v>
      </c>
      <c r="H16" s="56">
        <f>IF(MID(E16,2,1)="S",1,IF(MID(E16,2,1)="T",2,IF(MID(E16,2,1)="D",3,0)))</f>
        <v>3</v>
      </c>
      <c r="I16" s="56">
        <f>IF(RIGHT(E16,1)="L",1,2)</f>
        <v>2</v>
      </c>
      <c r="J16" s="133">
        <v>1</v>
      </c>
      <c r="K16" s="133" t="str">
        <f>(G16&amp;H16&amp;I16&amp;"."&amp;J16)</f>
        <v>132.1</v>
      </c>
      <c r="L16" s="141"/>
      <c r="M16" s="134">
        <v>37.200000000000003</v>
      </c>
      <c r="N16" s="142"/>
      <c r="O16" s="143"/>
      <c r="P16" s="144"/>
      <c r="Q16" s="145" t="s">
        <v>409</v>
      </c>
      <c r="R16" s="146">
        <v>33.799999999999997</v>
      </c>
      <c r="S16" s="170"/>
    </row>
    <row r="17" spans="2:34" ht="13.35" customHeight="1" thickBot="1">
      <c r="B17" s="133"/>
      <c r="C17" s="134"/>
      <c r="D17" s="140">
        <v>102</v>
      </c>
      <c r="E17" s="133" t="s">
        <v>4</v>
      </c>
      <c r="F17" s="133">
        <v>4</v>
      </c>
      <c r="G17" s="56">
        <f>IF(LEFT(E17,1)="F",1,2)</f>
        <v>1</v>
      </c>
      <c r="H17" s="56">
        <f>IF(MID(E17,2,1)="S",1,IF(MID(E17,2,1)="T",2,IF(MID(E17,2,1)="D",3,0)))</f>
        <v>2</v>
      </c>
      <c r="I17" s="56">
        <f>IF(RIGHT(E17,1)="L",1,2)</f>
        <v>1</v>
      </c>
      <c r="J17" s="133">
        <v>1</v>
      </c>
      <c r="K17" s="133" t="str">
        <f>(G17&amp;H17&amp;I17&amp;"."&amp;J17)</f>
        <v>121.1</v>
      </c>
      <c r="L17" s="141"/>
      <c r="M17" s="134">
        <v>38.299999999999997</v>
      </c>
      <c r="N17" s="142"/>
      <c r="O17" s="143"/>
      <c r="P17" s="144"/>
      <c r="Q17" s="145" t="s">
        <v>408</v>
      </c>
      <c r="R17" s="146">
        <v>41.2</v>
      </c>
      <c r="S17" s="170"/>
      <c r="AA17" s="186"/>
      <c r="AB17" s="186"/>
      <c r="AC17" s="186"/>
      <c r="AD17" s="186"/>
      <c r="AE17" s="186"/>
      <c r="AF17" s="186"/>
      <c r="AG17" s="186"/>
      <c r="AH17" s="186"/>
    </row>
    <row r="18" spans="2:34" ht="13.35" customHeight="1" thickBot="1">
      <c r="B18" s="133"/>
      <c r="C18" s="134"/>
      <c r="D18" s="147">
        <v>101</v>
      </c>
      <c r="E18" s="50" t="s">
        <v>3</v>
      </c>
      <c r="F18" s="50">
        <v>1</v>
      </c>
      <c r="G18" s="50">
        <f>IF(LEFT(E18,1)="F",1,2)</f>
        <v>1</v>
      </c>
      <c r="H18" s="50">
        <f>IF(MID(E18,2,1)="S",1,IF(MID(E18,2,1)="T",2,IF(MID(E18,2,1)="D",3,0)))</f>
        <v>1</v>
      </c>
      <c r="I18" s="50">
        <f>IF(RIGHT(E18,1)="L",1,2)</f>
        <v>2</v>
      </c>
      <c r="J18" s="148">
        <v>1</v>
      </c>
      <c r="K18" s="148" t="str">
        <f>(G18&amp;H18&amp;I18&amp;"."&amp;J18)</f>
        <v>112.1</v>
      </c>
      <c r="L18" s="149"/>
      <c r="M18" s="150">
        <v>40.4</v>
      </c>
      <c r="N18" s="151"/>
      <c r="O18" s="152"/>
      <c r="P18" s="153"/>
      <c r="Q18" s="145" t="s">
        <v>407</v>
      </c>
      <c r="R18" s="146">
        <v>48.4</v>
      </c>
      <c r="S18" s="170"/>
      <c r="AA18" s="186"/>
      <c r="AB18" s="186"/>
      <c r="AC18" s="186"/>
      <c r="AD18" s="186"/>
      <c r="AE18" s="186"/>
      <c r="AF18" s="186"/>
      <c r="AG18" s="186"/>
      <c r="AH18" s="186"/>
    </row>
    <row r="19" spans="2:34" ht="13.35" customHeight="1" thickBot="1">
      <c r="B19" s="133"/>
      <c r="C19" s="134"/>
      <c r="D19" s="135">
        <v>201</v>
      </c>
      <c r="E19" s="136" t="s">
        <v>10</v>
      </c>
      <c r="F19" s="136">
        <v>12</v>
      </c>
      <c r="G19" s="62">
        <f>IF(LEFT(E19,1)="F",1,2)</f>
        <v>2</v>
      </c>
      <c r="H19" s="62">
        <f>IF(MID(E19,2,1)="S",1,IF(MID(E19,2,1)="T",2,IF(MID(E19,2,1)="D",3,0)))</f>
        <v>3</v>
      </c>
      <c r="I19" s="62">
        <f>IF(RIGHT(E19,1)="L",1,2)</f>
        <v>1</v>
      </c>
      <c r="J19" s="136">
        <v>1</v>
      </c>
      <c r="K19" s="136" t="str">
        <f>(G19&amp;H19&amp;I19&amp;"."&amp;J19)</f>
        <v>231.1</v>
      </c>
      <c r="L19" s="182">
        <v>0.47569444444444442</v>
      </c>
      <c r="M19" s="137">
        <v>37.5</v>
      </c>
      <c r="N19" s="138"/>
      <c r="O19" s="139"/>
      <c r="P19" s="139"/>
      <c r="Q19" s="145" t="s">
        <v>406</v>
      </c>
      <c r="R19" s="146">
        <v>55.4</v>
      </c>
      <c r="S19" s="170"/>
      <c r="AA19" s="171"/>
      <c r="AB19" s="171"/>
      <c r="AC19" s="171"/>
      <c r="AD19" s="171"/>
      <c r="AE19" s="171"/>
      <c r="AF19" s="171"/>
      <c r="AG19" s="187"/>
      <c r="AH19" s="187"/>
    </row>
    <row r="20" spans="2:34" ht="13.35" customHeight="1" thickBot="1">
      <c r="B20" s="133"/>
      <c r="C20" s="134"/>
      <c r="D20" s="140">
        <v>202</v>
      </c>
      <c r="E20" s="133" t="s">
        <v>7</v>
      </c>
      <c r="F20" s="133">
        <v>9</v>
      </c>
      <c r="G20" s="56">
        <f>IF(LEFT(E20,1)="F",1,2)</f>
        <v>2</v>
      </c>
      <c r="H20" s="56">
        <f>IF(MID(E20,2,1)="S",1,IF(MID(E20,2,1)="T",2,IF(MID(E20,2,1)="D",3,0)))</f>
        <v>2</v>
      </c>
      <c r="I20" s="56">
        <f>IF(RIGHT(E20,1)="L",1,2)</f>
        <v>2</v>
      </c>
      <c r="J20" s="133">
        <v>1</v>
      </c>
      <c r="K20" s="133" t="str">
        <f>(G20&amp;H20&amp;I20&amp;"."&amp;J20)</f>
        <v>222.1</v>
      </c>
      <c r="L20" s="154"/>
      <c r="M20" s="134">
        <v>45.3</v>
      </c>
      <c r="N20" s="142"/>
      <c r="O20" s="143"/>
      <c r="P20" s="144"/>
      <c r="Q20" s="145" t="s">
        <v>405</v>
      </c>
      <c r="R20" s="146">
        <v>65.7</v>
      </c>
      <c r="S20" s="170"/>
      <c r="AA20" s="171"/>
      <c r="AB20" s="171"/>
      <c r="AC20" s="171"/>
      <c r="AD20" s="171"/>
      <c r="AE20" s="171"/>
      <c r="AF20" s="171"/>
      <c r="AG20" s="171"/>
      <c r="AH20" s="171"/>
    </row>
    <row r="21" spans="2:34" ht="13.35" customHeight="1">
      <c r="B21" s="133"/>
      <c r="C21" s="134"/>
      <c r="D21" s="140">
        <v>203</v>
      </c>
      <c r="E21" s="133" t="s">
        <v>8</v>
      </c>
      <c r="F21" s="133">
        <v>3</v>
      </c>
      <c r="G21" s="56">
        <f>IF(LEFT(E21,1)="F",1,2)</f>
        <v>1</v>
      </c>
      <c r="H21" s="56">
        <f>IF(MID(E21,2,1)="S",1,IF(MID(E21,2,1)="T",2,IF(MID(E21,2,1)="D",3,0)))</f>
        <v>2</v>
      </c>
      <c r="I21" s="56">
        <f>IF(RIGHT(E21,1)="L",1,2)</f>
        <v>2</v>
      </c>
      <c r="J21" s="133">
        <v>1</v>
      </c>
      <c r="K21" s="133" t="str">
        <f>(G21&amp;H21&amp;I21&amp;"."&amp;J21)</f>
        <v>122.1</v>
      </c>
      <c r="L21" s="141"/>
      <c r="M21" s="134">
        <v>42.3</v>
      </c>
      <c r="N21" s="142"/>
      <c r="O21" s="143"/>
      <c r="P21" s="144"/>
      <c r="Q21" s="144"/>
      <c r="R21" s="155"/>
      <c r="S21" s="170"/>
      <c r="AA21" s="171"/>
      <c r="AB21" s="171"/>
      <c r="AC21" s="171"/>
      <c r="AD21" s="171"/>
      <c r="AE21" s="171"/>
      <c r="AF21" s="171"/>
      <c r="AG21" s="171"/>
      <c r="AH21" s="171"/>
    </row>
    <row r="22" spans="2:34" ht="13.35" customHeight="1">
      <c r="B22" s="133"/>
      <c r="C22" s="134"/>
      <c r="D22" s="140">
        <v>204</v>
      </c>
      <c r="E22" s="133" t="s">
        <v>11</v>
      </c>
      <c r="F22" s="133">
        <v>11</v>
      </c>
      <c r="G22" s="56">
        <f>IF(LEFT(E22,1)="F",1,2)</f>
        <v>2</v>
      </c>
      <c r="H22" s="56">
        <f>IF(MID(E22,2,1)="S",1,IF(MID(E22,2,1)="T",2,IF(MID(E22,2,1)="D",3,0)))</f>
        <v>3</v>
      </c>
      <c r="I22" s="56">
        <f>IF(RIGHT(E22,1)="L",1,2)</f>
        <v>2</v>
      </c>
      <c r="J22" s="133">
        <v>1</v>
      </c>
      <c r="K22" s="133" t="str">
        <f>(G22&amp;H22&amp;I22&amp;"."&amp;J22)</f>
        <v>232.1</v>
      </c>
      <c r="L22" s="141"/>
      <c r="M22" s="134">
        <v>38.9</v>
      </c>
      <c r="N22" s="142"/>
      <c r="O22" s="143"/>
      <c r="P22" s="144"/>
      <c r="Q22" s="144"/>
      <c r="R22" s="155"/>
      <c r="S22" s="170"/>
    </row>
    <row r="23" spans="2:34" ht="13.35" customHeight="1">
      <c r="B23" s="133"/>
      <c r="C23" s="134"/>
      <c r="D23" s="140">
        <v>205</v>
      </c>
      <c r="E23" s="133" t="s">
        <v>3</v>
      </c>
      <c r="F23" s="133">
        <v>1</v>
      </c>
      <c r="G23" s="56">
        <f>IF(LEFT(E23,1)="F",1,2)</f>
        <v>1</v>
      </c>
      <c r="H23" s="56">
        <f>IF(MID(E23,2,1)="S",1,IF(MID(E23,2,1)="T",2,IF(MID(E23,2,1)="D",3,0)))</f>
        <v>1</v>
      </c>
      <c r="I23" s="56">
        <f>IF(RIGHT(E23,1)="L",1,2)</f>
        <v>2</v>
      </c>
      <c r="J23" s="133">
        <v>2</v>
      </c>
      <c r="K23" s="133" t="str">
        <f>(G23&amp;H23&amp;I23&amp;"."&amp;J23)</f>
        <v>112.2</v>
      </c>
      <c r="L23" s="141"/>
      <c r="M23" s="134">
        <v>37.9</v>
      </c>
      <c r="N23" s="142"/>
      <c r="O23" s="143"/>
      <c r="P23" s="144"/>
      <c r="Q23" s="144"/>
      <c r="R23" s="155"/>
      <c r="S23" s="170"/>
      <c r="AA23" s="186"/>
      <c r="AB23" s="186"/>
      <c r="AC23" s="186"/>
      <c r="AD23" s="186"/>
      <c r="AE23" s="186"/>
      <c r="AF23" s="186"/>
      <c r="AG23" s="186"/>
      <c r="AH23" s="186"/>
    </row>
    <row r="24" spans="2:34" ht="13.35" customHeight="1">
      <c r="B24" s="133"/>
      <c r="C24" s="134"/>
      <c r="D24" s="140">
        <v>206</v>
      </c>
      <c r="E24" s="133" t="s">
        <v>12</v>
      </c>
      <c r="F24" s="133">
        <v>8</v>
      </c>
      <c r="G24" s="56">
        <f>IF(LEFT(E24,1)="F",1,2)</f>
        <v>2</v>
      </c>
      <c r="H24" s="56">
        <f>IF(MID(E24,2,1)="S",1,IF(MID(E24,2,1)="T",2,IF(MID(E24,2,1)="D",3,0)))</f>
        <v>1</v>
      </c>
      <c r="I24" s="56">
        <f>IF(RIGHT(E24,1)="L",1,2)</f>
        <v>1</v>
      </c>
      <c r="J24" s="133">
        <v>2</v>
      </c>
      <c r="K24" s="133" t="str">
        <f>(G24&amp;H24&amp;I24&amp;"."&amp;J24)</f>
        <v>211.2</v>
      </c>
      <c r="L24" s="141"/>
      <c r="M24" s="134">
        <v>45.6</v>
      </c>
      <c r="N24" s="142"/>
      <c r="O24" s="143"/>
      <c r="P24" s="144"/>
      <c r="Q24" s="144"/>
      <c r="R24" s="155"/>
      <c r="S24" s="170"/>
      <c r="AA24" s="186"/>
      <c r="AB24" s="186"/>
      <c r="AC24" s="186"/>
      <c r="AD24" s="186"/>
      <c r="AE24" s="186"/>
      <c r="AF24" s="186"/>
      <c r="AG24" s="186"/>
      <c r="AH24" s="186"/>
    </row>
    <row r="25" spans="2:34" ht="13.35" customHeight="1">
      <c r="B25" s="133"/>
      <c r="C25" s="134"/>
      <c r="D25" s="140">
        <v>207</v>
      </c>
      <c r="E25" s="133" t="s">
        <v>4</v>
      </c>
      <c r="F25" s="133">
        <v>4</v>
      </c>
      <c r="G25" s="56">
        <f>IF(LEFT(E25,1)="F",1,2)</f>
        <v>1</v>
      </c>
      <c r="H25" s="56">
        <f>IF(MID(E25,2,1)="S",1,IF(MID(E25,2,1)="T",2,IF(MID(E25,2,1)="D",3,0)))</f>
        <v>2</v>
      </c>
      <c r="I25" s="56">
        <f>IF(RIGHT(E25,1)="L",1,2)</f>
        <v>1</v>
      </c>
      <c r="J25" s="133">
        <v>2</v>
      </c>
      <c r="K25" s="133" t="str">
        <f>(G25&amp;H25&amp;I25&amp;"."&amp;J25)</f>
        <v>121.2</v>
      </c>
      <c r="L25" s="141"/>
      <c r="M25" s="134">
        <v>39.1</v>
      </c>
      <c r="N25" s="142"/>
      <c r="O25" s="143"/>
      <c r="P25" s="144"/>
      <c r="Q25" s="144"/>
      <c r="R25" s="155"/>
      <c r="S25" s="170"/>
      <c r="AA25" s="171"/>
      <c r="AB25" s="171"/>
      <c r="AC25" s="171"/>
      <c r="AD25" s="171"/>
      <c r="AE25" s="171"/>
      <c r="AF25" s="171"/>
      <c r="AG25" s="171"/>
      <c r="AH25" s="171"/>
    </row>
    <row r="26" spans="2:34" ht="13.35" customHeight="1" thickBot="1">
      <c r="B26" s="133"/>
      <c r="C26" s="134"/>
      <c r="D26" s="147">
        <v>208</v>
      </c>
      <c r="E26" s="148" t="s">
        <v>13</v>
      </c>
      <c r="F26" s="148">
        <v>2</v>
      </c>
      <c r="G26" s="50">
        <f>IF(LEFT(E26,1)="F",1,2)</f>
        <v>1</v>
      </c>
      <c r="H26" s="50">
        <f>IF(MID(E26,2,1)="S",1,IF(MID(E26,2,1)="T",2,IF(MID(E26,2,1)="D",3,0)))</f>
        <v>1</v>
      </c>
      <c r="I26" s="50">
        <f>IF(RIGHT(E26,1)="L",1,2)</f>
        <v>1</v>
      </c>
      <c r="J26" s="148">
        <v>2</v>
      </c>
      <c r="K26" s="148" t="str">
        <f>(G26&amp;H26&amp;I26&amp;"."&amp;J26)</f>
        <v>111.2</v>
      </c>
      <c r="L26" s="149"/>
      <c r="M26" s="150">
        <v>38.6</v>
      </c>
      <c r="N26" s="151"/>
      <c r="O26" s="152"/>
      <c r="P26" s="153"/>
      <c r="Q26" s="153"/>
      <c r="R26" s="156"/>
      <c r="S26" s="170"/>
      <c r="X26" s="183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</row>
    <row r="27" spans="2:34" ht="13.35" customHeight="1">
      <c r="B27" s="133"/>
      <c r="C27" s="134"/>
      <c r="D27" s="135">
        <v>908</v>
      </c>
      <c r="E27" s="157" t="s">
        <v>416</v>
      </c>
      <c r="F27" s="136">
        <v>21</v>
      </c>
      <c r="G27" s="62">
        <v>3</v>
      </c>
      <c r="H27" s="62">
        <v>2</v>
      </c>
      <c r="I27" s="62">
        <v>2</v>
      </c>
      <c r="J27" s="136">
        <v>2</v>
      </c>
      <c r="K27" s="136" t="str">
        <f>(G27&amp;H27&amp;I27&amp;"."&amp;J27)</f>
        <v>322.2</v>
      </c>
      <c r="L27" s="182">
        <v>0.4861111111111111</v>
      </c>
      <c r="M27" s="137">
        <v>52.3</v>
      </c>
      <c r="N27" s="138"/>
      <c r="O27" s="139"/>
      <c r="P27" s="139"/>
      <c r="Q27" s="139"/>
      <c r="R27" s="158"/>
      <c r="S27" s="170"/>
      <c r="X27" s="183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</row>
    <row r="28" spans="2:34" ht="13.35" customHeight="1">
      <c r="B28" s="133"/>
      <c r="C28" s="134"/>
      <c r="D28" s="140">
        <v>907</v>
      </c>
      <c r="E28" s="133" t="s">
        <v>17</v>
      </c>
      <c r="F28" s="133">
        <v>31</v>
      </c>
      <c r="G28" s="56">
        <v>8</v>
      </c>
      <c r="H28" s="56">
        <v>0</v>
      </c>
      <c r="I28" s="56">
        <v>1</v>
      </c>
      <c r="J28" s="133">
        <v>2</v>
      </c>
      <c r="K28" s="133" t="str">
        <f>(G28&amp;H28&amp;I28&amp;"."&amp;J28)</f>
        <v>801.2</v>
      </c>
      <c r="L28" s="154"/>
      <c r="M28" s="159"/>
      <c r="N28" s="160"/>
      <c r="O28" s="161"/>
      <c r="P28" s="162"/>
      <c r="Q28" s="162"/>
      <c r="R28" s="163"/>
      <c r="S28" s="170"/>
      <c r="X28" s="183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</row>
    <row r="29" spans="2:34" ht="13.35" customHeight="1">
      <c r="B29" s="133"/>
      <c r="C29" s="134"/>
      <c r="D29" s="140">
        <v>906</v>
      </c>
      <c r="E29" s="164" t="s">
        <v>415</v>
      </c>
      <c r="F29" s="133">
        <v>22</v>
      </c>
      <c r="G29" s="56">
        <v>4</v>
      </c>
      <c r="H29" s="56">
        <v>2</v>
      </c>
      <c r="I29" s="56">
        <v>2</v>
      </c>
      <c r="J29" s="133">
        <v>2</v>
      </c>
      <c r="K29" s="133" t="str">
        <f>(G29&amp;H29&amp;I29&amp;"."&amp;J29)</f>
        <v>422.2</v>
      </c>
      <c r="L29" s="141"/>
      <c r="M29" s="134">
        <v>41.6</v>
      </c>
      <c r="N29" s="142"/>
      <c r="O29" s="143"/>
      <c r="P29" s="144"/>
      <c r="Q29" s="144"/>
      <c r="R29" s="155"/>
      <c r="S29" s="170"/>
      <c r="X29" s="183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</row>
    <row r="30" spans="2:34" ht="13.35" customHeight="1">
      <c r="B30" s="133"/>
      <c r="C30" s="134"/>
      <c r="D30" s="140">
        <v>905</v>
      </c>
      <c r="E30" s="133" t="s">
        <v>16</v>
      </c>
      <c r="F30" s="133">
        <v>32</v>
      </c>
      <c r="G30" s="56">
        <v>9</v>
      </c>
      <c r="H30" s="56">
        <v>0</v>
      </c>
      <c r="I30" s="56">
        <v>1</v>
      </c>
      <c r="J30" s="133">
        <v>2</v>
      </c>
      <c r="K30" s="133" t="str">
        <f>(G30&amp;H30&amp;I30&amp;"."&amp;J30)</f>
        <v>901.2</v>
      </c>
      <c r="L30" s="154"/>
      <c r="M30" s="159"/>
      <c r="N30" s="160"/>
      <c r="O30" s="161"/>
      <c r="P30" s="162"/>
      <c r="Q30" s="162"/>
      <c r="R30" s="163"/>
      <c r="S30" s="170"/>
      <c r="X30" s="183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</row>
    <row r="31" spans="2:34" ht="13.35" customHeight="1">
      <c r="B31" s="133"/>
      <c r="C31" s="134"/>
      <c r="D31" s="140">
        <v>904</v>
      </c>
      <c r="E31" s="164" t="s">
        <v>416</v>
      </c>
      <c r="F31" s="133">
        <v>21</v>
      </c>
      <c r="G31" s="56">
        <v>3</v>
      </c>
      <c r="H31" s="56">
        <v>2</v>
      </c>
      <c r="I31" s="56">
        <v>2</v>
      </c>
      <c r="J31" s="133">
        <v>1</v>
      </c>
      <c r="K31" s="133" t="str">
        <f>(G31&amp;H31&amp;I31&amp;"."&amp;J31)</f>
        <v>322.1</v>
      </c>
      <c r="L31" s="141"/>
      <c r="M31" s="134">
        <v>50.7</v>
      </c>
      <c r="N31" s="142"/>
      <c r="O31" s="143"/>
      <c r="P31" s="144"/>
      <c r="Q31" s="144"/>
      <c r="R31" s="155"/>
      <c r="S31" s="170"/>
      <c r="X31" s="183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</row>
    <row r="32" spans="2:34" ht="13.35" customHeight="1">
      <c r="B32" s="133"/>
      <c r="C32" s="134"/>
      <c r="D32" s="140">
        <v>903</v>
      </c>
      <c r="E32" s="133" t="s">
        <v>17</v>
      </c>
      <c r="F32" s="133">
        <v>31</v>
      </c>
      <c r="G32" s="56">
        <v>8</v>
      </c>
      <c r="H32" s="56">
        <v>0</v>
      </c>
      <c r="I32" s="56">
        <v>1</v>
      </c>
      <c r="J32" s="133">
        <v>1</v>
      </c>
      <c r="K32" s="133" t="str">
        <f>(G32&amp;H32&amp;I32&amp;"."&amp;J32)</f>
        <v>801.1</v>
      </c>
      <c r="L32" s="154"/>
      <c r="M32" s="159"/>
      <c r="N32" s="160"/>
      <c r="O32" s="161"/>
      <c r="P32" s="162"/>
      <c r="Q32" s="162"/>
      <c r="R32" s="163"/>
      <c r="S32" s="170"/>
      <c r="T32" s="170"/>
      <c r="U32" s="170"/>
      <c r="V32" s="170"/>
      <c r="X32" s="183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</row>
    <row r="33" spans="2:34" ht="13.35" customHeight="1">
      <c r="B33" s="133"/>
      <c r="C33" s="134"/>
      <c r="D33" s="140">
        <v>902</v>
      </c>
      <c r="E33" s="164" t="s">
        <v>415</v>
      </c>
      <c r="F33" s="133">
        <v>22</v>
      </c>
      <c r="G33" s="56">
        <v>4</v>
      </c>
      <c r="H33" s="56">
        <v>2</v>
      </c>
      <c r="I33" s="56">
        <v>2</v>
      </c>
      <c r="J33" s="133">
        <v>1</v>
      </c>
      <c r="K33" s="133" t="str">
        <f>(G33&amp;H33&amp;I33&amp;"."&amp;J33)</f>
        <v>422.1</v>
      </c>
      <c r="L33" s="141"/>
      <c r="M33" s="134">
        <v>43.4</v>
      </c>
      <c r="N33" s="142"/>
      <c r="O33" s="143"/>
      <c r="P33" s="144"/>
      <c r="Q33" s="144"/>
      <c r="R33" s="155"/>
      <c r="S33" s="170"/>
      <c r="T33" s="170"/>
      <c r="U33" s="170"/>
      <c r="V33" s="170"/>
      <c r="X33" s="183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</row>
    <row r="34" spans="2:34" ht="13.35" customHeight="1" thickBot="1">
      <c r="B34" s="133"/>
      <c r="C34" s="134"/>
      <c r="D34" s="147">
        <v>901</v>
      </c>
      <c r="E34" s="148" t="s">
        <v>16</v>
      </c>
      <c r="F34" s="148">
        <v>32</v>
      </c>
      <c r="G34" s="50">
        <v>9</v>
      </c>
      <c r="H34" s="50">
        <v>0</v>
      </c>
      <c r="I34" s="50">
        <v>1</v>
      </c>
      <c r="J34" s="148">
        <v>1</v>
      </c>
      <c r="K34" s="148" t="str">
        <f>(G34&amp;H34&amp;I34&amp;"."&amp;J34)</f>
        <v>901.1</v>
      </c>
      <c r="L34" s="154"/>
      <c r="M34" s="165"/>
      <c r="N34" s="166"/>
      <c r="O34" s="167"/>
      <c r="P34" s="168"/>
      <c r="Q34" s="168"/>
      <c r="R34" s="169"/>
      <c r="S34" s="170"/>
      <c r="T34" s="170"/>
      <c r="U34" s="170"/>
      <c r="V34" s="170"/>
      <c r="X34" s="183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</row>
    <row r="35" spans="2:34" ht="13.35" customHeight="1">
      <c r="B35" s="133"/>
      <c r="C35" s="134"/>
      <c r="D35" s="135">
        <v>301</v>
      </c>
      <c r="E35" s="136" t="s">
        <v>6</v>
      </c>
      <c r="F35" s="136">
        <v>10</v>
      </c>
      <c r="G35" s="62">
        <f>IF(LEFT(E35,1)="F",1,2)</f>
        <v>2</v>
      </c>
      <c r="H35" s="62">
        <f>IF(MID(E35,2,1)="S",1,IF(MID(E35,2,1)="T",2,IF(MID(E35,2,1)="D",3,0)))</f>
        <v>2</v>
      </c>
      <c r="I35" s="62">
        <f>IF(RIGHT(E35,1)="L",1,2)</f>
        <v>1</v>
      </c>
      <c r="J35" s="136">
        <v>3</v>
      </c>
      <c r="K35" s="136" t="str">
        <f>(G35&amp;H35&amp;I35&amp;"."&amp;J35)</f>
        <v>221.3</v>
      </c>
      <c r="L35" s="182">
        <v>0.4916666666666667</v>
      </c>
      <c r="M35" s="137">
        <v>44.7</v>
      </c>
      <c r="N35" s="138"/>
      <c r="O35" s="139"/>
      <c r="P35" s="139"/>
      <c r="Q35" s="139"/>
      <c r="R35" s="158"/>
      <c r="S35" s="170"/>
      <c r="T35" s="170"/>
      <c r="U35" s="170"/>
      <c r="V35" s="170"/>
      <c r="X35" s="183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</row>
    <row r="36" spans="2:34" ht="13.35" customHeight="1">
      <c r="B36" s="133"/>
      <c r="C36" s="134"/>
      <c r="D36" s="140">
        <v>302</v>
      </c>
      <c r="E36" s="133" t="s">
        <v>4</v>
      </c>
      <c r="F36" s="133">
        <v>4</v>
      </c>
      <c r="G36" s="56">
        <f>IF(LEFT(E36,1)="F",1,2)</f>
        <v>1</v>
      </c>
      <c r="H36" s="56">
        <f>IF(MID(E36,2,1)="S",1,IF(MID(E36,2,1)="T",2,IF(MID(E36,2,1)="D",3,0)))</f>
        <v>2</v>
      </c>
      <c r="I36" s="56">
        <f>IF(RIGHT(E36,1)="L",1,2)</f>
        <v>1</v>
      </c>
      <c r="J36" s="133">
        <v>3</v>
      </c>
      <c r="K36" s="133" t="str">
        <f>(G36&amp;H36&amp;I36&amp;"."&amp;J36)</f>
        <v>121.3</v>
      </c>
      <c r="L36" s="154"/>
      <c r="M36" s="134">
        <v>40.4</v>
      </c>
      <c r="N36" s="142"/>
      <c r="O36" s="143"/>
      <c r="P36" s="144"/>
      <c r="Q36" s="144"/>
      <c r="R36" s="155"/>
      <c r="S36" s="170"/>
      <c r="T36" s="170"/>
      <c r="U36" s="170"/>
      <c r="V36" s="170"/>
    </row>
    <row r="37" spans="2:34" ht="13.35" customHeight="1">
      <c r="B37" s="133"/>
      <c r="C37" s="134"/>
      <c r="D37" s="140">
        <v>303</v>
      </c>
      <c r="E37" s="133" t="s">
        <v>12</v>
      </c>
      <c r="F37" s="133">
        <v>8</v>
      </c>
      <c r="G37" s="56">
        <f>IF(LEFT(E37,1)="F",1,2)</f>
        <v>2</v>
      </c>
      <c r="H37" s="56">
        <f>IF(MID(E37,2,1)="S",1,IF(MID(E37,2,1)="T",2,IF(MID(E37,2,1)="D",3,0)))</f>
        <v>1</v>
      </c>
      <c r="I37" s="56">
        <f>IF(RIGHT(E37,1)="L",1,2)</f>
        <v>1</v>
      </c>
      <c r="J37" s="133">
        <v>3</v>
      </c>
      <c r="K37" s="133" t="str">
        <f>(G37&amp;H37&amp;I37&amp;"."&amp;J37)</f>
        <v>211.3</v>
      </c>
      <c r="L37" s="141"/>
      <c r="M37" s="134">
        <v>43.7</v>
      </c>
      <c r="N37" s="142"/>
      <c r="O37" s="143"/>
      <c r="P37" s="144"/>
      <c r="Q37" s="144"/>
      <c r="R37" s="155"/>
      <c r="S37" s="170"/>
      <c r="T37" s="170"/>
      <c r="U37" s="170"/>
      <c r="V37" s="170"/>
      <c r="X37" s="183"/>
      <c r="Y37" s="186"/>
      <c r="Z37" s="186"/>
      <c r="AA37" s="186"/>
      <c r="AB37" s="186"/>
      <c r="AC37" s="186"/>
      <c r="AD37" s="186"/>
      <c r="AE37" s="186"/>
      <c r="AF37" s="186"/>
      <c r="AG37" s="186"/>
      <c r="AH37" s="186"/>
    </row>
    <row r="38" spans="2:34" ht="13.35" customHeight="1">
      <c r="B38" s="133"/>
      <c r="C38" s="134"/>
      <c r="D38" s="140">
        <v>304</v>
      </c>
      <c r="E38" s="133" t="s">
        <v>13</v>
      </c>
      <c r="F38" s="133">
        <v>2</v>
      </c>
      <c r="G38" s="56">
        <f>IF(LEFT(E38,1)="F",1,2)</f>
        <v>1</v>
      </c>
      <c r="H38" s="56">
        <f>IF(MID(E38,2,1)="S",1,IF(MID(E38,2,1)="T",2,IF(MID(E38,2,1)="D",3,0)))</f>
        <v>1</v>
      </c>
      <c r="I38" s="56">
        <f>IF(RIGHT(E38,1)="L",1,2)</f>
        <v>1</v>
      </c>
      <c r="J38" s="133">
        <v>3</v>
      </c>
      <c r="K38" s="133" t="str">
        <f>(G38&amp;H38&amp;I38&amp;"."&amp;J38)</f>
        <v>111.3</v>
      </c>
      <c r="L38" s="141"/>
      <c r="M38" s="134">
        <v>40.5</v>
      </c>
      <c r="N38" s="142"/>
      <c r="O38" s="143"/>
      <c r="P38" s="144"/>
      <c r="Q38" s="144"/>
      <c r="R38" s="155"/>
      <c r="S38" s="170"/>
      <c r="T38" s="170"/>
      <c r="U38" s="170"/>
      <c r="V38" s="170"/>
      <c r="X38" s="183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</row>
    <row r="39" spans="2:34" ht="13.35" customHeight="1">
      <c r="B39" s="133"/>
      <c r="C39" s="134"/>
      <c r="D39" s="140">
        <v>305</v>
      </c>
      <c r="E39" s="133" t="s">
        <v>11</v>
      </c>
      <c r="F39" s="133">
        <v>11</v>
      </c>
      <c r="G39" s="56">
        <f>IF(LEFT(E39,1)="F",1,2)</f>
        <v>2</v>
      </c>
      <c r="H39" s="56">
        <f>IF(MID(E39,2,1)="S",1,IF(MID(E39,2,1)="T",2,IF(MID(E39,2,1)="D",3,0)))</f>
        <v>3</v>
      </c>
      <c r="I39" s="56">
        <f>IF(RIGHT(E39,1)="L",1,2)</f>
        <v>2</v>
      </c>
      <c r="J39" s="133">
        <v>4</v>
      </c>
      <c r="K39" s="133" t="str">
        <f>(G39&amp;H39&amp;I39&amp;"."&amp;J39)</f>
        <v>232.4</v>
      </c>
      <c r="L39" s="141"/>
      <c r="M39" s="134">
        <v>41.7</v>
      </c>
      <c r="N39" s="142"/>
      <c r="O39" s="143"/>
      <c r="P39" s="144"/>
      <c r="Q39" s="144"/>
      <c r="R39" s="155"/>
      <c r="S39" s="170"/>
      <c r="T39" s="170"/>
      <c r="U39" s="170"/>
      <c r="V39" s="170"/>
      <c r="X39" s="183"/>
      <c r="Y39" s="171"/>
      <c r="Z39" s="171"/>
      <c r="AA39" s="171"/>
      <c r="AB39" s="171"/>
      <c r="AC39" s="171"/>
      <c r="AD39" s="171"/>
      <c r="AE39" s="171"/>
      <c r="AF39" s="171"/>
      <c r="AG39" s="187"/>
      <c r="AH39" s="186"/>
    </row>
    <row r="40" spans="2:34" ht="13.35" customHeight="1" thickBot="1">
      <c r="B40" s="133"/>
      <c r="C40" s="134"/>
      <c r="D40" s="140">
        <v>306</v>
      </c>
      <c r="E40" s="133" t="s">
        <v>4</v>
      </c>
      <c r="F40" s="133">
        <v>4</v>
      </c>
      <c r="G40" s="56">
        <f>IF(LEFT(E40,1)="F",1,2)</f>
        <v>1</v>
      </c>
      <c r="H40" s="56">
        <f>IF(MID(E40,2,1)="S",1,IF(MID(E40,2,1)="T",2,IF(MID(E40,2,1)="D",3,0)))</f>
        <v>2</v>
      </c>
      <c r="I40" s="56">
        <f>IF(RIGHT(E40,1)="L",1,2)</f>
        <v>1</v>
      </c>
      <c r="J40" s="133">
        <v>4</v>
      </c>
      <c r="K40" s="133" t="str">
        <f>(G40&amp;H40&amp;I40&amp;"."&amp;J40)</f>
        <v>121.4</v>
      </c>
      <c r="L40" s="141"/>
      <c r="M40" s="134">
        <v>40.4</v>
      </c>
      <c r="N40" s="142"/>
      <c r="O40" s="143"/>
      <c r="P40" s="144"/>
      <c r="Q40" s="144"/>
      <c r="R40" s="155"/>
      <c r="S40" s="170"/>
      <c r="T40" s="170"/>
      <c r="U40" s="170"/>
      <c r="V40" s="170"/>
      <c r="X40" s="183"/>
      <c r="Y40" s="171"/>
      <c r="Z40" s="171"/>
      <c r="AA40" s="171"/>
      <c r="AB40" s="171"/>
      <c r="AC40" s="171"/>
      <c r="AD40" s="171"/>
      <c r="AE40" s="171"/>
      <c r="AF40" s="171"/>
      <c r="AG40" s="171"/>
      <c r="AH40" s="186"/>
    </row>
    <row r="41" spans="2:34" ht="13.35" customHeight="1" thickBot="1">
      <c r="B41" s="133"/>
      <c r="C41" s="134"/>
      <c r="D41" s="140">
        <v>307</v>
      </c>
      <c r="E41" s="133" t="s">
        <v>7</v>
      </c>
      <c r="F41" s="133">
        <v>9</v>
      </c>
      <c r="G41" s="56">
        <f>IF(LEFT(E41,1)="F",1,2)</f>
        <v>2</v>
      </c>
      <c r="H41" s="56">
        <f>IF(MID(E41,2,1)="S",1,IF(MID(E41,2,1)="T",2,IF(MID(E41,2,1)="D",3,0)))</f>
        <v>2</v>
      </c>
      <c r="I41" s="56">
        <f>IF(RIGHT(E41,1)="L",1,2)</f>
        <v>2</v>
      </c>
      <c r="J41" s="133">
        <v>4</v>
      </c>
      <c r="K41" s="133" t="str">
        <f>(G41&amp;H41&amp;I41&amp;"."&amp;J41)</f>
        <v>222.4</v>
      </c>
      <c r="L41" s="141"/>
      <c r="M41" s="134">
        <v>45.9</v>
      </c>
      <c r="N41" s="142"/>
      <c r="O41" s="143"/>
      <c r="P41" s="144"/>
      <c r="Q41" s="185" t="s">
        <v>414</v>
      </c>
      <c r="R41" s="184"/>
      <c r="S41" s="170"/>
      <c r="T41" s="170"/>
      <c r="U41" s="170"/>
      <c r="V41" s="170"/>
      <c r="X41" s="183"/>
      <c r="Y41" s="171"/>
      <c r="Z41" s="171"/>
      <c r="AA41" s="171"/>
      <c r="AB41" s="171"/>
      <c r="AC41" s="171"/>
      <c r="AD41" s="171"/>
      <c r="AE41" s="171"/>
      <c r="AF41" s="171"/>
      <c r="AG41" s="171"/>
    </row>
    <row r="42" spans="2:34" ht="13.35" customHeight="1" thickBot="1">
      <c r="B42" s="133"/>
      <c r="C42" s="134"/>
      <c r="D42" s="147">
        <v>308</v>
      </c>
      <c r="E42" s="148" t="s">
        <v>5</v>
      </c>
      <c r="F42" s="148">
        <v>5</v>
      </c>
      <c r="G42" s="50">
        <f>IF(LEFT(E42,1)="F",1,2)</f>
        <v>1</v>
      </c>
      <c r="H42" s="50">
        <f>IF(MID(E42,2,1)="S",1,IF(MID(E42,2,1)="T",2,IF(MID(E42,2,1)="D",3,0)))</f>
        <v>3</v>
      </c>
      <c r="I42" s="50">
        <f>IF(RIGHT(E42,1)="L",1,2)</f>
        <v>2</v>
      </c>
      <c r="J42" s="148">
        <v>4</v>
      </c>
      <c r="K42" s="148" t="str">
        <f>(G42&amp;H42&amp;I42&amp;"."&amp;J42)</f>
        <v>132.4</v>
      </c>
      <c r="L42" s="149"/>
      <c r="M42" s="150">
        <v>46.5</v>
      </c>
      <c r="N42" s="151"/>
      <c r="O42" s="152"/>
      <c r="P42" s="153"/>
      <c r="Q42" s="145" t="s">
        <v>413</v>
      </c>
      <c r="R42" s="146">
        <v>4</v>
      </c>
      <c r="S42" s="170"/>
      <c r="T42" s="170"/>
      <c r="U42" s="170"/>
      <c r="V42" s="170"/>
    </row>
    <row r="43" spans="2:34" ht="13.35" customHeight="1" thickBot="1">
      <c r="B43" s="133"/>
      <c r="C43" s="134"/>
      <c r="D43" s="135">
        <v>408</v>
      </c>
      <c r="E43" s="136" t="s">
        <v>6</v>
      </c>
      <c r="F43" s="136">
        <v>10</v>
      </c>
      <c r="G43" s="62">
        <f>IF(LEFT(E43,1)="F",1,2)</f>
        <v>2</v>
      </c>
      <c r="H43" s="62">
        <f>IF(MID(E43,2,1)="S",1,IF(MID(E43,2,1)="T",2,IF(MID(E43,2,1)="D",3,0)))</f>
        <v>2</v>
      </c>
      <c r="I43" s="62">
        <f>IF(RIGHT(E43,1)="L",1,2)</f>
        <v>1</v>
      </c>
      <c r="J43" s="136">
        <v>4</v>
      </c>
      <c r="K43" s="136" t="str">
        <f>(G43&amp;H43&amp;I43&amp;"."&amp;J43)</f>
        <v>221.4</v>
      </c>
      <c r="L43" s="182">
        <v>0.49861111111111112</v>
      </c>
      <c r="M43" s="137">
        <v>47.2</v>
      </c>
      <c r="N43" s="138"/>
      <c r="O43" s="139"/>
      <c r="P43" s="139"/>
      <c r="Q43" s="145" t="s">
        <v>412</v>
      </c>
      <c r="R43" s="146">
        <v>11.3</v>
      </c>
      <c r="S43" s="170"/>
      <c r="T43" s="170"/>
      <c r="U43" s="170"/>
      <c r="V43" s="170"/>
    </row>
    <row r="44" spans="2:34" ht="13.35" customHeight="1" thickBot="1">
      <c r="B44" s="133"/>
      <c r="C44" s="134"/>
      <c r="D44" s="140">
        <v>407</v>
      </c>
      <c r="E44" s="133" t="s">
        <v>14</v>
      </c>
      <c r="F44" s="133">
        <v>7</v>
      </c>
      <c r="G44" s="56">
        <f>IF(LEFT(E44,1)="F",1,2)</f>
        <v>2</v>
      </c>
      <c r="H44" s="56">
        <f>IF(MID(E44,2,1)="S",1,IF(MID(E44,2,1)="T",2,IF(MID(E44,2,1)="D",3,0)))</f>
        <v>1</v>
      </c>
      <c r="I44" s="56">
        <f>IF(RIGHT(E44,1)="L",1,2)</f>
        <v>2</v>
      </c>
      <c r="J44" s="133">
        <v>4</v>
      </c>
      <c r="K44" s="133" t="str">
        <f>(G44&amp;H44&amp;I44&amp;"."&amp;J44)</f>
        <v>212.4</v>
      </c>
      <c r="L44" s="154"/>
      <c r="M44" s="134">
        <v>46.2</v>
      </c>
      <c r="N44" s="142"/>
      <c r="O44" s="143"/>
      <c r="P44" s="144"/>
      <c r="Q44" s="145" t="s">
        <v>411</v>
      </c>
      <c r="R44" s="146">
        <v>18.600000000000001</v>
      </c>
      <c r="S44" s="170"/>
      <c r="T44" s="170"/>
      <c r="U44" s="170"/>
      <c r="V44" s="170"/>
    </row>
    <row r="45" spans="2:34" ht="13.35" customHeight="1" thickBot="1">
      <c r="B45" s="133"/>
      <c r="C45" s="134"/>
      <c r="D45" s="140">
        <v>406</v>
      </c>
      <c r="E45" s="133" t="s">
        <v>8</v>
      </c>
      <c r="F45" s="133">
        <v>3</v>
      </c>
      <c r="G45" s="56">
        <f>IF(LEFT(E45,1)="F",1,2)</f>
        <v>1</v>
      </c>
      <c r="H45" s="56">
        <f>IF(MID(E45,2,1)="S",1,IF(MID(E45,2,1)="T",2,IF(MID(E45,2,1)="D",3,0)))</f>
        <v>2</v>
      </c>
      <c r="I45" s="56">
        <f>IF(RIGHT(E45,1)="L",1,2)</f>
        <v>2</v>
      </c>
      <c r="J45" s="133">
        <v>4</v>
      </c>
      <c r="K45" s="133" t="str">
        <f>(G45&amp;H45&amp;I45&amp;"."&amp;J45)</f>
        <v>122.4</v>
      </c>
      <c r="L45" s="141"/>
      <c r="M45" s="134">
        <v>43.7</v>
      </c>
      <c r="N45" s="142"/>
      <c r="O45" s="143"/>
      <c r="P45" s="144"/>
      <c r="Q45" s="145" t="s">
        <v>410</v>
      </c>
      <c r="R45" s="146">
        <v>25.8</v>
      </c>
      <c r="S45" s="170"/>
      <c r="T45" s="170"/>
      <c r="U45" s="170"/>
      <c r="V45" s="170"/>
    </row>
    <row r="46" spans="2:34" ht="13.35" customHeight="1" thickBot="1">
      <c r="B46" s="133"/>
      <c r="C46" s="134"/>
      <c r="D46" s="140">
        <v>405</v>
      </c>
      <c r="E46" s="133" t="s">
        <v>15</v>
      </c>
      <c r="F46" s="133">
        <v>6</v>
      </c>
      <c r="G46" s="56">
        <f>IF(LEFT(E46,1)="F",1,2)</f>
        <v>1</v>
      </c>
      <c r="H46" s="56">
        <f>IF(MID(E46,2,1)="S",1,IF(MID(E46,2,1)="T",2,IF(MID(E46,2,1)="D",3,0)))</f>
        <v>3</v>
      </c>
      <c r="I46" s="56">
        <f>IF(RIGHT(E46,1)="L",1,2)</f>
        <v>1</v>
      </c>
      <c r="J46" s="133">
        <v>4</v>
      </c>
      <c r="K46" s="133" t="str">
        <f>(G46&amp;H46&amp;I46&amp;"."&amp;J46)</f>
        <v>131.4</v>
      </c>
      <c r="L46" s="141"/>
      <c r="M46" s="134">
        <v>41</v>
      </c>
      <c r="N46" s="142"/>
      <c r="O46" s="143"/>
      <c r="P46" s="144"/>
      <c r="Q46" s="145" t="s">
        <v>409</v>
      </c>
      <c r="R46" s="146">
        <v>32.9</v>
      </c>
      <c r="S46" s="170"/>
      <c r="T46" s="170"/>
      <c r="U46" s="170"/>
      <c r="V46" s="170"/>
    </row>
    <row r="47" spans="2:34" ht="13.35" customHeight="1" thickBot="1">
      <c r="B47" s="133"/>
      <c r="C47" s="134"/>
      <c r="D47" s="140">
        <v>404</v>
      </c>
      <c r="E47" s="133" t="s">
        <v>8</v>
      </c>
      <c r="F47" s="133">
        <v>3</v>
      </c>
      <c r="G47" s="56">
        <f>IF(LEFT(E47,1)="F",1,2)</f>
        <v>1</v>
      </c>
      <c r="H47" s="56">
        <f>IF(MID(E47,2,1)="S",1,IF(MID(E47,2,1)="T",2,IF(MID(E47,2,1)="D",3,0)))</f>
        <v>2</v>
      </c>
      <c r="I47" s="56">
        <f>IF(RIGHT(E47,1)="L",1,2)</f>
        <v>2</v>
      </c>
      <c r="J47" s="133">
        <v>3</v>
      </c>
      <c r="K47" s="133" t="str">
        <f>(G47&amp;H47&amp;I47&amp;"."&amp;J47)</f>
        <v>122.3</v>
      </c>
      <c r="L47" s="141"/>
      <c r="M47" s="134">
        <v>42.3</v>
      </c>
      <c r="N47" s="142"/>
      <c r="O47" s="143"/>
      <c r="P47" s="144"/>
      <c r="Q47" s="145" t="s">
        <v>408</v>
      </c>
      <c r="R47" s="146">
        <v>40.200000000000003</v>
      </c>
      <c r="S47" s="170"/>
      <c r="T47" s="170"/>
      <c r="U47" s="170"/>
      <c r="V47" s="170"/>
    </row>
    <row r="48" spans="2:34" ht="13.35" customHeight="1" thickBot="1">
      <c r="B48" s="133"/>
      <c r="C48" s="134"/>
      <c r="D48" s="140">
        <v>403</v>
      </c>
      <c r="E48" s="133" t="s">
        <v>15</v>
      </c>
      <c r="F48" s="133">
        <v>6</v>
      </c>
      <c r="G48" s="56">
        <f>IF(LEFT(E48,1)="F",1,2)</f>
        <v>1</v>
      </c>
      <c r="H48" s="56">
        <f>IF(MID(E48,2,1)="S",1,IF(MID(E48,2,1)="T",2,IF(MID(E48,2,1)="D",3,0)))</f>
        <v>3</v>
      </c>
      <c r="I48" s="56">
        <f>IF(RIGHT(E48,1)="L",1,2)</f>
        <v>1</v>
      </c>
      <c r="J48" s="133">
        <v>3</v>
      </c>
      <c r="K48" s="133" t="str">
        <f>(G48&amp;H48&amp;I48&amp;"."&amp;J48)</f>
        <v>131.3</v>
      </c>
      <c r="L48" s="141"/>
      <c r="M48" s="134">
        <v>41.3</v>
      </c>
      <c r="N48" s="142"/>
      <c r="O48" s="143"/>
      <c r="P48" s="144"/>
      <c r="Q48" s="145" t="s">
        <v>407</v>
      </c>
      <c r="R48" s="146">
        <v>47.8</v>
      </c>
      <c r="S48" s="170"/>
      <c r="T48" s="170"/>
      <c r="U48" s="170"/>
      <c r="V48" s="170"/>
    </row>
    <row r="49" spans="2:22" ht="13.35" customHeight="1" thickBot="1">
      <c r="B49" s="133"/>
      <c r="C49" s="134"/>
      <c r="D49" s="140">
        <v>402</v>
      </c>
      <c r="E49" s="133" t="s">
        <v>7</v>
      </c>
      <c r="F49" s="133">
        <v>9</v>
      </c>
      <c r="G49" s="56">
        <f>IF(LEFT(E49,1)="F",1,2)</f>
        <v>2</v>
      </c>
      <c r="H49" s="56">
        <f>IF(MID(E49,2,1)="S",1,IF(MID(E49,2,1)="T",2,IF(MID(E49,2,1)="D",3,0)))</f>
        <v>2</v>
      </c>
      <c r="I49" s="56">
        <f>IF(RIGHT(E49,1)="L",1,2)</f>
        <v>2</v>
      </c>
      <c r="J49" s="133">
        <v>3</v>
      </c>
      <c r="K49" s="133" t="str">
        <f>(G49&amp;H49&amp;I49&amp;"."&amp;J49)</f>
        <v>222.3</v>
      </c>
      <c r="L49" s="141"/>
      <c r="M49" s="134">
        <v>45</v>
      </c>
      <c r="N49" s="142"/>
      <c r="O49" s="143"/>
      <c r="P49" s="144"/>
      <c r="Q49" s="145" t="s">
        <v>406</v>
      </c>
      <c r="R49" s="146">
        <v>54.5</v>
      </c>
      <c r="S49" s="170"/>
      <c r="T49" s="170"/>
      <c r="U49" s="170"/>
      <c r="V49" s="170"/>
    </row>
    <row r="50" spans="2:22" ht="13.35" customHeight="1" thickBot="1">
      <c r="B50" s="148"/>
      <c r="C50" s="150"/>
      <c r="D50" s="147">
        <v>401</v>
      </c>
      <c r="E50" s="148" t="s">
        <v>14</v>
      </c>
      <c r="F50" s="148">
        <v>7</v>
      </c>
      <c r="G50" s="50">
        <f>IF(LEFT(E50,1)="F",1,2)</f>
        <v>2</v>
      </c>
      <c r="H50" s="50">
        <f>IF(MID(E50,2,1)="S",1,IF(MID(E50,2,1)="T",2,IF(MID(E50,2,1)="D",3,0)))</f>
        <v>1</v>
      </c>
      <c r="I50" s="50">
        <f>IF(RIGHT(E50,1)="L",1,2)</f>
        <v>2</v>
      </c>
      <c r="J50" s="148">
        <v>3</v>
      </c>
      <c r="K50" s="148" t="str">
        <f>(G50&amp;H50&amp;I50&amp;"."&amp;J50)</f>
        <v>212.3</v>
      </c>
      <c r="L50" s="182">
        <v>0.50486111111111109</v>
      </c>
      <c r="M50" s="150">
        <v>47.6</v>
      </c>
      <c r="N50" s="151"/>
      <c r="O50" s="152"/>
      <c r="P50" s="153"/>
      <c r="Q50" s="145" t="s">
        <v>405</v>
      </c>
      <c r="R50" s="146">
        <v>65.5</v>
      </c>
      <c r="S50" s="170"/>
      <c r="T50" s="170"/>
      <c r="U50" s="170"/>
      <c r="V50" s="170"/>
    </row>
    <row r="51" spans="2:22">
      <c r="B51" s="171"/>
      <c r="C51" s="171"/>
      <c r="D51" s="171"/>
      <c r="E51" s="171"/>
      <c r="F51" s="171"/>
      <c r="G51" s="121"/>
      <c r="H51" s="121"/>
      <c r="I51" s="121"/>
      <c r="J51" s="171"/>
      <c r="K51" s="171"/>
      <c r="L51" s="123"/>
      <c r="M51" s="123"/>
      <c r="N51" s="123"/>
      <c r="O51" s="123"/>
      <c r="P51" s="123"/>
      <c r="Q51" s="123"/>
      <c r="R51" s="123"/>
      <c r="S51" s="170"/>
      <c r="T51" s="170"/>
      <c r="U51" s="170"/>
      <c r="V51" s="170"/>
    </row>
    <row r="52" spans="2:22">
      <c r="B52" s="171"/>
      <c r="C52" s="171"/>
      <c r="D52" s="171"/>
      <c r="E52" s="181"/>
      <c r="F52" s="171"/>
      <c r="G52" s="121"/>
      <c r="H52" s="121"/>
      <c r="I52" s="121"/>
      <c r="J52" s="171"/>
      <c r="K52" s="171"/>
      <c r="L52" s="123"/>
      <c r="M52" s="123"/>
      <c r="N52" s="123"/>
      <c r="O52" s="123"/>
      <c r="P52" s="123"/>
      <c r="Q52" s="123"/>
      <c r="R52" s="123"/>
      <c r="S52" s="170"/>
      <c r="T52" s="170"/>
      <c r="U52" s="170"/>
      <c r="V52" s="170"/>
    </row>
    <row r="53" spans="2:22">
      <c r="B53" s="171"/>
      <c r="C53" s="171"/>
      <c r="D53" s="171"/>
      <c r="E53" s="171"/>
      <c r="F53" s="171"/>
      <c r="G53" s="121"/>
      <c r="H53" s="121"/>
      <c r="I53" s="121"/>
      <c r="J53" s="171"/>
      <c r="K53" s="171"/>
      <c r="L53" s="123"/>
      <c r="M53" s="123"/>
      <c r="N53" s="123"/>
      <c r="O53" s="123"/>
      <c r="P53" s="123"/>
      <c r="Q53" s="123"/>
      <c r="R53" s="123"/>
      <c r="S53" s="170"/>
      <c r="T53" s="170"/>
      <c r="U53" s="170"/>
      <c r="V53" s="170"/>
    </row>
    <row r="54" spans="2:22">
      <c r="B54" s="171"/>
      <c r="C54" s="171"/>
      <c r="D54" s="171"/>
      <c r="E54" s="181"/>
      <c r="F54" s="171"/>
      <c r="G54" s="121"/>
      <c r="H54" s="121"/>
      <c r="I54" s="121"/>
      <c r="J54" s="171"/>
      <c r="K54" s="171"/>
      <c r="L54" s="123"/>
      <c r="M54" s="123"/>
      <c r="N54" s="123"/>
      <c r="O54" s="123"/>
      <c r="P54" s="123"/>
      <c r="Q54" s="123"/>
      <c r="R54" s="123"/>
      <c r="S54" s="170"/>
      <c r="T54" s="170"/>
      <c r="U54" s="170"/>
      <c r="V54" s="170"/>
    </row>
    <row r="55" spans="2:22">
      <c r="B55" s="171"/>
      <c r="C55" s="171"/>
      <c r="D55" s="171"/>
      <c r="E55" s="171"/>
      <c r="F55" s="171"/>
      <c r="G55" s="121"/>
      <c r="H55" s="121"/>
      <c r="I55" s="121"/>
      <c r="J55" s="171"/>
      <c r="K55" s="171"/>
      <c r="L55" s="123"/>
      <c r="M55" s="123"/>
      <c r="N55" s="123"/>
      <c r="O55" s="123"/>
      <c r="P55" s="123"/>
      <c r="Q55" s="123"/>
      <c r="R55" s="123"/>
      <c r="S55" s="170"/>
      <c r="T55" s="170"/>
      <c r="U55" s="170"/>
      <c r="V55" s="170"/>
    </row>
    <row r="56" spans="2:22">
      <c r="B56" s="171"/>
      <c r="C56" s="171"/>
      <c r="D56" s="171"/>
      <c r="E56" s="181"/>
      <c r="F56" s="171"/>
      <c r="G56" s="121"/>
      <c r="H56" s="121"/>
      <c r="I56" s="121"/>
      <c r="J56" s="171"/>
      <c r="K56" s="171"/>
      <c r="L56" s="123"/>
      <c r="M56" s="123"/>
      <c r="N56" s="123"/>
      <c r="O56" s="123"/>
      <c r="P56" s="123"/>
      <c r="Q56" s="123"/>
      <c r="R56" s="123"/>
      <c r="S56" s="170"/>
      <c r="T56" s="170"/>
      <c r="U56" s="170"/>
      <c r="V56" s="170"/>
    </row>
    <row r="57" spans="2:22">
      <c r="B57" s="171"/>
      <c r="C57" s="171"/>
      <c r="D57" s="171"/>
      <c r="E57" s="171"/>
      <c r="F57" s="171"/>
      <c r="G57" s="121"/>
      <c r="H57" s="121"/>
      <c r="I57" s="121"/>
      <c r="J57" s="171"/>
      <c r="K57" s="171"/>
      <c r="L57" s="123"/>
      <c r="M57" s="123"/>
      <c r="N57" s="123"/>
      <c r="O57" s="123"/>
      <c r="P57" s="123"/>
      <c r="Q57" s="123"/>
      <c r="R57" s="123"/>
      <c r="S57" s="170"/>
      <c r="T57" s="170"/>
      <c r="U57" s="170"/>
      <c r="V57" s="170"/>
    </row>
    <row r="58" spans="2:22">
      <c r="B58" s="171"/>
      <c r="C58" s="171"/>
      <c r="D58" s="171"/>
      <c r="E58" s="181"/>
      <c r="F58" s="171"/>
      <c r="G58" s="121"/>
      <c r="H58" s="121"/>
      <c r="I58" s="121"/>
      <c r="J58" s="171"/>
      <c r="K58" s="171"/>
      <c r="L58" s="123"/>
      <c r="M58" s="123"/>
      <c r="N58" s="123"/>
      <c r="O58" s="123"/>
      <c r="P58" s="123"/>
      <c r="Q58" s="123"/>
      <c r="R58" s="123"/>
    </row>
  </sheetData>
  <mergeCells count="8">
    <mergeCell ref="N10:R10"/>
    <mergeCell ref="Q11:R11"/>
    <mergeCell ref="Q41:R41"/>
    <mergeCell ref="D4:E4"/>
    <mergeCell ref="Q7:R7"/>
    <mergeCell ref="Q8:R8"/>
    <mergeCell ref="F7:O7"/>
    <mergeCell ref="F8:O8"/>
  </mergeCells>
  <pageMargins left="0.23" right="0" top="0.85" bottom="0.57999999999999996" header="0.43" footer="0"/>
  <pageSetup paperSize="512" scale="110" orientation="portrait" r:id="rId2"/>
  <headerFooter alignWithMargins="0">
    <oddHeader xml:space="preserve">&amp;L&amp;"Comic Sans MS,Bold"&amp;14FISE2002 ---SPAD Readings in target area &amp;10(12 rdgs. per plot)&amp;C&amp;"Comic Sans MS,Bold"&amp;12       </oddHeader>
    <oddFooter>&amp;L&amp;F  &amp;A
  USWCL Remote Sensing &amp;"Arial,Italic"&amp;8(PJPinter 602-437-1702 x230)&amp;R&amp;D</oddFooter>
  </headerFooter>
  <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F7B01-B217-4AD7-8C1E-2DE2C83D4C86}">
  <dimension ref="A2:BW58"/>
  <sheetViews>
    <sheetView topLeftCell="D1" zoomScaleNormal="100" workbookViewId="0">
      <selection activeCell="U12" sqref="U12"/>
    </sheetView>
  </sheetViews>
  <sheetFormatPr defaultRowHeight="12.75"/>
  <cols>
    <col min="1" max="1" width="9.140625" style="122"/>
    <col min="2" max="2" width="3.7109375" style="122" hidden="1" customWidth="1"/>
    <col min="3" max="3" width="5.140625" style="122" hidden="1" customWidth="1"/>
    <col min="4" max="4" width="4.85546875" style="122" customWidth="1"/>
    <col min="5" max="5" width="5.7109375" style="122" customWidth="1"/>
    <col min="6" max="6" width="5.28515625" style="122" customWidth="1"/>
    <col min="7" max="9" width="5.28515625" style="122" hidden="1" customWidth="1"/>
    <col min="10" max="10" width="5.28515625" style="122" customWidth="1"/>
    <col min="11" max="11" width="7" style="122" hidden="1" customWidth="1"/>
    <col min="12" max="19" width="9.140625" style="122"/>
    <col min="20" max="20" width="11.7109375" style="122" customWidth="1"/>
    <col min="21" max="21" width="6.5703125" style="122" customWidth="1"/>
    <col min="22" max="22" width="11.7109375" style="122" customWidth="1"/>
    <col min="23" max="23" width="9.140625" style="122"/>
    <col min="24" max="24" width="7.5703125" style="122" customWidth="1"/>
    <col min="25" max="34" width="7.7109375" style="122" customWidth="1"/>
    <col min="35" max="16384" width="9.140625" style="122"/>
  </cols>
  <sheetData>
    <row r="2" spans="1:75" ht="22.5">
      <c r="A2" s="177" t="s">
        <v>429</v>
      </c>
    </row>
    <row r="4" spans="1:75" ht="22.5">
      <c r="A4" s="177" t="s">
        <v>428</v>
      </c>
      <c r="D4" s="201">
        <v>197</v>
      </c>
      <c r="E4" s="201"/>
    </row>
    <row r="6" spans="1:75" ht="15" customHeight="1" thickBot="1">
      <c r="B6" s="123"/>
      <c r="C6" s="123"/>
      <c r="D6" s="123" t="s">
        <v>427</v>
      </c>
      <c r="E6" s="123"/>
      <c r="P6" s="123" t="s">
        <v>426</v>
      </c>
      <c r="R6" s="124">
        <v>95721064</v>
      </c>
    </row>
    <row r="7" spans="1:75" ht="15" customHeight="1" thickBot="1">
      <c r="A7" s="123"/>
      <c r="B7" s="123"/>
      <c r="C7" s="123"/>
      <c r="D7" s="123" t="s">
        <v>336</v>
      </c>
      <c r="E7" s="123"/>
      <c r="F7" s="124" t="s">
        <v>433</v>
      </c>
      <c r="G7" s="124" t="s">
        <v>433</v>
      </c>
      <c r="H7" s="124" t="s">
        <v>433</v>
      </c>
      <c r="I7" s="124" t="s">
        <v>433</v>
      </c>
      <c r="J7" s="124" t="s">
        <v>433</v>
      </c>
      <c r="K7" s="124" t="s">
        <v>433</v>
      </c>
      <c r="L7" s="124" t="s">
        <v>433</v>
      </c>
      <c r="M7" s="124" t="s">
        <v>433</v>
      </c>
      <c r="N7" s="124" t="s">
        <v>433</v>
      </c>
      <c r="O7" s="124" t="s">
        <v>433</v>
      </c>
      <c r="P7" s="125" t="s">
        <v>358</v>
      </c>
      <c r="Q7" s="200">
        <v>37453</v>
      </c>
      <c r="R7" s="199"/>
      <c r="U7" s="171"/>
      <c r="V7" s="171"/>
      <c r="W7" s="171"/>
      <c r="X7" s="171"/>
    </row>
    <row r="8" spans="1:75" ht="13.5" thickBot="1">
      <c r="F8" s="126" t="s">
        <v>432</v>
      </c>
      <c r="G8" s="126" t="s">
        <v>432</v>
      </c>
      <c r="H8" s="126" t="s">
        <v>432</v>
      </c>
      <c r="I8" s="126" t="s">
        <v>432</v>
      </c>
      <c r="J8" s="126" t="s">
        <v>432</v>
      </c>
      <c r="K8" s="126" t="s">
        <v>432</v>
      </c>
      <c r="L8" s="126" t="s">
        <v>432</v>
      </c>
      <c r="M8" s="126" t="s">
        <v>432</v>
      </c>
      <c r="N8" s="126" t="s">
        <v>432</v>
      </c>
      <c r="O8" s="126" t="s">
        <v>432</v>
      </c>
      <c r="P8" s="125" t="s">
        <v>350</v>
      </c>
      <c r="Q8" s="198" t="s">
        <v>423</v>
      </c>
      <c r="R8" s="198"/>
      <c r="T8" s="172" t="s">
        <v>332</v>
      </c>
      <c r="U8" s="173" t="s">
        <v>372</v>
      </c>
      <c r="V8" s="170"/>
      <c r="W8" s="170"/>
      <c r="X8" s="170"/>
    </row>
    <row r="9" spans="1:75" ht="13.5" thickBot="1">
      <c r="T9" s="172" t="s">
        <v>331</v>
      </c>
      <c r="U9" s="173" t="s">
        <v>372</v>
      </c>
      <c r="V9" s="170"/>
      <c r="W9" s="170"/>
      <c r="X9" s="170"/>
    </row>
    <row r="10" spans="1:75" ht="25.5" customHeight="1" thickBot="1">
      <c r="B10" s="127"/>
      <c r="C10" s="128"/>
      <c r="D10" s="197" t="s">
        <v>0</v>
      </c>
      <c r="E10" s="129" t="s">
        <v>305</v>
      </c>
      <c r="F10" s="129" t="s">
        <v>333</v>
      </c>
      <c r="G10" s="130" t="s">
        <v>332</v>
      </c>
      <c r="H10" s="129" t="s">
        <v>331</v>
      </c>
      <c r="I10" s="130" t="s">
        <v>330</v>
      </c>
      <c r="J10" s="130" t="s">
        <v>329</v>
      </c>
      <c r="K10" s="130" t="s">
        <v>328</v>
      </c>
      <c r="L10" s="131" t="s">
        <v>422</v>
      </c>
      <c r="M10" s="132" t="s">
        <v>421</v>
      </c>
      <c r="N10" s="196" t="s">
        <v>420</v>
      </c>
      <c r="O10" s="195"/>
      <c r="P10" s="195"/>
      <c r="Q10" s="195"/>
      <c r="R10" s="194"/>
      <c r="X10" s="193"/>
      <c r="Y10" s="193"/>
      <c r="Z10" s="193"/>
      <c r="AA10" s="193"/>
      <c r="AB10" s="193"/>
      <c r="AC10" s="193"/>
      <c r="AD10" s="193"/>
      <c r="AE10" s="193"/>
      <c r="AF10" s="193"/>
      <c r="AG10" s="193"/>
      <c r="AH10" s="193"/>
    </row>
    <row r="11" spans="1:75" ht="13.35" customHeight="1" thickBot="1">
      <c r="B11" s="133"/>
      <c r="C11" s="134"/>
      <c r="D11" s="135">
        <v>108</v>
      </c>
      <c r="E11" s="136" t="s">
        <v>8</v>
      </c>
      <c r="F11" s="136">
        <v>3</v>
      </c>
      <c r="G11" s="62">
        <f>IF(LEFT(E11,1)="F",1,2)</f>
        <v>1</v>
      </c>
      <c r="H11" s="62">
        <f>IF(MID(E11,2,1)="S",1,IF(MID(E11,2,1)="T",2,IF(MID(E11,2,1)="D",3,0)))</f>
        <v>2</v>
      </c>
      <c r="I11" s="62">
        <f>IF(RIGHT(E11,1)="L",1,2)</f>
        <v>2</v>
      </c>
      <c r="J11" s="136">
        <v>2</v>
      </c>
      <c r="K11" s="136" t="str">
        <f>(G11&amp;H11&amp;I11&amp;"."&amp;J11)</f>
        <v>122.2</v>
      </c>
      <c r="L11" s="182">
        <v>0.46875</v>
      </c>
      <c r="M11" s="137">
        <v>36.200000000000003</v>
      </c>
      <c r="N11" s="138"/>
      <c r="O11" s="139"/>
      <c r="P11" s="139"/>
      <c r="Q11" s="185" t="s">
        <v>419</v>
      </c>
      <c r="R11" s="184"/>
      <c r="S11" s="170"/>
      <c r="T11" s="192" t="s">
        <v>330</v>
      </c>
      <c r="U11" s="191" t="s">
        <v>418</v>
      </c>
      <c r="V11" s="191" t="s">
        <v>417</v>
      </c>
      <c r="AA11" s="186"/>
      <c r="AB11" s="186"/>
      <c r="AC11" s="186"/>
      <c r="AD11" s="186"/>
      <c r="AE11" s="186"/>
      <c r="AF11" s="186"/>
      <c r="AG11" s="186"/>
      <c r="AH11" s="186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</row>
    <row r="12" spans="1:75" ht="13.35" customHeight="1" thickBot="1">
      <c r="B12" s="133"/>
      <c r="C12" s="134"/>
      <c r="D12" s="140">
        <v>107</v>
      </c>
      <c r="E12" s="133" t="s">
        <v>6</v>
      </c>
      <c r="F12" s="133">
        <v>10</v>
      </c>
      <c r="G12" s="56">
        <f>IF(LEFT(E12,1)="F",1,2)</f>
        <v>2</v>
      </c>
      <c r="H12" s="56">
        <f>IF(MID(E12,2,1)="S",1,IF(MID(E12,2,1)="T",2,IF(MID(E12,2,1)="D",3,0)))</f>
        <v>2</v>
      </c>
      <c r="I12" s="56">
        <f>IF(RIGHT(E12,1)="L",1,2)</f>
        <v>1</v>
      </c>
      <c r="J12" s="133">
        <v>2</v>
      </c>
      <c r="K12" s="133" t="str">
        <f>(G12&amp;H12&amp;I12&amp;"."&amp;J12)</f>
        <v>221.2</v>
      </c>
      <c r="L12" s="141"/>
      <c r="M12" s="134">
        <v>41</v>
      </c>
      <c r="N12" s="142"/>
      <c r="O12" s="143"/>
      <c r="P12" s="144"/>
      <c r="Q12" s="145" t="s">
        <v>413</v>
      </c>
      <c r="R12" s="146">
        <v>4.5999999999999996</v>
      </c>
      <c r="S12" s="170"/>
      <c r="T12" s="178">
        <v>1</v>
      </c>
      <c r="U12" s="189">
        <v>16</v>
      </c>
      <c r="V12" s="175">
        <v>39.637500000000003</v>
      </c>
      <c r="AA12" s="186"/>
      <c r="AB12" s="186"/>
      <c r="AC12" s="186"/>
      <c r="AD12" s="186"/>
      <c r="AE12" s="186"/>
      <c r="AF12" s="186"/>
      <c r="AG12" s="186"/>
      <c r="AH12" s="186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</row>
    <row r="13" spans="1:75" ht="13.35" customHeight="1" thickBot="1">
      <c r="B13" s="133"/>
      <c r="C13" s="134"/>
      <c r="D13" s="140">
        <v>106</v>
      </c>
      <c r="E13" s="133" t="s">
        <v>7</v>
      </c>
      <c r="F13" s="133">
        <v>9</v>
      </c>
      <c r="G13" s="56">
        <f>IF(LEFT(E13,1)="F",1,2)</f>
        <v>2</v>
      </c>
      <c r="H13" s="56">
        <f>IF(MID(E13,2,1)="S",1,IF(MID(E13,2,1)="T",2,IF(MID(E13,2,1)="D",3,0)))</f>
        <v>2</v>
      </c>
      <c r="I13" s="56">
        <f>IF(RIGHT(E13,1)="L",1,2)</f>
        <v>2</v>
      </c>
      <c r="J13" s="133">
        <v>2</v>
      </c>
      <c r="K13" s="133" t="str">
        <f>(G13&amp;H13&amp;I13&amp;"."&amp;J13)</f>
        <v>222.2</v>
      </c>
      <c r="L13" s="141"/>
      <c r="M13" s="134">
        <v>42.2</v>
      </c>
      <c r="N13" s="142"/>
      <c r="O13" s="143"/>
      <c r="P13" s="144"/>
      <c r="Q13" s="145" t="s">
        <v>412</v>
      </c>
      <c r="R13" s="146">
        <v>12.2</v>
      </c>
      <c r="S13" s="170"/>
      <c r="T13" s="178">
        <v>2</v>
      </c>
      <c r="U13" s="189">
        <v>20</v>
      </c>
      <c r="V13" s="175">
        <v>42.265000000000001</v>
      </c>
      <c r="AA13" s="171"/>
      <c r="AB13" s="171"/>
      <c r="AC13" s="171"/>
      <c r="AD13" s="171"/>
      <c r="AE13" s="171"/>
      <c r="AF13" s="171"/>
      <c r="AG13" s="171"/>
      <c r="AH13" s="171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</row>
    <row r="14" spans="1:75" ht="13.35" customHeight="1" thickBot="1">
      <c r="B14" s="133"/>
      <c r="C14" s="134"/>
      <c r="D14" s="140">
        <v>105</v>
      </c>
      <c r="E14" s="133" t="s">
        <v>10</v>
      </c>
      <c r="F14" s="133">
        <v>12</v>
      </c>
      <c r="G14" s="56">
        <f>IF(LEFT(E14,1)="F",1,2)</f>
        <v>2</v>
      </c>
      <c r="H14" s="56">
        <f>IF(MID(E14,2,1)="S",1,IF(MID(E14,2,1)="T",2,IF(MID(E14,2,1)="D",3,0)))</f>
        <v>3</v>
      </c>
      <c r="I14" s="56">
        <f>IF(RIGHT(E14,1)="L",1,2)</f>
        <v>1</v>
      </c>
      <c r="J14" s="133">
        <v>2</v>
      </c>
      <c r="K14" s="133" t="str">
        <f>(G14&amp;H14&amp;I14&amp;"."&amp;J14)</f>
        <v>231.2</v>
      </c>
      <c r="L14" s="141"/>
      <c r="M14" s="134">
        <v>36.700000000000003</v>
      </c>
      <c r="N14" s="142"/>
      <c r="O14" s="143"/>
      <c r="P14" s="144"/>
      <c r="Q14" s="145" t="s">
        <v>411</v>
      </c>
      <c r="R14" s="146">
        <v>19.7</v>
      </c>
      <c r="S14" s="170"/>
      <c r="T14" s="174" t="s">
        <v>312</v>
      </c>
      <c r="U14" s="188">
        <v>36</v>
      </c>
      <c r="V14" s="176">
        <v>41.097222222222214</v>
      </c>
      <c r="AA14" s="171"/>
      <c r="AB14" s="171"/>
      <c r="AC14" s="171"/>
      <c r="AD14" s="171"/>
      <c r="AE14" s="171"/>
      <c r="AF14" s="171"/>
      <c r="AG14" s="171"/>
      <c r="AH14" s="171"/>
    </row>
    <row r="15" spans="1:75" ht="13.35" customHeight="1" thickBot="1">
      <c r="B15" s="133"/>
      <c r="C15" s="134"/>
      <c r="D15" s="140">
        <v>104</v>
      </c>
      <c r="E15" s="133" t="s">
        <v>6</v>
      </c>
      <c r="F15" s="133">
        <v>10</v>
      </c>
      <c r="G15" s="56">
        <f>IF(LEFT(E15,1)="F",1,2)</f>
        <v>2</v>
      </c>
      <c r="H15" s="56">
        <f>IF(MID(E15,2,1)="S",1,IF(MID(E15,2,1)="T",2,IF(MID(E15,2,1)="D",3,0)))</f>
        <v>2</v>
      </c>
      <c r="I15" s="56">
        <f>IF(RIGHT(E15,1)="L",1,2)</f>
        <v>1</v>
      </c>
      <c r="J15" s="133">
        <v>1</v>
      </c>
      <c r="K15" s="133" t="str">
        <f>(G15&amp;H15&amp;I15&amp;"."&amp;J15)</f>
        <v>221.1</v>
      </c>
      <c r="L15" s="141"/>
      <c r="M15" s="134">
        <v>40</v>
      </c>
      <c r="N15" s="142"/>
      <c r="O15" s="143"/>
      <c r="P15" s="144"/>
      <c r="Q15" s="145" t="s">
        <v>410</v>
      </c>
      <c r="R15" s="146">
        <v>27.4</v>
      </c>
      <c r="S15" s="170"/>
      <c r="AA15" s="171"/>
      <c r="AB15" s="171"/>
      <c r="AC15" s="171"/>
      <c r="AD15" s="171"/>
      <c r="AE15" s="171"/>
      <c r="AF15" s="171"/>
      <c r="AG15" s="171"/>
      <c r="AH15" s="171"/>
    </row>
    <row r="16" spans="1:75" ht="13.35" customHeight="1" thickBot="1">
      <c r="B16" s="133"/>
      <c r="C16" s="134"/>
      <c r="D16" s="140">
        <v>103</v>
      </c>
      <c r="E16" s="133" t="s">
        <v>5</v>
      </c>
      <c r="F16" s="133">
        <v>5</v>
      </c>
      <c r="G16" s="56">
        <f>IF(LEFT(E16,1)="F",1,2)</f>
        <v>1</v>
      </c>
      <c r="H16" s="56">
        <f>IF(MID(E16,2,1)="S",1,IF(MID(E16,2,1)="T",2,IF(MID(E16,2,1)="D",3,0)))</f>
        <v>3</v>
      </c>
      <c r="I16" s="56">
        <f>IF(RIGHT(E16,1)="L",1,2)</f>
        <v>2</v>
      </c>
      <c r="J16" s="133">
        <v>1</v>
      </c>
      <c r="K16" s="133" t="str">
        <f>(G16&amp;H16&amp;I16&amp;"."&amp;J16)</f>
        <v>132.1</v>
      </c>
      <c r="L16" s="141"/>
      <c r="M16" s="134">
        <v>36.799999999999997</v>
      </c>
      <c r="N16" s="142"/>
      <c r="O16" s="143"/>
      <c r="P16" s="144"/>
      <c r="Q16" s="145" t="s">
        <v>409</v>
      </c>
      <c r="R16" s="146">
        <v>34.700000000000003</v>
      </c>
      <c r="S16" s="170"/>
    </row>
    <row r="17" spans="2:34" ht="13.35" customHeight="1" thickBot="1">
      <c r="B17" s="133"/>
      <c r="C17" s="134"/>
      <c r="D17" s="140">
        <v>102</v>
      </c>
      <c r="E17" s="133" t="s">
        <v>4</v>
      </c>
      <c r="F17" s="133">
        <v>4</v>
      </c>
      <c r="G17" s="56">
        <f>IF(LEFT(E17,1)="F",1,2)</f>
        <v>1</v>
      </c>
      <c r="H17" s="56">
        <f>IF(MID(E17,2,1)="S",1,IF(MID(E17,2,1)="T",2,IF(MID(E17,2,1)="D",3,0)))</f>
        <v>2</v>
      </c>
      <c r="I17" s="56">
        <f>IF(RIGHT(E17,1)="L",1,2)</f>
        <v>1</v>
      </c>
      <c r="J17" s="133">
        <v>1</v>
      </c>
      <c r="K17" s="133" t="str">
        <f>(G17&amp;H17&amp;I17&amp;"."&amp;J17)</f>
        <v>121.1</v>
      </c>
      <c r="L17" s="141"/>
      <c r="M17" s="134">
        <v>38.5</v>
      </c>
      <c r="N17" s="142"/>
      <c r="O17" s="143"/>
      <c r="P17" s="144"/>
      <c r="Q17" s="145" t="s">
        <v>408</v>
      </c>
      <c r="R17" s="146">
        <v>42.3</v>
      </c>
      <c r="S17" s="170"/>
      <c r="AA17" s="186"/>
      <c r="AB17" s="186"/>
      <c r="AC17" s="186"/>
      <c r="AD17" s="186"/>
      <c r="AE17" s="186"/>
      <c r="AF17" s="186"/>
      <c r="AG17" s="186"/>
      <c r="AH17" s="186"/>
    </row>
    <row r="18" spans="2:34" ht="13.35" customHeight="1" thickBot="1">
      <c r="B18" s="133"/>
      <c r="C18" s="134"/>
      <c r="D18" s="147">
        <v>101</v>
      </c>
      <c r="E18" s="50" t="s">
        <v>3</v>
      </c>
      <c r="F18" s="50">
        <v>1</v>
      </c>
      <c r="G18" s="50">
        <f>IF(LEFT(E18,1)="F",1,2)</f>
        <v>1</v>
      </c>
      <c r="H18" s="50">
        <f>IF(MID(E18,2,1)="S",1,IF(MID(E18,2,1)="T",2,IF(MID(E18,2,1)="D",3,0)))</f>
        <v>1</v>
      </c>
      <c r="I18" s="50">
        <f>IF(RIGHT(E18,1)="L",1,2)</f>
        <v>2</v>
      </c>
      <c r="J18" s="148">
        <v>1</v>
      </c>
      <c r="K18" s="148" t="str">
        <f>(G18&amp;H18&amp;I18&amp;"."&amp;J18)</f>
        <v>112.1</v>
      </c>
      <c r="L18" s="149"/>
      <c r="M18" s="150">
        <v>41</v>
      </c>
      <c r="N18" s="151"/>
      <c r="O18" s="152"/>
      <c r="P18" s="153"/>
      <c r="Q18" s="145" t="s">
        <v>407</v>
      </c>
      <c r="R18" s="146">
        <v>49.8</v>
      </c>
      <c r="S18" s="170"/>
      <c r="AA18" s="186"/>
      <c r="AB18" s="186"/>
      <c r="AC18" s="186"/>
      <c r="AD18" s="186"/>
      <c r="AE18" s="186"/>
      <c r="AF18" s="186"/>
      <c r="AG18" s="186"/>
      <c r="AH18" s="186"/>
    </row>
    <row r="19" spans="2:34" ht="13.35" customHeight="1" thickBot="1">
      <c r="B19" s="133"/>
      <c r="C19" s="134"/>
      <c r="D19" s="135">
        <v>201</v>
      </c>
      <c r="E19" s="136" t="s">
        <v>10</v>
      </c>
      <c r="F19" s="136">
        <v>12</v>
      </c>
      <c r="G19" s="62">
        <f>IF(LEFT(E19,1)="F",1,2)</f>
        <v>2</v>
      </c>
      <c r="H19" s="62">
        <f>IF(MID(E19,2,1)="S",1,IF(MID(E19,2,1)="T",2,IF(MID(E19,2,1)="D",3,0)))</f>
        <v>3</v>
      </c>
      <c r="I19" s="62">
        <f>IF(RIGHT(E19,1)="L",1,2)</f>
        <v>1</v>
      </c>
      <c r="J19" s="136">
        <v>1</v>
      </c>
      <c r="K19" s="136" t="str">
        <f>(G19&amp;H19&amp;I19&amp;"."&amp;J19)</f>
        <v>231.1</v>
      </c>
      <c r="L19" s="182">
        <v>0.47499999999999998</v>
      </c>
      <c r="M19" s="137">
        <v>37.1</v>
      </c>
      <c r="N19" s="138"/>
      <c r="O19" s="139"/>
      <c r="P19" s="139"/>
      <c r="Q19" s="145" t="s">
        <v>406</v>
      </c>
      <c r="R19" s="146">
        <v>57.2</v>
      </c>
      <c r="S19" s="170"/>
      <c r="AA19" s="171"/>
      <c r="AB19" s="171"/>
      <c r="AC19" s="171"/>
      <c r="AD19" s="171"/>
      <c r="AE19" s="171"/>
      <c r="AF19" s="171"/>
      <c r="AG19" s="187"/>
      <c r="AH19" s="187"/>
    </row>
    <row r="20" spans="2:34" ht="13.35" customHeight="1" thickBot="1">
      <c r="B20" s="133"/>
      <c r="C20" s="134"/>
      <c r="D20" s="140">
        <v>202</v>
      </c>
      <c r="E20" s="133" t="s">
        <v>7</v>
      </c>
      <c r="F20" s="133">
        <v>9</v>
      </c>
      <c r="G20" s="56">
        <f>IF(LEFT(E20,1)="F",1,2)</f>
        <v>2</v>
      </c>
      <c r="H20" s="56">
        <f>IF(MID(E20,2,1)="S",1,IF(MID(E20,2,1)="T",2,IF(MID(E20,2,1)="D",3,0)))</f>
        <v>2</v>
      </c>
      <c r="I20" s="56">
        <f>IF(RIGHT(E20,1)="L",1,2)</f>
        <v>2</v>
      </c>
      <c r="J20" s="133">
        <v>1</v>
      </c>
      <c r="K20" s="133" t="str">
        <f>(G20&amp;H20&amp;I20&amp;"."&amp;J20)</f>
        <v>222.1</v>
      </c>
      <c r="L20" s="154"/>
      <c r="M20" s="134">
        <v>41.2</v>
      </c>
      <c r="N20" s="142"/>
      <c r="O20" s="143"/>
      <c r="P20" s="144"/>
      <c r="Q20" s="145" t="s">
        <v>405</v>
      </c>
      <c r="R20" s="146">
        <v>68.099999999999994</v>
      </c>
      <c r="S20" s="170"/>
      <c r="AA20" s="171"/>
      <c r="AB20" s="171"/>
      <c r="AC20" s="171"/>
      <c r="AD20" s="171"/>
      <c r="AE20" s="171"/>
      <c r="AF20" s="171"/>
      <c r="AG20" s="171"/>
      <c r="AH20" s="171"/>
    </row>
    <row r="21" spans="2:34" ht="13.35" customHeight="1">
      <c r="B21" s="133"/>
      <c r="C21" s="134"/>
      <c r="D21" s="140">
        <v>203</v>
      </c>
      <c r="E21" s="133" t="s">
        <v>8</v>
      </c>
      <c r="F21" s="133">
        <v>3</v>
      </c>
      <c r="G21" s="56">
        <f>IF(LEFT(E21,1)="F",1,2)</f>
        <v>1</v>
      </c>
      <c r="H21" s="56">
        <f>IF(MID(E21,2,1)="S",1,IF(MID(E21,2,1)="T",2,IF(MID(E21,2,1)="D",3,0)))</f>
        <v>2</v>
      </c>
      <c r="I21" s="56">
        <f>IF(RIGHT(E21,1)="L",1,2)</f>
        <v>2</v>
      </c>
      <c r="J21" s="133">
        <v>1</v>
      </c>
      <c r="K21" s="133" t="str">
        <f>(G21&amp;H21&amp;I21&amp;"."&amp;J21)</f>
        <v>122.1</v>
      </c>
      <c r="L21" s="141"/>
      <c r="M21" s="134">
        <v>40.5</v>
      </c>
      <c r="N21" s="142"/>
      <c r="O21" s="143"/>
      <c r="P21" s="144"/>
      <c r="Q21" s="144"/>
      <c r="R21" s="155"/>
      <c r="S21" s="170"/>
      <c r="AA21" s="171"/>
      <c r="AB21" s="171"/>
      <c r="AC21" s="171"/>
      <c r="AD21" s="171"/>
      <c r="AE21" s="171"/>
      <c r="AF21" s="171"/>
      <c r="AG21" s="171"/>
      <c r="AH21" s="171"/>
    </row>
    <row r="22" spans="2:34" ht="13.35" customHeight="1">
      <c r="B22" s="133"/>
      <c r="C22" s="134"/>
      <c r="D22" s="140">
        <v>204</v>
      </c>
      <c r="E22" s="133" t="s">
        <v>11</v>
      </c>
      <c r="F22" s="133">
        <v>11</v>
      </c>
      <c r="G22" s="56">
        <f>IF(LEFT(E22,1)="F",1,2)</f>
        <v>2</v>
      </c>
      <c r="H22" s="56">
        <f>IF(MID(E22,2,1)="S",1,IF(MID(E22,2,1)="T",2,IF(MID(E22,2,1)="D",3,0)))</f>
        <v>3</v>
      </c>
      <c r="I22" s="56">
        <f>IF(RIGHT(E22,1)="L",1,2)</f>
        <v>2</v>
      </c>
      <c r="J22" s="133">
        <v>1</v>
      </c>
      <c r="K22" s="133" t="str">
        <f>(G22&amp;H22&amp;I22&amp;"."&amp;J22)</f>
        <v>232.1</v>
      </c>
      <c r="L22" s="141"/>
      <c r="M22" s="134">
        <v>39.5</v>
      </c>
      <c r="N22" s="142"/>
      <c r="O22" s="143"/>
      <c r="P22" s="144"/>
      <c r="Q22" s="144"/>
      <c r="R22" s="155"/>
      <c r="S22" s="170"/>
    </row>
    <row r="23" spans="2:34" ht="13.35" customHeight="1">
      <c r="B23" s="133"/>
      <c r="C23" s="134"/>
      <c r="D23" s="140">
        <v>205</v>
      </c>
      <c r="E23" s="133" t="s">
        <v>3</v>
      </c>
      <c r="F23" s="133">
        <v>1</v>
      </c>
      <c r="G23" s="56">
        <f>IF(LEFT(E23,1)="F",1,2)</f>
        <v>1</v>
      </c>
      <c r="H23" s="56">
        <f>IF(MID(E23,2,1)="S",1,IF(MID(E23,2,1)="T",2,IF(MID(E23,2,1)="D",3,0)))</f>
        <v>1</v>
      </c>
      <c r="I23" s="56">
        <f>IF(RIGHT(E23,1)="L",1,2)</f>
        <v>2</v>
      </c>
      <c r="J23" s="133">
        <v>2</v>
      </c>
      <c r="K23" s="133" t="str">
        <f>(G23&amp;H23&amp;I23&amp;"."&amp;J23)</f>
        <v>112.2</v>
      </c>
      <c r="L23" s="141"/>
      <c r="M23" s="134">
        <v>39.1</v>
      </c>
      <c r="N23" s="142"/>
      <c r="O23" s="143"/>
      <c r="P23" s="144"/>
      <c r="Q23" s="144"/>
      <c r="R23" s="155"/>
      <c r="S23" s="170"/>
      <c r="AA23" s="186"/>
      <c r="AB23" s="186"/>
      <c r="AC23" s="186"/>
      <c r="AD23" s="186"/>
      <c r="AE23" s="186"/>
      <c r="AF23" s="186"/>
      <c r="AG23" s="186"/>
      <c r="AH23" s="186"/>
    </row>
    <row r="24" spans="2:34" ht="13.35" customHeight="1">
      <c r="B24" s="133"/>
      <c r="C24" s="134"/>
      <c r="D24" s="140">
        <v>206</v>
      </c>
      <c r="E24" s="133" t="s">
        <v>12</v>
      </c>
      <c r="F24" s="133">
        <v>8</v>
      </c>
      <c r="G24" s="56">
        <f>IF(LEFT(E24,1)="F",1,2)</f>
        <v>2</v>
      </c>
      <c r="H24" s="56">
        <f>IF(MID(E24,2,1)="S",1,IF(MID(E24,2,1)="T",2,IF(MID(E24,2,1)="D",3,0)))</f>
        <v>1</v>
      </c>
      <c r="I24" s="56">
        <f>IF(RIGHT(E24,1)="L",1,2)</f>
        <v>1</v>
      </c>
      <c r="J24" s="133">
        <v>2</v>
      </c>
      <c r="K24" s="133" t="str">
        <f>(G24&amp;H24&amp;I24&amp;"."&amp;J24)</f>
        <v>211.2</v>
      </c>
      <c r="L24" s="141"/>
      <c r="M24" s="134">
        <v>40.799999999999997</v>
      </c>
      <c r="N24" s="142"/>
      <c r="O24" s="143"/>
      <c r="P24" s="144"/>
      <c r="Q24" s="144"/>
      <c r="R24" s="155"/>
      <c r="S24" s="170"/>
      <c r="AA24" s="186"/>
      <c r="AB24" s="186"/>
      <c r="AC24" s="186"/>
      <c r="AD24" s="186"/>
      <c r="AE24" s="186"/>
      <c r="AF24" s="186"/>
      <c r="AG24" s="186"/>
      <c r="AH24" s="186"/>
    </row>
    <row r="25" spans="2:34" ht="13.35" customHeight="1">
      <c r="B25" s="133"/>
      <c r="C25" s="134"/>
      <c r="D25" s="140">
        <v>207</v>
      </c>
      <c r="E25" s="133" t="s">
        <v>4</v>
      </c>
      <c r="F25" s="133">
        <v>4</v>
      </c>
      <c r="G25" s="56">
        <f>IF(LEFT(E25,1)="F",1,2)</f>
        <v>1</v>
      </c>
      <c r="H25" s="56">
        <f>IF(MID(E25,2,1)="S",1,IF(MID(E25,2,1)="T",2,IF(MID(E25,2,1)="D",3,0)))</f>
        <v>2</v>
      </c>
      <c r="I25" s="56">
        <f>IF(RIGHT(E25,1)="L",1,2)</f>
        <v>1</v>
      </c>
      <c r="J25" s="133">
        <v>2</v>
      </c>
      <c r="K25" s="133" t="str">
        <f>(G25&amp;H25&amp;I25&amp;"."&amp;J25)</f>
        <v>121.2</v>
      </c>
      <c r="L25" s="141"/>
      <c r="M25" s="134">
        <v>37.6</v>
      </c>
      <c r="N25" s="142"/>
      <c r="O25" s="143"/>
      <c r="P25" s="144"/>
      <c r="Q25" s="144"/>
      <c r="R25" s="155"/>
      <c r="S25" s="170"/>
      <c r="AA25" s="171"/>
      <c r="AB25" s="171"/>
      <c r="AC25" s="171"/>
      <c r="AD25" s="171"/>
      <c r="AE25" s="171"/>
      <c r="AF25" s="171"/>
      <c r="AG25" s="171"/>
      <c r="AH25" s="171"/>
    </row>
    <row r="26" spans="2:34" ht="13.35" customHeight="1" thickBot="1">
      <c r="B26" s="133"/>
      <c r="C26" s="134"/>
      <c r="D26" s="147">
        <v>208</v>
      </c>
      <c r="E26" s="148" t="s">
        <v>13</v>
      </c>
      <c r="F26" s="148">
        <v>2</v>
      </c>
      <c r="G26" s="50">
        <f>IF(LEFT(E26,1)="F",1,2)</f>
        <v>1</v>
      </c>
      <c r="H26" s="50">
        <f>IF(MID(E26,2,1)="S",1,IF(MID(E26,2,1)="T",2,IF(MID(E26,2,1)="D",3,0)))</f>
        <v>1</v>
      </c>
      <c r="I26" s="50">
        <f>IF(RIGHT(E26,1)="L",1,2)</f>
        <v>1</v>
      </c>
      <c r="J26" s="148">
        <v>2</v>
      </c>
      <c r="K26" s="148" t="str">
        <f>(G26&amp;H26&amp;I26&amp;"."&amp;J26)</f>
        <v>111.2</v>
      </c>
      <c r="L26" s="149"/>
      <c r="M26" s="150">
        <v>39.799999999999997</v>
      </c>
      <c r="N26" s="151"/>
      <c r="O26" s="152"/>
      <c r="P26" s="153"/>
      <c r="Q26" s="153"/>
      <c r="R26" s="156"/>
      <c r="S26" s="170"/>
      <c r="X26" s="183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</row>
    <row r="27" spans="2:34" ht="13.35" customHeight="1">
      <c r="B27" s="133"/>
      <c r="C27" s="134"/>
      <c r="D27" s="135">
        <v>908</v>
      </c>
      <c r="E27" s="157" t="s">
        <v>416</v>
      </c>
      <c r="F27" s="136">
        <v>21</v>
      </c>
      <c r="G27" s="62">
        <v>3</v>
      </c>
      <c r="H27" s="62">
        <v>2</v>
      </c>
      <c r="I27" s="62">
        <v>2</v>
      </c>
      <c r="J27" s="136">
        <v>2</v>
      </c>
      <c r="K27" s="136" t="str">
        <f>(G27&amp;H27&amp;I27&amp;"."&amp;J27)</f>
        <v>322.2</v>
      </c>
      <c r="L27" s="182">
        <v>0.48333333333333334</v>
      </c>
      <c r="M27" s="137">
        <v>53.8</v>
      </c>
      <c r="N27" s="138"/>
      <c r="O27" s="139"/>
      <c r="P27" s="139"/>
      <c r="Q27" s="139"/>
      <c r="R27" s="158"/>
      <c r="S27" s="170"/>
      <c r="X27" s="183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</row>
    <row r="28" spans="2:34" ht="13.35" customHeight="1">
      <c r="B28" s="133"/>
      <c r="C28" s="134"/>
      <c r="D28" s="140">
        <v>907</v>
      </c>
      <c r="E28" s="133" t="s">
        <v>17</v>
      </c>
      <c r="F28" s="133">
        <v>31</v>
      </c>
      <c r="G28" s="56">
        <v>8</v>
      </c>
      <c r="H28" s="56">
        <v>0</v>
      </c>
      <c r="I28" s="56">
        <v>1</v>
      </c>
      <c r="J28" s="133">
        <v>2</v>
      </c>
      <c r="K28" s="133" t="str">
        <f>(G28&amp;H28&amp;I28&amp;"."&amp;J28)</f>
        <v>801.2</v>
      </c>
      <c r="L28" s="154"/>
      <c r="M28" s="159"/>
      <c r="N28" s="160"/>
      <c r="O28" s="161"/>
      <c r="P28" s="162"/>
      <c r="Q28" s="162"/>
      <c r="R28" s="163"/>
      <c r="S28" s="170"/>
      <c r="X28" s="183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</row>
    <row r="29" spans="2:34" ht="13.35" customHeight="1">
      <c r="B29" s="133"/>
      <c r="C29" s="134"/>
      <c r="D29" s="140">
        <v>906</v>
      </c>
      <c r="E29" s="164" t="s">
        <v>415</v>
      </c>
      <c r="F29" s="133">
        <v>22</v>
      </c>
      <c r="G29" s="56">
        <v>4</v>
      </c>
      <c r="H29" s="56">
        <v>2</v>
      </c>
      <c r="I29" s="56">
        <v>2</v>
      </c>
      <c r="J29" s="133">
        <v>2</v>
      </c>
      <c r="K29" s="133" t="str">
        <f>(G29&amp;H29&amp;I29&amp;"."&amp;J29)</f>
        <v>422.2</v>
      </c>
      <c r="L29" s="141"/>
      <c r="M29" s="134">
        <v>41.3</v>
      </c>
      <c r="N29" s="142"/>
      <c r="O29" s="143"/>
      <c r="P29" s="144"/>
      <c r="Q29" s="144"/>
      <c r="R29" s="155"/>
      <c r="S29" s="170"/>
      <c r="X29" s="183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</row>
    <row r="30" spans="2:34" ht="13.35" customHeight="1">
      <c r="B30" s="133"/>
      <c r="C30" s="134"/>
      <c r="D30" s="140">
        <v>905</v>
      </c>
      <c r="E30" s="133" t="s">
        <v>16</v>
      </c>
      <c r="F30" s="133">
        <v>32</v>
      </c>
      <c r="G30" s="56">
        <v>9</v>
      </c>
      <c r="H30" s="56">
        <v>0</v>
      </c>
      <c r="I30" s="56">
        <v>1</v>
      </c>
      <c r="J30" s="133">
        <v>2</v>
      </c>
      <c r="K30" s="133" t="str">
        <f>(G30&amp;H30&amp;I30&amp;"."&amp;J30)</f>
        <v>901.2</v>
      </c>
      <c r="L30" s="154"/>
      <c r="M30" s="159"/>
      <c r="N30" s="160"/>
      <c r="O30" s="161"/>
      <c r="P30" s="162"/>
      <c r="Q30" s="162"/>
      <c r="R30" s="163"/>
      <c r="S30" s="170"/>
      <c r="X30" s="183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</row>
    <row r="31" spans="2:34" ht="13.35" customHeight="1">
      <c r="B31" s="133"/>
      <c r="C31" s="134"/>
      <c r="D31" s="140">
        <v>904</v>
      </c>
      <c r="E31" s="164" t="s">
        <v>416</v>
      </c>
      <c r="F31" s="133">
        <v>21</v>
      </c>
      <c r="G31" s="56">
        <v>3</v>
      </c>
      <c r="H31" s="56">
        <v>2</v>
      </c>
      <c r="I31" s="56">
        <v>2</v>
      </c>
      <c r="J31" s="133">
        <v>1</v>
      </c>
      <c r="K31" s="133" t="str">
        <f>(G31&amp;H31&amp;I31&amp;"."&amp;J31)</f>
        <v>322.1</v>
      </c>
      <c r="L31" s="141"/>
      <c r="M31" s="134">
        <v>53.7</v>
      </c>
      <c r="N31" s="142"/>
      <c r="O31" s="143"/>
      <c r="P31" s="144"/>
      <c r="Q31" s="144"/>
      <c r="R31" s="155"/>
      <c r="S31" s="170"/>
      <c r="X31" s="183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</row>
    <row r="32" spans="2:34" ht="13.35" customHeight="1">
      <c r="B32" s="133"/>
      <c r="C32" s="134"/>
      <c r="D32" s="140">
        <v>903</v>
      </c>
      <c r="E32" s="133" t="s">
        <v>17</v>
      </c>
      <c r="F32" s="133">
        <v>31</v>
      </c>
      <c r="G32" s="56">
        <v>8</v>
      </c>
      <c r="H32" s="56">
        <v>0</v>
      </c>
      <c r="I32" s="56">
        <v>1</v>
      </c>
      <c r="J32" s="133">
        <v>1</v>
      </c>
      <c r="K32" s="133" t="str">
        <f>(G32&amp;H32&amp;I32&amp;"."&amp;J32)</f>
        <v>801.1</v>
      </c>
      <c r="L32" s="154"/>
      <c r="M32" s="159"/>
      <c r="N32" s="160"/>
      <c r="O32" s="161"/>
      <c r="P32" s="162"/>
      <c r="Q32" s="162"/>
      <c r="R32" s="163"/>
      <c r="S32" s="170"/>
      <c r="T32" s="170"/>
      <c r="U32" s="170"/>
      <c r="V32" s="170"/>
      <c r="X32" s="183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</row>
    <row r="33" spans="2:34" ht="13.35" customHeight="1">
      <c r="B33" s="133"/>
      <c r="C33" s="134"/>
      <c r="D33" s="140">
        <v>902</v>
      </c>
      <c r="E33" s="164" t="s">
        <v>415</v>
      </c>
      <c r="F33" s="133">
        <v>22</v>
      </c>
      <c r="G33" s="56">
        <v>4</v>
      </c>
      <c r="H33" s="56">
        <v>2</v>
      </c>
      <c r="I33" s="56">
        <v>2</v>
      </c>
      <c r="J33" s="133">
        <v>1</v>
      </c>
      <c r="K33" s="133" t="str">
        <f>(G33&amp;H33&amp;I33&amp;"."&amp;J33)</f>
        <v>422.1</v>
      </c>
      <c r="L33" s="141"/>
      <c r="M33" s="134">
        <v>43.1</v>
      </c>
      <c r="N33" s="142"/>
      <c r="O33" s="143"/>
      <c r="P33" s="144"/>
      <c r="Q33" s="144"/>
      <c r="R33" s="155"/>
      <c r="S33" s="170"/>
      <c r="T33" s="170"/>
      <c r="U33" s="170"/>
      <c r="V33" s="170"/>
      <c r="X33" s="183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</row>
    <row r="34" spans="2:34" ht="13.35" customHeight="1" thickBot="1">
      <c r="B34" s="133"/>
      <c r="C34" s="134"/>
      <c r="D34" s="147">
        <v>901</v>
      </c>
      <c r="E34" s="148" t="s">
        <v>16</v>
      </c>
      <c r="F34" s="148">
        <v>32</v>
      </c>
      <c r="G34" s="50">
        <v>9</v>
      </c>
      <c r="H34" s="50">
        <v>0</v>
      </c>
      <c r="I34" s="50">
        <v>1</v>
      </c>
      <c r="J34" s="148">
        <v>1</v>
      </c>
      <c r="K34" s="148" t="str">
        <f>(G34&amp;H34&amp;I34&amp;"."&amp;J34)</f>
        <v>901.1</v>
      </c>
      <c r="L34" s="154"/>
      <c r="M34" s="165"/>
      <c r="N34" s="166"/>
      <c r="O34" s="167"/>
      <c r="P34" s="168"/>
      <c r="Q34" s="168"/>
      <c r="R34" s="169"/>
      <c r="S34" s="170"/>
      <c r="T34" s="170"/>
      <c r="U34" s="170"/>
      <c r="V34" s="170"/>
      <c r="X34" s="183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</row>
    <row r="35" spans="2:34" ht="13.35" customHeight="1">
      <c r="B35" s="133"/>
      <c r="C35" s="134"/>
      <c r="D35" s="135">
        <v>301</v>
      </c>
      <c r="E35" s="136" t="s">
        <v>6</v>
      </c>
      <c r="F35" s="136">
        <v>10</v>
      </c>
      <c r="G35" s="62">
        <f>IF(LEFT(E35,1)="F",1,2)</f>
        <v>2</v>
      </c>
      <c r="H35" s="62">
        <f>IF(MID(E35,2,1)="S",1,IF(MID(E35,2,1)="T",2,IF(MID(E35,2,1)="D",3,0)))</f>
        <v>2</v>
      </c>
      <c r="I35" s="62">
        <f>IF(RIGHT(E35,1)="L",1,2)</f>
        <v>1</v>
      </c>
      <c r="J35" s="136">
        <v>3</v>
      </c>
      <c r="K35" s="136" t="str">
        <f>(G35&amp;H35&amp;I35&amp;"."&amp;J35)</f>
        <v>221.3</v>
      </c>
      <c r="L35" s="182">
        <v>0.48888888888888887</v>
      </c>
      <c r="M35" s="137">
        <v>43.8</v>
      </c>
      <c r="N35" s="138"/>
      <c r="O35" s="139"/>
      <c r="P35" s="139"/>
      <c r="Q35" s="139"/>
      <c r="R35" s="158"/>
      <c r="S35" s="170"/>
      <c r="T35" s="170"/>
      <c r="U35" s="170"/>
      <c r="V35" s="170"/>
      <c r="X35" s="183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</row>
    <row r="36" spans="2:34" ht="13.35" customHeight="1">
      <c r="B36" s="133"/>
      <c r="C36" s="134"/>
      <c r="D36" s="140">
        <v>302</v>
      </c>
      <c r="E36" s="133" t="s">
        <v>4</v>
      </c>
      <c r="F36" s="133">
        <v>4</v>
      </c>
      <c r="G36" s="56">
        <f>IF(LEFT(E36,1)="F",1,2)</f>
        <v>1</v>
      </c>
      <c r="H36" s="56">
        <f>IF(MID(E36,2,1)="S",1,IF(MID(E36,2,1)="T",2,IF(MID(E36,2,1)="D",3,0)))</f>
        <v>2</v>
      </c>
      <c r="I36" s="56">
        <f>IF(RIGHT(E36,1)="L",1,2)</f>
        <v>1</v>
      </c>
      <c r="J36" s="133">
        <v>3</v>
      </c>
      <c r="K36" s="133" t="str">
        <f>(G36&amp;H36&amp;I36&amp;"."&amp;J36)</f>
        <v>121.3</v>
      </c>
      <c r="L36" s="154"/>
      <c r="M36" s="134">
        <v>38.299999999999997</v>
      </c>
      <c r="N36" s="142"/>
      <c r="O36" s="143"/>
      <c r="P36" s="144"/>
      <c r="Q36" s="144"/>
      <c r="R36" s="155"/>
      <c r="S36" s="170"/>
      <c r="T36" s="170"/>
      <c r="U36" s="170"/>
      <c r="V36" s="170"/>
    </row>
    <row r="37" spans="2:34" ht="13.35" customHeight="1">
      <c r="B37" s="133"/>
      <c r="C37" s="134"/>
      <c r="D37" s="140">
        <v>303</v>
      </c>
      <c r="E37" s="133" t="s">
        <v>12</v>
      </c>
      <c r="F37" s="133">
        <v>8</v>
      </c>
      <c r="G37" s="56">
        <f>IF(LEFT(E37,1)="F",1,2)</f>
        <v>2</v>
      </c>
      <c r="H37" s="56">
        <f>IF(MID(E37,2,1)="S",1,IF(MID(E37,2,1)="T",2,IF(MID(E37,2,1)="D",3,0)))</f>
        <v>1</v>
      </c>
      <c r="I37" s="56">
        <f>IF(RIGHT(E37,1)="L",1,2)</f>
        <v>1</v>
      </c>
      <c r="J37" s="133">
        <v>3</v>
      </c>
      <c r="K37" s="133" t="str">
        <f>(G37&amp;H37&amp;I37&amp;"."&amp;J37)</f>
        <v>211.3</v>
      </c>
      <c r="L37" s="141"/>
      <c r="M37" s="134">
        <v>43.4</v>
      </c>
      <c r="N37" s="142"/>
      <c r="O37" s="143"/>
      <c r="P37" s="144"/>
      <c r="Q37" s="144"/>
      <c r="R37" s="155"/>
      <c r="S37" s="170"/>
      <c r="T37" s="170"/>
      <c r="U37" s="170"/>
      <c r="V37" s="170"/>
      <c r="X37" s="183"/>
      <c r="Y37" s="186"/>
      <c r="Z37" s="186"/>
      <c r="AA37" s="186"/>
      <c r="AB37" s="186"/>
      <c r="AC37" s="186"/>
      <c r="AD37" s="186"/>
      <c r="AE37" s="186"/>
      <c r="AF37" s="186"/>
      <c r="AG37" s="186"/>
      <c r="AH37" s="186"/>
    </row>
    <row r="38" spans="2:34" ht="13.35" customHeight="1">
      <c r="B38" s="133"/>
      <c r="C38" s="134"/>
      <c r="D38" s="140">
        <v>304</v>
      </c>
      <c r="E38" s="133" t="s">
        <v>13</v>
      </c>
      <c r="F38" s="133">
        <v>2</v>
      </c>
      <c r="G38" s="56">
        <f>IF(LEFT(E38,1)="F",1,2)</f>
        <v>1</v>
      </c>
      <c r="H38" s="56">
        <f>IF(MID(E38,2,1)="S",1,IF(MID(E38,2,1)="T",2,IF(MID(E38,2,1)="D",3,0)))</f>
        <v>1</v>
      </c>
      <c r="I38" s="56">
        <f>IF(RIGHT(E38,1)="L",1,2)</f>
        <v>1</v>
      </c>
      <c r="J38" s="133">
        <v>3</v>
      </c>
      <c r="K38" s="133" t="str">
        <f>(G38&amp;H38&amp;I38&amp;"."&amp;J38)</f>
        <v>111.3</v>
      </c>
      <c r="L38" s="141"/>
      <c r="M38" s="134">
        <v>38.9</v>
      </c>
      <c r="N38" s="142"/>
      <c r="O38" s="143"/>
      <c r="P38" s="144"/>
      <c r="Q38" s="144"/>
      <c r="R38" s="155"/>
      <c r="S38" s="170"/>
      <c r="T38" s="170"/>
      <c r="U38" s="170"/>
      <c r="V38" s="170"/>
      <c r="X38" s="183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</row>
    <row r="39" spans="2:34" ht="13.35" customHeight="1">
      <c r="B39" s="133"/>
      <c r="C39" s="134"/>
      <c r="D39" s="140">
        <v>305</v>
      </c>
      <c r="E39" s="133" t="s">
        <v>11</v>
      </c>
      <c r="F39" s="133">
        <v>11</v>
      </c>
      <c r="G39" s="56">
        <f>IF(LEFT(E39,1)="F",1,2)</f>
        <v>2</v>
      </c>
      <c r="H39" s="56">
        <f>IF(MID(E39,2,1)="S",1,IF(MID(E39,2,1)="T",2,IF(MID(E39,2,1)="D",3,0)))</f>
        <v>3</v>
      </c>
      <c r="I39" s="56">
        <f>IF(RIGHT(E39,1)="L",1,2)</f>
        <v>2</v>
      </c>
      <c r="J39" s="133">
        <v>4</v>
      </c>
      <c r="K39" s="133" t="str">
        <f>(G39&amp;H39&amp;I39&amp;"."&amp;J39)</f>
        <v>232.4</v>
      </c>
      <c r="L39" s="141"/>
      <c r="M39" s="134">
        <v>38.4</v>
      </c>
      <c r="N39" s="142"/>
      <c r="O39" s="143"/>
      <c r="P39" s="144"/>
      <c r="Q39" s="144"/>
      <c r="R39" s="155"/>
      <c r="S39" s="170"/>
      <c r="T39" s="170"/>
      <c r="U39" s="170"/>
      <c r="V39" s="170"/>
      <c r="X39" s="183"/>
      <c r="Y39" s="171"/>
      <c r="Z39" s="171"/>
      <c r="AA39" s="171"/>
      <c r="AB39" s="171"/>
      <c r="AC39" s="171"/>
      <c r="AD39" s="171"/>
      <c r="AE39" s="171"/>
      <c r="AF39" s="171"/>
      <c r="AG39" s="187"/>
      <c r="AH39" s="186"/>
    </row>
    <row r="40" spans="2:34" ht="13.35" customHeight="1" thickBot="1">
      <c r="B40" s="133"/>
      <c r="C40" s="134"/>
      <c r="D40" s="140">
        <v>306</v>
      </c>
      <c r="E40" s="133" t="s">
        <v>4</v>
      </c>
      <c r="F40" s="133">
        <v>4</v>
      </c>
      <c r="G40" s="56">
        <f>IF(LEFT(E40,1)="F",1,2)</f>
        <v>1</v>
      </c>
      <c r="H40" s="56">
        <f>IF(MID(E40,2,1)="S",1,IF(MID(E40,2,1)="T",2,IF(MID(E40,2,1)="D",3,0)))</f>
        <v>2</v>
      </c>
      <c r="I40" s="56">
        <f>IF(RIGHT(E40,1)="L",1,2)</f>
        <v>1</v>
      </c>
      <c r="J40" s="133">
        <v>4</v>
      </c>
      <c r="K40" s="133" t="str">
        <f>(G40&amp;H40&amp;I40&amp;"."&amp;J40)</f>
        <v>121.4</v>
      </c>
      <c r="L40" s="141"/>
      <c r="M40" s="134">
        <v>37.1</v>
      </c>
      <c r="N40" s="142"/>
      <c r="O40" s="143"/>
      <c r="P40" s="144"/>
      <c r="Q40" s="144"/>
      <c r="R40" s="155"/>
      <c r="S40" s="170"/>
      <c r="T40" s="170"/>
      <c r="U40" s="170"/>
      <c r="V40" s="170"/>
      <c r="X40" s="183"/>
      <c r="Y40" s="171"/>
      <c r="Z40" s="171"/>
      <c r="AA40" s="171"/>
      <c r="AB40" s="171"/>
      <c r="AC40" s="171"/>
      <c r="AD40" s="171"/>
      <c r="AE40" s="171"/>
      <c r="AF40" s="171"/>
      <c r="AG40" s="171"/>
      <c r="AH40" s="186"/>
    </row>
    <row r="41" spans="2:34" ht="13.35" customHeight="1" thickBot="1">
      <c r="B41" s="133"/>
      <c r="C41" s="134"/>
      <c r="D41" s="140">
        <v>307</v>
      </c>
      <c r="E41" s="133" t="s">
        <v>7</v>
      </c>
      <c r="F41" s="133">
        <v>9</v>
      </c>
      <c r="G41" s="56">
        <f>IF(LEFT(E41,1)="F",1,2)</f>
        <v>2</v>
      </c>
      <c r="H41" s="56">
        <f>IF(MID(E41,2,1)="S",1,IF(MID(E41,2,1)="T",2,IF(MID(E41,2,1)="D",3,0)))</f>
        <v>2</v>
      </c>
      <c r="I41" s="56">
        <f>IF(RIGHT(E41,1)="L",1,2)</f>
        <v>2</v>
      </c>
      <c r="J41" s="133">
        <v>4</v>
      </c>
      <c r="K41" s="133" t="str">
        <f>(G41&amp;H41&amp;I41&amp;"."&amp;J41)</f>
        <v>222.4</v>
      </c>
      <c r="L41" s="141"/>
      <c r="M41" s="134">
        <v>43.6</v>
      </c>
      <c r="N41" s="142"/>
      <c r="O41" s="143"/>
      <c r="P41" s="144"/>
      <c r="Q41" s="185" t="s">
        <v>414</v>
      </c>
      <c r="R41" s="184"/>
      <c r="S41" s="170"/>
      <c r="T41" s="170"/>
      <c r="U41" s="170"/>
      <c r="V41" s="170"/>
      <c r="X41" s="183"/>
      <c r="Y41" s="171"/>
      <c r="Z41" s="171"/>
      <c r="AA41" s="171"/>
      <c r="AB41" s="171"/>
      <c r="AC41" s="171"/>
      <c r="AD41" s="171"/>
      <c r="AE41" s="171"/>
      <c r="AF41" s="171"/>
      <c r="AG41" s="171"/>
    </row>
    <row r="42" spans="2:34" ht="13.35" customHeight="1" thickBot="1">
      <c r="B42" s="133"/>
      <c r="C42" s="134"/>
      <c r="D42" s="147">
        <v>308</v>
      </c>
      <c r="E42" s="148" t="s">
        <v>5</v>
      </c>
      <c r="F42" s="148">
        <v>5</v>
      </c>
      <c r="G42" s="50">
        <f>IF(LEFT(E42,1)="F",1,2)</f>
        <v>1</v>
      </c>
      <c r="H42" s="50">
        <f>IF(MID(E42,2,1)="S",1,IF(MID(E42,2,1)="T",2,IF(MID(E42,2,1)="D",3,0)))</f>
        <v>3</v>
      </c>
      <c r="I42" s="50">
        <f>IF(RIGHT(E42,1)="L",1,2)</f>
        <v>2</v>
      </c>
      <c r="J42" s="148">
        <v>4</v>
      </c>
      <c r="K42" s="148" t="str">
        <f>(G42&amp;H42&amp;I42&amp;"."&amp;J42)</f>
        <v>132.4</v>
      </c>
      <c r="L42" s="149"/>
      <c r="M42" s="150">
        <v>41.3</v>
      </c>
      <c r="N42" s="151"/>
      <c r="O42" s="152"/>
      <c r="P42" s="153"/>
      <c r="Q42" s="145" t="s">
        <v>413</v>
      </c>
      <c r="R42" s="146">
        <v>4.0999999999999996</v>
      </c>
      <c r="S42" s="170"/>
      <c r="T42" s="170"/>
      <c r="U42" s="170"/>
      <c r="V42" s="170"/>
    </row>
    <row r="43" spans="2:34" ht="13.35" customHeight="1" thickBot="1">
      <c r="B43" s="133"/>
      <c r="C43" s="134"/>
      <c r="D43" s="135">
        <v>408</v>
      </c>
      <c r="E43" s="136" t="s">
        <v>6</v>
      </c>
      <c r="F43" s="136">
        <v>10</v>
      </c>
      <c r="G43" s="62">
        <f>IF(LEFT(E43,1)="F",1,2)</f>
        <v>2</v>
      </c>
      <c r="H43" s="62">
        <f>IF(MID(E43,2,1)="S",1,IF(MID(E43,2,1)="T",2,IF(MID(E43,2,1)="D",3,0)))</f>
        <v>2</v>
      </c>
      <c r="I43" s="62">
        <f>IF(RIGHT(E43,1)="L",1,2)</f>
        <v>1</v>
      </c>
      <c r="J43" s="136">
        <v>4</v>
      </c>
      <c r="K43" s="136" t="str">
        <f>(G43&amp;H43&amp;I43&amp;"."&amp;J43)</f>
        <v>221.4</v>
      </c>
      <c r="L43" s="182">
        <v>0.49791666666666662</v>
      </c>
      <c r="M43" s="137">
        <v>42.8</v>
      </c>
      <c r="N43" s="138"/>
      <c r="O43" s="139"/>
      <c r="P43" s="139"/>
      <c r="Q43" s="145" t="s">
        <v>412</v>
      </c>
      <c r="R43" s="146">
        <v>11.6</v>
      </c>
      <c r="S43" s="170"/>
      <c r="T43" s="170"/>
      <c r="U43" s="170"/>
      <c r="V43" s="170"/>
    </row>
    <row r="44" spans="2:34" ht="13.35" customHeight="1" thickBot="1">
      <c r="B44" s="133"/>
      <c r="C44" s="134"/>
      <c r="D44" s="140">
        <v>407</v>
      </c>
      <c r="E44" s="133" t="s">
        <v>14</v>
      </c>
      <c r="F44" s="133">
        <v>7</v>
      </c>
      <c r="G44" s="56">
        <f>IF(LEFT(E44,1)="F",1,2)</f>
        <v>2</v>
      </c>
      <c r="H44" s="56">
        <f>IF(MID(E44,2,1)="S",1,IF(MID(E44,2,1)="T",2,IF(MID(E44,2,1)="D",3,0)))</f>
        <v>1</v>
      </c>
      <c r="I44" s="56">
        <f>IF(RIGHT(E44,1)="L",1,2)</f>
        <v>2</v>
      </c>
      <c r="J44" s="133">
        <v>4</v>
      </c>
      <c r="K44" s="133" t="str">
        <f>(G44&amp;H44&amp;I44&amp;"."&amp;J44)</f>
        <v>212.4</v>
      </c>
      <c r="L44" s="154"/>
      <c r="M44" s="134">
        <v>47.3</v>
      </c>
      <c r="N44" s="142"/>
      <c r="O44" s="143"/>
      <c r="P44" s="144"/>
      <c r="Q44" s="145" t="s">
        <v>411</v>
      </c>
      <c r="R44" s="146">
        <v>18.8</v>
      </c>
      <c r="S44" s="170"/>
      <c r="T44" s="170"/>
      <c r="U44" s="170"/>
      <c r="V44" s="170"/>
    </row>
    <row r="45" spans="2:34" ht="13.35" customHeight="1" thickBot="1">
      <c r="B45" s="133"/>
      <c r="C45" s="134"/>
      <c r="D45" s="140">
        <v>406</v>
      </c>
      <c r="E45" s="133" t="s">
        <v>8</v>
      </c>
      <c r="F45" s="133">
        <v>3</v>
      </c>
      <c r="G45" s="56">
        <f>IF(LEFT(E45,1)="F",1,2)</f>
        <v>1</v>
      </c>
      <c r="H45" s="56">
        <f>IF(MID(E45,2,1)="S",1,IF(MID(E45,2,1)="T",2,IF(MID(E45,2,1)="D",3,0)))</f>
        <v>2</v>
      </c>
      <c r="I45" s="56">
        <f>IF(RIGHT(E45,1)="L",1,2)</f>
        <v>2</v>
      </c>
      <c r="J45" s="133">
        <v>4</v>
      </c>
      <c r="K45" s="133" t="str">
        <f>(G45&amp;H45&amp;I45&amp;"."&amp;J45)</f>
        <v>122.4</v>
      </c>
      <c r="L45" s="141"/>
      <c r="M45" s="134">
        <v>38.5</v>
      </c>
      <c r="N45" s="142"/>
      <c r="O45" s="143"/>
      <c r="P45" s="144"/>
      <c r="Q45" s="145" t="s">
        <v>410</v>
      </c>
      <c r="R45" s="146">
        <v>26.3</v>
      </c>
      <c r="S45" s="170"/>
      <c r="T45" s="170"/>
      <c r="U45" s="170"/>
      <c r="V45" s="170"/>
    </row>
    <row r="46" spans="2:34" ht="13.35" customHeight="1" thickBot="1">
      <c r="B46" s="133"/>
      <c r="C46" s="134"/>
      <c r="D46" s="140">
        <v>405</v>
      </c>
      <c r="E46" s="133" t="s">
        <v>15</v>
      </c>
      <c r="F46" s="133">
        <v>6</v>
      </c>
      <c r="G46" s="56">
        <f>IF(LEFT(E46,1)="F",1,2)</f>
        <v>1</v>
      </c>
      <c r="H46" s="56">
        <f>IF(MID(E46,2,1)="S",1,IF(MID(E46,2,1)="T",2,IF(MID(E46,2,1)="D",3,0)))</f>
        <v>3</v>
      </c>
      <c r="I46" s="56">
        <f>IF(RIGHT(E46,1)="L",1,2)</f>
        <v>1</v>
      </c>
      <c r="J46" s="133">
        <v>4</v>
      </c>
      <c r="K46" s="133" t="str">
        <f>(G46&amp;H46&amp;I46&amp;"."&amp;J46)</f>
        <v>131.4</v>
      </c>
      <c r="L46" s="141"/>
      <c r="M46" s="134">
        <v>38.4</v>
      </c>
      <c r="N46" s="142"/>
      <c r="O46" s="143"/>
      <c r="P46" s="144"/>
      <c r="Q46" s="145" t="s">
        <v>409</v>
      </c>
      <c r="R46" s="146">
        <v>33.6</v>
      </c>
      <c r="S46" s="170"/>
      <c r="T46" s="170"/>
      <c r="U46" s="170"/>
      <c r="V46" s="170"/>
    </row>
    <row r="47" spans="2:34" ht="13.35" customHeight="1" thickBot="1">
      <c r="B47" s="133"/>
      <c r="C47" s="134"/>
      <c r="D47" s="140">
        <v>404</v>
      </c>
      <c r="E47" s="133" t="s">
        <v>8</v>
      </c>
      <c r="F47" s="133">
        <v>3</v>
      </c>
      <c r="G47" s="56">
        <f>IF(LEFT(E47,1)="F",1,2)</f>
        <v>1</v>
      </c>
      <c r="H47" s="56">
        <f>IF(MID(E47,2,1)="S",1,IF(MID(E47,2,1)="T",2,IF(MID(E47,2,1)="D",3,0)))</f>
        <v>2</v>
      </c>
      <c r="I47" s="56">
        <f>IF(RIGHT(E47,1)="L",1,2)</f>
        <v>2</v>
      </c>
      <c r="J47" s="133">
        <v>3</v>
      </c>
      <c r="K47" s="133" t="str">
        <f>(G47&amp;H47&amp;I47&amp;"."&amp;J47)</f>
        <v>122.3</v>
      </c>
      <c r="L47" s="141"/>
      <c r="M47" s="134">
        <v>39.200000000000003</v>
      </c>
      <c r="N47" s="142"/>
      <c r="O47" s="143"/>
      <c r="P47" s="144"/>
      <c r="Q47" s="145" t="s">
        <v>408</v>
      </c>
      <c r="R47" s="146">
        <v>40.799999999999997</v>
      </c>
      <c r="S47" s="170"/>
      <c r="T47" s="170"/>
      <c r="U47" s="170"/>
      <c r="V47" s="170"/>
    </row>
    <row r="48" spans="2:34" ht="13.35" customHeight="1" thickBot="1">
      <c r="B48" s="133"/>
      <c r="C48" s="134"/>
      <c r="D48" s="140">
        <v>403</v>
      </c>
      <c r="E48" s="133" t="s">
        <v>15</v>
      </c>
      <c r="F48" s="133">
        <v>6</v>
      </c>
      <c r="G48" s="56">
        <f>IF(LEFT(E48,1)="F",1,2)</f>
        <v>1</v>
      </c>
      <c r="H48" s="56">
        <f>IF(MID(E48,2,1)="S",1,IF(MID(E48,2,1)="T",2,IF(MID(E48,2,1)="D",3,0)))</f>
        <v>3</v>
      </c>
      <c r="I48" s="56">
        <f>IF(RIGHT(E48,1)="L",1,2)</f>
        <v>1</v>
      </c>
      <c r="J48" s="133">
        <v>3</v>
      </c>
      <c r="K48" s="133" t="str">
        <f>(G48&amp;H48&amp;I48&amp;"."&amp;J48)</f>
        <v>131.3</v>
      </c>
      <c r="L48" s="141"/>
      <c r="M48" s="134">
        <v>40</v>
      </c>
      <c r="N48" s="142"/>
      <c r="O48" s="143"/>
      <c r="P48" s="144"/>
      <c r="Q48" s="145" t="s">
        <v>407</v>
      </c>
      <c r="R48" s="146">
        <v>48.2</v>
      </c>
      <c r="S48" s="170"/>
      <c r="T48" s="170"/>
      <c r="U48" s="170"/>
      <c r="V48" s="170"/>
    </row>
    <row r="49" spans="2:22" ht="13.35" customHeight="1" thickBot="1">
      <c r="B49" s="133"/>
      <c r="C49" s="134"/>
      <c r="D49" s="140">
        <v>402</v>
      </c>
      <c r="E49" s="133" t="s">
        <v>7</v>
      </c>
      <c r="F49" s="133">
        <v>9</v>
      </c>
      <c r="G49" s="56">
        <f>IF(LEFT(E49,1)="F",1,2)</f>
        <v>2</v>
      </c>
      <c r="H49" s="56">
        <f>IF(MID(E49,2,1)="S",1,IF(MID(E49,2,1)="T",2,IF(MID(E49,2,1)="D",3,0)))</f>
        <v>2</v>
      </c>
      <c r="I49" s="56">
        <f>IF(RIGHT(E49,1)="L",1,2)</f>
        <v>2</v>
      </c>
      <c r="J49" s="133">
        <v>3</v>
      </c>
      <c r="K49" s="133" t="str">
        <f>(G49&amp;H49&amp;I49&amp;"."&amp;J49)</f>
        <v>222.3</v>
      </c>
      <c r="L49" s="141"/>
      <c r="M49" s="134">
        <v>41.5</v>
      </c>
      <c r="N49" s="142"/>
      <c r="O49" s="143"/>
      <c r="P49" s="144"/>
      <c r="Q49" s="145" t="s">
        <v>406</v>
      </c>
      <c r="R49" s="146">
        <v>55.6</v>
      </c>
      <c r="S49" s="170"/>
      <c r="T49" s="170"/>
      <c r="U49" s="170"/>
      <c r="V49" s="170"/>
    </row>
    <row r="50" spans="2:22" ht="13.35" customHeight="1" thickBot="1">
      <c r="B50" s="148"/>
      <c r="C50" s="150"/>
      <c r="D50" s="147">
        <v>401</v>
      </c>
      <c r="E50" s="148" t="s">
        <v>14</v>
      </c>
      <c r="F50" s="148">
        <v>7</v>
      </c>
      <c r="G50" s="50">
        <f>IF(LEFT(E50,1)="F",1,2)</f>
        <v>2</v>
      </c>
      <c r="H50" s="50">
        <f>IF(MID(E50,2,1)="S",1,IF(MID(E50,2,1)="T",2,IF(MID(E50,2,1)="D",3,0)))</f>
        <v>1</v>
      </c>
      <c r="I50" s="50">
        <f>IF(RIGHT(E50,1)="L",1,2)</f>
        <v>2</v>
      </c>
      <c r="J50" s="148">
        <v>3</v>
      </c>
      <c r="K50" s="148" t="str">
        <f>(G50&amp;H50&amp;I50&amp;"."&amp;J50)</f>
        <v>212.3</v>
      </c>
      <c r="L50" s="182">
        <v>0.50555555555555554</v>
      </c>
      <c r="M50" s="150">
        <v>47.1</v>
      </c>
      <c r="N50" s="151"/>
      <c r="O50" s="152"/>
      <c r="P50" s="153"/>
      <c r="Q50" s="145" t="s">
        <v>405</v>
      </c>
      <c r="R50" s="146">
        <v>65.7</v>
      </c>
      <c r="S50" s="170"/>
      <c r="T50" s="170"/>
      <c r="U50" s="170"/>
      <c r="V50" s="170"/>
    </row>
    <row r="51" spans="2:22">
      <c r="B51" s="171"/>
      <c r="C51" s="171"/>
      <c r="D51" s="171"/>
      <c r="E51" s="171"/>
      <c r="F51" s="171"/>
      <c r="G51" s="121"/>
      <c r="H51" s="121"/>
      <c r="I51" s="121"/>
      <c r="J51" s="171"/>
      <c r="K51" s="171"/>
      <c r="L51" s="123"/>
      <c r="M51" s="123"/>
      <c r="N51" s="123"/>
      <c r="O51" s="123"/>
      <c r="P51" s="123"/>
      <c r="Q51" s="123"/>
      <c r="R51" s="123"/>
      <c r="S51" s="170"/>
      <c r="T51" s="170"/>
      <c r="U51" s="170"/>
      <c r="V51" s="170"/>
    </row>
    <row r="52" spans="2:22">
      <c r="B52" s="171"/>
      <c r="C52" s="171"/>
      <c r="D52" s="171"/>
      <c r="E52" s="181"/>
      <c r="F52" s="171"/>
      <c r="G52" s="121"/>
      <c r="H52" s="121"/>
      <c r="I52" s="121"/>
      <c r="J52" s="171"/>
      <c r="K52" s="171"/>
      <c r="L52" s="123"/>
      <c r="M52" s="123"/>
      <c r="N52" s="123"/>
      <c r="O52" s="123"/>
      <c r="P52" s="123"/>
      <c r="Q52" s="123"/>
      <c r="R52" s="123"/>
      <c r="S52" s="170"/>
      <c r="T52" s="170"/>
      <c r="U52" s="170"/>
      <c r="V52" s="170"/>
    </row>
    <row r="53" spans="2:22">
      <c r="B53" s="171"/>
      <c r="C53" s="171"/>
      <c r="D53" s="171"/>
      <c r="E53" s="171"/>
      <c r="F53" s="171"/>
      <c r="G53" s="121"/>
      <c r="H53" s="121"/>
      <c r="I53" s="121"/>
      <c r="J53" s="171"/>
      <c r="K53" s="171"/>
      <c r="L53" s="123"/>
      <c r="M53" s="123"/>
      <c r="N53" s="123"/>
      <c r="O53" s="123"/>
      <c r="P53" s="123"/>
      <c r="Q53" s="123"/>
      <c r="R53" s="123"/>
      <c r="S53" s="170"/>
      <c r="T53" s="170"/>
      <c r="U53" s="170"/>
      <c r="V53" s="170"/>
    </row>
    <row r="54" spans="2:22">
      <c r="B54" s="171"/>
      <c r="C54" s="171"/>
      <c r="D54" s="171"/>
      <c r="E54" s="181"/>
      <c r="F54" s="171"/>
      <c r="G54" s="121"/>
      <c r="H54" s="121"/>
      <c r="I54" s="121"/>
      <c r="J54" s="171"/>
      <c r="K54" s="171"/>
      <c r="L54" s="123"/>
      <c r="M54" s="123"/>
      <c r="N54" s="123"/>
      <c r="O54" s="123"/>
      <c r="P54" s="123"/>
      <c r="Q54" s="123"/>
      <c r="R54" s="123"/>
      <c r="S54" s="170"/>
      <c r="T54" s="170"/>
      <c r="U54" s="170"/>
      <c r="V54" s="170"/>
    </row>
    <row r="55" spans="2:22">
      <c r="B55" s="171"/>
      <c r="C55" s="171"/>
      <c r="D55" s="171"/>
      <c r="E55" s="171"/>
      <c r="F55" s="171"/>
      <c r="G55" s="121"/>
      <c r="H55" s="121"/>
      <c r="I55" s="121"/>
      <c r="J55" s="171"/>
      <c r="K55" s="171"/>
      <c r="L55" s="123"/>
      <c r="M55" s="123"/>
      <c r="N55" s="123"/>
      <c r="O55" s="123"/>
      <c r="P55" s="123"/>
      <c r="Q55" s="123"/>
      <c r="R55" s="123"/>
      <c r="S55" s="170"/>
      <c r="T55" s="170"/>
      <c r="U55" s="170"/>
      <c r="V55" s="170"/>
    </row>
    <row r="56" spans="2:22">
      <c r="B56" s="171"/>
      <c r="C56" s="171"/>
      <c r="D56" s="171"/>
      <c r="E56" s="181"/>
      <c r="F56" s="171"/>
      <c r="G56" s="121"/>
      <c r="H56" s="121"/>
      <c r="I56" s="121"/>
      <c r="J56" s="171"/>
      <c r="K56" s="171"/>
      <c r="L56" s="123"/>
      <c r="M56" s="123"/>
      <c r="N56" s="123"/>
      <c r="O56" s="123"/>
      <c r="P56" s="123"/>
      <c r="Q56" s="123"/>
      <c r="R56" s="123"/>
      <c r="S56" s="170"/>
      <c r="T56" s="170"/>
      <c r="U56" s="170"/>
      <c r="V56" s="170"/>
    </row>
    <row r="57" spans="2:22">
      <c r="B57" s="171"/>
      <c r="C57" s="171"/>
      <c r="D57" s="171"/>
      <c r="E57" s="171"/>
      <c r="F57" s="171"/>
      <c r="G57" s="121"/>
      <c r="H57" s="121"/>
      <c r="I57" s="121"/>
      <c r="J57" s="171"/>
      <c r="K57" s="171"/>
      <c r="L57" s="123"/>
      <c r="M57" s="123"/>
      <c r="N57" s="123"/>
      <c r="O57" s="123"/>
      <c r="P57" s="123"/>
      <c r="Q57" s="123"/>
      <c r="R57" s="123"/>
      <c r="S57" s="170"/>
      <c r="T57" s="170"/>
      <c r="U57" s="170"/>
      <c r="V57" s="170"/>
    </row>
    <row r="58" spans="2:22">
      <c r="B58" s="171"/>
      <c r="C58" s="171"/>
      <c r="D58" s="171"/>
      <c r="E58" s="181"/>
      <c r="F58" s="171"/>
      <c r="G58" s="121"/>
      <c r="H58" s="121"/>
      <c r="I58" s="121"/>
      <c r="J58" s="171"/>
      <c r="K58" s="171"/>
      <c r="L58" s="123"/>
      <c r="M58" s="123"/>
      <c r="N58" s="123"/>
      <c r="O58" s="123"/>
      <c r="P58" s="123"/>
      <c r="Q58" s="123"/>
      <c r="R58" s="123"/>
    </row>
  </sheetData>
  <mergeCells count="6">
    <mergeCell ref="N10:R10"/>
    <mergeCell ref="Q11:R11"/>
    <mergeCell ref="Q41:R41"/>
    <mergeCell ref="D4:E4"/>
    <mergeCell ref="Q7:R7"/>
    <mergeCell ref="Q8:R8"/>
  </mergeCells>
  <pageMargins left="0.23" right="0" top="0.85" bottom="0.57999999999999996" header="0.43" footer="0"/>
  <pageSetup paperSize="512" scale="110" orientation="portrait" r:id="rId2"/>
  <headerFooter alignWithMargins="0">
    <oddHeader xml:space="preserve">&amp;L&amp;"Comic Sans MS,Bold"&amp;14FISE2002 ---SPAD Readings in target area &amp;10(12 rdgs. per plot)&amp;C&amp;"Comic Sans MS,Bold"&amp;12       </oddHeader>
    <oddFooter>&amp;L&amp;F  &amp;A
  USWCL Remote Sensing &amp;"Arial,Italic"&amp;8(PJPinter 602-437-1702 x230)&amp;R&amp;D</oddFooter>
  </headerFooter>
  <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C28C6-D67E-442B-B482-D8F0273D4943}">
  <dimension ref="A2:BW58"/>
  <sheetViews>
    <sheetView topLeftCell="D10" zoomScaleNormal="100" workbookViewId="0">
      <selection activeCell="U12" sqref="U12"/>
    </sheetView>
  </sheetViews>
  <sheetFormatPr defaultRowHeight="12.75"/>
  <cols>
    <col min="1" max="1" width="9.140625" style="122"/>
    <col min="2" max="2" width="3.7109375" style="122" hidden="1" customWidth="1"/>
    <col min="3" max="3" width="5.140625" style="122" hidden="1" customWidth="1"/>
    <col min="4" max="4" width="4.85546875" style="122" customWidth="1"/>
    <col min="5" max="5" width="5.7109375" style="122" customWidth="1"/>
    <col min="6" max="6" width="5.28515625" style="122" customWidth="1"/>
    <col min="7" max="9" width="5.28515625" style="122" hidden="1" customWidth="1"/>
    <col min="10" max="10" width="5.28515625" style="122" customWidth="1"/>
    <col min="11" max="11" width="7" style="122" hidden="1" customWidth="1"/>
    <col min="12" max="19" width="9.140625" style="122"/>
    <col min="20" max="20" width="11.7109375" style="122" customWidth="1"/>
    <col min="21" max="21" width="6.5703125" style="122" customWidth="1"/>
    <col min="22" max="22" width="11.7109375" style="122" customWidth="1"/>
    <col min="23" max="23" width="9.140625" style="122"/>
    <col min="24" max="24" width="7.5703125" style="122" customWidth="1"/>
    <col min="25" max="34" width="7.7109375" style="122" customWidth="1"/>
    <col min="35" max="16384" width="9.140625" style="122"/>
  </cols>
  <sheetData>
    <row r="2" spans="1:75" ht="22.5">
      <c r="A2" s="177" t="s">
        <v>429</v>
      </c>
    </row>
    <row r="4" spans="1:75" ht="22.5">
      <c r="A4" s="177" t="s">
        <v>428</v>
      </c>
      <c r="D4" s="201">
        <v>206</v>
      </c>
      <c r="E4" s="201"/>
    </row>
    <row r="6" spans="1:75" ht="15" customHeight="1" thickBot="1">
      <c r="B6" s="123"/>
      <c r="C6" s="123"/>
      <c r="D6" s="123" t="s">
        <v>427</v>
      </c>
      <c r="E6" s="123"/>
      <c r="P6" s="123" t="s">
        <v>426</v>
      </c>
      <c r="R6" s="124">
        <v>1064</v>
      </c>
    </row>
    <row r="7" spans="1:75" ht="15" customHeight="1" thickBot="1">
      <c r="A7" s="123"/>
      <c r="B7" s="123"/>
      <c r="C7" s="123"/>
      <c r="D7" s="123" t="s">
        <v>336</v>
      </c>
      <c r="E7" s="123"/>
      <c r="F7" s="199" t="s">
        <v>435</v>
      </c>
      <c r="G7" s="199"/>
      <c r="H7" s="199"/>
      <c r="I7" s="199"/>
      <c r="J7" s="199"/>
      <c r="K7" s="199"/>
      <c r="L7" s="199"/>
      <c r="M7" s="199"/>
      <c r="N7" s="199"/>
      <c r="O7" s="199"/>
      <c r="P7" s="125" t="s">
        <v>358</v>
      </c>
      <c r="Q7" s="200">
        <v>37462</v>
      </c>
      <c r="R7" s="199"/>
      <c r="U7" s="171"/>
      <c r="V7" s="171"/>
      <c r="W7" s="171"/>
      <c r="X7" s="171"/>
    </row>
    <row r="8" spans="1:75" ht="13.5" thickBot="1">
      <c r="F8" s="198" t="s">
        <v>434</v>
      </c>
      <c r="G8" s="198"/>
      <c r="H8" s="198"/>
      <c r="I8" s="198"/>
      <c r="J8" s="198"/>
      <c r="K8" s="198"/>
      <c r="L8" s="198"/>
      <c r="M8" s="198"/>
      <c r="N8" s="198"/>
      <c r="O8" s="198"/>
      <c r="P8" s="125" t="s">
        <v>350</v>
      </c>
      <c r="Q8" s="198" t="s">
        <v>423</v>
      </c>
      <c r="R8" s="198"/>
      <c r="T8" s="172" t="s">
        <v>332</v>
      </c>
      <c r="U8" s="173" t="s">
        <v>372</v>
      </c>
      <c r="V8" s="170"/>
      <c r="W8" s="170"/>
      <c r="X8" s="170"/>
    </row>
    <row r="9" spans="1:75" ht="13.5" thickBot="1">
      <c r="T9" s="172" t="s">
        <v>331</v>
      </c>
      <c r="U9" s="173" t="s">
        <v>372</v>
      </c>
      <c r="V9" s="170"/>
      <c r="W9" s="170"/>
      <c r="X9" s="170"/>
    </row>
    <row r="10" spans="1:75" ht="25.5" customHeight="1" thickBot="1">
      <c r="B10" s="127"/>
      <c r="C10" s="128"/>
      <c r="D10" s="197" t="s">
        <v>0</v>
      </c>
      <c r="E10" s="129" t="s">
        <v>305</v>
      </c>
      <c r="F10" s="129" t="s">
        <v>333</v>
      </c>
      <c r="G10" s="130" t="s">
        <v>332</v>
      </c>
      <c r="H10" s="129" t="s">
        <v>331</v>
      </c>
      <c r="I10" s="130" t="s">
        <v>330</v>
      </c>
      <c r="J10" s="130" t="s">
        <v>329</v>
      </c>
      <c r="K10" s="130" t="s">
        <v>328</v>
      </c>
      <c r="L10" s="131" t="s">
        <v>422</v>
      </c>
      <c r="M10" s="132" t="s">
        <v>421</v>
      </c>
      <c r="N10" s="196" t="s">
        <v>420</v>
      </c>
      <c r="O10" s="195"/>
      <c r="P10" s="195"/>
      <c r="Q10" s="195"/>
      <c r="R10" s="194"/>
      <c r="X10" s="193"/>
      <c r="Y10" s="193"/>
      <c r="Z10" s="193"/>
      <c r="AA10" s="193"/>
      <c r="AB10" s="193"/>
      <c r="AC10" s="193"/>
      <c r="AD10" s="193"/>
      <c r="AE10" s="193"/>
      <c r="AF10" s="193"/>
      <c r="AG10" s="193"/>
      <c r="AH10" s="193"/>
    </row>
    <row r="11" spans="1:75" ht="13.35" customHeight="1" thickBot="1">
      <c r="B11" s="133"/>
      <c r="C11" s="134"/>
      <c r="D11" s="135">
        <v>108</v>
      </c>
      <c r="E11" s="136" t="s">
        <v>8</v>
      </c>
      <c r="F11" s="136">
        <v>3</v>
      </c>
      <c r="G11" s="62">
        <f>IF(LEFT(E11,1)="F",1,2)</f>
        <v>1</v>
      </c>
      <c r="H11" s="62">
        <f>IF(MID(E11,2,1)="S",1,IF(MID(E11,2,1)="T",2,IF(MID(E11,2,1)="D",3,0)))</f>
        <v>2</v>
      </c>
      <c r="I11" s="62">
        <f>IF(RIGHT(E11,1)="L",1,2)</f>
        <v>2</v>
      </c>
      <c r="J11" s="136">
        <v>2</v>
      </c>
      <c r="K11" s="136" t="str">
        <f>(G11&amp;H11&amp;I11&amp;"."&amp;J11)</f>
        <v>122.2</v>
      </c>
      <c r="L11" s="182">
        <v>0.4236111111111111</v>
      </c>
      <c r="M11" s="137">
        <v>38.299999999999997</v>
      </c>
      <c r="N11" s="138"/>
      <c r="O11" s="139"/>
      <c r="P11" s="139"/>
      <c r="Q11" s="185" t="s">
        <v>419</v>
      </c>
      <c r="R11" s="184"/>
      <c r="S11" s="170"/>
      <c r="T11" s="192" t="s">
        <v>330</v>
      </c>
      <c r="U11" s="191" t="s">
        <v>418</v>
      </c>
      <c r="V11" s="191" t="s">
        <v>417</v>
      </c>
      <c r="AA11" s="186"/>
      <c r="AB11" s="186"/>
      <c r="AC11" s="186"/>
      <c r="AD11" s="186"/>
      <c r="AE11" s="186"/>
      <c r="AF11" s="186"/>
      <c r="AG11" s="186"/>
      <c r="AH11" s="186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</row>
    <row r="12" spans="1:75" ht="13.35" customHeight="1" thickBot="1">
      <c r="B12" s="133"/>
      <c r="C12" s="134"/>
      <c r="D12" s="140">
        <v>107</v>
      </c>
      <c r="E12" s="133" t="s">
        <v>6</v>
      </c>
      <c r="F12" s="133">
        <v>10</v>
      </c>
      <c r="G12" s="56">
        <f>IF(LEFT(E12,1)="F",1,2)</f>
        <v>2</v>
      </c>
      <c r="H12" s="56">
        <f>IF(MID(E12,2,1)="S",1,IF(MID(E12,2,1)="T",2,IF(MID(E12,2,1)="D",3,0)))</f>
        <v>2</v>
      </c>
      <c r="I12" s="56">
        <f>IF(RIGHT(E12,1)="L",1,2)</f>
        <v>1</v>
      </c>
      <c r="J12" s="133">
        <v>2</v>
      </c>
      <c r="K12" s="133" t="str">
        <f>(G12&amp;H12&amp;I12&amp;"."&amp;J12)</f>
        <v>221.2</v>
      </c>
      <c r="L12" s="141"/>
      <c r="M12" s="134">
        <v>38.4</v>
      </c>
      <c r="N12" s="142"/>
      <c r="O12" s="143"/>
      <c r="P12" s="144"/>
      <c r="Q12" s="145" t="s">
        <v>413</v>
      </c>
      <c r="R12" s="146">
        <v>4.4000000000000004</v>
      </c>
      <c r="S12" s="170"/>
      <c r="T12" s="178">
        <v>1</v>
      </c>
      <c r="U12" s="189">
        <v>16</v>
      </c>
      <c r="V12" s="175">
        <v>38.456249999999997</v>
      </c>
      <c r="AA12" s="186"/>
      <c r="AB12" s="186"/>
      <c r="AC12" s="186"/>
      <c r="AD12" s="186"/>
      <c r="AE12" s="186"/>
      <c r="AF12" s="186"/>
      <c r="AG12" s="186"/>
      <c r="AH12" s="186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</row>
    <row r="13" spans="1:75" ht="13.35" customHeight="1" thickBot="1">
      <c r="B13" s="133"/>
      <c r="C13" s="134"/>
      <c r="D13" s="140">
        <v>106</v>
      </c>
      <c r="E13" s="133" t="s">
        <v>7</v>
      </c>
      <c r="F13" s="133">
        <v>9</v>
      </c>
      <c r="G13" s="56">
        <f>IF(LEFT(E13,1)="F",1,2)</f>
        <v>2</v>
      </c>
      <c r="H13" s="56">
        <f>IF(MID(E13,2,1)="S",1,IF(MID(E13,2,1)="T",2,IF(MID(E13,2,1)="D",3,0)))</f>
        <v>2</v>
      </c>
      <c r="I13" s="56">
        <f>IF(RIGHT(E13,1)="L",1,2)</f>
        <v>2</v>
      </c>
      <c r="J13" s="133">
        <v>2</v>
      </c>
      <c r="K13" s="133" t="str">
        <f>(G13&amp;H13&amp;I13&amp;"."&amp;J13)</f>
        <v>222.2</v>
      </c>
      <c r="L13" s="141"/>
      <c r="M13" s="134">
        <v>37.299999999999997</v>
      </c>
      <c r="N13" s="142"/>
      <c r="O13" s="143"/>
      <c r="P13" s="144"/>
      <c r="Q13" s="145" t="s">
        <v>412</v>
      </c>
      <c r="R13" s="146">
        <v>12.1</v>
      </c>
      <c r="S13" s="170"/>
      <c r="T13" s="178">
        <v>2</v>
      </c>
      <c r="U13" s="189">
        <v>20</v>
      </c>
      <c r="V13" s="175">
        <v>41.835000000000001</v>
      </c>
      <c r="AA13" s="171"/>
      <c r="AB13" s="171"/>
      <c r="AC13" s="171"/>
      <c r="AD13" s="171"/>
      <c r="AE13" s="171"/>
      <c r="AF13" s="171"/>
      <c r="AG13" s="171"/>
      <c r="AH13" s="171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</row>
    <row r="14" spans="1:75" ht="13.35" customHeight="1" thickBot="1">
      <c r="B14" s="133"/>
      <c r="C14" s="134"/>
      <c r="D14" s="140">
        <v>105</v>
      </c>
      <c r="E14" s="133" t="s">
        <v>10</v>
      </c>
      <c r="F14" s="133">
        <v>12</v>
      </c>
      <c r="G14" s="56">
        <f>IF(LEFT(E14,1)="F",1,2)</f>
        <v>2</v>
      </c>
      <c r="H14" s="56">
        <f>IF(MID(E14,2,1)="S",1,IF(MID(E14,2,1)="T",2,IF(MID(E14,2,1)="D",3,0)))</f>
        <v>3</v>
      </c>
      <c r="I14" s="56">
        <f>IF(RIGHT(E14,1)="L",1,2)</f>
        <v>1</v>
      </c>
      <c r="J14" s="133">
        <v>2</v>
      </c>
      <c r="K14" s="133" t="str">
        <f>(G14&amp;H14&amp;I14&amp;"."&amp;J14)</f>
        <v>231.2</v>
      </c>
      <c r="L14" s="141"/>
      <c r="M14" s="134">
        <v>35.1</v>
      </c>
      <c r="N14" s="142"/>
      <c r="O14" s="143"/>
      <c r="P14" s="144"/>
      <c r="Q14" s="145" t="s">
        <v>411</v>
      </c>
      <c r="R14" s="146">
        <v>19.5</v>
      </c>
      <c r="S14" s="170"/>
      <c r="T14" s="174" t="s">
        <v>312</v>
      </c>
      <c r="U14" s="188">
        <v>36</v>
      </c>
      <c r="V14" s="176">
        <v>40.333333333333336</v>
      </c>
      <c r="AA14" s="171"/>
      <c r="AB14" s="171"/>
      <c r="AC14" s="171"/>
      <c r="AD14" s="171"/>
      <c r="AE14" s="171"/>
      <c r="AF14" s="171"/>
      <c r="AG14" s="171"/>
      <c r="AH14" s="171"/>
    </row>
    <row r="15" spans="1:75" ht="13.35" customHeight="1" thickBot="1">
      <c r="B15" s="133"/>
      <c r="C15" s="134"/>
      <c r="D15" s="140">
        <v>104</v>
      </c>
      <c r="E15" s="133" t="s">
        <v>6</v>
      </c>
      <c r="F15" s="133">
        <v>10</v>
      </c>
      <c r="G15" s="56">
        <f>IF(LEFT(E15,1)="F",1,2)</f>
        <v>2</v>
      </c>
      <c r="H15" s="56">
        <f>IF(MID(E15,2,1)="S",1,IF(MID(E15,2,1)="T",2,IF(MID(E15,2,1)="D",3,0)))</f>
        <v>2</v>
      </c>
      <c r="I15" s="56">
        <f>IF(RIGHT(E15,1)="L",1,2)</f>
        <v>1</v>
      </c>
      <c r="J15" s="133">
        <v>1</v>
      </c>
      <c r="K15" s="133" t="str">
        <f>(G15&amp;H15&amp;I15&amp;"."&amp;J15)</f>
        <v>221.1</v>
      </c>
      <c r="L15" s="141"/>
      <c r="M15" s="134">
        <v>39.1</v>
      </c>
      <c r="N15" s="142"/>
      <c r="O15" s="143"/>
      <c r="P15" s="144"/>
      <c r="Q15" s="145" t="s">
        <v>410</v>
      </c>
      <c r="R15" s="146">
        <v>27</v>
      </c>
      <c r="S15" s="170"/>
      <c r="AA15" s="171"/>
      <c r="AB15" s="171"/>
      <c r="AC15" s="171"/>
      <c r="AD15" s="171"/>
      <c r="AE15" s="171"/>
      <c r="AF15" s="171"/>
      <c r="AG15" s="171"/>
      <c r="AH15" s="171"/>
    </row>
    <row r="16" spans="1:75" ht="13.35" customHeight="1" thickBot="1">
      <c r="B16" s="133"/>
      <c r="C16" s="134"/>
      <c r="D16" s="140">
        <v>103</v>
      </c>
      <c r="E16" s="133" t="s">
        <v>5</v>
      </c>
      <c r="F16" s="133">
        <v>5</v>
      </c>
      <c r="G16" s="56">
        <f>IF(LEFT(E16,1)="F",1,2)</f>
        <v>1</v>
      </c>
      <c r="H16" s="56">
        <f>IF(MID(E16,2,1)="S",1,IF(MID(E16,2,1)="T",2,IF(MID(E16,2,1)="D",3,0)))</f>
        <v>3</v>
      </c>
      <c r="I16" s="56">
        <f>IF(RIGHT(E16,1)="L",1,2)</f>
        <v>2</v>
      </c>
      <c r="J16" s="133">
        <v>1</v>
      </c>
      <c r="K16" s="133" t="str">
        <f>(G16&amp;H16&amp;I16&amp;"."&amp;J16)</f>
        <v>132.1</v>
      </c>
      <c r="L16" s="141"/>
      <c r="M16" s="134">
        <v>39.700000000000003</v>
      </c>
      <c r="N16" s="142"/>
      <c r="O16" s="143"/>
      <c r="P16" s="144"/>
      <c r="Q16" s="145" t="s">
        <v>409</v>
      </c>
      <c r="R16" s="146">
        <v>34.1</v>
      </c>
      <c r="S16" s="170"/>
    </row>
    <row r="17" spans="2:34" ht="13.35" customHeight="1" thickBot="1">
      <c r="B17" s="133"/>
      <c r="C17" s="134"/>
      <c r="D17" s="140">
        <v>102</v>
      </c>
      <c r="E17" s="133" t="s">
        <v>4</v>
      </c>
      <c r="F17" s="133">
        <v>4</v>
      </c>
      <c r="G17" s="56">
        <f>IF(LEFT(E17,1)="F",1,2)</f>
        <v>1</v>
      </c>
      <c r="H17" s="56">
        <f>IF(MID(E17,2,1)="S",1,IF(MID(E17,2,1)="T",2,IF(MID(E17,2,1)="D",3,0)))</f>
        <v>2</v>
      </c>
      <c r="I17" s="56">
        <f>IF(RIGHT(E17,1)="L",1,2)</f>
        <v>1</v>
      </c>
      <c r="J17" s="133">
        <v>1</v>
      </c>
      <c r="K17" s="133" t="str">
        <f>(G17&amp;H17&amp;I17&amp;"."&amp;J17)</f>
        <v>121.1</v>
      </c>
      <c r="L17" s="141"/>
      <c r="M17" s="134">
        <v>37.4</v>
      </c>
      <c r="N17" s="142"/>
      <c r="O17" s="143"/>
      <c r="P17" s="144"/>
      <c r="Q17" s="145" t="s">
        <v>408</v>
      </c>
      <c r="R17" s="146">
        <v>41.9</v>
      </c>
      <c r="S17" s="170"/>
      <c r="AA17" s="186"/>
      <c r="AB17" s="186"/>
      <c r="AC17" s="186"/>
      <c r="AD17" s="186"/>
      <c r="AE17" s="186"/>
      <c r="AF17" s="186"/>
      <c r="AG17" s="186"/>
      <c r="AH17" s="186"/>
    </row>
    <row r="18" spans="2:34" ht="13.35" customHeight="1" thickBot="1">
      <c r="B18" s="133"/>
      <c r="C18" s="134"/>
      <c r="D18" s="147">
        <v>101</v>
      </c>
      <c r="E18" s="50" t="s">
        <v>3</v>
      </c>
      <c r="F18" s="50">
        <v>1</v>
      </c>
      <c r="G18" s="50">
        <f>IF(LEFT(E18,1)="F",1,2)</f>
        <v>1</v>
      </c>
      <c r="H18" s="50">
        <f>IF(MID(E18,2,1)="S",1,IF(MID(E18,2,1)="T",2,IF(MID(E18,2,1)="D",3,0)))</f>
        <v>1</v>
      </c>
      <c r="I18" s="50">
        <f>IF(RIGHT(E18,1)="L",1,2)</f>
        <v>2</v>
      </c>
      <c r="J18" s="148">
        <v>1</v>
      </c>
      <c r="K18" s="148" t="str">
        <f>(G18&amp;H18&amp;I18&amp;"."&amp;J18)</f>
        <v>112.1</v>
      </c>
      <c r="L18" s="149"/>
      <c r="M18" s="150">
        <v>40</v>
      </c>
      <c r="N18" s="151"/>
      <c r="O18" s="152"/>
      <c r="P18" s="153"/>
      <c r="Q18" s="145" t="s">
        <v>407</v>
      </c>
      <c r="R18" s="146">
        <v>49.4</v>
      </c>
      <c r="S18" s="170"/>
      <c r="AA18" s="186"/>
      <c r="AB18" s="186"/>
      <c r="AC18" s="186"/>
      <c r="AD18" s="186"/>
      <c r="AE18" s="186"/>
      <c r="AF18" s="186"/>
      <c r="AG18" s="186"/>
      <c r="AH18" s="186"/>
    </row>
    <row r="19" spans="2:34" ht="13.35" customHeight="1" thickBot="1">
      <c r="B19" s="133"/>
      <c r="C19" s="134"/>
      <c r="D19" s="135">
        <v>201</v>
      </c>
      <c r="E19" s="136" t="s">
        <v>10</v>
      </c>
      <c r="F19" s="136">
        <v>12</v>
      </c>
      <c r="G19" s="62">
        <f>IF(LEFT(E19,1)="F",1,2)</f>
        <v>2</v>
      </c>
      <c r="H19" s="62">
        <f>IF(MID(E19,2,1)="S",1,IF(MID(E19,2,1)="T",2,IF(MID(E19,2,1)="D",3,0)))</f>
        <v>3</v>
      </c>
      <c r="I19" s="62">
        <f>IF(RIGHT(E19,1)="L",1,2)</f>
        <v>1</v>
      </c>
      <c r="J19" s="136">
        <v>1</v>
      </c>
      <c r="K19" s="136" t="str">
        <f>(G19&amp;H19&amp;I19&amp;"."&amp;J19)</f>
        <v>231.1</v>
      </c>
      <c r="L19" s="182">
        <v>0.43194444444444446</v>
      </c>
      <c r="M19" s="137">
        <v>37.799999999999997</v>
      </c>
      <c r="N19" s="138"/>
      <c r="O19" s="139"/>
      <c r="P19" s="139"/>
      <c r="Q19" s="145" t="s">
        <v>406</v>
      </c>
      <c r="R19" s="146">
        <v>56.9</v>
      </c>
      <c r="S19" s="170"/>
      <c r="AA19" s="171"/>
      <c r="AB19" s="171"/>
      <c r="AC19" s="171"/>
      <c r="AD19" s="171"/>
      <c r="AE19" s="171"/>
      <c r="AF19" s="171"/>
      <c r="AG19" s="187"/>
      <c r="AH19" s="187"/>
    </row>
    <row r="20" spans="2:34" ht="13.35" customHeight="1" thickBot="1">
      <c r="B20" s="133"/>
      <c r="C20" s="134"/>
      <c r="D20" s="140">
        <v>202</v>
      </c>
      <c r="E20" s="133" t="s">
        <v>7</v>
      </c>
      <c r="F20" s="133">
        <v>9</v>
      </c>
      <c r="G20" s="56">
        <f>IF(LEFT(E20,1)="F",1,2)</f>
        <v>2</v>
      </c>
      <c r="H20" s="56">
        <f>IF(MID(E20,2,1)="S",1,IF(MID(E20,2,1)="T",2,IF(MID(E20,2,1)="D",3,0)))</f>
        <v>2</v>
      </c>
      <c r="I20" s="56">
        <f>IF(RIGHT(E20,1)="L",1,2)</f>
        <v>2</v>
      </c>
      <c r="J20" s="133">
        <v>1</v>
      </c>
      <c r="K20" s="133" t="str">
        <f>(G20&amp;H20&amp;I20&amp;"."&amp;J20)</f>
        <v>222.1</v>
      </c>
      <c r="L20" s="154"/>
      <c r="M20" s="134">
        <v>39.6</v>
      </c>
      <c r="N20" s="142"/>
      <c r="O20" s="143"/>
      <c r="P20" s="144"/>
      <c r="Q20" s="145" t="s">
        <v>405</v>
      </c>
      <c r="R20" s="146">
        <v>67.099999999999994</v>
      </c>
      <c r="S20" s="170"/>
      <c r="AA20" s="171"/>
      <c r="AB20" s="171"/>
      <c r="AC20" s="171"/>
      <c r="AD20" s="171"/>
      <c r="AE20" s="171"/>
      <c r="AF20" s="171"/>
      <c r="AG20" s="171"/>
      <c r="AH20" s="171"/>
    </row>
    <row r="21" spans="2:34" ht="13.35" customHeight="1">
      <c r="B21" s="133"/>
      <c r="C21" s="134"/>
      <c r="D21" s="140">
        <v>203</v>
      </c>
      <c r="E21" s="133" t="s">
        <v>8</v>
      </c>
      <c r="F21" s="133">
        <v>3</v>
      </c>
      <c r="G21" s="56">
        <f>IF(LEFT(E21,1)="F",1,2)</f>
        <v>1</v>
      </c>
      <c r="H21" s="56">
        <f>IF(MID(E21,2,1)="S",1,IF(MID(E21,2,1)="T",2,IF(MID(E21,2,1)="D",3,0)))</f>
        <v>2</v>
      </c>
      <c r="I21" s="56">
        <f>IF(RIGHT(E21,1)="L",1,2)</f>
        <v>2</v>
      </c>
      <c r="J21" s="133">
        <v>1</v>
      </c>
      <c r="K21" s="133" t="str">
        <f>(G21&amp;H21&amp;I21&amp;"."&amp;J21)</f>
        <v>122.1</v>
      </c>
      <c r="L21" s="141"/>
      <c r="M21" s="134">
        <v>41.6</v>
      </c>
      <c r="N21" s="142"/>
      <c r="O21" s="143"/>
      <c r="P21" s="144"/>
      <c r="Q21" s="144"/>
      <c r="R21" s="155"/>
      <c r="S21" s="170"/>
      <c r="AA21" s="171"/>
      <c r="AB21" s="171"/>
      <c r="AC21" s="171"/>
      <c r="AD21" s="171"/>
      <c r="AE21" s="171"/>
      <c r="AF21" s="171"/>
      <c r="AG21" s="171"/>
      <c r="AH21" s="171"/>
    </row>
    <row r="22" spans="2:34" ht="13.35" customHeight="1">
      <c r="B22" s="133"/>
      <c r="C22" s="134"/>
      <c r="D22" s="140">
        <v>204</v>
      </c>
      <c r="E22" s="133" t="s">
        <v>11</v>
      </c>
      <c r="F22" s="133">
        <v>11</v>
      </c>
      <c r="G22" s="56">
        <f>IF(LEFT(E22,1)="F",1,2)</f>
        <v>2</v>
      </c>
      <c r="H22" s="56">
        <f>IF(MID(E22,2,1)="S",1,IF(MID(E22,2,1)="T",2,IF(MID(E22,2,1)="D",3,0)))</f>
        <v>3</v>
      </c>
      <c r="I22" s="56">
        <f>IF(RIGHT(E22,1)="L",1,2)</f>
        <v>2</v>
      </c>
      <c r="J22" s="133">
        <v>1</v>
      </c>
      <c r="K22" s="133" t="str">
        <f>(G22&amp;H22&amp;I22&amp;"."&amp;J22)</f>
        <v>232.1</v>
      </c>
      <c r="L22" s="141"/>
      <c r="M22" s="134">
        <v>39.200000000000003</v>
      </c>
      <c r="N22" s="142"/>
      <c r="O22" s="143"/>
      <c r="P22" s="144"/>
      <c r="Q22" s="144"/>
      <c r="R22" s="155"/>
      <c r="S22" s="170"/>
    </row>
    <row r="23" spans="2:34" ht="13.35" customHeight="1">
      <c r="B23" s="133"/>
      <c r="C23" s="134"/>
      <c r="D23" s="140">
        <v>205</v>
      </c>
      <c r="E23" s="133" t="s">
        <v>3</v>
      </c>
      <c r="F23" s="133">
        <v>1</v>
      </c>
      <c r="G23" s="56">
        <f>IF(LEFT(E23,1)="F",1,2)</f>
        <v>1</v>
      </c>
      <c r="H23" s="56">
        <f>IF(MID(E23,2,1)="S",1,IF(MID(E23,2,1)="T",2,IF(MID(E23,2,1)="D",3,0)))</f>
        <v>1</v>
      </c>
      <c r="I23" s="56">
        <f>IF(RIGHT(E23,1)="L",1,2)</f>
        <v>2</v>
      </c>
      <c r="J23" s="133">
        <v>2</v>
      </c>
      <c r="K23" s="133" t="str">
        <f>(G23&amp;H23&amp;I23&amp;"."&amp;J23)</f>
        <v>112.2</v>
      </c>
      <c r="L23" s="141"/>
      <c r="M23" s="134">
        <v>40.4</v>
      </c>
      <c r="N23" s="142"/>
      <c r="O23" s="143"/>
      <c r="P23" s="144"/>
      <c r="Q23" s="144"/>
      <c r="R23" s="155"/>
      <c r="S23" s="170"/>
      <c r="AA23" s="186"/>
      <c r="AB23" s="186"/>
      <c r="AC23" s="186"/>
      <c r="AD23" s="186"/>
      <c r="AE23" s="186"/>
      <c r="AF23" s="186"/>
      <c r="AG23" s="186"/>
      <c r="AH23" s="186"/>
    </row>
    <row r="24" spans="2:34" ht="13.35" customHeight="1">
      <c r="B24" s="133"/>
      <c r="C24" s="134"/>
      <c r="D24" s="140">
        <v>206</v>
      </c>
      <c r="E24" s="133" t="s">
        <v>12</v>
      </c>
      <c r="F24" s="133">
        <v>8</v>
      </c>
      <c r="G24" s="56">
        <f>IF(LEFT(E24,1)="F",1,2)</f>
        <v>2</v>
      </c>
      <c r="H24" s="56">
        <f>IF(MID(E24,2,1)="S",1,IF(MID(E24,2,1)="T",2,IF(MID(E24,2,1)="D",3,0)))</f>
        <v>1</v>
      </c>
      <c r="I24" s="56">
        <f>IF(RIGHT(E24,1)="L",1,2)</f>
        <v>1</v>
      </c>
      <c r="J24" s="133">
        <v>2</v>
      </c>
      <c r="K24" s="133" t="str">
        <f>(G24&amp;H24&amp;I24&amp;"."&amp;J24)</f>
        <v>211.2</v>
      </c>
      <c r="L24" s="141"/>
      <c r="M24" s="134">
        <v>42.1</v>
      </c>
      <c r="N24" s="142"/>
      <c r="O24" s="143"/>
      <c r="P24" s="144"/>
      <c r="Q24" s="144"/>
      <c r="R24" s="155"/>
      <c r="S24" s="170"/>
      <c r="AA24" s="186"/>
      <c r="AB24" s="186"/>
      <c r="AC24" s="186"/>
      <c r="AD24" s="186"/>
      <c r="AE24" s="186"/>
      <c r="AF24" s="186"/>
      <c r="AG24" s="186"/>
      <c r="AH24" s="186"/>
    </row>
    <row r="25" spans="2:34" ht="13.35" customHeight="1">
      <c r="B25" s="133"/>
      <c r="C25" s="134"/>
      <c r="D25" s="140">
        <v>207</v>
      </c>
      <c r="E25" s="133" t="s">
        <v>4</v>
      </c>
      <c r="F25" s="133">
        <v>4</v>
      </c>
      <c r="G25" s="56">
        <f>IF(LEFT(E25,1)="F",1,2)</f>
        <v>1</v>
      </c>
      <c r="H25" s="56">
        <f>IF(MID(E25,2,1)="S",1,IF(MID(E25,2,1)="T",2,IF(MID(E25,2,1)="D",3,0)))</f>
        <v>2</v>
      </c>
      <c r="I25" s="56">
        <f>IF(RIGHT(E25,1)="L",1,2)</f>
        <v>1</v>
      </c>
      <c r="J25" s="133">
        <v>2</v>
      </c>
      <c r="K25" s="133" t="str">
        <f>(G25&amp;H25&amp;I25&amp;"."&amp;J25)</f>
        <v>121.2</v>
      </c>
      <c r="L25" s="141"/>
      <c r="M25" s="134">
        <v>38.4</v>
      </c>
      <c r="N25" s="142"/>
      <c r="O25" s="143"/>
      <c r="P25" s="144"/>
      <c r="Q25" s="144"/>
      <c r="R25" s="155"/>
      <c r="S25" s="170"/>
      <c r="AA25" s="171"/>
      <c r="AB25" s="171"/>
      <c r="AC25" s="171"/>
      <c r="AD25" s="171"/>
      <c r="AE25" s="171"/>
      <c r="AF25" s="171"/>
      <c r="AG25" s="171"/>
      <c r="AH25" s="171"/>
    </row>
    <row r="26" spans="2:34" ht="13.35" customHeight="1" thickBot="1">
      <c r="B26" s="133"/>
      <c r="C26" s="134"/>
      <c r="D26" s="147">
        <v>208</v>
      </c>
      <c r="E26" s="148" t="s">
        <v>13</v>
      </c>
      <c r="F26" s="148">
        <v>2</v>
      </c>
      <c r="G26" s="50">
        <f>IF(LEFT(E26,1)="F",1,2)</f>
        <v>1</v>
      </c>
      <c r="H26" s="50">
        <f>IF(MID(E26,2,1)="S",1,IF(MID(E26,2,1)="T",2,IF(MID(E26,2,1)="D",3,0)))</f>
        <v>1</v>
      </c>
      <c r="I26" s="50">
        <f>IF(RIGHT(E26,1)="L",1,2)</f>
        <v>1</v>
      </c>
      <c r="J26" s="148">
        <v>2</v>
      </c>
      <c r="K26" s="148" t="str">
        <f>(G26&amp;H26&amp;I26&amp;"."&amp;J26)</f>
        <v>111.2</v>
      </c>
      <c r="L26" s="149"/>
      <c r="M26" s="150">
        <v>39.200000000000003</v>
      </c>
      <c r="N26" s="151"/>
      <c r="O26" s="152"/>
      <c r="P26" s="153"/>
      <c r="Q26" s="153"/>
      <c r="R26" s="156"/>
      <c r="S26" s="170"/>
      <c r="X26" s="183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</row>
    <row r="27" spans="2:34" ht="13.35" customHeight="1">
      <c r="B27" s="133"/>
      <c r="C27" s="134"/>
      <c r="D27" s="135">
        <v>908</v>
      </c>
      <c r="E27" s="157" t="s">
        <v>416</v>
      </c>
      <c r="F27" s="136">
        <v>21</v>
      </c>
      <c r="G27" s="62">
        <v>3</v>
      </c>
      <c r="H27" s="62">
        <v>2</v>
      </c>
      <c r="I27" s="62">
        <v>2</v>
      </c>
      <c r="J27" s="136">
        <v>2</v>
      </c>
      <c r="K27" s="136" t="str">
        <f>(G27&amp;H27&amp;I27&amp;"."&amp;J27)</f>
        <v>322.2</v>
      </c>
      <c r="L27" s="182">
        <v>0.44027777777777777</v>
      </c>
      <c r="M27" s="137">
        <v>55.3</v>
      </c>
      <c r="N27" s="138"/>
      <c r="O27" s="139"/>
      <c r="P27" s="139"/>
      <c r="Q27" s="139"/>
      <c r="R27" s="158"/>
      <c r="S27" s="170"/>
      <c r="X27" s="183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</row>
    <row r="28" spans="2:34" ht="13.35" customHeight="1">
      <c r="B28" s="133"/>
      <c r="C28" s="134"/>
      <c r="D28" s="140">
        <v>907</v>
      </c>
      <c r="E28" s="133" t="s">
        <v>17</v>
      </c>
      <c r="F28" s="133">
        <v>31</v>
      </c>
      <c r="G28" s="56">
        <v>8</v>
      </c>
      <c r="H28" s="56">
        <v>0</v>
      </c>
      <c r="I28" s="56">
        <v>1</v>
      </c>
      <c r="J28" s="133">
        <v>2</v>
      </c>
      <c r="K28" s="133" t="str">
        <f>(G28&amp;H28&amp;I28&amp;"."&amp;J28)</f>
        <v>801.2</v>
      </c>
      <c r="L28" s="154"/>
      <c r="M28" s="159"/>
      <c r="N28" s="160"/>
      <c r="O28" s="161"/>
      <c r="P28" s="162"/>
      <c r="Q28" s="162"/>
      <c r="R28" s="163"/>
      <c r="S28" s="170"/>
      <c r="X28" s="183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</row>
    <row r="29" spans="2:34" ht="13.35" customHeight="1">
      <c r="B29" s="133"/>
      <c r="C29" s="134"/>
      <c r="D29" s="140">
        <v>906</v>
      </c>
      <c r="E29" s="164" t="s">
        <v>415</v>
      </c>
      <c r="F29" s="133">
        <v>22</v>
      </c>
      <c r="G29" s="56">
        <v>4</v>
      </c>
      <c r="H29" s="56">
        <v>2</v>
      </c>
      <c r="I29" s="56">
        <v>2</v>
      </c>
      <c r="J29" s="133">
        <v>2</v>
      </c>
      <c r="K29" s="133" t="str">
        <f>(G29&amp;H29&amp;I29&amp;"."&amp;J29)</f>
        <v>422.2</v>
      </c>
      <c r="L29" s="141"/>
      <c r="M29" s="134">
        <v>38.4</v>
      </c>
      <c r="N29" s="142"/>
      <c r="O29" s="143"/>
      <c r="P29" s="144"/>
      <c r="Q29" s="144"/>
      <c r="R29" s="155"/>
      <c r="S29" s="170"/>
      <c r="X29" s="183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</row>
    <row r="30" spans="2:34" ht="13.35" customHeight="1">
      <c r="B30" s="133"/>
      <c r="C30" s="134"/>
      <c r="D30" s="140">
        <v>905</v>
      </c>
      <c r="E30" s="133" t="s">
        <v>16</v>
      </c>
      <c r="F30" s="133">
        <v>32</v>
      </c>
      <c r="G30" s="56">
        <v>9</v>
      </c>
      <c r="H30" s="56">
        <v>0</v>
      </c>
      <c r="I30" s="56">
        <v>1</v>
      </c>
      <c r="J30" s="133">
        <v>2</v>
      </c>
      <c r="K30" s="133" t="str">
        <f>(G30&amp;H30&amp;I30&amp;"."&amp;J30)</f>
        <v>901.2</v>
      </c>
      <c r="L30" s="154"/>
      <c r="M30" s="159"/>
      <c r="N30" s="160"/>
      <c r="O30" s="161"/>
      <c r="P30" s="162"/>
      <c r="Q30" s="162"/>
      <c r="R30" s="163"/>
      <c r="S30" s="170"/>
      <c r="X30" s="183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</row>
    <row r="31" spans="2:34" ht="13.35" customHeight="1">
      <c r="B31" s="133"/>
      <c r="C31" s="134"/>
      <c r="D31" s="140">
        <v>904</v>
      </c>
      <c r="E31" s="164" t="s">
        <v>416</v>
      </c>
      <c r="F31" s="133">
        <v>21</v>
      </c>
      <c r="G31" s="56">
        <v>3</v>
      </c>
      <c r="H31" s="56">
        <v>2</v>
      </c>
      <c r="I31" s="56">
        <v>2</v>
      </c>
      <c r="J31" s="133">
        <v>1</v>
      </c>
      <c r="K31" s="133" t="str">
        <f>(G31&amp;H31&amp;I31&amp;"."&amp;J31)</f>
        <v>322.1</v>
      </c>
      <c r="L31" s="141"/>
      <c r="M31" s="134">
        <v>53.6</v>
      </c>
      <c r="N31" s="142"/>
      <c r="O31" s="143"/>
      <c r="P31" s="144"/>
      <c r="Q31" s="144"/>
      <c r="R31" s="155"/>
      <c r="S31" s="170"/>
      <c r="X31" s="183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</row>
    <row r="32" spans="2:34" ht="13.35" customHeight="1">
      <c r="B32" s="133"/>
      <c r="C32" s="134"/>
      <c r="D32" s="140">
        <v>903</v>
      </c>
      <c r="E32" s="133" t="s">
        <v>17</v>
      </c>
      <c r="F32" s="133">
        <v>31</v>
      </c>
      <c r="G32" s="56">
        <v>8</v>
      </c>
      <c r="H32" s="56">
        <v>0</v>
      </c>
      <c r="I32" s="56">
        <v>1</v>
      </c>
      <c r="J32" s="133">
        <v>1</v>
      </c>
      <c r="K32" s="133" t="str">
        <f>(G32&amp;H32&amp;I32&amp;"."&amp;J32)</f>
        <v>801.1</v>
      </c>
      <c r="L32" s="154"/>
      <c r="M32" s="159"/>
      <c r="N32" s="160"/>
      <c r="O32" s="161"/>
      <c r="P32" s="162"/>
      <c r="Q32" s="162"/>
      <c r="R32" s="163"/>
      <c r="S32" s="170"/>
      <c r="T32" s="170"/>
      <c r="U32" s="170"/>
      <c r="V32" s="170"/>
      <c r="X32" s="183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</row>
    <row r="33" spans="2:34" ht="13.35" customHeight="1">
      <c r="B33" s="133"/>
      <c r="C33" s="134"/>
      <c r="D33" s="140">
        <v>902</v>
      </c>
      <c r="E33" s="164" t="s">
        <v>415</v>
      </c>
      <c r="F33" s="133">
        <v>22</v>
      </c>
      <c r="G33" s="56">
        <v>4</v>
      </c>
      <c r="H33" s="56">
        <v>2</v>
      </c>
      <c r="I33" s="56">
        <v>2</v>
      </c>
      <c r="J33" s="133">
        <v>1</v>
      </c>
      <c r="K33" s="133" t="str">
        <f>(G33&amp;H33&amp;I33&amp;"."&amp;J33)</f>
        <v>422.1</v>
      </c>
      <c r="L33" s="141"/>
      <c r="M33" s="134">
        <v>43</v>
      </c>
      <c r="N33" s="142"/>
      <c r="O33" s="143"/>
      <c r="P33" s="144"/>
      <c r="Q33" s="144"/>
      <c r="R33" s="155"/>
      <c r="S33" s="170"/>
      <c r="T33" s="170"/>
      <c r="U33" s="170"/>
      <c r="V33" s="170"/>
      <c r="X33" s="183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</row>
    <row r="34" spans="2:34" ht="13.35" customHeight="1" thickBot="1">
      <c r="B34" s="133"/>
      <c r="C34" s="134"/>
      <c r="D34" s="147">
        <v>901</v>
      </c>
      <c r="E34" s="148" t="s">
        <v>16</v>
      </c>
      <c r="F34" s="148">
        <v>32</v>
      </c>
      <c r="G34" s="50">
        <v>9</v>
      </c>
      <c r="H34" s="50">
        <v>0</v>
      </c>
      <c r="I34" s="50">
        <v>1</v>
      </c>
      <c r="J34" s="148">
        <v>1</v>
      </c>
      <c r="K34" s="148" t="str">
        <f>(G34&amp;H34&amp;I34&amp;"."&amp;J34)</f>
        <v>901.1</v>
      </c>
      <c r="L34" s="154"/>
      <c r="M34" s="165"/>
      <c r="N34" s="166"/>
      <c r="O34" s="167"/>
      <c r="P34" s="168"/>
      <c r="Q34" s="168"/>
      <c r="R34" s="169"/>
      <c r="S34" s="170"/>
      <c r="T34" s="170"/>
      <c r="U34" s="170"/>
      <c r="V34" s="170"/>
      <c r="X34" s="183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</row>
    <row r="35" spans="2:34" ht="13.35" customHeight="1">
      <c r="B35" s="133"/>
      <c r="C35" s="134"/>
      <c r="D35" s="135">
        <v>301</v>
      </c>
      <c r="E35" s="136" t="s">
        <v>6</v>
      </c>
      <c r="F35" s="136">
        <v>10</v>
      </c>
      <c r="G35" s="62">
        <f>IF(LEFT(E35,1)="F",1,2)</f>
        <v>2</v>
      </c>
      <c r="H35" s="62">
        <f>IF(MID(E35,2,1)="S",1,IF(MID(E35,2,1)="T",2,IF(MID(E35,2,1)="D",3,0)))</f>
        <v>2</v>
      </c>
      <c r="I35" s="62">
        <f>IF(RIGHT(E35,1)="L",1,2)</f>
        <v>1</v>
      </c>
      <c r="J35" s="136">
        <v>3</v>
      </c>
      <c r="K35" s="136" t="str">
        <f>(G35&amp;H35&amp;I35&amp;"."&amp;J35)</f>
        <v>221.3</v>
      </c>
      <c r="L35" s="182">
        <v>0.4458333333333333</v>
      </c>
      <c r="M35" s="137">
        <v>39.799999999999997</v>
      </c>
      <c r="N35" s="138"/>
      <c r="O35" s="139"/>
      <c r="P35" s="139"/>
      <c r="Q35" s="139"/>
      <c r="R35" s="158"/>
      <c r="S35" s="170"/>
      <c r="T35" s="170"/>
      <c r="U35" s="170"/>
      <c r="V35" s="170"/>
      <c r="X35" s="183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</row>
    <row r="36" spans="2:34" ht="13.35" customHeight="1">
      <c r="B36" s="133"/>
      <c r="C36" s="134"/>
      <c r="D36" s="140">
        <v>302</v>
      </c>
      <c r="E36" s="133" t="s">
        <v>4</v>
      </c>
      <c r="F36" s="133">
        <v>4</v>
      </c>
      <c r="G36" s="56">
        <f>IF(LEFT(E36,1)="F",1,2)</f>
        <v>1</v>
      </c>
      <c r="H36" s="56">
        <f>IF(MID(E36,2,1)="S",1,IF(MID(E36,2,1)="T",2,IF(MID(E36,2,1)="D",3,0)))</f>
        <v>2</v>
      </c>
      <c r="I36" s="56">
        <f>IF(RIGHT(E36,1)="L",1,2)</f>
        <v>1</v>
      </c>
      <c r="J36" s="133">
        <v>3</v>
      </c>
      <c r="K36" s="133" t="str">
        <f>(G36&amp;H36&amp;I36&amp;"."&amp;J36)</f>
        <v>121.3</v>
      </c>
      <c r="L36" s="154"/>
      <c r="M36" s="134">
        <v>37</v>
      </c>
      <c r="N36" s="142"/>
      <c r="O36" s="143"/>
      <c r="P36" s="144"/>
      <c r="Q36" s="144"/>
      <c r="R36" s="155"/>
      <c r="S36" s="170"/>
      <c r="T36" s="170"/>
      <c r="U36" s="170"/>
      <c r="V36" s="170"/>
    </row>
    <row r="37" spans="2:34" ht="13.35" customHeight="1">
      <c r="B37" s="133"/>
      <c r="C37" s="134"/>
      <c r="D37" s="140">
        <v>303</v>
      </c>
      <c r="E37" s="133" t="s">
        <v>12</v>
      </c>
      <c r="F37" s="133">
        <v>8</v>
      </c>
      <c r="G37" s="56">
        <f>IF(LEFT(E37,1)="F",1,2)</f>
        <v>2</v>
      </c>
      <c r="H37" s="56">
        <f>IF(MID(E37,2,1)="S",1,IF(MID(E37,2,1)="T",2,IF(MID(E37,2,1)="D",3,0)))</f>
        <v>1</v>
      </c>
      <c r="I37" s="56">
        <f>IF(RIGHT(E37,1)="L",1,2)</f>
        <v>1</v>
      </c>
      <c r="J37" s="133">
        <v>3</v>
      </c>
      <c r="K37" s="133" t="str">
        <f>(G37&amp;H37&amp;I37&amp;"."&amp;J37)</f>
        <v>211.3</v>
      </c>
      <c r="L37" s="141"/>
      <c r="M37" s="134">
        <v>36.5</v>
      </c>
      <c r="N37" s="142"/>
      <c r="O37" s="143"/>
      <c r="P37" s="144"/>
      <c r="Q37" s="144"/>
      <c r="R37" s="155"/>
      <c r="S37" s="170"/>
      <c r="T37" s="170"/>
      <c r="U37" s="170"/>
      <c r="V37" s="170"/>
      <c r="X37" s="183"/>
      <c r="Y37" s="186"/>
      <c r="Z37" s="186"/>
      <c r="AA37" s="186"/>
      <c r="AB37" s="186"/>
      <c r="AC37" s="186"/>
      <c r="AD37" s="186"/>
      <c r="AE37" s="186"/>
      <c r="AF37" s="186"/>
      <c r="AG37" s="186"/>
      <c r="AH37" s="186"/>
    </row>
    <row r="38" spans="2:34" ht="13.35" customHeight="1">
      <c r="B38" s="133"/>
      <c r="C38" s="134"/>
      <c r="D38" s="140">
        <v>304</v>
      </c>
      <c r="E38" s="133" t="s">
        <v>13</v>
      </c>
      <c r="F38" s="133">
        <v>2</v>
      </c>
      <c r="G38" s="56">
        <f>IF(LEFT(E38,1)="F",1,2)</f>
        <v>1</v>
      </c>
      <c r="H38" s="56">
        <f>IF(MID(E38,2,1)="S",1,IF(MID(E38,2,1)="T",2,IF(MID(E38,2,1)="D",3,0)))</f>
        <v>1</v>
      </c>
      <c r="I38" s="56">
        <f>IF(RIGHT(E38,1)="L",1,2)</f>
        <v>1</v>
      </c>
      <c r="J38" s="133">
        <v>3</v>
      </c>
      <c r="K38" s="133" t="str">
        <f>(G38&amp;H38&amp;I38&amp;"."&amp;J38)</f>
        <v>111.3</v>
      </c>
      <c r="L38" s="141"/>
      <c r="M38" s="134">
        <v>37.1</v>
      </c>
      <c r="N38" s="142"/>
      <c r="O38" s="143"/>
      <c r="P38" s="144"/>
      <c r="Q38" s="144"/>
      <c r="R38" s="155"/>
      <c r="S38" s="170"/>
      <c r="T38" s="170"/>
      <c r="U38" s="170"/>
      <c r="V38" s="170"/>
      <c r="X38" s="183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</row>
    <row r="39" spans="2:34" ht="13.35" customHeight="1">
      <c r="B39" s="133"/>
      <c r="C39" s="134"/>
      <c r="D39" s="140">
        <v>305</v>
      </c>
      <c r="E39" s="133" t="s">
        <v>11</v>
      </c>
      <c r="F39" s="133">
        <v>11</v>
      </c>
      <c r="G39" s="56">
        <f>IF(LEFT(E39,1)="F",1,2)</f>
        <v>2</v>
      </c>
      <c r="H39" s="56">
        <f>IF(MID(E39,2,1)="S",1,IF(MID(E39,2,1)="T",2,IF(MID(E39,2,1)="D",3,0)))</f>
        <v>3</v>
      </c>
      <c r="I39" s="56">
        <f>IF(RIGHT(E39,1)="L",1,2)</f>
        <v>2</v>
      </c>
      <c r="J39" s="133">
        <v>4</v>
      </c>
      <c r="K39" s="133" t="str">
        <f>(G39&amp;H39&amp;I39&amp;"."&amp;J39)</f>
        <v>232.4</v>
      </c>
      <c r="L39" s="141"/>
      <c r="M39" s="134">
        <v>39.799999999999997</v>
      </c>
      <c r="N39" s="142"/>
      <c r="O39" s="143"/>
      <c r="P39" s="144"/>
      <c r="Q39" s="144"/>
      <c r="R39" s="155"/>
      <c r="S39" s="170"/>
      <c r="T39" s="170"/>
      <c r="U39" s="170"/>
      <c r="V39" s="170"/>
      <c r="X39" s="183"/>
      <c r="Y39" s="171"/>
      <c r="Z39" s="171"/>
      <c r="AA39" s="171"/>
      <c r="AB39" s="171"/>
      <c r="AC39" s="171"/>
      <c r="AD39" s="171"/>
      <c r="AE39" s="171"/>
      <c r="AF39" s="171"/>
      <c r="AG39" s="187"/>
      <c r="AH39" s="186"/>
    </row>
    <row r="40" spans="2:34" ht="13.35" customHeight="1" thickBot="1">
      <c r="B40" s="133"/>
      <c r="C40" s="134"/>
      <c r="D40" s="140">
        <v>306</v>
      </c>
      <c r="E40" s="133" t="s">
        <v>4</v>
      </c>
      <c r="F40" s="133">
        <v>4</v>
      </c>
      <c r="G40" s="56">
        <f>IF(LEFT(E40,1)="F",1,2)</f>
        <v>1</v>
      </c>
      <c r="H40" s="56">
        <f>IF(MID(E40,2,1)="S",1,IF(MID(E40,2,1)="T",2,IF(MID(E40,2,1)="D",3,0)))</f>
        <v>2</v>
      </c>
      <c r="I40" s="56">
        <f>IF(RIGHT(E40,1)="L",1,2)</f>
        <v>1</v>
      </c>
      <c r="J40" s="133">
        <v>4</v>
      </c>
      <c r="K40" s="133" t="str">
        <f>(G40&amp;H40&amp;I40&amp;"."&amp;J40)</f>
        <v>121.4</v>
      </c>
      <c r="L40" s="141"/>
      <c r="M40" s="134">
        <v>36.700000000000003</v>
      </c>
      <c r="N40" s="142"/>
      <c r="O40" s="143"/>
      <c r="P40" s="144"/>
      <c r="Q40" s="144"/>
      <c r="R40" s="155"/>
      <c r="S40" s="170"/>
      <c r="T40" s="170"/>
      <c r="U40" s="170"/>
      <c r="V40" s="170"/>
      <c r="X40" s="183"/>
      <c r="Y40" s="171"/>
      <c r="Z40" s="171"/>
      <c r="AA40" s="171"/>
      <c r="AB40" s="171"/>
      <c r="AC40" s="171"/>
      <c r="AD40" s="171"/>
      <c r="AE40" s="171"/>
      <c r="AF40" s="171"/>
      <c r="AG40" s="171"/>
      <c r="AH40" s="186"/>
    </row>
    <row r="41" spans="2:34" ht="13.35" customHeight="1" thickBot="1">
      <c r="B41" s="133"/>
      <c r="C41" s="134"/>
      <c r="D41" s="140">
        <v>307</v>
      </c>
      <c r="E41" s="133" t="s">
        <v>7</v>
      </c>
      <c r="F41" s="133">
        <v>9</v>
      </c>
      <c r="G41" s="56">
        <f>IF(LEFT(E41,1)="F",1,2)</f>
        <v>2</v>
      </c>
      <c r="H41" s="56">
        <f>IF(MID(E41,2,1)="S",1,IF(MID(E41,2,1)="T",2,IF(MID(E41,2,1)="D",3,0)))</f>
        <v>2</v>
      </c>
      <c r="I41" s="56">
        <f>IF(RIGHT(E41,1)="L",1,2)</f>
        <v>2</v>
      </c>
      <c r="J41" s="133">
        <v>4</v>
      </c>
      <c r="K41" s="133" t="str">
        <f>(G41&amp;H41&amp;I41&amp;"."&amp;J41)</f>
        <v>222.4</v>
      </c>
      <c r="L41" s="141"/>
      <c r="M41" s="134">
        <v>42.3</v>
      </c>
      <c r="N41" s="142"/>
      <c r="O41" s="143"/>
      <c r="P41" s="144"/>
      <c r="Q41" s="185" t="s">
        <v>414</v>
      </c>
      <c r="R41" s="184"/>
      <c r="S41" s="170"/>
      <c r="T41" s="170"/>
      <c r="U41" s="170"/>
      <c r="V41" s="170"/>
      <c r="X41" s="183"/>
      <c r="Y41" s="171"/>
      <c r="Z41" s="171"/>
      <c r="AA41" s="171"/>
      <c r="AB41" s="171"/>
      <c r="AC41" s="171"/>
      <c r="AD41" s="171"/>
      <c r="AE41" s="171"/>
      <c r="AF41" s="171"/>
      <c r="AG41" s="171"/>
    </row>
    <row r="42" spans="2:34" ht="13.35" customHeight="1" thickBot="1">
      <c r="B42" s="133"/>
      <c r="C42" s="134"/>
      <c r="D42" s="147">
        <v>308</v>
      </c>
      <c r="E42" s="148" t="s">
        <v>5</v>
      </c>
      <c r="F42" s="148">
        <v>5</v>
      </c>
      <c r="G42" s="50">
        <f>IF(LEFT(E42,1)="F",1,2)</f>
        <v>1</v>
      </c>
      <c r="H42" s="50">
        <f>IF(MID(E42,2,1)="S",1,IF(MID(E42,2,1)="T",2,IF(MID(E42,2,1)="D",3,0)))</f>
        <v>3</v>
      </c>
      <c r="I42" s="50">
        <f>IF(RIGHT(E42,1)="L",1,2)</f>
        <v>2</v>
      </c>
      <c r="J42" s="148">
        <v>4</v>
      </c>
      <c r="K42" s="148" t="str">
        <f>(G42&amp;H42&amp;I42&amp;"."&amp;J42)</f>
        <v>132.4</v>
      </c>
      <c r="L42" s="149"/>
      <c r="M42" s="150">
        <v>40.299999999999997</v>
      </c>
      <c r="N42" s="151"/>
      <c r="O42" s="152"/>
      <c r="P42" s="153"/>
      <c r="Q42" s="145" t="s">
        <v>413</v>
      </c>
      <c r="R42" s="146">
        <v>3.9</v>
      </c>
      <c r="S42" s="170"/>
      <c r="T42" s="170"/>
      <c r="U42" s="170"/>
      <c r="V42" s="170"/>
    </row>
    <row r="43" spans="2:34" ht="13.35" customHeight="1" thickBot="1">
      <c r="B43" s="133"/>
      <c r="C43" s="134"/>
      <c r="D43" s="135">
        <v>408</v>
      </c>
      <c r="E43" s="136" t="s">
        <v>6</v>
      </c>
      <c r="F43" s="136">
        <v>10</v>
      </c>
      <c r="G43" s="62">
        <f>IF(LEFT(E43,1)="F",1,2)</f>
        <v>2</v>
      </c>
      <c r="H43" s="62">
        <f>IF(MID(E43,2,1)="S",1,IF(MID(E43,2,1)="T",2,IF(MID(E43,2,1)="D",3,0)))</f>
        <v>2</v>
      </c>
      <c r="I43" s="62">
        <f>IF(RIGHT(E43,1)="L",1,2)</f>
        <v>1</v>
      </c>
      <c r="J43" s="136">
        <v>4</v>
      </c>
      <c r="K43" s="136" t="str">
        <f>(G43&amp;H43&amp;I43&amp;"."&amp;J43)</f>
        <v>221.4</v>
      </c>
      <c r="L43" s="182">
        <v>0.45347222222222222</v>
      </c>
      <c r="M43" s="137">
        <v>43.3</v>
      </c>
      <c r="N43" s="138"/>
      <c r="O43" s="139"/>
      <c r="P43" s="139"/>
      <c r="Q43" s="145" t="s">
        <v>412</v>
      </c>
      <c r="R43" s="146">
        <v>11.3</v>
      </c>
      <c r="S43" s="170"/>
      <c r="T43" s="170"/>
      <c r="U43" s="170"/>
      <c r="V43" s="170"/>
    </row>
    <row r="44" spans="2:34" ht="13.35" customHeight="1" thickBot="1">
      <c r="B44" s="133"/>
      <c r="C44" s="134"/>
      <c r="D44" s="140">
        <v>407</v>
      </c>
      <c r="E44" s="133" t="s">
        <v>14</v>
      </c>
      <c r="F44" s="133">
        <v>7</v>
      </c>
      <c r="G44" s="56">
        <f>IF(LEFT(E44,1)="F",1,2)</f>
        <v>2</v>
      </c>
      <c r="H44" s="56">
        <f>IF(MID(E44,2,1)="S",1,IF(MID(E44,2,1)="T",2,IF(MID(E44,2,1)="D",3,0)))</f>
        <v>1</v>
      </c>
      <c r="I44" s="56">
        <f>IF(RIGHT(E44,1)="L",1,2)</f>
        <v>2</v>
      </c>
      <c r="J44" s="133">
        <v>4</v>
      </c>
      <c r="K44" s="133" t="str">
        <f>(G44&amp;H44&amp;I44&amp;"."&amp;J44)</f>
        <v>212.4</v>
      </c>
      <c r="L44" s="154"/>
      <c r="M44" s="134">
        <v>40.9</v>
      </c>
      <c r="N44" s="142"/>
      <c r="O44" s="143"/>
      <c r="P44" s="144"/>
      <c r="Q44" s="145" t="s">
        <v>411</v>
      </c>
      <c r="R44" s="146">
        <v>18.7</v>
      </c>
      <c r="S44" s="170"/>
      <c r="T44" s="170"/>
      <c r="U44" s="170"/>
      <c r="V44" s="170"/>
    </row>
    <row r="45" spans="2:34" ht="13.35" customHeight="1" thickBot="1">
      <c r="B45" s="133"/>
      <c r="C45" s="134"/>
      <c r="D45" s="140">
        <v>406</v>
      </c>
      <c r="E45" s="133" t="s">
        <v>8</v>
      </c>
      <c r="F45" s="133">
        <v>3</v>
      </c>
      <c r="G45" s="56">
        <f>IF(LEFT(E45,1)="F",1,2)</f>
        <v>1</v>
      </c>
      <c r="H45" s="56">
        <f>IF(MID(E45,2,1)="S",1,IF(MID(E45,2,1)="T",2,IF(MID(E45,2,1)="D",3,0)))</f>
        <v>2</v>
      </c>
      <c r="I45" s="56">
        <f>IF(RIGHT(E45,1)="L",1,2)</f>
        <v>2</v>
      </c>
      <c r="J45" s="133">
        <v>4</v>
      </c>
      <c r="K45" s="133" t="str">
        <f>(G45&amp;H45&amp;I45&amp;"."&amp;J45)</f>
        <v>122.4</v>
      </c>
      <c r="L45" s="141"/>
      <c r="M45" s="134">
        <v>42.4</v>
      </c>
      <c r="N45" s="142"/>
      <c r="O45" s="143"/>
      <c r="P45" s="144"/>
      <c r="Q45" s="145" t="s">
        <v>410</v>
      </c>
      <c r="R45" s="146">
        <v>25.9</v>
      </c>
      <c r="S45" s="170"/>
      <c r="T45" s="170"/>
      <c r="U45" s="170"/>
      <c r="V45" s="170"/>
    </row>
    <row r="46" spans="2:34" ht="13.35" customHeight="1" thickBot="1">
      <c r="B46" s="133"/>
      <c r="C46" s="134"/>
      <c r="D46" s="140">
        <v>405</v>
      </c>
      <c r="E46" s="133" t="s">
        <v>15</v>
      </c>
      <c r="F46" s="133">
        <v>6</v>
      </c>
      <c r="G46" s="56">
        <f>IF(LEFT(E46,1)="F",1,2)</f>
        <v>1</v>
      </c>
      <c r="H46" s="56">
        <f>IF(MID(E46,2,1)="S",1,IF(MID(E46,2,1)="T",2,IF(MID(E46,2,1)="D",3,0)))</f>
        <v>3</v>
      </c>
      <c r="I46" s="56">
        <f>IF(RIGHT(E46,1)="L",1,2)</f>
        <v>1</v>
      </c>
      <c r="J46" s="133">
        <v>4</v>
      </c>
      <c r="K46" s="133" t="str">
        <f>(G46&amp;H46&amp;I46&amp;"."&amp;J46)</f>
        <v>131.4</v>
      </c>
      <c r="L46" s="141"/>
      <c r="M46" s="134">
        <v>39.200000000000003</v>
      </c>
      <c r="N46" s="142"/>
      <c r="O46" s="143"/>
      <c r="P46" s="144"/>
      <c r="Q46" s="145" t="s">
        <v>409</v>
      </c>
      <c r="R46" s="146">
        <v>33.1</v>
      </c>
      <c r="S46" s="170"/>
      <c r="T46" s="170"/>
      <c r="U46" s="170"/>
      <c r="V46" s="170"/>
    </row>
    <row r="47" spans="2:34" ht="13.35" customHeight="1" thickBot="1">
      <c r="B47" s="133"/>
      <c r="C47" s="134"/>
      <c r="D47" s="140">
        <v>404</v>
      </c>
      <c r="E47" s="133" t="s">
        <v>8</v>
      </c>
      <c r="F47" s="133">
        <v>3</v>
      </c>
      <c r="G47" s="56">
        <f>IF(LEFT(E47,1)="F",1,2)</f>
        <v>1</v>
      </c>
      <c r="H47" s="56">
        <f>IF(MID(E47,2,1)="S",1,IF(MID(E47,2,1)="T",2,IF(MID(E47,2,1)="D",3,0)))</f>
        <v>2</v>
      </c>
      <c r="I47" s="56">
        <f>IF(RIGHT(E47,1)="L",1,2)</f>
        <v>2</v>
      </c>
      <c r="J47" s="133">
        <v>3</v>
      </c>
      <c r="K47" s="133" t="str">
        <f>(G47&amp;H47&amp;I47&amp;"."&amp;J47)</f>
        <v>122.3</v>
      </c>
      <c r="L47" s="141"/>
      <c r="M47" s="134">
        <v>41.3</v>
      </c>
      <c r="N47" s="142"/>
      <c r="O47" s="143"/>
      <c r="P47" s="144"/>
      <c r="Q47" s="145" t="s">
        <v>408</v>
      </c>
      <c r="R47" s="146">
        <v>40.4</v>
      </c>
      <c r="S47" s="170"/>
      <c r="T47" s="170"/>
      <c r="U47" s="170"/>
      <c r="V47" s="170"/>
    </row>
    <row r="48" spans="2:34" ht="13.35" customHeight="1" thickBot="1">
      <c r="B48" s="133"/>
      <c r="C48" s="134"/>
      <c r="D48" s="140">
        <v>403</v>
      </c>
      <c r="E48" s="133" t="s">
        <v>15</v>
      </c>
      <c r="F48" s="133">
        <v>6</v>
      </c>
      <c r="G48" s="56">
        <f>IF(LEFT(E48,1)="F",1,2)</f>
        <v>1</v>
      </c>
      <c r="H48" s="56">
        <f>IF(MID(E48,2,1)="S",1,IF(MID(E48,2,1)="T",2,IF(MID(E48,2,1)="D",3,0)))</f>
        <v>3</v>
      </c>
      <c r="I48" s="56">
        <f>IF(RIGHT(E48,1)="L",1,2)</f>
        <v>1</v>
      </c>
      <c r="J48" s="133">
        <v>3</v>
      </c>
      <c r="K48" s="133" t="str">
        <f>(G48&amp;H48&amp;I48&amp;"."&amp;J48)</f>
        <v>131.3</v>
      </c>
      <c r="L48" s="141"/>
      <c r="M48" s="134">
        <v>38.200000000000003</v>
      </c>
      <c r="N48" s="142"/>
      <c r="O48" s="143"/>
      <c r="P48" s="144"/>
      <c r="Q48" s="145" t="s">
        <v>407</v>
      </c>
      <c r="R48" s="146">
        <v>47.9</v>
      </c>
      <c r="S48" s="170"/>
      <c r="T48" s="170"/>
      <c r="U48" s="170"/>
      <c r="V48" s="170"/>
    </row>
    <row r="49" spans="2:22" ht="13.35" customHeight="1" thickBot="1">
      <c r="B49" s="133"/>
      <c r="C49" s="134"/>
      <c r="D49" s="140">
        <v>402</v>
      </c>
      <c r="E49" s="133" t="s">
        <v>7</v>
      </c>
      <c r="F49" s="133">
        <v>9</v>
      </c>
      <c r="G49" s="56">
        <f>IF(LEFT(E49,1)="F",1,2)</f>
        <v>2</v>
      </c>
      <c r="H49" s="56">
        <f>IF(MID(E49,2,1)="S",1,IF(MID(E49,2,1)="T",2,IF(MID(E49,2,1)="D",3,0)))</f>
        <v>2</v>
      </c>
      <c r="I49" s="56">
        <f>IF(RIGHT(E49,1)="L",1,2)</f>
        <v>2</v>
      </c>
      <c r="J49" s="133">
        <v>3</v>
      </c>
      <c r="K49" s="133" t="str">
        <f>(G49&amp;H49&amp;I49&amp;"."&amp;J49)</f>
        <v>222.3</v>
      </c>
      <c r="L49" s="141"/>
      <c r="M49" s="134">
        <v>41.7</v>
      </c>
      <c r="N49" s="142"/>
      <c r="O49" s="143"/>
      <c r="P49" s="144"/>
      <c r="Q49" s="145" t="s">
        <v>406</v>
      </c>
      <c r="R49" s="146">
        <v>55.1</v>
      </c>
      <c r="S49" s="170"/>
      <c r="T49" s="170"/>
      <c r="U49" s="170"/>
      <c r="V49" s="170"/>
    </row>
    <row r="50" spans="2:22" ht="13.35" customHeight="1" thickBot="1">
      <c r="B50" s="148"/>
      <c r="C50" s="150"/>
      <c r="D50" s="147">
        <v>401</v>
      </c>
      <c r="E50" s="148" t="s">
        <v>14</v>
      </c>
      <c r="F50" s="148">
        <v>7</v>
      </c>
      <c r="G50" s="50">
        <f>IF(LEFT(E50,1)="F",1,2)</f>
        <v>2</v>
      </c>
      <c r="H50" s="50">
        <f>IF(MID(E50,2,1)="S",1,IF(MID(E50,2,1)="T",2,IF(MID(E50,2,1)="D",3,0)))</f>
        <v>1</v>
      </c>
      <c r="I50" s="50">
        <f>IF(RIGHT(E50,1)="L",1,2)</f>
        <v>2</v>
      </c>
      <c r="J50" s="148">
        <v>3</v>
      </c>
      <c r="K50" s="148" t="str">
        <f>(G50&amp;H50&amp;I50&amp;"."&amp;J50)</f>
        <v>212.3</v>
      </c>
      <c r="L50" s="182">
        <v>0.46111111111111108</v>
      </c>
      <c r="M50" s="150">
        <v>41.6</v>
      </c>
      <c r="N50" s="151"/>
      <c r="O50" s="152"/>
      <c r="P50" s="153"/>
      <c r="Q50" s="145" t="s">
        <v>405</v>
      </c>
      <c r="R50" s="146">
        <v>65.5</v>
      </c>
      <c r="S50" s="170"/>
      <c r="T50" s="170"/>
      <c r="U50" s="170"/>
      <c r="V50" s="170"/>
    </row>
    <row r="51" spans="2:22">
      <c r="B51" s="171"/>
      <c r="C51" s="171"/>
      <c r="D51" s="171"/>
      <c r="E51" s="171"/>
      <c r="F51" s="171"/>
      <c r="G51" s="121"/>
      <c r="H51" s="121"/>
      <c r="I51" s="121"/>
      <c r="J51" s="171"/>
      <c r="K51" s="171"/>
      <c r="L51" s="123"/>
      <c r="M51" s="123"/>
      <c r="N51" s="123"/>
      <c r="O51" s="123"/>
      <c r="P51" s="123"/>
      <c r="Q51" s="123"/>
      <c r="R51" s="123"/>
      <c r="S51" s="170"/>
      <c r="T51" s="170"/>
      <c r="U51" s="170"/>
      <c r="V51" s="170"/>
    </row>
    <row r="52" spans="2:22">
      <c r="B52" s="171"/>
      <c r="C52" s="171"/>
      <c r="D52" s="171"/>
      <c r="E52" s="181"/>
      <c r="F52" s="171"/>
      <c r="G52" s="121"/>
      <c r="H52" s="121"/>
      <c r="I52" s="121"/>
      <c r="J52" s="171"/>
      <c r="K52" s="171"/>
      <c r="L52" s="123"/>
      <c r="M52" s="123"/>
      <c r="N52" s="123"/>
      <c r="O52" s="123"/>
      <c r="P52" s="123"/>
      <c r="Q52" s="123"/>
      <c r="R52" s="123"/>
      <c r="S52" s="170"/>
      <c r="T52" s="170"/>
      <c r="U52" s="170"/>
      <c r="V52" s="170"/>
    </row>
    <row r="53" spans="2:22">
      <c r="B53" s="171"/>
      <c r="C53" s="171"/>
      <c r="D53" s="171"/>
      <c r="E53" s="171"/>
      <c r="F53" s="171"/>
      <c r="G53" s="121"/>
      <c r="H53" s="121"/>
      <c r="I53" s="121"/>
      <c r="J53" s="171"/>
      <c r="K53" s="171"/>
      <c r="L53" s="123"/>
      <c r="M53" s="123"/>
      <c r="N53" s="123"/>
      <c r="O53" s="123"/>
      <c r="P53" s="123"/>
      <c r="Q53" s="123"/>
      <c r="R53" s="123"/>
      <c r="S53" s="170"/>
      <c r="T53" s="170"/>
      <c r="U53" s="170"/>
      <c r="V53" s="170"/>
    </row>
    <row r="54" spans="2:22">
      <c r="B54" s="171"/>
      <c r="C54" s="171"/>
      <c r="D54" s="171"/>
      <c r="E54" s="181"/>
      <c r="F54" s="171"/>
      <c r="G54" s="121"/>
      <c r="H54" s="121"/>
      <c r="I54" s="121"/>
      <c r="J54" s="171"/>
      <c r="K54" s="171"/>
      <c r="L54" s="123"/>
      <c r="M54" s="123"/>
      <c r="N54" s="123"/>
      <c r="O54" s="123"/>
      <c r="P54" s="123"/>
      <c r="Q54" s="123"/>
      <c r="R54" s="123"/>
      <c r="S54" s="170"/>
      <c r="T54" s="170"/>
      <c r="U54" s="170"/>
      <c r="V54" s="170"/>
    </row>
    <row r="55" spans="2:22">
      <c r="B55" s="171"/>
      <c r="C55" s="171"/>
      <c r="D55" s="171"/>
      <c r="E55" s="171"/>
      <c r="F55" s="171"/>
      <c r="G55" s="121"/>
      <c r="H55" s="121"/>
      <c r="I55" s="121"/>
      <c r="J55" s="171"/>
      <c r="K55" s="171"/>
      <c r="L55" s="123"/>
      <c r="M55" s="123"/>
      <c r="N55" s="123"/>
      <c r="O55" s="123"/>
      <c r="P55" s="123"/>
      <c r="Q55" s="123"/>
      <c r="R55" s="123"/>
      <c r="S55" s="170"/>
      <c r="T55" s="170"/>
      <c r="U55" s="170"/>
      <c r="V55" s="170"/>
    </row>
    <row r="56" spans="2:22">
      <c r="B56" s="171"/>
      <c r="C56" s="171"/>
      <c r="D56" s="171"/>
      <c r="E56" s="181"/>
      <c r="F56" s="171"/>
      <c r="G56" s="121"/>
      <c r="H56" s="121"/>
      <c r="I56" s="121"/>
      <c r="J56" s="171"/>
      <c r="K56" s="171"/>
      <c r="L56" s="123"/>
      <c r="M56" s="123"/>
      <c r="N56" s="123"/>
      <c r="O56" s="123"/>
      <c r="P56" s="123"/>
      <c r="Q56" s="123"/>
      <c r="R56" s="123"/>
      <c r="S56" s="170"/>
      <c r="T56" s="170"/>
      <c r="U56" s="170"/>
      <c r="V56" s="170"/>
    </row>
    <row r="57" spans="2:22">
      <c r="B57" s="171"/>
      <c r="C57" s="171"/>
      <c r="D57" s="171"/>
      <c r="E57" s="171"/>
      <c r="F57" s="171"/>
      <c r="G57" s="121"/>
      <c r="H57" s="121"/>
      <c r="I57" s="121"/>
      <c r="J57" s="171"/>
      <c r="K57" s="171"/>
      <c r="L57" s="123"/>
      <c r="M57" s="123"/>
      <c r="N57" s="123"/>
      <c r="O57" s="123"/>
      <c r="P57" s="123"/>
      <c r="Q57" s="123"/>
      <c r="R57" s="123"/>
      <c r="S57" s="170"/>
      <c r="T57" s="170"/>
      <c r="U57" s="170"/>
      <c r="V57" s="170"/>
    </row>
    <row r="58" spans="2:22">
      <c r="B58" s="171"/>
      <c r="C58" s="171"/>
      <c r="D58" s="171"/>
      <c r="E58" s="181"/>
      <c r="F58" s="171"/>
      <c r="G58" s="121"/>
      <c r="H58" s="121"/>
      <c r="I58" s="121"/>
      <c r="J58" s="171"/>
      <c r="K58" s="171"/>
      <c r="L58" s="123"/>
      <c r="M58" s="123"/>
      <c r="N58" s="123"/>
      <c r="O58" s="123"/>
      <c r="P58" s="123"/>
      <c r="Q58" s="123"/>
      <c r="R58" s="123"/>
    </row>
  </sheetData>
  <mergeCells count="8">
    <mergeCell ref="N10:R10"/>
    <mergeCell ref="Q11:R11"/>
    <mergeCell ref="Q41:R41"/>
    <mergeCell ref="D4:E4"/>
    <mergeCell ref="Q7:R7"/>
    <mergeCell ref="Q8:R8"/>
    <mergeCell ref="F7:O7"/>
    <mergeCell ref="F8:O8"/>
  </mergeCells>
  <pageMargins left="0.23" right="0" top="0.85" bottom="0.57999999999999996" header="0.43" footer="0"/>
  <pageSetup paperSize="512" scale="110" orientation="portrait" r:id="rId2"/>
  <headerFooter alignWithMargins="0">
    <oddHeader xml:space="preserve">&amp;L&amp;"Comic Sans MS,Bold"&amp;14FISE2002 ---SPAD Readings in target area &amp;10(12 rdgs. per plot)&amp;C&amp;"Comic Sans MS,Bold"&amp;12       </oddHeader>
    <oddFooter>&amp;L&amp;F  &amp;A
  USWCL Remote Sensing &amp;"Arial,Italic"&amp;8(PJPinter 602-437-1702 x230)&amp;R&amp;D</oddFooter>
  </headerFooter>
  <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DE0E0-D46B-49EE-B5F1-6257A3AAFF6C}">
  <dimension ref="A2:BW58"/>
  <sheetViews>
    <sheetView topLeftCell="D10" zoomScaleNormal="100" workbookViewId="0">
      <selection activeCell="U12" sqref="U12"/>
    </sheetView>
  </sheetViews>
  <sheetFormatPr defaultRowHeight="12.75"/>
  <cols>
    <col min="1" max="1" width="9.140625" style="122"/>
    <col min="2" max="2" width="3.7109375" style="122" hidden="1" customWidth="1"/>
    <col min="3" max="3" width="5.140625" style="122" hidden="1" customWidth="1"/>
    <col min="4" max="4" width="4.85546875" style="122" customWidth="1"/>
    <col min="5" max="5" width="5.7109375" style="122" customWidth="1"/>
    <col min="6" max="6" width="5.28515625" style="122" customWidth="1"/>
    <col min="7" max="9" width="5.28515625" style="122" hidden="1" customWidth="1"/>
    <col min="10" max="10" width="5.28515625" style="122" customWidth="1"/>
    <col min="11" max="11" width="7" style="122" hidden="1" customWidth="1"/>
    <col min="12" max="19" width="9.140625" style="122"/>
    <col min="20" max="20" width="11.7109375" style="122" customWidth="1"/>
    <col min="21" max="21" width="6.5703125" style="122" customWidth="1"/>
    <col min="22" max="22" width="11.7109375" style="122" customWidth="1"/>
    <col min="23" max="23" width="9.140625" style="122"/>
    <col min="24" max="24" width="7.5703125" style="122" customWidth="1"/>
    <col min="25" max="34" width="7.7109375" style="122" customWidth="1"/>
    <col min="35" max="16384" width="9.140625" style="122"/>
  </cols>
  <sheetData>
    <row r="2" spans="1:75" ht="22.5">
      <c r="A2" s="177" t="s">
        <v>429</v>
      </c>
    </row>
    <row r="4" spans="1:75" ht="22.5">
      <c r="A4" s="177" t="s">
        <v>428</v>
      </c>
      <c r="D4" s="201">
        <v>224</v>
      </c>
      <c r="E4" s="201"/>
    </row>
    <row r="6" spans="1:75" ht="15" customHeight="1" thickBot="1">
      <c r="B6" s="123"/>
      <c r="C6" s="123"/>
      <c r="D6" s="123" t="s">
        <v>427</v>
      </c>
      <c r="E6" s="123"/>
      <c r="P6" s="123" t="s">
        <v>426</v>
      </c>
      <c r="R6" s="124">
        <v>1064</v>
      </c>
    </row>
    <row r="7" spans="1:75" ht="15" customHeight="1" thickBot="1">
      <c r="A7" s="123"/>
      <c r="B7" s="123"/>
      <c r="C7" s="123"/>
      <c r="D7" s="123" t="s">
        <v>336</v>
      </c>
      <c r="E7" s="123"/>
      <c r="F7" s="199" t="s">
        <v>438</v>
      </c>
      <c r="G7" s="199"/>
      <c r="H7" s="199"/>
      <c r="I7" s="199"/>
      <c r="J7" s="199"/>
      <c r="K7" s="199"/>
      <c r="L7" s="199"/>
      <c r="M7" s="199"/>
      <c r="N7" s="199"/>
      <c r="O7" s="199"/>
      <c r="P7" s="125" t="s">
        <v>358</v>
      </c>
      <c r="Q7" s="200">
        <v>37480</v>
      </c>
      <c r="R7" s="199"/>
      <c r="U7" s="171"/>
      <c r="V7" s="171"/>
      <c r="W7" s="171"/>
      <c r="X7" s="171"/>
    </row>
    <row r="8" spans="1:75" ht="13.5" thickBot="1">
      <c r="F8" s="198" t="s">
        <v>437</v>
      </c>
      <c r="G8" s="198"/>
      <c r="H8" s="198"/>
      <c r="I8" s="198"/>
      <c r="J8" s="198"/>
      <c r="K8" s="198"/>
      <c r="L8" s="198"/>
      <c r="M8" s="198"/>
      <c r="N8" s="198"/>
      <c r="O8" s="198"/>
      <c r="P8" s="125" t="s">
        <v>350</v>
      </c>
      <c r="Q8" s="198" t="s">
        <v>423</v>
      </c>
      <c r="R8" s="198"/>
      <c r="T8" s="172" t="s">
        <v>332</v>
      </c>
      <c r="U8" s="173" t="s">
        <v>372</v>
      </c>
      <c r="V8" s="170"/>
      <c r="W8" s="170"/>
      <c r="X8" s="170"/>
    </row>
    <row r="9" spans="1:75" ht="13.5" thickBot="1">
      <c r="T9" s="172" t="s">
        <v>331</v>
      </c>
      <c r="U9" s="173" t="s">
        <v>372</v>
      </c>
      <c r="V9" s="170"/>
      <c r="W9" s="170"/>
      <c r="X9" s="170"/>
    </row>
    <row r="10" spans="1:75" ht="25.5" customHeight="1" thickBot="1">
      <c r="B10" s="127"/>
      <c r="C10" s="128"/>
      <c r="D10" s="197" t="s">
        <v>0</v>
      </c>
      <c r="E10" s="129" t="s">
        <v>305</v>
      </c>
      <c r="F10" s="129" t="s">
        <v>333</v>
      </c>
      <c r="G10" s="130" t="s">
        <v>332</v>
      </c>
      <c r="H10" s="129" t="s">
        <v>331</v>
      </c>
      <c r="I10" s="130" t="s">
        <v>330</v>
      </c>
      <c r="J10" s="130" t="s">
        <v>329</v>
      </c>
      <c r="K10" s="130" t="s">
        <v>328</v>
      </c>
      <c r="L10" s="131" t="s">
        <v>422</v>
      </c>
      <c r="M10" s="132" t="s">
        <v>421</v>
      </c>
      <c r="N10" s="196" t="s">
        <v>420</v>
      </c>
      <c r="O10" s="195"/>
      <c r="P10" s="195"/>
      <c r="Q10" s="195"/>
      <c r="R10" s="194"/>
      <c r="X10" s="193"/>
      <c r="Y10" s="193"/>
      <c r="Z10" s="193"/>
      <c r="AA10" s="193"/>
      <c r="AB10" s="193"/>
      <c r="AC10" s="193"/>
      <c r="AD10" s="193"/>
      <c r="AE10" s="193"/>
      <c r="AF10" s="193"/>
      <c r="AG10" s="193"/>
      <c r="AH10" s="193"/>
    </row>
    <row r="11" spans="1:75" ht="13.35" customHeight="1" thickBot="1">
      <c r="B11" s="133"/>
      <c r="C11" s="134"/>
      <c r="D11" s="135">
        <v>108</v>
      </c>
      <c r="E11" s="136" t="s">
        <v>8</v>
      </c>
      <c r="F11" s="136">
        <v>3</v>
      </c>
      <c r="G11" s="62">
        <f>IF(LEFT(E11,1)="F",1,2)</f>
        <v>1</v>
      </c>
      <c r="H11" s="62">
        <f>IF(MID(E11,2,1)="S",1,IF(MID(E11,2,1)="T",2,IF(MID(E11,2,1)="D",3,0)))</f>
        <v>2</v>
      </c>
      <c r="I11" s="62">
        <f>IF(RIGHT(E11,1)="L",1,2)</f>
        <v>2</v>
      </c>
      <c r="J11" s="136">
        <v>2</v>
      </c>
      <c r="K11" s="136" t="str">
        <f>(G11&amp;H11&amp;I11&amp;"."&amp;J11)</f>
        <v>122.2</v>
      </c>
      <c r="L11" s="182">
        <v>0.41944444444444445</v>
      </c>
      <c r="M11" s="137">
        <v>42.3</v>
      </c>
      <c r="N11" s="138"/>
      <c r="O11" s="139"/>
      <c r="P11" s="139"/>
      <c r="Q11" s="185" t="s">
        <v>419</v>
      </c>
      <c r="R11" s="184"/>
      <c r="S11" s="170"/>
      <c r="T11" s="192" t="s">
        <v>330</v>
      </c>
      <c r="U11" s="191" t="s">
        <v>418</v>
      </c>
      <c r="V11" s="191" t="s">
        <v>417</v>
      </c>
      <c r="AA11" s="186"/>
      <c r="AB11" s="186"/>
      <c r="AC11" s="186"/>
      <c r="AD11" s="186"/>
      <c r="AE11" s="186"/>
      <c r="AF11" s="186"/>
      <c r="AG11" s="186"/>
      <c r="AH11" s="186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</row>
    <row r="12" spans="1:75" ht="13.35" customHeight="1" thickBot="1">
      <c r="B12" s="133"/>
      <c r="C12" s="134"/>
      <c r="D12" s="140">
        <v>107</v>
      </c>
      <c r="E12" s="133" t="s">
        <v>6</v>
      </c>
      <c r="F12" s="133">
        <v>10</v>
      </c>
      <c r="G12" s="56">
        <f>IF(LEFT(E12,1)="F",1,2)</f>
        <v>2</v>
      </c>
      <c r="H12" s="56">
        <f>IF(MID(E12,2,1)="S",1,IF(MID(E12,2,1)="T",2,IF(MID(E12,2,1)="D",3,0)))</f>
        <v>2</v>
      </c>
      <c r="I12" s="56">
        <f>IF(RIGHT(E12,1)="L",1,2)</f>
        <v>1</v>
      </c>
      <c r="J12" s="133">
        <v>2</v>
      </c>
      <c r="K12" s="133" t="str">
        <f>(G12&amp;H12&amp;I12&amp;"."&amp;J12)</f>
        <v>221.2</v>
      </c>
      <c r="L12" s="141"/>
      <c r="M12" s="134">
        <v>42.9</v>
      </c>
      <c r="N12" s="142"/>
      <c r="O12" s="143"/>
      <c r="P12" s="144"/>
      <c r="Q12" s="145" t="s">
        <v>413</v>
      </c>
      <c r="R12" s="146">
        <v>4.5</v>
      </c>
      <c r="S12" s="170"/>
      <c r="T12" s="178">
        <v>1</v>
      </c>
      <c r="U12" s="189">
        <v>16</v>
      </c>
      <c r="V12" s="175">
        <v>40.049999999999997</v>
      </c>
      <c r="AA12" s="186"/>
      <c r="AB12" s="186"/>
      <c r="AC12" s="186"/>
      <c r="AD12" s="186"/>
      <c r="AE12" s="186"/>
      <c r="AF12" s="186"/>
      <c r="AG12" s="186"/>
      <c r="AH12" s="186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</row>
    <row r="13" spans="1:75" ht="13.35" customHeight="1" thickBot="1">
      <c r="B13" s="133"/>
      <c r="C13" s="134"/>
      <c r="D13" s="140">
        <v>106</v>
      </c>
      <c r="E13" s="133" t="s">
        <v>7</v>
      </c>
      <c r="F13" s="133">
        <v>9</v>
      </c>
      <c r="G13" s="56">
        <f>IF(LEFT(E13,1)="F",1,2)</f>
        <v>2</v>
      </c>
      <c r="H13" s="56">
        <f>IF(MID(E13,2,1)="S",1,IF(MID(E13,2,1)="T",2,IF(MID(E13,2,1)="D",3,0)))</f>
        <v>2</v>
      </c>
      <c r="I13" s="56">
        <f>IF(RIGHT(E13,1)="L",1,2)</f>
        <v>2</v>
      </c>
      <c r="J13" s="133">
        <v>2</v>
      </c>
      <c r="K13" s="133" t="str">
        <f>(G13&amp;H13&amp;I13&amp;"."&amp;J13)</f>
        <v>222.2</v>
      </c>
      <c r="L13" s="141"/>
      <c r="M13" s="134">
        <v>42.6</v>
      </c>
      <c r="N13" s="142"/>
      <c r="O13" s="143"/>
      <c r="P13" s="144"/>
      <c r="Q13" s="145" t="s">
        <v>412</v>
      </c>
      <c r="R13" s="146">
        <v>12</v>
      </c>
      <c r="S13" s="170"/>
      <c r="T13" s="178">
        <v>2</v>
      </c>
      <c r="U13" s="189">
        <v>20</v>
      </c>
      <c r="V13" s="175">
        <v>43.27</v>
      </c>
      <c r="AA13" s="171"/>
      <c r="AB13" s="171"/>
      <c r="AC13" s="171"/>
      <c r="AD13" s="171"/>
      <c r="AE13" s="171"/>
      <c r="AF13" s="171"/>
      <c r="AG13" s="171"/>
      <c r="AH13" s="171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</row>
    <row r="14" spans="1:75" ht="13.35" customHeight="1" thickBot="1">
      <c r="B14" s="133"/>
      <c r="C14" s="134"/>
      <c r="D14" s="140">
        <v>105</v>
      </c>
      <c r="E14" s="133" t="s">
        <v>10</v>
      </c>
      <c r="F14" s="133">
        <v>12</v>
      </c>
      <c r="G14" s="56">
        <f>IF(LEFT(E14,1)="F",1,2)</f>
        <v>2</v>
      </c>
      <c r="H14" s="56">
        <f>IF(MID(E14,2,1)="S",1,IF(MID(E14,2,1)="T",2,IF(MID(E14,2,1)="D",3,0)))</f>
        <v>3</v>
      </c>
      <c r="I14" s="56">
        <f>IF(RIGHT(E14,1)="L",1,2)</f>
        <v>1</v>
      </c>
      <c r="J14" s="133">
        <v>2</v>
      </c>
      <c r="K14" s="133" t="str">
        <f>(G14&amp;H14&amp;I14&amp;"."&amp;J14)</f>
        <v>231.2</v>
      </c>
      <c r="L14" s="141"/>
      <c r="M14" s="134">
        <v>36.6</v>
      </c>
      <c r="N14" s="142"/>
      <c r="O14" s="143"/>
      <c r="P14" s="144"/>
      <c r="Q14" s="145" t="s">
        <v>411</v>
      </c>
      <c r="R14" s="146">
        <v>19.399999999999999</v>
      </c>
      <c r="S14" s="170"/>
      <c r="T14" s="174" t="s">
        <v>312</v>
      </c>
      <c r="U14" s="188">
        <v>36</v>
      </c>
      <c r="V14" s="176">
        <v>41.838888888888903</v>
      </c>
      <c r="AA14" s="171"/>
      <c r="AB14" s="171"/>
      <c r="AC14" s="171"/>
      <c r="AD14" s="171"/>
      <c r="AE14" s="171"/>
      <c r="AF14" s="171"/>
      <c r="AG14" s="171"/>
      <c r="AH14" s="171"/>
    </row>
    <row r="15" spans="1:75" ht="13.35" customHeight="1" thickBot="1">
      <c r="B15" s="133"/>
      <c r="C15" s="134"/>
      <c r="D15" s="140">
        <v>104</v>
      </c>
      <c r="E15" s="133" t="s">
        <v>6</v>
      </c>
      <c r="F15" s="133">
        <v>10</v>
      </c>
      <c r="G15" s="56">
        <f>IF(LEFT(E15,1)="F",1,2)</f>
        <v>2</v>
      </c>
      <c r="H15" s="56">
        <f>IF(MID(E15,2,1)="S",1,IF(MID(E15,2,1)="T",2,IF(MID(E15,2,1)="D",3,0)))</f>
        <v>2</v>
      </c>
      <c r="I15" s="56">
        <f>IF(RIGHT(E15,1)="L",1,2)</f>
        <v>1</v>
      </c>
      <c r="J15" s="133">
        <v>1</v>
      </c>
      <c r="K15" s="133" t="str">
        <f>(G15&amp;H15&amp;I15&amp;"."&amp;J15)</f>
        <v>221.1</v>
      </c>
      <c r="L15" s="141"/>
      <c r="M15" s="134">
        <v>39.700000000000003</v>
      </c>
      <c r="N15" s="142"/>
      <c r="O15" s="143"/>
      <c r="P15" s="144"/>
      <c r="Q15" s="145" t="s">
        <v>410</v>
      </c>
      <c r="R15" s="146">
        <v>27.1</v>
      </c>
      <c r="S15" s="170"/>
      <c r="AA15" s="171"/>
      <c r="AB15" s="171"/>
      <c r="AC15" s="171"/>
      <c r="AD15" s="171"/>
      <c r="AE15" s="171"/>
      <c r="AF15" s="171"/>
      <c r="AG15" s="171"/>
      <c r="AH15" s="171"/>
    </row>
    <row r="16" spans="1:75" ht="13.35" customHeight="1" thickBot="1">
      <c r="B16" s="133"/>
      <c r="C16" s="134"/>
      <c r="D16" s="140">
        <v>103</v>
      </c>
      <c r="E16" s="133" t="s">
        <v>5</v>
      </c>
      <c r="F16" s="133">
        <v>5</v>
      </c>
      <c r="G16" s="56">
        <f>IF(LEFT(E16,1)="F",1,2)</f>
        <v>1</v>
      </c>
      <c r="H16" s="56">
        <f>IF(MID(E16,2,1)="S",1,IF(MID(E16,2,1)="T",2,IF(MID(E16,2,1)="D",3,0)))</f>
        <v>3</v>
      </c>
      <c r="I16" s="56">
        <f>IF(RIGHT(E16,1)="L",1,2)</f>
        <v>2</v>
      </c>
      <c r="J16" s="133">
        <v>1</v>
      </c>
      <c r="K16" s="133" t="str">
        <f>(G16&amp;H16&amp;I16&amp;"."&amp;J16)</f>
        <v>132.1</v>
      </c>
      <c r="L16" s="141"/>
      <c r="M16" s="134">
        <v>39.200000000000003</v>
      </c>
      <c r="N16" s="142"/>
      <c r="O16" s="143"/>
      <c r="P16" s="144"/>
      <c r="Q16" s="145" t="s">
        <v>409</v>
      </c>
      <c r="R16" s="146">
        <v>34.200000000000003</v>
      </c>
      <c r="S16" s="170"/>
    </row>
    <row r="17" spans="2:34" ht="13.35" customHeight="1" thickBot="1">
      <c r="B17" s="133"/>
      <c r="C17" s="134"/>
      <c r="D17" s="140">
        <v>102</v>
      </c>
      <c r="E17" s="133" t="s">
        <v>4</v>
      </c>
      <c r="F17" s="133">
        <v>4</v>
      </c>
      <c r="G17" s="56">
        <f>IF(LEFT(E17,1)="F",1,2)</f>
        <v>1</v>
      </c>
      <c r="H17" s="56">
        <f>IF(MID(E17,2,1)="S",1,IF(MID(E17,2,1)="T",2,IF(MID(E17,2,1)="D",3,0)))</f>
        <v>2</v>
      </c>
      <c r="I17" s="56">
        <f>IF(RIGHT(E17,1)="L",1,2)</f>
        <v>1</v>
      </c>
      <c r="J17" s="133">
        <v>1</v>
      </c>
      <c r="K17" s="133" t="str">
        <f>(G17&amp;H17&amp;I17&amp;"."&amp;J17)</f>
        <v>121.1</v>
      </c>
      <c r="L17" s="141"/>
      <c r="M17" s="134">
        <v>40.700000000000003</v>
      </c>
      <c r="N17" s="142"/>
      <c r="O17" s="143"/>
      <c r="P17" s="144"/>
      <c r="Q17" s="145" t="s">
        <v>408</v>
      </c>
      <c r="R17" s="146">
        <v>41.8</v>
      </c>
      <c r="S17" s="170"/>
      <c r="AA17" s="186"/>
      <c r="AB17" s="186"/>
      <c r="AC17" s="186"/>
      <c r="AD17" s="186"/>
      <c r="AE17" s="186"/>
      <c r="AF17" s="186"/>
      <c r="AG17" s="186"/>
      <c r="AH17" s="186"/>
    </row>
    <row r="18" spans="2:34" ht="13.35" customHeight="1" thickBot="1">
      <c r="B18" s="133"/>
      <c r="C18" s="134"/>
      <c r="D18" s="147">
        <v>101</v>
      </c>
      <c r="E18" s="50" t="s">
        <v>3</v>
      </c>
      <c r="F18" s="50">
        <v>1</v>
      </c>
      <c r="G18" s="50">
        <f>IF(LEFT(E18,1)="F",1,2)</f>
        <v>1</v>
      </c>
      <c r="H18" s="50">
        <f>IF(MID(E18,2,1)="S",1,IF(MID(E18,2,1)="T",2,IF(MID(E18,2,1)="D",3,0)))</f>
        <v>1</v>
      </c>
      <c r="I18" s="50">
        <f>IF(RIGHT(E18,1)="L",1,2)</f>
        <v>2</v>
      </c>
      <c r="J18" s="148">
        <v>1</v>
      </c>
      <c r="K18" s="148" t="str">
        <f>(G18&amp;H18&amp;I18&amp;"."&amp;J18)</f>
        <v>112.1</v>
      </c>
      <c r="L18" s="149"/>
      <c r="M18" s="150">
        <v>43.2</v>
      </c>
      <c r="N18" s="151"/>
      <c r="O18" s="152"/>
      <c r="P18" s="153"/>
      <c r="Q18" s="145" t="s">
        <v>407</v>
      </c>
      <c r="R18" s="146">
        <v>49.2</v>
      </c>
      <c r="S18" s="170"/>
      <c r="AA18" s="186"/>
      <c r="AB18" s="186"/>
      <c r="AC18" s="186"/>
      <c r="AD18" s="186"/>
      <c r="AE18" s="186"/>
      <c r="AF18" s="186"/>
      <c r="AG18" s="186"/>
      <c r="AH18" s="186"/>
    </row>
    <row r="19" spans="2:34" ht="13.35" customHeight="1" thickBot="1">
      <c r="B19" s="133"/>
      <c r="C19" s="134"/>
      <c r="D19" s="135">
        <v>201</v>
      </c>
      <c r="E19" s="136" t="s">
        <v>10</v>
      </c>
      <c r="F19" s="136">
        <v>12</v>
      </c>
      <c r="G19" s="62">
        <f>IF(LEFT(E19,1)="F",1,2)</f>
        <v>2</v>
      </c>
      <c r="H19" s="62">
        <f>IF(MID(E19,2,1)="S",1,IF(MID(E19,2,1)="T",2,IF(MID(E19,2,1)="D",3,0)))</f>
        <v>3</v>
      </c>
      <c r="I19" s="62">
        <f>IF(RIGHT(E19,1)="L",1,2)</f>
        <v>1</v>
      </c>
      <c r="J19" s="136">
        <v>1</v>
      </c>
      <c r="K19" s="136" t="str">
        <f>(G19&amp;H19&amp;I19&amp;"."&amp;J19)</f>
        <v>231.1</v>
      </c>
      <c r="L19" s="202" t="s">
        <v>436</v>
      </c>
      <c r="M19" s="137">
        <v>38.700000000000003</v>
      </c>
      <c r="N19" s="138"/>
      <c r="O19" s="139"/>
      <c r="P19" s="139"/>
      <c r="Q19" s="145" t="s">
        <v>406</v>
      </c>
      <c r="R19" s="146">
        <v>56.1</v>
      </c>
      <c r="S19" s="170"/>
      <c r="AA19" s="171"/>
      <c r="AB19" s="171"/>
      <c r="AC19" s="171"/>
      <c r="AD19" s="171"/>
      <c r="AE19" s="171"/>
      <c r="AF19" s="171"/>
      <c r="AG19" s="187"/>
      <c r="AH19" s="187"/>
    </row>
    <row r="20" spans="2:34" ht="13.35" customHeight="1" thickBot="1">
      <c r="B20" s="133"/>
      <c r="C20" s="134"/>
      <c r="D20" s="140">
        <v>202</v>
      </c>
      <c r="E20" s="133" t="s">
        <v>7</v>
      </c>
      <c r="F20" s="133">
        <v>9</v>
      </c>
      <c r="G20" s="56">
        <f>IF(LEFT(E20,1)="F",1,2)</f>
        <v>2</v>
      </c>
      <c r="H20" s="56">
        <f>IF(MID(E20,2,1)="S",1,IF(MID(E20,2,1)="T",2,IF(MID(E20,2,1)="D",3,0)))</f>
        <v>2</v>
      </c>
      <c r="I20" s="56">
        <f>IF(RIGHT(E20,1)="L",1,2)</f>
        <v>2</v>
      </c>
      <c r="J20" s="133">
        <v>1</v>
      </c>
      <c r="K20" s="133" t="str">
        <f>(G20&amp;H20&amp;I20&amp;"."&amp;J20)</f>
        <v>222.1</v>
      </c>
      <c r="L20" s="154"/>
      <c r="M20" s="134">
        <v>39.799999999999997</v>
      </c>
      <c r="N20" s="142"/>
      <c r="O20" s="143"/>
      <c r="P20" s="144"/>
      <c r="Q20" s="145" t="s">
        <v>405</v>
      </c>
      <c r="R20" s="146">
        <v>66.400000000000006</v>
      </c>
      <c r="S20" s="170"/>
      <c r="AA20" s="171"/>
      <c r="AB20" s="171"/>
      <c r="AC20" s="171"/>
      <c r="AD20" s="171"/>
      <c r="AE20" s="171"/>
      <c r="AF20" s="171"/>
      <c r="AG20" s="171"/>
      <c r="AH20" s="171"/>
    </row>
    <row r="21" spans="2:34" ht="13.35" customHeight="1">
      <c r="B21" s="133"/>
      <c r="C21" s="134"/>
      <c r="D21" s="140">
        <v>203</v>
      </c>
      <c r="E21" s="133" t="s">
        <v>8</v>
      </c>
      <c r="F21" s="133">
        <v>3</v>
      </c>
      <c r="G21" s="56">
        <f>IF(LEFT(E21,1)="F",1,2)</f>
        <v>1</v>
      </c>
      <c r="H21" s="56">
        <f>IF(MID(E21,2,1)="S",1,IF(MID(E21,2,1)="T",2,IF(MID(E21,2,1)="D",3,0)))</f>
        <v>2</v>
      </c>
      <c r="I21" s="56">
        <f>IF(RIGHT(E21,1)="L",1,2)</f>
        <v>2</v>
      </c>
      <c r="J21" s="133">
        <v>1</v>
      </c>
      <c r="K21" s="133" t="str">
        <f>(G21&amp;H21&amp;I21&amp;"."&amp;J21)</f>
        <v>122.1</v>
      </c>
      <c r="L21" s="141"/>
      <c r="M21" s="134">
        <v>43.1</v>
      </c>
      <c r="N21" s="142"/>
      <c r="O21" s="143"/>
      <c r="P21" s="144"/>
      <c r="Q21" s="144"/>
      <c r="R21" s="155"/>
      <c r="S21" s="170"/>
      <c r="AA21" s="171"/>
      <c r="AB21" s="171"/>
      <c r="AC21" s="171"/>
      <c r="AD21" s="171"/>
      <c r="AE21" s="171"/>
      <c r="AF21" s="171"/>
      <c r="AG21" s="171"/>
      <c r="AH21" s="171"/>
    </row>
    <row r="22" spans="2:34" ht="13.35" customHeight="1">
      <c r="B22" s="133"/>
      <c r="C22" s="134"/>
      <c r="D22" s="140">
        <v>204</v>
      </c>
      <c r="E22" s="133" t="s">
        <v>11</v>
      </c>
      <c r="F22" s="133">
        <v>11</v>
      </c>
      <c r="G22" s="56">
        <f>IF(LEFT(E22,1)="F",1,2)</f>
        <v>2</v>
      </c>
      <c r="H22" s="56">
        <f>IF(MID(E22,2,1)="S",1,IF(MID(E22,2,1)="T",2,IF(MID(E22,2,1)="D",3,0)))</f>
        <v>3</v>
      </c>
      <c r="I22" s="56">
        <f>IF(RIGHT(E22,1)="L",1,2)</f>
        <v>2</v>
      </c>
      <c r="J22" s="133">
        <v>1</v>
      </c>
      <c r="K22" s="133" t="str">
        <f>(G22&amp;H22&amp;I22&amp;"."&amp;J22)</f>
        <v>232.1</v>
      </c>
      <c r="L22" s="141"/>
      <c r="M22" s="134">
        <v>41.2</v>
      </c>
      <c r="N22" s="142"/>
      <c r="O22" s="143"/>
      <c r="P22" s="144"/>
      <c r="Q22" s="144"/>
      <c r="R22" s="155"/>
      <c r="S22" s="170"/>
    </row>
    <row r="23" spans="2:34" ht="13.35" customHeight="1">
      <c r="B23" s="133"/>
      <c r="C23" s="134"/>
      <c r="D23" s="140">
        <v>205</v>
      </c>
      <c r="E23" s="133" t="s">
        <v>3</v>
      </c>
      <c r="F23" s="133">
        <v>1</v>
      </c>
      <c r="G23" s="56">
        <f>IF(LEFT(E23,1)="F",1,2)</f>
        <v>1</v>
      </c>
      <c r="H23" s="56">
        <f>IF(MID(E23,2,1)="S",1,IF(MID(E23,2,1)="T",2,IF(MID(E23,2,1)="D",3,0)))</f>
        <v>1</v>
      </c>
      <c r="I23" s="56">
        <f>IF(RIGHT(E23,1)="L",1,2)</f>
        <v>2</v>
      </c>
      <c r="J23" s="133">
        <v>2</v>
      </c>
      <c r="K23" s="133" t="str">
        <f>(G23&amp;H23&amp;I23&amp;"."&amp;J23)</f>
        <v>112.2</v>
      </c>
      <c r="L23" s="141"/>
      <c r="M23" s="134">
        <v>37.700000000000003</v>
      </c>
      <c r="N23" s="142"/>
      <c r="O23" s="143"/>
      <c r="P23" s="144"/>
      <c r="Q23" s="144"/>
      <c r="R23" s="155"/>
      <c r="S23" s="170"/>
      <c r="AA23" s="186"/>
      <c r="AB23" s="186"/>
      <c r="AC23" s="186"/>
      <c r="AD23" s="186"/>
      <c r="AE23" s="186"/>
      <c r="AF23" s="186"/>
      <c r="AG23" s="186"/>
      <c r="AH23" s="186"/>
    </row>
    <row r="24" spans="2:34" ht="13.35" customHeight="1">
      <c r="B24" s="133"/>
      <c r="C24" s="134"/>
      <c r="D24" s="140">
        <v>206</v>
      </c>
      <c r="E24" s="133" t="s">
        <v>12</v>
      </c>
      <c r="F24" s="133">
        <v>8</v>
      </c>
      <c r="G24" s="56">
        <f>IF(LEFT(E24,1)="F",1,2)</f>
        <v>2</v>
      </c>
      <c r="H24" s="56">
        <f>IF(MID(E24,2,1)="S",1,IF(MID(E24,2,1)="T",2,IF(MID(E24,2,1)="D",3,0)))</f>
        <v>1</v>
      </c>
      <c r="I24" s="56">
        <f>IF(RIGHT(E24,1)="L",1,2)</f>
        <v>1</v>
      </c>
      <c r="J24" s="133">
        <v>2</v>
      </c>
      <c r="K24" s="133" t="str">
        <f>(G24&amp;H24&amp;I24&amp;"."&amp;J24)</f>
        <v>211.2</v>
      </c>
      <c r="L24" s="141"/>
      <c r="M24" s="134">
        <v>43</v>
      </c>
      <c r="N24" s="142"/>
      <c r="O24" s="143"/>
      <c r="P24" s="144"/>
      <c r="Q24" s="144"/>
      <c r="R24" s="155"/>
      <c r="S24" s="170"/>
      <c r="AA24" s="186"/>
      <c r="AB24" s="186"/>
      <c r="AC24" s="186"/>
      <c r="AD24" s="186"/>
      <c r="AE24" s="186"/>
      <c r="AF24" s="186"/>
      <c r="AG24" s="186"/>
      <c r="AH24" s="186"/>
    </row>
    <row r="25" spans="2:34" ht="13.35" customHeight="1">
      <c r="B25" s="133"/>
      <c r="C25" s="134"/>
      <c r="D25" s="140">
        <v>207</v>
      </c>
      <c r="E25" s="133" t="s">
        <v>4</v>
      </c>
      <c r="F25" s="133">
        <v>4</v>
      </c>
      <c r="G25" s="56">
        <f>IF(LEFT(E25,1)="F",1,2)</f>
        <v>1</v>
      </c>
      <c r="H25" s="56">
        <f>IF(MID(E25,2,1)="S",1,IF(MID(E25,2,1)="T",2,IF(MID(E25,2,1)="D",3,0)))</f>
        <v>2</v>
      </c>
      <c r="I25" s="56">
        <f>IF(RIGHT(E25,1)="L",1,2)</f>
        <v>1</v>
      </c>
      <c r="J25" s="133">
        <v>2</v>
      </c>
      <c r="K25" s="133" t="str">
        <f>(G25&amp;H25&amp;I25&amp;"."&amp;J25)</f>
        <v>121.2</v>
      </c>
      <c r="L25" s="141"/>
      <c r="M25" s="134">
        <v>38.700000000000003</v>
      </c>
      <c r="N25" s="142"/>
      <c r="O25" s="143"/>
      <c r="P25" s="144"/>
      <c r="Q25" s="144"/>
      <c r="R25" s="155"/>
      <c r="S25" s="170"/>
      <c r="AA25" s="171"/>
      <c r="AB25" s="171"/>
      <c r="AC25" s="171"/>
      <c r="AD25" s="171"/>
      <c r="AE25" s="171"/>
      <c r="AF25" s="171"/>
      <c r="AG25" s="171"/>
      <c r="AH25" s="171"/>
    </row>
    <row r="26" spans="2:34" ht="13.35" customHeight="1" thickBot="1">
      <c r="B26" s="133"/>
      <c r="C26" s="134"/>
      <c r="D26" s="147">
        <v>208</v>
      </c>
      <c r="E26" s="148" t="s">
        <v>13</v>
      </c>
      <c r="F26" s="148">
        <v>2</v>
      </c>
      <c r="G26" s="50">
        <f>IF(LEFT(E26,1)="F",1,2)</f>
        <v>1</v>
      </c>
      <c r="H26" s="50">
        <f>IF(MID(E26,2,1)="S",1,IF(MID(E26,2,1)="T",2,IF(MID(E26,2,1)="D",3,0)))</f>
        <v>1</v>
      </c>
      <c r="I26" s="50">
        <f>IF(RIGHT(E26,1)="L",1,2)</f>
        <v>1</v>
      </c>
      <c r="J26" s="148">
        <v>2</v>
      </c>
      <c r="K26" s="148" t="str">
        <f>(G26&amp;H26&amp;I26&amp;"."&amp;J26)</f>
        <v>111.2</v>
      </c>
      <c r="L26" s="149"/>
      <c r="M26" s="150">
        <v>40.5</v>
      </c>
      <c r="N26" s="151"/>
      <c r="O26" s="152"/>
      <c r="P26" s="153"/>
      <c r="Q26" s="153"/>
      <c r="R26" s="156"/>
      <c r="S26" s="170"/>
      <c r="X26" s="183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</row>
    <row r="27" spans="2:34" ht="13.35" customHeight="1">
      <c r="B27" s="133"/>
      <c r="C27" s="134"/>
      <c r="D27" s="135">
        <v>908</v>
      </c>
      <c r="E27" s="157" t="s">
        <v>416</v>
      </c>
      <c r="F27" s="136">
        <v>21</v>
      </c>
      <c r="G27" s="62">
        <v>3</v>
      </c>
      <c r="H27" s="62">
        <v>2</v>
      </c>
      <c r="I27" s="62">
        <v>2</v>
      </c>
      <c r="J27" s="136">
        <v>2</v>
      </c>
      <c r="K27" s="136" t="str">
        <f>(G27&amp;H27&amp;I27&amp;"."&amp;J27)</f>
        <v>322.2</v>
      </c>
      <c r="L27" s="182">
        <v>0.43194444444444446</v>
      </c>
      <c r="M27" s="137">
        <v>55.3</v>
      </c>
      <c r="N27" s="138"/>
      <c r="O27" s="139"/>
      <c r="P27" s="139"/>
      <c r="Q27" s="139"/>
      <c r="R27" s="158"/>
      <c r="S27" s="170"/>
      <c r="X27" s="183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</row>
    <row r="28" spans="2:34" ht="13.35" customHeight="1">
      <c r="B28" s="133"/>
      <c r="C28" s="134"/>
      <c r="D28" s="140">
        <v>907</v>
      </c>
      <c r="E28" s="133" t="s">
        <v>17</v>
      </c>
      <c r="F28" s="133">
        <v>31</v>
      </c>
      <c r="G28" s="56">
        <v>8</v>
      </c>
      <c r="H28" s="56">
        <v>0</v>
      </c>
      <c r="I28" s="56">
        <v>1</v>
      </c>
      <c r="J28" s="133">
        <v>2</v>
      </c>
      <c r="K28" s="133" t="str">
        <f>(G28&amp;H28&amp;I28&amp;"."&amp;J28)</f>
        <v>801.2</v>
      </c>
      <c r="L28" s="154"/>
      <c r="M28" s="159"/>
      <c r="N28" s="160"/>
      <c r="O28" s="161"/>
      <c r="P28" s="162"/>
      <c r="Q28" s="162"/>
      <c r="R28" s="163"/>
      <c r="S28" s="170"/>
      <c r="X28" s="183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</row>
    <row r="29" spans="2:34" ht="13.35" customHeight="1">
      <c r="B29" s="133"/>
      <c r="C29" s="134"/>
      <c r="D29" s="140">
        <v>906</v>
      </c>
      <c r="E29" s="164" t="s">
        <v>415</v>
      </c>
      <c r="F29" s="133">
        <v>22</v>
      </c>
      <c r="G29" s="56">
        <v>4</v>
      </c>
      <c r="H29" s="56">
        <v>2</v>
      </c>
      <c r="I29" s="56">
        <v>2</v>
      </c>
      <c r="J29" s="133">
        <v>2</v>
      </c>
      <c r="K29" s="133" t="str">
        <f>(G29&amp;H29&amp;I29&amp;"."&amp;J29)</f>
        <v>422.2</v>
      </c>
      <c r="L29" s="141"/>
      <c r="M29" s="134">
        <v>45.2</v>
      </c>
      <c r="N29" s="142"/>
      <c r="O29" s="143"/>
      <c r="P29" s="144"/>
      <c r="Q29" s="144"/>
      <c r="R29" s="155"/>
      <c r="S29" s="170"/>
      <c r="X29" s="183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</row>
    <row r="30" spans="2:34" ht="13.35" customHeight="1">
      <c r="B30" s="133"/>
      <c r="C30" s="134"/>
      <c r="D30" s="140">
        <v>905</v>
      </c>
      <c r="E30" s="133" t="s">
        <v>16</v>
      </c>
      <c r="F30" s="133">
        <v>32</v>
      </c>
      <c r="G30" s="56">
        <v>9</v>
      </c>
      <c r="H30" s="56">
        <v>0</v>
      </c>
      <c r="I30" s="56">
        <v>1</v>
      </c>
      <c r="J30" s="133">
        <v>2</v>
      </c>
      <c r="K30" s="133" t="str">
        <f>(G30&amp;H30&amp;I30&amp;"."&amp;J30)</f>
        <v>901.2</v>
      </c>
      <c r="L30" s="154"/>
      <c r="M30" s="159"/>
      <c r="N30" s="160"/>
      <c r="O30" s="161"/>
      <c r="P30" s="162"/>
      <c r="Q30" s="162"/>
      <c r="R30" s="163"/>
      <c r="S30" s="170"/>
      <c r="X30" s="183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</row>
    <row r="31" spans="2:34" ht="13.35" customHeight="1">
      <c r="B31" s="133"/>
      <c r="C31" s="134"/>
      <c r="D31" s="140">
        <v>904</v>
      </c>
      <c r="E31" s="164" t="s">
        <v>416</v>
      </c>
      <c r="F31" s="133">
        <v>21</v>
      </c>
      <c r="G31" s="56">
        <v>3</v>
      </c>
      <c r="H31" s="56">
        <v>2</v>
      </c>
      <c r="I31" s="56">
        <v>2</v>
      </c>
      <c r="J31" s="133">
        <v>1</v>
      </c>
      <c r="K31" s="133" t="str">
        <f>(G31&amp;H31&amp;I31&amp;"."&amp;J31)</f>
        <v>322.1</v>
      </c>
      <c r="L31" s="141"/>
      <c r="M31" s="134">
        <v>53.7</v>
      </c>
      <c r="N31" s="142"/>
      <c r="O31" s="143"/>
      <c r="P31" s="144"/>
      <c r="Q31" s="144"/>
      <c r="R31" s="155"/>
      <c r="S31" s="170"/>
      <c r="X31" s="183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</row>
    <row r="32" spans="2:34" ht="13.35" customHeight="1">
      <c r="B32" s="133"/>
      <c r="C32" s="134"/>
      <c r="D32" s="140">
        <v>903</v>
      </c>
      <c r="E32" s="133" t="s">
        <v>17</v>
      </c>
      <c r="F32" s="133">
        <v>31</v>
      </c>
      <c r="G32" s="56">
        <v>8</v>
      </c>
      <c r="H32" s="56">
        <v>0</v>
      </c>
      <c r="I32" s="56">
        <v>1</v>
      </c>
      <c r="J32" s="133">
        <v>1</v>
      </c>
      <c r="K32" s="133" t="str">
        <f>(G32&amp;H32&amp;I32&amp;"."&amp;J32)</f>
        <v>801.1</v>
      </c>
      <c r="L32" s="154"/>
      <c r="M32" s="159"/>
      <c r="N32" s="160"/>
      <c r="O32" s="161"/>
      <c r="P32" s="162"/>
      <c r="Q32" s="162"/>
      <c r="R32" s="163"/>
      <c r="S32" s="170"/>
      <c r="T32" s="170"/>
      <c r="U32" s="170"/>
      <c r="V32" s="170"/>
      <c r="X32" s="183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</row>
    <row r="33" spans="2:34" ht="13.35" customHeight="1">
      <c r="B33" s="133"/>
      <c r="C33" s="134"/>
      <c r="D33" s="140">
        <v>902</v>
      </c>
      <c r="E33" s="164" t="s">
        <v>415</v>
      </c>
      <c r="F33" s="133">
        <v>22</v>
      </c>
      <c r="G33" s="56">
        <v>4</v>
      </c>
      <c r="H33" s="56">
        <v>2</v>
      </c>
      <c r="I33" s="56">
        <v>2</v>
      </c>
      <c r="J33" s="133">
        <v>1</v>
      </c>
      <c r="K33" s="133" t="str">
        <f>(G33&amp;H33&amp;I33&amp;"."&amp;J33)</f>
        <v>422.1</v>
      </c>
      <c r="L33" s="141"/>
      <c r="M33" s="134">
        <v>46.7</v>
      </c>
      <c r="N33" s="142"/>
      <c r="O33" s="143"/>
      <c r="P33" s="144"/>
      <c r="Q33" s="144"/>
      <c r="R33" s="155"/>
      <c r="S33" s="170"/>
      <c r="T33" s="170"/>
      <c r="U33" s="170"/>
      <c r="V33" s="170"/>
      <c r="X33" s="183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</row>
    <row r="34" spans="2:34" ht="13.35" customHeight="1" thickBot="1">
      <c r="B34" s="133"/>
      <c r="C34" s="134"/>
      <c r="D34" s="147">
        <v>901</v>
      </c>
      <c r="E34" s="148" t="s">
        <v>16</v>
      </c>
      <c r="F34" s="148">
        <v>32</v>
      </c>
      <c r="G34" s="50">
        <v>9</v>
      </c>
      <c r="H34" s="50">
        <v>0</v>
      </c>
      <c r="I34" s="50">
        <v>1</v>
      </c>
      <c r="J34" s="148">
        <v>1</v>
      </c>
      <c r="K34" s="148" t="str">
        <f>(G34&amp;H34&amp;I34&amp;"."&amp;J34)</f>
        <v>901.1</v>
      </c>
      <c r="L34" s="154"/>
      <c r="M34" s="165"/>
      <c r="N34" s="166"/>
      <c r="O34" s="167"/>
      <c r="P34" s="168"/>
      <c r="Q34" s="168"/>
      <c r="R34" s="169"/>
      <c r="S34" s="170"/>
      <c r="T34" s="170"/>
      <c r="U34" s="170"/>
      <c r="V34" s="170"/>
      <c r="X34" s="183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</row>
    <row r="35" spans="2:34" ht="13.35" customHeight="1">
      <c r="B35" s="133"/>
      <c r="C35" s="134"/>
      <c r="D35" s="135">
        <v>301</v>
      </c>
      <c r="E35" s="136" t="s">
        <v>6</v>
      </c>
      <c r="F35" s="136">
        <v>10</v>
      </c>
      <c r="G35" s="62">
        <f>IF(LEFT(E35,1)="F",1,2)</f>
        <v>2</v>
      </c>
      <c r="H35" s="62">
        <f>IF(MID(E35,2,1)="S",1,IF(MID(E35,2,1)="T",2,IF(MID(E35,2,1)="D",3,0)))</f>
        <v>2</v>
      </c>
      <c r="I35" s="62">
        <f>IF(RIGHT(E35,1)="L",1,2)</f>
        <v>1</v>
      </c>
      <c r="J35" s="136">
        <v>3</v>
      </c>
      <c r="K35" s="136" t="str">
        <f>(G35&amp;H35&amp;I35&amp;"."&amp;J35)</f>
        <v>221.3</v>
      </c>
      <c r="L35" s="182">
        <v>0.4368055555555555</v>
      </c>
      <c r="M35" s="137">
        <v>40.700000000000003</v>
      </c>
      <c r="N35" s="138"/>
      <c r="O35" s="139"/>
      <c r="P35" s="139"/>
      <c r="Q35" s="139"/>
      <c r="R35" s="158"/>
      <c r="S35" s="170"/>
      <c r="T35" s="170"/>
      <c r="U35" s="170"/>
      <c r="V35" s="170"/>
      <c r="X35" s="183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</row>
    <row r="36" spans="2:34" ht="13.35" customHeight="1">
      <c r="B36" s="133"/>
      <c r="C36" s="134"/>
      <c r="D36" s="140">
        <v>302</v>
      </c>
      <c r="E36" s="133" t="s">
        <v>4</v>
      </c>
      <c r="F36" s="133">
        <v>4</v>
      </c>
      <c r="G36" s="56">
        <f>IF(LEFT(E36,1)="F",1,2)</f>
        <v>1</v>
      </c>
      <c r="H36" s="56">
        <f>IF(MID(E36,2,1)="S",1,IF(MID(E36,2,1)="T",2,IF(MID(E36,2,1)="D",3,0)))</f>
        <v>2</v>
      </c>
      <c r="I36" s="56">
        <f>IF(RIGHT(E36,1)="L",1,2)</f>
        <v>1</v>
      </c>
      <c r="J36" s="133">
        <v>3</v>
      </c>
      <c r="K36" s="133" t="str">
        <f>(G36&amp;H36&amp;I36&amp;"."&amp;J36)</f>
        <v>121.3</v>
      </c>
      <c r="L36" s="154"/>
      <c r="M36" s="134">
        <v>40.5</v>
      </c>
      <c r="N36" s="142"/>
      <c r="O36" s="143"/>
      <c r="P36" s="144"/>
      <c r="Q36" s="144"/>
      <c r="R36" s="155"/>
      <c r="S36" s="170"/>
      <c r="T36" s="170"/>
      <c r="U36" s="170"/>
      <c r="V36" s="170"/>
    </row>
    <row r="37" spans="2:34" ht="13.35" customHeight="1">
      <c r="B37" s="133"/>
      <c r="C37" s="134"/>
      <c r="D37" s="140">
        <v>303</v>
      </c>
      <c r="E37" s="133" t="s">
        <v>12</v>
      </c>
      <c r="F37" s="133">
        <v>8</v>
      </c>
      <c r="G37" s="56">
        <f>IF(LEFT(E37,1)="F",1,2)</f>
        <v>2</v>
      </c>
      <c r="H37" s="56">
        <f>IF(MID(E37,2,1)="S",1,IF(MID(E37,2,1)="T",2,IF(MID(E37,2,1)="D",3,0)))</f>
        <v>1</v>
      </c>
      <c r="I37" s="56">
        <f>IF(RIGHT(E37,1)="L",1,2)</f>
        <v>1</v>
      </c>
      <c r="J37" s="133">
        <v>3</v>
      </c>
      <c r="K37" s="133" t="str">
        <f>(G37&amp;H37&amp;I37&amp;"."&amp;J37)</f>
        <v>211.3</v>
      </c>
      <c r="L37" s="141"/>
      <c r="M37" s="134">
        <v>39.200000000000003</v>
      </c>
      <c r="N37" s="142"/>
      <c r="O37" s="143"/>
      <c r="P37" s="144"/>
      <c r="Q37" s="144"/>
      <c r="R37" s="155"/>
      <c r="S37" s="170"/>
      <c r="T37" s="170"/>
      <c r="U37" s="170"/>
      <c r="V37" s="170"/>
      <c r="X37" s="183"/>
      <c r="Y37" s="186"/>
      <c r="Z37" s="186"/>
      <c r="AA37" s="186"/>
      <c r="AB37" s="186"/>
      <c r="AC37" s="186"/>
      <c r="AD37" s="186"/>
      <c r="AE37" s="186"/>
      <c r="AF37" s="186"/>
      <c r="AG37" s="186"/>
      <c r="AH37" s="186"/>
    </row>
    <row r="38" spans="2:34" ht="13.35" customHeight="1">
      <c r="B38" s="133"/>
      <c r="C38" s="134"/>
      <c r="D38" s="140">
        <v>304</v>
      </c>
      <c r="E38" s="133" t="s">
        <v>13</v>
      </c>
      <c r="F38" s="133">
        <v>2</v>
      </c>
      <c r="G38" s="56">
        <f>IF(LEFT(E38,1)="F",1,2)</f>
        <v>1</v>
      </c>
      <c r="H38" s="56">
        <f>IF(MID(E38,2,1)="S",1,IF(MID(E38,2,1)="T",2,IF(MID(E38,2,1)="D",3,0)))</f>
        <v>1</v>
      </c>
      <c r="I38" s="56">
        <f>IF(RIGHT(E38,1)="L",1,2)</f>
        <v>1</v>
      </c>
      <c r="J38" s="133">
        <v>3</v>
      </c>
      <c r="K38" s="133" t="str">
        <f>(G38&amp;H38&amp;I38&amp;"."&amp;J38)</f>
        <v>111.3</v>
      </c>
      <c r="L38" s="141"/>
      <c r="M38" s="134">
        <v>40.6</v>
      </c>
      <c r="N38" s="142"/>
      <c r="O38" s="143"/>
      <c r="P38" s="144"/>
      <c r="Q38" s="144"/>
      <c r="R38" s="155"/>
      <c r="S38" s="170"/>
      <c r="T38" s="170"/>
      <c r="U38" s="170"/>
      <c r="V38" s="170"/>
      <c r="X38" s="183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</row>
    <row r="39" spans="2:34" ht="13.35" customHeight="1">
      <c r="B39" s="133"/>
      <c r="C39" s="134"/>
      <c r="D39" s="140">
        <v>305</v>
      </c>
      <c r="E39" s="133" t="s">
        <v>11</v>
      </c>
      <c r="F39" s="133">
        <v>11</v>
      </c>
      <c r="G39" s="56">
        <f>IF(LEFT(E39,1)="F",1,2)</f>
        <v>2</v>
      </c>
      <c r="H39" s="56">
        <f>IF(MID(E39,2,1)="S",1,IF(MID(E39,2,1)="T",2,IF(MID(E39,2,1)="D",3,0)))</f>
        <v>3</v>
      </c>
      <c r="I39" s="56">
        <f>IF(RIGHT(E39,1)="L",1,2)</f>
        <v>2</v>
      </c>
      <c r="J39" s="133">
        <v>4</v>
      </c>
      <c r="K39" s="133" t="str">
        <f>(G39&amp;H39&amp;I39&amp;"."&amp;J39)</f>
        <v>232.4</v>
      </c>
      <c r="L39" s="141"/>
      <c r="M39" s="134">
        <v>41.8</v>
      </c>
      <c r="N39" s="142"/>
      <c r="O39" s="143"/>
      <c r="P39" s="144"/>
      <c r="Q39" s="144"/>
      <c r="R39" s="155"/>
      <c r="S39" s="170"/>
      <c r="T39" s="170"/>
      <c r="U39" s="170"/>
      <c r="V39" s="170"/>
      <c r="X39" s="183"/>
      <c r="Y39" s="171"/>
      <c r="Z39" s="171"/>
      <c r="AA39" s="171"/>
      <c r="AB39" s="171"/>
      <c r="AC39" s="171"/>
      <c r="AD39" s="171"/>
      <c r="AE39" s="171"/>
      <c r="AF39" s="171"/>
      <c r="AG39" s="187"/>
      <c r="AH39" s="186"/>
    </row>
    <row r="40" spans="2:34" ht="13.35" customHeight="1" thickBot="1">
      <c r="B40" s="133"/>
      <c r="C40" s="134"/>
      <c r="D40" s="140">
        <v>306</v>
      </c>
      <c r="E40" s="133" t="s">
        <v>4</v>
      </c>
      <c r="F40" s="133">
        <v>4</v>
      </c>
      <c r="G40" s="56">
        <f>IF(LEFT(E40,1)="F",1,2)</f>
        <v>1</v>
      </c>
      <c r="H40" s="56">
        <f>IF(MID(E40,2,1)="S",1,IF(MID(E40,2,1)="T",2,IF(MID(E40,2,1)="D",3,0)))</f>
        <v>2</v>
      </c>
      <c r="I40" s="56">
        <f>IF(RIGHT(E40,1)="L",1,2)</f>
        <v>1</v>
      </c>
      <c r="J40" s="133">
        <v>4</v>
      </c>
      <c r="K40" s="133" t="str">
        <f>(G40&amp;H40&amp;I40&amp;"."&amp;J40)</f>
        <v>121.4</v>
      </c>
      <c r="L40" s="141"/>
      <c r="M40" s="134">
        <v>39.299999999999997</v>
      </c>
      <c r="N40" s="142"/>
      <c r="O40" s="143"/>
      <c r="P40" s="144"/>
      <c r="Q40" s="144"/>
      <c r="R40" s="155"/>
      <c r="S40" s="170"/>
      <c r="T40" s="170"/>
      <c r="U40" s="170"/>
      <c r="V40" s="170"/>
      <c r="X40" s="183"/>
      <c r="Y40" s="171"/>
      <c r="Z40" s="171"/>
      <c r="AA40" s="171"/>
      <c r="AB40" s="171"/>
      <c r="AC40" s="171"/>
      <c r="AD40" s="171"/>
      <c r="AE40" s="171"/>
      <c r="AF40" s="171"/>
      <c r="AG40" s="171"/>
      <c r="AH40" s="186"/>
    </row>
    <row r="41" spans="2:34" ht="13.35" customHeight="1" thickBot="1">
      <c r="B41" s="133"/>
      <c r="C41" s="134"/>
      <c r="D41" s="140">
        <v>307</v>
      </c>
      <c r="E41" s="133" t="s">
        <v>7</v>
      </c>
      <c r="F41" s="133">
        <v>9</v>
      </c>
      <c r="G41" s="56">
        <f>IF(LEFT(E41,1)="F",1,2)</f>
        <v>2</v>
      </c>
      <c r="H41" s="56">
        <f>IF(MID(E41,2,1)="S",1,IF(MID(E41,2,1)="T",2,IF(MID(E41,2,1)="D",3,0)))</f>
        <v>2</v>
      </c>
      <c r="I41" s="56">
        <f>IF(RIGHT(E41,1)="L",1,2)</f>
        <v>2</v>
      </c>
      <c r="J41" s="133">
        <v>4</v>
      </c>
      <c r="K41" s="133" t="str">
        <f>(G41&amp;H41&amp;I41&amp;"."&amp;J41)</f>
        <v>222.4</v>
      </c>
      <c r="L41" s="141"/>
      <c r="M41" s="134">
        <v>42.9</v>
      </c>
      <c r="N41" s="142"/>
      <c r="O41" s="143"/>
      <c r="P41" s="144"/>
      <c r="Q41" s="185" t="s">
        <v>414</v>
      </c>
      <c r="R41" s="184"/>
      <c r="S41" s="170"/>
      <c r="T41" s="170"/>
      <c r="U41" s="170"/>
      <c r="V41" s="170"/>
      <c r="X41" s="183"/>
      <c r="Y41" s="171"/>
      <c r="Z41" s="171"/>
      <c r="AA41" s="171"/>
      <c r="AB41" s="171"/>
      <c r="AC41" s="171"/>
      <c r="AD41" s="171"/>
      <c r="AE41" s="171"/>
      <c r="AF41" s="171"/>
      <c r="AG41" s="171"/>
    </row>
    <row r="42" spans="2:34" ht="13.35" customHeight="1" thickBot="1">
      <c r="B42" s="133"/>
      <c r="C42" s="134"/>
      <c r="D42" s="147">
        <v>308</v>
      </c>
      <c r="E42" s="148" t="s">
        <v>5</v>
      </c>
      <c r="F42" s="148">
        <v>5</v>
      </c>
      <c r="G42" s="50">
        <f>IF(LEFT(E42,1)="F",1,2)</f>
        <v>1</v>
      </c>
      <c r="H42" s="50">
        <f>IF(MID(E42,2,1)="S",1,IF(MID(E42,2,1)="T",2,IF(MID(E42,2,1)="D",3,0)))</f>
        <v>3</v>
      </c>
      <c r="I42" s="50">
        <f>IF(RIGHT(E42,1)="L",1,2)</f>
        <v>2</v>
      </c>
      <c r="J42" s="148">
        <v>4</v>
      </c>
      <c r="K42" s="148" t="str">
        <f>(G42&amp;H42&amp;I42&amp;"."&amp;J42)</f>
        <v>132.4</v>
      </c>
      <c r="L42" s="149"/>
      <c r="M42" s="150">
        <v>39.200000000000003</v>
      </c>
      <c r="N42" s="151"/>
      <c r="O42" s="152"/>
      <c r="P42" s="153"/>
      <c r="Q42" s="145" t="s">
        <v>413</v>
      </c>
      <c r="R42" s="146">
        <v>4.3</v>
      </c>
      <c r="S42" s="170"/>
      <c r="T42" s="170"/>
      <c r="U42" s="170"/>
      <c r="V42" s="170"/>
    </row>
    <row r="43" spans="2:34" ht="13.35" customHeight="1" thickBot="1">
      <c r="B43" s="133"/>
      <c r="C43" s="134"/>
      <c r="D43" s="135">
        <v>408</v>
      </c>
      <c r="E43" s="136" t="s">
        <v>6</v>
      </c>
      <c r="F43" s="136">
        <v>10</v>
      </c>
      <c r="G43" s="62">
        <f>IF(LEFT(E43,1)="F",1,2)</f>
        <v>2</v>
      </c>
      <c r="H43" s="62">
        <f>IF(MID(E43,2,1)="S",1,IF(MID(E43,2,1)="T",2,IF(MID(E43,2,1)="D",3,0)))</f>
        <v>2</v>
      </c>
      <c r="I43" s="62">
        <f>IF(RIGHT(E43,1)="L",1,2)</f>
        <v>1</v>
      </c>
      <c r="J43" s="136">
        <v>4</v>
      </c>
      <c r="K43" s="136" t="str">
        <f>(G43&amp;H43&amp;I43&amp;"."&amp;J43)</f>
        <v>221.4</v>
      </c>
      <c r="L43" s="182">
        <v>0.44305555555555554</v>
      </c>
      <c r="M43" s="137">
        <v>43.2</v>
      </c>
      <c r="N43" s="138"/>
      <c r="O43" s="139"/>
      <c r="P43" s="139"/>
      <c r="Q43" s="145" t="s">
        <v>412</v>
      </c>
      <c r="R43" s="146">
        <v>11.7</v>
      </c>
      <c r="S43" s="170"/>
      <c r="T43" s="170"/>
      <c r="U43" s="170"/>
      <c r="V43" s="170"/>
    </row>
    <row r="44" spans="2:34" ht="13.35" customHeight="1" thickBot="1">
      <c r="B44" s="133"/>
      <c r="C44" s="134"/>
      <c r="D44" s="140">
        <v>407</v>
      </c>
      <c r="E44" s="133" t="s">
        <v>14</v>
      </c>
      <c r="F44" s="133">
        <v>7</v>
      </c>
      <c r="G44" s="56">
        <f>IF(LEFT(E44,1)="F",1,2)</f>
        <v>2</v>
      </c>
      <c r="H44" s="56">
        <f>IF(MID(E44,2,1)="S",1,IF(MID(E44,2,1)="T",2,IF(MID(E44,2,1)="D",3,0)))</f>
        <v>1</v>
      </c>
      <c r="I44" s="56">
        <f>IF(RIGHT(E44,1)="L",1,2)</f>
        <v>2</v>
      </c>
      <c r="J44" s="133">
        <v>4</v>
      </c>
      <c r="K44" s="133" t="str">
        <f>(G44&amp;H44&amp;I44&amp;"."&amp;J44)</f>
        <v>212.4</v>
      </c>
      <c r="L44" s="154"/>
      <c r="M44" s="134">
        <v>42.2</v>
      </c>
      <c r="N44" s="142"/>
      <c r="O44" s="143"/>
      <c r="P44" s="144"/>
      <c r="Q44" s="145" t="s">
        <v>411</v>
      </c>
      <c r="R44" s="146">
        <v>19.3</v>
      </c>
      <c r="S44" s="170"/>
      <c r="T44" s="170"/>
      <c r="U44" s="170"/>
      <c r="V44" s="170"/>
    </row>
    <row r="45" spans="2:34" ht="13.35" customHeight="1" thickBot="1">
      <c r="B45" s="133"/>
      <c r="C45" s="134"/>
      <c r="D45" s="140">
        <v>406</v>
      </c>
      <c r="E45" s="133" t="s">
        <v>8</v>
      </c>
      <c r="F45" s="133">
        <v>3</v>
      </c>
      <c r="G45" s="56">
        <f>IF(LEFT(E45,1)="F",1,2)</f>
        <v>1</v>
      </c>
      <c r="H45" s="56">
        <f>IF(MID(E45,2,1)="S",1,IF(MID(E45,2,1)="T",2,IF(MID(E45,2,1)="D",3,0)))</f>
        <v>2</v>
      </c>
      <c r="I45" s="56">
        <f>IF(RIGHT(E45,1)="L",1,2)</f>
        <v>2</v>
      </c>
      <c r="J45" s="133">
        <v>4</v>
      </c>
      <c r="K45" s="133" t="str">
        <f>(G45&amp;H45&amp;I45&amp;"."&amp;J45)</f>
        <v>122.4</v>
      </c>
      <c r="L45" s="141"/>
      <c r="M45" s="134">
        <v>41.3</v>
      </c>
      <c r="N45" s="142"/>
      <c r="O45" s="143"/>
      <c r="P45" s="144"/>
      <c r="Q45" s="145" t="s">
        <v>410</v>
      </c>
      <c r="R45" s="146">
        <v>26.5</v>
      </c>
      <c r="S45" s="170"/>
      <c r="T45" s="170"/>
      <c r="U45" s="170"/>
      <c r="V45" s="170"/>
    </row>
    <row r="46" spans="2:34" ht="13.35" customHeight="1" thickBot="1">
      <c r="B46" s="133"/>
      <c r="C46" s="134"/>
      <c r="D46" s="140">
        <v>405</v>
      </c>
      <c r="E46" s="133" t="s">
        <v>15</v>
      </c>
      <c r="F46" s="133">
        <v>6</v>
      </c>
      <c r="G46" s="56">
        <f>IF(LEFT(E46,1)="F",1,2)</f>
        <v>1</v>
      </c>
      <c r="H46" s="56">
        <f>IF(MID(E46,2,1)="S",1,IF(MID(E46,2,1)="T",2,IF(MID(E46,2,1)="D",3,0)))</f>
        <v>3</v>
      </c>
      <c r="I46" s="56">
        <f>IF(RIGHT(E46,1)="L",1,2)</f>
        <v>1</v>
      </c>
      <c r="J46" s="133">
        <v>4</v>
      </c>
      <c r="K46" s="133" t="str">
        <f>(G46&amp;H46&amp;I46&amp;"."&amp;J46)</f>
        <v>131.4</v>
      </c>
      <c r="L46" s="141"/>
      <c r="M46" s="134">
        <v>38.799999999999997</v>
      </c>
      <c r="N46" s="142"/>
      <c r="O46" s="143"/>
      <c r="P46" s="144"/>
      <c r="Q46" s="145" t="s">
        <v>409</v>
      </c>
      <c r="R46" s="146">
        <v>33.9</v>
      </c>
      <c r="S46" s="170"/>
      <c r="T46" s="170"/>
      <c r="U46" s="170"/>
      <c r="V46" s="170"/>
    </row>
    <row r="47" spans="2:34" ht="13.35" customHeight="1" thickBot="1">
      <c r="B47" s="133"/>
      <c r="C47" s="134"/>
      <c r="D47" s="140">
        <v>404</v>
      </c>
      <c r="E47" s="133" t="s">
        <v>8</v>
      </c>
      <c r="F47" s="133">
        <v>3</v>
      </c>
      <c r="G47" s="56">
        <f>IF(LEFT(E47,1)="F",1,2)</f>
        <v>1</v>
      </c>
      <c r="H47" s="56">
        <f>IF(MID(E47,2,1)="S",1,IF(MID(E47,2,1)="T",2,IF(MID(E47,2,1)="D",3,0)))</f>
        <v>2</v>
      </c>
      <c r="I47" s="56">
        <f>IF(RIGHT(E47,1)="L",1,2)</f>
        <v>2</v>
      </c>
      <c r="J47" s="133">
        <v>3</v>
      </c>
      <c r="K47" s="133" t="str">
        <f>(G47&amp;H47&amp;I47&amp;"."&amp;J47)</f>
        <v>122.3</v>
      </c>
      <c r="L47" s="141"/>
      <c r="M47" s="134">
        <v>43.2</v>
      </c>
      <c r="N47" s="142"/>
      <c r="O47" s="143"/>
      <c r="P47" s="144"/>
      <c r="Q47" s="145" t="s">
        <v>408</v>
      </c>
      <c r="R47" s="146">
        <v>41.1</v>
      </c>
      <c r="S47" s="170"/>
      <c r="T47" s="170"/>
      <c r="U47" s="170"/>
      <c r="V47" s="170"/>
    </row>
    <row r="48" spans="2:34" ht="13.35" customHeight="1" thickBot="1">
      <c r="B48" s="133"/>
      <c r="C48" s="134"/>
      <c r="D48" s="140">
        <v>403</v>
      </c>
      <c r="E48" s="133" t="s">
        <v>15</v>
      </c>
      <c r="F48" s="133">
        <v>6</v>
      </c>
      <c r="G48" s="56">
        <f>IF(LEFT(E48,1)="F",1,2)</f>
        <v>1</v>
      </c>
      <c r="H48" s="56">
        <f>IF(MID(E48,2,1)="S",1,IF(MID(E48,2,1)="T",2,IF(MID(E48,2,1)="D",3,0)))</f>
        <v>3</v>
      </c>
      <c r="I48" s="56">
        <f>IF(RIGHT(E48,1)="L",1,2)</f>
        <v>1</v>
      </c>
      <c r="J48" s="133">
        <v>3</v>
      </c>
      <c r="K48" s="133" t="str">
        <f>(G48&amp;H48&amp;I48&amp;"."&amp;J48)</f>
        <v>131.3</v>
      </c>
      <c r="L48" s="141"/>
      <c r="M48" s="134">
        <v>37.700000000000003</v>
      </c>
      <c r="N48" s="142"/>
      <c r="O48" s="143"/>
      <c r="P48" s="144"/>
      <c r="Q48" s="145" t="s">
        <v>407</v>
      </c>
      <c r="R48" s="146">
        <v>48.8</v>
      </c>
      <c r="S48" s="170"/>
      <c r="T48" s="170"/>
      <c r="U48" s="170"/>
      <c r="V48" s="170"/>
    </row>
    <row r="49" spans="2:22" ht="13.35" customHeight="1" thickBot="1">
      <c r="B49" s="133"/>
      <c r="C49" s="134"/>
      <c r="D49" s="140">
        <v>402</v>
      </c>
      <c r="E49" s="133" t="s">
        <v>7</v>
      </c>
      <c r="F49" s="133">
        <v>9</v>
      </c>
      <c r="G49" s="56">
        <f>IF(LEFT(E49,1)="F",1,2)</f>
        <v>2</v>
      </c>
      <c r="H49" s="56">
        <f>IF(MID(E49,2,1)="S",1,IF(MID(E49,2,1)="T",2,IF(MID(E49,2,1)="D",3,0)))</f>
        <v>2</v>
      </c>
      <c r="I49" s="56">
        <f>IF(RIGHT(E49,1)="L",1,2)</f>
        <v>2</v>
      </c>
      <c r="J49" s="133">
        <v>3</v>
      </c>
      <c r="K49" s="133" t="str">
        <f>(G49&amp;H49&amp;I49&amp;"."&amp;J49)</f>
        <v>222.3</v>
      </c>
      <c r="L49" s="141"/>
      <c r="M49" s="134">
        <v>41.8</v>
      </c>
      <c r="N49" s="142"/>
      <c r="O49" s="143"/>
      <c r="P49" s="144"/>
      <c r="Q49" s="145" t="s">
        <v>406</v>
      </c>
      <c r="R49" s="146">
        <v>55.6</v>
      </c>
      <c r="S49" s="170"/>
      <c r="T49" s="170"/>
      <c r="U49" s="170"/>
      <c r="V49" s="170"/>
    </row>
    <row r="50" spans="2:22" ht="13.35" customHeight="1" thickBot="1">
      <c r="B50" s="148"/>
      <c r="C50" s="150"/>
      <c r="D50" s="147">
        <v>401</v>
      </c>
      <c r="E50" s="148" t="s">
        <v>14</v>
      </c>
      <c r="F50" s="148">
        <v>7</v>
      </c>
      <c r="G50" s="50">
        <f>IF(LEFT(E50,1)="F",1,2)</f>
        <v>2</v>
      </c>
      <c r="H50" s="50">
        <f>IF(MID(E50,2,1)="S",1,IF(MID(E50,2,1)="T",2,IF(MID(E50,2,1)="D",3,0)))</f>
        <v>1</v>
      </c>
      <c r="I50" s="50">
        <f>IF(RIGHT(E50,1)="L",1,2)</f>
        <v>2</v>
      </c>
      <c r="J50" s="148">
        <v>3</v>
      </c>
      <c r="K50" s="148" t="str">
        <f>(G50&amp;H50&amp;I50&amp;"."&amp;J50)</f>
        <v>212.3</v>
      </c>
      <c r="L50" s="182">
        <v>0.45069444444444445</v>
      </c>
      <c r="M50" s="150">
        <v>43</v>
      </c>
      <c r="N50" s="151"/>
      <c r="O50" s="152"/>
      <c r="P50" s="153"/>
      <c r="Q50" s="145" t="s">
        <v>405</v>
      </c>
      <c r="R50" s="146">
        <v>66.3</v>
      </c>
      <c r="S50" s="170"/>
      <c r="T50" s="170"/>
      <c r="U50" s="170"/>
      <c r="V50" s="170"/>
    </row>
    <row r="51" spans="2:22">
      <c r="B51" s="171"/>
      <c r="C51" s="171"/>
      <c r="D51" s="171"/>
      <c r="E51" s="171"/>
      <c r="F51" s="171"/>
      <c r="G51" s="121"/>
      <c r="H51" s="121"/>
      <c r="I51" s="121"/>
      <c r="J51" s="171"/>
      <c r="K51" s="171"/>
      <c r="L51" s="123"/>
      <c r="M51" s="123"/>
      <c r="N51" s="123"/>
      <c r="O51" s="123"/>
      <c r="P51" s="123"/>
      <c r="Q51" s="123"/>
      <c r="R51" s="123"/>
      <c r="S51" s="170"/>
      <c r="T51" s="170"/>
      <c r="U51" s="170"/>
      <c r="V51" s="170"/>
    </row>
    <row r="52" spans="2:22">
      <c r="B52" s="171"/>
      <c r="C52" s="171"/>
      <c r="D52" s="171"/>
      <c r="E52" s="181"/>
      <c r="F52" s="171"/>
      <c r="G52" s="121"/>
      <c r="H52" s="121"/>
      <c r="I52" s="121"/>
      <c r="J52" s="171"/>
      <c r="K52" s="171"/>
      <c r="L52" s="123"/>
      <c r="M52" s="123"/>
      <c r="N52" s="123"/>
      <c r="O52" s="123"/>
      <c r="P52" s="123"/>
      <c r="Q52" s="123"/>
      <c r="R52" s="123"/>
      <c r="S52" s="170"/>
      <c r="T52" s="170"/>
      <c r="U52" s="170"/>
      <c r="V52" s="170"/>
    </row>
    <row r="53" spans="2:22">
      <c r="B53" s="171"/>
      <c r="C53" s="171"/>
      <c r="D53" s="171"/>
      <c r="E53" s="171"/>
      <c r="F53" s="171"/>
      <c r="G53" s="121"/>
      <c r="H53" s="121"/>
      <c r="I53" s="121"/>
      <c r="J53" s="171"/>
      <c r="K53" s="171"/>
      <c r="L53" s="123"/>
      <c r="M53" s="123"/>
      <c r="N53" s="123"/>
      <c r="O53" s="123"/>
      <c r="P53" s="123"/>
      <c r="Q53" s="123"/>
      <c r="R53" s="123"/>
      <c r="S53" s="170"/>
      <c r="T53" s="170"/>
      <c r="U53" s="170"/>
      <c r="V53" s="170"/>
    </row>
    <row r="54" spans="2:22">
      <c r="B54" s="171"/>
      <c r="C54" s="171"/>
      <c r="D54" s="171"/>
      <c r="E54" s="181"/>
      <c r="F54" s="171"/>
      <c r="G54" s="121"/>
      <c r="H54" s="121"/>
      <c r="I54" s="121"/>
      <c r="J54" s="171"/>
      <c r="K54" s="171"/>
      <c r="L54" s="123"/>
      <c r="M54" s="123"/>
      <c r="N54" s="123"/>
      <c r="O54" s="123"/>
      <c r="P54" s="123"/>
      <c r="Q54" s="123"/>
      <c r="R54" s="123"/>
      <c r="S54" s="170"/>
      <c r="T54" s="170"/>
      <c r="U54" s="170"/>
      <c r="V54" s="170"/>
    </row>
    <row r="55" spans="2:22">
      <c r="B55" s="171"/>
      <c r="C55" s="171"/>
      <c r="D55" s="171"/>
      <c r="E55" s="171"/>
      <c r="F55" s="171"/>
      <c r="G55" s="121"/>
      <c r="H55" s="121"/>
      <c r="I55" s="121"/>
      <c r="J55" s="171"/>
      <c r="K55" s="171"/>
      <c r="L55" s="123"/>
      <c r="M55" s="123"/>
      <c r="N55" s="123"/>
      <c r="O55" s="123"/>
      <c r="P55" s="123"/>
      <c r="Q55" s="123"/>
      <c r="R55" s="123"/>
      <c r="S55" s="170"/>
      <c r="T55" s="170"/>
      <c r="U55" s="170"/>
      <c r="V55" s="170"/>
    </row>
    <row r="56" spans="2:22">
      <c r="B56" s="171"/>
      <c r="C56" s="171"/>
      <c r="D56" s="171"/>
      <c r="E56" s="181"/>
      <c r="F56" s="171"/>
      <c r="G56" s="121"/>
      <c r="H56" s="121"/>
      <c r="I56" s="121"/>
      <c r="J56" s="171"/>
      <c r="K56" s="171"/>
      <c r="L56" s="123"/>
      <c r="M56" s="123"/>
      <c r="N56" s="123"/>
      <c r="O56" s="123"/>
      <c r="P56" s="123"/>
      <c r="Q56" s="123"/>
      <c r="R56" s="123"/>
      <c r="S56" s="170"/>
      <c r="T56" s="170"/>
      <c r="U56" s="170"/>
      <c r="V56" s="170"/>
    </row>
    <row r="57" spans="2:22">
      <c r="B57" s="171"/>
      <c r="C57" s="171"/>
      <c r="D57" s="171"/>
      <c r="E57" s="171"/>
      <c r="F57" s="171"/>
      <c r="G57" s="121"/>
      <c r="H57" s="121"/>
      <c r="I57" s="121"/>
      <c r="J57" s="171"/>
      <c r="K57" s="171"/>
      <c r="L57" s="123"/>
      <c r="M57" s="123"/>
      <c r="N57" s="123"/>
      <c r="O57" s="123"/>
      <c r="P57" s="123"/>
      <c r="Q57" s="123"/>
      <c r="R57" s="123"/>
      <c r="S57" s="170"/>
      <c r="T57" s="170"/>
      <c r="U57" s="170"/>
      <c r="V57" s="170"/>
    </row>
    <row r="58" spans="2:22">
      <c r="B58" s="171"/>
      <c r="C58" s="171"/>
      <c r="D58" s="171"/>
      <c r="E58" s="181"/>
      <c r="F58" s="171"/>
      <c r="G58" s="121"/>
      <c r="H58" s="121"/>
      <c r="I58" s="121"/>
      <c r="J58" s="171"/>
      <c r="K58" s="171"/>
      <c r="L58" s="123"/>
      <c r="M58" s="123"/>
      <c r="N58" s="123"/>
      <c r="O58" s="123"/>
      <c r="P58" s="123"/>
      <c r="Q58" s="123"/>
      <c r="R58" s="123"/>
    </row>
  </sheetData>
  <mergeCells count="8">
    <mergeCell ref="N10:R10"/>
    <mergeCell ref="Q11:R11"/>
    <mergeCell ref="Q41:R41"/>
    <mergeCell ref="D4:E4"/>
    <mergeCell ref="Q7:R7"/>
    <mergeCell ref="Q8:R8"/>
    <mergeCell ref="F7:O7"/>
    <mergeCell ref="F8:O8"/>
  </mergeCells>
  <pageMargins left="0.23" right="0" top="0.85" bottom="0.57999999999999996" header="0.43" footer="0"/>
  <pageSetup paperSize="512" scale="110" orientation="portrait" r:id="rId2"/>
  <headerFooter alignWithMargins="0">
    <oddHeader xml:space="preserve">&amp;L&amp;"Comic Sans MS,Bold"&amp;14FISE2002 ---SPAD Readings in target area &amp;10(12 rdgs. per plot)&amp;C&amp;"Comic Sans MS,Bold"&amp;12       </oddHeader>
    <oddFooter>&amp;L&amp;F  &amp;A
  USWCL Remote Sensing &amp;"Arial,Italic"&amp;8(PJPinter 602-437-1702 x230)&amp;R&amp;D</oddFooter>
  </headerFooter>
  <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0DADD-EC1D-406E-BEC9-B4F51CF58FCB}">
  <dimension ref="A2:BW58"/>
  <sheetViews>
    <sheetView topLeftCell="D1" zoomScaleNormal="100" workbookViewId="0">
      <selection activeCell="U12" sqref="U12"/>
    </sheetView>
  </sheetViews>
  <sheetFormatPr defaultRowHeight="12.75"/>
  <cols>
    <col min="1" max="1" width="9.140625" style="122"/>
    <col min="2" max="2" width="3.7109375" style="122" hidden="1" customWidth="1"/>
    <col min="3" max="3" width="5.140625" style="122" hidden="1" customWidth="1"/>
    <col min="4" max="4" width="4.85546875" style="122" customWidth="1"/>
    <col min="5" max="5" width="5.7109375" style="122" customWidth="1"/>
    <col min="6" max="6" width="5.28515625" style="122" customWidth="1"/>
    <col min="7" max="9" width="5.28515625" style="122" hidden="1" customWidth="1"/>
    <col min="10" max="10" width="5.28515625" style="122" customWidth="1"/>
    <col min="11" max="11" width="7" style="122" hidden="1" customWidth="1"/>
    <col min="12" max="19" width="9.140625" style="122"/>
    <col min="20" max="20" width="11.7109375" style="122" customWidth="1"/>
    <col min="21" max="21" width="6.5703125" style="122" customWidth="1"/>
    <col min="22" max="22" width="11.7109375" style="122" customWidth="1"/>
    <col min="23" max="23" width="9.140625" style="122"/>
    <col min="24" max="24" width="7.5703125" style="122" customWidth="1"/>
    <col min="25" max="34" width="7.7109375" style="122" customWidth="1"/>
    <col min="35" max="16384" width="9.140625" style="122"/>
  </cols>
  <sheetData>
    <row r="2" spans="1:75" ht="22.5">
      <c r="A2" s="177" t="s">
        <v>429</v>
      </c>
    </row>
    <row r="4" spans="1:75" ht="22.5">
      <c r="A4" s="177" t="s">
        <v>428</v>
      </c>
      <c r="D4" s="201">
        <v>227</v>
      </c>
      <c r="E4" s="201"/>
    </row>
    <row r="6" spans="1:75" ht="15" customHeight="1" thickBot="1">
      <c r="B6" s="123"/>
      <c r="C6" s="123"/>
      <c r="D6" s="123" t="s">
        <v>427</v>
      </c>
      <c r="E6" s="123"/>
      <c r="P6" s="123" t="s">
        <v>426</v>
      </c>
      <c r="R6" s="124">
        <v>1064</v>
      </c>
    </row>
    <row r="7" spans="1:75" ht="15" customHeight="1" thickBot="1">
      <c r="A7" s="123"/>
      <c r="B7" s="123"/>
      <c r="C7" s="123"/>
      <c r="D7" s="123" t="s">
        <v>336</v>
      </c>
      <c r="E7" s="123"/>
      <c r="F7" s="199" t="s">
        <v>443</v>
      </c>
      <c r="G7" s="199"/>
      <c r="H7" s="199"/>
      <c r="I7" s="199"/>
      <c r="J7" s="199"/>
      <c r="K7" s="199"/>
      <c r="L7" s="199"/>
      <c r="M7" s="199"/>
      <c r="N7" s="199"/>
      <c r="O7" s="199"/>
      <c r="P7" s="125" t="s">
        <v>358</v>
      </c>
      <c r="Q7" s="200">
        <v>37483</v>
      </c>
      <c r="R7" s="199"/>
      <c r="U7" s="171"/>
      <c r="V7" s="171"/>
      <c r="W7" s="171"/>
      <c r="X7" s="171"/>
    </row>
    <row r="8" spans="1:75" ht="13.5" thickBot="1">
      <c r="F8" s="198" t="s">
        <v>442</v>
      </c>
      <c r="G8" s="198"/>
      <c r="H8" s="198"/>
      <c r="I8" s="198"/>
      <c r="J8" s="198"/>
      <c r="K8" s="198"/>
      <c r="L8" s="198"/>
      <c r="M8" s="198"/>
      <c r="N8" s="198"/>
      <c r="O8" s="198"/>
      <c r="P8" s="125" t="s">
        <v>350</v>
      </c>
      <c r="Q8" s="198" t="s">
        <v>423</v>
      </c>
      <c r="R8" s="198"/>
      <c r="T8" s="172" t="s">
        <v>332</v>
      </c>
      <c r="U8" s="173" t="s">
        <v>372</v>
      </c>
      <c r="V8" s="170"/>
      <c r="W8" s="170"/>
      <c r="X8" s="170"/>
    </row>
    <row r="9" spans="1:75" ht="13.5" thickBot="1">
      <c r="F9" s="122" t="s">
        <v>441</v>
      </c>
      <c r="T9" s="172" t="s">
        <v>331</v>
      </c>
      <c r="U9" s="173" t="s">
        <v>372</v>
      </c>
      <c r="V9" s="170"/>
      <c r="W9" s="170"/>
      <c r="X9" s="170"/>
    </row>
    <row r="10" spans="1:75" ht="25.5" customHeight="1" thickBot="1">
      <c r="B10" s="127"/>
      <c r="C10" s="128"/>
      <c r="D10" s="197" t="s">
        <v>0</v>
      </c>
      <c r="E10" s="129" t="s">
        <v>305</v>
      </c>
      <c r="F10" s="129" t="s">
        <v>333</v>
      </c>
      <c r="G10" s="130" t="s">
        <v>332</v>
      </c>
      <c r="H10" s="129" t="s">
        <v>331</v>
      </c>
      <c r="I10" s="130" t="s">
        <v>330</v>
      </c>
      <c r="J10" s="130" t="s">
        <v>329</v>
      </c>
      <c r="K10" s="130" t="s">
        <v>328</v>
      </c>
      <c r="L10" s="131" t="s">
        <v>422</v>
      </c>
      <c r="M10" s="132" t="s">
        <v>421</v>
      </c>
      <c r="N10" s="196" t="s">
        <v>420</v>
      </c>
      <c r="O10" s="195"/>
      <c r="P10" s="195"/>
      <c r="Q10" s="195"/>
      <c r="R10" s="194"/>
      <c r="X10" s="193"/>
      <c r="Y10" s="193"/>
      <c r="Z10" s="193"/>
      <c r="AA10" s="193"/>
      <c r="AB10" s="193"/>
      <c r="AC10" s="193"/>
      <c r="AD10" s="193"/>
      <c r="AE10" s="193"/>
      <c r="AF10" s="193"/>
      <c r="AG10" s="193"/>
      <c r="AH10" s="193"/>
    </row>
    <row r="11" spans="1:75" ht="13.35" customHeight="1" thickBot="1">
      <c r="B11" s="133"/>
      <c r="C11" s="134"/>
      <c r="D11" s="135">
        <v>108</v>
      </c>
      <c r="E11" s="136" t="s">
        <v>8</v>
      </c>
      <c r="F11" s="136">
        <v>3</v>
      </c>
      <c r="G11" s="62">
        <f>IF(LEFT(E11,1)="F",1,2)</f>
        <v>1</v>
      </c>
      <c r="H11" s="62">
        <f>IF(MID(E11,2,1)="S",1,IF(MID(E11,2,1)="T",2,IF(MID(E11,2,1)="D",3,0)))</f>
        <v>2</v>
      </c>
      <c r="I11" s="62">
        <f>IF(RIGHT(E11,1)="L",1,2)</f>
        <v>2</v>
      </c>
      <c r="J11" s="136">
        <v>2</v>
      </c>
      <c r="K11" s="136" t="str">
        <f>(G11&amp;H11&amp;I11&amp;"."&amp;J11)</f>
        <v>122.2</v>
      </c>
      <c r="L11" s="182">
        <v>0.47847222222222219</v>
      </c>
      <c r="M11" s="137">
        <v>40.700000000000003</v>
      </c>
      <c r="N11" s="138"/>
      <c r="O11" s="139"/>
      <c r="P11" s="139"/>
      <c r="Q11" s="185" t="s">
        <v>419</v>
      </c>
      <c r="R11" s="184"/>
      <c r="S11" s="170"/>
      <c r="T11" s="192" t="s">
        <v>330</v>
      </c>
      <c r="U11" s="191" t="s">
        <v>418</v>
      </c>
      <c r="V11" s="191" t="s">
        <v>417</v>
      </c>
      <c r="AA11" s="186"/>
      <c r="AB11" s="186"/>
      <c r="AC11" s="186"/>
      <c r="AD11" s="186"/>
      <c r="AE11" s="186"/>
      <c r="AF11" s="186"/>
      <c r="AG11" s="186"/>
      <c r="AH11" s="186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</row>
    <row r="12" spans="1:75" ht="13.35" customHeight="1" thickBot="1">
      <c r="B12" s="133"/>
      <c r="C12" s="134"/>
      <c r="D12" s="140">
        <v>107</v>
      </c>
      <c r="E12" s="133" t="s">
        <v>6</v>
      </c>
      <c r="F12" s="133">
        <v>10</v>
      </c>
      <c r="G12" s="56">
        <f>IF(LEFT(E12,1)="F",1,2)</f>
        <v>2</v>
      </c>
      <c r="H12" s="56">
        <f>IF(MID(E12,2,1)="S",1,IF(MID(E12,2,1)="T",2,IF(MID(E12,2,1)="D",3,0)))</f>
        <v>2</v>
      </c>
      <c r="I12" s="56">
        <f>IF(RIGHT(E12,1)="L",1,2)</f>
        <v>1</v>
      </c>
      <c r="J12" s="133">
        <v>2</v>
      </c>
      <c r="K12" s="133" t="str">
        <f>(G12&amp;H12&amp;I12&amp;"."&amp;J12)</f>
        <v>221.2</v>
      </c>
      <c r="L12" s="141"/>
      <c r="M12" s="134">
        <v>40.200000000000003</v>
      </c>
      <c r="N12" s="142"/>
      <c r="O12" s="143"/>
      <c r="P12" s="144"/>
      <c r="Q12" s="145" t="s">
        <v>413</v>
      </c>
      <c r="R12" s="146">
        <v>4.2</v>
      </c>
      <c r="S12" s="170"/>
      <c r="T12" s="178">
        <v>1</v>
      </c>
      <c r="U12" s="189">
        <v>16</v>
      </c>
      <c r="V12" s="175">
        <v>39.231250000000003</v>
      </c>
      <c r="AA12" s="186"/>
      <c r="AB12" s="186"/>
      <c r="AC12" s="186"/>
      <c r="AD12" s="186"/>
      <c r="AE12" s="186"/>
      <c r="AF12" s="186"/>
      <c r="AG12" s="186"/>
      <c r="AH12" s="186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</row>
    <row r="13" spans="1:75" ht="13.35" customHeight="1" thickBot="1">
      <c r="B13" s="133"/>
      <c r="C13" s="134"/>
      <c r="D13" s="140">
        <v>106</v>
      </c>
      <c r="E13" s="133" t="s">
        <v>7</v>
      </c>
      <c r="F13" s="133">
        <v>9</v>
      </c>
      <c r="G13" s="56">
        <f>IF(LEFT(E13,1)="F",1,2)</f>
        <v>2</v>
      </c>
      <c r="H13" s="56">
        <f>IF(MID(E13,2,1)="S",1,IF(MID(E13,2,1)="T",2,IF(MID(E13,2,1)="D",3,0)))</f>
        <v>2</v>
      </c>
      <c r="I13" s="56">
        <f>IF(RIGHT(E13,1)="L",1,2)</f>
        <v>2</v>
      </c>
      <c r="J13" s="133">
        <v>2</v>
      </c>
      <c r="K13" s="133" t="str">
        <f>(G13&amp;H13&amp;I13&amp;"."&amp;J13)</f>
        <v>222.2</v>
      </c>
      <c r="L13" s="141"/>
      <c r="M13" s="134">
        <v>39.9</v>
      </c>
      <c r="N13" s="142"/>
      <c r="O13" s="143"/>
      <c r="P13" s="144"/>
      <c r="Q13" s="145" t="s">
        <v>412</v>
      </c>
      <c r="R13" s="146">
        <v>11.6</v>
      </c>
      <c r="S13" s="170"/>
      <c r="T13" s="178">
        <v>2</v>
      </c>
      <c r="U13" s="189">
        <v>20</v>
      </c>
      <c r="V13" s="175">
        <v>43.59</v>
      </c>
      <c r="AA13" s="171"/>
      <c r="AB13" s="171"/>
      <c r="AC13" s="171"/>
      <c r="AD13" s="171"/>
      <c r="AE13" s="171"/>
      <c r="AF13" s="171"/>
      <c r="AG13" s="171"/>
      <c r="AH13" s="171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</row>
    <row r="14" spans="1:75" ht="13.35" customHeight="1" thickBot="1">
      <c r="B14" s="133"/>
      <c r="C14" s="134"/>
      <c r="D14" s="140">
        <v>105</v>
      </c>
      <c r="E14" s="133" t="s">
        <v>10</v>
      </c>
      <c r="F14" s="133">
        <v>12</v>
      </c>
      <c r="G14" s="56">
        <f>IF(LEFT(E14,1)="F",1,2)</f>
        <v>2</v>
      </c>
      <c r="H14" s="56">
        <f>IF(MID(E14,2,1)="S",1,IF(MID(E14,2,1)="T",2,IF(MID(E14,2,1)="D",3,0)))</f>
        <v>3</v>
      </c>
      <c r="I14" s="56">
        <f>IF(RIGHT(E14,1)="L",1,2)</f>
        <v>1</v>
      </c>
      <c r="J14" s="133">
        <v>2</v>
      </c>
      <c r="K14" s="133" t="str">
        <f>(G14&amp;H14&amp;I14&amp;"."&amp;J14)</f>
        <v>231.2</v>
      </c>
      <c r="L14" s="141"/>
      <c r="M14" s="134">
        <v>38.700000000000003</v>
      </c>
      <c r="N14" s="142"/>
      <c r="O14" s="143"/>
      <c r="P14" s="144"/>
      <c r="Q14" s="145" t="s">
        <v>411</v>
      </c>
      <c r="R14" s="146">
        <v>18.8</v>
      </c>
      <c r="S14" s="170"/>
      <c r="T14" s="174" t="s">
        <v>312</v>
      </c>
      <c r="U14" s="188">
        <v>36</v>
      </c>
      <c r="V14" s="176">
        <v>41.652777777777786</v>
      </c>
      <c r="AA14" s="171"/>
      <c r="AB14" s="171"/>
      <c r="AC14" s="171"/>
      <c r="AD14" s="171"/>
      <c r="AE14" s="171"/>
      <c r="AF14" s="171"/>
      <c r="AG14" s="171"/>
      <c r="AH14" s="171"/>
    </row>
    <row r="15" spans="1:75" ht="13.35" customHeight="1" thickBot="1">
      <c r="B15" s="133"/>
      <c r="C15" s="134"/>
      <c r="D15" s="140">
        <v>104</v>
      </c>
      <c r="E15" s="133" t="s">
        <v>6</v>
      </c>
      <c r="F15" s="133">
        <v>10</v>
      </c>
      <c r="G15" s="56">
        <f>IF(LEFT(E15,1)="F",1,2)</f>
        <v>2</v>
      </c>
      <c r="H15" s="56">
        <f>IF(MID(E15,2,1)="S",1,IF(MID(E15,2,1)="T",2,IF(MID(E15,2,1)="D",3,0)))</f>
        <v>2</v>
      </c>
      <c r="I15" s="56">
        <f>IF(RIGHT(E15,1)="L",1,2)</f>
        <v>1</v>
      </c>
      <c r="J15" s="133">
        <v>1</v>
      </c>
      <c r="K15" s="133" t="str">
        <f>(G15&amp;H15&amp;I15&amp;"."&amp;J15)</f>
        <v>221.1</v>
      </c>
      <c r="L15" s="141"/>
      <c r="M15" s="134">
        <v>41.5</v>
      </c>
      <c r="N15" s="142"/>
      <c r="O15" s="143"/>
      <c r="P15" s="144"/>
      <c r="Q15" s="145" t="s">
        <v>410</v>
      </c>
      <c r="R15" s="146">
        <v>26.3</v>
      </c>
      <c r="S15" s="170"/>
      <c r="AA15" s="171"/>
      <c r="AB15" s="171"/>
      <c r="AC15" s="171"/>
      <c r="AD15" s="171"/>
      <c r="AE15" s="171"/>
      <c r="AF15" s="171"/>
      <c r="AG15" s="171"/>
      <c r="AH15" s="171"/>
    </row>
    <row r="16" spans="1:75" ht="13.35" customHeight="1" thickBot="1">
      <c r="B16" s="133"/>
      <c r="C16" s="134"/>
      <c r="D16" s="140">
        <v>103</v>
      </c>
      <c r="E16" s="133" t="s">
        <v>5</v>
      </c>
      <c r="F16" s="133">
        <v>5</v>
      </c>
      <c r="G16" s="56">
        <f>IF(LEFT(E16,1)="F",1,2)</f>
        <v>1</v>
      </c>
      <c r="H16" s="56">
        <f>IF(MID(E16,2,1)="S",1,IF(MID(E16,2,1)="T",2,IF(MID(E16,2,1)="D",3,0)))</f>
        <v>3</v>
      </c>
      <c r="I16" s="56">
        <f>IF(RIGHT(E16,1)="L",1,2)</f>
        <v>2</v>
      </c>
      <c r="J16" s="133">
        <v>1</v>
      </c>
      <c r="K16" s="133" t="str">
        <f>(G16&amp;H16&amp;I16&amp;"."&amp;J16)</f>
        <v>132.1</v>
      </c>
      <c r="L16" s="141"/>
      <c r="M16" s="134">
        <v>41.4</v>
      </c>
      <c r="N16" s="142"/>
      <c r="O16" s="143"/>
      <c r="P16" s="144"/>
      <c r="Q16" s="145" t="s">
        <v>409</v>
      </c>
      <c r="R16" s="146">
        <v>33.4</v>
      </c>
      <c r="S16" s="170"/>
    </row>
    <row r="17" spans="2:34" ht="13.35" customHeight="1" thickBot="1">
      <c r="B17" s="133"/>
      <c r="C17" s="134"/>
      <c r="D17" s="140">
        <v>102</v>
      </c>
      <c r="E17" s="133" t="s">
        <v>4</v>
      </c>
      <c r="F17" s="133">
        <v>4</v>
      </c>
      <c r="G17" s="56">
        <f>IF(LEFT(E17,1)="F",1,2)</f>
        <v>1</v>
      </c>
      <c r="H17" s="56">
        <f>IF(MID(E17,2,1)="S",1,IF(MID(E17,2,1)="T",2,IF(MID(E17,2,1)="D",3,0)))</f>
        <v>2</v>
      </c>
      <c r="I17" s="56">
        <f>IF(RIGHT(E17,1)="L",1,2)</f>
        <v>1</v>
      </c>
      <c r="J17" s="133">
        <v>1</v>
      </c>
      <c r="K17" s="133" t="str">
        <f>(G17&amp;H17&amp;I17&amp;"."&amp;J17)</f>
        <v>121.1</v>
      </c>
      <c r="L17" s="141"/>
      <c r="M17" s="134">
        <v>40.5</v>
      </c>
      <c r="N17" s="142"/>
      <c r="O17" s="143"/>
      <c r="P17" s="144"/>
      <c r="Q17" s="145" t="s">
        <v>408</v>
      </c>
      <c r="R17" s="146">
        <v>40.9</v>
      </c>
      <c r="S17" s="170"/>
      <c r="AA17" s="186"/>
      <c r="AB17" s="186"/>
      <c r="AC17" s="186"/>
      <c r="AD17" s="186"/>
      <c r="AE17" s="186"/>
      <c r="AF17" s="186"/>
      <c r="AG17" s="186"/>
      <c r="AH17" s="186"/>
    </row>
    <row r="18" spans="2:34" ht="13.35" customHeight="1" thickBot="1">
      <c r="B18" s="133"/>
      <c r="C18" s="134"/>
      <c r="D18" s="147">
        <v>101</v>
      </c>
      <c r="E18" s="50" t="s">
        <v>3</v>
      </c>
      <c r="F18" s="50">
        <v>1</v>
      </c>
      <c r="G18" s="50">
        <f>IF(LEFT(E18,1)="F",1,2)</f>
        <v>1</v>
      </c>
      <c r="H18" s="50">
        <f>IF(MID(E18,2,1)="S",1,IF(MID(E18,2,1)="T",2,IF(MID(E18,2,1)="D",3,0)))</f>
        <v>1</v>
      </c>
      <c r="I18" s="50">
        <f>IF(RIGHT(E18,1)="L",1,2)</f>
        <v>2</v>
      </c>
      <c r="J18" s="148">
        <v>1</v>
      </c>
      <c r="K18" s="148" t="str">
        <f>(G18&amp;H18&amp;I18&amp;"."&amp;J18)</f>
        <v>112.1</v>
      </c>
      <c r="L18" s="149"/>
      <c r="M18" s="150">
        <v>45.2</v>
      </c>
      <c r="N18" s="151"/>
      <c r="O18" s="152"/>
      <c r="P18" s="153"/>
      <c r="Q18" s="145" t="s">
        <v>407</v>
      </c>
      <c r="R18" s="146">
        <v>48</v>
      </c>
      <c r="S18" s="170"/>
      <c r="AA18" s="186"/>
      <c r="AB18" s="186"/>
      <c r="AC18" s="186"/>
      <c r="AD18" s="186"/>
      <c r="AE18" s="186"/>
      <c r="AF18" s="186"/>
      <c r="AG18" s="186"/>
      <c r="AH18" s="186"/>
    </row>
    <row r="19" spans="2:34" ht="13.35" customHeight="1" thickBot="1">
      <c r="B19" s="133"/>
      <c r="C19" s="134"/>
      <c r="D19" s="135">
        <v>201</v>
      </c>
      <c r="E19" s="136" t="s">
        <v>10</v>
      </c>
      <c r="F19" s="136">
        <v>12</v>
      </c>
      <c r="G19" s="62">
        <f>IF(LEFT(E19,1)="F",1,2)</f>
        <v>2</v>
      </c>
      <c r="H19" s="62">
        <f>IF(MID(E19,2,1)="S",1,IF(MID(E19,2,1)="T",2,IF(MID(E19,2,1)="D",3,0)))</f>
        <v>3</v>
      </c>
      <c r="I19" s="62">
        <f>IF(RIGHT(E19,1)="L",1,2)</f>
        <v>1</v>
      </c>
      <c r="J19" s="136">
        <v>1</v>
      </c>
      <c r="K19" s="136" t="str">
        <f>(G19&amp;H19&amp;I19&amp;"."&amp;J19)</f>
        <v>231.1</v>
      </c>
      <c r="L19" s="182">
        <v>0.48819444444444443</v>
      </c>
      <c r="M19" s="137">
        <v>38.200000000000003</v>
      </c>
      <c r="N19" s="179" t="s">
        <v>440</v>
      </c>
      <c r="O19" s="139"/>
      <c r="P19" s="139"/>
      <c r="Q19" s="145" t="s">
        <v>406</v>
      </c>
      <c r="R19" s="146">
        <v>54.9</v>
      </c>
      <c r="S19" s="170"/>
      <c r="AA19" s="171"/>
      <c r="AB19" s="171"/>
      <c r="AC19" s="171"/>
      <c r="AD19" s="171"/>
      <c r="AE19" s="171"/>
      <c r="AF19" s="171"/>
      <c r="AG19" s="187"/>
      <c r="AH19" s="187"/>
    </row>
    <row r="20" spans="2:34" ht="13.35" customHeight="1" thickBot="1">
      <c r="B20" s="133"/>
      <c r="C20" s="134"/>
      <c r="D20" s="140">
        <v>202</v>
      </c>
      <c r="E20" s="133" t="s">
        <v>7</v>
      </c>
      <c r="F20" s="133">
        <v>9</v>
      </c>
      <c r="G20" s="56">
        <f>IF(LEFT(E20,1)="F",1,2)</f>
        <v>2</v>
      </c>
      <c r="H20" s="56">
        <f>IF(MID(E20,2,1)="S",1,IF(MID(E20,2,1)="T",2,IF(MID(E20,2,1)="D",3,0)))</f>
        <v>2</v>
      </c>
      <c r="I20" s="56">
        <f>IF(RIGHT(E20,1)="L",1,2)</f>
        <v>2</v>
      </c>
      <c r="J20" s="133">
        <v>1</v>
      </c>
      <c r="K20" s="133" t="str">
        <f>(G20&amp;H20&amp;I20&amp;"."&amp;J20)</f>
        <v>222.1</v>
      </c>
      <c r="L20" s="154"/>
      <c r="M20" s="134">
        <v>43.8</v>
      </c>
      <c r="N20" s="142"/>
      <c r="O20" s="143"/>
      <c r="P20" s="144"/>
      <c r="Q20" s="145" t="s">
        <v>405</v>
      </c>
      <c r="R20" s="146">
        <v>65.400000000000006</v>
      </c>
      <c r="S20" s="170"/>
      <c r="AA20" s="171"/>
      <c r="AB20" s="171"/>
      <c r="AC20" s="171"/>
      <c r="AD20" s="171"/>
      <c r="AE20" s="171"/>
      <c r="AF20" s="171"/>
      <c r="AG20" s="171"/>
      <c r="AH20" s="171"/>
    </row>
    <row r="21" spans="2:34" ht="13.35" customHeight="1">
      <c r="B21" s="133"/>
      <c r="C21" s="134"/>
      <c r="D21" s="140">
        <v>203</v>
      </c>
      <c r="E21" s="133" t="s">
        <v>8</v>
      </c>
      <c r="F21" s="133">
        <v>3</v>
      </c>
      <c r="G21" s="56">
        <f>IF(LEFT(E21,1)="F",1,2)</f>
        <v>1</v>
      </c>
      <c r="H21" s="56">
        <f>IF(MID(E21,2,1)="S",1,IF(MID(E21,2,1)="T",2,IF(MID(E21,2,1)="D",3,0)))</f>
        <v>2</v>
      </c>
      <c r="I21" s="56">
        <f>IF(RIGHT(E21,1)="L",1,2)</f>
        <v>2</v>
      </c>
      <c r="J21" s="133">
        <v>1</v>
      </c>
      <c r="K21" s="133" t="str">
        <f>(G21&amp;H21&amp;I21&amp;"."&amp;J21)</f>
        <v>122.1</v>
      </c>
      <c r="L21" s="141"/>
      <c r="M21" s="134">
        <v>42</v>
      </c>
      <c r="N21" s="142"/>
      <c r="O21" s="143"/>
      <c r="P21" s="144"/>
      <c r="Q21" s="144"/>
      <c r="R21" s="155"/>
      <c r="S21" s="170"/>
      <c r="AA21" s="171"/>
      <c r="AB21" s="171"/>
      <c r="AC21" s="171"/>
      <c r="AD21" s="171"/>
      <c r="AE21" s="171"/>
      <c r="AF21" s="171"/>
      <c r="AG21" s="171"/>
      <c r="AH21" s="171"/>
    </row>
    <row r="22" spans="2:34" ht="13.35" customHeight="1">
      <c r="B22" s="133"/>
      <c r="C22" s="134"/>
      <c r="D22" s="140">
        <v>204</v>
      </c>
      <c r="E22" s="133" t="s">
        <v>11</v>
      </c>
      <c r="F22" s="133">
        <v>11</v>
      </c>
      <c r="G22" s="56">
        <f>IF(LEFT(E22,1)="F",1,2)</f>
        <v>2</v>
      </c>
      <c r="H22" s="56">
        <f>IF(MID(E22,2,1)="S",1,IF(MID(E22,2,1)="T",2,IF(MID(E22,2,1)="D",3,0)))</f>
        <v>3</v>
      </c>
      <c r="I22" s="56">
        <f>IF(RIGHT(E22,1)="L",1,2)</f>
        <v>2</v>
      </c>
      <c r="J22" s="133">
        <v>1</v>
      </c>
      <c r="K22" s="133" t="str">
        <f>(G22&amp;H22&amp;I22&amp;"."&amp;J22)</f>
        <v>232.1</v>
      </c>
      <c r="L22" s="141"/>
      <c r="M22" s="134">
        <v>40.9</v>
      </c>
      <c r="N22" s="142"/>
      <c r="O22" s="143"/>
      <c r="P22" s="144"/>
      <c r="Q22" s="144"/>
      <c r="R22" s="155"/>
      <c r="S22" s="170"/>
    </row>
    <row r="23" spans="2:34" ht="13.35" customHeight="1">
      <c r="B23" s="133"/>
      <c r="C23" s="134"/>
      <c r="D23" s="140">
        <v>205</v>
      </c>
      <c r="E23" s="133" t="s">
        <v>3</v>
      </c>
      <c r="F23" s="133">
        <v>1</v>
      </c>
      <c r="G23" s="56">
        <f>IF(LEFT(E23,1)="F",1,2)</f>
        <v>1</v>
      </c>
      <c r="H23" s="56">
        <f>IF(MID(E23,2,1)="S",1,IF(MID(E23,2,1)="T",2,IF(MID(E23,2,1)="D",3,0)))</f>
        <v>1</v>
      </c>
      <c r="I23" s="56">
        <f>IF(RIGHT(E23,1)="L",1,2)</f>
        <v>2</v>
      </c>
      <c r="J23" s="133">
        <v>2</v>
      </c>
      <c r="K23" s="133" t="str">
        <f>(G23&amp;H23&amp;I23&amp;"."&amp;J23)</f>
        <v>112.2</v>
      </c>
      <c r="L23" s="141"/>
      <c r="M23" s="134">
        <v>39.9</v>
      </c>
      <c r="N23" s="142"/>
      <c r="O23" s="143"/>
      <c r="P23" s="144"/>
      <c r="Q23" s="144"/>
      <c r="R23" s="155"/>
      <c r="S23" s="170"/>
      <c r="AA23" s="186"/>
      <c r="AB23" s="186"/>
      <c r="AC23" s="186"/>
      <c r="AD23" s="186"/>
      <c r="AE23" s="186"/>
      <c r="AF23" s="186"/>
      <c r="AG23" s="186"/>
      <c r="AH23" s="186"/>
    </row>
    <row r="24" spans="2:34" ht="13.35" customHeight="1">
      <c r="B24" s="133"/>
      <c r="C24" s="134"/>
      <c r="D24" s="140">
        <v>206</v>
      </c>
      <c r="E24" s="133" t="s">
        <v>12</v>
      </c>
      <c r="F24" s="133">
        <v>8</v>
      </c>
      <c r="G24" s="56">
        <f>IF(LEFT(E24,1)="F",1,2)</f>
        <v>2</v>
      </c>
      <c r="H24" s="56">
        <f>IF(MID(E24,2,1)="S",1,IF(MID(E24,2,1)="T",2,IF(MID(E24,2,1)="D",3,0)))</f>
        <v>1</v>
      </c>
      <c r="I24" s="56">
        <f>IF(RIGHT(E24,1)="L",1,2)</f>
        <v>1</v>
      </c>
      <c r="J24" s="133">
        <v>2</v>
      </c>
      <c r="K24" s="133" t="str">
        <f>(G24&amp;H24&amp;I24&amp;"."&amp;J24)</f>
        <v>211.2</v>
      </c>
      <c r="L24" s="141"/>
      <c r="M24" s="134">
        <v>41.7</v>
      </c>
      <c r="N24" s="142"/>
      <c r="O24" s="143"/>
      <c r="P24" s="144"/>
      <c r="Q24" s="144"/>
      <c r="R24" s="155"/>
      <c r="S24" s="170"/>
      <c r="AA24" s="186"/>
      <c r="AB24" s="186"/>
      <c r="AC24" s="186"/>
      <c r="AD24" s="186"/>
      <c r="AE24" s="186"/>
      <c r="AF24" s="186"/>
      <c r="AG24" s="186"/>
      <c r="AH24" s="186"/>
    </row>
    <row r="25" spans="2:34" ht="13.35" customHeight="1">
      <c r="B25" s="133"/>
      <c r="C25" s="134"/>
      <c r="D25" s="140">
        <v>207</v>
      </c>
      <c r="E25" s="133" t="s">
        <v>4</v>
      </c>
      <c r="F25" s="133">
        <v>4</v>
      </c>
      <c r="G25" s="56">
        <f>IF(LEFT(E25,1)="F",1,2)</f>
        <v>1</v>
      </c>
      <c r="H25" s="56">
        <f>IF(MID(E25,2,1)="S",1,IF(MID(E25,2,1)="T",2,IF(MID(E25,2,1)="D",3,0)))</f>
        <v>2</v>
      </c>
      <c r="I25" s="56">
        <f>IF(RIGHT(E25,1)="L",1,2)</f>
        <v>1</v>
      </c>
      <c r="J25" s="133">
        <v>2</v>
      </c>
      <c r="K25" s="133" t="str">
        <f>(G25&amp;H25&amp;I25&amp;"."&amp;J25)</f>
        <v>121.2</v>
      </c>
      <c r="L25" s="141"/>
      <c r="M25" s="134">
        <v>38.700000000000003</v>
      </c>
      <c r="N25" s="142"/>
      <c r="O25" s="143"/>
      <c r="P25" s="144"/>
      <c r="Q25" s="144"/>
      <c r="R25" s="155"/>
      <c r="S25" s="170"/>
      <c r="AA25" s="171"/>
      <c r="AB25" s="171"/>
      <c r="AC25" s="171"/>
      <c r="AD25" s="171"/>
      <c r="AE25" s="171"/>
      <c r="AF25" s="171"/>
      <c r="AG25" s="171"/>
      <c r="AH25" s="171"/>
    </row>
    <row r="26" spans="2:34" ht="13.35" customHeight="1" thickBot="1">
      <c r="B26" s="133"/>
      <c r="C26" s="134"/>
      <c r="D26" s="147">
        <v>208</v>
      </c>
      <c r="E26" s="148" t="s">
        <v>13</v>
      </c>
      <c r="F26" s="148">
        <v>2</v>
      </c>
      <c r="G26" s="50">
        <f>IF(LEFT(E26,1)="F",1,2)</f>
        <v>1</v>
      </c>
      <c r="H26" s="50">
        <f>IF(MID(E26,2,1)="S",1,IF(MID(E26,2,1)="T",2,IF(MID(E26,2,1)="D",3,0)))</f>
        <v>1</v>
      </c>
      <c r="I26" s="50">
        <f>IF(RIGHT(E26,1)="L",1,2)</f>
        <v>1</v>
      </c>
      <c r="J26" s="148">
        <v>2</v>
      </c>
      <c r="K26" s="148" t="str">
        <f>(G26&amp;H26&amp;I26&amp;"."&amp;J26)</f>
        <v>111.2</v>
      </c>
      <c r="L26" s="149"/>
      <c r="M26" s="150">
        <v>39.4</v>
      </c>
      <c r="N26" s="151"/>
      <c r="O26" s="152"/>
      <c r="P26" s="153"/>
      <c r="Q26" s="153"/>
      <c r="R26" s="156"/>
      <c r="S26" s="170"/>
      <c r="X26" s="183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</row>
    <row r="27" spans="2:34" ht="13.35" customHeight="1">
      <c r="B27" s="133"/>
      <c r="C27" s="134"/>
      <c r="D27" s="135">
        <v>908</v>
      </c>
      <c r="E27" s="157" t="s">
        <v>416</v>
      </c>
      <c r="F27" s="136">
        <v>21</v>
      </c>
      <c r="G27" s="62">
        <v>3</v>
      </c>
      <c r="H27" s="62">
        <v>2</v>
      </c>
      <c r="I27" s="62">
        <v>2</v>
      </c>
      <c r="J27" s="136">
        <v>2</v>
      </c>
      <c r="K27" s="136" t="str">
        <f>(G27&amp;H27&amp;I27&amp;"."&amp;J27)</f>
        <v>322.2</v>
      </c>
      <c r="L27" s="182">
        <v>0.49444444444444446</v>
      </c>
      <c r="M27" s="137">
        <v>54</v>
      </c>
      <c r="N27" s="179" t="s">
        <v>439</v>
      </c>
      <c r="O27" s="139"/>
      <c r="P27" s="139"/>
      <c r="Q27" s="139"/>
      <c r="R27" s="158"/>
      <c r="S27" s="170"/>
      <c r="X27" s="183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</row>
    <row r="28" spans="2:34" ht="13.35" customHeight="1" thickBot="1">
      <c r="B28" s="133"/>
      <c r="C28" s="134"/>
      <c r="D28" s="140">
        <v>907</v>
      </c>
      <c r="E28" s="133" t="s">
        <v>17</v>
      </c>
      <c r="F28" s="133">
        <v>31</v>
      </c>
      <c r="G28" s="56">
        <v>8</v>
      </c>
      <c r="H28" s="56">
        <v>0</v>
      </c>
      <c r="I28" s="56">
        <v>1</v>
      </c>
      <c r="J28" s="133">
        <v>2</v>
      </c>
      <c r="K28" s="133" t="str">
        <f>(G28&amp;H28&amp;I28&amp;"."&amp;J28)</f>
        <v>801.2</v>
      </c>
      <c r="L28" s="154"/>
      <c r="M28" s="159"/>
      <c r="N28" s="160"/>
      <c r="O28" s="161"/>
      <c r="P28" s="162"/>
      <c r="Q28" s="162"/>
      <c r="R28" s="163"/>
      <c r="S28" s="170"/>
      <c r="X28" s="183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</row>
    <row r="29" spans="2:34" ht="13.35" customHeight="1">
      <c r="B29" s="133"/>
      <c r="C29" s="134"/>
      <c r="D29" s="140">
        <v>906</v>
      </c>
      <c r="E29" s="164" t="s">
        <v>415</v>
      </c>
      <c r="F29" s="133">
        <v>22</v>
      </c>
      <c r="G29" s="56">
        <v>4</v>
      </c>
      <c r="H29" s="56">
        <v>2</v>
      </c>
      <c r="I29" s="56">
        <v>2</v>
      </c>
      <c r="J29" s="133">
        <v>2</v>
      </c>
      <c r="K29" s="133" t="str">
        <f>(G29&amp;H29&amp;I29&amp;"."&amp;J29)</f>
        <v>422.2</v>
      </c>
      <c r="L29" s="141"/>
      <c r="M29" s="134">
        <v>49.8</v>
      </c>
      <c r="N29" s="179" t="s">
        <v>439</v>
      </c>
      <c r="O29" s="143"/>
      <c r="P29" s="144"/>
      <c r="Q29" s="144"/>
      <c r="R29" s="155"/>
      <c r="S29" s="170"/>
      <c r="X29" s="183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</row>
    <row r="30" spans="2:34" ht="13.35" customHeight="1" thickBot="1">
      <c r="B30" s="133"/>
      <c r="C30" s="134"/>
      <c r="D30" s="140">
        <v>905</v>
      </c>
      <c r="E30" s="133" t="s">
        <v>16</v>
      </c>
      <c r="F30" s="133">
        <v>32</v>
      </c>
      <c r="G30" s="56">
        <v>9</v>
      </c>
      <c r="H30" s="56">
        <v>0</v>
      </c>
      <c r="I30" s="56">
        <v>1</v>
      </c>
      <c r="J30" s="133">
        <v>2</v>
      </c>
      <c r="K30" s="133" t="str">
        <f>(G30&amp;H30&amp;I30&amp;"."&amp;J30)</f>
        <v>901.2</v>
      </c>
      <c r="L30" s="154"/>
      <c r="M30" s="159"/>
      <c r="N30" s="160"/>
      <c r="O30" s="161"/>
      <c r="P30" s="162"/>
      <c r="Q30" s="162"/>
      <c r="R30" s="163"/>
      <c r="S30" s="170"/>
      <c r="X30" s="183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</row>
    <row r="31" spans="2:34" ht="13.35" customHeight="1">
      <c r="B31" s="133"/>
      <c r="C31" s="134"/>
      <c r="D31" s="140">
        <v>904</v>
      </c>
      <c r="E31" s="164" t="s">
        <v>416</v>
      </c>
      <c r="F31" s="133">
        <v>21</v>
      </c>
      <c r="G31" s="56">
        <v>3</v>
      </c>
      <c r="H31" s="56">
        <v>2</v>
      </c>
      <c r="I31" s="56">
        <v>2</v>
      </c>
      <c r="J31" s="133">
        <v>1</v>
      </c>
      <c r="K31" s="133" t="str">
        <f>(G31&amp;H31&amp;I31&amp;"."&amp;J31)</f>
        <v>322.1</v>
      </c>
      <c r="L31" s="141"/>
      <c r="M31" s="134">
        <v>53.9</v>
      </c>
      <c r="N31" s="138" t="s">
        <v>439</v>
      </c>
      <c r="O31" s="143"/>
      <c r="P31" s="144"/>
      <c r="Q31" s="144"/>
      <c r="R31" s="155"/>
      <c r="S31" s="170"/>
      <c r="X31" s="183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</row>
    <row r="32" spans="2:34" ht="13.35" customHeight="1" thickBot="1">
      <c r="B32" s="133"/>
      <c r="C32" s="134"/>
      <c r="D32" s="140">
        <v>903</v>
      </c>
      <c r="E32" s="133" t="s">
        <v>17</v>
      </c>
      <c r="F32" s="133">
        <v>31</v>
      </c>
      <c r="G32" s="56">
        <v>8</v>
      </c>
      <c r="H32" s="56">
        <v>0</v>
      </c>
      <c r="I32" s="56">
        <v>1</v>
      </c>
      <c r="J32" s="133">
        <v>1</v>
      </c>
      <c r="K32" s="133" t="str">
        <f>(G32&amp;H32&amp;I32&amp;"."&amp;J32)</f>
        <v>801.1</v>
      </c>
      <c r="L32" s="154"/>
      <c r="M32" s="159"/>
      <c r="N32" s="160"/>
      <c r="O32" s="161"/>
      <c r="P32" s="162"/>
      <c r="Q32" s="162"/>
      <c r="R32" s="163"/>
      <c r="S32" s="170"/>
      <c r="T32" s="170"/>
      <c r="U32" s="170"/>
      <c r="V32" s="170"/>
      <c r="X32" s="183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</row>
    <row r="33" spans="2:34" ht="13.35" customHeight="1">
      <c r="B33" s="133"/>
      <c r="C33" s="134"/>
      <c r="D33" s="140">
        <v>902</v>
      </c>
      <c r="E33" s="164" t="s">
        <v>415</v>
      </c>
      <c r="F33" s="133">
        <v>22</v>
      </c>
      <c r="G33" s="56">
        <v>4</v>
      </c>
      <c r="H33" s="56">
        <v>2</v>
      </c>
      <c r="I33" s="56">
        <v>2</v>
      </c>
      <c r="J33" s="133">
        <v>1</v>
      </c>
      <c r="K33" s="133" t="str">
        <f>(G33&amp;H33&amp;I33&amp;"."&amp;J33)</f>
        <v>422.1</v>
      </c>
      <c r="L33" s="141"/>
      <c r="M33" s="134">
        <v>47.4</v>
      </c>
      <c r="N33" s="138" t="s">
        <v>439</v>
      </c>
      <c r="O33" s="143"/>
      <c r="P33" s="144"/>
      <c r="Q33" s="144"/>
      <c r="R33" s="155"/>
      <c r="S33" s="170"/>
      <c r="T33" s="170"/>
      <c r="U33" s="170"/>
      <c r="V33" s="170"/>
      <c r="X33" s="183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</row>
    <row r="34" spans="2:34" ht="13.35" customHeight="1" thickBot="1">
      <c r="B34" s="133"/>
      <c r="C34" s="134"/>
      <c r="D34" s="147">
        <v>901</v>
      </c>
      <c r="E34" s="148" t="s">
        <v>16</v>
      </c>
      <c r="F34" s="148">
        <v>32</v>
      </c>
      <c r="G34" s="50">
        <v>9</v>
      </c>
      <c r="H34" s="50">
        <v>0</v>
      </c>
      <c r="I34" s="50">
        <v>1</v>
      </c>
      <c r="J34" s="148">
        <v>1</v>
      </c>
      <c r="K34" s="148" t="str">
        <f>(G34&amp;H34&amp;I34&amp;"."&amp;J34)</f>
        <v>901.1</v>
      </c>
      <c r="L34" s="154"/>
      <c r="M34" s="165"/>
      <c r="N34" s="166"/>
      <c r="O34" s="167"/>
      <c r="P34" s="168"/>
      <c r="Q34" s="168"/>
      <c r="R34" s="169"/>
      <c r="S34" s="170"/>
      <c r="T34" s="170"/>
      <c r="U34" s="170"/>
      <c r="V34" s="170"/>
      <c r="X34" s="183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</row>
    <row r="35" spans="2:34" ht="13.35" customHeight="1">
      <c r="B35" s="133"/>
      <c r="C35" s="134"/>
      <c r="D35" s="135">
        <v>301</v>
      </c>
      <c r="E35" s="136" t="s">
        <v>6</v>
      </c>
      <c r="F35" s="136">
        <v>10</v>
      </c>
      <c r="G35" s="62">
        <f>IF(LEFT(E35,1)="F",1,2)</f>
        <v>2</v>
      </c>
      <c r="H35" s="62">
        <f>IF(MID(E35,2,1)="S",1,IF(MID(E35,2,1)="T",2,IF(MID(E35,2,1)="D",3,0)))</f>
        <v>2</v>
      </c>
      <c r="I35" s="62">
        <f>IF(RIGHT(E35,1)="L",1,2)</f>
        <v>1</v>
      </c>
      <c r="J35" s="136">
        <v>3</v>
      </c>
      <c r="K35" s="136" t="str">
        <f>(G35&amp;H35&amp;I35&amp;"."&amp;J35)</f>
        <v>221.3</v>
      </c>
      <c r="L35" s="182">
        <v>0.50486111111111109</v>
      </c>
      <c r="M35" s="137">
        <v>41.8</v>
      </c>
      <c r="N35" s="138"/>
      <c r="O35" s="139"/>
      <c r="P35" s="139"/>
      <c r="Q35" s="139"/>
      <c r="R35" s="158"/>
      <c r="S35" s="170"/>
      <c r="T35" s="170"/>
      <c r="U35" s="170"/>
      <c r="V35" s="170"/>
      <c r="X35" s="183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</row>
    <row r="36" spans="2:34" ht="13.35" customHeight="1">
      <c r="B36" s="133"/>
      <c r="C36" s="134"/>
      <c r="D36" s="140">
        <v>302</v>
      </c>
      <c r="E36" s="133" t="s">
        <v>4</v>
      </c>
      <c r="F36" s="133">
        <v>4</v>
      </c>
      <c r="G36" s="56">
        <f>IF(LEFT(E36,1)="F",1,2)</f>
        <v>1</v>
      </c>
      <c r="H36" s="56">
        <f>IF(MID(E36,2,1)="S",1,IF(MID(E36,2,1)="T",2,IF(MID(E36,2,1)="D",3,0)))</f>
        <v>2</v>
      </c>
      <c r="I36" s="56">
        <f>IF(RIGHT(E36,1)="L",1,2)</f>
        <v>1</v>
      </c>
      <c r="J36" s="133">
        <v>3</v>
      </c>
      <c r="K36" s="133" t="str">
        <f>(G36&amp;H36&amp;I36&amp;"."&amp;J36)</f>
        <v>121.3</v>
      </c>
      <c r="L36" s="154"/>
      <c r="M36" s="134">
        <v>39.4</v>
      </c>
      <c r="N36" s="142"/>
      <c r="O36" s="143"/>
      <c r="P36" s="144"/>
      <c r="Q36" s="144"/>
      <c r="R36" s="155"/>
      <c r="S36" s="170"/>
      <c r="T36" s="170"/>
      <c r="U36" s="170"/>
      <c r="V36" s="170"/>
    </row>
    <row r="37" spans="2:34" ht="13.35" customHeight="1">
      <c r="B37" s="133"/>
      <c r="C37" s="134"/>
      <c r="D37" s="140">
        <v>303</v>
      </c>
      <c r="E37" s="133" t="s">
        <v>12</v>
      </c>
      <c r="F37" s="133">
        <v>8</v>
      </c>
      <c r="G37" s="56">
        <f>IF(LEFT(E37,1)="F",1,2)</f>
        <v>2</v>
      </c>
      <c r="H37" s="56">
        <f>IF(MID(E37,2,1)="S",1,IF(MID(E37,2,1)="T",2,IF(MID(E37,2,1)="D",3,0)))</f>
        <v>1</v>
      </c>
      <c r="I37" s="56">
        <f>IF(RIGHT(E37,1)="L",1,2)</f>
        <v>1</v>
      </c>
      <c r="J37" s="133">
        <v>3</v>
      </c>
      <c r="K37" s="133" t="str">
        <f>(G37&amp;H37&amp;I37&amp;"."&amp;J37)</f>
        <v>211.3</v>
      </c>
      <c r="L37" s="141"/>
      <c r="M37" s="134">
        <v>35.299999999999997</v>
      </c>
      <c r="N37" s="142"/>
      <c r="O37" s="143"/>
      <c r="P37" s="144"/>
      <c r="Q37" s="144"/>
      <c r="R37" s="155"/>
      <c r="S37" s="170"/>
      <c r="T37" s="170"/>
      <c r="U37" s="170"/>
      <c r="V37" s="170"/>
      <c r="X37" s="183"/>
      <c r="Y37" s="186"/>
      <c r="Z37" s="186"/>
      <c r="AA37" s="186"/>
      <c r="AB37" s="186"/>
      <c r="AC37" s="186"/>
      <c r="AD37" s="186"/>
      <c r="AE37" s="186"/>
      <c r="AF37" s="186"/>
      <c r="AG37" s="186"/>
      <c r="AH37" s="186"/>
    </row>
    <row r="38" spans="2:34" ht="13.35" customHeight="1">
      <c r="B38" s="133"/>
      <c r="C38" s="134"/>
      <c r="D38" s="140">
        <v>304</v>
      </c>
      <c r="E38" s="133" t="s">
        <v>13</v>
      </c>
      <c r="F38" s="133">
        <v>2</v>
      </c>
      <c r="G38" s="56">
        <f>IF(LEFT(E38,1)="F",1,2)</f>
        <v>1</v>
      </c>
      <c r="H38" s="56">
        <f>IF(MID(E38,2,1)="S",1,IF(MID(E38,2,1)="T",2,IF(MID(E38,2,1)="D",3,0)))</f>
        <v>1</v>
      </c>
      <c r="I38" s="56">
        <f>IF(RIGHT(E38,1)="L",1,2)</f>
        <v>1</v>
      </c>
      <c r="J38" s="133">
        <v>3</v>
      </c>
      <c r="K38" s="133" t="str">
        <f>(G38&amp;H38&amp;I38&amp;"."&amp;J38)</f>
        <v>111.3</v>
      </c>
      <c r="L38" s="141"/>
      <c r="M38" s="134">
        <v>38.200000000000003</v>
      </c>
      <c r="N38" s="142"/>
      <c r="O38" s="143"/>
      <c r="P38" s="144"/>
      <c r="Q38" s="144"/>
      <c r="R38" s="155"/>
      <c r="S38" s="170"/>
      <c r="T38" s="170"/>
      <c r="U38" s="170"/>
      <c r="V38" s="170"/>
      <c r="X38" s="183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</row>
    <row r="39" spans="2:34" ht="13.35" customHeight="1">
      <c r="B39" s="133"/>
      <c r="C39" s="134"/>
      <c r="D39" s="140">
        <v>305</v>
      </c>
      <c r="E39" s="133" t="s">
        <v>11</v>
      </c>
      <c r="F39" s="133">
        <v>11</v>
      </c>
      <c r="G39" s="56">
        <f>IF(LEFT(E39,1)="F",1,2)</f>
        <v>2</v>
      </c>
      <c r="H39" s="56">
        <f>IF(MID(E39,2,1)="S",1,IF(MID(E39,2,1)="T",2,IF(MID(E39,2,1)="D",3,0)))</f>
        <v>3</v>
      </c>
      <c r="I39" s="56">
        <f>IF(RIGHT(E39,1)="L",1,2)</f>
        <v>2</v>
      </c>
      <c r="J39" s="133">
        <v>4</v>
      </c>
      <c r="K39" s="133" t="str">
        <f>(G39&amp;H39&amp;I39&amp;"."&amp;J39)</f>
        <v>232.4</v>
      </c>
      <c r="L39" s="141"/>
      <c r="M39" s="134">
        <v>41.3</v>
      </c>
      <c r="N39" s="142"/>
      <c r="O39" s="143"/>
      <c r="P39" s="144"/>
      <c r="Q39" s="144"/>
      <c r="R39" s="155"/>
      <c r="S39" s="170"/>
      <c r="T39" s="170"/>
      <c r="U39" s="170"/>
      <c r="V39" s="170"/>
      <c r="X39" s="183"/>
      <c r="Y39" s="171"/>
      <c r="Z39" s="171"/>
      <c r="AA39" s="171"/>
      <c r="AB39" s="171"/>
      <c r="AC39" s="171"/>
      <c r="AD39" s="171"/>
      <c r="AE39" s="171"/>
      <c r="AF39" s="171"/>
      <c r="AG39" s="187"/>
      <c r="AH39" s="186"/>
    </row>
    <row r="40" spans="2:34" ht="13.35" customHeight="1" thickBot="1">
      <c r="B40" s="133"/>
      <c r="C40" s="134"/>
      <c r="D40" s="140">
        <v>306</v>
      </c>
      <c r="E40" s="133" t="s">
        <v>4</v>
      </c>
      <c r="F40" s="133">
        <v>4</v>
      </c>
      <c r="G40" s="56">
        <f>IF(LEFT(E40,1)="F",1,2)</f>
        <v>1</v>
      </c>
      <c r="H40" s="56">
        <f>IF(MID(E40,2,1)="S",1,IF(MID(E40,2,1)="T",2,IF(MID(E40,2,1)="D",3,0)))</f>
        <v>2</v>
      </c>
      <c r="I40" s="56">
        <f>IF(RIGHT(E40,1)="L",1,2)</f>
        <v>1</v>
      </c>
      <c r="J40" s="133">
        <v>4</v>
      </c>
      <c r="K40" s="133" t="str">
        <f>(G40&amp;H40&amp;I40&amp;"."&amp;J40)</f>
        <v>121.4</v>
      </c>
      <c r="L40" s="141"/>
      <c r="M40" s="134">
        <v>36.4</v>
      </c>
      <c r="N40" s="142"/>
      <c r="O40" s="143"/>
      <c r="P40" s="144"/>
      <c r="Q40" s="144"/>
      <c r="R40" s="155"/>
      <c r="S40" s="170"/>
      <c r="T40" s="170"/>
      <c r="U40" s="170"/>
      <c r="V40" s="170"/>
      <c r="X40" s="183"/>
      <c r="Y40" s="171"/>
      <c r="Z40" s="171"/>
      <c r="AA40" s="171"/>
      <c r="AB40" s="171"/>
      <c r="AC40" s="171"/>
      <c r="AD40" s="171"/>
      <c r="AE40" s="171"/>
      <c r="AF40" s="171"/>
      <c r="AG40" s="171"/>
      <c r="AH40" s="186"/>
    </row>
    <row r="41" spans="2:34" ht="13.35" customHeight="1" thickBot="1">
      <c r="B41" s="133"/>
      <c r="C41" s="134"/>
      <c r="D41" s="140">
        <v>307</v>
      </c>
      <c r="E41" s="133" t="s">
        <v>7</v>
      </c>
      <c r="F41" s="133">
        <v>9</v>
      </c>
      <c r="G41" s="56">
        <f>IF(LEFT(E41,1)="F",1,2)</f>
        <v>2</v>
      </c>
      <c r="H41" s="56">
        <f>IF(MID(E41,2,1)="S",1,IF(MID(E41,2,1)="T",2,IF(MID(E41,2,1)="D",3,0)))</f>
        <v>2</v>
      </c>
      <c r="I41" s="56">
        <f>IF(RIGHT(E41,1)="L",1,2)</f>
        <v>2</v>
      </c>
      <c r="J41" s="133">
        <v>4</v>
      </c>
      <c r="K41" s="133" t="str">
        <f>(G41&amp;H41&amp;I41&amp;"."&amp;J41)</f>
        <v>222.4</v>
      </c>
      <c r="L41" s="141"/>
      <c r="M41" s="134">
        <v>41.2</v>
      </c>
      <c r="N41" s="142"/>
      <c r="O41" s="143"/>
      <c r="P41" s="144"/>
      <c r="Q41" s="185" t="s">
        <v>414</v>
      </c>
      <c r="R41" s="184"/>
      <c r="S41" s="170"/>
      <c r="T41" s="170"/>
      <c r="U41" s="170"/>
      <c r="V41" s="170"/>
      <c r="X41" s="183"/>
      <c r="Y41" s="171"/>
      <c r="Z41" s="171"/>
      <c r="AA41" s="171"/>
      <c r="AB41" s="171"/>
      <c r="AC41" s="171"/>
      <c r="AD41" s="171"/>
      <c r="AE41" s="171"/>
      <c r="AF41" s="171"/>
      <c r="AG41" s="171"/>
    </row>
    <row r="42" spans="2:34" ht="13.35" customHeight="1" thickBot="1">
      <c r="B42" s="133"/>
      <c r="C42" s="134"/>
      <c r="D42" s="147">
        <v>308</v>
      </c>
      <c r="E42" s="148" t="s">
        <v>5</v>
      </c>
      <c r="F42" s="148">
        <v>5</v>
      </c>
      <c r="G42" s="50">
        <f>IF(LEFT(E42,1)="F",1,2)</f>
        <v>1</v>
      </c>
      <c r="H42" s="50">
        <f>IF(MID(E42,2,1)="S",1,IF(MID(E42,2,1)="T",2,IF(MID(E42,2,1)="D",3,0)))</f>
        <v>3</v>
      </c>
      <c r="I42" s="50">
        <f>IF(RIGHT(E42,1)="L",1,2)</f>
        <v>2</v>
      </c>
      <c r="J42" s="148">
        <v>4</v>
      </c>
      <c r="K42" s="148" t="str">
        <f>(G42&amp;H42&amp;I42&amp;"."&amp;J42)</f>
        <v>132.4</v>
      </c>
      <c r="L42" s="149"/>
      <c r="M42" s="150">
        <v>38.799999999999997</v>
      </c>
      <c r="N42" s="151"/>
      <c r="O42" s="152"/>
      <c r="P42" s="153"/>
      <c r="Q42" s="145" t="s">
        <v>413</v>
      </c>
      <c r="R42" s="146">
        <v>4.7</v>
      </c>
      <c r="S42" s="170"/>
      <c r="T42" s="170"/>
      <c r="U42" s="170"/>
      <c r="V42" s="170"/>
    </row>
    <row r="43" spans="2:34" ht="13.35" customHeight="1" thickBot="1">
      <c r="B43" s="133"/>
      <c r="C43" s="134"/>
      <c r="D43" s="135">
        <v>408</v>
      </c>
      <c r="E43" s="136" t="s">
        <v>6</v>
      </c>
      <c r="F43" s="136">
        <v>10</v>
      </c>
      <c r="G43" s="62">
        <f>IF(LEFT(E43,1)="F",1,2)</f>
        <v>2</v>
      </c>
      <c r="H43" s="62">
        <f>IF(MID(E43,2,1)="S",1,IF(MID(E43,2,1)="T",2,IF(MID(E43,2,1)="D",3,0)))</f>
        <v>2</v>
      </c>
      <c r="I43" s="62">
        <f>IF(RIGHT(E43,1)="L",1,2)</f>
        <v>1</v>
      </c>
      <c r="J43" s="136">
        <v>4</v>
      </c>
      <c r="K43" s="136" t="str">
        <f>(G43&amp;H43&amp;I43&amp;"."&amp;J43)</f>
        <v>221.4</v>
      </c>
      <c r="L43" s="182">
        <v>0.51388888888888895</v>
      </c>
      <c r="M43" s="137">
        <v>43.2</v>
      </c>
      <c r="N43" s="138"/>
      <c r="O43" s="139"/>
      <c r="P43" s="139"/>
      <c r="Q43" s="145" t="s">
        <v>412</v>
      </c>
      <c r="R43" s="146">
        <v>12.2</v>
      </c>
      <c r="S43" s="170"/>
      <c r="T43" s="170"/>
      <c r="U43" s="170"/>
      <c r="V43" s="170"/>
    </row>
    <row r="44" spans="2:34" ht="13.35" customHeight="1" thickBot="1">
      <c r="B44" s="133"/>
      <c r="C44" s="134"/>
      <c r="D44" s="140">
        <v>407</v>
      </c>
      <c r="E44" s="133" t="s">
        <v>14</v>
      </c>
      <c r="F44" s="133">
        <v>7</v>
      </c>
      <c r="G44" s="56">
        <f>IF(LEFT(E44,1)="F",1,2)</f>
        <v>2</v>
      </c>
      <c r="H44" s="56">
        <f>IF(MID(E44,2,1)="S",1,IF(MID(E44,2,1)="T",2,IF(MID(E44,2,1)="D",3,0)))</f>
        <v>1</v>
      </c>
      <c r="I44" s="56">
        <f>IF(RIGHT(E44,1)="L",1,2)</f>
        <v>2</v>
      </c>
      <c r="J44" s="133">
        <v>4</v>
      </c>
      <c r="K44" s="133" t="str">
        <f>(G44&amp;H44&amp;I44&amp;"."&amp;J44)</f>
        <v>212.4</v>
      </c>
      <c r="L44" s="154"/>
      <c r="M44" s="134">
        <v>43.8</v>
      </c>
      <c r="N44" s="142"/>
      <c r="O44" s="143"/>
      <c r="P44" s="144"/>
      <c r="Q44" s="145" t="s">
        <v>411</v>
      </c>
      <c r="R44" s="146">
        <v>19.600000000000001</v>
      </c>
      <c r="S44" s="170"/>
      <c r="T44" s="170"/>
      <c r="U44" s="170"/>
      <c r="V44" s="170"/>
    </row>
    <row r="45" spans="2:34" ht="13.35" customHeight="1" thickBot="1">
      <c r="B45" s="133"/>
      <c r="C45" s="134"/>
      <c r="D45" s="140">
        <v>406</v>
      </c>
      <c r="E45" s="133" t="s">
        <v>8</v>
      </c>
      <c r="F45" s="133">
        <v>3</v>
      </c>
      <c r="G45" s="56">
        <f>IF(LEFT(E45,1)="F",1,2)</f>
        <v>1</v>
      </c>
      <c r="H45" s="56">
        <f>IF(MID(E45,2,1)="S",1,IF(MID(E45,2,1)="T",2,IF(MID(E45,2,1)="D",3,0)))</f>
        <v>2</v>
      </c>
      <c r="I45" s="56">
        <f>IF(RIGHT(E45,1)="L",1,2)</f>
        <v>2</v>
      </c>
      <c r="J45" s="133">
        <v>4</v>
      </c>
      <c r="K45" s="133" t="str">
        <f>(G45&amp;H45&amp;I45&amp;"."&amp;J45)</f>
        <v>122.4</v>
      </c>
      <c r="L45" s="141"/>
      <c r="M45" s="134">
        <v>40.200000000000003</v>
      </c>
      <c r="N45" s="142"/>
      <c r="O45" s="143"/>
      <c r="P45" s="144"/>
      <c r="Q45" s="145" t="s">
        <v>410</v>
      </c>
      <c r="R45" s="146">
        <v>27</v>
      </c>
      <c r="S45" s="170"/>
      <c r="T45" s="170"/>
      <c r="U45" s="170"/>
      <c r="V45" s="170"/>
    </row>
    <row r="46" spans="2:34" ht="13.35" customHeight="1" thickBot="1">
      <c r="B46" s="133"/>
      <c r="C46" s="134"/>
      <c r="D46" s="140">
        <v>405</v>
      </c>
      <c r="E46" s="133" t="s">
        <v>15</v>
      </c>
      <c r="F46" s="133">
        <v>6</v>
      </c>
      <c r="G46" s="56">
        <f>IF(LEFT(E46,1)="F",1,2)</f>
        <v>1</v>
      </c>
      <c r="H46" s="56">
        <f>IF(MID(E46,2,1)="S",1,IF(MID(E46,2,1)="T",2,IF(MID(E46,2,1)="D",3,0)))</f>
        <v>3</v>
      </c>
      <c r="I46" s="56">
        <f>IF(RIGHT(E46,1)="L",1,2)</f>
        <v>1</v>
      </c>
      <c r="J46" s="133">
        <v>4</v>
      </c>
      <c r="K46" s="133" t="str">
        <f>(G46&amp;H46&amp;I46&amp;"."&amp;J46)</f>
        <v>131.4</v>
      </c>
      <c r="L46" s="141"/>
      <c r="M46" s="134">
        <v>37.6</v>
      </c>
      <c r="N46" s="142"/>
      <c r="O46" s="143"/>
      <c r="P46" s="144"/>
      <c r="Q46" s="145" t="s">
        <v>409</v>
      </c>
      <c r="R46" s="146">
        <v>34.200000000000003</v>
      </c>
      <c r="S46" s="170"/>
      <c r="T46" s="170"/>
      <c r="U46" s="170"/>
      <c r="V46" s="170"/>
    </row>
    <row r="47" spans="2:34" ht="13.35" customHeight="1" thickBot="1">
      <c r="B47" s="133"/>
      <c r="C47" s="134"/>
      <c r="D47" s="140">
        <v>404</v>
      </c>
      <c r="E47" s="133" t="s">
        <v>8</v>
      </c>
      <c r="F47" s="133">
        <v>3</v>
      </c>
      <c r="G47" s="56">
        <f>IF(LEFT(E47,1)="F",1,2)</f>
        <v>1</v>
      </c>
      <c r="H47" s="56">
        <f>IF(MID(E47,2,1)="S",1,IF(MID(E47,2,1)="T",2,IF(MID(E47,2,1)="D",3,0)))</f>
        <v>2</v>
      </c>
      <c r="I47" s="56">
        <f>IF(RIGHT(E47,1)="L",1,2)</f>
        <v>2</v>
      </c>
      <c r="J47" s="133">
        <v>3</v>
      </c>
      <c r="K47" s="133" t="str">
        <f>(G47&amp;H47&amp;I47&amp;"."&amp;J47)</f>
        <v>122.3</v>
      </c>
      <c r="L47" s="141"/>
      <c r="M47" s="134">
        <v>40.200000000000003</v>
      </c>
      <c r="N47" s="142"/>
      <c r="O47" s="143"/>
      <c r="P47" s="144"/>
      <c r="Q47" s="145" t="s">
        <v>408</v>
      </c>
      <c r="R47" s="146">
        <v>41.4</v>
      </c>
      <c r="S47" s="170"/>
      <c r="T47" s="170"/>
      <c r="U47" s="170"/>
      <c r="V47" s="170"/>
    </row>
    <row r="48" spans="2:34" ht="13.35" customHeight="1" thickBot="1">
      <c r="B48" s="133"/>
      <c r="C48" s="134"/>
      <c r="D48" s="140">
        <v>403</v>
      </c>
      <c r="E48" s="133" t="s">
        <v>15</v>
      </c>
      <c r="F48" s="133">
        <v>6</v>
      </c>
      <c r="G48" s="56">
        <f>IF(LEFT(E48,1)="F",1,2)</f>
        <v>1</v>
      </c>
      <c r="H48" s="56">
        <f>IF(MID(E48,2,1)="S",1,IF(MID(E48,2,1)="T",2,IF(MID(E48,2,1)="D",3,0)))</f>
        <v>3</v>
      </c>
      <c r="I48" s="56">
        <f>IF(RIGHT(E48,1)="L",1,2)</f>
        <v>1</v>
      </c>
      <c r="J48" s="133">
        <v>3</v>
      </c>
      <c r="K48" s="133" t="str">
        <f>(G48&amp;H48&amp;I48&amp;"."&amp;J48)</f>
        <v>131.3</v>
      </c>
      <c r="L48" s="141"/>
      <c r="M48" s="134">
        <v>36.9</v>
      </c>
      <c r="N48" s="142"/>
      <c r="O48" s="143"/>
      <c r="P48" s="144"/>
      <c r="Q48" s="145" t="s">
        <v>407</v>
      </c>
      <c r="R48" s="146">
        <v>48.8</v>
      </c>
      <c r="S48" s="170"/>
      <c r="T48" s="170"/>
      <c r="U48" s="170"/>
      <c r="V48" s="170"/>
    </row>
    <row r="49" spans="2:22" ht="13.35" customHeight="1" thickBot="1">
      <c r="B49" s="133"/>
      <c r="C49" s="134"/>
      <c r="D49" s="140">
        <v>402</v>
      </c>
      <c r="E49" s="133" t="s">
        <v>7</v>
      </c>
      <c r="F49" s="133">
        <v>9</v>
      </c>
      <c r="G49" s="56">
        <f>IF(LEFT(E49,1)="F",1,2)</f>
        <v>2</v>
      </c>
      <c r="H49" s="56">
        <f>IF(MID(E49,2,1)="S",1,IF(MID(E49,2,1)="T",2,IF(MID(E49,2,1)="D",3,0)))</f>
        <v>2</v>
      </c>
      <c r="I49" s="56">
        <f>IF(RIGHT(E49,1)="L",1,2)</f>
        <v>2</v>
      </c>
      <c r="J49" s="133">
        <v>3</v>
      </c>
      <c r="K49" s="133" t="str">
        <f>(G49&amp;H49&amp;I49&amp;"."&amp;J49)</f>
        <v>222.3</v>
      </c>
      <c r="L49" s="141"/>
      <c r="M49" s="134">
        <v>43.5</v>
      </c>
      <c r="N49" s="142"/>
      <c r="O49" s="143"/>
      <c r="P49" s="144"/>
      <c r="Q49" s="145" t="s">
        <v>406</v>
      </c>
      <c r="R49" s="146">
        <v>56.2</v>
      </c>
      <c r="S49" s="170"/>
      <c r="T49" s="170"/>
      <c r="U49" s="170"/>
      <c r="V49" s="170"/>
    </row>
    <row r="50" spans="2:22" ht="13.35" customHeight="1" thickBot="1">
      <c r="B50" s="148"/>
      <c r="C50" s="150"/>
      <c r="D50" s="147">
        <v>401</v>
      </c>
      <c r="E50" s="148" t="s">
        <v>14</v>
      </c>
      <c r="F50" s="148">
        <v>7</v>
      </c>
      <c r="G50" s="50">
        <f>IF(LEFT(E50,1)="F",1,2)</f>
        <v>2</v>
      </c>
      <c r="H50" s="50">
        <f>IF(MID(E50,2,1)="S",1,IF(MID(E50,2,1)="T",2,IF(MID(E50,2,1)="D",3,0)))</f>
        <v>1</v>
      </c>
      <c r="I50" s="50">
        <f>IF(RIGHT(E50,1)="L",1,2)</f>
        <v>2</v>
      </c>
      <c r="J50" s="148">
        <v>3</v>
      </c>
      <c r="K50" s="148" t="str">
        <f>(G50&amp;H50&amp;I50&amp;"."&amp;J50)</f>
        <v>212.3</v>
      </c>
      <c r="L50" s="182">
        <v>0.52152777777777781</v>
      </c>
      <c r="M50" s="150">
        <v>43.9</v>
      </c>
      <c r="N50" s="151"/>
      <c r="O50" s="152"/>
      <c r="P50" s="153"/>
      <c r="Q50" s="145" t="s">
        <v>405</v>
      </c>
      <c r="R50" s="146">
        <v>66.7</v>
      </c>
      <c r="S50" s="170"/>
      <c r="T50" s="170"/>
      <c r="U50" s="170"/>
      <c r="V50" s="170"/>
    </row>
    <row r="51" spans="2:22">
      <c r="B51" s="171"/>
      <c r="C51" s="171"/>
      <c r="D51" s="171"/>
      <c r="E51" s="171"/>
      <c r="F51" s="171"/>
      <c r="G51" s="121"/>
      <c r="H51" s="121"/>
      <c r="I51" s="121"/>
      <c r="J51" s="171"/>
      <c r="K51" s="171"/>
      <c r="L51" s="123"/>
      <c r="M51" s="123"/>
      <c r="N51" s="123"/>
      <c r="O51" s="123"/>
      <c r="P51" s="123"/>
      <c r="Q51" s="123"/>
      <c r="R51" s="123"/>
      <c r="S51" s="170"/>
      <c r="T51" s="170"/>
      <c r="U51" s="170"/>
      <c r="V51" s="170"/>
    </row>
    <row r="52" spans="2:22">
      <c r="B52" s="171"/>
      <c r="C52" s="171"/>
      <c r="D52" s="171"/>
      <c r="E52" s="181"/>
      <c r="F52" s="171"/>
      <c r="G52" s="121"/>
      <c r="H52" s="121"/>
      <c r="I52" s="121"/>
      <c r="J52" s="171"/>
      <c r="K52" s="171"/>
      <c r="L52" s="123"/>
      <c r="M52" s="123"/>
      <c r="N52" s="123"/>
      <c r="O52" s="123"/>
      <c r="P52" s="123"/>
      <c r="Q52" s="123"/>
      <c r="R52" s="123"/>
      <c r="S52" s="170"/>
      <c r="T52" s="170"/>
      <c r="U52" s="170"/>
      <c r="V52" s="170"/>
    </row>
    <row r="53" spans="2:22">
      <c r="B53" s="171"/>
      <c r="C53" s="171"/>
      <c r="D53" s="171"/>
      <c r="E53" s="171"/>
      <c r="F53" s="171"/>
      <c r="G53" s="121"/>
      <c r="H53" s="121"/>
      <c r="I53" s="121"/>
      <c r="J53" s="171"/>
      <c r="K53" s="171"/>
      <c r="L53" s="123"/>
      <c r="M53" s="123"/>
      <c r="N53" s="123"/>
      <c r="O53" s="123"/>
      <c r="P53" s="123"/>
      <c r="Q53" s="123"/>
      <c r="R53" s="123"/>
      <c r="S53" s="170"/>
      <c r="T53" s="170"/>
      <c r="U53" s="170"/>
      <c r="V53" s="170"/>
    </row>
    <row r="54" spans="2:22">
      <c r="B54" s="171"/>
      <c r="C54" s="171"/>
      <c r="D54" s="171"/>
      <c r="E54" s="181"/>
      <c r="F54" s="171"/>
      <c r="G54" s="121"/>
      <c r="H54" s="121"/>
      <c r="I54" s="121"/>
      <c r="J54" s="171"/>
      <c r="K54" s="171"/>
      <c r="L54" s="123"/>
      <c r="M54" s="123"/>
      <c r="N54" s="123"/>
      <c r="O54" s="123"/>
      <c r="P54" s="123"/>
      <c r="Q54" s="123"/>
      <c r="R54" s="123"/>
      <c r="S54" s="170"/>
      <c r="T54" s="170"/>
      <c r="U54" s="170"/>
      <c r="V54" s="170"/>
    </row>
    <row r="55" spans="2:22">
      <c r="B55" s="171"/>
      <c r="C55" s="171"/>
      <c r="D55" s="171"/>
      <c r="E55" s="171"/>
      <c r="F55" s="171"/>
      <c r="G55" s="121"/>
      <c r="H55" s="121"/>
      <c r="I55" s="121"/>
      <c r="J55" s="171"/>
      <c r="K55" s="171"/>
      <c r="L55" s="123"/>
      <c r="M55" s="123"/>
      <c r="N55" s="123"/>
      <c r="O55" s="123"/>
      <c r="P55" s="123"/>
      <c r="Q55" s="123"/>
      <c r="R55" s="123"/>
      <c r="S55" s="170"/>
      <c r="T55" s="170"/>
      <c r="U55" s="170"/>
      <c r="V55" s="170"/>
    </row>
    <row r="56" spans="2:22">
      <c r="B56" s="171"/>
      <c r="C56" s="171"/>
      <c r="D56" s="171"/>
      <c r="E56" s="181"/>
      <c r="F56" s="171"/>
      <c r="G56" s="121"/>
      <c r="H56" s="121"/>
      <c r="I56" s="121"/>
      <c r="J56" s="171"/>
      <c r="K56" s="171"/>
      <c r="L56" s="123"/>
      <c r="M56" s="123"/>
      <c r="N56" s="123"/>
      <c r="O56" s="123"/>
      <c r="P56" s="123"/>
      <c r="Q56" s="123"/>
      <c r="R56" s="123"/>
      <c r="S56" s="170"/>
      <c r="T56" s="170"/>
      <c r="U56" s="170"/>
      <c r="V56" s="170"/>
    </row>
    <row r="57" spans="2:22">
      <c r="B57" s="171"/>
      <c r="C57" s="171"/>
      <c r="D57" s="171"/>
      <c r="E57" s="171"/>
      <c r="F57" s="171"/>
      <c r="G57" s="121"/>
      <c r="H57" s="121"/>
      <c r="I57" s="121"/>
      <c r="J57" s="171"/>
      <c r="K57" s="171"/>
      <c r="L57" s="123"/>
      <c r="M57" s="123"/>
      <c r="N57" s="123"/>
      <c r="O57" s="123"/>
      <c r="P57" s="123"/>
      <c r="Q57" s="123"/>
      <c r="R57" s="123"/>
      <c r="S57" s="170"/>
      <c r="T57" s="170"/>
      <c r="U57" s="170"/>
      <c r="V57" s="170"/>
    </row>
    <row r="58" spans="2:22">
      <c r="B58" s="171"/>
      <c r="C58" s="171"/>
      <c r="D58" s="171"/>
      <c r="E58" s="181"/>
      <c r="F58" s="171"/>
      <c r="G58" s="121"/>
      <c r="H58" s="121"/>
      <c r="I58" s="121"/>
      <c r="J58" s="171"/>
      <c r="K58" s="171"/>
      <c r="L58" s="123"/>
      <c r="M58" s="123"/>
      <c r="N58" s="123"/>
      <c r="O58" s="123"/>
      <c r="P58" s="123"/>
      <c r="Q58" s="123"/>
      <c r="R58" s="123"/>
    </row>
  </sheetData>
  <mergeCells count="8">
    <mergeCell ref="N10:R10"/>
    <mergeCell ref="Q11:R11"/>
    <mergeCell ref="Q41:R41"/>
    <mergeCell ref="D4:E4"/>
    <mergeCell ref="Q7:R7"/>
    <mergeCell ref="Q8:R8"/>
    <mergeCell ref="F7:O7"/>
    <mergeCell ref="F8:O8"/>
  </mergeCells>
  <pageMargins left="0.23" right="0" top="0.85" bottom="0.57999999999999996" header="0.43" footer="0"/>
  <pageSetup paperSize="512" scale="110" orientation="portrait" r:id="rId2"/>
  <headerFooter alignWithMargins="0">
    <oddHeader xml:space="preserve">&amp;L&amp;"Comic Sans MS,Bold"&amp;14FISE2002 ---SPAD Readings in target area &amp;10(12 rdgs. per plot)&amp;C&amp;"Comic Sans MS,Bold"&amp;12       </oddHeader>
    <oddFooter>&amp;L&amp;F  &amp;A
  USWCL Remote Sensing &amp;"Arial,Italic"&amp;8(PJPinter 602-437-1702 x230)&amp;R&amp;D</oddFooter>
  </headerFooter>
  <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B1CC1-1BFE-4827-8677-AB82F1170E98}">
  <dimension ref="A2:BW58"/>
  <sheetViews>
    <sheetView topLeftCell="A3" zoomScaleNormal="100" workbookViewId="0">
      <selection activeCell="U12" sqref="U12"/>
    </sheetView>
  </sheetViews>
  <sheetFormatPr defaultRowHeight="12.75"/>
  <cols>
    <col min="1" max="1" width="9.140625" style="122"/>
    <col min="2" max="2" width="3.7109375" style="122" hidden="1" customWidth="1"/>
    <col min="3" max="3" width="5.140625" style="122" hidden="1" customWidth="1"/>
    <col min="4" max="4" width="4.85546875" style="122" customWidth="1"/>
    <col min="5" max="5" width="5.7109375" style="122" customWidth="1"/>
    <col min="6" max="6" width="5.28515625" style="122" customWidth="1"/>
    <col min="7" max="9" width="5.28515625" style="122" hidden="1" customWidth="1"/>
    <col min="10" max="10" width="5.28515625" style="122" customWidth="1"/>
    <col min="11" max="11" width="7" style="122" hidden="1" customWidth="1"/>
    <col min="12" max="19" width="9.140625" style="122"/>
    <col min="20" max="20" width="11.7109375" style="122" customWidth="1"/>
    <col min="21" max="21" width="7.140625" style="122" customWidth="1"/>
    <col min="22" max="22" width="11.7109375" style="122" customWidth="1"/>
    <col min="23" max="23" width="9.140625" style="122"/>
    <col min="24" max="24" width="7.5703125" style="122" customWidth="1"/>
    <col min="25" max="34" width="7.7109375" style="122" customWidth="1"/>
    <col min="35" max="16384" width="9.140625" style="122"/>
  </cols>
  <sheetData>
    <row r="2" spans="1:75" ht="22.5">
      <c r="A2" s="177" t="s">
        <v>429</v>
      </c>
    </row>
    <row r="4" spans="1:75" ht="22.5">
      <c r="A4" s="177" t="s">
        <v>428</v>
      </c>
      <c r="D4" s="201">
        <v>242</v>
      </c>
      <c r="E4" s="201"/>
    </row>
    <row r="6" spans="1:75" ht="15" customHeight="1" thickBot="1">
      <c r="B6" s="123"/>
      <c r="C6" s="123"/>
      <c r="D6" s="123" t="s">
        <v>427</v>
      </c>
      <c r="E6" s="123"/>
      <c r="P6" s="123" t="s">
        <v>426</v>
      </c>
      <c r="R6" s="124">
        <v>1064</v>
      </c>
    </row>
    <row r="7" spans="1:75" ht="15" customHeight="1" thickBot="1">
      <c r="A7" s="123"/>
      <c r="B7" s="123"/>
      <c r="C7" s="123"/>
      <c r="D7" s="123" t="s">
        <v>336</v>
      </c>
      <c r="E7" s="123"/>
      <c r="F7" s="199" t="s">
        <v>447</v>
      </c>
      <c r="G7" s="199"/>
      <c r="H7" s="199"/>
      <c r="I7" s="199"/>
      <c r="J7" s="199"/>
      <c r="K7" s="199"/>
      <c r="L7" s="199"/>
      <c r="M7" s="199"/>
      <c r="N7" s="199"/>
      <c r="O7" s="199"/>
      <c r="P7" s="125" t="s">
        <v>358</v>
      </c>
      <c r="Q7" s="200">
        <v>37497</v>
      </c>
      <c r="R7" s="199"/>
      <c r="U7" s="171"/>
      <c r="V7" s="171"/>
      <c r="W7" s="171"/>
      <c r="X7" s="171"/>
    </row>
    <row r="8" spans="1:75" ht="13.5" thickBot="1">
      <c r="F8" s="198" t="s">
        <v>446</v>
      </c>
      <c r="G8" s="198"/>
      <c r="H8" s="198"/>
      <c r="I8" s="198"/>
      <c r="J8" s="198"/>
      <c r="K8" s="198"/>
      <c r="L8" s="198"/>
      <c r="M8" s="198"/>
      <c r="N8" s="198"/>
      <c r="O8" s="198"/>
      <c r="P8" s="125" t="s">
        <v>350</v>
      </c>
      <c r="Q8" s="198" t="s">
        <v>423</v>
      </c>
      <c r="R8" s="198"/>
      <c r="T8" s="172" t="s">
        <v>332</v>
      </c>
      <c r="U8" s="173" t="s">
        <v>372</v>
      </c>
      <c r="V8" s="170"/>
      <c r="W8" s="170"/>
      <c r="X8" s="170"/>
    </row>
    <row r="9" spans="1:75" ht="13.5" thickBot="1">
      <c r="T9" s="172" t="s">
        <v>331</v>
      </c>
      <c r="U9" s="173" t="s">
        <v>372</v>
      </c>
      <c r="V9" s="170"/>
      <c r="W9" s="170"/>
      <c r="X9" s="170"/>
    </row>
    <row r="10" spans="1:75" ht="25.5" customHeight="1" thickBot="1">
      <c r="B10" s="127"/>
      <c r="C10" s="128"/>
      <c r="D10" s="197" t="s">
        <v>0</v>
      </c>
      <c r="E10" s="129" t="s">
        <v>305</v>
      </c>
      <c r="F10" s="129" t="s">
        <v>333</v>
      </c>
      <c r="G10" s="130" t="s">
        <v>332</v>
      </c>
      <c r="H10" s="129" t="s">
        <v>331</v>
      </c>
      <c r="I10" s="130" t="s">
        <v>330</v>
      </c>
      <c r="J10" s="130" t="s">
        <v>329</v>
      </c>
      <c r="K10" s="130" t="s">
        <v>328</v>
      </c>
      <c r="L10" s="131" t="s">
        <v>422</v>
      </c>
      <c r="M10" s="132" t="s">
        <v>421</v>
      </c>
      <c r="N10" s="196" t="s">
        <v>420</v>
      </c>
      <c r="O10" s="195"/>
      <c r="P10" s="195"/>
      <c r="Q10" s="195"/>
      <c r="R10" s="194"/>
      <c r="X10" s="193"/>
      <c r="Y10" s="193"/>
      <c r="Z10" s="193"/>
      <c r="AA10" s="193"/>
      <c r="AB10" s="193"/>
      <c r="AC10" s="193"/>
      <c r="AD10" s="193"/>
      <c r="AE10" s="193"/>
      <c r="AF10" s="193"/>
      <c r="AG10" s="193"/>
      <c r="AH10" s="193"/>
    </row>
    <row r="11" spans="1:75" ht="13.35" customHeight="1" thickBot="1">
      <c r="B11" s="133"/>
      <c r="C11" s="134"/>
      <c r="D11" s="135">
        <v>108</v>
      </c>
      <c r="E11" s="136" t="s">
        <v>8</v>
      </c>
      <c r="F11" s="136">
        <v>3</v>
      </c>
      <c r="G11" s="62">
        <f>IF(LEFT(E11,1)="F",1,2)</f>
        <v>1</v>
      </c>
      <c r="H11" s="62">
        <f>IF(MID(E11,2,1)="S",1,IF(MID(E11,2,1)="T",2,IF(MID(E11,2,1)="D",3,0)))</f>
        <v>2</v>
      </c>
      <c r="I11" s="62">
        <f>IF(RIGHT(E11,1)="L",1,2)</f>
        <v>2</v>
      </c>
      <c r="J11" s="136">
        <v>2</v>
      </c>
      <c r="K11" s="136" t="str">
        <f>(G11&amp;H11&amp;I11&amp;"."&amp;J11)</f>
        <v>122.2</v>
      </c>
      <c r="L11" s="182">
        <v>0.45763888888888887</v>
      </c>
      <c r="M11" s="137">
        <v>39.5</v>
      </c>
      <c r="N11" s="138"/>
      <c r="O11" s="139"/>
      <c r="P11" s="139"/>
      <c r="Q11" s="185" t="s">
        <v>419</v>
      </c>
      <c r="R11" s="184"/>
      <c r="S11" s="170"/>
      <c r="T11" s="209"/>
      <c r="U11" s="180" t="s">
        <v>445</v>
      </c>
      <c r="V11" s="208"/>
      <c r="AA11" s="186"/>
      <c r="AB11" s="186"/>
      <c r="AC11" s="186"/>
      <c r="AD11" s="186"/>
      <c r="AE11" s="186"/>
      <c r="AF11" s="186"/>
      <c r="AG11" s="186"/>
      <c r="AH11" s="186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</row>
    <row r="12" spans="1:75" ht="13.35" customHeight="1" thickBot="1">
      <c r="B12" s="133"/>
      <c r="C12" s="134"/>
      <c r="D12" s="140">
        <v>107</v>
      </c>
      <c r="E12" s="133" t="s">
        <v>6</v>
      </c>
      <c r="F12" s="133">
        <v>10</v>
      </c>
      <c r="G12" s="56">
        <f>IF(LEFT(E12,1)="F",1,2)</f>
        <v>2</v>
      </c>
      <c r="H12" s="56">
        <f>IF(MID(E12,2,1)="S",1,IF(MID(E12,2,1)="T",2,IF(MID(E12,2,1)="D",3,0)))</f>
        <v>2</v>
      </c>
      <c r="I12" s="56">
        <f>IF(RIGHT(E12,1)="L",1,2)</f>
        <v>1</v>
      </c>
      <c r="J12" s="133">
        <v>2</v>
      </c>
      <c r="K12" s="133" t="str">
        <f>(G12&amp;H12&amp;I12&amp;"."&amp;J12)</f>
        <v>221.2</v>
      </c>
      <c r="L12" s="141"/>
      <c r="M12" s="134">
        <v>39.6</v>
      </c>
      <c r="N12" s="142"/>
      <c r="O12" s="143"/>
      <c r="P12" s="144"/>
      <c r="Q12" s="145" t="s">
        <v>413</v>
      </c>
      <c r="R12" s="146">
        <v>4.5</v>
      </c>
      <c r="S12" s="170"/>
      <c r="T12" s="180" t="s">
        <v>330</v>
      </c>
      <c r="U12" s="207" t="s">
        <v>418</v>
      </c>
      <c r="V12" s="207" t="s">
        <v>417</v>
      </c>
      <c r="AA12" s="186"/>
      <c r="AB12" s="186"/>
      <c r="AC12" s="186"/>
      <c r="AD12" s="186"/>
      <c r="AE12" s="186"/>
      <c r="AF12" s="186"/>
      <c r="AG12" s="186"/>
      <c r="AH12" s="186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</row>
    <row r="13" spans="1:75" ht="13.35" customHeight="1" thickBot="1">
      <c r="B13" s="133"/>
      <c r="C13" s="134"/>
      <c r="D13" s="140">
        <v>106</v>
      </c>
      <c r="E13" s="133" t="s">
        <v>7</v>
      </c>
      <c r="F13" s="133">
        <v>9</v>
      </c>
      <c r="G13" s="56">
        <f>IF(LEFT(E13,1)="F",1,2)</f>
        <v>2</v>
      </c>
      <c r="H13" s="56">
        <f>IF(MID(E13,2,1)="S",1,IF(MID(E13,2,1)="T",2,IF(MID(E13,2,1)="D",3,0)))</f>
        <v>2</v>
      </c>
      <c r="I13" s="56">
        <f>IF(RIGHT(E13,1)="L",1,2)</f>
        <v>2</v>
      </c>
      <c r="J13" s="133">
        <v>2</v>
      </c>
      <c r="K13" s="133" t="str">
        <f>(G13&amp;H13&amp;I13&amp;"."&amp;J13)</f>
        <v>222.2</v>
      </c>
      <c r="L13" s="141"/>
      <c r="M13" s="134">
        <v>43.1</v>
      </c>
      <c r="N13" s="142"/>
      <c r="O13" s="143"/>
      <c r="P13" s="144"/>
      <c r="Q13" s="145" t="s">
        <v>412</v>
      </c>
      <c r="R13" s="146">
        <v>12</v>
      </c>
      <c r="S13" s="170"/>
      <c r="T13" s="206">
        <v>1</v>
      </c>
      <c r="U13" s="122">
        <v>16</v>
      </c>
      <c r="V13" s="38">
        <v>40.618749999999999</v>
      </c>
      <c r="AA13" s="171"/>
      <c r="AB13" s="171"/>
      <c r="AC13" s="171"/>
      <c r="AD13" s="171"/>
      <c r="AE13" s="171"/>
      <c r="AF13" s="171"/>
      <c r="AG13" s="171"/>
      <c r="AH13" s="171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</row>
    <row r="14" spans="1:75" ht="13.35" customHeight="1" thickBot="1">
      <c r="B14" s="133"/>
      <c r="C14" s="134"/>
      <c r="D14" s="140">
        <v>105</v>
      </c>
      <c r="E14" s="133" t="s">
        <v>10</v>
      </c>
      <c r="F14" s="133">
        <v>12</v>
      </c>
      <c r="G14" s="56">
        <f>IF(LEFT(E14,1)="F",1,2)</f>
        <v>2</v>
      </c>
      <c r="H14" s="56">
        <f>IF(MID(E14,2,1)="S",1,IF(MID(E14,2,1)="T",2,IF(MID(E14,2,1)="D",3,0)))</f>
        <v>3</v>
      </c>
      <c r="I14" s="56">
        <f>IF(RIGHT(E14,1)="L",1,2)</f>
        <v>1</v>
      </c>
      <c r="J14" s="133">
        <v>2</v>
      </c>
      <c r="K14" s="133" t="str">
        <f>(G14&amp;H14&amp;I14&amp;"."&amp;J14)</f>
        <v>231.2</v>
      </c>
      <c r="L14" s="141"/>
      <c r="M14" s="134">
        <v>37.9</v>
      </c>
      <c r="N14" s="142" t="s">
        <v>444</v>
      </c>
      <c r="O14" s="143"/>
      <c r="P14" s="144"/>
      <c r="Q14" s="145" t="s">
        <v>411</v>
      </c>
      <c r="R14" s="146">
        <v>19.5</v>
      </c>
      <c r="S14" s="170"/>
      <c r="T14" s="206">
        <v>2</v>
      </c>
      <c r="U14" s="122">
        <v>20</v>
      </c>
      <c r="V14" s="38">
        <v>42.954999999999998</v>
      </c>
      <c r="AA14" s="171"/>
      <c r="AB14" s="171"/>
      <c r="AC14" s="171"/>
      <c r="AD14" s="171"/>
      <c r="AE14" s="171"/>
      <c r="AF14" s="171"/>
      <c r="AG14" s="171"/>
      <c r="AH14" s="171"/>
    </row>
    <row r="15" spans="1:75" ht="13.35" customHeight="1" thickBot="1">
      <c r="B15" s="133"/>
      <c r="C15" s="134"/>
      <c r="D15" s="140">
        <v>104</v>
      </c>
      <c r="E15" s="133" t="s">
        <v>6</v>
      </c>
      <c r="F15" s="133">
        <v>10</v>
      </c>
      <c r="G15" s="56">
        <f>IF(LEFT(E15,1)="F",1,2)</f>
        <v>2</v>
      </c>
      <c r="H15" s="56">
        <f>IF(MID(E15,2,1)="S",1,IF(MID(E15,2,1)="T",2,IF(MID(E15,2,1)="D",3,0)))</f>
        <v>2</v>
      </c>
      <c r="I15" s="56">
        <f>IF(RIGHT(E15,1)="L",1,2)</f>
        <v>1</v>
      </c>
      <c r="J15" s="133">
        <v>1</v>
      </c>
      <c r="K15" s="133" t="str">
        <f>(G15&amp;H15&amp;I15&amp;"."&amp;J15)</f>
        <v>221.1</v>
      </c>
      <c r="L15" s="141"/>
      <c r="M15" s="134">
        <v>38.299999999999997</v>
      </c>
      <c r="N15" s="142"/>
      <c r="O15" s="143"/>
      <c r="P15" s="144"/>
      <c r="Q15" s="145" t="s">
        <v>410</v>
      </c>
      <c r="R15" s="146">
        <v>26.9</v>
      </c>
      <c r="S15" s="170"/>
      <c r="T15" s="205" t="s">
        <v>312</v>
      </c>
      <c r="U15" s="204">
        <v>36</v>
      </c>
      <c r="V15" s="203">
        <v>41.916666666666664</v>
      </c>
      <c r="AA15" s="171"/>
      <c r="AB15" s="171"/>
      <c r="AC15" s="171"/>
      <c r="AD15" s="171"/>
      <c r="AE15" s="171"/>
      <c r="AF15" s="171"/>
      <c r="AG15" s="171"/>
      <c r="AH15" s="171"/>
    </row>
    <row r="16" spans="1:75" ht="13.35" customHeight="1" thickBot="1">
      <c r="B16" s="133"/>
      <c r="C16" s="134"/>
      <c r="D16" s="140">
        <v>103</v>
      </c>
      <c r="E16" s="133" t="s">
        <v>5</v>
      </c>
      <c r="F16" s="133">
        <v>5</v>
      </c>
      <c r="G16" s="56">
        <f>IF(LEFT(E16,1)="F",1,2)</f>
        <v>1</v>
      </c>
      <c r="H16" s="56">
        <f>IF(MID(E16,2,1)="S",1,IF(MID(E16,2,1)="T",2,IF(MID(E16,2,1)="D",3,0)))</f>
        <v>3</v>
      </c>
      <c r="I16" s="56">
        <f>IF(RIGHT(E16,1)="L",1,2)</f>
        <v>2</v>
      </c>
      <c r="J16" s="133">
        <v>1</v>
      </c>
      <c r="K16" s="133" t="str">
        <f>(G16&amp;H16&amp;I16&amp;"."&amp;J16)</f>
        <v>132.1</v>
      </c>
      <c r="L16" s="141"/>
      <c r="M16" s="134">
        <v>38</v>
      </c>
      <c r="N16" s="142"/>
      <c r="O16" s="143"/>
      <c r="P16" s="144"/>
      <c r="Q16" s="145" t="s">
        <v>409</v>
      </c>
      <c r="R16" s="146">
        <v>34.1</v>
      </c>
      <c r="S16" s="170"/>
    </row>
    <row r="17" spans="2:34" ht="13.35" customHeight="1" thickBot="1">
      <c r="B17" s="133"/>
      <c r="C17" s="134"/>
      <c r="D17" s="140">
        <v>102</v>
      </c>
      <c r="E17" s="133" t="s">
        <v>4</v>
      </c>
      <c r="F17" s="133">
        <v>4</v>
      </c>
      <c r="G17" s="56">
        <f>IF(LEFT(E17,1)="F",1,2)</f>
        <v>1</v>
      </c>
      <c r="H17" s="56">
        <f>IF(MID(E17,2,1)="S",1,IF(MID(E17,2,1)="T",2,IF(MID(E17,2,1)="D",3,0)))</f>
        <v>2</v>
      </c>
      <c r="I17" s="56">
        <f>IF(RIGHT(E17,1)="L",1,2)</f>
        <v>1</v>
      </c>
      <c r="J17" s="133">
        <v>1</v>
      </c>
      <c r="K17" s="133" t="str">
        <f>(G17&amp;H17&amp;I17&amp;"."&amp;J17)</f>
        <v>121.1</v>
      </c>
      <c r="L17" s="141"/>
      <c r="M17" s="134">
        <v>37.4</v>
      </c>
      <c r="N17" s="142"/>
      <c r="O17" s="143"/>
      <c r="P17" s="144"/>
      <c r="Q17" s="145" t="s">
        <v>408</v>
      </c>
      <c r="R17" s="146">
        <v>41.7</v>
      </c>
      <c r="S17" s="170"/>
      <c r="AA17" s="186"/>
      <c r="AB17" s="186"/>
      <c r="AC17" s="186"/>
      <c r="AD17" s="186"/>
      <c r="AE17" s="186"/>
      <c r="AF17" s="186"/>
      <c r="AG17" s="186"/>
      <c r="AH17" s="186"/>
    </row>
    <row r="18" spans="2:34" ht="13.35" customHeight="1" thickBot="1">
      <c r="B18" s="133"/>
      <c r="C18" s="134"/>
      <c r="D18" s="147">
        <v>101</v>
      </c>
      <c r="E18" s="50" t="s">
        <v>3</v>
      </c>
      <c r="F18" s="50">
        <v>1</v>
      </c>
      <c r="G18" s="50">
        <f>IF(LEFT(E18,1)="F",1,2)</f>
        <v>1</v>
      </c>
      <c r="H18" s="50">
        <f>IF(MID(E18,2,1)="S",1,IF(MID(E18,2,1)="T",2,IF(MID(E18,2,1)="D",3,0)))</f>
        <v>1</v>
      </c>
      <c r="I18" s="50">
        <f>IF(RIGHT(E18,1)="L",1,2)</f>
        <v>2</v>
      </c>
      <c r="J18" s="148">
        <v>1</v>
      </c>
      <c r="K18" s="148" t="str">
        <f>(G18&amp;H18&amp;I18&amp;"."&amp;J18)</f>
        <v>112.1</v>
      </c>
      <c r="L18" s="149"/>
      <c r="M18" s="150">
        <v>42.9</v>
      </c>
      <c r="N18" s="151"/>
      <c r="O18" s="152"/>
      <c r="P18" s="153"/>
      <c r="Q18" s="145" t="s">
        <v>407</v>
      </c>
      <c r="R18" s="146">
        <v>48.8</v>
      </c>
      <c r="S18" s="170"/>
      <c r="AA18" s="186"/>
      <c r="AB18" s="186"/>
      <c r="AC18" s="186"/>
      <c r="AD18" s="186"/>
      <c r="AE18" s="186"/>
      <c r="AF18" s="186"/>
      <c r="AG18" s="186"/>
      <c r="AH18" s="186"/>
    </row>
    <row r="19" spans="2:34" ht="13.35" customHeight="1" thickBot="1">
      <c r="B19" s="133"/>
      <c r="C19" s="134"/>
      <c r="D19" s="135">
        <v>201</v>
      </c>
      <c r="E19" s="136" t="s">
        <v>10</v>
      </c>
      <c r="F19" s="136">
        <v>12</v>
      </c>
      <c r="G19" s="62">
        <f>IF(LEFT(E19,1)="F",1,2)</f>
        <v>2</v>
      </c>
      <c r="H19" s="62">
        <f>IF(MID(E19,2,1)="S",1,IF(MID(E19,2,1)="T",2,IF(MID(E19,2,1)="D",3,0)))</f>
        <v>3</v>
      </c>
      <c r="I19" s="62">
        <f>IF(RIGHT(E19,1)="L",1,2)</f>
        <v>1</v>
      </c>
      <c r="J19" s="136">
        <v>1</v>
      </c>
      <c r="K19" s="136" t="str">
        <f>(G19&amp;H19&amp;I19&amp;"."&amp;J19)</f>
        <v>231.1</v>
      </c>
      <c r="L19" s="182">
        <v>0.46527777777777773</v>
      </c>
      <c r="M19" s="137">
        <v>39</v>
      </c>
      <c r="N19" s="138" t="s">
        <v>444</v>
      </c>
      <c r="O19" s="139"/>
      <c r="P19" s="139"/>
      <c r="Q19" s="145" t="s">
        <v>406</v>
      </c>
      <c r="R19" s="146">
        <v>56.2</v>
      </c>
      <c r="S19" s="170"/>
      <c r="AA19" s="171"/>
      <c r="AB19" s="171"/>
      <c r="AC19" s="171"/>
      <c r="AD19" s="171"/>
      <c r="AE19" s="171"/>
      <c r="AF19" s="171"/>
      <c r="AG19" s="187"/>
      <c r="AH19" s="187"/>
    </row>
    <row r="20" spans="2:34" ht="13.35" customHeight="1" thickBot="1">
      <c r="B20" s="133"/>
      <c r="C20" s="134"/>
      <c r="D20" s="140">
        <v>202</v>
      </c>
      <c r="E20" s="133" t="s">
        <v>7</v>
      </c>
      <c r="F20" s="133">
        <v>9</v>
      </c>
      <c r="G20" s="56">
        <f>IF(LEFT(E20,1)="F",1,2)</f>
        <v>2</v>
      </c>
      <c r="H20" s="56">
        <f>IF(MID(E20,2,1)="S",1,IF(MID(E20,2,1)="T",2,IF(MID(E20,2,1)="D",3,0)))</f>
        <v>2</v>
      </c>
      <c r="I20" s="56">
        <f>IF(RIGHT(E20,1)="L",1,2)</f>
        <v>2</v>
      </c>
      <c r="J20" s="133">
        <v>1</v>
      </c>
      <c r="K20" s="133" t="str">
        <f>(G20&amp;H20&amp;I20&amp;"."&amp;J20)</f>
        <v>222.1</v>
      </c>
      <c r="L20" s="154"/>
      <c r="M20" s="134">
        <v>42.1</v>
      </c>
      <c r="N20" s="142"/>
      <c r="O20" s="143"/>
      <c r="P20" s="144"/>
      <c r="Q20" s="145" t="s">
        <v>405</v>
      </c>
      <c r="R20" s="146">
        <v>66.900000000000006</v>
      </c>
      <c r="S20" s="170"/>
      <c r="AA20" s="171"/>
      <c r="AB20" s="171"/>
      <c r="AC20" s="171"/>
      <c r="AD20" s="171"/>
      <c r="AE20" s="171"/>
      <c r="AF20" s="171"/>
      <c r="AG20" s="171"/>
      <c r="AH20" s="171"/>
    </row>
    <row r="21" spans="2:34" ht="13.35" customHeight="1">
      <c r="B21" s="133"/>
      <c r="C21" s="134"/>
      <c r="D21" s="140">
        <v>203</v>
      </c>
      <c r="E21" s="133" t="s">
        <v>8</v>
      </c>
      <c r="F21" s="133">
        <v>3</v>
      </c>
      <c r="G21" s="56">
        <f>IF(LEFT(E21,1)="F",1,2)</f>
        <v>1</v>
      </c>
      <c r="H21" s="56">
        <f>IF(MID(E21,2,1)="S",1,IF(MID(E21,2,1)="T",2,IF(MID(E21,2,1)="D",3,0)))</f>
        <v>2</v>
      </c>
      <c r="I21" s="56">
        <f>IF(RIGHT(E21,1)="L",1,2)</f>
        <v>2</v>
      </c>
      <c r="J21" s="133">
        <v>1</v>
      </c>
      <c r="K21" s="133" t="str">
        <f>(G21&amp;H21&amp;I21&amp;"."&amp;J21)</f>
        <v>122.1</v>
      </c>
      <c r="L21" s="141"/>
      <c r="M21" s="134">
        <v>41.4</v>
      </c>
      <c r="N21" s="142"/>
      <c r="O21" s="143"/>
      <c r="P21" s="144"/>
      <c r="Q21" s="144"/>
      <c r="R21" s="155"/>
      <c r="S21" s="170"/>
      <c r="AA21" s="171"/>
      <c r="AB21" s="171"/>
      <c r="AC21" s="171"/>
      <c r="AD21" s="171"/>
      <c r="AE21" s="171"/>
      <c r="AF21" s="171"/>
      <c r="AG21" s="171"/>
      <c r="AH21" s="171"/>
    </row>
    <row r="22" spans="2:34" ht="13.35" customHeight="1">
      <c r="B22" s="133"/>
      <c r="C22" s="134"/>
      <c r="D22" s="140">
        <v>204</v>
      </c>
      <c r="E22" s="133" t="s">
        <v>11</v>
      </c>
      <c r="F22" s="133">
        <v>11</v>
      </c>
      <c r="G22" s="56">
        <f>IF(LEFT(E22,1)="F",1,2)</f>
        <v>2</v>
      </c>
      <c r="H22" s="56">
        <f>IF(MID(E22,2,1)="S",1,IF(MID(E22,2,1)="T",2,IF(MID(E22,2,1)="D",3,0)))</f>
        <v>3</v>
      </c>
      <c r="I22" s="56">
        <f>IF(RIGHT(E22,1)="L",1,2)</f>
        <v>2</v>
      </c>
      <c r="J22" s="133">
        <v>1</v>
      </c>
      <c r="K22" s="133" t="str">
        <f>(G22&amp;H22&amp;I22&amp;"."&amp;J22)</f>
        <v>232.1</v>
      </c>
      <c r="L22" s="141"/>
      <c r="M22" s="134">
        <v>40.4</v>
      </c>
      <c r="N22" s="142"/>
      <c r="O22" s="143"/>
      <c r="P22" s="144"/>
      <c r="Q22" s="144"/>
      <c r="R22" s="155"/>
      <c r="S22" s="170"/>
    </row>
    <row r="23" spans="2:34" ht="13.35" customHeight="1">
      <c r="B23" s="133"/>
      <c r="C23" s="134"/>
      <c r="D23" s="140">
        <v>205</v>
      </c>
      <c r="E23" s="133" t="s">
        <v>3</v>
      </c>
      <c r="F23" s="133">
        <v>1</v>
      </c>
      <c r="G23" s="56">
        <f>IF(LEFT(E23,1)="F",1,2)</f>
        <v>1</v>
      </c>
      <c r="H23" s="56">
        <f>IF(MID(E23,2,1)="S",1,IF(MID(E23,2,1)="T",2,IF(MID(E23,2,1)="D",3,0)))</f>
        <v>1</v>
      </c>
      <c r="I23" s="56">
        <f>IF(RIGHT(E23,1)="L",1,2)</f>
        <v>2</v>
      </c>
      <c r="J23" s="133">
        <v>2</v>
      </c>
      <c r="K23" s="133" t="str">
        <f>(G23&amp;H23&amp;I23&amp;"."&amp;J23)</f>
        <v>112.2</v>
      </c>
      <c r="L23" s="141"/>
      <c r="M23" s="134">
        <v>40.6</v>
      </c>
      <c r="N23" s="142"/>
      <c r="O23" s="143"/>
      <c r="P23" s="144"/>
      <c r="Q23" s="144"/>
      <c r="R23" s="155"/>
      <c r="S23" s="170"/>
      <c r="AA23" s="186"/>
      <c r="AB23" s="186"/>
      <c r="AC23" s="186"/>
      <c r="AD23" s="186"/>
      <c r="AE23" s="186"/>
      <c r="AF23" s="186"/>
      <c r="AG23" s="186"/>
      <c r="AH23" s="186"/>
    </row>
    <row r="24" spans="2:34" ht="13.35" customHeight="1">
      <c r="B24" s="133"/>
      <c r="C24" s="134"/>
      <c r="D24" s="140">
        <v>206</v>
      </c>
      <c r="E24" s="133" t="s">
        <v>12</v>
      </c>
      <c r="F24" s="133">
        <v>8</v>
      </c>
      <c r="G24" s="56">
        <f>IF(LEFT(E24,1)="F",1,2)</f>
        <v>2</v>
      </c>
      <c r="H24" s="56">
        <f>IF(MID(E24,2,1)="S",1,IF(MID(E24,2,1)="T",2,IF(MID(E24,2,1)="D",3,0)))</f>
        <v>1</v>
      </c>
      <c r="I24" s="56">
        <f>IF(RIGHT(E24,1)="L",1,2)</f>
        <v>1</v>
      </c>
      <c r="J24" s="133">
        <v>2</v>
      </c>
      <c r="K24" s="133" t="str">
        <f>(G24&amp;H24&amp;I24&amp;"."&amp;J24)</f>
        <v>211.2</v>
      </c>
      <c r="L24" s="141"/>
      <c r="M24" s="134">
        <v>38.9</v>
      </c>
      <c r="N24" s="142"/>
      <c r="O24" s="143"/>
      <c r="P24" s="144"/>
      <c r="Q24" s="144"/>
      <c r="R24" s="155"/>
      <c r="S24" s="170"/>
      <c r="AA24" s="186"/>
      <c r="AB24" s="186"/>
      <c r="AC24" s="186"/>
      <c r="AD24" s="186"/>
      <c r="AE24" s="186"/>
      <c r="AF24" s="186"/>
      <c r="AG24" s="186"/>
      <c r="AH24" s="186"/>
    </row>
    <row r="25" spans="2:34" ht="13.35" customHeight="1">
      <c r="B25" s="133"/>
      <c r="C25" s="134"/>
      <c r="D25" s="140">
        <v>207</v>
      </c>
      <c r="E25" s="133" t="s">
        <v>4</v>
      </c>
      <c r="F25" s="133">
        <v>4</v>
      </c>
      <c r="G25" s="56">
        <f>IF(LEFT(E25,1)="F",1,2)</f>
        <v>1</v>
      </c>
      <c r="H25" s="56">
        <f>IF(MID(E25,2,1)="S",1,IF(MID(E25,2,1)="T",2,IF(MID(E25,2,1)="D",3,0)))</f>
        <v>2</v>
      </c>
      <c r="I25" s="56">
        <f>IF(RIGHT(E25,1)="L",1,2)</f>
        <v>1</v>
      </c>
      <c r="J25" s="133">
        <v>2</v>
      </c>
      <c r="K25" s="133" t="str">
        <f>(G25&amp;H25&amp;I25&amp;"."&amp;J25)</f>
        <v>121.2</v>
      </c>
      <c r="L25" s="141"/>
      <c r="M25" s="134">
        <v>36.9</v>
      </c>
      <c r="N25" s="142"/>
      <c r="O25" s="143"/>
      <c r="P25" s="144"/>
      <c r="Q25" s="144"/>
      <c r="R25" s="155"/>
      <c r="S25" s="170"/>
      <c r="AA25" s="171"/>
      <c r="AB25" s="171"/>
      <c r="AC25" s="171"/>
      <c r="AD25" s="171"/>
      <c r="AE25" s="171"/>
      <c r="AF25" s="171"/>
      <c r="AG25" s="171"/>
      <c r="AH25" s="171"/>
    </row>
    <row r="26" spans="2:34" ht="13.35" customHeight="1" thickBot="1">
      <c r="B26" s="133"/>
      <c r="C26" s="134"/>
      <c r="D26" s="147">
        <v>208</v>
      </c>
      <c r="E26" s="148" t="s">
        <v>13</v>
      </c>
      <c r="F26" s="148">
        <v>2</v>
      </c>
      <c r="G26" s="50">
        <f>IF(LEFT(E26,1)="F",1,2)</f>
        <v>1</v>
      </c>
      <c r="H26" s="50">
        <f>IF(MID(E26,2,1)="S",1,IF(MID(E26,2,1)="T",2,IF(MID(E26,2,1)="D",3,0)))</f>
        <v>1</v>
      </c>
      <c r="I26" s="50">
        <f>IF(RIGHT(E26,1)="L",1,2)</f>
        <v>1</v>
      </c>
      <c r="J26" s="148">
        <v>2</v>
      </c>
      <c r="K26" s="148" t="str">
        <f>(G26&amp;H26&amp;I26&amp;"."&amp;J26)</f>
        <v>111.2</v>
      </c>
      <c r="L26" s="149"/>
      <c r="M26" s="150">
        <v>40.4</v>
      </c>
      <c r="N26" s="151"/>
      <c r="O26" s="152"/>
      <c r="P26" s="153"/>
      <c r="Q26" s="153"/>
      <c r="R26" s="156"/>
      <c r="S26" s="170"/>
      <c r="X26" s="183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</row>
    <row r="27" spans="2:34" ht="13.35" customHeight="1">
      <c r="B27" s="133"/>
      <c r="C27" s="134"/>
      <c r="D27" s="135">
        <v>908</v>
      </c>
      <c r="E27" s="157" t="s">
        <v>416</v>
      </c>
      <c r="F27" s="136">
        <v>21</v>
      </c>
      <c r="G27" s="62">
        <v>3</v>
      </c>
      <c r="H27" s="62">
        <v>2</v>
      </c>
      <c r="I27" s="62">
        <v>2</v>
      </c>
      <c r="J27" s="136">
        <v>2</v>
      </c>
      <c r="K27" s="136" t="str">
        <f>(G27&amp;H27&amp;I27&amp;"."&amp;J27)</f>
        <v>322.2</v>
      </c>
      <c r="L27" s="182">
        <v>0.47361111111111115</v>
      </c>
      <c r="M27" s="137">
        <v>55.7</v>
      </c>
      <c r="N27" s="138"/>
      <c r="O27" s="139"/>
      <c r="P27" s="139"/>
      <c r="Q27" s="139"/>
      <c r="R27" s="158"/>
      <c r="S27" s="170"/>
      <c r="X27" s="183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</row>
    <row r="28" spans="2:34" ht="13.35" customHeight="1">
      <c r="B28" s="133"/>
      <c r="C28" s="134"/>
      <c r="D28" s="140">
        <v>907</v>
      </c>
      <c r="E28" s="133" t="s">
        <v>17</v>
      </c>
      <c r="F28" s="133">
        <v>31</v>
      </c>
      <c r="G28" s="56">
        <v>8</v>
      </c>
      <c r="H28" s="56">
        <v>0</v>
      </c>
      <c r="I28" s="56">
        <v>1</v>
      </c>
      <c r="J28" s="133">
        <v>2</v>
      </c>
      <c r="K28" s="133" t="str">
        <f>(G28&amp;H28&amp;I28&amp;"."&amp;J28)</f>
        <v>801.2</v>
      </c>
      <c r="L28" s="154"/>
      <c r="M28" s="159"/>
      <c r="N28" s="160"/>
      <c r="O28" s="161"/>
      <c r="P28" s="162"/>
      <c r="Q28" s="162"/>
      <c r="R28" s="163"/>
      <c r="S28" s="170"/>
      <c r="X28" s="183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</row>
    <row r="29" spans="2:34" ht="13.35" customHeight="1">
      <c r="B29" s="133"/>
      <c r="C29" s="134"/>
      <c r="D29" s="140">
        <v>906</v>
      </c>
      <c r="E29" s="164" t="s">
        <v>415</v>
      </c>
      <c r="F29" s="133">
        <v>22</v>
      </c>
      <c r="G29" s="56">
        <v>4</v>
      </c>
      <c r="H29" s="56">
        <v>2</v>
      </c>
      <c r="I29" s="56">
        <v>2</v>
      </c>
      <c r="J29" s="133">
        <v>2</v>
      </c>
      <c r="K29" s="133" t="str">
        <f>(G29&amp;H29&amp;I29&amp;"."&amp;J29)</f>
        <v>422.2</v>
      </c>
      <c r="L29" s="141"/>
      <c r="M29" s="134">
        <v>43.3</v>
      </c>
      <c r="N29" s="142"/>
      <c r="O29" s="143"/>
      <c r="P29" s="144"/>
      <c r="Q29" s="144"/>
      <c r="R29" s="155"/>
      <c r="S29" s="170"/>
      <c r="X29" s="183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</row>
    <row r="30" spans="2:34" ht="13.35" customHeight="1">
      <c r="B30" s="133"/>
      <c r="C30" s="134"/>
      <c r="D30" s="140">
        <v>905</v>
      </c>
      <c r="E30" s="133" t="s">
        <v>16</v>
      </c>
      <c r="F30" s="133">
        <v>32</v>
      </c>
      <c r="G30" s="56">
        <v>9</v>
      </c>
      <c r="H30" s="56">
        <v>0</v>
      </c>
      <c r="I30" s="56">
        <v>1</v>
      </c>
      <c r="J30" s="133">
        <v>2</v>
      </c>
      <c r="K30" s="133" t="str">
        <f>(G30&amp;H30&amp;I30&amp;"."&amp;J30)</f>
        <v>901.2</v>
      </c>
      <c r="L30" s="154"/>
      <c r="M30" s="159"/>
      <c r="N30" s="160"/>
      <c r="O30" s="161"/>
      <c r="P30" s="162"/>
      <c r="Q30" s="162"/>
      <c r="R30" s="163"/>
      <c r="S30" s="170"/>
      <c r="X30" s="183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</row>
    <row r="31" spans="2:34" ht="13.35" customHeight="1">
      <c r="B31" s="133"/>
      <c r="C31" s="134"/>
      <c r="D31" s="140">
        <v>904</v>
      </c>
      <c r="E31" s="164" t="s">
        <v>416</v>
      </c>
      <c r="F31" s="133">
        <v>21</v>
      </c>
      <c r="G31" s="56">
        <v>3</v>
      </c>
      <c r="H31" s="56">
        <v>2</v>
      </c>
      <c r="I31" s="56">
        <v>2</v>
      </c>
      <c r="J31" s="133">
        <v>1</v>
      </c>
      <c r="K31" s="133" t="str">
        <f>(G31&amp;H31&amp;I31&amp;"."&amp;J31)</f>
        <v>322.1</v>
      </c>
      <c r="L31" s="141"/>
      <c r="M31" s="134">
        <v>53.3</v>
      </c>
      <c r="N31" s="142"/>
      <c r="O31" s="143"/>
      <c r="P31" s="144"/>
      <c r="Q31" s="144"/>
      <c r="R31" s="155"/>
      <c r="S31" s="170"/>
      <c r="X31" s="183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</row>
    <row r="32" spans="2:34" ht="13.35" customHeight="1">
      <c r="B32" s="133"/>
      <c r="C32" s="134"/>
      <c r="D32" s="140">
        <v>903</v>
      </c>
      <c r="E32" s="133" t="s">
        <v>17</v>
      </c>
      <c r="F32" s="133">
        <v>31</v>
      </c>
      <c r="G32" s="56">
        <v>8</v>
      </c>
      <c r="H32" s="56">
        <v>0</v>
      </c>
      <c r="I32" s="56">
        <v>1</v>
      </c>
      <c r="J32" s="133">
        <v>1</v>
      </c>
      <c r="K32" s="133" t="str">
        <f>(G32&amp;H32&amp;I32&amp;"."&amp;J32)</f>
        <v>801.1</v>
      </c>
      <c r="L32" s="154"/>
      <c r="M32" s="159"/>
      <c r="N32" s="160"/>
      <c r="O32" s="161"/>
      <c r="P32" s="162"/>
      <c r="Q32" s="162"/>
      <c r="R32" s="163"/>
      <c r="S32" s="170"/>
      <c r="T32" s="170"/>
      <c r="U32" s="170"/>
      <c r="V32" s="170"/>
      <c r="X32" s="183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</row>
    <row r="33" spans="2:34" ht="13.35" customHeight="1">
      <c r="B33" s="133"/>
      <c r="C33" s="134"/>
      <c r="D33" s="140">
        <v>902</v>
      </c>
      <c r="E33" s="164" t="s">
        <v>415</v>
      </c>
      <c r="F33" s="133">
        <v>22</v>
      </c>
      <c r="G33" s="56">
        <v>4</v>
      </c>
      <c r="H33" s="56">
        <v>2</v>
      </c>
      <c r="I33" s="56">
        <v>2</v>
      </c>
      <c r="J33" s="133">
        <v>1</v>
      </c>
      <c r="K33" s="133" t="str">
        <f>(G33&amp;H33&amp;I33&amp;"."&amp;J33)</f>
        <v>422.1</v>
      </c>
      <c r="L33" s="141"/>
      <c r="M33" s="134">
        <v>46.7</v>
      </c>
      <c r="N33" s="142"/>
      <c r="O33" s="143"/>
      <c r="P33" s="144"/>
      <c r="Q33" s="144"/>
      <c r="R33" s="155"/>
      <c r="S33" s="170"/>
      <c r="T33" s="170"/>
      <c r="U33" s="170"/>
      <c r="V33" s="170"/>
      <c r="X33" s="183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</row>
    <row r="34" spans="2:34" ht="13.35" customHeight="1" thickBot="1">
      <c r="B34" s="133"/>
      <c r="C34" s="134"/>
      <c r="D34" s="147">
        <v>901</v>
      </c>
      <c r="E34" s="148" t="s">
        <v>16</v>
      </c>
      <c r="F34" s="148">
        <v>32</v>
      </c>
      <c r="G34" s="50">
        <v>9</v>
      </c>
      <c r="H34" s="50">
        <v>0</v>
      </c>
      <c r="I34" s="50">
        <v>1</v>
      </c>
      <c r="J34" s="148">
        <v>1</v>
      </c>
      <c r="K34" s="148" t="str">
        <f>(G34&amp;H34&amp;I34&amp;"."&amp;J34)</f>
        <v>901.1</v>
      </c>
      <c r="L34" s="154"/>
      <c r="M34" s="165"/>
      <c r="N34" s="166"/>
      <c r="O34" s="167"/>
      <c r="P34" s="168"/>
      <c r="Q34" s="168"/>
      <c r="R34" s="169"/>
      <c r="S34" s="170"/>
      <c r="T34" s="170"/>
      <c r="U34" s="170"/>
      <c r="V34" s="170"/>
      <c r="X34" s="183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</row>
    <row r="35" spans="2:34" ht="13.35" customHeight="1">
      <c r="B35" s="133"/>
      <c r="C35" s="134"/>
      <c r="D35" s="135">
        <v>301</v>
      </c>
      <c r="E35" s="136" t="s">
        <v>6</v>
      </c>
      <c r="F35" s="136">
        <v>10</v>
      </c>
      <c r="G35" s="62">
        <f>IF(LEFT(E35,1)="F",1,2)</f>
        <v>2</v>
      </c>
      <c r="H35" s="62">
        <f>IF(MID(E35,2,1)="S",1,IF(MID(E35,2,1)="T",2,IF(MID(E35,2,1)="D",3,0)))</f>
        <v>2</v>
      </c>
      <c r="I35" s="62">
        <f>IF(RIGHT(E35,1)="L",1,2)</f>
        <v>1</v>
      </c>
      <c r="J35" s="136">
        <v>3</v>
      </c>
      <c r="K35" s="136" t="str">
        <f>(G35&amp;H35&amp;I35&amp;"."&amp;J35)</f>
        <v>221.3</v>
      </c>
      <c r="L35" s="182">
        <v>0.47916666666666669</v>
      </c>
      <c r="M35" s="137">
        <v>39.799999999999997</v>
      </c>
      <c r="N35" s="138"/>
      <c r="O35" s="139"/>
      <c r="P35" s="139"/>
      <c r="Q35" s="139"/>
      <c r="R35" s="158"/>
      <c r="S35" s="170"/>
      <c r="T35" s="170"/>
      <c r="U35" s="170"/>
      <c r="V35" s="170"/>
      <c r="X35" s="183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</row>
    <row r="36" spans="2:34" ht="13.35" customHeight="1">
      <c r="B36" s="133"/>
      <c r="C36" s="134"/>
      <c r="D36" s="140">
        <v>302</v>
      </c>
      <c r="E36" s="133" t="s">
        <v>4</v>
      </c>
      <c r="F36" s="133">
        <v>4</v>
      </c>
      <c r="G36" s="56">
        <f>IF(LEFT(E36,1)="F",1,2)</f>
        <v>1</v>
      </c>
      <c r="H36" s="56">
        <f>IF(MID(E36,2,1)="S",1,IF(MID(E36,2,1)="T",2,IF(MID(E36,2,1)="D",3,0)))</f>
        <v>2</v>
      </c>
      <c r="I36" s="56">
        <f>IF(RIGHT(E36,1)="L",1,2)</f>
        <v>1</v>
      </c>
      <c r="J36" s="133">
        <v>3</v>
      </c>
      <c r="K36" s="133" t="str">
        <f>(G36&amp;H36&amp;I36&amp;"."&amp;J36)</f>
        <v>121.3</v>
      </c>
      <c r="L36" s="154"/>
      <c r="M36" s="134">
        <v>38.6</v>
      </c>
      <c r="N36" s="142"/>
      <c r="O36" s="143"/>
      <c r="P36" s="144"/>
      <c r="Q36" s="144"/>
      <c r="R36" s="155"/>
      <c r="S36" s="170"/>
      <c r="T36" s="170"/>
      <c r="U36" s="170"/>
      <c r="V36" s="170"/>
    </row>
    <row r="37" spans="2:34" ht="13.35" customHeight="1">
      <c r="B37" s="133"/>
      <c r="C37" s="134"/>
      <c r="D37" s="140">
        <v>303</v>
      </c>
      <c r="E37" s="133" t="s">
        <v>12</v>
      </c>
      <c r="F37" s="133">
        <v>8</v>
      </c>
      <c r="G37" s="56">
        <f>IF(LEFT(E37,1)="F",1,2)</f>
        <v>2</v>
      </c>
      <c r="H37" s="56">
        <f>IF(MID(E37,2,1)="S",1,IF(MID(E37,2,1)="T",2,IF(MID(E37,2,1)="D",3,0)))</f>
        <v>1</v>
      </c>
      <c r="I37" s="56">
        <f>IF(RIGHT(E37,1)="L",1,2)</f>
        <v>1</v>
      </c>
      <c r="J37" s="133">
        <v>3</v>
      </c>
      <c r="K37" s="133" t="str">
        <f>(G37&amp;H37&amp;I37&amp;"."&amp;J37)</f>
        <v>211.3</v>
      </c>
      <c r="L37" s="141"/>
      <c r="M37" s="134">
        <v>37.4</v>
      </c>
      <c r="N37" s="142"/>
      <c r="O37" s="143"/>
      <c r="P37" s="144"/>
      <c r="Q37" s="144"/>
      <c r="R37" s="155"/>
      <c r="S37" s="170"/>
      <c r="T37" s="170"/>
      <c r="U37" s="170"/>
      <c r="V37" s="170"/>
      <c r="X37" s="183"/>
      <c r="Y37" s="186"/>
      <c r="Z37" s="186"/>
      <c r="AA37" s="186"/>
      <c r="AB37" s="186"/>
      <c r="AC37" s="186"/>
      <c r="AD37" s="186"/>
      <c r="AE37" s="186"/>
      <c r="AF37" s="186"/>
      <c r="AG37" s="186"/>
      <c r="AH37" s="186"/>
    </row>
    <row r="38" spans="2:34" ht="13.35" customHeight="1">
      <c r="B38" s="133"/>
      <c r="C38" s="134"/>
      <c r="D38" s="140">
        <v>304</v>
      </c>
      <c r="E38" s="133" t="s">
        <v>13</v>
      </c>
      <c r="F38" s="133">
        <v>2</v>
      </c>
      <c r="G38" s="56">
        <f>IF(LEFT(E38,1)="F",1,2)</f>
        <v>1</v>
      </c>
      <c r="H38" s="56">
        <f>IF(MID(E38,2,1)="S",1,IF(MID(E38,2,1)="T",2,IF(MID(E38,2,1)="D",3,0)))</f>
        <v>1</v>
      </c>
      <c r="I38" s="56">
        <f>IF(RIGHT(E38,1)="L",1,2)</f>
        <v>1</v>
      </c>
      <c r="J38" s="133">
        <v>3</v>
      </c>
      <c r="K38" s="133" t="str">
        <f>(G38&amp;H38&amp;I38&amp;"."&amp;J38)</f>
        <v>111.3</v>
      </c>
      <c r="L38" s="141"/>
      <c r="M38" s="134">
        <v>40.4</v>
      </c>
      <c r="N38" s="142"/>
      <c r="O38" s="143"/>
      <c r="P38" s="144"/>
      <c r="Q38" s="144"/>
      <c r="R38" s="155"/>
      <c r="S38" s="170"/>
      <c r="T38" s="170"/>
      <c r="U38" s="170"/>
      <c r="V38" s="170"/>
      <c r="X38" s="183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</row>
    <row r="39" spans="2:34" ht="13.35" customHeight="1">
      <c r="B39" s="133"/>
      <c r="C39" s="134"/>
      <c r="D39" s="140">
        <v>305</v>
      </c>
      <c r="E39" s="133" t="s">
        <v>11</v>
      </c>
      <c r="F39" s="133">
        <v>11</v>
      </c>
      <c r="G39" s="56">
        <f>IF(LEFT(E39,1)="F",1,2)</f>
        <v>2</v>
      </c>
      <c r="H39" s="56">
        <f>IF(MID(E39,2,1)="S",1,IF(MID(E39,2,1)="T",2,IF(MID(E39,2,1)="D",3,0)))</f>
        <v>3</v>
      </c>
      <c r="I39" s="56">
        <f>IF(RIGHT(E39,1)="L",1,2)</f>
        <v>2</v>
      </c>
      <c r="J39" s="133">
        <v>4</v>
      </c>
      <c r="K39" s="133" t="str">
        <f>(G39&amp;H39&amp;I39&amp;"."&amp;J39)</f>
        <v>232.4</v>
      </c>
      <c r="L39" s="141"/>
      <c r="M39" s="134">
        <v>41.1</v>
      </c>
      <c r="N39" s="142"/>
      <c r="O39" s="143"/>
      <c r="P39" s="144"/>
      <c r="Q39" s="144"/>
      <c r="R39" s="155"/>
      <c r="S39" s="170"/>
      <c r="T39" s="170"/>
      <c r="U39" s="170"/>
      <c r="V39" s="170"/>
      <c r="X39" s="183"/>
      <c r="Y39" s="171"/>
      <c r="Z39" s="171"/>
      <c r="AA39" s="171"/>
      <c r="AB39" s="171"/>
      <c r="AC39" s="171"/>
      <c r="AD39" s="171"/>
      <c r="AE39" s="171"/>
      <c r="AF39" s="171"/>
      <c r="AG39" s="187"/>
      <c r="AH39" s="186"/>
    </row>
    <row r="40" spans="2:34" ht="13.35" customHeight="1" thickBot="1">
      <c r="B40" s="133"/>
      <c r="C40" s="134"/>
      <c r="D40" s="140">
        <v>306</v>
      </c>
      <c r="E40" s="133" t="s">
        <v>4</v>
      </c>
      <c r="F40" s="133">
        <v>4</v>
      </c>
      <c r="G40" s="56">
        <f>IF(LEFT(E40,1)="F",1,2)</f>
        <v>1</v>
      </c>
      <c r="H40" s="56">
        <f>IF(MID(E40,2,1)="S",1,IF(MID(E40,2,1)="T",2,IF(MID(E40,2,1)="D",3,0)))</f>
        <v>2</v>
      </c>
      <c r="I40" s="56">
        <f>IF(RIGHT(E40,1)="L",1,2)</f>
        <v>1</v>
      </c>
      <c r="J40" s="133">
        <v>4</v>
      </c>
      <c r="K40" s="133" t="str">
        <f>(G40&amp;H40&amp;I40&amp;"."&amp;J40)</f>
        <v>121.4</v>
      </c>
      <c r="L40" s="141"/>
      <c r="M40" s="134">
        <v>38.1</v>
      </c>
      <c r="N40" s="142"/>
      <c r="O40" s="143"/>
      <c r="P40" s="144"/>
      <c r="Q40" s="144"/>
      <c r="R40" s="155"/>
      <c r="S40" s="170"/>
      <c r="T40" s="170"/>
      <c r="U40" s="170"/>
      <c r="V40" s="170"/>
      <c r="X40" s="183"/>
      <c r="Y40" s="171"/>
      <c r="Z40" s="171"/>
      <c r="AA40" s="171"/>
      <c r="AB40" s="171"/>
      <c r="AC40" s="171"/>
      <c r="AD40" s="171"/>
      <c r="AE40" s="171"/>
      <c r="AF40" s="171"/>
      <c r="AG40" s="171"/>
      <c r="AH40" s="186"/>
    </row>
    <row r="41" spans="2:34" ht="13.35" customHeight="1" thickBot="1">
      <c r="B41" s="133"/>
      <c r="C41" s="134"/>
      <c r="D41" s="140">
        <v>307</v>
      </c>
      <c r="E41" s="133" t="s">
        <v>7</v>
      </c>
      <c r="F41" s="133">
        <v>9</v>
      </c>
      <c r="G41" s="56">
        <f>IF(LEFT(E41,1)="F",1,2)</f>
        <v>2</v>
      </c>
      <c r="H41" s="56">
        <f>IF(MID(E41,2,1)="S",1,IF(MID(E41,2,1)="T",2,IF(MID(E41,2,1)="D",3,0)))</f>
        <v>2</v>
      </c>
      <c r="I41" s="56">
        <f>IF(RIGHT(E41,1)="L",1,2)</f>
        <v>2</v>
      </c>
      <c r="J41" s="133">
        <v>4</v>
      </c>
      <c r="K41" s="133" t="str">
        <f>(G41&amp;H41&amp;I41&amp;"."&amp;J41)</f>
        <v>222.4</v>
      </c>
      <c r="L41" s="141"/>
      <c r="M41" s="134">
        <v>42</v>
      </c>
      <c r="N41" s="142"/>
      <c r="O41" s="143"/>
      <c r="P41" s="144"/>
      <c r="Q41" s="185" t="s">
        <v>414</v>
      </c>
      <c r="R41" s="184"/>
      <c r="S41" s="170"/>
      <c r="T41" s="170"/>
      <c r="U41" s="170"/>
      <c r="V41" s="170"/>
      <c r="X41" s="183"/>
      <c r="Y41" s="171"/>
      <c r="Z41" s="171"/>
      <c r="AA41" s="171"/>
      <c r="AB41" s="171"/>
      <c r="AC41" s="171"/>
      <c r="AD41" s="171"/>
      <c r="AE41" s="171"/>
      <c r="AF41" s="171"/>
      <c r="AG41" s="171"/>
    </row>
    <row r="42" spans="2:34" ht="13.35" customHeight="1" thickBot="1">
      <c r="B42" s="133"/>
      <c r="C42" s="134"/>
      <c r="D42" s="147">
        <v>308</v>
      </c>
      <c r="E42" s="148" t="s">
        <v>5</v>
      </c>
      <c r="F42" s="148">
        <v>5</v>
      </c>
      <c r="G42" s="50">
        <f>IF(LEFT(E42,1)="F",1,2)</f>
        <v>1</v>
      </c>
      <c r="H42" s="50">
        <f>IF(MID(E42,2,1)="S",1,IF(MID(E42,2,1)="T",2,IF(MID(E42,2,1)="D",3,0)))</f>
        <v>3</v>
      </c>
      <c r="I42" s="50">
        <f>IF(RIGHT(E42,1)="L",1,2)</f>
        <v>2</v>
      </c>
      <c r="J42" s="148">
        <v>4</v>
      </c>
      <c r="K42" s="148" t="str">
        <f>(G42&amp;H42&amp;I42&amp;"."&amp;J42)</f>
        <v>132.4</v>
      </c>
      <c r="L42" s="149"/>
      <c r="M42" s="150">
        <v>38.5</v>
      </c>
      <c r="N42" s="151"/>
      <c r="O42" s="152"/>
      <c r="P42" s="153"/>
      <c r="Q42" s="145" t="s">
        <v>413</v>
      </c>
      <c r="R42" s="146">
        <v>3.8</v>
      </c>
      <c r="S42" s="170"/>
      <c r="T42" s="170"/>
      <c r="U42" s="170"/>
      <c r="V42" s="170"/>
    </row>
    <row r="43" spans="2:34" ht="13.35" customHeight="1" thickBot="1">
      <c r="B43" s="133"/>
      <c r="C43" s="134"/>
      <c r="D43" s="135">
        <v>408</v>
      </c>
      <c r="E43" s="136" t="s">
        <v>6</v>
      </c>
      <c r="F43" s="136">
        <v>10</v>
      </c>
      <c r="G43" s="62">
        <f>IF(LEFT(E43,1)="F",1,2)</f>
        <v>2</v>
      </c>
      <c r="H43" s="62">
        <f>IF(MID(E43,2,1)="S",1,IF(MID(E43,2,1)="T",2,IF(MID(E43,2,1)="D",3,0)))</f>
        <v>2</v>
      </c>
      <c r="I43" s="62">
        <f>IF(RIGHT(E43,1)="L",1,2)</f>
        <v>1</v>
      </c>
      <c r="J43" s="136">
        <v>4</v>
      </c>
      <c r="K43" s="136" t="str">
        <f>(G43&amp;H43&amp;I43&amp;"."&amp;J43)</f>
        <v>221.4</v>
      </c>
      <c r="L43" s="182">
        <v>0.48749999999999999</v>
      </c>
      <c r="M43" s="137">
        <v>43.4</v>
      </c>
      <c r="N43" s="138"/>
      <c r="O43" s="139"/>
      <c r="P43" s="139"/>
      <c r="Q43" s="145" t="s">
        <v>412</v>
      </c>
      <c r="R43" s="146">
        <v>11.6</v>
      </c>
      <c r="S43" s="170"/>
      <c r="T43" s="170"/>
      <c r="U43" s="170"/>
      <c r="V43" s="170"/>
    </row>
    <row r="44" spans="2:34" ht="13.35" customHeight="1" thickBot="1">
      <c r="B44" s="133"/>
      <c r="C44" s="134"/>
      <c r="D44" s="140">
        <v>407</v>
      </c>
      <c r="E44" s="133" t="s">
        <v>14</v>
      </c>
      <c r="F44" s="133">
        <v>7</v>
      </c>
      <c r="G44" s="56">
        <f>IF(LEFT(E44,1)="F",1,2)</f>
        <v>2</v>
      </c>
      <c r="H44" s="56">
        <f>IF(MID(E44,2,1)="S",1,IF(MID(E44,2,1)="T",2,IF(MID(E44,2,1)="D",3,0)))</f>
        <v>1</v>
      </c>
      <c r="I44" s="56">
        <f>IF(RIGHT(E44,1)="L",1,2)</f>
        <v>2</v>
      </c>
      <c r="J44" s="133">
        <v>4</v>
      </c>
      <c r="K44" s="133" t="str">
        <f>(G44&amp;H44&amp;I44&amp;"."&amp;J44)</f>
        <v>212.4</v>
      </c>
      <c r="L44" s="154"/>
      <c r="M44" s="134">
        <v>46.6</v>
      </c>
      <c r="N44" s="142"/>
      <c r="O44" s="143"/>
      <c r="P44" s="144"/>
      <c r="Q44" s="145" t="s">
        <v>411</v>
      </c>
      <c r="R44" s="146">
        <v>18.899999999999999</v>
      </c>
      <c r="S44" s="170"/>
      <c r="T44" s="170"/>
      <c r="U44" s="170"/>
      <c r="V44" s="170"/>
    </row>
    <row r="45" spans="2:34" ht="13.35" customHeight="1" thickBot="1">
      <c r="B45" s="133"/>
      <c r="C45" s="134"/>
      <c r="D45" s="140">
        <v>406</v>
      </c>
      <c r="E45" s="133" t="s">
        <v>8</v>
      </c>
      <c r="F45" s="133">
        <v>3</v>
      </c>
      <c r="G45" s="56">
        <f>IF(LEFT(E45,1)="F",1,2)</f>
        <v>1</v>
      </c>
      <c r="H45" s="56">
        <f>IF(MID(E45,2,1)="S",1,IF(MID(E45,2,1)="T",2,IF(MID(E45,2,1)="D",3,0)))</f>
        <v>2</v>
      </c>
      <c r="I45" s="56">
        <f>IF(RIGHT(E45,1)="L",1,2)</f>
        <v>2</v>
      </c>
      <c r="J45" s="133">
        <v>4</v>
      </c>
      <c r="K45" s="133" t="str">
        <f>(G45&amp;H45&amp;I45&amp;"."&amp;J45)</f>
        <v>122.4</v>
      </c>
      <c r="L45" s="141"/>
      <c r="M45" s="134">
        <v>41.2</v>
      </c>
      <c r="N45" s="142"/>
      <c r="O45" s="143"/>
      <c r="P45" s="144"/>
      <c r="Q45" s="145" t="s">
        <v>410</v>
      </c>
      <c r="R45" s="146">
        <v>26.5</v>
      </c>
      <c r="S45" s="170"/>
      <c r="T45" s="170"/>
      <c r="U45" s="170"/>
      <c r="V45" s="170"/>
    </row>
    <row r="46" spans="2:34" ht="13.35" customHeight="1" thickBot="1">
      <c r="B46" s="133"/>
      <c r="C46" s="134"/>
      <c r="D46" s="140">
        <v>405</v>
      </c>
      <c r="E46" s="133" t="s">
        <v>15</v>
      </c>
      <c r="F46" s="133">
        <v>6</v>
      </c>
      <c r="G46" s="56">
        <f>IF(LEFT(E46,1)="F",1,2)</f>
        <v>1</v>
      </c>
      <c r="H46" s="56">
        <f>IF(MID(E46,2,1)="S",1,IF(MID(E46,2,1)="T",2,IF(MID(E46,2,1)="D",3,0)))</f>
        <v>3</v>
      </c>
      <c r="I46" s="56">
        <f>IF(RIGHT(E46,1)="L",1,2)</f>
        <v>1</v>
      </c>
      <c r="J46" s="133">
        <v>4</v>
      </c>
      <c r="K46" s="133" t="str">
        <f>(G46&amp;H46&amp;I46&amp;"."&amp;J46)</f>
        <v>131.4</v>
      </c>
      <c r="L46" s="141"/>
      <c r="M46" s="134">
        <v>37</v>
      </c>
      <c r="N46" s="142"/>
      <c r="O46" s="143"/>
      <c r="P46" s="144"/>
      <c r="Q46" s="145" t="s">
        <v>409</v>
      </c>
      <c r="R46" s="146">
        <v>33.700000000000003</v>
      </c>
      <c r="S46" s="170"/>
      <c r="T46" s="170"/>
      <c r="U46" s="170"/>
      <c r="V46" s="170"/>
    </row>
    <row r="47" spans="2:34" ht="13.35" customHeight="1" thickBot="1">
      <c r="B47" s="133"/>
      <c r="C47" s="134"/>
      <c r="D47" s="140">
        <v>404</v>
      </c>
      <c r="E47" s="133" t="s">
        <v>8</v>
      </c>
      <c r="F47" s="133">
        <v>3</v>
      </c>
      <c r="G47" s="56">
        <f>IF(LEFT(E47,1)="F",1,2)</f>
        <v>1</v>
      </c>
      <c r="H47" s="56">
        <f>IF(MID(E47,2,1)="S",1,IF(MID(E47,2,1)="T",2,IF(MID(E47,2,1)="D",3,0)))</f>
        <v>2</v>
      </c>
      <c r="I47" s="56">
        <f>IF(RIGHT(E47,1)="L",1,2)</f>
        <v>2</v>
      </c>
      <c r="J47" s="133">
        <v>3</v>
      </c>
      <c r="K47" s="133" t="str">
        <f>(G47&amp;H47&amp;I47&amp;"."&amp;J47)</f>
        <v>122.3</v>
      </c>
      <c r="L47" s="141"/>
      <c r="M47" s="134">
        <v>41.9</v>
      </c>
      <c r="N47" s="142"/>
      <c r="O47" s="143"/>
      <c r="P47" s="144"/>
      <c r="Q47" s="145" t="s">
        <v>408</v>
      </c>
      <c r="R47" s="146">
        <v>41.2</v>
      </c>
      <c r="S47" s="170"/>
      <c r="T47" s="170"/>
      <c r="U47" s="170"/>
      <c r="V47" s="170"/>
    </row>
    <row r="48" spans="2:34" ht="13.35" customHeight="1" thickBot="1">
      <c r="B48" s="133"/>
      <c r="C48" s="134"/>
      <c r="D48" s="140">
        <v>403</v>
      </c>
      <c r="E48" s="133" t="s">
        <v>15</v>
      </c>
      <c r="F48" s="133">
        <v>6</v>
      </c>
      <c r="G48" s="56">
        <f>IF(LEFT(E48,1)="F",1,2)</f>
        <v>1</v>
      </c>
      <c r="H48" s="56">
        <f>IF(MID(E48,2,1)="S",1,IF(MID(E48,2,1)="T",2,IF(MID(E48,2,1)="D",3,0)))</f>
        <v>3</v>
      </c>
      <c r="I48" s="56">
        <f>IF(RIGHT(E48,1)="L",1,2)</f>
        <v>1</v>
      </c>
      <c r="J48" s="133">
        <v>3</v>
      </c>
      <c r="K48" s="133" t="str">
        <f>(G48&amp;H48&amp;I48&amp;"."&amp;J48)</f>
        <v>131.3</v>
      </c>
      <c r="L48" s="141"/>
      <c r="M48" s="134">
        <v>37.4</v>
      </c>
      <c r="N48" s="142"/>
      <c r="O48" s="143"/>
      <c r="P48" s="144"/>
      <c r="Q48" s="145" t="s">
        <v>407</v>
      </c>
      <c r="R48" s="146">
        <v>48.8</v>
      </c>
      <c r="S48" s="170"/>
      <c r="T48" s="170"/>
      <c r="U48" s="170"/>
      <c r="V48" s="170"/>
    </row>
    <row r="49" spans="2:22" ht="13.35" customHeight="1" thickBot="1">
      <c r="B49" s="133"/>
      <c r="C49" s="134"/>
      <c r="D49" s="140">
        <v>402</v>
      </c>
      <c r="E49" s="133" t="s">
        <v>7</v>
      </c>
      <c r="F49" s="133">
        <v>9</v>
      </c>
      <c r="G49" s="56">
        <f>IF(LEFT(E49,1)="F",1,2)</f>
        <v>2</v>
      </c>
      <c r="H49" s="56">
        <f>IF(MID(E49,2,1)="S",1,IF(MID(E49,2,1)="T",2,IF(MID(E49,2,1)="D",3,0)))</f>
        <v>2</v>
      </c>
      <c r="I49" s="56">
        <f>IF(RIGHT(E49,1)="L",1,2)</f>
        <v>2</v>
      </c>
      <c r="J49" s="133">
        <v>3</v>
      </c>
      <c r="K49" s="133" t="str">
        <f>(G49&amp;H49&amp;I49&amp;"."&amp;J49)</f>
        <v>222.3</v>
      </c>
      <c r="L49" s="141"/>
      <c r="M49" s="134">
        <v>39.700000000000003</v>
      </c>
      <c r="N49" s="142"/>
      <c r="O49" s="143"/>
      <c r="P49" s="144"/>
      <c r="Q49" s="145" t="s">
        <v>406</v>
      </c>
      <c r="R49" s="146">
        <v>55.7</v>
      </c>
      <c r="S49" s="170"/>
      <c r="T49" s="170"/>
      <c r="U49" s="170"/>
      <c r="V49" s="170"/>
    </row>
    <row r="50" spans="2:22" ht="13.35" customHeight="1" thickBot="1">
      <c r="B50" s="148"/>
      <c r="C50" s="150"/>
      <c r="D50" s="147">
        <v>401</v>
      </c>
      <c r="E50" s="148" t="s">
        <v>14</v>
      </c>
      <c r="F50" s="148">
        <v>7</v>
      </c>
      <c r="G50" s="50">
        <f>IF(LEFT(E50,1)="F",1,2)</f>
        <v>2</v>
      </c>
      <c r="H50" s="50">
        <f>IF(MID(E50,2,1)="S",1,IF(MID(E50,2,1)="T",2,IF(MID(E50,2,1)="D",3,0)))</f>
        <v>1</v>
      </c>
      <c r="I50" s="50">
        <f>IF(RIGHT(E50,1)="L",1,2)</f>
        <v>2</v>
      </c>
      <c r="J50" s="148">
        <v>3</v>
      </c>
      <c r="K50" s="148" t="str">
        <f>(G50&amp;H50&amp;I50&amp;"."&amp;J50)</f>
        <v>212.3</v>
      </c>
      <c r="L50" s="182">
        <v>0.49444444444444446</v>
      </c>
      <c r="M50" s="150">
        <v>45.4</v>
      </c>
      <c r="N50" s="151"/>
      <c r="O50" s="152"/>
      <c r="P50" s="153"/>
      <c r="Q50" s="145" t="s">
        <v>405</v>
      </c>
      <c r="R50" s="146">
        <v>66.3</v>
      </c>
      <c r="S50" s="170"/>
      <c r="T50" s="170"/>
      <c r="U50" s="170"/>
      <c r="V50" s="170"/>
    </row>
    <row r="51" spans="2:22">
      <c r="B51" s="171"/>
      <c r="C51" s="171"/>
      <c r="D51" s="171"/>
      <c r="E51" s="171"/>
      <c r="F51" s="171"/>
      <c r="G51" s="121"/>
      <c r="H51" s="121"/>
      <c r="I51" s="121"/>
      <c r="J51" s="171"/>
      <c r="K51" s="171"/>
      <c r="L51" s="123"/>
      <c r="M51" s="123"/>
      <c r="N51" s="123"/>
      <c r="O51" s="123"/>
      <c r="P51" s="123"/>
      <c r="Q51" s="123"/>
      <c r="R51" s="123"/>
      <c r="S51" s="170"/>
      <c r="T51" s="170"/>
      <c r="U51" s="170"/>
      <c r="V51" s="170"/>
    </row>
    <row r="52" spans="2:22">
      <c r="B52" s="171"/>
      <c r="C52" s="171"/>
      <c r="D52" s="171"/>
      <c r="E52" s="181"/>
      <c r="F52" s="171"/>
      <c r="G52" s="121"/>
      <c r="H52" s="121"/>
      <c r="I52" s="121"/>
      <c r="J52" s="171"/>
      <c r="K52" s="171"/>
      <c r="L52" s="123"/>
      <c r="M52" s="123"/>
      <c r="N52" s="123"/>
      <c r="O52" s="123"/>
      <c r="P52" s="123"/>
      <c r="Q52" s="123"/>
      <c r="R52" s="123"/>
      <c r="S52" s="170"/>
      <c r="T52" s="170"/>
      <c r="U52" s="170"/>
      <c r="V52" s="170"/>
    </row>
    <row r="53" spans="2:22">
      <c r="B53" s="171"/>
      <c r="C53" s="171"/>
      <c r="D53" s="171"/>
      <c r="E53" s="171"/>
      <c r="F53" s="171"/>
      <c r="G53" s="121"/>
      <c r="H53" s="121"/>
      <c r="I53" s="121"/>
      <c r="J53" s="171"/>
      <c r="K53" s="171"/>
      <c r="L53" s="123"/>
      <c r="M53" s="123"/>
      <c r="N53" s="123"/>
      <c r="O53" s="123"/>
      <c r="P53" s="123"/>
      <c r="Q53" s="123"/>
      <c r="R53" s="123"/>
      <c r="S53" s="170"/>
      <c r="T53" s="170"/>
      <c r="U53" s="170"/>
      <c r="V53" s="170"/>
    </row>
    <row r="54" spans="2:22">
      <c r="B54" s="171"/>
      <c r="C54" s="171"/>
      <c r="D54" s="171"/>
      <c r="E54" s="181"/>
      <c r="F54" s="171"/>
      <c r="G54" s="121"/>
      <c r="H54" s="121"/>
      <c r="I54" s="121"/>
      <c r="J54" s="171"/>
      <c r="K54" s="171"/>
      <c r="L54" s="123"/>
      <c r="M54" s="123"/>
      <c r="N54" s="123"/>
      <c r="O54" s="123"/>
      <c r="P54" s="123"/>
      <c r="Q54" s="123"/>
      <c r="R54" s="123"/>
      <c r="S54" s="170"/>
      <c r="T54" s="170"/>
      <c r="U54" s="170"/>
      <c r="V54" s="170"/>
    </row>
    <row r="55" spans="2:22">
      <c r="B55" s="171"/>
      <c r="C55" s="171"/>
      <c r="D55" s="171"/>
      <c r="E55" s="171"/>
      <c r="F55" s="171"/>
      <c r="G55" s="121"/>
      <c r="H55" s="121"/>
      <c r="I55" s="121"/>
      <c r="J55" s="171"/>
      <c r="K55" s="171"/>
      <c r="L55" s="123"/>
      <c r="M55" s="123"/>
      <c r="N55" s="123"/>
      <c r="O55" s="123"/>
      <c r="P55" s="123"/>
      <c r="Q55" s="123"/>
      <c r="R55" s="123"/>
      <c r="S55" s="170"/>
      <c r="T55" s="170"/>
      <c r="U55" s="170"/>
      <c r="V55" s="170"/>
    </row>
    <row r="56" spans="2:22">
      <c r="B56" s="171"/>
      <c r="C56" s="171"/>
      <c r="D56" s="171"/>
      <c r="E56" s="181"/>
      <c r="F56" s="171"/>
      <c r="G56" s="121"/>
      <c r="H56" s="121"/>
      <c r="I56" s="121"/>
      <c r="J56" s="171"/>
      <c r="K56" s="171"/>
      <c r="L56" s="123"/>
      <c r="M56" s="123"/>
      <c r="N56" s="123"/>
      <c r="O56" s="123"/>
      <c r="P56" s="123"/>
      <c r="Q56" s="123"/>
      <c r="R56" s="123"/>
      <c r="S56" s="170"/>
      <c r="T56" s="170"/>
      <c r="U56" s="170"/>
      <c r="V56" s="170"/>
    </row>
    <row r="57" spans="2:22">
      <c r="B57" s="171"/>
      <c r="C57" s="171"/>
      <c r="D57" s="171"/>
      <c r="E57" s="171"/>
      <c r="F57" s="171"/>
      <c r="G57" s="121"/>
      <c r="H57" s="121"/>
      <c r="I57" s="121"/>
      <c r="J57" s="171"/>
      <c r="K57" s="171"/>
      <c r="L57" s="123"/>
      <c r="M57" s="123"/>
      <c r="N57" s="123"/>
      <c r="O57" s="123"/>
      <c r="P57" s="123"/>
      <c r="Q57" s="123"/>
      <c r="R57" s="123"/>
      <c r="S57" s="170"/>
      <c r="T57" s="170"/>
      <c r="U57" s="170"/>
      <c r="V57" s="170"/>
    </row>
    <row r="58" spans="2:22">
      <c r="B58" s="171"/>
      <c r="C58" s="171"/>
      <c r="D58" s="171"/>
      <c r="E58" s="181"/>
      <c r="F58" s="171"/>
      <c r="G58" s="121"/>
      <c r="H58" s="121"/>
      <c r="I58" s="121"/>
      <c r="J58" s="171"/>
      <c r="K58" s="171"/>
      <c r="L58" s="123"/>
      <c r="M58" s="123"/>
      <c r="N58" s="123"/>
      <c r="O58" s="123"/>
      <c r="P58" s="123"/>
      <c r="Q58" s="123"/>
      <c r="R58" s="123"/>
    </row>
  </sheetData>
  <mergeCells count="8">
    <mergeCell ref="N10:R10"/>
    <mergeCell ref="Q11:R11"/>
    <mergeCell ref="Q41:R41"/>
    <mergeCell ref="D4:E4"/>
    <mergeCell ref="Q7:R7"/>
    <mergeCell ref="Q8:R8"/>
    <mergeCell ref="F7:O7"/>
    <mergeCell ref="F8:O8"/>
  </mergeCells>
  <pageMargins left="0.23" right="0" top="0.85" bottom="0.57999999999999996" header="0.43" footer="0"/>
  <pageSetup paperSize="512" scale="110" orientation="portrait" r:id="rId2"/>
  <headerFooter alignWithMargins="0">
    <oddHeader xml:space="preserve">&amp;L&amp;"Comic Sans MS,Bold"&amp;14FISE2002 ---SPAD Readings in target area &amp;10(12 rdgs. per plot)&amp;C&amp;"Comic Sans MS,Bold"&amp;12       </oddHeader>
    <oddFooter>&amp;L&amp;F  &amp;A
  USWCL Remote Sensing &amp;"Arial,Italic"&amp;8(PJPinter 602-437-1702 x230)&amp;R&amp;D</oddFooter>
  </headerFooter>
  <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EB5BF-8A80-4B6A-B958-073E667A679C}">
  <dimension ref="A2:BW58"/>
  <sheetViews>
    <sheetView topLeftCell="A2" zoomScaleNormal="100" workbookViewId="0">
      <selection activeCell="U12" sqref="U12"/>
    </sheetView>
  </sheetViews>
  <sheetFormatPr defaultRowHeight="12.75"/>
  <cols>
    <col min="1" max="1" width="9.140625" style="122"/>
    <col min="2" max="2" width="3.7109375" style="122" hidden="1" customWidth="1"/>
    <col min="3" max="3" width="5.140625" style="122" hidden="1" customWidth="1"/>
    <col min="4" max="4" width="4.85546875" style="122" customWidth="1"/>
    <col min="5" max="5" width="5.7109375" style="122" customWidth="1"/>
    <col min="6" max="6" width="5.28515625" style="122" customWidth="1"/>
    <col min="7" max="9" width="5.28515625" style="122" hidden="1" customWidth="1"/>
    <col min="10" max="10" width="5.28515625" style="122" customWidth="1"/>
    <col min="11" max="11" width="7" style="122" hidden="1" customWidth="1"/>
    <col min="12" max="19" width="9.140625" style="122"/>
    <col min="20" max="20" width="11.7109375" style="122" customWidth="1"/>
    <col min="21" max="21" width="7.140625" style="122" customWidth="1"/>
    <col min="22" max="22" width="11.7109375" style="122" customWidth="1"/>
    <col min="23" max="23" width="9.140625" style="122"/>
    <col min="24" max="24" width="7.5703125" style="122" customWidth="1"/>
    <col min="25" max="34" width="7.7109375" style="122" customWidth="1"/>
    <col min="35" max="16384" width="9.140625" style="122"/>
  </cols>
  <sheetData>
    <row r="2" spans="1:75" ht="22.5">
      <c r="A2" s="177" t="s">
        <v>429</v>
      </c>
    </row>
    <row r="4" spans="1:75" ht="22.5">
      <c r="A4" s="177" t="s">
        <v>428</v>
      </c>
      <c r="D4" s="201">
        <v>249</v>
      </c>
      <c r="E4" s="201"/>
    </row>
    <row r="6" spans="1:75" ht="15" customHeight="1" thickBot="1">
      <c r="B6" s="123"/>
      <c r="C6" s="123"/>
      <c r="D6" s="123" t="s">
        <v>427</v>
      </c>
      <c r="E6" s="123"/>
      <c r="P6" s="123" t="s">
        <v>426</v>
      </c>
      <c r="R6" s="124">
        <v>1064</v>
      </c>
    </row>
    <row r="7" spans="1:75" ht="15" customHeight="1" thickBot="1">
      <c r="A7" s="123"/>
      <c r="B7" s="123"/>
      <c r="C7" s="123"/>
      <c r="D7" s="123" t="s">
        <v>336</v>
      </c>
      <c r="E7" s="123"/>
      <c r="F7" s="199" t="s">
        <v>451</v>
      </c>
      <c r="G7" s="199"/>
      <c r="H7" s="199"/>
      <c r="I7" s="199"/>
      <c r="J7" s="199"/>
      <c r="K7" s="199"/>
      <c r="L7" s="199"/>
      <c r="M7" s="199"/>
      <c r="N7" s="199"/>
      <c r="O7" s="199"/>
      <c r="P7" s="125" t="s">
        <v>358</v>
      </c>
      <c r="Q7" s="200">
        <v>37505</v>
      </c>
      <c r="R7" s="199"/>
      <c r="U7" s="171"/>
      <c r="V7" s="171"/>
      <c r="W7" s="171"/>
      <c r="X7" s="171"/>
    </row>
    <row r="8" spans="1:75" ht="13.5" thickBot="1">
      <c r="F8" s="198" t="s">
        <v>450</v>
      </c>
      <c r="G8" s="198"/>
      <c r="H8" s="198"/>
      <c r="I8" s="198"/>
      <c r="J8" s="198"/>
      <c r="K8" s="198"/>
      <c r="L8" s="198"/>
      <c r="M8" s="198"/>
      <c r="N8" s="198"/>
      <c r="O8" s="198"/>
      <c r="P8" s="125" t="s">
        <v>350</v>
      </c>
      <c r="Q8" s="198" t="s">
        <v>423</v>
      </c>
      <c r="R8" s="198"/>
      <c r="T8" s="172" t="s">
        <v>332</v>
      </c>
      <c r="U8" s="173" t="s">
        <v>372</v>
      </c>
      <c r="V8" s="170"/>
      <c r="W8" s="170"/>
      <c r="X8" s="170"/>
    </row>
    <row r="9" spans="1:75" ht="13.5" thickBot="1">
      <c r="F9" s="122" t="s">
        <v>449</v>
      </c>
      <c r="T9" s="172" t="s">
        <v>331</v>
      </c>
      <c r="U9" s="173" t="s">
        <v>372</v>
      </c>
      <c r="V9" s="170"/>
      <c r="W9" s="170"/>
      <c r="X9" s="170"/>
    </row>
    <row r="10" spans="1:75" ht="25.5" customHeight="1" thickBot="1">
      <c r="B10" s="127"/>
      <c r="C10" s="128"/>
      <c r="D10" s="197" t="s">
        <v>0</v>
      </c>
      <c r="E10" s="129" t="s">
        <v>305</v>
      </c>
      <c r="F10" s="129" t="s">
        <v>333</v>
      </c>
      <c r="G10" s="130" t="s">
        <v>332</v>
      </c>
      <c r="H10" s="129" t="s">
        <v>331</v>
      </c>
      <c r="I10" s="130" t="s">
        <v>330</v>
      </c>
      <c r="J10" s="130" t="s">
        <v>329</v>
      </c>
      <c r="K10" s="130" t="s">
        <v>328</v>
      </c>
      <c r="L10" s="131" t="s">
        <v>422</v>
      </c>
      <c r="M10" s="132" t="s">
        <v>421</v>
      </c>
      <c r="N10" s="196" t="s">
        <v>420</v>
      </c>
      <c r="O10" s="195"/>
      <c r="P10" s="195"/>
      <c r="Q10" s="195"/>
      <c r="R10" s="194"/>
      <c r="X10" s="193"/>
      <c r="Y10" s="193"/>
      <c r="Z10" s="193"/>
      <c r="AA10" s="193"/>
      <c r="AB10" s="193"/>
      <c r="AC10" s="193"/>
      <c r="AD10" s="193"/>
      <c r="AE10" s="193"/>
      <c r="AF10" s="193"/>
      <c r="AG10" s="193"/>
      <c r="AH10" s="193"/>
    </row>
    <row r="11" spans="1:75" ht="13.35" customHeight="1" thickBot="1">
      <c r="B11" s="133"/>
      <c r="C11" s="134"/>
      <c r="D11" s="135">
        <v>108</v>
      </c>
      <c r="E11" s="136" t="s">
        <v>8</v>
      </c>
      <c r="F11" s="136">
        <v>3</v>
      </c>
      <c r="G11" s="62">
        <f>IF(LEFT(E11,1)="F",1,2)</f>
        <v>1</v>
      </c>
      <c r="H11" s="62">
        <f>IF(MID(E11,2,1)="S",1,IF(MID(E11,2,1)="T",2,IF(MID(E11,2,1)="D",3,0)))</f>
        <v>2</v>
      </c>
      <c r="I11" s="62">
        <f>IF(RIGHT(E11,1)="L",1,2)</f>
        <v>2</v>
      </c>
      <c r="J11" s="136">
        <v>2</v>
      </c>
      <c r="K11" s="136" t="str">
        <f>(G11&amp;H11&amp;I11&amp;"."&amp;J11)</f>
        <v>122.2</v>
      </c>
      <c r="L11" s="182">
        <v>0.46180555555555558</v>
      </c>
      <c r="M11" s="137">
        <v>47.4</v>
      </c>
      <c r="N11" s="138"/>
      <c r="O11" s="139"/>
      <c r="P11" s="139"/>
      <c r="Q11" s="185" t="s">
        <v>419</v>
      </c>
      <c r="R11" s="184"/>
      <c r="S11" s="170"/>
      <c r="T11" s="209"/>
      <c r="U11" s="180" t="s">
        <v>445</v>
      </c>
      <c r="V11" s="208"/>
      <c r="AA11" s="186"/>
      <c r="AB11" s="186"/>
      <c r="AC11" s="186"/>
      <c r="AD11" s="186"/>
      <c r="AE11" s="186"/>
      <c r="AF11" s="186"/>
      <c r="AG11" s="186"/>
      <c r="AH11" s="186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</row>
    <row r="12" spans="1:75" ht="13.35" customHeight="1" thickBot="1">
      <c r="B12" s="133"/>
      <c r="C12" s="134"/>
      <c r="D12" s="140">
        <v>107</v>
      </c>
      <c r="E12" s="133" t="s">
        <v>6</v>
      </c>
      <c r="F12" s="133">
        <v>10</v>
      </c>
      <c r="G12" s="56">
        <f>IF(LEFT(E12,1)="F",1,2)</f>
        <v>2</v>
      </c>
      <c r="H12" s="56">
        <f>IF(MID(E12,2,1)="S",1,IF(MID(E12,2,1)="T",2,IF(MID(E12,2,1)="D",3,0)))</f>
        <v>2</v>
      </c>
      <c r="I12" s="56">
        <f>IF(RIGHT(E12,1)="L",1,2)</f>
        <v>1</v>
      </c>
      <c r="J12" s="133">
        <v>2</v>
      </c>
      <c r="K12" s="133" t="str">
        <f>(G12&amp;H12&amp;I12&amp;"."&amp;J12)</f>
        <v>221.2</v>
      </c>
      <c r="L12" s="141"/>
      <c r="M12" s="134">
        <v>41.3</v>
      </c>
      <c r="N12" s="142"/>
      <c r="O12" s="143"/>
      <c r="P12" s="144"/>
      <c r="Q12" s="145" t="s">
        <v>413</v>
      </c>
      <c r="R12" s="146">
        <v>4.3</v>
      </c>
      <c r="S12" s="170"/>
      <c r="T12" s="180" t="s">
        <v>330</v>
      </c>
      <c r="U12" s="207" t="s">
        <v>418</v>
      </c>
      <c r="V12" s="207" t="s">
        <v>417</v>
      </c>
      <c r="AA12" s="186"/>
      <c r="AB12" s="186"/>
      <c r="AC12" s="186"/>
      <c r="AD12" s="186"/>
      <c r="AE12" s="186"/>
      <c r="AF12" s="186"/>
      <c r="AG12" s="186"/>
      <c r="AH12" s="186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</row>
    <row r="13" spans="1:75" ht="13.35" customHeight="1" thickBot="1">
      <c r="B13" s="133"/>
      <c r="C13" s="134"/>
      <c r="D13" s="140">
        <v>106</v>
      </c>
      <c r="E13" s="133" t="s">
        <v>7</v>
      </c>
      <c r="F13" s="133">
        <v>9</v>
      </c>
      <c r="G13" s="56">
        <f>IF(LEFT(E13,1)="F",1,2)</f>
        <v>2</v>
      </c>
      <c r="H13" s="56">
        <f>IF(MID(E13,2,1)="S",1,IF(MID(E13,2,1)="T",2,IF(MID(E13,2,1)="D",3,0)))</f>
        <v>2</v>
      </c>
      <c r="I13" s="56">
        <f>IF(RIGHT(E13,1)="L",1,2)</f>
        <v>2</v>
      </c>
      <c r="J13" s="133">
        <v>2</v>
      </c>
      <c r="K13" s="133" t="str">
        <f>(G13&amp;H13&amp;I13&amp;"."&amp;J13)</f>
        <v>222.2</v>
      </c>
      <c r="L13" s="141"/>
      <c r="M13" s="134">
        <v>43.4</v>
      </c>
      <c r="N13" s="142"/>
      <c r="O13" s="143"/>
      <c r="P13" s="144"/>
      <c r="Q13" s="145" t="s">
        <v>412</v>
      </c>
      <c r="R13" s="146">
        <v>11.9</v>
      </c>
      <c r="S13" s="170"/>
      <c r="T13" s="206">
        <v>1</v>
      </c>
      <c r="U13" s="122">
        <v>16</v>
      </c>
      <c r="V13" s="38">
        <v>40.618749999999999</v>
      </c>
      <c r="AA13" s="171"/>
      <c r="AB13" s="171"/>
      <c r="AC13" s="171"/>
      <c r="AD13" s="171"/>
      <c r="AE13" s="171"/>
      <c r="AF13" s="171"/>
      <c r="AG13" s="171"/>
      <c r="AH13" s="171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</row>
    <row r="14" spans="1:75" ht="13.35" customHeight="1" thickBot="1">
      <c r="B14" s="133"/>
      <c r="C14" s="134"/>
      <c r="D14" s="140">
        <v>105</v>
      </c>
      <c r="E14" s="133" t="s">
        <v>10</v>
      </c>
      <c r="F14" s="133">
        <v>12</v>
      </c>
      <c r="G14" s="56">
        <f>IF(LEFT(E14,1)="F",1,2)</f>
        <v>2</v>
      </c>
      <c r="H14" s="56">
        <f>IF(MID(E14,2,1)="S",1,IF(MID(E14,2,1)="T",2,IF(MID(E14,2,1)="D",3,0)))</f>
        <v>3</v>
      </c>
      <c r="I14" s="56">
        <f>IF(RIGHT(E14,1)="L",1,2)</f>
        <v>1</v>
      </c>
      <c r="J14" s="133">
        <v>2</v>
      </c>
      <c r="K14" s="133" t="str">
        <f>(G14&amp;H14&amp;I14&amp;"."&amp;J14)</f>
        <v>231.2</v>
      </c>
      <c r="L14" s="141"/>
      <c r="M14" s="134">
        <v>32.700000000000003</v>
      </c>
      <c r="N14" s="142"/>
      <c r="O14" s="143"/>
      <c r="P14" s="144"/>
      <c r="Q14" s="145" t="s">
        <v>411</v>
      </c>
      <c r="R14" s="146">
        <v>19.3</v>
      </c>
      <c r="S14" s="170"/>
      <c r="T14" s="206">
        <v>2</v>
      </c>
      <c r="U14" s="122">
        <v>20</v>
      </c>
      <c r="V14" s="38">
        <v>42.954999999999998</v>
      </c>
      <c r="AA14" s="171"/>
      <c r="AB14" s="171"/>
      <c r="AC14" s="171"/>
      <c r="AD14" s="171"/>
      <c r="AE14" s="171"/>
      <c r="AF14" s="171"/>
      <c r="AG14" s="171"/>
      <c r="AH14" s="171"/>
    </row>
    <row r="15" spans="1:75" ht="13.35" customHeight="1" thickBot="1">
      <c r="B15" s="133"/>
      <c r="C15" s="134"/>
      <c r="D15" s="140">
        <v>104</v>
      </c>
      <c r="E15" s="133" t="s">
        <v>6</v>
      </c>
      <c r="F15" s="133">
        <v>10</v>
      </c>
      <c r="G15" s="56">
        <f>IF(LEFT(E15,1)="F",1,2)</f>
        <v>2</v>
      </c>
      <c r="H15" s="56">
        <f>IF(MID(E15,2,1)="S",1,IF(MID(E15,2,1)="T",2,IF(MID(E15,2,1)="D",3,0)))</f>
        <v>2</v>
      </c>
      <c r="I15" s="56">
        <f>IF(RIGHT(E15,1)="L",1,2)</f>
        <v>1</v>
      </c>
      <c r="J15" s="133">
        <v>1</v>
      </c>
      <c r="K15" s="133" t="str">
        <f>(G15&amp;H15&amp;I15&amp;"."&amp;J15)</f>
        <v>221.1</v>
      </c>
      <c r="L15" s="141"/>
      <c r="M15" s="134">
        <v>40.5</v>
      </c>
      <c r="N15" s="142"/>
      <c r="O15" s="143"/>
      <c r="P15" s="144"/>
      <c r="Q15" s="145" t="s">
        <v>410</v>
      </c>
      <c r="R15" s="146">
        <v>26.6</v>
      </c>
      <c r="S15" s="170"/>
      <c r="T15" s="205" t="s">
        <v>312</v>
      </c>
      <c r="U15" s="204">
        <v>36</v>
      </c>
      <c r="V15" s="203">
        <v>41.916666666666664</v>
      </c>
      <c r="AA15" s="171"/>
      <c r="AB15" s="171"/>
      <c r="AC15" s="171"/>
      <c r="AD15" s="171"/>
      <c r="AE15" s="171"/>
      <c r="AF15" s="171"/>
      <c r="AG15" s="171"/>
      <c r="AH15" s="171"/>
    </row>
    <row r="16" spans="1:75" ht="13.35" customHeight="1" thickBot="1">
      <c r="B16" s="133"/>
      <c r="C16" s="134"/>
      <c r="D16" s="140">
        <v>103</v>
      </c>
      <c r="E16" s="133" t="s">
        <v>5</v>
      </c>
      <c r="F16" s="133">
        <v>5</v>
      </c>
      <c r="G16" s="56">
        <f>IF(LEFT(E16,1)="F",1,2)</f>
        <v>1</v>
      </c>
      <c r="H16" s="56">
        <f>IF(MID(E16,2,1)="S",1,IF(MID(E16,2,1)="T",2,IF(MID(E16,2,1)="D",3,0)))</f>
        <v>3</v>
      </c>
      <c r="I16" s="56">
        <f>IF(RIGHT(E16,1)="L",1,2)</f>
        <v>2</v>
      </c>
      <c r="J16" s="133">
        <v>1</v>
      </c>
      <c r="K16" s="133" t="str">
        <f>(G16&amp;H16&amp;I16&amp;"."&amp;J16)</f>
        <v>132.1</v>
      </c>
      <c r="L16" s="141"/>
      <c r="M16" s="134">
        <v>41.2</v>
      </c>
      <c r="N16" s="142"/>
      <c r="O16" s="143"/>
      <c r="P16" s="144"/>
      <c r="Q16" s="145" t="s">
        <v>409</v>
      </c>
      <c r="R16" s="146">
        <v>33.9</v>
      </c>
      <c r="S16" s="170"/>
    </row>
    <row r="17" spans="2:34" ht="13.35" customHeight="1" thickBot="1">
      <c r="B17" s="133"/>
      <c r="C17" s="134"/>
      <c r="D17" s="140">
        <v>102</v>
      </c>
      <c r="E17" s="133" t="s">
        <v>4</v>
      </c>
      <c r="F17" s="133">
        <v>4</v>
      </c>
      <c r="G17" s="56">
        <f>IF(LEFT(E17,1)="F",1,2)</f>
        <v>1</v>
      </c>
      <c r="H17" s="56">
        <f>IF(MID(E17,2,1)="S",1,IF(MID(E17,2,1)="T",2,IF(MID(E17,2,1)="D",3,0)))</f>
        <v>2</v>
      </c>
      <c r="I17" s="56">
        <f>IF(RIGHT(E17,1)="L",1,2)</f>
        <v>1</v>
      </c>
      <c r="J17" s="133">
        <v>1</v>
      </c>
      <c r="K17" s="133" t="str">
        <f>(G17&amp;H17&amp;I17&amp;"."&amp;J17)</f>
        <v>121.1</v>
      </c>
      <c r="L17" s="141"/>
      <c r="M17" s="134">
        <v>38.700000000000003</v>
      </c>
      <c r="N17" s="142"/>
      <c r="O17" s="143"/>
      <c r="P17" s="144"/>
      <c r="Q17" s="145" t="s">
        <v>408</v>
      </c>
      <c r="R17" s="146">
        <v>41.2</v>
      </c>
      <c r="S17" s="170"/>
      <c r="AA17" s="186"/>
      <c r="AB17" s="186"/>
      <c r="AC17" s="186"/>
      <c r="AD17" s="186"/>
      <c r="AE17" s="186"/>
      <c r="AF17" s="186"/>
      <c r="AG17" s="186"/>
      <c r="AH17" s="186"/>
    </row>
    <row r="18" spans="2:34" ht="13.35" customHeight="1" thickBot="1">
      <c r="B18" s="133"/>
      <c r="C18" s="134"/>
      <c r="D18" s="147">
        <v>101</v>
      </c>
      <c r="E18" s="50" t="s">
        <v>3</v>
      </c>
      <c r="F18" s="50">
        <v>1</v>
      </c>
      <c r="G18" s="50">
        <f>IF(LEFT(E18,1)="F",1,2)</f>
        <v>1</v>
      </c>
      <c r="H18" s="50">
        <f>IF(MID(E18,2,1)="S",1,IF(MID(E18,2,1)="T",2,IF(MID(E18,2,1)="D",3,0)))</f>
        <v>1</v>
      </c>
      <c r="I18" s="50">
        <f>IF(RIGHT(E18,1)="L",1,2)</f>
        <v>2</v>
      </c>
      <c r="J18" s="148">
        <v>1</v>
      </c>
      <c r="K18" s="148" t="str">
        <f>(G18&amp;H18&amp;I18&amp;"."&amp;J18)</f>
        <v>112.1</v>
      </c>
      <c r="L18" s="149"/>
      <c r="M18" s="150">
        <v>44.2</v>
      </c>
      <c r="N18" s="151"/>
      <c r="O18" s="152"/>
      <c r="P18" s="153"/>
      <c r="Q18" s="145" t="s">
        <v>407</v>
      </c>
      <c r="R18" s="146">
        <v>48.6</v>
      </c>
      <c r="S18" s="170"/>
      <c r="AA18" s="186"/>
      <c r="AB18" s="186"/>
      <c r="AC18" s="186"/>
      <c r="AD18" s="186"/>
      <c r="AE18" s="186"/>
      <c r="AF18" s="186"/>
      <c r="AG18" s="186"/>
      <c r="AH18" s="186"/>
    </row>
    <row r="19" spans="2:34" ht="13.35" customHeight="1" thickBot="1">
      <c r="B19" s="133"/>
      <c r="C19" s="134"/>
      <c r="D19" s="135">
        <v>201</v>
      </c>
      <c r="E19" s="136" t="s">
        <v>10</v>
      </c>
      <c r="F19" s="136">
        <v>12</v>
      </c>
      <c r="G19" s="62">
        <f>IF(LEFT(E19,1)="F",1,2)</f>
        <v>2</v>
      </c>
      <c r="H19" s="62">
        <f>IF(MID(E19,2,1)="S",1,IF(MID(E19,2,1)="T",2,IF(MID(E19,2,1)="D",3,0)))</f>
        <v>3</v>
      </c>
      <c r="I19" s="62">
        <f>IF(RIGHT(E19,1)="L",1,2)</f>
        <v>1</v>
      </c>
      <c r="J19" s="136">
        <v>1</v>
      </c>
      <c r="K19" s="136" t="str">
        <f>(G19&amp;H19&amp;I19&amp;"."&amp;J19)</f>
        <v>231.1</v>
      </c>
      <c r="L19" s="182">
        <v>0.47013888888888888</v>
      </c>
      <c r="M19" s="137">
        <v>39.299999999999997</v>
      </c>
      <c r="N19" s="138"/>
      <c r="O19" s="139"/>
      <c r="P19" s="139"/>
      <c r="Q19" s="145" t="s">
        <v>406</v>
      </c>
      <c r="R19" s="146">
        <v>55.6</v>
      </c>
      <c r="S19" s="170"/>
      <c r="AA19" s="171"/>
      <c r="AB19" s="171"/>
      <c r="AC19" s="171"/>
      <c r="AD19" s="171"/>
      <c r="AE19" s="171"/>
      <c r="AF19" s="171"/>
      <c r="AG19" s="187"/>
      <c r="AH19" s="187"/>
    </row>
    <row r="20" spans="2:34" ht="13.35" customHeight="1" thickBot="1">
      <c r="B20" s="133"/>
      <c r="C20" s="134"/>
      <c r="D20" s="140">
        <v>202</v>
      </c>
      <c r="E20" s="133" t="s">
        <v>7</v>
      </c>
      <c r="F20" s="133">
        <v>9</v>
      </c>
      <c r="G20" s="56">
        <f>IF(LEFT(E20,1)="F",1,2)</f>
        <v>2</v>
      </c>
      <c r="H20" s="56">
        <f>IF(MID(E20,2,1)="S",1,IF(MID(E20,2,1)="T",2,IF(MID(E20,2,1)="D",3,0)))</f>
        <v>2</v>
      </c>
      <c r="I20" s="56">
        <f>IF(RIGHT(E20,1)="L",1,2)</f>
        <v>2</v>
      </c>
      <c r="J20" s="133">
        <v>1</v>
      </c>
      <c r="K20" s="133" t="str">
        <f>(G20&amp;H20&amp;I20&amp;"."&amp;J20)</f>
        <v>222.1</v>
      </c>
      <c r="L20" s="154"/>
      <c r="M20" s="134">
        <v>45.4</v>
      </c>
      <c r="N20" s="142"/>
      <c r="O20" s="143"/>
      <c r="P20" s="144"/>
      <c r="Q20" s="145" t="s">
        <v>405</v>
      </c>
      <c r="R20" s="146">
        <v>66.099999999999994</v>
      </c>
      <c r="S20" s="170"/>
      <c r="AA20" s="171"/>
      <c r="AB20" s="171"/>
      <c r="AC20" s="171"/>
      <c r="AD20" s="171"/>
      <c r="AE20" s="171"/>
      <c r="AF20" s="171"/>
      <c r="AG20" s="171"/>
      <c r="AH20" s="171"/>
    </row>
    <row r="21" spans="2:34" ht="13.35" customHeight="1">
      <c r="B21" s="133"/>
      <c r="C21" s="134"/>
      <c r="D21" s="140">
        <v>203</v>
      </c>
      <c r="E21" s="133" t="s">
        <v>8</v>
      </c>
      <c r="F21" s="133">
        <v>3</v>
      </c>
      <c r="G21" s="56">
        <f>IF(LEFT(E21,1)="F",1,2)</f>
        <v>1</v>
      </c>
      <c r="H21" s="56">
        <f>IF(MID(E21,2,1)="S",1,IF(MID(E21,2,1)="T",2,IF(MID(E21,2,1)="D",3,0)))</f>
        <v>2</v>
      </c>
      <c r="I21" s="56">
        <f>IF(RIGHT(E21,1)="L",1,2)</f>
        <v>2</v>
      </c>
      <c r="J21" s="133">
        <v>1</v>
      </c>
      <c r="K21" s="133" t="str">
        <f>(G21&amp;H21&amp;I21&amp;"."&amp;J21)</f>
        <v>122.1</v>
      </c>
      <c r="L21" s="141"/>
      <c r="M21" s="134">
        <v>42.8</v>
      </c>
      <c r="N21" s="142"/>
      <c r="O21" s="143"/>
      <c r="P21" s="144"/>
      <c r="Q21" s="144"/>
      <c r="R21" s="155"/>
      <c r="S21" s="170"/>
      <c r="AA21" s="171"/>
      <c r="AB21" s="171"/>
      <c r="AC21" s="171"/>
      <c r="AD21" s="171"/>
      <c r="AE21" s="171"/>
      <c r="AF21" s="171"/>
      <c r="AG21" s="171"/>
      <c r="AH21" s="171"/>
    </row>
    <row r="22" spans="2:34" ht="13.35" customHeight="1">
      <c r="B22" s="133"/>
      <c r="C22" s="134"/>
      <c r="D22" s="140">
        <v>204</v>
      </c>
      <c r="E22" s="133" t="s">
        <v>11</v>
      </c>
      <c r="F22" s="133">
        <v>11</v>
      </c>
      <c r="G22" s="56">
        <f>IF(LEFT(E22,1)="F",1,2)</f>
        <v>2</v>
      </c>
      <c r="H22" s="56">
        <f>IF(MID(E22,2,1)="S",1,IF(MID(E22,2,1)="T",2,IF(MID(E22,2,1)="D",3,0)))</f>
        <v>3</v>
      </c>
      <c r="I22" s="56">
        <f>IF(RIGHT(E22,1)="L",1,2)</f>
        <v>2</v>
      </c>
      <c r="J22" s="133">
        <v>1</v>
      </c>
      <c r="K22" s="133" t="str">
        <f>(G22&amp;H22&amp;I22&amp;"."&amp;J22)</f>
        <v>232.1</v>
      </c>
      <c r="L22" s="141"/>
      <c r="M22" s="134">
        <v>42.4</v>
      </c>
      <c r="N22" s="142"/>
      <c r="O22" s="143"/>
      <c r="P22" s="144"/>
      <c r="Q22" s="144"/>
      <c r="R22" s="155"/>
      <c r="S22" s="170"/>
    </row>
    <row r="23" spans="2:34" ht="13.35" customHeight="1">
      <c r="B23" s="133"/>
      <c r="C23" s="134"/>
      <c r="D23" s="140">
        <v>205</v>
      </c>
      <c r="E23" s="133" t="s">
        <v>3</v>
      </c>
      <c r="F23" s="133">
        <v>1</v>
      </c>
      <c r="G23" s="56">
        <f>IF(LEFT(E23,1)="F",1,2)</f>
        <v>1</v>
      </c>
      <c r="H23" s="56">
        <f>IF(MID(E23,2,1)="S",1,IF(MID(E23,2,1)="T",2,IF(MID(E23,2,1)="D",3,0)))</f>
        <v>1</v>
      </c>
      <c r="I23" s="56">
        <f>IF(RIGHT(E23,1)="L",1,2)</f>
        <v>2</v>
      </c>
      <c r="J23" s="133">
        <v>2</v>
      </c>
      <c r="K23" s="133" t="str">
        <f>(G23&amp;H23&amp;I23&amp;"."&amp;J23)</f>
        <v>112.2</v>
      </c>
      <c r="L23" s="141"/>
      <c r="M23" s="134">
        <v>42.1</v>
      </c>
      <c r="N23" s="142"/>
      <c r="O23" s="143"/>
      <c r="P23" s="144"/>
      <c r="Q23" s="144"/>
      <c r="R23" s="155"/>
      <c r="S23" s="170"/>
      <c r="AA23" s="186"/>
      <c r="AB23" s="186"/>
      <c r="AC23" s="186"/>
      <c r="AD23" s="186"/>
      <c r="AE23" s="186"/>
      <c r="AF23" s="186"/>
      <c r="AG23" s="186"/>
      <c r="AH23" s="186"/>
    </row>
    <row r="24" spans="2:34" ht="13.35" customHeight="1">
      <c r="B24" s="133"/>
      <c r="C24" s="134"/>
      <c r="D24" s="140">
        <v>206</v>
      </c>
      <c r="E24" s="133" t="s">
        <v>12</v>
      </c>
      <c r="F24" s="133">
        <v>8</v>
      </c>
      <c r="G24" s="56">
        <f>IF(LEFT(E24,1)="F",1,2)</f>
        <v>2</v>
      </c>
      <c r="H24" s="56">
        <f>IF(MID(E24,2,1)="S",1,IF(MID(E24,2,1)="T",2,IF(MID(E24,2,1)="D",3,0)))</f>
        <v>1</v>
      </c>
      <c r="I24" s="56">
        <f>IF(RIGHT(E24,1)="L",1,2)</f>
        <v>1</v>
      </c>
      <c r="J24" s="133">
        <v>2</v>
      </c>
      <c r="K24" s="133" t="str">
        <f>(G24&amp;H24&amp;I24&amp;"."&amp;J24)</f>
        <v>211.2</v>
      </c>
      <c r="L24" s="141"/>
      <c r="M24" s="134">
        <v>43.6</v>
      </c>
      <c r="N24" s="142"/>
      <c r="O24" s="143"/>
      <c r="P24" s="144"/>
      <c r="Q24" s="144"/>
      <c r="R24" s="155"/>
      <c r="S24" s="170"/>
      <c r="AA24" s="186"/>
      <c r="AB24" s="186"/>
      <c r="AC24" s="186"/>
      <c r="AD24" s="186"/>
      <c r="AE24" s="186"/>
      <c r="AF24" s="186"/>
      <c r="AG24" s="186"/>
      <c r="AH24" s="186"/>
    </row>
    <row r="25" spans="2:34" ht="13.35" customHeight="1">
      <c r="B25" s="133"/>
      <c r="C25" s="134"/>
      <c r="D25" s="140">
        <v>207</v>
      </c>
      <c r="E25" s="133" t="s">
        <v>4</v>
      </c>
      <c r="F25" s="133">
        <v>4</v>
      </c>
      <c r="G25" s="56">
        <f>IF(LEFT(E25,1)="F",1,2)</f>
        <v>1</v>
      </c>
      <c r="H25" s="56">
        <f>IF(MID(E25,2,1)="S",1,IF(MID(E25,2,1)="T",2,IF(MID(E25,2,1)="D",3,0)))</f>
        <v>2</v>
      </c>
      <c r="I25" s="56">
        <f>IF(RIGHT(E25,1)="L",1,2)</f>
        <v>1</v>
      </c>
      <c r="J25" s="133">
        <v>2</v>
      </c>
      <c r="K25" s="133" t="str">
        <f>(G25&amp;H25&amp;I25&amp;"."&amp;J25)</f>
        <v>121.2</v>
      </c>
      <c r="L25" s="141"/>
      <c r="M25" s="134">
        <v>36.799999999999997</v>
      </c>
      <c r="N25" s="142"/>
      <c r="O25" s="143"/>
      <c r="P25" s="144"/>
      <c r="Q25" s="144"/>
      <c r="R25" s="155"/>
      <c r="S25" s="170"/>
      <c r="AA25" s="171"/>
      <c r="AB25" s="171"/>
      <c r="AC25" s="171"/>
      <c r="AD25" s="171"/>
      <c r="AE25" s="171"/>
      <c r="AF25" s="171"/>
      <c r="AG25" s="171"/>
      <c r="AH25" s="171"/>
    </row>
    <row r="26" spans="2:34" ht="13.35" customHeight="1" thickBot="1">
      <c r="B26" s="133"/>
      <c r="C26" s="134"/>
      <c r="D26" s="147">
        <v>208</v>
      </c>
      <c r="E26" s="148" t="s">
        <v>13</v>
      </c>
      <c r="F26" s="148">
        <v>2</v>
      </c>
      <c r="G26" s="50">
        <f>IF(LEFT(E26,1)="F",1,2)</f>
        <v>1</v>
      </c>
      <c r="H26" s="50">
        <f>IF(MID(E26,2,1)="S",1,IF(MID(E26,2,1)="T",2,IF(MID(E26,2,1)="D",3,0)))</f>
        <v>1</v>
      </c>
      <c r="I26" s="50">
        <f>IF(RIGHT(E26,1)="L",1,2)</f>
        <v>1</v>
      </c>
      <c r="J26" s="148">
        <v>2</v>
      </c>
      <c r="K26" s="148" t="str">
        <f>(G26&amp;H26&amp;I26&amp;"."&amp;J26)</f>
        <v>111.2</v>
      </c>
      <c r="L26" s="149"/>
      <c r="M26" s="150">
        <v>40.9</v>
      </c>
      <c r="N26" s="151"/>
      <c r="O26" s="152"/>
      <c r="P26" s="153"/>
      <c r="Q26" s="153"/>
      <c r="R26" s="156"/>
      <c r="S26" s="170"/>
      <c r="X26" s="183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</row>
    <row r="27" spans="2:34" ht="13.35" customHeight="1">
      <c r="B27" s="133"/>
      <c r="C27" s="134"/>
      <c r="D27" s="135">
        <v>908</v>
      </c>
      <c r="E27" s="157" t="s">
        <v>416</v>
      </c>
      <c r="F27" s="136">
        <v>21</v>
      </c>
      <c r="G27" s="62">
        <v>3</v>
      </c>
      <c r="H27" s="62">
        <v>2</v>
      </c>
      <c r="I27" s="62">
        <v>2</v>
      </c>
      <c r="J27" s="136">
        <v>2</v>
      </c>
      <c r="K27" s="136" t="str">
        <f>(G27&amp;H27&amp;I27&amp;"."&amp;J27)</f>
        <v>322.2</v>
      </c>
      <c r="L27" s="182">
        <v>0.47847222222222219</v>
      </c>
      <c r="M27" s="137">
        <v>54.9</v>
      </c>
      <c r="N27" s="138"/>
      <c r="O27" s="139"/>
      <c r="P27" s="139"/>
      <c r="Q27" s="139"/>
      <c r="R27" s="158"/>
      <c r="S27" s="170"/>
      <c r="X27" s="183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</row>
    <row r="28" spans="2:34" ht="13.35" customHeight="1">
      <c r="B28" s="133"/>
      <c r="C28" s="134"/>
      <c r="D28" s="140">
        <v>907</v>
      </c>
      <c r="E28" s="133" t="s">
        <v>17</v>
      </c>
      <c r="F28" s="133">
        <v>31</v>
      </c>
      <c r="G28" s="56">
        <v>8</v>
      </c>
      <c r="H28" s="56">
        <v>0</v>
      </c>
      <c r="I28" s="56">
        <v>1</v>
      </c>
      <c r="J28" s="133">
        <v>2</v>
      </c>
      <c r="K28" s="133" t="str">
        <f>(G28&amp;H28&amp;I28&amp;"."&amp;J28)</f>
        <v>801.2</v>
      </c>
      <c r="L28" s="154"/>
      <c r="M28" s="159"/>
      <c r="N28" s="160"/>
      <c r="O28" s="161"/>
      <c r="P28" s="162"/>
      <c r="Q28" s="162"/>
      <c r="R28" s="163"/>
      <c r="S28" s="170"/>
      <c r="X28" s="183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</row>
    <row r="29" spans="2:34" ht="13.35" customHeight="1">
      <c r="B29" s="133"/>
      <c r="C29" s="134"/>
      <c r="D29" s="140">
        <v>906</v>
      </c>
      <c r="E29" s="164" t="s">
        <v>415</v>
      </c>
      <c r="F29" s="133">
        <v>22</v>
      </c>
      <c r="G29" s="56">
        <v>4</v>
      </c>
      <c r="H29" s="56">
        <v>2</v>
      </c>
      <c r="I29" s="56">
        <v>2</v>
      </c>
      <c r="J29" s="133">
        <v>2</v>
      </c>
      <c r="K29" s="133" t="str">
        <f>(G29&amp;H29&amp;I29&amp;"."&amp;J29)</f>
        <v>422.2</v>
      </c>
      <c r="L29" s="141"/>
      <c r="M29" s="134">
        <v>46.2</v>
      </c>
      <c r="N29" s="142"/>
      <c r="O29" s="143"/>
      <c r="P29" s="144"/>
      <c r="Q29" s="144"/>
      <c r="R29" s="155"/>
      <c r="S29" s="170"/>
      <c r="X29" s="183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</row>
    <row r="30" spans="2:34" ht="13.35" customHeight="1">
      <c r="B30" s="133"/>
      <c r="C30" s="134"/>
      <c r="D30" s="140">
        <v>905</v>
      </c>
      <c r="E30" s="133" t="s">
        <v>16</v>
      </c>
      <c r="F30" s="133">
        <v>32</v>
      </c>
      <c r="G30" s="56">
        <v>9</v>
      </c>
      <c r="H30" s="56">
        <v>0</v>
      </c>
      <c r="I30" s="56">
        <v>1</v>
      </c>
      <c r="J30" s="133">
        <v>2</v>
      </c>
      <c r="K30" s="133" t="str">
        <f>(G30&amp;H30&amp;I30&amp;"."&amp;J30)</f>
        <v>901.2</v>
      </c>
      <c r="L30" s="154"/>
      <c r="M30" s="159"/>
      <c r="N30" s="160"/>
      <c r="O30" s="161"/>
      <c r="P30" s="162"/>
      <c r="Q30" s="162"/>
      <c r="R30" s="163"/>
      <c r="S30" s="170"/>
      <c r="X30" s="183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</row>
    <row r="31" spans="2:34" ht="13.35" customHeight="1">
      <c r="B31" s="133"/>
      <c r="C31" s="134"/>
      <c r="D31" s="140">
        <v>904</v>
      </c>
      <c r="E31" s="164" t="s">
        <v>416</v>
      </c>
      <c r="F31" s="133">
        <v>21</v>
      </c>
      <c r="G31" s="56">
        <v>3</v>
      </c>
      <c r="H31" s="56">
        <v>2</v>
      </c>
      <c r="I31" s="56">
        <v>2</v>
      </c>
      <c r="J31" s="133">
        <v>1</v>
      </c>
      <c r="K31" s="133" t="str">
        <f>(G31&amp;H31&amp;I31&amp;"."&amp;J31)</f>
        <v>322.1</v>
      </c>
      <c r="L31" s="141"/>
      <c r="M31" s="134">
        <v>56.7</v>
      </c>
      <c r="N31" s="142"/>
      <c r="O31" s="143"/>
      <c r="P31" s="144"/>
      <c r="Q31" s="144"/>
      <c r="R31" s="155"/>
      <c r="S31" s="170"/>
      <c r="X31" s="183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</row>
    <row r="32" spans="2:34" ht="13.35" customHeight="1">
      <c r="B32" s="133"/>
      <c r="C32" s="134"/>
      <c r="D32" s="140">
        <v>903</v>
      </c>
      <c r="E32" s="133" t="s">
        <v>17</v>
      </c>
      <c r="F32" s="133">
        <v>31</v>
      </c>
      <c r="G32" s="56">
        <v>8</v>
      </c>
      <c r="H32" s="56">
        <v>0</v>
      </c>
      <c r="I32" s="56">
        <v>1</v>
      </c>
      <c r="J32" s="133">
        <v>1</v>
      </c>
      <c r="K32" s="133" t="str">
        <f>(G32&amp;H32&amp;I32&amp;"."&amp;J32)</f>
        <v>801.1</v>
      </c>
      <c r="L32" s="154"/>
      <c r="M32" s="159"/>
      <c r="N32" s="160"/>
      <c r="O32" s="161"/>
      <c r="P32" s="162"/>
      <c r="Q32" s="162"/>
      <c r="R32" s="163"/>
      <c r="S32" s="170"/>
      <c r="T32" s="170"/>
      <c r="U32" s="170"/>
      <c r="V32" s="170"/>
      <c r="X32" s="183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</row>
    <row r="33" spans="2:34" ht="13.35" customHeight="1">
      <c r="B33" s="133"/>
      <c r="C33" s="134"/>
      <c r="D33" s="140">
        <v>902</v>
      </c>
      <c r="E33" s="164" t="s">
        <v>415</v>
      </c>
      <c r="F33" s="133">
        <v>22</v>
      </c>
      <c r="G33" s="56">
        <v>4</v>
      </c>
      <c r="H33" s="56">
        <v>2</v>
      </c>
      <c r="I33" s="56">
        <v>2</v>
      </c>
      <c r="J33" s="133">
        <v>1</v>
      </c>
      <c r="K33" s="133" t="str">
        <f>(G33&amp;H33&amp;I33&amp;"."&amp;J33)</f>
        <v>422.1</v>
      </c>
      <c r="L33" s="141"/>
      <c r="M33" s="134">
        <v>44.6</v>
      </c>
      <c r="N33" s="142"/>
      <c r="O33" s="143"/>
      <c r="P33" s="144"/>
      <c r="Q33" s="144"/>
      <c r="R33" s="155"/>
      <c r="S33" s="170"/>
      <c r="T33" s="170"/>
      <c r="U33" s="170"/>
      <c r="V33" s="170"/>
      <c r="X33" s="183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</row>
    <row r="34" spans="2:34" ht="13.35" customHeight="1" thickBot="1">
      <c r="B34" s="133"/>
      <c r="C34" s="134"/>
      <c r="D34" s="147">
        <v>901</v>
      </c>
      <c r="E34" s="148" t="s">
        <v>16</v>
      </c>
      <c r="F34" s="148">
        <v>32</v>
      </c>
      <c r="G34" s="50">
        <v>9</v>
      </c>
      <c r="H34" s="50">
        <v>0</v>
      </c>
      <c r="I34" s="50">
        <v>1</v>
      </c>
      <c r="J34" s="148">
        <v>1</v>
      </c>
      <c r="K34" s="148" t="str">
        <f>(G34&amp;H34&amp;I34&amp;"."&amp;J34)</f>
        <v>901.1</v>
      </c>
      <c r="L34" s="154"/>
      <c r="M34" s="165"/>
      <c r="N34" s="166"/>
      <c r="O34" s="167"/>
      <c r="P34" s="168"/>
      <c r="Q34" s="168"/>
      <c r="R34" s="169"/>
      <c r="S34" s="170"/>
      <c r="T34" s="170"/>
      <c r="U34" s="170"/>
      <c r="V34" s="170"/>
      <c r="X34" s="183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</row>
    <row r="35" spans="2:34" ht="13.35" customHeight="1">
      <c r="B35" s="133"/>
      <c r="C35" s="134"/>
      <c r="D35" s="135">
        <v>301</v>
      </c>
      <c r="E35" s="136" t="s">
        <v>6</v>
      </c>
      <c r="F35" s="136">
        <v>10</v>
      </c>
      <c r="G35" s="62">
        <f>IF(LEFT(E35,1)="F",1,2)</f>
        <v>2</v>
      </c>
      <c r="H35" s="62">
        <f>IF(MID(E35,2,1)="S",1,IF(MID(E35,2,1)="T",2,IF(MID(E35,2,1)="D",3,0)))</f>
        <v>2</v>
      </c>
      <c r="I35" s="62">
        <f>IF(RIGHT(E35,1)="L",1,2)</f>
        <v>1</v>
      </c>
      <c r="J35" s="136">
        <v>3</v>
      </c>
      <c r="K35" s="136" t="str">
        <f>(G35&amp;H35&amp;I35&amp;"."&amp;J35)</f>
        <v>221.3</v>
      </c>
      <c r="L35" s="182">
        <v>0.48333333333333334</v>
      </c>
      <c r="M35" s="137">
        <v>39.700000000000003</v>
      </c>
      <c r="N35" s="138"/>
      <c r="O35" s="139"/>
      <c r="P35" s="139"/>
      <c r="Q35" s="139"/>
      <c r="R35" s="158"/>
      <c r="S35" s="170"/>
      <c r="T35" s="170"/>
      <c r="U35" s="170"/>
      <c r="V35" s="170"/>
      <c r="X35" s="183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</row>
    <row r="36" spans="2:34" ht="13.35" customHeight="1">
      <c r="B36" s="133"/>
      <c r="C36" s="134"/>
      <c r="D36" s="140">
        <v>302</v>
      </c>
      <c r="E36" s="133" t="s">
        <v>4</v>
      </c>
      <c r="F36" s="133">
        <v>4</v>
      </c>
      <c r="G36" s="56">
        <f>IF(LEFT(E36,1)="F",1,2)</f>
        <v>1</v>
      </c>
      <c r="H36" s="56">
        <f>IF(MID(E36,2,1)="S",1,IF(MID(E36,2,1)="T",2,IF(MID(E36,2,1)="D",3,0)))</f>
        <v>2</v>
      </c>
      <c r="I36" s="56">
        <f>IF(RIGHT(E36,1)="L",1,2)</f>
        <v>1</v>
      </c>
      <c r="J36" s="133">
        <v>3</v>
      </c>
      <c r="K36" s="133" t="str">
        <f>(G36&amp;H36&amp;I36&amp;"."&amp;J36)</f>
        <v>121.3</v>
      </c>
      <c r="L36" s="154"/>
      <c r="M36" s="134">
        <v>36.299999999999997</v>
      </c>
      <c r="N36" s="142"/>
      <c r="O36" s="143"/>
      <c r="P36" s="144"/>
      <c r="Q36" s="144"/>
      <c r="R36" s="155"/>
      <c r="S36" s="170"/>
      <c r="T36" s="170"/>
      <c r="U36" s="170"/>
      <c r="V36" s="170"/>
    </row>
    <row r="37" spans="2:34" ht="13.35" customHeight="1">
      <c r="B37" s="133"/>
      <c r="C37" s="134"/>
      <c r="D37" s="140">
        <v>303</v>
      </c>
      <c r="E37" s="133" t="s">
        <v>12</v>
      </c>
      <c r="F37" s="133">
        <v>8</v>
      </c>
      <c r="G37" s="56">
        <f>IF(LEFT(E37,1)="F",1,2)</f>
        <v>2</v>
      </c>
      <c r="H37" s="56">
        <f>IF(MID(E37,2,1)="S",1,IF(MID(E37,2,1)="T",2,IF(MID(E37,2,1)="D",3,0)))</f>
        <v>1</v>
      </c>
      <c r="I37" s="56">
        <f>IF(RIGHT(E37,1)="L",1,2)</f>
        <v>1</v>
      </c>
      <c r="J37" s="133">
        <v>3</v>
      </c>
      <c r="K37" s="133" t="str">
        <f>(G37&amp;H37&amp;I37&amp;"."&amp;J37)</f>
        <v>211.3</v>
      </c>
      <c r="L37" s="141"/>
      <c r="M37" s="134">
        <v>38.700000000000003</v>
      </c>
      <c r="N37" s="142"/>
      <c r="O37" s="143"/>
      <c r="P37" s="144"/>
      <c r="Q37" s="144"/>
      <c r="R37" s="155"/>
      <c r="S37" s="170"/>
      <c r="T37" s="170"/>
      <c r="U37" s="170"/>
      <c r="V37" s="170"/>
      <c r="X37" s="183"/>
      <c r="Y37" s="186"/>
      <c r="Z37" s="186"/>
      <c r="AA37" s="186"/>
      <c r="AB37" s="186"/>
      <c r="AC37" s="186"/>
      <c r="AD37" s="186"/>
      <c r="AE37" s="186"/>
      <c r="AF37" s="186"/>
      <c r="AG37" s="186"/>
      <c r="AH37" s="186"/>
    </row>
    <row r="38" spans="2:34" ht="13.35" customHeight="1">
      <c r="B38" s="133"/>
      <c r="C38" s="134"/>
      <c r="D38" s="140">
        <v>304</v>
      </c>
      <c r="E38" s="133" t="s">
        <v>13</v>
      </c>
      <c r="F38" s="133">
        <v>2</v>
      </c>
      <c r="G38" s="56">
        <f>IF(LEFT(E38,1)="F",1,2)</f>
        <v>1</v>
      </c>
      <c r="H38" s="56">
        <f>IF(MID(E38,2,1)="S",1,IF(MID(E38,2,1)="T",2,IF(MID(E38,2,1)="D",3,0)))</f>
        <v>1</v>
      </c>
      <c r="I38" s="56">
        <f>IF(RIGHT(E38,1)="L",1,2)</f>
        <v>1</v>
      </c>
      <c r="J38" s="133">
        <v>3</v>
      </c>
      <c r="K38" s="133" t="str">
        <f>(G38&amp;H38&amp;I38&amp;"."&amp;J38)</f>
        <v>111.3</v>
      </c>
      <c r="L38" s="141"/>
      <c r="M38" s="134">
        <v>37.9</v>
      </c>
      <c r="N38" s="142"/>
      <c r="O38" s="143"/>
      <c r="P38" s="144"/>
      <c r="Q38" s="144"/>
      <c r="R38" s="155"/>
      <c r="S38" s="170"/>
      <c r="T38" s="170"/>
      <c r="U38" s="170"/>
      <c r="V38" s="170"/>
      <c r="X38" s="183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</row>
    <row r="39" spans="2:34" ht="13.35" customHeight="1">
      <c r="B39" s="133"/>
      <c r="C39" s="134"/>
      <c r="D39" s="140">
        <v>305</v>
      </c>
      <c r="E39" s="133" t="s">
        <v>11</v>
      </c>
      <c r="F39" s="133">
        <v>11</v>
      </c>
      <c r="G39" s="56">
        <f>IF(LEFT(E39,1)="F",1,2)</f>
        <v>2</v>
      </c>
      <c r="H39" s="56">
        <f>IF(MID(E39,2,1)="S",1,IF(MID(E39,2,1)="T",2,IF(MID(E39,2,1)="D",3,0)))</f>
        <v>3</v>
      </c>
      <c r="I39" s="56">
        <f>IF(RIGHT(E39,1)="L",1,2)</f>
        <v>2</v>
      </c>
      <c r="J39" s="133">
        <v>4</v>
      </c>
      <c r="K39" s="133" t="str">
        <f>(G39&amp;H39&amp;I39&amp;"."&amp;J39)</f>
        <v>232.4</v>
      </c>
      <c r="L39" s="141"/>
      <c r="M39" s="134">
        <v>39.9</v>
      </c>
      <c r="N39" s="142"/>
      <c r="O39" s="143"/>
      <c r="P39" s="144"/>
      <c r="Q39" s="144"/>
      <c r="R39" s="155"/>
      <c r="S39" s="170"/>
      <c r="T39" s="170"/>
      <c r="U39" s="170"/>
      <c r="V39" s="170"/>
      <c r="X39" s="183"/>
      <c r="Y39" s="171"/>
      <c r="Z39" s="171"/>
      <c r="AA39" s="171"/>
      <c r="AB39" s="171"/>
      <c r="AC39" s="171"/>
      <c r="AD39" s="171"/>
      <c r="AE39" s="171"/>
      <c r="AF39" s="171"/>
      <c r="AG39" s="187"/>
      <c r="AH39" s="186"/>
    </row>
    <row r="40" spans="2:34" ht="13.35" customHeight="1" thickBot="1">
      <c r="B40" s="133"/>
      <c r="C40" s="134"/>
      <c r="D40" s="140">
        <v>306</v>
      </c>
      <c r="E40" s="133" t="s">
        <v>4</v>
      </c>
      <c r="F40" s="133">
        <v>4</v>
      </c>
      <c r="G40" s="56">
        <f>IF(LEFT(E40,1)="F",1,2)</f>
        <v>1</v>
      </c>
      <c r="H40" s="56">
        <f>IF(MID(E40,2,1)="S",1,IF(MID(E40,2,1)="T",2,IF(MID(E40,2,1)="D",3,0)))</f>
        <v>2</v>
      </c>
      <c r="I40" s="56">
        <f>IF(RIGHT(E40,1)="L",1,2)</f>
        <v>1</v>
      </c>
      <c r="J40" s="133">
        <v>4</v>
      </c>
      <c r="K40" s="133" t="str">
        <f>(G40&amp;H40&amp;I40&amp;"."&amp;J40)</f>
        <v>121.4</v>
      </c>
      <c r="L40" s="141"/>
      <c r="M40" s="134">
        <v>37</v>
      </c>
      <c r="N40" s="142"/>
      <c r="O40" s="143"/>
      <c r="P40" s="144"/>
      <c r="Q40" s="144"/>
      <c r="R40" s="155"/>
      <c r="S40" s="170"/>
      <c r="T40" s="170"/>
      <c r="U40" s="170"/>
      <c r="V40" s="170"/>
      <c r="X40" s="183"/>
      <c r="Y40" s="171"/>
      <c r="Z40" s="171"/>
      <c r="AA40" s="171"/>
      <c r="AB40" s="171"/>
      <c r="AC40" s="171"/>
      <c r="AD40" s="171"/>
      <c r="AE40" s="171"/>
      <c r="AF40" s="171"/>
      <c r="AG40" s="171"/>
      <c r="AH40" s="186"/>
    </row>
    <row r="41" spans="2:34" ht="13.35" customHeight="1" thickBot="1">
      <c r="B41" s="133"/>
      <c r="C41" s="134"/>
      <c r="D41" s="140">
        <v>307</v>
      </c>
      <c r="E41" s="133" t="s">
        <v>7</v>
      </c>
      <c r="F41" s="133">
        <v>9</v>
      </c>
      <c r="G41" s="56">
        <f>IF(LEFT(E41,1)="F",1,2)</f>
        <v>2</v>
      </c>
      <c r="H41" s="56">
        <f>IF(MID(E41,2,1)="S",1,IF(MID(E41,2,1)="T",2,IF(MID(E41,2,1)="D",3,0)))</f>
        <v>2</v>
      </c>
      <c r="I41" s="56">
        <f>IF(RIGHT(E41,1)="L",1,2)</f>
        <v>2</v>
      </c>
      <c r="J41" s="133">
        <v>4</v>
      </c>
      <c r="K41" s="133" t="str">
        <f>(G41&amp;H41&amp;I41&amp;"."&amp;J41)</f>
        <v>222.4</v>
      </c>
      <c r="L41" s="141"/>
      <c r="M41" s="134">
        <v>47</v>
      </c>
      <c r="N41" s="142"/>
      <c r="O41" s="143"/>
      <c r="P41" s="144"/>
      <c r="Q41" s="185" t="s">
        <v>414</v>
      </c>
      <c r="R41" s="184"/>
      <c r="S41" s="170"/>
      <c r="T41" s="170"/>
      <c r="U41" s="170"/>
      <c r="V41" s="170"/>
      <c r="X41" s="183"/>
      <c r="Y41" s="171"/>
      <c r="Z41" s="171"/>
      <c r="AA41" s="171"/>
      <c r="AB41" s="171"/>
      <c r="AC41" s="171"/>
      <c r="AD41" s="171"/>
      <c r="AE41" s="171"/>
      <c r="AF41" s="171"/>
      <c r="AG41" s="171"/>
    </row>
    <row r="42" spans="2:34" ht="13.35" customHeight="1" thickBot="1">
      <c r="B42" s="133"/>
      <c r="C42" s="134"/>
      <c r="D42" s="147">
        <v>308</v>
      </c>
      <c r="E42" s="148" t="s">
        <v>5</v>
      </c>
      <c r="F42" s="148">
        <v>5</v>
      </c>
      <c r="G42" s="50">
        <f>IF(LEFT(E42,1)="F",1,2)</f>
        <v>1</v>
      </c>
      <c r="H42" s="50">
        <f>IF(MID(E42,2,1)="S",1,IF(MID(E42,2,1)="T",2,IF(MID(E42,2,1)="D",3,0)))</f>
        <v>3</v>
      </c>
      <c r="I42" s="50">
        <f>IF(RIGHT(E42,1)="L",1,2)</f>
        <v>2</v>
      </c>
      <c r="J42" s="148">
        <v>4</v>
      </c>
      <c r="K42" s="148" t="str">
        <f>(G42&amp;H42&amp;I42&amp;"."&amp;J42)</f>
        <v>132.4</v>
      </c>
      <c r="L42" s="149"/>
      <c r="M42" s="150">
        <v>42.4</v>
      </c>
      <c r="N42" s="151"/>
      <c r="O42" s="152"/>
      <c r="P42" s="153"/>
      <c r="Q42" s="145" t="s">
        <v>413</v>
      </c>
      <c r="R42" s="146">
        <v>4.3</v>
      </c>
      <c r="S42" s="170"/>
      <c r="T42" s="170"/>
      <c r="U42" s="170"/>
      <c r="V42" s="170"/>
    </row>
    <row r="43" spans="2:34" ht="13.35" customHeight="1" thickBot="1">
      <c r="B43" s="133"/>
      <c r="C43" s="134"/>
      <c r="D43" s="135">
        <v>408</v>
      </c>
      <c r="E43" s="136" t="s">
        <v>6</v>
      </c>
      <c r="F43" s="136">
        <v>10</v>
      </c>
      <c r="G43" s="62">
        <f>IF(LEFT(E43,1)="F",1,2)</f>
        <v>2</v>
      </c>
      <c r="H43" s="62">
        <f>IF(MID(E43,2,1)="S",1,IF(MID(E43,2,1)="T",2,IF(MID(E43,2,1)="D",3,0)))</f>
        <v>2</v>
      </c>
      <c r="I43" s="62">
        <f>IF(RIGHT(E43,1)="L",1,2)</f>
        <v>1</v>
      </c>
      <c r="J43" s="136">
        <v>4</v>
      </c>
      <c r="K43" s="136" t="str">
        <f>(G43&amp;H43&amp;I43&amp;"."&amp;J43)</f>
        <v>221.4</v>
      </c>
      <c r="L43" s="182">
        <v>0.49027777777777781</v>
      </c>
      <c r="M43" s="137">
        <v>40.5</v>
      </c>
      <c r="N43" s="138"/>
      <c r="O43" s="139"/>
      <c r="P43" s="139"/>
      <c r="Q43" s="145" t="s">
        <v>412</v>
      </c>
      <c r="R43" s="146">
        <v>11.7</v>
      </c>
      <c r="S43" s="170"/>
      <c r="T43" s="170"/>
      <c r="U43" s="170"/>
      <c r="V43" s="170"/>
    </row>
    <row r="44" spans="2:34" ht="13.35" customHeight="1" thickBot="1">
      <c r="B44" s="133"/>
      <c r="C44" s="134"/>
      <c r="D44" s="140">
        <v>407</v>
      </c>
      <c r="E44" s="133" t="s">
        <v>14</v>
      </c>
      <c r="F44" s="133">
        <v>7</v>
      </c>
      <c r="G44" s="56">
        <f>IF(LEFT(E44,1)="F",1,2)</f>
        <v>2</v>
      </c>
      <c r="H44" s="56">
        <f>IF(MID(E44,2,1)="S",1,IF(MID(E44,2,1)="T",2,IF(MID(E44,2,1)="D",3,0)))</f>
        <v>1</v>
      </c>
      <c r="I44" s="56">
        <f>IF(RIGHT(E44,1)="L",1,2)</f>
        <v>2</v>
      </c>
      <c r="J44" s="133">
        <v>4</v>
      </c>
      <c r="K44" s="133" t="str">
        <f>(G44&amp;H44&amp;I44&amp;"."&amp;J44)</f>
        <v>212.4</v>
      </c>
      <c r="L44" s="154"/>
      <c r="M44" s="134">
        <v>46.7</v>
      </c>
      <c r="N44" s="142"/>
      <c r="O44" s="143"/>
      <c r="P44" s="144"/>
      <c r="Q44" s="145" t="s">
        <v>411</v>
      </c>
      <c r="R44" s="146">
        <v>19</v>
      </c>
      <c r="S44" s="170"/>
      <c r="T44" s="170"/>
      <c r="U44" s="170"/>
      <c r="V44" s="170"/>
    </row>
    <row r="45" spans="2:34" ht="13.35" customHeight="1" thickBot="1">
      <c r="B45" s="133"/>
      <c r="C45" s="134"/>
      <c r="D45" s="140">
        <v>406</v>
      </c>
      <c r="E45" s="133" t="s">
        <v>8</v>
      </c>
      <c r="F45" s="133">
        <v>3</v>
      </c>
      <c r="G45" s="56">
        <f>IF(LEFT(E45,1)="F",1,2)</f>
        <v>1</v>
      </c>
      <c r="H45" s="56">
        <f>IF(MID(E45,2,1)="S",1,IF(MID(E45,2,1)="T",2,IF(MID(E45,2,1)="D",3,0)))</f>
        <v>2</v>
      </c>
      <c r="I45" s="56">
        <f>IF(RIGHT(E45,1)="L",1,2)</f>
        <v>2</v>
      </c>
      <c r="J45" s="133">
        <v>4</v>
      </c>
      <c r="K45" s="133" t="str">
        <f>(G45&amp;H45&amp;I45&amp;"."&amp;J45)</f>
        <v>122.4</v>
      </c>
      <c r="L45" s="141"/>
      <c r="M45" s="134">
        <v>43.6</v>
      </c>
      <c r="N45" s="142"/>
      <c r="O45" s="143"/>
      <c r="P45" s="144"/>
      <c r="Q45" s="145" t="s">
        <v>410</v>
      </c>
      <c r="R45" s="146">
        <v>26.4</v>
      </c>
      <c r="S45" s="170"/>
      <c r="T45" s="170"/>
      <c r="U45" s="170"/>
      <c r="V45" s="170"/>
    </row>
    <row r="46" spans="2:34" ht="13.35" customHeight="1" thickBot="1">
      <c r="B46" s="133"/>
      <c r="C46" s="134"/>
      <c r="D46" s="140">
        <v>405</v>
      </c>
      <c r="E46" s="133" t="s">
        <v>15</v>
      </c>
      <c r="F46" s="133">
        <v>6</v>
      </c>
      <c r="G46" s="56">
        <f>IF(LEFT(E46,1)="F",1,2)</f>
        <v>1</v>
      </c>
      <c r="H46" s="56">
        <f>IF(MID(E46,2,1)="S",1,IF(MID(E46,2,1)="T",2,IF(MID(E46,2,1)="D",3,0)))</f>
        <v>3</v>
      </c>
      <c r="I46" s="56">
        <f>IF(RIGHT(E46,1)="L",1,2)</f>
        <v>1</v>
      </c>
      <c r="J46" s="133">
        <v>4</v>
      </c>
      <c r="K46" s="133" t="str">
        <f>(G46&amp;H46&amp;I46&amp;"."&amp;J46)</f>
        <v>131.4</v>
      </c>
      <c r="L46" s="141"/>
      <c r="M46" s="134">
        <v>37</v>
      </c>
      <c r="N46" s="142"/>
      <c r="O46" s="143"/>
      <c r="P46" s="144"/>
      <c r="Q46" s="145" t="s">
        <v>409</v>
      </c>
      <c r="R46" s="146">
        <v>33.6</v>
      </c>
      <c r="S46" s="170"/>
      <c r="T46" s="170"/>
      <c r="U46" s="170"/>
      <c r="V46" s="170"/>
    </row>
    <row r="47" spans="2:34" ht="13.35" customHeight="1" thickBot="1">
      <c r="B47" s="133"/>
      <c r="C47" s="134"/>
      <c r="D47" s="140">
        <v>404</v>
      </c>
      <c r="E47" s="133" t="s">
        <v>8</v>
      </c>
      <c r="F47" s="133">
        <v>3</v>
      </c>
      <c r="G47" s="56">
        <f>IF(LEFT(E47,1)="F",1,2)</f>
        <v>1</v>
      </c>
      <c r="H47" s="56">
        <f>IF(MID(E47,2,1)="S",1,IF(MID(E47,2,1)="T",2,IF(MID(E47,2,1)="D",3,0)))</f>
        <v>2</v>
      </c>
      <c r="I47" s="56">
        <f>IF(RIGHT(E47,1)="L",1,2)</f>
        <v>2</v>
      </c>
      <c r="J47" s="133">
        <v>3</v>
      </c>
      <c r="K47" s="133" t="str">
        <f>(G47&amp;H47&amp;I47&amp;"."&amp;J47)</f>
        <v>122.3</v>
      </c>
      <c r="L47" s="141"/>
      <c r="M47" s="134">
        <v>43.7</v>
      </c>
      <c r="N47" s="142"/>
      <c r="O47" s="143"/>
      <c r="P47" s="144"/>
      <c r="Q47" s="145" t="s">
        <v>408</v>
      </c>
      <c r="R47" s="146">
        <v>40.9</v>
      </c>
      <c r="S47" s="170"/>
      <c r="T47" s="170"/>
      <c r="U47" s="170"/>
      <c r="V47" s="170"/>
    </row>
    <row r="48" spans="2:34" ht="13.35" customHeight="1" thickBot="1">
      <c r="B48" s="133"/>
      <c r="C48" s="134"/>
      <c r="D48" s="140">
        <v>403</v>
      </c>
      <c r="E48" s="133" t="s">
        <v>15</v>
      </c>
      <c r="F48" s="133">
        <v>6</v>
      </c>
      <c r="G48" s="56">
        <f>IF(LEFT(E48,1)="F",1,2)</f>
        <v>1</v>
      </c>
      <c r="H48" s="56">
        <f>IF(MID(E48,2,1)="S",1,IF(MID(E48,2,1)="T",2,IF(MID(E48,2,1)="D",3,0)))</f>
        <v>3</v>
      </c>
      <c r="I48" s="56">
        <f>IF(RIGHT(E48,1)="L",1,2)</f>
        <v>1</v>
      </c>
      <c r="J48" s="133">
        <v>3</v>
      </c>
      <c r="K48" s="133" t="str">
        <f>(G48&amp;H48&amp;I48&amp;"."&amp;J48)</f>
        <v>131.3</v>
      </c>
      <c r="L48" s="141"/>
      <c r="M48" s="134">
        <v>38.5</v>
      </c>
      <c r="N48" s="142"/>
      <c r="O48" s="143"/>
      <c r="P48" s="144"/>
      <c r="Q48" s="145" t="s">
        <v>407</v>
      </c>
      <c r="R48" s="146">
        <v>48.4</v>
      </c>
      <c r="S48" s="170"/>
      <c r="T48" s="170"/>
      <c r="U48" s="170"/>
      <c r="V48" s="170"/>
    </row>
    <row r="49" spans="2:22" ht="13.35" customHeight="1" thickBot="1">
      <c r="B49" s="133"/>
      <c r="C49" s="134"/>
      <c r="D49" s="140">
        <v>402</v>
      </c>
      <c r="E49" s="133" t="s">
        <v>7</v>
      </c>
      <c r="F49" s="133">
        <v>9</v>
      </c>
      <c r="G49" s="56">
        <f>IF(LEFT(E49,1)="F",1,2)</f>
        <v>2</v>
      </c>
      <c r="H49" s="56">
        <f>IF(MID(E49,2,1)="S",1,IF(MID(E49,2,1)="T",2,IF(MID(E49,2,1)="D",3,0)))</f>
        <v>2</v>
      </c>
      <c r="I49" s="56">
        <f>IF(RIGHT(E49,1)="L",1,2)</f>
        <v>2</v>
      </c>
      <c r="J49" s="133">
        <v>3</v>
      </c>
      <c r="K49" s="133" t="str">
        <f>(G49&amp;H49&amp;I49&amp;"."&amp;J49)</f>
        <v>222.3</v>
      </c>
      <c r="L49" s="141"/>
      <c r="M49" s="134">
        <v>42.5</v>
      </c>
      <c r="N49" s="142"/>
      <c r="O49" s="143"/>
      <c r="P49" s="144"/>
      <c r="Q49" s="145" t="s">
        <v>406</v>
      </c>
      <c r="R49" s="146">
        <v>55.3</v>
      </c>
      <c r="S49" s="170"/>
      <c r="T49" s="170"/>
      <c r="U49" s="170"/>
      <c r="V49" s="170"/>
    </row>
    <row r="50" spans="2:22" ht="13.35" customHeight="1" thickBot="1">
      <c r="B50" s="148"/>
      <c r="C50" s="150"/>
      <c r="D50" s="147">
        <v>401</v>
      </c>
      <c r="E50" s="148" t="s">
        <v>14</v>
      </c>
      <c r="F50" s="148">
        <v>7</v>
      </c>
      <c r="G50" s="50">
        <f>IF(LEFT(E50,1)="F",1,2)</f>
        <v>2</v>
      </c>
      <c r="H50" s="50">
        <f>IF(MID(E50,2,1)="S",1,IF(MID(E50,2,1)="T",2,IF(MID(E50,2,1)="D",3,0)))</f>
        <v>1</v>
      </c>
      <c r="I50" s="50">
        <f>IF(RIGHT(E50,1)="L",1,2)</f>
        <v>2</v>
      </c>
      <c r="J50" s="148">
        <v>3</v>
      </c>
      <c r="K50" s="148" t="str">
        <f>(G50&amp;H50&amp;I50&amp;"."&amp;J50)</f>
        <v>212.3</v>
      </c>
      <c r="L50" s="182">
        <v>0.49861111111111112</v>
      </c>
      <c r="M50" s="150">
        <v>45.9</v>
      </c>
      <c r="N50" s="151"/>
      <c r="O50" s="152"/>
      <c r="P50" s="153"/>
      <c r="Q50" s="145" t="s">
        <v>405</v>
      </c>
      <c r="R50" s="146">
        <v>66</v>
      </c>
      <c r="S50" s="170"/>
      <c r="T50" s="170"/>
      <c r="U50" s="170"/>
      <c r="V50" s="170"/>
    </row>
    <row r="51" spans="2:22">
      <c r="B51" s="171"/>
      <c r="C51" s="171"/>
      <c r="D51" s="171"/>
      <c r="E51" s="171"/>
      <c r="F51" s="171"/>
      <c r="G51" s="121"/>
      <c r="H51" s="121"/>
      <c r="I51" s="121"/>
      <c r="J51" s="171"/>
      <c r="K51" s="171"/>
      <c r="L51" s="123"/>
      <c r="M51" s="123"/>
      <c r="N51" s="123"/>
      <c r="O51" s="123"/>
      <c r="P51" s="123"/>
      <c r="Q51" s="123"/>
      <c r="R51" s="123" t="s">
        <v>448</v>
      </c>
      <c r="S51" s="170"/>
      <c r="T51" s="170"/>
      <c r="U51" s="170"/>
      <c r="V51" s="170"/>
    </row>
    <row r="52" spans="2:22">
      <c r="B52" s="171"/>
      <c r="C52" s="171"/>
      <c r="D52" s="171"/>
      <c r="E52" s="181"/>
      <c r="F52" s="171"/>
      <c r="G52" s="121"/>
      <c r="H52" s="121"/>
      <c r="I52" s="121"/>
      <c r="J52" s="171"/>
      <c r="K52" s="171"/>
      <c r="L52" s="123"/>
      <c r="M52" s="123"/>
      <c r="N52" s="123"/>
      <c r="O52" s="123"/>
      <c r="P52" s="123"/>
      <c r="Q52" s="123"/>
      <c r="R52" s="123"/>
      <c r="S52" s="170"/>
      <c r="T52" s="170"/>
      <c r="U52" s="170"/>
      <c r="V52" s="170"/>
    </row>
    <row r="53" spans="2:22">
      <c r="B53" s="171"/>
      <c r="C53" s="171"/>
      <c r="D53" s="171"/>
      <c r="E53" s="171"/>
      <c r="F53" s="171"/>
      <c r="G53" s="121"/>
      <c r="H53" s="121"/>
      <c r="I53" s="121"/>
      <c r="J53" s="171"/>
      <c r="K53" s="171"/>
      <c r="L53" s="123"/>
      <c r="M53" s="123"/>
      <c r="N53" s="123"/>
      <c r="O53" s="123"/>
      <c r="P53" s="123"/>
      <c r="Q53" s="123"/>
      <c r="R53" s="123"/>
      <c r="S53" s="170"/>
      <c r="T53" s="170"/>
      <c r="U53" s="170"/>
      <c r="V53" s="170"/>
    </row>
    <row r="54" spans="2:22">
      <c r="B54" s="171"/>
      <c r="C54" s="171"/>
      <c r="D54" s="171"/>
      <c r="E54" s="181"/>
      <c r="F54" s="171"/>
      <c r="G54" s="121"/>
      <c r="H54" s="121"/>
      <c r="I54" s="121"/>
      <c r="J54" s="171"/>
      <c r="K54" s="171"/>
      <c r="L54" s="123"/>
      <c r="M54" s="123"/>
      <c r="N54" s="123"/>
      <c r="O54" s="123"/>
      <c r="P54" s="123"/>
      <c r="Q54" s="123"/>
      <c r="R54" s="123"/>
      <c r="S54" s="170"/>
      <c r="T54" s="170"/>
      <c r="U54" s="170"/>
      <c r="V54" s="170"/>
    </row>
    <row r="55" spans="2:22">
      <c r="B55" s="171"/>
      <c r="C55" s="171"/>
      <c r="D55" s="171"/>
      <c r="E55" s="171"/>
      <c r="F55" s="171"/>
      <c r="G55" s="121"/>
      <c r="H55" s="121"/>
      <c r="I55" s="121"/>
      <c r="J55" s="171"/>
      <c r="K55" s="171"/>
      <c r="L55" s="123"/>
      <c r="M55" s="123"/>
      <c r="N55" s="123"/>
      <c r="O55" s="123"/>
      <c r="P55" s="123"/>
      <c r="Q55" s="123"/>
      <c r="R55" s="123"/>
      <c r="S55" s="170"/>
      <c r="T55" s="170"/>
      <c r="U55" s="170"/>
      <c r="V55" s="170"/>
    </row>
    <row r="56" spans="2:22">
      <c r="B56" s="171"/>
      <c r="C56" s="171"/>
      <c r="D56" s="171"/>
      <c r="E56" s="181"/>
      <c r="F56" s="171"/>
      <c r="G56" s="121"/>
      <c r="H56" s="121"/>
      <c r="I56" s="121"/>
      <c r="J56" s="171"/>
      <c r="K56" s="171"/>
      <c r="L56" s="123"/>
      <c r="M56" s="123"/>
      <c r="N56" s="123"/>
      <c r="O56" s="123"/>
      <c r="P56" s="123"/>
      <c r="Q56" s="123"/>
      <c r="R56" s="123"/>
      <c r="S56" s="170"/>
      <c r="T56" s="170"/>
      <c r="U56" s="170"/>
      <c r="V56" s="170"/>
    </row>
    <row r="57" spans="2:22">
      <c r="B57" s="171"/>
      <c r="C57" s="171"/>
      <c r="D57" s="171"/>
      <c r="E57" s="171"/>
      <c r="F57" s="171"/>
      <c r="G57" s="121"/>
      <c r="H57" s="121"/>
      <c r="I57" s="121"/>
      <c r="J57" s="171"/>
      <c r="K57" s="171"/>
      <c r="L57" s="123"/>
      <c r="M57" s="123"/>
      <c r="N57" s="123"/>
      <c r="O57" s="123"/>
      <c r="P57" s="123"/>
      <c r="Q57" s="123"/>
      <c r="R57" s="123"/>
      <c r="S57" s="170"/>
      <c r="T57" s="170"/>
      <c r="U57" s="170"/>
      <c r="V57" s="170"/>
    </row>
    <row r="58" spans="2:22">
      <c r="B58" s="171"/>
      <c r="C58" s="171"/>
      <c r="D58" s="171"/>
      <c r="E58" s="181"/>
      <c r="F58" s="171"/>
      <c r="G58" s="121"/>
      <c r="H58" s="121"/>
      <c r="I58" s="121"/>
      <c r="J58" s="171"/>
      <c r="K58" s="171"/>
      <c r="L58" s="123"/>
      <c r="M58" s="123"/>
      <c r="N58" s="123"/>
      <c r="O58" s="123"/>
      <c r="P58" s="123"/>
      <c r="Q58" s="123"/>
      <c r="R58" s="123"/>
    </row>
  </sheetData>
  <mergeCells count="8">
    <mergeCell ref="N10:R10"/>
    <mergeCell ref="Q11:R11"/>
    <mergeCell ref="Q41:R41"/>
    <mergeCell ref="D4:E4"/>
    <mergeCell ref="Q7:R7"/>
    <mergeCell ref="Q8:R8"/>
    <mergeCell ref="F7:O7"/>
    <mergeCell ref="F8:O8"/>
  </mergeCells>
  <pageMargins left="0.23" right="0" top="0.85" bottom="0.57999999999999996" header="0.43" footer="0"/>
  <pageSetup paperSize="512" scale="110" orientation="portrait" r:id="rId2"/>
  <headerFooter alignWithMargins="0">
    <oddHeader xml:space="preserve">&amp;L&amp;"Comic Sans MS,Bold"&amp;14FISE2002 ---SPAD Readings in target area &amp;10(12 rdgs. per plot)&amp;C&amp;"Comic Sans MS,Bold"&amp;12       </oddHeader>
    <oddFooter>&amp;L&amp;F  &amp;A
  USWCL Remote Sensing &amp;"Arial,Italic"&amp;8(PJPinter 602-437-1702 x230)&amp;R&amp;D</oddFooter>
  </headerFooter>
  <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18DD3-F931-4CCE-94B7-D1C9682023A7}">
  <dimension ref="A2:BW58"/>
  <sheetViews>
    <sheetView topLeftCell="A4" zoomScaleNormal="100" workbookViewId="0">
      <selection activeCell="U12" sqref="U12"/>
    </sheetView>
  </sheetViews>
  <sheetFormatPr defaultRowHeight="12.75"/>
  <cols>
    <col min="1" max="1" width="9.140625" style="122"/>
    <col min="2" max="2" width="3.7109375" style="122" hidden="1" customWidth="1"/>
    <col min="3" max="3" width="5.140625" style="122" hidden="1" customWidth="1"/>
    <col min="4" max="4" width="4.85546875" style="122" customWidth="1"/>
    <col min="5" max="5" width="5.7109375" style="122" customWidth="1"/>
    <col min="6" max="6" width="5.28515625" style="122" customWidth="1"/>
    <col min="7" max="9" width="5.28515625" style="122" hidden="1" customWidth="1"/>
    <col min="10" max="10" width="5.28515625" style="122" customWidth="1"/>
    <col min="11" max="11" width="7" style="122" hidden="1" customWidth="1"/>
    <col min="12" max="19" width="9.140625" style="122"/>
    <col min="20" max="20" width="11.7109375" style="122" customWidth="1"/>
    <col min="21" max="21" width="7.140625" style="122" customWidth="1"/>
    <col min="22" max="22" width="11.7109375" style="122" customWidth="1"/>
    <col min="23" max="23" width="9.140625" style="122"/>
    <col min="24" max="24" width="7.5703125" style="122" customWidth="1"/>
    <col min="25" max="34" width="7.7109375" style="122" customWidth="1"/>
    <col min="35" max="16384" width="9.140625" style="122"/>
  </cols>
  <sheetData>
    <row r="2" spans="1:75" ht="22.5">
      <c r="A2" s="177" t="s">
        <v>429</v>
      </c>
    </row>
    <row r="4" spans="1:75" ht="22.5">
      <c r="A4" s="177" t="s">
        <v>428</v>
      </c>
      <c r="D4" s="201">
        <v>256</v>
      </c>
      <c r="E4" s="201"/>
    </row>
    <row r="6" spans="1:75" ht="15" customHeight="1" thickBot="1">
      <c r="B6" s="123"/>
      <c r="C6" s="123"/>
      <c r="D6" s="123" t="s">
        <v>427</v>
      </c>
      <c r="E6" s="123"/>
      <c r="P6" s="123" t="s">
        <v>426</v>
      </c>
      <c r="R6" s="124">
        <v>10647</v>
      </c>
    </row>
    <row r="7" spans="1:75" ht="15" customHeight="1" thickBot="1">
      <c r="A7" s="123"/>
      <c r="B7" s="123"/>
      <c r="C7" s="123"/>
      <c r="D7" s="123" t="s">
        <v>336</v>
      </c>
      <c r="E7" s="123"/>
      <c r="F7" s="199" t="s">
        <v>453</v>
      </c>
      <c r="G7" s="199"/>
      <c r="H7" s="199"/>
      <c r="I7" s="199"/>
      <c r="J7" s="199"/>
      <c r="K7" s="199"/>
      <c r="L7" s="199"/>
      <c r="M7" s="199"/>
      <c r="N7" s="199"/>
      <c r="O7" s="199"/>
      <c r="P7" s="125" t="s">
        <v>358</v>
      </c>
      <c r="Q7" s="200">
        <v>37512</v>
      </c>
      <c r="R7" s="199"/>
      <c r="U7" s="171"/>
      <c r="V7" s="171"/>
      <c r="W7" s="171"/>
      <c r="X7" s="171"/>
    </row>
    <row r="8" spans="1:75" ht="13.5" thickBot="1">
      <c r="F8" s="198" t="s">
        <v>452</v>
      </c>
      <c r="G8" s="198"/>
      <c r="H8" s="198"/>
      <c r="I8" s="198"/>
      <c r="J8" s="198"/>
      <c r="K8" s="198"/>
      <c r="L8" s="198"/>
      <c r="M8" s="198"/>
      <c r="N8" s="198"/>
      <c r="O8" s="198"/>
      <c r="P8" s="125" t="s">
        <v>350</v>
      </c>
      <c r="Q8" s="198"/>
      <c r="R8" s="198"/>
      <c r="T8" s="172" t="s">
        <v>332</v>
      </c>
      <c r="U8" s="173" t="s">
        <v>372</v>
      </c>
      <c r="V8" s="170"/>
      <c r="W8" s="170"/>
      <c r="X8" s="170"/>
    </row>
    <row r="9" spans="1:75" ht="13.5" thickBot="1">
      <c r="T9" s="172" t="s">
        <v>331</v>
      </c>
      <c r="U9" s="173" t="s">
        <v>372</v>
      </c>
      <c r="V9" s="170"/>
      <c r="W9" s="170"/>
      <c r="X9" s="170"/>
    </row>
    <row r="10" spans="1:75" ht="25.5" customHeight="1" thickBot="1">
      <c r="B10" s="127"/>
      <c r="C10" s="128"/>
      <c r="D10" s="197" t="s">
        <v>0</v>
      </c>
      <c r="E10" s="129" t="s">
        <v>305</v>
      </c>
      <c r="F10" s="129" t="s">
        <v>333</v>
      </c>
      <c r="G10" s="130" t="s">
        <v>332</v>
      </c>
      <c r="H10" s="129" t="s">
        <v>331</v>
      </c>
      <c r="I10" s="130" t="s">
        <v>330</v>
      </c>
      <c r="J10" s="130" t="s">
        <v>329</v>
      </c>
      <c r="K10" s="130" t="s">
        <v>328</v>
      </c>
      <c r="L10" s="131" t="s">
        <v>422</v>
      </c>
      <c r="M10" s="132" t="s">
        <v>421</v>
      </c>
      <c r="N10" s="196" t="s">
        <v>420</v>
      </c>
      <c r="O10" s="195"/>
      <c r="P10" s="195"/>
      <c r="Q10" s="195"/>
      <c r="R10" s="194"/>
      <c r="X10" s="193"/>
      <c r="Y10" s="193"/>
      <c r="Z10" s="193"/>
      <c r="AA10" s="193"/>
      <c r="AB10" s="193"/>
      <c r="AC10" s="193"/>
      <c r="AD10" s="193"/>
      <c r="AE10" s="193"/>
      <c r="AF10" s="193"/>
      <c r="AG10" s="193"/>
      <c r="AH10" s="193"/>
    </row>
    <row r="11" spans="1:75" ht="13.35" customHeight="1" thickBot="1">
      <c r="B11" s="133"/>
      <c r="C11" s="134"/>
      <c r="D11" s="135">
        <v>108</v>
      </c>
      <c r="E11" s="136" t="s">
        <v>8</v>
      </c>
      <c r="F11" s="136">
        <v>3</v>
      </c>
      <c r="G11" s="62">
        <f>IF(LEFT(E11,1)="F",1,2)</f>
        <v>1</v>
      </c>
      <c r="H11" s="62">
        <f>IF(MID(E11,2,1)="S",1,IF(MID(E11,2,1)="T",2,IF(MID(E11,2,1)="D",3,0)))</f>
        <v>2</v>
      </c>
      <c r="I11" s="62">
        <f>IF(RIGHT(E11,1)="L",1,2)</f>
        <v>2</v>
      </c>
      <c r="J11" s="136">
        <v>2</v>
      </c>
      <c r="K11" s="136" t="str">
        <f>(G11&amp;H11&amp;I11&amp;"."&amp;J11)</f>
        <v>122.2</v>
      </c>
      <c r="L11" s="182">
        <v>0.49583333333333335</v>
      </c>
      <c r="M11" s="137">
        <v>43.7</v>
      </c>
      <c r="N11" s="138"/>
      <c r="O11" s="139"/>
      <c r="P11" s="139"/>
      <c r="Q11" s="185" t="s">
        <v>419</v>
      </c>
      <c r="R11" s="184"/>
      <c r="S11" s="170"/>
      <c r="T11" s="209"/>
      <c r="U11" s="180" t="s">
        <v>445</v>
      </c>
      <c r="V11" s="208"/>
      <c r="AA11" s="186"/>
      <c r="AB11" s="186"/>
      <c r="AC11" s="186"/>
      <c r="AD11" s="186"/>
      <c r="AE11" s="186"/>
      <c r="AF11" s="186"/>
      <c r="AG11" s="186"/>
      <c r="AH11" s="186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</row>
    <row r="12" spans="1:75" ht="13.35" customHeight="1" thickBot="1">
      <c r="B12" s="133"/>
      <c r="C12" s="134"/>
      <c r="D12" s="140">
        <v>107</v>
      </c>
      <c r="E12" s="133" t="s">
        <v>6</v>
      </c>
      <c r="F12" s="133">
        <v>10</v>
      </c>
      <c r="G12" s="56">
        <f>IF(LEFT(E12,1)="F",1,2)</f>
        <v>2</v>
      </c>
      <c r="H12" s="56">
        <f>IF(MID(E12,2,1)="S",1,IF(MID(E12,2,1)="T",2,IF(MID(E12,2,1)="D",3,0)))</f>
        <v>2</v>
      </c>
      <c r="I12" s="56">
        <f>IF(RIGHT(E12,1)="L",1,2)</f>
        <v>1</v>
      </c>
      <c r="J12" s="133">
        <v>2</v>
      </c>
      <c r="K12" s="133" t="str">
        <f>(G12&amp;H12&amp;I12&amp;"."&amp;J12)</f>
        <v>221.2</v>
      </c>
      <c r="L12" s="141"/>
      <c r="M12" s="134">
        <v>43.1</v>
      </c>
      <c r="N12" s="142"/>
      <c r="O12" s="143"/>
      <c r="P12" s="144"/>
      <c r="Q12" s="145" t="s">
        <v>413</v>
      </c>
      <c r="R12" s="146">
        <v>4.2</v>
      </c>
      <c r="S12" s="170"/>
      <c r="T12" s="180" t="s">
        <v>330</v>
      </c>
      <c r="U12" s="207" t="s">
        <v>418</v>
      </c>
      <c r="V12" s="207" t="s">
        <v>417</v>
      </c>
      <c r="AA12" s="186"/>
      <c r="AB12" s="186"/>
      <c r="AC12" s="186"/>
      <c r="AD12" s="186"/>
      <c r="AE12" s="186"/>
      <c r="AF12" s="186"/>
      <c r="AG12" s="186"/>
      <c r="AH12" s="186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</row>
    <row r="13" spans="1:75" ht="13.35" customHeight="1" thickBot="1">
      <c r="B13" s="133"/>
      <c r="C13" s="134"/>
      <c r="D13" s="140">
        <v>106</v>
      </c>
      <c r="E13" s="133" t="s">
        <v>7</v>
      </c>
      <c r="F13" s="133">
        <v>9</v>
      </c>
      <c r="G13" s="56">
        <f>IF(LEFT(E13,1)="F",1,2)</f>
        <v>2</v>
      </c>
      <c r="H13" s="56">
        <f>IF(MID(E13,2,1)="S",1,IF(MID(E13,2,1)="T",2,IF(MID(E13,2,1)="D",3,0)))</f>
        <v>2</v>
      </c>
      <c r="I13" s="56">
        <f>IF(RIGHT(E13,1)="L",1,2)</f>
        <v>2</v>
      </c>
      <c r="J13" s="133">
        <v>2</v>
      </c>
      <c r="K13" s="133" t="str">
        <f>(G13&amp;H13&amp;I13&amp;"."&amp;J13)</f>
        <v>222.2</v>
      </c>
      <c r="L13" s="141"/>
      <c r="M13" s="134">
        <v>48.6</v>
      </c>
      <c r="N13" s="142"/>
      <c r="O13" s="143"/>
      <c r="P13" s="144"/>
      <c r="Q13" s="145" t="s">
        <v>412</v>
      </c>
      <c r="R13" s="146">
        <v>11.8</v>
      </c>
      <c r="S13" s="170"/>
      <c r="T13" s="206">
        <v>1</v>
      </c>
      <c r="U13" s="122">
        <v>16</v>
      </c>
      <c r="V13" s="38">
        <v>40.618749999999999</v>
      </c>
      <c r="AA13" s="171"/>
      <c r="AB13" s="171"/>
      <c r="AC13" s="171"/>
      <c r="AD13" s="171"/>
      <c r="AE13" s="171"/>
      <c r="AF13" s="171"/>
      <c r="AG13" s="171"/>
      <c r="AH13" s="171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</row>
    <row r="14" spans="1:75" ht="13.35" customHeight="1" thickBot="1">
      <c r="B14" s="133"/>
      <c r="C14" s="134"/>
      <c r="D14" s="140">
        <v>105</v>
      </c>
      <c r="E14" s="133" t="s">
        <v>10</v>
      </c>
      <c r="F14" s="133">
        <v>12</v>
      </c>
      <c r="G14" s="56">
        <f>IF(LEFT(E14,1)="F",1,2)</f>
        <v>2</v>
      </c>
      <c r="H14" s="56">
        <f>IF(MID(E14,2,1)="S",1,IF(MID(E14,2,1)="T",2,IF(MID(E14,2,1)="D",3,0)))</f>
        <v>3</v>
      </c>
      <c r="I14" s="56">
        <f>IF(RIGHT(E14,1)="L",1,2)</f>
        <v>1</v>
      </c>
      <c r="J14" s="133">
        <v>2</v>
      </c>
      <c r="K14" s="133" t="str">
        <f>(G14&amp;H14&amp;I14&amp;"."&amp;J14)</f>
        <v>231.2</v>
      </c>
      <c r="L14" s="141"/>
      <c r="M14" s="134">
        <v>38.4</v>
      </c>
      <c r="N14" s="142"/>
      <c r="O14" s="143"/>
      <c r="P14" s="144"/>
      <c r="Q14" s="145" t="s">
        <v>411</v>
      </c>
      <c r="R14" s="146">
        <v>18.8</v>
      </c>
      <c r="S14" s="170"/>
      <c r="T14" s="206">
        <v>2</v>
      </c>
      <c r="U14" s="122">
        <v>20</v>
      </c>
      <c r="V14" s="38">
        <v>42.954999999999998</v>
      </c>
      <c r="AA14" s="171"/>
      <c r="AB14" s="171"/>
      <c r="AC14" s="171"/>
      <c r="AD14" s="171"/>
      <c r="AE14" s="171"/>
      <c r="AF14" s="171"/>
      <c r="AG14" s="171"/>
      <c r="AH14" s="171"/>
    </row>
    <row r="15" spans="1:75" ht="13.35" customHeight="1" thickBot="1">
      <c r="B15" s="133"/>
      <c r="C15" s="134"/>
      <c r="D15" s="140">
        <v>104</v>
      </c>
      <c r="E15" s="133" t="s">
        <v>6</v>
      </c>
      <c r="F15" s="133">
        <v>10</v>
      </c>
      <c r="G15" s="56">
        <f>IF(LEFT(E15,1)="F",1,2)</f>
        <v>2</v>
      </c>
      <c r="H15" s="56">
        <f>IF(MID(E15,2,1)="S",1,IF(MID(E15,2,1)="T",2,IF(MID(E15,2,1)="D",3,0)))</f>
        <v>2</v>
      </c>
      <c r="I15" s="56">
        <f>IF(RIGHT(E15,1)="L",1,2)</f>
        <v>1</v>
      </c>
      <c r="J15" s="133">
        <v>1</v>
      </c>
      <c r="K15" s="133" t="str">
        <f>(G15&amp;H15&amp;I15&amp;"."&amp;J15)</f>
        <v>221.1</v>
      </c>
      <c r="L15" s="141"/>
      <c r="M15" s="134">
        <v>43.1</v>
      </c>
      <c r="N15" s="142"/>
      <c r="O15" s="143"/>
      <c r="P15" s="144"/>
      <c r="Q15" s="145" t="s">
        <v>410</v>
      </c>
      <c r="R15" s="146">
        <v>26.2</v>
      </c>
      <c r="S15" s="170"/>
      <c r="T15" s="205" t="s">
        <v>312</v>
      </c>
      <c r="U15" s="204">
        <v>36</v>
      </c>
      <c r="V15" s="203">
        <v>41.916666666666664</v>
      </c>
      <c r="AA15" s="171"/>
      <c r="AB15" s="171"/>
      <c r="AC15" s="171"/>
      <c r="AD15" s="171"/>
      <c r="AE15" s="171"/>
      <c r="AF15" s="171"/>
      <c r="AG15" s="171"/>
      <c r="AH15" s="171"/>
    </row>
    <row r="16" spans="1:75" ht="13.35" customHeight="1" thickBot="1">
      <c r="B16" s="133"/>
      <c r="C16" s="134"/>
      <c r="D16" s="140">
        <v>103</v>
      </c>
      <c r="E16" s="133" t="s">
        <v>5</v>
      </c>
      <c r="F16" s="133">
        <v>5</v>
      </c>
      <c r="G16" s="56">
        <f>IF(LEFT(E16,1)="F",1,2)</f>
        <v>1</v>
      </c>
      <c r="H16" s="56">
        <f>IF(MID(E16,2,1)="S",1,IF(MID(E16,2,1)="T",2,IF(MID(E16,2,1)="D",3,0)))</f>
        <v>3</v>
      </c>
      <c r="I16" s="56">
        <f>IF(RIGHT(E16,1)="L",1,2)</f>
        <v>2</v>
      </c>
      <c r="J16" s="133">
        <v>1</v>
      </c>
      <c r="K16" s="133" t="str">
        <f>(G16&amp;H16&amp;I16&amp;"."&amp;J16)</f>
        <v>132.1</v>
      </c>
      <c r="L16" s="141"/>
      <c r="M16" s="134">
        <v>44.1</v>
      </c>
      <c r="N16" s="142"/>
      <c r="O16" s="143"/>
      <c r="P16" s="144"/>
      <c r="Q16" s="145" t="s">
        <v>409</v>
      </c>
      <c r="R16" s="146">
        <v>33.5</v>
      </c>
      <c r="S16" s="170"/>
    </row>
    <row r="17" spans="2:34" ht="13.35" customHeight="1" thickBot="1">
      <c r="B17" s="133"/>
      <c r="C17" s="134"/>
      <c r="D17" s="140">
        <v>102</v>
      </c>
      <c r="E17" s="133" t="s">
        <v>4</v>
      </c>
      <c r="F17" s="133">
        <v>4</v>
      </c>
      <c r="G17" s="56">
        <f>IF(LEFT(E17,1)="F",1,2)</f>
        <v>1</v>
      </c>
      <c r="H17" s="56">
        <f>IF(MID(E17,2,1)="S",1,IF(MID(E17,2,1)="T",2,IF(MID(E17,2,1)="D",3,0)))</f>
        <v>2</v>
      </c>
      <c r="I17" s="56">
        <f>IF(RIGHT(E17,1)="L",1,2)</f>
        <v>1</v>
      </c>
      <c r="J17" s="133">
        <v>1</v>
      </c>
      <c r="K17" s="133" t="str">
        <f>(G17&amp;H17&amp;I17&amp;"."&amp;J17)</f>
        <v>121.1</v>
      </c>
      <c r="L17" s="141"/>
      <c r="M17" s="134">
        <v>40.6</v>
      </c>
      <c r="N17" s="142"/>
      <c r="O17" s="143"/>
      <c r="P17" s="144"/>
      <c r="Q17" s="145" t="s">
        <v>408</v>
      </c>
      <c r="R17" s="146">
        <v>40.700000000000003</v>
      </c>
      <c r="S17" s="170"/>
      <c r="AA17" s="186"/>
      <c r="AB17" s="186"/>
      <c r="AC17" s="186"/>
      <c r="AD17" s="186"/>
      <c r="AE17" s="186"/>
      <c r="AF17" s="186"/>
      <c r="AG17" s="186"/>
      <c r="AH17" s="186"/>
    </row>
    <row r="18" spans="2:34" ht="13.35" customHeight="1" thickBot="1">
      <c r="B18" s="133"/>
      <c r="C18" s="134"/>
      <c r="D18" s="147">
        <v>101</v>
      </c>
      <c r="E18" s="50" t="s">
        <v>3</v>
      </c>
      <c r="F18" s="50">
        <v>1</v>
      </c>
      <c r="G18" s="50">
        <f>IF(LEFT(E18,1)="F",1,2)</f>
        <v>1</v>
      </c>
      <c r="H18" s="50">
        <f>IF(MID(E18,2,1)="S",1,IF(MID(E18,2,1)="T",2,IF(MID(E18,2,1)="D",3,0)))</f>
        <v>1</v>
      </c>
      <c r="I18" s="50">
        <f>IF(RIGHT(E18,1)="L",1,2)</f>
        <v>2</v>
      </c>
      <c r="J18" s="148">
        <v>1</v>
      </c>
      <c r="K18" s="148" t="str">
        <f>(G18&amp;H18&amp;I18&amp;"."&amp;J18)</f>
        <v>112.1</v>
      </c>
      <c r="L18" s="149"/>
      <c r="M18" s="150">
        <v>46.9</v>
      </c>
      <c r="N18" s="151"/>
      <c r="O18" s="152"/>
      <c r="P18" s="153"/>
      <c r="Q18" s="145" t="s">
        <v>407</v>
      </c>
      <c r="R18" s="146">
        <v>48.1</v>
      </c>
      <c r="S18" s="170"/>
      <c r="AA18" s="186"/>
      <c r="AB18" s="186"/>
      <c r="AC18" s="186"/>
      <c r="AD18" s="186"/>
      <c r="AE18" s="186"/>
      <c r="AF18" s="186"/>
      <c r="AG18" s="186"/>
      <c r="AH18" s="186"/>
    </row>
    <row r="19" spans="2:34" ht="13.35" customHeight="1" thickBot="1">
      <c r="B19" s="133"/>
      <c r="C19" s="134"/>
      <c r="D19" s="135">
        <v>201</v>
      </c>
      <c r="E19" s="136" t="s">
        <v>10</v>
      </c>
      <c r="F19" s="136">
        <v>12</v>
      </c>
      <c r="G19" s="62">
        <f>IF(LEFT(E19,1)="F",1,2)</f>
        <v>2</v>
      </c>
      <c r="H19" s="62">
        <f>IF(MID(E19,2,1)="S",1,IF(MID(E19,2,1)="T",2,IF(MID(E19,2,1)="D",3,0)))</f>
        <v>3</v>
      </c>
      <c r="I19" s="62">
        <f>IF(RIGHT(E19,1)="L",1,2)</f>
        <v>1</v>
      </c>
      <c r="J19" s="136">
        <v>1</v>
      </c>
      <c r="K19" s="136" t="str">
        <f>(G19&amp;H19&amp;I19&amp;"."&amp;J19)</f>
        <v>231.1</v>
      </c>
      <c r="L19" s="182">
        <v>0.50277777777777777</v>
      </c>
      <c r="M19" s="137">
        <v>38.9</v>
      </c>
      <c r="N19" s="138"/>
      <c r="O19" s="139"/>
      <c r="P19" s="139"/>
      <c r="Q19" s="145" t="s">
        <v>406</v>
      </c>
      <c r="R19" s="146">
        <v>55.1</v>
      </c>
      <c r="S19" s="170"/>
      <c r="AA19" s="171"/>
      <c r="AB19" s="171"/>
      <c r="AC19" s="171"/>
      <c r="AD19" s="171"/>
      <c r="AE19" s="171"/>
      <c r="AF19" s="171"/>
      <c r="AG19" s="187"/>
      <c r="AH19" s="187"/>
    </row>
    <row r="20" spans="2:34" ht="13.35" customHeight="1" thickBot="1">
      <c r="B20" s="133"/>
      <c r="C20" s="134"/>
      <c r="D20" s="140">
        <v>202</v>
      </c>
      <c r="E20" s="133" t="s">
        <v>7</v>
      </c>
      <c r="F20" s="133">
        <v>9</v>
      </c>
      <c r="G20" s="56">
        <f>IF(LEFT(E20,1)="F",1,2)</f>
        <v>2</v>
      </c>
      <c r="H20" s="56">
        <f>IF(MID(E20,2,1)="S",1,IF(MID(E20,2,1)="T",2,IF(MID(E20,2,1)="D",3,0)))</f>
        <v>2</v>
      </c>
      <c r="I20" s="56">
        <f>IF(RIGHT(E20,1)="L",1,2)</f>
        <v>2</v>
      </c>
      <c r="J20" s="133">
        <v>1</v>
      </c>
      <c r="K20" s="133" t="str">
        <f>(G20&amp;H20&amp;I20&amp;"."&amp;J20)</f>
        <v>222.1</v>
      </c>
      <c r="L20" s="154"/>
      <c r="M20" s="134">
        <v>46.7</v>
      </c>
      <c r="N20" s="142"/>
      <c r="O20" s="143"/>
      <c r="P20" s="144"/>
      <c r="Q20" s="145" t="s">
        <v>405</v>
      </c>
      <c r="R20" s="146">
        <v>65.7</v>
      </c>
      <c r="S20" s="170"/>
      <c r="AA20" s="171"/>
      <c r="AB20" s="171"/>
      <c r="AC20" s="171"/>
      <c r="AD20" s="171"/>
      <c r="AE20" s="171"/>
      <c r="AF20" s="171"/>
      <c r="AG20" s="171"/>
      <c r="AH20" s="171"/>
    </row>
    <row r="21" spans="2:34" ht="13.35" customHeight="1">
      <c r="B21" s="133"/>
      <c r="C21" s="134"/>
      <c r="D21" s="140">
        <v>203</v>
      </c>
      <c r="E21" s="133" t="s">
        <v>8</v>
      </c>
      <c r="F21" s="133">
        <v>3</v>
      </c>
      <c r="G21" s="56">
        <f>IF(LEFT(E21,1)="F",1,2)</f>
        <v>1</v>
      </c>
      <c r="H21" s="56">
        <f>IF(MID(E21,2,1)="S",1,IF(MID(E21,2,1)="T",2,IF(MID(E21,2,1)="D",3,0)))</f>
        <v>2</v>
      </c>
      <c r="I21" s="56">
        <f>IF(RIGHT(E21,1)="L",1,2)</f>
        <v>2</v>
      </c>
      <c r="J21" s="133">
        <v>1</v>
      </c>
      <c r="K21" s="133" t="str">
        <f>(G21&amp;H21&amp;I21&amp;"."&amp;J21)</f>
        <v>122.1</v>
      </c>
      <c r="L21" s="141"/>
      <c r="M21" s="134">
        <v>46.5</v>
      </c>
      <c r="N21" s="142"/>
      <c r="O21" s="143"/>
      <c r="P21" s="144"/>
      <c r="Q21" s="144"/>
      <c r="R21" s="155"/>
      <c r="S21" s="170"/>
      <c r="AA21" s="171"/>
      <c r="AB21" s="171"/>
      <c r="AC21" s="171"/>
      <c r="AD21" s="171"/>
      <c r="AE21" s="171"/>
      <c r="AF21" s="171"/>
      <c r="AG21" s="171"/>
      <c r="AH21" s="171"/>
    </row>
    <row r="22" spans="2:34" ht="13.35" customHeight="1">
      <c r="B22" s="133"/>
      <c r="C22" s="134"/>
      <c r="D22" s="140">
        <v>204</v>
      </c>
      <c r="E22" s="133" t="s">
        <v>11</v>
      </c>
      <c r="F22" s="133">
        <v>11</v>
      </c>
      <c r="G22" s="56">
        <f>IF(LEFT(E22,1)="F",1,2)</f>
        <v>2</v>
      </c>
      <c r="H22" s="56">
        <f>IF(MID(E22,2,1)="S",1,IF(MID(E22,2,1)="T",2,IF(MID(E22,2,1)="D",3,0)))</f>
        <v>3</v>
      </c>
      <c r="I22" s="56">
        <f>IF(RIGHT(E22,1)="L",1,2)</f>
        <v>2</v>
      </c>
      <c r="J22" s="133">
        <v>1</v>
      </c>
      <c r="K22" s="133" t="str">
        <f>(G22&amp;H22&amp;I22&amp;"."&amp;J22)</f>
        <v>232.1</v>
      </c>
      <c r="L22" s="141"/>
      <c r="M22" s="134">
        <v>43.6</v>
      </c>
      <c r="N22" s="142"/>
      <c r="O22" s="143"/>
      <c r="P22" s="144"/>
      <c r="Q22" s="144"/>
      <c r="R22" s="155"/>
      <c r="S22" s="170"/>
    </row>
    <row r="23" spans="2:34" ht="13.35" customHeight="1">
      <c r="B23" s="133"/>
      <c r="C23" s="134"/>
      <c r="D23" s="140">
        <v>205</v>
      </c>
      <c r="E23" s="133" t="s">
        <v>3</v>
      </c>
      <c r="F23" s="133">
        <v>1</v>
      </c>
      <c r="G23" s="56">
        <f>IF(LEFT(E23,1)="F",1,2)</f>
        <v>1</v>
      </c>
      <c r="H23" s="56">
        <f>IF(MID(E23,2,1)="S",1,IF(MID(E23,2,1)="T",2,IF(MID(E23,2,1)="D",3,0)))</f>
        <v>1</v>
      </c>
      <c r="I23" s="56">
        <f>IF(RIGHT(E23,1)="L",1,2)</f>
        <v>2</v>
      </c>
      <c r="J23" s="133">
        <v>2</v>
      </c>
      <c r="K23" s="133" t="str">
        <f>(G23&amp;H23&amp;I23&amp;"."&amp;J23)</f>
        <v>112.2</v>
      </c>
      <c r="L23" s="141"/>
      <c r="M23" s="134">
        <v>46.5</v>
      </c>
      <c r="N23" s="142"/>
      <c r="O23" s="143"/>
      <c r="P23" s="144"/>
      <c r="Q23" s="144"/>
      <c r="R23" s="155"/>
      <c r="S23" s="170"/>
      <c r="AA23" s="186"/>
      <c r="AB23" s="186"/>
      <c r="AC23" s="186"/>
      <c r="AD23" s="186"/>
      <c r="AE23" s="186"/>
      <c r="AF23" s="186"/>
      <c r="AG23" s="186"/>
      <c r="AH23" s="186"/>
    </row>
    <row r="24" spans="2:34" ht="13.35" customHeight="1">
      <c r="B24" s="133"/>
      <c r="C24" s="134"/>
      <c r="D24" s="140">
        <v>206</v>
      </c>
      <c r="E24" s="133" t="s">
        <v>12</v>
      </c>
      <c r="F24" s="133">
        <v>8</v>
      </c>
      <c r="G24" s="56">
        <f>IF(LEFT(E24,1)="F",1,2)</f>
        <v>2</v>
      </c>
      <c r="H24" s="56">
        <f>IF(MID(E24,2,1)="S",1,IF(MID(E24,2,1)="T",2,IF(MID(E24,2,1)="D",3,0)))</f>
        <v>1</v>
      </c>
      <c r="I24" s="56">
        <f>IF(RIGHT(E24,1)="L",1,2)</f>
        <v>1</v>
      </c>
      <c r="J24" s="133">
        <v>2</v>
      </c>
      <c r="K24" s="133" t="str">
        <f>(G24&amp;H24&amp;I24&amp;"."&amp;J24)</f>
        <v>211.2</v>
      </c>
      <c r="L24" s="141"/>
      <c r="M24" s="134">
        <v>45.5</v>
      </c>
      <c r="N24" s="142"/>
      <c r="O24" s="143"/>
      <c r="P24" s="144"/>
      <c r="Q24" s="144"/>
      <c r="R24" s="155"/>
      <c r="S24" s="170"/>
      <c r="AA24" s="186"/>
      <c r="AB24" s="186"/>
      <c r="AC24" s="186"/>
      <c r="AD24" s="186"/>
      <c r="AE24" s="186"/>
      <c r="AF24" s="186"/>
      <c r="AG24" s="186"/>
      <c r="AH24" s="186"/>
    </row>
    <row r="25" spans="2:34" ht="13.35" customHeight="1">
      <c r="B25" s="133"/>
      <c r="C25" s="134"/>
      <c r="D25" s="140">
        <v>207</v>
      </c>
      <c r="E25" s="133" t="s">
        <v>4</v>
      </c>
      <c r="F25" s="133">
        <v>4</v>
      </c>
      <c r="G25" s="56">
        <f>IF(LEFT(E25,1)="F",1,2)</f>
        <v>1</v>
      </c>
      <c r="H25" s="56">
        <f>IF(MID(E25,2,1)="S",1,IF(MID(E25,2,1)="T",2,IF(MID(E25,2,1)="D",3,0)))</f>
        <v>2</v>
      </c>
      <c r="I25" s="56">
        <f>IF(RIGHT(E25,1)="L",1,2)</f>
        <v>1</v>
      </c>
      <c r="J25" s="133">
        <v>2</v>
      </c>
      <c r="K25" s="133" t="str">
        <f>(G25&amp;H25&amp;I25&amp;"."&amp;J25)</f>
        <v>121.2</v>
      </c>
      <c r="L25" s="141"/>
      <c r="M25" s="134">
        <v>38.4</v>
      </c>
      <c r="N25" s="142"/>
      <c r="O25" s="143"/>
      <c r="P25" s="144"/>
      <c r="Q25" s="144"/>
      <c r="R25" s="155"/>
      <c r="S25" s="170"/>
      <c r="AA25" s="171"/>
      <c r="AB25" s="171"/>
      <c r="AC25" s="171"/>
      <c r="AD25" s="171"/>
      <c r="AE25" s="171"/>
      <c r="AF25" s="171"/>
      <c r="AG25" s="171"/>
      <c r="AH25" s="171"/>
    </row>
    <row r="26" spans="2:34" ht="13.35" customHeight="1" thickBot="1">
      <c r="B26" s="133"/>
      <c r="C26" s="134"/>
      <c r="D26" s="147">
        <v>208</v>
      </c>
      <c r="E26" s="148" t="s">
        <v>13</v>
      </c>
      <c r="F26" s="148">
        <v>2</v>
      </c>
      <c r="G26" s="50">
        <f>IF(LEFT(E26,1)="F",1,2)</f>
        <v>1</v>
      </c>
      <c r="H26" s="50">
        <f>IF(MID(E26,2,1)="S",1,IF(MID(E26,2,1)="T",2,IF(MID(E26,2,1)="D",3,0)))</f>
        <v>1</v>
      </c>
      <c r="I26" s="50">
        <f>IF(RIGHT(E26,1)="L",1,2)</f>
        <v>1</v>
      </c>
      <c r="J26" s="148">
        <v>2</v>
      </c>
      <c r="K26" s="148" t="str">
        <f>(G26&amp;H26&amp;I26&amp;"."&amp;J26)</f>
        <v>111.2</v>
      </c>
      <c r="L26" s="149"/>
      <c r="M26" s="150">
        <v>44.2</v>
      </c>
      <c r="N26" s="151"/>
      <c r="O26" s="152"/>
      <c r="P26" s="153"/>
      <c r="Q26" s="153"/>
      <c r="R26" s="156"/>
      <c r="S26" s="170"/>
      <c r="X26" s="183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</row>
    <row r="27" spans="2:34" ht="13.35" customHeight="1">
      <c r="B27" s="133"/>
      <c r="C27" s="134"/>
      <c r="D27" s="135">
        <v>908</v>
      </c>
      <c r="E27" s="157" t="s">
        <v>416</v>
      </c>
      <c r="F27" s="136">
        <v>21</v>
      </c>
      <c r="G27" s="62">
        <v>3</v>
      </c>
      <c r="H27" s="62">
        <v>2</v>
      </c>
      <c r="I27" s="62">
        <v>2</v>
      </c>
      <c r="J27" s="136">
        <v>2</v>
      </c>
      <c r="K27" s="136" t="str">
        <f>(G27&amp;H27&amp;I27&amp;"."&amp;J27)</f>
        <v>322.2</v>
      </c>
      <c r="L27" s="182">
        <v>0.51041666666666663</v>
      </c>
      <c r="M27" s="137">
        <v>53.9</v>
      </c>
      <c r="N27" s="138"/>
      <c r="O27" s="139"/>
      <c r="P27" s="139"/>
      <c r="Q27" s="139"/>
      <c r="R27" s="158"/>
      <c r="S27" s="170"/>
      <c r="X27" s="183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</row>
    <row r="28" spans="2:34" ht="13.35" customHeight="1">
      <c r="B28" s="133"/>
      <c r="C28" s="134"/>
      <c r="D28" s="140">
        <v>907</v>
      </c>
      <c r="E28" s="133" t="s">
        <v>17</v>
      </c>
      <c r="F28" s="133">
        <v>31</v>
      </c>
      <c r="G28" s="56">
        <v>8</v>
      </c>
      <c r="H28" s="56">
        <v>0</v>
      </c>
      <c r="I28" s="56">
        <v>1</v>
      </c>
      <c r="J28" s="133">
        <v>2</v>
      </c>
      <c r="K28" s="133" t="str">
        <f>(G28&amp;H28&amp;I28&amp;"."&amp;J28)</f>
        <v>801.2</v>
      </c>
      <c r="L28" s="154"/>
      <c r="M28" s="159"/>
      <c r="N28" s="160"/>
      <c r="O28" s="161"/>
      <c r="P28" s="162"/>
      <c r="Q28" s="162"/>
      <c r="R28" s="163"/>
      <c r="S28" s="170"/>
      <c r="X28" s="183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</row>
    <row r="29" spans="2:34" ht="13.35" customHeight="1">
      <c r="B29" s="133"/>
      <c r="C29" s="134"/>
      <c r="D29" s="140">
        <v>906</v>
      </c>
      <c r="E29" s="164" t="s">
        <v>415</v>
      </c>
      <c r="F29" s="133">
        <v>22</v>
      </c>
      <c r="G29" s="56">
        <v>4</v>
      </c>
      <c r="H29" s="56">
        <v>2</v>
      </c>
      <c r="I29" s="56">
        <v>2</v>
      </c>
      <c r="J29" s="133">
        <v>2</v>
      </c>
      <c r="K29" s="133" t="str">
        <f>(G29&amp;H29&amp;I29&amp;"."&amp;J29)</f>
        <v>422.2</v>
      </c>
      <c r="L29" s="141"/>
      <c r="M29" s="134">
        <v>45.9</v>
      </c>
      <c r="N29" s="142"/>
      <c r="O29" s="143"/>
      <c r="P29" s="144"/>
      <c r="Q29" s="144"/>
      <c r="R29" s="155"/>
      <c r="S29" s="170"/>
      <c r="X29" s="183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</row>
    <row r="30" spans="2:34" ht="13.35" customHeight="1">
      <c r="B30" s="133"/>
      <c r="C30" s="134"/>
      <c r="D30" s="140">
        <v>905</v>
      </c>
      <c r="E30" s="133" t="s">
        <v>16</v>
      </c>
      <c r="F30" s="133">
        <v>32</v>
      </c>
      <c r="G30" s="56">
        <v>9</v>
      </c>
      <c r="H30" s="56">
        <v>0</v>
      </c>
      <c r="I30" s="56">
        <v>1</v>
      </c>
      <c r="J30" s="133">
        <v>2</v>
      </c>
      <c r="K30" s="133" t="str">
        <f>(G30&amp;H30&amp;I30&amp;"."&amp;J30)</f>
        <v>901.2</v>
      </c>
      <c r="L30" s="154"/>
      <c r="M30" s="159"/>
      <c r="N30" s="160"/>
      <c r="O30" s="161"/>
      <c r="P30" s="162"/>
      <c r="Q30" s="162"/>
      <c r="R30" s="163"/>
      <c r="S30" s="170"/>
      <c r="X30" s="183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</row>
    <row r="31" spans="2:34" ht="13.35" customHeight="1">
      <c r="B31" s="133"/>
      <c r="C31" s="134"/>
      <c r="D31" s="140">
        <v>904</v>
      </c>
      <c r="E31" s="164" t="s">
        <v>416</v>
      </c>
      <c r="F31" s="133">
        <v>21</v>
      </c>
      <c r="G31" s="56">
        <v>3</v>
      </c>
      <c r="H31" s="56">
        <v>2</v>
      </c>
      <c r="I31" s="56">
        <v>2</v>
      </c>
      <c r="J31" s="133">
        <v>1</v>
      </c>
      <c r="K31" s="133" t="str">
        <f>(G31&amp;H31&amp;I31&amp;"."&amp;J31)</f>
        <v>322.1</v>
      </c>
      <c r="L31" s="141"/>
      <c r="M31" s="134">
        <v>53.8</v>
      </c>
      <c r="N31" s="142"/>
      <c r="O31" s="143"/>
      <c r="P31" s="144"/>
      <c r="Q31" s="144"/>
      <c r="R31" s="155"/>
      <c r="S31" s="170"/>
      <c r="X31" s="183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</row>
    <row r="32" spans="2:34" ht="13.35" customHeight="1">
      <c r="B32" s="133"/>
      <c r="C32" s="134"/>
      <c r="D32" s="140">
        <v>903</v>
      </c>
      <c r="E32" s="133" t="s">
        <v>17</v>
      </c>
      <c r="F32" s="133">
        <v>31</v>
      </c>
      <c r="G32" s="56">
        <v>8</v>
      </c>
      <c r="H32" s="56">
        <v>0</v>
      </c>
      <c r="I32" s="56">
        <v>1</v>
      </c>
      <c r="J32" s="133">
        <v>1</v>
      </c>
      <c r="K32" s="133" t="str">
        <f>(G32&amp;H32&amp;I32&amp;"."&amp;J32)</f>
        <v>801.1</v>
      </c>
      <c r="L32" s="154"/>
      <c r="M32" s="159"/>
      <c r="N32" s="160"/>
      <c r="O32" s="161"/>
      <c r="P32" s="162"/>
      <c r="Q32" s="162"/>
      <c r="R32" s="163"/>
      <c r="S32" s="170"/>
      <c r="T32" s="170"/>
      <c r="U32" s="170"/>
      <c r="V32" s="170"/>
      <c r="X32" s="183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</row>
    <row r="33" spans="2:34" ht="13.35" customHeight="1">
      <c r="B33" s="133"/>
      <c r="C33" s="134"/>
      <c r="D33" s="140">
        <v>902</v>
      </c>
      <c r="E33" s="164" t="s">
        <v>415</v>
      </c>
      <c r="F33" s="133">
        <v>22</v>
      </c>
      <c r="G33" s="56">
        <v>4</v>
      </c>
      <c r="H33" s="56">
        <v>2</v>
      </c>
      <c r="I33" s="56">
        <v>2</v>
      </c>
      <c r="J33" s="133">
        <v>1</v>
      </c>
      <c r="K33" s="133" t="str">
        <f>(G33&amp;H33&amp;I33&amp;"."&amp;J33)</f>
        <v>422.1</v>
      </c>
      <c r="L33" s="141"/>
      <c r="M33" s="134">
        <v>46.5</v>
      </c>
      <c r="N33" s="142"/>
      <c r="O33" s="143"/>
      <c r="P33" s="144"/>
      <c r="Q33" s="144"/>
      <c r="R33" s="155"/>
      <c r="S33" s="170"/>
      <c r="T33" s="170"/>
      <c r="U33" s="170"/>
      <c r="V33" s="170"/>
      <c r="X33" s="183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</row>
    <row r="34" spans="2:34" ht="13.35" customHeight="1" thickBot="1">
      <c r="B34" s="133"/>
      <c r="C34" s="134"/>
      <c r="D34" s="147">
        <v>901</v>
      </c>
      <c r="E34" s="148" t="s">
        <v>16</v>
      </c>
      <c r="F34" s="148">
        <v>32</v>
      </c>
      <c r="G34" s="50">
        <v>9</v>
      </c>
      <c r="H34" s="50">
        <v>0</v>
      </c>
      <c r="I34" s="50">
        <v>1</v>
      </c>
      <c r="J34" s="148">
        <v>1</v>
      </c>
      <c r="K34" s="148" t="str">
        <f>(G34&amp;H34&amp;I34&amp;"."&amp;J34)</f>
        <v>901.1</v>
      </c>
      <c r="L34" s="154"/>
      <c r="M34" s="165"/>
      <c r="N34" s="166"/>
      <c r="O34" s="167"/>
      <c r="P34" s="168"/>
      <c r="Q34" s="168"/>
      <c r="R34" s="169"/>
      <c r="S34" s="170"/>
      <c r="T34" s="170"/>
      <c r="U34" s="170"/>
      <c r="V34" s="170"/>
      <c r="X34" s="183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</row>
    <row r="35" spans="2:34" ht="13.35" customHeight="1">
      <c r="B35" s="133"/>
      <c r="C35" s="134"/>
      <c r="D35" s="135">
        <v>301</v>
      </c>
      <c r="E35" s="136" t="s">
        <v>6</v>
      </c>
      <c r="F35" s="136">
        <v>10</v>
      </c>
      <c r="G35" s="62">
        <f>IF(LEFT(E35,1)="F",1,2)</f>
        <v>2</v>
      </c>
      <c r="H35" s="62">
        <f>IF(MID(E35,2,1)="S",1,IF(MID(E35,2,1)="T",2,IF(MID(E35,2,1)="D",3,0)))</f>
        <v>2</v>
      </c>
      <c r="I35" s="62">
        <f>IF(RIGHT(E35,1)="L",1,2)</f>
        <v>1</v>
      </c>
      <c r="J35" s="136">
        <v>3</v>
      </c>
      <c r="K35" s="136" t="str">
        <f>(G35&amp;H35&amp;I35&amp;"."&amp;J35)</f>
        <v>221.3</v>
      </c>
      <c r="L35" s="182">
        <v>0.51597222222222217</v>
      </c>
      <c r="M35" s="137">
        <v>38.5</v>
      </c>
      <c r="N35" s="138"/>
      <c r="O35" s="139"/>
      <c r="P35" s="139"/>
      <c r="Q35" s="139"/>
      <c r="R35" s="158"/>
      <c r="S35" s="170"/>
      <c r="T35" s="170"/>
      <c r="U35" s="170"/>
      <c r="V35" s="170"/>
      <c r="X35" s="183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</row>
    <row r="36" spans="2:34" ht="13.35" customHeight="1">
      <c r="B36" s="133"/>
      <c r="C36" s="134"/>
      <c r="D36" s="140">
        <v>302</v>
      </c>
      <c r="E36" s="133" t="s">
        <v>4</v>
      </c>
      <c r="F36" s="133">
        <v>4</v>
      </c>
      <c r="G36" s="56">
        <f>IF(LEFT(E36,1)="F",1,2)</f>
        <v>1</v>
      </c>
      <c r="H36" s="56">
        <f>IF(MID(E36,2,1)="S",1,IF(MID(E36,2,1)="T",2,IF(MID(E36,2,1)="D",3,0)))</f>
        <v>2</v>
      </c>
      <c r="I36" s="56">
        <f>IF(RIGHT(E36,1)="L",1,2)</f>
        <v>1</v>
      </c>
      <c r="J36" s="133">
        <v>3</v>
      </c>
      <c r="K36" s="133" t="str">
        <f>(G36&amp;H36&amp;I36&amp;"."&amp;J36)</f>
        <v>121.3</v>
      </c>
      <c r="L36" s="154"/>
      <c r="M36" s="134">
        <v>41.1</v>
      </c>
      <c r="N36" s="142"/>
      <c r="O36" s="143"/>
      <c r="P36" s="144"/>
      <c r="Q36" s="144"/>
      <c r="R36" s="155"/>
      <c r="S36" s="170"/>
      <c r="T36" s="170"/>
      <c r="U36" s="170"/>
      <c r="V36" s="170"/>
    </row>
    <row r="37" spans="2:34" ht="13.35" customHeight="1">
      <c r="B37" s="133"/>
      <c r="C37" s="134"/>
      <c r="D37" s="140">
        <v>303</v>
      </c>
      <c r="E37" s="133" t="s">
        <v>12</v>
      </c>
      <c r="F37" s="133">
        <v>8</v>
      </c>
      <c r="G37" s="56">
        <f>IF(LEFT(E37,1)="F",1,2)</f>
        <v>2</v>
      </c>
      <c r="H37" s="56">
        <f>IF(MID(E37,2,1)="S",1,IF(MID(E37,2,1)="T",2,IF(MID(E37,2,1)="D",3,0)))</f>
        <v>1</v>
      </c>
      <c r="I37" s="56">
        <f>IF(RIGHT(E37,1)="L",1,2)</f>
        <v>1</v>
      </c>
      <c r="J37" s="133">
        <v>3</v>
      </c>
      <c r="K37" s="133" t="str">
        <f>(G37&amp;H37&amp;I37&amp;"."&amp;J37)</f>
        <v>211.3</v>
      </c>
      <c r="L37" s="141"/>
      <c r="M37" s="134">
        <v>41.5</v>
      </c>
      <c r="N37" s="142"/>
      <c r="O37" s="143"/>
      <c r="P37" s="144"/>
      <c r="Q37" s="144"/>
      <c r="R37" s="155"/>
      <c r="S37" s="170"/>
      <c r="T37" s="170"/>
      <c r="U37" s="170"/>
      <c r="V37" s="170"/>
      <c r="X37" s="183"/>
      <c r="Y37" s="186"/>
      <c r="Z37" s="186"/>
      <c r="AA37" s="186"/>
      <c r="AB37" s="186"/>
      <c r="AC37" s="186"/>
      <c r="AD37" s="186"/>
      <c r="AE37" s="186"/>
      <c r="AF37" s="186"/>
      <c r="AG37" s="186"/>
      <c r="AH37" s="186"/>
    </row>
    <row r="38" spans="2:34" ht="13.35" customHeight="1">
      <c r="B38" s="133"/>
      <c r="C38" s="134"/>
      <c r="D38" s="140">
        <v>304</v>
      </c>
      <c r="E38" s="133" t="s">
        <v>13</v>
      </c>
      <c r="F38" s="133">
        <v>2</v>
      </c>
      <c r="G38" s="56">
        <f>IF(LEFT(E38,1)="F",1,2)</f>
        <v>1</v>
      </c>
      <c r="H38" s="56">
        <f>IF(MID(E38,2,1)="S",1,IF(MID(E38,2,1)="T",2,IF(MID(E38,2,1)="D",3,0)))</f>
        <v>1</v>
      </c>
      <c r="I38" s="56">
        <f>IF(RIGHT(E38,1)="L",1,2)</f>
        <v>1</v>
      </c>
      <c r="J38" s="133">
        <v>3</v>
      </c>
      <c r="K38" s="133" t="str">
        <f>(G38&amp;H38&amp;I38&amp;"."&amp;J38)</f>
        <v>111.3</v>
      </c>
      <c r="L38" s="141"/>
      <c r="M38" s="134">
        <v>43.6</v>
      </c>
      <c r="N38" s="142"/>
      <c r="O38" s="143"/>
      <c r="P38" s="144"/>
      <c r="Q38" s="144"/>
      <c r="R38" s="155"/>
      <c r="S38" s="170"/>
      <c r="T38" s="170"/>
      <c r="U38" s="170"/>
      <c r="V38" s="170"/>
      <c r="X38" s="183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</row>
    <row r="39" spans="2:34" ht="13.35" customHeight="1">
      <c r="B39" s="133"/>
      <c r="C39" s="134"/>
      <c r="D39" s="140">
        <v>305</v>
      </c>
      <c r="E39" s="133" t="s">
        <v>11</v>
      </c>
      <c r="F39" s="133">
        <v>11</v>
      </c>
      <c r="G39" s="56">
        <f>IF(LEFT(E39,1)="F",1,2)</f>
        <v>2</v>
      </c>
      <c r="H39" s="56">
        <f>IF(MID(E39,2,1)="S",1,IF(MID(E39,2,1)="T",2,IF(MID(E39,2,1)="D",3,0)))</f>
        <v>3</v>
      </c>
      <c r="I39" s="56">
        <f>IF(RIGHT(E39,1)="L",1,2)</f>
        <v>2</v>
      </c>
      <c r="J39" s="133">
        <v>4</v>
      </c>
      <c r="K39" s="133" t="str">
        <f>(G39&amp;H39&amp;I39&amp;"."&amp;J39)</f>
        <v>232.4</v>
      </c>
      <c r="L39" s="141"/>
      <c r="M39" s="134">
        <v>41.5</v>
      </c>
      <c r="N39" s="142"/>
      <c r="O39" s="143"/>
      <c r="P39" s="144"/>
      <c r="Q39" s="144"/>
      <c r="R39" s="155"/>
      <c r="S39" s="170"/>
      <c r="T39" s="170"/>
      <c r="U39" s="170"/>
      <c r="V39" s="170"/>
      <c r="X39" s="183"/>
      <c r="Y39" s="171"/>
      <c r="Z39" s="171"/>
      <c r="AA39" s="171"/>
      <c r="AB39" s="171"/>
      <c r="AC39" s="171"/>
      <c r="AD39" s="171"/>
      <c r="AE39" s="171"/>
      <c r="AF39" s="171"/>
      <c r="AG39" s="187"/>
      <c r="AH39" s="186"/>
    </row>
    <row r="40" spans="2:34" ht="13.35" customHeight="1" thickBot="1">
      <c r="B40" s="133"/>
      <c r="C40" s="134"/>
      <c r="D40" s="140">
        <v>306</v>
      </c>
      <c r="E40" s="133" t="s">
        <v>4</v>
      </c>
      <c r="F40" s="133">
        <v>4</v>
      </c>
      <c r="G40" s="56">
        <f>IF(LEFT(E40,1)="F",1,2)</f>
        <v>1</v>
      </c>
      <c r="H40" s="56">
        <f>IF(MID(E40,2,1)="S",1,IF(MID(E40,2,1)="T",2,IF(MID(E40,2,1)="D",3,0)))</f>
        <v>2</v>
      </c>
      <c r="I40" s="56">
        <f>IF(RIGHT(E40,1)="L",1,2)</f>
        <v>1</v>
      </c>
      <c r="J40" s="133">
        <v>4</v>
      </c>
      <c r="K40" s="133" t="str">
        <f>(G40&amp;H40&amp;I40&amp;"."&amp;J40)</f>
        <v>121.4</v>
      </c>
      <c r="L40" s="141"/>
      <c r="M40" s="134">
        <v>42.7</v>
      </c>
      <c r="N40" s="142"/>
      <c r="O40" s="143"/>
      <c r="P40" s="144"/>
      <c r="Q40" s="144"/>
      <c r="R40" s="155"/>
      <c r="S40" s="170"/>
      <c r="T40" s="170"/>
      <c r="U40" s="170"/>
      <c r="V40" s="170"/>
      <c r="X40" s="183"/>
      <c r="Y40" s="171"/>
      <c r="Z40" s="171"/>
      <c r="AA40" s="171"/>
      <c r="AB40" s="171"/>
      <c r="AC40" s="171"/>
      <c r="AD40" s="171"/>
      <c r="AE40" s="171"/>
      <c r="AF40" s="171"/>
      <c r="AG40" s="171"/>
      <c r="AH40" s="186"/>
    </row>
    <row r="41" spans="2:34" ht="13.35" customHeight="1" thickBot="1">
      <c r="B41" s="133"/>
      <c r="C41" s="134"/>
      <c r="D41" s="140">
        <v>307</v>
      </c>
      <c r="E41" s="133" t="s">
        <v>7</v>
      </c>
      <c r="F41" s="133">
        <v>9</v>
      </c>
      <c r="G41" s="56">
        <f>IF(LEFT(E41,1)="F",1,2)</f>
        <v>2</v>
      </c>
      <c r="H41" s="56">
        <f>IF(MID(E41,2,1)="S",1,IF(MID(E41,2,1)="T",2,IF(MID(E41,2,1)="D",3,0)))</f>
        <v>2</v>
      </c>
      <c r="I41" s="56">
        <f>IF(RIGHT(E41,1)="L",1,2)</f>
        <v>2</v>
      </c>
      <c r="J41" s="133">
        <v>4</v>
      </c>
      <c r="K41" s="133" t="str">
        <f>(G41&amp;H41&amp;I41&amp;"."&amp;J41)</f>
        <v>222.4</v>
      </c>
      <c r="L41" s="141"/>
      <c r="M41" s="134">
        <v>49</v>
      </c>
      <c r="N41" s="142"/>
      <c r="O41" s="143"/>
      <c r="P41" s="144"/>
      <c r="Q41" s="185" t="s">
        <v>414</v>
      </c>
      <c r="R41" s="184"/>
      <c r="S41" s="170"/>
      <c r="T41" s="170"/>
      <c r="U41" s="170"/>
      <c r="V41" s="170"/>
      <c r="X41" s="183"/>
      <c r="Y41" s="171"/>
      <c r="Z41" s="171"/>
      <c r="AA41" s="171"/>
      <c r="AB41" s="171"/>
      <c r="AC41" s="171"/>
      <c r="AD41" s="171"/>
      <c r="AE41" s="171"/>
      <c r="AF41" s="171"/>
      <c r="AG41" s="171"/>
    </row>
    <row r="42" spans="2:34" ht="13.35" customHeight="1" thickBot="1">
      <c r="B42" s="133"/>
      <c r="C42" s="134"/>
      <c r="D42" s="147">
        <v>308</v>
      </c>
      <c r="E42" s="148" t="s">
        <v>5</v>
      </c>
      <c r="F42" s="148">
        <v>5</v>
      </c>
      <c r="G42" s="50">
        <f>IF(LEFT(E42,1)="F",1,2)</f>
        <v>1</v>
      </c>
      <c r="H42" s="50">
        <f>IF(MID(E42,2,1)="S",1,IF(MID(E42,2,1)="T",2,IF(MID(E42,2,1)="D",3,0)))</f>
        <v>3</v>
      </c>
      <c r="I42" s="50">
        <f>IF(RIGHT(E42,1)="L",1,2)</f>
        <v>2</v>
      </c>
      <c r="J42" s="148">
        <v>4</v>
      </c>
      <c r="K42" s="148" t="str">
        <f>(G42&amp;H42&amp;I42&amp;"."&amp;J42)</f>
        <v>132.4</v>
      </c>
      <c r="L42" s="149"/>
      <c r="M42" s="150">
        <v>45.2</v>
      </c>
      <c r="N42" s="151"/>
      <c r="O42" s="152"/>
      <c r="P42" s="153"/>
      <c r="Q42" s="145" t="s">
        <v>413</v>
      </c>
      <c r="R42" s="146">
        <v>4.2</v>
      </c>
      <c r="S42" s="170"/>
      <c r="T42" s="170"/>
      <c r="U42" s="170"/>
      <c r="V42" s="170"/>
    </row>
    <row r="43" spans="2:34" ht="13.35" customHeight="1" thickBot="1">
      <c r="B43" s="133"/>
      <c r="C43" s="134"/>
      <c r="D43" s="135">
        <v>408</v>
      </c>
      <c r="E43" s="136" t="s">
        <v>6</v>
      </c>
      <c r="F43" s="136">
        <v>10</v>
      </c>
      <c r="G43" s="62">
        <f>IF(LEFT(E43,1)="F",1,2)</f>
        <v>2</v>
      </c>
      <c r="H43" s="62">
        <f>IF(MID(E43,2,1)="S",1,IF(MID(E43,2,1)="T",2,IF(MID(E43,2,1)="D",3,0)))</f>
        <v>2</v>
      </c>
      <c r="I43" s="62">
        <f>IF(RIGHT(E43,1)="L",1,2)</f>
        <v>1</v>
      </c>
      <c r="J43" s="136">
        <v>4</v>
      </c>
      <c r="K43" s="136" t="str">
        <f>(G43&amp;H43&amp;I43&amp;"."&amp;J43)</f>
        <v>221.4</v>
      </c>
      <c r="L43" s="182">
        <v>0.52430555555555558</v>
      </c>
      <c r="M43" s="137">
        <v>46.4</v>
      </c>
      <c r="N43" s="138"/>
      <c r="O43" s="139"/>
      <c r="P43" s="139"/>
      <c r="Q43" s="145" t="s">
        <v>412</v>
      </c>
      <c r="R43" s="146">
        <v>11.6</v>
      </c>
      <c r="S43" s="170"/>
      <c r="T43" s="170"/>
      <c r="U43" s="170"/>
      <c r="V43" s="170"/>
    </row>
    <row r="44" spans="2:34" ht="13.35" customHeight="1" thickBot="1">
      <c r="B44" s="133"/>
      <c r="C44" s="134"/>
      <c r="D44" s="140">
        <v>407</v>
      </c>
      <c r="E44" s="133" t="s">
        <v>14</v>
      </c>
      <c r="F44" s="133">
        <v>7</v>
      </c>
      <c r="G44" s="56">
        <f>IF(LEFT(E44,1)="F",1,2)</f>
        <v>2</v>
      </c>
      <c r="H44" s="56">
        <f>IF(MID(E44,2,1)="S",1,IF(MID(E44,2,1)="T",2,IF(MID(E44,2,1)="D",3,0)))</f>
        <v>1</v>
      </c>
      <c r="I44" s="56">
        <f>IF(RIGHT(E44,1)="L",1,2)</f>
        <v>2</v>
      </c>
      <c r="J44" s="133">
        <v>4</v>
      </c>
      <c r="K44" s="133" t="str">
        <f>(G44&amp;H44&amp;I44&amp;"."&amp;J44)</f>
        <v>212.4</v>
      </c>
      <c r="L44" s="154"/>
      <c r="M44" s="134">
        <v>47.7</v>
      </c>
      <c r="N44" s="142"/>
      <c r="O44" s="143"/>
      <c r="P44" s="144"/>
      <c r="Q44" s="145" t="s">
        <v>411</v>
      </c>
      <c r="R44" s="146">
        <v>18.7</v>
      </c>
      <c r="S44" s="170"/>
      <c r="T44" s="170"/>
      <c r="U44" s="170"/>
      <c r="V44" s="170"/>
    </row>
    <row r="45" spans="2:34" ht="13.35" customHeight="1" thickBot="1">
      <c r="B45" s="133"/>
      <c r="C45" s="134"/>
      <c r="D45" s="140">
        <v>406</v>
      </c>
      <c r="E45" s="133" t="s">
        <v>8</v>
      </c>
      <c r="F45" s="133">
        <v>3</v>
      </c>
      <c r="G45" s="56">
        <f>IF(LEFT(E45,1)="F",1,2)</f>
        <v>1</v>
      </c>
      <c r="H45" s="56">
        <f>IF(MID(E45,2,1)="S",1,IF(MID(E45,2,1)="T",2,IF(MID(E45,2,1)="D",3,0)))</f>
        <v>2</v>
      </c>
      <c r="I45" s="56">
        <f>IF(RIGHT(E45,1)="L",1,2)</f>
        <v>2</v>
      </c>
      <c r="J45" s="133">
        <v>4</v>
      </c>
      <c r="K45" s="133" t="str">
        <f>(G45&amp;H45&amp;I45&amp;"."&amp;J45)</f>
        <v>122.4</v>
      </c>
      <c r="L45" s="141"/>
      <c r="M45" s="134">
        <v>46.6</v>
      </c>
      <c r="N45" s="142"/>
      <c r="O45" s="143"/>
      <c r="P45" s="144"/>
      <c r="Q45" s="145" t="s">
        <v>410</v>
      </c>
      <c r="R45" s="146">
        <v>26</v>
      </c>
      <c r="S45" s="170"/>
      <c r="T45" s="170"/>
      <c r="U45" s="170"/>
      <c r="V45" s="170"/>
    </row>
    <row r="46" spans="2:34" ht="13.35" customHeight="1" thickBot="1">
      <c r="B46" s="133"/>
      <c r="C46" s="134"/>
      <c r="D46" s="140">
        <v>405</v>
      </c>
      <c r="E46" s="133" t="s">
        <v>15</v>
      </c>
      <c r="F46" s="133">
        <v>6</v>
      </c>
      <c r="G46" s="56">
        <f>IF(LEFT(E46,1)="F",1,2)</f>
        <v>1</v>
      </c>
      <c r="H46" s="56">
        <f>IF(MID(E46,2,1)="S",1,IF(MID(E46,2,1)="T",2,IF(MID(E46,2,1)="D",3,0)))</f>
        <v>3</v>
      </c>
      <c r="I46" s="56">
        <f>IF(RIGHT(E46,1)="L",1,2)</f>
        <v>1</v>
      </c>
      <c r="J46" s="133">
        <v>4</v>
      </c>
      <c r="K46" s="133" t="str">
        <f>(G46&amp;H46&amp;I46&amp;"."&amp;J46)</f>
        <v>131.4</v>
      </c>
      <c r="L46" s="141"/>
      <c r="M46" s="134">
        <v>39.4</v>
      </c>
      <c r="N46" s="142"/>
      <c r="O46" s="143"/>
      <c r="P46" s="144"/>
      <c r="Q46" s="145" t="s">
        <v>409</v>
      </c>
      <c r="R46" s="146">
        <v>33.299999999999997</v>
      </c>
      <c r="S46" s="170"/>
      <c r="T46" s="170"/>
      <c r="U46" s="170"/>
      <c r="V46" s="170"/>
    </row>
    <row r="47" spans="2:34" ht="13.35" customHeight="1" thickBot="1">
      <c r="B47" s="133"/>
      <c r="C47" s="134"/>
      <c r="D47" s="140">
        <v>404</v>
      </c>
      <c r="E47" s="133" t="s">
        <v>8</v>
      </c>
      <c r="F47" s="133">
        <v>3</v>
      </c>
      <c r="G47" s="56">
        <f>IF(LEFT(E47,1)="F",1,2)</f>
        <v>1</v>
      </c>
      <c r="H47" s="56">
        <f>IF(MID(E47,2,1)="S",1,IF(MID(E47,2,1)="T",2,IF(MID(E47,2,1)="D",3,0)))</f>
        <v>2</v>
      </c>
      <c r="I47" s="56">
        <f>IF(RIGHT(E47,1)="L",1,2)</f>
        <v>2</v>
      </c>
      <c r="J47" s="133">
        <v>3</v>
      </c>
      <c r="K47" s="133" t="str">
        <f>(G47&amp;H47&amp;I47&amp;"."&amp;J47)</f>
        <v>122.3</v>
      </c>
      <c r="L47" s="141"/>
      <c r="M47" s="134">
        <v>46.6</v>
      </c>
      <c r="N47" s="142"/>
      <c r="O47" s="143"/>
      <c r="P47" s="144"/>
      <c r="Q47" s="145" t="s">
        <v>408</v>
      </c>
      <c r="R47" s="146">
        <v>40.6</v>
      </c>
      <c r="S47" s="170"/>
      <c r="T47" s="170"/>
      <c r="U47" s="170"/>
      <c r="V47" s="170"/>
    </row>
    <row r="48" spans="2:34" ht="13.35" customHeight="1" thickBot="1">
      <c r="B48" s="133"/>
      <c r="C48" s="134"/>
      <c r="D48" s="140">
        <v>403</v>
      </c>
      <c r="E48" s="133" t="s">
        <v>15</v>
      </c>
      <c r="F48" s="133">
        <v>6</v>
      </c>
      <c r="G48" s="56">
        <f>IF(LEFT(E48,1)="F",1,2)</f>
        <v>1</v>
      </c>
      <c r="H48" s="56">
        <f>IF(MID(E48,2,1)="S",1,IF(MID(E48,2,1)="T",2,IF(MID(E48,2,1)="D",3,0)))</f>
        <v>3</v>
      </c>
      <c r="I48" s="56">
        <f>IF(RIGHT(E48,1)="L",1,2)</f>
        <v>1</v>
      </c>
      <c r="J48" s="133">
        <v>3</v>
      </c>
      <c r="K48" s="133" t="str">
        <f>(G48&amp;H48&amp;I48&amp;"."&amp;J48)</f>
        <v>131.3</v>
      </c>
      <c r="L48" s="141"/>
      <c r="M48" s="134">
        <v>38.700000000000003</v>
      </c>
      <c r="N48" s="142"/>
      <c r="O48" s="143"/>
      <c r="P48" s="144"/>
      <c r="Q48" s="145" t="s">
        <v>407</v>
      </c>
      <c r="R48" s="146">
        <v>47.7</v>
      </c>
      <c r="S48" s="170"/>
      <c r="T48" s="170"/>
      <c r="U48" s="170"/>
      <c r="V48" s="170"/>
    </row>
    <row r="49" spans="2:22" ht="13.35" customHeight="1" thickBot="1">
      <c r="B49" s="133"/>
      <c r="C49" s="134"/>
      <c r="D49" s="140">
        <v>402</v>
      </c>
      <c r="E49" s="133" t="s">
        <v>7</v>
      </c>
      <c r="F49" s="133">
        <v>9</v>
      </c>
      <c r="G49" s="56">
        <f>IF(LEFT(E49,1)="F",1,2)</f>
        <v>2</v>
      </c>
      <c r="H49" s="56">
        <f>IF(MID(E49,2,1)="S",1,IF(MID(E49,2,1)="T",2,IF(MID(E49,2,1)="D",3,0)))</f>
        <v>2</v>
      </c>
      <c r="I49" s="56">
        <f>IF(RIGHT(E49,1)="L",1,2)</f>
        <v>2</v>
      </c>
      <c r="J49" s="133">
        <v>3</v>
      </c>
      <c r="K49" s="133" t="str">
        <f>(G49&amp;H49&amp;I49&amp;"."&amp;J49)</f>
        <v>222.3</v>
      </c>
      <c r="L49" s="141"/>
      <c r="M49" s="134">
        <v>46.2</v>
      </c>
      <c r="N49" s="142"/>
      <c r="O49" s="143"/>
      <c r="P49" s="144"/>
      <c r="Q49" s="145" t="s">
        <v>406</v>
      </c>
      <c r="R49" s="146">
        <v>54.8</v>
      </c>
      <c r="S49" s="170"/>
      <c r="T49" s="170"/>
      <c r="U49" s="170"/>
      <c r="V49" s="170"/>
    </row>
    <row r="50" spans="2:22" ht="13.35" customHeight="1" thickBot="1">
      <c r="B50" s="148"/>
      <c r="C50" s="150"/>
      <c r="D50" s="147">
        <v>401</v>
      </c>
      <c r="E50" s="148" t="s">
        <v>14</v>
      </c>
      <c r="F50" s="148">
        <v>7</v>
      </c>
      <c r="G50" s="50">
        <f>IF(LEFT(E50,1)="F",1,2)</f>
        <v>2</v>
      </c>
      <c r="H50" s="50">
        <f>IF(MID(E50,2,1)="S",1,IF(MID(E50,2,1)="T",2,IF(MID(E50,2,1)="D",3,0)))</f>
        <v>1</v>
      </c>
      <c r="I50" s="50">
        <f>IF(RIGHT(E50,1)="L",1,2)</f>
        <v>2</v>
      </c>
      <c r="J50" s="148">
        <v>3</v>
      </c>
      <c r="K50" s="148" t="str">
        <f>(G50&amp;H50&amp;I50&amp;"."&amp;J50)</f>
        <v>212.3</v>
      </c>
      <c r="L50" s="182">
        <v>0.53194444444444444</v>
      </c>
      <c r="M50" s="150">
        <v>47.1</v>
      </c>
      <c r="N50" s="151"/>
      <c r="O50" s="152"/>
      <c r="P50" s="153"/>
      <c r="Q50" s="145" t="s">
        <v>405</v>
      </c>
      <c r="R50" s="146">
        <v>65.400000000000006</v>
      </c>
      <c r="S50" s="170"/>
      <c r="T50" s="170"/>
      <c r="U50" s="170"/>
      <c r="V50" s="170"/>
    </row>
    <row r="51" spans="2:22">
      <c r="B51" s="171"/>
      <c r="C51" s="171"/>
      <c r="D51" s="171"/>
      <c r="E51" s="171"/>
      <c r="F51" s="171"/>
      <c r="G51" s="121"/>
      <c r="H51" s="121"/>
      <c r="I51" s="121"/>
      <c r="J51" s="171"/>
      <c r="K51" s="171"/>
      <c r="L51" s="123"/>
      <c r="M51" s="123"/>
      <c r="N51" s="123"/>
      <c r="O51" s="123"/>
      <c r="P51" s="123"/>
      <c r="Q51" s="123"/>
      <c r="R51" s="123"/>
      <c r="S51" s="170"/>
      <c r="T51" s="170"/>
      <c r="U51" s="170"/>
      <c r="V51" s="170"/>
    </row>
    <row r="52" spans="2:22">
      <c r="B52" s="171"/>
      <c r="C52" s="171"/>
      <c r="D52" s="171"/>
      <c r="E52" s="181"/>
      <c r="F52" s="171"/>
      <c r="G52" s="121"/>
      <c r="H52" s="121"/>
      <c r="I52" s="121"/>
      <c r="J52" s="171"/>
      <c r="K52" s="171"/>
      <c r="L52" s="123"/>
      <c r="M52" s="123"/>
      <c r="N52" s="123"/>
      <c r="O52" s="123"/>
      <c r="P52" s="123"/>
      <c r="Q52" s="123"/>
      <c r="R52" s="123"/>
      <c r="S52" s="170"/>
      <c r="T52" s="170"/>
      <c r="U52" s="170"/>
      <c r="V52" s="170"/>
    </row>
    <row r="53" spans="2:22">
      <c r="B53" s="171"/>
      <c r="C53" s="171"/>
      <c r="D53" s="171"/>
      <c r="E53" s="171"/>
      <c r="F53" s="171"/>
      <c r="G53" s="121"/>
      <c r="H53" s="121"/>
      <c r="I53" s="121"/>
      <c r="J53" s="171"/>
      <c r="K53" s="171"/>
      <c r="L53" s="123"/>
      <c r="M53" s="123"/>
      <c r="N53" s="123"/>
      <c r="O53" s="123"/>
      <c r="P53" s="123"/>
      <c r="Q53" s="123"/>
      <c r="R53" s="123"/>
      <c r="S53" s="170"/>
      <c r="T53" s="170"/>
      <c r="U53" s="170"/>
      <c r="V53" s="170"/>
    </row>
    <row r="54" spans="2:22">
      <c r="B54" s="171"/>
      <c r="C54" s="171"/>
      <c r="D54" s="171"/>
      <c r="E54" s="181"/>
      <c r="F54" s="171"/>
      <c r="G54" s="121"/>
      <c r="H54" s="121"/>
      <c r="I54" s="121"/>
      <c r="J54" s="171"/>
      <c r="K54" s="171"/>
      <c r="L54" s="123"/>
      <c r="M54" s="123"/>
      <c r="N54" s="123"/>
      <c r="O54" s="123"/>
      <c r="P54" s="123"/>
      <c r="Q54" s="123"/>
      <c r="R54" s="123"/>
      <c r="S54" s="170"/>
      <c r="T54" s="170"/>
      <c r="U54" s="170"/>
      <c r="V54" s="170"/>
    </row>
    <row r="55" spans="2:22">
      <c r="B55" s="171"/>
      <c r="C55" s="171"/>
      <c r="D55" s="171"/>
      <c r="E55" s="171"/>
      <c r="F55" s="171"/>
      <c r="G55" s="121"/>
      <c r="H55" s="121"/>
      <c r="I55" s="121"/>
      <c r="J55" s="171"/>
      <c r="K55" s="171"/>
      <c r="L55" s="123"/>
      <c r="M55" s="123"/>
      <c r="N55" s="123"/>
      <c r="O55" s="123"/>
      <c r="P55" s="123"/>
      <c r="Q55" s="123"/>
      <c r="R55" s="123"/>
      <c r="S55" s="170"/>
      <c r="T55" s="170"/>
      <c r="U55" s="170"/>
      <c r="V55" s="170"/>
    </row>
    <row r="56" spans="2:22">
      <c r="B56" s="171"/>
      <c r="C56" s="171"/>
      <c r="D56" s="171"/>
      <c r="E56" s="181"/>
      <c r="F56" s="171"/>
      <c r="G56" s="121"/>
      <c r="H56" s="121"/>
      <c r="I56" s="121"/>
      <c r="J56" s="171"/>
      <c r="K56" s="171"/>
      <c r="L56" s="123"/>
      <c r="M56" s="123"/>
      <c r="N56" s="123"/>
      <c r="O56" s="123"/>
      <c r="P56" s="123"/>
      <c r="Q56" s="123"/>
      <c r="R56" s="123"/>
      <c r="S56" s="170"/>
      <c r="T56" s="170"/>
      <c r="U56" s="170"/>
      <c r="V56" s="170"/>
    </row>
    <row r="57" spans="2:22">
      <c r="B57" s="171"/>
      <c r="C57" s="171"/>
      <c r="D57" s="171"/>
      <c r="E57" s="171"/>
      <c r="F57" s="171"/>
      <c r="G57" s="121"/>
      <c r="H57" s="121"/>
      <c r="I57" s="121"/>
      <c r="J57" s="171"/>
      <c r="K57" s="171"/>
      <c r="L57" s="123"/>
      <c r="M57" s="123"/>
      <c r="N57" s="123"/>
      <c r="O57" s="123"/>
      <c r="P57" s="123"/>
      <c r="Q57" s="123"/>
      <c r="R57" s="123"/>
      <c r="S57" s="170"/>
      <c r="T57" s="170"/>
      <c r="U57" s="170"/>
      <c r="V57" s="170"/>
    </row>
    <row r="58" spans="2:22">
      <c r="B58" s="171"/>
      <c r="C58" s="171"/>
      <c r="D58" s="171"/>
      <c r="E58" s="181"/>
      <c r="F58" s="171"/>
      <c r="G58" s="121"/>
      <c r="H58" s="121"/>
      <c r="I58" s="121"/>
      <c r="J58" s="171"/>
      <c r="K58" s="171"/>
      <c r="L58" s="123"/>
      <c r="M58" s="123"/>
      <c r="N58" s="123"/>
      <c r="O58" s="123"/>
      <c r="P58" s="123"/>
      <c r="Q58" s="123"/>
      <c r="R58" s="123"/>
    </row>
  </sheetData>
  <mergeCells count="8">
    <mergeCell ref="N10:R10"/>
    <mergeCell ref="Q11:R11"/>
    <mergeCell ref="Q41:R41"/>
    <mergeCell ref="D4:E4"/>
    <mergeCell ref="Q7:R7"/>
    <mergeCell ref="Q8:R8"/>
    <mergeCell ref="F7:O7"/>
    <mergeCell ref="F8:O8"/>
  </mergeCells>
  <pageMargins left="0.23" right="0" top="0.85" bottom="0.57999999999999996" header="0.43" footer="0"/>
  <pageSetup paperSize="512" scale="110" orientation="portrait" r:id="rId2"/>
  <headerFooter alignWithMargins="0">
    <oddHeader xml:space="preserve">&amp;L&amp;"Comic Sans MS,Bold"&amp;14FISE2002 ---SPAD Readings in target area &amp;10(12 rdgs. per plot)&amp;C&amp;"Comic Sans MS,Bold"&amp;12       </oddHeader>
    <oddFooter>&amp;L&amp;F  &amp;A
  USWCL Remote Sensing &amp;"Arial,Italic"&amp;8(PJPinter 602-437-1702 x230)&amp;R&amp;D</oddFooter>
  </headerFooter>
  <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AB429-6C42-48F8-AC19-BFA6C7179A31}">
  <dimension ref="A2:BW58"/>
  <sheetViews>
    <sheetView zoomScaleNormal="100" workbookViewId="0">
      <selection activeCell="M65" sqref="M65"/>
    </sheetView>
  </sheetViews>
  <sheetFormatPr defaultRowHeight="12.75"/>
  <cols>
    <col min="1" max="1" width="9.140625" style="122"/>
    <col min="2" max="2" width="3.7109375" style="122" hidden="1" customWidth="1"/>
    <col min="3" max="3" width="5.140625" style="122" hidden="1" customWidth="1"/>
    <col min="4" max="4" width="4.85546875" style="122" customWidth="1"/>
    <col min="5" max="5" width="5.7109375" style="122" customWidth="1"/>
    <col min="6" max="6" width="5.28515625" style="122" customWidth="1"/>
    <col min="7" max="9" width="5.28515625" style="122" hidden="1" customWidth="1"/>
    <col min="10" max="10" width="5.28515625" style="122" customWidth="1"/>
    <col min="11" max="11" width="7" style="122" hidden="1" customWidth="1"/>
    <col min="12" max="19" width="9.140625" style="122"/>
    <col min="20" max="20" width="11.7109375" style="122" customWidth="1"/>
    <col min="21" max="21" width="7.140625" style="122" customWidth="1"/>
    <col min="22" max="22" width="11.7109375" style="122" customWidth="1"/>
    <col min="23" max="23" width="9.140625" style="122"/>
    <col min="24" max="24" width="7.5703125" style="122" customWidth="1"/>
    <col min="25" max="34" width="7.7109375" style="122" customWidth="1"/>
    <col min="35" max="16384" width="9.140625" style="122"/>
  </cols>
  <sheetData>
    <row r="2" spans="1:75" ht="22.5">
      <c r="A2" s="177" t="s">
        <v>429</v>
      </c>
    </row>
    <row r="4" spans="1:75" ht="22.5">
      <c r="A4" s="177" t="s">
        <v>428</v>
      </c>
      <c r="D4" s="201">
        <v>266</v>
      </c>
      <c r="E4" s="201"/>
    </row>
    <row r="6" spans="1:75" ht="15" customHeight="1" thickBot="1">
      <c r="B6" s="123"/>
      <c r="C6" s="123"/>
      <c r="D6" s="123" t="s">
        <v>427</v>
      </c>
      <c r="E6" s="123"/>
      <c r="P6" s="123" t="s">
        <v>426</v>
      </c>
      <c r="R6" s="124">
        <v>1064</v>
      </c>
    </row>
    <row r="7" spans="1:75" ht="15" customHeight="1" thickBot="1">
      <c r="A7" s="123"/>
      <c r="B7" s="123"/>
      <c r="C7" s="123"/>
      <c r="D7" s="123" t="s">
        <v>336</v>
      </c>
      <c r="E7" s="123"/>
      <c r="F7" s="199" t="s">
        <v>455</v>
      </c>
      <c r="G7" s="199"/>
      <c r="H7" s="199"/>
      <c r="I7" s="199"/>
      <c r="J7" s="199"/>
      <c r="K7" s="199"/>
      <c r="L7" s="199"/>
      <c r="M7" s="199"/>
      <c r="N7" s="199"/>
      <c r="O7" s="199"/>
      <c r="P7" s="125" t="s">
        <v>358</v>
      </c>
      <c r="Q7" s="200">
        <v>37522</v>
      </c>
      <c r="R7" s="199"/>
      <c r="U7" s="171"/>
      <c r="V7" s="171"/>
      <c r="W7" s="171"/>
      <c r="X7" s="171"/>
    </row>
    <row r="8" spans="1:75" ht="13.5" thickBot="1">
      <c r="F8" s="198" t="s">
        <v>454</v>
      </c>
      <c r="G8" s="198"/>
      <c r="H8" s="198"/>
      <c r="I8" s="198"/>
      <c r="J8" s="198"/>
      <c r="K8" s="198"/>
      <c r="L8" s="198"/>
      <c r="M8" s="198"/>
      <c r="N8" s="198"/>
      <c r="O8" s="198"/>
      <c r="P8" s="125" t="s">
        <v>350</v>
      </c>
      <c r="Q8" s="198" t="s">
        <v>423</v>
      </c>
      <c r="R8" s="198"/>
      <c r="T8" s="172" t="s">
        <v>332</v>
      </c>
      <c r="U8" s="173" t="s">
        <v>372</v>
      </c>
      <c r="V8" s="170"/>
      <c r="W8" s="170"/>
      <c r="X8" s="170"/>
    </row>
    <row r="9" spans="1:75" ht="13.5" thickBot="1">
      <c r="T9" s="172" t="s">
        <v>331</v>
      </c>
      <c r="U9" s="173" t="s">
        <v>372</v>
      </c>
      <c r="V9" s="170"/>
      <c r="W9" s="170"/>
      <c r="X9" s="170"/>
    </row>
    <row r="10" spans="1:75" ht="25.5" customHeight="1" thickBot="1">
      <c r="B10" s="127"/>
      <c r="C10" s="128"/>
      <c r="D10" s="197" t="s">
        <v>0</v>
      </c>
      <c r="E10" s="129" t="s">
        <v>305</v>
      </c>
      <c r="F10" s="129" t="s">
        <v>333</v>
      </c>
      <c r="G10" s="130" t="s">
        <v>332</v>
      </c>
      <c r="H10" s="129" t="s">
        <v>331</v>
      </c>
      <c r="I10" s="130" t="s">
        <v>330</v>
      </c>
      <c r="J10" s="130" t="s">
        <v>329</v>
      </c>
      <c r="K10" s="130" t="s">
        <v>328</v>
      </c>
      <c r="L10" s="131" t="s">
        <v>422</v>
      </c>
      <c r="M10" s="132" t="s">
        <v>421</v>
      </c>
      <c r="N10" s="196" t="s">
        <v>420</v>
      </c>
      <c r="O10" s="195"/>
      <c r="P10" s="195"/>
      <c r="Q10" s="195"/>
      <c r="R10" s="194"/>
      <c r="X10" s="193"/>
      <c r="Y10" s="193"/>
      <c r="Z10" s="193"/>
      <c r="AA10" s="193"/>
      <c r="AB10" s="193"/>
      <c r="AC10" s="193"/>
      <c r="AD10" s="193"/>
      <c r="AE10" s="193"/>
      <c r="AF10" s="193"/>
      <c r="AG10" s="193"/>
      <c r="AH10" s="193"/>
    </row>
    <row r="11" spans="1:75" ht="13.35" customHeight="1" thickBot="1">
      <c r="B11" s="133"/>
      <c r="C11" s="134"/>
      <c r="D11" s="135">
        <v>108</v>
      </c>
      <c r="E11" s="136" t="s">
        <v>8</v>
      </c>
      <c r="F11" s="136">
        <v>3</v>
      </c>
      <c r="G11" s="62">
        <f>IF(LEFT(E11,1)="F",1,2)</f>
        <v>1</v>
      </c>
      <c r="H11" s="62">
        <f>IF(MID(E11,2,1)="S",1,IF(MID(E11,2,1)="T",2,IF(MID(E11,2,1)="D",3,0)))</f>
        <v>2</v>
      </c>
      <c r="I11" s="62">
        <f>IF(RIGHT(E11,1)="L",1,2)</f>
        <v>2</v>
      </c>
      <c r="J11" s="136">
        <v>2</v>
      </c>
      <c r="K11" s="136" t="str">
        <f>(G11&amp;H11&amp;I11&amp;"."&amp;J11)</f>
        <v>122.2</v>
      </c>
      <c r="L11" s="182">
        <v>0.45277777777777778</v>
      </c>
      <c r="M11" s="137">
        <v>42.2</v>
      </c>
      <c r="N11" s="138"/>
      <c r="O11" s="139"/>
      <c r="P11" s="139"/>
      <c r="Q11" s="185" t="s">
        <v>419</v>
      </c>
      <c r="R11" s="184"/>
      <c r="S11" s="170"/>
      <c r="T11" s="209"/>
      <c r="U11" s="180" t="s">
        <v>445</v>
      </c>
      <c r="V11" s="208"/>
      <c r="AA11" s="186"/>
      <c r="AB11" s="186"/>
      <c r="AC11" s="186"/>
      <c r="AD11" s="186"/>
      <c r="AE11" s="186"/>
      <c r="AF11" s="186"/>
      <c r="AG11" s="186"/>
      <c r="AH11" s="186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</row>
    <row r="12" spans="1:75" ht="13.35" customHeight="1" thickBot="1">
      <c r="B12" s="133"/>
      <c r="C12" s="134"/>
      <c r="D12" s="140">
        <v>107</v>
      </c>
      <c r="E12" s="133" t="s">
        <v>6</v>
      </c>
      <c r="F12" s="133">
        <v>10</v>
      </c>
      <c r="G12" s="56">
        <f>IF(LEFT(E12,1)="F",1,2)</f>
        <v>2</v>
      </c>
      <c r="H12" s="56">
        <f>IF(MID(E12,2,1)="S",1,IF(MID(E12,2,1)="T",2,IF(MID(E12,2,1)="D",3,0)))</f>
        <v>2</v>
      </c>
      <c r="I12" s="56">
        <f>IF(RIGHT(E12,1)="L",1,2)</f>
        <v>1</v>
      </c>
      <c r="J12" s="133">
        <v>2</v>
      </c>
      <c r="K12" s="133" t="str">
        <f>(G12&amp;H12&amp;I12&amp;"."&amp;J12)</f>
        <v>221.2</v>
      </c>
      <c r="L12" s="141"/>
      <c r="M12" s="134">
        <v>42.5</v>
      </c>
      <c r="N12" s="142"/>
      <c r="O12" s="143"/>
      <c r="P12" s="144"/>
      <c r="Q12" s="145" t="s">
        <v>413</v>
      </c>
      <c r="R12" s="146">
        <v>4.4000000000000004</v>
      </c>
      <c r="S12" s="170"/>
      <c r="T12" s="180" t="s">
        <v>330</v>
      </c>
      <c r="U12" s="207" t="s">
        <v>418</v>
      </c>
      <c r="V12" s="207" t="s">
        <v>417</v>
      </c>
      <c r="AA12" s="186"/>
      <c r="AB12" s="186"/>
      <c r="AC12" s="186"/>
      <c r="AD12" s="186"/>
      <c r="AE12" s="186"/>
      <c r="AF12" s="186"/>
      <c r="AG12" s="186"/>
      <c r="AH12" s="186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</row>
    <row r="13" spans="1:75" ht="13.35" customHeight="1" thickBot="1">
      <c r="B13" s="133"/>
      <c r="C13" s="134"/>
      <c r="D13" s="140">
        <v>106</v>
      </c>
      <c r="E13" s="133" t="s">
        <v>7</v>
      </c>
      <c r="F13" s="133">
        <v>9</v>
      </c>
      <c r="G13" s="56">
        <f>IF(LEFT(E13,1)="F",1,2)</f>
        <v>2</v>
      </c>
      <c r="H13" s="56">
        <f>IF(MID(E13,2,1)="S",1,IF(MID(E13,2,1)="T",2,IF(MID(E13,2,1)="D",3,0)))</f>
        <v>2</v>
      </c>
      <c r="I13" s="56">
        <f>IF(RIGHT(E13,1)="L",1,2)</f>
        <v>2</v>
      </c>
      <c r="J13" s="133">
        <v>2</v>
      </c>
      <c r="K13" s="133" t="str">
        <f>(G13&amp;H13&amp;I13&amp;"."&amp;J13)</f>
        <v>222.2</v>
      </c>
      <c r="L13" s="141"/>
      <c r="M13" s="134">
        <v>47.9</v>
      </c>
      <c r="N13" s="142"/>
      <c r="O13" s="143"/>
      <c r="P13" s="144"/>
      <c r="Q13" s="145" t="s">
        <v>412</v>
      </c>
      <c r="R13" s="146">
        <v>12</v>
      </c>
      <c r="S13" s="170"/>
      <c r="T13" s="206">
        <v>1</v>
      </c>
      <c r="U13" s="122">
        <v>16</v>
      </c>
      <c r="V13" s="38">
        <v>40.618749999999999</v>
      </c>
      <c r="AA13" s="171"/>
      <c r="AB13" s="171"/>
      <c r="AC13" s="171"/>
      <c r="AD13" s="171"/>
      <c r="AE13" s="171"/>
      <c r="AF13" s="171"/>
      <c r="AG13" s="171"/>
      <c r="AH13" s="171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</row>
    <row r="14" spans="1:75" ht="13.35" customHeight="1" thickBot="1">
      <c r="B14" s="133"/>
      <c r="C14" s="134"/>
      <c r="D14" s="140">
        <v>105</v>
      </c>
      <c r="E14" s="133" t="s">
        <v>10</v>
      </c>
      <c r="F14" s="133">
        <v>12</v>
      </c>
      <c r="G14" s="56">
        <f>IF(LEFT(E14,1)="F",1,2)</f>
        <v>2</v>
      </c>
      <c r="H14" s="56">
        <f>IF(MID(E14,2,1)="S",1,IF(MID(E14,2,1)="T",2,IF(MID(E14,2,1)="D",3,0)))</f>
        <v>3</v>
      </c>
      <c r="I14" s="56">
        <f>IF(RIGHT(E14,1)="L",1,2)</f>
        <v>1</v>
      </c>
      <c r="J14" s="133">
        <v>2</v>
      </c>
      <c r="K14" s="133" t="str">
        <f>(G14&amp;H14&amp;I14&amp;"."&amp;J14)</f>
        <v>231.2</v>
      </c>
      <c r="L14" s="141"/>
      <c r="M14" s="134">
        <v>38.299999999999997</v>
      </c>
      <c r="N14" s="142"/>
      <c r="O14" s="143"/>
      <c r="P14" s="144"/>
      <c r="Q14" s="145" t="s">
        <v>411</v>
      </c>
      <c r="R14" s="146">
        <v>19.100000000000001</v>
      </c>
      <c r="S14" s="170"/>
      <c r="T14" s="206">
        <v>2</v>
      </c>
      <c r="U14" s="122">
        <v>20</v>
      </c>
      <c r="V14" s="38">
        <v>42.954999999999998</v>
      </c>
      <c r="AA14" s="171"/>
      <c r="AB14" s="171"/>
      <c r="AC14" s="171"/>
      <c r="AD14" s="171"/>
      <c r="AE14" s="171"/>
      <c r="AF14" s="171"/>
      <c r="AG14" s="171"/>
      <c r="AH14" s="171"/>
    </row>
    <row r="15" spans="1:75" ht="13.35" customHeight="1" thickBot="1">
      <c r="B15" s="133"/>
      <c r="C15" s="134"/>
      <c r="D15" s="140">
        <v>104</v>
      </c>
      <c r="E15" s="133" t="s">
        <v>6</v>
      </c>
      <c r="F15" s="133">
        <v>10</v>
      </c>
      <c r="G15" s="56">
        <f>IF(LEFT(E15,1)="F",1,2)</f>
        <v>2</v>
      </c>
      <c r="H15" s="56">
        <f>IF(MID(E15,2,1)="S",1,IF(MID(E15,2,1)="T",2,IF(MID(E15,2,1)="D",3,0)))</f>
        <v>2</v>
      </c>
      <c r="I15" s="56">
        <f>IF(RIGHT(E15,1)="L",1,2)</f>
        <v>1</v>
      </c>
      <c r="J15" s="133">
        <v>1</v>
      </c>
      <c r="K15" s="133" t="str">
        <f>(G15&amp;H15&amp;I15&amp;"."&amp;J15)</f>
        <v>221.1</v>
      </c>
      <c r="L15" s="141"/>
      <c r="M15" s="134">
        <v>41.4</v>
      </c>
      <c r="N15" s="142"/>
      <c r="O15" s="143"/>
      <c r="P15" s="144"/>
      <c r="Q15" s="145" t="s">
        <v>410</v>
      </c>
      <c r="R15" s="146">
        <v>26.6</v>
      </c>
      <c r="S15" s="170"/>
      <c r="T15" s="205" t="s">
        <v>312</v>
      </c>
      <c r="U15" s="204">
        <v>36</v>
      </c>
      <c r="V15" s="203">
        <v>41.916666666666664</v>
      </c>
      <c r="AA15" s="171"/>
      <c r="AB15" s="171"/>
      <c r="AC15" s="171"/>
      <c r="AD15" s="171"/>
      <c r="AE15" s="171"/>
      <c r="AF15" s="171"/>
      <c r="AG15" s="171"/>
      <c r="AH15" s="171"/>
    </row>
    <row r="16" spans="1:75" ht="13.35" customHeight="1" thickBot="1">
      <c r="B16" s="133"/>
      <c r="C16" s="134"/>
      <c r="D16" s="140">
        <v>103</v>
      </c>
      <c r="E16" s="133" t="s">
        <v>5</v>
      </c>
      <c r="F16" s="133">
        <v>5</v>
      </c>
      <c r="G16" s="56">
        <f>IF(LEFT(E16,1)="F",1,2)</f>
        <v>1</v>
      </c>
      <c r="H16" s="56">
        <f>IF(MID(E16,2,1)="S",1,IF(MID(E16,2,1)="T",2,IF(MID(E16,2,1)="D",3,0)))</f>
        <v>3</v>
      </c>
      <c r="I16" s="56">
        <f>IF(RIGHT(E16,1)="L",1,2)</f>
        <v>2</v>
      </c>
      <c r="J16" s="133">
        <v>1</v>
      </c>
      <c r="K16" s="133" t="str">
        <f>(G16&amp;H16&amp;I16&amp;"."&amp;J16)</f>
        <v>132.1</v>
      </c>
      <c r="L16" s="141"/>
      <c r="M16" s="134">
        <v>39.700000000000003</v>
      </c>
      <c r="N16" s="142"/>
      <c r="O16" s="143"/>
      <c r="P16" s="144"/>
      <c r="Q16" s="145" t="s">
        <v>409</v>
      </c>
      <c r="R16" s="146">
        <v>33.700000000000003</v>
      </c>
      <c r="S16" s="170"/>
    </row>
    <row r="17" spans="2:34" ht="13.35" customHeight="1" thickBot="1">
      <c r="B17" s="133"/>
      <c r="C17" s="134"/>
      <c r="D17" s="140">
        <v>102</v>
      </c>
      <c r="E17" s="133" t="s">
        <v>4</v>
      </c>
      <c r="F17" s="133">
        <v>4</v>
      </c>
      <c r="G17" s="56">
        <f>IF(LEFT(E17,1)="F",1,2)</f>
        <v>1</v>
      </c>
      <c r="H17" s="56">
        <f>IF(MID(E17,2,1)="S",1,IF(MID(E17,2,1)="T",2,IF(MID(E17,2,1)="D",3,0)))</f>
        <v>2</v>
      </c>
      <c r="I17" s="56">
        <f>IF(RIGHT(E17,1)="L",1,2)</f>
        <v>1</v>
      </c>
      <c r="J17" s="133">
        <v>1</v>
      </c>
      <c r="K17" s="133" t="str">
        <f>(G17&amp;H17&amp;I17&amp;"."&amp;J17)</f>
        <v>121.1</v>
      </c>
      <c r="L17" s="141"/>
      <c r="M17" s="134">
        <v>39.1</v>
      </c>
      <c r="N17" s="142"/>
      <c r="O17" s="143"/>
      <c r="P17" s="144"/>
      <c r="Q17" s="145" t="s">
        <v>408</v>
      </c>
      <c r="R17" s="146">
        <v>41.6</v>
      </c>
      <c r="S17" s="170"/>
      <c r="AA17" s="186"/>
      <c r="AB17" s="186"/>
      <c r="AC17" s="186"/>
      <c r="AD17" s="186"/>
      <c r="AE17" s="186"/>
      <c r="AF17" s="186"/>
      <c r="AG17" s="186"/>
      <c r="AH17" s="186"/>
    </row>
    <row r="18" spans="2:34" ht="13.35" customHeight="1" thickBot="1">
      <c r="B18" s="133"/>
      <c r="C18" s="134"/>
      <c r="D18" s="147">
        <v>101</v>
      </c>
      <c r="E18" s="50" t="s">
        <v>3</v>
      </c>
      <c r="F18" s="50">
        <v>1</v>
      </c>
      <c r="G18" s="50">
        <f>IF(LEFT(E18,1)="F",1,2)</f>
        <v>1</v>
      </c>
      <c r="H18" s="50">
        <f>IF(MID(E18,2,1)="S",1,IF(MID(E18,2,1)="T",2,IF(MID(E18,2,1)="D",3,0)))</f>
        <v>1</v>
      </c>
      <c r="I18" s="50">
        <f>IF(RIGHT(E18,1)="L",1,2)</f>
        <v>2</v>
      </c>
      <c r="J18" s="148">
        <v>1</v>
      </c>
      <c r="K18" s="148" t="str">
        <f>(G18&amp;H18&amp;I18&amp;"."&amp;J18)</f>
        <v>112.1</v>
      </c>
      <c r="L18" s="149"/>
      <c r="M18" s="150">
        <v>44.8</v>
      </c>
      <c r="N18" s="151"/>
      <c r="O18" s="152"/>
      <c r="P18" s="153"/>
      <c r="Q18" s="145" t="s">
        <v>407</v>
      </c>
      <c r="R18" s="146">
        <v>48.6</v>
      </c>
      <c r="S18" s="170"/>
      <c r="AA18" s="186"/>
      <c r="AB18" s="186"/>
      <c r="AC18" s="186"/>
      <c r="AD18" s="186"/>
      <c r="AE18" s="186"/>
      <c r="AF18" s="186"/>
      <c r="AG18" s="186"/>
      <c r="AH18" s="186"/>
    </row>
    <row r="19" spans="2:34" ht="13.35" customHeight="1" thickBot="1">
      <c r="B19" s="133"/>
      <c r="C19" s="134"/>
      <c r="D19" s="135">
        <v>201</v>
      </c>
      <c r="E19" s="136" t="s">
        <v>10</v>
      </c>
      <c r="F19" s="136">
        <v>12</v>
      </c>
      <c r="G19" s="62">
        <f>IF(LEFT(E19,1)="F",1,2)</f>
        <v>2</v>
      </c>
      <c r="H19" s="62">
        <f>IF(MID(E19,2,1)="S",1,IF(MID(E19,2,1)="T",2,IF(MID(E19,2,1)="D",3,0)))</f>
        <v>3</v>
      </c>
      <c r="I19" s="62">
        <f>IF(RIGHT(E19,1)="L",1,2)</f>
        <v>1</v>
      </c>
      <c r="J19" s="136">
        <v>1</v>
      </c>
      <c r="K19" s="136" t="str">
        <f>(G19&amp;H19&amp;I19&amp;"."&amp;J19)</f>
        <v>231.1</v>
      </c>
      <c r="L19" s="182">
        <v>0.4604166666666667</v>
      </c>
      <c r="M19" s="137">
        <v>38</v>
      </c>
      <c r="N19" s="138"/>
      <c r="O19" s="139"/>
      <c r="P19" s="139"/>
      <c r="Q19" s="145" t="s">
        <v>406</v>
      </c>
      <c r="R19" s="146">
        <v>55.5</v>
      </c>
      <c r="S19" s="170"/>
      <c r="AA19" s="171"/>
      <c r="AB19" s="171"/>
      <c r="AC19" s="171"/>
      <c r="AD19" s="171"/>
      <c r="AE19" s="171"/>
      <c r="AF19" s="171"/>
      <c r="AG19" s="187"/>
      <c r="AH19" s="187"/>
    </row>
    <row r="20" spans="2:34" ht="13.35" customHeight="1" thickBot="1">
      <c r="B20" s="133"/>
      <c r="C20" s="134"/>
      <c r="D20" s="140">
        <v>202</v>
      </c>
      <c r="E20" s="133" t="s">
        <v>7</v>
      </c>
      <c r="F20" s="133">
        <v>9</v>
      </c>
      <c r="G20" s="56">
        <f>IF(LEFT(E20,1)="F",1,2)</f>
        <v>2</v>
      </c>
      <c r="H20" s="56">
        <f>IF(MID(E20,2,1)="S",1,IF(MID(E20,2,1)="T",2,IF(MID(E20,2,1)="D",3,0)))</f>
        <v>2</v>
      </c>
      <c r="I20" s="56">
        <f>IF(RIGHT(E20,1)="L",1,2)</f>
        <v>2</v>
      </c>
      <c r="J20" s="133">
        <v>1</v>
      </c>
      <c r="K20" s="133" t="str">
        <f>(G20&amp;H20&amp;I20&amp;"."&amp;J20)</f>
        <v>222.1</v>
      </c>
      <c r="L20" s="154"/>
      <c r="M20" s="134">
        <v>43.9</v>
      </c>
      <c r="N20" s="142"/>
      <c r="O20" s="143"/>
      <c r="P20" s="144"/>
      <c r="Q20" s="145" t="s">
        <v>405</v>
      </c>
      <c r="R20" s="146">
        <v>67</v>
      </c>
      <c r="S20" s="170"/>
      <c r="AA20" s="171"/>
      <c r="AB20" s="171"/>
      <c r="AC20" s="171"/>
      <c r="AD20" s="171"/>
      <c r="AE20" s="171"/>
      <c r="AF20" s="171"/>
      <c r="AG20" s="171"/>
      <c r="AH20" s="171"/>
    </row>
    <row r="21" spans="2:34" ht="13.35" customHeight="1">
      <c r="B21" s="133"/>
      <c r="C21" s="134"/>
      <c r="D21" s="140">
        <v>203</v>
      </c>
      <c r="E21" s="133" t="s">
        <v>8</v>
      </c>
      <c r="F21" s="133">
        <v>3</v>
      </c>
      <c r="G21" s="56">
        <f>IF(LEFT(E21,1)="F",1,2)</f>
        <v>1</v>
      </c>
      <c r="H21" s="56">
        <f>IF(MID(E21,2,1)="S",1,IF(MID(E21,2,1)="T",2,IF(MID(E21,2,1)="D",3,0)))</f>
        <v>2</v>
      </c>
      <c r="I21" s="56">
        <f>IF(RIGHT(E21,1)="L",1,2)</f>
        <v>2</v>
      </c>
      <c r="J21" s="133">
        <v>1</v>
      </c>
      <c r="K21" s="133" t="str">
        <f>(G21&amp;H21&amp;I21&amp;"."&amp;J21)</f>
        <v>122.1</v>
      </c>
      <c r="L21" s="141"/>
      <c r="M21" s="134">
        <v>42.9</v>
      </c>
      <c r="N21" s="142"/>
      <c r="O21" s="143"/>
      <c r="P21" s="144"/>
      <c r="Q21" s="144"/>
      <c r="R21" s="155"/>
      <c r="S21" s="170"/>
      <c r="AA21" s="171"/>
      <c r="AB21" s="171"/>
      <c r="AC21" s="171"/>
      <c r="AD21" s="171"/>
      <c r="AE21" s="171"/>
      <c r="AF21" s="171"/>
      <c r="AG21" s="171"/>
      <c r="AH21" s="171"/>
    </row>
    <row r="22" spans="2:34" ht="13.35" customHeight="1">
      <c r="B22" s="133"/>
      <c r="C22" s="134"/>
      <c r="D22" s="140">
        <v>204</v>
      </c>
      <c r="E22" s="133" t="s">
        <v>11</v>
      </c>
      <c r="F22" s="133">
        <v>11</v>
      </c>
      <c r="G22" s="56">
        <f>IF(LEFT(E22,1)="F",1,2)</f>
        <v>2</v>
      </c>
      <c r="H22" s="56">
        <f>IF(MID(E22,2,1)="S",1,IF(MID(E22,2,1)="T",2,IF(MID(E22,2,1)="D",3,0)))</f>
        <v>3</v>
      </c>
      <c r="I22" s="56">
        <f>IF(RIGHT(E22,1)="L",1,2)</f>
        <v>2</v>
      </c>
      <c r="J22" s="133">
        <v>1</v>
      </c>
      <c r="K22" s="133" t="str">
        <f>(G22&amp;H22&amp;I22&amp;"."&amp;J22)</f>
        <v>232.1</v>
      </c>
      <c r="L22" s="141"/>
      <c r="M22" s="134">
        <v>42.3</v>
      </c>
      <c r="N22" s="142"/>
      <c r="O22" s="143"/>
      <c r="P22" s="144"/>
      <c r="Q22" s="144"/>
      <c r="R22" s="155"/>
      <c r="S22" s="170"/>
    </row>
    <row r="23" spans="2:34" ht="13.35" customHeight="1">
      <c r="B23" s="133"/>
      <c r="C23" s="134"/>
      <c r="D23" s="140">
        <v>205</v>
      </c>
      <c r="E23" s="133" t="s">
        <v>3</v>
      </c>
      <c r="F23" s="133">
        <v>1</v>
      </c>
      <c r="G23" s="56">
        <f>IF(LEFT(E23,1)="F",1,2)</f>
        <v>1</v>
      </c>
      <c r="H23" s="56">
        <f>IF(MID(E23,2,1)="S",1,IF(MID(E23,2,1)="T",2,IF(MID(E23,2,1)="D",3,0)))</f>
        <v>1</v>
      </c>
      <c r="I23" s="56">
        <f>IF(RIGHT(E23,1)="L",1,2)</f>
        <v>2</v>
      </c>
      <c r="J23" s="133">
        <v>2</v>
      </c>
      <c r="K23" s="133" t="str">
        <f>(G23&amp;H23&amp;I23&amp;"."&amp;J23)</f>
        <v>112.2</v>
      </c>
      <c r="L23" s="141"/>
      <c r="M23" s="134">
        <v>45.1</v>
      </c>
      <c r="N23" s="142"/>
      <c r="O23" s="143"/>
      <c r="P23" s="144"/>
      <c r="Q23" s="144"/>
      <c r="R23" s="155"/>
      <c r="S23" s="170"/>
      <c r="AA23" s="186"/>
      <c r="AB23" s="186"/>
      <c r="AC23" s="186"/>
      <c r="AD23" s="186"/>
      <c r="AE23" s="186"/>
      <c r="AF23" s="186"/>
      <c r="AG23" s="186"/>
      <c r="AH23" s="186"/>
    </row>
    <row r="24" spans="2:34" ht="13.35" customHeight="1">
      <c r="B24" s="133"/>
      <c r="C24" s="134"/>
      <c r="D24" s="140">
        <v>206</v>
      </c>
      <c r="E24" s="133" t="s">
        <v>12</v>
      </c>
      <c r="F24" s="133">
        <v>8</v>
      </c>
      <c r="G24" s="56">
        <f>IF(LEFT(E24,1)="F",1,2)</f>
        <v>2</v>
      </c>
      <c r="H24" s="56">
        <f>IF(MID(E24,2,1)="S",1,IF(MID(E24,2,1)="T",2,IF(MID(E24,2,1)="D",3,0)))</f>
        <v>1</v>
      </c>
      <c r="I24" s="56">
        <f>IF(RIGHT(E24,1)="L",1,2)</f>
        <v>1</v>
      </c>
      <c r="J24" s="133">
        <v>2</v>
      </c>
      <c r="K24" s="133" t="str">
        <f>(G24&amp;H24&amp;I24&amp;"."&amp;J24)</f>
        <v>211.2</v>
      </c>
      <c r="L24" s="141"/>
      <c r="M24" s="134">
        <v>44.5</v>
      </c>
      <c r="N24" s="142"/>
      <c r="O24" s="143"/>
      <c r="P24" s="144"/>
      <c r="Q24" s="144"/>
      <c r="R24" s="155"/>
      <c r="S24" s="170"/>
      <c r="AA24" s="186"/>
      <c r="AB24" s="186"/>
      <c r="AC24" s="186"/>
      <c r="AD24" s="186"/>
      <c r="AE24" s="186"/>
      <c r="AF24" s="186"/>
      <c r="AG24" s="186"/>
      <c r="AH24" s="186"/>
    </row>
    <row r="25" spans="2:34" ht="13.35" customHeight="1">
      <c r="B25" s="133"/>
      <c r="C25" s="134"/>
      <c r="D25" s="140">
        <v>207</v>
      </c>
      <c r="E25" s="133" t="s">
        <v>4</v>
      </c>
      <c r="F25" s="133">
        <v>4</v>
      </c>
      <c r="G25" s="56">
        <f>IF(LEFT(E25,1)="F",1,2)</f>
        <v>1</v>
      </c>
      <c r="H25" s="56">
        <f>IF(MID(E25,2,1)="S",1,IF(MID(E25,2,1)="T",2,IF(MID(E25,2,1)="D",3,0)))</f>
        <v>2</v>
      </c>
      <c r="I25" s="56">
        <f>IF(RIGHT(E25,1)="L",1,2)</f>
        <v>1</v>
      </c>
      <c r="J25" s="133">
        <v>2</v>
      </c>
      <c r="K25" s="133" t="str">
        <f>(G25&amp;H25&amp;I25&amp;"."&amp;J25)</f>
        <v>121.2</v>
      </c>
      <c r="L25" s="141"/>
      <c r="M25" s="134">
        <v>38.6</v>
      </c>
      <c r="N25" s="142"/>
      <c r="O25" s="143"/>
      <c r="P25" s="144"/>
      <c r="Q25" s="144"/>
      <c r="R25" s="155"/>
      <c r="S25" s="170"/>
      <c r="AA25" s="171"/>
      <c r="AB25" s="171"/>
      <c r="AC25" s="171"/>
      <c r="AD25" s="171"/>
      <c r="AE25" s="171"/>
      <c r="AF25" s="171"/>
      <c r="AG25" s="171"/>
      <c r="AH25" s="171"/>
    </row>
    <row r="26" spans="2:34" ht="13.35" customHeight="1" thickBot="1">
      <c r="B26" s="133"/>
      <c r="C26" s="134"/>
      <c r="D26" s="147">
        <v>208</v>
      </c>
      <c r="E26" s="148" t="s">
        <v>13</v>
      </c>
      <c r="F26" s="148">
        <v>2</v>
      </c>
      <c r="G26" s="50">
        <f>IF(LEFT(E26,1)="F",1,2)</f>
        <v>1</v>
      </c>
      <c r="H26" s="50">
        <f>IF(MID(E26,2,1)="S",1,IF(MID(E26,2,1)="T",2,IF(MID(E26,2,1)="D",3,0)))</f>
        <v>1</v>
      </c>
      <c r="I26" s="50">
        <f>IF(RIGHT(E26,1)="L",1,2)</f>
        <v>1</v>
      </c>
      <c r="J26" s="148">
        <v>2</v>
      </c>
      <c r="K26" s="148" t="str">
        <f>(G26&amp;H26&amp;I26&amp;"."&amp;J26)</f>
        <v>111.2</v>
      </c>
      <c r="L26" s="149"/>
      <c r="M26" s="150">
        <v>44.5</v>
      </c>
      <c r="N26" s="151"/>
      <c r="O26" s="152"/>
      <c r="P26" s="153"/>
      <c r="Q26" s="153"/>
      <c r="R26" s="156"/>
      <c r="S26" s="170"/>
      <c r="X26" s="183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</row>
    <row r="27" spans="2:34" ht="13.35" customHeight="1">
      <c r="B27" s="133"/>
      <c r="C27" s="134"/>
      <c r="D27" s="135">
        <v>908</v>
      </c>
      <c r="E27" s="157" t="s">
        <v>416</v>
      </c>
      <c r="F27" s="136">
        <v>21</v>
      </c>
      <c r="G27" s="62">
        <v>3</v>
      </c>
      <c r="H27" s="62">
        <v>2</v>
      </c>
      <c r="I27" s="62">
        <v>2</v>
      </c>
      <c r="J27" s="136">
        <v>2</v>
      </c>
      <c r="K27" s="136" t="str">
        <f>(G27&amp;H27&amp;I27&amp;"."&amp;J27)</f>
        <v>322.2</v>
      </c>
      <c r="L27" s="182">
        <v>0.47013888888888888</v>
      </c>
      <c r="M27" s="137">
        <v>57.5</v>
      </c>
      <c r="N27" s="138"/>
      <c r="O27" s="139"/>
      <c r="P27" s="139"/>
      <c r="Q27" s="139"/>
      <c r="R27" s="158"/>
      <c r="S27" s="170"/>
      <c r="X27" s="183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</row>
    <row r="28" spans="2:34" ht="13.35" customHeight="1">
      <c r="B28" s="133"/>
      <c r="C28" s="134"/>
      <c r="D28" s="140">
        <v>907</v>
      </c>
      <c r="E28" s="133" t="s">
        <v>17</v>
      </c>
      <c r="F28" s="133">
        <v>31</v>
      </c>
      <c r="G28" s="56">
        <v>8</v>
      </c>
      <c r="H28" s="56">
        <v>0</v>
      </c>
      <c r="I28" s="56">
        <v>1</v>
      </c>
      <c r="J28" s="133">
        <v>2</v>
      </c>
      <c r="K28" s="133" t="str">
        <f>(G28&amp;H28&amp;I28&amp;"."&amp;J28)</f>
        <v>801.2</v>
      </c>
      <c r="L28" s="154"/>
      <c r="M28" s="159"/>
      <c r="N28" s="160"/>
      <c r="O28" s="161"/>
      <c r="P28" s="162"/>
      <c r="Q28" s="162"/>
      <c r="R28" s="163"/>
      <c r="S28" s="170"/>
      <c r="X28" s="183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</row>
    <row r="29" spans="2:34" ht="13.35" customHeight="1">
      <c r="B29" s="133"/>
      <c r="C29" s="134"/>
      <c r="D29" s="140">
        <v>906</v>
      </c>
      <c r="E29" s="164" t="s">
        <v>415</v>
      </c>
      <c r="F29" s="133">
        <v>22</v>
      </c>
      <c r="G29" s="56">
        <v>4</v>
      </c>
      <c r="H29" s="56">
        <v>2</v>
      </c>
      <c r="I29" s="56">
        <v>2</v>
      </c>
      <c r="J29" s="133">
        <v>2</v>
      </c>
      <c r="K29" s="133" t="str">
        <f>(G29&amp;H29&amp;I29&amp;"."&amp;J29)</f>
        <v>422.2</v>
      </c>
      <c r="L29" s="141"/>
      <c r="M29" s="134">
        <v>46.6</v>
      </c>
      <c r="N29" s="142"/>
      <c r="O29" s="143"/>
      <c r="P29" s="144"/>
      <c r="Q29" s="144"/>
      <c r="R29" s="155"/>
      <c r="S29" s="170"/>
      <c r="X29" s="183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</row>
    <row r="30" spans="2:34" ht="13.35" customHeight="1">
      <c r="B30" s="133"/>
      <c r="C30" s="134"/>
      <c r="D30" s="140">
        <v>905</v>
      </c>
      <c r="E30" s="133" t="s">
        <v>16</v>
      </c>
      <c r="F30" s="133">
        <v>32</v>
      </c>
      <c r="G30" s="56">
        <v>9</v>
      </c>
      <c r="H30" s="56">
        <v>0</v>
      </c>
      <c r="I30" s="56">
        <v>1</v>
      </c>
      <c r="J30" s="133">
        <v>2</v>
      </c>
      <c r="K30" s="133" t="str">
        <f>(G30&amp;H30&amp;I30&amp;"."&amp;J30)</f>
        <v>901.2</v>
      </c>
      <c r="L30" s="154"/>
      <c r="M30" s="159"/>
      <c r="N30" s="160"/>
      <c r="O30" s="161"/>
      <c r="P30" s="162"/>
      <c r="Q30" s="162"/>
      <c r="R30" s="163"/>
      <c r="S30" s="170"/>
      <c r="X30" s="183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</row>
    <row r="31" spans="2:34" ht="13.35" customHeight="1">
      <c r="B31" s="133"/>
      <c r="C31" s="134"/>
      <c r="D31" s="140">
        <v>904</v>
      </c>
      <c r="E31" s="164" t="s">
        <v>416</v>
      </c>
      <c r="F31" s="133">
        <v>21</v>
      </c>
      <c r="G31" s="56">
        <v>3</v>
      </c>
      <c r="H31" s="56">
        <v>2</v>
      </c>
      <c r="I31" s="56">
        <v>2</v>
      </c>
      <c r="J31" s="133">
        <v>1</v>
      </c>
      <c r="K31" s="133" t="str">
        <f>(G31&amp;H31&amp;I31&amp;"."&amp;J31)</f>
        <v>322.1</v>
      </c>
      <c r="L31" s="141"/>
      <c r="M31" s="134">
        <v>54.2</v>
      </c>
      <c r="N31" s="142"/>
      <c r="O31" s="143"/>
      <c r="P31" s="144"/>
      <c r="Q31" s="144"/>
      <c r="R31" s="155"/>
      <c r="S31" s="170"/>
      <c r="X31" s="183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</row>
    <row r="32" spans="2:34" ht="13.35" customHeight="1">
      <c r="B32" s="133"/>
      <c r="C32" s="134"/>
      <c r="D32" s="140">
        <v>903</v>
      </c>
      <c r="E32" s="133" t="s">
        <v>17</v>
      </c>
      <c r="F32" s="133">
        <v>31</v>
      </c>
      <c r="G32" s="56">
        <v>8</v>
      </c>
      <c r="H32" s="56">
        <v>0</v>
      </c>
      <c r="I32" s="56">
        <v>1</v>
      </c>
      <c r="J32" s="133">
        <v>1</v>
      </c>
      <c r="K32" s="133" t="str">
        <f>(G32&amp;H32&amp;I32&amp;"."&amp;J32)</f>
        <v>801.1</v>
      </c>
      <c r="L32" s="154"/>
      <c r="M32" s="159"/>
      <c r="N32" s="160"/>
      <c r="O32" s="161"/>
      <c r="P32" s="162"/>
      <c r="Q32" s="162"/>
      <c r="R32" s="163"/>
      <c r="S32" s="170"/>
      <c r="T32" s="170"/>
      <c r="U32" s="170"/>
      <c r="V32" s="170"/>
      <c r="X32" s="183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</row>
    <row r="33" spans="2:34" ht="13.35" customHeight="1">
      <c r="B33" s="133"/>
      <c r="C33" s="134"/>
      <c r="D33" s="140">
        <v>902</v>
      </c>
      <c r="E33" s="164" t="s">
        <v>415</v>
      </c>
      <c r="F33" s="133">
        <v>22</v>
      </c>
      <c r="G33" s="56">
        <v>4</v>
      </c>
      <c r="H33" s="56">
        <v>2</v>
      </c>
      <c r="I33" s="56">
        <v>2</v>
      </c>
      <c r="J33" s="133">
        <v>1</v>
      </c>
      <c r="K33" s="133" t="str">
        <f>(G33&amp;H33&amp;I33&amp;"."&amp;J33)</f>
        <v>422.1</v>
      </c>
      <c r="L33" s="141"/>
      <c r="M33" s="134">
        <v>48</v>
      </c>
      <c r="N33" s="142"/>
      <c r="O33" s="143"/>
      <c r="P33" s="144"/>
      <c r="Q33" s="144"/>
      <c r="R33" s="155"/>
      <c r="S33" s="170"/>
      <c r="T33" s="170"/>
      <c r="U33" s="170"/>
      <c r="V33" s="170"/>
      <c r="X33" s="183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</row>
    <row r="34" spans="2:34" ht="13.35" customHeight="1" thickBot="1">
      <c r="B34" s="133"/>
      <c r="C34" s="134"/>
      <c r="D34" s="147">
        <v>901</v>
      </c>
      <c r="E34" s="148" t="s">
        <v>16</v>
      </c>
      <c r="F34" s="148">
        <v>32</v>
      </c>
      <c r="G34" s="50">
        <v>9</v>
      </c>
      <c r="H34" s="50">
        <v>0</v>
      </c>
      <c r="I34" s="50">
        <v>1</v>
      </c>
      <c r="J34" s="148">
        <v>1</v>
      </c>
      <c r="K34" s="148" t="str">
        <f>(G34&amp;H34&amp;I34&amp;"."&amp;J34)</f>
        <v>901.1</v>
      </c>
      <c r="L34" s="154"/>
      <c r="M34" s="165"/>
      <c r="N34" s="166"/>
      <c r="O34" s="167"/>
      <c r="P34" s="168"/>
      <c r="Q34" s="168"/>
      <c r="R34" s="169"/>
      <c r="S34" s="170"/>
      <c r="T34" s="170"/>
      <c r="U34" s="170"/>
      <c r="V34" s="170"/>
      <c r="X34" s="183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</row>
    <row r="35" spans="2:34" ht="13.35" customHeight="1">
      <c r="B35" s="133"/>
      <c r="C35" s="134"/>
      <c r="D35" s="135">
        <v>301</v>
      </c>
      <c r="E35" s="136" t="s">
        <v>6</v>
      </c>
      <c r="F35" s="136">
        <v>10</v>
      </c>
      <c r="G35" s="62">
        <f>IF(LEFT(E35,1)="F",1,2)</f>
        <v>2</v>
      </c>
      <c r="H35" s="62">
        <f>IF(MID(E35,2,1)="S",1,IF(MID(E35,2,1)="T",2,IF(MID(E35,2,1)="D",3,0)))</f>
        <v>2</v>
      </c>
      <c r="I35" s="62">
        <f>IF(RIGHT(E35,1)="L",1,2)</f>
        <v>1</v>
      </c>
      <c r="J35" s="136">
        <v>3</v>
      </c>
      <c r="K35" s="136" t="str">
        <f>(G35&amp;H35&amp;I35&amp;"."&amp;J35)</f>
        <v>221.3</v>
      </c>
      <c r="L35" s="182">
        <v>0.47638888888888892</v>
      </c>
      <c r="M35" s="137">
        <v>39.799999999999997</v>
      </c>
      <c r="N35" s="138"/>
      <c r="O35" s="139"/>
      <c r="P35" s="139"/>
      <c r="Q35" s="139"/>
      <c r="R35" s="158"/>
      <c r="S35" s="170"/>
      <c r="T35" s="170"/>
      <c r="U35" s="170"/>
      <c r="V35" s="170"/>
      <c r="X35" s="183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</row>
    <row r="36" spans="2:34" ht="13.35" customHeight="1">
      <c r="B36" s="133"/>
      <c r="C36" s="134"/>
      <c r="D36" s="140">
        <v>302</v>
      </c>
      <c r="E36" s="133" t="s">
        <v>4</v>
      </c>
      <c r="F36" s="133">
        <v>4</v>
      </c>
      <c r="G36" s="56">
        <f>IF(LEFT(E36,1)="F",1,2)</f>
        <v>1</v>
      </c>
      <c r="H36" s="56">
        <f>IF(MID(E36,2,1)="S",1,IF(MID(E36,2,1)="T",2,IF(MID(E36,2,1)="D",3,0)))</f>
        <v>2</v>
      </c>
      <c r="I36" s="56">
        <f>IF(RIGHT(E36,1)="L",1,2)</f>
        <v>1</v>
      </c>
      <c r="J36" s="133">
        <v>3</v>
      </c>
      <c r="K36" s="133" t="str">
        <f>(G36&amp;H36&amp;I36&amp;"."&amp;J36)</f>
        <v>121.3</v>
      </c>
      <c r="L36" s="154"/>
      <c r="M36" s="134">
        <v>40</v>
      </c>
      <c r="N36" s="142"/>
      <c r="O36" s="143"/>
      <c r="P36" s="144"/>
      <c r="Q36" s="144"/>
      <c r="R36" s="155"/>
      <c r="S36" s="170"/>
      <c r="T36" s="170"/>
      <c r="U36" s="170"/>
      <c r="V36" s="170"/>
    </row>
    <row r="37" spans="2:34" ht="13.35" customHeight="1">
      <c r="B37" s="133"/>
      <c r="C37" s="134"/>
      <c r="D37" s="140">
        <v>303</v>
      </c>
      <c r="E37" s="133" t="s">
        <v>12</v>
      </c>
      <c r="F37" s="133">
        <v>8</v>
      </c>
      <c r="G37" s="56">
        <f>IF(LEFT(E37,1)="F",1,2)</f>
        <v>2</v>
      </c>
      <c r="H37" s="56">
        <f>IF(MID(E37,2,1)="S",1,IF(MID(E37,2,1)="T",2,IF(MID(E37,2,1)="D",3,0)))</f>
        <v>1</v>
      </c>
      <c r="I37" s="56">
        <f>IF(RIGHT(E37,1)="L",1,2)</f>
        <v>1</v>
      </c>
      <c r="J37" s="133">
        <v>3</v>
      </c>
      <c r="K37" s="133" t="str">
        <f>(G37&amp;H37&amp;I37&amp;"."&amp;J37)</f>
        <v>211.3</v>
      </c>
      <c r="L37" s="141"/>
      <c r="M37" s="134">
        <v>40.700000000000003</v>
      </c>
      <c r="N37" s="142"/>
      <c r="O37" s="143"/>
      <c r="P37" s="144"/>
      <c r="Q37" s="144"/>
      <c r="R37" s="155"/>
      <c r="S37" s="170"/>
      <c r="T37" s="170"/>
      <c r="U37" s="170"/>
      <c r="V37" s="170"/>
      <c r="X37" s="183"/>
      <c r="Y37" s="186"/>
      <c r="Z37" s="186"/>
      <c r="AA37" s="186"/>
      <c r="AB37" s="186"/>
      <c r="AC37" s="186"/>
      <c r="AD37" s="186"/>
      <c r="AE37" s="186"/>
      <c r="AF37" s="186"/>
      <c r="AG37" s="186"/>
      <c r="AH37" s="186"/>
    </row>
    <row r="38" spans="2:34" ht="13.35" customHeight="1">
      <c r="B38" s="133"/>
      <c r="C38" s="134"/>
      <c r="D38" s="140">
        <v>304</v>
      </c>
      <c r="E38" s="133" t="s">
        <v>13</v>
      </c>
      <c r="F38" s="133">
        <v>2</v>
      </c>
      <c r="G38" s="56">
        <f>IF(LEFT(E38,1)="F",1,2)</f>
        <v>1</v>
      </c>
      <c r="H38" s="56">
        <f>IF(MID(E38,2,1)="S",1,IF(MID(E38,2,1)="T",2,IF(MID(E38,2,1)="D",3,0)))</f>
        <v>1</v>
      </c>
      <c r="I38" s="56">
        <f>IF(RIGHT(E38,1)="L",1,2)</f>
        <v>1</v>
      </c>
      <c r="J38" s="133">
        <v>3</v>
      </c>
      <c r="K38" s="133" t="str">
        <f>(G38&amp;H38&amp;I38&amp;"."&amp;J38)</f>
        <v>111.3</v>
      </c>
      <c r="L38" s="141"/>
      <c r="M38" s="134">
        <v>41.7</v>
      </c>
      <c r="N38" s="142"/>
      <c r="O38" s="143"/>
      <c r="P38" s="144"/>
      <c r="Q38" s="144"/>
      <c r="R38" s="155"/>
      <c r="S38" s="170"/>
      <c r="T38" s="170"/>
      <c r="U38" s="170"/>
      <c r="V38" s="170"/>
      <c r="X38" s="183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</row>
    <row r="39" spans="2:34" ht="13.35" customHeight="1">
      <c r="B39" s="133"/>
      <c r="C39" s="134"/>
      <c r="D39" s="140">
        <v>305</v>
      </c>
      <c r="E39" s="133" t="s">
        <v>11</v>
      </c>
      <c r="F39" s="133">
        <v>11</v>
      </c>
      <c r="G39" s="56">
        <f>IF(LEFT(E39,1)="F",1,2)</f>
        <v>2</v>
      </c>
      <c r="H39" s="56">
        <f>IF(MID(E39,2,1)="S",1,IF(MID(E39,2,1)="T",2,IF(MID(E39,2,1)="D",3,0)))</f>
        <v>3</v>
      </c>
      <c r="I39" s="56">
        <f>IF(RIGHT(E39,1)="L",1,2)</f>
        <v>2</v>
      </c>
      <c r="J39" s="133">
        <v>4</v>
      </c>
      <c r="K39" s="133" t="str">
        <f>(G39&amp;H39&amp;I39&amp;"."&amp;J39)</f>
        <v>232.4</v>
      </c>
      <c r="L39" s="141"/>
      <c r="M39" s="134">
        <v>42.1</v>
      </c>
      <c r="N39" s="142"/>
      <c r="O39" s="143"/>
      <c r="P39" s="144"/>
      <c r="Q39" s="144"/>
      <c r="R39" s="155"/>
      <c r="S39" s="170"/>
      <c r="T39" s="170"/>
      <c r="U39" s="170"/>
      <c r="V39" s="170"/>
      <c r="X39" s="183"/>
      <c r="Y39" s="171"/>
      <c r="Z39" s="171"/>
      <c r="AA39" s="171"/>
      <c r="AB39" s="171"/>
      <c r="AC39" s="171"/>
      <c r="AD39" s="171"/>
      <c r="AE39" s="171"/>
      <c r="AF39" s="171"/>
      <c r="AG39" s="187"/>
      <c r="AH39" s="186"/>
    </row>
    <row r="40" spans="2:34" ht="13.35" customHeight="1" thickBot="1">
      <c r="B40" s="133"/>
      <c r="C40" s="134"/>
      <c r="D40" s="140">
        <v>306</v>
      </c>
      <c r="E40" s="133" t="s">
        <v>4</v>
      </c>
      <c r="F40" s="133">
        <v>4</v>
      </c>
      <c r="G40" s="56">
        <f>IF(LEFT(E40,1)="F",1,2)</f>
        <v>1</v>
      </c>
      <c r="H40" s="56">
        <f>IF(MID(E40,2,1)="S",1,IF(MID(E40,2,1)="T",2,IF(MID(E40,2,1)="D",3,0)))</f>
        <v>2</v>
      </c>
      <c r="I40" s="56">
        <f>IF(RIGHT(E40,1)="L",1,2)</f>
        <v>1</v>
      </c>
      <c r="J40" s="133">
        <v>4</v>
      </c>
      <c r="K40" s="133" t="str">
        <f>(G40&amp;H40&amp;I40&amp;"."&amp;J40)</f>
        <v>121.4</v>
      </c>
      <c r="L40" s="141"/>
      <c r="M40" s="134">
        <v>39.700000000000003</v>
      </c>
      <c r="N40" s="142"/>
      <c r="O40" s="143"/>
      <c r="P40" s="144"/>
      <c r="Q40" s="144"/>
      <c r="R40" s="155"/>
      <c r="S40" s="170"/>
      <c r="T40" s="170"/>
      <c r="U40" s="170"/>
      <c r="V40" s="170"/>
      <c r="X40" s="183"/>
      <c r="Y40" s="171"/>
      <c r="Z40" s="171"/>
      <c r="AA40" s="171"/>
      <c r="AB40" s="171"/>
      <c r="AC40" s="171"/>
      <c r="AD40" s="171"/>
      <c r="AE40" s="171"/>
      <c r="AF40" s="171"/>
      <c r="AG40" s="171"/>
      <c r="AH40" s="186"/>
    </row>
    <row r="41" spans="2:34" ht="13.35" customHeight="1" thickBot="1">
      <c r="B41" s="133"/>
      <c r="C41" s="134"/>
      <c r="D41" s="140">
        <v>307</v>
      </c>
      <c r="E41" s="133" t="s">
        <v>7</v>
      </c>
      <c r="F41" s="133">
        <v>9</v>
      </c>
      <c r="G41" s="56">
        <f>IF(LEFT(E41,1)="F",1,2)</f>
        <v>2</v>
      </c>
      <c r="H41" s="56">
        <f>IF(MID(E41,2,1)="S",1,IF(MID(E41,2,1)="T",2,IF(MID(E41,2,1)="D",3,0)))</f>
        <v>2</v>
      </c>
      <c r="I41" s="56">
        <f>IF(RIGHT(E41,1)="L",1,2)</f>
        <v>2</v>
      </c>
      <c r="J41" s="133">
        <v>4</v>
      </c>
      <c r="K41" s="133" t="str">
        <f>(G41&amp;H41&amp;I41&amp;"."&amp;J41)</f>
        <v>222.4</v>
      </c>
      <c r="L41" s="141"/>
      <c r="M41" s="134">
        <v>48.4</v>
      </c>
      <c r="N41" s="142"/>
      <c r="O41" s="143"/>
      <c r="P41" s="144"/>
      <c r="Q41" s="185" t="s">
        <v>414</v>
      </c>
      <c r="R41" s="184"/>
      <c r="S41" s="170"/>
      <c r="T41" s="170"/>
      <c r="U41" s="170"/>
      <c r="V41" s="170"/>
      <c r="X41" s="183"/>
      <c r="Y41" s="171"/>
      <c r="Z41" s="171"/>
      <c r="AA41" s="171"/>
      <c r="AB41" s="171"/>
      <c r="AC41" s="171"/>
      <c r="AD41" s="171"/>
      <c r="AE41" s="171"/>
      <c r="AF41" s="171"/>
      <c r="AG41" s="171"/>
    </row>
    <row r="42" spans="2:34" ht="13.35" customHeight="1" thickBot="1">
      <c r="B42" s="133"/>
      <c r="C42" s="134"/>
      <c r="D42" s="147">
        <v>308</v>
      </c>
      <c r="E42" s="148" t="s">
        <v>5</v>
      </c>
      <c r="F42" s="148">
        <v>5</v>
      </c>
      <c r="G42" s="50">
        <f>IF(LEFT(E42,1)="F",1,2)</f>
        <v>1</v>
      </c>
      <c r="H42" s="50">
        <f>IF(MID(E42,2,1)="S",1,IF(MID(E42,2,1)="T",2,IF(MID(E42,2,1)="D",3,0)))</f>
        <v>3</v>
      </c>
      <c r="I42" s="50">
        <f>IF(RIGHT(E42,1)="L",1,2)</f>
        <v>2</v>
      </c>
      <c r="J42" s="148">
        <v>4</v>
      </c>
      <c r="K42" s="148" t="str">
        <f>(G42&amp;H42&amp;I42&amp;"."&amp;J42)</f>
        <v>132.4</v>
      </c>
      <c r="L42" s="149"/>
      <c r="M42" s="150">
        <v>44.4</v>
      </c>
      <c r="N42" s="151"/>
      <c r="O42" s="152"/>
      <c r="P42" s="153"/>
      <c r="Q42" s="145" t="s">
        <v>413</v>
      </c>
      <c r="R42" s="146">
        <v>4.3</v>
      </c>
      <c r="S42" s="170"/>
      <c r="T42" s="170"/>
      <c r="U42" s="170"/>
      <c r="V42" s="170"/>
    </row>
    <row r="43" spans="2:34" ht="13.35" customHeight="1" thickBot="1">
      <c r="B43" s="133"/>
      <c r="C43" s="134"/>
      <c r="D43" s="135">
        <v>408</v>
      </c>
      <c r="E43" s="136" t="s">
        <v>6</v>
      </c>
      <c r="F43" s="136">
        <v>10</v>
      </c>
      <c r="G43" s="62">
        <f>IF(LEFT(E43,1)="F",1,2)</f>
        <v>2</v>
      </c>
      <c r="H43" s="62">
        <f>IF(MID(E43,2,1)="S",1,IF(MID(E43,2,1)="T",2,IF(MID(E43,2,1)="D",3,0)))</f>
        <v>2</v>
      </c>
      <c r="I43" s="62">
        <f>IF(RIGHT(E43,1)="L",1,2)</f>
        <v>1</v>
      </c>
      <c r="J43" s="136">
        <v>4</v>
      </c>
      <c r="K43" s="136" t="str">
        <f>(G43&amp;H43&amp;I43&amp;"."&amp;J43)</f>
        <v>221.4</v>
      </c>
      <c r="L43" s="182">
        <v>0.48472222222222222</v>
      </c>
      <c r="M43" s="137">
        <v>46.8</v>
      </c>
      <c r="N43" s="138"/>
      <c r="O43" s="139"/>
      <c r="P43" s="139"/>
      <c r="Q43" s="145" t="s">
        <v>412</v>
      </c>
      <c r="R43" s="146">
        <v>11.9</v>
      </c>
      <c r="S43" s="170"/>
      <c r="T43" s="170"/>
      <c r="U43" s="170"/>
      <c r="V43" s="170"/>
    </row>
    <row r="44" spans="2:34" ht="13.35" customHeight="1" thickBot="1">
      <c r="B44" s="133"/>
      <c r="C44" s="134"/>
      <c r="D44" s="140">
        <v>407</v>
      </c>
      <c r="E44" s="133" t="s">
        <v>14</v>
      </c>
      <c r="F44" s="133">
        <v>7</v>
      </c>
      <c r="G44" s="56">
        <f>IF(LEFT(E44,1)="F",1,2)</f>
        <v>2</v>
      </c>
      <c r="H44" s="56">
        <f>IF(MID(E44,2,1)="S",1,IF(MID(E44,2,1)="T",2,IF(MID(E44,2,1)="D",3,0)))</f>
        <v>1</v>
      </c>
      <c r="I44" s="56">
        <f>IF(RIGHT(E44,1)="L",1,2)</f>
        <v>2</v>
      </c>
      <c r="J44" s="133">
        <v>4</v>
      </c>
      <c r="K44" s="133" t="str">
        <f>(G44&amp;H44&amp;I44&amp;"."&amp;J44)</f>
        <v>212.4</v>
      </c>
      <c r="L44" s="154"/>
      <c r="M44" s="134">
        <v>49.7</v>
      </c>
      <c r="N44" s="142"/>
      <c r="O44" s="143"/>
      <c r="P44" s="144"/>
      <c r="Q44" s="145" t="s">
        <v>411</v>
      </c>
      <c r="R44" s="146">
        <v>19</v>
      </c>
      <c r="S44" s="170"/>
      <c r="T44" s="170"/>
      <c r="U44" s="170"/>
      <c r="V44" s="170"/>
    </row>
    <row r="45" spans="2:34" ht="13.35" customHeight="1" thickBot="1">
      <c r="B45" s="133"/>
      <c r="C45" s="134"/>
      <c r="D45" s="140">
        <v>406</v>
      </c>
      <c r="E45" s="133" t="s">
        <v>8</v>
      </c>
      <c r="F45" s="133">
        <v>3</v>
      </c>
      <c r="G45" s="56">
        <f>IF(LEFT(E45,1)="F",1,2)</f>
        <v>1</v>
      </c>
      <c r="H45" s="56">
        <f>IF(MID(E45,2,1)="S",1,IF(MID(E45,2,1)="T",2,IF(MID(E45,2,1)="D",3,0)))</f>
        <v>2</v>
      </c>
      <c r="I45" s="56">
        <f>IF(RIGHT(E45,1)="L",1,2)</f>
        <v>2</v>
      </c>
      <c r="J45" s="133">
        <v>4</v>
      </c>
      <c r="K45" s="133" t="str">
        <f>(G45&amp;H45&amp;I45&amp;"."&amp;J45)</f>
        <v>122.4</v>
      </c>
      <c r="L45" s="141"/>
      <c r="M45" s="134">
        <v>46.2</v>
      </c>
      <c r="N45" s="142"/>
      <c r="O45" s="143"/>
      <c r="P45" s="144"/>
      <c r="Q45" s="145" t="s">
        <v>410</v>
      </c>
      <c r="R45" s="146">
        <v>26.2</v>
      </c>
      <c r="S45" s="170"/>
      <c r="T45" s="170"/>
      <c r="U45" s="170"/>
      <c r="V45" s="170"/>
    </row>
    <row r="46" spans="2:34" ht="13.35" customHeight="1" thickBot="1">
      <c r="B46" s="133"/>
      <c r="C46" s="134"/>
      <c r="D46" s="140">
        <v>405</v>
      </c>
      <c r="E46" s="133" t="s">
        <v>15</v>
      </c>
      <c r="F46" s="133">
        <v>6</v>
      </c>
      <c r="G46" s="56">
        <f>IF(LEFT(E46,1)="F",1,2)</f>
        <v>1</v>
      </c>
      <c r="H46" s="56">
        <f>IF(MID(E46,2,1)="S",1,IF(MID(E46,2,1)="T",2,IF(MID(E46,2,1)="D",3,0)))</f>
        <v>3</v>
      </c>
      <c r="I46" s="56">
        <f>IF(RIGHT(E46,1)="L",1,2)</f>
        <v>1</v>
      </c>
      <c r="J46" s="133">
        <v>4</v>
      </c>
      <c r="K46" s="133" t="str">
        <f>(G46&amp;H46&amp;I46&amp;"."&amp;J46)</f>
        <v>131.4</v>
      </c>
      <c r="L46" s="141"/>
      <c r="M46" s="134">
        <v>41.7</v>
      </c>
      <c r="N46" s="142"/>
      <c r="O46" s="143"/>
      <c r="P46" s="144"/>
      <c r="Q46" s="145" t="s">
        <v>409</v>
      </c>
      <c r="R46" s="146">
        <v>33.4</v>
      </c>
      <c r="S46" s="170"/>
      <c r="T46" s="170"/>
      <c r="U46" s="170"/>
      <c r="V46" s="170"/>
    </row>
    <row r="47" spans="2:34" ht="13.35" customHeight="1" thickBot="1">
      <c r="B47" s="133"/>
      <c r="C47" s="134"/>
      <c r="D47" s="140">
        <v>404</v>
      </c>
      <c r="E47" s="133" t="s">
        <v>8</v>
      </c>
      <c r="F47" s="133">
        <v>3</v>
      </c>
      <c r="G47" s="56">
        <f>IF(LEFT(E47,1)="F",1,2)</f>
        <v>1</v>
      </c>
      <c r="H47" s="56">
        <f>IF(MID(E47,2,1)="S",1,IF(MID(E47,2,1)="T",2,IF(MID(E47,2,1)="D",3,0)))</f>
        <v>2</v>
      </c>
      <c r="I47" s="56">
        <f>IF(RIGHT(E47,1)="L",1,2)</f>
        <v>2</v>
      </c>
      <c r="J47" s="133">
        <v>3</v>
      </c>
      <c r="K47" s="133" t="str">
        <f>(G47&amp;H47&amp;I47&amp;"."&amp;J47)</f>
        <v>122.3</v>
      </c>
      <c r="L47" s="141"/>
      <c r="M47" s="134">
        <v>44.9</v>
      </c>
      <c r="N47" s="142"/>
      <c r="O47" s="143"/>
      <c r="P47" s="144"/>
      <c r="Q47" s="145" t="s">
        <v>408</v>
      </c>
      <c r="R47" s="146">
        <v>40.700000000000003</v>
      </c>
      <c r="S47" s="170"/>
      <c r="T47" s="170"/>
      <c r="U47" s="170"/>
      <c r="V47" s="170"/>
    </row>
    <row r="48" spans="2:34" ht="13.35" customHeight="1" thickBot="1">
      <c r="B48" s="133"/>
      <c r="C48" s="134"/>
      <c r="D48" s="140">
        <v>403</v>
      </c>
      <c r="E48" s="133" t="s">
        <v>15</v>
      </c>
      <c r="F48" s="133">
        <v>6</v>
      </c>
      <c r="G48" s="56">
        <f>IF(LEFT(E48,1)="F",1,2)</f>
        <v>1</v>
      </c>
      <c r="H48" s="56">
        <f>IF(MID(E48,2,1)="S",1,IF(MID(E48,2,1)="T",2,IF(MID(E48,2,1)="D",3,0)))</f>
        <v>3</v>
      </c>
      <c r="I48" s="56">
        <f>IF(RIGHT(E48,1)="L",1,2)</f>
        <v>1</v>
      </c>
      <c r="J48" s="133">
        <v>3</v>
      </c>
      <c r="K48" s="133" t="str">
        <f>(G48&amp;H48&amp;I48&amp;"."&amp;J48)</f>
        <v>131.3</v>
      </c>
      <c r="L48" s="141"/>
      <c r="M48" s="134">
        <v>37</v>
      </c>
      <c r="N48" s="142"/>
      <c r="O48" s="143"/>
      <c r="P48" s="144"/>
      <c r="Q48" s="145" t="s">
        <v>407</v>
      </c>
      <c r="R48" s="146">
        <v>47.8</v>
      </c>
      <c r="S48" s="170"/>
      <c r="T48" s="170"/>
      <c r="U48" s="170"/>
      <c r="V48" s="170"/>
    </row>
    <row r="49" spans="2:22" ht="13.35" customHeight="1" thickBot="1">
      <c r="B49" s="133"/>
      <c r="C49" s="134"/>
      <c r="D49" s="140">
        <v>402</v>
      </c>
      <c r="E49" s="133" t="s">
        <v>7</v>
      </c>
      <c r="F49" s="133">
        <v>9</v>
      </c>
      <c r="G49" s="56">
        <f>IF(LEFT(E49,1)="F",1,2)</f>
        <v>2</v>
      </c>
      <c r="H49" s="56">
        <f>IF(MID(E49,2,1)="S",1,IF(MID(E49,2,1)="T",2,IF(MID(E49,2,1)="D",3,0)))</f>
        <v>2</v>
      </c>
      <c r="I49" s="56">
        <f>IF(RIGHT(E49,1)="L",1,2)</f>
        <v>2</v>
      </c>
      <c r="J49" s="133">
        <v>3</v>
      </c>
      <c r="K49" s="133" t="str">
        <f>(G49&amp;H49&amp;I49&amp;"."&amp;J49)</f>
        <v>222.3</v>
      </c>
      <c r="L49" s="141"/>
      <c r="M49" s="134">
        <v>42.7</v>
      </c>
      <c r="N49" s="142"/>
      <c r="O49" s="143"/>
      <c r="P49" s="144"/>
      <c r="Q49" s="145" t="s">
        <v>406</v>
      </c>
      <c r="R49" s="146">
        <v>54.7</v>
      </c>
      <c r="S49" s="170"/>
      <c r="T49" s="170"/>
      <c r="U49" s="170"/>
      <c r="V49" s="170"/>
    </row>
    <row r="50" spans="2:22" ht="13.35" customHeight="1" thickBot="1">
      <c r="B50" s="148"/>
      <c r="C50" s="150"/>
      <c r="D50" s="147">
        <v>401</v>
      </c>
      <c r="E50" s="148" t="s">
        <v>14</v>
      </c>
      <c r="F50" s="148">
        <v>7</v>
      </c>
      <c r="G50" s="50">
        <f>IF(LEFT(E50,1)="F",1,2)</f>
        <v>2</v>
      </c>
      <c r="H50" s="50">
        <f>IF(MID(E50,2,1)="S",1,IF(MID(E50,2,1)="T",2,IF(MID(E50,2,1)="D",3,0)))</f>
        <v>1</v>
      </c>
      <c r="I50" s="50">
        <f>IF(RIGHT(E50,1)="L",1,2)</f>
        <v>2</v>
      </c>
      <c r="J50" s="148">
        <v>3</v>
      </c>
      <c r="K50" s="148" t="str">
        <f>(G50&amp;H50&amp;I50&amp;"."&amp;J50)</f>
        <v>212.3</v>
      </c>
      <c r="L50" s="182">
        <v>0.49236111111111108</v>
      </c>
      <c r="M50" s="150">
        <v>46.6</v>
      </c>
      <c r="N50" s="151"/>
      <c r="O50" s="152"/>
      <c r="P50" s="153"/>
      <c r="Q50" s="145" t="s">
        <v>405</v>
      </c>
      <c r="R50" s="146">
        <v>65.2</v>
      </c>
      <c r="S50" s="170"/>
      <c r="T50" s="170"/>
      <c r="U50" s="170"/>
      <c r="V50" s="170"/>
    </row>
    <row r="51" spans="2:22">
      <c r="B51" s="171"/>
      <c r="C51" s="171"/>
      <c r="D51" s="171"/>
      <c r="E51" s="171"/>
      <c r="F51" s="171"/>
      <c r="G51" s="121"/>
      <c r="H51" s="121"/>
      <c r="I51" s="121"/>
      <c r="J51" s="171"/>
      <c r="K51" s="171"/>
      <c r="L51" s="123"/>
      <c r="M51" s="123"/>
      <c r="N51" s="123"/>
      <c r="O51" s="123"/>
      <c r="P51" s="123"/>
      <c r="Q51" s="123"/>
      <c r="R51" s="123"/>
      <c r="S51" s="170"/>
      <c r="T51" s="170"/>
      <c r="U51" s="170"/>
      <c r="V51" s="170"/>
    </row>
    <row r="52" spans="2:22">
      <c r="B52" s="171"/>
      <c r="C52" s="171"/>
      <c r="D52" s="171"/>
      <c r="E52" s="181"/>
      <c r="F52" s="171"/>
      <c r="G52" s="121"/>
      <c r="H52" s="121"/>
      <c r="I52" s="121"/>
      <c r="J52" s="171"/>
      <c r="K52" s="171"/>
      <c r="L52" s="123"/>
      <c r="M52" s="123"/>
      <c r="N52" s="123"/>
      <c r="O52" s="123"/>
      <c r="P52" s="123"/>
      <c r="Q52" s="123"/>
      <c r="R52" s="123"/>
      <c r="S52" s="170"/>
      <c r="T52" s="170"/>
      <c r="U52" s="170"/>
      <c r="V52" s="170"/>
    </row>
    <row r="53" spans="2:22">
      <c r="B53" s="171"/>
      <c r="C53" s="171"/>
      <c r="D53" s="171"/>
      <c r="E53" s="171"/>
      <c r="F53" s="171"/>
      <c r="G53" s="121"/>
      <c r="H53" s="121"/>
      <c r="I53" s="121"/>
      <c r="J53" s="171"/>
      <c r="K53" s="171"/>
      <c r="L53" s="123"/>
      <c r="M53" s="123"/>
      <c r="N53" s="123"/>
      <c r="O53" s="123"/>
      <c r="P53" s="123"/>
      <c r="Q53" s="123"/>
      <c r="R53" s="123"/>
      <c r="S53" s="170"/>
      <c r="T53" s="170"/>
      <c r="U53" s="170"/>
      <c r="V53" s="170"/>
    </row>
    <row r="54" spans="2:22">
      <c r="B54" s="171"/>
      <c r="C54" s="171"/>
      <c r="D54" s="171"/>
      <c r="E54" s="181"/>
      <c r="F54" s="171"/>
      <c r="G54" s="121"/>
      <c r="H54" s="121"/>
      <c r="I54" s="121"/>
      <c r="J54" s="171"/>
      <c r="K54" s="171"/>
      <c r="L54" s="123"/>
      <c r="M54" s="123"/>
      <c r="N54" s="123"/>
      <c r="O54" s="123"/>
      <c r="P54" s="123"/>
      <c r="Q54" s="123"/>
      <c r="R54" s="123"/>
      <c r="S54" s="170"/>
      <c r="T54" s="170"/>
      <c r="U54" s="170"/>
      <c r="V54" s="170"/>
    </row>
    <row r="55" spans="2:22">
      <c r="B55" s="171"/>
      <c r="C55" s="171"/>
      <c r="D55" s="171"/>
      <c r="E55" s="171"/>
      <c r="F55" s="171"/>
      <c r="G55" s="121"/>
      <c r="H55" s="121"/>
      <c r="I55" s="121"/>
      <c r="J55" s="171"/>
      <c r="K55" s="171"/>
      <c r="L55" s="123"/>
      <c r="M55" s="123"/>
      <c r="N55" s="123"/>
      <c r="O55" s="123"/>
      <c r="P55" s="123"/>
      <c r="Q55" s="123"/>
      <c r="R55" s="123"/>
      <c r="S55" s="170"/>
      <c r="T55" s="170"/>
      <c r="U55" s="170"/>
      <c r="V55" s="170"/>
    </row>
    <row r="56" spans="2:22">
      <c r="B56" s="171"/>
      <c r="C56" s="171"/>
      <c r="D56" s="171"/>
      <c r="E56" s="181"/>
      <c r="F56" s="171"/>
      <c r="G56" s="121"/>
      <c r="H56" s="121"/>
      <c r="I56" s="121"/>
      <c r="J56" s="171"/>
      <c r="K56" s="171"/>
      <c r="L56" s="123"/>
      <c r="M56" s="123"/>
      <c r="N56" s="123"/>
      <c r="O56" s="123"/>
      <c r="P56" s="123"/>
      <c r="Q56" s="123"/>
      <c r="R56" s="123"/>
      <c r="S56" s="170"/>
      <c r="T56" s="170"/>
      <c r="U56" s="170"/>
      <c r="V56" s="170"/>
    </row>
    <row r="57" spans="2:22">
      <c r="B57" s="171"/>
      <c r="C57" s="171"/>
      <c r="D57" s="171"/>
      <c r="E57" s="171"/>
      <c r="F57" s="171"/>
      <c r="G57" s="121"/>
      <c r="H57" s="121"/>
      <c r="I57" s="121"/>
      <c r="J57" s="171"/>
      <c r="K57" s="171"/>
      <c r="L57" s="123"/>
      <c r="M57" s="123"/>
      <c r="N57" s="123"/>
      <c r="O57" s="123"/>
      <c r="P57" s="123"/>
      <c r="Q57" s="123"/>
      <c r="R57" s="123"/>
      <c r="S57" s="170"/>
      <c r="T57" s="170"/>
      <c r="U57" s="170"/>
      <c r="V57" s="170"/>
    </row>
    <row r="58" spans="2:22">
      <c r="B58" s="171"/>
      <c r="C58" s="171"/>
      <c r="D58" s="171"/>
      <c r="E58" s="181"/>
      <c r="F58" s="171"/>
      <c r="G58" s="121"/>
      <c r="H58" s="121"/>
      <c r="I58" s="121"/>
      <c r="J58" s="171"/>
      <c r="K58" s="171"/>
      <c r="L58" s="123"/>
      <c r="M58" s="123"/>
      <c r="N58" s="123"/>
      <c r="O58" s="123"/>
      <c r="P58" s="123"/>
      <c r="Q58" s="123"/>
      <c r="R58" s="123"/>
    </row>
  </sheetData>
  <mergeCells count="8">
    <mergeCell ref="N10:R10"/>
    <mergeCell ref="Q11:R11"/>
    <mergeCell ref="Q41:R41"/>
    <mergeCell ref="D4:E4"/>
    <mergeCell ref="Q7:R7"/>
    <mergeCell ref="Q8:R8"/>
    <mergeCell ref="F7:O7"/>
    <mergeCell ref="F8:O8"/>
  </mergeCells>
  <pageMargins left="0.23" right="0" top="0.85" bottom="0.57999999999999996" header="0.43" footer="0"/>
  <pageSetup paperSize="512" scale="110" orientation="portrait" r:id="rId2"/>
  <headerFooter alignWithMargins="0">
    <oddHeader xml:space="preserve">&amp;L&amp;"Comic Sans MS,Bold"&amp;14FISE2002 ---SPAD Readings in target area &amp;10(12 rdgs. per plot)&amp;C&amp;"Comic Sans MS,Bold"&amp;12       </oddHeader>
    <oddFooter>&amp;L&amp;F  &amp;A
  USWCL Remote Sensing &amp;"Arial,Italic"&amp;8(PJPinter 602-437-1702 x230)&amp;R&amp;D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46</vt:i4>
      </vt:variant>
      <vt:variant>
        <vt:lpstr>Named Ranges</vt:lpstr>
      </vt:variant>
      <vt:variant>
        <vt:i4>21</vt:i4>
      </vt:variant>
    </vt:vector>
  </HeadingPairs>
  <TitlesOfParts>
    <vt:vector size="67" baseType="lpstr">
      <vt:lpstr>Height</vt:lpstr>
      <vt:lpstr>Width</vt:lpstr>
      <vt:lpstr>SPAD</vt:lpstr>
      <vt:lpstr>Density</vt:lpstr>
      <vt:lpstr>Develop</vt:lpstr>
      <vt:lpstr>template</vt:lpstr>
      <vt:lpstr>HgtDOY163</vt:lpstr>
      <vt:lpstr>HgtDOY170</vt:lpstr>
      <vt:lpstr>HgtDOY176</vt:lpstr>
      <vt:lpstr>HgtDOY183</vt:lpstr>
      <vt:lpstr>HgtDOY190</vt:lpstr>
      <vt:lpstr>HgtDOY199</vt:lpstr>
      <vt:lpstr>HgtDOY204</vt:lpstr>
      <vt:lpstr>HgtDOY212</vt:lpstr>
      <vt:lpstr>HgtDOY218</vt:lpstr>
      <vt:lpstr>HgtDOY225</vt:lpstr>
      <vt:lpstr>HgtDOY232</vt:lpstr>
      <vt:lpstr>HgtDOY239</vt:lpstr>
      <vt:lpstr>HgtDOY246</vt:lpstr>
      <vt:lpstr>HgtDOY260</vt:lpstr>
      <vt:lpstr>EmgSummary1</vt:lpstr>
      <vt:lpstr>EmgSummary2</vt:lpstr>
      <vt:lpstr>EmgDOY118</vt:lpstr>
      <vt:lpstr>EmgDOY119</vt:lpstr>
      <vt:lpstr>EmgDOY120</vt:lpstr>
      <vt:lpstr>EmgDOY121</vt:lpstr>
      <vt:lpstr>EmgDOY122</vt:lpstr>
      <vt:lpstr>EmgDOY123</vt:lpstr>
      <vt:lpstr>EmgDOY125</vt:lpstr>
      <vt:lpstr>EmgDOY133</vt:lpstr>
      <vt:lpstr>EmgDOY134</vt:lpstr>
      <vt:lpstr>EmgDOY135</vt:lpstr>
      <vt:lpstr>EmgDOY137</vt:lpstr>
      <vt:lpstr>EmgDOY140</vt:lpstr>
      <vt:lpstr>EmgDOY141</vt:lpstr>
      <vt:lpstr>EmgDOY149</vt:lpstr>
      <vt:lpstr>SPADDOY186</vt:lpstr>
      <vt:lpstr>SPADDOY192</vt:lpstr>
      <vt:lpstr>SPADDOY197</vt:lpstr>
      <vt:lpstr>SPADDOY206</vt:lpstr>
      <vt:lpstr>SPADDOY224</vt:lpstr>
      <vt:lpstr>SPADDOY227</vt:lpstr>
      <vt:lpstr>SPADDOY242</vt:lpstr>
      <vt:lpstr>SPADDOY249</vt:lpstr>
      <vt:lpstr>SPADDOY256</vt:lpstr>
      <vt:lpstr>SPADDOY266</vt:lpstr>
      <vt:lpstr>EmgDOY141!Print_Area</vt:lpstr>
      <vt:lpstr>SPADDOY186!Print_Area</vt:lpstr>
      <vt:lpstr>SPADDOY192!Print_Area</vt:lpstr>
      <vt:lpstr>SPADDOY197!Print_Area</vt:lpstr>
      <vt:lpstr>SPADDOY206!Print_Area</vt:lpstr>
      <vt:lpstr>SPADDOY224!Print_Area</vt:lpstr>
      <vt:lpstr>SPADDOY227!Print_Area</vt:lpstr>
      <vt:lpstr>SPADDOY242!Print_Area</vt:lpstr>
      <vt:lpstr>SPADDOY249!Print_Area</vt:lpstr>
      <vt:lpstr>SPADDOY256!Print_Area</vt:lpstr>
      <vt:lpstr>SPADDOY266!Print_Area</vt:lpstr>
      <vt:lpstr>SPADDOY192!trt.</vt:lpstr>
      <vt:lpstr>SPADDOY197!trt.</vt:lpstr>
      <vt:lpstr>SPADDOY206!trt.</vt:lpstr>
      <vt:lpstr>SPADDOY224!trt.</vt:lpstr>
      <vt:lpstr>SPADDOY227!trt.</vt:lpstr>
      <vt:lpstr>SPADDOY242!trt.</vt:lpstr>
      <vt:lpstr>SPADDOY249!trt.</vt:lpstr>
      <vt:lpstr>SPADDOY256!trt.</vt:lpstr>
      <vt:lpstr>SPADDOY266!trt.</vt:lpstr>
      <vt:lpstr>trt.</vt:lpstr>
    </vt:vector>
  </TitlesOfParts>
  <Company>U.S. Water Conservation Lab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Richards</dc:creator>
  <cp:lastModifiedBy>Reviewer</cp:lastModifiedBy>
  <cp:lastPrinted>2002-08-27T14:15:37Z</cp:lastPrinted>
  <dcterms:created xsi:type="dcterms:W3CDTF">2002-06-11T20:50:19Z</dcterms:created>
  <dcterms:modified xsi:type="dcterms:W3CDTF">2025-10-01T13:39:53Z</dcterms:modified>
</cp:coreProperties>
</file>