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F806ED69-6DC9-49F2-B557-42EDA5C1A9CE}" xr6:coauthVersionLast="47" xr6:coauthVersionMax="47" xr10:uidLastSave="{00000000-0000-0000-0000-000000000000}"/>
  <bookViews>
    <workbookView xWindow="-1740" yWindow="-26205" windowWidth="18210" windowHeight="24945" xr2:uid="{5485CBB2-C13A-4C0B-BAC8-38661C175E52}"/>
  </bookViews>
  <sheets>
    <sheet name="Raw Scale" sheetId="1" r:id="rId1"/>
    <sheet name="Plot Scale" sheetId="2" r:id="rId2"/>
    <sheet name="Compare" sheetId="3" r:id="rId3"/>
    <sheet name="101" sheetId="4" r:id="rId4"/>
    <sheet name="102" sheetId="5" r:id="rId5"/>
    <sheet name="103" sheetId="6" r:id="rId6"/>
    <sheet name="104" sheetId="7" r:id="rId7"/>
    <sheet name="105" sheetId="8" r:id="rId8"/>
    <sheet name="106" sheetId="9" r:id="rId9"/>
    <sheet name="107" sheetId="10" r:id="rId10"/>
    <sheet name="108" sheetId="11" r:id="rId11"/>
    <sheet name="201" sheetId="12" r:id="rId12"/>
    <sheet name="202" sheetId="13" r:id="rId13"/>
    <sheet name="203" sheetId="14" r:id="rId14"/>
    <sheet name="204" sheetId="15" r:id="rId15"/>
    <sheet name="205" sheetId="16" r:id="rId16"/>
    <sheet name="206" sheetId="17" r:id="rId17"/>
    <sheet name="207" sheetId="18" r:id="rId18"/>
    <sheet name="208" sheetId="19" r:id="rId19"/>
    <sheet name="301" sheetId="20" r:id="rId20"/>
    <sheet name="302" sheetId="21" r:id="rId21"/>
    <sheet name="303" sheetId="22" r:id="rId22"/>
    <sheet name="304" sheetId="23" r:id="rId23"/>
    <sheet name="305" sheetId="24" r:id="rId24"/>
    <sheet name="306" sheetId="25" r:id="rId25"/>
    <sheet name="307" sheetId="26" r:id="rId26"/>
    <sheet name="308" sheetId="27" r:id="rId27"/>
    <sheet name="401" sheetId="28" r:id="rId28"/>
    <sheet name="402" sheetId="29" r:id="rId29"/>
    <sheet name="403" sheetId="30" r:id="rId30"/>
    <sheet name="404" sheetId="31" r:id="rId31"/>
    <sheet name="405" sheetId="32" r:id="rId32"/>
    <sheet name="406" sheetId="33" r:id="rId33"/>
    <sheet name="407" sheetId="34" r:id="rId34"/>
    <sheet name="408" sheetId="35" r:id="rId35"/>
    <sheet name="902" sheetId="36" r:id="rId36"/>
    <sheet name="904" sheetId="37" r:id="rId37"/>
    <sheet name="906" sheetId="38" r:id="rId38"/>
    <sheet name="908" sheetId="39" r:id="rId39"/>
  </sheets>
  <definedNames>
    <definedName name="_xlnm.Print_Area" localSheetId="3">'101'!$A$1:$R$25</definedName>
    <definedName name="_xlnm.Print_Area" localSheetId="4">'102'!$A$1:$R$25</definedName>
    <definedName name="_xlnm.Print_Area" localSheetId="5">'103'!$A$1:$R$25</definedName>
    <definedName name="_xlnm.Print_Area" localSheetId="6">'104'!$A$1:$R$25</definedName>
    <definedName name="_xlnm.Print_Area" localSheetId="7">'105'!$A$1:$R$25</definedName>
    <definedName name="_xlnm.Print_Area" localSheetId="8">'106'!$A$1:$R$25</definedName>
    <definedName name="_xlnm.Print_Area" localSheetId="9">'107'!$A$1:$R$25</definedName>
    <definedName name="_xlnm.Print_Area" localSheetId="10">'108'!$A$1:$R$25</definedName>
    <definedName name="_xlnm.Print_Area" localSheetId="11">'201'!$A$1:$R$25</definedName>
    <definedName name="_xlnm.Print_Area" localSheetId="12">'202'!$A$1:$R$25</definedName>
    <definedName name="_xlnm.Print_Area" localSheetId="13">'203'!$A$1:$R$25</definedName>
    <definedName name="_xlnm.Print_Area" localSheetId="14">'204'!$A$1:$R$25</definedName>
    <definedName name="_xlnm.Print_Area" localSheetId="15">'205'!$A$1:$R$25</definedName>
    <definedName name="_xlnm.Print_Area" localSheetId="16">'206'!$A$1:$R$25</definedName>
    <definedName name="_xlnm.Print_Area" localSheetId="17">'207'!$A$1:$R$25</definedName>
    <definedName name="_xlnm.Print_Area" localSheetId="18">'208'!$A$1:$R$25</definedName>
    <definedName name="_xlnm.Print_Area" localSheetId="19">'301'!$A$1:$R$25</definedName>
    <definedName name="_xlnm.Print_Area" localSheetId="20">'302'!$A$1:$R$25</definedName>
    <definedName name="_xlnm.Print_Area" localSheetId="21">'303'!$A$1:$R$25</definedName>
    <definedName name="_xlnm.Print_Area" localSheetId="22">'304'!$A$1:$R$25</definedName>
    <definedName name="_xlnm.Print_Area" localSheetId="23">'305'!$A$1:$R$25</definedName>
    <definedName name="_xlnm.Print_Area" localSheetId="24">'306'!$A$1:$R$25</definedName>
    <definedName name="_xlnm.Print_Area" localSheetId="25">'307'!$A$1:$R$25</definedName>
    <definedName name="_xlnm.Print_Area" localSheetId="26">'308'!$A$1:$R$25</definedName>
    <definedName name="_xlnm.Print_Area" localSheetId="27">'401'!$A$1:$R$25</definedName>
    <definedName name="_xlnm.Print_Area" localSheetId="28">'402'!$A$1:$R$25</definedName>
    <definedName name="_xlnm.Print_Area" localSheetId="29">'403'!$A$1:$R$25</definedName>
    <definedName name="_xlnm.Print_Area" localSheetId="30">'404'!$A$1:$R$25</definedName>
    <definedName name="_xlnm.Print_Area" localSheetId="31">'405'!$A$1:$R$25</definedName>
    <definedName name="_xlnm.Print_Area" localSheetId="32">'406'!$A$1:$R$25</definedName>
    <definedName name="_xlnm.Print_Area" localSheetId="33">'407'!$A$1:$R$25</definedName>
    <definedName name="_xlnm.Print_Area" localSheetId="34">'408'!$A$1:$R$25</definedName>
    <definedName name="_xlnm.Print_Area" localSheetId="35">'902'!$A$1:$R$25</definedName>
    <definedName name="_xlnm.Print_Area" localSheetId="36">'904'!$A$1:$R$25</definedName>
    <definedName name="_xlnm.Print_Area" localSheetId="37">'906'!$A$1:$R$25</definedName>
    <definedName name="_xlnm.Print_Area" localSheetId="38">'908'!$A$1:$R$25</definedName>
    <definedName name="Z_32CF86CB_2115_4D3B_B37F_8F45B49040B2_.wvu.PrintArea" localSheetId="3" hidden="1">'101'!$A$1:$I$22</definedName>
    <definedName name="Z_32CF86CB_2115_4D3B_B37F_8F45B49040B2_.wvu.PrintArea" localSheetId="4" hidden="1">'102'!$A$1:$I$22</definedName>
    <definedName name="Z_32CF86CB_2115_4D3B_B37F_8F45B49040B2_.wvu.PrintArea" localSheetId="5" hidden="1">'103'!$A$1:$I$22</definedName>
    <definedName name="Z_54D85376_105B_46A9_AE71_230B49C3EA88_.wvu.PrintArea" localSheetId="3" hidden="1">'101'!$A$1:$R$25</definedName>
    <definedName name="Z_54D85376_105B_46A9_AE71_230B49C3EA88_.wvu.PrintArea" localSheetId="4" hidden="1">'102'!$A$1:$R$25</definedName>
    <definedName name="Z_54D85376_105B_46A9_AE71_230B49C3EA88_.wvu.PrintArea" localSheetId="5" hidden="1">'103'!$A$1:$R$25</definedName>
    <definedName name="Z_54D85376_105B_46A9_AE71_230B49C3EA88_.wvu.PrintArea" localSheetId="6" hidden="1">'104'!$A$1:$R$25</definedName>
    <definedName name="Z_54D85376_105B_46A9_AE71_230B49C3EA88_.wvu.PrintArea" localSheetId="7" hidden="1">'105'!$A$1:$R$25</definedName>
    <definedName name="Z_54D85376_105B_46A9_AE71_230B49C3EA88_.wvu.PrintArea" localSheetId="8" hidden="1">'106'!$A$1:$R$25</definedName>
    <definedName name="Z_54D85376_105B_46A9_AE71_230B49C3EA88_.wvu.PrintArea" localSheetId="9" hidden="1">'107'!$A$1:$R$25</definedName>
    <definedName name="Z_54D85376_105B_46A9_AE71_230B49C3EA88_.wvu.PrintArea" localSheetId="10" hidden="1">'108'!$A$1:$R$25</definedName>
    <definedName name="Z_54D85376_105B_46A9_AE71_230B49C3EA88_.wvu.PrintArea" localSheetId="11" hidden="1">'201'!$A$1:$R$25</definedName>
    <definedName name="Z_54D85376_105B_46A9_AE71_230B49C3EA88_.wvu.PrintArea" localSheetId="12" hidden="1">'202'!$A$1:$R$25</definedName>
    <definedName name="Z_54D85376_105B_46A9_AE71_230B49C3EA88_.wvu.PrintArea" localSheetId="13" hidden="1">'203'!$A$1:$R$25</definedName>
    <definedName name="Z_54D85376_105B_46A9_AE71_230B49C3EA88_.wvu.PrintArea" localSheetId="14" hidden="1">'204'!$A$1:$R$25</definedName>
    <definedName name="Z_54D85376_105B_46A9_AE71_230B49C3EA88_.wvu.PrintArea" localSheetId="15" hidden="1">'205'!$A$1:$R$25</definedName>
    <definedName name="Z_54D85376_105B_46A9_AE71_230B49C3EA88_.wvu.PrintArea" localSheetId="16" hidden="1">'206'!$A$1:$R$25</definedName>
    <definedName name="Z_54D85376_105B_46A9_AE71_230B49C3EA88_.wvu.PrintArea" localSheetId="17" hidden="1">'207'!$A$1:$R$25</definedName>
    <definedName name="Z_54D85376_105B_46A9_AE71_230B49C3EA88_.wvu.PrintArea" localSheetId="18" hidden="1">'208'!$A$1:$R$25</definedName>
    <definedName name="Z_54D85376_105B_46A9_AE71_230B49C3EA88_.wvu.PrintArea" localSheetId="19" hidden="1">'301'!$A$1:$R$25</definedName>
    <definedName name="Z_54D85376_105B_46A9_AE71_230B49C3EA88_.wvu.PrintArea" localSheetId="20" hidden="1">'302'!$A$1:$R$25</definedName>
    <definedName name="Z_54D85376_105B_46A9_AE71_230B49C3EA88_.wvu.PrintArea" localSheetId="21" hidden="1">'303'!$A$1:$R$25</definedName>
    <definedName name="Z_54D85376_105B_46A9_AE71_230B49C3EA88_.wvu.PrintArea" localSheetId="22" hidden="1">'304'!$A$1:$R$25</definedName>
    <definedName name="Z_54D85376_105B_46A9_AE71_230B49C3EA88_.wvu.PrintArea" localSheetId="23" hidden="1">'305'!$A$1:$R$25</definedName>
    <definedName name="Z_54D85376_105B_46A9_AE71_230B49C3EA88_.wvu.PrintArea" localSheetId="24" hidden="1">'306'!$A$1:$R$25</definedName>
    <definedName name="Z_54D85376_105B_46A9_AE71_230B49C3EA88_.wvu.PrintArea" localSheetId="25" hidden="1">'307'!$A$1:$R$25</definedName>
    <definedName name="Z_54D85376_105B_46A9_AE71_230B49C3EA88_.wvu.PrintArea" localSheetId="26" hidden="1">'308'!$A$1:$R$25</definedName>
    <definedName name="Z_54D85376_105B_46A9_AE71_230B49C3EA88_.wvu.PrintArea" localSheetId="27" hidden="1">'401'!$A$1:$R$25</definedName>
    <definedName name="Z_54D85376_105B_46A9_AE71_230B49C3EA88_.wvu.PrintArea" localSheetId="28" hidden="1">'402'!$A$1:$R$25</definedName>
    <definedName name="Z_54D85376_105B_46A9_AE71_230B49C3EA88_.wvu.PrintArea" localSheetId="29" hidden="1">'403'!$A$1:$R$25</definedName>
    <definedName name="Z_54D85376_105B_46A9_AE71_230B49C3EA88_.wvu.PrintArea" localSheetId="30" hidden="1">'404'!$A$1:$R$25</definedName>
    <definedName name="Z_54D85376_105B_46A9_AE71_230B49C3EA88_.wvu.PrintArea" localSheetId="31" hidden="1">'405'!$A$1:$R$25</definedName>
    <definedName name="Z_54D85376_105B_46A9_AE71_230B49C3EA88_.wvu.PrintArea" localSheetId="32" hidden="1">'406'!$A$1:$R$25</definedName>
    <definedName name="Z_54D85376_105B_46A9_AE71_230B49C3EA88_.wvu.PrintArea" localSheetId="33" hidden="1">'407'!$A$1:$R$25</definedName>
    <definedName name="Z_54D85376_105B_46A9_AE71_230B49C3EA88_.wvu.PrintArea" localSheetId="34" hidden="1">'408'!$A$1:$R$25</definedName>
    <definedName name="Z_54D85376_105B_46A9_AE71_230B49C3EA88_.wvu.PrintArea" localSheetId="35" hidden="1">'902'!$A$1:$R$25</definedName>
    <definedName name="Z_54D85376_105B_46A9_AE71_230B49C3EA88_.wvu.PrintArea" localSheetId="36" hidden="1">'904'!$A$1:$R$25</definedName>
    <definedName name="Z_54D85376_105B_46A9_AE71_230B49C3EA88_.wvu.PrintArea" localSheetId="37" hidden="1">'906'!$A$1:$R$25</definedName>
    <definedName name="Z_54D85376_105B_46A9_AE71_230B49C3EA88_.wvu.PrintArea" localSheetId="38" hidden="1">'908'!$A$1:$R$25</definedName>
    <definedName name="Z_65BE493F_7DA7_4ACB_8C59_D5D7B43E02AE_.wvu.PrintArea" localSheetId="3" hidden="1">'101'!$A$1:$R$25</definedName>
    <definedName name="Z_65BE493F_7DA7_4ACB_8C59_D5D7B43E02AE_.wvu.PrintArea" localSheetId="4" hidden="1">'102'!$A$1:$R$25</definedName>
    <definedName name="Z_65BE493F_7DA7_4ACB_8C59_D5D7B43E02AE_.wvu.PrintArea" localSheetId="5" hidden="1">'103'!$A$1:$R$25</definedName>
    <definedName name="Z_65BE493F_7DA7_4ACB_8C59_D5D7B43E02AE_.wvu.PrintArea" localSheetId="6" hidden="1">'104'!$A$1:$R$25</definedName>
    <definedName name="Z_65BE493F_7DA7_4ACB_8C59_D5D7B43E02AE_.wvu.PrintArea" localSheetId="7" hidden="1">'105'!$A$1:$R$25</definedName>
    <definedName name="Z_65BE493F_7DA7_4ACB_8C59_D5D7B43E02AE_.wvu.PrintArea" localSheetId="8" hidden="1">'106'!$A$1:$R$25</definedName>
    <definedName name="Z_65BE493F_7DA7_4ACB_8C59_D5D7B43E02AE_.wvu.PrintArea" localSheetId="9" hidden="1">'107'!$A$1:$R$25</definedName>
    <definedName name="Z_65BE493F_7DA7_4ACB_8C59_D5D7B43E02AE_.wvu.PrintArea" localSheetId="10" hidden="1">'108'!$A$1:$R$25</definedName>
    <definedName name="Z_65BE493F_7DA7_4ACB_8C59_D5D7B43E02AE_.wvu.PrintArea" localSheetId="11" hidden="1">'201'!$A$1:$R$25</definedName>
    <definedName name="Z_65BE493F_7DA7_4ACB_8C59_D5D7B43E02AE_.wvu.PrintArea" localSheetId="12" hidden="1">'202'!$A$1:$R$25</definedName>
    <definedName name="Z_65BE493F_7DA7_4ACB_8C59_D5D7B43E02AE_.wvu.PrintArea" localSheetId="13" hidden="1">'203'!$A$1:$R$25</definedName>
    <definedName name="Z_65BE493F_7DA7_4ACB_8C59_D5D7B43E02AE_.wvu.PrintArea" localSheetId="14" hidden="1">'204'!$A$1:$R$25</definedName>
    <definedName name="Z_65BE493F_7DA7_4ACB_8C59_D5D7B43E02AE_.wvu.PrintArea" localSheetId="15" hidden="1">'205'!$A$1:$R$25</definedName>
    <definedName name="Z_65BE493F_7DA7_4ACB_8C59_D5D7B43E02AE_.wvu.PrintArea" localSheetId="16" hidden="1">'206'!$A$1:$R$25</definedName>
    <definedName name="Z_65BE493F_7DA7_4ACB_8C59_D5D7B43E02AE_.wvu.PrintArea" localSheetId="17" hidden="1">'207'!$A$1:$R$25</definedName>
    <definedName name="Z_65BE493F_7DA7_4ACB_8C59_D5D7B43E02AE_.wvu.PrintArea" localSheetId="18" hidden="1">'208'!$A$1:$R$25</definedName>
    <definedName name="Z_65BE493F_7DA7_4ACB_8C59_D5D7B43E02AE_.wvu.PrintArea" localSheetId="19" hidden="1">'301'!$A$1:$R$25</definedName>
    <definedName name="Z_65BE493F_7DA7_4ACB_8C59_D5D7B43E02AE_.wvu.PrintArea" localSheetId="20" hidden="1">'302'!$A$1:$R$25</definedName>
    <definedName name="Z_65BE493F_7DA7_4ACB_8C59_D5D7B43E02AE_.wvu.PrintArea" localSheetId="21" hidden="1">'303'!$A$1:$R$25</definedName>
    <definedName name="Z_65BE493F_7DA7_4ACB_8C59_D5D7B43E02AE_.wvu.PrintArea" localSheetId="22" hidden="1">'304'!$A$1:$R$25</definedName>
    <definedName name="Z_65BE493F_7DA7_4ACB_8C59_D5D7B43E02AE_.wvu.PrintArea" localSheetId="23" hidden="1">'305'!$A$1:$R$25</definedName>
    <definedName name="Z_65BE493F_7DA7_4ACB_8C59_D5D7B43E02AE_.wvu.PrintArea" localSheetId="24" hidden="1">'306'!$A$1:$R$25</definedName>
    <definedName name="Z_65BE493F_7DA7_4ACB_8C59_D5D7B43E02AE_.wvu.PrintArea" localSheetId="25" hidden="1">'307'!$A$1:$R$25</definedName>
    <definedName name="Z_65BE493F_7DA7_4ACB_8C59_D5D7B43E02AE_.wvu.PrintArea" localSheetId="26" hidden="1">'308'!$A$1:$R$25</definedName>
    <definedName name="Z_65BE493F_7DA7_4ACB_8C59_D5D7B43E02AE_.wvu.PrintArea" localSheetId="27" hidden="1">'401'!$A$1:$R$25</definedName>
    <definedName name="Z_65BE493F_7DA7_4ACB_8C59_D5D7B43E02AE_.wvu.PrintArea" localSheetId="28" hidden="1">'402'!$A$1:$R$25</definedName>
    <definedName name="Z_65BE493F_7DA7_4ACB_8C59_D5D7B43E02AE_.wvu.PrintArea" localSheetId="29" hidden="1">'403'!$A$1:$R$25</definedName>
    <definedName name="Z_65BE493F_7DA7_4ACB_8C59_D5D7B43E02AE_.wvu.PrintArea" localSheetId="30" hidden="1">'404'!$A$1:$R$25</definedName>
    <definedName name="Z_65BE493F_7DA7_4ACB_8C59_D5D7B43E02AE_.wvu.PrintArea" localSheetId="31" hidden="1">'405'!$A$1:$R$25</definedName>
    <definedName name="Z_65BE493F_7DA7_4ACB_8C59_D5D7B43E02AE_.wvu.PrintArea" localSheetId="32" hidden="1">'406'!$A$1:$R$25</definedName>
    <definedName name="Z_65BE493F_7DA7_4ACB_8C59_D5D7B43E02AE_.wvu.PrintArea" localSheetId="33" hidden="1">'407'!$A$1:$R$25</definedName>
    <definedName name="Z_65BE493F_7DA7_4ACB_8C59_D5D7B43E02AE_.wvu.PrintArea" localSheetId="34" hidden="1">'408'!$A$1:$R$25</definedName>
    <definedName name="Z_65BE493F_7DA7_4ACB_8C59_D5D7B43E02AE_.wvu.PrintArea" localSheetId="35" hidden="1">'902'!$A$1:$R$25</definedName>
    <definedName name="Z_65BE493F_7DA7_4ACB_8C59_D5D7B43E02AE_.wvu.PrintArea" localSheetId="36" hidden="1">'904'!$A$1:$R$25</definedName>
    <definedName name="Z_65BE493F_7DA7_4ACB_8C59_D5D7B43E02AE_.wvu.PrintArea" localSheetId="37" hidden="1">'906'!$A$1:$R$25</definedName>
    <definedName name="Z_65BE493F_7DA7_4ACB_8C59_D5D7B43E02AE_.wvu.PrintArea" localSheetId="38" hidden="1">'908'!$A$1:$R$25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9" l="1"/>
  <c r="O4" i="39"/>
  <c r="O5" i="39"/>
  <c r="H9" i="39"/>
  <c r="K9" i="39" s="1"/>
  <c r="H10" i="39"/>
  <c r="K10" i="39"/>
  <c r="L10" i="39"/>
  <c r="M10" i="39"/>
  <c r="N10" i="39"/>
  <c r="O10" i="39"/>
  <c r="P10" i="39"/>
  <c r="H11" i="39"/>
  <c r="K11" i="39"/>
  <c r="L11" i="39"/>
  <c r="M11" i="39"/>
  <c r="N11" i="39"/>
  <c r="O11" i="39"/>
  <c r="P11" i="39"/>
  <c r="H12" i="39"/>
  <c r="H18" i="39" s="1"/>
  <c r="K12" i="39"/>
  <c r="L12" i="39"/>
  <c r="M12" i="39"/>
  <c r="N12" i="39"/>
  <c r="O12" i="39"/>
  <c r="P12" i="39"/>
  <c r="H13" i="39"/>
  <c r="K13" i="39" s="1"/>
  <c r="L13" i="39" s="1"/>
  <c r="H14" i="39"/>
  <c r="K14" i="39"/>
  <c r="L14" i="39"/>
  <c r="M14" i="39"/>
  <c r="N14" i="39"/>
  <c r="O14" i="39"/>
  <c r="P14" i="39"/>
  <c r="K16" i="39"/>
  <c r="L16" i="39"/>
  <c r="M16" i="39"/>
  <c r="N16" i="39"/>
  <c r="O16" i="39"/>
  <c r="P16" i="39"/>
  <c r="O3" i="38"/>
  <c r="O4" i="38"/>
  <c r="N9" i="38" s="1"/>
  <c r="O5" i="38"/>
  <c r="H9" i="38"/>
  <c r="K9" i="38"/>
  <c r="L9" i="38"/>
  <c r="M9" i="38"/>
  <c r="O9" i="38"/>
  <c r="P9" i="38"/>
  <c r="H10" i="38"/>
  <c r="K10" i="38"/>
  <c r="L10" i="38"/>
  <c r="M10" i="38"/>
  <c r="N10" i="38"/>
  <c r="O10" i="38"/>
  <c r="P10" i="38"/>
  <c r="H11" i="38"/>
  <c r="H19" i="38" s="1"/>
  <c r="K11" i="38"/>
  <c r="K19" i="38" s="1"/>
  <c r="L11" i="38"/>
  <c r="M11" i="38"/>
  <c r="N11" i="38"/>
  <c r="O11" i="38"/>
  <c r="P11" i="38" s="1"/>
  <c r="H12" i="38"/>
  <c r="K12" i="38"/>
  <c r="L12" i="38"/>
  <c r="M12" i="38"/>
  <c r="N12" i="38"/>
  <c r="O12" i="38"/>
  <c r="P12" i="38"/>
  <c r="H13" i="38"/>
  <c r="K13" i="38" s="1"/>
  <c r="H14" i="38"/>
  <c r="K14" i="38"/>
  <c r="L14" i="38"/>
  <c r="M14" i="38"/>
  <c r="N14" i="38"/>
  <c r="O14" i="38"/>
  <c r="P14" i="38"/>
  <c r="K16" i="38"/>
  <c r="L16" i="38"/>
  <c r="M16" i="38"/>
  <c r="N16" i="38"/>
  <c r="O16" i="38"/>
  <c r="P16" i="38"/>
  <c r="H18" i="38"/>
  <c r="O3" i="37"/>
  <c r="O4" i="37"/>
  <c r="O5" i="37"/>
  <c r="H9" i="37"/>
  <c r="K9" i="37"/>
  <c r="L9" i="37" s="1"/>
  <c r="H10" i="37"/>
  <c r="H18" i="37" s="1"/>
  <c r="K10" i="37"/>
  <c r="L10" i="37"/>
  <c r="M10" i="37" s="1"/>
  <c r="O10" i="37" s="1"/>
  <c r="P10" i="37" s="1"/>
  <c r="H11" i="37"/>
  <c r="K11" i="37"/>
  <c r="L11" i="37"/>
  <c r="M11" i="37"/>
  <c r="N11" i="37"/>
  <c r="O11" i="37"/>
  <c r="P11" i="37" s="1"/>
  <c r="H12" i="37"/>
  <c r="K12" i="37"/>
  <c r="L12" i="37"/>
  <c r="M12" i="37"/>
  <c r="N12" i="37"/>
  <c r="O12" i="37"/>
  <c r="P12" i="37"/>
  <c r="H13" i="37"/>
  <c r="K13" i="37" s="1"/>
  <c r="L13" i="37" s="1"/>
  <c r="H14" i="37"/>
  <c r="K14" i="37"/>
  <c r="L14" i="37"/>
  <c r="M14" i="37"/>
  <c r="N14" i="37"/>
  <c r="O14" i="37"/>
  <c r="P14" i="37"/>
  <c r="K16" i="37"/>
  <c r="L16" i="37"/>
  <c r="M16" i="37"/>
  <c r="N16" i="37"/>
  <c r="O16" i="37"/>
  <c r="P16" i="37"/>
  <c r="O3" i="36"/>
  <c r="O4" i="36"/>
  <c r="O5" i="36"/>
  <c r="H9" i="36"/>
  <c r="K9" i="36" s="1"/>
  <c r="H10" i="36"/>
  <c r="H19" i="36" s="1"/>
  <c r="K10" i="36"/>
  <c r="L10" i="36"/>
  <c r="M10" i="36"/>
  <c r="N10" i="36"/>
  <c r="O10" i="36"/>
  <c r="P10" i="36"/>
  <c r="H11" i="36"/>
  <c r="K11" i="36"/>
  <c r="L11" i="36"/>
  <c r="M11" i="36"/>
  <c r="N11" i="36"/>
  <c r="O11" i="36"/>
  <c r="P11" i="36" s="1"/>
  <c r="H12" i="36"/>
  <c r="K12" i="36"/>
  <c r="L12" i="36"/>
  <c r="M12" i="36"/>
  <c r="N12" i="36"/>
  <c r="O12" i="36"/>
  <c r="P12" i="36"/>
  <c r="H13" i="36"/>
  <c r="K13" i="36" s="1"/>
  <c r="L13" i="36" s="1"/>
  <c r="H14" i="36"/>
  <c r="K14" i="36"/>
  <c r="L14" i="36"/>
  <c r="M14" i="36"/>
  <c r="N14" i="36"/>
  <c r="O14" i="36"/>
  <c r="P14" i="36"/>
  <c r="K16" i="36"/>
  <c r="L16" i="36"/>
  <c r="M16" i="36"/>
  <c r="N16" i="36"/>
  <c r="O16" i="36"/>
  <c r="P16" i="36"/>
  <c r="H18" i="36"/>
  <c r="O3" i="35"/>
  <c r="O4" i="35"/>
  <c r="O5" i="35"/>
  <c r="H9" i="35"/>
  <c r="K9" i="35" s="1"/>
  <c r="H10" i="35"/>
  <c r="K10" i="35"/>
  <c r="L10" i="35"/>
  <c r="M10" i="35"/>
  <c r="N10" i="35"/>
  <c r="O10" i="35"/>
  <c r="P10" i="35"/>
  <c r="H11" i="35"/>
  <c r="K11" i="35"/>
  <c r="L11" i="35"/>
  <c r="M11" i="35"/>
  <c r="N11" i="35"/>
  <c r="O11" i="35"/>
  <c r="P11" i="35"/>
  <c r="H12" i="35"/>
  <c r="H18" i="35" s="1"/>
  <c r="K12" i="35"/>
  <c r="L12" i="35"/>
  <c r="M12" i="35"/>
  <c r="N12" i="35"/>
  <c r="O12" i="35"/>
  <c r="P12" i="35"/>
  <c r="H13" i="35"/>
  <c r="K13" i="35" s="1"/>
  <c r="L13" i="35" s="1"/>
  <c r="H14" i="35"/>
  <c r="K14" i="35"/>
  <c r="L14" i="35"/>
  <c r="M14" i="35"/>
  <c r="N14" i="35"/>
  <c r="O14" i="35"/>
  <c r="P14" i="35"/>
  <c r="K16" i="35"/>
  <c r="L16" i="35"/>
  <c r="M16" i="35"/>
  <c r="N16" i="35"/>
  <c r="O16" i="35"/>
  <c r="P16" i="35"/>
  <c r="O3" i="34"/>
  <c r="O4" i="34"/>
  <c r="O5" i="34"/>
  <c r="H9" i="34"/>
  <c r="K9" i="34" s="1"/>
  <c r="H10" i="34"/>
  <c r="K10" i="34"/>
  <c r="L10" i="34"/>
  <c r="M10" i="34"/>
  <c r="N10" i="34"/>
  <c r="O10" i="34"/>
  <c r="P10" i="34"/>
  <c r="H11" i="34"/>
  <c r="K11" i="34"/>
  <c r="L11" i="34"/>
  <c r="M11" i="34"/>
  <c r="N11" i="34"/>
  <c r="O11" i="34"/>
  <c r="P11" i="34"/>
  <c r="H12" i="34"/>
  <c r="H18" i="34" s="1"/>
  <c r="K12" i="34"/>
  <c r="L12" i="34"/>
  <c r="M12" i="34"/>
  <c r="N12" i="34"/>
  <c r="O12" i="34"/>
  <c r="P12" i="34"/>
  <c r="H13" i="34"/>
  <c r="K13" i="34" s="1"/>
  <c r="L13" i="34" s="1"/>
  <c r="H14" i="34"/>
  <c r="K14" i="34"/>
  <c r="L14" i="34"/>
  <c r="M14" i="34"/>
  <c r="N14" i="34"/>
  <c r="O14" i="34"/>
  <c r="P14" i="34"/>
  <c r="K16" i="34"/>
  <c r="L16" i="34"/>
  <c r="M16" i="34"/>
  <c r="N16" i="34"/>
  <c r="O16" i="34"/>
  <c r="P16" i="34"/>
  <c r="O3" i="33"/>
  <c r="O4" i="33"/>
  <c r="O5" i="33"/>
  <c r="H9" i="33"/>
  <c r="K9" i="33" s="1"/>
  <c r="H10" i="33"/>
  <c r="K10" i="33"/>
  <c r="L10" i="33"/>
  <c r="M10" i="33"/>
  <c r="N10" i="33"/>
  <c r="O10" i="33"/>
  <c r="P10" i="33"/>
  <c r="H11" i="33"/>
  <c r="K11" i="33"/>
  <c r="L11" i="33"/>
  <c r="M11" i="33"/>
  <c r="N11" i="33"/>
  <c r="O11" i="33"/>
  <c r="P11" i="33"/>
  <c r="H12" i="33"/>
  <c r="K12" i="33"/>
  <c r="L12" i="33"/>
  <c r="M12" i="33"/>
  <c r="N12" i="33"/>
  <c r="O12" i="33"/>
  <c r="P12" i="33"/>
  <c r="H13" i="33"/>
  <c r="K13" i="33" s="1"/>
  <c r="L13" i="33" s="1"/>
  <c r="H14" i="33"/>
  <c r="K14" i="33"/>
  <c r="L14" i="33"/>
  <c r="M14" i="33"/>
  <c r="N14" i="33"/>
  <c r="O14" i="33"/>
  <c r="P14" i="33"/>
  <c r="K16" i="33"/>
  <c r="L16" i="33"/>
  <c r="M16" i="33"/>
  <c r="N16" i="33"/>
  <c r="O16" i="33"/>
  <c r="P16" i="33"/>
  <c r="O3" i="32"/>
  <c r="O4" i="32"/>
  <c r="O5" i="32"/>
  <c r="H9" i="32"/>
  <c r="K9" i="32" s="1"/>
  <c r="H10" i="32"/>
  <c r="K10" i="32"/>
  <c r="L10" i="32"/>
  <c r="M10" i="32"/>
  <c r="N10" i="32"/>
  <c r="O10" i="32"/>
  <c r="P10" i="32"/>
  <c r="H11" i="32"/>
  <c r="K11" i="32"/>
  <c r="L11" i="32"/>
  <c r="M11" i="32"/>
  <c r="N11" i="32"/>
  <c r="O11" i="32"/>
  <c r="P11" i="32" s="1"/>
  <c r="H12" i="32"/>
  <c r="K12" i="32"/>
  <c r="L12" i="32"/>
  <c r="M12" i="32"/>
  <c r="N12" i="32"/>
  <c r="O12" i="32"/>
  <c r="P12" i="32"/>
  <c r="H13" i="32"/>
  <c r="K13" i="32" s="1"/>
  <c r="L13" i="32" s="1"/>
  <c r="H14" i="32"/>
  <c r="K14" i="32"/>
  <c r="L14" i="32"/>
  <c r="M14" i="32"/>
  <c r="N14" i="32"/>
  <c r="O14" i="32"/>
  <c r="P14" i="32"/>
  <c r="K16" i="32"/>
  <c r="L16" i="32"/>
  <c r="M16" i="32"/>
  <c r="N16" i="32"/>
  <c r="O16" i="32"/>
  <c r="P16" i="32"/>
  <c r="H18" i="32"/>
  <c r="O3" i="31"/>
  <c r="O4" i="31"/>
  <c r="O5" i="31"/>
  <c r="H9" i="31"/>
  <c r="H19" i="31" s="1"/>
  <c r="K9" i="31"/>
  <c r="L9" i="31" s="1"/>
  <c r="H10" i="31"/>
  <c r="K10" i="31"/>
  <c r="L10" i="31"/>
  <c r="M10" i="31"/>
  <c r="N10" i="31"/>
  <c r="O10" i="31"/>
  <c r="P10" i="31"/>
  <c r="H11" i="31"/>
  <c r="K11" i="31"/>
  <c r="L11" i="31"/>
  <c r="M11" i="31"/>
  <c r="N11" i="31"/>
  <c r="O11" i="31"/>
  <c r="P11" i="31" s="1"/>
  <c r="H12" i="31"/>
  <c r="K12" i="31"/>
  <c r="L12" i="31"/>
  <c r="M12" i="31"/>
  <c r="N12" i="31"/>
  <c r="O12" i="31"/>
  <c r="P12" i="31"/>
  <c r="H13" i="31"/>
  <c r="K13" i="31" s="1"/>
  <c r="H14" i="31"/>
  <c r="K14" i="31"/>
  <c r="L14" i="31"/>
  <c r="M14" i="31"/>
  <c r="N14" i="31"/>
  <c r="O14" i="31"/>
  <c r="P14" i="31"/>
  <c r="K16" i="31"/>
  <c r="L16" i="31"/>
  <c r="M16" i="31"/>
  <c r="N16" i="31"/>
  <c r="O16" i="31"/>
  <c r="P16" i="31"/>
  <c r="H18" i="31"/>
  <c r="O3" i="30"/>
  <c r="O4" i="30"/>
  <c r="O5" i="30"/>
  <c r="H9" i="30"/>
  <c r="K9" i="30" s="1"/>
  <c r="H10" i="30"/>
  <c r="K10" i="30"/>
  <c r="L10" i="30"/>
  <c r="M10" i="30"/>
  <c r="N10" i="30"/>
  <c r="O10" i="30"/>
  <c r="P10" i="30"/>
  <c r="H11" i="30"/>
  <c r="K11" i="30"/>
  <c r="L11" i="30"/>
  <c r="M11" i="30"/>
  <c r="N11" i="30"/>
  <c r="O11" i="30"/>
  <c r="P11" i="30"/>
  <c r="H12" i="30"/>
  <c r="H18" i="30" s="1"/>
  <c r="K12" i="30"/>
  <c r="L12" i="30"/>
  <c r="M12" i="30"/>
  <c r="N12" i="30"/>
  <c r="O12" i="30"/>
  <c r="P12" i="30"/>
  <c r="H13" i="30"/>
  <c r="K13" i="30" s="1"/>
  <c r="L13" i="30" s="1"/>
  <c r="H14" i="30"/>
  <c r="K14" i="30"/>
  <c r="L14" i="30"/>
  <c r="M14" i="30"/>
  <c r="N14" i="30"/>
  <c r="O14" i="30"/>
  <c r="P14" i="30"/>
  <c r="K16" i="30"/>
  <c r="L16" i="30"/>
  <c r="M16" i="30"/>
  <c r="N16" i="30"/>
  <c r="O16" i="30"/>
  <c r="P16" i="30"/>
  <c r="O3" i="29"/>
  <c r="O4" i="29"/>
  <c r="O5" i="29"/>
  <c r="H9" i="29"/>
  <c r="K9" i="29" s="1"/>
  <c r="H10" i="29"/>
  <c r="K10" i="29"/>
  <c r="L10" i="29"/>
  <c r="M10" i="29"/>
  <c r="O10" i="29" s="1"/>
  <c r="P10" i="29" s="1"/>
  <c r="N10" i="29"/>
  <c r="H11" i="29"/>
  <c r="K11" i="29"/>
  <c r="L11" i="29"/>
  <c r="M11" i="29"/>
  <c r="N11" i="29"/>
  <c r="O11" i="29"/>
  <c r="P11" i="29" s="1"/>
  <c r="H12" i="29"/>
  <c r="K12" i="29"/>
  <c r="L12" i="29"/>
  <c r="M12" i="29"/>
  <c r="N12" i="29"/>
  <c r="O12" i="29"/>
  <c r="P12" i="29"/>
  <c r="H13" i="29"/>
  <c r="K13" i="29" s="1"/>
  <c r="L13" i="29" s="1"/>
  <c r="H14" i="29"/>
  <c r="K14" i="29"/>
  <c r="L14" i="29"/>
  <c r="M14" i="29"/>
  <c r="N14" i="29"/>
  <c r="O14" i="29"/>
  <c r="P14" i="29" s="1"/>
  <c r="K16" i="29"/>
  <c r="L16" i="29"/>
  <c r="M16" i="29" s="1"/>
  <c r="O3" i="28"/>
  <c r="O4" i="28"/>
  <c r="O5" i="28"/>
  <c r="H9" i="28"/>
  <c r="K9" i="28"/>
  <c r="L9" i="28"/>
  <c r="M9" i="28"/>
  <c r="N9" i="28"/>
  <c r="O9" i="28"/>
  <c r="P9" i="28"/>
  <c r="H10" i="28"/>
  <c r="K10" i="28"/>
  <c r="L10" i="28"/>
  <c r="M10" i="28" s="1"/>
  <c r="N10" i="28"/>
  <c r="H11" i="28"/>
  <c r="K11" i="28"/>
  <c r="L11" i="28"/>
  <c r="M11" i="28"/>
  <c r="N11" i="28"/>
  <c r="O11" i="28"/>
  <c r="P11" i="28"/>
  <c r="H12" i="28"/>
  <c r="H18" i="28" s="1"/>
  <c r="K12" i="28"/>
  <c r="L12" i="28"/>
  <c r="M12" i="28"/>
  <c r="N12" i="28"/>
  <c r="O12" i="28"/>
  <c r="P12" i="28"/>
  <c r="H13" i="28"/>
  <c r="K13" i="28" s="1"/>
  <c r="H14" i="28"/>
  <c r="K14" i="28"/>
  <c r="L14" i="28"/>
  <c r="M14" i="28"/>
  <c r="N14" i="28"/>
  <c r="O14" i="28"/>
  <c r="P14" i="28"/>
  <c r="K16" i="28"/>
  <c r="L16" i="28"/>
  <c r="M16" i="28"/>
  <c r="N16" i="28"/>
  <c r="O16" i="28"/>
  <c r="P16" i="28"/>
  <c r="O3" i="27"/>
  <c r="O4" i="27"/>
  <c r="O5" i="27"/>
  <c r="H9" i="27"/>
  <c r="K9" i="27"/>
  <c r="L9" i="27" s="1"/>
  <c r="H10" i="27"/>
  <c r="K10" i="27"/>
  <c r="L10" i="27"/>
  <c r="M10" i="27"/>
  <c r="N10" i="27"/>
  <c r="O10" i="27"/>
  <c r="P10" i="27"/>
  <c r="H11" i="27"/>
  <c r="K11" i="27"/>
  <c r="L11" i="27"/>
  <c r="M11" i="27"/>
  <c r="N11" i="27"/>
  <c r="O11" i="27"/>
  <c r="P11" i="27"/>
  <c r="H12" i="27"/>
  <c r="H18" i="27" s="1"/>
  <c r="K12" i="27"/>
  <c r="L12" i="27"/>
  <c r="M12" i="27"/>
  <c r="N12" i="27"/>
  <c r="O12" i="27"/>
  <c r="P12" i="27"/>
  <c r="H13" i="27"/>
  <c r="K13" i="27" s="1"/>
  <c r="H14" i="27"/>
  <c r="K14" i="27"/>
  <c r="L14" i="27"/>
  <c r="M14" i="27"/>
  <c r="N14" i="27"/>
  <c r="O14" i="27"/>
  <c r="P14" i="27"/>
  <c r="K16" i="27"/>
  <c r="L16" i="27"/>
  <c r="M16" i="27"/>
  <c r="N16" i="27"/>
  <c r="O16" i="27"/>
  <c r="P16" i="27"/>
  <c r="O3" i="26"/>
  <c r="O4" i="26"/>
  <c r="N9" i="26" s="1"/>
  <c r="O5" i="26"/>
  <c r="H9" i="26"/>
  <c r="K9" i="26"/>
  <c r="L9" i="26"/>
  <c r="M9" i="26"/>
  <c r="O9" i="26"/>
  <c r="P9" i="26"/>
  <c r="H10" i="26"/>
  <c r="H19" i="26" s="1"/>
  <c r="K10" i="26"/>
  <c r="L10" i="26"/>
  <c r="M10" i="26"/>
  <c r="N10" i="26"/>
  <c r="O10" i="26"/>
  <c r="P10" i="26"/>
  <c r="H11" i="26"/>
  <c r="K11" i="26"/>
  <c r="L11" i="26"/>
  <c r="M11" i="26"/>
  <c r="N11" i="26"/>
  <c r="O11" i="26"/>
  <c r="P11" i="26"/>
  <c r="H12" i="26"/>
  <c r="K12" i="26"/>
  <c r="L12" i="26"/>
  <c r="M12" i="26"/>
  <c r="N12" i="26"/>
  <c r="O12" i="26"/>
  <c r="P12" i="26"/>
  <c r="H13" i="26"/>
  <c r="K13" i="26" s="1"/>
  <c r="H14" i="26"/>
  <c r="K14" i="26"/>
  <c r="L14" i="26"/>
  <c r="M14" i="26"/>
  <c r="N14" i="26"/>
  <c r="O14" i="26"/>
  <c r="P14" i="26"/>
  <c r="K16" i="26"/>
  <c r="L16" i="26"/>
  <c r="M16" i="26"/>
  <c r="N16" i="26"/>
  <c r="O16" i="26"/>
  <c r="P16" i="26"/>
  <c r="H18" i="26"/>
  <c r="O3" i="25"/>
  <c r="O4" i="25"/>
  <c r="O5" i="25"/>
  <c r="H9" i="25"/>
  <c r="K9" i="25"/>
  <c r="L9" i="25"/>
  <c r="M9" i="25"/>
  <c r="N9" i="25"/>
  <c r="O9" i="25"/>
  <c r="P9" i="25"/>
  <c r="H10" i="25"/>
  <c r="K10" i="25"/>
  <c r="L10" i="25"/>
  <c r="M10" i="25"/>
  <c r="N10" i="25"/>
  <c r="O10" i="25"/>
  <c r="P10" i="25"/>
  <c r="H11" i="25"/>
  <c r="K11" i="25"/>
  <c r="L11" i="25"/>
  <c r="M11" i="25"/>
  <c r="N11" i="25"/>
  <c r="O11" i="25"/>
  <c r="P11" i="25"/>
  <c r="H12" i="25"/>
  <c r="H18" i="25" s="1"/>
  <c r="K12" i="25"/>
  <c r="L12" i="25"/>
  <c r="M12" i="25"/>
  <c r="N12" i="25"/>
  <c r="O12" i="25"/>
  <c r="P12" i="25"/>
  <c r="H13" i="25"/>
  <c r="K13" i="25" s="1"/>
  <c r="H14" i="25"/>
  <c r="K14" i="25"/>
  <c r="L14" i="25"/>
  <c r="M14" i="25"/>
  <c r="N14" i="25"/>
  <c r="O14" i="25"/>
  <c r="P14" i="25"/>
  <c r="K16" i="25"/>
  <c r="L16" i="25"/>
  <c r="M16" i="25"/>
  <c r="N16" i="25"/>
  <c r="O16" i="25"/>
  <c r="P16" i="25"/>
  <c r="O3" i="24"/>
  <c r="O4" i="24"/>
  <c r="O5" i="24"/>
  <c r="H9" i="24"/>
  <c r="K9" i="24"/>
  <c r="L9" i="24"/>
  <c r="M9" i="24"/>
  <c r="N9" i="24"/>
  <c r="O9" i="24"/>
  <c r="P9" i="24"/>
  <c r="H10" i="24"/>
  <c r="K10" i="24"/>
  <c r="L10" i="24"/>
  <c r="M10" i="24"/>
  <c r="N10" i="24"/>
  <c r="O10" i="24"/>
  <c r="P10" i="24"/>
  <c r="H11" i="24"/>
  <c r="K11" i="24"/>
  <c r="L11" i="24"/>
  <c r="M11" i="24"/>
  <c r="N11" i="24"/>
  <c r="O11" i="24"/>
  <c r="P11" i="24"/>
  <c r="H12" i="24"/>
  <c r="H18" i="24" s="1"/>
  <c r="K12" i="24"/>
  <c r="L12" i="24"/>
  <c r="M12" i="24"/>
  <c r="N12" i="24"/>
  <c r="O12" i="24"/>
  <c r="P12" i="24"/>
  <c r="H13" i="24"/>
  <c r="K13" i="24" s="1"/>
  <c r="H14" i="24"/>
  <c r="K14" i="24"/>
  <c r="L14" i="24"/>
  <c r="M14" i="24"/>
  <c r="N14" i="24"/>
  <c r="O14" i="24"/>
  <c r="P14" i="24"/>
  <c r="K16" i="24"/>
  <c r="L16" i="24"/>
  <c r="M16" i="24"/>
  <c r="N16" i="24"/>
  <c r="O16" i="24"/>
  <c r="P16" i="24"/>
  <c r="O3" i="23"/>
  <c r="O4" i="23"/>
  <c r="O5" i="23"/>
  <c r="H9" i="23"/>
  <c r="K9" i="23" s="1"/>
  <c r="H10" i="23"/>
  <c r="K10" i="23"/>
  <c r="L10" i="23"/>
  <c r="M10" i="23"/>
  <c r="N10" i="23"/>
  <c r="O10" i="23"/>
  <c r="P10" i="23"/>
  <c r="H11" i="23"/>
  <c r="K11" i="23"/>
  <c r="L11" i="23"/>
  <c r="M11" i="23"/>
  <c r="N11" i="23"/>
  <c r="O11" i="23"/>
  <c r="P11" i="23"/>
  <c r="H12" i="23"/>
  <c r="K12" i="23"/>
  <c r="L12" i="23"/>
  <c r="M12" i="23"/>
  <c r="N12" i="23"/>
  <c r="O12" i="23"/>
  <c r="P12" i="23"/>
  <c r="H13" i="23"/>
  <c r="K13" i="23" s="1"/>
  <c r="L13" i="23" s="1"/>
  <c r="H14" i="23"/>
  <c r="K14" i="23"/>
  <c r="L14" i="23"/>
  <c r="M14" i="23"/>
  <c r="N14" i="23"/>
  <c r="O14" i="23"/>
  <c r="P14" i="23"/>
  <c r="K16" i="23"/>
  <c r="L16" i="23" s="1"/>
  <c r="H18" i="23"/>
  <c r="O3" i="22"/>
  <c r="O4" i="22"/>
  <c r="O5" i="22"/>
  <c r="H9" i="22"/>
  <c r="K9" i="22" s="1"/>
  <c r="H10" i="22"/>
  <c r="K10" i="22"/>
  <c r="L10" i="22"/>
  <c r="M10" i="22"/>
  <c r="N10" i="22"/>
  <c r="O10" i="22"/>
  <c r="P10" i="22"/>
  <c r="H11" i="22"/>
  <c r="K11" i="22"/>
  <c r="L11" i="22"/>
  <c r="M11" i="22"/>
  <c r="N11" i="22"/>
  <c r="O11" i="22"/>
  <c r="P11" i="22"/>
  <c r="H12" i="22"/>
  <c r="H18" i="22" s="1"/>
  <c r="K12" i="22"/>
  <c r="L12" i="22"/>
  <c r="M12" i="22"/>
  <c r="N12" i="22"/>
  <c r="O12" i="22"/>
  <c r="P12" i="22"/>
  <c r="H13" i="22"/>
  <c r="K13" i="22" s="1"/>
  <c r="L13" i="22" s="1"/>
  <c r="H14" i="22"/>
  <c r="K14" i="22"/>
  <c r="L14" i="22"/>
  <c r="M14" i="22"/>
  <c r="N14" i="22"/>
  <c r="O14" i="22"/>
  <c r="P14" i="22"/>
  <c r="K16" i="22"/>
  <c r="L16" i="22"/>
  <c r="M16" i="22"/>
  <c r="N16" i="22"/>
  <c r="O16" i="22"/>
  <c r="P16" i="22"/>
  <c r="O3" i="21"/>
  <c r="O4" i="21"/>
  <c r="O5" i="21"/>
  <c r="H9" i="21"/>
  <c r="K9" i="21" s="1"/>
  <c r="H10" i="21"/>
  <c r="K10" i="21"/>
  <c r="L10" i="21"/>
  <c r="M10" i="21"/>
  <c r="N10" i="21"/>
  <c r="O10" i="21"/>
  <c r="P10" i="21"/>
  <c r="H11" i="21"/>
  <c r="K11" i="21"/>
  <c r="L11" i="21"/>
  <c r="M11" i="21"/>
  <c r="N11" i="21"/>
  <c r="O11" i="21"/>
  <c r="P11" i="21"/>
  <c r="H12" i="21"/>
  <c r="K12" i="21"/>
  <c r="L12" i="21"/>
  <c r="M12" i="21"/>
  <c r="N12" i="21"/>
  <c r="O12" i="21"/>
  <c r="P12" i="21"/>
  <c r="H13" i="21"/>
  <c r="K13" i="21" s="1"/>
  <c r="L13" i="21" s="1"/>
  <c r="H14" i="21"/>
  <c r="K14" i="21"/>
  <c r="L14" i="21"/>
  <c r="M14" i="21"/>
  <c r="N14" i="21"/>
  <c r="O14" i="21"/>
  <c r="P14" i="21"/>
  <c r="K16" i="21"/>
  <c r="L16" i="21"/>
  <c r="M16" i="21"/>
  <c r="N16" i="21"/>
  <c r="O16" i="21"/>
  <c r="P16" i="21"/>
  <c r="H18" i="21"/>
  <c r="O3" i="20"/>
  <c r="O4" i="20"/>
  <c r="O5" i="20"/>
  <c r="H9" i="20"/>
  <c r="K9" i="20" s="1"/>
  <c r="H10" i="20"/>
  <c r="K10" i="20"/>
  <c r="L10" i="20"/>
  <c r="M10" i="20"/>
  <c r="N10" i="20"/>
  <c r="O10" i="20"/>
  <c r="P10" i="20"/>
  <c r="H11" i="20"/>
  <c r="K11" i="20"/>
  <c r="L11" i="20"/>
  <c r="M11" i="20"/>
  <c r="N11" i="20"/>
  <c r="O11" i="20"/>
  <c r="P11" i="20"/>
  <c r="H12" i="20"/>
  <c r="H18" i="20" s="1"/>
  <c r="K12" i="20"/>
  <c r="L12" i="20"/>
  <c r="M12" i="20"/>
  <c r="N12" i="20"/>
  <c r="O12" i="20"/>
  <c r="P12" i="20"/>
  <c r="H13" i="20"/>
  <c r="K13" i="20" s="1"/>
  <c r="L13" i="20" s="1"/>
  <c r="H14" i="20"/>
  <c r="K14" i="20"/>
  <c r="L14" i="20"/>
  <c r="M14" i="20"/>
  <c r="N14" i="20"/>
  <c r="O14" i="20"/>
  <c r="P14" i="20"/>
  <c r="K16" i="20"/>
  <c r="L16" i="20"/>
  <c r="M16" i="20"/>
  <c r="N16" i="20"/>
  <c r="O16" i="20"/>
  <c r="P16" i="20"/>
  <c r="O3" i="19"/>
  <c r="O4" i="19"/>
  <c r="O5" i="19"/>
  <c r="H9" i="19"/>
  <c r="K9" i="19" s="1"/>
  <c r="H10" i="19"/>
  <c r="K10" i="19"/>
  <c r="L10" i="19"/>
  <c r="M10" i="19"/>
  <c r="N10" i="19"/>
  <c r="O10" i="19"/>
  <c r="P10" i="19"/>
  <c r="H11" i="19"/>
  <c r="K11" i="19"/>
  <c r="L11" i="19"/>
  <c r="M11" i="19"/>
  <c r="N11" i="19"/>
  <c r="O11" i="19"/>
  <c r="P11" i="19"/>
  <c r="H12" i="19"/>
  <c r="K12" i="19"/>
  <c r="L12" i="19"/>
  <c r="M12" i="19"/>
  <c r="N12" i="19"/>
  <c r="O12" i="19"/>
  <c r="P12" i="19"/>
  <c r="H13" i="19"/>
  <c r="K13" i="19" s="1"/>
  <c r="L13" i="19" s="1"/>
  <c r="H14" i="19"/>
  <c r="K14" i="19"/>
  <c r="L14" i="19"/>
  <c r="M14" i="19"/>
  <c r="N14" i="19"/>
  <c r="O14" i="19"/>
  <c r="P14" i="19"/>
  <c r="K16" i="19"/>
  <c r="L16" i="19"/>
  <c r="M16" i="19"/>
  <c r="N16" i="19"/>
  <c r="O16" i="19"/>
  <c r="P16" i="19"/>
  <c r="H18" i="19"/>
  <c r="O3" i="18"/>
  <c r="O4" i="18"/>
  <c r="O5" i="18"/>
  <c r="H9" i="18"/>
  <c r="K9" i="18"/>
  <c r="L9" i="18" s="1"/>
  <c r="H10" i="18"/>
  <c r="K10" i="18"/>
  <c r="L10" i="18"/>
  <c r="M10" i="18"/>
  <c r="N10" i="18"/>
  <c r="O10" i="18"/>
  <c r="P10" i="18"/>
  <c r="H11" i="18"/>
  <c r="K11" i="18"/>
  <c r="L11" i="18"/>
  <c r="M11" i="18"/>
  <c r="N11" i="18"/>
  <c r="O11" i="18"/>
  <c r="P11" i="18"/>
  <c r="H12" i="18"/>
  <c r="H18" i="18" s="1"/>
  <c r="K12" i="18"/>
  <c r="K18" i="18" s="1"/>
  <c r="L12" i="18"/>
  <c r="M12" i="18"/>
  <c r="N12" i="18"/>
  <c r="O12" i="18"/>
  <c r="P12" i="18"/>
  <c r="H13" i="18"/>
  <c r="K13" i="18" s="1"/>
  <c r="H14" i="18"/>
  <c r="K14" i="18"/>
  <c r="L14" i="18"/>
  <c r="M14" i="18"/>
  <c r="N14" i="18"/>
  <c r="O14" i="18"/>
  <c r="P14" i="18"/>
  <c r="K16" i="18"/>
  <c r="L16" i="18"/>
  <c r="M16" i="18"/>
  <c r="N16" i="18"/>
  <c r="O16" i="18"/>
  <c r="P16" i="18"/>
  <c r="O3" i="17"/>
  <c r="O4" i="17"/>
  <c r="O5" i="17"/>
  <c r="H9" i="17"/>
  <c r="K9" i="17" s="1"/>
  <c r="H10" i="17"/>
  <c r="K10" i="17"/>
  <c r="L10" i="17"/>
  <c r="M10" i="17"/>
  <c r="N10" i="17"/>
  <c r="O10" i="17"/>
  <c r="P10" i="17"/>
  <c r="H11" i="17"/>
  <c r="K11" i="17"/>
  <c r="L11" i="17"/>
  <c r="M11" i="17"/>
  <c r="N11" i="17"/>
  <c r="O11" i="17"/>
  <c r="P11" i="17"/>
  <c r="H12" i="17"/>
  <c r="H18" i="17" s="1"/>
  <c r="K12" i="17"/>
  <c r="L12" i="17"/>
  <c r="M12" i="17"/>
  <c r="N12" i="17"/>
  <c r="O12" i="17"/>
  <c r="P12" i="17"/>
  <c r="H13" i="17"/>
  <c r="K13" i="17" s="1"/>
  <c r="L13" i="17" s="1"/>
  <c r="H14" i="17"/>
  <c r="K14" i="17"/>
  <c r="L14" i="17"/>
  <c r="M14" i="17"/>
  <c r="N14" i="17"/>
  <c r="O14" i="17"/>
  <c r="P14" i="17"/>
  <c r="K16" i="17"/>
  <c r="L16" i="17"/>
  <c r="M16" i="17"/>
  <c r="N16" i="17"/>
  <c r="O16" i="17"/>
  <c r="P16" i="17"/>
  <c r="O3" i="16"/>
  <c r="O4" i="16"/>
  <c r="O5" i="16"/>
  <c r="H9" i="16"/>
  <c r="K9" i="16" s="1"/>
  <c r="H10" i="16"/>
  <c r="K10" i="16"/>
  <c r="L10" i="16"/>
  <c r="M10" i="16"/>
  <c r="N10" i="16"/>
  <c r="O10" i="16"/>
  <c r="P10" i="16"/>
  <c r="H11" i="16"/>
  <c r="K11" i="16"/>
  <c r="L11" i="16"/>
  <c r="M11" i="16"/>
  <c r="N11" i="16"/>
  <c r="O11" i="16"/>
  <c r="P11" i="16"/>
  <c r="H12" i="16"/>
  <c r="K12" i="16"/>
  <c r="L12" i="16"/>
  <c r="M12" i="16"/>
  <c r="N12" i="16"/>
  <c r="O12" i="16"/>
  <c r="P12" i="16"/>
  <c r="H13" i="16"/>
  <c r="K13" i="16" s="1"/>
  <c r="L13" i="16" s="1"/>
  <c r="H14" i="16"/>
  <c r="K14" i="16"/>
  <c r="L14" i="16"/>
  <c r="N14" i="16" s="1"/>
  <c r="M14" i="16"/>
  <c r="O14" i="16" s="1"/>
  <c r="P14" i="16" s="1"/>
  <c r="K16" i="16"/>
  <c r="L16" i="16"/>
  <c r="M16" i="16"/>
  <c r="N16" i="16"/>
  <c r="O16" i="16"/>
  <c r="P16" i="16"/>
  <c r="H18" i="16"/>
  <c r="O3" i="15"/>
  <c r="O4" i="15"/>
  <c r="O5" i="15"/>
  <c r="H9" i="15"/>
  <c r="H19" i="15" s="1"/>
  <c r="K9" i="15"/>
  <c r="L9" i="15" s="1"/>
  <c r="H10" i="15"/>
  <c r="K10" i="15"/>
  <c r="L10" i="15" s="1"/>
  <c r="H11" i="15"/>
  <c r="K11" i="15"/>
  <c r="L11" i="15"/>
  <c r="M11" i="15"/>
  <c r="N11" i="15"/>
  <c r="O11" i="15"/>
  <c r="P11" i="15"/>
  <c r="H12" i="15"/>
  <c r="K12" i="15"/>
  <c r="L12" i="15"/>
  <c r="M12" i="15"/>
  <c r="N12" i="15"/>
  <c r="O12" i="15"/>
  <c r="P12" i="15"/>
  <c r="H13" i="15"/>
  <c r="K13" i="15" s="1"/>
  <c r="H14" i="15"/>
  <c r="K14" i="15"/>
  <c r="L14" i="15"/>
  <c r="M14" i="15"/>
  <c r="N14" i="15"/>
  <c r="O14" i="15"/>
  <c r="P14" i="15" s="1"/>
  <c r="K16" i="15"/>
  <c r="L16" i="15"/>
  <c r="M16" i="15"/>
  <c r="N16" i="15"/>
  <c r="O16" i="15"/>
  <c r="P16" i="15"/>
  <c r="H18" i="15"/>
  <c r="O3" i="14"/>
  <c r="O4" i="14"/>
  <c r="O5" i="14"/>
  <c r="H9" i="14"/>
  <c r="K9" i="14"/>
  <c r="L9" i="14"/>
  <c r="M9" i="14"/>
  <c r="N9" i="14"/>
  <c r="O9" i="14"/>
  <c r="P9" i="14"/>
  <c r="H10" i="14"/>
  <c r="K10" i="14" s="1"/>
  <c r="H11" i="14"/>
  <c r="K11" i="14"/>
  <c r="L11" i="14"/>
  <c r="M11" i="14"/>
  <c r="N11" i="14"/>
  <c r="O11" i="14"/>
  <c r="P11" i="14"/>
  <c r="H12" i="14"/>
  <c r="H18" i="14" s="1"/>
  <c r="K12" i="14"/>
  <c r="L12" i="14"/>
  <c r="M12" i="14"/>
  <c r="N12" i="14"/>
  <c r="O12" i="14"/>
  <c r="P12" i="14"/>
  <c r="H13" i="14"/>
  <c r="K13" i="14" s="1"/>
  <c r="L13" i="14" s="1"/>
  <c r="H14" i="14"/>
  <c r="K14" i="14"/>
  <c r="L14" i="14"/>
  <c r="M14" i="14"/>
  <c r="O14" i="14" s="1"/>
  <c r="P14" i="14" s="1"/>
  <c r="N14" i="14"/>
  <c r="K16" i="14"/>
  <c r="L16" i="14"/>
  <c r="M16" i="14"/>
  <c r="N16" i="14"/>
  <c r="O16" i="14"/>
  <c r="P16" i="14"/>
  <c r="O3" i="13"/>
  <c r="O4" i="13"/>
  <c r="O5" i="13"/>
  <c r="H9" i="13"/>
  <c r="K9" i="13" s="1"/>
  <c r="H10" i="13"/>
  <c r="K10" i="13"/>
  <c r="L10" i="13" s="1"/>
  <c r="H11" i="13"/>
  <c r="K11" i="13"/>
  <c r="L11" i="13"/>
  <c r="M11" i="13" s="1"/>
  <c r="O11" i="13" s="1"/>
  <c r="P11" i="13" s="1"/>
  <c r="H12" i="13"/>
  <c r="H18" i="13" s="1"/>
  <c r="K12" i="13"/>
  <c r="L12" i="13"/>
  <c r="M12" i="13"/>
  <c r="N12" i="13"/>
  <c r="O12" i="13"/>
  <c r="P12" i="13"/>
  <c r="H13" i="13"/>
  <c r="K13" i="13" s="1"/>
  <c r="L13" i="13" s="1"/>
  <c r="H14" i="13"/>
  <c r="K14" i="13" s="1"/>
  <c r="L14" i="13" s="1"/>
  <c r="K16" i="13"/>
  <c r="L16" i="13"/>
  <c r="M16" i="13"/>
  <c r="N16" i="13"/>
  <c r="O16" i="13"/>
  <c r="P16" i="13"/>
  <c r="O3" i="12"/>
  <c r="O4" i="12"/>
  <c r="O5" i="12"/>
  <c r="H9" i="12"/>
  <c r="K9" i="12" s="1"/>
  <c r="H10" i="12"/>
  <c r="H18" i="12" s="1"/>
  <c r="K10" i="12"/>
  <c r="L10" i="12" s="1"/>
  <c r="H11" i="12"/>
  <c r="K11" i="12"/>
  <c r="L11" i="12"/>
  <c r="M11" i="12"/>
  <c r="N11" i="12"/>
  <c r="O11" i="12"/>
  <c r="P11" i="12"/>
  <c r="H12" i="12"/>
  <c r="K12" i="12"/>
  <c r="L12" i="12"/>
  <c r="M12" i="12"/>
  <c r="N12" i="12"/>
  <c r="O12" i="12"/>
  <c r="P12" i="12"/>
  <c r="H13" i="12"/>
  <c r="K13" i="12" s="1"/>
  <c r="L13" i="12" s="1"/>
  <c r="H14" i="12"/>
  <c r="K14" i="12"/>
  <c r="L14" i="12"/>
  <c r="M14" i="12"/>
  <c r="N14" i="12"/>
  <c r="O14" i="12"/>
  <c r="P14" i="12" s="1"/>
  <c r="K16" i="12"/>
  <c r="L16" i="12"/>
  <c r="M16" i="12"/>
  <c r="N16" i="12"/>
  <c r="O16" i="12"/>
  <c r="P16" i="12"/>
  <c r="O3" i="11"/>
  <c r="O4" i="11"/>
  <c r="N9" i="11" s="1"/>
  <c r="O5" i="11"/>
  <c r="H9" i="11"/>
  <c r="K9" i="11"/>
  <c r="L9" i="11"/>
  <c r="M9" i="11"/>
  <c r="H10" i="11"/>
  <c r="H19" i="11" s="1"/>
  <c r="K10" i="11"/>
  <c r="L10" i="11"/>
  <c r="M10" i="11"/>
  <c r="N10" i="11"/>
  <c r="O10" i="11"/>
  <c r="P10" i="11"/>
  <c r="H11" i="11"/>
  <c r="K11" i="11"/>
  <c r="L11" i="11"/>
  <c r="M11" i="11"/>
  <c r="N11" i="11"/>
  <c r="O11" i="11"/>
  <c r="P11" i="11" s="1"/>
  <c r="H12" i="11"/>
  <c r="K12" i="11"/>
  <c r="L12" i="11"/>
  <c r="M12" i="11"/>
  <c r="N12" i="11"/>
  <c r="O12" i="11"/>
  <c r="P12" i="11"/>
  <c r="H13" i="11"/>
  <c r="K13" i="11" s="1"/>
  <c r="H14" i="11"/>
  <c r="K14" i="11"/>
  <c r="L14" i="11"/>
  <c r="M14" i="11"/>
  <c r="N14" i="11"/>
  <c r="O14" i="11"/>
  <c r="P14" i="11"/>
  <c r="K16" i="11"/>
  <c r="L16" i="11"/>
  <c r="M16" i="11"/>
  <c r="N16" i="11"/>
  <c r="O16" i="11"/>
  <c r="P16" i="11"/>
  <c r="H18" i="11"/>
  <c r="O3" i="10"/>
  <c r="O4" i="10"/>
  <c r="O5" i="10"/>
  <c r="H9" i="10"/>
  <c r="K9" i="10" s="1"/>
  <c r="H10" i="10"/>
  <c r="K10" i="10"/>
  <c r="L10" i="10"/>
  <c r="M10" i="10"/>
  <c r="N10" i="10"/>
  <c r="O10" i="10"/>
  <c r="P10" i="10"/>
  <c r="H11" i="10"/>
  <c r="K11" i="10"/>
  <c r="L11" i="10"/>
  <c r="M11" i="10"/>
  <c r="N11" i="10"/>
  <c r="O11" i="10"/>
  <c r="P11" i="10"/>
  <c r="H12" i="10"/>
  <c r="H18" i="10" s="1"/>
  <c r="K12" i="10"/>
  <c r="L12" i="10"/>
  <c r="M12" i="10"/>
  <c r="N12" i="10"/>
  <c r="O12" i="10"/>
  <c r="P12" i="10"/>
  <c r="H13" i="10"/>
  <c r="K13" i="10" s="1"/>
  <c r="L13" i="10" s="1"/>
  <c r="H14" i="10"/>
  <c r="K14" i="10"/>
  <c r="L14" i="10"/>
  <c r="M14" i="10"/>
  <c r="N14" i="10"/>
  <c r="O14" i="10"/>
  <c r="P14" i="10"/>
  <c r="K16" i="10"/>
  <c r="L16" i="10"/>
  <c r="M16" i="10"/>
  <c r="N16" i="10"/>
  <c r="O16" i="10"/>
  <c r="P16" i="10"/>
  <c r="O3" i="9"/>
  <c r="O4" i="9"/>
  <c r="O5" i="9"/>
  <c r="H9" i="9"/>
  <c r="K9" i="9" s="1"/>
  <c r="H10" i="9"/>
  <c r="K10" i="9" s="1"/>
  <c r="L10" i="9" s="1"/>
  <c r="H11" i="9"/>
  <c r="K11" i="9"/>
  <c r="L11" i="9"/>
  <c r="M11" i="9"/>
  <c r="N11" i="9"/>
  <c r="O11" i="9"/>
  <c r="P11" i="9"/>
  <c r="H12" i="9"/>
  <c r="K12" i="9"/>
  <c r="L12" i="9"/>
  <c r="M12" i="9"/>
  <c r="N12" i="9"/>
  <c r="O12" i="9"/>
  <c r="P12" i="9"/>
  <c r="H13" i="9"/>
  <c r="K13" i="9" s="1"/>
  <c r="L13" i="9" s="1"/>
  <c r="H14" i="9"/>
  <c r="K14" i="9"/>
  <c r="L14" i="9"/>
  <c r="M14" i="9"/>
  <c r="N14" i="9"/>
  <c r="O14" i="9"/>
  <c r="P14" i="9"/>
  <c r="K16" i="9"/>
  <c r="L16" i="9"/>
  <c r="M16" i="9"/>
  <c r="N16" i="9"/>
  <c r="O16" i="9"/>
  <c r="P16" i="9" s="1"/>
  <c r="O3" i="8"/>
  <c r="O4" i="8"/>
  <c r="O5" i="8"/>
  <c r="H9" i="8"/>
  <c r="K9" i="8"/>
  <c r="L9" i="8"/>
  <c r="M9" i="8"/>
  <c r="N9" i="8"/>
  <c r="O9" i="8"/>
  <c r="P9" i="8"/>
  <c r="H10" i="8"/>
  <c r="K10" i="8" s="1"/>
  <c r="H11" i="8"/>
  <c r="K11" i="8"/>
  <c r="L11" i="8"/>
  <c r="M11" i="8"/>
  <c r="N11" i="8"/>
  <c r="O11" i="8"/>
  <c r="P11" i="8"/>
  <c r="H12" i="8"/>
  <c r="K12" i="8"/>
  <c r="L12" i="8"/>
  <c r="M12" i="8"/>
  <c r="N12" i="8"/>
  <c r="O12" i="8"/>
  <c r="P12" i="8"/>
  <c r="H13" i="8"/>
  <c r="K13" i="8" s="1"/>
  <c r="L13" i="8" s="1"/>
  <c r="H14" i="8"/>
  <c r="K14" i="8"/>
  <c r="L14" i="8"/>
  <c r="M14" i="8"/>
  <c r="O14" i="8" s="1"/>
  <c r="P14" i="8" s="1"/>
  <c r="N14" i="8"/>
  <c r="K16" i="8"/>
  <c r="L16" i="8"/>
  <c r="M16" i="8"/>
  <c r="N16" i="8"/>
  <c r="O16" i="8"/>
  <c r="P16" i="8"/>
  <c r="O3" i="7"/>
  <c r="O4" i="7"/>
  <c r="N14" i="7" s="1"/>
  <c r="O5" i="7"/>
  <c r="H9" i="7"/>
  <c r="K9" i="7" s="1"/>
  <c r="H10" i="7"/>
  <c r="K10" i="7" s="1"/>
  <c r="L10" i="7" s="1"/>
  <c r="H11" i="7"/>
  <c r="K11" i="7"/>
  <c r="L11" i="7"/>
  <c r="M11" i="7"/>
  <c r="N11" i="7"/>
  <c r="O11" i="7"/>
  <c r="P11" i="7" s="1"/>
  <c r="H12" i="7"/>
  <c r="K12" i="7"/>
  <c r="L12" i="7"/>
  <c r="M12" i="7"/>
  <c r="N12" i="7"/>
  <c r="O12" i="7"/>
  <c r="P12" i="7"/>
  <c r="H13" i="7"/>
  <c r="K13" i="7" s="1"/>
  <c r="L13" i="7" s="1"/>
  <c r="H14" i="7"/>
  <c r="K14" i="7"/>
  <c r="L14" i="7"/>
  <c r="M14" i="7"/>
  <c r="O14" i="7"/>
  <c r="P14" i="7"/>
  <c r="K16" i="7"/>
  <c r="L16" i="7"/>
  <c r="M16" i="7"/>
  <c r="N16" i="7"/>
  <c r="O16" i="7"/>
  <c r="P16" i="7"/>
  <c r="H18" i="7"/>
  <c r="O3" i="6"/>
  <c r="O4" i="6"/>
  <c r="O5" i="6"/>
  <c r="H9" i="6"/>
  <c r="K9" i="6" s="1"/>
  <c r="H10" i="6"/>
  <c r="K10" i="6"/>
  <c r="L10" i="6"/>
  <c r="M10" i="6"/>
  <c r="N10" i="6"/>
  <c r="O10" i="6"/>
  <c r="P10" i="6"/>
  <c r="H11" i="6"/>
  <c r="K11" i="6"/>
  <c r="L11" i="6"/>
  <c r="M11" i="6"/>
  <c r="N11" i="6"/>
  <c r="O11" i="6"/>
  <c r="P11" i="6"/>
  <c r="H12" i="6"/>
  <c r="H18" i="6" s="1"/>
  <c r="K12" i="6"/>
  <c r="L12" i="6"/>
  <c r="M12" i="6"/>
  <c r="N12" i="6"/>
  <c r="O12" i="6"/>
  <c r="P12" i="6"/>
  <c r="H13" i="6"/>
  <c r="K13" i="6" s="1"/>
  <c r="L13" i="6" s="1"/>
  <c r="H14" i="6"/>
  <c r="K14" i="6"/>
  <c r="L14" i="6"/>
  <c r="M14" i="6"/>
  <c r="N14" i="6"/>
  <c r="O14" i="6"/>
  <c r="P14" i="6"/>
  <c r="K16" i="6"/>
  <c r="L16" i="6"/>
  <c r="M16" i="6"/>
  <c r="N16" i="6"/>
  <c r="O16" i="6"/>
  <c r="P16" i="6"/>
  <c r="O3" i="5"/>
  <c r="O4" i="5"/>
  <c r="O5" i="5"/>
  <c r="H9" i="5"/>
  <c r="K9" i="5" s="1"/>
  <c r="H10" i="5"/>
  <c r="K10" i="5" s="1"/>
  <c r="L10" i="5" s="1"/>
  <c r="H11" i="5"/>
  <c r="K11" i="5"/>
  <c r="L11" i="5"/>
  <c r="M11" i="5"/>
  <c r="N11" i="5"/>
  <c r="O11" i="5"/>
  <c r="P11" i="5"/>
  <c r="H12" i="5"/>
  <c r="H18" i="5" s="1"/>
  <c r="K12" i="5"/>
  <c r="L12" i="5"/>
  <c r="M12" i="5"/>
  <c r="N12" i="5"/>
  <c r="O12" i="5"/>
  <c r="P12" i="5"/>
  <c r="H13" i="5"/>
  <c r="K13" i="5" s="1"/>
  <c r="L13" i="5" s="1"/>
  <c r="H14" i="5"/>
  <c r="K14" i="5"/>
  <c r="L14" i="5"/>
  <c r="M14" i="5"/>
  <c r="N14" i="5"/>
  <c r="O14" i="5"/>
  <c r="P14" i="5"/>
  <c r="K16" i="5"/>
  <c r="L16" i="5"/>
  <c r="M16" i="5"/>
  <c r="N16" i="5"/>
  <c r="O16" i="5"/>
  <c r="P16" i="5"/>
  <c r="O3" i="4"/>
  <c r="O4" i="4"/>
  <c r="O5" i="4"/>
  <c r="H9" i="4"/>
  <c r="K9" i="4"/>
  <c r="L9" i="4"/>
  <c r="M9" i="4"/>
  <c r="N9" i="4"/>
  <c r="O9" i="4"/>
  <c r="P9" i="4"/>
  <c r="H10" i="4"/>
  <c r="K10" i="4"/>
  <c r="L10" i="4"/>
  <c r="M10" i="4"/>
  <c r="N10" i="4"/>
  <c r="O10" i="4"/>
  <c r="P10" i="4"/>
  <c r="H11" i="4"/>
  <c r="K11" i="4"/>
  <c r="L11" i="4"/>
  <c r="M11" i="4"/>
  <c r="N11" i="4"/>
  <c r="O11" i="4"/>
  <c r="P11" i="4"/>
  <c r="H12" i="4"/>
  <c r="H18" i="4" s="1"/>
  <c r="K12" i="4"/>
  <c r="L12" i="4"/>
  <c r="M12" i="4"/>
  <c r="N12" i="4"/>
  <c r="O12" i="4"/>
  <c r="P12" i="4"/>
  <c r="H13" i="4"/>
  <c r="K13" i="4" s="1"/>
  <c r="H14" i="4"/>
  <c r="K14" i="4"/>
  <c r="L14" i="4"/>
  <c r="M14" i="4"/>
  <c r="N14" i="4"/>
  <c r="O14" i="4"/>
  <c r="P14" i="4"/>
  <c r="K16" i="4"/>
  <c r="L16" i="4"/>
  <c r="M16" i="4"/>
  <c r="N16" i="4"/>
  <c r="O16" i="4"/>
  <c r="P16" i="4"/>
  <c r="L46" i="1"/>
  <c r="F71" i="1"/>
  <c r="F72" i="1"/>
  <c r="A28" i="1"/>
  <c r="F73" i="1" s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K47" i="1"/>
  <c r="L47" i="1"/>
  <c r="M47" i="1" s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38" i="1"/>
  <c r="M13" i="39" l="1"/>
  <c r="O13" i="39" s="1"/>
  <c r="P13" i="39" s="1"/>
  <c r="N13" i="39"/>
  <c r="K19" i="39"/>
  <c r="K18" i="39"/>
  <c r="L9" i="39"/>
  <c r="H19" i="39"/>
  <c r="L13" i="38"/>
  <c r="K18" i="38"/>
  <c r="M13" i="37"/>
  <c r="O13" i="37" s="1"/>
  <c r="P13" i="37" s="1"/>
  <c r="N13" i="37"/>
  <c r="K18" i="37"/>
  <c r="M9" i="37"/>
  <c r="N9" i="37"/>
  <c r="L18" i="37"/>
  <c r="L19" i="37"/>
  <c r="K19" i="37"/>
  <c r="H19" i="37"/>
  <c r="N10" i="37"/>
  <c r="N18" i="37" s="1"/>
  <c r="M13" i="36"/>
  <c r="O13" i="36" s="1"/>
  <c r="P13" i="36" s="1"/>
  <c r="N13" i="36"/>
  <c r="K18" i="36"/>
  <c r="L9" i="36"/>
  <c r="K19" i="36"/>
  <c r="N13" i="35"/>
  <c r="M13" i="35"/>
  <c r="O13" i="35" s="1"/>
  <c r="P13" i="35" s="1"/>
  <c r="K18" i="35"/>
  <c r="K19" i="35"/>
  <c r="L9" i="35"/>
  <c r="H19" i="35"/>
  <c r="M13" i="34"/>
  <c r="O13" i="34" s="1"/>
  <c r="P13" i="34" s="1"/>
  <c r="N13" i="34"/>
  <c r="K18" i="34"/>
  <c r="K19" i="34"/>
  <c r="L9" i="34"/>
  <c r="H19" i="34"/>
  <c r="M13" i="33"/>
  <c r="O13" i="33" s="1"/>
  <c r="P13" i="33" s="1"/>
  <c r="N13" i="33"/>
  <c r="K19" i="33"/>
  <c r="K18" i="33"/>
  <c r="L9" i="33"/>
  <c r="H18" i="33"/>
  <c r="H19" i="33"/>
  <c r="M13" i="32"/>
  <c r="O13" i="32" s="1"/>
  <c r="P13" i="32" s="1"/>
  <c r="N13" i="32"/>
  <c r="K18" i="32"/>
  <c r="L9" i="32"/>
  <c r="K19" i="32"/>
  <c r="H19" i="32"/>
  <c r="L13" i="31"/>
  <c r="K18" i="31"/>
  <c r="M9" i="31"/>
  <c r="N9" i="31"/>
  <c r="L19" i="31"/>
  <c r="L18" i="31"/>
  <c r="K19" i="31"/>
  <c r="M13" i="30"/>
  <c r="O13" i="30" s="1"/>
  <c r="P13" i="30" s="1"/>
  <c r="N13" i="30"/>
  <c r="L9" i="30"/>
  <c r="K19" i="30"/>
  <c r="K18" i="30"/>
  <c r="H19" i="30"/>
  <c r="O16" i="29"/>
  <c r="M13" i="29"/>
  <c r="O13" i="29" s="1"/>
  <c r="P13" i="29" s="1"/>
  <c r="N13" i="29"/>
  <c r="L9" i="29"/>
  <c r="K18" i="29"/>
  <c r="K19" i="29"/>
  <c r="H19" i="29"/>
  <c r="H18" i="29"/>
  <c r="N16" i="29"/>
  <c r="L13" i="28"/>
  <c r="K19" i="28"/>
  <c r="K18" i="28"/>
  <c r="O10" i="28"/>
  <c r="L18" i="28"/>
  <c r="H19" i="28"/>
  <c r="L13" i="27"/>
  <c r="K19" i="27"/>
  <c r="K18" i="27"/>
  <c r="L19" i="27"/>
  <c r="M9" i="27"/>
  <c r="N9" i="27"/>
  <c r="L18" i="27"/>
  <c r="H19" i="27"/>
  <c r="L13" i="26"/>
  <c r="K18" i="26"/>
  <c r="L19" i="26"/>
  <c r="K19" i="26"/>
  <c r="L13" i="25"/>
  <c r="K19" i="25"/>
  <c r="K18" i="25"/>
  <c r="H19" i="25"/>
  <c r="K18" i="24"/>
  <c r="L13" i="24"/>
  <c r="K19" i="24"/>
  <c r="L18" i="24"/>
  <c r="H19" i="24"/>
  <c r="M13" i="23"/>
  <c r="O13" i="23" s="1"/>
  <c r="P13" i="23" s="1"/>
  <c r="N13" i="23"/>
  <c r="L9" i="23"/>
  <c r="K19" i="23"/>
  <c r="K18" i="23"/>
  <c r="L18" i="23"/>
  <c r="M16" i="23"/>
  <c r="N16" i="23"/>
  <c r="H19" i="23"/>
  <c r="M13" i="22"/>
  <c r="O13" i="22" s="1"/>
  <c r="P13" i="22" s="1"/>
  <c r="N13" i="22"/>
  <c r="K18" i="22"/>
  <c r="L9" i="22"/>
  <c r="K19" i="22"/>
  <c r="H19" i="22"/>
  <c r="M13" i="21"/>
  <c r="O13" i="21" s="1"/>
  <c r="P13" i="21" s="1"/>
  <c r="N13" i="21"/>
  <c r="K18" i="21"/>
  <c r="L9" i="21"/>
  <c r="K19" i="21"/>
  <c r="H19" i="21"/>
  <c r="M13" i="20"/>
  <c r="O13" i="20" s="1"/>
  <c r="P13" i="20" s="1"/>
  <c r="N13" i="20"/>
  <c r="K18" i="20"/>
  <c r="K19" i="20"/>
  <c r="L9" i="20"/>
  <c r="H19" i="20"/>
  <c r="M13" i="19"/>
  <c r="O13" i="19" s="1"/>
  <c r="P13" i="19" s="1"/>
  <c r="N13" i="19"/>
  <c r="L9" i="19"/>
  <c r="K19" i="19"/>
  <c r="K18" i="19"/>
  <c r="H19" i="19"/>
  <c r="L13" i="18"/>
  <c r="K19" i="18"/>
  <c r="L18" i="18"/>
  <c r="M9" i="18"/>
  <c r="N9" i="18"/>
  <c r="H19" i="18"/>
  <c r="M13" i="17"/>
  <c r="O13" i="17" s="1"/>
  <c r="P13" i="17" s="1"/>
  <c r="N13" i="17"/>
  <c r="K18" i="17"/>
  <c r="K19" i="17"/>
  <c r="L9" i="17"/>
  <c r="H19" i="17"/>
  <c r="M13" i="16"/>
  <c r="O13" i="16" s="1"/>
  <c r="P13" i="16" s="1"/>
  <c r="N13" i="16"/>
  <c r="L9" i="16"/>
  <c r="K18" i="16"/>
  <c r="K19" i="16"/>
  <c r="H19" i="16"/>
  <c r="M10" i="15"/>
  <c r="O10" i="15" s="1"/>
  <c r="P10" i="15" s="1"/>
  <c r="N10" i="15"/>
  <c r="L13" i="15"/>
  <c r="K18" i="15"/>
  <c r="L18" i="15"/>
  <c r="M9" i="15"/>
  <c r="N9" i="15"/>
  <c r="L19" i="15"/>
  <c r="K19" i="15"/>
  <c r="M13" i="14"/>
  <c r="O13" i="14" s="1"/>
  <c r="P13" i="14" s="1"/>
  <c r="N13" i="14"/>
  <c r="K19" i="14"/>
  <c r="K18" i="14"/>
  <c r="L10" i="14"/>
  <c r="H19" i="14"/>
  <c r="N14" i="13"/>
  <c r="M14" i="13"/>
  <c r="O14" i="13" s="1"/>
  <c r="P14" i="13" s="1"/>
  <c r="M13" i="13"/>
  <c r="O13" i="13" s="1"/>
  <c r="P13" i="13" s="1"/>
  <c r="N13" i="13"/>
  <c r="M10" i="13"/>
  <c r="O10" i="13" s="1"/>
  <c r="P10" i="13" s="1"/>
  <c r="N10" i="13"/>
  <c r="K19" i="13"/>
  <c r="L9" i="13"/>
  <c r="K18" i="13"/>
  <c r="N11" i="13"/>
  <c r="H19" i="13"/>
  <c r="M13" i="12"/>
  <c r="O13" i="12" s="1"/>
  <c r="P13" i="12" s="1"/>
  <c r="N13" i="12"/>
  <c r="M10" i="12"/>
  <c r="O10" i="12" s="1"/>
  <c r="P10" i="12" s="1"/>
  <c r="N10" i="12"/>
  <c r="L9" i="12"/>
  <c r="K18" i="12"/>
  <c r="K19" i="12"/>
  <c r="H19" i="12"/>
  <c r="L13" i="11"/>
  <c r="K18" i="11"/>
  <c r="K19" i="11"/>
  <c r="O9" i="11"/>
  <c r="K18" i="10"/>
  <c r="K19" i="10"/>
  <c r="L9" i="10"/>
  <c r="N13" i="10"/>
  <c r="M13" i="10"/>
  <c r="O13" i="10" s="1"/>
  <c r="P13" i="10" s="1"/>
  <c r="H19" i="10"/>
  <c r="M10" i="9"/>
  <c r="O10" i="9" s="1"/>
  <c r="P10" i="9" s="1"/>
  <c r="N10" i="9"/>
  <c r="M13" i="9"/>
  <c r="O13" i="9" s="1"/>
  <c r="P13" i="9" s="1"/>
  <c r="N13" i="9"/>
  <c r="K18" i="9"/>
  <c r="K19" i="9"/>
  <c r="L9" i="9"/>
  <c r="H19" i="9"/>
  <c r="H18" i="9"/>
  <c r="M13" i="8"/>
  <c r="O13" i="8" s="1"/>
  <c r="P13" i="8" s="1"/>
  <c r="N13" i="8"/>
  <c r="L10" i="8"/>
  <c r="K18" i="8"/>
  <c r="K19" i="8"/>
  <c r="H18" i="8"/>
  <c r="H19" i="8"/>
  <c r="M10" i="7"/>
  <c r="O10" i="7" s="1"/>
  <c r="P10" i="7" s="1"/>
  <c r="N10" i="7"/>
  <c r="L9" i="7"/>
  <c r="K18" i="7"/>
  <c r="K19" i="7"/>
  <c r="M13" i="7"/>
  <c r="O13" i="7" s="1"/>
  <c r="P13" i="7" s="1"/>
  <c r="N13" i="7"/>
  <c r="H19" i="7"/>
  <c r="M13" i="6"/>
  <c r="O13" i="6" s="1"/>
  <c r="P13" i="6" s="1"/>
  <c r="N13" i="6"/>
  <c r="K19" i="6"/>
  <c r="L9" i="6"/>
  <c r="K18" i="6"/>
  <c r="H19" i="6"/>
  <c r="M13" i="5"/>
  <c r="O13" i="5" s="1"/>
  <c r="P13" i="5" s="1"/>
  <c r="N13" i="5"/>
  <c r="M10" i="5"/>
  <c r="O10" i="5" s="1"/>
  <c r="P10" i="5" s="1"/>
  <c r="N10" i="5"/>
  <c r="K19" i="5"/>
  <c r="K18" i="5"/>
  <c r="L9" i="5"/>
  <c r="H19" i="5"/>
  <c r="K19" i="4"/>
  <c r="L13" i="4"/>
  <c r="L18" i="4" s="1"/>
  <c r="K18" i="4"/>
  <c r="H19" i="4"/>
  <c r="F70" i="1"/>
  <c r="M57" i="1"/>
  <c r="M55" i="1"/>
  <c r="M50" i="1"/>
  <c r="M48" i="1"/>
  <c r="M72" i="1"/>
  <c r="M56" i="1"/>
  <c r="M59" i="1"/>
  <c r="M68" i="1"/>
  <c r="M51" i="1"/>
  <c r="M64" i="1"/>
  <c r="M54" i="1"/>
  <c r="M60" i="1"/>
  <c r="M71" i="1"/>
  <c r="M67" i="1"/>
  <c r="M63" i="1"/>
  <c r="M40" i="1"/>
  <c r="M73" i="1"/>
  <c r="M70" i="1"/>
  <c r="M43" i="1"/>
  <c r="M39" i="1"/>
  <c r="M62" i="1"/>
  <c r="M53" i="1"/>
  <c r="M49" i="1"/>
  <c r="M61" i="1"/>
  <c r="M58" i="1"/>
  <c r="M41" i="1"/>
  <c r="M69" i="1"/>
  <c r="M46" i="1"/>
  <c r="M42" i="1"/>
  <c r="M44" i="1"/>
  <c r="M66" i="1"/>
  <c r="M65" i="1"/>
  <c r="M52" i="1"/>
  <c r="M45" i="1"/>
  <c r="A27" i="1"/>
  <c r="M9" i="39" l="1"/>
  <c r="N9" i="39"/>
  <c r="L18" i="39"/>
  <c r="L19" i="39"/>
  <c r="L18" i="38"/>
  <c r="M13" i="38"/>
  <c r="N13" i="38"/>
  <c r="L19" i="38"/>
  <c r="O9" i="37"/>
  <c r="M18" i="37"/>
  <c r="M19" i="37"/>
  <c r="N19" i="37"/>
  <c r="N9" i="36"/>
  <c r="M9" i="36"/>
  <c r="L18" i="36"/>
  <c r="L19" i="36"/>
  <c r="L18" i="35"/>
  <c r="M9" i="35"/>
  <c r="N9" i="35"/>
  <c r="L19" i="35"/>
  <c r="N9" i="34"/>
  <c r="L18" i="34"/>
  <c r="L19" i="34"/>
  <c r="M9" i="34"/>
  <c r="L18" i="33"/>
  <c r="L19" i="33"/>
  <c r="M9" i="33"/>
  <c r="N9" i="33"/>
  <c r="L18" i="32"/>
  <c r="M9" i="32"/>
  <c r="N9" i="32"/>
  <c r="L19" i="32"/>
  <c r="O9" i="31"/>
  <c r="M13" i="31"/>
  <c r="O13" i="31" s="1"/>
  <c r="P13" i="31" s="1"/>
  <c r="N13" i="31"/>
  <c r="N19" i="31" s="1"/>
  <c r="L18" i="30"/>
  <c r="L19" i="30"/>
  <c r="N9" i="30"/>
  <c r="M9" i="30"/>
  <c r="M9" i="29"/>
  <c r="N9" i="29"/>
  <c r="N19" i="29" s="1"/>
  <c r="L18" i="29"/>
  <c r="L19" i="29"/>
  <c r="N18" i="29"/>
  <c r="P16" i="29"/>
  <c r="P10" i="28"/>
  <c r="M13" i="28"/>
  <c r="N13" i="28"/>
  <c r="L19" i="28"/>
  <c r="O9" i="27"/>
  <c r="M13" i="27"/>
  <c r="O13" i="27" s="1"/>
  <c r="P13" i="27" s="1"/>
  <c r="N13" i="27"/>
  <c r="N19" i="27" s="1"/>
  <c r="M13" i="26"/>
  <c r="N13" i="26"/>
  <c r="L18" i="26"/>
  <c r="M13" i="25"/>
  <c r="L19" i="25"/>
  <c r="N13" i="25"/>
  <c r="L18" i="25"/>
  <c r="M13" i="24"/>
  <c r="L19" i="24"/>
  <c r="N13" i="24"/>
  <c r="O16" i="23"/>
  <c r="M18" i="23"/>
  <c r="M9" i="23"/>
  <c r="N9" i="23"/>
  <c r="N19" i="23" s="1"/>
  <c r="L19" i="23"/>
  <c r="L18" i="22"/>
  <c r="L19" i="22"/>
  <c r="M9" i="22"/>
  <c r="N9" i="22"/>
  <c r="M9" i="21"/>
  <c r="N9" i="21"/>
  <c r="L19" i="21"/>
  <c r="L18" i="21"/>
  <c r="L19" i="20"/>
  <c r="M9" i="20"/>
  <c r="N9" i="20"/>
  <c r="L18" i="20"/>
  <c r="L18" i="19"/>
  <c r="M9" i="19"/>
  <c r="N9" i="19"/>
  <c r="L19" i="19"/>
  <c r="N18" i="18"/>
  <c r="N19" i="18"/>
  <c r="M19" i="18"/>
  <c r="O9" i="18"/>
  <c r="M13" i="18"/>
  <c r="O13" i="18" s="1"/>
  <c r="P13" i="18" s="1"/>
  <c r="N13" i="18"/>
  <c r="L19" i="18"/>
  <c r="N9" i="17"/>
  <c r="L18" i="17"/>
  <c r="L19" i="17"/>
  <c r="M9" i="17"/>
  <c r="M9" i="16"/>
  <c r="N9" i="16"/>
  <c r="L18" i="16"/>
  <c r="L19" i="16"/>
  <c r="N18" i="15"/>
  <c r="N19" i="15"/>
  <c r="M18" i="15"/>
  <c r="O9" i="15"/>
  <c r="M19" i="15"/>
  <c r="M13" i="15"/>
  <c r="O13" i="15" s="1"/>
  <c r="P13" i="15" s="1"/>
  <c r="N13" i="15"/>
  <c r="L18" i="14"/>
  <c r="L19" i="14"/>
  <c r="M10" i="14"/>
  <c r="N10" i="14"/>
  <c r="M9" i="13"/>
  <c r="N9" i="13"/>
  <c r="L19" i="13"/>
  <c r="L18" i="13"/>
  <c r="M9" i="12"/>
  <c r="N9" i="12"/>
  <c r="L19" i="12"/>
  <c r="L18" i="12"/>
  <c r="M13" i="11"/>
  <c r="N13" i="11"/>
  <c r="L18" i="11"/>
  <c r="P9" i="11"/>
  <c r="L19" i="11"/>
  <c r="L18" i="10"/>
  <c r="L19" i="10"/>
  <c r="M9" i="10"/>
  <c r="N9" i="10"/>
  <c r="L18" i="9"/>
  <c r="N9" i="9"/>
  <c r="M9" i="9"/>
  <c r="L19" i="9"/>
  <c r="L19" i="8"/>
  <c r="M10" i="8"/>
  <c r="N10" i="8"/>
  <c r="L18" i="8"/>
  <c r="M9" i="7"/>
  <c r="N9" i="7"/>
  <c r="L19" i="7"/>
  <c r="L18" i="7"/>
  <c r="M9" i="6"/>
  <c r="N9" i="6"/>
  <c r="L18" i="6"/>
  <c r="L19" i="6"/>
  <c r="L18" i="5"/>
  <c r="L19" i="5"/>
  <c r="M9" i="5"/>
  <c r="N9" i="5"/>
  <c r="M13" i="4"/>
  <c r="L19" i="4"/>
  <c r="N13" i="4"/>
  <c r="F41" i="1"/>
  <c r="F45" i="1"/>
  <c r="N72" i="1"/>
  <c r="F56" i="1"/>
  <c r="N56" i="1" s="1"/>
  <c r="F48" i="1"/>
  <c r="F64" i="1"/>
  <c r="O64" i="1" s="1"/>
  <c r="F40" i="1"/>
  <c r="O40" i="1" s="1"/>
  <c r="N41" i="1"/>
  <c r="O41" i="1"/>
  <c r="F63" i="1"/>
  <c r="F55" i="1"/>
  <c r="F47" i="1"/>
  <c r="F39" i="1"/>
  <c r="F62" i="1"/>
  <c r="F54" i="1"/>
  <c r="F46" i="1"/>
  <c r="F69" i="1"/>
  <c r="F61" i="1"/>
  <c r="F53" i="1"/>
  <c r="F68" i="1"/>
  <c r="F60" i="1"/>
  <c r="F52" i="1"/>
  <c r="F44" i="1"/>
  <c r="F67" i="1"/>
  <c r="F59" i="1"/>
  <c r="F51" i="1"/>
  <c r="F43" i="1"/>
  <c r="F38" i="1"/>
  <c r="F66" i="1"/>
  <c r="F58" i="1"/>
  <c r="F50" i="1"/>
  <c r="F42" i="1"/>
  <c r="F65" i="1"/>
  <c r="F57" i="1"/>
  <c r="F49" i="1"/>
  <c r="O49" i="1" s="1"/>
  <c r="N18" i="39" l="1"/>
  <c r="N19" i="39"/>
  <c r="M19" i="39"/>
  <c r="M18" i="39"/>
  <c r="O9" i="39"/>
  <c r="N18" i="38"/>
  <c r="N19" i="38"/>
  <c r="O13" i="38"/>
  <c r="M18" i="38"/>
  <c r="M19" i="38"/>
  <c r="P9" i="37"/>
  <c r="O19" i="37"/>
  <c r="O18" i="37"/>
  <c r="O9" i="36"/>
  <c r="M18" i="36"/>
  <c r="M19" i="36"/>
  <c r="N19" i="36"/>
  <c r="N18" i="36"/>
  <c r="O9" i="35"/>
  <c r="M19" i="35"/>
  <c r="M18" i="35"/>
  <c r="N18" i="35"/>
  <c r="N19" i="35"/>
  <c r="O9" i="34"/>
  <c r="M18" i="34"/>
  <c r="M19" i="34"/>
  <c r="N18" i="34"/>
  <c r="N19" i="34"/>
  <c r="N18" i="33"/>
  <c r="N19" i="33"/>
  <c r="M18" i="33"/>
  <c r="O9" i="33"/>
  <c r="M19" i="33"/>
  <c r="N19" i="32"/>
  <c r="N18" i="32"/>
  <c r="M18" i="32"/>
  <c r="O9" i="32"/>
  <c r="M19" i="32"/>
  <c r="M18" i="31"/>
  <c r="N18" i="31"/>
  <c r="M19" i="31"/>
  <c r="P9" i="31"/>
  <c r="O19" i="31"/>
  <c r="O18" i="31"/>
  <c r="O9" i="30"/>
  <c r="M18" i="30"/>
  <c r="M19" i="30"/>
  <c r="N19" i="30"/>
  <c r="N18" i="30"/>
  <c r="O9" i="29"/>
  <c r="M19" i="29"/>
  <c r="M18" i="29"/>
  <c r="N19" i="28"/>
  <c r="N18" i="28"/>
  <c r="O13" i="28"/>
  <c r="M18" i="28"/>
  <c r="M19" i="28"/>
  <c r="M19" i="27"/>
  <c r="O18" i="27"/>
  <c r="P9" i="27"/>
  <c r="O19" i="27"/>
  <c r="M18" i="27"/>
  <c r="N18" i="27"/>
  <c r="O13" i="26"/>
  <c r="M18" i="26"/>
  <c r="M19" i="26"/>
  <c r="N18" i="26"/>
  <c r="N19" i="26"/>
  <c r="N19" i="25"/>
  <c r="N18" i="25"/>
  <c r="M19" i="25"/>
  <c r="O13" i="25"/>
  <c r="M18" i="25"/>
  <c r="N19" i="24"/>
  <c r="N18" i="24"/>
  <c r="M19" i="24"/>
  <c r="O13" i="24"/>
  <c r="M18" i="24"/>
  <c r="O9" i="23"/>
  <c r="M19" i="23"/>
  <c r="O18" i="23"/>
  <c r="P16" i="23"/>
  <c r="N18" i="23"/>
  <c r="N18" i="22"/>
  <c r="N19" i="22"/>
  <c r="O9" i="22"/>
  <c r="M18" i="22"/>
  <c r="M19" i="22"/>
  <c r="N18" i="21"/>
  <c r="N19" i="21"/>
  <c r="M18" i="21"/>
  <c r="O9" i="21"/>
  <c r="M19" i="21"/>
  <c r="N18" i="20"/>
  <c r="N19" i="20"/>
  <c r="M18" i="20"/>
  <c r="M19" i="20"/>
  <c r="O9" i="20"/>
  <c r="N18" i="19"/>
  <c r="N19" i="19"/>
  <c r="M18" i="19"/>
  <c r="O9" i="19"/>
  <c r="M19" i="19"/>
  <c r="P9" i="18"/>
  <c r="O18" i="18"/>
  <c r="O19" i="18"/>
  <c r="M18" i="18"/>
  <c r="M18" i="17"/>
  <c r="O9" i="17"/>
  <c r="M19" i="17"/>
  <c r="N19" i="17"/>
  <c r="N18" i="17"/>
  <c r="N18" i="16"/>
  <c r="N19" i="16"/>
  <c r="M18" i="16"/>
  <c r="M19" i="16"/>
  <c r="O9" i="16"/>
  <c r="P9" i="15"/>
  <c r="O19" i="15"/>
  <c r="O18" i="15"/>
  <c r="M18" i="14"/>
  <c r="M19" i="14"/>
  <c r="O10" i="14"/>
  <c r="N19" i="14"/>
  <c r="N18" i="14"/>
  <c r="N19" i="13"/>
  <c r="N18" i="13"/>
  <c r="M19" i="13"/>
  <c r="O9" i="13"/>
  <c r="M18" i="13"/>
  <c r="N18" i="12"/>
  <c r="N19" i="12"/>
  <c r="O9" i="12"/>
  <c r="M19" i="12"/>
  <c r="M18" i="12"/>
  <c r="N18" i="11"/>
  <c r="N19" i="11"/>
  <c r="O13" i="11"/>
  <c r="M18" i="11"/>
  <c r="M19" i="11"/>
  <c r="N19" i="10"/>
  <c r="N18" i="10"/>
  <c r="O9" i="10"/>
  <c r="M18" i="10"/>
  <c r="M19" i="10"/>
  <c r="M19" i="9"/>
  <c r="O9" i="9"/>
  <c r="M18" i="9"/>
  <c r="N18" i="9"/>
  <c r="N19" i="9"/>
  <c r="N19" i="8"/>
  <c r="N18" i="8"/>
  <c r="M19" i="8"/>
  <c r="O10" i="8"/>
  <c r="M18" i="8"/>
  <c r="O9" i="7"/>
  <c r="M18" i="7"/>
  <c r="M19" i="7"/>
  <c r="N19" i="7"/>
  <c r="N18" i="7"/>
  <c r="N19" i="6"/>
  <c r="N18" i="6"/>
  <c r="M19" i="6"/>
  <c r="O9" i="6"/>
  <c r="M18" i="6"/>
  <c r="N18" i="5"/>
  <c r="N19" i="5"/>
  <c r="M19" i="5"/>
  <c r="O9" i="5"/>
  <c r="M18" i="5"/>
  <c r="N19" i="4"/>
  <c r="N18" i="4"/>
  <c r="O13" i="4"/>
  <c r="M19" i="4"/>
  <c r="M18" i="4"/>
  <c r="O48" i="1"/>
  <c r="N48" i="1"/>
  <c r="O56" i="1"/>
  <c r="P56" i="1" s="1"/>
  <c r="N40" i="1"/>
  <c r="P40" i="1" s="1"/>
  <c r="N64" i="1"/>
  <c r="P64" i="1" s="1"/>
  <c r="O72" i="1"/>
  <c r="P72" i="1" s="1"/>
  <c r="P48" i="1"/>
  <c r="N51" i="1"/>
  <c r="O51" i="1"/>
  <c r="O53" i="1"/>
  <c r="N53" i="1"/>
  <c r="N47" i="1"/>
  <c r="O47" i="1"/>
  <c r="N73" i="1"/>
  <c r="O73" i="1"/>
  <c r="O59" i="1"/>
  <c r="N59" i="1"/>
  <c r="N61" i="1"/>
  <c r="O61" i="1"/>
  <c r="N55" i="1"/>
  <c r="O55" i="1"/>
  <c r="P41" i="1"/>
  <c r="O65" i="1"/>
  <c r="N65" i="1"/>
  <c r="N42" i="1"/>
  <c r="O42" i="1"/>
  <c r="O69" i="1"/>
  <c r="N69" i="1"/>
  <c r="N50" i="1"/>
  <c r="O50" i="1"/>
  <c r="N44" i="1"/>
  <c r="O44" i="1"/>
  <c r="N46" i="1"/>
  <c r="O46" i="1"/>
  <c r="N71" i="1"/>
  <c r="O71" i="1"/>
  <c r="N58" i="1"/>
  <c r="O58" i="1"/>
  <c r="N52" i="1"/>
  <c r="O52" i="1"/>
  <c r="N54" i="1"/>
  <c r="O54" i="1"/>
  <c r="N43" i="1"/>
  <c r="O43" i="1"/>
  <c r="N67" i="1"/>
  <c r="O67" i="1"/>
  <c r="N63" i="1"/>
  <c r="O63" i="1"/>
  <c r="N66" i="1"/>
  <c r="O66" i="1"/>
  <c r="N60" i="1"/>
  <c r="O60" i="1"/>
  <c r="O62" i="1"/>
  <c r="N62" i="1"/>
  <c r="N49" i="1"/>
  <c r="N38" i="1"/>
  <c r="N68" i="1"/>
  <c r="O68" i="1"/>
  <c r="N70" i="1"/>
  <c r="O70" i="1"/>
  <c r="N57" i="1"/>
  <c r="O57" i="1"/>
  <c r="N45" i="1"/>
  <c r="O45" i="1"/>
  <c r="N39" i="1"/>
  <c r="O39" i="1"/>
  <c r="O19" i="39" l="1"/>
  <c r="O18" i="39"/>
  <c r="P9" i="39"/>
  <c r="P13" i="38"/>
  <c r="O18" i="38"/>
  <c r="O19" i="38"/>
  <c r="P19" i="37"/>
  <c r="P18" i="37"/>
  <c r="P9" i="36"/>
  <c r="O19" i="36"/>
  <c r="O18" i="36"/>
  <c r="P9" i="35"/>
  <c r="O18" i="35"/>
  <c r="O19" i="35"/>
  <c r="P9" i="34"/>
  <c r="O18" i="34"/>
  <c r="O19" i="34"/>
  <c r="O18" i="33"/>
  <c r="P9" i="33"/>
  <c r="O19" i="33"/>
  <c r="P9" i="32"/>
  <c r="O19" i="32"/>
  <c r="O18" i="32"/>
  <c r="P19" i="31"/>
  <c r="P18" i="31"/>
  <c r="P9" i="30"/>
  <c r="O19" i="30"/>
  <c r="O18" i="30"/>
  <c r="P9" i="29"/>
  <c r="O19" i="29"/>
  <c r="O18" i="29"/>
  <c r="P13" i="28"/>
  <c r="O18" i="28"/>
  <c r="O19" i="28"/>
  <c r="P19" i="27"/>
  <c r="P18" i="27"/>
  <c r="P13" i="26"/>
  <c r="O19" i="26"/>
  <c r="O18" i="26"/>
  <c r="P13" i="25"/>
  <c r="O19" i="25"/>
  <c r="O18" i="25"/>
  <c r="P13" i="24"/>
  <c r="O19" i="24"/>
  <c r="O18" i="24"/>
  <c r="P9" i="23"/>
  <c r="P19" i="23" s="1"/>
  <c r="O19" i="23"/>
  <c r="O19" i="22"/>
  <c r="O18" i="22"/>
  <c r="P9" i="22"/>
  <c r="P9" i="21"/>
  <c r="O19" i="21"/>
  <c r="O18" i="21"/>
  <c r="O19" i="20"/>
  <c r="P9" i="20"/>
  <c r="O18" i="20"/>
  <c r="P9" i="19"/>
  <c r="O19" i="19"/>
  <c r="O18" i="19"/>
  <c r="P19" i="18"/>
  <c r="P18" i="18"/>
  <c r="P9" i="17"/>
  <c r="O18" i="17"/>
  <c r="O19" i="17"/>
  <c r="O19" i="16"/>
  <c r="P9" i="16"/>
  <c r="O18" i="16"/>
  <c r="P19" i="15"/>
  <c r="P18" i="15"/>
  <c r="O19" i="14"/>
  <c r="O18" i="14"/>
  <c r="P10" i="14"/>
  <c r="P9" i="13"/>
  <c r="O19" i="13"/>
  <c r="O18" i="13"/>
  <c r="P9" i="12"/>
  <c r="O19" i="12"/>
  <c r="O18" i="12"/>
  <c r="P13" i="11"/>
  <c r="O18" i="11"/>
  <c r="O19" i="11"/>
  <c r="P9" i="10"/>
  <c r="O19" i="10"/>
  <c r="O18" i="10"/>
  <c r="O18" i="9"/>
  <c r="O19" i="9"/>
  <c r="P9" i="9"/>
  <c r="P10" i="8"/>
  <c r="O18" i="8"/>
  <c r="O19" i="8"/>
  <c r="P9" i="7"/>
  <c r="O19" i="7"/>
  <c r="O18" i="7"/>
  <c r="O19" i="6"/>
  <c r="P9" i="6"/>
  <c r="O18" i="6"/>
  <c r="O19" i="5"/>
  <c r="P9" i="5"/>
  <c r="O18" i="5"/>
  <c r="P13" i="4"/>
  <c r="O19" i="4"/>
  <c r="O18" i="4"/>
  <c r="P50" i="1"/>
  <c r="P59" i="1"/>
  <c r="P49" i="1"/>
  <c r="P52" i="1"/>
  <c r="P44" i="1"/>
  <c r="P63" i="1"/>
  <c r="P66" i="1"/>
  <c r="P54" i="1"/>
  <c r="P70" i="1"/>
  <c r="P71" i="1"/>
  <c r="P67" i="1"/>
  <c r="P58" i="1"/>
  <c r="P69" i="1"/>
  <c r="P57" i="1"/>
  <c r="P53" i="1"/>
  <c r="P62" i="1"/>
  <c r="P73" i="1"/>
  <c r="P55" i="1"/>
  <c r="P47" i="1"/>
  <c r="P39" i="1"/>
  <c r="P68" i="1"/>
  <c r="P60" i="1"/>
  <c r="P43" i="1"/>
  <c r="P61" i="1"/>
  <c r="P45" i="1"/>
  <c r="P46" i="1"/>
  <c r="P42" i="1"/>
  <c r="P65" i="1"/>
  <c r="P51" i="1"/>
  <c r="P19" i="39" l="1"/>
  <c r="P18" i="39"/>
  <c r="P18" i="38"/>
  <c r="P19" i="38"/>
  <c r="P19" i="36"/>
  <c r="P18" i="36"/>
  <c r="P19" i="35"/>
  <c r="P18" i="35"/>
  <c r="P19" i="34"/>
  <c r="P18" i="34"/>
  <c r="P19" i="33"/>
  <c r="P18" i="33"/>
  <c r="P19" i="32"/>
  <c r="P18" i="32"/>
  <c r="P19" i="30"/>
  <c r="P18" i="30"/>
  <c r="P19" i="29"/>
  <c r="P18" i="29"/>
  <c r="P18" i="28"/>
  <c r="P19" i="28"/>
  <c r="P18" i="26"/>
  <c r="P19" i="26"/>
  <c r="P19" i="25"/>
  <c r="P18" i="25"/>
  <c r="P18" i="24"/>
  <c r="P19" i="24"/>
  <c r="P18" i="23"/>
  <c r="P19" i="22"/>
  <c r="P18" i="22"/>
  <c r="P19" i="21"/>
  <c r="P18" i="21"/>
  <c r="P19" i="20"/>
  <c r="P18" i="20"/>
  <c r="P19" i="19"/>
  <c r="P18" i="19"/>
  <c r="P19" i="17"/>
  <c r="P18" i="17"/>
  <c r="P19" i="16"/>
  <c r="P18" i="16"/>
  <c r="P19" i="14"/>
  <c r="P18" i="14"/>
  <c r="P19" i="13"/>
  <c r="P18" i="13"/>
  <c r="P19" i="12"/>
  <c r="P18" i="12"/>
  <c r="P19" i="11"/>
  <c r="P18" i="11"/>
  <c r="P19" i="10"/>
  <c r="P18" i="10"/>
  <c r="P19" i="9"/>
  <c r="P18" i="9"/>
  <c r="P18" i="8"/>
  <c r="P19" i="8"/>
  <c r="P19" i="7"/>
  <c r="P18" i="7"/>
  <c r="P19" i="6"/>
  <c r="P18" i="6"/>
  <c r="P19" i="5"/>
  <c r="P18" i="5"/>
  <c r="P18" i="4"/>
  <c r="P19" i="4"/>
  <c r="L38" i="1"/>
  <c r="O38" i="1" s="1"/>
  <c r="P38" i="1" s="1"/>
  <c r="M3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J. Pinter</author>
  </authors>
  <commentList>
    <comment ref="I4" authorId="0" shapeId="0" xr:uid="{833E775E-691A-49D5-9B90-68FAF1571DF8}">
      <text>
        <r>
          <rPr>
            <b/>
            <sz val="8"/>
            <color indexed="81"/>
            <rFont val="Tahoma"/>
            <family val="2"/>
          </rPr>
          <t>Paul J. Pinter:
Refers to persons doing weights on subsamples by rows</t>
        </r>
        <r>
          <rPr>
            <b/>
            <sz val="8"/>
            <color indexed="81"/>
            <rFont val="Tahoma"/>
            <family val="2"/>
          </rPr>
          <t xml:space="preserve">
SR=Stacy Richards
SM=Suzette Maneely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PJPinter</author>
  </authors>
  <commentList>
    <comment ref="D9" authorId="0" shapeId="0" xr:uid="{853979D5-D2ED-41A7-B004-73553F9D3F19}">
      <text>
        <r>
          <rPr>
            <b/>
            <sz val="8"/>
            <color indexed="81"/>
            <rFont val="Tahoma"/>
            <family val="2"/>
          </rPr>
          <t>PJPinter:</t>
        </r>
        <r>
          <rPr>
            <sz val="8"/>
            <color indexed="81"/>
            <rFont val="Tahoma"/>
            <family val="2"/>
          </rPr>
          <t xml:space="preserve">
Orig had 4m here and should have been 5.  Changed on 23 Oct 03 PJP</t>
        </r>
      </text>
    </comment>
  </commentList>
</comments>
</file>

<file path=xl/sharedStrings.xml><?xml version="1.0" encoding="utf-8"?>
<sst xmlns="http://schemas.openxmlformats.org/spreadsheetml/2006/main" count="1700" uniqueCount="160">
  <si>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</si>
  <si>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</si>
  <si>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</si>
  <si>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</si>
  <si>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</si>
  <si>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</si>
  <si>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</si>
  <si>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</si>
  <si>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</si>
  <si>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wt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</si>
  <si>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</si>
  <si>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</si>
  <si>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</si>
  <si>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</si>
  <si>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</si>
  <si>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</si>
  <si>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</si>
  <si>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</si>
  <si>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</si>
  <si>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</si>
  <si>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</si>
  <si>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</si>
  <si>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Column H - Weight of bulk cotton subsample prior to ginning (g)</t>
  </si>
  <si>
    <t>Column K - Fiber fraction after ginning (FFRAC, g/g)</t>
  </si>
  <si>
    <t>Column L - Seed fraction after ginning (SFRAC, g/g)</t>
  </si>
  <si>
    <t>Column N - Wet fiber weight at harvest (WFWAH, kg/ha)</t>
  </si>
  <si>
    <t>Column O - Wet seed weight at harvest (WSWAH, kg/ha)</t>
  </si>
  <si>
    <t>Column P - Wet seed cotton weight at harvest (fiber + seed) (WSCWAH, kg/ha)</t>
  </si>
  <si>
    <t>Plot</t>
  </si>
  <si>
    <t>HARM</t>
  </si>
  <si>
    <t>Hand</t>
  </si>
  <si>
    <t>Column C - Harvest method (HARM)</t>
  </si>
  <si>
    <t>Size of harvest area (6 40-inch rows by 4 m) (m2)</t>
  </si>
  <si>
    <t>g per kg</t>
  </si>
  <si>
    <t>Column F - Wet bulk weight at harvest (fiber + seed + trash) (WBWAH, kg/ha)</t>
  </si>
  <si>
    <t>Date</t>
  </si>
  <si>
    <t>GNDAT</t>
  </si>
  <si>
    <t>Column D - Harvest date (HADAT, mm/dd/yyyy)</t>
  </si>
  <si>
    <t>Column G - Ginning Date (GNDAT, mm/dd/yyyy)</t>
  </si>
  <si>
    <t>Quality</t>
  </si>
  <si>
    <t>FBMIC</t>
  </si>
  <si>
    <t>FBLTH</t>
  </si>
  <si>
    <t>FBUNI</t>
  </si>
  <si>
    <t>FBSTR</t>
  </si>
  <si>
    <t>FBCRD</t>
  </si>
  <si>
    <t>FBCGR</t>
  </si>
  <si>
    <t>FBTAR</t>
  </si>
  <si>
    <t>(inches)</t>
  </si>
  <si>
    <t>(%)</t>
  </si>
  <si>
    <t>(g/tex)</t>
  </si>
  <si>
    <t>(% ref)</t>
  </si>
  <si>
    <t>QLDAT</t>
  </si>
  <si>
    <t>11-1</t>
  </si>
  <si>
    <t>21-1</t>
  </si>
  <si>
    <t>11-2</t>
  </si>
  <si>
    <t>11-3</t>
  </si>
  <si>
    <t>11-4</t>
  </si>
  <si>
    <t>Column R - Micronaire (FBMIC)</t>
  </si>
  <si>
    <t>Column S - Upper half mean fiber length (FBLTH, inches)</t>
  </si>
  <si>
    <t>Column T - Fiber uniformity (FBUNI, %)</t>
  </si>
  <si>
    <t>Column U - Fiber strength (FBSTR, g/tex)</t>
  </si>
  <si>
    <t>Column V - Fiber Color Reflectance (FBCRD, % reflectance)</t>
  </si>
  <si>
    <t>Column W - Fiber Color Grade (FBCGR)</t>
  </si>
  <si>
    <t>Column X - Trash Area (FBTAR, % of surface covered by trash)</t>
  </si>
  <si>
    <t>Size of harvest area for stress plots (6 40-inch rows by 2 m) (m2)</t>
  </si>
  <si>
    <t>Column E - Weight of bulk hand-picked cotton in six 4 m rows with gleaning weight from 10/28/2002 added (g)</t>
  </si>
  <si>
    <t>Column I - Weight of fiber after ginning (g)</t>
  </si>
  <si>
    <t>Column M - Trash fraction after ginning (TFRAC, g/g)</t>
  </si>
  <si>
    <t>LintYield mean (kg/ha)</t>
  </si>
  <si>
    <t>SCYield mean (kg/ha)</t>
  </si>
  <si>
    <t>Original</t>
  </si>
  <si>
    <t>Spreadsheet</t>
  </si>
  <si>
    <t>Column Q - Quality measurement date (QLDAT, mm/dd/yyyy), Sent to USDA AMS Phoenix Classing Office</t>
  </si>
  <si>
    <t>Column J - Weight of fuzzy seed after ginning (g)</t>
  </si>
  <si>
    <t>ID</t>
  </si>
  <si>
    <t>Column A - ID (ID)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</si>
  <si>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</si>
  <si>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</si>
  <si>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</si>
  <si>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</si>
  <si>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</si>
  <si>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</si>
  <si>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</si>
  <si>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</si>
  <si>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</si>
  <si>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</si>
  <si>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</si>
  <si>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</si>
  <si>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</si>
  <si>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</si>
  <si>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</si>
  <si>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</si>
  <si>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</si>
  <si>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</si>
  <si>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</si>
  <si>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</si>
  <si>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</si>
  <si>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</si>
  <si>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</si>
  <si>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</si>
  <si>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</si>
  <si>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</si>
  <si>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</si>
  <si>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</si>
  <si>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</si>
  <si>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</si>
  <si>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</si>
  <si>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</si>
  <si>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</si>
  <si>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</si>
  <si>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</si>
  <si>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</si>
  <si>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Sampled 4m length of row in regualr plots, 2m in 900s, except where noted</t>
  </si>
  <si>
    <t>Please note color, mold, extra trash, hard locks, anything out of the ordinary</t>
  </si>
  <si>
    <t xml:space="preserve">Standard Error:    </t>
  </si>
  <si>
    <t xml:space="preserve">Grand Mean:     </t>
  </si>
  <si>
    <t>Wt of Gleaned Sample</t>
  </si>
  <si>
    <t>Date Gleaned</t>
  </si>
  <si>
    <t>approx. bales/acre</t>
  </si>
  <si>
    <t>lbs/acre</t>
  </si>
  <si>
    <t>kg/ha</t>
  </si>
  <si>
    <t>g/m row</t>
  </si>
  <si>
    <t>Notes / Comments / Appearance</t>
  </si>
  <si>
    <t>Total (g)</t>
  </si>
  <si>
    <t>Bag # 3  (g)</t>
  </si>
  <si>
    <t>Bag # 2  (g)</t>
  </si>
  <si>
    <t>Bag # 1  (g)</t>
  </si>
  <si>
    <t>Length (m)</t>
  </si>
  <si>
    <t>Row</t>
  </si>
  <si>
    <t>Lint</t>
  </si>
  <si>
    <t>Seed Cotton</t>
  </si>
  <si>
    <t>Seed Fraction</t>
  </si>
  <si>
    <t>Seed Weight:</t>
  </si>
  <si>
    <t>Time weighed:</t>
  </si>
  <si>
    <t>Lint Fraction:</t>
  </si>
  <si>
    <t>Lint Weight:</t>
  </si>
  <si>
    <t>SR/SM</t>
  </si>
  <si>
    <t>Initials:</t>
  </si>
  <si>
    <t>Date weighed:</t>
  </si>
  <si>
    <t>Trash Fraction:</t>
  </si>
  <si>
    <t>Gross Weight:</t>
  </si>
  <si>
    <t>Date picked:</t>
  </si>
  <si>
    <t>Initials</t>
  </si>
  <si>
    <t>Date Ginned:</t>
  </si>
  <si>
    <t>Plot:</t>
  </si>
  <si>
    <t>FISE 2002 - Seed Cotton</t>
  </si>
  <si>
    <t>Please note color, mold, extra trash, hard locks, anything unusual.</t>
  </si>
  <si>
    <t>trashy</t>
  </si>
  <si>
    <t>SM/SR</t>
  </si>
  <si>
    <t>dusty</t>
  </si>
  <si>
    <t xml:space="preserve">5 m not 4 m sampled </t>
  </si>
  <si>
    <t xml:space="preserve"> </t>
  </si>
  <si>
    <t>The data on this sheet was originally a duplicate of plot 303 data - discovered when proofed by COB - SER made changes 6 May 03 - see change history data sheet</t>
  </si>
  <si>
    <t>ginned all material</t>
  </si>
  <si>
    <t>no subsample</t>
  </si>
  <si>
    <t>no rows, whole plot</t>
  </si>
  <si>
    <t>ginned whole plot</t>
  </si>
  <si>
    <t xml:space="preserve">                                                               </t>
  </si>
  <si>
    <t>HID</t>
  </si>
  <si>
    <t>Column B - Harvest Area ID (HID)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</si>
</sst>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name val="Comic Sans MS"/>
      <family val="4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49" fontId="0" fillId="2" borderId="0" xfId="0" applyNumberFormat="1" applyFill="1"/>
    <xf numFmtId="0" fontId="1" fillId="0" borderId="0" xfId="1"/>
    <xf numFmtId="166" fontId="2" fillId="3" borderId="0" xfId="1" applyNumberFormat="1" applyFont="1" applyFill="1"/>
    <xf numFmtId="2" fontId="2" fillId="0" borderId="0" xfId="1" applyNumberFormat="1" applyFont="1"/>
    <xf numFmtId="2" fontId="2" fillId="0" borderId="1" xfId="1" applyNumberFormat="1" applyFont="1" applyBorder="1"/>
    <xf numFmtId="0" fontId="1" fillId="0" borderId="2" xfId="1" applyBorder="1"/>
    <xf numFmtId="0" fontId="1" fillId="4" borderId="3" xfId="1" applyFill="1" applyBorder="1"/>
    <xf numFmtId="0" fontId="3" fillId="0" borderId="3" xfId="1" applyFont="1" applyBorder="1" applyAlignment="1">
      <alignment horizontal="center"/>
    </xf>
    <xf numFmtId="2" fontId="3" fillId="0" borderId="0" xfId="1" applyNumberFormat="1" applyFont="1"/>
    <xf numFmtId="164" fontId="3" fillId="0" borderId="0" xfId="1" applyNumberFormat="1" applyFont="1"/>
    <xf numFmtId="164" fontId="3" fillId="0" borderId="1" xfId="1" applyNumberFormat="1" applyFont="1" applyBorder="1"/>
    <xf numFmtId="166" fontId="1" fillId="0" borderId="0" xfId="1" applyNumberFormat="1"/>
    <xf numFmtId="164" fontId="1" fillId="0" borderId="0" xfId="1" applyNumberFormat="1"/>
    <xf numFmtId="164" fontId="1" fillId="0" borderId="1" xfId="1" applyNumberFormat="1" applyBorder="1"/>
    <xf numFmtId="0" fontId="1" fillId="0" borderId="3" xfId="1" applyBorder="1"/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4" xfId="1" applyBorder="1"/>
    <xf numFmtId="0" fontId="3" fillId="0" borderId="5" xfId="1" applyFont="1" applyBorder="1" applyAlignment="1">
      <alignment horizontal="center" vertical="center"/>
    </xf>
    <xf numFmtId="0" fontId="1" fillId="3" borderId="3" xfId="1" applyFill="1" applyBorder="1"/>
    <xf numFmtId="16" fontId="6" fillId="3" borderId="3" xfId="1" applyNumberFormat="1" applyFont="1" applyFill="1" applyBorder="1"/>
    <xf numFmtId="0" fontId="1" fillId="0" borderId="1" xfId="1" applyBorder="1"/>
    <xf numFmtId="0" fontId="3" fillId="0" borderId="3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1" xfId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166" fontId="3" fillId="3" borderId="7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3" borderId="7" xfId="1" applyFont="1" applyFill="1" applyBorder="1" applyAlignment="1">
      <alignment horizontal="center" vertical="center"/>
    </xf>
    <xf numFmtId="18" fontId="1" fillId="3" borderId="8" xfId="1" applyNumberFormat="1" applyFill="1" applyBorder="1"/>
    <xf numFmtId="0" fontId="4" fillId="0" borderId="0" xfId="1" applyFont="1" applyAlignment="1">
      <alignment horizontal="right" vertical="center"/>
    </xf>
    <xf numFmtId="0" fontId="1" fillId="3" borderId="8" xfId="1" applyFill="1" applyBorder="1"/>
    <xf numFmtId="16" fontId="1" fillId="3" borderId="8" xfId="1" applyNumberFormat="1" applyFill="1" applyBorder="1"/>
    <xf numFmtId="16" fontId="3" fillId="3" borderId="7" xfId="1" applyNumberFormat="1" applyFont="1" applyFill="1" applyBorder="1" applyAlignment="1">
      <alignment horizontal="center" vertical="center"/>
    </xf>
    <xf numFmtId="0" fontId="7" fillId="0" borderId="0" xfId="1" applyFont="1"/>
    <xf numFmtId="0" fontId="7" fillId="3" borderId="8" xfId="1" applyFont="1" applyFill="1" applyBorder="1"/>
    <xf numFmtId="0" fontId="8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16" fontId="6" fillId="0" borderId="3" xfId="1" applyNumberFormat="1" applyFont="1" applyBorder="1"/>
    <xf numFmtId="18" fontId="1" fillId="0" borderId="8" xfId="1" applyNumberFormat="1" applyBorder="1"/>
    <xf numFmtId="0" fontId="1" fillId="0" borderId="8" xfId="1" applyBorder="1"/>
    <xf numFmtId="16" fontId="1" fillId="0" borderId="8" xfId="1" applyNumberFormat="1" applyBorder="1"/>
    <xf numFmtId="0" fontId="7" fillId="0" borderId="8" xfId="1" applyFont="1" applyBorder="1"/>
    <xf numFmtId="0" fontId="11" fillId="0" borderId="3" xfId="1" applyFont="1" applyBorder="1"/>
    <xf numFmtId="0" fontId="11" fillId="5" borderId="3" xfId="1" applyFont="1" applyFill="1" applyBorder="1" applyAlignment="1">
      <alignment horizontal="center" vertical="center"/>
    </xf>
    <xf numFmtId="0" fontId="13" fillId="0" borderId="0" xfId="1" applyFont="1"/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5" xfId="1" applyFont="1" applyBorder="1" applyAlignment="1">
      <alignment horizontal="right" vertical="center"/>
    </xf>
    <xf numFmtId="0" fontId="4" fillId="0" borderId="4" xfId="1" applyFont="1" applyBorder="1" applyAlignment="1">
      <alignment horizontal="right" vertical="center"/>
    </xf>
    <xf numFmtId="0" fontId="4" fillId="0" borderId="6" xfId="1" applyFont="1" applyBorder="1" applyAlignment="1">
      <alignment horizontal="right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1" fontId="0" fillId="2" borderId="0" xfId="0" applyNumberFormat="1" applyFill="1"/>
  </cellXfs>
  <cellStyles count="2">
    <cellStyle name="Normal" xfId="0" builtinId="0"/>
    <cellStyle name="Normal 2" xfId="1" xr:uid="{6D09C78A-ADB3-4EEF-BC7E-14793E3F0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1:1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Compare!$N$5:$N$6</c:f>
              <c:numCache>
                <c:formatCode>General</c:formatCode>
                <c:ptCount val="2"/>
                <c:pt idx="0">
                  <c:v>0</c:v>
                </c:pt>
                <c:pt idx="1">
                  <c:v>2000</c:v>
                </c:pt>
              </c:numCache>
            </c:numRef>
          </c:xVal>
          <c:yVal>
            <c:numRef>
              <c:f>Compare!$N$5:$N$6</c:f>
              <c:numCache>
                <c:formatCode>General</c:formatCode>
                <c:ptCount val="2"/>
                <c:pt idx="0">
                  <c:v>0</c:v>
                </c:pt>
                <c:pt idx="1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A-4F08-966A-F8DC9874920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Compare!$B$6:$B$41</c:f>
              <c:numCache>
                <c:formatCode>General</c:formatCode>
                <c:ptCount val="36"/>
                <c:pt idx="0">
                  <c:v>1320.8045382596224</c:v>
                </c:pt>
                <c:pt idx="1">
                  <c:v>1566.1621266340587</c:v>
                </c:pt>
                <c:pt idx="2">
                  <c:v>1283.2179311388734</c:v>
                </c:pt>
                <c:pt idx="3">
                  <c:v>1312.2293898616733</c:v>
                </c:pt>
                <c:pt idx="4">
                  <c:v>1263.8379649491621</c:v>
                </c:pt>
                <c:pt idx="5">
                  <c:v>1133.2395019685978</c:v>
                </c:pt>
                <c:pt idx="6">
                  <c:v>1431.8983037958687</c:v>
                </c:pt>
                <c:pt idx="7">
                  <c:v>1483.3114525600183</c:v>
                </c:pt>
                <c:pt idx="8">
                  <c:v>1513.9380597517281</c:v>
                </c:pt>
                <c:pt idx="9">
                  <c:v>1160.2979987764897</c:v>
                </c:pt>
                <c:pt idx="10">
                  <c:v>1575.6975790964177</c:v>
                </c:pt>
                <c:pt idx="11">
                  <c:v>1057.1232789764999</c:v>
                </c:pt>
                <c:pt idx="12">
                  <c:v>1680.3908411182599</c:v>
                </c:pt>
                <c:pt idx="13">
                  <c:v>1273.9486206221825</c:v>
                </c:pt>
                <c:pt idx="14">
                  <c:v>1484.3626420197647</c:v>
                </c:pt>
                <c:pt idx="15">
                  <c:v>1498.9888382522829</c:v>
                </c:pt>
                <c:pt idx="16">
                  <c:v>1383.0921397904106</c:v>
                </c:pt>
                <c:pt idx="17">
                  <c:v>1704.2947108958037</c:v>
                </c:pt>
                <c:pt idx="18">
                  <c:v>1403.4649973310243</c:v>
                </c:pt>
                <c:pt idx="19">
                  <c:v>1695.7640755742705</c:v>
                </c:pt>
                <c:pt idx="20">
                  <c:v>1314.6093835948166</c:v>
                </c:pt>
                <c:pt idx="21">
                  <c:v>1688.4811255664436</c:v>
                </c:pt>
                <c:pt idx="22">
                  <c:v>1334.6633660511936</c:v>
                </c:pt>
                <c:pt idx="23">
                  <c:v>1297.563735950863</c:v>
                </c:pt>
                <c:pt idx="24">
                  <c:v>1084.3788506204944</c:v>
                </c:pt>
                <c:pt idx="25">
                  <c:v>1427.8859445878993</c:v>
                </c:pt>
                <c:pt idx="26">
                  <c:v>1554.4849169199274</c:v>
                </c:pt>
                <c:pt idx="27">
                  <c:v>1464.3145860159377</c:v>
                </c:pt>
                <c:pt idx="28">
                  <c:v>1459.7607054867719</c:v>
                </c:pt>
                <c:pt idx="29">
                  <c:v>1449.6956246149523</c:v>
                </c:pt>
                <c:pt idx="30">
                  <c:v>1348.6601919686409</c:v>
                </c:pt>
                <c:pt idx="31">
                  <c:v>1200.5110040813122</c:v>
                </c:pt>
                <c:pt idx="32">
                  <c:v>668.11252875529874</c:v>
                </c:pt>
                <c:pt idx="33">
                  <c:v>166.63861241167101</c:v>
                </c:pt>
                <c:pt idx="34">
                  <c:v>781.86039871945013</c:v>
                </c:pt>
                <c:pt idx="35">
                  <c:v>192.79156501920352</c:v>
                </c:pt>
              </c:numCache>
            </c:numRef>
          </c:xVal>
          <c:yVal>
            <c:numRef>
              <c:f>'Raw Scale'!$N$38:$N$73</c:f>
              <c:numCache>
                <c:formatCode>0.0</c:formatCode>
                <c:ptCount val="36"/>
                <c:pt idx="0">
                  <c:v>1361.4739358040736</c:v>
                </c:pt>
                <c:pt idx="1">
                  <c:v>1598.7367809042973</c:v>
                </c:pt>
                <c:pt idx="2">
                  <c:v>1314.7697772783472</c:v>
                </c:pt>
                <c:pt idx="3">
                  <c:v>1329.3168100048367</c:v>
                </c:pt>
                <c:pt idx="4">
                  <c:v>1267.1301151449811</c:v>
                </c:pt>
                <c:pt idx="5">
                  <c:v>1136.3758412337872</c:v>
                </c:pt>
                <c:pt idx="6">
                  <c:v>1435.4893419313767</c:v>
                </c:pt>
                <c:pt idx="7">
                  <c:v>1490.312521027118</c:v>
                </c:pt>
                <c:pt idx="8">
                  <c:v>1535.1652035751945</c:v>
                </c:pt>
                <c:pt idx="9">
                  <c:v>1192.4861653740636</c:v>
                </c:pt>
                <c:pt idx="10">
                  <c:v>1608.0621024491027</c:v>
                </c:pt>
                <c:pt idx="11">
                  <c:v>1075.7662475718078</c:v>
                </c:pt>
                <c:pt idx="12">
                  <c:v>1688.7635559561922</c:v>
                </c:pt>
                <c:pt idx="13">
                  <c:v>1278.6294928627774</c:v>
                </c:pt>
                <c:pt idx="14">
                  <c:v>1497.5831177829914</c:v>
                </c:pt>
                <c:pt idx="15">
                  <c:v>1509.2271386714681</c:v>
                </c:pt>
                <c:pt idx="16">
                  <c:v>1396.6100662852166</c:v>
                </c:pt>
                <c:pt idx="17">
                  <c:v>1732.3690042346009</c:v>
                </c:pt>
                <c:pt idx="18">
                  <c:v>1413.7397751995602</c:v>
                </c:pt>
                <c:pt idx="19">
                  <c:v>1716.2418984639278</c:v>
                </c:pt>
                <c:pt idx="20">
                  <c:v>1323.8031612387924</c:v>
                </c:pt>
                <c:pt idx="21">
                  <c:v>1693.8767859330751</c:v>
                </c:pt>
                <c:pt idx="22">
                  <c:v>1343.2854734559326</c:v>
                </c:pt>
                <c:pt idx="23">
                  <c:v>1307.2830355212911</c:v>
                </c:pt>
                <c:pt idx="24">
                  <c:v>1094.0807188752485</c:v>
                </c:pt>
                <c:pt idx="25">
                  <c:v>1436.6755393405037</c:v>
                </c:pt>
                <c:pt idx="26">
                  <c:v>1563.6245842453227</c:v>
                </c:pt>
                <c:pt idx="27">
                  <c:v>1474.5982554663312</c:v>
                </c:pt>
                <c:pt idx="28">
                  <c:v>1466.6256254275711</c:v>
                </c:pt>
                <c:pt idx="29">
                  <c:v>1464.9874920206798</c:v>
                </c:pt>
                <c:pt idx="30">
                  <c:v>1354.3222485421959</c:v>
                </c:pt>
                <c:pt idx="31">
                  <c:v>1203.627842977166</c:v>
                </c:pt>
                <c:pt idx="32">
                  <c:v>670.25613702706835</c:v>
                </c:pt>
                <c:pt idx="33">
                  <c:v>168.23214682784601</c:v>
                </c:pt>
                <c:pt idx="34">
                  <c:v>785.68660109615917</c:v>
                </c:pt>
                <c:pt idx="35">
                  <c:v>195.67728512074558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A-4F08-966A-F8DC9874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77960"/>
        <c:axId val="862680120"/>
      </c:scatterChart>
      <c:valAx>
        <c:axId val="862677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80120"/>
        <c:crosses val="autoZero"/>
        <c:crossBetween val="midCat"/>
      </c:valAx>
      <c:valAx>
        <c:axId val="8626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77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WSCWAH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1:1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Compare!$N$23:$N$24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xVal>
          <c:yVal>
            <c:numRef>
              <c:f>Compare!$N$23:$N$24</c:f>
              <c:numCache>
                <c:formatCode>General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A6-457E-A0F0-6FC4C0CBD47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Compare!$C$6:$C$41</c:f>
              <c:numCache>
                <c:formatCode>General</c:formatCode>
                <c:ptCount val="36"/>
                <c:pt idx="0">
                  <c:v>3821.3924431321088</c:v>
                </c:pt>
                <c:pt idx="1">
                  <c:v>4242.5497594050739</c:v>
                </c:pt>
                <c:pt idx="2">
                  <c:v>3630.4680664916887</c:v>
                </c:pt>
                <c:pt idx="3">
                  <c:v>3503.7114501312335</c:v>
                </c:pt>
                <c:pt idx="4">
                  <c:v>3502.9732611548557</c:v>
                </c:pt>
                <c:pt idx="5">
                  <c:v>3383.4755030621172</c:v>
                </c:pt>
                <c:pt idx="6">
                  <c:v>3911.0003827646542</c:v>
                </c:pt>
                <c:pt idx="7">
                  <c:v>4221.3404965004374</c:v>
                </c:pt>
                <c:pt idx="8">
                  <c:v>4102.1776574803152</c:v>
                </c:pt>
                <c:pt idx="9">
                  <c:v>3273.2461176727911</c:v>
                </c:pt>
                <c:pt idx="10">
                  <c:v>4429.2022090988621</c:v>
                </c:pt>
                <c:pt idx="11">
                  <c:v>3075.39780183727</c:v>
                </c:pt>
                <c:pt idx="12">
                  <c:v>4849.2795822397193</c:v>
                </c:pt>
                <c:pt idx="13">
                  <c:v>3580.9615594925635</c:v>
                </c:pt>
                <c:pt idx="14">
                  <c:v>4136.4282589676295</c:v>
                </c:pt>
                <c:pt idx="15">
                  <c:v>4233.062664041995</c:v>
                </c:pt>
                <c:pt idx="16">
                  <c:v>3744.9352034120739</c:v>
                </c:pt>
                <c:pt idx="17">
                  <c:v>4531.0859580052484</c:v>
                </c:pt>
                <c:pt idx="18">
                  <c:v>3855.8754374453188</c:v>
                </c:pt>
                <c:pt idx="19">
                  <c:v>4570.5448928258966</c:v>
                </c:pt>
                <c:pt idx="20">
                  <c:v>3743.2195975503059</c:v>
                </c:pt>
                <c:pt idx="21">
                  <c:v>4481.0463145231843</c:v>
                </c:pt>
                <c:pt idx="22">
                  <c:v>3756.0422134733158</c:v>
                </c:pt>
                <c:pt idx="23">
                  <c:v>3691.1020888014004</c:v>
                </c:pt>
                <c:pt idx="24">
                  <c:v>3220.0828412073492</c:v>
                </c:pt>
                <c:pt idx="25">
                  <c:v>4047.3056102362202</c:v>
                </c:pt>
                <c:pt idx="26">
                  <c:v>4126.9411636045497</c:v>
                </c:pt>
                <c:pt idx="27">
                  <c:v>4131.5001640419941</c:v>
                </c:pt>
                <c:pt idx="28">
                  <c:v>3866.0870516185478</c:v>
                </c:pt>
                <c:pt idx="29">
                  <c:v>4098.4593722659665</c:v>
                </c:pt>
                <c:pt idx="30">
                  <c:v>3980.6225393700788</c:v>
                </c:pt>
                <c:pt idx="31">
                  <c:v>3356.6478018372704</c:v>
                </c:pt>
                <c:pt idx="32">
                  <c:v>2002.5153105861771</c:v>
                </c:pt>
                <c:pt idx="33">
                  <c:v>515.33929352580924</c:v>
                </c:pt>
                <c:pt idx="34">
                  <c:v>2332.4994531933503</c:v>
                </c:pt>
                <c:pt idx="35">
                  <c:v>621.03565179352586</c:v>
                </c:pt>
              </c:numCache>
            </c:numRef>
          </c:xVal>
          <c:yVal>
            <c:numRef>
              <c:f>'Raw Scale'!$P$38:$P$73</c:f>
              <c:numCache>
                <c:formatCode>0.0</c:formatCode>
                <c:ptCount val="36"/>
                <c:pt idx="0">
                  <c:v>3831.8954352096498</c:v>
                </c:pt>
                <c:pt idx="1">
                  <c:v>4204.5562470982959</c:v>
                </c:pt>
                <c:pt idx="2">
                  <c:v>3603.0174593939446</c:v>
                </c:pt>
                <c:pt idx="3">
                  <c:v>3465.8066896257233</c:v>
                </c:pt>
                <c:pt idx="4">
                  <c:v>3390.1099775531402</c:v>
                </c:pt>
                <c:pt idx="5">
                  <c:v>3213.1872818164129</c:v>
                </c:pt>
                <c:pt idx="6">
                  <c:v>3777.53952049382</c:v>
                </c:pt>
                <c:pt idx="7">
                  <c:v>4057.6841043032819</c:v>
                </c:pt>
                <c:pt idx="8">
                  <c:v>4024.8348003712849</c:v>
                </c:pt>
                <c:pt idx="9">
                  <c:v>3287.8692237643158</c:v>
                </c:pt>
                <c:pt idx="10">
                  <c:v>4373.2655310149421</c:v>
                </c:pt>
                <c:pt idx="11">
                  <c:v>3010.6477619852603</c:v>
                </c:pt>
                <c:pt idx="12">
                  <c:v>4676.2653300392685</c:v>
                </c:pt>
                <c:pt idx="13">
                  <c:v>3463.5458964749641</c:v>
                </c:pt>
                <c:pt idx="14">
                  <c:v>3995.8660658129506</c:v>
                </c:pt>
                <c:pt idx="15">
                  <c:v>4139.16749912868</c:v>
                </c:pt>
                <c:pt idx="16">
                  <c:v>3675.5822799094976</c:v>
                </c:pt>
                <c:pt idx="17">
                  <c:v>4471.4912941876692</c:v>
                </c:pt>
                <c:pt idx="18">
                  <c:v>3834.2258621156871</c:v>
                </c:pt>
                <c:pt idx="19">
                  <c:v>4485.9684889120808</c:v>
                </c:pt>
                <c:pt idx="20">
                  <c:v>3643.0551691302917</c:v>
                </c:pt>
                <c:pt idx="21">
                  <c:v>4348.9254854526534</c:v>
                </c:pt>
                <c:pt idx="22">
                  <c:v>3653.472937002156</c:v>
                </c:pt>
                <c:pt idx="23">
                  <c:v>3550.2152532603213</c:v>
                </c:pt>
                <c:pt idx="24">
                  <c:v>3120.2417742892276</c:v>
                </c:pt>
                <c:pt idx="25">
                  <c:v>3937.47425382751</c:v>
                </c:pt>
                <c:pt idx="26">
                  <c:v>4016.4299719998667</c:v>
                </c:pt>
                <c:pt idx="27">
                  <c:v>4051.1805355432016</c:v>
                </c:pt>
                <c:pt idx="28">
                  <c:v>3761.4540268816481</c:v>
                </c:pt>
                <c:pt idx="29">
                  <c:v>3975.3079487660757</c:v>
                </c:pt>
                <c:pt idx="30">
                  <c:v>3809.8753251045491</c:v>
                </c:pt>
                <c:pt idx="31">
                  <c:v>3225.4143416948837</c:v>
                </c:pt>
                <c:pt idx="32">
                  <c:v>1933.5717892986427</c:v>
                </c:pt>
                <c:pt idx="33">
                  <c:v>465.81026354781653</c:v>
                </c:pt>
                <c:pt idx="34">
                  <c:v>2247.7598257393747</c:v>
                </c:pt>
                <c:pt idx="35">
                  <c:v>560.81989177675314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A6-457E-A0F0-6FC4C0CB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677960"/>
        <c:axId val="862680120"/>
      </c:scatterChart>
      <c:valAx>
        <c:axId val="862677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80120"/>
        <c:crosses val="autoZero"/>
        <c:crossBetween val="midCat"/>
      </c:valAx>
      <c:valAx>
        <c:axId val="86268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677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5</xdr:row>
      <xdr:rowOff>54292</xdr:rowOff>
    </xdr:from>
    <xdr:to>
      <xdr:col>11</xdr:col>
      <xdr:colOff>523875</xdr:colOff>
      <xdr:row>20</xdr:row>
      <xdr:rowOff>79057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52070-2979-A699-03EA-5C872749A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21</xdr:row>
      <xdr:rowOff>171450</xdr:rowOff>
    </xdr:from>
    <xdr:to>
      <xdr:col>12</xdr:col>
      <xdr:colOff>0</xdr:colOff>
      <xdr:row>37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AF20E-0DEF-4220-AE30-0F04445BD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Y73"/>
  <sheetViews>
    <sheetView tabSelected="1" topLeftCell="H7" workbookViewId="0">
      <selection activeCell="V64" sqref="V64"/>
    </sheetView>
  </sheetViews>
  <sheetFormatPr defaultRowHeight="15" x14ac:dyDescent="0.25"/>
  <cols>
    <col min="1" max="3" width="8.85546875" customWidth="1"/>
    <col min="4" max="5" width="10.5703125" bestFit="1" customWidth="1"/>
    <col min="7" max="7" width="10.5703125" bestFit="1" customWidth="1"/>
    <col min="17" max="17" width="9.5703125" bestFit="1" customWidth="1"/>
  </cols>
  <sheetData>
    <row r="1" spans="1:1" x14ac:dyDescent="0.25">
      <c r="A1" t="s">
        <v>75</v>
      </c>
    </row>
    <row r="2" spans="1:1" x14ac:dyDescent="0.25">
      <c r="A2" t="s">
        <v>159</v>
      </c>
    </row>
    <row r="3" spans="1:1" x14ac:dyDescent="0.25">
      <c r="A3" t="s">
        <v>31</v>
      </c>
    </row>
    <row r="4" spans="1:1" x14ac:dyDescent="0.25">
      <c r="A4" t="s">
        <v>37</v>
      </c>
    </row>
    <row r="5" spans="1:1" x14ac:dyDescent="0.25">
      <c r="A5" t="s">
        <v>65</v>
      </c>
    </row>
    <row r="6" spans="1:1" x14ac:dyDescent="0.25">
      <c r="A6" t="s">
        <v>34</v>
      </c>
    </row>
    <row r="7" spans="1:1" x14ac:dyDescent="0.25">
      <c r="A7" t="s">
        <v>38</v>
      </c>
    </row>
    <row r="8" spans="1:1" x14ac:dyDescent="0.25">
      <c r="A8" t="s">
        <v>22</v>
      </c>
    </row>
    <row r="9" spans="1:1" x14ac:dyDescent="0.25">
      <c r="A9" t="s">
        <v>66</v>
      </c>
    </row>
    <row r="10" spans="1:1" x14ac:dyDescent="0.25">
      <c r="A10" t="s">
        <v>73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67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24" x14ac:dyDescent="0.25">
      <c r="A17" t="s">
        <v>72</v>
      </c>
    </row>
    <row r="18" spans="1:24" x14ac:dyDescent="0.25">
      <c r="A18" t="s">
        <v>57</v>
      </c>
    </row>
    <row r="19" spans="1:24" x14ac:dyDescent="0.25">
      <c r="A19" t="s">
        <v>58</v>
      </c>
    </row>
    <row r="20" spans="1:24" x14ac:dyDescent="0.25">
      <c r="A20" t="s">
        <v>59</v>
      </c>
    </row>
    <row r="21" spans="1:24" x14ac:dyDescent="0.25">
      <c r="A21" t="s">
        <v>60</v>
      </c>
    </row>
    <row r="22" spans="1:24" x14ac:dyDescent="0.25">
      <c r="A22" t="s">
        <v>61</v>
      </c>
    </row>
    <row r="23" spans="1:24" x14ac:dyDescent="0.25">
      <c r="A23" t="s">
        <v>62</v>
      </c>
    </row>
    <row r="24" spans="1:24" x14ac:dyDescent="0.25">
      <c r="A24" t="s">
        <v>63</v>
      </c>
    </row>
    <row r="26" spans="1:24" x14ac:dyDescent="0.25">
      <c r="A26" t="s">
        <v>5</v>
      </c>
    </row>
    <row r="27" spans="1:24" x14ac:dyDescent="0.25">
      <c r="A27">
        <f>6*1.016*4</f>
        <v>24.384</v>
      </c>
      <c r="B27" t="s">
        <v>32</v>
      </c>
    </row>
    <row r="28" spans="1:24" x14ac:dyDescent="0.25">
      <c r="A28">
        <f>6*1.016*2</f>
        <v>12.192</v>
      </c>
      <c r="B28" t="s">
        <v>64</v>
      </c>
    </row>
    <row r="29" spans="1:24" x14ac:dyDescent="0.25">
      <c r="A29">
        <v>1000</v>
      </c>
      <c r="B29" t="s">
        <v>33</v>
      </c>
    </row>
    <row r="30" spans="1:24" x14ac:dyDescent="0.25">
      <c r="A30">
        <v>10000</v>
      </c>
      <c r="B30" t="s">
        <v>6</v>
      </c>
    </row>
    <row r="32" spans="1:24" x14ac:dyDescent="0.25">
      <c r="B32" s="1"/>
      <c r="C32" s="1" t="s">
        <v>0</v>
      </c>
      <c r="D32" s="1" t="s">
        <v>0</v>
      </c>
      <c r="E32" t="s">
        <v>0</v>
      </c>
      <c r="F32" s="1" t="s">
        <v>0</v>
      </c>
      <c r="G32" s="1" t="s">
        <v>7</v>
      </c>
      <c r="H32" t="s">
        <v>7</v>
      </c>
      <c r="I32" t="s">
        <v>7</v>
      </c>
      <c r="J32" t="s">
        <v>7</v>
      </c>
      <c r="K32" s="1" t="s">
        <v>7</v>
      </c>
      <c r="L32" s="1" t="s">
        <v>7</v>
      </c>
      <c r="M32" s="1" t="s">
        <v>7</v>
      </c>
      <c r="N32" s="1" t="s">
        <v>17</v>
      </c>
      <c r="O32" s="1" t="s">
        <v>17</v>
      </c>
      <c r="P32" s="1" t="s">
        <v>17</v>
      </c>
      <c r="Q32" s="1" t="s">
        <v>39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1" t="s">
        <v>39</v>
      </c>
    </row>
    <row r="33" spans="1:25" x14ac:dyDescent="0.25">
      <c r="B33" s="1"/>
      <c r="C33" s="1"/>
      <c r="D33" s="1"/>
      <c r="F33" s="1"/>
      <c r="G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5" x14ac:dyDescent="0.25">
      <c r="B34" s="1"/>
      <c r="C34" s="1"/>
      <c r="D34" s="1"/>
      <c r="E34" t="s">
        <v>1</v>
      </c>
      <c r="F34" s="1"/>
      <c r="G34" s="1" t="s">
        <v>35</v>
      </c>
      <c r="H34" t="s">
        <v>8</v>
      </c>
      <c r="I34" t="s">
        <v>11</v>
      </c>
      <c r="J34" t="s">
        <v>12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5" x14ac:dyDescent="0.25">
      <c r="A35" t="s">
        <v>74</v>
      </c>
      <c r="B35" s="1" t="s">
        <v>158</v>
      </c>
      <c r="C35" s="1" t="s">
        <v>29</v>
      </c>
      <c r="D35" s="1" t="s">
        <v>2</v>
      </c>
      <c r="F35" s="1" t="s">
        <v>3</v>
      </c>
      <c r="G35" s="1" t="s">
        <v>36</v>
      </c>
      <c r="H35" t="s">
        <v>9</v>
      </c>
      <c r="I35" t="s">
        <v>9</v>
      </c>
      <c r="J35" t="s">
        <v>9</v>
      </c>
      <c r="K35" s="1" t="s">
        <v>13</v>
      </c>
      <c r="L35" s="1" t="s">
        <v>14</v>
      </c>
      <c r="M35" s="1" t="s">
        <v>15</v>
      </c>
      <c r="N35" s="1" t="s">
        <v>18</v>
      </c>
      <c r="O35" s="1" t="s">
        <v>19</v>
      </c>
      <c r="P35" s="1" t="s">
        <v>20</v>
      </c>
      <c r="Q35" s="1" t="s">
        <v>51</v>
      </c>
      <c r="R35" s="1" t="s">
        <v>40</v>
      </c>
      <c r="S35" s="1" t="s">
        <v>41</v>
      </c>
      <c r="T35" s="1" t="s">
        <v>42</v>
      </c>
      <c r="U35" s="1" t="s">
        <v>43</v>
      </c>
      <c r="V35" s="1" t="s">
        <v>44</v>
      </c>
      <c r="W35" s="1" t="s">
        <v>45</v>
      </c>
      <c r="X35" s="1" t="s">
        <v>46</v>
      </c>
    </row>
    <row r="36" spans="1:25" x14ac:dyDescent="0.25">
      <c r="B36" s="1"/>
      <c r="C36" s="1"/>
      <c r="D36" s="1"/>
      <c r="E36" t="s">
        <v>10</v>
      </c>
      <c r="F36" s="1" t="s">
        <v>4</v>
      </c>
      <c r="G36" s="1"/>
      <c r="H36" t="s">
        <v>10</v>
      </c>
      <c r="I36" t="s">
        <v>10</v>
      </c>
      <c r="J36" t="s">
        <v>10</v>
      </c>
      <c r="K36" s="5" t="s">
        <v>16</v>
      </c>
      <c r="L36" s="5" t="s">
        <v>16</v>
      </c>
      <c r="M36" s="5" t="s">
        <v>16</v>
      </c>
      <c r="N36" s="5" t="s">
        <v>4</v>
      </c>
      <c r="O36" s="5" t="s">
        <v>4</v>
      </c>
      <c r="P36" s="5" t="s">
        <v>4</v>
      </c>
      <c r="Q36" s="5"/>
      <c r="R36" s="1"/>
      <c r="S36" s="1" t="s">
        <v>47</v>
      </c>
      <c r="T36" s="1" t="s">
        <v>48</v>
      </c>
      <c r="U36" s="1" t="s">
        <v>49</v>
      </c>
      <c r="V36" s="1" t="s">
        <v>50</v>
      </c>
      <c r="W36" s="1"/>
      <c r="X36" s="1" t="s">
        <v>48</v>
      </c>
    </row>
    <row r="37" spans="1:25" x14ac:dyDescent="0.25">
      <c r="A37" t="s">
        <v>74</v>
      </c>
      <c r="B37" s="1" t="s">
        <v>158</v>
      </c>
      <c r="C37" s="1" t="s">
        <v>29</v>
      </c>
      <c r="D37" s="1" t="s">
        <v>2</v>
      </c>
      <c r="F37" s="1" t="s">
        <v>3</v>
      </c>
      <c r="G37" s="1" t="s">
        <v>36</v>
      </c>
      <c r="K37" s="1" t="s">
        <v>13</v>
      </c>
      <c r="L37" s="1" t="s">
        <v>14</v>
      </c>
      <c r="M37" s="1" t="s">
        <v>15</v>
      </c>
      <c r="N37" s="1" t="s">
        <v>18</v>
      </c>
      <c r="O37" s="1" t="s">
        <v>19</v>
      </c>
      <c r="P37" s="1" t="s">
        <v>20</v>
      </c>
      <c r="Q37" s="1" t="s">
        <v>51</v>
      </c>
      <c r="R37" s="1" t="s">
        <v>40</v>
      </c>
      <c r="S37" s="1" t="s">
        <v>41</v>
      </c>
      <c r="T37" s="1" t="s">
        <v>42</v>
      </c>
      <c r="U37" s="1" t="s">
        <v>43</v>
      </c>
      <c r="V37" s="1" t="s">
        <v>44</v>
      </c>
      <c r="W37" s="1" t="s">
        <v>45</v>
      </c>
      <c r="X37" s="1" t="s">
        <v>46</v>
      </c>
    </row>
    <row r="38" spans="1:25" x14ac:dyDescent="0.25">
      <c r="A38">
        <v>1</v>
      </c>
      <c r="B38" s="7" t="s">
        <v>76</v>
      </c>
      <c r="C38" s="1" t="s">
        <v>30</v>
      </c>
      <c r="D38" s="2">
        <v>37537</v>
      </c>
      <c r="E38" s="3">
        <v>9605</v>
      </c>
      <c r="F38" s="4">
        <f>(E38/$A$29)/$A$27*$A$30</f>
        <v>3939.0583989501315</v>
      </c>
      <c r="G38" s="2">
        <v>37560</v>
      </c>
      <c r="H38" s="3">
        <v>3124.4</v>
      </c>
      <c r="I38" s="3">
        <v>1079.9000000000001</v>
      </c>
      <c r="J38" s="3">
        <v>1959.5</v>
      </c>
      <c r="K38" s="6">
        <f>I38/H38</f>
        <v>0.34563436179746515</v>
      </c>
      <c r="L38" s="6">
        <f>J38/H38</f>
        <v>0.62716041479964146</v>
      </c>
      <c r="M38" s="6">
        <f>1-K38-L38</f>
        <v>2.7205223402893441E-2</v>
      </c>
      <c r="N38" s="4">
        <f>F38*K38</f>
        <v>1361.4739358040736</v>
      </c>
      <c r="O38" s="4">
        <f>F38*L38</f>
        <v>2470.421499405576</v>
      </c>
      <c r="P38" s="4">
        <f>N38+O38</f>
        <v>3831.8954352096498</v>
      </c>
      <c r="Q38" s="2">
        <v>37568</v>
      </c>
      <c r="R38" s="67">
        <v>50</v>
      </c>
      <c r="S38" s="5">
        <v>1.0900000000000001</v>
      </c>
      <c r="T38" s="4">
        <v>80</v>
      </c>
      <c r="U38" s="4">
        <v>30.3</v>
      </c>
      <c r="V38" s="4">
        <v>82</v>
      </c>
      <c r="W38" s="7" t="s">
        <v>52</v>
      </c>
      <c r="X38" s="5">
        <v>0.1</v>
      </c>
      <c r="Y38" s="3"/>
    </row>
    <row r="39" spans="1:25" x14ac:dyDescent="0.25">
      <c r="A39">
        <v>2</v>
      </c>
      <c r="B39" s="7" t="s">
        <v>77</v>
      </c>
      <c r="C39" s="1" t="s">
        <v>30</v>
      </c>
      <c r="D39" s="2">
        <v>37537</v>
      </c>
      <c r="E39" s="3">
        <v>10560.2</v>
      </c>
      <c r="F39" s="4">
        <f t="shared" ref="F39:F69" si="0">(E39/$A$29)/$A$27*$A$30</f>
        <v>4330.7906824146976</v>
      </c>
      <c r="G39" s="2">
        <v>37560</v>
      </c>
      <c r="H39" s="3">
        <v>3101.4</v>
      </c>
      <c r="I39" s="3">
        <v>1144.9000000000001</v>
      </c>
      <c r="J39" s="3">
        <v>1866.1</v>
      </c>
      <c r="K39" s="6">
        <f t="shared" ref="K39:K73" si="1">I39/H39</f>
        <v>0.36915586509318377</v>
      </c>
      <c r="L39" s="6">
        <f t="shared" ref="L39:L73" si="2">J39/H39</f>
        <v>0.60169600825433667</v>
      </c>
      <c r="M39" s="6">
        <f t="shared" ref="M39:M73" si="3">1-K39-L39</f>
        <v>2.9148126652479567E-2</v>
      </c>
      <c r="N39" s="4">
        <f t="shared" ref="N39:N73" si="4">F39*K39</f>
        <v>1598.7367809042973</v>
      </c>
      <c r="O39" s="4">
        <f t="shared" ref="O39:O73" si="5">F39*L39</f>
        <v>2605.8194661939983</v>
      </c>
      <c r="P39" s="4">
        <f t="shared" ref="P39:P73" si="6">N39+O39</f>
        <v>4204.5562470982959</v>
      </c>
      <c r="Q39" s="2">
        <v>37568</v>
      </c>
      <c r="R39" s="67">
        <v>53</v>
      </c>
      <c r="S39" s="5">
        <v>1.1100000000000001</v>
      </c>
      <c r="T39" s="4">
        <v>82</v>
      </c>
      <c r="U39" s="4">
        <v>31.2</v>
      </c>
      <c r="V39" s="4">
        <v>83</v>
      </c>
      <c r="W39" s="7" t="s">
        <v>52</v>
      </c>
      <c r="X39" s="5">
        <v>0.1</v>
      </c>
      <c r="Y39" s="3"/>
    </row>
    <row r="40" spans="1:25" x14ac:dyDescent="0.25">
      <c r="A40">
        <v>3</v>
      </c>
      <c r="B40" s="7" t="s">
        <v>78</v>
      </c>
      <c r="C40" s="1" t="s">
        <v>30</v>
      </c>
      <c r="D40" s="2">
        <v>37537</v>
      </c>
      <c r="E40" s="3">
        <v>9070.2000000000007</v>
      </c>
      <c r="F40" s="4">
        <f t="shared" si="0"/>
        <v>3719.7342519685044</v>
      </c>
      <c r="G40" s="2">
        <v>37560</v>
      </c>
      <c r="H40" s="3">
        <v>3107.3</v>
      </c>
      <c r="I40" s="3">
        <v>1098.3</v>
      </c>
      <c r="J40" s="3">
        <v>1911.5</v>
      </c>
      <c r="K40" s="6">
        <f t="shared" si="1"/>
        <v>0.35345798603289025</v>
      </c>
      <c r="L40" s="6">
        <f t="shared" si="2"/>
        <v>0.61516429054162769</v>
      </c>
      <c r="M40" s="6">
        <f t="shared" si="3"/>
        <v>3.1377723425482063E-2</v>
      </c>
      <c r="N40" s="4">
        <f t="shared" si="4"/>
        <v>1314.7697772783472</v>
      </c>
      <c r="O40" s="4">
        <f t="shared" si="5"/>
        <v>2288.2476821155974</v>
      </c>
      <c r="P40" s="4">
        <f t="shared" si="6"/>
        <v>3603.0174593939446</v>
      </c>
      <c r="Q40" s="2">
        <v>37568</v>
      </c>
      <c r="R40" s="67">
        <v>49</v>
      </c>
      <c r="S40" s="5">
        <v>1.0900000000000001</v>
      </c>
      <c r="T40" s="4">
        <v>80</v>
      </c>
      <c r="U40" s="4">
        <v>30.5</v>
      </c>
      <c r="V40" s="4">
        <v>82</v>
      </c>
      <c r="W40" s="7" t="s">
        <v>52</v>
      </c>
      <c r="X40" s="5">
        <v>0.2</v>
      </c>
      <c r="Y40" s="3"/>
    </row>
    <row r="41" spans="1:25" x14ac:dyDescent="0.25">
      <c r="A41">
        <v>4</v>
      </c>
      <c r="B41" s="7" t="s">
        <v>79</v>
      </c>
      <c r="C41" s="1" t="s">
        <v>30</v>
      </c>
      <c r="D41" s="2">
        <v>37537</v>
      </c>
      <c r="E41" s="3">
        <v>8654.7000000000007</v>
      </c>
      <c r="F41" s="4">
        <f t="shared" si="0"/>
        <v>3549.3356299212596</v>
      </c>
      <c r="G41" s="2">
        <v>37560</v>
      </c>
      <c r="H41" s="3">
        <v>3029.7</v>
      </c>
      <c r="I41" s="3">
        <v>1134.7</v>
      </c>
      <c r="J41" s="3">
        <v>1823.7</v>
      </c>
      <c r="K41" s="6">
        <f t="shared" si="1"/>
        <v>0.37452553058058558</v>
      </c>
      <c r="L41" s="6">
        <f t="shared" si="2"/>
        <v>0.60194078621645708</v>
      </c>
      <c r="M41" s="6">
        <f t="shared" si="3"/>
        <v>2.3533683202957345E-2</v>
      </c>
      <c r="N41" s="4">
        <f t="shared" si="4"/>
        <v>1329.3168100048367</v>
      </c>
      <c r="O41" s="4">
        <f t="shared" si="5"/>
        <v>2136.4898796208868</v>
      </c>
      <c r="P41" s="4">
        <f t="shared" si="6"/>
        <v>3465.8066896257233</v>
      </c>
      <c r="Q41" s="2">
        <v>37568</v>
      </c>
      <c r="R41" s="67">
        <v>51</v>
      </c>
      <c r="S41" s="5">
        <v>1.1100000000000001</v>
      </c>
      <c r="T41" s="4">
        <v>82</v>
      </c>
      <c r="U41" s="4">
        <v>31</v>
      </c>
      <c r="V41" s="4">
        <v>82</v>
      </c>
      <c r="W41" s="7" t="s">
        <v>53</v>
      </c>
      <c r="X41" s="5">
        <v>0.1</v>
      </c>
      <c r="Y41" s="3"/>
    </row>
    <row r="42" spans="1:25" x14ac:dyDescent="0.25">
      <c r="A42">
        <v>5</v>
      </c>
      <c r="B42" s="7" t="s">
        <v>80</v>
      </c>
      <c r="C42" s="1" t="s">
        <v>30</v>
      </c>
      <c r="D42" s="2">
        <v>37537</v>
      </c>
      <c r="E42" s="3">
        <v>8563.9</v>
      </c>
      <c r="F42" s="4">
        <f t="shared" si="0"/>
        <v>3512.0980971128606</v>
      </c>
      <c r="G42" s="2">
        <v>37560</v>
      </c>
      <c r="H42" s="3">
        <v>3270.6</v>
      </c>
      <c r="I42" s="3">
        <v>1180</v>
      </c>
      <c r="J42" s="3">
        <v>1977</v>
      </c>
      <c r="K42" s="6">
        <f t="shared" si="1"/>
        <v>0.36079006910047084</v>
      </c>
      <c r="L42" s="6">
        <f t="shared" si="2"/>
        <v>0.6044762428912126</v>
      </c>
      <c r="M42" s="6">
        <f t="shared" si="3"/>
        <v>3.4733688008316554E-2</v>
      </c>
      <c r="N42" s="4">
        <f t="shared" si="4"/>
        <v>1267.1301151449811</v>
      </c>
      <c r="O42" s="4">
        <f t="shared" si="5"/>
        <v>2122.9798624081591</v>
      </c>
      <c r="P42" s="4">
        <f t="shared" si="6"/>
        <v>3390.1099775531402</v>
      </c>
      <c r="Q42" s="2">
        <v>37568</v>
      </c>
      <c r="R42" s="67">
        <v>45</v>
      </c>
      <c r="S42" s="5">
        <v>1.1100000000000001</v>
      </c>
      <c r="T42" s="4">
        <v>81</v>
      </c>
      <c r="U42" s="4">
        <v>29</v>
      </c>
      <c r="V42" s="4">
        <v>81</v>
      </c>
      <c r="W42" s="7" t="s">
        <v>53</v>
      </c>
      <c r="X42" s="5">
        <v>0.1</v>
      </c>
      <c r="Y42" s="3"/>
    </row>
    <row r="43" spans="1:25" x14ac:dyDescent="0.25">
      <c r="A43">
        <v>6</v>
      </c>
      <c r="B43" s="7" t="s">
        <v>81</v>
      </c>
      <c r="C43" s="1" t="s">
        <v>30</v>
      </c>
      <c r="D43" s="2">
        <v>37537</v>
      </c>
      <c r="E43" s="3">
        <v>8273.1</v>
      </c>
      <c r="F43" s="4">
        <f t="shared" si="0"/>
        <v>3392.8395669291344</v>
      </c>
      <c r="G43" s="2">
        <v>37560</v>
      </c>
      <c r="H43" s="3">
        <v>3499.5</v>
      </c>
      <c r="I43" s="3">
        <v>1172.0999999999999</v>
      </c>
      <c r="J43" s="3">
        <v>2142.1</v>
      </c>
      <c r="K43" s="6">
        <f t="shared" si="1"/>
        <v>0.33493356193741963</v>
      </c>
      <c r="L43" s="6">
        <f t="shared" si="2"/>
        <v>0.61211601657379622</v>
      </c>
      <c r="M43" s="6">
        <f t="shared" si="3"/>
        <v>5.295042148878415E-2</v>
      </c>
      <c r="N43" s="4">
        <f t="shared" si="4"/>
        <v>1136.3758412337872</v>
      </c>
      <c r="O43" s="4">
        <f t="shared" si="5"/>
        <v>2076.8114405826254</v>
      </c>
      <c r="P43" s="4">
        <f t="shared" si="6"/>
        <v>3213.1872818164129</v>
      </c>
      <c r="Q43" s="2">
        <v>37568</v>
      </c>
      <c r="R43" s="67">
        <v>50</v>
      </c>
      <c r="S43" s="5">
        <v>1.1200000000000001</v>
      </c>
      <c r="T43" s="4">
        <v>82</v>
      </c>
      <c r="U43" s="4">
        <v>31.1</v>
      </c>
      <c r="V43" s="4">
        <v>81</v>
      </c>
      <c r="W43" s="7" t="s">
        <v>53</v>
      </c>
      <c r="X43" s="5">
        <v>0.1</v>
      </c>
      <c r="Y43" s="3"/>
    </row>
    <row r="44" spans="1:25" x14ac:dyDescent="0.25">
      <c r="A44">
        <v>7</v>
      </c>
      <c r="B44" s="7" t="s">
        <v>82</v>
      </c>
      <c r="C44" s="1" t="s">
        <v>30</v>
      </c>
      <c r="D44" s="2">
        <v>37537</v>
      </c>
      <c r="E44" s="3">
        <v>9560.5</v>
      </c>
      <c r="F44" s="4">
        <f t="shared" si="0"/>
        <v>3920.8087270341202</v>
      </c>
      <c r="G44" s="2">
        <v>37560</v>
      </c>
      <c r="H44" s="3">
        <v>3223.8</v>
      </c>
      <c r="I44" s="3">
        <v>1180.3</v>
      </c>
      <c r="J44" s="3">
        <v>1925.7</v>
      </c>
      <c r="K44" s="6">
        <f t="shared" si="1"/>
        <v>0.36612072709225135</v>
      </c>
      <c r="L44" s="6">
        <f t="shared" si="2"/>
        <v>0.59733854457472546</v>
      </c>
      <c r="M44" s="6">
        <f t="shared" si="3"/>
        <v>3.6540728333023242E-2</v>
      </c>
      <c r="N44" s="4">
        <f t="shared" si="4"/>
        <v>1435.4893419313767</v>
      </c>
      <c r="O44" s="4">
        <f t="shared" si="5"/>
        <v>2342.0501785624433</v>
      </c>
      <c r="P44" s="4">
        <f t="shared" si="6"/>
        <v>3777.53952049382</v>
      </c>
      <c r="Q44" s="2">
        <v>37568</v>
      </c>
      <c r="R44" s="67">
        <v>53</v>
      </c>
      <c r="S44" s="5">
        <v>1.1000000000000001</v>
      </c>
      <c r="T44" s="4">
        <v>80</v>
      </c>
      <c r="U44" s="4">
        <v>29.8</v>
      </c>
      <c r="V44" s="4">
        <v>82</v>
      </c>
      <c r="W44" s="7" t="s">
        <v>53</v>
      </c>
      <c r="X44" s="5">
        <v>0.1</v>
      </c>
      <c r="Y44" s="3"/>
    </row>
    <row r="45" spans="1:25" x14ac:dyDescent="0.25">
      <c r="A45">
        <v>8</v>
      </c>
      <c r="B45" s="7" t="s">
        <v>83</v>
      </c>
      <c r="C45" s="1" t="s">
        <v>30</v>
      </c>
      <c r="D45" s="2">
        <v>37537</v>
      </c>
      <c r="E45" s="3">
        <v>10341.9</v>
      </c>
      <c r="F45" s="4">
        <f>(E45/$A$29)/$A$27*$A$30</f>
        <v>4241.2647637795271</v>
      </c>
      <c r="G45" s="2">
        <v>37560</v>
      </c>
      <c r="H45" s="3">
        <v>3229.8</v>
      </c>
      <c r="I45" s="3">
        <v>1134.9000000000001</v>
      </c>
      <c r="J45" s="3">
        <v>1955.1</v>
      </c>
      <c r="K45" s="6">
        <f t="shared" si="1"/>
        <v>0.35138398662455883</v>
      </c>
      <c r="L45" s="6">
        <f t="shared" si="2"/>
        <v>0.60533159947984394</v>
      </c>
      <c r="M45" s="6">
        <f t="shared" si="3"/>
        <v>4.3284413895597229E-2</v>
      </c>
      <c r="N45" s="4">
        <f t="shared" si="4"/>
        <v>1490.312521027118</v>
      </c>
      <c r="O45" s="4">
        <f t="shared" si="5"/>
        <v>2567.3715832761636</v>
      </c>
      <c r="P45" s="4">
        <f t="shared" si="6"/>
        <v>4057.6841043032819</v>
      </c>
      <c r="Q45" s="2">
        <v>37568</v>
      </c>
      <c r="R45" s="67">
        <v>48</v>
      </c>
      <c r="S45" s="5">
        <v>1.1299999999999999</v>
      </c>
      <c r="T45" s="4">
        <v>82</v>
      </c>
      <c r="U45" s="4">
        <v>30</v>
      </c>
      <c r="V45" s="4">
        <v>82</v>
      </c>
      <c r="W45" s="7" t="s">
        <v>53</v>
      </c>
      <c r="X45" s="5">
        <v>0.1</v>
      </c>
      <c r="Y45" s="3"/>
    </row>
    <row r="46" spans="1:25" x14ac:dyDescent="0.25">
      <c r="A46">
        <v>9</v>
      </c>
      <c r="B46" s="7" t="s">
        <v>84</v>
      </c>
      <c r="C46" s="1" t="s">
        <v>30</v>
      </c>
      <c r="D46" s="2">
        <v>37537</v>
      </c>
      <c r="E46" s="3">
        <v>10143</v>
      </c>
      <c r="F46" s="4">
        <f t="shared" si="0"/>
        <v>4159.6948818897636</v>
      </c>
      <c r="G46" s="2">
        <v>37560</v>
      </c>
      <c r="H46" s="3">
        <v>3491.6</v>
      </c>
      <c r="I46" s="3">
        <v>1288.5999999999999</v>
      </c>
      <c r="J46" s="3">
        <v>2089.8000000000002</v>
      </c>
      <c r="K46" s="6">
        <f t="shared" si="1"/>
        <v>0.36905716576927483</v>
      </c>
      <c r="L46" s="6">
        <f>J46/H46</f>
        <v>0.59852216748768483</v>
      </c>
      <c r="M46" s="6">
        <f t="shared" si="3"/>
        <v>3.2420666743040338E-2</v>
      </c>
      <c r="N46" s="4">
        <f t="shared" si="4"/>
        <v>1535.1652035751945</v>
      </c>
      <c r="O46" s="4">
        <f t="shared" si="5"/>
        <v>2489.6695967960904</v>
      </c>
      <c r="P46" s="4">
        <f t="shared" si="6"/>
        <v>4024.8348003712849</v>
      </c>
      <c r="Q46" s="2">
        <v>37568</v>
      </c>
      <c r="R46" s="67">
        <v>51</v>
      </c>
      <c r="S46" s="5">
        <v>1.06</v>
      </c>
      <c r="T46" s="4">
        <v>80</v>
      </c>
      <c r="U46" s="4">
        <v>29</v>
      </c>
      <c r="V46" s="4">
        <v>83</v>
      </c>
      <c r="W46" s="7" t="s">
        <v>52</v>
      </c>
      <c r="X46" s="5">
        <v>0.1</v>
      </c>
      <c r="Y46" s="3"/>
    </row>
    <row r="47" spans="1:25" x14ac:dyDescent="0.25">
      <c r="A47">
        <v>10</v>
      </c>
      <c r="B47" s="7" t="s">
        <v>85</v>
      </c>
      <c r="C47" s="1" t="s">
        <v>30</v>
      </c>
      <c r="D47" s="2">
        <v>37537</v>
      </c>
      <c r="E47" s="3">
        <v>8202.9</v>
      </c>
      <c r="F47" s="4">
        <f t="shared" si="0"/>
        <v>3364.0501968503931</v>
      </c>
      <c r="G47" s="2">
        <v>37560</v>
      </c>
      <c r="H47" s="3">
        <v>3311.9</v>
      </c>
      <c r="I47" s="3">
        <v>1174</v>
      </c>
      <c r="J47" s="3">
        <v>2062.9</v>
      </c>
      <c r="K47" s="6">
        <f t="shared" si="1"/>
        <v>0.35447930191128957</v>
      </c>
      <c r="L47" s="6">
        <f t="shared" si="2"/>
        <v>0.6228750868081766</v>
      </c>
      <c r="M47" s="6">
        <f>1-K47-L47</f>
        <v>2.2645611280533884E-2</v>
      </c>
      <c r="N47" s="4">
        <f t="shared" si="4"/>
        <v>1192.4861653740636</v>
      </c>
      <c r="O47" s="4">
        <f t="shared" si="5"/>
        <v>2095.3830583902522</v>
      </c>
      <c r="P47" s="4">
        <f t="shared" si="6"/>
        <v>3287.8692237643158</v>
      </c>
      <c r="Q47" s="2">
        <v>37568</v>
      </c>
      <c r="R47" s="67">
        <v>53</v>
      </c>
      <c r="S47" s="5">
        <v>1.1000000000000001</v>
      </c>
      <c r="T47" s="4">
        <v>80</v>
      </c>
      <c r="U47" s="4">
        <v>30.5</v>
      </c>
      <c r="V47" s="4">
        <v>82</v>
      </c>
      <c r="W47" s="7" t="s">
        <v>54</v>
      </c>
      <c r="X47" s="5">
        <v>0.1</v>
      </c>
      <c r="Y47" s="3"/>
    </row>
    <row r="48" spans="1:25" x14ac:dyDescent="0.25">
      <c r="A48">
        <v>11</v>
      </c>
      <c r="B48" s="7" t="s">
        <v>86</v>
      </c>
      <c r="C48" s="1" t="s">
        <v>30</v>
      </c>
      <c r="D48" s="2">
        <v>37537</v>
      </c>
      <c r="E48" s="3">
        <v>11022</v>
      </c>
      <c r="F48" s="4">
        <f t="shared" si="0"/>
        <v>4520.177165354331</v>
      </c>
      <c r="G48" s="2">
        <v>37560</v>
      </c>
      <c r="H48" s="3">
        <v>3461.4</v>
      </c>
      <c r="I48" s="3">
        <v>1231.4000000000001</v>
      </c>
      <c r="J48" s="3">
        <v>2117.5</v>
      </c>
      <c r="K48" s="6">
        <f t="shared" si="1"/>
        <v>0.35575200785809213</v>
      </c>
      <c r="L48" s="6">
        <f t="shared" si="2"/>
        <v>0.61174669208990584</v>
      </c>
      <c r="M48" s="6">
        <f t="shared" si="3"/>
        <v>3.2501300052002025E-2</v>
      </c>
      <c r="N48" s="4">
        <f>F48*K48</f>
        <v>1608.0621024491027</v>
      </c>
      <c r="O48" s="4">
        <f t="shared" si="5"/>
        <v>2765.2034285658392</v>
      </c>
      <c r="P48" s="4">
        <f t="shared" si="6"/>
        <v>4373.2655310149421</v>
      </c>
      <c r="Q48" s="2">
        <v>37568</v>
      </c>
      <c r="R48" s="67">
        <v>55</v>
      </c>
      <c r="S48" s="5">
        <v>1.0900000000000001</v>
      </c>
      <c r="T48" s="4">
        <v>81</v>
      </c>
      <c r="U48" s="4">
        <v>30.3</v>
      </c>
      <c r="V48" s="4">
        <v>82</v>
      </c>
      <c r="W48" s="7" t="s">
        <v>52</v>
      </c>
      <c r="X48" s="5">
        <v>0.1</v>
      </c>
      <c r="Y48" s="3"/>
    </row>
    <row r="49" spans="1:25" x14ac:dyDescent="0.25">
      <c r="A49">
        <v>12</v>
      </c>
      <c r="B49" s="7" t="s">
        <v>87</v>
      </c>
      <c r="C49" s="1" t="s">
        <v>30</v>
      </c>
      <c r="D49" s="2">
        <v>37537</v>
      </c>
      <c r="E49" s="3">
        <v>7631.3</v>
      </c>
      <c r="F49" s="4">
        <f t="shared" si="0"/>
        <v>3129.6341863517064</v>
      </c>
      <c r="G49" s="2">
        <v>37560</v>
      </c>
      <c r="H49" s="3">
        <v>3009</v>
      </c>
      <c r="I49" s="3">
        <v>1034.3</v>
      </c>
      <c r="J49" s="3">
        <v>1860.3</v>
      </c>
      <c r="K49" s="6">
        <f t="shared" si="1"/>
        <v>0.3437354602858092</v>
      </c>
      <c r="L49" s="6">
        <f t="shared" si="2"/>
        <v>0.6182452642073778</v>
      </c>
      <c r="M49" s="6">
        <f t="shared" si="3"/>
        <v>3.8019275506813055E-2</v>
      </c>
      <c r="N49" s="4">
        <f t="shared" si="4"/>
        <v>1075.7662475718078</v>
      </c>
      <c r="O49" s="4">
        <f>F49*L49</f>
        <v>1934.8815144134526</v>
      </c>
      <c r="P49" s="4">
        <f t="shared" si="6"/>
        <v>3010.6477619852603</v>
      </c>
      <c r="Q49" s="2">
        <v>37568</v>
      </c>
      <c r="R49" s="67">
        <v>44</v>
      </c>
      <c r="S49" s="5">
        <v>1.1200000000000001</v>
      </c>
      <c r="T49" s="4">
        <v>82</v>
      </c>
      <c r="U49" s="4">
        <v>30.3</v>
      </c>
      <c r="V49" s="4">
        <v>81</v>
      </c>
      <c r="W49" s="7" t="s">
        <v>54</v>
      </c>
      <c r="X49" s="5">
        <v>0.1</v>
      </c>
      <c r="Y49" s="3"/>
    </row>
    <row r="50" spans="1:25" x14ac:dyDescent="0.25">
      <c r="A50">
        <v>13</v>
      </c>
      <c r="B50" s="7" t="s">
        <v>88</v>
      </c>
      <c r="C50" s="1" t="s">
        <v>30</v>
      </c>
      <c r="D50" s="2">
        <v>37540</v>
      </c>
      <c r="E50" s="3">
        <v>11883.4</v>
      </c>
      <c r="F50" s="4">
        <f t="shared" si="0"/>
        <v>4873.441601049869</v>
      </c>
      <c r="G50" s="2">
        <v>37560</v>
      </c>
      <c r="H50" s="3">
        <v>3378.7</v>
      </c>
      <c r="I50" s="3">
        <v>1170.8</v>
      </c>
      <c r="J50" s="3">
        <v>2071.1999999999998</v>
      </c>
      <c r="K50" s="6">
        <f t="shared" si="1"/>
        <v>0.34652381093319917</v>
      </c>
      <c r="L50" s="6">
        <f t="shared" si="2"/>
        <v>0.61301684079675611</v>
      </c>
      <c r="M50" s="6">
        <f t="shared" si="3"/>
        <v>4.0459348270044715E-2</v>
      </c>
      <c r="N50" s="4">
        <f t="shared" si="4"/>
        <v>1688.7635559561922</v>
      </c>
      <c r="O50" s="4">
        <f t="shared" si="5"/>
        <v>2987.5017740830758</v>
      </c>
      <c r="P50" s="4">
        <f>N50+O50</f>
        <v>4676.2653300392685</v>
      </c>
      <c r="Q50" s="2">
        <v>37568</v>
      </c>
      <c r="R50" s="67">
        <v>51</v>
      </c>
      <c r="S50" s="5">
        <v>1.1200000000000001</v>
      </c>
      <c r="T50" s="4">
        <v>81</v>
      </c>
      <c r="U50" s="4">
        <v>30.3</v>
      </c>
      <c r="V50" s="4">
        <v>83</v>
      </c>
      <c r="W50" s="7" t="s">
        <v>52</v>
      </c>
      <c r="X50" s="5">
        <v>0.1</v>
      </c>
      <c r="Y50" s="3"/>
    </row>
    <row r="51" spans="1:25" x14ac:dyDescent="0.25">
      <c r="A51">
        <v>14</v>
      </c>
      <c r="B51" s="7" t="s">
        <v>89</v>
      </c>
      <c r="C51" s="1" t="s">
        <v>30</v>
      </c>
      <c r="D51" s="2">
        <v>37540</v>
      </c>
      <c r="E51" s="3">
        <v>8763.9</v>
      </c>
      <c r="F51" s="4">
        <f t="shared" si="0"/>
        <v>3594.1190944881891</v>
      </c>
      <c r="G51" s="2">
        <v>37560</v>
      </c>
      <c r="H51" s="3">
        <v>2837.9</v>
      </c>
      <c r="I51" s="3">
        <v>1009.6</v>
      </c>
      <c r="J51" s="3">
        <v>1725.2</v>
      </c>
      <c r="K51" s="6">
        <f t="shared" si="1"/>
        <v>0.35575601677296592</v>
      </c>
      <c r="L51" s="6">
        <f t="shared" si="2"/>
        <v>0.60791430282955705</v>
      </c>
      <c r="M51" s="6">
        <f t="shared" si="3"/>
        <v>3.6329680397477082E-2</v>
      </c>
      <c r="N51" s="4">
        <f t="shared" si="4"/>
        <v>1278.6294928627774</v>
      </c>
      <c r="O51" s="4">
        <f t="shared" si="5"/>
        <v>2184.9164036121865</v>
      </c>
      <c r="P51" s="4">
        <f t="shared" si="6"/>
        <v>3463.5458964749641</v>
      </c>
      <c r="Q51" s="2">
        <v>37568</v>
      </c>
      <c r="R51" s="67">
        <v>52</v>
      </c>
      <c r="S51" s="5">
        <v>1.0900000000000001</v>
      </c>
      <c r="T51" s="4">
        <v>80</v>
      </c>
      <c r="U51" s="4">
        <v>30.8</v>
      </c>
      <c r="V51" s="4">
        <v>83</v>
      </c>
      <c r="W51" s="7" t="s">
        <v>52</v>
      </c>
      <c r="X51" s="5">
        <v>0.1</v>
      </c>
      <c r="Y51" s="3"/>
    </row>
    <row r="52" spans="1:25" x14ac:dyDescent="0.25">
      <c r="A52">
        <v>15</v>
      </c>
      <c r="B52" s="7" t="s">
        <v>90</v>
      </c>
      <c r="C52" s="1" t="s">
        <v>30</v>
      </c>
      <c r="D52" s="2">
        <v>37540</v>
      </c>
      <c r="E52" s="3">
        <v>10176.1</v>
      </c>
      <c r="F52" s="4">
        <f t="shared" si="0"/>
        <v>4173.2693569553803</v>
      </c>
      <c r="G52" s="2">
        <v>37560</v>
      </c>
      <c r="H52" s="3">
        <v>3792.1</v>
      </c>
      <c r="I52" s="3">
        <v>1360.8</v>
      </c>
      <c r="J52" s="3">
        <v>2270.1</v>
      </c>
      <c r="K52" s="6">
        <f t="shared" si="1"/>
        <v>0.35885129611560879</v>
      </c>
      <c r="L52" s="6">
        <f t="shared" si="2"/>
        <v>0.5986392763903905</v>
      </c>
      <c r="M52" s="6">
        <f t="shared" si="3"/>
        <v>4.2509427494000773E-2</v>
      </c>
      <c r="N52" s="4">
        <f t="shared" si="4"/>
        <v>1497.5831177829914</v>
      </c>
      <c r="O52" s="4">
        <f t="shared" si="5"/>
        <v>2498.2829480299592</v>
      </c>
      <c r="P52" s="4">
        <f t="shared" si="6"/>
        <v>3995.8660658129506</v>
      </c>
      <c r="Q52" s="2">
        <v>37568</v>
      </c>
      <c r="R52" s="67">
        <v>53</v>
      </c>
      <c r="S52" s="5">
        <v>1.1200000000000001</v>
      </c>
      <c r="T52" s="4">
        <v>81</v>
      </c>
      <c r="U52" s="4">
        <v>29</v>
      </c>
      <c r="V52" s="4">
        <v>83</v>
      </c>
      <c r="W52" s="7" t="s">
        <v>54</v>
      </c>
      <c r="X52" s="5">
        <v>0.1</v>
      </c>
      <c r="Y52" s="3"/>
    </row>
    <row r="53" spans="1:25" x14ac:dyDescent="0.25">
      <c r="A53">
        <v>16</v>
      </c>
      <c r="B53" s="7" t="s">
        <v>91</v>
      </c>
      <c r="C53" s="1" t="s">
        <v>30</v>
      </c>
      <c r="D53" s="2">
        <v>37540</v>
      </c>
      <c r="E53" s="3">
        <v>10392.4</v>
      </c>
      <c r="F53" s="4">
        <f t="shared" si="0"/>
        <v>4261.975065616798</v>
      </c>
      <c r="G53" s="2">
        <v>37560</v>
      </c>
      <c r="H53" s="3">
        <v>3394.1</v>
      </c>
      <c r="I53" s="3">
        <v>1201.9000000000001</v>
      </c>
      <c r="J53" s="3">
        <v>2094.4</v>
      </c>
      <c r="K53" s="6">
        <f t="shared" si="1"/>
        <v>0.35411449279632307</v>
      </c>
      <c r="L53" s="6">
        <f t="shared" si="2"/>
        <v>0.61707079932824616</v>
      </c>
      <c r="M53" s="6">
        <f t="shared" si="3"/>
        <v>2.8814707875430723E-2</v>
      </c>
      <c r="N53" s="4">
        <f t="shared" si="4"/>
        <v>1509.2271386714681</v>
      </c>
      <c r="O53" s="4">
        <f t="shared" si="5"/>
        <v>2629.9403604572121</v>
      </c>
      <c r="P53" s="4">
        <f t="shared" si="6"/>
        <v>4139.16749912868</v>
      </c>
      <c r="Q53" s="2">
        <v>37568</v>
      </c>
      <c r="R53" s="67">
        <v>54</v>
      </c>
      <c r="S53" s="5">
        <v>1.1200000000000001</v>
      </c>
      <c r="T53" s="4">
        <v>82</v>
      </c>
      <c r="U53" s="4">
        <v>30.1</v>
      </c>
      <c r="V53" s="4">
        <v>83</v>
      </c>
      <c r="W53" s="7" t="s">
        <v>52</v>
      </c>
      <c r="X53" s="5">
        <v>0.1</v>
      </c>
      <c r="Y53" s="3"/>
    </row>
    <row r="54" spans="1:25" x14ac:dyDescent="0.25">
      <c r="A54">
        <v>17</v>
      </c>
      <c r="B54" s="7" t="s">
        <v>92</v>
      </c>
      <c r="C54" s="1" t="s">
        <v>30</v>
      </c>
      <c r="D54" s="2">
        <v>37540</v>
      </c>
      <c r="E54" s="3">
        <v>9220.9</v>
      </c>
      <c r="F54" s="4">
        <f t="shared" si="0"/>
        <v>3781.5370734908138</v>
      </c>
      <c r="G54" s="2">
        <v>37560</v>
      </c>
      <c r="H54" s="3">
        <v>3604.7</v>
      </c>
      <c r="I54" s="3">
        <v>1331.3</v>
      </c>
      <c r="J54" s="3">
        <v>2172.4</v>
      </c>
      <c r="K54" s="6">
        <f t="shared" si="1"/>
        <v>0.36932338336061254</v>
      </c>
      <c r="L54" s="6">
        <f t="shared" si="2"/>
        <v>0.60265764141260025</v>
      </c>
      <c r="M54" s="6">
        <f t="shared" si="3"/>
        <v>2.8018975226787202E-2</v>
      </c>
      <c r="N54" s="4">
        <f t="shared" si="4"/>
        <v>1396.6100662852166</v>
      </c>
      <c r="O54" s="4">
        <f t="shared" si="5"/>
        <v>2278.9722136242808</v>
      </c>
      <c r="P54" s="4">
        <f t="shared" si="6"/>
        <v>3675.5822799094976</v>
      </c>
      <c r="Q54" s="2">
        <v>37568</v>
      </c>
      <c r="R54" s="67">
        <v>54</v>
      </c>
      <c r="S54" s="5">
        <v>1.1200000000000001</v>
      </c>
      <c r="T54" s="4">
        <v>82</v>
      </c>
      <c r="U54" s="4">
        <v>31.1</v>
      </c>
      <c r="V54" s="4">
        <v>83</v>
      </c>
      <c r="W54" s="7" t="s">
        <v>52</v>
      </c>
      <c r="X54" s="5">
        <v>0.1</v>
      </c>
      <c r="Y54" s="3"/>
    </row>
    <row r="55" spans="1:25" x14ac:dyDescent="0.25">
      <c r="A55">
        <v>18</v>
      </c>
      <c r="B55" s="7" t="s">
        <v>93</v>
      </c>
      <c r="C55" s="1" t="s">
        <v>30</v>
      </c>
      <c r="D55" s="2">
        <v>37537</v>
      </c>
      <c r="E55" s="3">
        <v>11230.6</v>
      </c>
      <c r="F55" s="4">
        <f t="shared" si="0"/>
        <v>4605.725065616798</v>
      </c>
      <c r="G55" s="2">
        <v>37560</v>
      </c>
      <c r="H55" s="3">
        <v>4035</v>
      </c>
      <c r="I55" s="3">
        <v>1517.7</v>
      </c>
      <c r="J55" s="3">
        <v>2399.6999999999998</v>
      </c>
      <c r="K55" s="6">
        <f t="shared" si="1"/>
        <v>0.37613382899628256</v>
      </c>
      <c r="L55" s="6">
        <f t="shared" si="2"/>
        <v>0.594721189591078</v>
      </c>
      <c r="M55" s="6">
        <f t="shared" si="3"/>
        <v>2.9144981412639437E-2</v>
      </c>
      <c r="N55" s="4">
        <f t="shared" si="4"/>
        <v>1732.3690042346009</v>
      </c>
      <c r="O55" s="4">
        <f t="shared" si="5"/>
        <v>2739.122289953068</v>
      </c>
      <c r="P55" s="4">
        <f t="shared" si="6"/>
        <v>4471.4912941876692</v>
      </c>
      <c r="Q55" s="2">
        <v>37568</v>
      </c>
      <c r="R55" s="67">
        <v>54</v>
      </c>
      <c r="S55" s="5">
        <v>1.1200000000000001</v>
      </c>
      <c r="T55" s="4">
        <v>83</v>
      </c>
      <c r="U55" s="4">
        <v>32.1</v>
      </c>
      <c r="V55" s="4">
        <v>83</v>
      </c>
      <c r="W55" s="7" t="s">
        <v>53</v>
      </c>
      <c r="X55" s="5">
        <v>0.2</v>
      </c>
      <c r="Y55" s="3"/>
    </row>
    <row r="56" spans="1:25" x14ac:dyDescent="0.25">
      <c r="A56">
        <v>19</v>
      </c>
      <c r="B56" s="7" t="s">
        <v>94</v>
      </c>
      <c r="C56" s="1" t="s">
        <v>30</v>
      </c>
      <c r="D56" s="2">
        <v>37539</v>
      </c>
      <c r="E56" s="3">
        <v>9471</v>
      </c>
      <c r="F56" s="4">
        <f t="shared" si="0"/>
        <v>3884.1043307086616</v>
      </c>
      <c r="G56" s="2">
        <v>37560</v>
      </c>
      <c r="H56" s="3">
        <v>3559.5</v>
      </c>
      <c r="I56" s="3">
        <v>1295.5899999999999</v>
      </c>
      <c r="J56" s="3">
        <v>2218.1999999999998</v>
      </c>
      <c r="K56" s="6">
        <f t="shared" si="1"/>
        <v>0.36398089619328555</v>
      </c>
      <c r="L56" s="6">
        <f t="shared" si="2"/>
        <v>0.62317741255794346</v>
      </c>
      <c r="M56" s="6">
        <f t="shared" si="3"/>
        <v>1.2841691248770992E-2</v>
      </c>
      <c r="N56" s="4">
        <f t="shared" si="4"/>
        <v>1413.7397751995602</v>
      </c>
      <c r="O56" s="4">
        <f t="shared" si="5"/>
        <v>2420.4860869161266</v>
      </c>
      <c r="P56" s="4">
        <f t="shared" si="6"/>
        <v>3834.2258621156871</v>
      </c>
      <c r="Q56" s="2">
        <v>37568</v>
      </c>
      <c r="R56" s="67">
        <v>52</v>
      </c>
      <c r="S56" s="5">
        <v>1.1299999999999999</v>
      </c>
      <c r="T56" s="4">
        <v>83</v>
      </c>
      <c r="U56" s="4">
        <v>30.7</v>
      </c>
      <c r="V56" s="4">
        <v>83</v>
      </c>
      <c r="W56" s="7" t="s">
        <v>52</v>
      </c>
      <c r="X56" s="5">
        <v>0.1</v>
      </c>
      <c r="Y56" s="3"/>
    </row>
    <row r="57" spans="1:25" x14ac:dyDescent="0.25">
      <c r="A57">
        <v>20</v>
      </c>
      <c r="B57" s="7" t="s">
        <v>95</v>
      </c>
      <c r="C57" s="1" t="s">
        <v>30</v>
      </c>
      <c r="D57" s="2">
        <v>37539</v>
      </c>
      <c r="E57" s="3">
        <v>11279.4</v>
      </c>
      <c r="F57" s="4">
        <f t="shared" si="0"/>
        <v>4625.7381889763774</v>
      </c>
      <c r="G57" s="2">
        <v>37560</v>
      </c>
      <c r="H57" s="3">
        <v>4127</v>
      </c>
      <c r="I57" s="3">
        <v>1531.2</v>
      </c>
      <c r="J57" s="3">
        <v>2471.1</v>
      </c>
      <c r="K57" s="6">
        <f t="shared" si="1"/>
        <v>0.3710201114611098</v>
      </c>
      <c r="L57" s="6">
        <f t="shared" si="2"/>
        <v>0.59876423552217106</v>
      </c>
      <c r="M57" s="6">
        <f t="shared" si="3"/>
        <v>3.0215653016719135E-2</v>
      </c>
      <c r="N57" s="4">
        <f t="shared" si="4"/>
        <v>1716.2418984639278</v>
      </c>
      <c r="O57" s="4">
        <f t="shared" si="5"/>
        <v>2769.7265904481528</v>
      </c>
      <c r="P57" s="4">
        <f t="shared" si="6"/>
        <v>4485.9684889120808</v>
      </c>
      <c r="Q57" s="2">
        <v>37568</v>
      </c>
      <c r="R57" s="67">
        <v>54</v>
      </c>
      <c r="S57" s="5">
        <v>1.1200000000000001</v>
      </c>
      <c r="T57" s="4">
        <v>80</v>
      </c>
      <c r="U57" s="4">
        <v>30.5</v>
      </c>
      <c r="V57" s="4">
        <v>83</v>
      </c>
      <c r="W57" s="7" t="s">
        <v>54</v>
      </c>
      <c r="X57" s="5">
        <v>0.1</v>
      </c>
      <c r="Y57" s="3"/>
    </row>
    <row r="58" spans="1:25" x14ac:dyDescent="0.25">
      <c r="A58">
        <v>21</v>
      </c>
      <c r="B58" s="7" t="s">
        <v>96</v>
      </c>
      <c r="C58" s="1" t="s">
        <v>30</v>
      </c>
      <c r="D58" s="2">
        <v>37540</v>
      </c>
      <c r="E58" s="3">
        <v>9191.2999999999993</v>
      </c>
      <c r="F58" s="4">
        <f t="shared" si="0"/>
        <v>3769.3979658792646</v>
      </c>
      <c r="G58" s="2">
        <v>37560</v>
      </c>
      <c r="H58" s="3">
        <v>3302.7</v>
      </c>
      <c r="I58" s="3">
        <v>1159.9000000000001</v>
      </c>
      <c r="J58" s="3">
        <v>2032.1</v>
      </c>
      <c r="K58" s="6">
        <f t="shared" si="1"/>
        <v>0.35119750507160813</v>
      </c>
      <c r="L58" s="6">
        <f t="shared" si="2"/>
        <v>0.61528446422623917</v>
      </c>
      <c r="M58" s="6">
        <f t="shared" si="3"/>
        <v>3.3518030702152757E-2</v>
      </c>
      <c r="N58" s="4">
        <f t="shared" si="4"/>
        <v>1323.8031612387924</v>
      </c>
      <c r="O58" s="4">
        <f t="shared" si="5"/>
        <v>2319.252007891499</v>
      </c>
      <c r="P58" s="4">
        <f t="shared" si="6"/>
        <v>3643.0551691302917</v>
      </c>
      <c r="Q58" s="2">
        <v>37568</v>
      </c>
      <c r="R58" s="67">
        <v>44</v>
      </c>
      <c r="S58" s="5">
        <v>1.1100000000000001</v>
      </c>
      <c r="T58" s="4">
        <v>81</v>
      </c>
      <c r="U58" s="4">
        <v>29.8</v>
      </c>
      <c r="V58" s="4">
        <v>82</v>
      </c>
      <c r="W58" s="7" t="s">
        <v>54</v>
      </c>
      <c r="X58" s="5">
        <v>0.2</v>
      </c>
      <c r="Y58" s="3"/>
    </row>
    <row r="59" spans="1:25" x14ac:dyDescent="0.25">
      <c r="A59">
        <v>22</v>
      </c>
      <c r="B59" s="7" t="s">
        <v>97</v>
      </c>
      <c r="C59" s="1" t="s">
        <v>30</v>
      </c>
      <c r="D59" s="2">
        <v>37540</v>
      </c>
      <c r="E59" s="3">
        <v>10961.5</v>
      </c>
      <c r="F59" s="4">
        <f t="shared" si="0"/>
        <v>4495.3658136482936</v>
      </c>
      <c r="G59" s="2">
        <v>37560</v>
      </c>
      <c r="H59" s="3">
        <v>3573.2</v>
      </c>
      <c r="I59" s="3">
        <v>1346.4</v>
      </c>
      <c r="J59" s="3">
        <v>2110.4</v>
      </c>
      <c r="K59" s="6">
        <f t="shared" si="1"/>
        <v>0.3768051046680847</v>
      </c>
      <c r="L59" s="6">
        <f t="shared" si="2"/>
        <v>0.59061905294973693</v>
      </c>
      <c r="M59" s="6">
        <f t="shared" si="3"/>
        <v>3.2575842382178366E-2</v>
      </c>
      <c r="N59" s="4">
        <f t="shared" si="4"/>
        <v>1693.8767859330751</v>
      </c>
      <c r="O59" s="4">
        <f t="shared" si="5"/>
        <v>2655.0486995195788</v>
      </c>
      <c r="P59" s="4">
        <f t="shared" si="6"/>
        <v>4348.9254854526534</v>
      </c>
      <c r="Q59" s="2">
        <v>37568</v>
      </c>
      <c r="R59" s="67">
        <v>54</v>
      </c>
      <c r="S59" s="5">
        <v>1.1200000000000001</v>
      </c>
      <c r="T59" s="4">
        <v>80</v>
      </c>
      <c r="U59" s="4">
        <v>28.5</v>
      </c>
      <c r="V59" s="4">
        <v>82</v>
      </c>
      <c r="W59" s="7" t="s">
        <v>53</v>
      </c>
      <c r="X59" s="5">
        <v>0.1</v>
      </c>
      <c r="Y59" s="3"/>
    </row>
    <row r="60" spans="1:25" x14ac:dyDescent="0.25">
      <c r="A60">
        <v>23</v>
      </c>
      <c r="B60" s="7" t="s">
        <v>98</v>
      </c>
      <c r="C60" s="1" t="s">
        <v>30</v>
      </c>
      <c r="D60" s="2">
        <v>37540</v>
      </c>
      <c r="E60" s="3">
        <v>9217.9</v>
      </c>
      <c r="F60" s="4">
        <f t="shared" si="0"/>
        <v>3780.3067585301837</v>
      </c>
      <c r="G60" s="2">
        <v>37560</v>
      </c>
      <c r="H60" s="3">
        <v>3213</v>
      </c>
      <c r="I60" s="3">
        <v>1141.7</v>
      </c>
      <c r="J60" s="3">
        <v>1963.5</v>
      </c>
      <c r="K60" s="6">
        <f t="shared" si="1"/>
        <v>0.35533769063180831</v>
      </c>
      <c r="L60" s="6">
        <f t="shared" si="2"/>
        <v>0.61111111111111116</v>
      </c>
      <c r="M60" s="6">
        <f t="shared" si="3"/>
        <v>3.3551198257080528E-2</v>
      </c>
      <c r="N60" s="4">
        <f t="shared" si="4"/>
        <v>1343.2854734559326</v>
      </c>
      <c r="O60" s="4">
        <f t="shared" si="5"/>
        <v>2310.1874635462236</v>
      </c>
      <c r="P60" s="4">
        <f t="shared" si="6"/>
        <v>3653.472937002156</v>
      </c>
      <c r="Q60" s="2">
        <v>37568</v>
      </c>
      <c r="R60" s="67">
        <v>54</v>
      </c>
      <c r="S60" s="5">
        <v>1.06</v>
      </c>
      <c r="T60" s="4">
        <v>80</v>
      </c>
      <c r="U60" s="4">
        <v>28.9</v>
      </c>
      <c r="V60" s="4">
        <v>82</v>
      </c>
      <c r="W60" s="7" t="s">
        <v>52</v>
      </c>
      <c r="X60" s="5">
        <v>0.1</v>
      </c>
      <c r="Y60" s="3"/>
    </row>
    <row r="61" spans="1:25" x14ac:dyDescent="0.25">
      <c r="A61">
        <v>24</v>
      </c>
      <c r="B61" s="7" t="s">
        <v>99</v>
      </c>
      <c r="C61" s="1" t="s">
        <v>30</v>
      </c>
      <c r="D61" s="2">
        <v>37540</v>
      </c>
      <c r="E61" s="3">
        <v>9067.7999999999993</v>
      </c>
      <c r="F61" s="4">
        <f t="shared" si="0"/>
        <v>3718.75</v>
      </c>
      <c r="G61" s="2">
        <v>37560</v>
      </c>
      <c r="H61" s="3">
        <v>2775.8</v>
      </c>
      <c r="I61" s="3">
        <v>975.8</v>
      </c>
      <c r="J61" s="3">
        <v>1674.2</v>
      </c>
      <c r="K61" s="6">
        <f t="shared" si="1"/>
        <v>0.35153829526622954</v>
      </c>
      <c r="L61" s="6">
        <f t="shared" si="2"/>
        <v>0.60314143670293241</v>
      </c>
      <c r="M61" s="6">
        <f t="shared" si="3"/>
        <v>4.5320268030837996E-2</v>
      </c>
      <c r="N61" s="4">
        <f t="shared" si="4"/>
        <v>1307.2830355212911</v>
      </c>
      <c r="O61" s="4">
        <f t="shared" si="5"/>
        <v>2242.93221773903</v>
      </c>
      <c r="P61" s="4">
        <f t="shared" si="6"/>
        <v>3550.2152532603213</v>
      </c>
      <c r="Q61" s="2">
        <v>37568</v>
      </c>
      <c r="R61" s="67">
        <v>52</v>
      </c>
      <c r="S61" s="5">
        <v>1.1000000000000001</v>
      </c>
      <c r="T61" s="4">
        <v>80</v>
      </c>
      <c r="U61" s="4">
        <v>30.9</v>
      </c>
      <c r="V61" s="4">
        <v>83</v>
      </c>
      <c r="W61" s="7" t="s">
        <v>52</v>
      </c>
      <c r="X61" s="5">
        <v>0.1</v>
      </c>
      <c r="Y61" s="3"/>
    </row>
    <row r="62" spans="1:25" x14ac:dyDescent="0.25">
      <c r="A62">
        <v>25</v>
      </c>
      <c r="B62" s="7" t="s">
        <v>100</v>
      </c>
      <c r="C62" s="1" t="s">
        <v>30</v>
      </c>
      <c r="D62" s="2">
        <v>37539</v>
      </c>
      <c r="E62" s="3">
        <v>7922.1</v>
      </c>
      <c r="F62" s="4">
        <f t="shared" si="0"/>
        <v>3248.892716535433</v>
      </c>
      <c r="G62" s="2">
        <v>37560</v>
      </c>
      <c r="H62" s="3">
        <v>2669.3</v>
      </c>
      <c r="I62" s="3">
        <v>898.9</v>
      </c>
      <c r="J62" s="3">
        <v>1664.7</v>
      </c>
      <c r="K62" s="6">
        <f t="shared" si="1"/>
        <v>0.33675495448244858</v>
      </c>
      <c r="L62" s="6">
        <f t="shared" si="2"/>
        <v>0.62364664893417743</v>
      </c>
      <c r="M62" s="6">
        <f t="shared" si="3"/>
        <v>3.959839658337394E-2</v>
      </c>
      <c r="N62" s="4">
        <f t="shared" si="4"/>
        <v>1094.0807188752485</v>
      </c>
      <c r="O62" s="4">
        <f t="shared" si="5"/>
        <v>2026.1610554139793</v>
      </c>
      <c r="P62" s="4">
        <f t="shared" si="6"/>
        <v>3120.2417742892276</v>
      </c>
      <c r="Q62" s="2">
        <v>37568</v>
      </c>
      <c r="R62" s="67">
        <v>51</v>
      </c>
      <c r="S62" s="5">
        <v>1.05</v>
      </c>
      <c r="T62" s="4">
        <v>79</v>
      </c>
      <c r="U62" s="4">
        <v>29.4</v>
      </c>
      <c r="V62" s="4">
        <v>82</v>
      </c>
      <c r="W62" s="7" t="s">
        <v>52</v>
      </c>
      <c r="X62" s="5">
        <v>0.2</v>
      </c>
      <c r="Y62" s="3"/>
    </row>
    <row r="63" spans="1:25" x14ac:dyDescent="0.25">
      <c r="A63">
        <v>26</v>
      </c>
      <c r="B63" s="7" t="s">
        <v>101</v>
      </c>
      <c r="C63" s="1" t="s">
        <v>30</v>
      </c>
      <c r="D63" s="2">
        <v>37539</v>
      </c>
      <c r="E63" s="3">
        <v>9929.7000000000007</v>
      </c>
      <c r="F63" s="4">
        <f t="shared" si="0"/>
        <v>4072.2194881889768</v>
      </c>
      <c r="G63" s="2">
        <v>37560</v>
      </c>
      <c r="H63" s="3">
        <v>3354.6</v>
      </c>
      <c r="I63" s="3">
        <v>1183.5</v>
      </c>
      <c r="J63" s="3">
        <v>2060.1</v>
      </c>
      <c r="K63" s="6">
        <f t="shared" si="1"/>
        <v>0.35279914147737435</v>
      </c>
      <c r="L63" s="6">
        <f t="shared" si="2"/>
        <v>0.61411196565909498</v>
      </c>
      <c r="M63" s="6">
        <f t="shared" si="3"/>
        <v>3.3088892863530672E-2</v>
      </c>
      <c r="N63" s="4">
        <f t="shared" si="4"/>
        <v>1436.6755393405037</v>
      </c>
      <c r="O63" s="4">
        <f t="shared" si="5"/>
        <v>2500.7987144870062</v>
      </c>
      <c r="P63" s="4">
        <f t="shared" si="6"/>
        <v>3937.47425382751</v>
      </c>
      <c r="Q63" s="2">
        <v>37568</v>
      </c>
      <c r="R63" s="67">
        <v>51</v>
      </c>
      <c r="S63" s="5">
        <v>1.1000000000000001</v>
      </c>
      <c r="T63" s="4">
        <v>81</v>
      </c>
      <c r="U63" s="4">
        <v>30</v>
      </c>
      <c r="V63" s="4">
        <v>83</v>
      </c>
      <c r="W63" s="7" t="s">
        <v>52</v>
      </c>
      <c r="X63" s="5">
        <v>0.1</v>
      </c>
      <c r="Y63" s="3"/>
    </row>
    <row r="64" spans="1:25" x14ac:dyDescent="0.25">
      <c r="A64">
        <v>27</v>
      </c>
      <c r="B64" s="7" t="s">
        <v>102</v>
      </c>
      <c r="C64" s="1" t="s">
        <v>30</v>
      </c>
      <c r="D64" s="2">
        <v>37539</v>
      </c>
      <c r="E64" s="3">
        <v>10122.299999999999</v>
      </c>
      <c r="F64" s="4">
        <f t="shared" si="0"/>
        <v>4151.2057086614168</v>
      </c>
      <c r="G64" s="2">
        <v>37560</v>
      </c>
      <c r="H64" s="3">
        <v>2938.4</v>
      </c>
      <c r="I64" s="3">
        <v>1106.8</v>
      </c>
      <c r="J64" s="3">
        <v>1736.2</v>
      </c>
      <c r="K64" s="6">
        <f t="shared" si="1"/>
        <v>0.37666757419003538</v>
      </c>
      <c r="L64" s="6">
        <f t="shared" si="2"/>
        <v>0.59086577729376533</v>
      </c>
      <c r="M64" s="6">
        <f t="shared" si="3"/>
        <v>3.2466648516199292E-2</v>
      </c>
      <c r="N64" s="4">
        <f t="shared" si="4"/>
        <v>1563.6245842453227</v>
      </c>
      <c r="O64" s="4">
        <f t="shared" si="5"/>
        <v>2452.805387754544</v>
      </c>
      <c r="P64" s="4">
        <f t="shared" si="6"/>
        <v>4016.4299719998667</v>
      </c>
      <c r="Q64" s="2">
        <v>37568</v>
      </c>
      <c r="R64" s="67">
        <v>55</v>
      </c>
      <c r="S64" s="5">
        <v>1.1000000000000001</v>
      </c>
      <c r="T64" s="4">
        <v>81</v>
      </c>
      <c r="U64" s="4">
        <v>30.1</v>
      </c>
      <c r="V64" s="4">
        <v>83</v>
      </c>
      <c r="W64" s="7" t="s">
        <v>52</v>
      </c>
      <c r="X64" s="5">
        <v>0.1</v>
      </c>
      <c r="Y64" s="3"/>
    </row>
    <row r="65" spans="1:25" x14ac:dyDescent="0.25">
      <c r="A65">
        <v>28</v>
      </c>
      <c r="B65" s="7" t="s">
        <v>103</v>
      </c>
      <c r="C65" s="1" t="s">
        <v>30</v>
      </c>
      <c r="D65" s="2">
        <v>37539</v>
      </c>
      <c r="E65" s="3">
        <v>10145</v>
      </c>
      <c r="F65" s="4">
        <f t="shared" si="0"/>
        <v>4160.5150918635172</v>
      </c>
      <c r="G65" s="2">
        <v>37560</v>
      </c>
      <c r="H65" s="3">
        <v>3226.9</v>
      </c>
      <c r="I65" s="3">
        <v>1143.7</v>
      </c>
      <c r="J65" s="3">
        <v>1998.4</v>
      </c>
      <c r="K65" s="6">
        <f t="shared" si="1"/>
        <v>0.35442684929808793</v>
      </c>
      <c r="L65" s="6">
        <f t="shared" si="2"/>
        <v>0.61929405931389259</v>
      </c>
      <c r="M65" s="6">
        <f t="shared" si="3"/>
        <v>2.6279091388019427E-2</v>
      </c>
      <c r="N65" s="4">
        <f t="shared" si="4"/>
        <v>1474.5982554663312</v>
      </c>
      <c r="O65" s="4">
        <f t="shared" si="5"/>
        <v>2576.5822800768701</v>
      </c>
      <c r="P65" s="4">
        <f t="shared" si="6"/>
        <v>4051.1805355432016</v>
      </c>
      <c r="Q65" s="2">
        <v>37568</v>
      </c>
      <c r="R65" s="67">
        <v>50</v>
      </c>
      <c r="S65" s="5">
        <v>1.1200000000000001</v>
      </c>
      <c r="T65" s="4">
        <v>81</v>
      </c>
      <c r="U65" s="4">
        <v>30.9</v>
      </c>
      <c r="V65" s="4">
        <v>82</v>
      </c>
      <c r="W65" s="7" t="s">
        <v>53</v>
      </c>
      <c r="X65" s="5">
        <v>0.2</v>
      </c>
      <c r="Y65" s="3"/>
    </row>
    <row r="66" spans="1:25" x14ac:dyDescent="0.25">
      <c r="A66">
        <v>29</v>
      </c>
      <c r="B66" s="7" t="s">
        <v>104</v>
      </c>
      <c r="C66" s="1" t="s">
        <v>30</v>
      </c>
      <c r="D66" s="2">
        <v>37539</v>
      </c>
      <c r="E66" s="3">
        <v>9471.4</v>
      </c>
      <c r="F66" s="4">
        <f t="shared" si="0"/>
        <v>3884.2683727034118</v>
      </c>
      <c r="G66" s="2">
        <v>37560</v>
      </c>
      <c r="H66" s="3">
        <v>2935</v>
      </c>
      <c r="I66" s="3">
        <v>1108.2</v>
      </c>
      <c r="J66" s="3">
        <v>1734</v>
      </c>
      <c r="K66" s="6">
        <f t="shared" si="1"/>
        <v>0.37758091993185694</v>
      </c>
      <c r="L66" s="6">
        <f t="shared" si="2"/>
        <v>0.59080068143100506</v>
      </c>
      <c r="M66" s="6">
        <f t="shared" si="3"/>
        <v>3.1618398637138001E-2</v>
      </c>
      <c r="N66" s="4">
        <f t="shared" si="4"/>
        <v>1466.6256254275711</v>
      </c>
      <c r="O66" s="4">
        <f t="shared" si="5"/>
        <v>2294.8284014540768</v>
      </c>
      <c r="P66" s="4">
        <f t="shared" si="6"/>
        <v>3761.4540268816481</v>
      </c>
      <c r="Q66" s="2">
        <v>37568</v>
      </c>
      <c r="R66" s="67">
        <v>57</v>
      </c>
      <c r="S66" s="5">
        <v>1.1100000000000001</v>
      </c>
      <c r="T66" s="4">
        <v>82</v>
      </c>
      <c r="U66" s="4">
        <v>28.8</v>
      </c>
      <c r="V66" s="4">
        <v>83</v>
      </c>
      <c r="W66" s="7" t="s">
        <v>52</v>
      </c>
      <c r="X66" s="5">
        <v>0.1</v>
      </c>
      <c r="Y66" s="3"/>
    </row>
    <row r="67" spans="1:25" x14ac:dyDescent="0.25">
      <c r="A67">
        <v>30</v>
      </c>
      <c r="B67" s="7" t="s">
        <v>105</v>
      </c>
      <c r="C67" s="1" t="s">
        <v>30</v>
      </c>
      <c r="D67" s="2">
        <v>37539</v>
      </c>
      <c r="E67" s="3">
        <v>10099.1</v>
      </c>
      <c r="F67" s="4">
        <f t="shared" si="0"/>
        <v>4141.6912729658798</v>
      </c>
      <c r="G67" s="2">
        <v>37560</v>
      </c>
      <c r="H67" s="3">
        <v>3865.8</v>
      </c>
      <c r="I67" s="3">
        <v>1367.4</v>
      </c>
      <c r="J67" s="3">
        <v>2343.1</v>
      </c>
      <c r="K67" s="6">
        <f t="shared" si="1"/>
        <v>0.353717212478659</v>
      </c>
      <c r="L67" s="6">
        <f t="shared" si="2"/>
        <v>0.6061099901702105</v>
      </c>
      <c r="M67" s="6">
        <f t="shared" si="3"/>
        <v>4.0172797351130551E-2</v>
      </c>
      <c r="N67" s="4">
        <f t="shared" si="4"/>
        <v>1464.9874920206798</v>
      </c>
      <c r="O67" s="4">
        <f t="shared" si="5"/>
        <v>2510.3204567453959</v>
      </c>
      <c r="P67" s="4">
        <f t="shared" si="6"/>
        <v>3975.3079487660757</v>
      </c>
      <c r="Q67" s="2">
        <v>37568</v>
      </c>
      <c r="R67" s="67">
        <v>52</v>
      </c>
      <c r="S67" s="5">
        <v>1.1100000000000001</v>
      </c>
      <c r="T67" s="4">
        <v>81</v>
      </c>
      <c r="U67" s="4">
        <v>31.5</v>
      </c>
      <c r="V67" s="4">
        <v>83</v>
      </c>
      <c r="W67" s="7" t="s">
        <v>52</v>
      </c>
      <c r="X67" s="5">
        <v>0.1</v>
      </c>
      <c r="Y67" s="3"/>
    </row>
    <row r="68" spans="1:25" x14ac:dyDescent="0.25">
      <c r="A68">
        <v>31</v>
      </c>
      <c r="B68" s="7" t="s">
        <v>106</v>
      </c>
      <c r="C68" s="1" t="s">
        <v>30</v>
      </c>
      <c r="D68" s="2">
        <v>37539</v>
      </c>
      <c r="E68" s="3">
        <v>9747.1</v>
      </c>
      <c r="F68" s="4">
        <f t="shared" si="0"/>
        <v>3997.3343175853015</v>
      </c>
      <c r="G68" s="2">
        <v>37560</v>
      </c>
      <c r="H68" s="3">
        <v>2752.9</v>
      </c>
      <c r="I68" s="3">
        <v>932.7</v>
      </c>
      <c r="J68" s="3">
        <v>1691.1</v>
      </c>
      <c r="K68" s="6">
        <f t="shared" si="1"/>
        <v>0.33880634966762324</v>
      </c>
      <c r="L68" s="6">
        <f t="shared" si="2"/>
        <v>0.6142976497511714</v>
      </c>
      <c r="M68" s="6">
        <f t="shared" si="3"/>
        <v>4.6896000581205355E-2</v>
      </c>
      <c r="N68" s="4">
        <f t="shared" si="4"/>
        <v>1354.3222485421959</v>
      </c>
      <c r="O68" s="4">
        <f t="shared" si="5"/>
        <v>2455.5530765623535</v>
      </c>
      <c r="P68" s="4">
        <f t="shared" si="6"/>
        <v>3809.8753251045491</v>
      </c>
      <c r="Q68" s="2">
        <v>37568</v>
      </c>
      <c r="R68" s="67">
        <v>50</v>
      </c>
      <c r="S68" s="5">
        <v>1.1000000000000001</v>
      </c>
      <c r="T68" s="4">
        <v>81</v>
      </c>
      <c r="U68" s="4">
        <v>31.4</v>
      </c>
      <c r="V68" s="4">
        <v>83</v>
      </c>
      <c r="W68" s="7" t="s">
        <v>52</v>
      </c>
      <c r="X68" s="5">
        <v>0.1</v>
      </c>
      <c r="Y68" s="3"/>
    </row>
    <row r="69" spans="1:25" x14ac:dyDescent="0.25">
      <c r="A69">
        <v>32</v>
      </c>
      <c r="B69" s="7" t="s">
        <v>107</v>
      </c>
      <c r="C69" s="1" t="s">
        <v>30</v>
      </c>
      <c r="D69" s="2">
        <v>37539</v>
      </c>
      <c r="E69" s="3">
        <v>8206.1</v>
      </c>
      <c r="F69" s="4">
        <f t="shared" si="0"/>
        <v>3365.362532808399</v>
      </c>
      <c r="G69" s="2">
        <v>37560</v>
      </c>
      <c r="H69" s="3">
        <v>2751</v>
      </c>
      <c r="I69" s="3">
        <v>983.9</v>
      </c>
      <c r="J69" s="3">
        <v>1652.7</v>
      </c>
      <c r="K69" s="6">
        <f t="shared" si="1"/>
        <v>0.35765176299527446</v>
      </c>
      <c r="L69" s="6">
        <f t="shared" si="2"/>
        <v>0.60076335877862597</v>
      </c>
      <c r="M69" s="6">
        <f t="shared" si="3"/>
        <v>4.1584878226099575E-2</v>
      </c>
      <c r="N69" s="4">
        <f t="shared" si="4"/>
        <v>1203.627842977166</v>
      </c>
      <c r="O69" s="4">
        <f t="shared" si="5"/>
        <v>2021.7864987177177</v>
      </c>
      <c r="P69" s="4">
        <f t="shared" si="6"/>
        <v>3225.4143416948837</v>
      </c>
      <c r="Q69" s="2">
        <v>37568</v>
      </c>
      <c r="R69" s="67">
        <v>54</v>
      </c>
      <c r="S69" s="5">
        <v>1.08</v>
      </c>
      <c r="T69" s="4">
        <v>81</v>
      </c>
      <c r="U69" s="4">
        <v>29.7</v>
      </c>
      <c r="V69" s="4">
        <v>83</v>
      </c>
      <c r="W69" s="7" t="s">
        <v>52</v>
      </c>
      <c r="X69" s="5">
        <v>0.2</v>
      </c>
      <c r="Y69" s="3"/>
    </row>
    <row r="70" spans="1:25" x14ac:dyDescent="0.25">
      <c r="A70">
        <v>34</v>
      </c>
      <c r="B70" s="7" t="s">
        <v>108</v>
      </c>
      <c r="C70" s="1" t="s">
        <v>30</v>
      </c>
      <c r="D70" s="2">
        <v>37544</v>
      </c>
      <c r="E70" s="3">
        <v>2449.3000000000002</v>
      </c>
      <c r="F70" s="4">
        <f>(E70/$A$29)/$A$28*$A$30</f>
        <v>2008.9402887139108</v>
      </c>
      <c r="G70" s="2">
        <v>37560</v>
      </c>
      <c r="H70">
        <v>2417.6</v>
      </c>
      <c r="I70">
        <v>806.6</v>
      </c>
      <c r="J70">
        <v>1520.3</v>
      </c>
      <c r="K70" s="6">
        <f t="shared" si="1"/>
        <v>0.33363666446062212</v>
      </c>
      <c r="L70" s="6">
        <f t="shared" si="2"/>
        <v>0.6288467902051621</v>
      </c>
      <c r="M70" s="6">
        <f t="shared" si="3"/>
        <v>3.7516545334215778E-2</v>
      </c>
      <c r="N70" s="4">
        <f t="shared" si="4"/>
        <v>670.25613702706835</v>
      </c>
      <c r="O70" s="4">
        <f t="shared" si="5"/>
        <v>1263.3156522715744</v>
      </c>
      <c r="P70" s="4">
        <f t="shared" si="6"/>
        <v>1933.5717892986427</v>
      </c>
      <c r="Q70" s="2">
        <v>37568</v>
      </c>
      <c r="R70" s="67">
        <v>43</v>
      </c>
      <c r="S70" s="5">
        <v>1.07</v>
      </c>
      <c r="T70" s="4">
        <v>80</v>
      </c>
      <c r="U70" s="4">
        <v>31.5</v>
      </c>
      <c r="V70" s="4">
        <v>81</v>
      </c>
      <c r="W70" s="7" t="s">
        <v>52</v>
      </c>
      <c r="X70" s="5">
        <v>0.1</v>
      </c>
      <c r="Y70" s="3"/>
    </row>
    <row r="71" spans="1:25" x14ac:dyDescent="0.25">
      <c r="A71">
        <v>36</v>
      </c>
      <c r="B71" s="7" t="s">
        <v>109</v>
      </c>
      <c r="C71" s="1" t="s">
        <v>30</v>
      </c>
      <c r="D71" s="2">
        <v>37544</v>
      </c>
      <c r="E71" s="3">
        <v>634.30999999999995</v>
      </c>
      <c r="F71" s="4">
        <f t="shared" ref="F71:F73" si="7">(E71/$A$29)/$A$28*$A$30</f>
        <v>520.26738845144348</v>
      </c>
      <c r="G71" s="2">
        <v>37560</v>
      </c>
      <c r="H71">
        <v>631.5</v>
      </c>
      <c r="I71">
        <v>204.2</v>
      </c>
      <c r="J71">
        <v>361.2</v>
      </c>
      <c r="K71" s="6">
        <f t="shared" si="1"/>
        <v>0.32335708630245447</v>
      </c>
      <c r="L71" s="6">
        <f t="shared" si="2"/>
        <v>0.57197149643705458</v>
      </c>
      <c r="M71" s="6">
        <f t="shared" si="3"/>
        <v>0.10467141726049101</v>
      </c>
      <c r="N71" s="4">
        <f t="shared" si="4"/>
        <v>168.23214682784601</v>
      </c>
      <c r="O71" s="4">
        <f t="shared" si="5"/>
        <v>297.57811671997052</v>
      </c>
      <c r="P71" s="4">
        <f t="shared" si="6"/>
        <v>465.81026354781653</v>
      </c>
      <c r="Q71" s="2">
        <v>37568</v>
      </c>
      <c r="R71" s="67">
        <v>50</v>
      </c>
      <c r="S71" s="5">
        <v>1.04</v>
      </c>
      <c r="T71" s="4">
        <v>79</v>
      </c>
      <c r="U71" s="4">
        <v>28.5</v>
      </c>
      <c r="V71" s="4">
        <v>80</v>
      </c>
      <c r="W71" s="7" t="s">
        <v>55</v>
      </c>
      <c r="X71" s="5">
        <v>0.1</v>
      </c>
      <c r="Y71" s="3"/>
    </row>
    <row r="72" spans="1:25" x14ac:dyDescent="0.25">
      <c r="A72">
        <v>38</v>
      </c>
      <c r="B72" s="7" t="s">
        <v>110</v>
      </c>
      <c r="C72" s="1" t="s">
        <v>30</v>
      </c>
      <c r="D72" s="2">
        <v>37544</v>
      </c>
      <c r="E72" s="3">
        <v>2857.7</v>
      </c>
      <c r="F72" s="4">
        <f t="shared" si="7"/>
        <v>2343.9140419947503</v>
      </c>
      <c r="G72" s="2">
        <v>37560</v>
      </c>
      <c r="H72">
        <v>2835</v>
      </c>
      <c r="I72">
        <v>950.3</v>
      </c>
      <c r="J72">
        <v>1768.4</v>
      </c>
      <c r="K72" s="6">
        <f t="shared" si="1"/>
        <v>0.33520282186948852</v>
      </c>
      <c r="L72" s="6">
        <f t="shared" si="2"/>
        <v>0.62377425044091717</v>
      </c>
      <c r="M72" s="6">
        <f t="shared" si="3"/>
        <v>4.1022927689594368E-2</v>
      </c>
      <c r="N72" s="4">
        <f t="shared" si="4"/>
        <v>785.68660109615917</v>
      </c>
      <c r="O72" s="4">
        <f t="shared" si="5"/>
        <v>1462.0732246432158</v>
      </c>
      <c r="P72" s="4">
        <f t="shared" si="6"/>
        <v>2247.7598257393747</v>
      </c>
      <c r="Q72" s="2">
        <v>37568</v>
      </c>
      <c r="R72" s="67">
        <v>41</v>
      </c>
      <c r="S72" s="5">
        <v>1.1100000000000001</v>
      </c>
      <c r="T72" s="4">
        <v>81</v>
      </c>
      <c r="U72" s="4">
        <v>29.9</v>
      </c>
      <c r="V72" s="4">
        <v>82</v>
      </c>
      <c r="W72" s="7" t="s">
        <v>52</v>
      </c>
      <c r="X72" s="5">
        <v>0.1</v>
      </c>
      <c r="Y72" s="3"/>
    </row>
    <row r="73" spans="1:25" x14ac:dyDescent="0.25">
      <c r="A73">
        <v>40</v>
      </c>
      <c r="B73" s="7" t="s">
        <v>111</v>
      </c>
      <c r="C73" s="1" t="s">
        <v>30</v>
      </c>
      <c r="D73" s="2">
        <v>37544</v>
      </c>
      <c r="E73" s="3">
        <v>768.5</v>
      </c>
      <c r="F73" s="4">
        <f t="shared" si="7"/>
        <v>630.33136482939619</v>
      </c>
      <c r="G73" s="2">
        <v>37560</v>
      </c>
      <c r="H73">
        <v>759.9</v>
      </c>
      <c r="I73">
        <v>235.9</v>
      </c>
      <c r="J73">
        <v>440.2</v>
      </c>
      <c r="K73" s="6">
        <f t="shared" si="1"/>
        <v>0.31043558362942492</v>
      </c>
      <c r="L73" s="6">
        <f t="shared" si="2"/>
        <v>0.57928674825634952</v>
      </c>
      <c r="M73" s="6">
        <f t="shared" si="3"/>
        <v>0.11027766811422557</v>
      </c>
      <c r="N73" s="4">
        <f t="shared" si="4"/>
        <v>195.67728512074558</v>
      </c>
      <c r="O73" s="4">
        <f t="shared" si="5"/>
        <v>365.14260665600762</v>
      </c>
      <c r="P73" s="4">
        <f t="shared" si="6"/>
        <v>560.81989177675314</v>
      </c>
      <c r="Q73" s="2">
        <v>37568</v>
      </c>
      <c r="R73" s="67">
        <v>48</v>
      </c>
      <c r="S73" s="5">
        <v>1.06</v>
      </c>
      <c r="T73" s="4">
        <v>80</v>
      </c>
      <c r="U73" s="4">
        <v>29.8</v>
      </c>
      <c r="V73" s="4">
        <v>79</v>
      </c>
      <c r="W73" s="7" t="s">
        <v>56</v>
      </c>
      <c r="X73" s="5">
        <v>0.1</v>
      </c>
      <c r="Y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Y42"/>
  <sheetViews>
    <sheetView topLeftCell="H1" workbookViewId="0">
      <selection activeCell="V7" sqref="V7:V42"/>
    </sheetView>
  </sheetViews>
  <sheetFormatPr defaultRowHeight="15" x14ac:dyDescent="0.25"/>
  <cols>
    <col min="4" max="4" width="10.5703125" bestFit="1" customWidth="1"/>
    <col min="7" max="7" width="10.5703125" bestFit="1" customWidth="1"/>
    <col min="17" max="17" width="9.5703125" bestFit="1" customWidth="1"/>
  </cols>
  <sheetData>
    <row r="1" spans="1:25" x14ac:dyDescent="0.25">
      <c r="B1" s="1"/>
      <c r="C1" s="1" t="s">
        <v>0</v>
      </c>
      <c r="D1" s="1" t="s">
        <v>0</v>
      </c>
      <c r="E1" t="s">
        <v>0</v>
      </c>
      <c r="F1" s="1" t="s">
        <v>0</v>
      </c>
      <c r="G1" s="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17</v>
      </c>
      <c r="O1" s="1" t="s">
        <v>17</v>
      </c>
      <c r="P1" s="1" t="s">
        <v>17</v>
      </c>
      <c r="Q1" s="1" t="s">
        <v>39</v>
      </c>
      <c r="R1" s="1" t="s">
        <v>39</v>
      </c>
      <c r="S1" s="1" t="s">
        <v>39</v>
      </c>
      <c r="T1" s="1" t="s">
        <v>39</v>
      </c>
      <c r="U1" s="1" t="s">
        <v>39</v>
      </c>
      <c r="V1" s="1" t="s">
        <v>39</v>
      </c>
      <c r="W1" s="1" t="s">
        <v>39</v>
      </c>
      <c r="X1" s="1" t="s">
        <v>39</v>
      </c>
    </row>
    <row r="2" spans="1:25" x14ac:dyDescent="0.25">
      <c r="B2" s="1"/>
      <c r="C2" s="1"/>
      <c r="D2" s="1"/>
      <c r="F2" s="1"/>
      <c r="G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x14ac:dyDescent="0.25">
      <c r="B3" s="1"/>
      <c r="C3" s="1"/>
      <c r="D3" s="1"/>
      <c r="E3" t="s">
        <v>1</v>
      </c>
      <c r="F3" s="1"/>
      <c r="G3" s="1" t="s">
        <v>35</v>
      </c>
      <c r="H3" t="s">
        <v>8</v>
      </c>
      <c r="I3" t="s">
        <v>11</v>
      </c>
      <c r="J3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x14ac:dyDescent="0.25">
      <c r="A4" t="s">
        <v>74</v>
      </c>
      <c r="B4" s="1" t="s">
        <v>21</v>
      </c>
      <c r="C4" s="1" t="s">
        <v>29</v>
      </c>
      <c r="D4" s="1" t="s">
        <v>2</v>
      </c>
      <c r="F4" s="1" t="s">
        <v>3</v>
      </c>
      <c r="G4" s="1" t="s">
        <v>36</v>
      </c>
      <c r="H4" t="s">
        <v>9</v>
      </c>
      <c r="I4" t="s">
        <v>9</v>
      </c>
      <c r="J4" t="s">
        <v>9</v>
      </c>
      <c r="K4" s="1" t="s">
        <v>13</v>
      </c>
      <c r="L4" s="1" t="s">
        <v>14</v>
      </c>
      <c r="M4" s="1" t="s">
        <v>15</v>
      </c>
      <c r="N4" s="1" t="s">
        <v>18</v>
      </c>
      <c r="O4" s="1" t="s">
        <v>19</v>
      </c>
      <c r="P4" s="1" t="s">
        <v>20</v>
      </c>
      <c r="Q4" s="1" t="s">
        <v>51</v>
      </c>
      <c r="R4" s="1" t="s">
        <v>40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45</v>
      </c>
      <c r="X4" s="1" t="s">
        <v>46</v>
      </c>
    </row>
    <row r="5" spans="1:25" x14ac:dyDescent="0.25">
      <c r="B5" s="1"/>
      <c r="C5" s="1"/>
      <c r="D5" s="1"/>
      <c r="E5" t="s">
        <v>10</v>
      </c>
      <c r="F5" s="1" t="s">
        <v>4</v>
      </c>
      <c r="G5" s="1"/>
      <c r="H5" t="s">
        <v>10</v>
      </c>
      <c r="I5" t="s">
        <v>10</v>
      </c>
      <c r="J5" t="s">
        <v>10</v>
      </c>
      <c r="K5" s="5" t="s">
        <v>16</v>
      </c>
      <c r="L5" s="5" t="s">
        <v>16</v>
      </c>
      <c r="M5" s="5" t="s">
        <v>16</v>
      </c>
      <c r="N5" s="5" t="s">
        <v>4</v>
      </c>
      <c r="O5" s="5" t="s">
        <v>4</v>
      </c>
      <c r="P5" s="5" t="s">
        <v>4</v>
      </c>
      <c r="Q5" s="5"/>
      <c r="R5" s="1"/>
      <c r="S5" s="1" t="s">
        <v>47</v>
      </c>
      <c r="T5" s="1" t="s">
        <v>48</v>
      </c>
      <c r="U5" s="1" t="s">
        <v>49</v>
      </c>
      <c r="V5" s="1" t="s">
        <v>50</v>
      </c>
      <c r="W5" s="1"/>
      <c r="X5" s="1" t="s">
        <v>48</v>
      </c>
    </row>
    <row r="6" spans="1:25" x14ac:dyDescent="0.25">
      <c r="A6" t="s">
        <v>74</v>
      </c>
      <c r="B6" s="1" t="s">
        <v>21</v>
      </c>
      <c r="C6" s="1" t="s">
        <v>29</v>
      </c>
      <c r="D6" s="1" t="s">
        <v>2</v>
      </c>
      <c r="F6" s="1" t="s">
        <v>3</v>
      </c>
      <c r="G6" s="1" t="s">
        <v>36</v>
      </c>
      <c r="K6" s="1" t="s">
        <v>13</v>
      </c>
      <c r="L6" s="1" t="s">
        <v>14</v>
      </c>
      <c r="M6" s="1" t="s">
        <v>15</v>
      </c>
      <c r="N6" s="1" t="s">
        <v>18</v>
      </c>
      <c r="O6" s="1" t="s">
        <v>19</v>
      </c>
      <c r="P6" s="1" t="s">
        <v>20</v>
      </c>
      <c r="Q6" s="1" t="s">
        <v>51</v>
      </c>
      <c r="R6" s="1" t="s">
        <v>40</v>
      </c>
      <c r="S6" s="1" t="s">
        <v>41</v>
      </c>
      <c r="T6" s="1" t="s">
        <v>42</v>
      </c>
      <c r="U6" s="1" t="s">
        <v>43</v>
      </c>
      <c r="V6" s="1" t="s">
        <v>44</v>
      </c>
      <c r="W6" s="1" t="s">
        <v>45</v>
      </c>
      <c r="X6" s="1" t="s">
        <v>46</v>
      </c>
    </row>
    <row r="7" spans="1:25" x14ac:dyDescent="0.25">
      <c r="A7">
        <v>1</v>
      </c>
      <c r="B7" s="7" t="s">
        <v>76</v>
      </c>
      <c r="C7" s="1" t="s">
        <v>30</v>
      </c>
      <c r="D7" s="2">
        <v>37537</v>
      </c>
      <c r="E7" s="3">
        <v>9605</v>
      </c>
      <c r="F7" s="4">
        <v>3939.0583989501315</v>
      </c>
      <c r="G7" s="2">
        <v>37560</v>
      </c>
      <c r="H7" s="3">
        <v>3124.4</v>
      </c>
      <c r="I7" s="3">
        <v>1079.9000000000001</v>
      </c>
      <c r="J7" s="3">
        <v>1959.5</v>
      </c>
      <c r="K7" s="6">
        <v>0.34563436179746515</v>
      </c>
      <c r="L7" s="6">
        <v>0.62716041479964146</v>
      </c>
      <c r="M7" s="6">
        <v>2.7205223402893441E-2</v>
      </c>
      <c r="N7" s="4">
        <v>1361.4739358040736</v>
      </c>
      <c r="O7" s="4">
        <v>2470.421499405576</v>
      </c>
      <c r="P7" s="4">
        <v>3831.8954352096498</v>
      </c>
      <c r="Q7" s="2">
        <v>37568</v>
      </c>
      <c r="R7" s="67">
        <v>50</v>
      </c>
      <c r="S7" s="5">
        <v>1.0900000000000001</v>
      </c>
      <c r="T7" s="4">
        <v>80</v>
      </c>
      <c r="U7" s="4">
        <v>30.3</v>
      </c>
      <c r="V7" s="4">
        <v>82</v>
      </c>
      <c r="W7" s="7" t="s">
        <v>52</v>
      </c>
      <c r="X7" s="5">
        <v>0.1</v>
      </c>
      <c r="Y7" s="3"/>
    </row>
    <row r="8" spans="1:25" x14ac:dyDescent="0.25">
      <c r="A8">
        <v>2</v>
      </c>
      <c r="B8" s="7" t="s">
        <v>77</v>
      </c>
      <c r="C8" s="1" t="s">
        <v>30</v>
      </c>
      <c r="D8" s="2">
        <v>37537</v>
      </c>
      <c r="E8" s="3">
        <v>10560.2</v>
      </c>
      <c r="F8" s="4">
        <v>4330.7906824146976</v>
      </c>
      <c r="G8" s="2">
        <v>37560</v>
      </c>
      <c r="H8" s="3">
        <v>3101.4</v>
      </c>
      <c r="I8" s="3">
        <v>1144.9000000000001</v>
      </c>
      <c r="J8" s="3">
        <v>1866.1</v>
      </c>
      <c r="K8" s="6">
        <v>0.36915586509318377</v>
      </c>
      <c r="L8" s="6">
        <v>0.60169600825433667</v>
      </c>
      <c r="M8" s="6">
        <v>2.9148126652479567E-2</v>
      </c>
      <c r="N8" s="4">
        <v>1598.7367809042973</v>
      </c>
      <c r="O8" s="4">
        <v>2605.8194661939983</v>
      </c>
      <c r="P8" s="4">
        <v>4204.5562470982959</v>
      </c>
      <c r="Q8" s="2">
        <v>37568</v>
      </c>
      <c r="R8" s="67">
        <v>53</v>
      </c>
      <c r="S8" s="5">
        <v>1.1100000000000001</v>
      </c>
      <c r="T8" s="4">
        <v>82</v>
      </c>
      <c r="U8" s="4">
        <v>31.2</v>
      </c>
      <c r="V8" s="4">
        <v>83</v>
      </c>
      <c r="W8" s="7" t="s">
        <v>52</v>
      </c>
      <c r="X8" s="5">
        <v>0.1</v>
      </c>
      <c r="Y8" s="3"/>
    </row>
    <row r="9" spans="1:25" x14ac:dyDescent="0.25">
      <c r="A9">
        <v>3</v>
      </c>
      <c r="B9" s="7" t="s">
        <v>78</v>
      </c>
      <c r="C9" s="1" t="s">
        <v>30</v>
      </c>
      <c r="D9" s="2">
        <v>37537</v>
      </c>
      <c r="E9" s="3">
        <v>9070.2000000000007</v>
      </c>
      <c r="F9" s="4">
        <v>3719.7342519685044</v>
      </c>
      <c r="G9" s="2">
        <v>37560</v>
      </c>
      <c r="H9" s="3">
        <v>3107.3</v>
      </c>
      <c r="I9" s="3">
        <v>1098.3</v>
      </c>
      <c r="J9" s="3">
        <v>1911.5</v>
      </c>
      <c r="K9" s="6">
        <v>0.35345798603289025</v>
      </c>
      <c r="L9" s="6">
        <v>0.61516429054162769</v>
      </c>
      <c r="M9" s="6">
        <v>3.1377723425482063E-2</v>
      </c>
      <c r="N9" s="4">
        <v>1314.7697772783472</v>
      </c>
      <c r="O9" s="4">
        <v>2288.2476821155974</v>
      </c>
      <c r="P9" s="4">
        <v>3603.0174593939446</v>
      </c>
      <c r="Q9" s="2">
        <v>37568</v>
      </c>
      <c r="R9" s="67">
        <v>49</v>
      </c>
      <c r="S9" s="5">
        <v>1.0900000000000001</v>
      </c>
      <c r="T9" s="4">
        <v>80</v>
      </c>
      <c r="U9" s="4">
        <v>30.5</v>
      </c>
      <c r="V9" s="4">
        <v>82</v>
      </c>
      <c r="W9" s="7" t="s">
        <v>52</v>
      </c>
      <c r="X9" s="5">
        <v>0.2</v>
      </c>
      <c r="Y9" s="3"/>
    </row>
    <row r="10" spans="1:25" x14ac:dyDescent="0.25">
      <c r="A10">
        <v>4</v>
      </c>
      <c r="B10" s="7" t="s">
        <v>79</v>
      </c>
      <c r="C10" s="1" t="s">
        <v>30</v>
      </c>
      <c r="D10" s="2">
        <v>37537</v>
      </c>
      <c r="E10" s="3">
        <v>8654.7000000000007</v>
      </c>
      <c r="F10" s="4">
        <v>3549.3356299212596</v>
      </c>
      <c r="G10" s="2">
        <v>37560</v>
      </c>
      <c r="H10" s="3">
        <v>3029.7</v>
      </c>
      <c r="I10" s="3">
        <v>1134.7</v>
      </c>
      <c r="J10" s="3">
        <v>1823.7</v>
      </c>
      <c r="K10" s="6">
        <v>0.37452553058058558</v>
      </c>
      <c r="L10" s="6">
        <v>0.60194078621645708</v>
      </c>
      <c r="M10" s="6">
        <v>2.3533683202957345E-2</v>
      </c>
      <c r="N10" s="4">
        <v>1329.3168100048367</v>
      </c>
      <c r="O10" s="4">
        <v>2136.4898796208868</v>
      </c>
      <c r="P10" s="4">
        <v>3465.8066896257233</v>
      </c>
      <c r="Q10" s="2">
        <v>37568</v>
      </c>
      <c r="R10" s="67">
        <v>51</v>
      </c>
      <c r="S10" s="5">
        <v>1.1100000000000001</v>
      </c>
      <c r="T10" s="4">
        <v>82</v>
      </c>
      <c r="U10" s="4">
        <v>31</v>
      </c>
      <c r="V10" s="4">
        <v>82</v>
      </c>
      <c r="W10" s="7" t="s">
        <v>53</v>
      </c>
      <c r="X10" s="5">
        <v>0.1</v>
      </c>
      <c r="Y10" s="3"/>
    </row>
    <row r="11" spans="1:25" x14ac:dyDescent="0.25">
      <c r="A11">
        <v>5</v>
      </c>
      <c r="B11" s="7" t="s">
        <v>80</v>
      </c>
      <c r="C11" s="1" t="s">
        <v>30</v>
      </c>
      <c r="D11" s="2">
        <v>37537</v>
      </c>
      <c r="E11" s="3">
        <v>8563.9</v>
      </c>
      <c r="F11" s="4">
        <v>3512.0980971128606</v>
      </c>
      <c r="G11" s="2">
        <v>37560</v>
      </c>
      <c r="H11" s="3">
        <v>3270.6</v>
      </c>
      <c r="I11" s="3">
        <v>1180</v>
      </c>
      <c r="J11" s="3">
        <v>1977</v>
      </c>
      <c r="K11" s="6">
        <v>0.36079006910047084</v>
      </c>
      <c r="L11" s="6">
        <v>0.6044762428912126</v>
      </c>
      <c r="M11" s="6">
        <v>3.4733688008316554E-2</v>
      </c>
      <c r="N11" s="4">
        <v>1267.1301151449811</v>
      </c>
      <c r="O11" s="4">
        <v>2122.9798624081591</v>
      </c>
      <c r="P11" s="4">
        <v>3390.1099775531402</v>
      </c>
      <c r="Q11" s="2">
        <v>37568</v>
      </c>
      <c r="R11" s="67">
        <v>45</v>
      </c>
      <c r="S11" s="5">
        <v>1.1100000000000001</v>
      </c>
      <c r="T11" s="4">
        <v>81</v>
      </c>
      <c r="U11" s="4">
        <v>29</v>
      </c>
      <c r="V11" s="4">
        <v>81</v>
      </c>
      <c r="W11" s="7" t="s">
        <v>53</v>
      </c>
      <c r="X11" s="5">
        <v>0.1</v>
      </c>
      <c r="Y11" s="3"/>
    </row>
    <row r="12" spans="1:25" x14ac:dyDescent="0.25">
      <c r="A12">
        <v>6</v>
      </c>
      <c r="B12" s="7" t="s">
        <v>81</v>
      </c>
      <c r="C12" s="1" t="s">
        <v>30</v>
      </c>
      <c r="D12" s="2">
        <v>37537</v>
      </c>
      <c r="E12" s="3">
        <v>8273.1</v>
      </c>
      <c r="F12" s="4">
        <v>3392.8395669291344</v>
      </c>
      <c r="G12" s="2">
        <v>37560</v>
      </c>
      <c r="H12" s="3">
        <v>3499.5</v>
      </c>
      <c r="I12" s="3">
        <v>1172.0999999999999</v>
      </c>
      <c r="J12" s="3">
        <v>2142.1</v>
      </c>
      <c r="K12" s="6">
        <v>0.33493356193741963</v>
      </c>
      <c r="L12" s="6">
        <v>0.61211601657379622</v>
      </c>
      <c r="M12" s="6">
        <v>5.295042148878415E-2</v>
      </c>
      <c r="N12" s="4">
        <v>1136.3758412337872</v>
      </c>
      <c r="O12" s="4">
        <v>2076.8114405826254</v>
      </c>
      <c r="P12" s="4">
        <v>3213.1872818164129</v>
      </c>
      <c r="Q12" s="2">
        <v>37568</v>
      </c>
      <c r="R12" s="67">
        <v>50</v>
      </c>
      <c r="S12" s="5">
        <v>1.1200000000000001</v>
      </c>
      <c r="T12" s="4">
        <v>82</v>
      </c>
      <c r="U12" s="4">
        <v>31.1</v>
      </c>
      <c r="V12" s="4">
        <v>81</v>
      </c>
      <c r="W12" s="7" t="s">
        <v>53</v>
      </c>
      <c r="X12" s="5">
        <v>0.1</v>
      </c>
      <c r="Y12" s="3"/>
    </row>
    <row r="13" spans="1:25" x14ac:dyDescent="0.25">
      <c r="A13">
        <v>7</v>
      </c>
      <c r="B13" s="7" t="s">
        <v>82</v>
      </c>
      <c r="C13" s="1" t="s">
        <v>30</v>
      </c>
      <c r="D13" s="2">
        <v>37537</v>
      </c>
      <c r="E13" s="3">
        <v>9560.5</v>
      </c>
      <c r="F13" s="4">
        <v>3920.8087270341202</v>
      </c>
      <c r="G13" s="2">
        <v>37560</v>
      </c>
      <c r="H13" s="3">
        <v>3223.8</v>
      </c>
      <c r="I13" s="3">
        <v>1180.3</v>
      </c>
      <c r="J13" s="3">
        <v>1925.7</v>
      </c>
      <c r="K13" s="6">
        <v>0.36612072709225135</v>
      </c>
      <c r="L13" s="6">
        <v>0.59733854457472546</v>
      </c>
      <c r="M13" s="6">
        <v>3.6540728333023242E-2</v>
      </c>
      <c r="N13" s="4">
        <v>1435.4893419313767</v>
      </c>
      <c r="O13" s="4">
        <v>2342.0501785624433</v>
      </c>
      <c r="P13" s="4">
        <v>3777.53952049382</v>
      </c>
      <c r="Q13" s="2">
        <v>37568</v>
      </c>
      <c r="R13" s="67">
        <v>53</v>
      </c>
      <c r="S13" s="5">
        <v>1.1000000000000001</v>
      </c>
      <c r="T13" s="4">
        <v>80</v>
      </c>
      <c r="U13" s="4">
        <v>29.8</v>
      </c>
      <c r="V13" s="4">
        <v>82</v>
      </c>
      <c r="W13" s="7" t="s">
        <v>53</v>
      </c>
      <c r="X13" s="5">
        <v>0.1</v>
      </c>
      <c r="Y13" s="3"/>
    </row>
    <row r="14" spans="1:25" x14ac:dyDescent="0.25">
      <c r="A14">
        <v>8</v>
      </c>
      <c r="B14" s="7" t="s">
        <v>83</v>
      </c>
      <c r="C14" s="1" t="s">
        <v>30</v>
      </c>
      <c r="D14" s="2">
        <v>37537</v>
      </c>
      <c r="E14" s="3">
        <v>10341.9</v>
      </c>
      <c r="F14" s="4">
        <v>4241.2647637795271</v>
      </c>
      <c r="G14" s="2">
        <v>37560</v>
      </c>
      <c r="H14" s="3">
        <v>3229.8</v>
      </c>
      <c r="I14" s="3">
        <v>1134.9000000000001</v>
      </c>
      <c r="J14" s="3">
        <v>1955.1</v>
      </c>
      <c r="K14" s="6">
        <v>0.35138398662455883</v>
      </c>
      <c r="L14" s="6">
        <v>0.60533159947984394</v>
      </c>
      <c r="M14" s="6">
        <v>4.3284413895597229E-2</v>
      </c>
      <c r="N14" s="4">
        <v>1490.312521027118</v>
      </c>
      <c r="O14" s="4">
        <v>2567.3715832761636</v>
      </c>
      <c r="P14" s="4">
        <v>4057.6841043032819</v>
      </c>
      <c r="Q14" s="2">
        <v>37568</v>
      </c>
      <c r="R14" s="67">
        <v>48</v>
      </c>
      <c r="S14" s="5">
        <v>1.1299999999999999</v>
      </c>
      <c r="T14" s="4">
        <v>82</v>
      </c>
      <c r="U14" s="4">
        <v>30</v>
      </c>
      <c r="V14" s="4">
        <v>82</v>
      </c>
      <c r="W14" s="7" t="s">
        <v>53</v>
      </c>
      <c r="X14" s="5">
        <v>0.1</v>
      </c>
      <c r="Y14" s="3"/>
    </row>
    <row r="15" spans="1:25" x14ac:dyDescent="0.25">
      <c r="A15">
        <v>9</v>
      </c>
      <c r="B15" s="7" t="s">
        <v>84</v>
      </c>
      <c r="C15" s="1" t="s">
        <v>30</v>
      </c>
      <c r="D15" s="2">
        <v>37537</v>
      </c>
      <c r="E15" s="3">
        <v>10143</v>
      </c>
      <c r="F15" s="4">
        <v>4159.6948818897636</v>
      </c>
      <c r="G15" s="2">
        <v>37560</v>
      </c>
      <c r="H15" s="3">
        <v>3491.6</v>
      </c>
      <c r="I15" s="3">
        <v>1288.5999999999999</v>
      </c>
      <c r="J15" s="3">
        <v>2089.8000000000002</v>
      </c>
      <c r="K15" s="6">
        <v>0.36905716576927483</v>
      </c>
      <c r="L15" s="6">
        <v>0.59852216748768483</v>
      </c>
      <c r="M15" s="6">
        <v>3.2420666743040338E-2</v>
      </c>
      <c r="N15" s="4">
        <v>1535.1652035751945</v>
      </c>
      <c r="O15" s="4">
        <v>2489.6695967960904</v>
      </c>
      <c r="P15" s="4">
        <v>4024.8348003712849</v>
      </c>
      <c r="Q15" s="2">
        <v>37568</v>
      </c>
      <c r="R15" s="67">
        <v>51</v>
      </c>
      <c r="S15" s="5">
        <v>1.06</v>
      </c>
      <c r="T15" s="4">
        <v>80</v>
      </c>
      <c r="U15" s="4">
        <v>29</v>
      </c>
      <c r="V15" s="4">
        <v>83</v>
      </c>
      <c r="W15" s="7" t="s">
        <v>52</v>
      </c>
      <c r="X15" s="5">
        <v>0.1</v>
      </c>
      <c r="Y15" s="3"/>
    </row>
    <row r="16" spans="1:25" x14ac:dyDescent="0.25">
      <c r="A16">
        <v>10</v>
      </c>
      <c r="B16" s="7" t="s">
        <v>85</v>
      </c>
      <c r="C16" s="1" t="s">
        <v>30</v>
      </c>
      <c r="D16" s="2">
        <v>37537</v>
      </c>
      <c r="E16" s="3">
        <v>8202.9</v>
      </c>
      <c r="F16" s="4">
        <v>3364.0501968503931</v>
      </c>
      <c r="G16" s="2">
        <v>37560</v>
      </c>
      <c r="H16" s="3">
        <v>3311.9</v>
      </c>
      <c r="I16" s="3">
        <v>1174</v>
      </c>
      <c r="J16" s="3">
        <v>2062.9</v>
      </c>
      <c r="K16" s="6">
        <v>0.35447930191128957</v>
      </c>
      <c r="L16" s="6">
        <v>0.6228750868081766</v>
      </c>
      <c r="M16" s="6">
        <v>2.2645611280533884E-2</v>
      </c>
      <c r="N16" s="4">
        <v>1192.4861653740636</v>
      </c>
      <c r="O16" s="4">
        <v>2095.3830583902522</v>
      </c>
      <c r="P16" s="4">
        <v>3287.8692237643158</v>
      </c>
      <c r="Q16" s="2">
        <v>37568</v>
      </c>
      <c r="R16" s="67">
        <v>53</v>
      </c>
      <c r="S16" s="5">
        <v>1.1000000000000001</v>
      </c>
      <c r="T16" s="4">
        <v>80</v>
      </c>
      <c r="U16" s="4">
        <v>30.5</v>
      </c>
      <c r="V16" s="4">
        <v>82</v>
      </c>
      <c r="W16" s="7" t="s">
        <v>54</v>
      </c>
      <c r="X16" s="5">
        <v>0.1</v>
      </c>
      <c r="Y16" s="3"/>
    </row>
    <row r="17" spans="1:25" x14ac:dyDescent="0.25">
      <c r="A17">
        <v>11</v>
      </c>
      <c r="B17" s="7" t="s">
        <v>86</v>
      </c>
      <c r="C17" s="1" t="s">
        <v>30</v>
      </c>
      <c r="D17" s="2">
        <v>37537</v>
      </c>
      <c r="E17" s="3">
        <v>11022</v>
      </c>
      <c r="F17" s="4">
        <v>4520.177165354331</v>
      </c>
      <c r="G17" s="2">
        <v>37560</v>
      </c>
      <c r="H17" s="3">
        <v>3461.4</v>
      </c>
      <c r="I17" s="3">
        <v>1231.4000000000001</v>
      </c>
      <c r="J17" s="3">
        <v>2117.5</v>
      </c>
      <c r="K17" s="6">
        <v>0.35575200785809213</v>
      </c>
      <c r="L17" s="6">
        <v>0.61174669208990584</v>
      </c>
      <c r="M17" s="6">
        <v>3.2501300052002025E-2</v>
      </c>
      <c r="N17" s="4">
        <v>1608.0621024491027</v>
      </c>
      <c r="O17" s="4">
        <v>2765.2034285658392</v>
      </c>
      <c r="P17" s="4">
        <v>4373.2655310149421</v>
      </c>
      <c r="Q17" s="2">
        <v>37568</v>
      </c>
      <c r="R17" s="67">
        <v>55</v>
      </c>
      <c r="S17" s="5">
        <v>1.0900000000000001</v>
      </c>
      <c r="T17" s="4">
        <v>81</v>
      </c>
      <c r="U17" s="4">
        <v>30.3</v>
      </c>
      <c r="V17" s="4">
        <v>82</v>
      </c>
      <c r="W17" s="7" t="s">
        <v>52</v>
      </c>
      <c r="X17" s="5">
        <v>0.1</v>
      </c>
      <c r="Y17" s="3"/>
    </row>
    <row r="18" spans="1:25" x14ac:dyDescent="0.25">
      <c r="A18">
        <v>12</v>
      </c>
      <c r="B18" s="7" t="s">
        <v>87</v>
      </c>
      <c r="C18" s="1" t="s">
        <v>30</v>
      </c>
      <c r="D18" s="2">
        <v>37537</v>
      </c>
      <c r="E18" s="3">
        <v>7631.3</v>
      </c>
      <c r="F18" s="4">
        <v>3129.6341863517064</v>
      </c>
      <c r="G18" s="2">
        <v>37560</v>
      </c>
      <c r="H18" s="3">
        <v>3009</v>
      </c>
      <c r="I18" s="3">
        <v>1034.3</v>
      </c>
      <c r="J18" s="3">
        <v>1860.3</v>
      </c>
      <c r="K18" s="6">
        <v>0.3437354602858092</v>
      </c>
      <c r="L18" s="6">
        <v>0.6182452642073778</v>
      </c>
      <c r="M18" s="6">
        <v>3.8019275506813055E-2</v>
      </c>
      <c r="N18" s="4">
        <v>1075.7662475718078</v>
      </c>
      <c r="O18" s="4">
        <v>1934.8815144134526</v>
      </c>
      <c r="P18" s="4">
        <v>3010.6477619852603</v>
      </c>
      <c r="Q18" s="2">
        <v>37568</v>
      </c>
      <c r="R18" s="67">
        <v>44</v>
      </c>
      <c r="S18" s="5">
        <v>1.1200000000000001</v>
      </c>
      <c r="T18" s="4">
        <v>82</v>
      </c>
      <c r="U18" s="4">
        <v>30.3</v>
      </c>
      <c r="V18" s="4">
        <v>81</v>
      </c>
      <c r="W18" s="7" t="s">
        <v>54</v>
      </c>
      <c r="X18" s="5">
        <v>0.1</v>
      </c>
      <c r="Y18" s="3"/>
    </row>
    <row r="19" spans="1:25" x14ac:dyDescent="0.25">
      <c r="A19">
        <v>13</v>
      </c>
      <c r="B19" s="7" t="s">
        <v>88</v>
      </c>
      <c r="C19" s="1" t="s">
        <v>30</v>
      </c>
      <c r="D19" s="2">
        <v>37540</v>
      </c>
      <c r="E19" s="3">
        <v>11883.4</v>
      </c>
      <c r="F19" s="4">
        <v>4873.441601049869</v>
      </c>
      <c r="G19" s="2">
        <v>37560</v>
      </c>
      <c r="H19" s="3">
        <v>3378.7</v>
      </c>
      <c r="I19" s="3">
        <v>1170.8</v>
      </c>
      <c r="J19" s="3">
        <v>2071.1999999999998</v>
      </c>
      <c r="K19" s="6">
        <v>0.34652381093319917</v>
      </c>
      <c r="L19" s="6">
        <v>0.61301684079675611</v>
      </c>
      <c r="M19" s="6">
        <v>4.0459348270044715E-2</v>
      </c>
      <c r="N19" s="4">
        <v>1688.7635559561922</v>
      </c>
      <c r="O19" s="4">
        <v>2987.5017740830758</v>
      </c>
      <c r="P19" s="4">
        <v>4676.2653300392685</v>
      </c>
      <c r="Q19" s="2">
        <v>37568</v>
      </c>
      <c r="R19" s="67">
        <v>51</v>
      </c>
      <c r="S19" s="5">
        <v>1.1200000000000001</v>
      </c>
      <c r="T19" s="4">
        <v>81</v>
      </c>
      <c r="U19" s="4">
        <v>30.3</v>
      </c>
      <c r="V19" s="4">
        <v>83</v>
      </c>
      <c r="W19" s="7" t="s">
        <v>52</v>
      </c>
      <c r="X19" s="5">
        <v>0.1</v>
      </c>
      <c r="Y19" s="3"/>
    </row>
    <row r="20" spans="1:25" x14ac:dyDescent="0.25">
      <c r="A20">
        <v>14</v>
      </c>
      <c r="B20" s="7" t="s">
        <v>89</v>
      </c>
      <c r="C20" s="1" t="s">
        <v>30</v>
      </c>
      <c r="D20" s="2">
        <v>37540</v>
      </c>
      <c r="E20" s="3">
        <v>8763.9</v>
      </c>
      <c r="F20" s="4">
        <v>3594.1190944881891</v>
      </c>
      <c r="G20" s="2">
        <v>37560</v>
      </c>
      <c r="H20" s="3">
        <v>2837.9</v>
      </c>
      <c r="I20" s="3">
        <v>1009.6</v>
      </c>
      <c r="J20" s="3">
        <v>1725.2</v>
      </c>
      <c r="K20" s="6">
        <v>0.35575601677296592</v>
      </c>
      <c r="L20" s="6">
        <v>0.60791430282955705</v>
      </c>
      <c r="M20" s="6">
        <v>3.6329680397477082E-2</v>
      </c>
      <c r="N20" s="4">
        <v>1278.6294928627774</v>
      </c>
      <c r="O20" s="4">
        <v>2184.9164036121865</v>
      </c>
      <c r="P20" s="4">
        <v>3463.5458964749641</v>
      </c>
      <c r="Q20" s="2">
        <v>37568</v>
      </c>
      <c r="R20" s="67">
        <v>52</v>
      </c>
      <c r="S20" s="5">
        <v>1.0900000000000001</v>
      </c>
      <c r="T20" s="4">
        <v>80</v>
      </c>
      <c r="U20" s="4">
        <v>30.8</v>
      </c>
      <c r="V20" s="4">
        <v>83</v>
      </c>
      <c r="W20" s="7" t="s">
        <v>52</v>
      </c>
      <c r="X20" s="5">
        <v>0.1</v>
      </c>
      <c r="Y20" s="3"/>
    </row>
    <row r="21" spans="1:25" x14ac:dyDescent="0.25">
      <c r="A21">
        <v>15</v>
      </c>
      <c r="B21" s="7" t="s">
        <v>90</v>
      </c>
      <c r="C21" s="1" t="s">
        <v>30</v>
      </c>
      <c r="D21" s="2">
        <v>37540</v>
      </c>
      <c r="E21" s="3">
        <v>10176.1</v>
      </c>
      <c r="F21" s="4">
        <v>4173.2693569553803</v>
      </c>
      <c r="G21" s="2">
        <v>37560</v>
      </c>
      <c r="H21" s="3">
        <v>3792.1</v>
      </c>
      <c r="I21" s="3">
        <v>1360.8</v>
      </c>
      <c r="J21" s="3">
        <v>2270.1</v>
      </c>
      <c r="K21" s="6">
        <v>0.35885129611560879</v>
      </c>
      <c r="L21" s="6">
        <v>0.5986392763903905</v>
      </c>
      <c r="M21" s="6">
        <v>4.2509427494000773E-2</v>
      </c>
      <c r="N21" s="4">
        <v>1497.5831177829914</v>
      </c>
      <c r="O21" s="4">
        <v>2498.2829480299592</v>
      </c>
      <c r="P21" s="4">
        <v>3995.8660658129506</v>
      </c>
      <c r="Q21" s="2">
        <v>37568</v>
      </c>
      <c r="R21" s="67">
        <v>53</v>
      </c>
      <c r="S21" s="5">
        <v>1.1200000000000001</v>
      </c>
      <c r="T21" s="4">
        <v>81</v>
      </c>
      <c r="U21" s="4">
        <v>29</v>
      </c>
      <c r="V21" s="4">
        <v>83</v>
      </c>
      <c r="W21" s="7" t="s">
        <v>54</v>
      </c>
      <c r="X21" s="5">
        <v>0.1</v>
      </c>
      <c r="Y21" s="3"/>
    </row>
    <row r="22" spans="1:25" x14ac:dyDescent="0.25">
      <c r="A22">
        <v>16</v>
      </c>
      <c r="B22" s="7" t="s">
        <v>91</v>
      </c>
      <c r="C22" s="1" t="s">
        <v>30</v>
      </c>
      <c r="D22" s="2">
        <v>37540</v>
      </c>
      <c r="E22" s="3">
        <v>10392.4</v>
      </c>
      <c r="F22" s="4">
        <v>4261.975065616798</v>
      </c>
      <c r="G22" s="2">
        <v>37560</v>
      </c>
      <c r="H22" s="3">
        <v>3394.1</v>
      </c>
      <c r="I22" s="3">
        <v>1201.9000000000001</v>
      </c>
      <c r="J22" s="3">
        <v>2094.4</v>
      </c>
      <c r="K22" s="6">
        <v>0.35411449279632307</v>
      </c>
      <c r="L22" s="6">
        <v>0.61707079932824616</v>
      </c>
      <c r="M22" s="6">
        <v>2.8814707875430723E-2</v>
      </c>
      <c r="N22" s="4">
        <v>1509.2271386714681</v>
      </c>
      <c r="O22" s="4">
        <v>2629.9403604572121</v>
      </c>
      <c r="P22" s="4">
        <v>4139.16749912868</v>
      </c>
      <c r="Q22" s="2">
        <v>37568</v>
      </c>
      <c r="R22" s="67">
        <v>54</v>
      </c>
      <c r="S22" s="5">
        <v>1.1200000000000001</v>
      </c>
      <c r="T22" s="4">
        <v>82</v>
      </c>
      <c r="U22" s="4">
        <v>30.1</v>
      </c>
      <c r="V22" s="4">
        <v>83</v>
      </c>
      <c r="W22" s="7" t="s">
        <v>52</v>
      </c>
      <c r="X22" s="5">
        <v>0.1</v>
      </c>
      <c r="Y22" s="3"/>
    </row>
    <row r="23" spans="1:25" x14ac:dyDescent="0.25">
      <c r="A23">
        <v>17</v>
      </c>
      <c r="B23" s="7" t="s">
        <v>92</v>
      </c>
      <c r="C23" s="1" t="s">
        <v>30</v>
      </c>
      <c r="D23" s="2">
        <v>37540</v>
      </c>
      <c r="E23" s="3">
        <v>9220.9</v>
      </c>
      <c r="F23" s="4">
        <v>3781.5370734908138</v>
      </c>
      <c r="G23" s="2">
        <v>37560</v>
      </c>
      <c r="H23" s="3">
        <v>3604.7</v>
      </c>
      <c r="I23" s="3">
        <v>1331.3</v>
      </c>
      <c r="J23" s="3">
        <v>2172.4</v>
      </c>
      <c r="K23" s="6">
        <v>0.36932338336061254</v>
      </c>
      <c r="L23" s="6">
        <v>0.60265764141260025</v>
      </c>
      <c r="M23" s="6">
        <v>2.8018975226787202E-2</v>
      </c>
      <c r="N23" s="4">
        <v>1396.6100662852166</v>
      </c>
      <c r="O23" s="4">
        <v>2278.9722136242808</v>
      </c>
      <c r="P23" s="4">
        <v>3675.5822799094976</v>
      </c>
      <c r="Q23" s="2">
        <v>37568</v>
      </c>
      <c r="R23" s="67">
        <v>54</v>
      </c>
      <c r="S23" s="5">
        <v>1.1200000000000001</v>
      </c>
      <c r="T23" s="4">
        <v>82</v>
      </c>
      <c r="U23" s="4">
        <v>31.1</v>
      </c>
      <c r="V23" s="4">
        <v>83</v>
      </c>
      <c r="W23" s="7" t="s">
        <v>52</v>
      </c>
      <c r="X23" s="5">
        <v>0.1</v>
      </c>
      <c r="Y23" s="3"/>
    </row>
    <row r="24" spans="1:25" x14ac:dyDescent="0.25">
      <c r="A24">
        <v>18</v>
      </c>
      <c r="B24" s="7" t="s">
        <v>93</v>
      </c>
      <c r="C24" s="1" t="s">
        <v>30</v>
      </c>
      <c r="D24" s="2">
        <v>37537</v>
      </c>
      <c r="E24" s="3">
        <v>11230.6</v>
      </c>
      <c r="F24" s="4">
        <v>4605.725065616798</v>
      </c>
      <c r="G24" s="2">
        <v>37560</v>
      </c>
      <c r="H24" s="3">
        <v>4035</v>
      </c>
      <c r="I24" s="3">
        <v>1517.7</v>
      </c>
      <c r="J24" s="3">
        <v>2399.6999999999998</v>
      </c>
      <c r="K24" s="6">
        <v>0.37613382899628256</v>
      </c>
      <c r="L24" s="6">
        <v>0.594721189591078</v>
      </c>
      <c r="M24" s="6">
        <v>2.9144981412639437E-2</v>
      </c>
      <c r="N24" s="4">
        <v>1732.3690042346009</v>
      </c>
      <c r="O24" s="4">
        <v>2739.122289953068</v>
      </c>
      <c r="P24" s="4">
        <v>4471.4912941876692</v>
      </c>
      <c r="Q24" s="2">
        <v>37568</v>
      </c>
      <c r="R24" s="67">
        <v>54</v>
      </c>
      <c r="S24" s="5">
        <v>1.1200000000000001</v>
      </c>
      <c r="T24" s="4">
        <v>83</v>
      </c>
      <c r="U24" s="4">
        <v>32.1</v>
      </c>
      <c r="V24" s="4">
        <v>83</v>
      </c>
      <c r="W24" s="7" t="s">
        <v>53</v>
      </c>
      <c r="X24" s="5">
        <v>0.2</v>
      </c>
      <c r="Y24" s="3"/>
    </row>
    <row r="25" spans="1:25" x14ac:dyDescent="0.25">
      <c r="A25">
        <v>19</v>
      </c>
      <c r="B25" s="7" t="s">
        <v>94</v>
      </c>
      <c r="C25" s="1" t="s">
        <v>30</v>
      </c>
      <c r="D25" s="2">
        <v>37539</v>
      </c>
      <c r="E25" s="3">
        <v>9471</v>
      </c>
      <c r="F25" s="4">
        <v>3884.1043307086616</v>
      </c>
      <c r="G25" s="2">
        <v>37560</v>
      </c>
      <c r="H25" s="3">
        <v>3559.5</v>
      </c>
      <c r="I25" s="3">
        <v>1295.5899999999999</v>
      </c>
      <c r="J25" s="3">
        <v>2218.1999999999998</v>
      </c>
      <c r="K25" s="6">
        <v>0.36398089619328555</v>
      </c>
      <c r="L25" s="6">
        <v>0.62317741255794346</v>
      </c>
      <c r="M25" s="6">
        <v>1.2841691248770992E-2</v>
      </c>
      <c r="N25" s="4">
        <v>1413.7397751995602</v>
      </c>
      <c r="O25" s="4">
        <v>2420.4860869161266</v>
      </c>
      <c r="P25" s="4">
        <v>3834.2258621156871</v>
      </c>
      <c r="Q25" s="2">
        <v>37568</v>
      </c>
      <c r="R25" s="67">
        <v>52</v>
      </c>
      <c r="S25" s="5">
        <v>1.1299999999999999</v>
      </c>
      <c r="T25" s="4">
        <v>83</v>
      </c>
      <c r="U25" s="4">
        <v>30.7</v>
      </c>
      <c r="V25" s="4">
        <v>83</v>
      </c>
      <c r="W25" s="7" t="s">
        <v>52</v>
      </c>
      <c r="X25" s="5">
        <v>0.1</v>
      </c>
      <c r="Y25" s="3"/>
    </row>
    <row r="26" spans="1:25" x14ac:dyDescent="0.25">
      <c r="A26">
        <v>20</v>
      </c>
      <c r="B26" s="7" t="s">
        <v>95</v>
      </c>
      <c r="C26" s="1" t="s">
        <v>30</v>
      </c>
      <c r="D26" s="2">
        <v>37539</v>
      </c>
      <c r="E26" s="3">
        <v>11279.4</v>
      </c>
      <c r="F26" s="4">
        <v>4625.7381889763774</v>
      </c>
      <c r="G26" s="2">
        <v>37560</v>
      </c>
      <c r="H26" s="3">
        <v>4127</v>
      </c>
      <c r="I26" s="3">
        <v>1531.2</v>
      </c>
      <c r="J26" s="3">
        <v>2471.1</v>
      </c>
      <c r="K26" s="6">
        <v>0.3710201114611098</v>
      </c>
      <c r="L26" s="6">
        <v>0.59876423552217106</v>
      </c>
      <c r="M26" s="6">
        <v>3.0215653016719135E-2</v>
      </c>
      <c r="N26" s="4">
        <v>1716.2418984639278</v>
      </c>
      <c r="O26" s="4">
        <v>2769.7265904481528</v>
      </c>
      <c r="P26" s="4">
        <v>4485.9684889120808</v>
      </c>
      <c r="Q26" s="2">
        <v>37568</v>
      </c>
      <c r="R26" s="67">
        <v>54</v>
      </c>
      <c r="S26" s="5">
        <v>1.1200000000000001</v>
      </c>
      <c r="T26" s="4">
        <v>80</v>
      </c>
      <c r="U26" s="4">
        <v>30.5</v>
      </c>
      <c r="V26" s="4">
        <v>83</v>
      </c>
      <c r="W26" s="7" t="s">
        <v>54</v>
      </c>
      <c r="X26" s="5">
        <v>0.1</v>
      </c>
      <c r="Y26" s="3"/>
    </row>
    <row r="27" spans="1:25" x14ac:dyDescent="0.25">
      <c r="A27">
        <v>21</v>
      </c>
      <c r="B27" s="7" t="s">
        <v>96</v>
      </c>
      <c r="C27" s="1" t="s">
        <v>30</v>
      </c>
      <c r="D27" s="2">
        <v>37540</v>
      </c>
      <c r="E27" s="3">
        <v>9191.2999999999993</v>
      </c>
      <c r="F27" s="4">
        <v>3769.3979658792646</v>
      </c>
      <c r="G27" s="2">
        <v>37560</v>
      </c>
      <c r="H27" s="3">
        <v>3302.7</v>
      </c>
      <c r="I27" s="3">
        <v>1159.9000000000001</v>
      </c>
      <c r="J27" s="3">
        <v>2032.1</v>
      </c>
      <c r="K27" s="6">
        <v>0.35119750507160813</v>
      </c>
      <c r="L27" s="6">
        <v>0.61528446422623917</v>
      </c>
      <c r="M27" s="6">
        <v>3.3518030702152757E-2</v>
      </c>
      <c r="N27" s="4">
        <v>1323.8031612387924</v>
      </c>
      <c r="O27" s="4">
        <v>2319.252007891499</v>
      </c>
      <c r="P27" s="4">
        <v>3643.0551691302917</v>
      </c>
      <c r="Q27" s="2">
        <v>37568</v>
      </c>
      <c r="R27" s="67">
        <v>44</v>
      </c>
      <c r="S27" s="5">
        <v>1.1100000000000001</v>
      </c>
      <c r="T27" s="4">
        <v>81</v>
      </c>
      <c r="U27" s="4">
        <v>29.8</v>
      </c>
      <c r="V27" s="4">
        <v>82</v>
      </c>
      <c r="W27" s="7" t="s">
        <v>54</v>
      </c>
      <c r="X27" s="5">
        <v>0.2</v>
      </c>
      <c r="Y27" s="3"/>
    </row>
    <row r="28" spans="1:25" x14ac:dyDescent="0.25">
      <c r="A28">
        <v>22</v>
      </c>
      <c r="B28" s="7" t="s">
        <v>97</v>
      </c>
      <c r="C28" s="1" t="s">
        <v>30</v>
      </c>
      <c r="D28" s="2">
        <v>37540</v>
      </c>
      <c r="E28" s="3">
        <v>10961.5</v>
      </c>
      <c r="F28" s="4">
        <v>4495.3658136482936</v>
      </c>
      <c r="G28" s="2">
        <v>37560</v>
      </c>
      <c r="H28" s="3">
        <v>3573.2</v>
      </c>
      <c r="I28" s="3">
        <v>1346.4</v>
      </c>
      <c r="J28" s="3">
        <v>2110.4</v>
      </c>
      <c r="K28" s="6">
        <v>0.3768051046680847</v>
      </c>
      <c r="L28" s="6">
        <v>0.59061905294973693</v>
      </c>
      <c r="M28" s="6">
        <v>3.2575842382178366E-2</v>
      </c>
      <c r="N28" s="4">
        <v>1693.8767859330751</v>
      </c>
      <c r="O28" s="4">
        <v>2655.0486995195788</v>
      </c>
      <c r="P28" s="4">
        <v>4348.9254854526534</v>
      </c>
      <c r="Q28" s="2">
        <v>37568</v>
      </c>
      <c r="R28" s="67">
        <v>54</v>
      </c>
      <c r="S28" s="5">
        <v>1.1200000000000001</v>
      </c>
      <c r="T28" s="4">
        <v>80</v>
      </c>
      <c r="U28" s="4">
        <v>28.5</v>
      </c>
      <c r="V28" s="4">
        <v>82</v>
      </c>
      <c r="W28" s="7" t="s">
        <v>53</v>
      </c>
      <c r="X28" s="5">
        <v>0.1</v>
      </c>
      <c r="Y28" s="3"/>
    </row>
    <row r="29" spans="1:25" x14ac:dyDescent="0.25">
      <c r="A29">
        <v>23</v>
      </c>
      <c r="B29" s="7" t="s">
        <v>98</v>
      </c>
      <c r="C29" s="1" t="s">
        <v>30</v>
      </c>
      <c r="D29" s="2">
        <v>37540</v>
      </c>
      <c r="E29" s="3">
        <v>9217.9</v>
      </c>
      <c r="F29" s="4">
        <v>3780.3067585301837</v>
      </c>
      <c r="G29" s="2">
        <v>37560</v>
      </c>
      <c r="H29" s="3">
        <v>3213</v>
      </c>
      <c r="I29" s="3">
        <v>1141.7</v>
      </c>
      <c r="J29" s="3">
        <v>1963.5</v>
      </c>
      <c r="K29" s="6">
        <v>0.35533769063180831</v>
      </c>
      <c r="L29" s="6">
        <v>0.61111111111111116</v>
      </c>
      <c r="M29" s="6">
        <v>3.3551198257080528E-2</v>
      </c>
      <c r="N29" s="4">
        <v>1343.2854734559326</v>
      </c>
      <c r="O29" s="4">
        <v>2310.1874635462236</v>
      </c>
      <c r="P29" s="4">
        <v>3653.472937002156</v>
      </c>
      <c r="Q29" s="2">
        <v>37568</v>
      </c>
      <c r="R29" s="67">
        <v>54</v>
      </c>
      <c r="S29" s="5">
        <v>1.06</v>
      </c>
      <c r="T29" s="4">
        <v>80</v>
      </c>
      <c r="U29" s="4">
        <v>28.9</v>
      </c>
      <c r="V29" s="4">
        <v>82</v>
      </c>
      <c r="W29" s="7" t="s">
        <v>52</v>
      </c>
      <c r="X29" s="5">
        <v>0.1</v>
      </c>
      <c r="Y29" s="3"/>
    </row>
    <row r="30" spans="1:25" x14ac:dyDescent="0.25">
      <c r="A30">
        <v>24</v>
      </c>
      <c r="B30" s="7" t="s">
        <v>99</v>
      </c>
      <c r="C30" s="1" t="s">
        <v>30</v>
      </c>
      <c r="D30" s="2">
        <v>37540</v>
      </c>
      <c r="E30" s="3">
        <v>9067.7999999999993</v>
      </c>
      <c r="F30" s="4">
        <v>3718.75</v>
      </c>
      <c r="G30" s="2">
        <v>37560</v>
      </c>
      <c r="H30" s="3">
        <v>2775.8</v>
      </c>
      <c r="I30" s="3">
        <v>975.8</v>
      </c>
      <c r="J30" s="3">
        <v>1674.2</v>
      </c>
      <c r="K30" s="6">
        <v>0.35153829526622954</v>
      </c>
      <c r="L30" s="6">
        <v>0.60314143670293241</v>
      </c>
      <c r="M30" s="6">
        <v>4.5320268030837996E-2</v>
      </c>
      <c r="N30" s="4">
        <v>1307.2830355212911</v>
      </c>
      <c r="O30" s="4">
        <v>2242.93221773903</v>
      </c>
      <c r="P30" s="4">
        <v>3550.2152532603213</v>
      </c>
      <c r="Q30" s="2">
        <v>37568</v>
      </c>
      <c r="R30" s="67">
        <v>52</v>
      </c>
      <c r="S30" s="5">
        <v>1.1000000000000001</v>
      </c>
      <c r="T30" s="4">
        <v>80</v>
      </c>
      <c r="U30" s="4">
        <v>30.9</v>
      </c>
      <c r="V30" s="4">
        <v>83</v>
      </c>
      <c r="W30" s="7" t="s">
        <v>52</v>
      </c>
      <c r="X30" s="5">
        <v>0.1</v>
      </c>
      <c r="Y30" s="3"/>
    </row>
    <row r="31" spans="1:25" x14ac:dyDescent="0.25">
      <c r="A31">
        <v>25</v>
      </c>
      <c r="B31" s="7" t="s">
        <v>100</v>
      </c>
      <c r="C31" s="1" t="s">
        <v>30</v>
      </c>
      <c r="D31" s="2">
        <v>37539</v>
      </c>
      <c r="E31" s="3">
        <v>7922.1</v>
      </c>
      <c r="F31" s="4">
        <v>3248.892716535433</v>
      </c>
      <c r="G31" s="2">
        <v>37560</v>
      </c>
      <c r="H31" s="3">
        <v>2669.3</v>
      </c>
      <c r="I31" s="3">
        <v>898.9</v>
      </c>
      <c r="J31" s="3">
        <v>1664.7</v>
      </c>
      <c r="K31" s="6">
        <v>0.33675495448244858</v>
      </c>
      <c r="L31" s="6">
        <v>0.62364664893417743</v>
      </c>
      <c r="M31" s="6">
        <v>3.959839658337394E-2</v>
      </c>
      <c r="N31" s="4">
        <v>1094.0807188752485</v>
      </c>
      <c r="O31" s="4">
        <v>2026.1610554139793</v>
      </c>
      <c r="P31" s="4">
        <v>3120.2417742892276</v>
      </c>
      <c r="Q31" s="2">
        <v>37568</v>
      </c>
      <c r="R31" s="67">
        <v>51</v>
      </c>
      <c r="S31" s="5">
        <v>1.05</v>
      </c>
      <c r="T31" s="4">
        <v>79</v>
      </c>
      <c r="U31" s="4">
        <v>29.4</v>
      </c>
      <c r="V31" s="4">
        <v>82</v>
      </c>
      <c r="W31" s="7" t="s">
        <v>52</v>
      </c>
      <c r="X31" s="5">
        <v>0.2</v>
      </c>
      <c r="Y31" s="3"/>
    </row>
    <row r="32" spans="1:25" x14ac:dyDescent="0.25">
      <c r="A32">
        <v>26</v>
      </c>
      <c r="B32" s="7" t="s">
        <v>101</v>
      </c>
      <c r="C32" s="1" t="s">
        <v>30</v>
      </c>
      <c r="D32" s="2">
        <v>37539</v>
      </c>
      <c r="E32" s="3">
        <v>9929.7000000000007</v>
      </c>
      <c r="F32" s="4">
        <v>4072.2194881889768</v>
      </c>
      <c r="G32" s="2">
        <v>37560</v>
      </c>
      <c r="H32" s="3">
        <v>3354.6</v>
      </c>
      <c r="I32" s="3">
        <v>1183.5</v>
      </c>
      <c r="J32" s="3">
        <v>2060.1</v>
      </c>
      <c r="K32" s="6">
        <v>0.35279914147737435</v>
      </c>
      <c r="L32" s="6">
        <v>0.61411196565909498</v>
      </c>
      <c r="M32" s="6">
        <v>3.3088892863530672E-2</v>
      </c>
      <c r="N32" s="4">
        <v>1436.6755393405037</v>
      </c>
      <c r="O32" s="4">
        <v>2500.7987144870062</v>
      </c>
      <c r="P32" s="4">
        <v>3937.47425382751</v>
      </c>
      <c r="Q32" s="2">
        <v>37568</v>
      </c>
      <c r="R32" s="67">
        <v>51</v>
      </c>
      <c r="S32" s="5">
        <v>1.1000000000000001</v>
      </c>
      <c r="T32" s="4">
        <v>81</v>
      </c>
      <c r="U32" s="4">
        <v>30</v>
      </c>
      <c r="V32" s="4">
        <v>83</v>
      </c>
      <c r="W32" s="7" t="s">
        <v>52</v>
      </c>
      <c r="X32" s="5">
        <v>0.1</v>
      </c>
      <c r="Y32" s="3"/>
    </row>
    <row r="33" spans="1:25" x14ac:dyDescent="0.25">
      <c r="A33">
        <v>27</v>
      </c>
      <c r="B33" s="7" t="s">
        <v>102</v>
      </c>
      <c r="C33" s="1" t="s">
        <v>30</v>
      </c>
      <c r="D33" s="2">
        <v>37539</v>
      </c>
      <c r="E33" s="3">
        <v>10122.299999999999</v>
      </c>
      <c r="F33" s="4">
        <v>4151.2057086614168</v>
      </c>
      <c r="G33" s="2">
        <v>37560</v>
      </c>
      <c r="H33" s="3">
        <v>2938.4</v>
      </c>
      <c r="I33" s="3">
        <v>1106.8</v>
      </c>
      <c r="J33" s="3">
        <v>1736.2</v>
      </c>
      <c r="K33" s="6">
        <v>0.37666757419003538</v>
      </c>
      <c r="L33" s="6">
        <v>0.59086577729376533</v>
      </c>
      <c r="M33" s="6">
        <v>3.2466648516199292E-2</v>
      </c>
      <c r="N33" s="4">
        <v>1563.6245842453227</v>
      </c>
      <c r="O33" s="4">
        <v>2452.805387754544</v>
      </c>
      <c r="P33" s="4">
        <v>4016.4299719998667</v>
      </c>
      <c r="Q33" s="2">
        <v>37568</v>
      </c>
      <c r="R33" s="67">
        <v>55</v>
      </c>
      <c r="S33" s="5">
        <v>1.1000000000000001</v>
      </c>
      <c r="T33" s="4">
        <v>81</v>
      </c>
      <c r="U33" s="4">
        <v>30.1</v>
      </c>
      <c r="V33" s="4">
        <v>83</v>
      </c>
      <c r="W33" s="7" t="s">
        <v>52</v>
      </c>
      <c r="X33" s="5">
        <v>0.1</v>
      </c>
      <c r="Y33" s="3"/>
    </row>
    <row r="34" spans="1:25" x14ac:dyDescent="0.25">
      <c r="A34">
        <v>28</v>
      </c>
      <c r="B34" s="7" t="s">
        <v>103</v>
      </c>
      <c r="C34" s="1" t="s">
        <v>30</v>
      </c>
      <c r="D34" s="2">
        <v>37539</v>
      </c>
      <c r="E34" s="3">
        <v>10145</v>
      </c>
      <c r="F34" s="4">
        <v>4160.5150918635172</v>
      </c>
      <c r="G34" s="2">
        <v>37560</v>
      </c>
      <c r="H34" s="3">
        <v>3226.9</v>
      </c>
      <c r="I34" s="3">
        <v>1143.7</v>
      </c>
      <c r="J34" s="3">
        <v>1998.4</v>
      </c>
      <c r="K34" s="6">
        <v>0.35442684929808793</v>
      </c>
      <c r="L34" s="6">
        <v>0.61929405931389259</v>
      </c>
      <c r="M34" s="6">
        <v>2.6279091388019427E-2</v>
      </c>
      <c r="N34" s="4">
        <v>1474.5982554663312</v>
      </c>
      <c r="O34" s="4">
        <v>2576.5822800768701</v>
      </c>
      <c r="P34" s="4">
        <v>4051.1805355432016</v>
      </c>
      <c r="Q34" s="2">
        <v>37568</v>
      </c>
      <c r="R34" s="67">
        <v>50</v>
      </c>
      <c r="S34" s="5">
        <v>1.1200000000000001</v>
      </c>
      <c r="T34" s="4">
        <v>81</v>
      </c>
      <c r="U34" s="4">
        <v>30.9</v>
      </c>
      <c r="V34" s="4">
        <v>82</v>
      </c>
      <c r="W34" s="7" t="s">
        <v>53</v>
      </c>
      <c r="X34" s="5">
        <v>0.2</v>
      </c>
      <c r="Y34" s="3"/>
    </row>
    <row r="35" spans="1:25" x14ac:dyDescent="0.25">
      <c r="A35">
        <v>29</v>
      </c>
      <c r="B35" s="7" t="s">
        <v>104</v>
      </c>
      <c r="C35" s="1" t="s">
        <v>30</v>
      </c>
      <c r="D35" s="2">
        <v>37539</v>
      </c>
      <c r="E35" s="3">
        <v>9471.4</v>
      </c>
      <c r="F35" s="4">
        <v>3884.2683727034118</v>
      </c>
      <c r="G35" s="2">
        <v>37560</v>
      </c>
      <c r="H35" s="3">
        <v>2935</v>
      </c>
      <c r="I35" s="3">
        <v>1108.2</v>
      </c>
      <c r="J35" s="3">
        <v>1734</v>
      </c>
      <c r="K35" s="6">
        <v>0.37758091993185694</v>
      </c>
      <c r="L35" s="6">
        <v>0.59080068143100506</v>
      </c>
      <c r="M35" s="6">
        <v>3.1618398637138001E-2</v>
      </c>
      <c r="N35" s="4">
        <v>1466.6256254275711</v>
      </c>
      <c r="O35" s="4">
        <v>2294.8284014540768</v>
      </c>
      <c r="P35" s="4">
        <v>3761.4540268816481</v>
      </c>
      <c r="Q35" s="2">
        <v>37568</v>
      </c>
      <c r="R35" s="67">
        <v>57</v>
      </c>
      <c r="S35" s="5">
        <v>1.1100000000000001</v>
      </c>
      <c r="T35" s="4">
        <v>82</v>
      </c>
      <c r="U35" s="4">
        <v>28.8</v>
      </c>
      <c r="V35" s="4">
        <v>83</v>
      </c>
      <c r="W35" s="7" t="s">
        <v>52</v>
      </c>
      <c r="X35" s="5">
        <v>0.1</v>
      </c>
      <c r="Y35" s="3"/>
    </row>
    <row r="36" spans="1:25" x14ac:dyDescent="0.25">
      <c r="A36">
        <v>30</v>
      </c>
      <c r="B36" s="7" t="s">
        <v>105</v>
      </c>
      <c r="C36" s="1" t="s">
        <v>30</v>
      </c>
      <c r="D36" s="2">
        <v>37539</v>
      </c>
      <c r="E36" s="3">
        <v>10099.1</v>
      </c>
      <c r="F36" s="4">
        <v>4141.6912729658798</v>
      </c>
      <c r="G36" s="2">
        <v>37560</v>
      </c>
      <c r="H36" s="3">
        <v>3865.8</v>
      </c>
      <c r="I36" s="3">
        <v>1367.4</v>
      </c>
      <c r="J36" s="3">
        <v>2343.1</v>
      </c>
      <c r="K36" s="6">
        <v>0.353717212478659</v>
      </c>
      <c r="L36" s="6">
        <v>0.6061099901702105</v>
      </c>
      <c r="M36" s="6">
        <v>4.0172797351130551E-2</v>
      </c>
      <c r="N36" s="4">
        <v>1464.9874920206798</v>
      </c>
      <c r="O36" s="4">
        <v>2510.3204567453959</v>
      </c>
      <c r="P36" s="4">
        <v>3975.3079487660757</v>
      </c>
      <c r="Q36" s="2">
        <v>37568</v>
      </c>
      <c r="R36" s="67">
        <v>52</v>
      </c>
      <c r="S36" s="5">
        <v>1.1100000000000001</v>
      </c>
      <c r="T36" s="4">
        <v>81</v>
      </c>
      <c r="U36" s="4">
        <v>31.5</v>
      </c>
      <c r="V36" s="4">
        <v>83</v>
      </c>
      <c r="W36" s="7" t="s">
        <v>52</v>
      </c>
      <c r="X36" s="5">
        <v>0.1</v>
      </c>
      <c r="Y36" s="3"/>
    </row>
    <row r="37" spans="1:25" x14ac:dyDescent="0.25">
      <c r="A37">
        <v>31</v>
      </c>
      <c r="B37" s="7" t="s">
        <v>106</v>
      </c>
      <c r="C37" s="1" t="s">
        <v>30</v>
      </c>
      <c r="D37" s="2">
        <v>37539</v>
      </c>
      <c r="E37" s="3">
        <v>9747.1</v>
      </c>
      <c r="F37" s="4">
        <v>3997.3343175853015</v>
      </c>
      <c r="G37" s="2">
        <v>37560</v>
      </c>
      <c r="H37" s="3">
        <v>2752.9</v>
      </c>
      <c r="I37" s="3">
        <v>932.7</v>
      </c>
      <c r="J37" s="3">
        <v>1691.1</v>
      </c>
      <c r="K37" s="6">
        <v>0.33880634966762324</v>
      </c>
      <c r="L37" s="6">
        <v>0.6142976497511714</v>
      </c>
      <c r="M37" s="6">
        <v>4.6896000581205355E-2</v>
      </c>
      <c r="N37" s="4">
        <v>1354.3222485421959</v>
      </c>
      <c r="O37" s="4">
        <v>2455.5530765623535</v>
      </c>
      <c r="P37" s="4">
        <v>3809.8753251045491</v>
      </c>
      <c r="Q37" s="2">
        <v>37568</v>
      </c>
      <c r="R37" s="67">
        <v>50</v>
      </c>
      <c r="S37" s="5">
        <v>1.1000000000000001</v>
      </c>
      <c r="T37" s="4">
        <v>81</v>
      </c>
      <c r="U37" s="4">
        <v>31.4</v>
      </c>
      <c r="V37" s="4">
        <v>83</v>
      </c>
      <c r="W37" s="7" t="s">
        <v>52</v>
      </c>
      <c r="X37" s="5">
        <v>0.1</v>
      </c>
      <c r="Y37" s="3"/>
    </row>
    <row r="38" spans="1:25" x14ac:dyDescent="0.25">
      <c r="A38">
        <v>32</v>
      </c>
      <c r="B38" s="7" t="s">
        <v>107</v>
      </c>
      <c r="C38" s="1" t="s">
        <v>30</v>
      </c>
      <c r="D38" s="2">
        <v>37539</v>
      </c>
      <c r="E38" s="3">
        <v>8206.1</v>
      </c>
      <c r="F38" s="4">
        <v>3365.362532808399</v>
      </c>
      <c r="G38" s="2">
        <v>37560</v>
      </c>
      <c r="H38" s="3">
        <v>2751</v>
      </c>
      <c r="I38" s="3">
        <v>983.9</v>
      </c>
      <c r="J38" s="3">
        <v>1652.7</v>
      </c>
      <c r="K38" s="6">
        <v>0.35765176299527446</v>
      </c>
      <c r="L38" s="6">
        <v>0.60076335877862597</v>
      </c>
      <c r="M38" s="6">
        <v>4.1584878226099575E-2</v>
      </c>
      <c r="N38" s="4">
        <v>1203.627842977166</v>
      </c>
      <c r="O38" s="4">
        <v>2021.7864987177177</v>
      </c>
      <c r="P38" s="4">
        <v>3225.4143416948837</v>
      </c>
      <c r="Q38" s="2">
        <v>37568</v>
      </c>
      <c r="R38" s="67">
        <v>54</v>
      </c>
      <c r="S38" s="5">
        <v>1.08</v>
      </c>
      <c r="T38" s="4">
        <v>81</v>
      </c>
      <c r="U38" s="4">
        <v>29.7</v>
      </c>
      <c r="V38" s="4">
        <v>83</v>
      </c>
      <c r="W38" s="7" t="s">
        <v>52</v>
      </c>
      <c r="X38" s="5">
        <v>0.2</v>
      </c>
      <c r="Y38" s="3"/>
    </row>
    <row r="39" spans="1:25" x14ac:dyDescent="0.25">
      <c r="A39">
        <v>34</v>
      </c>
      <c r="B39" s="7" t="s">
        <v>108</v>
      </c>
      <c r="C39" s="1" t="s">
        <v>30</v>
      </c>
      <c r="D39" s="2">
        <v>37544</v>
      </c>
      <c r="E39" s="3">
        <v>2449.3000000000002</v>
      </c>
      <c r="F39" s="4">
        <v>2008.9402887139108</v>
      </c>
      <c r="G39" s="2">
        <v>37560</v>
      </c>
      <c r="H39">
        <v>2417.6</v>
      </c>
      <c r="I39">
        <v>806.6</v>
      </c>
      <c r="J39">
        <v>1520.3</v>
      </c>
      <c r="K39" s="6">
        <v>0.33363666446062212</v>
      </c>
      <c r="L39" s="6">
        <v>0.6288467902051621</v>
      </c>
      <c r="M39" s="6">
        <v>3.7516545334215778E-2</v>
      </c>
      <c r="N39" s="4">
        <v>670.25613702706835</v>
      </c>
      <c r="O39" s="4">
        <v>1263.3156522715744</v>
      </c>
      <c r="P39" s="4">
        <v>1933.5717892986427</v>
      </c>
      <c r="Q39" s="2">
        <v>37568</v>
      </c>
      <c r="R39" s="67">
        <v>43</v>
      </c>
      <c r="S39" s="5">
        <v>1.07</v>
      </c>
      <c r="T39" s="4">
        <v>80</v>
      </c>
      <c r="U39" s="4">
        <v>31.5</v>
      </c>
      <c r="V39" s="4">
        <v>81</v>
      </c>
      <c r="W39" s="7" t="s">
        <v>52</v>
      </c>
      <c r="X39" s="5">
        <v>0.1</v>
      </c>
      <c r="Y39" s="3"/>
    </row>
    <row r="40" spans="1:25" x14ac:dyDescent="0.25">
      <c r="A40">
        <v>36</v>
      </c>
      <c r="B40" s="7" t="s">
        <v>109</v>
      </c>
      <c r="C40" s="1" t="s">
        <v>30</v>
      </c>
      <c r="D40" s="2">
        <v>37544</v>
      </c>
      <c r="E40" s="3">
        <v>634.30999999999995</v>
      </c>
      <c r="F40" s="4">
        <v>520.26738845144348</v>
      </c>
      <c r="G40" s="2">
        <v>37560</v>
      </c>
      <c r="H40">
        <v>631.5</v>
      </c>
      <c r="I40">
        <v>204.2</v>
      </c>
      <c r="J40">
        <v>361.2</v>
      </c>
      <c r="K40" s="6">
        <v>0.32335708630245447</v>
      </c>
      <c r="L40" s="6">
        <v>0.57197149643705458</v>
      </c>
      <c r="M40" s="6">
        <v>0.10467141726049101</v>
      </c>
      <c r="N40" s="4">
        <v>168.23214682784601</v>
      </c>
      <c r="O40" s="4">
        <v>297.57811671997052</v>
      </c>
      <c r="P40" s="4">
        <v>465.81026354781653</v>
      </c>
      <c r="Q40" s="2">
        <v>37568</v>
      </c>
      <c r="R40" s="67">
        <v>50</v>
      </c>
      <c r="S40" s="5">
        <v>1.04</v>
      </c>
      <c r="T40" s="4">
        <v>79</v>
      </c>
      <c r="U40" s="4">
        <v>28.5</v>
      </c>
      <c r="V40" s="4">
        <v>80</v>
      </c>
      <c r="W40" s="7" t="s">
        <v>55</v>
      </c>
      <c r="X40" s="5">
        <v>0.1</v>
      </c>
      <c r="Y40" s="3"/>
    </row>
    <row r="41" spans="1:25" x14ac:dyDescent="0.25">
      <c r="A41">
        <v>38</v>
      </c>
      <c r="B41" s="7" t="s">
        <v>110</v>
      </c>
      <c r="C41" s="1" t="s">
        <v>30</v>
      </c>
      <c r="D41" s="2">
        <v>37544</v>
      </c>
      <c r="E41" s="3">
        <v>2857.7</v>
      </c>
      <c r="F41" s="4">
        <v>2343.9140419947503</v>
      </c>
      <c r="G41" s="2">
        <v>37560</v>
      </c>
      <c r="H41">
        <v>2835</v>
      </c>
      <c r="I41">
        <v>950.3</v>
      </c>
      <c r="J41">
        <v>1768.4</v>
      </c>
      <c r="K41" s="6">
        <v>0.33520282186948852</v>
      </c>
      <c r="L41" s="6">
        <v>0.62377425044091717</v>
      </c>
      <c r="M41" s="6">
        <v>4.1022927689594368E-2</v>
      </c>
      <c r="N41" s="4">
        <v>785.68660109615917</v>
      </c>
      <c r="O41" s="4">
        <v>1462.0732246432158</v>
      </c>
      <c r="P41" s="4">
        <v>2247.7598257393747</v>
      </c>
      <c r="Q41" s="2">
        <v>37568</v>
      </c>
      <c r="R41" s="67">
        <v>41</v>
      </c>
      <c r="S41" s="5">
        <v>1.1100000000000001</v>
      </c>
      <c r="T41" s="4">
        <v>81</v>
      </c>
      <c r="U41" s="4">
        <v>29.9</v>
      </c>
      <c r="V41" s="4">
        <v>82</v>
      </c>
      <c r="W41" s="7" t="s">
        <v>52</v>
      </c>
      <c r="X41" s="5">
        <v>0.1</v>
      </c>
      <c r="Y41" s="3"/>
    </row>
    <row r="42" spans="1:25" x14ac:dyDescent="0.25">
      <c r="A42">
        <v>40</v>
      </c>
      <c r="B42" s="7" t="s">
        <v>111</v>
      </c>
      <c r="C42" s="1" t="s">
        <v>30</v>
      </c>
      <c r="D42" s="2">
        <v>37544</v>
      </c>
      <c r="E42" s="3">
        <v>768.5</v>
      </c>
      <c r="F42" s="4">
        <v>630.33136482939619</v>
      </c>
      <c r="G42" s="2">
        <v>37560</v>
      </c>
      <c r="H42">
        <v>759.9</v>
      </c>
      <c r="I42">
        <v>235.9</v>
      </c>
      <c r="J42">
        <v>440.2</v>
      </c>
      <c r="K42" s="6">
        <v>0.31043558362942492</v>
      </c>
      <c r="L42" s="6">
        <v>0.57928674825634952</v>
      </c>
      <c r="M42" s="6">
        <v>0.11027766811422557</v>
      </c>
      <c r="N42" s="4">
        <v>195.67728512074558</v>
      </c>
      <c r="O42" s="4">
        <v>365.14260665600762</v>
      </c>
      <c r="P42" s="4">
        <v>560.81989177675314</v>
      </c>
      <c r="Q42" s="2">
        <v>37568</v>
      </c>
      <c r="R42" s="67">
        <v>48</v>
      </c>
      <c r="S42" s="5">
        <v>1.06</v>
      </c>
      <c r="T42" s="4">
        <v>80</v>
      </c>
      <c r="U42" s="4">
        <v>29.8</v>
      </c>
      <c r="V42" s="4">
        <v>79</v>
      </c>
      <c r="W42" s="7" t="s">
        <v>56</v>
      </c>
      <c r="X42" s="5">
        <v>0.1</v>
      </c>
      <c r="Y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A703-E793-4147-8A10-EA57A13CA9E8}">
  <dimension ref="A1:N41"/>
  <sheetViews>
    <sheetView workbookViewId="0"/>
  </sheetViews>
  <sheetFormatPr defaultRowHeight="15" x14ac:dyDescent="0.25"/>
  <sheetData>
    <row r="1" spans="1:14" x14ac:dyDescent="0.25">
      <c r="B1" t="s">
        <v>70</v>
      </c>
      <c r="C1" t="s">
        <v>70</v>
      </c>
    </row>
    <row r="2" spans="1:14" x14ac:dyDescent="0.25">
      <c r="B2" t="s">
        <v>71</v>
      </c>
      <c r="C2" t="s">
        <v>71</v>
      </c>
    </row>
    <row r="5" spans="1:14" x14ac:dyDescent="0.25">
      <c r="A5" t="s">
        <v>28</v>
      </c>
      <c r="B5" t="s">
        <v>68</v>
      </c>
      <c r="C5" t="s">
        <v>69</v>
      </c>
      <c r="N5">
        <v>0</v>
      </c>
    </row>
    <row r="6" spans="1:14" x14ac:dyDescent="0.25">
      <c r="A6">
        <v>101</v>
      </c>
      <c r="B6">
        <v>1320.8045382596224</v>
      </c>
      <c r="C6">
        <v>3821.3924431321088</v>
      </c>
      <c r="N6">
        <v>2000</v>
      </c>
    </row>
    <row r="7" spans="1:14" x14ac:dyDescent="0.25">
      <c r="A7">
        <v>102</v>
      </c>
      <c r="B7">
        <v>1566.1621266340587</v>
      </c>
      <c r="C7">
        <v>4242.5497594050739</v>
      </c>
    </row>
    <row r="8" spans="1:14" x14ac:dyDescent="0.25">
      <c r="A8">
        <v>103</v>
      </c>
      <c r="B8">
        <v>1283.2179311388734</v>
      </c>
      <c r="C8">
        <v>3630.4680664916887</v>
      </c>
    </row>
    <row r="9" spans="1:14" x14ac:dyDescent="0.25">
      <c r="A9">
        <v>104</v>
      </c>
      <c r="B9">
        <v>1312.2293898616733</v>
      </c>
      <c r="C9">
        <v>3503.7114501312335</v>
      </c>
    </row>
    <row r="10" spans="1:14" x14ac:dyDescent="0.25">
      <c r="A10">
        <v>105</v>
      </c>
      <c r="B10">
        <v>1263.8379649491621</v>
      </c>
      <c r="C10">
        <v>3502.9732611548557</v>
      </c>
    </row>
    <row r="11" spans="1:14" x14ac:dyDescent="0.25">
      <c r="A11">
        <v>106</v>
      </c>
      <c r="B11">
        <v>1133.2395019685978</v>
      </c>
      <c r="C11">
        <v>3383.4755030621172</v>
      </c>
    </row>
    <row r="12" spans="1:14" x14ac:dyDescent="0.25">
      <c r="A12">
        <v>107</v>
      </c>
      <c r="B12">
        <v>1431.8983037958687</v>
      </c>
      <c r="C12">
        <v>3911.0003827646542</v>
      </c>
    </row>
    <row r="13" spans="1:14" x14ac:dyDescent="0.25">
      <c r="A13">
        <v>108</v>
      </c>
      <c r="B13">
        <v>1483.3114525600183</v>
      </c>
      <c r="C13">
        <v>4221.3404965004374</v>
      </c>
    </row>
    <row r="14" spans="1:14" x14ac:dyDescent="0.25">
      <c r="A14">
        <v>201</v>
      </c>
      <c r="B14">
        <v>1513.9380597517281</v>
      </c>
      <c r="C14">
        <v>4102.1776574803152</v>
      </c>
    </row>
    <row r="15" spans="1:14" x14ac:dyDescent="0.25">
      <c r="A15">
        <v>202</v>
      </c>
      <c r="B15">
        <v>1160.2979987764897</v>
      </c>
      <c r="C15">
        <v>3273.2461176727911</v>
      </c>
    </row>
    <row r="16" spans="1:14" x14ac:dyDescent="0.25">
      <c r="A16">
        <v>203</v>
      </c>
      <c r="B16">
        <v>1575.6975790964177</v>
      </c>
      <c r="C16">
        <v>4429.2022090988621</v>
      </c>
    </row>
    <row r="17" spans="1:14" x14ac:dyDescent="0.25">
      <c r="A17">
        <v>204</v>
      </c>
      <c r="B17">
        <v>1057.1232789764999</v>
      </c>
      <c r="C17">
        <v>3075.39780183727</v>
      </c>
    </row>
    <row r="18" spans="1:14" x14ac:dyDescent="0.25">
      <c r="A18">
        <v>205</v>
      </c>
      <c r="B18">
        <v>1680.3908411182599</v>
      </c>
      <c r="C18">
        <v>4849.2795822397193</v>
      </c>
    </row>
    <row r="19" spans="1:14" x14ac:dyDescent="0.25">
      <c r="A19">
        <v>206</v>
      </c>
      <c r="B19">
        <v>1273.9486206221825</v>
      </c>
      <c r="C19">
        <v>3580.9615594925635</v>
      </c>
    </row>
    <row r="20" spans="1:14" x14ac:dyDescent="0.25">
      <c r="A20">
        <v>207</v>
      </c>
      <c r="B20">
        <v>1484.3626420197647</v>
      </c>
      <c r="C20">
        <v>4136.4282589676295</v>
      </c>
    </row>
    <row r="21" spans="1:14" x14ac:dyDescent="0.25">
      <c r="A21">
        <v>208</v>
      </c>
      <c r="B21">
        <v>1498.9888382522829</v>
      </c>
      <c r="C21">
        <v>4233.062664041995</v>
      </c>
    </row>
    <row r="22" spans="1:14" x14ac:dyDescent="0.25">
      <c r="A22">
        <v>301</v>
      </c>
      <c r="B22">
        <v>1383.0921397904106</v>
      </c>
      <c r="C22">
        <v>3744.9352034120739</v>
      </c>
    </row>
    <row r="23" spans="1:14" x14ac:dyDescent="0.25">
      <c r="A23">
        <v>302</v>
      </c>
      <c r="B23">
        <v>1704.2947108958037</v>
      </c>
      <c r="C23">
        <v>4531.0859580052484</v>
      </c>
      <c r="N23">
        <v>0</v>
      </c>
    </row>
    <row r="24" spans="1:14" x14ac:dyDescent="0.25">
      <c r="A24">
        <v>303</v>
      </c>
      <c r="B24">
        <v>1403.4649973310243</v>
      </c>
      <c r="C24">
        <v>3855.8754374453188</v>
      </c>
      <c r="N24">
        <v>5000</v>
      </c>
    </row>
    <row r="25" spans="1:14" x14ac:dyDescent="0.25">
      <c r="A25">
        <v>304</v>
      </c>
      <c r="B25">
        <v>1695.7640755742705</v>
      </c>
      <c r="C25">
        <v>4570.5448928258966</v>
      </c>
    </row>
    <row r="26" spans="1:14" x14ac:dyDescent="0.25">
      <c r="A26">
        <v>305</v>
      </c>
      <c r="B26">
        <v>1314.6093835948166</v>
      </c>
      <c r="C26">
        <v>3743.2195975503059</v>
      </c>
    </row>
    <row r="27" spans="1:14" x14ac:dyDescent="0.25">
      <c r="A27">
        <v>306</v>
      </c>
      <c r="B27">
        <v>1688.4811255664436</v>
      </c>
      <c r="C27">
        <v>4481.0463145231843</v>
      </c>
    </row>
    <row r="28" spans="1:14" x14ac:dyDescent="0.25">
      <c r="A28">
        <v>307</v>
      </c>
      <c r="B28">
        <v>1334.6633660511936</v>
      </c>
      <c r="C28">
        <v>3756.0422134733158</v>
      </c>
    </row>
    <row r="29" spans="1:14" x14ac:dyDescent="0.25">
      <c r="A29">
        <v>308</v>
      </c>
      <c r="B29">
        <v>1297.563735950863</v>
      </c>
      <c r="C29">
        <v>3691.1020888014004</v>
      </c>
    </row>
    <row r="30" spans="1:14" x14ac:dyDescent="0.25">
      <c r="A30">
        <v>401</v>
      </c>
      <c r="B30">
        <v>1084.3788506204944</v>
      </c>
      <c r="C30">
        <v>3220.0828412073492</v>
      </c>
    </row>
    <row r="31" spans="1:14" x14ac:dyDescent="0.25">
      <c r="A31">
        <v>402</v>
      </c>
      <c r="B31">
        <v>1427.8859445878993</v>
      </c>
      <c r="C31">
        <v>4047.3056102362202</v>
      </c>
    </row>
    <row r="32" spans="1:14" x14ac:dyDescent="0.25">
      <c r="A32">
        <v>403</v>
      </c>
      <c r="B32">
        <v>1554.4849169199274</v>
      </c>
      <c r="C32">
        <v>4126.9411636045497</v>
      </c>
    </row>
    <row r="33" spans="1:3" x14ac:dyDescent="0.25">
      <c r="A33">
        <v>404</v>
      </c>
      <c r="B33">
        <v>1464.3145860159377</v>
      </c>
      <c r="C33">
        <v>4131.5001640419941</v>
      </c>
    </row>
    <row r="34" spans="1:3" x14ac:dyDescent="0.25">
      <c r="A34">
        <v>405</v>
      </c>
      <c r="B34">
        <v>1459.7607054867719</v>
      </c>
      <c r="C34">
        <v>3866.0870516185478</v>
      </c>
    </row>
    <row r="35" spans="1:3" x14ac:dyDescent="0.25">
      <c r="A35">
        <v>406</v>
      </c>
      <c r="B35">
        <v>1449.6956246149523</v>
      </c>
      <c r="C35">
        <v>4098.4593722659665</v>
      </c>
    </row>
    <row r="36" spans="1:3" x14ac:dyDescent="0.25">
      <c r="A36">
        <v>407</v>
      </c>
      <c r="B36">
        <v>1348.6601919686409</v>
      </c>
      <c r="C36">
        <v>3980.6225393700788</v>
      </c>
    </row>
    <row r="37" spans="1:3" x14ac:dyDescent="0.25">
      <c r="A37">
        <v>408</v>
      </c>
      <c r="B37">
        <v>1200.5110040813122</v>
      </c>
      <c r="C37">
        <v>3356.6478018372704</v>
      </c>
    </row>
    <row r="38" spans="1:3" x14ac:dyDescent="0.25">
      <c r="A38">
        <v>902</v>
      </c>
      <c r="B38">
        <v>668.11252875529874</v>
      </c>
      <c r="C38">
        <v>2002.5153105861771</v>
      </c>
    </row>
    <row r="39" spans="1:3" x14ac:dyDescent="0.25">
      <c r="A39">
        <v>904</v>
      </c>
      <c r="B39">
        <v>166.63861241167101</v>
      </c>
      <c r="C39">
        <v>515.33929352580924</v>
      </c>
    </row>
    <row r="40" spans="1:3" x14ac:dyDescent="0.25">
      <c r="A40">
        <v>906</v>
      </c>
      <c r="B40">
        <v>781.86039871945013</v>
      </c>
      <c r="C40">
        <v>2332.4994531933503</v>
      </c>
    </row>
    <row r="41" spans="1:3" x14ac:dyDescent="0.25">
      <c r="A41">
        <v>908</v>
      </c>
      <c r="B41">
        <v>192.79156501920352</v>
      </c>
      <c r="C41">
        <v>621.03565179352586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5FC1-87AE-4C9F-B4DF-EB4AD27E7D18}">
  <sheetPr codeName="Sheet6">
    <pageSetUpPr autoPageBreaks="0" fitToPage="1"/>
  </sheetPr>
  <dimension ref="A1:Q22"/>
  <sheetViews>
    <sheetView zoomScale="85" workbookViewId="0">
      <selection activeCell="A7" sqref="A7"/>
    </sheetView>
  </sheetViews>
  <sheetFormatPr defaultRowHeight="12.75" x14ac:dyDescent="0.2"/>
  <cols>
    <col min="1" max="3" width="9.140625" style="8"/>
    <col min="4" max="4" width="6.85546875" style="8" customWidth="1"/>
    <col min="5" max="7" width="9.140625" style="8"/>
    <col min="8" max="8" width="12.140625" style="8" customWidth="1"/>
    <col min="9" max="9" width="36.5703125" style="8" customWidth="1"/>
    <col min="10" max="16384" width="9.140625" style="8"/>
  </cols>
  <sheetData>
    <row r="1" spans="1:17" s="30" customFormat="1" ht="50.1" customHeight="1" x14ac:dyDescent="0.25">
      <c r="A1" s="49" t="s">
        <v>145</v>
      </c>
    </row>
    <row r="2" spans="1:17" ht="24.95" customHeight="1" thickBot="1" x14ac:dyDescent="0.3">
      <c r="H2" s="48" t="s">
        <v>144</v>
      </c>
      <c r="I2" s="47">
        <v>101</v>
      </c>
      <c r="J2" s="46"/>
      <c r="K2" s="39" t="s">
        <v>143</v>
      </c>
      <c r="L2" s="45">
        <v>37560</v>
      </c>
      <c r="N2" s="39" t="s">
        <v>142</v>
      </c>
      <c r="O2" s="40"/>
    </row>
    <row r="3" spans="1:17" ht="24.95" customHeight="1" thickTop="1" thickBot="1" x14ac:dyDescent="0.25">
      <c r="B3" s="42" t="s">
        <v>141</v>
      </c>
      <c r="C3" s="44">
        <v>37537</v>
      </c>
      <c r="K3" s="39" t="s">
        <v>140</v>
      </c>
      <c r="L3" s="40">
        <v>3124.4</v>
      </c>
      <c r="N3" s="39" t="s">
        <v>139</v>
      </c>
      <c r="O3" s="38">
        <f>(L3-(L4+L5))/L3</f>
        <v>2.7205223402893355E-2</v>
      </c>
    </row>
    <row r="4" spans="1:17" ht="24.95" customHeight="1" thickTop="1" thickBot="1" x14ac:dyDescent="0.25">
      <c r="B4" s="42" t="s">
        <v>138</v>
      </c>
      <c r="C4" s="44">
        <v>37558</v>
      </c>
      <c r="F4" s="37"/>
      <c r="G4" s="37"/>
      <c r="H4" s="42" t="s">
        <v>137</v>
      </c>
      <c r="I4" s="43" t="s">
        <v>136</v>
      </c>
      <c r="K4" s="39" t="s">
        <v>135</v>
      </c>
      <c r="L4" s="40">
        <v>1079.9000000000001</v>
      </c>
      <c r="N4" s="39" t="s">
        <v>134</v>
      </c>
      <c r="O4" s="38">
        <f>L4/L3</f>
        <v>0.34563436179746515</v>
      </c>
    </row>
    <row r="5" spans="1:17" ht="24.95" customHeight="1" thickTop="1" thickBot="1" x14ac:dyDescent="0.25">
      <c r="B5" s="42" t="s">
        <v>133</v>
      </c>
      <c r="C5" s="41">
        <v>0.39097222222222222</v>
      </c>
      <c r="F5" s="37"/>
      <c r="G5" s="37"/>
      <c r="K5" s="39" t="s">
        <v>132</v>
      </c>
      <c r="L5" s="40">
        <v>1959.5</v>
      </c>
      <c r="N5" s="39" t="s">
        <v>131</v>
      </c>
      <c r="O5" s="38">
        <f>L5/L3</f>
        <v>0.62716041479964146</v>
      </c>
      <c r="Q5" s="18"/>
    </row>
    <row r="6" spans="1:17" ht="24.95" customHeight="1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7" s="30" customFormat="1" ht="30" customHeight="1" thickBot="1" x14ac:dyDescent="0.3"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</row>
    <row r="8" spans="1:17" s="30" customFormat="1" ht="24.95" customHeight="1" thickBot="1" x14ac:dyDescent="0.3">
      <c r="C8" s="29"/>
      <c r="D8" s="33"/>
      <c r="E8" s="29"/>
      <c r="F8" s="29"/>
      <c r="G8" s="29"/>
      <c r="H8" s="29"/>
      <c r="I8" s="29"/>
      <c r="J8" s="32"/>
      <c r="M8" s="31"/>
    </row>
    <row r="9" spans="1:17" ht="24.95" customHeight="1" thickBot="1" x14ac:dyDescent="0.25">
      <c r="C9" s="29">
        <v>3</v>
      </c>
      <c r="D9" s="29">
        <v>4</v>
      </c>
      <c r="E9" s="26">
        <v>1707.3</v>
      </c>
      <c r="F9" s="26"/>
      <c r="G9" s="21"/>
      <c r="H9" s="21">
        <f t="shared" ref="H9:H14" si="0">SUM(E9:G9)</f>
        <v>1707.3</v>
      </c>
      <c r="I9" s="26"/>
      <c r="K9" s="8">
        <f t="shared" ref="K9:K14" si="1">H9/D9</f>
        <v>426.82499999999999</v>
      </c>
      <c r="L9" s="19">
        <f t="shared" ref="L9:L14" si="2">K9/1.016*10</f>
        <v>4201.0334645669291</v>
      </c>
      <c r="M9" s="20">
        <f t="shared" ref="M9:M14" si="3">L9/1.12085</f>
        <v>3748.0782125769992</v>
      </c>
      <c r="N9" s="19">
        <f t="shared" ref="N9:O14" si="4">L9*$O$4</f>
        <v>1452.0215204153844</v>
      </c>
      <c r="O9" s="19">
        <f t="shared" si="4"/>
        <v>1295.4646209710349</v>
      </c>
      <c r="P9" s="18">
        <f t="shared" ref="P9:P14" si="5">O9/480</f>
        <v>2.6988846270229896</v>
      </c>
    </row>
    <row r="10" spans="1:17" ht="24.95" customHeight="1" thickBot="1" x14ac:dyDescent="0.25">
      <c r="C10" s="29">
        <v>4</v>
      </c>
      <c r="D10" s="29">
        <v>4</v>
      </c>
      <c r="E10" s="26">
        <v>1500.2</v>
      </c>
      <c r="F10" s="26"/>
      <c r="G10" s="21"/>
      <c r="H10" s="21">
        <f t="shared" si="0"/>
        <v>1500.2</v>
      </c>
      <c r="I10" s="26"/>
      <c r="K10" s="8">
        <f t="shared" si="1"/>
        <v>375.05</v>
      </c>
      <c r="L10" s="19">
        <f t="shared" si="2"/>
        <v>3691.4370078740158</v>
      </c>
      <c r="M10" s="20">
        <f t="shared" si="3"/>
        <v>3293.4264244760816</v>
      </c>
      <c r="N10" s="19">
        <f t="shared" si="4"/>
        <v>1275.8874743320798</v>
      </c>
      <c r="O10" s="19">
        <f t="shared" si="4"/>
        <v>1138.3213403506979</v>
      </c>
      <c r="P10" s="18">
        <f t="shared" si="5"/>
        <v>2.3715027923972873</v>
      </c>
    </row>
    <row r="11" spans="1:17" ht="24.95" customHeight="1" thickBot="1" x14ac:dyDescent="0.25">
      <c r="C11" s="29">
        <v>5</v>
      </c>
      <c r="D11" s="29">
        <v>4</v>
      </c>
      <c r="E11" s="26">
        <v>1666.8</v>
      </c>
      <c r="F11" s="26"/>
      <c r="G11" s="21"/>
      <c r="H11" s="21">
        <f t="shared" si="0"/>
        <v>1666.8</v>
      </c>
      <c r="I11" s="26"/>
      <c r="K11" s="8">
        <f t="shared" si="1"/>
        <v>416.7</v>
      </c>
      <c r="L11" s="19">
        <f t="shared" si="2"/>
        <v>4101.3779527559054</v>
      </c>
      <c r="M11" s="20">
        <f t="shared" si="3"/>
        <v>3659.167553870639</v>
      </c>
      <c r="N11" s="19">
        <f t="shared" si="4"/>
        <v>1417.5771511909816</v>
      </c>
      <c r="O11" s="19">
        <f t="shared" si="4"/>
        <v>1264.7340421920701</v>
      </c>
      <c r="P11" s="18">
        <f t="shared" si="5"/>
        <v>2.6348625879001459</v>
      </c>
    </row>
    <row r="12" spans="1:17" ht="24.95" customHeight="1" thickBot="1" x14ac:dyDescent="0.25">
      <c r="C12" s="29">
        <v>6</v>
      </c>
      <c r="D12" s="29">
        <v>4</v>
      </c>
      <c r="E12" s="26">
        <v>1350.8</v>
      </c>
      <c r="F12" s="26"/>
      <c r="G12" s="21"/>
      <c r="H12" s="21">
        <f t="shared" si="0"/>
        <v>1350.8</v>
      </c>
      <c r="I12" s="26"/>
      <c r="K12" s="8">
        <f t="shared" si="1"/>
        <v>337.7</v>
      </c>
      <c r="L12" s="19">
        <f t="shared" si="2"/>
        <v>3323.8188976377951</v>
      </c>
      <c r="M12" s="20">
        <f t="shared" si="3"/>
        <v>2965.4448834703976</v>
      </c>
      <c r="N12" s="19">
        <f t="shared" si="4"/>
        <v>1148.8260234153934</v>
      </c>
      <c r="O12" s="19">
        <f t="shared" si="4"/>
        <v>1024.9596497438492</v>
      </c>
      <c r="P12" s="18">
        <f t="shared" si="5"/>
        <v>2.1353326036330191</v>
      </c>
    </row>
    <row r="13" spans="1:17" ht="24.95" customHeight="1" thickBot="1" x14ac:dyDescent="0.25">
      <c r="C13" s="29">
        <v>7</v>
      </c>
      <c r="D13" s="29">
        <v>4</v>
      </c>
      <c r="E13" s="26">
        <v>1348.5</v>
      </c>
      <c r="F13" s="26"/>
      <c r="G13" s="21"/>
      <c r="H13" s="21">
        <f t="shared" si="0"/>
        <v>1348.5</v>
      </c>
      <c r="I13" s="26"/>
      <c r="K13" s="8">
        <f t="shared" si="1"/>
        <v>337.125</v>
      </c>
      <c r="L13" s="19">
        <f t="shared" si="2"/>
        <v>3318.1594488188975</v>
      </c>
      <c r="M13" s="20">
        <f t="shared" si="3"/>
        <v>2960.3956361858391</v>
      </c>
      <c r="N13" s="19">
        <f t="shared" si="4"/>
        <v>1146.8699234347484</v>
      </c>
      <c r="O13" s="19">
        <f t="shared" si="4"/>
        <v>1023.2144563810933</v>
      </c>
      <c r="P13" s="18">
        <f t="shared" si="5"/>
        <v>2.1316967841272776</v>
      </c>
    </row>
    <row r="14" spans="1:17" ht="24.95" customHeight="1" thickBot="1" x14ac:dyDescent="0.25">
      <c r="C14" s="29">
        <v>8</v>
      </c>
      <c r="D14" s="29">
        <v>4</v>
      </c>
      <c r="E14" s="26">
        <v>874.3</v>
      </c>
      <c r="F14" s="26">
        <v>812.8</v>
      </c>
      <c r="G14" s="21"/>
      <c r="H14" s="21">
        <f t="shared" si="0"/>
        <v>1687.1</v>
      </c>
      <c r="I14" s="26"/>
      <c r="K14" s="8">
        <f t="shared" si="1"/>
        <v>421.77499999999998</v>
      </c>
      <c r="L14" s="19">
        <f t="shared" si="2"/>
        <v>4151.3287401574798</v>
      </c>
      <c r="M14" s="20">
        <f t="shared" si="3"/>
        <v>3703.7326494691351</v>
      </c>
      <c r="N14" s="19">
        <f t="shared" si="4"/>
        <v>1434.8418597158056</v>
      </c>
      <c r="O14" s="19">
        <f t="shared" si="4"/>
        <v>1280.1372705676993</v>
      </c>
      <c r="P14" s="18">
        <f t="shared" si="5"/>
        <v>2.6669526470160401</v>
      </c>
    </row>
    <row r="15" spans="1:17" ht="24.95" customHeight="1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7" ht="24.95" customHeight="1" thickBot="1" x14ac:dyDescent="0.25">
      <c r="C16" s="65" t="s">
        <v>117</v>
      </c>
      <c r="D16" s="66"/>
      <c r="E16" s="27">
        <v>37557</v>
      </c>
      <c r="F16" s="63" t="s">
        <v>116</v>
      </c>
      <c r="G16" s="64"/>
      <c r="H16" s="26">
        <v>344.3</v>
      </c>
      <c r="I16" s="21"/>
      <c r="K16" s="8">
        <f>H16/SUM($D$9:$D$14)</f>
        <v>14.345833333333333</v>
      </c>
      <c r="L16" s="19">
        <f>K16/1.016*10</f>
        <v>141.19914698162728</v>
      </c>
      <c r="M16" s="20">
        <f>L16/1.12085</f>
        <v>125.9750608748961</v>
      </c>
      <c r="N16" s="19">
        <f>L16*$O$4</f>
        <v>48.803277053341226</v>
      </c>
      <c r="O16" s="19">
        <f>M16*$O$4</f>
        <v>43.541309767891534</v>
      </c>
      <c r="P16" s="18">
        <f>O16/480</f>
        <v>9.0711062016440691E-2</v>
      </c>
    </row>
    <row r="17" spans="3:16" ht="24.95" customHeight="1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24.95" customHeight="1" thickBot="1" x14ac:dyDescent="0.25">
      <c r="C18" s="60" t="s">
        <v>115</v>
      </c>
      <c r="D18" s="61"/>
      <c r="E18" s="61"/>
      <c r="F18" s="61"/>
      <c r="G18" s="62"/>
      <c r="H18" s="14">
        <f>SUM(H9:H14,H16)</f>
        <v>9605</v>
      </c>
      <c r="I18" s="13"/>
      <c r="J18" s="12"/>
      <c r="K18" s="16">
        <f t="shared" ref="K18:P18" si="6">AVERAGE(K9:K14)+K16/6</f>
        <v>388.25347222222223</v>
      </c>
      <c r="L18" s="16">
        <f t="shared" si="6"/>
        <v>3821.3924431321088</v>
      </c>
      <c r="M18" s="17">
        <f t="shared" si="6"/>
        <v>3409.3700701539979</v>
      </c>
      <c r="N18" s="16">
        <f t="shared" si="6"/>
        <v>1320.8045382596224</v>
      </c>
      <c r="O18" s="16">
        <f t="shared" si="6"/>
        <v>1178.3954483290563</v>
      </c>
      <c r="P18" s="15">
        <f t="shared" si="6"/>
        <v>2.4549905173521998</v>
      </c>
    </row>
    <row r="19" spans="3:16" ht="24.95" customHeight="1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68.236709328630425</v>
      </c>
      <c r="I19" s="13"/>
      <c r="J19" s="12"/>
      <c r="K19" s="10">
        <f t="shared" ref="K19:P19" si="7">STDEV(K9:K14)/SQRT(COUNT(K9:K14))</f>
        <v>17.059177332157606</v>
      </c>
      <c r="L19" s="10">
        <f t="shared" si="7"/>
        <v>167.90528870233865</v>
      </c>
      <c r="M19" s="11">
        <f t="shared" si="7"/>
        <v>149.80174751513471</v>
      </c>
      <c r="N19" s="10">
        <f t="shared" si="7"/>
        <v>58.033837303051961</v>
      </c>
      <c r="O19" s="10">
        <f t="shared" si="7"/>
        <v>51.776631398538598</v>
      </c>
      <c r="P19" s="9">
        <f t="shared" si="7"/>
        <v>0.10786798208028878</v>
      </c>
    </row>
    <row r="21" spans="3:16" x14ac:dyDescent="0.2">
      <c r="C21" s="8" t="s">
        <v>113</v>
      </c>
    </row>
    <row r="22" spans="3:16" x14ac:dyDescent="0.2">
      <c r="C22" s="8" t="s">
        <v>112</v>
      </c>
    </row>
  </sheetData>
  <mergeCells count="6">
    <mergeCell ref="K6:M6"/>
    <mergeCell ref="N6:P6"/>
    <mergeCell ref="C19:G19"/>
    <mergeCell ref="C18:G18"/>
    <mergeCell ref="F16:G16"/>
    <mergeCell ref="C16:D16"/>
  </mergeCells>
  <pageMargins left="0.75" right="0.75" top="1" bottom="0.52" header="0.5" footer="0.5"/>
  <pageSetup scale="6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D327-3EB2-40C7-A103-F46EF5124C66}">
  <sheetPr codeName="Sheet7">
    <pageSetUpPr autoPageBreaks="0" fitToPage="1"/>
  </sheetPr>
  <dimension ref="A1:Q22"/>
  <sheetViews>
    <sheetView workbookViewId="0">
      <selection activeCell="A7" sqref="A7"/>
    </sheetView>
  </sheetViews>
  <sheetFormatPr defaultRowHeight="12.75" x14ac:dyDescent="0.2"/>
  <cols>
    <col min="1" max="3" width="9.140625" style="8"/>
    <col min="4" max="4" width="6.85546875" style="8" customWidth="1"/>
    <col min="5" max="7" width="9.140625" style="8"/>
    <col min="8" max="8" width="12.140625" style="8" customWidth="1"/>
    <col min="9" max="9" width="36.5703125" style="8" customWidth="1"/>
    <col min="10" max="16384" width="9.140625" style="8"/>
  </cols>
  <sheetData>
    <row r="1" spans="1:17" s="30" customFormat="1" ht="50.1" customHeight="1" x14ac:dyDescent="0.25">
      <c r="A1" s="49" t="s">
        <v>145</v>
      </c>
    </row>
    <row r="2" spans="1:17" ht="24.95" customHeight="1" thickBot="1" x14ac:dyDescent="0.3">
      <c r="H2" s="48" t="s">
        <v>144</v>
      </c>
      <c r="I2" s="54">
        <v>102</v>
      </c>
      <c r="J2" s="46"/>
      <c r="K2" s="39" t="s">
        <v>143</v>
      </c>
      <c r="L2" s="45">
        <v>37560</v>
      </c>
      <c r="N2" s="39"/>
      <c r="O2" s="40"/>
    </row>
    <row r="3" spans="1:17" ht="24.95" customHeight="1" thickTop="1" thickBot="1" x14ac:dyDescent="0.25">
      <c r="B3" s="42" t="s">
        <v>141</v>
      </c>
      <c r="C3" s="53">
        <v>37537</v>
      </c>
      <c r="K3" s="39" t="s">
        <v>140</v>
      </c>
      <c r="L3" s="40">
        <v>3101.4</v>
      </c>
      <c r="N3" s="39" t="s">
        <v>139</v>
      </c>
      <c r="O3" s="38">
        <f>(L3-(L4+L5))/L3</f>
        <v>2.9148126652479553E-2</v>
      </c>
    </row>
    <row r="4" spans="1:17" ht="24.95" customHeight="1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1144.9000000000001</v>
      </c>
      <c r="N4" s="39" t="s">
        <v>134</v>
      </c>
      <c r="O4" s="38">
        <f>L4/L3</f>
        <v>0.36915586509318377</v>
      </c>
    </row>
    <row r="5" spans="1:17" ht="24.95" customHeight="1" thickTop="1" thickBot="1" x14ac:dyDescent="0.25">
      <c r="B5" s="42" t="s">
        <v>133</v>
      </c>
      <c r="C5" s="51">
        <v>0.37986111111111115</v>
      </c>
      <c r="F5" s="37"/>
      <c r="G5" s="37"/>
      <c r="K5" s="39" t="s">
        <v>132</v>
      </c>
      <c r="L5" s="40">
        <v>1866.1</v>
      </c>
      <c r="N5" s="39" t="s">
        <v>131</v>
      </c>
      <c r="O5" s="38">
        <f>L5/L3</f>
        <v>0.60169600825433667</v>
      </c>
      <c r="Q5" s="18"/>
    </row>
    <row r="6" spans="1:17" ht="24.95" customHeight="1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7" s="30" customFormat="1" ht="30" customHeight="1" thickBot="1" x14ac:dyDescent="0.3"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</row>
    <row r="8" spans="1:17" s="30" customFormat="1" ht="24.95" customHeight="1" thickBot="1" x14ac:dyDescent="0.3">
      <c r="C8" s="29"/>
      <c r="D8" s="33"/>
      <c r="E8" s="29"/>
      <c r="F8" s="29"/>
      <c r="G8" s="29"/>
      <c r="H8" s="29"/>
      <c r="I8" s="29"/>
      <c r="J8" s="32"/>
      <c r="M8" s="31"/>
    </row>
    <row r="9" spans="1:17" ht="24.95" customHeight="1" thickBot="1" x14ac:dyDescent="0.25">
      <c r="C9" s="29">
        <v>3</v>
      </c>
      <c r="D9" s="29">
        <v>4</v>
      </c>
      <c r="E9" s="21">
        <v>1570.1</v>
      </c>
      <c r="F9" s="21"/>
      <c r="G9" s="21"/>
      <c r="H9" s="21">
        <f t="shared" ref="H9:H14" si="0">SUM(E9:G9)</f>
        <v>1570.1</v>
      </c>
      <c r="I9" s="21"/>
      <c r="K9" s="8">
        <f t="shared" ref="K9:K14" si="1">H9/D9</f>
        <v>392.52499999999998</v>
      </c>
      <c r="L9" s="19">
        <f t="shared" ref="L9:L14" si="2">K9/1.016*10</f>
        <v>3863.4350393700784</v>
      </c>
      <c r="M9" s="20">
        <f t="shared" ref="M9:M14" si="3">L9/1.12085</f>
        <v>3446.8796354285396</v>
      </c>
      <c r="N9" s="19">
        <f t="shared" ref="N9:O14" si="4">L9*$O$4</f>
        <v>1426.2097041899797</v>
      </c>
      <c r="O9" s="19">
        <f t="shared" si="4"/>
        <v>1272.4358336887003</v>
      </c>
      <c r="P9" s="18">
        <f t="shared" ref="P9:P14" si="5">O9/480</f>
        <v>2.6509079868514589</v>
      </c>
    </row>
    <row r="10" spans="1:17" ht="24.95" customHeight="1" thickBot="1" x14ac:dyDescent="0.25">
      <c r="C10" s="29">
        <v>4</v>
      </c>
      <c r="D10" s="29">
        <v>4</v>
      </c>
      <c r="E10" s="21">
        <v>1504.9</v>
      </c>
      <c r="F10" s="21"/>
      <c r="G10" s="21"/>
      <c r="H10" s="21">
        <f t="shared" si="0"/>
        <v>1504.9</v>
      </c>
      <c r="I10" s="21"/>
      <c r="K10" s="8">
        <f t="shared" si="1"/>
        <v>376.22500000000002</v>
      </c>
      <c r="L10" s="19">
        <f t="shared" si="2"/>
        <v>3703.001968503937</v>
      </c>
      <c r="M10" s="20">
        <f t="shared" si="3"/>
        <v>3303.744451535832</v>
      </c>
      <c r="N10" s="19">
        <f t="shared" si="4"/>
        <v>1366.9848951248332</v>
      </c>
      <c r="O10" s="19">
        <f t="shared" si="4"/>
        <v>1219.5966410535159</v>
      </c>
      <c r="P10" s="18">
        <f t="shared" si="5"/>
        <v>2.5408263355281582</v>
      </c>
    </row>
    <row r="11" spans="1:17" ht="24.95" customHeight="1" thickBot="1" x14ac:dyDescent="0.25">
      <c r="C11" s="29">
        <v>5</v>
      </c>
      <c r="D11" s="29">
        <v>4</v>
      </c>
      <c r="E11" s="21">
        <v>1564.3</v>
      </c>
      <c r="F11" s="21"/>
      <c r="G11" s="21"/>
      <c r="H11" s="21">
        <f t="shared" si="0"/>
        <v>1564.3</v>
      </c>
      <c r="I11" s="21"/>
      <c r="K11" s="8">
        <f t="shared" si="1"/>
        <v>391.07499999999999</v>
      </c>
      <c r="L11" s="19">
        <f t="shared" si="2"/>
        <v>3849.1633858267714</v>
      </c>
      <c r="M11" s="20">
        <f t="shared" si="3"/>
        <v>3434.1467509718263</v>
      </c>
      <c r="N11" s="19">
        <f t="shared" si="4"/>
        <v>1420.9412395798902</v>
      </c>
      <c r="O11" s="19">
        <f t="shared" si="4"/>
        <v>1267.7354147119509</v>
      </c>
      <c r="P11" s="18">
        <f t="shared" si="5"/>
        <v>2.6411154473165643</v>
      </c>
    </row>
    <row r="12" spans="1:17" ht="24.95" customHeight="1" thickBot="1" x14ac:dyDescent="0.25">
      <c r="C12" s="29">
        <v>6</v>
      </c>
      <c r="D12" s="29">
        <v>4</v>
      </c>
      <c r="E12" s="21">
        <v>841.9</v>
      </c>
      <c r="F12" s="21">
        <v>1093.5999999999999</v>
      </c>
      <c r="G12" s="21"/>
      <c r="H12" s="21">
        <f t="shared" si="0"/>
        <v>1935.5</v>
      </c>
      <c r="I12" s="21"/>
      <c r="K12" s="8">
        <f t="shared" si="1"/>
        <v>483.875</v>
      </c>
      <c r="L12" s="19">
        <f t="shared" si="2"/>
        <v>4762.5492125984247</v>
      </c>
      <c r="M12" s="20">
        <f t="shared" si="3"/>
        <v>4249.0513562014767</v>
      </c>
      <c r="N12" s="19">
        <f t="shared" si="4"/>
        <v>1758.1229746256327</v>
      </c>
      <c r="O12" s="19">
        <f t="shared" si="4"/>
        <v>1568.5622292239218</v>
      </c>
      <c r="P12" s="18">
        <f t="shared" si="5"/>
        <v>3.2678379775498372</v>
      </c>
    </row>
    <row r="13" spans="1:17" ht="24.95" customHeight="1" thickBot="1" x14ac:dyDescent="0.25">
      <c r="C13" s="29">
        <v>7</v>
      </c>
      <c r="D13" s="29">
        <v>4</v>
      </c>
      <c r="E13" s="21">
        <v>1044.7</v>
      </c>
      <c r="F13" s="21">
        <v>1007.7</v>
      </c>
      <c r="G13" s="21"/>
      <c r="H13" s="21">
        <f t="shared" si="0"/>
        <v>2052.4</v>
      </c>
      <c r="I13" s="21"/>
      <c r="K13" s="8">
        <f t="shared" si="1"/>
        <v>513.1</v>
      </c>
      <c r="L13" s="19">
        <f t="shared" si="2"/>
        <v>5050.1968503937005</v>
      </c>
      <c r="M13" s="20">
        <f t="shared" si="3"/>
        <v>4505.6848377514398</v>
      </c>
      <c r="N13" s="19">
        <f t="shared" si="4"/>
        <v>1864.3097871979585</v>
      </c>
      <c r="O13" s="19">
        <f t="shared" si="4"/>
        <v>1663.2999841173742</v>
      </c>
      <c r="P13" s="18">
        <f t="shared" si="5"/>
        <v>3.4652083002445293</v>
      </c>
    </row>
    <row r="14" spans="1:17" ht="24.95" customHeight="1" thickBot="1" x14ac:dyDescent="0.25">
      <c r="C14" s="29">
        <v>8</v>
      </c>
      <c r="D14" s="29">
        <v>4</v>
      </c>
      <c r="E14" s="21">
        <v>966.7</v>
      </c>
      <c r="F14" s="21">
        <v>708.1</v>
      </c>
      <c r="G14" s="21"/>
      <c r="H14" s="21">
        <f t="shared" si="0"/>
        <v>1674.8000000000002</v>
      </c>
      <c r="I14" s="21"/>
      <c r="K14" s="8">
        <f t="shared" si="1"/>
        <v>418.70000000000005</v>
      </c>
      <c r="L14" s="19">
        <f t="shared" si="2"/>
        <v>4121.0629921259842</v>
      </c>
      <c r="M14" s="20">
        <f t="shared" si="3"/>
        <v>3676.7301531212779</v>
      </c>
      <c r="N14" s="19">
        <f t="shared" si="4"/>
        <v>1521.3145739617721</v>
      </c>
      <c r="O14" s="19">
        <f t="shared" si="4"/>
        <v>1357.2865003896793</v>
      </c>
      <c r="P14" s="18">
        <f t="shared" si="5"/>
        <v>2.8276802091451652</v>
      </c>
    </row>
    <row r="15" spans="1:17" ht="24.95" customHeight="1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7" ht="24.95" customHeight="1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258.2</v>
      </c>
      <c r="I16" s="21"/>
      <c r="K16" s="8">
        <f>H16/SUM($D$9:$D$14)</f>
        <v>10.758333333333333</v>
      </c>
      <c r="L16" s="19">
        <f>K16/1.016*10</f>
        <v>105.88910761154855</v>
      </c>
      <c r="M16" s="20">
        <f>L16/1.12085</f>
        <v>94.472148469062375</v>
      </c>
      <c r="N16" s="19">
        <f>L16*$O$4</f>
        <v>39.089585124286437</v>
      </c>
      <c r="O16" s="19">
        <f>M16*$O$4</f>
        <v>34.874947695308414</v>
      </c>
      <c r="P16" s="18">
        <f>O16/480</f>
        <v>7.2656141031892524E-2</v>
      </c>
    </row>
    <row r="17" spans="3:16" ht="24.95" customHeight="1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24.95" customHeight="1" thickBot="1" x14ac:dyDescent="0.25">
      <c r="C18" s="60" t="s">
        <v>115</v>
      </c>
      <c r="D18" s="61"/>
      <c r="E18" s="61"/>
      <c r="F18" s="61"/>
      <c r="G18" s="62"/>
      <c r="H18" s="14">
        <f>SUM(H9:H14,H16)</f>
        <v>10560.2</v>
      </c>
      <c r="I18" s="13"/>
      <c r="J18" s="12"/>
      <c r="K18" s="16">
        <f t="shared" ref="K18:P18" si="6">AVERAGE(K9:K14)+K16/6</f>
        <v>431.04305555555555</v>
      </c>
      <c r="L18" s="16">
        <f t="shared" si="6"/>
        <v>4242.5497594050739</v>
      </c>
      <c r="M18" s="17">
        <f t="shared" si="6"/>
        <v>3785.1182222465764</v>
      </c>
      <c r="N18" s="16">
        <f t="shared" si="6"/>
        <v>1566.1621266340587</v>
      </c>
      <c r="O18" s="16">
        <f t="shared" si="6"/>
        <v>1397.2985918134084</v>
      </c>
      <c r="P18" s="15">
        <f t="shared" si="6"/>
        <v>2.9110387329446006</v>
      </c>
    </row>
    <row r="19" spans="3:16" ht="24.95" customHeight="1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91.633247241380445</v>
      </c>
      <c r="I19" s="13"/>
      <c r="J19" s="12"/>
      <c r="K19" s="10">
        <f t="shared" ref="K19:P19" si="7">STDEV(K9:K14)/SQRT(COUNT(K9:K14))</f>
        <v>22.908311810345111</v>
      </c>
      <c r="L19" s="10">
        <f t="shared" si="7"/>
        <v>225.47550994434334</v>
      </c>
      <c r="M19" s="11">
        <f t="shared" si="7"/>
        <v>201.1647499168852</v>
      </c>
      <c r="N19" s="10">
        <f t="shared" si="7"/>
        <v>83.235606930830983</v>
      </c>
      <c r="O19" s="10">
        <f t="shared" si="7"/>
        <v>74.261147281822346</v>
      </c>
      <c r="P19" s="9">
        <f t="shared" si="7"/>
        <v>0.15471072350379769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K6:M6"/>
    <mergeCell ref="N6:P6"/>
    <mergeCell ref="C19:G19"/>
    <mergeCell ref="C18:G18"/>
    <mergeCell ref="F16:G16"/>
    <mergeCell ref="C16:D16"/>
  </mergeCells>
  <pageMargins left="0.75" right="0.75" top="1" bottom="0.52" header="0.5" footer="0.5"/>
  <pageSetup scale="6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A15E-7755-4B2F-857B-46AF9D662A9D}">
  <sheetPr codeName="Sheet8">
    <pageSetUpPr autoPageBreaks="0" fitToPage="1"/>
  </sheetPr>
  <dimension ref="A1:Q22"/>
  <sheetViews>
    <sheetView topLeftCell="A6" workbookViewId="0">
      <selection activeCell="A7" sqref="A7"/>
    </sheetView>
  </sheetViews>
  <sheetFormatPr defaultRowHeight="12.75" x14ac:dyDescent="0.2"/>
  <cols>
    <col min="1" max="3" width="9.140625" style="8"/>
    <col min="4" max="4" width="6.85546875" style="8" customWidth="1"/>
    <col min="5" max="7" width="9.140625" style="8"/>
    <col min="8" max="8" width="12.140625" style="8" customWidth="1"/>
    <col min="9" max="9" width="36.5703125" style="8" customWidth="1"/>
    <col min="10" max="16384" width="9.140625" style="8"/>
  </cols>
  <sheetData>
    <row r="1" spans="1:17" s="30" customFormat="1" ht="50.1" customHeight="1" x14ac:dyDescent="0.25">
      <c r="A1" s="49" t="s">
        <v>145</v>
      </c>
    </row>
    <row r="2" spans="1:17" ht="24.95" customHeight="1" thickBot="1" x14ac:dyDescent="0.3">
      <c r="H2" s="48" t="s">
        <v>144</v>
      </c>
      <c r="I2" s="54">
        <v>103</v>
      </c>
      <c r="J2" s="46"/>
      <c r="K2" s="39" t="s">
        <v>143</v>
      </c>
      <c r="L2" s="45">
        <v>37560</v>
      </c>
      <c r="N2" s="39"/>
      <c r="O2" s="40"/>
    </row>
    <row r="3" spans="1:17" ht="24.95" customHeight="1" thickTop="1" thickBot="1" x14ac:dyDescent="0.25">
      <c r="B3" s="42" t="s">
        <v>141</v>
      </c>
      <c r="C3" s="53">
        <v>37537</v>
      </c>
      <c r="K3" s="39" t="s">
        <v>140</v>
      </c>
      <c r="L3" s="40">
        <v>3107.3</v>
      </c>
      <c r="N3" s="39" t="s">
        <v>139</v>
      </c>
      <c r="O3" s="38">
        <f>(L3-(L4+L5))/L3</f>
        <v>3.1377723425481931E-2</v>
      </c>
    </row>
    <row r="4" spans="1:17" ht="24.95" customHeight="1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1098.3</v>
      </c>
      <c r="N4" s="39" t="s">
        <v>134</v>
      </c>
      <c r="O4" s="38">
        <f>L4/L3</f>
        <v>0.35345798603289025</v>
      </c>
    </row>
    <row r="5" spans="1:17" ht="24.95" customHeight="1" thickTop="1" thickBot="1" x14ac:dyDescent="0.25">
      <c r="B5" s="42" t="s">
        <v>133</v>
      </c>
      <c r="C5" s="51">
        <v>0.3520833333333333</v>
      </c>
      <c r="F5" s="37"/>
      <c r="G5" s="37"/>
      <c r="K5" s="39" t="s">
        <v>132</v>
      </c>
      <c r="L5" s="40">
        <v>1911.5</v>
      </c>
      <c r="N5" s="39" t="s">
        <v>131</v>
      </c>
      <c r="O5" s="38">
        <f>L5/L3</f>
        <v>0.61516429054162769</v>
      </c>
      <c r="Q5" s="18"/>
    </row>
    <row r="6" spans="1:17" ht="24.95" customHeight="1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7" s="30" customFormat="1" ht="30" customHeight="1" thickBot="1" x14ac:dyDescent="0.3"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</row>
    <row r="8" spans="1:17" s="30" customFormat="1" ht="24.95" customHeight="1" thickBot="1" x14ac:dyDescent="0.3">
      <c r="C8" s="29"/>
      <c r="D8" s="33"/>
      <c r="E8" s="29"/>
      <c r="F8" s="29"/>
      <c r="G8" s="29"/>
      <c r="H8" s="29"/>
      <c r="I8" s="29"/>
      <c r="J8" s="32"/>
      <c r="M8" s="31"/>
    </row>
    <row r="9" spans="1:17" ht="24.95" customHeight="1" thickBot="1" x14ac:dyDescent="0.25">
      <c r="C9" s="29">
        <v>3</v>
      </c>
      <c r="D9" s="29">
        <v>4</v>
      </c>
      <c r="E9" s="21">
        <v>746.5</v>
      </c>
      <c r="F9" s="21">
        <v>589.1</v>
      </c>
      <c r="G9" s="21"/>
      <c r="H9" s="21">
        <f t="shared" ref="H9:H14" si="0">SUM(E9:G9)</f>
        <v>1335.6</v>
      </c>
      <c r="I9" s="21"/>
      <c r="K9" s="8">
        <f t="shared" ref="K9:K14" si="1">H9/D9</f>
        <v>333.9</v>
      </c>
      <c r="L9" s="19">
        <f t="shared" ref="L9:L14" si="2">K9/1.016*10</f>
        <v>3286.4173228346453</v>
      </c>
      <c r="M9" s="20">
        <f t="shared" ref="M9:M14" si="3">L9/1.12085</f>
        <v>2932.0759448941835</v>
      </c>
      <c r="N9" s="19">
        <f t="shared" ref="N9:O14" si="4">L9*$O$4</f>
        <v>1161.6104481927366</v>
      </c>
      <c r="O9" s="19">
        <f t="shared" si="4"/>
        <v>1036.3656583777818</v>
      </c>
      <c r="P9" s="18">
        <f t="shared" ref="P9:P14" si="5">O9/480</f>
        <v>2.1590951216203789</v>
      </c>
    </row>
    <row r="10" spans="1:17" ht="24.95" customHeight="1" thickBot="1" x14ac:dyDescent="0.25">
      <c r="C10" s="29">
        <v>4</v>
      </c>
      <c r="D10" s="29">
        <v>4</v>
      </c>
      <c r="E10" s="21">
        <v>844.4</v>
      </c>
      <c r="F10" s="21">
        <v>533.6</v>
      </c>
      <c r="G10" s="21"/>
      <c r="H10" s="21">
        <f t="shared" si="0"/>
        <v>1378</v>
      </c>
      <c r="I10" s="21"/>
      <c r="K10" s="8">
        <f t="shared" si="1"/>
        <v>344.5</v>
      </c>
      <c r="L10" s="19">
        <f t="shared" si="2"/>
        <v>3390.748031496063</v>
      </c>
      <c r="M10" s="20">
        <f t="shared" si="3"/>
        <v>3025.1577209225707</v>
      </c>
      <c r="N10" s="19">
        <f t="shared" si="4"/>
        <v>1198.4869703575855</v>
      </c>
      <c r="O10" s="19">
        <f t="shared" si="4"/>
        <v>1069.2661554691401</v>
      </c>
      <c r="P10" s="18">
        <f t="shared" si="5"/>
        <v>2.227637823894042</v>
      </c>
    </row>
    <row r="11" spans="1:17" ht="24.95" customHeight="1" thickBot="1" x14ac:dyDescent="0.25">
      <c r="C11" s="29">
        <v>5</v>
      </c>
      <c r="D11" s="29">
        <v>4</v>
      </c>
      <c r="E11" s="21">
        <v>1115.9000000000001</v>
      </c>
      <c r="F11" s="21">
        <v>459.7</v>
      </c>
      <c r="G11" s="21"/>
      <c r="H11" s="21">
        <f t="shared" si="0"/>
        <v>1575.6000000000001</v>
      </c>
      <c r="I11" s="21"/>
      <c r="K11" s="8">
        <f t="shared" si="1"/>
        <v>393.90000000000003</v>
      </c>
      <c r="L11" s="19">
        <f t="shared" si="2"/>
        <v>3876.9685039370079</v>
      </c>
      <c r="M11" s="20">
        <f t="shared" si="3"/>
        <v>3458.9539224133541</v>
      </c>
      <c r="N11" s="19">
        <f t="shared" si="4"/>
        <v>1370.3454793145224</v>
      </c>
      <c r="O11" s="19">
        <f t="shared" si="4"/>
        <v>1222.5948871967903</v>
      </c>
      <c r="P11" s="18">
        <f t="shared" si="5"/>
        <v>2.5470726816599796</v>
      </c>
    </row>
    <row r="12" spans="1:17" ht="24.95" customHeight="1" thickBot="1" x14ac:dyDescent="0.25">
      <c r="C12" s="29">
        <v>6</v>
      </c>
      <c r="D12" s="29">
        <v>4</v>
      </c>
      <c r="E12" s="21">
        <v>1115.5</v>
      </c>
      <c r="F12" s="21">
        <v>418.9</v>
      </c>
      <c r="G12" s="21"/>
      <c r="H12" s="21">
        <f t="shared" si="0"/>
        <v>1534.4</v>
      </c>
      <c r="I12" s="21"/>
      <c r="K12" s="8">
        <f t="shared" si="1"/>
        <v>383.6</v>
      </c>
      <c r="L12" s="19">
        <f t="shared" si="2"/>
        <v>3775.5905511811029</v>
      </c>
      <c r="M12" s="20">
        <f t="shared" si="3"/>
        <v>3368.5065362725641</v>
      </c>
      <c r="N12" s="19">
        <f t="shared" si="4"/>
        <v>1334.5126323052828</v>
      </c>
      <c r="O12" s="19">
        <f t="shared" si="4"/>
        <v>1190.6255362495274</v>
      </c>
      <c r="P12" s="18">
        <f t="shared" si="5"/>
        <v>2.4804698671865153</v>
      </c>
    </row>
    <row r="13" spans="1:17" ht="24.95" customHeight="1" thickBot="1" x14ac:dyDescent="0.25">
      <c r="C13" s="29">
        <v>7</v>
      </c>
      <c r="D13" s="29">
        <v>4</v>
      </c>
      <c r="E13" s="21">
        <v>1385</v>
      </c>
      <c r="F13" s="21"/>
      <c r="G13" s="21"/>
      <c r="H13" s="21">
        <f t="shared" si="0"/>
        <v>1385</v>
      </c>
      <c r="I13" s="21"/>
      <c r="K13" s="8">
        <f t="shared" si="1"/>
        <v>346.25</v>
      </c>
      <c r="L13" s="19">
        <f t="shared" si="2"/>
        <v>3407.9724409448818</v>
      </c>
      <c r="M13" s="20">
        <f t="shared" si="3"/>
        <v>3040.5249952668796</v>
      </c>
      <c r="N13" s="19">
        <f t="shared" si="4"/>
        <v>1204.5750754319708</v>
      </c>
      <c r="O13" s="19">
        <f t="shared" si="4"/>
        <v>1074.6978413096945</v>
      </c>
      <c r="P13" s="18">
        <f t="shared" si="5"/>
        <v>2.2389538360618633</v>
      </c>
    </row>
    <row r="14" spans="1:17" ht="24.95" customHeight="1" thickBot="1" x14ac:dyDescent="0.25">
      <c r="C14" s="29">
        <v>8</v>
      </c>
      <c r="D14" s="29">
        <v>4</v>
      </c>
      <c r="E14" s="21">
        <v>1600.4</v>
      </c>
      <c r="F14" s="21"/>
      <c r="G14" s="21"/>
      <c r="H14" s="21">
        <f t="shared" si="0"/>
        <v>1600.4</v>
      </c>
      <c r="I14" s="21"/>
      <c r="K14" s="8">
        <f t="shared" si="1"/>
        <v>400.1</v>
      </c>
      <c r="L14" s="19">
        <f t="shared" si="2"/>
        <v>3937.9921259842517</v>
      </c>
      <c r="M14" s="20">
        <f t="shared" si="3"/>
        <v>3513.3979800903353</v>
      </c>
      <c r="N14" s="19">
        <f t="shared" si="4"/>
        <v>1391.9147658637735</v>
      </c>
      <c r="O14" s="19">
        <f t="shared" si="4"/>
        <v>1241.8385741747545</v>
      </c>
      <c r="P14" s="18">
        <f t="shared" si="5"/>
        <v>2.5871636961974054</v>
      </c>
    </row>
    <row r="15" spans="1:17" ht="24.95" customHeight="1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7" ht="24.95" customHeight="1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261.2</v>
      </c>
      <c r="I16" s="21"/>
      <c r="K16" s="8">
        <f>H16/SUM($D$9:$D$14)</f>
        <v>10.883333333333333</v>
      </c>
      <c r="L16" s="19">
        <f>K16/1.016*10</f>
        <v>107.11942257217848</v>
      </c>
      <c r="M16" s="20">
        <f>L16/1.12085</f>
        <v>95.569810922227319</v>
      </c>
      <c r="N16" s="19">
        <f>L16*$O$4</f>
        <v>37.862215367368329</v>
      </c>
      <c r="O16" s="19">
        <f>M16*$O$4</f>
        <v>33.779912894114588</v>
      </c>
      <c r="P16" s="18">
        <f>O16/480</f>
        <v>7.0374818529405386E-2</v>
      </c>
    </row>
    <row r="17" spans="3:16" ht="24.95" customHeight="1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24.95" customHeight="1" thickBot="1" x14ac:dyDescent="0.25">
      <c r="C18" s="60" t="s">
        <v>115</v>
      </c>
      <c r="D18" s="61"/>
      <c r="E18" s="61"/>
      <c r="F18" s="61"/>
      <c r="G18" s="62"/>
      <c r="H18" s="14">
        <f>SUM(H9:H14,H16)</f>
        <v>9070.2000000000007</v>
      </c>
      <c r="I18" s="13"/>
      <c r="J18" s="12"/>
      <c r="K18" s="16">
        <f t="shared" ref="K18:P18" si="6">AVERAGE(K9:K14)+K16/6</f>
        <v>368.85555555555555</v>
      </c>
      <c r="L18" s="16">
        <f t="shared" si="6"/>
        <v>3630.4680664916887</v>
      </c>
      <c r="M18" s="17">
        <f t="shared" si="6"/>
        <v>3239.031151797019</v>
      </c>
      <c r="N18" s="16">
        <f t="shared" si="6"/>
        <v>1283.2179311388734</v>
      </c>
      <c r="O18" s="16">
        <f t="shared" si="6"/>
        <v>1144.861427611967</v>
      </c>
      <c r="P18" s="15">
        <f t="shared" si="6"/>
        <v>2.3851279741915987</v>
      </c>
    </row>
    <row r="19" spans="3:16" ht="24.95" customHeight="1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46.916618709270963</v>
      </c>
      <c r="I19" s="13"/>
      <c r="J19" s="12"/>
      <c r="K19" s="10">
        <f t="shared" ref="K19:P19" si="7">STDEV(K9:K14)/SQRT(COUNT(K9:K14))</f>
        <v>11.729154677317741</v>
      </c>
      <c r="L19" s="10">
        <f t="shared" si="7"/>
        <v>115.44443580037142</v>
      </c>
      <c r="M19" s="11">
        <f t="shared" si="7"/>
        <v>102.99722157324484</v>
      </c>
      <c r="N19" s="10">
        <f t="shared" si="7"/>
        <v>40.804757776702608</v>
      </c>
      <c r="O19" s="10">
        <f t="shared" si="7"/>
        <v>36.405190504262471</v>
      </c>
      <c r="P19" s="9">
        <f t="shared" si="7"/>
        <v>7.5844146883880109E-2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K6:M6"/>
    <mergeCell ref="N6:P6"/>
    <mergeCell ref="C19:G19"/>
    <mergeCell ref="C18:G18"/>
    <mergeCell ref="F16:G16"/>
    <mergeCell ref="C16:D16"/>
  </mergeCells>
  <pageMargins left="0.75" right="0.75" top="1" bottom="0.52" header="0.5" footer="0.5"/>
  <pageSetup scale="6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5F30-BFFD-4881-B8FA-48EFDE3A851A}">
  <sheetPr codeName="Sheet9">
    <pageSetUpPr fitToPage="1"/>
  </sheetPr>
  <dimension ref="A1:R22"/>
  <sheetViews>
    <sheetView workbookViewId="0">
      <selection activeCell="A7" sqref="A7"/>
    </sheetView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104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3029.7</v>
      </c>
      <c r="N3" s="39" t="s">
        <v>139</v>
      </c>
      <c r="O3" s="38">
        <f>(L3-(L4+L5))/L3</f>
        <v>2.35336832029573E-2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1134.7</v>
      </c>
      <c r="N4" s="39" t="s">
        <v>134</v>
      </c>
      <c r="O4" s="38">
        <f>L4/L3</f>
        <v>0.37452553058058558</v>
      </c>
    </row>
    <row r="5" spans="1:18" ht="17.25" thickTop="1" thickBot="1" x14ac:dyDescent="0.25">
      <c r="B5" s="42" t="s">
        <v>133</v>
      </c>
      <c r="C5" s="51">
        <v>0.34513888888888888</v>
      </c>
      <c r="F5" s="37"/>
      <c r="G5" s="37"/>
      <c r="K5" s="39" t="s">
        <v>132</v>
      </c>
      <c r="L5" s="40">
        <v>1823.7</v>
      </c>
      <c r="N5" s="39" t="s">
        <v>131</v>
      </c>
      <c r="O5" s="38">
        <f>L5/L3</f>
        <v>0.60194078621645708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536.20000000000005</v>
      </c>
      <c r="F9" s="21">
        <v>768.5</v>
      </c>
      <c r="G9" s="21"/>
      <c r="H9" s="21">
        <f t="shared" ref="H9:H14" si="0">SUM(E9:G9)</f>
        <v>1304.7</v>
      </c>
      <c r="I9" s="21"/>
      <c r="K9" s="8">
        <f t="shared" ref="K9:K14" si="1">H9/D9</f>
        <v>326.17500000000001</v>
      </c>
      <c r="L9" s="19">
        <f t="shared" ref="L9:L14" si="2">K9/1.016*10</f>
        <v>3210.3838582677167</v>
      </c>
      <c r="M9" s="20">
        <f t="shared" ref="M9:M14" si="3">L9/1.12085</f>
        <v>2864.2404052885909</v>
      </c>
      <c r="N9" s="19">
        <f t="shared" ref="N9:O14" si="4">L9*$O$4</f>
        <v>1202.3707178850641</v>
      </c>
      <c r="O9" s="19">
        <f t="shared" si="4"/>
        <v>1072.731157501061</v>
      </c>
      <c r="P9" s="18">
        <f t="shared" ref="P9:P14" si="5">O9/480</f>
        <v>2.2348565781272103</v>
      </c>
    </row>
    <row r="10" spans="1:18" ht="13.5" thickBot="1" x14ac:dyDescent="0.25">
      <c r="C10" s="29">
        <v>4</v>
      </c>
      <c r="D10" s="29">
        <v>4</v>
      </c>
      <c r="E10" s="21">
        <v>561.1</v>
      </c>
      <c r="F10" s="21">
        <v>694.8</v>
      </c>
      <c r="G10" s="21"/>
      <c r="H10" s="21">
        <f t="shared" si="0"/>
        <v>1255.9000000000001</v>
      </c>
      <c r="I10" s="21"/>
      <c r="K10" s="8">
        <f t="shared" si="1"/>
        <v>313.97500000000002</v>
      </c>
      <c r="L10" s="19">
        <f t="shared" si="2"/>
        <v>3090.3051181102364</v>
      </c>
      <c r="M10" s="20">
        <f t="shared" si="3"/>
        <v>2757.1085498596926</v>
      </c>
      <c r="N10" s="19">
        <f t="shared" si="4"/>
        <v>1157.3981640161355</v>
      </c>
      <c r="O10" s="19">
        <f t="shared" si="4"/>
        <v>1032.6075425044703</v>
      </c>
      <c r="P10" s="18">
        <f t="shared" si="5"/>
        <v>2.1512657135509796</v>
      </c>
    </row>
    <row r="11" spans="1:18" ht="13.5" thickBot="1" x14ac:dyDescent="0.25">
      <c r="C11" s="29">
        <v>5</v>
      </c>
      <c r="D11" s="29">
        <v>4</v>
      </c>
      <c r="E11" s="21">
        <v>692.8</v>
      </c>
      <c r="F11" s="21">
        <v>540</v>
      </c>
      <c r="G11" s="21"/>
      <c r="H11" s="21">
        <f t="shared" si="0"/>
        <v>1232.8</v>
      </c>
      <c r="I11" s="21"/>
      <c r="K11" s="8">
        <f t="shared" si="1"/>
        <v>308.2</v>
      </c>
      <c r="L11" s="19">
        <f t="shared" si="2"/>
        <v>3033.4645669291335</v>
      </c>
      <c r="M11" s="20">
        <f t="shared" si="3"/>
        <v>2706.3965445234721</v>
      </c>
      <c r="N11" s="19">
        <f t="shared" si="4"/>
        <v>1136.1099264265399</v>
      </c>
      <c r="O11" s="19">
        <f t="shared" si="4"/>
        <v>1013.6146017991168</v>
      </c>
      <c r="P11" s="18">
        <f t="shared" si="5"/>
        <v>2.1116970870814935</v>
      </c>
    </row>
    <row r="12" spans="1:18" ht="13.5" thickBot="1" x14ac:dyDescent="0.25">
      <c r="C12" s="29">
        <v>6</v>
      </c>
      <c r="D12" s="29">
        <v>4</v>
      </c>
      <c r="E12" s="21">
        <v>963.7</v>
      </c>
      <c r="F12" s="21">
        <v>605.5</v>
      </c>
      <c r="G12" s="21"/>
      <c r="H12" s="21">
        <f t="shared" si="0"/>
        <v>1569.2</v>
      </c>
      <c r="I12" s="21"/>
      <c r="K12" s="8">
        <f t="shared" si="1"/>
        <v>392.3</v>
      </c>
      <c r="L12" s="19">
        <f t="shared" si="2"/>
        <v>3861.2204724409453</v>
      </c>
      <c r="M12" s="20">
        <f t="shared" si="3"/>
        <v>3444.9038430128435</v>
      </c>
      <c r="N12" s="19">
        <f t="shared" si="4"/>
        <v>1446.1256461295643</v>
      </c>
      <c r="O12" s="19">
        <f t="shared" si="4"/>
        <v>1290.2044396034835</v>
      </c>
      <c r="P12" s="18">
        <f t="shared" si="5"/>
        <v>2.6879259158405904</v>
      </c>
    </row>
    <row r="13" spans="1:18" ht="13.5" thickBot="1" x14ac:dyDescent="0.25">
      <c r="C13" s="29">
        <v>7</v>
      </c>
      <c r="D13" s="29">
        <v>4</v>
      </c>
      <c r="E13" s="21">
        <v>723.2</v>
      </c>
      <c r="F13" s="21">
        <v>842.6</v>
      </c>
      <c r="G13" s="21"/>
      <c r="H13" s="21">
        <f t="shared" si="0"/>
        <v>1565.8000000000002</v>
      </c>
      <c r="I13" s="21"/>
      <c r="K13" s="8">
        <f t="shared" si="1"/>
        <v>391.45000000000005</v>
      </c>
      <c r="L13" s="19">
        <f t="shared" si="2"/>
        <v>3852.854330708662</v>
      </c>
      <c r="M13" s="20">
        <f t="shared" si="3"/>
        <v>3437.4397383313221</v>
      </c>
      <c r="N13" s="19">
        <f t="shared" si="4"/>
        <v>1442.9923124583686</v>
      </c>
      <c r="O13" s="19">
        <f t="shared" si="4"/>
        <v>1287.4089418373276</v>
      </c>
      <c r="P13" s="18">
        <f t="shared" si="5"/>
        <v>2.6821019621610991</v>
      </c>
    </row>
    <row r="14" spans="1:18" ht="13.5" thickBot="1" x14ac:dyDescent="0.25">
      <c r="C14" s="29">
        <v>8</v>
      </c>
      <c r="D14" s="29">
        <v>4</v>
      </c>
      <c r="E14" s="21">
        <v>705.5</v>
      </c>
      <c r="F14" s="21">
        <v>887.3</v>
      </c>
      <c r="G14" s="21"/>
      <c r="H14" s="21">
        <f t="shared" si="0"/>
        <v>1592.8</v>
      </c>
      <c r="I14" s="21"/>
      <c r="K14" s="8">
        <f t="shared" si="1"/>
        <v>398.2</v>
      </c>
      <c r="L14" s="19">
        <f t="shared" si="2"/>
        <v>3919.2913385826769</v>
      </c>
      <c r="M14" s="20">
        <f t="shared" si="3"/>
        <v>3496.713510802228</v>
      </c>
      <c r="N14" s="19">
        <f t="shared" si="4"/>
        <v>1467.8746680825705</v>
      </c>
      <c r="O14" s="19">
        <f t="shared" si="4"/>
        <v>1309.6084829215065</v>
      </c>
      <c r="P14" s="18">
        <f t="shared" si="5"/>
        <v>2.7283510060864717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133.5</v>
      </c>
      <c r="I16" s="21"/>
      <c r="K16" s="8">
        <f>H16/SUM($D$9:$D$14)</f>
        <v>5.5625</v>
      </c>
      <c r="L16" s="19">
        <f>K16/1.016*10</f>
        <v>54.749015748031489</v>
      </c>
      <c r="M16" s="20">
        <f>L16/1.12085</f>
        <v>48.845979165839758</v>
      </c>
      <c r="N16" s="19">
        <f>L16*$O$4</f>
        <v>20.50490417179633</v>
      </c>
      <c r="O16" s="19">
        <f>M16*$O$4</f>
        <v>18.294066263814365</v>
      </c>
      <c r="P16" s="18">
        <f>O16/480</f>
        <v>3.8112638049613262E-2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8654.7000000000007</v>
      </c>
      <c r="I18" s="13"/>
      <c r="J18" s="12"/>
      <c r="K18" s="16">
        <f t="shared" ref="K18:P18" si="6">AVERAGE(K9:K14)+K16/6</f>
        <v>355.97708333333333</v>
      </c>
      <c r="L18" s="16">
        <f t="shared" si="6"/>
        <v>3503.7114501312335</v>
      </c>
      <c r="M18" s="17">
        <f t="shared" si="6"/>
        <v>3125.9414284973313</v>
      </c>
      <c r="N18" s="16">
        <f t="shared" si="6"/>
        <v>1312.2293898616733</v>
      </c>
      <c r="O18" s="16">
        <f t="shared" si="6"/>
        <v>1170.7448720717969</v>
      </c>
      <c r="P18" s="15">
        <f t="shared" si="6"/>
        <v>2.4390518168162432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70.390487046664475</v>
      </c>
      <c r="I19" s="13"/>
      <c r="J19" s="12"/>
      <c r="K19" s="10">
        <f t="shared" ref="K19:P19" si="7">STDEV(K9:K14)/SQRT(COUNT(K9:K14))</f>
        <v>17.597621761666119</v>
      </c>
      <c r="L19" s="10">
        <f t="shared" si="7"/>
        <v>173.20493859907657</v>
      </c>
      <c r="M19" s="11">
        <f t="shared" si="7"/>
        <v>154.52998938223408</v>
      </c>
      <c r="N19" s="10">
        <f t="shared" si="7"/>
        <v>64.869671527997312</v>
      </c>
      <c r="O19" s="10">
        <f t="shared" si="7"/>
        <v>57.875426263992985</v>
      </c>
      <c r="P19" s="9">
        <f t="shared" si="7"/>
        <v>0.12057380471665317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79AE-C370-43E0-90FF-002F8775C63E}">
  <sheetPr codeName="Sheet10">
    <pageSetUpPr fitToPage="1"/>
  </sheetPr>
  <dimension ref="A1:R22"/>
  <sheetViews>
    <sheetView workbookViewId="0">
      <selection activeCell="A7" sqref="A7"/>
    </sheetView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105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3270.6</v>
      </c>
      <c r="N3" s="39" t="s">
        <v>139</v>
      </c>
      <c r="O3" s="38">
        <f>(L3-(L4+L5))/L3</f>
        <v>3.4733688008316492E-2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1180</v>
      </c>
      <c r="N4" s="39" t="s">
        <v>134</v>
      </c>
      <c r="O4" s="38">
        <f>L4/L3</f>
        <v>0.36079006910047084</v>
      </c>
    </row>
    <row r="5" spans="1:18" ht="17.25" thickTop="1" thickBot="1" x14ac:dyDescent="0.25">
      <c r="B5" s="42" t="s">
        <v>133</v>
      </c>
      <c r="C5" s="51">
        <v>0.46111111111111108</v>
      </c>
      <c r="F5" s="37"/>
      <c r="G5" s="37"/>
      <c r="K5" s="39" t="s">
        <v>132</v>
      </c>
      <c r="L5" s="40">
        <v>1977</v>
      </c>
      <c r="N5" s="39" t="s">
        <v>131</v>
      </c>
      <c r="O5" s="38">
        <f>L5/L3</f>
        <v>0.6044762428912126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739.8</v>
      </c>
      <c r="F9" s="21">
        <v>770.3</v>
      </c>
      <c r="G9" s="21"/>
      <c r="H9" s="21">
        <f t="shared" ref="H9:H14" si="0">SUM(E9:G9)</f>
        <v>1510.1</v>
      </c>
      <c r="I9" s="21"/>
      <c r="K9" s="8">
        <f t="shared" ref="K9:K14" si="1">H9/D9</f>
        <v>377.52499999999998</v>
      </c>
      <c r="L9" s="19">
        <f t="shared" ref="L9:L14" si="2">K9/1.016*10</f>
        <v>3715.7972440944877</v>
      </c>
      <c r="M9" s="20">
        <f t="shared" ref="M9:M14" si="3">L9/1.12085</f>
        <v>3315.1601410487469</v>
      </c>
      <c r="N9" s="19">
        <f t="shared" ref="N9:O14" si="4">L9*$O$4</f>
        <v>1340.6227444601893</v>
      </c>
      <c r="O9" s="19">
        <f t="shared" si="4"/>
        <v>1196.076856368104</v>
      </c>
      <c r="P9" s="18">
        <f t="shared" ref="P9:P14" si="5">O9/480</f>
        <v>2.4918267841002169</v>
      </c>
    </row>
    <row r="10" spans="1:18" ht="13.5" thickBot="1" x14ac:dyDescent="0.25">
      <c r="C10" s="29">
        <v>4</v>
      </c>
      <c r="D10" s="29">
        <v>4</v>
      </c>
      <c r="E10" s="21">
        <v>825.8</v>
      </c>
      <c r="F10" s="21">
        <v>626</v>
      </c>
      <c r="G10" s="21"/>
      <c r="H10" s="21">
        <f t="shared" si="0"/>
        <v>1451.8</v>
      </c>
      <c r="I10" s="21"/>
      <c r="K10" s="8">
        <f t="shared" si="1"/>
        <v>362.95</v>
      </c>
      <c r="L10" s="19">
        <f t="shared" si="2"/>
        <v>3572.3425196850394</v>
      </c>
      <c r="M10" s="20">
        <f t="shared" si="3"/>
        <v>3187.1726990097154</v>
      </c>
      <c r="N10" s="19">
        <f t="shared" si="4"/>
        <v>1288.8657045277155</v>
      </c>
      <c r="O10" s="19">
        <f t="shared" si="4"/>
        <v>1149.9002583108495</v>
      </c>
      <c r="P10" s="18">
        <f t="shared" si="5"/>
        <v>2.3956255381476033</v>
      </c>
    </row>
    <row r="11" spans="1:18" ht="13.5" thickBot="1" x14ac:dyDescent="0.25">
      <c r="C11" s="29">
        <v>5</v>
      </c>
      <c r="D11" s="29">
        <v>4</v>
      </c>
      <c r="E11" s="21">
        <v>926.2</v>
      </c>
      <c r="F11" s="21">
        <v>667.4</v>
      </c>
      <c r="G11" s="21"/>
      <c r="H11" s="21">
        <f t="shared" si="0"/>
        <v>1593.6</v>
      </c>
      <c r="I11" s="21"/>
      <c r="K11" s="8">
        <f t="shared" si="1"/>
        <v>398.4</v>
      </c>
      <c r="L11" s="19">
        <f t="shared" si="2"/>
        <v>3921.2598425196848</v>
      </c>
      <c r="M11" s="20">
        <f t="shared" si="3"/>
        <v>3498.4697707272917</v>
      </c>
      <c r="N11" s="19">
        <f t="shared" si="4"/>
        <v>1414.7516095435785</v>
      </c>
      <c r="O11" s="19">
        <f t="shared" si="4"/>
        <v>1262.213150326608</v>
      </c>
      <c r="P11" s="18">
        <f t="shared" si="5"/>
        <v>2.6296107298471001</v>
      </c>
    </row>
    <row r="12" spans="1:18" ht="13.5" thickBot="1" x14ac:dyDescent="0.25">
      <c r="C12" s="29">
        <v>6</v>
      </c>
      <c r="D12" s="29">
        <v>4</v>
      </c>
      <c r="E12" s="21">
        <v>1138</v>
      </c>
      <c r="F12" s="21"/>
      <c r="G12" s="21"/>
      <c r="H12" s="21">
        <f t="shared" si="0"/>
        <v>1138</v>
      </c>
      <c r="I12" s="21"/>
      <c r="K12" s="8">
        <f t="shared" si="1"/>
        <v>284.5</v>
      </c>
      <c r="L12" s="19">
        <f t="shared" si="2"/>
        <v>2800.1968503937005</v>
      </c>
      <c r="M12" s="20">
        <f t="shared" si="3"/>
        <v>2498.2797434034001</v>
      </c>
      <c r="N12" s="19">
        <f t="shared" si="4"/>
        <v>1010.283215148464</v>
      </c>
      <c r="O12" s="19">
        <f t="shared" si="4"/>
        <v>901.35452125481925</v>
      </c>
      <c r="P12" s="18">
        <f t="shared" si="5"/>
        <v>1.8778219192808734</v>
      </c>
    </row>
    <row r="13" spans="1:18" ht="13.5" thickBot="1" x14ac:dyDescent="0.25">
      <c r="C13" s="29">
        <v>7</v>
      </c>
      <c r="D13" s="29">
        <v>4</v>
      </c>
      <c r="E13" s="21">
        <v>516.20000000000005</v>
      </c>
      <c r="F13" s="21">
        <v>782.6</v>
      </c>
      <c r="G13" s="21"/>
      <c r="H13" s="21">
        <f t="shared" si="0"/>
        <v>1298.8000000000002</v>
      </c>
      <c r="I13" s="21"/>
      <c r="K13" s="8">
        <f t="shared" si="1"/>
        <v>324.70000000000005</v>
      </c>
      <c r="L13" s="19">
        <f t="shared" si="2"/>
        <v>3195.8661417322837</v>
      </c>
      <c r="M13" s="20">
        <f t="shared" si="3"/>
        <v>2851.2879883412447</v>
      </c>
      <c r="N13" s="19">
        <f t="shared" si="4"/>
        <v>1153.0367661114458</v>
      </c>
      <c r="O13" s="19">
        <f t="shared" si="4"/>
        <v>1028.7163903389801</v>
      </c>
      <c r="P13" s="18">
        <f t="shared" si="5"/>
        <v>2.1431591465395416</v>
      </c>
    </row>
    <row r="14" spans="1:18" ht="13.5" thickBot="1" x14ac:dyDescent="0.25">
      <c r="C14" s="29">
        <v>8</v>
      </c>
      <c r="D14" s="29">
        <v>4</v>
      </c>
      <c r="E14" s="21">
        <v>714.8</v>
      </c>
      <c r="F14" s="21">
        <v>830.1</v>
      </c>
      <c r="G14" s="21"/>
      <c r="H14" s="21">
        <f t="shared" si="0"/>
        <v>1544.9</v>
      </c>
      <c r="I14" s="21"/>
      <c r="K14" s="8">
        <f t="shared" si="1"/>
        <v>386.22500000000002</v>
      </c>
      <c r="L14" s="19">
        <f t="shared" si="2"/>
        <v>3801.4271653543306</v>
      </c>
      <c r="M14" s="20">
        <f t="shared" si="3"/>
        <v>3391.5574477890268</v>
      </c>
      <c r="N14" s="19">
        <f t="shared" si="4"/>
        <v>1371.5171696685959</v>
      </c>
      <c r="O14" s="19">
        <f t="shared" si="4"/>
        <v>1223.6402459460196</v>
      </c>
      <c r="P14" s="18">
        <f t="shared" si="5"/>
        <v>2.5492505123875406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26.7</v>
      </c>
      <c r="I16" s="21"/>
      <c r="K16" s="8">
        <f>H16/SUM($D$9:$D$14)</f>
        <v>1.1125</v>
      </c>
      <c r="L16" s="19">
        <f>K16/1.016*10</f>
        <v>10.949803149606298</v>
      </c>
      <c r="M16" s="20">
        <f>L16/1.12085</f>
        <v>9.7691958331679523</v>
      </c>
      <c r="N16" s="19">
        <f>L16*$O$4</f>
        <v>3.9505802349830095</v>
      </c>
      <c r="O16" s="19">
        <f>M16*$O$4</f>
        <v>3.5246288397046972</v>
      </c>
      <c r="P16" s="18">
        <f>O16/480</f>
        <v>7.3429767493847862E-3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8563.9000000000015</v>
      </c>
      <c r="I18" s="13"/>
      <c r="J18" s="12"/>
      <c r="K18" s="16">
        <f t="shared" ref="K18:P18" si="6">AVERAGE(K9:K14)+K16/6</f>
        <v>355.90208333333334</v>
      </c>
      <c r="L18" s="16">
        <f t="shared" si="6"/>
        <v>3502.9732611548557</v>
      </c>
      <c r="M18" s="17">
        <f t="shared" si="6"/>
        <v>3125.2828310254326</v>
      </c>
      <c r="N18" s="16">
        <f t="shared" si="6"/>
        <v>1263.8379649491621</v>
      </c>
      <c r="O18" s="16">
        <f t="shared" si="6"/>
        <v>1127.5710085641811</v>
      </c>
      <c r="P18" s="15">
        <f t="shared" si="6"/>
        <v>2.3491062678420436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70.481759657689196</v>
      </c>
      <c r="I19" s="13"/>
      <c r="J19" s="12"/>
      <c r="K19" s="10">
        <f t="shared" ref="K19:P19" si="7">STDEV(K9:K14)/SQRT(COUNT(K9:K14))</f>
        <v>17.620439914422299</v>
      </c>
      <c r="L19" s="10">
        <f t="shared" si="7"/>
        <v>173.42952671675664</v>
      </c>
      <c r="M19" s="11">
        <f t="shared" si="7"/>
        <v>154.73036241848334</v>
      </c>
      <c r="N19" s="10">
        <f t="shared" si="7"/>
        <v>62.571650928200924</v>
      </c>
      <c r="O19" s="10">
        <f t="shared" si="7"/>
        <v>55.825178148905479</v>
      </c>
      <c r="P19" s="9">
        <f t="shared" si="7"/>
        <v>0.11630245447688566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592E-81D2-4131-9537-0E8F5BA4120F}">
  <sheetPr codeName="Sheet11">
    <pageSetUpPr fitToPage="1"/>
  </sheetPr>
  <dimension ref="A1:R22"/>
  <sheetViews>
    <sheetView workbookViewId="0">
      <selection activeCell="A7" sqref="A7"/>
    </sheetView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106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3499.5</v>
      </c>
      <c r="N3" s="39" t="s">
        <v>139</v>
      </c>
      <c r="O3" s="38">
        <f>(L3-(L4+L5))/L3</f>
        <v>5.2950421488784163E-2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1172.0999999999999</v>
      </c>
      <c r="N4" s="39" t="s">
        <v>134</v>
      </c>
      <c r="O4" s="38">
        <f>L4/L3</f>
        <v>0.33493356193741963</v>
      </c>
    </row>
    <row r="5" spans="1:18" ht="17.25" thickTop="1" thickBot="1" x14ac:dyDescent="0.25">
      <c r="B5" s="42" t="s">
        <v>133</v>
      </c>
      <c r="C5" s="51">
        <v>0.44444444444444442</v>
      </c>
      <c r="F5" s="37"/>
      <c r="G5" s="37"/>
      <c r="K5" s="39" t="s">
        <v>132</v>
      </c>
      <c r="L5" s="40">
        <v>2142.1</v>
      </c>
      <c r="N5" s="39" t="s">
        <v>131</v>
      </c>
      <c r="O5" s="38">
        <f>L5/L3</f>
        <v>0.61211601657379622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727.2</v>
      </c>
      <c r="F9" s="21">
        <v>618</v>
      </c>
      <c r="G9" s="21"/>
      <c r="H9" s="21">
        <f t="shared" ref="H9:H14" si="0">SUM(E9:G9)</f>
        <v>1345.2</v>
      </c>
      <c r="I9" s="21"/>
      <c r="K9" s="8">
        <f t="shared" ref="K9:K14" si="1">H9/D9</f>
        <v>336.3</v>
      </c>
      <c r="L9" s="19">
        <f t="shared" ref="L9:L14" si="2">K9/1.016*10</f>
        <v>3310.0393700787399</v>
      </c>
      <c r="M9" s="20">
        <f t="shared" ref="M9:M14" si="3">L9/1.12085</f>
        <v>2953.1510639949506</v>
      </c>
      <c r="N9" s="19">
        <f t="shared" ref="N9:O14" si="4">L9*$O$4</f>
        <v>1108.6432763735652</v>
      </c>
      <c r="O9" s="19">
        <f t="shared" si="4"/>
        <v>989.10940480310944</v>
      </c>
      <c r="P9" s="18">
        <f t="shared" ref="P9:P14" si="5">O9/480</f>
        <v>2.0606445933398114</v>
      </c>
    </row>
    <row r="10" spans="1:18" ht="13.5" thickBot="1" x14ac:dyDescent="0.25">
      <c r="C10" s="29">
        <v>4</v>
      </c>
      <c r="D10" s="29">
        <v>4</v>
      </c>
      <c r="E10" s="21">
        <v>903.9</v>
      </c>
      <c r="F10" s="21">
        <v>400.4</v>
      </c>
      <c r="G10" s="21"/>
      <c r="H10" s="21">
        <f t="shared" si="0"/>
        <v>1304.3</v>
      </c>
      <c r="I10" s="21" t="s">
        <v>147</v>
      </c>
      <c r="K10" s="8">
        <f t="shared" si="1"/>
        <v>326.07499999999999</v>
      </c>
      <c r="L10" s="19">
        <f t="shared" si="2"/>
        <v>3209.3996062992123</v>
      </c>
      <c r="M10" s="20">
        <f t="shared" si="3"/>
        <v>2863.3622753260584</v>
      </c>
      <c r="N10" s="19">
        <f t="shared" si="4"/>
        <v>1074.9356418183474</v>
      </c>
      <c r="O10" s="19">
        <f t="shared" si="4"/>
        <v>959.03612599219116</v>
      </c>
      <c r="P10" s="18">
        <f t="shared" si="5"/>
        <v>1.9979919291503982</v>
      </c>
    </row>
    <row r="11" spans="1:18" ht="13.5" thickBot="1" x14ac:dyDescent="0.25">
      <c r="C11" s="29">
        <v>5</v>
      </c>
      <c r="D11" s="29">
        <v>4</v>
      </c>
      <c r="E11" s="21">
        <v>559.70000000000005</v>
      </c>
      <c r="F11" s="21">
        <v>593.9</v>
      </c>
      <c r="G11" s="21"/>
      <c r="H11" s="21">
        <f t="shared" si="0"/>
        <v>1153.5999999999999</v>
      </c>
      <c r="I11" s="21"/>
      <c r="K11" s="8">
        <f t="shared" si="1"/>
        <v>288.39999999999998</v>
      </c>
      <c r="L11" s="19">
        <f t="shared" si="2"/>
        <v>2838.5826771653542</v>
      </c>
      <c r="M11" s="20">
        <f t="shared" si="3"/>
        <v>2532.5268119421462</v>
      </c>
      <c r="N11" s="19">
        <f t="shared" si="4"/>
        <v>950.73660691684859</v>
      </c>
      <c r="O11" s="19">
        <f t="shared" si="4"/>
        <v>848.22822582580068</v>
      </c>
      <c r="P11" s="18">
        <f t="shared" si="5"/>
        <v>1.7671421371370848</v>
      </c>
    </row>
    <row r="12" spans="1:18" ht="13.5" thickBot="1" x14ac:dyDescent="0.25">
      <c r="C12" s="29">
        <v>6</v>
      </c>
      <c r="D12" s="29">
        <v>4</v>
      </c>
      <c r="E12" s="21">
        <v>908.8</v>
      </c>
      <c r="F12" s="21">
        <v>628.79999999999995</v>
      </c>
      <c r="G12" s="21"/>
      <c r="H12" s="21">
        <f t="shared" si="0"/>
        <v>1537.6</v>
      </c>
      <c r="I12" s="21"/>
      <c r="K12" s="8">
        <f t="shared" si="1"/>
        <v>384.4</v>
      </c>
      <c r="L12" s="19">
        <f t="shared" si="2"/>
        <v>3783.4645669291335</v>
      </c>
      <c r="M12" s="20">
        <f t="shared" si="3"/>
        <v>3375.5315759728187</v>
      </c>
      <c r="N12" s="19">
        <f t="shared" si="4"/>
        <v>1267.2092638655915</v>
      </c>
      <c r="O12" s="19">
        <f t="shared" si="4"/>
        <v>1130.5788141728078</v>
      </c>
      <c r="P12" s="18">
        <f t="shared" si="5"/>
        <v>2.355372529526683</v>
      </c>
    </row>
    <row r="13" spans="1:18" ht="13.5" thickBot="1" x14ac:dyDescent="0.25">
      <c r="C13" s="29">
        <v>7</v>
      </c>
      <c r="D13" s="29">
        <v>4</v>
      </c>
      <c r="E13" s="21">
        <v>687.2</v>
      </c>
      <c r="F13" s="21">
        <v>715.5</v>
      </c>
      <c r="G13" s="21"/>
      <c r="H13" s="21">
        <f t="shared" si="0"/>
        <v>1402.7</v>
      </c>
      <c r="I13" s="21"/>
      <c r="K13" s="8">
        <f t="shared" si="1"/>
        <v>350.67500000000001</v>
      </c>
      <c r="L13" s="19">
        <f t="shared" si="2"/>
        <v>3451.5255905511813</v>
      </c>
      <c r="M13" s="20">
        <f t="shared" si="3"/>
        <v>3079.3822461089189</v>
      </c>
      <c r="N13" s="19">
        <f t="shared" si="4"/>
        <v>1156.0317601614629</v>
      </c>
      <c r="O13" s="19">
        <f t="shared" si="4"/>
        <v>1031.388464256112</v>
      </c>
      <c r="P13" s="18">
        <f t="shared" si="5"/>
        <v>2.1487259672002335</v>
      </c>
    </row>
    <row r="14" spans="1:18" ht="13.5" thickBot="1" x14ac:dyDescent="0.25">
      <c r="C14" s="29">
        <v>8</v>
      </c>
      <c r="D14" s="29">
        <v>4</v>
      </c>
      <c r="E14" s="21">
        <v>815.6</v>
      </c>
      <c r="F14" s="21">
        <v>686.7</v>
      </c>
      <c r="G14" s="21"/>
      <c r="H14" s="21">
        <f t="shared" si="0"/>
        <v>1502.3000000000002</v>
      </c>
      <c r="I14" s="21"/>
      <c r="K14" s="8">
        <f t="shared" si="1"/>
        <v>375.57500000000005</v>
      </c>
      <c r="L14" s="19">
        <f t="shared" si="2"/>
        <v>3696.604330708662</v>
      </c>
      <c r="M14" s="20">
        <f t="shared" si="3"/>
        <v>3298.0366067793748</v>
      </c>
      <c r="N14" s="19">
        <f t="shared" si="4"/>
        <v>1238.1168555575432</v>
      </c>
      <c r="O14" s="19">
        <f t="shared" si="4"/>
        <v>1104.623148108617</v>
      </c>
      <c r="P14" s="18">
        <f t="shared" si="5"/>
        <v>2.3012982252262852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27.4</v>
      </c>
      <c r="I16" s="21"/>
      <c r="K16" s="8">
        <f>H16/SUM($D$9:$D$14)</f>
        <v>1.1416666666666666</v>
      </c>
      <c r="L16" s="19">
        <f>K16/1.016*10</f>
        <v>11.236876640419947</v>
      </c>
      <c r="M16" s="20">
        <f>L16/1.12085</f>
        <v>10.025317072239771</v>
      </c>
      <c r="N16" s="19">
        <f>L16*$O$4</f>
        <v>3.7636071182272381</v>
      </c>
      <c r="O16" s="19">
        <f>M16*$O$4</f>
        <v>3.3578151565572898</v>
      </c>
      <c r="P16" s="18">
        <f>O16/480</f>
        <v>6.9954482428276872E-3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8273.1</v>
      </c>
      <c r="I18" s="13"/>
      <c r="J18" s="12"/>
      <c r="K18" s="16">
        <f t="shared" ref="K18:P18" si="6">AVERAGE(K9:K14)+K16/6</f>
        <v>343.76111111111118</v>
      </c>
      <c r="L18" s="16">
        <f t="shared" si="6"/>
        <v>3383.4755030621172</v>
      </c>
      <c r="M18" s="17">
        <f t="shared" si="6"/>
        <v>3018.6693161994172</v>
      </c>
      <c r="N18" s="16">
        <f t="shared" si="6"/>
        <v>1133.2395019685978</v>
      </c>
      <c r="O18" s="16">
        <f t="shared" si="6"/>
        <v>1011.053666385866</v>
      </c>
      <c r="P18" s="15">
        <f t="shared" si="6"/>
        <v>2.1063618049705535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57.245887285560649</v>
      </c>
      <c r="I19" s="13"/>
      <c r="J19" s="12"/>
      <c r="K19" s="10">
        <f t="shared" ref="K19:P19" si="7">STDEV(K9:K14)/SQRT(COUNT(K9:K14))</f>
        <v>14.311471821390162</v>
      </c>
      <c r="L19" s="10">
        <f t="shared" si="7"/>
        <v>140.8609431239189</v>
      </c>
      <c r="M19" s="11">
        <f t="shared" si="7"/>
        <v>125.67332214294412</v>
      </c>
      <c r="N19" s="10">
        <f t="shared" si="7"/>
        <v>47.17905741835844</v>
      </c>
      <c r="O19" s="10">
        <f t="shared" si="7"/>
        <v>42.092213425845067</v>
      </c>
      <c r="P19" s="9">
        <f t="shared" si="7"/>
        <v>8.7692111303843884E-2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52A1-B938-4908-BD2F-19F06AE165A7}">
  <sheetPr codeName="Sheet12">
    <pageSetUpPr fitToPage="1"/>
  </sheetPr>
  <dimension ref="A1:R22"/>
  <sheetViews>
    <sheetView workbookViewId="0">
      <selection activeCell="A7" sqref="A7"/>
    </sheetView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107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3223.8</v>
      </c>
      <c r="N3" s="39" t="s">
        <v>139</v>
      </c>
      <c r="O3" s="38">
        <f>(L3-(L4+L5))/L3</f>
        <v>3.6540728333023194E-2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1180.3</v>
      </c>
      <c r="N4" s="39" t="s">
        <v>134</v>
      </c>
      <c r="O4" s="38">
        <f>L4/L3</f>
        <v>0.36612072709225135</v>
      </c>
    </row>
    <row r="5" spans="1:18" ht="17.25" thickTop="1" thickBot="1" x14ac:dyDescent="0.25">
      <c r="B5" s="42" t="s">
        <v>133</v>
      </c>
      <c r="C5" s="51">
        <v>0.35833333333333334</v>
      </c>
      <c r="F5" s="37"/>
      <c r="G5" s="37"/>
      <c r="K5" s="39" t="s">
        <v>132</v>
      </c>
      <c r="L5" s="40">
        <v>1925.7</v>
      </c>
      <c r="N5" s="39" t="s">
        <v>131</v>
      </c>
      <c r="O5" s="38">
        <f>L5/L3</f>
        <v>0.59733854457472546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974.8</v>
      </c>
      <c r="F9" s="21">
        <v>717.2</v>
      </c>
      <c r="G9" s="21"/>
      <c r="H9" s="21">
        <f t="shared" ref="H9:H14" si="0">SUM(E9:G9)</f>
        <v>1692</v>
      </c>
      <c r="I9" s="21"/>
      <c r="K9" s="8">
        <f t="shared" ref="K9:K14" si="1">H9/D9</f>
        <v>423</v>
      </c>
      <c r="L9" s="19">
        <f t="shared" ref="L9:L14" si="2">K9/1.016*10</f>
        <v>4163.3858267716532</v>
      </c>
      <c r="M9" s="20">
        <f t="shared" ref="M9:M14" si="3">L9/1.12085</f>
        <v>3714.4897415101518</v>
      </c>
      <c r="N9" s="19">
        <f t="shared" ref="N9:O14" si="4">L9*$O$4</f>
        <v>1524.3018460632118</v>
      </c>
      <c r="O9" s="19">
        <f t="shared" si="4"/>
        <v>1359.9516849384056</v>
      </c>
      <c r="P9" s="18">
        <f t="shared" ref="P9:P14" si="5">O9/480</f>
        <v>2.8332326769550118</v>
      </c>
    </row>
    <row r="10" spans="1:18" ht="13.5" thickBot="1" x14ac:dyDescent="0.25">
      <c r="C10" s="29">
        <v>4</v>
      </c>
      <c r="D10" s="29">
        <v>4</v>
      </c>
      <c r="E10" s="21">
        <v>502.7</v>
      </c>
      <c r="F10" s="21">
        <v>716.8</v>
      </c>
      <c r="G10" s="21"/>
      <c r="H10" s="21">
        <f t="shared" si="0"/>
        <v>1219.5</v>
      </c>
      <c r="I10" s="21"/>
      <c r="K10" s="8">
        <f t="shared" si="1"/>
        <v>304.875</v>
      </c>
      <c r="L10" s="19">
        <f t="shared" si="2"/>
        <v>3000.7381889763783</v>
      </c>
      <c r="M10" s="20">
        <f t="shared" si="3"/>
        <v>2677.1987232692854</v>
      </c>
      <c r="N10" s="19">
        <f t="shared" si="4"/>
        <v>1098.6324475615172</v>
      </c>
      <c r="O10" s="19">
        <f t="shared" si="4"/>
        <v>980.17794313379784</v>
      </c>
      <c r="P10" s="18">
        <f t="shared" si="5"/>
        <v>2.0420373815287456</v>
      </c>
    </row>
    <row r="11" spans="1:18" ht="13.5" thickBot="1" x14ac:dyDescent="0.25">
      <c r="C11" s="29">
        <v>5</v>
      </c>
      <c r="D11" s="29">
        <v>4</v>
      </c>
      <c r="E11" s="21">
        <v>713.2</v>
      </c>
      <c r="F11" s="21">
        <v>1060.3</v>
      </c>
      <c r="G11" s="21"/>
      <c r="H11" s="21">
        <f t="shared" si="0"/>
        <v>1773.5</v>
      </c>
      <c r="I11" s="21"/>
      <c r="K11" s="8">
        <f t="shared" si="1"/>
        <v>443.375</v>
      </c>
      <c r="L11" s="19">
        <f t="shared" si="2"/>
        <v>4363.927165354331</v>
      </c>
      <c r="M11" s="20">
        <f t="shared" si="3"/>
        <v>3893.4087213760372</v>
      </c>
      <c r="N11" s="19">
        <f t="shared" si="4"/>
        <v>1597.7241867571552</v>
      </c>
      <c r="O11" s="19">
        <f t="shared" si="4"/>
        <v>1425.4576319375074</v>
      </c>
      <c r="P11" s="18">
        <f t="shared" si="5"/>
        <v>2.969703399869807</v>
      </c>
    </row>
    <row r="12" spans="1:18" ht="13.5" thickBot="1" x14ac:dyDescent="0.25">
      <c r="C12" s="29">
        <v>6</v>
      </c>
      <c r="D12" s="29">
        <v>4</v>
      </c>
      <c r="E12" s="21">
        <v>649.4</v>
      </c>
      <c r="F12" s="21">
        <v>1049.4000000000001</v>
      </c>
      <c r="G12" s="21"/>
      <c r="H12" s="21">
        <f t="shared" si="0"/>
        <v>1698.8000000000002</v>
      </c>
      <c r="I12" s="21"/>
      <c r="K12" s="8">
        <f t="shared" si="1"/>
        <v>424.70000000000005</v>
      </c>
      <c r="L12" s="19">
        <f t="shared" si="2"/>
        <v>4180.1181102362207</v>
      </c>
      <c r="M12" s="20">
        <f t="shared" si="3"/>
        <v>3729.4179508731954</v>
      </c>
      <c r="N12" s="19">
        <f t="shared" si="4"/>
        <v>1530.4278818511727</v>
      </c>
      <c r="O12" s="19">
        <f t="shared" si="4"/>
        <v>1365.4172118045885</v>
      </c>
      <c r="P12" s="18">
        <f t="shared" si="5"/>
        <v>2.8446191912595595</v>
      </c>
    </row>
    <row r="13" spans="1:18" ht="13.5" thickBot="1" x14ac:dyDescent="0.25">
      <c r="C13" s="29">
        <v>7</v>
      </c>
      <c r="D13" s="29">
        <v>4</v>
      </c>
      <c r="E13" s="21">
        <v>722</v>
      </c>
      <c r="F13" s="21">
        <v>972.4</v>
      </c>
      <c r="G13" s="21"/>
      <c r="H13" s="21">
        <f t="shared" si="0"/>
        <v>1694.4</v>
      </c>
      <c r="I13" s="21"/>
      <c r="K13" s="8">
        <f t="shared" si="1"/>
        <v>423.6</v>
      </c>
      <c r="L13" s="19">
        <f t="shared" si="2"/>
        <v>4169.2913385826778</v>
      </c>
      <c r="M13" s="20">
        <f t="shared" si="3"/>
        <v>3719.7585212853442</v>
      </c>
      <c r="N13" s="19">
        <f t="shared" si="4"/>
        <v>1526.4639763413159</v>
      </c>
      <c r="O13" s="19">
        <f t="shared" si="4"/>
        <v>1361.880694420588</v>
      </c>
      <c r="P13" s="18">
        <f t="shared" si="5"/>
        <v>2.8372514467095584</v>
      </c>
    </row>
    <row r="14" spans="1:18" ht="13.5" thickBot="1" x14ac:dyDescent="0.25">
      <c r="C14" s="29">
        <v>8</v>
      </c>
      <c r="D14" s="29">
        <v>4</v>
      </c>
      <c r="E14" s="21">
        <v>1453.6</v>
      </c>
      <c r="F14" s="21"/>
      <c r="G14" s="21"/>
      <c r="H14" s="21">
        <f t="shared" si="0"/>
        <v>1453.6</v>
      </c>
      <c r="I14" s="21"/>
      <c r="K14" s="8">
        <f t="shared" si="1"/>
        <v>363.4</v>
      </c>
      <c r="L14" s="19">
        <f t="shared" si="2"/>
        <v>3576.7716535433065</v>
      </c>
      <c r="M14" s="20">
        <f t="shared" si="3"/>
        <v>3191.124283841109</v>
      </c>
      <c r="N14" s="19">
        <f t="shared" si="4"/>
        <v>1309.5302384382296</v>
      </c>
      <c r="O14" s="19">
        <f t="shared" si="4"/>
        <v>1168.3367430416467</v>
      </c>
      <c r="P14" s="18">
        <f t="shared" si="5"/>
        <v>2.434034881336764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28.7</v>
      </c>
      <c r="I16" s="21"/>
      <c r="K16" s="8">
        <f>H16/SUM($D$9:$D$14)</f>
        <v>1.1958333333333333</v>
      </c>
      <c r="L16" s="19">
        <f>K16/1.016*10</f>
        <v>11.770013123359579</v>
      </c>
      <c r="M16" s="20">
        <f>L16/1.12085</f>
        <v>10.500970801944577</v>
      </c>
      <c r="N16" s="19">
        <f>L16*$O$4</f>
        <v>4.3092457626097493</v>
      </c>
      <c r="O16" s="19">
        <f>M16*$O$4</f>
        <v>3.8446230651824504</v>
      </c>
      <c r="P16" s="18">
        <f>O16/480</f>
        <v>8.009631385796771E-3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9560.5000000000018</v>
      </c>
      <c r="I18" s="13"/>
      <c r="J18" s="12"/>
      <c r="K18" s="16">
        <f t="shared" ref="K18:P18" si="6">AVERAGE(K9:K14)+K16/6</f>
        <v>397.35763888888891</v>
      </c>
      <c r="L18" s="16">
        <f t="shared" si="6"/>
        <v>3911.0003827646542</v>
      </c>
      <c r="M18" s="17">
        <f t="shared" si="6"/>
        <v>3489.3164854928445</v>
      </c>
      <c r="N18" s="16">
        <f t="shared" si="6"/>
        <v>1431.8983037958687</v>
      </c>
      <c r="O18" s="16">
        <f t="shared" si="6"/>
        <v>1277.5110887236197</v>
      </c>
      <c r="P18" s="15">
        <f t="shared" si="6"/>
        <v>2.6614814348408737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86.154329226361952</v>
      </c>
      <c r="I19" s="13"/>
      <c r="J19" s="12"/>
      <c r="K19" s="10">
        <f t="shared" ref="K19:P19" si="7">STDEV(K9:K14)/SQRT(COUNT(K9:K14))</f>
        <v>21.538582306590488</v>
      </c>
      <c r="L19" s="10">
        <f t="shared" si="7"/>
        <v>211.99392034045832</v>
      </c>
      <c r="M19" s="11">
        <f t="shared" si="7"/>
        <v>189.13674473877722</v>
      </c>
      <c r="N19" s="10">
        <f t="shared" si="7"/>
        <v>77.615368254186023</v>
      </c>
      <c r="O19" s="10">
        <f t="shared" si="7"/>
        <v>69.246882503622743</v>
      </c>
      <c r="P19" s="9">
        <f t="shared" si="7"/>
        <v>0.14426433854921289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FF20-64D2-4F51-A50E-CE7453824173}">
  <sheetPr codeName="Sheet13">
    <pageSetUpPr fitToPage="1"/>
  </sheetPr>
  <dimension ref="A1:R22"/>
  <sheetViews>
    <sheetView workbookViewId="0">
      <selection activeCell="A7" sqref="A7"/>
    </sheetView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108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3229.8</v>
      </c>
      <c r="N3" s="39" t="s">
        <v>139</v>
      </c>
      <c r="O3" s="38">
        <f>(L3-(L4+L5))/L3</f>
        <v>4.3284413895597305E-2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1134.9000000000001</v>
      </c>
      <c r="N4" s="39" t="s">
        <v>134</v>
      </c>
      <c r="O4" s="38">
        <f>L4/L3</f>
        <v>0.35138398662455883</v>
      </c>
    </row>
    <row r="5" spans="1:18" ht="17.25" thickTop="1" thickBot="1" x14ac:dyDescent="0.25">
      <c r="B5" s="42" t="s">
        <v>133</v>
      </c>
      <c r="C5" s="51">
        <v>0.41666666666666669</v>
      </c>
      <c r="F5" s="37"/>
      <c r="G5" s="37"/>
      <c r="K5" s="39" t="s">
        <v>132</v>
      </c>
      <c r="L5" s="40">
        <v>1955.1</v>
      </c>
      <c r="N5" s="39" t="s">
        <v>131</v>
      </c>
      <c r="O5" s="38">
        <f>L5/L3</f>
        <v>0.60533159947984394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823.6</v>
      </c>
      <c r="F9" s="21">
        <v>815.4</v>
      </c>
      <c r="G9" s="21"/>
      <c r="H9" s="21">
        <f t="shared" ref="H9:H14" si="0">SUM(E9:G9)</f>
        <v>1639</v>
      </c>
      <c r="I9" s="21"/>
      <c r="K9" s="8">
        <f t="shared" ref="K9:K14" si="1">H9/D9</f>
        <v>409.75</v>
      </c>
      <c r="L9" s="19">
        <f t="shared" ref="L9:L14" si="2">K9/1.016*10</f>
        <v>4032.9724409448818</v>
      </c>
      <c r="M9" s="20">
        <f t="shared" ref="M9:M14" si="3">L9/1.12085</f>
        <v>3598.1375214746686</v>
      </c>
      <c r="N9" s="19">
        <f t="shared" ref="N9:O14" si="4">L9*$O$4</f>
        <v>1417.1219342461907</v>
      </c>
      <c r="O9" s="19">
        <f t="shared" si="4"/>
        <v>1264.3279067191781</v>
      </c>
      <c r="P9" s="18">
        <f t="shared" ref="P9:P14" si="5">O9/480</f>
        <v>2.6340164723316213</v>
      </c>
    </row>
    <row r="10" spans="1:18" ht="13.5" thickBot="1" x14ac:dyDescent="0.25">
      <c r="C10" s="29">
        <v>4</v>
      </c>
      <c r="D10" s="29">
        <v>4</v>
      </c>
      <c r="E10" s="21">
        <v>1021.9</v>
      </c>
      <c r="F10" s="21">
        <v>358.8</v>
      </c>
      <c r="G10" s="21"/>
      <c r="H10" s="21">
        <f t="shared" si="0"/>
        <v>1380.7</v>
      </c>
      <c r="I10" s="21"/>
      <c r="K10" s="8">
        <f t="shared" si="1"/>
        <v>345.17500000000001</v>
      </c>
      <c r="L10" s="19">
        <f t="shared" si="2"/>
        <v>3397.391732283465</v>
      </c>
      <c r="M10" s="20">
        <f t="shared" si="3"/>
        <v>3031.0850981696617</v>
      </c>
      <c r="N10" s="19">
        <f t="shared" si="4"/>
        <v>1193.7890510150798</v>
      </c>
      <c r="O10" s="19">
        <f t="shared" si="4"/>
        <v>1065.074765593148</v>
      </c>
      <c r="P10" s="18">
        <f t="shared" si="5"/>
        <v>2.2189057616523917</v>
      </c>
    </row>
    <row r="11" spans="1:18" ht="13.5" thickBot="1" x14ac:dyDescent="0.25">
      <c r="C11" s="29">
        <v>5</v>
      </c>
      <c r="D11" s="29">
        <v>4</v>
      </c>
      <c r="E11" s="21">
        <v>943.6</v>
      </c>
      <c r="F11" s="21">
        <v>824.3</v>
      </c>
      <c r="G11" s="21"/>
      <c r="H11" s="21">
        <f t="shared" si="0"/>
        <v>1767.9</v>
      </c>
      <c r="I11" s="21"/>
      <c r="K11" s="8">
        <f t="shared" si="1"/>
        <v>441.97500000000002</v>
      </c>
      <c r="L11" s="19">
        <f t="shared" si="2"/>
        <v>4350.1476377952758</v>
      </c>
      <c r="M11" s="20">
        <f t="shared" si="3"/>
        <v>3881.1149019005898</v>
      </c>
      <c r="N11" s="19">
        <f t="shared" si="4"/>
        <v>1528.5722193739114</v>
      </c>
      <c r="O11" s="19">
        <f t="shared" si="4"/>
        <v>1363.7616267778128</v>
      </c>
      <c r="P11" s="18">
        <f t="shared" si="5"/>
        <v>2.84117005578711</v>
      </c>
    </row>
    <row r="12" spans="1:18" ht="13.5" thickBot="1" x14ac:dyDescent="0.25">
      <c r="C12" s="29">
        <v>6</v>
      </c>
      <c r="D12" s="29">
        <v>4</v>
      </c>
      <c r="E12" s="21">
        <v>873.7</v>
      </c>
      <c r="F12" s="21">
        <v>1013.3</v>
      </c>
      <c r="G12" s="21"/>
      <c r="H12" s="21">
        <f t="shared" si="0"/>
        <v>1887</v>
      </c>
      <c r="I12" s="21"/>
      <c r="K12" s="8">
        <f t="shared" si="1"/>
        <v>471.75</v>
      </c>
      <c r="L12" s="19">
        <f t="shared" si="2"/>
        <v>4643.2086614173222</v>
      </c>
      <c r="M12" s="20">
        <f t="shared" si="3"/>
        <v>4142.5780982444776</v>
      </c>
      <c r="N12" s="19">
        <f t="shared" si="4"/>
        <v>1631.5491701785002</v>
      </c>
      <c r="O12" s="19">
        <f t="shared" si="4"/>
        <v>1455.6356070647278</v>
      </c>
      <c r="P12" s="18">
        <f t="shared" si="5"/>
        <v>3.0325741813848497</v>
      </c>
    </row>
    <row r="13" spans="1:18" ht="13.5" thickBot="1" x14ac:dyDescent="0.25">
      <c r="C13" s="29">
        <v>7</v>
      </c>
      <c r="D13" s="29">
        <v>4</v>
      </c>
      <c r="E13" s="21">
        <v>1641</v>
      </c>
      <c r="F13" s="21"/>
      <c r="G13" s="21"/>
      <c r="H13" s="21">
        <f t="shared" si="0"/>
        <v>1641</v>
      </c>
      <c r="I13" s="21" t="s">
        <v>147</v>
      </c>
      <c r="K13" s="8">
        <f t="shared" si="1"/>
        <v>410.25</v>
      </c>
      <c r="L13" s="19">
        <f t="shared" si="2"/>
        <v>4037.8937007874015</v>
      </c>
      <c r="M13" s="20">
        <f t="shared" si="3"/>
        <v>3602.5281712873284</v>
      </c>
      <c r="N13" s="19">
        <f t="shared" si="4"/>
        <v>1418.8511861488707</v>
      </c>
      <c r="O13" s="19">
        <f t="shared" si="4"/>
        <v>1265.870710754223</v>
      </c>
      <c r="P13" s="18">
        <f t="shared" si="5"/>
        <v>2.637230647404631</v>
      </c>
    </row>
    <row r="14" spans="1:18" ht="13.5" thickBot="1" x14ac:dyDescent="0.25">
      <c r="C14" s="29">
        <v>8</v>
      </c>
      <c r="D14" s="29">
        <v>4</v>
      </c>
      <c r="E14" s="21">
        <v>1265.4000000000001</v>
      </c>
      <c r="F14" s="21">
        <v>702.6</v>
      </c>
      <c r="G14" s="21"/>
      <c r="H14" s="21">
        <f t="shared" si="0"/>
        <v>1968</v>
      </c>
      <c r="I14" s="21"/>
      <c r="K14" s="8">
        <f t="shared" si="1"/>
        <v>492</v>
      </c>
      <c r="L14" s="19">
        <f t="shared" si="2"/>
        <v>4842.5196850393704</v>
      </c>
      <c r="M14" s="20">
        <f t="shared" si="3"/>
        <v>4320.399415657198</v>
      </c>
      <c r="N14" s="19">
        <f t="shared" si="4"/>
        <v>1701.583872237037</v>
      </c>
      <c r="O14" s="19">
        <f t="shared" si="4"/>
        <v>1518.1191704840408</v>
      </c>
      <c r="P14" s="18">
        <f t="shared" si="5"/>
        <v>3.1627482718417514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58.3</v>
      </c>
      <c r="I16" s="21"/>
      <c r="K16" s="8">
        <f>H16/SUM($D$9:$D$14)</f>
        <v>2.4291666666666667</v>
      </c>
      <c r="L16" s="19">
        <f>K16/1.016*10</f>
        <v>23.909120734908136</v>
      </c>
      <c r="M16" s="20">
        <f>L16/1.12085</f>
        <v>21.33124033983864</v>
      </c>
      <c r="N16" s="19">
        <f>L16*$O$4</f>
        <v>8.4012821605199228</v>
      </c>
      <c r="O16" s="19">
        <f>M16*$O$4</f>
        <v>7.4954562702591101</v>
      </c>
      <c r="P16" s="18">
        <f>O16/480</f>
        <v>1.5615533896373147E-2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10341.9</v>
      </c>
      <c r="I18" s="13"/>
      <c r="J18" s="12"/>
      <c r="K18" s="16">
        <f t="shared" ref="K18:P18" si="6">AVERAGE(K9:K14)+K16/6</f>
        <v>428.88819444444448</v>
      </c>
      <c r="L18" s="16">
        <f t="shared" si="6"/>
        <v>4221.3404965004374</v>
      </c>
      <c r="M18" s="17">
        <f t="shared" si="6"/>
        <v>3766.1957411789604</v>
      </c>
      <c r="N18" s="16">
        <f t="shared" si="6"/>
        <v>1483.3114525600183</v>
      </c>
      <c r="O18" s="16">
        <f t="shared" si="6"/>
        <v>1323.3808739438985</v>
      </c>
      <c r="P18" s="15">
        <f t="shared" si="6"/>
        <v>2.7570434873831218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85.516679334761065</v>
      </c>
      <c r="I19" s="13"/>
      <c r="J19" s="12"/>
      <c r="K19" s="10">
        <f t="shared" ref="K19:P19" si="7">STDEV(K9:K14)/SQRT(COUNT(K9:K14))</f>
        <v>21.379169833690266</v>
      </c>
      <c r="L19" s="10">
        <f t="shared" si="7"/>
        <v>210.42489993789832</v>
      </c>
      <c r="M19" s="11">
        <f t="shared" si="7"/>
        <v>187.73689605022778</v>
      </c>
      <c r="N19" s="10">
        <f t="shared" si="7"/>
        <v>73.939940225252087</v>
      </c>
      <c r="O19" s="10">
        <f t="shared" si="7"/>
        <v>65.967738970649052</v>
      </c>
      <c r="P19" s="9">
        <f t="shared" si="7"/>
        <v>0.13743278952218357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FE31-D5E6-467D-BCD8-CC9759E8038E}">
  <sheetPr codeName="Sheet14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201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3491.6</v>
      </c>
      <c r="N3" s="39" t="s">
        <v>139</v>
      </c>
      <c r="O3" s="38">
        <f>(L3-(L4+L5))/L3</f>
        <v>3.2420666743040387E-2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1288.5999999999999</v>
      </c>
      <c r="N4" s="39" t="s">
        <v>134</v>
      </c>
      <c r="O4" s="38">
        <f>L4/L3</f>
        <v>0.36905716576927483</v>
      </c>
    </row>
    <row r="5" spans="1:18" ht="17.25" thickTop="1" thickBot="1" x14ac:dyDescent="0.25">
      <c r="B5" s="42" t="s">
        <v>133</v>
      </c>
      <c r="C5" s="51">
        <v>0.38750000000000001</v>
      </c>
      <c r="F5" s="37"/>
      <c r="G5" s="37"/>
      <c r="K5" s="39" t="s">
        <v>132</v>
      </c>
      <c r="L5" s="40">
        <v>2089.8000000000002</v>
      </c>
      <c r="N5" s="39" t="s">
        <v>131</v>
      </c>
      <c r="O5" s="38">
        <f>L5/L3</f>
        <v>0.59852216748768483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797.8</v>
      </c>
      <c r="F9" s="21">
        <v>972.3</v>
      </c>
      <c r="G9" s="21"/>
      <c r="H9" s="21">
        <f t="shared" ref="H9:H14" si="0">SUM(E9:G9)</f>
        <v>1770.1</v>
      </c>
      <c r="I9" s="21"/>
      <c r="K9" s="8">
        <f t="shared" ref="K9:K14" si="1">H9/D9</f>
        <v>442.52499999999998</v>
      </c>
      <c r="L9" s="19">
        <f t="shared" ref="L9:L14" si="2">K9/1.016*10</f>
        <v>4355.5610236220473</v>
      </c>
      <c r="M9" s="20">
        <f t="shared" ref="M9:M14" si="3">L9/1.12085</f>
        <v>3885.9446166945154</v>
      </c>
      <c r="N9" s="19">
        <f t="shared" ref="N9:O14" si="4">L9*$O$4</f>
        <v>1607.4510067130743</v>
      </c>
      <c r="O9" s="19">
        <f t="shared" si="4"/>
        <v>1434.1357065736488</v>
      </c>
      <c r="P9" s="18">
        <f t="shared" ref="P9:P14" si="5">O9/480</f>
        <v>2.987782722028435</v>
      </c>
    </row>
    <row r="10" spans="1:18" ht="13.5" thickBot="1" x14ac:dyDescent="0.25">
      <c r="C10" s="29">
        <v>4</v>
      </c>
      <c r="D10" s="29">
        <v>4</v>
      </c>
      <c r="E10" s="21">
        <v>799.8</v>
      </c>
      <c r="F10" s="21">
        <v>847.3</v>
      </c>
      <c r="G10" s="21"/>
      <c r="H10" s="21">
        <f t="shared" si="0"/>
        <v>1647.1</v>
      </c>
      <c r="I10" s="21"/>
      <c r="K10" s="8">
        <f t="shared" si="1"/>
        <v>411.77499999999998</v>
      </c>
      <c r="L10" s="19">
        <f t="shared" si="2"/>
        <v>4052.9035433070862</v>
      </c>
      <c r="M10" s="20">
        <f t="shared" si="3"/>
        <v>3615.9196532159403</v>
      </c>
      <c r="N10" s="19">
        <f t="shared" si="4"/>
        <v>1495.7530948291646</v>
      </c>
      <c r="O10" s="19">
        <f t="shared" si="4"/>
        <v>1334.481058865294</v>
      </c>
      <c r="P10" s="18">
        <f t="shared" si="5"/>
        <v>2.7801688726360294</v>
      </c>
    </row>
    <row r="11" spans="1:18" ht="13.5" thickBot="1" x14ac:dyDescent="0.25">
      <c r="C11" s="29">
        <v>5</v>
      </c>
      <c r="D11" s="29">
        <v>4</v>
      </c>
      <c r="E11" s="21">
        <v>875.3</v>
      </c>
      <c r="F11" s="21">
        <v>747</v>
      </c>
      <c r="G11" s="21"/>
      <c r="H11" s="21">
        <f t="shared" si="0"/>
        <v>1622.3</v>
      </c>
      <c r="I11" s="21"/>
      <c r="K11" s="8">
        <f t="shared" si="1"/>
        <v>405.57499999999999</v>
      </c>
      <c r="L11" s="19">
        <f t="shared" si="2"/>
        <v>3991.8799212598424</v>
      </c>
      <c r="M11" s="20">
        <f t="shared" si="3"/>
        <v>3561.4755955389596</v>
      </c>
      <c r="N11" s="19">
        <f t="shared" si="4"/>
        <v>1473.2318898314334</v>
      </c>
      <c r="O11" s="19">
        <f t="shared" si="4"/>
        <v>1314.3880892460486</v>
      </c>
      <c r="P11" s="18">
        <f t="shared" si="5"/>
        <v>2.7383085192626013</v>
      </c>
    </row>
    <row r="12" spans="1:18" ht="13.5" thickBot="1" x14ac:dyDescent="0.25">
      <c r="C12" s="29">
        <v>6</v>
      </c>
      <c r="D12" s="29">
        <v>4</v>
      </c>
      <c r="E12" s="21">
        <v>551</v>
      </c>
      <c r="F12" s="21">
        <v>1096.5</v>
      </c>
      <c r="G12" s="21"/>
      <c r="H12" s="21">
        <f t="shared" si="0"/>
        <v>1647.5</v>
      </c>
      <c r="I12" s="21"/>
      <c r="K12" s="8">
        <f t="shared" si="1"/>
        <v>411.875</v>
      </c>
      <c r="L12" s="19">
        <f t="shared" si="2"/>
        <v>4053.8877952755906</v>
      </c>
      <c r="M12" s="20">
        <f t="shared" si="3"/>
        <v>3616.7977831784724</v>
      </c>
      <c r="N12" s="19">
        <f t="shared" si="4"/>
        <v>1496.1163400710636</v>
      </c>
      <c r="O12" s="19">
        <f t="shared" si="4"/>
        <v>1334.8051390204432</v>
      </c>
      <c r="P12" s="18">
        <f t="shared" si="5"/>
        <v>2.7808440396259235</v>
      </c>
    </row>
    <row r="13" spans="1:18" ht="13.5" thickBot="1" x14ac:dyDescent="0.25">
      <c r="C13" s="29">
        <v>7</v>
      </c>
      <c r="D13" s="29">
        <v>4</v>
      </c>
      <c r="E13" s="21">
        <v>1630.5</v>
      </c>
      <c r="F13" s="21"/>
      <c r="G13" s="21"/>
      <c r="H13" s="21">
        <f t="shared" si="0"/>
        <v>1630.5</v>
      </c>
      <c r="I13" s="21"/>
      <c r="K13" s="8">
        <f t="shared" si="1"/>
        <v>407.625</v>
      </c>
      <c r="L13" s="19">
        <f t="shared" si="2"/>
        <v>4012.0570866141729</v>
      </c>
      <c r="M13" s="20">
        <f t="shared" si="3"/>
        <v>3579.4772597708643</v>
      </c>
      <c r="N13" s="19">
        <f t="shared" si="4"/>
        <v>1480.6784172903606</v>
      </c>
      <c r="O13" s="19">
        <f t="shared" si="4"/>
        <v>1321.0317324266055</v>
      </c>
      <c r="P13" s="18">
        <f t="shared" si="5"/>
        <v>2.752149442555428</v>
      </c>
    </row>
    <row r="14" spans="1:18" ht="13.5" thickBot="1" x14ac:dyDescent="0.25">
      <c r="C14" s="29">
        <v>8</v>
      </c>
      <c r="D14" s="29">
        <v>4</v>
      </c>
      <c r="E14" s="21">
        <v>647.20000000000005</v>
      </c>
      <c r="F14" s="21">
        <v>1010</v>
      </c>
      <c r="G14" s="21"/>
      <c r="H14" s="21">
        <f t="shared" si="0"/>
        <v>1657.2</v>
      </c>
      <c r="I14" s="21"/>
      <c r="K14" s="8">
        <f t="shared" si="1"/>
        <v>414.3</v>
      </c>
      <c r="L14" s="19">
        <f t="shared" si="2"/>
        <v>4077.7559055118109</v>
      </c>
      <c r="M14" s="20">
        <f t="shared" si="3"/>
        <v>3638.0924347698719</v>
      </c>
      <c r="N14" s="19">
        <f t="shared" si="4"/>
        <v>1504.9250371871117</v>
      </c>
      <c r="O14" s="19">
        <f t="shared" si="4"/>
        <v>1342.6640827828094</v>
      </c>
      <c r="P14" s="18">
        <f t="shared" si="5"/>
        <v>2.797216839130853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168.3</v>
      </c>
      <c r="I16" s="21"/>
      <c r="K16" s="8">
        <f>H16/SUM($D$9:$D$14)</f>
        <v>7.0125000000000002</v>
      </c>
      <c r="L16" s="19">
        <f>K16/1.016*10</f>
        <v>69.020669291338578</v>
      </c>
      <c r="M16" s="20">
        <f>L16/1.12085</f>
        <v>61.578863622553051</v>
      </c>
      <c r="N16" s="19">
        <f>L16*$O$4</f>
        <v>25.472572588159839</v>
      </c>
      <c r="O16" s="19">
        <f>M16*$O$4</f>
        <v>22.726120879832131</v>
      </c>
      <c r="P16" s="18">
        <f>O16/480</f>
        <v>4.7346085166316935E-2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10143</v>
      </c>
      <c r="I18" s="13"/>
      <c r="J18" s="12"/>
      <c r="K18" s="16">
        <f t="shared" ref="K18:P18" si="6">AVERAGE(K9:K14)+K16/6</f>
        <v>416.78125</v>
      </c>
      <c r="L18" s="16">
        <f t="shared" si="6"/>
        <v>4102.1776574803152</v>
      </c>
      <c r="M18" s="17">
        <f t="shared" si="6"/>
        <v>3659.8810344651956</v>
      </c>
      <c r="N18" s="16">
        <f t="shared" si="6"/>
        <v>1513.9380597517281</v>
      </c>
      <c r="O18" s="16">
        <f t="shared" si="6"/>
        <v>1350.7053216324468</v>
      </c>
      <c r="P18" s="15">
        <f t="shared" si="6"/>
        <v>2.8139694200675978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22.14199253304302</v>
      </c>
      <c r="I19" s="13"/>
      <c r="J19" s="12"/>
      <c r="K19" s="10">
        <f t="shared" ref="K19:P19" si="7">STDEV(K9:K14)/SQRT(COUNT(K9:K14))</f>
        <v>5.5354981332607549</v>
      </c>
      <c r="L19" s="10">
        <f t="shared" si="7"/>
        <v>54.483249343117741</v>
      </c>
      <c r="M19" s="11">
        <f t="shared" si="7"/>
        <v>48.608867683559545</v>
      </c>
      <c r="N19" s="10">
        <f t="shared" si="7"/>
        <v>20.107433584471753</v>
      </c>
      <c r="O19" s="10">
        <f t="shared" si="7"/>
        <v>17.93945093854817</v>
      </c>
      <c r="P19" s="9">
        <f t="shared" si="7"/>
        <v>3.7373856121975337E-2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D5DF-F35A-4B11-BE27-DDEBF1095CA0}">
  <sheetPr codeName="Sheet15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202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3311.9</v>
      </c>
      <c r="N3" s="39" t="s">
        <v>139</v>
      </c>
      <c r="O3" s="38">
        <f>(L3-(L4+L5))/L3</f>
        <v>2.2645611280533832E-2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1174</v>
      </c>
      <c r="N4" s="39" t="s">
        <v>134</v>
      </c>
      <c r="O4" s="38">
        <f>L4/L3</f>
        <v>0.35447930191128957</v>
      </c>
    </row>
    <row r="5" spans="1:18" ht="17.25" thickTop="1" thickBot="1" x14ac:dyDescent="0.25">
      <c r="B5" s="42" t="s">
        <v>133</v>
      </c>
      <c r="C5" s="51">
        <v>0.35625000000000001</v>
      </c>
      <c r="F5" s="37"/>
      <c r="G5" s="37"/>
      <c r="K5" s="39" t="s">
        <v>132</v>
      </c>
      <c r="L5" s="40">
        <v>2062.9</v>
      </c>
      <c r="N5" s="39" t="s">
        <v>131</v>
      </c>
      <c r="O5" s="38">
        <f>L5/L3</f>
        <v>0.6228750868081766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758.7</v>
      </c>
      <c r="F9" s="21">
        <v>733.4</v>
      </c>
      <c r="G9" s="21"/>
      <c r="H9" s="21">
        <f t="shared" ref="H9:H14" si="0">SUM(E9:G9)</f>
        <v>1492.1</v>
      </c>
      <c r="I9" s="21"/>
      <c r="K9" s="8">
        <f t="shared" ref="K9:K14" si="1">H9/D9</f>
        <v>373.02499999999998</v>
      </c>
      <c r="L9" s="19">
        <f t="shared" ref="L9:L14" si="2">K9/1.016*10</f>
        <v>3671.5059055118109</v>
      </c>
      <c r="M9" s="20">
        <f t="shared" ref="M9:M14" si="3">L9/1.12085</f>
        <v>3275.6442927348094</v>
      </c>
      <c r="N9" s="19">
        <f t="shared" ref="N9:O14" si="4">L9*$O$4</f>
        <v>1301.4728503490037</v>
      </c>
      <c r="O9" s="19">
        <f t="shared" si="4"/>
        <v>1161.148102198335</v>
      </c>
      <c r="P9" s="18">
        <f t="shared" ref="P9:P14" si="5">O9/480</f>
        <v>2.4190585462465313</v>
      </c>
    </row>
    <row r="10" spans="1:18" ht="13.5" thickBot="1" x14ac:dyDescent="0.25">
      <c r="C10" s="29">
        <v>4</v>
      </c>
      <c r="D10" s="29">
        <v>4</v>
      </c>
      <c r="E10" s="21">
        <v>510.4</v>
      </c>
      <c r="F10" s="21">
        <v>714.8</v>
      </c>
      <c r="G10" s="21"/>
      <c r="H10" s="21">
        <f t="shared" si="0"/>
        <v>1225.1999999999998</v>
      </c>
      <c r="I10" s="21"/>
      <c r="K10" s="8">
        <f t="shared" si="1"/>
        <v>306.29999999999995</v>
      </c>
      <c r="L10" s="19">
        <f t="shared" si="2"/>
        <v>3014.7637795275587</v>
      </c>
      <c r="M10" s="20">
        <f t="shared" si="3"/>
        <v>2689.7120752353649</v>
      </c>
      <c r="N10" s="19">
        <f t="shared" si="4"/>
        <v>1068.6713599943698</v>
      </c>
      <c r="O10" s="19">
        <f t="shared" si="4"/>
        <v>953.44725877179815</v>
      </c>
      <c r="P10" s="18">
        <f t="shared" si="5"/>
        <v>1.9863484557745794</v>
      </c>
    </row>
    <row r="11" spans="1:18" ht="13.5" thickBot="1" x14ac:dyDescent="0.25">
      <c r="C11" s="29">
        <v>5</v>
      </c>
      <c r="D11" s="29">
        <v>4</v>
      </c>
      <c r="E11" s="21">
        <v>679.1</v>
      </c>
      <c r="F11" s="21">
        <v>512.79999999999995</v>
      </c>
      <c r="G11" s="21"/>
      <c r="H11" s="21">
        <f t="shared" si="0"/>
        <v>1191.9000000000001</v>
      </c>
      <c r="I11" s="21"/>
      <c r="K11" s="8">
        <f t="shared" si="1"/>
        <v>297.97500000000002</v>
      </c>
      <c r="L11" s="19">
        <f t="shared" si="2"/>
        <v>2932.8248031496064</v>
      </c>
      <c r="M11" s="20">
        <f t="shared" si="3"/>
        <v>2616.6077558545808</v>
      </c>
      <c r="N11" s="19">
        <f t="shared" si="4"/>
        <v>1039.6256888485877</v>
      </c>
      <c r="O11" s="19">
        <f t="shared" si="4"/>
        <v>927.53329067099776</v>
      </c>
      <c r="P11" s="18">
        <f t="shared" si="5"/>
        <v>1.9323610222312453</v>
      </c>
    </row>
    <row r="12" spans="1:18" ht="13.5" thickBot="1" x14ac:dyDescent="0.25">
      <c r="C12" s="29">
        <v>6</v>
      </c>
      <c r="D12" s="29">
        <v>4</v>
      </c>
      <c r="E12" s="21">
        <v>541.1</v>
      </c>
      <c r="F12" s="21">
        <v>730.5</v>
      </c>
      <c r="G12" s="21"/>
      <c r="H12" s="21">
        <f t="shared" si="0"/>
        <v>1271.5999999999999</v>
      </c>
      <c r="I12" s="21"/>
      <c r="K12" s="8">
        <f t="shared" si="1"/>
        <v>317.89999999999998</v>
      </c>
      <c r="L12" s="19">
        <f t="shared" si="2"/>
        <v>3128.9370078740153</v>
      </c>
      <c r="M12" s="20">
        <f t="shared" si="3"/>
        <v>2791.5751508890712</v>
      </c>
      <c r="N12" s="19">
        <f t="shared" si="4"/>
        <v>1109.14340627558</v>
      </c>
      <c r="O12" s="19">
        <f t="shared" si="4"/>
        <v>989.55561072006083</v>
      </c>
      <c r="P12" s="18">
        <f t="shared" si="5"/>
        <v>2.0615741890001269</v>
      </c>
    </row>
    <row r="13" spans="1:18" ht="13.5" thickBot="1" x14ac:dyDescent="0.25">
      <c r="C13" s="29">
        <v>7</v>
      </c>
      <c r="D13" s="29">
        <v>4</v>
      </c>
      <c r="E13" s="21">
        <v>1479.4</v>
      </c>
      <c r="F13" s="21"/>
      <c r="G13" s="21"/>
      <c r="H13" s="21">
        <f t="shared" si="0"/>
        <v>1479.4</v>
      </c>
      <c r="I13" s="21"/>
      <c r="K13" s="8">
        <f t="shared" si="1"/>
        <v>369.85</v>
      </c>
      <c r="L13" s="19">
        <f t="shared" si="2"/>
        <v>3640.2559055118109</v>
      </c>
      <c r="M13" s="20">
        <f t="shared" si="3"/>
        <v>3247.7636664244201</v>
      </c>
      <c r="N13" s="19">
        <f t="shared" si="4"/>
        <v>1290.3953721642761</v>
      </c>
      <c r="O13" s="19">
        <f t="shared" si="4"/>
        <v>1151.2649972469787</v>
      </c>
      <c r="P13" s="18">
        <f t="shared" si="5"/>
        <v>2.3984687442645392</v>
      </c>
    </row>
    <row r="14" spans="1:18" ht="13.5" thickBot="1" x14ac:dyDescent="0.25">
      <c r="C14" s="29">
        <v>8</v>
      </c>
      <c r="D14" s="29">
        <v>4</v>
      </c>
      <c r="E14" s="21">
        <v>1277</v>
      </c>
      <c r="F14" s="21"/>
      <c r="G14" s="21"/>
      <c r="H14" s="21">
        <f t="shared" si="0"/>
        <v>1277</v>
      </c>
      <c r="I14" s="21"/>
      <c r="K14" s="8">
        <f t="shared" si="1"/>
        <v>319.25</v>
      </c>
      <c r="L14" s="19">
        <f t="shared" si="2"/>
        <v>3142.2244094488187</v>
      </c>
      <c r="M14" s="20">
        <f t="shared" si="3"/>
        <v>2803.4299053832528</v>
      </c>
      <c r="N14" s="19">
        <f t="shared" si="4"/>
        <v>1113.8535151100314</v>
      </c>
      <c r="O14" s="19">
        <f t="shared" si="4"/>
        <v>993.75787581748807</v>
      </c>
      <c r="P14" s="18">
        <f t="shared" si="5"/>
        <v>2.0703289079531002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265.7</v>
      </c>
      <c r="I16" s="21"/>
      <c r="K16" s="8">
        <f>H16/SUM($D$9:$D$14)</f>
        <v>11.070833333333333</v>
      </c>
      <c r="L16" s="19">
        <f>K16/1.016*10</f>
        <v>108.96489501312334</v>
      </c>
      <c r="M16" s="20">
        <f>L16/1.12085</f>
        <v>97.216304601974699</v>
      </c>
      <c r="N16" s="19">
        <f>L16*$O$4</f>
        <v>38.625799917088919</v>
      </c>
      <c r="O16" s="19">
        <f>M16*$O$4</f>
        <v>34.461167789703282</v>
      </c>
      <c r="P16" s="18">
        <f>O16/480</f>
        <v>7.1794099561881833E-2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8202.9</v>
      </c>
      <c r="I18" s="13"/>
      <c r="J18" s="12"/>
      <c r="K18" s="16">
        <f t="shared" ref="K18:P18" si="6">AVERAGE(K9:K14)+K16/6</f>
        <v>332.56180555555551</v>
      </c>
      <c r="L18" s="16">
        <f t="shared" si="6"/>
        <v>3273.2461176727911</v>
      </c>
      <c r="M18" s="17">
        <f t="shared" si="6"/>
        <v>2920.3248585205793</v>
      </c>
      <c r="N18" s="16">
        <f t="shared" si="6"/>
        <v>1160.2979987764897</v>
      </c>
      <c r="O18" s="16">
        <f t="shared" si="6"/>
        <v>1035.1947172025602</v>
      </c>
      <c r="P18" s="15">
        <f t="shared" si="6"/>
        <v>2.1566556608386676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53.092897620847353</v>
      </c>
      <c r="I19" s="13"/>
      <c r="J19" s="12"/>
      <c r="K19" s="10">
        <f t="shared" ref="K19:P19" si="7">STDEV(K9:K14)/SQRT(COUNT(K9:K14))</f>
        <v>13.273224405211838</v>
      </c>
      <c r="L19" s="10">
        <f t="shared" si="7"/>
        <v>130.6419724922425</v>
      </c>
      <c r="M19" s="11">
        <f t="shared" si="7"/>
        <v>116.55616049626848</v>
      </c>
      <c r="N19" s="10">
        <f t="shared" si="7"/>
        <v>46.309875209364016</v>
      </c>
      <c r="O19" s="10">
        <f t="shared" si="7"/>
        <v>41.316746406177458</v>
      </c>
      <c r="P19" s="9">
        <f t="shared" si="7"/>
        <v>8.6076555012869732E-2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D1CB-2F38-4381-9E66-C22083B923C9}">
  <sheetPr codeName="Sheet16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203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3461.4</v>
      </c>
      <c r="N3" s="39" t="s">
        <v>139</v>
      </c>
      <c r="O3" s="38">
        <f>(L3-(L4+L5))/L3</f>
        <v>3.250130005200208E-2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1231.4000000000001</v>
      </c>
      <c r="N4" s="39" t="s">
        <v>134</v>
      </c>
      <c r="O4" s="38">
        <f>L4/L3</f>
        <v>0.35575200785809213</v>
      </c>
    </row>
    <row r="5" spans="1:18" ht="17.25" thickTop="1" thickBot="1" x14ac:dyDescent="0.25">
      <c r="B5" s="42" t="s">
        <v>133</v>
      </c>
      <c r="C5" s="51">
        <v>0.39583333333333331</v>
      </c>
      <c r="F5" s="37"/>
      <c r="G5" s="37"/>
      <c r="K5" s="39" t="s">
        <v>132</v>
      </c>
      <c r="L5" s="40">
        <v>2117.5</v>
      </c>
      <c r="N5" s="39" t="s">
        <v>131</v>
      </c>
      <c r="O5" s="38">
        <f>L5/L3</f>
        <v>0.61174669208990584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975</v>
      </c>
      <c r="F9" s="21">
        <v>955.8</v>
      </c>
      <c r="G9" s="21"/>
      <c r="H9" s="21">
        <f t="shared" ref="H9:H14" si="0">SUM(E9:G9)</f>
        <v>1930.8</v>
      </c>
      <c r="I9" s="21"/>
      <c r="K9" s="8">
        <f t="shared" ref="K9:K14" si="1">H9/D9</f>
        <v>482.7</v>
      </c>
      <c r="L9" s="19">
        <f t="shared" ref="L9:L14" si="2">K9/1.016*10</f>
        <v>4750.9842519685035</v>
      </c>
      <c r="M9" s="20">
        <f t="shared" ref="M9:M14" si="3">L9/1.12085</f>
        <v>4238.7333291417262</v>
      </c>
      <c r="N9" s="19">
        <f t="shared" ref="N9:O14" si="4">L9*$O$4</f>
        <v>1690.172186939971</v>
      </c>
      <c r="O9" s="19">
        <f t="shared" si="4"/>
        <v>1507.9378926171844</v>
      </c>
      <c r="P9" s="18">
        <f t="shared" ref="P9:P14" si="5">O9/480</f>
        <v>3.1415372762858009</v>
      </c>
    </row>
    <row r="10" spans="1:18" ht="13.5" thickBot="1" x14ac:dyDescent="0.25">
      <c r="C10" s="29">
        <v>4</v>
      </c>
      <c r="D10" s="29">
        <v>4</v>
      </c>
      <c r="E10" s="21">
        <v>1795.8</v>
      </c>
      <c r="F10" s="21"/>
      <c r="G10" s="21"/>
      <c r="H10" s="21">
        <f t="shared" si="0"/>
        <v>1795.8</v>
      </c>
      <c r="I10" s="21"/>
      <c r="K10" s="8">
        <f t="shared" si="1"/>
        <v>448.95</v>
      </c>
      <c r="L10" s="19">
        <f t="shared" si="2"/>
        <v>4418.7992125984247</v>
      </c>
      <c r="M10" s="20">
        <f t="shared" si="3"/>
        <v>3942.3644667871927</v>
      </c>
      <c r="N10" s="19">
        <f t="shared" si="4"/>
        <v>1571.996692203646</v>
      </c>
      <c r="O10" s="19">
        <f t="shared" si="4"/>
        <v>1402.5040747679407</v>
      </c>
      <c r="P10" s="18">
        <f t="shared" si="5"/>
        <v>2.9218834890998764</v>
      </c>
    </row>
    <row r="11" spans="1:18" ht="13.5" thickBot="1" x14ac:dyDescent="0.25">
      <c r="C11" s="29">
        <v>5</v>
      </c>
      <c r="D11" s="29">
        <v>4</v>
      </c>
      <c r="E11" s="21">
        <v>1930.3</v>
      </c>
      <c r="F11" s="21"/>
      <c r="G11" s="21"/>
      <c r="H11" s="21">
        <f t="shared" si="0"/>
        <v>1930.3</v>
      </c>
      <c r="I11" s="21"/>
      <c r="K11" s="8">
        <f t="shared" si="1"/>
        <v>482.57499999999999</v>
      </c>
      <c r="L11" s="19">
        <f t="shared" si="2"/>
        <v>4749.7539370078739</v>
      </c>
      <c r="M11" s="20">
        <f t="shared" si="3"/>
        <v>4237.6356666885613</v>
      </c>
      <c r="N11" s="19">
        <f t="shared" si="4"/>
        <v>1689.7344999224292</v>
      </c>
      <c r="O11" s="19">
        <f t="shared" si="4"/>
        <v>1507.5473969955206</v>
      </c>
      <c r="P11" s="18">
        <f t="shared" si="5"/>
        <v>3.1407237437406677</v>
      </c>
    </row>
    <row r="12" spans="1:18" ht="13.5" thickBot="1" x14ac:dyDescent="0.25">
      <c r="C12" s="29">
        <v>6</v>
      </c>
      <c r="D12" s="29">
        <v>4</v>
      </c>
      <c r="E12" s="21">
        <v>1020.7</v>
      </c>
      <c r="F12" s="21">
        <v>889.9</v>
      </c>
      <c r="G12" s="21"/>
      <c r="H12" s="21">
        <f t="shared" si="0"/>
        <v>1910.6</v>
      </c>
      <c r="I12" s="21"/>
      <c r="K12" s="8">
        <f t="shared" si="1"/>
        <v>477.65</v>
      </c>
      <c r="L12" s="19">
        <f t="shared" si="2"/>
        <v>4701.2795275590552</v>
      </c>
      <c r="M12" s="20">
        <f t="shared" si="3"/>
        <v>4194.387766033863</v>
      </c>
      <c r="N12" s="19">
        <f t="shared" si="4"/>
        <v>1672.4896314312766</v>
      </c>
      <c r="O12" s="19">
        <f t="shared" si="4"/>
        <v>1492.1618695019642</v>
      </c>
      <c r="P12" s="18">
        <f t="shared" si="5"/>
        <v>3.1086705614624255</v>
      </c>
    </row>
    <row r="13" spans="1:18" ht="13.5" thickBot="1" x14ac:dyDescent="0.25">
      <c r="C13" s="29">
        <v>7</v>
      </c>
      <c r="D13" s="29">
        <v>4</v>
      </c>
      <c r="E13" s="21">
        <v>686</v>
      </c>
      <c r="F13" s="21">
        <v>895.3</v>
      </c>
      <c r="G13" s="21"/>
      <c r="H13" s="21">
        <f t="shared" si="0"/>
        <v>1581.3</v>
      </c>
      <c r="I13" s="21"/>
      <c r="K13" s="8">
        <f t="shared" si="1"/>
        <v>395.32499999999999</v>
      </c>
      <c r="L13" s="19">
        <f t="shared" si="2"/>
        <v>3890.9940944881891</v>
      </c>
      <c r="M13" s="20">
        <f t="shared" si="3"/>
        <v>3471.4672743794349</v>
      </c>
      <c r="N13" s="19">
        <f t="shared" si="4"/>
        <v>1384.2289616781522</v>
      </c>
      <c r="O13" s="19">
        <f t="shared" si="4"/>
        <v>1234.9814530741423</v>
      </c>
      <c r="P13" s="18">
        <f t="shared" si="5"/>
        <v>2.5728780272377967</v>
      </c>
    </row>
    <row r="14" spans="1:18" ht="13.5" thickBot="1" x14ac:dyDescent="0.25">
      <c r="C14" s="29">
        <v>8</v>
      </c>
      <c r="D14" s="29">
        <v>4</v>
      </c>
      <c r="E14" s="21">
        <v>773.3</v>
      </c>
      <c r="F14" s="21">
        <v>833.7</v>
      </c>
      <c r="G14" s="21"/>
      <c r="H14" s="21">
        <f t="shared" si="0"/>
        <v>1607</v>
      </c>
      <c r="I14" s="21"/>
      <c r="K14" s="8">
        <f t="shared" si="1"/>
        <v>401.75</v>
      </c>
      <c r="L14" s="19">
        <f t="shared" si="2"/>
        <v>3954.232283464567</v>
      </c>
      <c r="M14" s="20">
        <f t="shared" si="3"/>
        <v>3527.8871244721126</v>
      </c>
      <c r="N14" s="19">
        <f t="shared" si="4"/>
        <v>1406.7260743798083</v>
      </c>
      <c r="O14" s="19">
        <f t="shared" si="4"/>
        <v>1255.0529280276651</v>
      </c>
      <c r="P14" s="18">
        <f t="shared" si="5"/>
        <v>2.6146936000576355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266.2</v>
      </c>
      <c r="I16" s="21"/>
      <c r="K16" s="8">
        <f>H16/SUM($D$9:$D$14)</f>
        <v>11.091666666666667</v>
      </c>
      <c r="L16" s="19">
        <f>K16/1.016*10</f>
        <v>109.16994750656167</v>
      </c>
      <c r="M16" s="20">
        <f>L16/1.12085</f>
        <v>97.399248344168868</v>
      </c>
      <c r="N16" s="19">
        <f>L16*$O$4</f>
        <v>38.837428023221833</v>
      </c>
      <c r="O16" s="19">
        <f>M16*$O$4</f>
        <v>34.649978162307029</v>
      </c>
      <c r="P16" s="18">
        <f>O16/480</f>
        <v>7.2187454504806306E-2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11022</v>
      </c>
      <c r="I18" s="13"/>
      <c r="J18" s="12"/>
      <c r="K18" s="16">
        <f t="shared" ref="K18:P18" si="6">AVERAGE(K9:K14)+K16/6</f>
        <v>450.0069444444444</v>
      </c>
      <c r="L18" s="16">
        <f t="shared" si="6"/>
        <v>4429.2022090988621</v>
      </c>
      <c r="M18" s="17">
        <f t="shared" si="6"/>
        <v>3951.6458126411767</v>
      </c>
      <c r="N18" s="16">
        <f t="shared" si="6"/>
        <v>1575.6975790964177</v>
      </c>
      <c r="O18" s="16">
        <f t="shared" si="6"/>
        <v>1405.8059321911205</v>
      </c>
      <c r="P18" s="15">
        <f t="shared" si="6"/>
        <v>2.9287623587315017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66.103407207529358</v>
      </c>
      <c r="I19" s="13"/>
      <c r="J19" s="12"/>
      <c r="K19" s="10">
        <f t="shared" ref="K19:P19" si="7">STDEV(K9:K14)/SQRT(COUNT(K9:K14))</f>
        <v>16.525851801882339</v>
      </c>
      <c r="L19" s="10">
        <f t="shared" si="7"/>
        <v>162.65602167207021</v>
      </c>
      <c r="M19" s="11">
        <f t="shared" si="7"/>
        <v>145.11845623595499</v>
      </c>
      <c r="N19" s="10">
        <f t="shared" si="7"/>
        <v>57.865206300048328</v>
      </c>
      <c r="O19" s="10">
        <f t="shared" si="7"/>
        <v>51.626182183207668</v>
      </c>
      <c r="P19" s="9">
        <f t="shared" si="7"/>
        <v>0.10755454621501596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062F-12E9-4B45-BA72-AB8E21ABDCAF}">
  <sheetPr codeName="Sheet17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204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3009</v>
      </c>
      <c r="N3" s="39" t="s">
        <v>139</v>
      </c>
      <c r="O3" s="38">
        <f>(L3-(L4+L5))/L3</f>
        <v>3.8019275506812923E-2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1034.3</v>
      </c>
      <c r="N4" s="39" t="s">
        <v>134</v>
      </c>
      <c r="O4" s="38">
        <f>L4/L3</f>
        <v>0.3437354602858092</v>
      </c>
    </row>
    <row r="5" spans="1:18" ht="17.25" thickTop="1" thickBot="1" x14ac:dyDescent="0.25">
      <c r="B5" s="42" t="s">
        <v>133</v>
      </c>
      <c r="C5" s="51">
        <v>0.37638888888888888</v>
      </c>
      <c r="F5" s="37"/>
      <c r="G5" s="37"/>
      <c r="K5" s="39" t="s">
        <v>132</v>
      </c>
      <c r="L5" s="40">
        <v>1860.3</v>
      </c>
      <c r="N5" s="39" t="s">
        <v>131</v>
      </c>
      <c r="O5" s="38">
        <f>L5/L3</f>
        <v>0.6182452642073778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427.6</v>
      </c>
      <c r="F9" s="21">
        <v>494.4</v>
      </c>
      <c r="G9" s="21"/>
      <c r="H9" s="21">
        <f t="shared" ref="H9:H14" si="0">SUM(E9:G9)</f>
        <v>922</v>
      </c>
      <c r="I9" s="21"/>
      <c r="K9" s="8">
        <f t="shared" ref="K9:K14" si="1">H9/D9</f>
        <v>230.5</v>
      </c>
      <c r="L9" s="19">
        <f t="shared" ref="L9:L14" si="2">K9/1.016*10</f>
        <v>2268.7007874015749</v>
      </c>
      <c r="M9" s="20">
        <f t="shared" ref="M9:M14" si="3">L9/1.12085</f>
        <v>2024.0895636361467</v>
      </c>
      <c r="N9" s="19">
        <f t="shared" ref="N9:O14" si="4">L9*$O$4</f>
        <v>779.83290940825816</v>
      </c>
      <c r="O9" s="19">
        <f t="shared" si="4"/>
        <v>695.75135781617359</v>
      </c>
      <c r="P9" s="18">
        <f t="shared" ref="P9:P14" si="5">O9/480</f>
        <v>1.4494819954503617</v>
      </c>
    </row>
    <row r="10" spans="1:18" ht="13.5" thickBot="1" x14ac:dyDescent="0.25">
      <c r="C10" s="29">
        <v>4</v>
      </c>
      <c r="D10" s="29">
        <v>4</v>
      </c>
      <c r="E10" s="21">
        <v>594.29999999999995</v>
      </c>
      <c r="F10" s="21">
        <v>510.5</v>
      </c>
      <c r="G10" s="21"/>
      <c r="H10" s="21">
        <f t="shared" si="0"/>
        <v>1104.8</v>
      </c>
      <c r="I10" s="21"/>
      <c r="K10" s="8">
        <f t="shared" si="1"/>
        <v>276.2</v>
      </c>
      <c r="L10" s="19">
        <f t="shared" si="2"/>
        <v>2718.5039370078739</v>
      </c>
      <c r="M10" s="20">
        <f t="shared" si="3"/>
        <v>2425.394956513248</v>
      </c>
      <c r="N10" s="19">
        <f t="shared" si="4"/>
        <v>934.44620207618595</v>
      </c>
      <c r="O10" s="19">
        <f t="shared" si="4"/>
        <v>833.69425175196147</v>
      </c>
      <c r="P10" s="18">
        <f t="shared" si="5"/>
        <v>1.736863024483253</v>
      </c>
    </row>
    <row r="11" spans="1:18" ht="13.5" thickBot="1" x14ac:dyDescent="0.25">
      <c r="C11" s="29">
        <v>5</v>
      </c>
      <c r="D11" s="29">
        <v>4</v>
      </c>
      <c r="E11" s="21">
        <v>645</v>
      </c>
      <c r="F11" s="21">
        <v>595.70000000000005</v>
      </c>
      <c r="G11" s="21"/>
      <c r="H11" s="21">
        <f t="shared" si="0"/>
        <v>1240.7</v>
      </c>
      <c r="I11" s="21"/>
      <c r="K11" s="8">
        <f t="shared" si="1"/>
        <v>310.17500000000001</v>
      </c>
      <c r="L11" s="19">
        <f t="shared" si="2"/>
        <v>3052.9035433070867</v>
      </c>
      <c r="M11" s="20">
        <f t="shared" si="3"/>
        <v>2723.7396112834786</v>
      </c>
      <c r="N11" s="19">
        <f t="shared" si="4"/>
        <v>1049.3912046668393</v>
      </c>
      <c r="O11" s="19">
        <f t="shared" si="4"/>
        <v>936.24588898321758</v>
      </c>
      <c r="P11" s="18">
        <f t="shared" si="5"/>
        <v>1.9505122687150367</v>
      </c>
    </row>
    <row r="12" spans="1:18" ht="13.5" thickBot="1" x14ac:dyDescent="0.25">
      <c r="C12" s="29">
        <v>6</v>
      </c>
      <c r="D12" s="29">
        <v>4</v>
      </c>
      <c r="E12" s="21">
        <v>1286.5999999999999</v>
      </c>
      <c r="F12" s="21"/>
      <c r="G12" s="21"/>
      <c r="H12" s="21">
        <f t="shared" si="0"/>
        <v>1286.5999999999999</v>
      </c>
      <c r="I12" s="21"/>
      <c r="K12" s="8">
        <f t="shared" si="1"/>
        <v>321.64999999999998</v>
      </c>
      <c r="L12" s="19">
        <f t="shared" si="2"/>
        <v>3165.8464566929133</v>
      </c>
      <c r="M12" s="20">
        <f t="shared" si="3"/>
        <v>2824.5050244840199</v>
      </c>
      <c r="N12" s="19">
        <f t="shared" si="4"/>
        <v>1088.2136889855367</v>
      </c>
      <c r="O12" s="19">
        <f t="shared" si="4"/>
        <v>970.88253467059542</v>
      </c>
      <c r="P12" s="18">
        <f t="shared" si="5"/>
        <v>2.0226719472304073</v>
      </c>
    </row>
    <row r="13" spans="1:18" ht="13.5" thickBot="1" x14ac:dyDescent="0.25">
      <c r="C13" s="29">
        <v>7</v>
      </c>
      <c r="D13" s="29">
        <v>4</v>
      </c>
      <c r="E13" s="21">
        <v>779</v>
      </c>
      <c r="F13" s="21">
        <v>702.4</v>
      </c>
      <c r="G13" s="21"/>
      <c r="H13" s="21">
        <f t="shared" si="0"/>
        <v>1481.4</v>
      </c>
      <c r="I13" s="21" t="s">
        <v>147</v>
      </c>
      <c r="K13" s="8">
        <f t="shared" si="1"/>
        <v>370.35</v>
      </c>
      <c r="L13" s="19">
        <f t="shared" si="2"/>
        <v>3645.1771653543306</v>
      </c>
      <c r="M13" s="20">
        <f t="shared" si="3"/>
        <v>3252.1543162370799</v>
      </c>
      <c r="N13" s="19">
        <f t="shared" si="4"/>
        <v>1252.976650756392</v>
      </c>
      <c r="O13" s="19">
        <f t="shared" si="4"/>
        <v>1117.8807608122338</v>
      </c>
      <c r="P13" s="18">
        <f t="shared" si="5"/>
        <v>2.3289182516921536</v>
      </c>
    </row>
    <row r="14" spans="1:18" ht="13.5" thickBot="1" x14ac:dyDescent="0.25">
      <c r="C14" s="29">
        <v>8</v>
      </c>
      <c r="D14" s="29">
        <v>4</v>
      </c>
      <c r="E14" s="21">
        <v>603.1</v>
      </c>
      <c r="F14" s="21">
        <v>834</v>
      </c>
      <c r="G14" s="21"/>
      <c r="H14" s="21">
        <f t="shared" si="0"/>
        <v>1437.1</v>
      </c>
      <c r="I14" s="21"/>
      <c r="K14" s="8">
        <f t="shared" si="1"/>
        <v>359.27499999999998</v>
      </c>
      <c r="L14" s="19">
        <f t="shared" si="2"/>
        <v>3536.1712598425192</v>
      </c>
      <c r="M14" s="20">
        <f t="shared" si="3"/>
        <v>3154.9014228866658</v>
      </c>
      <c r="N14" s="19">
        <f t="shared" si="4"/>
        <v>1215.5074556514182</v>
      </c>
      <c r="O14" s="19">
        <f t="shared" si="4"/>
        <v>1084.4514927523026</v>
      </c>
      <c r="P14" s="18">
        <f t="shared" si="5"/>
        <v>2.2592739432339637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158.69999999999999</v>
      </c>
      <c r="I16" s="21"/>
      <c r="K16" s="8">
        <f>H16/SUM($D$9:$D$14)</f>
        <v>6.6124999999999998</v>
      </c>
      <c r="L16" s="19">
        <f>K16/1.016*10</f>
        <v>65.08366141732283</v>
      </c>
      <c r="M16" s="20">
        <f>L16/1.12085</f>
        <v>58.066343772425242</v>
      </c>
      <c r="N16" s="19">
        <f>L16*$O$4</f>
        <v>22.371562314369225</v>
      </c>
      <c r="O16" s="19">
        <f>M16*$O$4</f>
        <v>19.959461403728621</v>
      </c>
      <c r="P16" s="18">
        <f>O16/480</f>
        <v>4.1582211257767961E-2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7631.3</v>
      </c>
      <c r="I18" s="13"/>
      <c r="J18" s="12"/>
      <c r="K18" s="16">
        <f t="shared" ref="K18:P18" si="6">AVERAGE(K9:K14)+K16/6</f>
        <v>312.46041666666667</v>
      </c>
      <c r="L18" s="16">
        <f t="shared" si="6"/>
        <v>3075.39780183727</v>
      </c>
      <c r="M18" s="17">
        <f t="shared" si="6"/>
        <v>2743.8085398021776</v>
      </c>
      <c r="N18" s="16">
        <f t="shared" si="6"/>
        <v>1057.1232789764999</v>
      </c>
      <c r="O18" s="16">
        <f t="shared" si="6"/>
        <v>943.14429136503554</v>
      </c>
      <c r="P18" s="15">
        <f t="shared" si="6"/>
        <v>1.9648839403438241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85.346418267617608</v>
      </c>
      <c r="I19" s="13"/>
      <c r="J19" s="12"/>
      <c r="K19" s="10">
        <f t="shared" ref="K19:P19" si="7">STDEV(K9:K14)/SQRT(COUNT(K9:K14))</f>
        <v>21.336604566904402</v>
      </c>
      <c r="L19" s="10">
        <f t="shared" si="7"/>
        <v>210.00595046165716</v>
      </c>
      <c r="M19" s="11">
        <f t="shared" si="7"/>
        <v>187.36311768894714</v>
      </c>
      <c r="N19" s="10">
        <f t="shared" si="7"/>
        <v>72.186492044696521</v>
      </c>
      <c r="O19" s="10">
        <f t="shared" si="7"/>
        <v>64.403347499394954</v>
      </c>
      <c r="P19" s="9">
        <f t="shared" si="7"/>
        <v>0.13417364062373832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8701-B122-4720-8A0B-EDA2917D1EAC}">
  <sheetPr codeName="Sheet18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205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3378.7</v>
      </c>
      <c r="N3" s="39" t="s">
        <v>139</v>
      </c>
      <c r="O3" s="38">
        <f>(L3-(L4+L5))/L3</f>
        <v>4.0459348270044639E-2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1170.8</v>
      </c>
      <c r="N4" s="39" t="s">
        <v>134</v>
      </c>
      <c r="O4" s="38">
        <f>L4/L3</f>
        <v>0.34652381093319917</v>
      </c>
    </row>
    <row r="5" spans="1:18" ht="17.25" thickTop="1" thickBot="1" x14ac:dyDescent="0.25">
      <c r="B5" s="42" t="s">
        <v>133</v>
      </c>
      <c r="C5" s="51">
        <v>0.39930555555555558</v>
      </c>
      <c r="F5" s="37"/>
      <c r="G5" s="37"/>
      <c r="K5" s="39" t="s">
        <v>132</v>
      </c>
      <c r="L5" s="40">
        <v>2071.1999999999998</v>
      </c>
      <c r="N5" s="39" t="s">
        <v>131</v>
      </c>
      <c r="O5" s="38">
        <f>L5/L3</f>
        <v>0.61301684079675611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1102.8</v>
      </c>
      <c r="F9" s="21">
        <v>1066.5999999999999</v>
      </c>
      <c r="G9" s="21"/>
      <c r="H9" s="21">
        <f t="shared" ref="H9:H14" si="0">SUM(E9:G9)</f>
        <v>2169.3999999999996</v>
      </c>
      <c r="I9" s="21"/>
      <c r="K9" s="8">
        <f t="shared" ref="K9:K14" si="1">H9/D9</f>
        <v>542.34999999999991</v>
      </c>
      <c r="L9" s="19">
        <f t="shared" ref="L9:L14" si="2">K9/1.016*10</f>
        <v>5338.0905511811015</v>
      </c>
      <c r="M9" s="20">
        <f t="shared" ref="M9:M14" si="3">L9/1.12085</f>
        <v>4762.5378517920344</v>
      </c>
      <c r="N9" s="19">
        <f t="shared" ref="N9:O14" si="4">L9*$O$4</f>
        <v>1849.775480901777</v>
      </c>
      <c r="O9" s="19">
        <f t="shared" si="4"/>
        <v>1650.3327661165874</v>
      </c>
      <c r="P9" s="18">
        <f t="shared" ref="P9:P14" si="5">O9/480</f>
        <v>3.4381932627428906</v>
      </c>
    </row>
    <row r="10" spans="1:18" ht="13.5" thickBot="1" x14ac:dyDescent="0.25">
      <c r="C10" s="29">
        <v>4</v>
      </c>
      <c r="D10" s="29">
        <v>4</v>
      </c>
      <c r="E10" s="21">
        <v>940.1</v>
      </c>
      <c r="F10" s="21">
        <v>841.9</v>
      </c>
      <c r="G10" s="21"/>
      <c r="H10" s="21">
        <f t="shared" si="0"/>
        <v>1782</v>
      </c>
      <c r="I10" s="21"/>
      <c r="K10" s="8">
        <f t="shared" si="1"/>
        <v>445.5</v>
      </c>
      <c r="L10" s="19">
        <f t="shared" si="2"/>
        <v>4384.8425196850394</v>
      </c>
      <c r="M10" s="20">
        <f t="shared" si="3"/>
        <v>3912.068983079841</v>
      </c>
      <c r="N10" s="19">
        <f t="shared" si="4"/>
        <v>1519.4523402631912</v>
      </c>
      <c r="O10" s="19">
        <f t="shared" si="4"/>
        <v>1355.6250526503916</v>
      </c>
      <c r="P10" s="18">
        <f t="shared" si="5"/>
        <v>2.8242188596883158</v>
      </c>
    </row>
    <row r="11" spans="1:18" ht="13.5" thickBot="1" x14ac:dyDescent="0.25">
      <c r="C11" s="29">
        <v>5</v>
      </c>
      <c r="D11" s="29">
        <v>4</v>
      </c>
      <c r="E11" s="21">
        <v>1151.4000000000001</v>
      </c>
      <c r="F11" s="21">
        <v>799.8</v>
      </c>
      <c r="G11" s="21"/>
      <c r="H11" s="21">
        <f t="shared" si="0"/>
        <v>1951.2</v>
      </c>
      <c r="I11" s="21"/>
      <c r="K11" s="8">
        <f t="shared" si="1"/>
        <v>487.8</v>
      </c>
      <c r="L11" s="19">
        <f t="shared" si="2"/>
        <v>4801.1811023622049</v>
      </c>
      <c r="M11" s="20">
        <f t="shared" si="3"/>
        <v>4283.5179572308562</v>
      </c>
      <c r="N11" s="19">
        <f t="shared" si="4"/>
        <v>1663.7235725710095</v>
      </c>
      <c r="O11" s="19">
        <f t="shared" si="4"/>
        <v>1484.3409667404287</v>
      </c>
      <c r="P11" s="18">
        <f t="shared" si="5"/>
        <v>3.0923770140425599</v>
      </c>
    </row>
    <row r="12" spans="1:18" ht="13.5" thickBot="1" x14ac:dyDescent="0.25">
      <c r="C12" s="29">
        <v>6</v>
      </c>
      <c r="D12" s="29">
        <v>4</v>
      </c>
      <c r="E12" s="21">
        <v>946</v>
      </c>
      <c r="F12" s="21">
        <v>1018.5</v>
      </c>
      <c r="G12" s="21"/>
      <c r="H12" s="21">
        <f t="shared" si="0"/>
        <v>1964.5</v>
      </c>
      <c r="I12" s="21"/>
      <c r="K12" s="8">
        <f t="shared" si="1"/>
        <v>491.125</v>
      </c>
      <c r="L12" s="19">
        <f t="shared" si="2"/>
        <v>4833.9074803149606</v>
      </c>
      <c r="M12" s="20">
        <f t="shared" si="3"/>
        <v>4312.7157784850433</v>
      </c>
      <c r="N12" s="19">
        <f t="shared" si="4"/>
        <v>1675.0640417772386</v>
      </c>
      <c r="O12" s="19">
        <f t="shared" si="4"/>
        <v>1494.458707032376</v>
      </c>
      <c r="P12" s="18">
        <f t="shared" si="5"/>
        <v>3.1134556396507831</v>
      </c>
    </row>
    <row r="13" spans="1:18" ht="13.5" thickBot="1" x14ac:dyDescent="0.25">
      <c r="C13" s="29">
        <v>7</v>
      </c>
      <c r="D13" s="29">
        <v>4</v>
      </c>
      <c r="E13" s="21">
        <v>853</v>
      </c>
      <c r="F13" s="21">
        <v>1197</v>
      </c>
      <c r="G13" s="21"/>
      <c r="H13" s="21">
        <f t="shared" si="0"/>
        <v>2050</v>
      </c>
      <c r="I13" s="21"/>
      <c r="K13" s="8">
        <f t="shared" si="1"/>
        <v>512.5</v>
      </c>
      <c r="L13" s="19">
        <f t="shared" si="2"/>
        <v>5044.2913385826778</v>
      </c>
      <c r="M13" s="20">
        <f t="shared" si="3"/>
        <v>4500.4160579762483</v>
      </c>
      <c r="N13" s="19">
        <f t="shared" si="4"/>
        <v>1747.967058102998</v>
      </c>
      <c r="O13" s="19">
        <f t="shared" si="4"/>
        <v>1559.5013231948949</v>
      </c>
      <c r="P13" s="18">
        <f t="shared" si="5"/>
        <v>3.2489610899893644</v>
      </c>
    </row>
    <row r="14" spans="1:18" ht="13.5" thickBot="1" x14ac:dyDescent="0.25">
      <c r="C14" s="29">
        <v>8</v>
      </c>
      <c r="D14" s="29">
        <v>4</v>
      </c>
      <c r="E14" s="21">
        <v>995.1</v>
      </c>
      <c r="F14" s="21">
        <v>900.5</v>
      </c>
      <c r="G14" s="21"/>
      <c r="H14" s="21">
        <f t="shared" si="0"/>
        <v>1895.6</v>
      </c>
      <c r="I14" s="21"/>
      <c r="K14" s="8">
        <f t="shared" si="1"/>
        <v>473.9</v>
      </c>
      <c r="L14" s="19">
        <f t="shared" si="2"/>
        <v>4664.3700787401567</v>
      </c>
      <c r="M14" s="20">
        <f t="shared" si="3"/>
        <v>4161.4578924389143</v>
      </c>
      <c r="N14" s="19">
        <f t="shared" si="4"/>
        <v>1616.3152952878254</v>
      </c>
      <c r="O14" s="19">
        <f t="shared" si="4"/>
        <v>1442.0442479259718</v>
      </c>
      <c r="P14" s="18">
        <f t="shared" si="5"/>
        <v>3.0042588498457747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70.7</v>
      </c>
      <c r="I16" s="21"/>
      <c r="K16" s="8">
        <f>H16/SUM($D$9:$D$14)</f>
        <v>2.9458333333333333</v>
      </c>
      <c r="L16" s="19">
        <f>K16/1.016*10</f>
        <v>28.994422572178475</v>
      </c>
      <c r="M16" s="20">
        <f>L16/1.12085</f>
        <v>25.868245146253717</v>
      </c>
      <c r="N16" s="19">
        <f>L16*$O$4</f>
        <v>10.047257805518857</v>
      </c>
      <c r="O16" s="19">
        <f>M16*$O$4</f>
        <v>8.96396289023407</v>
      </c>
      <c r="P16" s="18">
        <f>O16/480</f>
        <v>1.8674922687987646E-2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11883.4</v>
      </c>
      <c r="I18" s="13"/>
      <c r="J18" s="12"/>
      <c r="K18" s="16">
        <f t="shared" ref="K18:P18" si="6">AVERAGE(K9:K14)+K16/6</f>
        <v>492.68680555555551</v>
      </c>
      <c r="L18" s="16">
        <f t="shared" si="6"/>
        <v>4849.2795822397193</v>
      </c>
      <c r="M18" s="17">
        <f t="shared" si="6"/>
        <v>4326.4304610248646</v>
      </c>
      <c r="N18" s="16">
        <f t="shared" si="6"/>
        <v>1680.3908411182599</v>
      </c>
      <c r="O18" s="16">
        <f t="shared" si="6"/>
        <v>1499.2111710918141</v>
      </c>
      <c r="P18" s="15">
        <f t="shared" si="6"/>
        <v>3.1233566064412797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53.979788913176634</v>
      </c>
      <c r="I19" s="13"/>
      <c r="J19" s="12"/>
      <c r="K19" s="10">
        <f t="shared" ref="K19:P19" si="7">STDEV(K9:K14)/SQRT(COUNT(K9:K14))</f>
        <v>13.494947228294158</v>
      </c>
      <c r="L19" s="10">
        <f t="shared" si="7"/>
        <v>132.8242837430528</v>
      </c>
      <c r="M19" s="11">
        <f t="shared" si="7"/>
        <v>118.50317503952604</v>
      </c>
      <c r="N19" s="10">
        <f t="shared" si="7"/>
        <v>46.026776987115234</v>
      </c>
      <c r="O19" s="10">
        <f t="shared" si="7"/>
        <v>41.064171822380523</v>
      </c>
      <c r="P19" s="9">
        <f t="shared" si="7"/>
        <v>8.5550357963292772E-2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5D30-D8A2-41F8-9791-BD0D0E1D9F2C}">
  <sheetPr codeName="Sheet19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206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2837.9</v>
      </c>
      <c r="N3" s="39" t="s">
        <v>139</v>
      </c>
      <c r="O3" s="38">
        <f>(L3-(L4+L5))/L3</f>
        <v>3.6329680397476971E-2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136</v>
      </c>
      <c r="K4" s="39" t="s">
        <v>135</v>
      </c>
      <c r="L4" s="40">
        <v>1009.6</v>
      </c>
      <c r="N4" s="39" t="s">
        <v>134</v>
      </c>
      <c r="O4" s="38">
        <f>L4/L3</f>
        <v>0.35575601677296592</v>
      </c>
    </row>
    <row r="5" spans="1:18" ht="17.25" thickTop="1" thickBot="1" x14ac:dyDescent="0.25">
      <c r="B5" s="42" t="s">
        <v>133</v>
      </c>
      <c r="C5" s="51">
        <v>0.40625</v>
      </c>
      <c r="F5" s="37"/>
      <c r="G5" s="37"/>
      <c r="K5" s="39" t="s">
        <v>132</v>
      </c>
      <c r="L5" s="40">
        <v>1725.2</v>
      </c>
      <c r="N5" s="39" t="s">
        <v>131</v>
      </c>
      <c r="O5" s="38">
        <f>L5/L3</f>
        <v>0.60791430282955705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784.8</v>
      </c>
      <c r="F9" s="21">
        <v>495.5</v>
      </c>
      <c r="G9" s="21"/>
      <c r="H9" s="21">
        <f t="shared" ref="H9:H14" si="0">SUM(E9:G9)</f>
        <v>1280.3</v>
      </c>
      <c r="I9" s="21"/>
      <c r="K9" s="8">
        <f t="shared" ref="K9:K14" si="1">H9/D9</f>
        <v>320.07499999999999</v>
      </c>
      <c r="L9" s="19">
        <f t="shared" ref="L9:L14" si="2">K9/1.016*10</f>
        <v>3150.3444881889759</v>
      </c>
      <c r="M9" s="20">
        <f t="shared" ref="M9:M14" si="3">L9/1.12085</f>
        <v>2810.6744775741413</v>
      </c>
      <c r="N9" s="19">
        <f t="shared" ref="N9:O14" si="4">L9*$O$4</f>
        <v>1120.754006580778</v>
      </c>
      <c r="O9" s="19">
        <f t="shared" si="4"/>
        <v>999.91435658721343</v>
      </c>
      <c r="P9" s="18">
        <f t="shared" ref="P9:P14" si="5">O9/480</f>
        <v>2.0831549095566948</v>
      </c>
    </row>
    <row r="10" spans="1:18" ht="13.5" thickBot="1" x14ac:dyDescent="0.25">
      <c r="C10" s="29">
        <v>4</v>
      </c>
      <c r="D10" s="29">
        <v>4</v>
      </c>
      <c r="E10" s="21">
        <v>589.79999999999995</v>
      </c>
      <c r="F10" s="21">
        <v>727.6</v>
      </c>
      <c r="G10" s="21"/>
      <c r="H10" s="21">
        <f t="shared" si="0"/>
        <v>1317.4</v>
      </c>
      <c r="I10" s="21"/>
      <c r="K10" s="8">
        <f t="shared" si="1"/>
        <v>329.35</v>
      </c>
      <c r="L10" s="19">
        <f t="shared" si="2"/>
        <v>3241.6338582677167</v>
      </c>
      <c r="M10" s="20">
        <f t="shared" si="3"/>
        <v>2892.1210315989802</v>
      </c>
      <c r="N10" s="19">
        <f t="shared" si="4"/>
        <v>1153.2307492537041</v>
      </c>
      <c r="O10" s="19">
        <f t="shared" si="4"/>
        <v>1028.8894582269743</v>
      </c>
      <c r="P10" s="18">
        <f t="shared" si="5"/>
        <v>2.1435197046395298</v>
      </c>
    </row>
    <row r="11" spans="1:18" ht="13.5" thickBot="1" x14ac:dyDescent="0.25">
      <c r="C11" s="29">
        <v>5</v>
      </c>
      <c r="D11" s="29">
        <v>4</v>
      </c>
      <c r="E11" s="21">
        <v>1481.7</v>
      </c>
      <c r="F11" s="21"/>
      <c r="G11" s="21"/>
      <c r="H11" s="21">
        <f t="shared" si="0"/>
        <v>1481.7</v>
      </c>
      <c r="I11" s="21"/>
      <c r="K11" s="8">
        <f t="shared" si="1"/>
        <v>370.42500000000001</v>
      </c>
      <c r="L11" s="19">
        <f t="shared" si="2"/>
        <v>3645.9153543307089</v>
      </c>
      <c r="M11" s="20">
        <f t="shared" si="3"/>
        <v>3252.8129137089791</v>
      </c>
      <c r="N11" s="19">
        <f t="shared" si="4"/>
        <v>1297.0563239480896</v>
      </c>
      <c r="O11" s="19">
        <f t="shared" si="4"/>
        <v>1157.2077654887717</v>
      </c>
      <c r="P11" s="18">
        <f t="shared" si="5"/>
        <v>2.4108495114349409</v>
      </c>
    </row>
    <row r="12" spans="1:18" ht="13.5" thickBot="1" x14ac:dyDescent="0.25">
      <c r="C12" s="29">
        <v>6</v>
      </c>
      <c r="D12" s="29">
        <v>4</v>
      </c>
      <c r="E12" s="21">
        <v>738.7</v>
      </c>
      <c r="F12" s="21">
        <v>1110.9000000000001</v>
      </c>
      <c r="G12" s="21"/>
      <c r="H12" s="21">
        <f t="shared" si="0"/>
        <v>1849.6000000000001</v>
      </c>
      <c r="I12" s="21"/>
      <c r="K12" s="8">
        <f t="shared" si="1"/>
        <v>462.40000000000003</v>
      </c>
      <c r="L12" s="19">
        <f t="shared" si="2"/>
        <v>4551.1811023622049</v>
      </c>
      <c r="M12" s="20">
        <f t="shared" si="3"/>
        <v>4060.4729467477409</v>
      </c>
      <c r="N12" s="19">
        <f t="shared" si="4"/>
        <v>1619.1100605887741</v>
      </c>
      <c r="O12" s="19">
        <f t="shared" si="4"/>
        <v>1444.5376817493636</v>
      </c>
      <c r="P12" s="18">
        <f t="shared" si="5"/>
        <v>3.0094535036445076</v>
      </c>
    </row>
    <row r="13" spans="1:18" ht="13.5" thickBot="1" x14ac:dyDescent="0.25">
      <c r="C13" s="29">
        <v>7</v>
      </c>
      <c r="D13" s="29">
        <v>4</v>
      </c>
      <c r="E13" s="21">
        <v>981.6</v>
      </c>
      <c r="F13" s="21">
        <v>617.4</v>
      </c>
      <c r="G13" s="21"/>
      <c r="H13" s="21">
        <f t="shared" si="0"/>
        <v>1599</v>
      </c>
      <c r="I13" s="21"/>
      <c r="K13" s="8">
        <f t="shared" si="1"/>
        <v>399.75</v>
      </c>
      <c r="L13" s="19">
        <f t="shared" si="2"/>
        <v>3934.5472440944882</v>
      </c>
      <c r="M13" s="20">
        <f t="shared" si="3"/>
        <v>3510.3245252214733</v>
      </c>
      <c r="N13" s="19">
        <f t="shared" si="4"/>
        <v>1399.7388553641056</v>
      </c>
      <c r="O13" s="19">
        <f t="shared" si="4"/>
        <v>1248.8190706732441</v>
      </c>
      <c r="P13" s="18">
        <f t="shared" si="5"/>
        <v>2.6017063972359251</v>
      </c>
    </row>
    <row r="14" spans="1:18" ht="13.5" thickBot="1" x14ac:dyDescent="0.25">
      <c r="C14" s="29">
        <v>8</v>
      </c>
      <c r="D14" s="29">
        <v>4</v>
      </c>
      <c r="E14" s="21">
        <v>514.20000000000005</v>
      </c>
      <c r="F14" s="21">
        <v>683.2</v>
      </c>
      <c r="G14" s="21"/>
      <c r="H14" s="21">
        <f t="shared" si="0"/>
        <v>1197.4000000000001</v>
      </c>
      <c r="I14" s="21"/>
      <c r="K14" s="8">
        <f t="shared" si="1"/>
        <v>299.35000000000002</v>
      </c>
      <c r="L14" s="19">
        <f t="shared" si="2"/>
        <v>2946.3582677165359</v>
      </c>
      <c r="M14" s="20">
        <f t="shared" si="3"/>
        <v>2628.6820428393953</v>
      </c>
      <c r="N14" s="19">
        <f t="shared" si="4"/>
        <v>1048.1846813089307</v>
      </c>
      <c r="O14" s="19">
        <f t="shared" si="4"/>
        <v>935.1694529231662</v>
      </c>
      <c r="P14" s="18">
        <f t="shared" si="5"/>
        <v>1.9482696935899295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38.5</v>
      </c>
      <c r="I16" s="21"/>
      <c r="K16" s="8">
        <f>H16/SUM($D$9:$D$14)</f>
        <v>1.6041666666666667</v>
      </c>
      <c r="L16" s="19">
        <f>K16/1.016*10</f>
        <v>15.789041994750656</v>
      </c>
      <c r="M16" s="20">
        <f>L16/1.12085</f>
        <v>14.086668148950045</v>
      </c>
      <c r="N16" s="19">
        <f>L16*$O$4</f>
        <v>5.6170466887135779</v>
      </c>
      <c r="O16" s="19">
        <f>M16*$O$4</f>
        <v>5.0114169502730768</v>
      </c>
      <c r="P16" s="18">
        <f>O16/480</f>
        <v>1.0440451979735577E-2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8763.9</v>
      </c>
      <c r="I18" s="13"/>
      <c r="J18" s="12"/>
      <c r="K18" s="16">
        <f t="shared" ref="K18:P18" si="6">AVERAGE(K9:K14)+K16/6</f>
        <v>363.82569444444442</v>
      </c>
      <c r="L18" s="16">
        <f t="shared" si="6"/>
        <v>3580.9615594925635</v>
      </c>
      <c r="M18" s="17">
        <f t="shared" si="6"/>
        <v>3194.8624343066099</v>
      </c>
      <c r="N18" s="16">
        <f t="shared" si="6"/>
        <v>1273.9486206221825</v>
      </c>
      <c r="O18" s="16">
        <f t="shared" si="6"/>
        <v>1136.591533766501</v>
      </c>
      <c r="P18" s="15">
        <f t="shared" si="6"/>
        <v>2.3678990286802106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98.820735565861</v>
      </c>
      <c r="I19" s="13"/>
      <c r="J19" s="12"/>
      <c r="K19" s="10">
        <f t="shared" ref="K19:P19" si="7">STDEV(K9:K14)/SQRT(COUNT(K9:K14))</f>
        <v>24.70518389146525</v>
      </c>
      <c r="L19" s="10">
        <f t="shared" si="7"/>
        <v>243.1612587742643</v>
      </c>
      <c r="M19" s="11">
        <f t="shared" si="7"/>
        <v>216.94362204957207</v>
      </c>
      <c r="N19" s="10">
        <f t="shared" si="7"/>
        <v>86.506080855032252</v>
      </c>
      <c r="O19" s="10">
        <f t="shared" si="7"/>
        <v>77.178998844655723</v>
      </c>
      <c r="P19" s="9">
        <f t="shared" si="7"/>
        <v>0.16078958092636605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D8B3-27A3-4135-A6EE-4A312927866A}">
  <sheetPr codeName="Sheet20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207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3792.1</v>
      </c>
      <c r="N3" s="39" t="s">
        <v>139</v>
      </c>
      <c r="O3" s="38">
        <f>(L3-(L4+L5))/L3</f>
        <v>4.2509427494000759E-2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1360.8</v>
      </c>
      <c r="N4" s="39" t="s">
        <v>134</v>
      </c>
      <c r="O4" s="38">
        <f>L4/L3</f>
        <v>0.35885129611560879</v>
      </c>
    </row>
    <row r="5" spans="1:18" ht="17.25" thickTop="1" thickBot="1" x14ac:dyDescent="0.25">
      <c r="B5" s="42" t="s">
        <v>133</v>
      </c>
      <c r="C5" s="51">
        <v>0.45</v>
      </c>
      <c r="F5" s="37"/>
      <c r="G5" s="37"/>
      <c r="K5" s="39" t="s">
        <v>132</v>
      </c>
      <c r="L5" s="40">
        <v>2270.1</v>
      </c>
      <c r="N5" s="39" t="s">
        <v>131</v>
      </c>
      <c r="O5" s="38">
        <f>L5/L3</f>
        <v>0.5986392763903905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1054.0999999999999</v>
      </c>
      <c r="F9" s="21">
        <v>801.1</v>
      </c>
      <c r="G9" s="21"/>
      <c r="H9" s="21">
        <f t="shared" ref="H9:H14" si="0">SUM(E9:G9)</f>
        <v>1855.1999999999998</v>
      </c>
      <c r="I9" s="21"/>
      <c r="K9" s="8">
        <f t="shared" ref="K9:K14" si="1">H9/D9</f>
        <v>463.79999999999995</v>
      </c>
      <c r="L9" s="19">
        <f t="shared" ref="L9:L14" si="2">K9/1.016*10</f>
        <v>4564.9606299212592</v>
      </c>
      <c r="M9" s="20">
        <f t="shared" ref="M9:M14" si="3">L9/1.12085</f>
        <v>4072.7667662231875</v>
      </c>
      <c r="N9" s="19">
        <f t="shared" ref="N9:O14" si="4">L9*$O$4</f>
        <v>1638.1420387639698</v>
      </c>
      <c r="O9" s="19">
        <f t="shared" si="4"/>
        <v>1461.5176328357675</v>
      </c>
      <c r="P9" s="18">
        <f t="shared" ref="P9:P14" si="5">O9/480</f>
        <v>3.0448284017411824</v>
      </c>
    </row>
    <row r="10" spans="1:18" ht="13.5" thickBot="1" x14ac:dyDescent="0.25">
      <c r="C10" s="29">
        <v>4</v>
      </c>
      <c r="D10" s="29">
        <v>4</v>
      </c>
      <c r="E10" s="21">
        <v>818.5</v>
      </c>
      <c r="F10" s="21">
        <v>831.8</v>
      </c>
      <c r="G10" s="21"/>
      <c r="H10" s="21">
        <f t="shared" si="0"/>
        <v>1650.3</v>
      </c>
      <c r="I10" s="21"/>
      <c r="K10" s="8">
        <f t="shared" si="1"/>
        <v>412.57499999999999</v>
      </c>
      <c r="L10" s="19">
        <f t="shared" si="2"/>
        <v>4060.7775590551182</v>
      </c>
      <c r="M10" s="20">
        <f t="shared" si="3"/>
        <v>3622.9446929161963</v>
      </c>
      <c r="N10" s="19">
        <f t="shared" si="4"/>
        <v>1457.2152903041074</v>
      </c>
      <c r="O10" s="19">
        <f t="shared" si="4"/>
        <v>1300.0983988081434</v>
      </c>
      <c r="P10" s="18">
        <f t="shared" si="5"/>
        <v>2.7085383308502986</v>
      </c>
    </row>
    <row r="11" spans="1:18" ht="13.5" thickBot="1" x14ac:dyDescent="0.25">
      <c r="C11" s="29">
        <v>5</v>
      </c>
      <c r="D11" s="29">
        <v>4</v>
      </c>
      <c r="E11" s="21">
        <v>1073</v>
      </c>
      <c r="F11" s="21">
        <v>974.4</v>
      </c>
      <c r="G11" s="21"/>
      <c r="H11" s="21">
        <f t="shared" si="0"/>
        <v>2047.4</v>
      </c>
      <c r="I11" s="21"/>
      <c r="K11" s="8">
        <f t="shared" si="1"/>
        <v>511.85</v>
      </c>
      <c r="L11" s="19">
        <f t="shared" si="2"/>
        <v>5037.893700787401</v>
      </c>
      <c r="M11" s="20">
        <f t="shared" si="3"/>
        <v>4494.7082132197902</v>
      </c>
      <c r="N11" s="19">
        <f t="shared" si="4"/>
        <v>1807.85468422022</v>
      </c>
      <c r="O11" s="19">
        <f t="shared" si="4"/>
        <v>1612.9318679753937</v>
      </c>
      <c r="P11" s="18">
        <f t="shared" si="5"/>
        <v>3.360274724948737</v>
      </c>
    </row>
    <row r="12" spans="1:18" ht="13.5" thickBot="1" x14ac:dyDescent="0.25">
      <c r="C12" s="29">
        <v>6</v>
      </c>
      <c r="D12" s="29">
        <v>4</v>
      </c>
      <c r="E12" s="21">
        <v>959.9</v>
      </c>
      <c r="F12" s="21">
        <v>593.1</v>
      </c>
      <c r="G12" s="21"/>
      <c r="H12" s="21">
        <f t="shared" si="0"/>
        <v>1553</v>
      </c>
      <c r="I12" s="21"/>
      <c r="K12" s="8">
        <f t="shared" si="1"/>
        <v>388.25</v>
      </c>
      <c r="L12" s="19">
        <f t="shared" si="2"/>
        <v>3821.358267716535</v>
      </c>
      <c r="M12" s="20">
        <f t="shared" si="3"/>
        <v>3409.3395795302986</v>
      </c>
      <c r="N12" s="19">
        <f t="shared" si="4"/>
        <v>1371.2993672921762</v>
      </c>
      <c r="O12" s="19">
        <f t="shared" si="4"/>
        <v>1223.4459270126924</v>
      </c>
      <c r="P12" s="18">
        <f t="shared" si="5"/>
        <v>2.5488456812764424</v>
      </c>
    </row>
    <row r="13" spans="1:18" ht="13.5" thickBot="1" x14ac:dyDescent="0.25">
      <c r="C13" s="29">
        <v>7</v>
      </c>
      <c r="D13" s="29">
        <v>4</v>
      </c>
      <c r="E13" s="21">
        <v>522.5</v>
      </c>
      <c r="F13" s="21">
        <v>1049.3</v>
      </c>
      <c r="G13" s="21"/>
      <c r="H13" s="21">
        <f t="shared" si="0"/>
        <v>1571.8</v>
      </c>
      <c r="I13" s="21"/>
      <c r="K13" s="8">
        <f t="shared" si="1"/>
        <v>392.95</v>
      </c>
      <c r="L13" s="19">
        <f t="shared" si="2"/>
        <v>3867.6181102362207</v>
      </c>
      <c r="M13" s="20">
        <f t="shared" si="3"/>
        <v>3450.6116877693012</v>
      </c>
      <c r="N13" s="19">
        <f t="shared" si="4"/>
        <v>1387.8997717384693</v>
      </c>
      <c r="O13" s="19">
        <f t="shared" si="4"/>
        <v>1238.256476547682</v>
      </c>
      <c r="P13" s="18">
        <f t="shared" si="5"/>
        <v>2.5797009928076711</v>
      </c>
    </row>
    <row r="14" spans="1:18" ht="13.5" thickBot="1" x14ac:dyDescent="0.25">
      <c r="C14" s="29">
        <v>8</v>
      </c>
      <c r="D14" s="29">
        <v>4</v>
      </c>
      <c r="E14" s="21">
        <v>559.1</v>
      </c>
      <c r="F14" s="21">
        <v>831.5</v>
      </c>
      <c r="G14" s="21"/>
      <c r="H14" s="21">
        <f t="shared" si="0"/>
        <v>1390.6</v>
      </c>
      <c r="I14" s="21"/>
      <c r="K14" s="8">
        <f t="shared" si="1"/>
        <v>347.65</v>
      </c>
      <c r="L14" s="19">
        <f t="shared" si="2"/>
        <v>3421.7519685039365</v>
      </c>
      <c r="M14" s="20">
        <f t="shared" si="3"/>
        <v>3052.8188147423266</v>
      </c>
      <c r="N14" s="19">
        <f t="shared" si="4"/>
        <v>1227.9001288837733</v>
      </c>
      <c r="O14" s="19">
        <f t="shared" si="4"/>
        <v>1095.5079884764004</v>
      </c>
      <c r="P14" s="18">
        <f t="shared" si="5"/>
        <v>2.2823083093258343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107.8</v>
      </c>
      <c r="I16" s="21"/>
      <c r="K16" s="8">
        <f>H16/SUM($D$9:$D$14)</f>
        <v>4.4916666666666663</v>
      </c>
      <c r="L16" s="19">
        <f>K16/1.016*10</f>
        <v>44.209317585301832</v>
      </c>
      <c r="M16" s="20">
        <f>L16/1.12085</f>
        <v>39.442670817060119</v>
      </c>
      <c r="N16" s="19">
        <f>L16*$O$4</f>
        <v>15.86457091587214</v>
      </c>
      <c r="O16" s="19">
        <f>M16*$O$4</f>
        <v>14.154053544963322</v>
      </c>
      <c r="P16" s="18">
        <f>O16/480</f>
        <v>2.948761155200692E-2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10176.099999999999</v>
      </c>
      <c r="I18" s="13"/>
      <c r="J18" s="12"/>
      <c r="K18" s="16">
        <f t="shared" ref="K18:P18" si="6">AVERAGE(K9:K14)+K16/6</f>
        <v>420.26111111111112</v>
      </c>
      <c r="L18" s="16">
        <f t="shared" si="6"/>
        <v>4136.4282589676295</v>
      </c>
      <c r="M18" s="17">
        <f t="shared" si="6"/>
        <v>3690.4387375363603</v>
      </c>
      <c r="N18" s="16">
        <f t="shared" si="6"/>
        <v>1484.3626420197647</v>
      </c>
      <c r="O18" s="16">
        <f t="shared" si="6"/>
        <v>1324.3187242001741</v>
      </c>
      <c r="P18" s="15">
        <f t="shared" si="6"/>
        <v>2.7589973420836955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96.285283576117493</v>
      </c>
      <c r="I19" s="13"/>
      <c r="J19" s="12"/>
      <c r="K19" s="10">
        <f t="shared" ref="K19:P19" si="7">STDEV(K9:K14)/SQRT(COUNT(K9:K14))</f>
        <v>24.071320894029373</v>
      </c>
      <c r="L19" s="10">
        <f t="shared" si="7"/>
        <v>236.92244974438162</v>
      </c>
      <c r="M19" s="11">
        <f t="shared" si="7"/>
        <v>211.3774811476853</v>
      </c>
      <c r="N19" s="10">
        <f t="shared" si="7"/>
        <v>85.019928169657831</v>
      </c>
      <c r="O19" s="10">
        <f t="shared" si="7"/>
        <v>75.853083079499385</v>
      </c>
      <c r="P19" s="9">
        <f t="shared" si="7"/>
        <v>0.15802725641562382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4D46-19BA-4F44-82F7-1C440B1033C3}">
  <sheetPr codeName="Sheet21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208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3394.1</v>
      </c>
      <c r="N3" s="39" t="s">
        <v>139</v>
      </c>
      <c r="O3" s="38">
        <f>(L3-(L4+L5))/L3</f>
        <v>2.8814707875430817E-2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1201.9000000000001</v>
      </c>
      <c r="N4" s="39" t="s">
        <v>134</v>
      </c>
      <c r="O4" s="38">
        <f>L4/L3</f>
        <v>0.35411449279632307</v>
      </c>
    </row>
    <row r="5" spans="1:18" ht="17.25" thickTop="1" thickBot="1" x14ac:dyDescent="0.25">
      <c r="B5" s="42" t="s">
        <v>133</v>
      </c>
      <c r="C5" s="51">
        <v>0.41111111111111115</v>
      </c>
      <c r="F5" s="37"/>
      <c r="G5" s="37"/>
      <c r="K5" s="39" t="s">
        <v>132</v>
      </c>
      <c r="L5" s="40">
        <v>2094.4</v>
      </c>
      <c r="N5" s="39" t="s">
        <v>131</v>
      </c>
      <c r="O5" s="38">
        <f>L5/L3</f>
        <v>0.61707079932824616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935.3</v>
      </c>
      <c r="F9" s="21">
        <v>954.7</v>
      </c>
      <c r="G9" s="21"/>
      <c r="H9" s="21">
        <f t="shared" ref="H9:H14" si="0">SUM(E9:G9)</f>
        <v>1890</v>
      </c>
      <c r="I9" s="21"/>
      <c r="K9" s="8">
        <f t="shared" ref="K9:K14" si="1">H9/D9</f>
        <v>472.5</v>
      </c>
      <c r="L9" s="19">
        <f t="shared" ref="L9:L14" si="2">K9/1.016*10</f>
        <v>4650.5905511811025</v>
      </c>
      <c r="M9" s="20">
        <f t="shared" ref="M9:M14" si="3">L9/1.12085</f>
        <v>4149.1640729634673</v>
      </c>
      <c r="N9" s="19">
        <f t="shared" ref="N9:O14" si="4">L9*$O$4</f>
        <v>1646.8415142348686</v>
      </c>
      <c r="O9" s="19">
        <f t="shared" si="4"/>
        <v>1469.2791312261843</v>
      </c>
      <c r="P9" s="18">
        <f t="shared" ref="P9:P14" si="5">O9/480</f>
        <v>3.0609981900545504</v>
      </c>
    </row>
    <row r="10" spans="1:18" ht="13.5" thickBot="1" x14ac:dyDescent="0.25">
      <c r="C10" s="29">
        <v>4</v>
      </c>
      <c r="D10" s="29">
        <v>4</v>
      </c>
      <c r="E10" s="21">
        <v>893.8</v>
      </c>
      <c r="F10" s="21">
        <v>960.3</v>
      </c>
      <c r="G10" s="21"/>
      <c r="H10" s="21">
        <f t="shared" si="0"/>
        <v>1854.1</v>
      </c>
      <c r="I10" s="21"/>
      <c r="K10" s="8">
        <f t="shared" si="1"/>
        <v>463.52499999999998</v>
      </c>
      <c r="L10" s="19">
        <f t="shared" si="2"/>
        <v>4562.2539370078739</v>
      </c>
      <c r="M10" s="20">
        <f t="shared" si="3"/>
        <v>4070.3519088262251</v>
      </c>
      <c r="N10" s="19">
        <f t="shared" si="4"/>
        <v>1615.5602389115713</v>
      </c>
      <c r="O10" s="19">
        <f t="shared" si="4"/>
        <v>1441.3706016965441</v>
      </c>
      <c r="P10" s="18">
        <f t="shared" si="5"/>
        <v>3.0028554202011337</v>
      </c>
    </row>
    <row r="11" spans="1:18" ht="13.5" thickBot="1" x14ac:dyDescent="0.25">
      <c r="C11" s="29">
        <v>5</v>
      </c>
      <c r="D11" s="29">
        <v>4</v>
      </c>
      <c r="E11" s="21">
        <v>971.2</v>
      </c>
      <c r="F11" s="21">
        <v>947.1</v>
      </c>
      <c r="G11" s="21"/>
      <c r="H11" s="21">
        <f t="shared" si="0"/>
        <v>1918.3000000000002</v>
      </c>
      <c r="I11" s="21"/>
      <c r="K11" s="8">
        <f t="shared" si="1"/>
        <v>479.57500000000005</v>
      </c>
      <c r="L11" s="19">
        <f t="shared" si="2"/>
        <v>4720.2263779527566</v>
      </c>
      <c r="M11" s="20">
        <f t="shared" si="3"/>
        <v>4211.2917678126041</v>
      </c>
      <c r="N11" s="19">
        <f t="shared" si="4"/>
        <v>1671.5005697125655</v>
      </c>
      <c r="O11" s="19">
        <f t="shared" si="4"/>
        <v>1491.2794483762909</v>
      </c>
      <c r="P11" s="18">
        <f t="shared" si="5"/>
        <v>3.1068321841172728</v>
      </c>
    </row>
    <row r="12" spans="1:18" ht="13.5" thickBot="1" x14ac:dyDescent="0.25">
      <c r="C12" s="29">
        <v>6</v>
      </c>
      <c r="D12" s="29">
        <v>4</v>
      </c>
      <c r="E12" s="21">
        <v>911.1</v>
      </c>
      <c r="F12" s="21">
        <v>844.4</v>
      </c>
      <c r="G12" s="21"/>
      <c r="H12" s="21">
        <f t="shared" si="0"/>
        <v>1755.5</v>
      </c>
      <c r="I12" s="21"/>
      <c r="K12" s="8">
        <f t="shared" si="1"/>
        <v>438.875</v>
      </c>
      <c r="L12" s="19">
        <f t="shared" si="2"/>
        <v>4319.6358267716532</v>
      </c>
      <c r="M12" s="20">
        <f t="shared" si="3"/>
        <v>3853.8928730620992</v>
      </c>
      <c r="N12" s="19">
        <f t="shared" si="4"/>
        <v>1529.6456498620696</v>
      </c>
      <c r="O12" s="19">
        <f t="shared" si="4"/>
        <v>1364.7193200357494</v>
      </c>
      <c r="P12" s="18">
        <f t="shared" si="5"/>
        <v>2.843165250074478</v>
      </c>
    </row>
    <row r="13" spans="1:18" ht="13.5" thickBot="1" x14ac:dyDescent="0.25">
      <c r="C13" s="29">
        <v>7</v>
      </c>
      <c r="D13" s="29">
        <v>4</v>
      </c>
      <c r="E13" s="21">
        <v>754.5</v>
      </c>
      <c r="F13" s="21">
        <v>705.2</v>
      </c>
      <c r="G13" s="21"/>
      <c r="H13" s="21">
        <f t="shared" si="0"/>
        <v>1459.7</v>
      </c>
      <c r="I13" s="21"/>
      <c r="K13" s="8">
        <f t="shared" si="1"/>
        <v>364.92500000000001</v>
      </c>
      <c r="L13" s="19">
        <f t="shared" si="2"/>
        <v>3591.7814960629921</v>
      </c>
      <c r="M13" s="20">
        <f t="shared" si="3"/>
        <v>3204.5157657697214</v>
      </c>
      <c r="N13" s="19">
        <f t="shared" si="4"/>
        <v>1271.9018827135649</v>
      </c>
      <c r="O13" s="19">
        <f t="shared" si="4"/>
        <v>1134.7654750533657</v>
      </c>
      <c r="P13" s="18">
        <f t="shared" si="5"/>
        <v>2.364094739694512</v>
      </c>
    </row>
    <row r="14" spans="1:18" ht="13.5" thickBot="1" x14ac:dyDescent="0.25">
      <c r="C14" s="29">
        <v>8</v>
      </c>
      <c r="D14" s="29">
        <v>4</v>
      </c>
      <c r="E14" s="21">
        <v>1430.2</v>
      </c>
      <c r="F14" s="21"/>
      <c r="G14" s="21"/>
      <c r="H14" s="21">
        <f t="shared" si="0"/>
        <v>1430.2</v>
      </c>
      <c r="I14" s="21"/>
      <c r="K14" s="8">
        <f t="shared" si="1"/>
        <v>357.55</v>
      </c>
      <c r="L14" s="19">
        <f t="shared" si="2"/>
        <v>3519.1929133858271</v>
      </c>
      <c r="M14" s="20">
        <f t="shared" si="3"/>
        <v>3139.7536810329907</v>
      </c>
      <c r="N14" s="19">
        <f t="shared" si="4"/>
        <v>1246.1972135760366</v>
      </c>
      <c r="O14" s="19">
        <f t="shared" si="4"/>
        <v>1111.8322822643859</v>
      </c>
      <c r="P14" s="18">
        <f t="shared" si="5"/>
        <v>2.3163172547174704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84.6</v>
      </c>
      <c r="I16" s="21"/>
      <c r="K16" s="8">
        <f>H16/SUM($D$9:$D$14)</f>
        <v>3.5249999999999999</v>
      </c>
      <c r="L16" s="19">
        <f>K16/1.016*10</f>
        <v>34.694881889763778</v>
      </c>
      <c r="M16" s="20">
        <f>L16/1.12085</f>
        <v>30.954081179251265</v>
      </c>
      <c r="N16" s="19">
        <f>L16*$O$4</f>
        <v>12.285960503022036</v>
      </c>
      <c r="O16" s="19">
        <f>M16*$O$4</f>
        <v>10.961288756766772</v>
      </c>
      <c r="P16" s="18">
        <f>O16/480</f>
        <v>2.2836018243264106E-2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10392.400000000001</v>
      </c>
      <c r="I18" s="13"/>
      <c r="J18" s="12"/>
      <c r="K18" s="16">
        <f t="shared" ref="K18:P18" si="6">AVERAGE(K9:K14)+K16/6</f>
        <v>430.07916666666671</v>
      </c>
      <c r="L18" s="16">
        <f t="shared" si="6"/>
        <v>4233.062664041995</v>
      </c>
      <c r="M18" s="17">
        <f t="shared" si="6"/>
        <v>3776.6540251077267</v>
      </c>
      <c r="N18" s="16">
        <f t="shared" si="6"/>
        <v>1498.9888382522829</v>
      </c>
      <c r="O18" s="16">
        <f t="shared" si="6"/>
        <v>1337.3679245682147</v>
      </c>
      <c r="P18" s="15">
        <f t="shared" si="6"/>
        <v>2.7861831761837808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89.290028060870213</v>
      </c>
      <c r="I19" s="13"/>
      <c r="J19" s="12"/>
      <c r="K19" s="10">
        <f t="shared" ref="K19:P19" si="7">STDEV(K9:K14)/SQRT(COUNT(K9:K14))</f>
        <v>22.322507015217553</v>
      </c>
      <c r="L19" s="10">
        <f t="shared" si="7"/>
        <v>219.70971471670862</v>
      </c>
      <c r="M19" s="11">
        <f t="shared" si="7"/>
        <v>196.02062248892361</v>
      </c>
      <c r="N19" s="10">
        <f t="shared" si="7"/>
        <v>77.802394189332688</v>
      </c>
      <c r="O19" s="10">
        <f t="shared" si="7"/>
        <v>69.413743310284644</v>
      </c>
      <c r="P19" s="9">
        <f t="shared" si="7"/>
        <v>0.14461196522975905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7A20-4D47-48E5-BA59-397D10BBE480}">
  <sheetPr codeName="Sheet22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301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3604.7</v>
      </c>
      <c r="N3" s="39" t="s">
        <v>139</v>
      </c>
      <c r="O3" s="38">
        <f>(L3-(L4+L5))/L3</f>
        <v>2.801897522678725E-2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1331.3</v>
      </c>
      <c r="N4" s="39" t="s">
        <v>134</v>
      </c>
      <c r="O4" s="38">
        <f>L4/L3</f>
        <v>0.36932338336061254</v>
      </c>
    </row>
    <row r="5" spans="1:18" ht="17.25" thickTop="1" thickBot="1" x14ac:dyDescent="0.25">
      <c r="B5" s="42" t="s">
        <v>133</v>
      </c>
      <c r="C5" s="51">
        <v>0.36805555555555558</v>
      </c>
      <c r="F5" s="37"/>
      <c r="G5" s="37"/>
      <c r="K5" s="39" t="s">
        <v>132</v>
      </c>
      <c r="L5" s="40">
        <v>2172.4</v>
      </c>
      <c r="N5" s="39" t="s">
        <v>131</v>
      </c>
      <c r="O5" s="38">
        <f>L5/L3</f>
        <v>0.60265764141260025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836.2</v>
      </c>
      <c r="F9" s="21">
        <v>942.6</v>
      </c>
      <c r="G9" s="21"/>
      <c r="H9" s="21">
        <f t="shared" ref="H9:H14" si="0">SUM(E9:G9)</f>
        <v>1778.8000000000002</v>
      </c>
      <c r="I9" s="21" t="s">
        <v>149</v>
      </c>
      <c r="K9" s="8">
        <f t="shared" ref="K9:K14" si="1">H9/D9</f>
        <v>444.70000000000005</v>
      </c>
      <c r="L9" s="19">
        <f t="shared" ref="L9:L14" si="2">K9/1.016*10</f>
        <v>4376.9685039370079</v>
      </c>
      <c r="M9" s="20">
        <f t="shared" ref="M9:M14" si="3">L9/1.12085</f>
        <v>3905.0439433795855</v>
      </c>
      <c r="N9" s="19">
        <f t="shared" ref="N9:O14" si="4">L9*$O$4</f>
        <v>1616.5168167368543</v>
      </c>
      <c r="O9" s="19">
        <f t="shared" si="4"/>
        <v>1442.2240413408167</v>
      </c>
      <c r="P9" s="18">
        <f t="shared" ref="P9:P14" si="5">O9/480</f>
        <v>3.0046334194600348</v>
      </c>
    </row>
    <row r="10" spans="1:18" ht="13.5" thickBot="1" x14ac:dyDescent="0.25">
      <c r="C10" s="29">
        <v>4</v>
      </c>
      <c r="D10" s="29">
        <v>4</v>
      </c>
      <c r="E10" s="21">
        <v>691.3</v>
      </c>
      <c r="F10" s="21">
        <v>675.6</v>
      </c>
      <c r="G10" s="21"/>
      <c r="H10" s="21">
        <f t="shared" si="0"/>
        <v>1366.9</v>
      </c>
      <c r="I10" s="21"/>
      <c r="K10" s="8">
        <f t="shared" si="1"/>
        <v>341.72500000000002</v>
      </c>
      <c r="L10" s="19">
        <f t="shared" si="2"/>
        <v>3363.4350393700788</v>
      </c>
      <c r="M10" s="20">
        <f t="shared" si="3"/>
        <v>3000.7896144623091</v>
      </c>
      <c r="N10" s="19">
        <f t="shared" si="4"/>
        <v>1242.1952084537925</v>
      </c>
      <c r="O10" s="19">
        <f t="shared" si="4"/>
        <v>1108.261773166608</v>
      </c>
      <c r="P10" s="18">
        <f t="shared" si="5"/>
        <v>2.3088786940971002</v>
      </c>
    </row>
    <row r="11" spans="1:18" ht="13.5" thickBot="1" x14ac:dyDescent="0.25">
      <c r="C11" s="29">
        <v>5</v>
      </c>
      <c r="D11" s="29">
        <v>4</v>
      </c>
      <c r="E11" s="21">
        <v>1479.8</v>
      </c>
      <c r="F11" s="21"/>
      <c r="G11" s="21"/>
      <c r="H11" s="21">
        <f t="shared" si="0"/>
        <v>1479.8</v>
      </c>
      <c r="I11" s="21"/>
      <c r="K11" s="8">
        <f t="shared" si="1"/>
        <v>369.95</v>
      </c>
      <c r="L11" s="19">
        <f t="shared" si="2"/>
        <v>3641.2401574803148</v>
      </c>
      <c r="M11" s="20">
        <f t="shared" si="3"/>
        <v>3248.6417963869521</v>
      </c>
      <c r="N11" s="19">
        <f t="shared" si="4"/>
        <v>1344.7951345891595</v>
      </c>
      <c r="O11" s="19">
        <f t="shared" si="4"/>
        <v>1199.7993795683274</v>
      </c>
      <c r="P11" s="18">
        <f t="shared" si="5"/>
        <v>2.4995820407673488</v>
      </c>
    </row>
    <row r="12" spans="1:18" ht="13.5" thickBot="1" x14ac:dyDescent="0.25">
      <c r="C12" s="29">
        <v>6</v>
      </c>
      <c r="D12" s="29">
        <v>4</v>
      </c>
      <c r="E12" s="21">
        <v>1576.1</v>
      </c>
      <c r="F12" s="21"/>
      <c r="G12" s="21"/>
      <c r="H12" s="21">
        <f t="shared" si="0"/>
        <v>1576.1</v>
      </c>
      <c r="I12" s="21"/>
      <c r="K12" s="8">
        <f t="shared" si="1"/>
        <v>394.02499999999998</v>
      </c>
      <c r="L12" s="19">
        <f t="shared" si="2"/>
        <v>3878.1988188976375</v>
      </c>
      <c r="M12" s="20">
        <f t="shared" si="3"/>
        <v>3460.0515848665191</v>
      </c>
      <c r="N12" s="19">
        <f t="shared" si="4"/>
        <v>1432.309509140407</v>
      </c>
      <c r="O12" s="19">
        <f t="shared" si="4"/>
        <v>1277.8779579251525</v>
      </c>
      <c r="P12" s="18">
        <f t="shared" si="5"/>
        <v>2.6622457456774011</v>
      </c>
    </row>
    <row r="13" spans="1:18" ht="13.5" thickBot="1" x14ac:dyDescent="0.25">
      <c r="C13" s="29">
        <v>7</v>
      </c>
      <c r="D13" s="29">
        <v>4</v>
      </c>
      <c r="E13" s="21">
        <v>1517.2</v>
      </c>
      <c r="F13" s="21"/>
      <c r="G13" s="21"/>
      <c r="H13" s="21">
        <f t="shared" si="0"/>
        <v>1517.2</v>
      </c>
      <c r="I13" s="21"/>
      <c r="K13" s="8">
        <f t="shared" si="1"/>
        <v>379.3</v>
      </c>
      <c r="L13" s="19">
        <f t="shared" si="2"/>
        <v>3733.267716535433</v>
      </c>
      <c r="M13" s="20">
        <f t="shared" si="3"/>
        <v>3330.7469478836892</v>
      </c>
      <c r="N13" s="19">
        <f t="shared" si="4"/>
        <v>1378.7830640618142</v>
      </c>
      <c r="O13" s="19">
        <f t="shared" si="4"/>
        <v>1230.122731910438</v>
      </c>
      <c r="P13" s="18">
        <f t="shared" si="5"/>
        <v>2.5627556914800791</v>
      </c>
    </row>
    <row r="14" spans="1:18" ht="13.5" thickBot="1" x14ac:dyDescent="0.25">
      <c r="C14" s="29">
        <v>8</v>
      </c>
      <c r="D14" s="29">
        <v>4</v>
      </c>
      <c r="E14" s="21">
        <v>1395</v>
      </c>
      <c r="F14" s="21"/>
      <c r="G14" s="21"/>
      <c r="H14" s="21">
        <f t="shared" si="0"/>
        <v>1395</v>
      </c>
      <c r="I14" s="21"/>
      <c r="K14" s="8">
        <f t="shared" si="1"/>
        <v>348.75</v>
      </c>
      <c r="L14" s="19">
        <f t="shared" si="2"/>
        <v>3432.5787401574803</v>
      </c>
      <c r="M14" s="20">
        <f t="shared" si="3"/>
        <v>3062.4782443301783</v>
      </c>
      <c r="N14" s="19">
        <f t="shared" si="4"/>
        <v>1267.7315939666696</v>
      </c>
      <c r="O14" s="19">
        <f t="shared" si="4"/>
        <v>1131.04482666429</v>
      </c>
      <c r="P14" s="18">
        <f t="shared" si="5"/>
        <v>2.3563433888839374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107.1</v>
      </c>
      <c r="I16" s="21"/>
      <c r="K16" s="8">
        <f>H16/SUM($D$9:$D$14)</f>
        <v>4.4624999999999995</v>
      </c>
      <c r="L16" s="19">
        <f>K16/1.016*10</f>
        <v>43.922244094488185</v>
      </c>
      <c r="M16" s="20">
        <f>L16/1.12085</f>
        <v>39.186549577988302</v>
      </c>
      <c r="N16" s="19">
        <f>L16*$O$4</f>
        <v>16.221511793767061</v>
      </c>
      <c r="O16" s="19">
        <f>M16*$O$4</f>
        <v>14.472509072371023</v>
      </c>
      <c r="P16" s="18">
        <f>O16/480</f>
        <v>3.0151060567439634E-2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9220.9</v>
      </c>
      <c r="I18" s="13"/>
      <c r="J18" s="12"/>
      <c r="K18" s="16">
        <f t="shared" ref="K18:P18" si="6">AVERAGE(K9:K14)+K16/6</f>
        <v>380.48541666666659</v>
      </c>
      <c r="L18" s="16">
        <f t="shared" si="6"/>
        <v>3744.9352034120739</v>
      </c>
      <c r="M18" s="17">
        <f t="shared" si="6"/>
        <v>3341.156446814537</v>
      </c>
      <c r="N18" s="16">
        <f t="shared" si="6"/>
        <v>1383.0921397904106</v>
      </c>
      <c r="O18" s="16">
        <f t="shared" si="6"/>
        <v>1233.9672032746673</v>
      </c>
      <c r="P18" s="15">
        <f t="shared" si="6"/>
        <v>2.5707650068222239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60.77464749200756</v>
      </c>
      <c r="I19" s="13"/>
      <c r="J19" s="12"/>
      <c r="K19" s="10">
        <f t="shared" ref="K19:P19" si="7">STDEV(K9:K14)/SQRT(COUNT(K9:K14))</f>
        <v>15.19366187300189</v>
      </c>
      <c r="L19" s="10">
        <f t="shared" si="7"/>
        <v>149.54391607285319</v>
      </c>
      <c r="M19" s="11">
        <f t="shared" si="7"/>
        <v>133.42009731262274</v>
      </c>
      <c r="N19" s="10">
        <f t="shared" si="7"/>
        <v>55.230065045021618</v>
      </c>
      <c r="O19" s="10">
        <f t="shared" si="7"/>
        <v>49.275161747800013</v>
      </c>
      <c r="P19" s="9">
        <f t="shared" si="7"/>
        <v>0.10265658697458334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3977-F7DC-4795-9BD2-894C9F7F5DCA}">
  <sheetPr codeName="Sheet23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302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37537</v>
      </c>
      <c r="K3" s="39" t="s">
        <v>140</v>
      </c>
      <c r="L3" s="40">
        <v>4035</v>
      </c>
      <c r="N3" s="39" t="s">
        <v>139</v>
      </c>
      <c r="O3" s="38">
        <f>(L3-(L4+L5))/L3</f>
        <v>2.9144981412639496E-2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1517.7</v>
      </c>
      <c r="N4" s="39" t="s">
        <v>134</v>
      </c>
      <c r="O4" s="38">
        <f>L4/L3</f>
        <v>0.37613382899628256</v>
      </c>
    </row>
    <row r="5" spans="1:18" ht="17.25" thickTop="1" thickBot="1" x14ac:dyDescent="0.25">
      <c r="B5" s="42" t="s">
        <v>133</v>
      </c>
      <c r="C5" s="51">
        <v>0.36249999999999999</v>
      </c>
      <c r="F5" s="37"/>
      <c r="G5" s="37"/>
      <c r="K5" s="39" t="s">
        <v>132</v>
      </c>
      <c r="L5" s="40">
        <v>2399.6999999999998</v>
      </c>
      <c r="N5" s="39" t="s">
        <v>131</v>
      </c>
      <c r="O5" s="38">
        <f>L5/L3</f>
        <v>0.594721189591078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1729.1</v>
      </c>
      <c r="F9" s="21"/>
      <c r="G9" s="21"/>
      <c r="H9" s="21">
        <f t="shared" ref="H9:H14" si="0">SUM(E9:G9)</f>
        <v>1729.1</v>
      </c>
      <c r="I9" s="21"/>
      <c r="K9" s="8">
        <f t="shared" ref="K9:K14" si="1">H9/D9</f>
        <v>432.27499999999998</v>
      </c>
      <c r="L9" s="19">
        <f t="shared" ref="L9:L14" si="2">K9/1.016*10</f>
        <v>4254.6751968503931</v>
      </c>
      <c r="M9" s="20">
        <f t="shared" ref="M9:M14" si="3">L9/1.12085</f>
        <v>3795.9362955349898</v>
      </c>
      <c r="N9" s="19">
        <f t="shared" ref="N9:O14" si="4">L9*$O$4</f>
        <v>1600.3272729268506</v>
      </c>
      <c r="O9" s="19">
        <f t="shared" si="4"/>
        <v>1427.78005346554</v>
      </c>
      <c r="P9" s="18">
        <f t="shared" ref="P9:P14" si="5">O9/480</f>
        <v>2.9745417780532084</v>
      </c>
    </row>
    <row r="10" spans="1:18" ht="13.5" thickBot="1" x14ac:dyDescent="0.25">
      <c r="C10" s="29">
        <v>4</v>
      </c>
      <c r="D10" s="29">
        <v>4</v>
      </c>
      <c r="E10" s="21">
        <v>1761.2</v>
      </c>
      <c r="F10" s="21"/>
      <c r="G10" s="21"/>
      <c r="H10" s="21">
        <f t="shared" si="0"/>
        <v>1761.2</v>
      </c>
      <c r="I10" s="21"/>
      <c r="K10" s="8">
        <f t="shared" si="1"/>
        <v>440.3</v>
      </c>
      <c r="L10" s="19">
        <f t="shared" si="2"/>
        <v>4333.6614173228354</v>
      </c>
      <c r="M10" s="20">
        <f t="shared" si="3"/>
        <v>3866.4062250281804</v>
      </c>
      <c r="N10" s="19">
        <f t="shared" si="4"/>
        <v>1630.0366624710948</v>
      </c>
      <c r="O10" s="19">
        <f t="shared" si="4"/>
        <v>1454.286177874912</v>
      </c>
      <c r="P10" s="18">
        <f t="shared" si="5"/>
        <v>3.0297628705727333</v>
      </c>
    </row>
    <row r="11" spans="1:18" ht="13.5" thickBot="1" x14ac:dyDescent="0.25">
      <c r="C11" s="29">
        <v>5</v>
      </c>
      <c r="D11" s="29">
        <v>4</v>
      </c>
      <c r="E11" s="21">
        <v>1601.5</v>
      </c>
      <c r="F11" s="21"/>
      <c r="G11" s="21"/>
      <c r="H11" s="21">
        <f t="shared" si="0"/>
        <v>1601.5</v>
      </c>
      <c r="I11" s="21"/>
      <c r="K11" s="8">
        <f t="shared" si="1"/>
        <v>400.375</v>
      </c>
      <c r="L11" s="19">
        <f t="shared" si="2"/>
        <v>3940.6988188976379</v>
      </c>
      <c r="M11" s="20">
        <f t="shared" si="3"/>
        <v>3515.8128374872981</v>
      </c>
      <c r="N11" s="19">
        <f t="shared" si="4"/>
        <v>1482.2301356730968</v>
      </c>
      <c r="O11" s="19">
        <f t="shared" si="4"/>
        <v>1322.4161445983823</v>
      </c>
      <c r="P11" s="18">
        <f t="shared" si="5"/>
        <v>2.7550336345799633</v>
      </c>
    </row>
    <row r="12" spans="1:18" ht="13.5" thickBot="1" x14ac:dyDescent="0.25">
      <c r="C12" s="29">
        <v>6</v>
      </c>
      <c r="D12" s="29">
        <v>4</v>
      </c>
      <c r="E12" s="21">
        <v>1005.1</v>
      </c>
      <c r="F12" s="21">
        <v>1027.3</v>
      </c>
      <c r="G12" s="21"/>
      <c r="H12" s="21">
        <f t="shared" si="0"/>
        <v>2032.4</v>
      </c>
      <c r="I12" s="21"/>
      <c r="K12" s="8">
        <f t="shared" si="1"/>
        <v>508.1</v>
      </c>
      <c r="L12" s="19">
        <f t="shared" si="2"/>
        <v>5000.9842519685044</v>
      </c>
      <c r="M12" s="20">
        <f t="shared" si="3"/>
        <v>4461.7783396248424</v>
      </c>
      <c r="N12" s="19">
        <f t="shared" si="4"/>
        <v>1881.0393554430234</v>
      </c>
      <c r="O12" s="19">
        <f t="shared" si="4"/>
        <v>1678.225771015768</v>
      </c>
      <c r="P12" s="18">
        <f t="shared" si="5"/>
        <v>3.4963036896161834</v>
      </c>
    </row>
    <row r="13" spans="1:18" ht="13.5" thickBot="1" x14ac:dyDescent="0.25">
      <c r="C13" s="29">
        <v>7</v>
      </c>
      <c r="D13" s="29">
        <v>4</v>
      </c>
      <c r="E13" s="21">
        <v>840.8</v>
      </c>
      <c r="F13" s="21">
        <v>1164</v>
      </c>
      <c r="G13" s="21"/>
      <c r="H13" s="21">
        <f t="shared" si="0"/>
        <v>2004.8</v>
      </c>
      <c r="I13" s="21"/>
      <c r="K13" s="8">
        <f t="shared" si="1"/>
        <v>501.2</v>
      </c>
      <c r="L13" s="19">
        <f t="shared" si="2"/>
        <v>4933.070866141732</v>
      </c>
      <c r="M13" s="20">
        <f t="shared" si="3"/>
        <v>4401.1873722101373</v>
      </c>
      <c r="N13" s="19">
        <f t="shared" si="4"/>
        <v>1855.4948335918978</v>
      </c>
      <c r="O13" s="19">
        <f t="shared" si="4"/>
        <v>1655.435458439486</v>
      </c>
      <c r="P13" s="18">
        <f t="shared" si="5"/>
        <v>3.448823871748929</v>
      </c>
    </row>
    <row r="14" spans="1:18" ht="13.5" thickBot="1" x14ac:dyDescent="0.25">
      <c r="C14" s="29">
        <v>8</v>
      </c>
      <c r="D14" s="29">
        <v>4</v>
      </c>
      <c r="E14" s="21">
        <v>1042</v>
      </c>
      <c r="F14" s="21">
        <v>841.2</v>
      </c>
      <c r="G14" s="21"/>
      <c r="H14" s="21">
        <f t="shared" si="0"/>
        <v>1883.2</v>
      </c>
      <c r="I14" s="21"/>
      <c r="K14" s="8">
        <f t="shared" si="1"/>
        <v>470.8</v>
      </c>
      <c r="L14" s="19">
        <f t="shared" si="2"/>
        <v>4633.8582677165359</v>
      </c>
      <c r="M14" s="20">
        <f t="shared" si="3"/>
        <v>4134.2358636004246</v>
      </c>
      <c r="N14" s="19">
        <f t="shared" si="4"/>
        <v>1742.9508532623017</v>
      </c>
      <c r="O14" s="19">
        <f t="shared" si="4"/>
        <v>1555.0259653497806</v>
      </c>
      <c r="P14" s="18">
        <f t="shared" si="5"/>
        <v>3.2396374278120428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218.4</v>
      </c>
      <c r="I16" s="21"/>
      <c r="K16" s="8">
        <f>H16/SUM($D$9:$D$14)</f>
        <v>9.1</v>
      </c>
      <c r="L16" s="19">
        <f>K16/1.016*10</f>
        <v>89.566929133858252</v>
      </c>
      <c r="M16" s="20">
        <f>L16/1.12085</f>
        <v>79.909826590407519</v>
      </c>
      <c r="N16" s="19">
        <f>L16*$O$4</f>
        <v>33.689152006556796</v>
      </c>
      <c r="O16" s="19">
        <f>M16*$O$4</f>
        <v>30.056789049878933</v>
      </c>
      <c r="P16" s="18">
        <f>O16/480</f>
        <v>6.2618310520581116E-2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11230.6</v>
      </c>
      <c r="I18" s="13"/>
      <c r="J18" s="12"/>
      <c r="K18" s="16">
        <f t="shared" ref="K18:P18" si="6">AVERAGE(K9:K14)+K16/6</f>
        <v>460.35833333333335</v>
      </c>
      <c r="L18" s="16">
        <f t="shared" si="6"/>
        <v>4531.0859580052484</v>
      </c>
      <c r="M18" s="17">
        <f t="shared" si="6"/>
        <v>4042.5444600127134</v>
      </c>
      <c r="N18" s="16">
        <f t="shared" si="6"/>
        <v>1704.2947108958037</v>
      </c>
      <c r="O18" s="16">
        <f t="shared" si="6"/>
        <v>1520.5377266322914</v>
      </c>
      <c r="P18" s="15">
        <f t="shared" si="6"/>
        <v>3.1677869304839406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68.630589227965828</v>
      </c>
      <c r="I19" s="13"/>
      <c r="J19" s="12"/>
      <c r="K19" s="10">
        <f t="shared" ref="K19:P19" si="7">STDEV(K9:K14)/SQRT(COUNT(K9:K14))</f>
        <v>17.157647306991457</v>
      </c>
      <c r="L19" s="10">
        <f t="shared" si="7"/>
        <v>168.87448136802615</v>
      </c>
      <c r="M19" s="11">
        <f t="shared" si="7"/>
        <v>150.66644186824834</v>
      </c>
      <c r="N19" s="10">
        <f t="shared" si="7"/>
        <v>63.519405296717053</v>
      </c>
      <c r="O19" s="10">
        <f t="shared" si="7"/>
        <v>56.67074568115008</v>
      </c>
      <c r="P19" s="9">
        <f t="shared" si="7"/>
        <v>0.11806405350239599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F31B-C691-46E6-BD51-1C8200EDEB27}">
  <sheetPr codeName="Sheet24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303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37904</v>
      </c>
      <c r="K3" s="39" t="s">
        <v>140</v>
      </c>
      <c r="L3" s="40">
        <v>3559.5</v>
      </c>
      <c r="N3" s="39" t="s">
        <v>139</v>
      </c>
      <c r="O3" s="38">
        <f>(L3-(L4+L5))/L3</f>
        <v>1.2841691248770905E-2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1295.5899999999999</v>
      </c>
      <c r="N4" s="39" t="s">
        <v>134</v>
      </c>
      <c r="O4" s="38">
        <f>L4/L3</f>
        <v>0.36398089619328555</v>
      </c>
    </row>
    <row r="5" spans="1:18" ht="17.25" thickTop="1" thickBot="1" x14ac:dyDescent="0.25">
      <c r="B5" s="42" t="s">
        <v>133</v>
      </c>
      <c r="C5" s="51">
        <v>0.36249999999999999</v>
      </c>
      <c r="F5" s="37"/>
      <c r="G5" s="37"/>
      <c r="K5" s="39" t="s">
        <v>132</v>
      </c>
      <c r="L5" s="40">
        <v>2218.1999999999998</v>
      </c>
      <c r="N5" s="39" t="s">
        <v>131</v>
      </c>
      <c r="O5" s="38">
        <f>L5/L3</f>
        <v>0.62317741255794346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56">
        <v>4</v>
      </c>
      <c r="E9" s="21">
        <v>5</v>
      </c>
      <c r="F9" s="21">
        <v>1128</v>
      </c>
      <c r="G9" s="21"/>
      <c r="H9" s="21">
        <f t="shared" ref="H9:H14" si="0">SUM(E9:G9)</f>
        <v>1133</v>
      </c>
      <c r="I9" s="55" t="s">
        <v>150</v>
      </c>
      <c r="K9" s="8">
        <f t="shared" ref="K9:K14" si="1">H9/D9</f>
        <v>283.25</v>
      </c>
      <c r="L9" s="19">
        <f t="shared" ref="L9:L14" si="2">K9/1.016*10</f>
        <v>2787.8937007874015</v>
      </c>
      <c r="M9" s="20">
        <f t="shared" ref="M9:M14" si="3">L9/1.12085</f>
        <v>2487.3031188717505</v>
      </c>
      <c r="N9" s="19">
        <f t="shared" ref="N9:O14" si="4">L9*$O$4</f>
        <v>1014.7400477042139</v>
      </c>
      <c r="O9" s="19">
        <f t="shared" si="4"/>
        <v>905.33081831129402</v>
      </c>
      <c r="P9" s="18">
        <f t="shared" ref="P9:P14" si="5">O9/480</f>
        <v>1.8861058714818626</v>
      </c>
    </row>
    <row r="10" spans="1:18" ht="13.5" thickBot="1" x14ac:dyDescent="0.25">
      <c r="C10" s="29">
        <v>4</v>
      </c>
      <c r="D10" s="29">
        <v>4</v>
      </c>
      <c r="E10" s="21">
        <v>1822.1</v>
      </c>
      <c r="F10" s="21"/>
      <c r="G10" s="21"/>
      <c r="H10" s="21">
        <f t="shared" si="0"/>
        <v>1822.1</v>
      </c>
      <c r="I10" s="21"/>
      <c r="K10" s="8">
        <f t="shared" si="1"/>
        <v>455.52499999999998</v>
      </c>
      <c r="L10" s="19">
        <f t="shared" si="2"/>
        <v>4483.5137795275587</v>
      </c>
      <c r="M10" s="20">
        <f t="shared" si="3"/>
        <v>4000.1015118236687</v>
      </c>
      <c r="N10" s="19">
        <f t="shared" si="4"/>
        <v>1631.9133635673857</v>
      </c>
      <c r="O10" s="19">
        <f t="shared" si="4"/>
        <v>1455.9605331376954</v>
      </c>
      <c r="P10" s="18">
        <f t="shared" si="5"/>
        <v>3.033251110703532</v>
      </c>
    </row>
    <row r="11" spans="1:18" ht="13.5" thickBot="1" x14ac:dyDescent="0.25">
      <c r="C11" s="29">
        <v>5</v>
      </c>
      <c r="D11" s="29">
        <v>4</v>
      </c>
      <c r="E11" s="21">
        <v>1566.1</v>
      </c>
      <c r="F11" s="21"/>
      <c r="G11" s="21"/>
      <c r="H11" s="21">
        <f t="shared" si="0"/>
        <v>1566.1</v>
      </c>
      <c r="I11" s="21"/>
      <c r="K11" s="8">
        <f t="shared" si="1"/>
        <v>391.52499999999998</v>
      </c>
      <c r="L11" s="19">
        <f t="shared" si="2"/>
        <v>3853.592519685039</v>
      </c>
      <c r="M11" s="20">
        <f t="shared" si="3"/>
        <v>3438.0983358032199</v>
      </c>
      <c r="N11" s="19">
        <f t="shared" si="4"/>
        <v>1402.6340588787018</v>
      </c>
      <c r="O11" s="19">
        <f t="shared" si="4"/>
        <v>1251.4021134662996</v>
      </c>
      <c r="P11" s="18">
        <f t="shared" si="5"/>
        <v>2.6070877363881242</v>
      </c>
    </row>
    <row r="12" spans="1:18" ht="13.5" thickBot="1" x14ac:dyDescent="0.25">
      <c r="C12" s="29">
        <v>6</v>
      </c>
      <c r="D12" s="29">
        <v>4</v>
      </c>
      <c r="E12" s="21">
        <v>640.9</v>
      </c>
      <c r="F12" s="21">
        <v>822.8</v>
      </c>
      <c r="G12" s="21"/>
      <c r="H12" s="21">
        <f t="shared" si="0"/>
        <v>1463.6999999999998</v>
      </c>
      <c r="I12" s="21"/>
      <c r="K12" s="8">
        <f t="shared" si="1"/>
        <v>365.92499999999995</v>
      </c>
      <c r="L12" s="19">
        <f t="shared" si="2"/>
        <v>3601.6240157480306</v>
      </c>
      <c r="M12" s="20">
        <f t="shared" si="3"/>
        <v>3213.2970653950401</v>
      </c>
      <c r="N12" s="19">
        <f t="shared" si="4"/>
        <v>1310.9223370032282</v>
      </c>
      <c r="O12" s="19">
        <f t="shared" si="4"/>
        <v>1169.5787455977411</v>
      </c>
      <c r="P12" s="18">
        <f t="shared" si="5"/>
        <v>2.4366223866619605</v>
      </c>
    </row>
    <row r="13" spans="1:18" ht="13.5" thickBot="1" x14ac:dyDescent="0.25">
      <c r="C13" s="29">
        <v>7</v>
      </c>
      <c r="D13" s="29">
        <v>4</v>
      </c>
      <c r="E13" s="21">
        <v>1085.9000000000001</v>
      </c>
      <c r="F13" s="21">
        <v>896.9</v>
      </c>
      <c r="G13" s="21"/>
      <c r="H13" s="21">
        <f t="shared" si="0"/>
        <v>1982.8000000000002</v>
      </c>
      <c r="I13" s="21"/>
      <c r="K13" s="8">
        <f t="shared" si="1"/>
        <v>495.70000000000005</v>
      </c>
      <c r="L13" s="19">
        <f t="shared" si="2"/>
        <v>4878.9370078740158</v>
      </c>
      <c r="M13" s="20">
        <f t="shared" si="3"/>
        <v>4352.89022427088</v>
      </c>
      <c r="N13" s="19">
        <f t="shared" si="4"/>
        <v>1775.8398645965713</v>
      </c>
      <c r="O13" s="19">
        <f t="shared" si="4"/>
        <v>1584.3688848611066</v>
      </c>
      <c r="P13" s="18">
        <f t="shared" si="5"/>
        <v>3.3007685101273054</v>
      </c>
    </row>
    <row r="14" spans="1:18" ht="13.5" thickBot="1" x14ac:dyDescent="0.25">
      <c r="C14" s="29">
        <v>8</v>
      </c>
      <c r="D14" s="29">
        <v>4</v>
      </c>
      <c r="E14" s="21">
        <v>1420.7</v>
      </c>
      <c r="F14" s="21"/>
      <c r="G14" s="21"/>
      <c r="H14" s="21">
        <f t="shared" si="0"/>
        <v>1420.7</v>
      </c>
      <c r="I14" s="21"/>
      <c r="K14" s="8">
        <f t="shared" si="1"/>
        <v>355.17500000000001</v>
      </c>
      <c r="L14" s="19">
        <f t="shared" si="2"/>
        <v>3495.8169291338581</v>
      </c>
      <c r="M14" s="20">
        <f t="shared" si="3"/>
        <v>3118.898094422856</v>
      </c>
      <c r="N14" s="19">
        <f t="shared" si="4"/>
        <v>1272.4105787938011</v>
      </c>
      <c r="O14" s="19">
        <f t="shared" si="4"/>
        <v>1135.2193235435616</v>
      </c>
      <c r="P14" s="18">
        <f t="shared" si="5"/>
        <v>2.3650402573824199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82.6</v>
      </c>
      <c r="I16" s="21"/>
      <c r="K16" s="8">
        <f>H16/SUM($D$9:$D$14)</f>
        <v>3.4416666666666664</v>
      </c>
      <c r="L16" s="19">
        <f>K16/1.016*10</f>
        <v>33.874671916010499</v>
      </c>
      <c r="M16" s="20">
        <f>L16/1.12085</f>
        <v>30.222306210474642</v>
      </c>
      <c r="N16" s="19">
        <f>L16*$O$4</f>
        <v>12.329733442243024</v>
      </c>
      <c r="O16" s="19">
        <f>M16*$O$4</f>
        <v>11.000342099516461</v>
      </c>
      <c r="P16" s="18">
        <f>O16/480</f>
        <v>2.2917379373992627E-2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9471</v>
      </c>
      <c r="I18" s="13"/>
      <c r="J18" s="12"/>
      <c r="K18" s="16">
        <f t="shared" ref="K18:P18" si="6">AVERAGE(K9:K14)+K16/6</f>
        <v>391.75694444444446</v>
      </c>
      <c r="L18" s="16">
        <f t="shared" si="6"/>
        <v>3855.8754374453188</v>
      </c>
      <c r="M18" s="17">
        <f t="shared" si="6"/>
        <v>3440.135109466315</v>
      </c>
      <c r="N18" s="16">
        <f t="shared" si="6"/>
        <v>1403.4649973310243</v>
      </c>
      <c r="O18" s="16">
        <f t="shared" si="6"/>
        <v>1252.143460169536</v>
      </c>
      <c r="P18" s="15">
        <f t="shared" si="6"/>
        <v>2.6086322086865326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123.60774157704617</v>
      </c>
      <c r="I19" s="13"/>
      <c r="J19" s="12"/>
      <c r="K19" s="10">
        <f t="shared" ref="K19:P19" si="7">STDEV(K9:K14)/SQRT(COUNT(K9:K14))</f>
        <v>30.901935394261542</v>
      </c>
      <c r="L19" s="10">
        <f t="shared" si="7"/>
        <v>304.15290742383542</v>
      </c>
      <c r="M19" s="11">
        <f t="shared" si="7"/>
        <v>271.35915369927579</v>
      </c>
      <c r="N19" s="10">
        <f t="shared" si="7"/>
        <v>110.70584782392071</v>
      </c>
      <c r="O19" s="10">
        <f t="shared" si="7"/>
        <v>98.769547953713939</v>
      </c>
      <c r="P19" s="9">
        <f t="shared" si="7"/>
        <v>0.20576989157023753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1B05-0078-426C-AC59-36FE716EB9D4}">
  <sheetPr codeName="Sheet25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304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4127</v>
      </c>
      <c r="N3" s="39" t="s">
        <v>139</v>
      </c>
      <c r="O3" s="38">
        <f>(L3-(L4+L5))/L3</f>
        <v>3.0215653016719121E-2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1531.2</v>
      </c>
      <c r="N4" s="39" t="s">
        <v>134</v>
      </c>
      <c r="O4" s="38">
        <f>L4/L3</f>
        <v>0.3710201114611098</v>
      </c>
    </row>
    <row r="5" spans="1:18" ht="17.25" thickTop="1" thickBot="1" x14ac:dyDescent="0.25">
      <c r="B5" s="42" t="s">
        <v>133</v>
      </c>
      <c r="C5" s="51">
        <v>0.43402777777777773</v>
      </c>
      <c r="F5" s="37"/>
      <c r="G5" s="37"/>
      <c r="K5" s="39" t="s">
        <v>132</v>
      </c>
      <c r="L5" s="40">
        <v>2471.1</v>
      </c>
      <c r="N5" s="39" t="s">
        <v>131</v>
      </c>
      <c r="O5" s="38">
        <f>L5/L3</f>
        <v>0.59876423552217106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993.1</v>
      </c>
      <c r="F9" s="21">
        <v>915.5</v>
      </c>
      <c r="G9" s="21"/>
      <c r="H9" s="21">
        <f t="shared" ref="H9:H14" si="0">SUM(E9:G9)</f>
        <v>1908.6</v>
      </c>
      <c r="I9" s="21"/>
      <c r="K9" s="8">
        <f t="shared" ref="K9:K14" si="1">H9/D9</f>
        <v>477.15</v>
      </c>
      <c r="L9" s="19">
        <f t="shared" ref="L9:L14" si="2">K9/1.016*10</f>
        <v>4696.358267716535</v>
      </c>
      <c r="M9" s="20">
        <f t="shared" ref="M9:M14" si="3">L9/1.12085</f>
        <v>4189.9971162212032</v>
      </c>
      <c r="N9" s="19">
        <f t="shared" ref="N9:O14" si="4">L9*$O$4</f>
        <v>1742.4433679494934</v>
      </c>
      <c r="O9" s="19">
        <f t="shared" si="4"/>
        <v>1554.5731970821193</v>
      </c>
      <c r="P9" s="18">
        <f t="shared" ref="P9:P14" si="5">O9/480</f>
        <v>3.2386941605877486</v>
      </c>
    </row>
    <row r="10" spans="1:18" ht="13.5" thickBot="1" x14ac:dyDescent="0.25">
      <c r="C10" s="29">
        <v>4</v>
      </c>
      <c r="D10" s="29">
        <v>4</v>
      </c>
      <c r="E10" s="21">
        <v>1894.4</v>
      </c>
      <c r="F10" s="21"/>
      <c r="G10" s="21"/>
      <c r="H10" s="21">
        <f t="shared" si="0"/>
        <v>1894.4</v>
      </c>
      <c r="I10" s="21"/>
      <c r="K10" s="8">
        <f t="shared" si="1"/>
        <v>473.6</v>
      </c>
      <c r="L10" s="19">
        <f t="shared" si="2"/>
        <v>4661.4173228346463</v>
      </c>
      <c r="M10" s="20">
        <f t="shared" si="3"/>
        <v>4158.8235025513195</v>
      </c>
      <c r="N10" s="19">
        <f t="shared" si="4"/>
        <v>1729.4795746848586</v>
      </c>
      <c r="O10" s="19">
        <f t="shared" si="4"/>
        <v>1543.0071594636736</v>
      </c>
      <c r="P10" s="18">
        <f t="shared" si="5"/>
        <v>3.2145982488826532</v>
      </c>
    </row>
    <row r="11" spans="1:18" ht="13.5" thickBot="1" x14ac:dyDescent="0.25">
      <c r="C11" s="29">
        <v>5</v>
      </c>
      <c r="D11" s="29">
        <v>4</v>
      </c>
      <c r="E11" s="21">
        <v>900.3</v>
      </c>
      <c r="F11" s="21">
        <v>851.8</v>
      </c>
      <c r="G11" s="21"/>
      <c r="H11" s="21">
        <f t="shared" si="0"/>
        <v>1752.1</v>
      </c>
      <c r="I11" s="21"/>
      <c r="K11" s="8">
        <f t="shared" si="1"/>
        <v>438.02499999999998</v>
      </c>
      <c r="L11" s="19">
        <f t="shared" si="2"/>
        <v>4311.2696850393704</v>
      </c>
      <c r="M11" s="20">
        <f t="shared" si="3"/>
        <v>3846.4287683805778</v>
      </c>
      <c r="N11" s="19">
        <f t="shared" si="4"/>
        <v>1599.5677590822111</v>
      </c>
      <c r="O11" s="19">
        <f t="shared" si="4"/>
        <v>1427.1024303717813</v>
      </c>
      <c r="P11" s="18">
        <f t="shared" si="5"/>
        <v>2.9731300632745445</v>
      </c>
    </row>
    <row r="12" spans="1:18" ht="13.5" thickBot="1" x14ac:dyDescent="0.25">
      <c r="C12" s="29">
        <v>6</v>
      </c>
      <c r="D12" s="29">
        <v>4</v>
      </c>
      <c r="E12" s="21">
        <v>1062.4000000000001</v>
      </c>
      <c r="F12" s="21">
        <v>840</v>
      </c>
      <c r="G12" s="21"/>
      <c r="H12" s="21">
        <f t="shared" si="0"/>
        <v>1902.4</v>
      </c>
      <c r="I12" s="21"/>
      <c r="K12" s="8">
        <f t="shared" si="1"/>
        <v>475.6</v>
      </c>
      <c r="L12" s="19">
        <f t="shared" si="2"/>
        <v>4681.1023622047251</v>
      </c>
      <c r="M12" s="20">
        <f t="shared" si="3"/>
        <v>4176.3861018019588</v>
      </c>
      <c r="N12" s="19">
        <f t="shared" si="4"/>
        <v>1736.7831201860615</v>
      </c>
      <c r="O12" s="19">
        <f t="shared" si="4"/>
        <v>1549.5232369951927</v>
      </c>
      <c r="P12" s="18">
        <f t="shared" si="5"/>
        <v>3.2281734104066517</v>
      </c>
    </row>
    <row r="13" spans="1:18" ht="13.5" thickBot="1" x14ac:dyDescent="0.25">
      <c r="C13" s="29">
        <v>7</v>
      </c>
      <c r="D13" s="29">
        <v>4</v>
      </c>
      <c r="E13" s="21">
        <v>1118.9000000000001</v>
      </c>
      <c r="F13" s="21">
        <v>844.3</v>
      </c>
      <c r="G13" s="21"/>
      <c r="H13" s="21">
        <f t="shared" si="0"/>
        <v>1963.2</v>
      </c>
      <c r="I13" s="21"/>
      <c r="K13" s="8">
        <f t="shared" si="1"/>
        <v>490.8</v>
      </c>
      <c r="L13" s="19">
        <f t="shared" si="2"/>
        <v>4830.7086614173222</v>
      </c>
      <c r="M13" s="20">
        <f t="shared" si="3"/>
        <v>4309.8618561068142</v>
      </c>
      <c r="N13" s="19">
        <f t="shared" si="4"/>
        <v>1792.2900659952033</v>
      </c>
      <c r="O13" s="19">
        <f t="shared" si="4"/>
        <v>1599.0454262347357</v>
      </c>
      <c r="P13" s="18">
        <f t="shared" si="5"/>
        <v>3.3313446379890328</v>
      </c>
    </row>
    <row r="14" spans="1:18" ht="13.5" thickBot="1" x14ac:dyDescent="0.25">
      <c r="C14" s="29">
        <v>8</v>
      </c>
      <c r="D14" s="29">
        <v>4</v>
      </c>
      <c r="E14" s="21">
        <v>919.4</v>
      </c>
      <c r="F14" s="21">
        <v>777.8</v>
      </c>
      <c r="G14" s="21"/>
      <c r="H14" s="21">
        <f t="shared" si="0"/>
        <v>1697.1999999999998</v>
      </c>
      <c r="I14" s="21"/>
      <c r="K14" s="8">
        <f t="shared" si="1"/>
        <v>424.29999999999995</v>
      </c>
      <c r="L14" s="19">
        <f t="shared" si="2"/>
        <v>4176.1811023622049</v>
      </c>
      <c r="M14" s="20">
        <f t="shared" si="3"/>
        <v>3725.9054310230676</v>
      </c>
      <c r="N14" s="19">
        <f t="shared" si="4"/>
        <v>1549.4471780802057</v>
      </c>
      <c r="O14" s="19">
        <f t="shared" si="4"/>
        <v>1382.3858483117328</v>
      </c>
      <c r="P14" s="18">
        <f t="shared" si="5"/>
        <v>2.8799705173161101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161.5</v>
      </c>
      <c r="I16" s="21"/>
      <c r="K16" s="8">
        <f>H16/SUM($D$9:$D$14)</f>
        <v>6.729166666666667</v>
      </c>
      <c r="L16" s="19">
        <f>K16/1.016*10</f>
        <v>66.231955380577432</v>
      </c>
      <c r="M16" s="20">
        <f>L16/1.12085</f>
        <v>59.09082872871253</v>
      </c>
      <c r="N16" s="19">
        <f>L16*$O$4</f>
        <v>24.57338746758909</v>
      </c>
      <c r="O16" s="19">
        <f>M16*$O$4</f>
        <v>21.923885861256274</v>
      </c>
      <c r="P16" s="18">
        <f>O16/480</f>
        <v>4.567476221095057E-2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11279.400000000001</v>
      </c>
      <c r="I18" s="13"/>
      <c r="J18" s="12"/>
      <c r="K18" s="16">
        <f t="shared" ref="K18:P18" si="6">AVERAGE(K9:K14)+K16/6</f>
        <v>464.36736111111117</v>
      </c>
      <c r="L18" s="16">
        <f t="shared" si="6"/>
        <v>4570.5448928258966</v>
      </c>
      <c r="M18" s="17">
        <f t="shared" si="6"/>
        <v>4077.748934135609</v>
      </c>
      <c r="N18" s="16">
        <f t="shared" si="6"/>
        <v>1695.7640755742705</v>
      </c>
      <c r="O18" s="16">
        <f t="shared" si="6"/>
        <v>1512.9268640534151</v>
      </c>
      <c r="P18" s="15">
        <f t="shared" si="6"/>
        <v>3.1519309667779485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42.365146183049042</v>
      </c>
      <c r="I19" s="13"/>
      <c r="J19" s="12"/>
      <c r="K19" s="10">
        <f t="shared" ref="K19:P19" si="7">STDEV(K9:K14)/SQRT(COUNT(K9:K14))</f>
        <v>10.59128654576226</v>
      </c>
      <c r="L19" s="10">
        <f t="shared" si="7"/>
        <v>104.2449463165575</v>
      </c>
      <c r="M19" s="11">
        <f t="shared" si="7"/>
        <v>93.005260575953542</v>
      </c>
      <c r="N19" s="10">
        <f t="shared" si="7"/>
        <v>38.676971601626562</v>
      </c>
      <c r="O19" s="10">
        <f t="shared" si="7"/>
        <v>34.506822145359841</v>
      </c>
      <c r="P19" s="9">
        <f t="shared" si="7"/>
        <v>7.1889212802833002E-2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6295-090F-44E0-9E54-E265766E5E8A}">
  <sheetPr codeName="Sheet26">
    <pageSetUpPr fitToPage="1"/>
  </sheetPr>
  <dimension ref="A1:R26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305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37905</v>
      </c>
      <c r="K3" s="39" t="s">
        <v>140</v>
      </c>
      <c r="L3" s="40">
        <v>3302.7</v>
      </c>
      <c r="N3" s="39" t="s">
        <v>139</v>
      </c>
      <c r="O3" s="38">
        <f>(L3-(L4+L5))/L3</f>
        <v>3.3518030702152729E-2</v>
      </c>
    </row>
    <row r="4" spans="1:18" ht="17.25" thickTop="1" thickBot="1" x14ac:dyDescent="0.25">
      <c r="B4" s="42" t="s">
        <v>138</v>
      </c>
      <c r="C4" s="53">
        <v>37924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1159.9000000000001</v>
      </c>
      <c r="N4" s="39" t="s">
        <v>134</v>
      </c>
      <c r="O4" s="38">
        <f>L4/L3</f>
        <v>0.35119750507160813</v>
      </c>
    </row>
    <row r="5" spans="1:18" ht="17.25" thickTop="1" thickBot="1" x14ac:dyDescent="0.25">
      <c r="B5" s="42" t="s">
        <v>133</v>
      </c>
      <c r="C5" s="51">
        <v>0.3888888888888889</v>
      </c>
      <c r="F5" s="37"/>
      <c r="G5" s="37"/>
      <c r="K5" s="39" t="s">
        <v>132</v>
      </c>
      <c r="L5" s="40">
        <v>2032.1</v>
      </c>
      <c r="N5" s="39" t="s">
        <v>131</v>
      </c>
      <c r="O5" s="38">
        <f>L5/L3</f>
        <v>0.61528446422623917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818</v>
      </c>
      <c r="F9" s="21">
        <v>533.29999999999995</v>
      </c>
      <c r="G9" s="21"/>
      <c r="H9" s="21">
        <f t="shared" ref="H9:H14" si="0">SUM(E9:G9)</f>
        <v>1351.3</v>
      </c>
      <c r="I9" s="21"/>
      <c r="K9" s="8">
        <f t="shared" ref="K9:K14" si="1">H9/D9</f>
        <v>337.82499999999999</v>
      </c>
      <c r="L9" s="19">
        <f t="shared" ref="L9:L14" si="2">K9/1.016*10</f>
        <v>3325.0492125984247</v>
      </c>
      <c r="M9" s="20">
        <f t="shared" ref="M9:M14" si="3">L9/1.12085</f>
        <v>2966.5425459235626</v>
      </c>
      <c r="N9" s="19">
        <f t="shared" ref="N9:O14" si="4">L9*$O$4</f>
        <v>1167.7489877048818</v>
      </c>
      <c r="O9" s="19">
        <f t="shared" si="4"/>
        <v>1041.8423408171316</v>
      </c>
      <c r="P9" s="18">
        <f t="shared" ref="P9:P14" si="5">O9/480</f>
        <v>2.1705048767023576</v>
      </c>
    </row>
    <row r="10" spans="1:18" ht="13.5" thickBot="1" x14ac:dyDescent="0.25">
      <c r="C10" s="29">
        <v>4</v>
      </c>
      <c r="D10" s="29">
        <v>4</v>
      </c>
      <c r="E10" s="21">
        <v>1429.7</v>
      </c>
      <c r="F10" s="21"/>
      <c r="G10" s="21"/>
      <c r="H10" s="21">
        <f t="shared" si="0"/>
        <v>1429.7</v>
      </c>
      <c r="I10" s="21"/>
      <c r="K10" s="8">
        <f t="shared" si="1"/>
        <v>357.42500000000001</v>
      </c>
      <c r="L10" s="19">
        <f t="shared" si="2"/>
        <v>3517.962598425197</v>
      </c>
      <c r="M10" s="20">
        <f t="shared" si="3"/>
        <v>3138.6560185798253</v>
      </c>
      <c r="N10" s="19">
        <f t="shared" si="4"/>
        <v>1235.4996875021609</v>
      </c>
      <c r="O10" s="19">
        <f t="shared" si="4"/>
        <v>1102.2881630032216</v>
      </c>
      <c r="P10" s="18">
        <f t="shared" si="5"/>
        <v>2.2964336729233783</v>
      </c>
    </row>
    <row r="11" spans="1:18" ht="13.5" thickBot="1" x14ac:dyDescent="0.25">
      <c r="C11" s="29">
        <v>5</v>
      </c>
      <c r="D11" s="29">
        <v>4</v>
      </c>
      <c r="E11" s="21">
        <v>991.2</v>
      </c>
      <c r="F11" s="21">
        <v>641.70000000000005</v>
      </c>
      <c r="G11" s="21"/>
      <c r="H11" s="21">
        <f t="shared" si="0"/>
        <v>1632.9</v>
      </c>
      <c r="I11" s="21"/>
      <c r="K11" s="8">
        <f t="shared" si="1"/>
        <v>408.22500000000002</v>
      </c>
      <c r="L11" s="19">
        <f t="shared" si="2"/>
        <v>4017.962598425197</v>
      </c>
      <c r="M11" s="20">
        <f t="shared" si="3"/>
        <v>3584.7460395460566</v>
      </c>
      <c r="N11" s="19">
        <f t="shared" si="4"/>
        <v>1411.098440037965</v>
      </c>
      <c r="O11" s="19">
        <f t="shared" si="4"/>
        <v>1258.9538654039034</v>
      </c>
      <c r="P11" s="18">
        <f t="shared" si="5"/>
        <v>2.6228205529247988</v>
      </c>
    </row>
    <row r="12" spans="1:18" ht="13.5" thickBot="1" x14ac:dyDescent="0.25">
      <c r="C12" s="29">
        <v>6</v>
      </c>
      <c r="D12" s="29">
        <v>4</v>
      </c>
      <c r="E12" s="21">
        <v>670.4</v>
      </c>
      <c r="F12" s="21">
        <v>1058.4000000000001</v>
      </c>
      <c r="G12" s="21"/>
      <c r="H12" s="21">
        <f t="shared" si="0"/>
        <v>1728.8000000000002</v>
      </c>
      <c r="I12" s="21"/>
      <c r="K12" s="8">
        <f t="shared" si="1"/>
        <v>432.20000000000005</v>
      </c>
      <c r="L12" s="19">
        <f t="shared" si="2"/>
        <v>4253.9370078740158</v>
      </c>
      <c r="M12" s="20">
        <f t="shared" si="3"/>
        <v>3795.2776980630915</v>
      </c>
      <c r="N12" s="19">
        <f t="shared" si="4"/>
        <v>1493.9720638971362</v>
      </c>
      <c r="O12" s="19">
        <f t="shared" si="4"/>
        <v>1332.8920586136737</v>
      </c>
      <c r="P12" s="18">
        <f t="shared" si="5"/>
        <v>2.7768584554451534</v>
      </c>
    </row>
    <row r="13" spans="1:18" ht="13.5" thickBot="1" x14ac:dyDescent="0.25">
      <c r="C13" s="29">
        <v>7</v>
      </c>
      <c r="D13" s="29">
        <v>4</v>
      </c>
      <c r="E13" s="21">
        <v>628.79999999999995</v>
      </c>
      <c r="F13" s="21">
        <v>816.7</v>
      </c>
      <c r="G13" s="21"/>
      <c r="H13" s="21">
        <f t="shared" si="0"/>
        <v>1445.5</v>
      </c>
      <c r="I13" s="21"/>
      <c r="K13" s="8">
        <f t="shared" si="1"/>
        <v>361.375</v>
      </c>
      <c r="L13" s="19">
        <f t="shared" si="2"/>
        <v>3556.8405511811025</v>
      </c>
      <c r="M13" s="20">
        <f t="shared" si="3"/>
        <v>3173.3421520998372</v>
      </c>
      <c r="N13" s="19">
        <f t="shared" si="4"/>
        <v>1249.1535275123267</v>
      </c>
      <c r="O13" s="19">
        <f t="shared" si="4"/>
        <v>1114.4698465560305</v>
      </c>
      <c r="P13" s="18">
        <f t="shared" si="5"/>
        <v>2.3218121803250633</v>
      </c>
    </row>
    <row r="14" spans="1:18" ht="13.5" thickBot="1" x14ac:dyDescent="0.25">
      <c r="C14" s="29">
        <v>8</v>
      </c>
      <c r="D14" s="29">
        <v>4</v>
      </c>
      <c r="E14" s="21">
        <v>677.4</v>
      </c>
      <c r="F14" s="21">
        <v>849.1</v>
      </c>
      <c r="G14" s="21"/>
      <c r="H14" s="21">
        <f t="shared" si="0"/>
        <v>1526.5</v>
      </c>
      <c r="I14" s="21"/>
      <c r="K14" s="8">
        <f t="shared" si="1"/>
        <v>381.625</v>
      </c>
      <c r="L14" s="19">
        <f t="shared" si="2"/>
        <v>3756.1515748031497</v>
      </c>
      <c r="M14" s="20">
        <f t="shared" si="3"/>
        <v>3351.1634695125576</v>
      </c>
      <c r="N14" s="19">
        <f t="shared" si="4"/>
        <v>1319.1510617416579</v>
      </c>
      <c r="O14" s="19">
        <f t="shared" si="4"/>
        <v>1176.9202495799243</v>
      </c>
      <c r="P14" s="18">
        <f t="shared" si="5"/>
        <v>2.4519171866248421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76.599999999999994</v>
      </c>
      <c r="I16" s="21"/>
      <c r="K16" s="8">
        <f>H16/SUM($D$9:$D$14)</f>
        <v>3.1916666666666664</v>
      </c>
      <c r="L16" s="19">
        <f>K16/1.016*10</f>
        <v>31.414041994750654</v>
      </c>
      <c r="M16" s="20">
        <f>L16/1.12085</f>
        <v>28.026981304144762</v>
      </c>
      <c r="N16" s="19">
        <f>L16*$O$4</f>
        <v>11.032533172771153</v>
      </c>
      <c r="O16" s="19">
        <f>M16*$O$4</f>
        <v>9.8430059087042459</v>
      </c>
      <c r="P16" s="18">
        <f>O16/480</f>
        <v>2.0506262309800512E-2</v>
      </c>
    </row>
    <row r="17" spans="2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2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9191.3000000000011</v>
      </c>
      <c r="I18" s="13"/>
      <c r="J18" s="12"/>
      <c r="K18" s="16">
        <f t="shared" ref="K18:P18" si="6">AVERAGE(K9:K14)+K16/6</f>
        <v>380.31111111111113</v>
      </c>
      <c r="L18" s="16">
        <f t="shared" si="6"/>
        <v>3743.2195975503059</v>
      </c>
      <c r="M18" s="17">
        <f t="shared" si="6"/>
        <v>3339.6258175048461</v>
      </c>
      <c r="N18" s="16">
        <f t="shared" si="6"/>
        <v>1314.6093835948166</v>
      </c>
      <c r="O18" s="16">
        <f t="shared" si="6"/>
        <v>1172.8682549804314</v>
      </c>
      <c r="P18" s="15">
        <f t="shared" si="6"/>
        <v>2.443475531209232</v>
      </c>
    </row>
    <row r="19" spans="2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57.313595924333541</v>
      </c>
      <c r="I19" s="13"/>
      <c r="J19" s="12"/>
      <c r="K19" s="10">
        <f t="shared" ref="K19:P19" si="7">STDEV(K9:K14)/SQRT(COUNT(K9:K14))</f>
        <v>14.328398981083385</v>
      </c>
      <c r="L19" s="10">
        <f t="shared" si="7"/>
        <v>141.02754902641124</v>
      </c>
      <c r="M19" s="11">
        <f t="shared" si="7"/>
        <v>125.82196460401595</v>
      </c>
      <c r="N19" s="10">
        <f t="shared" si="7"/>
        <v>49.52852336443955</v>
      </c>
      <c r="O19" s="10">
        <f t="shared" si="7"/>
        <v>44.188360052138584</v>
      </c>
      <c r="P19" s="9">
        <f t="shared" si="7"/>
        <v>9.2059083441955347E-2</v>
      </c>
    </row>
    <row r="21" spans="2:16" x14ac:dyDescent="0.2">
      <c r="C21" s="8" t="s">
        <v>146</v>
      </c>
    </row>
    <row r="22" spans="2:16" x14ac:dyDescent="0.2">
      <c r="C22" s="8" t="s">
        <v>112</v>
      </c>
    </row>
    <row r="23" spans="2:16" x14ac:dyDescent="0.2">
      <c r="B23" s="57" t="s">
        <v>152</v>
      </c>
    </row>
    <row r="26" spans="2:16" x14ac:dyDescent="0.2">
      <c r="K26" s="8" t="s">
        <v>151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1721-B9B2-4F01-9B3A-B9C9166DF851}">
  <sheetPr codeName="Sheet27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306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3573.2</v>
      </c>
      <c r="N3" s="39" t="s">
        <v>139</v>
      </c>
      <c r="O3" s="38">
        <f>(L3-(L4+L5))/L3</f>
        <v>3.2575842382178338E-2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1346.4</v>
      </c>
      <c r="N4" s="39" t="s">
        <v>134</v>
      </c>
      <c r="O4" s="38">
        <f>L4/L3</f>
        <v>0.3768051046680847</v>
      </c>
    </row>
    <row r="5" spans="1:18" ht="17.25" thickTop="1" thickBot="1" x14ac:dyDescent="0.25">
      <c r="B5" s="42" t="s">
        <v>133</v>
      </c>
      <c r="C5" s="51">
        <v>0.40138888888888885</v>
      </c>
      <c r="F5" s="37"/>
      <c r="G5" s="37"/>
      <c r="K5" s="39" t="s">
        <v>132</v>
      </c>
      <c r="L5" s="40">
        <v>2110.4</v>
      </c>
      <c r="N5" s="39" t="s">
        <v>131</v>
      </c>
      <c r="O5" s="38">
        <f>L5/L3</f>
        <v>0.59061905294973693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1042.5</v>
      </c>
      <c r="F9" s="21">
        <v>891.3</v>
      </c>
      <c r="G9" s="21"/>
      <c r="H9" s="21">
        <f t="shared" ref="H9:H14" si="0">SUM(E9:G9)</f>
        <v>1933.8</v>
      </c>
      <c r="I9" s="21"/>
      <c r="K9" s="8">
        <f t="shared" ref="K9:K14" si="1">H9/D9</f>
        <v>483.45</v>
      </c>
      <c r="L9" s="19">
        <f t="shared" ref="L9:L14" si="2">K9/1.016*10</f>
        <v>4758.3661417322837</v>
      </c>
      <c r="M9" s="20">
        <f t="shared" ref="M9:M14" si="3">L9/1.12085</f>
        <v>4245.3193038607169</v>
      </c>
      <c r="N9" s="19">
        <f t="shared" ref="N9:O14" si="4">L9*$O$4</f>
        <v>1792.9766520845035</v>
      </c>
      <c r="O9" s="19">
        <f t="shared" si="4"/>
        <v>1599.6579846406778</v>
      </c>
      <c r="P9" s="18">
        <f t="shared" ref="P9:P14" si="5">O9/480</f>
        <v>3.3326208013347456</v>
      </c>
    </row>
    <row r="10" spans="1:18" ht="13.5" thickBot="1" x14ac:dyDescent="0.25">
      <c r="C10" s="29">
        <v>4</v>
      </c>
      <c r="D10" s="29">
        <v>4</v>
      </c>
      <c r="E10" s="21">
        <v>1631.9</v>
      </c>
      <c r="F10" s="21"/>
      <c r="G10" s="21"/>
      <c r="H10" s="21">
        <f t="shared" si="0"/>
        <v>1631.9</v>
      </c>
      <c r="I10" s="21"/>
      <c r="K10" s="8">
        <f t="shared" si="1"/>
        <v>407.97500000000002</v>
      </c>
      <c r="L10" s="19">
        <f t="shared" si="2"/>
        <v>4015.501968503937</v>
      </c>
      <c r="M10" s="20">
        <f t="shared" si="3"/>
        <v>3582.5507146397263</v>
      </c>
      <c r="N10" s="19">
        <f t="shared" si="4"/>
        <v>1513.0616395370262</v>
      </c>
      <c r="O10" s="19">
        <f t="shared" si="4"/>
        <v>1349.9233970085436</v>
      </c>
      <c r="P10" s="18">
        <f t="shared" si="5"/>
        <v>2.8123404104344658</v>
      </c>
    </row>
    <row r="11" spans="1:18" ht="13.5" thickBot="1" x14ac:dyDescent="0.25">
      <c r="C11" s="29">
        <v>5</v>
      </c>
      <c r="D11" s="29">
        <v>4</v>
      </c>
      <c r="E11" s="21">
        <v>1038.0999999999999</v>
      </c>
      <c r="F11" s="21">
        <v>767.5</v>
      </c>
      <c r="G11" s="21"/>
      <c r="H11" s="21">
        <f t="shared" si="0"/>
        <v>1805.6</v>
      </c>
      <c r="I11" s="21"/>
      <c r="K11" s="8">
        <f t="shared" si="1"/>
        <v>451.4</v>
      </c>
      <c r="L11" s="19">
        <f t="shared" si="2"/>
        <v>4442.9133858267714</v>
      </c>
      <c r="M11" s="20">
        <f t="shared" si="3"/>
        <v>3963.878650869226</v>
      </c>
      <c r="N11" s="19">
        <f t="shared" si="4"/>
        <v>1674.1124433776913</v>
      </c>
      <c r="O11" s="19">
        <f t="shared" si="4"/>
        <v>1493.6097099323651</v>
      </c>
      <c r="P11" s="18">
        <f t="shared" si="5"/>
        <v>3.1116868956924275</v>
      </c>
    </row>
    <row r="12" spans="1:18" ht="13.5" thickBot="1" x14ac:dyDescent="0.25">
      <c r="C12" s="29">
        <v>6</v>
      </c>
      <c r="D12" s="29">
        <v>4</v>
      </c>
      <c r="E12" s="21">
        <v>819.3</v>
      </c>
      <c r="F12" s="21">
        <v>1102.4000000000001</v>
      </c>
      <c r="G12" s="21"/>
      <c r="H12" s="21">
        <f t="shared" si="0"/>
        <v>1921.7</v>
      </c>
      <c r="I12" s="21"/>
      <c r="K12" s="8">
        <f t="shared" si="1"/>
        <v>480.42500000000001</v>
      </c>
      <c r="L12" s="19">
        <f t="shared" si="2"/>
        <v>4728.5925196850394</v>
      </c>
      <c r="M12" s="20">
        <f t="shared" si="3"/>
        <v>4218.7558724941246</v>
      </c>
      <c r="N12" s="19">
        <f t="shared" si="4"/>
        <v>1781.7577993126436</v>
      </c>
      <c r="O12" s="19">
        <f t="shared" si="4"/>
        <v>1589.6487481042457</v>
      </c>
      <c r="P12" s="18">
        <f t="shared" si="5"/>
        <v>3.3117682252171785</v>
      </c>
    </row>
    <row r="13" spans="1:18" ht="13.5" thickBot="1" x14ac:dyDescent="0.25">
      <c r="C13" s="29">
        <v>7</v>
      </c>
      <c r="D13" s="29">
        <v>4</v>
      </c>
      <c r="E13" s="21">
        <v>705</v>
      </c>
      <c r="F13" s="21">
        <v>1112.5</v>
      </c>
      <c r="G13" s="21"/>
      <c r="H13" s="21">
        <f t="shared" si="0"/>
        <v>1817.5</v>
      </c>
      <c r="I13" s="21"/>
      <c r="K13" s="8">
        <f t="shared" si="1"/>
        <v>454.375</v>
      </c>
      <c r="L13" s="19">
        <f t="shared" si="2"/>
        <v>4472.1948818897636</v>
      </c>
      <c r="M13" s="20">
        <f t="shared" si="3"/>
        <v>3990.0030172545512</v>
      </c>
      <c r="N13" s="19">
        <f t="shared" si="4"/>
        <v>1685.145860566545</v>
      </c>
      <c r="O13" s="19">
        <f t="shared" si="4"/>
        <v>1503.4535045425748</v>
      </c>
      <c r="P13" s="18">
        <f t="shared" si="5"/>
        <v>3.1321948011303644</v>
      </c>
    </row>
    <row r="14" spans="1:18" ht="13.5" thickBot="1" x14ac:dyDescent="0.25">
      <c r="C14" s="29">
        <v>8</v>
      </c>
      <c r="D14" s="29">
        <v>4</v>
      </c>
      <c r="E14" s="21">
        <v>1168.7</v>
      </c>
      <c r="F14" s="21">
        <v>640.4</v>
      </c>
      <c r="G14" s="21"/>
      <c r="H14" s="21">
        <f t="shared" si="0"/>
        <v>1809.1</v>
      </c>
      <c r="I14" s="21"/>
      <c r="K14" s="8">
        <f t="shared" si="1"/>
        <v>452.27499999999998</v>
      </c>
      <c r="L14" s="19">
        <f t="shared" si="2"/>
        <v>4451.5255905511813</v>
      </c>
      <c r="M14" s="20">
        <f t="shared" si="3"/>
        <v>3971.5622880413807</v>
      </c>
      <c r="N14" s="19">
        <f t="shared" si="4"/>
        <v>1677.3575660802953</v>
      </c>
      <c r="O14" s="19">
        <f t="shared" si="4"/>
        <v>1496.5049436412505</v>
      </c>
      <c r="P14" s="18">
        <f t="shared" si="5"/>
        <v>3.1177186325859387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41.9</v>
      </c>
      <c r="I16" s="21"/>
      <c r="K16" s="8">
        <f>H16/SUM($D$9:$D$14)</f>
        <v>1.7458333333333333</v>
      </c>
      <c r="L16" s="19">
        <f>K16/1.016*10</f>
        <v>17.183398950131235</v>
      </c>
      <c r="M16" s="20">
        <f>L16/1.12085</f>
        <v>15.330685595870309</v>
      </c>
      <c r="N16" s="19">
        <f>L16*$O$4</f>
        <v>6.4747924399576569</v>
      </c>
      <c r="O16" s="19">
        <f>M16*$O$4</f>
        <v>5.7766805905854097</v>
      </c>
      <c r="P16" s="18">
        <f>O16/480</f>
        <v>1.2034751230386271E-2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10961.5</v>
      </c>
      <c r="I18" s="13"/>
      <c r="J18" s="12"/>
      <c r="K18" s="16">
        <f t="shared" ref="K18:P18" si="6">AVERAGE(K9:K14)+K16/6</f>
        <v>455.27430555555554</v>
      </c>
      <c r="L18" s="16">
        <f t="shared" si="6"/>
        <v>4481.0463145231843</v>
      </c>
      <c r="M18" s="17">
        <f t="shared" si="6"/>
        <v>3997.900088792599</v>
      </c>
      <c r="N18" s="16">
        <f t="shared" si="6"/>
        <v>1688.4811255664436</v>
      </c>
      <c r="O18" s="16">
        <f t="shared" si="6"/>
        <v>1506.4291614100403</v>
      </c>
      <c r="P18" s="15">
        <f t="shared" si="6"/>
        <v>3.1383940862709174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44.349871601968708</v>
      </c>
      <c r="I19" s="13"/>
      <c r="J19" s="12"/>
      <c r="K19" s="10">
        <f t="shared" ref="K19:P19" si="7">STDEV(K9:K14)/SQRT(COUNT(K9:K14))</f>
        <v>11.087467900492177</v>
      </c>
      <c r="L19" s="10">
        <f t="shared" si="7"/>
        <v>109.12862106783645</v>
      </c>
      <c r="M19" s="11">
        <f t="shared" si="7"/>
        <v>97.362377720334109</v>
      </c>
      <c r="N19" s="10">
        <f t="shared" si="7"/>
        <v>41.120221483749845</v>
      </c>
      <c r="O19" s="10">
        <f t="shared" si="7"/>
        <v>36.686640927644106</v>
      </c>
      <c r="P19" s="9">
        <f t="shared" si="7"/>
        <v>7.6430501932591891E-2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2E82-761C-4256-BFD5-335F2E7C7064}">
  <sheetPr codeName="Sheet28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307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3213</v>
      </c>
      <c r="N3" s="39" t="s">
        <v>139</v>
      </c>
      <c r="O3" s="38">
        <f>(L3-(L4+L5))/L3</f>
        <v>3.3551198257080667E-2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1141.7</v>
      </c>
      <c r="N4" s="39" t="s">
        <v>134</v>
      </c>
      <c r="O4" s="38">
        <f>L4/L3</f>
        <v>0.35533769063180831</v>
      </c>
    </row>
    <row r="5" spans="1:18" ht="17.25" thickTop="1" thickBot="1" x14ac:dyDescent="0.25">
      <c r="B5" s="42" t="s">
        <v>133</v>
      </c>
      <c r="C5" s="51">
        <v>0.3833333333333333</v>
      </c>
      <c r="F5" s="37"/>
      <c r="G5" s="37"/>
      <c r="K5" s="39" t="s">
        <v>132</v>
      </c>
      <c r="L5" s="40">
        <v>1963.5</v>
      </c>
      <c r="N5" s="39" t="s">
        <v>131</v>
      </c>
      <c r="O5" s="38">
        <f>L5/L3</f>
        <v>0.61111111111111116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753.1</v>
      </c>
      <c r="F9" s="21">
        <v>1008.6</v>
      </c>
      <c r="G9" s="21"/>
      <c r="H9" s="21">
        <f t="shared" ref="H9:H14" si="0">SUM(E9:G9)</f>
        <v>1761.7</v>
      </c>
      <c r="I9" s="21"/>
      <c r="K9" s="8">
        <f t="shared" ref="K9:K14" si="1">H9/D9</f>
        <v>440.42500000000001</v>
      </c>
      <c r="L9" s="19">
        <f t="shared" ref="L9:L14" si="2">K9/1.016*10</f>
        <v>4334.891732283465</v>
      </c>
      <c r="M9" s="20">
        <f t="shared" ref="M9:M14" si="3">L9/1.12085</f>
        <v>3867.5038874813449</v>
      </c>
      <c r="N9" s="19">
        <f t="shared" ref="N9:O14" si="4">L9*$O$4</f>
        <v>1540.3504172885255</v>
      </c>
      <c r="O9" s="19">
        <f t="shared" si="4"/>
        <v>1374.2698998871622</v>
      </c>
      <c r="P9" s="18">
        <f t="shared" ref="P9:P14" si="5">O9/480</f>
        <v>2.863062291431588</v>
      </c>
    </row>
    <row r="10" spans="1:18" ht="13.5" thickBot="1" x14ac:dyDescent="0.25">
      <c r="C10" s="29">
        <v>4</v>
      </c>
      <c r="D10" s="29">
        <v>4</v>
      </c>
      <c r="E10" s="21">
        <v>724.1</v>
      </c>
      <c r="F10" s="21">
        <v>845.3</v>
      </c>
      <c r="G10" s="21"/>
      <c r="H10" s="21">
        <f t="shared" si="0"/>
        <v>1569.4</v>
      </c>
      <c r="I10" s="21"/>
      <c r="K10" s="8">
        <f t="shared" si="1"/>
        <v>392.35</v>
      </c>
      <c r="L10" s="19">
        <f t="shared" si="2"/>
        <v>3861.712598425197</v>
      </c>
      <c r="M10" s="20">
        <f t="shared" si="3"/>
        <v>3445.3429079941093</v>
      </c>
      <c r="N10" s="19">
        <f t="shared" si="4"/>
        <v>1372.2120366081692</v>
      </c>
      <c r="O10" s="19">
        <f t="shared" si="4"/>
        <v>1224.2601923613056</v>
      </c>
      <c r="P10" s="18">
        <f t="shared" si="5"/>
        <v>2.5505420674193866</v>
      </c>
    </row>
    <row r="11" spans="1:18" ht="13.5" thickBot="1" x14ac:dyDescent="0.25">
      <c r="C11" s="29">
        <v>5</v>
      </c>
      <c r="D11" s="29">
        <v>4</v>
      </c>
      <c r="E11" s="21">
        <v>1638</v>
      </c>
      <c r="F11" s="21"/>
      <c r="G11" s="21"/>
      <c r="H11" s="21">
        <f t="shared" si="0"/>
        <v>1638</v>
      </c>
      <c r="I11" s="21"/>
      <c r="K11" s="8">
        <f t="shared" si="1"/>
        <v>409.5</v>
      </c>
      <c r="L11" s="19">
        <f t="shared" si="2"/>
        <v>4030.5118110236217</v>
      </c>
      <c r="M11" s="20">
        <f t="shared" si="3"/>
        <v>3595.9421965683382</v>
      </c>
      <c r="N11" s="19">
        <f t="shared" si="4"/>
        <v>1432.1927589933612</v>
      </c>
      <c r="O11" s="19">
        <f t="shared" si="4"/>
        <v>1277.7737957740653</v>
      </c>
      <c r="P11" s="18">
        <f t="shared" si="5"/>
        <v>2.6620287411959693</v>
      </c>
    </row>
    <row r="12" spans="1:18" ht="13.5" thickBot="1" x14ac:dyDescent="0.25">
      <c r="C12" s="29">
        <v>6</v>
      </c>
      <c r="D12" s="29">
        <v>4</v>
      </c>
      <c r="E12" s="21">
        <v>836.7</v>
      </c>
      <c r="F12" s="21">
        <v>671.7</v>
      </c>
      <c r="G12" s="21"/>
      <c r="H12" s="21">
        <f t="shared" si="0"/>
        <v>1508.4</v>
      </c>
      <c r="I12" s="21"/>
      <c r="K12" s="8">
        <f t="shared" si="1"/>
        <v>377.1</v>
      </c>
      <c r="L12" s="19">
        <f t="shared" si="2"/>
        <v>3711.6141732283468</v>
      </c>
      <c r="M12" s="20">
        <f t="shared" si="3"/>
        <v>3311.4280887079867</v>
      </c>
      <c r="N12" s="19">
        <f t="shared" si="4"/>
        <v>1318.8764088312494</v>
      </c>
      <c r="O12" s="19">
        <f t="shared" si="4"/>
        <v>1176.675209734799</v>
      </c>
      <c r="P12" s="18">
        <f t="shared" si="5"/>
        <v>2.451406686947498</v>
      </c>
    </row>
    <row r="13" spans="1:18" ht="13.5" thickBot="1" x14ac:dyDescent="0.25">
      <c r="C13" s="29">
        <v>7</v>
      </c>
      <c r="D13" s="29">
        <v>4</v>
      </c>
      <c r="E13" s="21">
        <v>765.6</v>
      </c>
      <c r="F13" s="21">
        <v>665</v>
      </c>
      <c r="G13" s="21"/>
      <c r="H13" s="21">
        <f t="shared" si="0"/>
        <v>1430.6</v>
      </c>
      <c r="I13" s="21" t="s">
        <v>147</v>
      </c>
      <c r="K13" s="8">
        <f t="shared" si="1"/>
        <v>357.65</v>
      </c>
      <c r="L13" s="19">
        <f t="shared" si="2"/>
        <v>3520.1771653543306</v>
      </c>
      <c r="M13" s="20">
        <f t="shared" si="3"/>
        <v>3140.6318109955218</v>
      </c>
      <c r="N13" s="19">
        <f t="shared" si="4"/>
        <v>1250.8516245518331</v>
      </c>
      <c r="O13" s="19">
        <f t="shared" si="4"/>
        <v>1115.9848548439427</v>
      </c>
      <c r="P13" s="18">
        <f t="shared" si="5"/>
        <v>2.3249684475915471</v>
      </c>
    </row>
    <row r="14" spans="1:18" ht="13.5" thickBot="1" x14ac:dyDescent="0.25">
      <c r="C14" s="29">
        <v>8</v>
      </c>
      <c r="D14" s="29">
        <v>4</v>
      </c>
      <c r="E14" s="21">
        <v>561.1</v>
      </c>
      <c r="F14" s="21">
        <v>677.7</v>
      </c>
      <c r="G14" s="21"/>
      <c r="H14" s="21">
        <f t="shared" si="0"/>
        <v>1238.8000000000002</v>
      </c>
      <c r="I14" s="21"/>
      <c r="K14" s="8">
        <f t="shared" si="1"/>
        <v>309.70000000000005</v>
      </c>
      <c r="L14" s="19">
        <f t="shared" si="2"/>
        <v>3048.2283464566935</v>
      </c>
      <c r="M14" s="20">
        <f t="shared" si="3"/>
        <v>2719.5684939614521</v>
      </c>
      <c r="N14" s="19">
        <f t="shared" si="4"/>
        <v>1083.1504211483373</v>
      </c>
      <c r="O14" s="19">
        <f t="shared" si="4"/>
        <v>966.3651881592873</v>
      </c>
      <c r="P14" s="18">
        <f t="shared" si="5"/>
        <v>2.0132608086651818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71</v>
      </c>
      <c r="I16" s="21"/>
      <c r="K16" s="8">
        <f>H16/SUM($D$9:$D$14)</f>
        <v>2.9583333333333335</v>
      </c>
      <c r="L16" s="19">
        <f>K16/1.016*10</f>
        <v>29.117454068241472</v>
      </c>
      <c r="M16" s="20">
        <f>L16/1.12085</f>
        <v>25.978011391570213</v>
      </c>
      <c r="N16" s="19">
        <f>L16*$O$4</f>
        <v>10.346528885686677</v>
      </c>
      <c r="O16" s="19">
        <f>M16*$O$4</f>
        <v>9.2309665750873684</v>
      </c>
      <c r="P16" s="18">
        <f>O16/480</f>
        <v>1.923118036476535E-2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9217.9000000000015</v>
      </c>
      <c r="I18" s="13"/>
      <c r="J18" s="12"/>
      <c r="K18" s="16">
        <f t="shared" ref="K18:P18" si="6">AVERAGE(K9:K14)+K16/6</f>
        <v>381.61388888888894</v>
      </c>
      <c r="L18" s="16">
        <f t="shared" si="6"/>
        <v>3756.0422134733158</v>
      </c>
      <c r="M18" s="17">
        <f t="shared" si="6"/>
        <v>3351.0658995167205</v>
      </c>
      <c r="N18" s="16">
        <f t="shared" si="6"/>
        <v>1334.6633660511936</v>
      </c>
      <c r="O18" s="16">
        <f t="shared" si="6"/>
        <v>1190.7600178892746</v>
      </c>
      <c r="P18" s="15">
        <f t="shared" si="6"/>
        <v>2.4807500372693232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73.453615371272974</v>
      </c>
      <c r="I19" s="13"/>
      <c r="J19" s="12"/>
      <c r="K19" s="10">
        <f t="shared" ref="K19:P19" si="7">STDEV(K9:K14)/SQRT(COUNT(K9:K14))</f>
        <v>18.363403842818244</v>
      </c>
      <c r="L19" s="10">
        <f t="shared" si="7"/>
        <v>180.74216380726989</v>
      </c>
      <c r="M19" s="11">
        <f t="shared" si="7"/>
        <v>161.25455128453319</v>
      </c>
      <c r="N19" s="10">
        <f t="shared" si="7"/>
        <v>64.224503087070858</v>
      </c>
      <c r="O19" s="10">
        <f t="shared" si="7"/>
        <v>57.299819857315917</v>
      </c>
      <c r="P19" s="9">
        <f t="shared" si="7"/>
        <v>0.11937462470273826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D2D7-37D5-4AC3-A077-74FA0B7D556C}">
  <sheetPr codeName="Sheet29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308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37540</v>
      </c>
      <c r="K3" s="39" t="s">
        <v>140</v>
      </c>
      <c r="L3" s="40">
        <v>2775.8</v>
      </c>
      <c r="N3" s="39" t="s">
        <v>139</v>
      </c>
      <c r="O3" s="38">
        <f>(L3-(L4+L5))/L3</f>
        <v>4.5320268030838017E-2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975.8</v>
      </c>
      <c r="N4" s="39" t="s">
        <v>134</v>
      </c>
      <c r="O4" s="38">
        <f>L4/L3</f>
        <v>0.35153829526622954</v>
      </c>
    </row>
    <row r="5" spans="1:18" ht="17.25" thickTop="1" thickBot="1" x14ac:dyDescent="0.25">
      <c r="B5" s="42" t="s">
        <v>133</v>
      </c>
      <c r="C5" s="51">
        <v>0.42152777777777778</v>
      </c>
      <c r="F5" s="37"/>
      <c r="G5" s="37"/>
      <c r="K5" s="39" t="s">
        <v>132</v>
      </c>
      <c r="L5" s="40">
        <v>1674.2</v>
      </c>
      <c r="N5" s="39" t="s">
        <v>131</v>
      </c>
      <c r="O5" s="38">
        <f>L5/L3</f>
        <v>0.60314143670293241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877.9</v>
      </c>
      <c r="F9" s="21">
        <v>572.20000000000005</v>
      </c>
      <c r="G9" s="21"/>
      <c r="H9" s="21">
        <f t="shared" ref="H9:H14" si="0">SUM(E9:G9)</f>
        <v>1450.1</v>
      </c>
      <c r="I9" s="21"/>
      <c r="K9" s="8">
        <f t="shared" ref="K9:K14" si="1">H9/D9</f>
        <v>362.52499999999998</v>
      </c>
      <c r="L9" s="19">
        <f t="shared" ref="L9:L14" si="2">K9/1.016*10</f>
        <v>3568.1594488188971</v>
      </c>
      <c r="M9" s="20">
        <f t="shared" ref="M9:M14" si="3">L9/1.12085</f>
        <v>3183.4406466689543</v>
      </c>
      <c r="N9" s="19">
        <f t="shared" ref="N9:O14" si="4">L9*$O$4</f>
        <v>1254.3446898758843</v>
      </c>
      <c r="O9" s="19">
        <f t="shared" si="4"/>
        <v>1119.1012980112275</v>
      </c>
      <c r="P9" s="18">
        <f t="shared" ref="P9:P14" si="5">O9/480</f>
        <v>2.3314610375233906</v>
      </c>
    </row>
    <row r="10" spans="1:18" ht="13.5" thickBot="1" x14ac:dyDescent="0.25">
      <c r="C10" s="29">
        <v>4</v>
      </c>
      <c r="D10" s="29">
        <v>4</v>
      </c>
      <c r="E10" s="21">
        <v>584.29999999999995</v>
      </c>
      <c r="F10" s="21">
        <v>778.3</v>
      </c>
      <c r="G10" s="21"/>
      <c r="H10" s="21">
        <f t="shared" si="0"/>
        <v>1362.6</v>
      </c>
      <c r="I10" s="21"/>
      <c r="K10" s="8">
        <f t="shared" si="1"/>
        <v>340.65</v>
      </c>
      <c r="L10" s="19">
        <f t="shared" si="2"/>
        <v>3352.8543307086611</v>
      </c>
      <c r="M10" s="20">
        <f t="shared" si="3"/>
        <v>2991.3497173650903</v>
      </c>
      <c r="N10" s="19">
        <f t="shared" si="4"/>
        <v>1178.6566956933177</v>
      </c>
      <c r="O10" s="19">
        <f t="shared" si="4"/>
        <v>1051.5739801876414</v>
      </c>
      <c r="P10" s="18">
        <f t="shared" si="5"/>
        <v>2.1907791253909195</v>
      </c>
    </row>
    <row r="11" spans="1:18" ht="13.5" thickBot="1" x14ac:dyDescent="0.25">
      <c r="C11" s="29">
        <v>5</v>
      </c>
      <c r="D11" s="29">
        <v>4</v>
      </c>
      <c r="E11" s="21">
        <v>1648.3</v>
      </c>
      <c r="F11" s="21"/>
      <c r="G11" s="21"/>
      <c r="H11" s="21">
        <f t="shared" si="0"/>
        <v>1648.3</v>
      </c>
      <c r="I11" s="21"/>
      <c r="K11" s="8">
        <f t="shared" si="1"/>
        <v>412.07499999999999</v>
      </c>
      <c r="L11" s="19">
        <f t="shared" si="2"/>
        <v>4055.8562992125985</v>
      </c>
      <c r="M11" s="20">
        <f t="shared" si="3"/>
        <v>3618.5540431035365</v>
      </c>
      <c r="N11" s="19">
        <f t="shared" si="4"/>
        <v>1425.7888092699955</v>
      </c>
      <c r="O11" s="19">
        <f t="shared" si="4"/>
        <v>1272.0603196413397</v>
      </c>
      <c r="P11" s="18">
        <f t="shared" si="5"/>
        <v>2.6501256659194579</v>
      </c>
    </row>
    <row r="12" spans="1:18" ht="13.5" thickBot="1" x14ac:dyDescent="0.25">
      <c r="C12" s="29">
        <v>6</v>
      </c>
      <c r="D12" s="29">
        <v>4</v>
      </c>
      <c r="E12" s="21">
        <v>776.8</v>
      </c>
      <c r="F12" s="21">
        <v>719.9</v>
      </c>
      <c r="G12" s="21"/>
      <c r="H12" s="21">
        <f t="shared" si="0"/>
        <v>1496.6999999999998</v>
      </c>
      <c r="I12" s="21"/>
      <c r="K12" s="8">
        <f t="shared" si="1"/>
        <v>374.17499999999995</v>
      </c>
      <c r="L12" s="19">
        <f t="shared" si="2"/>
        <v>3682.8248031496059</v>
      </c>
      <c r="M12" s="20">
        <f t="shared" si="3"/>
        <v>3285.7427873039269</v>
      </c>
      <c r="N12" s="19">
        <f t="shared" si="4"/>
        <v>1294.6539530633997</v>
      </c>
      <c r="O12" s="19">
        <f t="shared" si="4"/>
        <v>1155.064418132132</v>
      </c>
      <c r="P12" s="18">
        <f t="shared" si="5"/>
        <v>2.4063842044419417</v>
      </c>
    </row>
    <row r="13" spans="1:18" ht="13.5" thickBot="1" x14ac:dyDescent="0.25">
      <c r="C13" s="29">
        <v>7</v>
      </c>
      <c r="D13" s="29">
        <v>4</v>
      </c>
      <c r="E13" s="21">
        <v>623.9</v>
      </c>
      <c r="F13" s="21">
        <v>765.4</v>
      </c>
      <c r="G13" s="21"/>
      <c r="H13" s="21">
        <f t="shared" si="0"/>
        <v>1389.3</v>
      </c>
      <c r="I13" s="21"/>
      <c r="K13" s="8">
        <f t="shared" si="1"/>
        <v>347.32499999999999</v>
      </c>
      <c r="L13" s="19">
        <f t="shared" si="2"/>
        <v>3418.5531496062995</v>
      </c>
      <c r="M13" s="20">
        <f t="shared" si="3"/>
        <v>3049.9648923640984</v>
      </c>
      <c r="N13" s="19">
        <f t="shared" si="4"/>
        <v>1201.7523464895983</v>
      </c>
      <c r="O13" s="19">
        <f t="shared" si="4"/>
        <v>1072.1794588835244</v>
      </c>
      <c r="P13" s="18">
        <f t="shared" si="5"/>
        <v>2.2337072060073426</v>
      </c>
    </row>
    <row r="14" spans="1:18" ht="13.5" thickBot="1" x14ac:dyDescent="0.25">
      <c r="C14" s="29">
        <v>8</v>
      </c>
      <c r="D14" s="29">
        <v>4</v>
      </c>
      <c r="E14" s="21">
        <v>824.9</v>
      </c>
      <c r="F14" s="21">
        <v>815</v>
      </c>
      <c r="G14" s="21"/>
      <c r="H14" s="21">
        <f t="shared" si="0"/>
        <v>1639.9</v>
      </c>
      <c r="I14" s="21" t="s">
        <v>147</v>
      </c>
      <c r="K14" s="8">
        <f t="shared" si="1"/>
        <v>409.97500000000002</v>
      </c>
      <c r="L14" s="19">
        <f t="shared" si="2"/>
        <v>4035.1870078740158</v>
      </c>
      <c r="M14" s="20">
        <f t="shared" si="3"/>
        <v>3600.1133138903656</v>
      </c>
      <c r="N14" s="19">
        <f t="shared" si="4"/>
        <v>1418.5227618284691</v>
      </c>
      <c r="O14" s="19">
        <f t="shared" si="4"/>
        <v>1265.5776971302755</v>
      </c>
      <c r="P14" s="18">
        <f t="shared" si="5"/>
        <v>2.6366202023547407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80.900000000000006</v>
      </c>
      <c r="I16" s="21"/>
      <c r="K16" s="8">
        <f>H16/SUM($D$9:$D$14)</f>
        <v>3.3708333333333336</v>
      </c>
      <c r="L16" s="19">
        <f>K16/1.016*10</f>
        <v>33.177493438320212</v>
      </c>
      <c r="M16" s="20">
        <f>L16/1.12085</f>
        <v>29.600297487014512</v>
      </c>
      <c r="N16" s="19">
        <f>L16*$O$4</f>
        <v>11.663159484513605</v>
      </c>
      <c r="O16" s="19">
        <f>M16*$O$4</f>
        <v>10.40563811795834</v>
      </c>
      <c r="P16" s="18">
        <f>O16/480</f>
        <v>2.1678412745746542E-2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9067.7999999999993</v>
      </c>
      <c r="I18" s="13"/>
      <c r="J18" s="12"/>
      <c r="K18" s="16">
        <f t="shared" ref="K18:P18" si="6">AVERAGE(K9:K14)+K16/6</f>
        <v>375.01597222222222</v>
      </c>
      <c r="L18" s="16">
        <f t="shared" si="6"/>
        <v>3691.1020888014004</v>
      </c>
      <c r="M18" s="17">
        <f t="shared" si="6"/>
        <v>3293.1276163638313</v>
      </c>
      <c r="N18" s="16">
        <f t="shared" si="6"/>
        <v>1297.563735950863</v>
      </c>
      <c r="O18" s="16">
        <f t="shared" si="6"/>
        <v>1157.6604683506832</v>
      </c>
      <c r="P18" s="15">
        <f t="shared" si="6"/>
        <v>2.4117926423972569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50.056783867035577</v>
      </c>
      <c r="I19" s="13"/>
      <c r="J19" s="12"/>
      <c r="K19" s="10">
        <f t="shared" ref="K19:P19" si="7">STDEV(K9:K14)/SQRT(COUNT(K9:K14))</f>
        <v>12.514195966758894</v>
      </c>
      <c r="L19" s="10">
        <f t="shared" si="7"/>
        <v>123.17122014526471</v>
      </c>
      <c r="M19" s="11">
        <f t="shared" si="7"/>
        <v>109.89090435407481</v>
      </c>
      <c r="N19" s="10">
        <f t="shared" si="7"/>
        <v>43.299400755727831</v>
      </c>
      <c r="O19" s="10">
        <f t="shared" si="7"/>
        <v>38.630861181895746</v>
      </c>
      <c r="P19" s="9">
        <f t="shared" si="7"/>
        <v>8.048096079561616E-2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59A4-398F-4175-B235-E6ADD3E75B66}">
  <sheetPr codeName="Sheet30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401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2669.3</v>
      </c>
      <c r="N3" s="39" t="s">
        <v>139</v>
      </c>
      <c r="O3" s="38">
        <f>(L3-(L4+L5))/L3</f>
        <v>3.9598396583374017E-2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898.9</v>
      </c>
      <c r="N4" s="39" t="s">
        <v>134</v>
      </c>
      <c r="O4" s="38">
        <f>L4/L3</f>
        <v>0.33675495448244858</v>
      </c>
    </row>
    <row r="5" spans="1:18" ht="17.25" thickTop="1" thickBot="1" x14ac:dyDescent="0.25">
      <c r="B5" s="42" t="s">
        <v>133</v>
      </c>
      <c r="C5" s="51">
        <v>0.3923611111111111</v>
      </c>
      <c r="F5" s="37"/>
      <c r="G5" s="37"/>
      <c r="K5" s="39" t="s">
        <v>132</v>
      </c>
      <c r="L5" s="40">
        <v>1664.7</v>
      </c>
      <c r="N5" s="39" t="s">
        <v>131</v>
      </c>
      <c r="O5" s="38">
        <f>L5/L3</f>
        <v>0.62364664893417743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748.4</v>
      </c>
      <c r="F9" s="21">
        <v>748</v>
      </c>
      <c r="G9" s="21"/>
      <c r="H9" s="21">
        <f t="shared" ref="H9:H14" si="0">SUM(E9:G9)</f>
        <v>1496.4</v>
      </c>
      <c r="I9" s="21"/>
      <c r="K9" s="8">
        <f t="shared" ref="K9:K14" si="1">H9/D9</f>
        <v>374.1</v>
      </c>
      <c r="L9" s="19">
        <f t="shared" ref="L9:L14" si="2">K9/1.016*10</f>
        <v>3682.0866141732286</v>
      </c>
      <c r="M9" s="20">
        <f t="shared" ref="M9:M14" si="3">L9/1.12085</f>
        <v>3285.0841898320282</v>
      </c>
      <c r="N9" s="19">
        <f t="shared" ref="N9:O14" si="4">L9*$O$4</f>
        <v>1239.9609101563387</v>
      </c>
      <c r="O9" s="19">
        <f t="shared" si="4"/>
        <v>1106.2683768178961</v>
      </c>
      <c r="P9" s="18">
        <f t="shared" ref="P9:P14" si="5">O9/480</f>
        <v>2.3047257850372835</v>
      </c>
    </row>
    <row r="10" spans="1:18" ht="13.5" thickBot="1" x14ac:dyDescent="0.25">
      <c r="C10" s="29">
        <v>4</v>
      </c>
      <c r="D10" s="29">
        <v>4</v>
      </c>
      <c r="E10" s="21">
        <v>1507.5</v>
      </c>
      <c r="F10" s="21"/>
      <c r="G10" s="21"/>
      <c r="H10" s="21">
        <f t="shared" si="0"/>
        <v>1507.5</v>
      </c>
      <c r="I10" s="21"/>
      <c r="K10" s="8">
        <f t="shared" si="1"/>
        <v>376.875</v>
      </c>
      <c r="L10" s="19">
        <f t="shared" si="2"/>
        <v>3709.3996062992123</v>
      </c>
      <c r="M10" s="20">
        <f t="shared" si="3"/>
        <v>3309.4522962922897</v>
      </c>
      <c r="N10" s="19">
        <f t="shared" si="4"/>
        <v>1249.158695576504</v>
      </c>
      <c r="O10" s="19">
        <f t="shared" si="4"/>
        <v>1114.474457399745</v>
      </c>
      <c r="P10" s="18">
        <f t="shared" si="5"/>
        <v>2.3218217862494686</v>
      </c>
    </row>
    <row r="11" spans="1:18" ht="13.5" thickBot="1" x14ac:dyDescent="0.25">
      <c r="C11" s="29">
        <v>5</v>
      </c>
      <c r="D11" s="29">
        <v>4</v>
      </c>
      <c r="E11" s="21">
        <v>1161.7</v>
      </c>
      <c r="F11" s="21"/>
      <c r="G11" s="21"/>
      <c r="H11" s="21">
        <f t="shared" si="0"/>
        <v>1161.7</v>
      </c>
      <c r="I11" s="21"/>
      <c r="K11" s="8">
        <f t="shared" si="1"/>
        <v>290.42500000000001</v>
      </c>
      <c r="L11" s="19">
        <f t="shared" si="2"/>
        <v>2858.5137795275591</v>
      </c>
      <c r="M11" s="20">
        <f t="shared" si="3"/>
        <v>2550.3089436834184</v>
      </c>
      <c r="N11" s="19">
        <f t="shared" si="4"/>
        <v>962.61867771225525</v>
      </c>
      <c r="O11" s="19">
        <f t="shared" si="4"/>
        <v>858.82917224629102</v>
      </c>
      <c r="P11" s="18">
        <f t="shared" si="5"/>
        <v>1.7892274421797729</v>
      </c>
    </row>
    <row r="12" spans="1:18" ht="13.5" thickBot="1" x14ac:dyDescent="0.25">
      <c r="C12" s="29">
        <v>6</v>
      </c>
      <c r="D12" s="29">
        <v>4</v>
      </c>
      <c r="E12" s="21">
        <v>599.1</v>
      </c>
      <c r="F12" s="21">
        <v>620.79999999999995</v>
      </c>
      <c r="G12" s="21"/>
      <c r="H12" s="21">
        <f t="shared" si="0"/>
        <v>1219.9000000000001</v>
      </c>
      <c r="I12" s="21"/>
      <c r="K12" s="8">
        <f t="shared" si="1"/>
        <v>304.97500000000002</v>
      </c>
      <c r="L12" s="19">
        <f t="shared" si="2"/>
        <v>3001.7224409448822</v>
      </c>
      <c r="M12" s="20">
        <f t="shared" si="3"/>
        <v>2678.0768532318175</v>
      </c>
      <c r="N12" s="19">
        <f t="shared" si="4"/>
        <v>1010.8449039693382</v>
      </c>
      <c r="O12" s="19">
        <f t="shared" si="4"/>
        <v>901.85564881057985</v>
      </c>
      <c r="P12" s="18">
        <f t="shared" si="5"/>
        <v>1.8788659350220414</v>
      </c>
    </row>
    <row r="13" spans="1:18" ht="13.5" thickBot="1" x14ac:dyDescent="0.25">
      <c r="C13" s="29">
        <v>7</v>
      </c>
      <c r="D13" s="29">
        <v>4</v>
      </c>
      <c r="E13" s="21">
        <v>1199.4000000000001</v>
      </c>
      <c r="F13" s="21"/>
      <c r="G13" s="21"/>
      <c r="H13" s="21">
        <f t="shared" si="0"/>
        <v>1199.4000000000001</v>
      </c>
      <c r="I13" s="21"/>
      <c r="K13" s="8">
        <f t="shared" si="1"/>
        <v>299.85000000000002</v>
      </c>
      <c r="L13" s="19">
        <f t="shared" si="2"/>
        <v>2951.2795275590552</v>
      </c>
      <c r="M13" s="20">
        <f t="shared" si="3"/>
        <v>2633.0726926520547</v>
      </c>
      <c r="N13" s="19">
        <f t="shared" si="4"/>
        <v>993.85800296813193</v>
      </c>
      <c r="O13" s="19">
        <f t="shared" si="4"/>
        <v>886.70027476302096</v>
      </c>
      <c r="P13" s="18">
        <f t="shared" si="5"/>
        <v>1.8472922390896269</v>
      </c>
    </row>
    <row r="14" spans="1:18" ht="13.5" thickBot="1" x14ac:dyDescent="0.25">
      <c r="C14" s="29">
        <v>8</v>
      </c>
      <c r="D14" s="29">
        <v>4</v>
      </c>
      <c r="E14" s="21">
        <v>1252.9000000000001</v>
      </c>
      <c r="F14" s="21"/>
      <c r="G14" s="21"/>
      <c r="H14" s="21">
        <f t="shared" si="0"/>
        <v>1252.9000000000001</v>
      </c>
      <c r="I14" s="21"/>
      <c r="K14" s="8">
        <f t="shared" si="1"/>
        <v>313.22500000000002</v>
      </c>
      <c r="L14" s="19">
        <f t="shared" si="2"/>
        <v>3082.9232283464571</v>
      </c>
      <c r="M14" s="20">
        <f t="shared" si="3"/>
        <v>2750.5225751407033</v>
      </c>
      <c r="N14" s="19">
        <f t="shared" si="4"/>
        <v>1038.1896714346947</v>
      </c>
      <c r="O14" s="19">
        <f t="shared" si="4"/>
        <v>926.25210459445475</v>
      </c>
      <c r="P14" s="18">
        <f t="shared" si="5"/>
        <v>1.9296918845717808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84.3</v>
      </c>
      <c r="I16" s="21"/>
      <c r="K16" s="8">
        <f>H16/SUM($D$9:$D$14)</f>
        <v>3.5124999999999997</v>
      </c>
      <c r="L16" s="19">
        <f>K16/1.016*10</f>
        <v>34.571850393700785</v>
      </c>
      <c r="M16" s="20">
        <f>L16/1.12085</f>
        <v>30.844314933934772</v>
      </c>
      <c r="N16" s="19">
        <f>L16*$O$4</f>
        <v>11.642241905704729</v>
      </c>
      <c r="O16" s="19">
        <f>M16*$O$4</f>
        <v>10.386975871619512</v>
      </c>
      <c r="P16" s="18">
        <f>O16/480</f>
        <v>2.1639533065873982E-2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7922.0999999999995</v>
      </c>
      <c r="I18" s="13"/>
      <c r="J18" s="12"/>
      <c r="K18" s="16">
        <f t="shared" ref="K18:P18" si="6">AVERAGE(K9:K14)+K16/6</f>
        <v>327.16041666666666</v>
      </c>
      <c r="L18" s="16">
        <f t="shared" si="6"/>
        <v>3220.0828412073492</v>
      </c>
      <c r="M18" s="17">
        <f t="shared" si="6"/>
        <v>2872.8936442943746</v>
      </c>
      <c r="N18" s="16">
        <f t="shared" si="6"/>
        <v>1084.3788506204944</v>
      </c>
      <c r="O18" s="16">
        <f t="shared" si="6"/>
        <v>967.46116841726791</v>
      </c>
      <c r="P18" s="15">
        <f t="shared" si="6"/>
        <v>2.0155441008693082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63.053612109062158</v>
      </c>
      <c r="I19" s="13"/>
      <c r="J19" s="12"/>
      <c r="K19" s="10">
        <f t="shared" ref="K19:P19" si="7">STDEV(K9:K14)/SQRT(COUNT(K9:K14))</f>
        <v>15.763403027265539</v>
      </c>
      <c r="L19" s="10">
        <f t="shared" si="7"/>
        <v>155.1516045990671</v>
      </c>
      <c r="M19" s="11">
        <f t="shared" si="7"/>
        <v>138.42316509708706</v>
      </c>
      <c r="N19" s="10">
        <f t="shared" si="7"/>
        <v>52.248071544638677</v>
      </c>
      <c r="O19" s="10">
        <f t="shared" si="7"/>
        <v>46.614686661585885</v>
      </c>
      <c r="P19" s="9">
        <f t="shared" si="7"/>
        <v>9.7113930544968585E-2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7AAC-F121-404D-AEC4-B1DF225832B1}">
  <sheetPr codeName="Sheet31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402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3354.6</v>
      </c>
      <c r="N3" s="39" t="s">
        <v>139</v>
      </c>
      <c r="O3" s="38">
        <f>(L3-(L4+L5))/L3</f>
        <v>3.3088892863530672E-2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1183.5</v>
      </c>
      <c r="N4" s="39" t="s">
        <v>134</v>
      </c>
      <c r="O4" s="38">
        <f>L4/L3</f>
        <v>0.35279914147737435</v>
      </c>
    </row>
    <row r="5" spans="1:18" ht="17.25" thickTop="1" thickBot="1" x14ac:dyDescent="0.25">
      <c r="B5" s="42" t="s">
        <v>133</v>
      </c>
      <c r="C5" s="51">
        <v>0.45555555555555555</v>
      </c>
      <c r="F5" s="37"/>
      <c r="G5" s="37"/>
      <c r="K5" s="39" t="s">
        <v>132</v>
      </c>
      <c r="L5" s="40">
        <v>2060.1</v>
      </c>
      <c r="N5" s="39" t="s">
        <v>131</v>
      </c>
      <c r="O5" s="38">
        <f>L5/L3</f>
        <v>0.61411196565909498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752.5</v>
      </c>
      <c r="F9" s="21">
        <v>788.8</v>
      </c>
      <c r="G9" s="21"/>
      <c r="H9" s="21">
        <f t="shared" ref="H9:H14" si="0">SUM(E9:G9)</f>
        <v>1541.3</v>
      </c>
      <c r="I9" s="21"/>
      <c r="K9" s="8">
        <f t="shared" ref="K9:K14" si="1">H9/D9</f>
        <v>385.32499999999999</v>
      </c>
      <c r="L9" s="19">
        <f t="shared" ref="L9:L14" si="2">K9/1.016*10</f>
        <v>3792.5688976377951</v>
      </c>
      <c r="M9" s="20">
        <f t="shared" ref="M9:M14" si="3">L9/1.12085</f>
        <v>3383.6542781262392</v>
      </c>
      <c r="N9" s="19">
        <f t="shared" ref="N9:O14" si="4">L9*$O$4</f>
        <v>1338.0150510804062</v>
      </c>
      <c r="O9" s="19">
        <f t="shared" si="4"/>
        <v>1193.7503243791821</v>
      </c>
      <c r="P9" s="18">
        <f t="shared" ref="P9:P14" si="5">O9/480</f>
        <v>2.4869798424566292</v>
      </c>
    </row>
    <row r="10" spans="1:18" ht="13.5" thickBot="1" x14ac:dyDescent="0.25">
      <c r="C10" s="29">
        <v>4</v>
      </c>
      <c r="D10" s="29">
        <v>4</v>
      </c>
      <c r="E10" s="21">
        <v>727.2</v>
      </c>
      <c r="F10" s="21">
        <v>851.5</v>
      </c>
      <c r="G10" s="21"/>
      <c r="H10" s="21">
        <f t="shared" si="0"/>
        <v>1578.7</v>
      </c>
      <c r="I10" s="21"/>
      <c r="K10" s="8">
        <f t="shared" si="1"/>
        <v>394.67500000000001</v>
      </c>
      <c r="L10" s="19">
        <f t="shared" si="2"/>
        <v>3884.5964566929133</v>
      </c>
      <c r="M10" s="20">
        <f t="shared" si="3"/>
        <v>3465.7594296229768</v>
      </c>
      <c r="N10" s="19">
        <f t="shared" si="4"/>
        <v>1370.4822949073102</v>
      </c>
      <c r="O10" s="19">
        <f t="shared" si="4"/>
        <v>1222.7169513381009</v>
      </c>
      <c r="P10" s="18">
        <f t="shared" si="5"/>
        <v>2.5473269819543769</v>
      </c>
    </row>
    <row r="11" spans="1:18" ht="13.5" thickBot="1" x14ac:dyDescent="0.25">
      <c r="C11" s="29">
        <v>5</v>
      </c>
      <c r="D11" s="29">
        <v>4</v>
      </c>
      <c r="E11" s="21">
        <v>1584.7</v>
      </c>
      <c r="F11" s="21"/>
      <c r="G11" s="21"/>
      <c r="H11" s="21">
        <f t="shared" si="0"/>
        <v>1584.7</v>
      </c>
      <c r="I11" s="21"/>
      <c r="K11" s="8">
        <f t="shared" si="1"/>
        <v>396.17500000000001</v>
      </c>
      <c r="L11" s="19">
        <f t="shared" si="2"/>
        <v>3899.3602362204724</v>
      </c>
      <c r="M11" s="20">
        <f t="shared" si="3"/>
        <v>3478.9313790609563</v>
      </c>
      <c r="N11" s="19">
        <f t="shared" si="4"/>
        <v>1375.6909436495944</v>
      </c>
      <c r="O11" s="19">
        <f t="shared" si="4"/>
        <v>1227.3640037914033</v>
      </c>
      <c r="P11" s="18">
        <f t="shared" si="5"/>
        <v>2.5570083412320903</v>
      </c>
    </row>
    <row r="12" spans="1:18" ht="13.5" thickBot="1" x14ac:dyDescent="0.25">
      <c r="C12" s="29">
        <v>6</v>
      </c>
      <c r="D12" s="29">
        <v>4</v>
      </c>
      <c r="E12" s="21">
        <v>1092.3</v>
      </c>
      <c r="F12" s="21">
        <v>831.1</v>
      </c>
      <c r="G12" s="21"/>
      <c r="H12" s="21">
        <f t="shared" si="0"/>
        <v>1923.4</v>
      </c>
      <c r="I12" s="21"/>
      <c r="K12" s="8">
        <f t="shared" si="1"/>
        <v>480.85</v>
      </c>
      <c r="L12" s="19">
        <f t="shared" si="2"/>
        <v>4732.7755905511813</v>
      </c>
      <c r="M12" s="20">
        <f t="shared" si="3"/>
        <v>4222.4879248348861</v>
      </c>
      <c r="N12" s="19">
        <f t="shared" si="4"/>
        <v>1669.7191651515302</v>
      </c>
      <c r="O12" s="19">
        <f t="shared" si="4"/>
        <v>1489.6901147803278</v>
      </c>
      <c r="P12" s="18">
        <f t="shared" si="5"/>
        <v>3.1035210724590163</v>
      </c>
    </row>
    <row r="13" spans="1:18" ht="13.5" thickBot="1" x14ac:dyDescent="0.25">
      <c r="C13" s="29">
        <v>7</v>
      </c>
      <c r="D13" s="29">
        <v>4</v>
      </c>
      <c r="E13" s="21">
        <v>962.6</v>
      </c>
      <c r="F13" s="21">
        <v>579.20000000000005</v>
      </c>
      <c r="G13" s="21"/>
      <c r="H13" s="21">
        <f t="shared" si="0"/>
        <v>1541.8000000000002</v>
      </c>
      <c r="I13" s="21"/>
      <c r="K13" s="8">
        <f t="shared" si="1"/>
        <v>385.45000000000005</v>
      </c>
      <c r="L13" s="19">
        <f t="shared" si="2"/>
        <v>3793.7992125984256</v>
      </c>
      <c r="M13" s="20">
        <f t="shared" si="3"/>
        <v>3384.7519405794046</v>
      </c>
      <c r="N13" s="19">
        <f t="shared" si="4"/>
        <v>1338.4491051422633</v>
      </c>
      <c r="O13" s="19">
        <f t="shared" si="4"/>
        <v>1194.1375787502907</v>
      </c>
      <c r="P13" s="18">
        <f t="shared" si="5"/>
        <v>2.4877866223964391</v>
      </c>
    </row>
    <row r="14" spans="1:18" ht="13.5" thickBot="1" x14ac:dyDescent="0.25">
      <c r="C14" s="29">
        <v>8</v>
      </c>
      <c r="D14" s="29">
        <v>4</v>
      </c>
      <c r="E14" s="21">
        <v>795.2</v>
      </c>
      <c r="F14" s="21">
        <v>891.7</v>
      </c>
      <c r="G14" s="21"/>
      <c r="H14" s="21">
        <f t="shared" si="0"/>
        <v>1686.9</v>
      </c>
      <c r="I14" s="21"/>
      <c r="K14" s="8">
        <f t="shared" si="1"/>
        <v>421.72500000000002</v>
      </c>
      <c r="L14" s="19">
        <f t="shared" si="2"/>
        <v>4150.8366141732286</v>
      </c>
      <c r="M14" s="20">
        <f t="shared" si="3"/>
        <v>3703.2935844878698</v>
      </c>
      <c r="N14" s="19">
        <f t="shared" si="4"/>
        <v>1464.4115938931664</v>
      </c>
      <c r="O14" s="19">
        <f t="shared" si="4"/>
        <v>1306.5187972459887</v>
      </c>
      <c r="P14" s="18">
        <f t="shared" si="5"/>
        <v>2.7219141609291433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72.900000000000006</v>
      </c>
      <c r="I16" s="21"/>
      <c r="K16" s="8">
        <f>H16/SUM($D$9:$D$14)</f>
        <v>3.0375000000000001</v>
      </c>
      <c r="L16" s="19">
        <f>K16/1.016*10</f>
        <v>29.896653543307089</v>
      </c>
      <c r="M16" s="20">
        <f>L16/1.12085</f>
        <v>26.673197611908009</v>
      </c>
      <c r="N16" s="19">
        <f>L16*$O$4</f>
        <v>10.547513703125242</v>
      </c>
      <c r="O16" s="19">
        <f>M16*$O$4</f>
        <v>9.4102812179374968</v>
      </c>
      <c r="P16" s="18">
        <f>O16/480</f>
        <v>1.9604752537369784E-2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9929.7000000000007</v>
      </c>
      <c r="I18" s="13"/>
      <c r="J18" s="12"/>
      <c r="K18" s="16">
        <f t="shared" ref="K18:P18" si="6">AVERAGE(K9:K14)+K16/6</f>
        <v>411.20625000000007</v>
      </c>
      <c r="L18" s="16">
        <f t="shared" si="6"/>
        <v>4047.3056102362202</v>
      </c>
      <c r="M18" s="17">
        <f t="shared" si="6"/>
        <v>3610.9252890540401</v>
      </c>
      <c r="N18" s="16">
        <f t="shared" si="6"/>
        <v>1427.8859445878993</v>
      </c>
      <c r="O18" s="16">
        <f t="shared" si="6"/>
        <v>1273.9313419172051</v>
      </c>
      <c r="P18" s="15">
        <f t="shared" si="6"/>
        <v>2.6540236289941772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60.185502130219604</v>
      </c>
      <c r="I19" s="13"/>
      <c r="J19" s="12"/>
      <c r="K19" s="10">
        <f t="shared" ref="K19:P19" si="7">STDEV(K9:K14)/SQRT(COUNT(K9:K14))</f>
        <v>15.046375532554901</v>
      </c>
      <c r="L19" s="10">
        <f t="shared" si="7"/>
        <v>148.09424736766636</v>
      </c>
      <c r="M19" s="11">
        <f t="shared" si="7"/>
        <v>132.12673182644104</v>
      </c>
      <c r="N19" s="10">
        <f t="shared" si="7"/>
        <v>52.247523329050594</v>
      </c>
      <c r="O19" s="10">
        <f t="shared" si="7"/>
        <v>46.614197554579668</v>
      </c>
      <c r="P19" s="9">
        <f t="shared" si="7"/>
        <v>9.7112911572040994E-2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7C76-76E3-43CF-8F50-21E48174900C}">
  <sheetPr codeName="Sheet32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403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2938.4</v>
      </c>
      <c r="N3" s="39" t="s">
        <v>139</v>
      </c>
      <c r="O3" s="38">
        <f>(L3-(L4+L5))/L3</f>
        <v>3.246664851619932E-2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1106.8</v>
      </c>
      <c r="N4" s="39" t="s">
        <v>134</v>
      </c>
      <c r="O4" s="38">
        <f>L4/L3</f>
        <v>0.37666757419003538</v>
      </c>
    </row>
    <row r="5" spans="1:18" ht="17.25" thickTop="1" thickBot="1" x14ac:dyDescent="0.25">
      <c r="B5" s="42" t="s">
        <v>133</v>
      </c>
      <c r="C5" s="51">
        <v>0.37847222222222227</v>
      </c>
      <c r="F5" s="37"/>
      <c r="G5" s="37"/>
      <c r="K5" s="39" t="s">
        <v>132</v>
      </c>
      <c r="L5" s="40">
        <v>1736.2</v>
      </c>
      <c r="N5" s="39" t="s">
        <v>131</v>
      </c>
      <c r="O5" s="38">
        <f>L5/L3</f>
        <v>0.59086577729376533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1892.6</v>
      </c>
      <c r="F9" s="21"/>
      <c r="G9" s="21"/>
      <c r="H9" s="21">
        <f t="shared" ref="H9:H14" si="0">SUM(E9:G9)</f>
        <v>1892.6</v>
      </c>
      <c r="I9" s="21"/>
      <c r="K9" s="8">
        <f t="shared" ref="K9:K14" si="1">H9/D9</f>
        <v>473.15</v>
      </c>
      <c r="L9" s="19">
        <f t="shared" ref="L9:L14" si="2">K9/1.016*10</f>
        <v>4656.9881889763774</v>
      </c>
      <c r="M9" s="20">
        <f t="shared" ref="M9:M14" si="3">L9/1.12085</f>
        <v>4154.8719177199246</v>
      </c>
      <c r="N9" s="19">
        <f t="shared" ref="N9:O14" si="4">L9*$O$4</f>
        <v>1754.1364441733781</v>
      </c>
      <c r="O9" s="19">
        <f t="shared" si="4"/>
        <v>1565.0055263178642</v>
      </c>
      <c r="P9" s="18">
        <f t="shared" ref="P9:P14" si="5">O9/480</f>
        <v>3.2604281798288839</v>
      </c>
    </row>
    <row r="10" spans="1:18" ht="13.5" thickBot="1" x14ac:dyDescent="0.25">
      <c r="C10" s="29">
        <v>4</v>
      </c>
      <c r="D10" s="29">
        <v>4</v>
      </c>
      <c r="E10" s="21">
        <v>887.9</v>
      </c>
      <c r="F10" s="21">
        <v>889.9</v>
      </c>
      <c r="G10" s="21"/>
      <c r="H10" s="21">
        <f t="shared" si="0"/>
        <v>1777.8</v>
      </c>
      <c r="I10" s="21"/>
      <c r="K10" s="8">
        <f t="shared" si="1"/>
        <v>444.45</v>
      </c>
      <c r="L10" s="19">
        <f t="shared" si="2"/>
        <v>4374.5078740157478</v>
      </c>
      <c r="M10" s="20">
        <f t="shared" si="3"/>
        <v>3902.8486184732551</v>
      </c>
      <c r="N10" s="19">
        <f t="shared" si="4"/>
        <v>1647.7352691807207</v>
      </c>
      <c r="O10" s="19">
        <f t="shared" si="4"/>
        <v>1470.076521551252</v>
      </c>
      <c r="P10" s="18">
        <f t="shared" si="5"/>
        <v>3.0626594198984418</v>
      </c>
    </row>
    <row r="11" spans="1:18" ht="13.5" thickBot="1" x14ac:dyDescent="0.25">
      <c r="C11" s="29">
        <v>5</v>
      </c>
      <c r="D11" s="29">
        <v>4</v>
      </c>
      <c r="E11" s="21">
        <v>678.5</v>
      </c>
      <c r="F11" s="21">
        <v>1021</v>
      </c>
      <c r="G11" s="21"/>
      <c r="H11" s="21">
        <f t="shared" si="0"/>
        <v>1699.5</v>
      </c>
      <c r="I11" s="21"/>
      <c r="K11" s="8">
        <f t="shared" si="1"/>
        <v>424.875</v>
      </c>
      <c r="L11" s="19">
        <f t="shared" si="2"/>
        <v>4181.8405511811025</v>
      </c>
      <c r="M11" s="20">
        <f t="shared" si="3"/>
        <v>3730.9546783076262</v>
      </c>
      <c r="N11" s="19">
        <f t="shared" si="4"/>
        <v>1575.1637360629063</v>
      </c>
      <c r="O11" s="19">
        <f t="shared" si="4"/>
        <v>1405.3296480910974</v>
      </c>
      <c r="P11" s="18">
        <f t="shared" si="5"/>
        <v>2.9277701001897865</v>
      </c>
    </row>
    <row r="12" spans="1:18" ht="13.5" thickBot="1" x14ac:dyDescent="0.25">
      <c r="C12" s="29">
        <v>6</v>
      </c>
      <c r="D12" s="29">
        <v>4</v>
      </c>
      <c r="E12" s="21">
        <v>1563.2</v>
      </c>
      <c r="F12" s="21"/>
      <c r="G12" s="21"/>
      <c r="H12" s="21">
        <f t="shared" si="0"/>
        <v>1563.2</v>
      </c>
      <c r="I12" s="21"/>
      <c r="K12" s="8">
        <f t="shared" si="1"/>
        <v>390.8</v>
      </c>
      <c r="L12" s="19">
        <f t="shared" si="2"/>
        <v>3846.4566929133862</v>
      </c>
      <c r="M12" s="20">
        <f t="shared" si="3"/>
        <v>3431.731893574864</v>
      </c>
      <c r="N12" s="19">
        <f t="shared" si="4"/>
        <v>1448.8355117467111</v>
      </c>
      <c r="O12" s="19">
        <f t="shared" si="4"/>
        <v>1292.6221276234207</v>
      </c>
      <c r="P12" s="18">
        <f t="shared" si="5"/>
        <v>2.6929627658821267</v>
      </c>
    </row>
    <row r="13" spans="1:18" ht="13.5" thickBot="1" x14ac:dyDescent="0.25">
      <c r="C13" s="29">
        <v>7</v>
      </c>
      <c r="D13" s="29">
        <v>4</v>
      </c>
      <c r="E13" s="21">
        <v>893.3</v>
      </c>
      <c r="F13" s="21">
        <v>792.2</v>
      </c>
      <c r="G13" s="21"/>
      <c r="H13" s="21">
        <f t="shared" si="0"/>
        <v>1685.5</v>
      </c>
      <c r="I13" s="21"/>
      <c r="K13" s="8">
        <f t="shared" si="1"/>
        <v>421.375</v>
      </c>
      <c r="L13" s="19">
        <f t="shared" si="2"/>
        <v>4147.3917322834641</v>
      </c>
      <c r="M13" s="20">
        <f t="shared" si="3"/>
        <v>3700.2201296190074</v>
      </c>
      <c r="N13" s="19">
        <f t="shared" si="4"/>
        <v>1562.187983015021</v>
      </c>
      <c r="O13" s="19">
        <f t="shared" si="4"/>
        <v>1393.7529401927297</v>
      </c>
      <c r="P13" s="18">
        <f t="shared" si="5"/>
        <v>2.9036519587348537</v>
      </c>
    </row>
    <row r="14" spans="1:18" ht="13.5" thickBot="1" x14ac:dyDescent="0.25">
      <c r="C14" s="29">
        <v>8</v>
      </c>
      <c r="D14" s="29">
        <v>4</v>
      </c>
      <c r="E14" s="21">
        <v>589.20000000000005</v>
      </c>
      <c r="F14" s="21">
        <v>843.5</v>
      </c>
      <c r="G14" s="21"/>
      <c r="H14" s="21">
        <f t="shared" si="0"/>
        <v>1432.7</v>
      </c>
      <c r="I14" s="21"/>
      <c r="K14" s="8">
        <f t="shared" si="1"/>
        <v>358.17500000000001</v>
      </c>
      <c r="L14" s="19">
        <f t="shared" si="2"/>
        <v>3525.3444881889764</v>
      </c>
      <c r="M14" s="20">
        <f t="shared" si="3"/>
        <v>3145.241993298815</v>
      </c>
      <c r="N14" s="19">
        <f t="shared" si="4"/>
        <v>1327.8829565503536</v>
      </c>
      <c r="O14" s="19">
        <f t="shared" si="4"/>
        <v>1184.7106718564962</v>
      </c>
      <c r="P14" s="18">
        <f t="shared" si="5"/>
        <v>2.468147233034367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71</v>
      </c>
      <c r="I16" s="21"/>
      <c r="K16" s="8">
        <f>H16/SUM($D$9:$D$14)</f>
        <v>2.9583333333333335</v>
      </c>
      <c r="L16" s="19">
        <f>K16/1.016*10</f>
        <v>29.117454068241472</v>
      </c>
      <c r="M16" s="20">
        <f>L16/1.12085</f>
        <v>25.978011391570213</v>
      </c>
      <c r="N16" s="19">
        <f>L16*$O$4</f>
        <v>10.967600790474291</v>
      </c>
      <c r="O16" s="19">
        <f>M16*$O$4</f>
        <v>9.7850745331438578</v>
      </c>
      <c r="P16" s="18">
        <f>O16/480</f>
        <v>2.0385571944049705E-2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10122.299999999999</v>
      </c>
      <c r="I18" s="13"/>
      <c r="J18" s="12"/>
      <c r="K18" s="16">
        <f t="shared" ref="K18:P18" si="6">AVERAGE(K9:K14)+K16/6</f>
        <v>419.29722222222216</v>
      </c>
      <c r="L18" s="16">
        <f t="shared" si="6"/>
        <v>4126.9411636045497</v>
      </c>
      <c r="M18" s="17">
        <f t="shared" si="6"/>
        <v>3681.9745403975103</v>
      </c>
      <c r="N18" s="16">
        <f t="shared" si="6"/>
        <v>1554.4849169199274</v>
      </c>
      <c r="O18" s="16">
        <f t="shared" si="6"/>
        <v>1386.8804183610007</v>
      </c>
      <c r="P18" s="15">
        <f t="shared" si="6"/>
        <v>2.889334204918752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65.786611690964719</v>
      </c>
      <c r="I19" s="13"/>
      <c r="J19" s="12"/>
      <c r="K19" s="10">
        <f t="shared" ref="K19:P19" si="7">STDEV(K9:K14)/SQRT(COUNT(K9:K14))</f>
        <v>16.44665292274118</v>
      </c>
      <c r="L19" s="10">
        <f t="shared" si="7"/>
        <v>161.87650514509031</v>
      </c>
      <c r="M19" s="11">
        <f t="shared" si="7"/>
        <v>144.42298714822704</v>
      </c>
      <c r="N19" s="10">
        <f t="shared" si="7"/>
        <v>60.973630511361932</v>
      </c>
      <c r="O19" s="10">
        <f t="shared" si="7"/>
        <v>54.39945622640132</v>
      </c>
      <c r="P19" s="9">
        <f t="shared" si="7"/>
        <v>0.11333220047166946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7DF8-E0DC-49FE-9ACA-3855039F7A5F}">
  <sheetPr codeName="Sheet33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404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3226.9</v>
      </c>
      <c r="N3" s="39" t="s">
        <v>139</v>
      </c>
      <c r="O3" s="38">
        <f>(L3-(L4+L5))/L3</f>
        <v>2.6279091388019375E-2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1143.7</v>
      </c>
      <c r="N4" s="39" t="s">
        <v>134</v>
      </c>
      <c r="O4" s="38">
        <f>L4/L3</f>
        <v>0.35442684929808793</v>
      </c>
    </row>
    <row r="5" spans="1:18" ht="17.25" thickTop="1" thickBot="1" x14ac:dyDescent="0.25">
      <c r="B5" s="42" t="s">
        <v>133</v>
      </c>
      <c r="C5" s="51">
        <v>0.36319444444444443</v>
      </c>
      <c r="F5" s="37"/>
      <c r="G5" s="37"/>
      <c r="K5" s="39" t="s">
        <v>132</v>
      </c>
      <c r="L5" s="40">
        <v>1998.4</v>
      </c>
      <c r="N5" s="39" t="s">
        <v>131</v>
      </c>
      <c r="O5" s="38">
        <f>L5/L3</f>
        <v>0.61929405931389259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1040</v>
      </c>
      <c r="F9" s="21">
        <v>935.8</v>
      </c>
      <c r="G9" s="21"/>
      <c r="H9" s="21">
        <f t="shared" ref="H9:H14" si="0">SUM(E9:G9)</f>
        <v>1975.8</v>
      </c>
      <c r="I9" s="21"/>
      <c r="K9" s="8">
        <f t="shared" ref="K9:K14" si="1">H9/D9</f>
        <v>493.95</v>
      </c>
      <c r="L9" s="19">
        <f t="shared" ref="L9:L14" si="2">K9/1.016*10</f>
        <v>4861.7125984251961</v>
      </c>
      <c r="M9" s="20">
        <f t="shared" ref="M9:M14" si="3">L9/1.12085</f>
        <v>4337.5229499265706</v>
      </c>
      <c r="N9" s="19">
        <f t="shared" ref="N9:O14" si="4">L9*$O$4</f>
        <v>1723.1214784526626</v>
      </c>
      <c r="O9" s="19">
        <f t="shared" si="4"/>
        <v>1537.3345929006225</v>
      </c>
      <c r="P9" s="18">
        <f t="shared" ref="P9:P14" si="5">O9/480</f>
        <v>3.2027804018762969</v>
      </c>
    </row>
    <row r="10" spans="1:18" ht="13.5" thickBot="1" x14ac:dyDescent="0.25">
      <c r="C10" s="29">
        <v>4</v>
      </c>
      <c r="D10" s="29">
        <v>4</v>
      </c>
      <c r="E10" s="21">
        <v>838.5</v>
      </c>
      <c r="F10" s="21">
        <v>526.4</v>
      </c>
      <c r="G10" s="21"/>
      <c r="H10" s="21">
        <f t="shared" si="0"/>
        <v>1364.9</v>
      </c>
      <c r="I10" s="21"/>
      <c r="K10" s="8">
        <f t="shared" si="1"/>
        <v>341.22500000000002</v>
      </c>
      <c r="L10" s="19">
        <f t="shared" si="2"/>
        <v>3358.5137795275591</v>
      </c>
      <c r="M10" s="20">
        <f t="shared" si="3"/>
        <v>2996.3989646496493</v>
      </c>
      <c r="N10" s="19">
        <f t="shared" si="4"/>
        <v>1190.347457202166</v>
      </c>
      <c r="O10" s="19">
        <f t="shared" si="4"/>
        <v>1062.0042442808281</v>
      </c>
      <c r="P10" s="18">
        <f t="shared" si="5"/>
        <v>2.2125088422517249</v>
      </c>
    </row>
    <row r="11" spans="1:18" ht="13.5" thickBot="1" x14ac:dyDescent="0.25">
      <c r="C11" s="29">
        <v>5</v>
      </c>
      <c r="D11" s="29">
        <v>4</v>
      </c>
      <c r="E11" s="21">
        <v>903.5</v>
      </c>
      <c r="F11" s="21">
        <v>886</v>
      </c>
      <c r="G11" s="21"/>
      <c r="H11" s="21">
        <f t="shared" si="0"/>
        <v>1789.5</v>
      </c>
      <c r="I11" s="21"/>
      <c r="K11" s="8">
        <f t="shared" si="1"/>
        <v>447.375</v>
      </c>
      <c r="L11" s="19">
        <f t="shared" si="2"/>
        <v>4403.2972440944886</v>
      </c>
      <c r="M11" s="20">
        <f t="shared" si="3"/>
        <v>3928.5339198773154</v>
      </c>
      <c r="N11" s="19">
        <f t="shared" si="4"/>
        <v>1560.6467687473632</v>
      </c>
      <c r="O11" s="19">
        <f t="shared" si="4"/>
        <v>1392.3778995827838</v>
      </c>
      <c r="P11" s="18">
        <f t="shared" si="5"/>
        <v>2.9007872907974663</v>
      </c>
    </row>
    <row r="12" spans="1:18" ht="13.5" thickBot="1" x14ac:dyDescent="0.25">
      <c r="C12" s="29">
        <v>6</v>
      </c>
      <c r="D12" s="29">
        <v>4</v>
      </c>
      <c r="E12" s="21">
        <v>837</v>
      </c>
      <c r="F12" s="21">
        <v>979.7</v>
      </c>
      <c r="G12" s="21"/>
      <c r="H12" s="21">
        <f t="shared" si="0"/>
        <v>1816.7</v>
      </c>
      <c r="I12" s="21"/>
      <c r="K12" s="8">
        <f t="shared" si="1"/>
        <v>454.17500000000001</v>
      </c>
      <c r="L12" s="19">
        <f t="shared" si="2"/>
        <v>4470.2263779527566</v>
      </c>
      <c r="M12" s="20">
        <f t="shared" si="3"/>
        <v>3988.2467573294884</v>
      </c>
      <c r="N12" s="19">
        <f t="shared" si="4"/>
        <v>1584.3682507869992</v>
      </c>
      <c r="O12" s="19">
        <f t="shared" si="4"/>
        <v>1413.5417324236064</v>
      </c>
      <c r="P12" s="18">
        <f t="shared" si="5"/>
        <v>2.9448786092158468</v>
      </c>
    </row>
    <row r="13" spans="1:18" ht="13.5" thickBot="1" x14ac:dyDescent="0.25">
      <c r="C13" s="29">
        <v>7</v>
      </c>
      <c r="D13" s="29">
        <v>4</v>
      </c>
      <c r="E13" s="21">
        <v>866.5</v>
      </c>
      <c r="F13" s="21">
        <v>663.2</v>
      </c>
      <c r="G13" s="21"/>
      <c r="H13" s="21">
        <f t="shared" si="0"/>
        <v>1529.7</v>
      </c>
      <c r="I13" s="21"/>
      <c r="K13" s="8">
        <f t="shared" si="1"/>
        <v>382.42500000000001</v>
      </c>
      <c r="L13" s="19">
        <f t="shared" si="2"/>
        <v>3764.0255905511813</v>
      </c>
      <c r="M13" s="20">
        <f t="shared" si="3"/>
        <v>3358.1885092128132</v>
      </c>
      <c r="N13" s="19">
        <f t="shared" si="4"/>
        <v>1334.07173073643</v>
      </c>
      <c r="O13" s="19">
        <f t="shared" si="4"/>
        <v>1190.2321726693403</v>
      </c>
      <c r="P13" s="18">
        <f t="shared" si="5"/>
        <v>2.4796503597277924</v>
      </c>
    </row>
    <row r="14" spans="1:18" ht="13.5" thickBot="1" x14ac:dyDescent="0.25">
      <c r="C14" s="29">
        <v>8</v>
      </c>
      <c r="D14" s="29">
        <v>4</v>
      </c>
      <c r="E14" s="21">
        <v>828</v>
      </c>
      <c r="F14" s="21">
        <v>755.5</v>
      </c>
      <c r="G14" s="21"/>
      <c r="H14" s="21">
        <f t="shared" si="0"/>
        <v>1583.5</v>
      </c>
      <c r="I14" s="21"/>
      <c r="K14" s="8">
        <f t="shared" si="1"/>
        <v>395.875</v>
      </c>
      <c r="L14" s="19">
        <f t="shared" si="2"/>
        <v>3896.4074803149606</v>
      </c>
      <c r="M14" s="20">
        <f t="shared" si="3"/>
        <v>3476.2969891733605</v>
      </c>
      <c r="N14" s="19">
        <f t="shared" si="4"/>
        <v>1380.9914268295331</v>
      </c>
      <c r="O14" s="19">
        <f t="shared" si="4"/>
        <v>1232.0929890971436</v>
      </c>
      <c r="P14" s="18">
        <f t="shared" si="5"/>
        <v>2.5668603939523824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84.9</v>
      </c>
      <c r="I16" s="21"/>
      <c r="K16" s="8">
        <f>H16/SUM($D$9:$D$14)</f>
        <v>3.5375000000000001</v>
      </c>
      <c r="L16" s="19">
        <f>K16/1.016*10</f>
        <v>34.81791338582677</v>
      </c>
      <c r="M16" s="20">
        <f>L16/1.12085</f>
        <v>31.063847424567761</v>
      </c>
      <c r="N16" s="19">
        <f>L16*$O$4</f>
        <v>12.340403340472303</v>
      </c>
      <c r="O16" s="19">
        <f>M16*$O$4</f>
        <v>11.009861569766075</v>
      </c>
      <c r="P16" s="18">
        <f>O16/480</f>
        <v>2.2937211603679324E-2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10145</v>
      </c>
      <c r="I18" s="13"/>
      <c r="J18" s="12"/>
      <c r="K18" s="16">
        <f t="shared" ref="K18:P18" si="6">AVERAGE(K9:K14)+K16/6</f>
        <v>419.76041666666669</v>
      </c>
      <c r="L18" s="16">
        <f t="shared" si="6"/>
        <v>4131.5001640419941</v>
      </c>
      <c r="M18" s="17">
        <f t="shared" si="6"/>
        <v>3686.0419895989608</v>
      </c>
      <c r="N18" s="16">
        <f t="shared" si="6"/>
        <v>1464.3145860159377</v>
      </c>
      <c r="O18" s="16">
        <f t="shared" si="6"/>
        <v>1306.4322487540151</v>
      </c>
      <c r="P18" s="15">
        <f t="shared" si="6"/>
        <v>2.7217338515708653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91.159042033385063</v>
      </c>
      <c r="I19" s="13"/>
      <c r="J19" s="12"/>
      <c r="K19" s="10">
        <f t="shared" ref="K19:P19" si="7">STDEV(K9:K14)/SQRT(COUNT(K9:K14))</f>
        <v>22.789760508346266</v>
      </c>
      <c r="L19" s="10">
        <f t="shared" si="7"/>
        <v>224.30866642073067</v>
      </c>
      <c r="M19" s="11">
        <f t="shared" si="7"/>
        <v>200.123715413062</v>
      </c>
      <c r="N19" s="10">
        <f t="shared" si="7"/>
        <v>79.501013909755414</v>
      </c>
      <c r="O19" s="10">
        <f t="shared" si="7"/>
        <v>70.929217923678678</v>
      </c>
      <c r="P19" s="9">
        <f t="shared" si="7"/>
        <v>0.14776920400766319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62B0-082B-43E3-B547-1AD5C882838A}">
  <sheetPr codeName="Sheet34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405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2935</v>
      </c>
      <c r="N3" s="39" t="s">
        <v>139</v>
      </c>
      <c r="O3" s="38">
        <f>(L3-(L4+L5))/L3</f>
        <v>3.161839863713805E-2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1108.2</v>
      </c>
      <c r="N4" s="39" t="s">
        <v>134</v>
      </c>
      <c r="O4" s="38">
        <f>L4/L3</f>
        <v>0.37758091993185694</v>
      </c>
    </row>
    <row r="5" spans="1:18" ht="17.25" thickTop="1" thickBot="1" x14ac:dyDescent="0.25">
      <c r="B5" s="42" t="s">
        <v>133</v>
      </c>
      <c r="C5" s="51">
        <v>0.36944444444444446</v>
      </c>
      <c r="F5" s="37"/>
      <c r="G5" s="37"/>
      <c r="K5" s="39" t="s">
        <v>132</v>
      </c>
      <c r="L5" s="40">
        <v>1734</v>
      </c>
      <c r="N5" s="39" t="s">
        <v>131</v>
      </c>
      <c r="O5" s="38">
        <f>L5/L3</f>
        <v>0.59080068143100506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728.1</v>
      </c>
      <c r="F9" s="21">
        <v>841.6</v>
      </c>
      <c r="G9" s="21"/>
      <c r="H9" s="21">
        <f t="shared" ref="H9:H14" si="0">SUM(E9:G9)</f>
        <v>1569.7</v>
      </c>
      <c r="I9" s="21"/>
      <c r="K9" s="8">
        <f t="shared" ref="K9:K14" si="1">H9/D9</f>
        <v>392.42500000000001</v>
      </c>
      <c r="L9" s="19">
        <f t="shared" ref="L9:L14" si="2">K9/1.016*10</f>
        <v>3862.4507874015753</v>
      </c>
      <c r="M9" s="20">
        <f t="shared" ref="M9:M14" si="3">L9/1.12085</f>
        <v>3446.0015054660084</v>
      </c>
      <c r="N9" s="19">
        <f t="shared" ref="N9:O14" si="4">L9*$O$4</f>
        <v>1458.3877214986121</v>
      </c>
      <c r="O9" s="19">
        <f t="shared" si="4"/>
        <v>1301.1444185204193</v>
      </c>
      <c r="P9" s="18">
        <f t="shared" ref="P9:P14" si="5">O9/480</f>
        <v>2.7107175385842068</v>
      </c>
    </row>
    <row r="10" spans="1:18" ht="13.5" thickBot="1" x14ac:dyDescent="0.25">
      <c r="C10" s="29">
        <v>4</v>
      </c>
      <c r="D10" s="29">
        <v>4</v>
      </c>
      <c r="E10" s="21">
        <v>996.6</v>
      </c>
      <c r="F10" s="21">
        <v>840</v>
      </c>
      <c r="G10" s="21"/>
      <c r="H10" s="21">
        <f t="shared" si="0"/>
        <v>1836.6</v>
      </c>
      <c r="I10" s="21"/>
      <c r="K10" s="8">
        <f t="shared" si="1"/>
        <v>459.15</v>
      </c>
      <c r="L10" s="19">
        <f t="shared" si="2"/>
        <v>4519.1929133858266</v>
      </c>
      <c r="M10" s="20">
        <f t="shared" si="3"/>
        <v>4031.933722965452</v>
      </c>
      <c r="N10" s="19">
        <f t="shared" si="4"/>
        <v>1706.3610175857491</v>
      </c>
      <c r="O10" s="19">
        <f t="shared" si="4"/>
        <v>1522.3812442215722</v>
      </c>
      <c r="P10" s="18">
        <f t="shared" si="5"/>
        <v>3.1716275921282753</v>
      </c>
    </row>
    <row r="11" spans="1:18" ht="13.5" thickBot="1" x14ac:dyDescent="0.25">
      <c r="C11" s="29">
        <v>5</v>
      </c>
      <c r="D11" s="29">
        <v>4</v>
      </c>
      <c r="E11" s="21">
        <v>739.4</v>
      </c>
      <c r="F11" s="21">
        <v>840.7</v>
      </c>
      <c r="G11" s="21"/>
      <c r="H11" s="21">
        <f t="shared" si="0"/>
        <v>1580.1</v>
      </c>
      <c r="I11" s="21"/>
      <c r="K11" s="8">
        <f t="shared" si="1"/>
        <v>395.02499999999998</v>
      </c>
      <c r="L11" s="19">
        <f t="shared" si="2"/>
        <v>3888.0413385826769</v>
      </c>
      <c r="M11" s="20">
        <f t="shared" si="3"/>
        <v>3468.8328844918387</v>
      </c>
      <c r="N11" s="19">
        <f t="shared" si="4"/>
        <v>1468.0502253551356</v>
      </c>
      <c r="O11" s="19">
        <f t="shared" si="4"/>
        <v>1309.7651116163054</v>
      </c>
      <c r="P11" s="18">
        <f t="shared" si="5"/>
        <v>2.7286773158673028</v>
      </c>
    </row>
    <row r="12" spans="1:18" ht="13.5" thickBot="1" x14ac:dyDescent="0.25">
      <c r="C12" s="29">
        <v>6</v>
      </c>
      <c r="D12" s="29">
        <v>4</v>
      </c>
      <c r="E12" s="21">
        <v>627.5</v>
      </c>
      <c r="F12" s="21">
        <v>671.1</v>
      </c>
      <c r="G12" s="21"/>
      <c r="H12" s="21">
        <f t="shared" si="0"/>
        <v>1298.5999999999999</v>
      </c>
      <c r="I12" s="21"/>
      <c r="K12" s="8">
        <f t="shared" si="1"/>
        <v>324.64999999999998</v>
      </c>
      <c r="L12" s="19">
        <f t="shared" si="2"/>
        <v>3195.3740157480315</v>
      </c>
      <c r="M12" s="20">
        <f t="shared" si="3"/>
        <v>2850.8489233599785</v>
      </c>
      <c r="N12" s="19">
        <f t="shared" si="4"/>
        <v>1206.5122603924938</v>
      </c>
      <c r="O12" s="19">
        <f t="shared" si="4"/>
        <v>1076.4261590690046</v>
      </c>
      <c r="P12" s="18">
        <f t="shared" si="5"/>
        <v>2.2425544980604264</v>
      </c>
    </row>
    <row r="13" spans="1:18" ht="13.5" thickBot="1" x14ac:dyDescent="0.25">
      <c r="C13" s="29">
        <v>7</v>
      </c>
      <c r="D13" s="29">
        <v>4</v>
      </c>
      <c r="E13" s="21">
        <v>638.20000000000005</v>
      </c>
      <c r="F13" s="21">
        <v>960.2</v>
      </c>
      <c r="G13" s="21"/>
      <c r="H13" s="21">
        <f t="shared" si="0"/>
        <v>1598.4</v>
      </c>
      <c r="I13" s="21"/>
      <c r="K13" s="8">
        <f t="shared" si="1"/>
        <v>399.6</v>
      </c>
      <c r="L13" s="19">
        <f t="shared" si="2"/>
        <v>3933.0708661417329</v>
      </c>
      <c r="M13" s="20">
        <f t="shared" si="3"/>
        <v>3509.0073302776759</v>
      </c>
      <c r="N13" s="19">
        <f t="shared" si="4"/>
        <v>1485.052515794981</v>
      </c>
      <c r="O13" s="19">
        <f t="shared" si="4"/>
        <v>1324.9342158138743</v>
      </c>
      <c r="P13" s="18">
        <f t="shared" si="5"/>
        <v>2.7602796162789049</v>
      </c>
    </row>
    <row r="14" spans="1:18" ht="13.5" thickBot="1" x14ac:dyDescent="0.25">
      <c r="C14" s="29">
        <v>8</v>
      </c>
      <c r="D14" s="29">
        <v>4</v>
      </c>
      <c r="E14" s="21">
        <v>811.9</v>
      </c>
      <c r="F14" s="21">
        <v>722.9</v>
      </c>
      <c r="G14" s="21"/>
      <c r="H14" s="21">
        <f t="shared" si="0"/>
        <v>1534.8</v>
      </c>
      <c r="I14" s="21"/>
      <c r="K14" s="8">
        <f t="shared" si="1"/>
        <v>383.7</v>
      </c>
      <c r="L14" s="19">
        <f t="shared" si="2"/>
        <v>3776.5748031496059</v>
      </c>
      <c r="M14" s="20">
        <f t="shared" si="3"/>
        <v>3369.3846662350952</v>
      </c>
      <c r="N14" s="19">
        <f t="shared" si="4"/>
        <v>1425.9625883646997</v>
      </c>
      <c r="O14" s="19">
        <f t="shared" si="4"/>
        <v>1272.21536188134</v>
      </c>
      <c r="P14" s="18">
        <f t="shared" si="5"/>
        <v>2.6504486705861248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53.2</v>
      </c>
      <c r="I16" s="21"/>
      <c r="K16" s="8">
        <f>H16/SUM($D$9:$D$14)</f>
        <v>2.2166666666666668</v>
      </c>
      <c r="L16" s="19">
        <f>K16/1.016*10</f>
        <v>21.817585301837269</v>
      </c>
      <c r="M16" s="20">
        <f>L16/1.12085</f>
        <v>19.465214169458243</v>
      </c>
      <c r="N16" s="19">
        <f>L16*$O$4</f>
        <v>8.2379039289594775</v>
      </c>
      <c r="O16" s="19">
        <f>M16*$O$4</f>
        <v>7.3496934727746597</v>
      </c>
      <c r="P16" s="18">
        <f>O16/480</f>
        <v>1.5311861401613874E-2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9471.4</v>
      </c>
      <c r="I18" s="13"/>
      <c r="J18" s="12"/>
      <c r="K18" s="16">
        <f t="shared" ref="K18:P18" si="6">AVERAGE(K9:K14)+K16/6</f>
        <v>392.79444444444442</v>
      </c>
      <c r="L18" s="16">
        <f t="shared" si="6"/>
        <v>3866.0870516185478</v>
      </c>
      <c r="M18" s="17">
        <f t="shared" si="6"/>
        <v>3449.2457078275847</v>
      </c>
      <c r="N18" s="16">
        <f t="shared" si="6"/>
        <v>1459.7607054867719</v>
      </c>
      <c r="O18" s="16">
        <f t="shared" si="6"/>
        <v>1302.3693674325484</v>
      </c>
      <c r="P18" s="15">
        <f t="shared" si="6"/>
        <v>2.7132695154844764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69.971584708842101</v>
      </c>
      <c r="I19" s="13"/>
      <c r="J19" s="12"/>
      <c r="K19" s="10">
        <f t="shared" ref="K19:P19" si="7">STDEV(K9:K14)/SQRT(COUNT(K9:K14))</f>
        <v>17.492896177210525</v>
      </c>
      <c r="L19" s="10">
        <f t="shared" si="7"/>
        <v>172.17417497254456</v>
      </c>
      <c r="M19" s="11">
        <f t="shared" si="7"/>
        <v>153.61036264669184</v>
      </c>
      <c r="N19" s="10">
        <f t="shared" si="7"/>
        <v>65.009683374641853</v>
      </c>
      <c r="O19" s="10">
        <f t="shared" si="7"/>
        <v>58.000342039204064</v>
      </c>
      <c r="P19" s="9">
        <f t="shared" si="7"/>
        <v>0.12083404591500842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B28A-5FA2-4CB3-8109-331D174A2B43}">
  <sheetPr codeName="Sheet35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406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3865.8</v>
      </c>
      <c r="N3" s="39" t="s">
        <v>139</v>
      </c>
      <c r="O3" s="38">
        <f>(L3-(L4+L5))/L3</f>
        <v>4.0172797351130468E-2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1367.4</v>
      </c>
      <c r="N4" s="39" t="s">
        <v>134</v>
      </c>
      <c r="O4" s="38">
        <f>L4/L3</f>
        <v>0.353717212478659</v>
      </c>
    </row>
    <row r="5" spans="1:18" ht="17.25" thickTop="1" thickBot="1" x14ac:dyDescent="0.25">
      <c r="B5" s="42" t="s">
        <v>133</v>
      </c>
      <c r="C5" s="51">
        <v>0.43958333333333338</v>
      </c>
      <c r="F5" s="37"/>
      <c r="G5" s="37"/>
      <c r="K5" s="39" t="s">
        <v>132</v>
      </c>
      <c r="L5" s="40">
        <v>2343.1</v>
      </c>
      <c r="N5" s="39" t="s">
        <v>131</v>
      </c>
      <c r="O5" s="38">
        <f>L5/L3</f>
        <v>0.6061099901702105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745</v>
      </c>
      <c r="F9" s="21">
        <v>973.6</v>
      </c>
      <c r="G9" s="21"/>
      <c r="H9" s="21">
        <f t="shared" ref="H9:H14" si="0">SUM(E9:G9)</f>
        <v>1718.6</v>
      </c>
      <c r="I9" s="21"/>
      <c r="K9" s="8">
        <f t="shared" ref="K9:K14" si="1">H9/D9</f>
        <v>429.65</v>
      </c>
      <c r="L9" s="19">
        <f t="shared" ref="L9:L14" si="2">K9/1.016*10</f>
        <v>4228.8385826771646</v>
      </c>
      <c r="M9" s="20">
        <f t="shared" ref="M9:M14" si="3">L9/1.12085</f>
        <v>3772.8853840185261</v>
      </c>
      <c r="N9" s="19">
        <f t="shared" ref="N9:O14" si="4">L9*$O$4</f>
        <v>1495.8129954867698</v>
      </c>
      <c r="O9" s="19">
        <f t="shared" si="4"/>
        <v>1334.5345010365079</v>
      </c>
      <c r="P9" s="18">
        <f t="shared" ref="P9:P14" si="5">O9/480</f>
        <v>2.7802802104927249</v>
      </c>
    </row>
    <row r="10" spans="1:18" ht="13.5" thickBot="1" x14ac:dyDescent="0.25">
      <c r="C10" s="29">
        <v>4</v>
      </c>
      <c r="D10" s="29">
        <v>4</v>
      </c>
      <c r="E10" s="21">
        <v>509.9</v>
      </c>
      <c r="F10" s="21">
        <v>894.7</v>
      </c>
      <c r="G10" s="21"/>
      <c r="H10" s="21">
        <f t="shared" si="0"/>
        <v>1404.6</v>
      </c>
      <c r="I10" s="21"/>
      <c r="K10" s="8">
        <f t="shared" si="1"/>
        <v>351.15</v>
      </c>
      <c r="L10" s="19">
        <f t="shared" si="2"/>
        <v>3456.2007874015744</v>
      </c>
      <c r="M10" s="20">
        <f t="shared" si="3"/>
        <v>3083.553363430945</v>
      </c>
      <c r="N10" s="19">
        <f t="shared" si="4"/>
        <v>1222.5177082862313</v>
      </c>
      <c r="O10" s="19">
        <f t="shared" si="4"/>
        <v>1090.7059002419871</v>
      </c>
      <c r="P10" s="18">
        <f t="shared" si="5"/>
        <v>2.2723039588374734</v>
      </c>
    </row>
    <row r="11" spans="1:18" ht="13.5" thickBot="1" x14ac:dyDescent="0.25">
      <c r="C11" s="29">
        <v>5</v>
      </c>
      <c r="D11" s="29">
        <v>4</v>
      </c>
      <c r="E11" s="21">
        <v>641</v>
      </c>
      <c r="F11" s="21">
        <v>1002.4</v>
      </c>
      <c r="G11" s="21"/>
      <c r="H11" s="21">
        <f t="shared" si="0"/>
        <v>1643.4</v>
      </c>
      <c r="I11" s="21"/>
      <c r="K11" s="8">
        <f t="shared" si="1"/>
        <v>410.85</v>
      </c>
      <c r="L11" s="19">
        <f t="shared" si="2"/>
        <v>4043.7992125984256</v>
      </c>
      <c r="M11" s="20">
        <f t="shared" si="3"/>
        <v>3607.7969510625203</v>
      </c>
      <c r="N11" s="19">
        <f t="shared" si="4"/>
        <v>1430.3613853037114</v>
      </c>
      <c r="O11" s="19">
        <f t="shared" si="4"/>
        <v>1276.1398807188395</v>
      </c>
      <c r="P11" s="18">
        <f t="shared" si="5"/>
        <v>2.6586247514975825</v>
      </c>
    </row>
    <row r="12" spans="1:18" ht="13.5" thickBot="1" x14ac:dyDescent="0.25">
      <c r="C12" s="29">
        <v>6</v>
      </c>
      <c r="D12" s="29">
        <v>4</v>
      </c>
      <c r="E12" s="21">
        <v>991.2</v>
      </c>
      <c r="F12" s="21">
        <v>564.5</v>
      </c>
      <c r="G12" s="21"/>
      <c r="H12" s="21">
        <f t="shared" si="0"/>
        <v>1555.7</v>
      </c>
      <c r="I12" s="21"/>
      <c r="K12" s="8">
        <f t="shared" si="1"/>
        <v>388.92500000000001</v>
      </c>
      <c r="L12" s="19">
        <f t="shared" si="2"/>
        <v>3828.001968503937</v>
      </c>
      <c r="M12" s="20">
        <f t="shared" si="3"/>
        <v>3415.2669567773896</v>
      </c>
      <c r="N12" s="19">
        <f t="shared" si="4"/>
        <v>1354.030185662032</v>
      </c>
      <c r="O12" s="19">
        <f t="shared" si="4"/>
        <v>1208.0387078217711</v>
      </c>
      <c r="P12" s="18">
        <f t="shared" si="5"/>
        <v>2.5167473079620231</v>
      </c>
    </row>
    <row r="13" spans="1:18" ht="13.5" thickBot="1" x14ac:dyDescent="0.25">
      <c r="C13" s="29">
        <v>7</v>
      </c>
      <c r="D13" s="29">
        <v>4</v>
      </c>
      <c r="E13" s="21">
        <v>904</v>
      </c>
      <c r="F13" s="21">
        <v>927.8</v>
      </c>
      <c r="G13" s="21"/>
      <c r="H13" s="21">
        <f t="shared" si="0"/>
        <v>1831.8</v>
      </c>
      <c r="I13" s="21"/>
      <c r="K13" s="8">
        <f t="shared" si="1"/>
        <v>457.95</v>
      </c>
      <c r="L13" s="19">
        <f t="shared" si="2"/>
        <v>4507.3818897637793</v>
      </c>
      <c r="M13" s="20">
        <f t="shared" si="3"/>
        <v>4021.3961634150687</v>
      </c>
      <c r="N13" s="19">
        <f t="shared" si="4"/>
        <v>1594.3385576240344</v>
      </c>
      <c r="O13" s="19">
        <f t="shared" si="4"/>
        <v>1422.437041195552</v>
      </c>
      <c r="P13" s="18">
        <f t="shared" si="5"/>
        <v>2.9634105024907331</v>
      </c>
    </row>
    <row r="14" spans="1:18" ht="13.5" thickBot="1" x14ac:dyDescent="0.25">
      <c r="C14" s="29">
        <v>8</v>
      </c>
      <c r="D14" s="29">
        <v>4</v>
      </c>
      <c r="E14" s="21">
        <v>751.8</v>
      </c>
      <c r="F14" s="21">
        <v>1066.7</v>
      </c>
      <c r="G14" s="21"/>
      <c r="H14" s="21">
        <f t="shared" si="0"/>
        <v>1818.5</v>
      </c>
      <c r="I14" s="21"/>
      <c r="K14" s="8">
        <f t="shared" si="1"/>
        <v>454.625</v>
      </c>
      <c r="L14" s="19">
        <f t="shared" si="2"/>
        <v>4474.6555118110236</v>
      </c>
      <c r="M14" s="20">
        <f t="shared" si="3"/>
        <v>3992.1983421608816</v>
      </c>
      <c r="N14" s="19">
        <f t="shared" si="4"/>
        <v>1582.7626744400625</v>
      </c>
      <c r="O14" s="19">
        <f t="shared" si="4"/>
        <v>1412.1092692510708</v>
      </c>
      <c r="P14" s="18">
        <f t="shared" si="5"/>
        <v>2.9418943109397309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126.5</v>
      </c>
      <c r="I16" s="21"/>
      <c r="K16" s="8">
        <f>H16/SUM($D$9:$D$14)</f>
        <v>5.270833333333333</v>
      </c>
      <c r="L16" s="19">
        <f>K16/1.016*10</f>
        <v>51.878280839895012</v>
      </c>
      <c r="M16" s="20">
        <f>L16/1.12085</f>
        <v>46.284766775121575</v>
      </c>
      <c r="N16" s="19">
        <f>L16*$O$4</f>
        <v>18.350240886872687</v>
      </c>
      <c r="O16" s="19">
        <f>M16*$O$4</f>
        <v>16.371718683920854</v>
      </c>
      <c r="P16" s="18">
        <f>O16/480</f>
        <v>3.4107747258168446E-2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10099.1</v>
      </c>
      <c r="I18" s="13"/>
      <c r="J18" s="12"/>
      <c r="K18" s="16">
        <f t="shared" ref="K18:P18" si="6">AVERAGE(K9:K14)+K16/6</f>
        <v>416.40347222222226</v>
      </c>
      <c r="L18" s="16">
        <f t="shared" si="6"/>
        <v>4098.4593722659665</v>
      </c>
      <c r="M18" s="17">
        <f t="shared" si="6"/>
        <v>3656.5636546067421</v>
      </c>
      <c r="N18" s="16">
        <f t="shared" si="6"/>
        <v>1449.6956246149523</v>
      </c>
      <c r="O18" s="16">
        <f t="shared" si="6"/>
        <v>1293.3895031582747</v>
      </c>
      <c r="P18" s="15">
        <f t="shared" si="6"/>
        <v>2.6945614649130727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66.939823722504684</v>
      </c>
      <c r="I19" s="13"/>
      <c r="J19" s="12"/>
      <c r="K19" s="10">
        <f t="shared" ref="K19:P19" si="7">STDEV(K9:K14)/SQRT(COUNT(K9:K14))</f>
        <v>16.734955930626171</v>
      </c>
      <c r="L19" s="10">
        <f t="shared" si="7"/>
        <v>164.71413317545446</v>
      </c>
      <c r="M19" s="11">
        <f t="shared" si="7"/>
        <v>146.95466224334609</v>
      </c>
      <c r="N19" s="10">
        <f t="shared" si="7"/>
        <v>58.262224042660364</v>
      </c>
      <c r="O19" s="10">
        <f t="shared" si="7"/>
        <v>51.980393489459225</v>
      </c>
      <c r="P19" s="9">
        <f t="shared" si="7"/>
        <v>0.10829248643637336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70EC-2C5C-41C5-A38A-CC691E3C2356}">
  <sheetPr codeName="Sheet36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407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2752.9</v>
      </c>
      <c r="N3" s="39" t="s">
        <v>139</v>
      </c>
      <c r="O3" s="38">
        <f>(L3-(L4+L5))/L3</f>
        <v>4.6896000581205237E-2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932.7</v>
      </c>
      <c r="N4" s="39" t="s">
        <v>134</v>
      </c>
      <c r="O4" s="38">
        <f>L4/L3</f>
        <v>0.33880634966762324</v>
      </c>
    </row>
    <row r="5" spans="1:18" ht="17.25" thickTop="1" thickBot="1" x14ac:dyDescent="0.25">
      <c r="B5" s="42" t="s">
        <v>133</v>
      </c>
      <c r="C5" s="51">
        <v>0.43958333333333338</v>
      </c>
      <c r="F5" s="37"/>
      <c r="G5" s="37"/>
      <c r="K5" s="39" t="s">
        <v>132</v>
      </c>
      <c r="L5" s="40">
        <v>1691.1</v>
      </c>
      <c r="N5" s="39" t="s">
        <v>131</v>
      </c>
      <c r="O5" s="38">
        <f>L5/L3</f>
        <v>0.6142976497511714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1052</v>
      </c>
      <c r="F9" s="21">
        <v>670.6</v>
      </c>
      <c r="G9" s="21"/>
      <c r="H9" s="21">
        <f t="shared" ref="H9:H14" si="0">SUM(E9:G9)</f>
        <v>1722.6</v>
      </c>
      <c r="I9" s="21"/>
      <c r="K9" s="8">
        <f t="shared" ref="K9:K14" si="1">H9/D9</f>
        <v>430.65</v>
      </c>
      <c r="L9" s="19">
        <f t="shared" ref="L9:L14" si="2">K9/1.016*10</f>
        <v>4238.6811023622049</v>
      </c>
      <c r="M9" s="20">
        <f t="shared" ref="M9:M14" si="3">L9/1.12085</f>
        <v>3781.6666836438462</v>
      </c>
      <c r="N9" s="19">
        <f t="shared" ref="N9:O14" si="4">L9*$O$4</f>
        <v>1436.0920716964758</v>
      </c>
      <c r="O9" s="19">
        <f t="shared" si="4"/>
        <v>1281.2526847450381</v>
      </c>
      <c r="P9" s="18">
        <f t="shared" ref="P9:P14" si="5">O9/480</f>
        <v>2.6692764265521629</v>
      </c>
    </row>
    <row r="10" spans="1:18" ht="13.5" thickBot="1" x14ac:dyDescent="0.25">
      <c r="C10" s="29">
        <v>4</v>
      </c>
      <c r="D10" s="29">
        <v>4</v>
      </c>
      <c r="E10" s="21">
        <v>1075.5999999999999</v>
      </c>
      <c r="F10" s="21">
        <v>759.3</v>
      </c>
      <c r="G10" s="21"/>
      <c r="H10" s="21">
        <f t="shared" si="0"/>
        <v>1834.8999999999999</v>
      </c>
      <c r="I10" s="21"/>
      <c r="K10" s="8">
        <f t="shared" si="1"/>
        <v>458.72499999999997</v>
      </c>
      <c r="L10" s="19">
        <f t="shared" si="2"/>
        <v>4515.0098425196848</v>
      </c>
      <c r="M10" s="20">
        <f t="shared" si="3"/>
        <v>4028.2016706246914</v>
      </c>
      <c r="N10" s="19">
        <f t="shared" si="4"/>
        <v>1529.7140034574848</v>
      </c>
      <c r="O10" s="19">
        <f t="shared" si="4"/>
        <v>1364.7803037493734</v>
      </c>
      <c r="P10" s="18">
        <f t="shared" si="5"/>
        <v>2.8432922994778611</v>
      </c>
    </row>
    <row r="11" spans="1:18" ht="13.5" thickBot="1" x14ac:dyDescent="0.25">
      <c r="C11" s="29">
        <v>5</v>
      </c>
      <c r="D11" s="29">
        <v>4</v>
      </c>
      <c r="E11" s="21">
        <v>521.29999999999995</v>
      </c>
      <c r="F11" s="21">
        <v>700.4</v>
      </c>
      <c r="G11" s="21"/>
      <c r="H11" s="21">
        <f t="shared" si="0"/>
        <v>1221.6999999999998</v>
      </c>
      <c r="I11" s="21"/>
      <c r="K11" s="8">
        <f t="shared" si="1"/>
        <v>305.42499999999995</v>
      </c>
      <c r="L11" s="19">
        <f t="shared" si="2"/>
        <v>3006.1515748031488</v>
      </c>
      <c r="M11" s="20">
        <f t="shared" si="3"/>
        <v>2682.0284380632102</v>
      </c>
      <c r="N11" s="19">
        <f t="shared" si="4"/>
        <v>1018.5032416066319</v>
      </c>
      <c r="O11" s="19">
        <f t="shared" si="4"/>
        <v>908.68826480495341</v>
      </c>
      <c r="P11" s="18">
        <f t="shared" si="5"/>
        <v>1.8931005516769863</v>
      </c>
    </row>
    <row r="12" spans="1:18" ht="13.5" thickBot="1" x14ac:dyDescent="0.25">
      <c r="C12" s="29">
        <v>6</v>
      </c>
      <c r="D12" s="29">
        <v>4</v>
      </c>
      <c r="E12" s="21">
        <v>1345.2</v>
      </c>
      <c r="F12" s="21"/>
      <c r="G12" s="21"/>
      <c r="H12" s="21">
        <f t="shared" si="0"/>
        <v>1345.2</v>
      </c>
      <c r="I12" s="21"/>
      <c r="K12" s="8">
        <f t="shared" si="1"/>
        <v>336.3</v>
      </c>
      <c r="L12" s="19">
        <f t="shared" si="2"/>
        <v>3310.0393700787399</v>
      </c>
      <c r="M12" s="20">
        <f t="shared" si="3"/>
        <v>2953.1510639949506</v>
      </c>
      <c r="N12" s="19">
        <f t="shared" si="4"/>
        <v>1121.4623562324969</v>
      </c>
      <c r="O12" s="19">
        <f t="shared" si="4"/>
        <v>1000.5463320091868</v>
      </c>
      <c r="P12" s="18">
        <f t="shared" si="5"/>
        <v>2.084471525019139</v>
      </c>
    </row>
    <row r="13" spans="1:18" ht="13.5" thickBot="1" x14ac:dyDescent="0.25">
      <c r="C13" s="29">
        <v>7</v>
      </c>
      <c r="D13" s="29">
        <v>4</v>
      </c>
      <c r="E13" s="21">
        <v>998.7</v>
      </c>
      <c r="F13" s="21">
        <v>930.7</v>
      </c>
      <c r="G13" s="21"/>
      <c r="H13" s="21">
        <f t="shared" si="0"/>
        <v>1929.4</v>
      </c>
      <c r="I13" s="21"/>
      <c r="K13" s="8">
        <f t="shared" si="1"/>
        <v>482.35</v>
      </c>
      <c r="L13" s="19">
        <f t="shared" si="2"/>
        <v>4747.5393700787399</v>
      </c>
      <c r="M13" s="20">
        <f t="shared" si="3"/>
        <v>4235.6598742728647</v>
      </c>
      <c r="N13" s="19">
        <f t="shared" si="4"/>
        <v>1608.4964838797052</v>
      </c>
      <c r="O13" s="19">
        <f t="shared" si="4"/>
        <v>1435.0684604360133</v>
      </c>
      <c r="P13" s="18">
        <f t="shared" si="5"/>
        <v>2.9897259592416945</v>
      </c>
    </row>
    <row r="14" spans="1:18" ht="13.5" thickBot="1" x14ac:dyDescent="0.25">
      <c r="C14" s="29">
        <v>8</v>
      </c>
      <c r="D14" s="29">
        <v>4</v>
      </c>
      <c r="E14" s="21">
        <v>723.9</v>
      </c>
      <c r="F14" s="21">
        <v>920.5</v>
      </c>
      <c r="G14" s="21"/>
      <c r="H14" s="21">
        <f t="shared" si="0"/>
        <v>1644.4</v>
      </c>
      <c r="I14" s="21"/>
      <c r="K14" s="8">
        <f t="shared" si="1"/>
        <v>411.1</v>
      </c>
      <c r="L14" s="19">
        <f t="shared" si="2"/>
        <v>4046.2598425196852</v>
      </c>
      <c r="M14" s="20">
        <f t="shared" si="3"/>
        <v>3609.9922759688502</v>
      </c>
      <c r="N14" s="19">
        <f t="shared" si="4"/>
        <v>1370.8985270507867</v>
      </c>
      <c r="O14" s="19">
        <f t="shared" si="4"/>
        <v>1223.0883053493212</v>
      </c>
      <c r="P14" s="18">
        <f t="shared" si="5"/>
        <v>2.5481006361444192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48.9</v>
      </c>
      <c r="I16" s="21"/>
      <c r="K16" s="8">
        <f>H16/SUM($D$9:$D$14)</f>
        <v>2.0375000000000001</v>
      </c>
      <c r="L16" s="19">
        <f>K16/1.016*10</f>
        <v>20.054133858267718</v>
      </c>
      <c r="M16" s="20">
        <f>L16/1.12085</f>
        <v>17.8918979865885</v>
      </c>
      <c r="N16" s="19">
        <f>L16*$O$4</f>
        <v>6.7944678882655749</v>
      </c>
      <c r="O16" s="19">
        <f>M16*$O$4</f>
        <v>6.0618886454615479</v>
      </c>
      <c r="P16" s="18">
        <f>O16/480</f>
        <v>1.2628934678044891E-2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9747.0999999999985</v>
      </c>
      <c r="I18" s="13"/>
      <c r="J18" s="12"/>
      <c r="K18" s="16">
        <f t="shared" ref="K18:P18" si="6">AVERAGE(K9:K14)+K16/6</f>
        <v>404.43124999999998</v>
      </c>
      <c r="L18" s="16">
        <f t="shared" si="6"/>
        <v>3980.6225393700788</v>
      </c>
      <c r="M18" s="17">
        <f t="shared" si="6"/>
        <v>3551.4319840925</v>
      </c>
      <c r="N18" s="16">
        <f t="shared" si="6"/>
        <v>1348.6601919686409</v>
      </c>
      <c r="O18" s="16">
        <f t="shared" si="6"/>
        <v>1203.2477066232245</v>
      </c>
      <c r="P18" s="15">
        <f t="shared" si="6"/>
        <v>2.506766055465051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113.59448539040601</v>
      </c>
      <c r="I19" s="13"/>
      <c r="J19" s="12"/>
      <c r="K19" s="10">
        <f t="shared" ref="K19:P19" si="7">STDEV(K9:K14)/SQRT(COUNT(K9:K14))</f>
        <v>28.398621347601502</v>
      </c>
      <c r="L19" s="10">
        <f t="shared" si="7"/>
        <v>279.51398964174763</v>
      </c>
      <c r="M19" s="11">
        <f t="shared" si="7"/>
        <v>249.37680299928343</v>
      </c>
      <c r="N19" s="10">
        <f t="shared" si="7"/>
        <v>94.701114511554138</v>
      </c>
      <c r="O19" s="10">
        <f t="shared" si="7"/>
        <v>84.490444315969896</v>
      </c>
      <c r="P19" s="9">
        <f t="shared" si="7"/>
        <v>0.17602175899160327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DCC2-576C-44B3-8AC3-EC79B9F51565}">
  <sheetPr codeName="Sheet37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408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37539</v>
      </c>
      <c r="K3" s="39" t="s">
        <v>140</v>
      </c>
      <c r="L3" s="40">
        <v>2751</v>
      </c>
      <c r="N3" s="39" t="s">
        <v>139</v>
      </c>
      <c r="O3" s="38">
        <f>(L3-(L4+L5))/L3</f>
        <v>4.1584878226099631E-2</v>
      </c>
    </row>
    <row r="4" spans="1:18" ht="17.25" thickTop="1" thickBot="1" x14ac:dyDescent="0.25">
      <c r="B4" s="42" t="s">
        <v>138</v>
      </c>
      <c r="C4" s="53">
        <v>37559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983.9</v>
      </c>
      <c r="N4" s="39" t="s">
        <v>134</v>
      </c>
      <c r="O4" s="38">
        <f>L4/L3</f>
        <v>0.35765176299527446</v>
      </c>
    </row>
    <row r="5" spans="1:18" ht="17.25" thickTop="1" thickBot="1" x14ac:dyDescent="0.25">
      <c r="B5" s="42" t="s">
        <v>133</v>
      </c>
      <c r="C5" s="51">
        <v>0.375</v>
      </c>
      <c r="F5" s="37"/>
      <c r="G5" s="37"/>
      <c r="K5" s="39" t="s">
        <v>132</v>
      </c>
      <c r="L5" s="40">
        <v>1652.7</v>
      </c>
      <c r="N5" s="39" t="s">
        <v>131</v>
      </c>
      <c r="O5" s="38">
        <f>L5/L3</f>
        <v>0.60076335877862597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4</v>
      </c>
      <c r="E9" s="21">
        <v>1441.7</v>
      </c>
      <c r="F9" s="21"/>
      <c r="G9" s="21"/>
      <c r="H9" s="21">
        <f t="shared" ref="H9:H14" si="0">SUM(E9:G9)</f>
        <v>1441.7</v>
      </c>
      <c r="I9" s="21"/>
      <c r="K9" s="8">
        <f t="shared" ref="K9:K14" si="1">H9/D9</f>
        <v>360.42500000000001</v>
      </c>
      <c r="L9" s="19">
        <f t="shared" ref="L9:L14" si="2">K9/1.016*10</f>
        <v>3547.4901574803152</v>
      </c>
      <c r="M9" s="20">
        <f t="shared" ref="M9:M14" si="3">L9/1.12085</f>
        <v>3164.9999174557843</v>
      </c>
      <c r="N9" s="19">
        <f t="shared" ref="N9:O14" si="4">L9*$O$4</f>
        <v>1268.7661090312185</v>
      </c>
      <c r="O9" s="19">
        <f t="shared" si="4"/>
        <v>1131.9678003579593</v>
      </c>
      <c r="P9" s="18">
        <f t="shared" ref="P9:P14" si="5">O9/480</f>
        <v>2.3582662507457486</v>
      </c>
    </row>
    <row r="10" spans="1:18" ht="13.5" thickBot="1" x14ac:dyDescent="0.25">
      <c r="C10" s="29">
        <v>4</v>
      </c>
      <c r="D10" s="29">
        <v>4</v>
      </c>
      <c r="E10" s="21">
        <v>1187.9000000000001</v>
      </c>
      <c r="F10" s="21"/>
      <c r="G10" s="21"/>
      <c r="H10" s="21">
        <f t="shared" si="0"/>
        <v>1187.9000000000001</v>
      </c>
      <c r="I10" s="21"/>
      <c r="K10" s="8">
        <f t="shared" si="1"/>
        <v>296.97500000000002</v>
      </c>
      <c r="L10" s="19">
        <f t="shared" si="2"/>
        <v>2922.982283464567</v>
      </c>
      <c r="M10" s="20">
        <f t="shared" si="3"/>
        <v>2607.8264562292611</v>
      </c>
      <c r="N10" s="19">
        <f t="shared" si="4"/>
        <v>1045.4097668850554</v>
      </c>
      <c r="O10" s="19">
        <f t="shared" si="4"/>
        <v>932.69372965611421</v>
      </c>
      <c r="P10" s="18">
        <f t="shared" si="5"/>
        <v>1.9431119367835712</v>
      </c>
    </row>
    <row r="11" spans="1:18" ht="13.5" thickBot="1" x14ac:dyDescent="0.25">
      <c r="C11" s="29">
        <v>5</v>
      </c>
      <c r="D11" s="29">
        <v>4</v>
      </c>
      <c r="E11" s="21">
        <v>551</v>
      </c>
      <c r="F11" s="21">
        <v>757.5</v>
      </c>
      <c r="G11" s="21"/>
      <c r="H11" s="21">
        <f t="shared" si="0"/>
        <v>1308.5</v>
      </c>
      <c r="I11" s="21"/>
      <c r="K11" s="8">
        <f t="shared" si="1"/>
        <v>327.125</v>
      </c>
      <c r="L11" s="19">
        <f t="shared" si="2"/>
        <v>3219.7342519685035</v>
      </c>
      <c r="M11" s="20">
        <f t="shared" si="3"/>
        <v>2872.5826399326438</v>
      </c>
      <c r="N11" s="19">
        <f t="shared" si="4"/>
        <v>1151.5436315928066</v>
      </c>
      <c r="O11" s="19">
        <f t="shared" si="4"/>
        <v>1027.3842455215297</v>
      </c>
      <c r="P11" s="18">
        <f t="shared" si="5"/>
        <v>2.1403838448365202</v>
      </c>
    </row>
    <row r="12" spans="1:18" ht="13.5" thickBot="1" x14ac:dyDescent="0.25">
      <c r="C12" s="29">
        <v>6</v>
      </c>
      <c r="D12" s="29">
        <v>4</v>
      </c>
      <c r="E12" s="21">
        <v>1046</v>
      </c>
      <c r="F12" s="21">
        <v>535.9</v>
      </c>
      <c r="G12" s="21"/>
      <c r="H12" s="21">
        <f t="shared" si="0"/>
        <v>1581.9</v>
      </c>
      <c r="I12" s="21"/>
      <c r="K12" s="8">
        <f t="shared" si="1"/>
        <v>395.47500000000002</v>
      </c>
      <c r="L12" s="19">
        <f t="shared" si="2"/>
        <v>3892.4704724409453</v>
      </c>
      <c r="M12" s="20">
        <f t="shared" si="3"/>
        <v>3472.7844693232328</v>
      </c>
      <c r="N12" s="19">
        <f t="shared" si="4"/>
        <v>1392.1489268755529</v>
      </c>
      <c r="O12" s="19">
        <f t="shared" si="4"/>
        <v>1242.0474879560629</v>
      </c>
      <c r="P12" s="18">
        <f t="shared" si="5"/>
        <v>2.5875989332417979</v>
      </c>
    </row>
    <row r="13" spans="1:18" ht="13.5" thickBot="1" x14ac:dyDescent="0.25">
      <c r="C13" s="29">
        <v>7</v>
      </c>
      <c r="D13" s="29">
        <v>4</v>
      </c>
      <c r="E13" s="21">
        <v>750.8</v>
      </c>
      <c r="F13" s="21">
        <v>566.79999999999995</v>
      </c>
      <c r="G13" s="21"/>
      <c r="H13" s="21">
        <f t="shared" si="0"/>
        <v>1317.6</v>
      </c>
      <c r="I13" s="21"/>
      <c r="K13" s="8">
        <f t="shared" si="1"/>
        <v>329.4</v>
      </c>
      <c r="L13" s="19">
        <f t="shared" si="2"/>
        <v>3242.125984251968</v>
      </c>
      <c r="M13" s="20">
        <f t="shared" si="3"/>
        <v>2892.5600965802455</v>
      </c>
      <c r="N13" s="19">
        <f t="shared" si="4"/>
        <v>1159.5520741205057</v>
      </c>
      <c r="O13" s="19">
        <f t="shared" si="4"/>
        <v>1034.5292181117061</v>
      </c>
      <c r="P13" s="18">
        <f t="shared" si="5"/>
        <v>2.1552692043993877</v>
      </c>
    </row>
    <row r="14" spans="1:18" ht="13.5" thickBot="1" x14ac:dyDescent="0.25">
      <c r="C14" s="29">
        <v>8</v>
      </c>
      <c r="D14" s="29">
        <v>4</v>
      </c>
      <c r="E14" s="21">
        <v>662.8</v>
      </c>
      <c r="F14" s="21">
        <v>680.2</v>
      </c>
      <c r="G14" s="21"/>
      <c r="H14" s="21">
        <f t="shared" si="0"/>
        <v>1343</v>
      </c>
      <c r="I14" s="21"/>
      <c r="K14" s="8">
        <f t="shared" si="1"/>
        <v>335.75</v>
      </c>
      <c r="L14" s="19">
        <f t="shared" si="2"/>
        <v>3304.6259842519685</v>
      </c>
      <c r="M14" s="20">
        <f t="shared" si="3"/>
        <v>2948.321349201025</v>
      </c>
      <c r="N14" s="19">
        <f t="shared" si="4"/>
        <v>1181.9053093077107</v>
      </c>
      <c r="O14" s="19">
        <f t="shared" si="4"/>
        <v>1054.4723284183528</v>
      </c>
      <c r="P14" s="18">
        <f t="shared" si="5"/>
        <v>2.1968173508715685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25.5</v>
      </c>
      <c r="I16" s="21"/>
      <c r="K16" s="8">
        <f>H16/SUM($D$9:$D$14)</f>
        <v>1.0625</v>
      </c>
      <c r="L16" s="19">
        <f>K16/1.016*10</f>
        <v>10.457677165354331</v>
      </c>
      <c r="M16" s="20">
        <f>L16/1.12085</f>
        <v>9.3301308519019788</v>
      </c>
      <c r="N16" s="19">
        <f>L16*$O$4</f>
        <v>3.740206675024401</v>
      </c>
      <c r="O16" s="19">
        <f>M16*$O$4</f>
        <v>3.3369377481593445</v>
      </c>
      <c r="P16" s="18">
        <f>O16/480</f>
        <v>6.9519536419986342E-3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8206.1</v>
      </c>
      <c r="I18" s="13"/>
      <c r="J18" s="12"/>
      <c r="K18" s="16">
        <f t="shared" ref="K18:P18" si="6">AVERAGE(K9:K14)+K16/6</f>
        <v>341.03541666666666</v>
      </c>
      <c r="L18" s="16">
        <f t="shared" si="6"/>
        <v>3356.6478018372704</v>
      </c>
      <c r="M18" s="17">
        <f t="shared" si="6"/>
        <v>2994.7341765956826</v>
      </c>
      <c r="N18" s="16">
        <f t="shared" si="6"/>
        <v>1200.5110040813122</v>
      </c>
      <c r="O18" s="16">
        <f t="shared" si="6"/>
        <v>1071.0719579616473</v>
      </c>
      <c r="P18" s="15">
        <f t="shared" si="6"/>
        <v>2.2313999124200992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54.833442755716561</v>
      </c>
      <c r="I19" s="13"/>
      <c r="J19" s="12"/>
      <c r="K19" s="10">
        <f t="shared" ref="K19:P19" si="7">STDEV(K9:K14)/SQRT(COUNT(K9:K14))</f>
        <v>13.70836068892914</v>
      </c>
      <c r="L19" s="10">
        <f t="shared" si="7"/>
        <v>134.92480993040502</v>
      </c>
      <c r="M19" s="11">
        <f t="shared" si="7"/>
        <v>120.37722258143819</v>
      </c>
      <c r="N19" s="10">
        <f t="shared" si="7"/>
        <v>48.256096143411654</v>
      </c>
      <c r="O19" s="10">
        <f t="shared" si="7"/>
        <v>43.053125880725943</v>
      </c>
      <c r="P19" s="9">
        <f t="shared" si="7"/>
        <v>8.9694012251512412E-2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CD0C-7DB4-4CEE-9F7C-E7AF6806ECFE}">
  <sheetPr codeName="Sheet38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902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37909</v>
      </c>
      <c r="K3" s="39" t="s">
        <v>140</v>
      </c>
      <c r="L3" s="40">
        <v>2417.6</v>
      </c>
      <c r="N3" s="39" t="s">
        <v>139</v>
      </c>
      <c r="O3" s="38">
        <f>(L3-(L4+L5))/L3</f>
        <v>3.7516545334215674E-2</v>
      </c>
    </row>
    <row r="4" spans="1:18" ht="17.25" thickTop="1" thickBot="1" x14ac:dyDescent="0.25">
      <c r="B4" s="42" t="s">
        <v>138</v>
      </c>
      <c r="C4" s="53">
        <v>37923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806.6</v>
      </c>
      <c r="N4" s="39" t="s">
        <v>134</v>
      </c>
      <c r="O4" s="38">
        <f>L4/L3</f>
        <v>0.33363666446062212</v>
      </c>
    </row>
    <row r="5" spans="1:18" ht="17.25" thickTop="1" thickBot="1" x14ac:dyDescent="0.25">
      <c r="B5" s="42" t="s">
        <v>133</v>
      </c>
      <c r="C5" s="51">
        <v>0.47291666666666665</v>
      </c>
      <c r="F5" s="37"/>
      <c r="G5" s="37"/>
      <c r="K5" s="39" t="s">
        <v>132</v>
      </c>
      <c r="L5" s="40">
        <v>1520.3</v>
      </c>
      <c r="N5" s="39" t="s">
        <v>131</v>
      </c>
      <c r="O5" s="38">
        <f>L5/L3</f>
        <v>0.6288467902051621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 t="s">
        <v>154</v>
      </c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2</v>
      </c>
      <c r="E9" s="21">
        <v>520.70000000000005</v>
      </c>
      <c r="F9" s="21"/>
      <c r="G9" s="21"/>
      <c r="H9" s="21">
        <f t="shared" ref="H9:H14" si="0">SUM(E9:G9)</f>
        <v>520.70000000000005</v>
      </c>
      <c r="I9" s="21" t="s">
        <v>153</v>
      </c>
      <c r="K9" s="8">
        <f t="shared" ref="K9:K14" si="1">H9/D9</f>
        <v>260.35000000000002</v>
      </c>
      <c r="L9" s="19">
        <f t="shared" ref="L9:L14" si="2">K9/1.016*10</f>
        <v>2562.5</v>
      </c>
      <c r="M9" s="20">
        <f t="shared" ref="M9:M14" si="3">L9/1.12085</f>
        <v>2286.211357451934</v>
      </c>
      <c r="N9" s="19">
        <f t="shared" ref="N9:O14" si="4">L9*$O$4</f>
        <v>854.94395268034418</v>
      </c>
      <c r="O9" s="19">
        <f t="shared" si="4"/>
        <v>762.76393155225435</v>
      </c>
      <c r="P9" s="18">
        <f t="shared" ref="P9:P14" si="5">O9/480</f>
        <v>1.5890915240671966</v>
      </c>
    </row>
    <row r="10" spans="1:18" ht="13.5" thickBot="1" x14ac:dyDescent="0.25">
      <c r="C10" s="29">
        <v>4</v>
      </c>
      <c r="D10" s="29">
        <v>2</v>
      </c>
      <c r="E10" s="21">
        <v>280.7</v>
      </c>
      <c r="F10" s="21"/>
      <c r="G10" s="21"/>
      <c r="H10" s="21">
        <f t="shared" si="0"/>
        <v>280.7</v>
      </c>
      <c r="I10" s="21"/>
      <c r="K10" s="8">
        <f t="shared" si="1"/>
        <v>140.35</v>
      </c>
      <c r="L10" s="19">
        <f t="shared" si="2"/>
        <v>1381.3976377952756</v>
      </c>
      <c r="M10" s="20">
        <f t="shared" si="3"/>
        <v>1232.455402413593</v>
      </c>
      <c r="N10" s="19">
        <f t="shared" si="4"/>
        <v>460.88490016779838</v>
      </c>
      <c r="O10" s="19">
        <f t="shared" si="4"/>
        <v>411.19230955774492</v>
      </c>
      <c r="P10" s="18">
        <f t="shared" si="5"/>
        <v>0.85665064491196863</v>
      </c>
    </row>
    <row r="11" spans="1:18" ht="13.5" thickBot="1" x14ac:dyDescent="0.25">
      <c r="C11" s="29">
        <v>5</v>
      </c>
      <c r="D11" s="29">
        <v>2</v>
      </c>
      <c r="E11" s="21">
        <v>418.7</v>
      </c>
      <c r="F11" s="21"/>
      <c r="G11" s="21"/>
      <c r="H11" s="21">
        <f t="shared" si="0"/>
        <v>418.7</v>
      </c>
      <c r="I11" s="21"/>
      <c r="K11" s="8">
        <f t="shared" si="1"/>
        <v>209.35</v>
      </c>
      <c r="L11" s="19">
        <f t="shared" si="2"/>
        <v>2060.5314960629921</v>
      </c>
      <c r="M11" s="20">
        <f t="shared" si="3"/>
        <v>1838.365076560639</v>
      </c>
      <c r="N11" s="19">
        <f t="shared" si="4"/>
        <v>687.46885536251227</v>
      </c>
      <c r="O11" s="19">
        <f t="shared" si="4"/>
        <v>613.34599220458779</v>
      </c>
      <c r="P11" s="18">
        <f t="shared" si="5"/>
        <v>1.2778041504262245</v>
      </c>
    </row>
    <row r="12" spans="1:18" ht="13.5" thickBot="1" x14ac:dyDescent="0.25">
      <c r="C12" s="29">
        <v>6</v>
      </c>
      <c r="D12" s="29">
        <v>2</v>
      </c>
      <c r="E12" s="21">
        <v>408.4</v>
      </c>
      <c r="F12" s="21"/>
      <c r="G12" s="21"/>
      <c r="H12" s="21">
        <f t="shared" si="0"/>
        <v>408.4</v>
      </c>
      <c r="I12" s="21"/>
      <c r="K12" s="8">
        <f t="shared" si="1"/>
        <v>204.2</v>
      </c>
      <c r="L12" s="19">
        <f t="shared" si="2"/>
        <v>2009.8425196850392</v>
      </c>
      <c r="M12" s="20">
        <f t="shared" si="3"/>
        <v>1793.1413834902435</v>
      </c>
      <c r="N12" s="19">
        <f t="shared" si="4"/>
        <v>670.55715435884872</v>
      </c>
      <c r="O12" s="19">
        <f t="shared" si="4"/>
        <v>598.25771009399011</v>
      </c>
      <c r="P12" s="18">
        <f t="shared" si="5"/>
        <v>1.2463702293624794</v>
      </c>
    </row>
    <row r="13" spans="1:18" ht="13.5" thickBot="1" x14ac:dyDescent="0.25">
      <c r="C13" s="29">
        <v>7</v>
      </c>
      <c r="D13" s="29">
        <v>2</v>
      </c>
      <c r="E13" s="21">
        <v>439.6</v>
      </c>
      <c r="F13" s="21"/>
      <c r="G13" s="21"/>
      <c r="H13" s="21">
        <f t="shared" si="0"/>
        <v>439.6</v>
      </c>
      <c r="I13" s="21"/>
      <c r="K13" s="8">
        <f t="shared" si="1"/>
        <v>219.8</v>
      </c>
      <c r="L13" s="19">
        <f t="shared" si="2"/>
        <v>2163.3858267716537</v>
      </c>
      <c r="M13" s="20">
        <f t="shared" si="3"/>
        <v>1930.129657645228</v>
      </c>
      <c r="N13" s="19">
        <f t="shared" si="4"/>
        <v>721.78483118547979</v>
      </c>
      <c r="O13" s="19">
        <f t="shared" si="4"/>
        <v>643.96202095327635</v>
      </c>
      <c r="P13" s="18">
        <f t="shared" si="5"/>
        <v>1.341587543652659</v>
      </c>
    </row>
    <row r="14" spans="1:18" ht="13.5" thickBot="1" x14ac:dyDescent="0.25">
      <c r="C14" s="29">
        <v>8</v>
      </c>
      <c r="D14" s="29">
        <v>2</v>
      </c>
      <c r="E14" s="21">
        <v>371.8</v>
      </c>
      <c r="F14" s="21"/>
      <c r="G14" s="21"/>
      <c r="H14" s="21">
        <f t="shared" si="0"/>
        <v>371.8</v>
      </c>
      <c r="I14" s="21"/>
      <c r="K14" s="8">
        <f t="shared" si="1"/>
        <v>185.9</v>
      </c>
      <c r="L14" s="19">
        <f t="shared" si="2"/>
        <v>1829.724409448819</v>
      </c>
      <c r="M14" s="20">
        <f t="shared" si="3"/>
        <v>1632.4436003468966</v>
      </c>
      <c r="N14" s="19">
        <f t="shared" si="4"/>
        <v>610.46314885068557</v>
      </c>
      <c r="O14" s="19">
        <f t="shared" si="4"/>
        <v>544.64303773982749</v>
      </c>
      <c r="P14" s="18">
        <f t="shared" si="5"/>
        <v>1.1346729952913073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9.4</v>
      </c>
      <c r="I16" s="21"/>
      <c r="K16" s="8">
        <f>H16/SUM($D$9:$D$14)</f>
        <v>0.78333333333333333</v>
      </c>
      <c r="L16" s="19">
        <f>K16/1.016*10</f>
        <v>7.7099737532808401</v>
      </c>
      <c r="M16" s="20">
        <f>L16/1.12085</f>
        <v>6.8786847065002821</v>
      </c>
      <c r="N16" s="19">
        <f>L16*$O$4</f>
        <v>2.572329926123563</v>
      </c>
      <c r="O16" s="19">
        <f>M16*$O$4</f>
        <v>2.2949814213530475</v>
      </c>
      <c r="P16" s="18">
        <f>O16/480</f>
        <v>4.7812112944855155E-3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2449.3000000000002</v>
      </c>
      <c r="I18" s="13"/>
      <c r="J18" s="12"/>
      <c r="K18" s="16">
        <f t="shared" ref="K18:P18" si="6">AVERAGE(K9:K14)+K16/6</f>
        <v>203.45555555555558</v>
      </c>
      <c r="L18" s="16">
        <f t="shared" si="6"/>
        <v>2002.5153105861771</v>
      </c>
      <c r="M18" s="17">
        <f t="shared" si="6"/>
        <v>1786.6041937691721</v>
      </c>
      <c r="N18" s="16">
        <f t="shared" si="6"/>
        <v>668.11252875529874</v>
      </c>
      <c r="O18" s="16">
        <f t="shared" si="6"/>
        <v>596.07666392050567</v>
      </c>
      <c r="P18" s="15">
        <f t="shared" si="6"/>
        <v>1.2418263831677201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32.310625187389945</v>
      </c>
      <c r="I19" s="13"/>
      <c r="J19" s="12"/>
      <c r="K19" s="10">
        <f t="shared" ref="K19:P19" si="7">STDEV(K9:K14)/SQRT(COUNT(K9:K14))</f>
        <v>16.155312593694973</v>
      </c>
      <c r="L19" s="10">
        <f t="shared" si="7"/>
        <v>159.00898222140671</v>
      </c>
      <c r="M19" s="11">
        <f t="shared" si="7"/>
        <v>141.86464042593335</v>
      </c>
      <c r="N19" s="10">
        <f t="shared" si="7"/>
        <v>53.051226447628522</v>
      </c>
      <c r="O19" s="10">
        <f t="shared" si="7"/>
        <v>47.331245436614012</v>
      </c>
      <c r="P19" s="9">
        <f t="shared" si="7"/>
        <v>9.8606761326279282E-2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253-D956-4274-A965-A953DBA9EFB0}">
  <sheetPr codeName="Sheet39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904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37544</v>
      </c>
      <c r="K3" s="39" t="s">
        <v>140</v>
      </c>
      <c r="L3" s="40">
        <v>631.5</v>
      </c>
      <c r="N3" s="39" t="s">
        <v>139</v>
      </c>
      <c r="O3" s="38">
        <f>(L3-(L4+L5))/L3</f>
        <v>0.10467141726049094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204.2</v>
      </c>
      <c r="N4" s="39" t="s">
        <v>134</v>
      </c>
      <c r="O4" s="38">
        <f>L4/L3</f>
        <v>0.32335708630245447</v>
      </c>
    </row>
    <row r="5" spans="1:18" ht="17.25" thickTop="1" thickBot="1" x14ac:dyDescent="0.25">
      <c r="B5" s="42" t="s">
        <v>133</v>
      </c>
      <c r="C5" s="51">
        <v>0.47222222222222227</v>
      </c>
      <c r="F5" s="37"/>
      <c r="G5" s="37"/>
      <c r="K5" s="39" t="s">
        <v>132</v>
      </c>
      <c r="L5" s="40">
        <v>361.2</v>
      </c>
      <c r="N5" s="39" t="s">
        <v>131</v>
      </c>
      <c r="O5" s="38">
        <f>L5/L3</f>
        <v>0.57197149643705458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2</v>
      </c>
      <c r="E9" s="21">
        <v>627.1</v>
      </c>
      <c r="F9" s="21"/>
      <c r="G9" s="21"/>
      <c r="H9" s="21">
        <f t="shared" ref="H9:H14" si="0">SUM(E9:G9)</f>
        <v>627.1</v>
      </c>
      <c r="I9" s="21" t="s">
        <v>155</v>
      </c>
      <c r="K9" s="8">
        <f t="shared" ref="K9:K14" si="1">H9/D9</f>
        <v>313.55</v>
      </c>
      <c r="L9" s="19">
        <f t="shared" ref="L9:L14" si="2">K9/1.016*10</f>
        <v>3086.1220472440946</v>
      </c>
      <c r="M9" s="20">
        <f t="shared" ref="M9:M14" si="3">L9/1.12085</f>
        <v>2753.376497518932</v>
      </c>
      <c r="N9" s="19">
        <f t="shared" ref="N9:O14" si="4">L9*$O$4</f>
        <v>997.91943317061612</v>
      </c>
      <c r="O9" s="19">
        <f t="shared" si="4"/>
        <v>890.32380173137904</v>
      </c>
      <c r="P9" s="18">
        <f t="shared" ref="P9:P14" si="5">O9/480</f>
        <v>1.8548412536070396</v>
      </c>
    </row>
    <row r="10" spans="1:18" ht="13.5" thickBot="1" x14ac:dyDescent="0.25">
      <c r="C10" s="29">
        <v>4</v>
      </c>
      <c r="D10" s="29">
        <v>2</v>
      </c>
      <c r="E10" s="21"/>
      <c r="F10" s="21"/>
      <c r="G10" s="21"/>
      <c r="H10" s="21">
        <f t="shared" si="0"/>
        <v>0</v>
      </c>
      <c r="I10" s="21"/>
      <c r="K10" s="8">
        <f t="shared" si="1"/>
        <v>0</v>
      </c>
      <c r="L10" s="19">
        <f t="shared" si="2"/>
        <v>0</v>
      </c>
      <c r="M10" s="20">
        <f t="shared" si="3"/>
        <v>0</v>
      </c>
      <c r="N10" s="19">
        <f t="shared" si="4"/>
        <v>0</v>
      </c>
      <c r="O10" s="19">
        <f t="shared" si="4"/>
        <v>0</v>
      </c>
      <c r="P10" s="18">
        <f t="shared" si="5"/>
        <v>0</v>
      </c>
    </row>
    <row r="11" spans="1:18" ht="13.5" thickBot="1" x14ac:dyDescent="0.25">
      <c r="C11" s="29">
        <v>5</v>
      </c>
      <c r="D11" s="29">
        <v>2</v>
      </c>
      <c r="E11" s="21"/>
      <c r="F11" s="21"/>
      <c r="G11" s="21"/>
      <c r="H11" s="21">
        <f t="shared" si="0"/>
        <v>0</v>
      </c>
      <c r="I11" s="21"/>
      <c r="K11" s="8">
        <f t="shared" si="1"/>
        <v>0</v>
      </c>
      <c r="L11" s="19">
        <f t="shared" si="2"/>
        <v>0</v>
      </c>
      <c r="M11" s="20">
        <f t="shared" si="3"/>
        <v>0</v>
      </c>
      <c r="N11" s="19">
        <f t="shared" si="4"/>
        <v>0</v>
      </c>
      <c r="O11" s="19">
        <f t="shared" si="4"/>
        <v>0</v>
      </c>
      <c r="P11" s="18">
        <f t="shared" si="5"/>
        <v>0</v>
      </c>
    </row>
    <row r="12" spans="1:18" ht="13.5" thickBot="1" x14ac:dyDescent="0.25">
      <c r="C12" s="29">
        <v>6</v>
      </c>
      <c r="D12" s="29">
        <v>2</v>
      </c>
      <c r="E12" s="21"/>
      <c r="F12" s="21"/>
      <c r="G12" s="21"/>
      <c r="H12" s="21">
        <f t="shared" si="0"/>
        <v>0</v>
      </c>
      <c r="I12" s="21"/>
      <c r="K12" s="8">
        <f t="shared" si="1"/>
        <v>0</v>
      </c>
      <c r="L12" s="19">
        <f t="shared" si="2"/>
        <v>0</v>
      </c>
      <c r="M12" s="20">
        <f t="shared" si="3"/>
        <v>0</v>
      </c>
      <c r="N12" s="19">
        <f t="shared" si="4"/>
        <v>0</v>
      </c>
      <c r="O12" s="19">
        <f t="shared" si="4"/>
        <v>0</v>
      </c>
      <c r="P12" s="18">
        <f t="shared" si="5"/>
        <v>0</v>
      </c>
    </row>
    <row r="13" spans="1:18" ht="13.5" thickBot="1" x14ac:dyDescent="0.25">
      <c r="C13" s="29">
        <v>7</v>
      </c>
      <c r="D13" s="29">
        <v>2</v>
      </c>
      <c r="E13" s="21"/>
      <c r="F13" s="21"/>
      <c r="G13" s="21"/>
      <c r="H13" s="21">
        <f t="shared" si="0"/>
        <v>0</v>
      </c>
      <c r="I13" s="21"/>
      <c r="K13" s="8">
        <f t="shared" si="1"/>
        <v>0</v>
      </c>
      <c r="L13" s="19">
        <f t="shared" si="2"/>
        <v>0</v>
      </c>
      <c r="M13" s="20">
        <f t="shared" si="3"/>
        <v>0</v>
      </c>
      <c r="N13" s="19">
        <f t="shared" si="4"/>
        <v>0</v>
      </c>
      <c r="O13" s="19">
        <f t="shared" si="4"/>
        <v>0</v>
      </c>
      <c r="P13" s="18">
        <f t="shared" si="5"/>
        <v>0</v>
      </c>
    </row>
    <row r="14" spans="1:18" ht="13.5" thickBot="1" x14ac:dyDescent="0.25">
      <c r="C14" s="29">
        <v>8</v>
      </c>
      <c r="D14" s="29">
        <v>2</v>
      </c>
      <c r="E14" s="21"/>
      <c r="F14" s="21"/>
      <c r="G14" s="21"/>
      <c r="H14" s="21">
        <f t="shared" si="0"/>
        <v>0</v>
      </c>
      <c r="I14" s="21"/>
      <c r="K14" s="8">
        <f t="shared" si="1"/>
        <v>0</v>
      </c>
      <c r="L14" s="19">
        <f t="shared" si="2"/>
        <v>0</v>
      </c>
      <c r="M14" s="20">
        <f t="shared" si="3"/>
        <v>0</v>
      </c>
      <c r="N14" s="19">
        <f t="shared" si="4"/>
        <v>0</v>
      </c>
      <c r="O14" s="19">
        <f t="shared" si="4"/>
        <v>0</v>
      </c>
      <c r="P14" s="18">
        <f t="shared" si="5"/>
        <v>0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7.21</v>
      </c>
      <c r="I16" s="21"/>
      <c r="K16" s="8">
        <f>H16/SUM($D$9:$D$14)</f>
        <v>0.60083333333333333</v>
      </c>
      <c r="L16" s="19">
        <f>K16/1.016*10</f>
        <v>5.9137139107611549</v>
      </c>
      <c r="M16" s="20">
        <f>L16/1.12085</f>
        <v>5.2760975248794715</v>
      </c>
      <c r="N16" s="19">
        <f>L16*$O$4</f>
        <v>1.9122412994100202</v>
      </c>
      <c r="O16" s="19">
        <f>M16*$O$4</f>
        <v>1.7060635226926177</v>
      </c>
      <c r="P16" s="18">
        <f>O16/480</f>
        <v>3.5542990056096203E-3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634.31000000000006</v>
      </c>
      <c r="I18" s="13"/>
      <c r="J18" s="12"/>
      <c r="K18" s="16">
        <f t="shared" ref="K18:P18" si="6">AVERAGE(K9:K14)+K16/6</f>
        <v>52.358472222222218</v>
      </c>
      <c r="L18" s="16">
        <f t="shared" si="6"/>
        <v>515.33929352580924</v>
      </c>
      <c r="M18" s="17">
        <f t="shared" si="6"/>
        <v>459.7754325073019</v>
      </c>
      <c r="N18" s="16">
        <f t="shared" si="6"/>
        <v>166.63861241167101</v>
      </c>
      <c r="O18" s="16">
        <f t="shared" si="6"/>
        <v>148.67164420901196</v>
      </c>
      <c r="P18" s="15">
        <f t="shared" si="6"/>
        <v>0.30973259210210824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104.51666666666669</v>
      </c>
      <c r="I19" s="13"/>
      <c r="J19" s="12"/>
      <c r="K19" s="10">
        <f t="shared" ref="K19:P19" si="7">STDEV(K9:K14)/SQRT(COUNT(K9:K14))</f>
        <v>52.258333333333347</v>
      </c>
      <c r="L19" s="10">
        <f t="shared" si="7"/>
        <v>514.3536745406825</v>
      </c>
      <c r="M19" s="11">
        <f t="shared" si="7"/>
        <v>458.89608291982205</v>
      </c>
      <c r="N19" s="10">
        <f t="shared" si="7"/>
        <v>166.31990552843604</v>
      </c>
      <c r="O19" s="10">
        <f t="shared" si="7"/>
        <v>148.38730028856318</v>
      </c>
      <c r="P19" s="9">
        <f t="shared" si="7"/>
        <v>0.30914020893450661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3896-9A25-476D-8476-3FC8F18D39F0}">
  <sheetPr codeName="Sheet40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906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37544</v>
      </c>
      <c r="K3" s="39" t="s">
        <v>140</v>
      </c>
      <c r="L3" s="40">
        <v>2835</v>
      </c>
      <c r="N3" s="39" t="s">
        <v>139</v>
      </c>
      <c r="O3" s="38">
        <f>(L3-(L4+L5))/L3</f>
        <v>4.1022927689594417E-2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950.3</v>
      </c>
      <c r="N4" s="39" t="s">
        <v>134</v>
      </c>
      <c r="O4" s="38">
        <f>L4/L3</f>
        <v>0.33520282186948852</v>
      </c>
    </row>
    <row r="5" spans="1:18" ht="17.25" thickTop="1" thickBot="1" x14ac:dyDescent="0.25">
      <c r="B5" s="42" t="s">
        <v>133</v>
      </c>
      <c r="C5" s="51">
        <v>0.47222222222222227</v>
      </c>
      <c r="F5" s="37"/>
      <c r="G5" s="37"/>
      <c r="K5" s="39" t="s">
        <v>132</v>
      </c>
      <c r="L5" s="40">
        <v>1768.4</v>
      </c>
      <c r="N5" s="39" t="s">
        <v>131</v>
      </c>
      <c r="O5" s="38">
        <f>L5/L3</f>
        <v>0.62377425044091717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2</v>
      </c>
      <c r="E9" s="21">
        <v>543.79999999999995</v>
      </c>
      <c r="F9" s="21"/>
      <c r="G9" s="21"/>
      <c r="H9" s="21">
        <f t="shared" ref="H9:H14" si="0">SUM(E9:G9)</f>
        <v>543.79999999999995</v>
      </c>
      <c r="I9" s="21" t="s">
        <v>154</v>
      </c>
      <c r="K9" s="8">
        <f t="shared" ref="K9:K14" si="1">H9/D9</f>
        <v>271.89999999999998</v>
      </c>
      <c r="L9" s="19">
        <f t="shared" ref="L9:L14" si="2">K9/1.016*10</f>
        <v>2676.1811023622045</v>
      </c>
      <c r="M9" s="20">
        <f t="shared" ref="M9:M14" si="3">L9/1.12085</f>
        <v>2387.6353681243741</v>
      </c>
      <c r="N9" s="19">
        <f t="shared" ref="N9:O14" si="4">L9*$O$4</f>
        <v>897.06345734560944</v>
      </c>
      <c r="O9" s="19">
        <f t="shared" si="4"/>
        <v>800.34211299068522</v>
      </c>
      <c r="P9" s="18">
        <f t="shared" ref="P9:P14" si="5">O9/480</f>
        <v>1.6673794020639277</v>
      </c>
    </row>
    <row r="10" spans="1:18" ht="13.5" thickBot="1" x14ac:dyDescent="0.25">
      <c r="C10" s="29">
        <v>4</v>
      </c>
      <c r="D10" s="29">
        <v>2</v>
      </c>
      <c r="E10" s="21">
        <v>494.4</v>
      </c>
      <c r="F10" s="21"/>
      <c r="G10" s="21"/>
      <c r="H10" s="21">
        <f t="shared" si="0"/>
        <v>494.4</v>
      </c>
      <c r="I10" s="21" t="s">
        <v>156</v>
      </c>
      <c r="K10" s="8">
        <f t="shared" si="1"/>
        <v>247.2</v>
      </c>
      <c r="L10" s="19">
        <f t="shared" si="2"/>
        <v>2433.070866141732</v>
      </c>
      <c r="M10" s="20">
        <f t="shared" si="3"/>
        <v>2170.7372673789823</v>
      </c>
      <c r="N10" s="19">
        <f t="shared" si="4"/>
        <v>815.57222013914918</v>
      </c>
      <c r="O10" s="19">
        <f t="shared" si="4"/>
        <v>727.6372575626973</v>
      </c>
      <c r="P10" s="18">
        <f t="shared" si="5"/>
        <v>1.5159109532556194</v>
      </c>
    </row>
    <row r="11" spans="1:18" ht="13.5" thickBot="1" x14ac:dyDescent="0.25">
      <c r="C11" s="29">
        <v>5</v>
      </c>
      <c r="D11" s="29">
        <v>2</v>
      </c>
      <c r="E11" s="21">
        <v>469.3</v>
      </c>
      <c r="F11" s="21"/>
      <c r="G11" s="21"/>
      <c r="H11" s="21">
        <f t="shared" si="0"/>
        <v>469.3</v>
      </c>
      <c r="I11" s="21"/>
      <c r="K11" s="8">
        <f t="shared" si="1"/>
        <v>234.65</v>
      </c>
      <c r="L11" s="19">
        <f t="shared" si="2"/>
        <v>2309.5472440944882</v>
      </c>
      <c r="M11" s="20">
        <f t="shared" si="3"/>
        <v>2060.5319570812226</v>
      </c>
      <c r="N11" s="19">
        <f t="shared" si="4"/>
        <v>774.16675346137288</v>
      </c>
      <c r="O11" s="19">
        <f t="shared" si="4"/>
        <v>690.69612656588561</v>
      </c>
      <c r="P11" s="18">
        <f t="shared" si="5"/>
        <v>1.4389502636789284</v>
      </c>
    </row>
    <row r="12" spans="1:18" ht="13.5" thickBot="1" x14ac:dyDescent="0.25">
      <c r="C12" s="29">
        <v>6</v>
      </c>
      <c r="D12" s="29">
        <v>2</v>
      </c>
      <c r="E12" s="21">
        <v>402.1</v>
      </c>
      <c r="F12" s="21"/>
      <c r="G12" s="21"/>
      <c r="H12" s="21">
        <f t="shared" si="0"/>
        <v>402.1</v>
      </c>
      <c r="I12" s="21"/>
      <c r="K12" s="8">
        <f t="shared" si="1"/>
        <v>201.05</v>
      </c>
      <c r="L12" s="19">
        <f t="shared" si="2"/>
        <v>1978.8385826771653</v>
      </c>
      <c r="M12" s="20">
        <f t="shared" si="3"/>
        <v>1765.4802896704871</v>
      </c>
      <c r="N12" s="19">
        <f t="shared" si="4"/>
        <v>663.31227693760502</v>
      </c>
      <c r="O12" s="19">
        <f t="shared" si="4"/>
        <v>591.79397505250927</v>
      </c>
      <c r="P12" s="18">
        <f t="shared" si="5"/>
        <v>1.2329041146927275</v>
      </c>
    </row>
    <row r="13" spans="1:18" ht="13.5" thickBot="1" x14ac:dyDescent="0.25">
      <c r="C13" s="29">
        <v>7</v>
      </c>
      <c r="D13" s="29">
        <v>2</v>
      </c>
      <c r="E13" s="21">
        <v>660.8</v>
      </c>
      <c r="F13" s="21"/>
      <c r="G13" s="21"/>
      <c r="H13" s="21">
        <f t="shared" si="0"/>
        <v>660.8</v>
      </c>
      <c r="I13" s="21"/>
      <c r="K13" s="8">
        <f t="shared" si="1"/>
        <v>330.4</v>
      </c>
      <c r="L13" s="19">
        <f t="shared" si="2"/>
        <v>3251.9685039370074</v>
      </c>
      <c r="M13" s="20">
        <f t="shared" si="3"/>
        <v>2901.3413962055652</v>
      </c>
      <c r="N13" s="19">
        <f t="shared" si="4"/>
        <v>1090.0690191503838</v>
      </c>
      <c r="O13" s="19">
        <f t="shared" si="4"/>
        <v>972.53782321486722</v>
      </c>
      <c r="P13" s="18">
        <f t="shared" si="5"/>
        <v>2.0261204650309734</v>
      </c>
    </row>
    <row r="14" spans="1:18" ht="13.5" thickBot="1" x14ac:dyDescent="0.25">
      <c r="C14" s="29">
        <v>8</v>
      </c>
      <c r="D14" s="29">
        <v>2</v>
      </c>
      <c r="E14" s="21">
        <v>270.60000000000002</v>
      </c>
      <c r="F14" s="21"/>
      <c r="G14" s="21"/>
      <c r="H14" s="21">
        <f t="shared" si="0"/>
        <v>270.60000000000002</v>
      </c>
      <c r="I14" s="21"/>
      <c r="K14" s="8">
        <f t="shared" si="1"/>
        <v>135.30000000000001</v>
      </c>
      <c r="L14" s="19">
        <f t="shared" si="2"/>
        <v>1331.6929133858271</v>
      </c>
      <c r="M14" s="20">
        <f t="shared" si="3"/>
        <v>1188.1098393057298</v>
      </c>
      <c r="N14" s="19">
        <f t="shared" si="4"/>
        <v>446.38722243052962</v>
      </c>
      <c r="O14" s="19">
        <f t="shared" si="4"/>
        <v>398.25777082618515</v>
      </c>
      <c r="P14" s="18">
        <f t="shared" si="5"/>
        <v>0.82970368922121907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16.7</v>
      </c>
      <c r="I16" s="21"/>
      <c r="K16" s="8">
        <f>H16/SUM($D$9:$D$14)</f>
        <v>1.3916666666666666</v>
      </c>
      <c r="L16" s="19">
        <f>K16/1.016*10</f>
        <v>13.697506561679788</v>
      </c>
      <c r="M16" s="20">
        <f>L16/1.12085</f>
        <v>12.220641978569647</v>
      </c>
      <c r="N16" s="19">
        <f>L16*$O$4</f>
        <v>4.5914428520508999</v>
      </c>
      <c r="O16" s="19">
        <f>M16*$O$4</f>
        <v>4.0963936762732756</v>
      </c>
      <c r="P16" s="18">
        <f>O16/480</f>
        <v>8.5341534922359907E-3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2857.6999999999994</v>
      </c>
      <c r="I18" s="13"/>
      <c r="J18" s="12"/>
      <c r="K18" s="16">
        <f t="shared" ref="K18:P18" si="6">AVERAGE(K9:K14)+K16/6</f>
        <v>236.98194444444442</v>
      </c>
      <c r="L18" s="16">
        <f t="shared" si="6"/>
        <v>2332.4994531933503</v>
      </c>
      <c r="M18" s="17">
        <f t="shared" si="6"/>
        <v>2081.0094599574886</v>
      </c>
      <c r="N18" s="16">
        <f t="shared" si="6"/>
        <v>781.86039871945013</v>
      </c>
      <c r="O18" s="16">
        <f t="shared" si="6"/>
        <v>697.5602433148506</v>
      </c>
      <c r="P18" s="15">
        <f t="shared" si="6"/>
        <v>1.4532505069059383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53.772421680015007</v>
      </c>
      <c r="I19" s="13"/>
      <c r="J19" s="12"/>
      <c r="K19" s="10">
        <f t="shared" ref="K19:P19" si="7">STDEV(K9:K14)/SQRT(COUNT(K9:K14))</f>
        <v>26.886210840007504</v>
      </c>
      <c r="L19" s="10">
        <f t="shared" si="7"/>
        <v>264.62805944889226</v>
      </c>
      <c r="M19" s="11">
        <f t="shared" si="7"/>
        <v>236.09587317561855</v>
      </c>
      <c r="N19" s="10">
        <f t="shared" si="7"/>
        <v>88.704072273115486</v>
      </c>
      <c r="O19" s="10">
        <f t="shared" si="7"/>
        <v>79.140002920208161</v>
      </c>
      <c r="P19" s="9">
        <f t="shared" si="7"/>
        <v>0.16487500608376732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CE15-F579-48E4-A713-C759ED65BA0D}">
  <sheetPr codeName="Sheet41">
    <pageSetUpPr fitToPage="1"/>
  </sheetPr>
  <dimension ref="A1:R22"/>
  <sheetViews>
    <sheetView workbookViewId="0"/>
  </sheetViews>
  <sheetFormatPr defaultRowHeight="12.75" x14ac:dyDescent="0.2"/>
  <cols>
    <col min="1" max="16384" width="9.140625" style="8"/>
  </cols>
  <sheetData>
    <row r="1" spans="1:18" ht="37.5" x14ac:dyDescent="0.2">
      <c r="A1" s="49" t="s">
        <v>145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8" ht="18.75" thickBot="1" x14ac:dyDescent="0.3">
      <c r="H2" s="48" t="s">
        <v>144</v>
      </c>
      <c r="I2" s="54">
        <v>908</v>
      </c>
      <c r="J2" s="46"/>
      <c r="K2" s="39" t="s">
        <v>143</v>
      </c>
      <c r="L2" s="45">
        <v>37560</v>
      </c>
      <c r="N2" s="39"/>
      <c r="O2" s="40"/>
    </row>
    <row r="3" spans="1:18" ht="17.25" thickTop="1" thickBot="1" x14ac:dyDescent="0.25">
      <c r="B3" s="42" t="s">
        <v>141</v>
      </c>
      <c r="C3" s="53">
        <v>37544</v>
      </c>
      <c r="K3" s="39" t="s">
        <v>140</v>
      </c>
      <c r="L3" s="40">
        <v>759.9</v>
      </c>
      <c r="N3" s="39" t="s">
        <v>139</v>
      </c>
      <c r="O3" s="38">
        <f>(L3-(L4+L5))/L3</f>
        <v>0.1102776681142255</v>
      </c>
    </row>
    <row r="4" spans="1:18" ht="17.25" thickTop="1" thickBot="1" x14ac:dyDescent="0.25">
      <c r="B4" s="42" t="s">
        <v>138</v>
      </c>
      <c r="C4" s="53">
        <v>37558</v>
      </c>
      <c r="F4" s="37"/>
      <c r="G4" s="37"/>
      <c r="H4" s="42" t="s">
        <v>137</v>
      </c>
      <c r="I4" s="52" t="s">
        <v>148</v>
      </c>
      <c r="K4" s="39" t="s">
        <v>135</v>
      </c>
      <c r="L4" s="40">
        <v>235.9</v>
      </c>
      <c r="N4" s="39" t="s">
        <v>134</v>
      </c>
      <c r="O4" s="38">
        <f>L4/L3</f>
        <v>0.31043558362942492</v>
      </c>
    </row>
    <row r="5" spans="1:18" ht="17.25" thickTop="1" thickBot="1" x14ac:dyDescent="0.25">
      <c r="B5" s="42" t="s">
        <v>133</v>
      </c>
      <c r="C5" s="51">
        <v>0.47152777777777777</v>
      </c>
      <c r="F5" s="37"/>
      <c r="G5" s="37"/>
      <c r="K5" s="39" t="s">
        <v>132</v>
      </c>
      <c r="L5" s="40">
        <v>440.2</v>
      </c>
      <c r="M5" s="8" t="s">
        <v>157</v>
      </c>
      <c r="N5" s="39" t="s">
        <v>131</v>
      </c>
      <c r="O5" s="38">
        <f>L5/L3</f>
        <v>0.57928674825634952</v>
      </c>
      <c r="Q5" s="18"/>
    </row>
    <row r="6" spans="1:18" ht="17.25" thickTop="1" thickBot="1" x14ac:dyDescent="0.25">
      <c r="F6" s="37"/>
      <c r="G6" s="37"/>
      <c r="K6" s="58" t="s">
        <v>130</v>
      </c>
      <c r="L6" s="58"/>
      <c r="M6" s="59"/>
      <c r="N6" s="58" t="s">
        <v>129</v>
      </c>
      <c r="O6" s="58"/>
      <c r="P6" s="58"/>
    </row>
    <row r="7" spans="1:18" ht="26.25" thickBot="1" x14ac:dyDescent="0.25">
      <c r="A7" s="30"/>
      <c r="B7" s="30"/>
      <c r="C7" s="29" t="s">
        <v>128</v>
      </c>
      <c r="D7" s="33" t="s">
        <v>127</v>
      </c>
      <c r="E7" s="36" t="s">
        <v>126</v>
      </c>
      <c r="F7" s="36" t="s">
        <v>125</v>
      </c>
      <c r="G7" s="36" t="s">
        <v>124</v>
      </c>
      <c r="H7" s="36" t="s">
        <v>123</v>
      </c>
      <c r="I7" s="29" t="s">
        <v>122</v>
      </c>
      <c r="J7" s="32"/>
      <c r="K7" s="32" t="s">
        <v>121</v>
      </c>
      <c r="L7" s="32" t="s">
        <v>120</v>
      </c>
      <c r="M7" s="35" t="s">
        <v>119</v>
      </c>
      <c r="N7" s="32" t="s">
        <v>120</v>
      </c>
      <c r="O7" s="32" t="s">
        <v>119</v>
      </c>
      <c r="P7" s="34" t="s">
        <v>118</v>
      </c>
      <c r="Q7" s="30"/>
      <c r="R7" s="30"/>
    </row>
    <row r="8" spans="1:18" ht="13.5" thickBot="1" x14ac:dyDescent="0.25">
      <c r="A8" s="30"/>
      <c r="B8" s="30"/>
      <c r="C8" s="29"/>
      <c r="D8" s="33"/>
      <c r="E8" s="29"/>
      <c r="F8" s="29"/>
      <c r="G8" s="29"/>
      <c r="H8" s="29"/>
      <c r="I8" s="29"/>
      <c r="J8" s="32"/>
      <c r="K8" s="30"/>
      <c r="L8" s="30"/>
      <c r="M8" s="31"/>
      <c r="N8" s="30"/>
      <c r="O8" s="30"/>
      <c r="P8" s="30"/>
      <c r="Q8" s="30"/>
      <c r="R8" s="30"/>
    </row>
    <row r="9" spans="1:18" ht="13.5" thickBot="1" x14ac:dyDescent="0.25">
      <c r="C9" s="29">
        <v>3</v>
      </c>
      <c r="D9" s="29">
        <v>2</v>
      </c>
      <c r="E9" s="21">
        <v>754.9</v>
      </c>
      <c r="F9" s="21"/>
      <c r="G9" s="21"/>
      <c r="H9" s="21">
        <f t="shared" ref="H9:H14" si="0">SUM(E9:G9)</f>
        <v>754.9</v>
      </c>
      <c r="I9" s="21"/>
      <c r="K9" s="8">
        <f t="shared" ref="K9:K14" si="1">H9/D9</f>
        <v>377.45</v>
      </c>
      <c r="L9" s="19">
        <f t="shared" ref="L9:L14" si="2">K9/1.016*10</f>
        <v>3715.0590551181103</v>
      </c>
      <c r="M9" s="20">
        <f t="shared" ref="M9:M14" si="3">L9/1.12085</f>
        <v>3314.5015435768487</v>
      </c>
      <c r="N9" s="19">
        <f t="shared" ref="N9:O14" si="4">L9*$O$4</f>
        <v>1153.2865259933706</v>
      </c>
      <c r="O9" s="19">
        <f t="shared" si="4"/>
        <v>1028.9392211209088</v>
      </c>
      <c r="P9" s="18">
        <f t="shared" ref="P9:P14" si="5">O9/480</f>
        <v>2.1436233773352265</v>
      </c>
    </row>
    <row r="10" spans="1:18" ht="13.5" thickBot="1" x14ac:dyDescent="0.25">
      <c r="C10" s="29">
        <v>4</v>
      </c>
      <c r="D10" s="29">
        <v>2</v>
      </c>
      <c r="E10" s="21"/>
      <c r="F10" s="21"/>
      <c r="G10" s="21"/>
      <c r="H10" s="21">
        <f t="shared" si="0"/>
        <v>0</v>
      </c>
      <c r="I10" s="21"/>
      <c r="K10" s="8">
        <f t="shared" si="1"/>
        <v>0</v>
      </c>
      <c r="L10" s="19">
        <f t="shared" si="2"/>
        <v>0</v>
      </c>
      <c r="M10" s="20">
        <f t="shared" si="3"/>
        <v>0</v>
      </c>
      <c r="N10" s="19">
        <f t="shared" si="4"/>
        <v>0</v>
      </c>
      <c r="O10" s="19">
        <f t="shared" si="4"/>
        <v>0</v>
      </c>
      <c r="P10" s="18">
        <f t="shared" si="5"/>
        <v>0</v>
      </c>
    </row>
    <row r="11" spans="1:18" ht="13.5" thickBot="1" x14ac:dyDescent="0.25">
      <c r="C11" s="29">
        <v>5</v>
      </c>
      <c r="D11" s="29">
        <v>2</v>
      </c>
      <c r="E11" s="21"/>
      <c r="F11" s="21"/>
      <c r="G11" s="21"/>
      <c r="H11" s="21">
        <f t="shared" si="0"/>
        <v>0</v>
      </c>
      <c r="I11" s="21"/>
      <c r="K11" s="8">
        <f t="shared" si="1"/>
        <v>0</v>
      </c>
      <c r="L11" s="19">
        <f t="shared" si="2"/>
        <v>0</v>
      </c>
      <c r="M11" s="20">
        <f t="shared" si="3"/>
        <v>0</v>
      </c>
      <c r="N11" s="19">
        <f t="shared" si="4"/>
        <v>0</v>
      </c>
      <c r="O11" s="19">
        <f t="shared" si="4"/>
        <v>0</v>
      </c>
      <c r="P11" s="18">
        <f t="shared" si="5"/>
        <v>0</v>
      </c>
    </row>
    <row r="12" spans="1:18" ht="13.5" thickBot="1" x14ac:dyDescent="0.25">
      <c r="C12" s="29">
        <v>6</v>
      </c>
      <c r="D12" s="29">
        <v>2</v>
      </c>
      <c r="E12" s="21"/>
      <c r="F12" s="21"/>
      <c r="G12" s="21"/>
      <c r="H12" s="21">
        <f t="shared" si="0"/>
        <v>0</v>
      </c>
      <c r="I12" s="21"/>
      <c r="K12" s="8">
        <f t="shared" si="1"/>
        <v>0</v>
      </c>
      <c r="L12" s="19">
        <f t="shared" si="2"/>
        <v>0</v>
      </c>
      <c r="M12" s="20">
        <f t="shared" si="3"/>
        <v>0</v>
      </c>
      <c r="N12" s="19">
        <f t="shared" si="4"/>
        <v>0</v>
      </c>
      <c r="O12" s="19">
        <f t="shared" si="4"/>
        <v>0</v>
      </c>
      <c r="P12" s="18">
        <f t="shared" si="5"/>
        <v>0</v>
      </c>
    </row>
    <row r="13" spans="1:18" ht="13.5" thickBot="1" x14ac:dyDescent="0.25">
      <c r="C13" s="29">
        <v>7</v>
      </c>
      <c r="D13" s="29">
        <v>2</v>
      </c>
      <c r="E13" s="21"/>
      <c r="F13" s="21"/>
      <c r="G13" s="21"/>
      <c r="H13" s="21">
        <f t="shared" si="0"/>
        <v>0</v>
      </c>
      <c r="I13" s="21"/>
      <c r="K13" s="8">
        <f t="shared" si="1"/>
        <v>0</v>
      </c>
      <c r="L13" s="19">
        <f t="shared" si="2"/>
        <v>0</v>
      </c>
      <c r="M13" s="20">
        <f t="shared" si="3"/>
        <v>0</v>
      </c>
      <c r="N13" s="19">
        <f t="shared" si="4"/>
        <v>0</v>
      </c>
      <c r="O13" s="19">
        <f t="shared" si="4"/>
        <v>0</v>
      </c>
      <c r="P13" s="18">
        <f t="shared" si="5"/>
        <v>0</v>
      </c>
    </row>
    <row r="14" spans="1:18" ht="13.5" thickBot="1" x14ac:dyDescent="0.25">
      <c r="C14" s="29">
        <v>8</v>
      </c>
      <c r="D14" s="29">
        <v>2</v>
      </c>
      <c r="E14" s="21"/>
      <c r="F14" s="21"/>
      <c r="G14" s="21"/>
      <c r="H14" s="21">
        <f t="shared" si="0"/>
        <v>0</v>
      </c>
      <c r="I14" s="21"/>
      <c r="K14" s="8">
        <f t="shared" si="1"/>
        <v>0</v>
      </c>
      <c r="L14" s="19">
        <f t="shared" si="2"/>
        <v>0</v>
      </c>
      <c r="M14" s="20">
        <f t="shared" si="3"/>
        <v>0</v>
      </c>
      <c r="N14" s="19">
        <f t="shared" si="4"/>
        <v>0</v>
      </c>
      <c r="O14" s="19">
        <f t="shared" si="4"/>
        <v>0</v>
      </c>
      <c r="P14" s="18">
        <f t="shared" si="5"/>
        <v>0</v>
      </c>
    </row>
    <row r="15" spans="1:18" ht="13.5" thickBot="1" x14ac:dyDescent="0.25">
      <c r="C15" s="29"/>
      <c r="D15" s="29"/>
      <c r="E15" s="21"/>
      <c r="F15" s="21"/>
      <c r="G15" s="21"/>
      <c r="H15" s="21"/>
      <c r="I15" s="21"/>
      <c r="M15" s="28"/>
    </row>
    <row r="16" spans="1:18" ht="13.5" thickBot="1" x14ac:dyDescent="0.25">
      <c r="C16" s="65" t="s">
        <v>117</v>
      </c>
      <c r="D16" s="66"/>
      <c r="E16" s="50">
        <v>37557</v>
      </c>
      <c r="F16" s="63" t="s">
        <v>116</v>
      </c>
      <c r="G16" s="64"/>
      <c r="H16" s="21">
        <v>13.6</v>
      </c>
      <c r="I16" s="21"/>
      <c r="K16" s="8">
        <f>H16/SUM($D$9:$D$14)</f>
        <v>1.1333333333333333</v>
      </c>
      <c r="L16" s="19">
        <f>K16/1.016*10</f>
        <v>11.15485564304462</v>
      </c>
      <c r="M16" s="20">
        <f>L16/1.12085</f>
        <v>9.9521395753621089</v>
      </c>
      <c r="N16" s="19">
        <f>L16*$O$4</f>
        <v>3.4628641218505405</v>
      </c>
      <c r="O16" s="19">
        <f>M16*$O$4</f>
        <v>3.0894982574390335</v>
      </c>
      <c r="P16" s="18">
        <f>O16/480</f>
        <v>6.4364547029979865E-3</v>
      </c>
    </row>
    <row r="17" spans="3:16" ht="13.5" thickBot="1" x14ac:dyDescent="0.25">
      <c r="C17" s="25"/>
      <c r="D17" s="23"/>
      <c r="E17" s="24"/>
      <c r="F17" s="23"/>
      <c r="G17" s="22"/>
      <c r="H17" s="21"/>
      <c r="I17" s="21"/>
      <c r="L17" s="19"/>
      <c r="M17" s="20"/>
      <c r="N17" s="19"/>
      <c r="O17" s="19"/>
      <c r="P17" s="18"/>
    </row>
    <row r="18" spans="3:16" ht="16.5" thickBot="1" x14ac:dyDescent="0.25">
      <c r="C18" s="60" t="s">
        <v>115</v>
      </c>
      <c r="D18" s="61"/>
      <c r="E18" s="61"/>
      <c r="F18" s="61"/>
      <c r="G18" s="62"/>
      <c r="H18" s="14">
        <f>SUM(H9:H14,H16)</f>
        <v>768.5</v>
      </c>
      <c r="I18" s="13"/>
      <c r="J18" s="12"/>
      <c r="K18" s="16">
        <f t="shared" ref="K18:P18" si="6">AVERAGE(K9:K14)+K16/6</f>
        <v>63.097222222222221</v>
      </c>
      <c r="L18" s="16">
        <f t="shared" si="6"/>
        <v>621.03565179352586</v>
      </c>
      <c r="M18" s="17">
        <f t="shared" si="6"/>
        <v>554.07561385870179</v>
      </c>
      <c r="N18" s="16">
        <f t="shared" si="6"/>
        <v>192.79156501920352</v>
      </c>
      <c r="O18" s="16">
        <f t="shared" si="6"/>
        <v>172.00478656305799</v>
      </c>
      <c r="P18" s="15">
        <f t="shared" si="6"/>
        <v>0.35834330533970404</v>
      </c>
    </row>
    <row r="19" spans="3:16" ht="16.5" thickBot="1" x14ac:dyDescent="0.25">
      <c r="C19" s="60" t="s">
        <v>114</v>
      </c>
      <c r="D19" s="61"/>
      <c r="E19" s="61"/>
      <c r="F19" s="61"/>
      <c r="G19" s="61"/>
      <c r="H19" s="14">
        <f>STDEV(H9:H14)/SQRT(COUNT(H9:H14))</f>
        <v>125.81666666666669</v>
      </c>
      <c r="I19" s="13"/>
      <c r="J19" s="12"/>
      <c r="K19" s="10">
        <f t="shared" ref="K19:P19" si="7">STDEV(K9:K14)/SQRT(COUNT(K9:K14))</f>
        <v>62.908333333333346</v>
      </c>
      <c r="L19" s="10">
        <f t="shared" si="7"/>
        <v>619.17650918635172</v>
      </c>
      <c r="M19" s="11">
        <f t="shared" si="7"/>
        <v>552.41692392947482</v>
      </c>
      <c r="N19" s="10">
        <f t="shared" si="7"/>
        <v>192.21442099889509</v>
      </c>
      <c r="O19" s="10">
        <f t="shared" si="7"/>
        <v>171.48987018681814</v>
      </c>
      <c r="P19" s="9">
        <f t="shared" si="7"/>
        <v>0.35727056288920445</v>
      </c>
    </row>
    <row r="21" spans="3:16" x14ac:dyDescent="0.2">
      <c r="C21" s="8" t="s">
        <v>146</v>
      </c>
    </row>
    <row r="22" spans="3:16" x14ac:dyDescent="0.2">
      <c r="C22" s="8" t="s">
        <v>112</v>
      </c>
    </row>
  </sheetData>
  <mergeCells count="6">
    <mergeCell ref="C18:G18"/>
    <mergeCell ref="C19:G19"/>
    <mergeCell ref="K6:M6"/>
    <mergeCell ref="N6:P6"/>
    <mergeCell ref="C16:D16"/>
    <mergeCell ref="F16:G16"/>
  </mergeCells>
  <pageMargins left="0.75" right="0.75" top="1" bottom="0.52" header="0.5" footer="0.5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36</vt:i4>
      </vt:variant>
    </vt:vector>
  </HeadingPairs>
  <TitlesOfParts>
    <vt:vector size="75" baseType="lpstr">
      <vt:lpstr>Raw Scale</vt:lpstr>
      <vt:lpstr>Plot Scale</vt:lpstr>
      <vt:lpstr>Compare</vt:lpstr>
      <vt:lpstr>101</vt:lpstr>
      <vt:lpstr>102</vt:lpstr>
      <vt:lpstr>103</vt:lpstr>
      <vt:lpstr>104</vt:lpstr>
      <vt:lpstr>105</vt:lpstr>
      <vt:lpstr>106</vt:lpstr>
      <vt:lpstr>107</vt:lpstr>
      <vt:lpstr>108</vt:lpstr>
      <vt:lpstr>201</vt:lpstr>
      <vt:lpstr>202</vt:lpstr>
      <vt:lpstr>203</vt:lpstr>
      <vt:lpstr>204</vt:lpstr>
      <vt:lpstr>205</vt:lpstr>
      <vt:lpstr>206</vt:lpstr>
      <vt:lpstr>207</vt:lpstr>
      <vt:lpstr>208</vt:lpstr>
      <vt:lpstr>301</vt:lpstr>
      <vt:lpstr>302</vt:lpstr>
      <vt:lpstr>303</vt:lpstr>
      <vt:lpstr>304</vt:lpstr>
      <vt:lpstr>305</vt:lpstr>
      <vt:lpstr>306</vt:lpstr>
      <vt:lpstr>307</vt:lpstr>
      <vt:lpstr>308</vt:lpstr>
      <vt:lpstr>401</vt:lpstr>
      <vt:lpstr>402</vt:lpstr>
      <vt:lpstr>403</vt:lpstr>
      <vt:lpstr>404</vt:lpstr>
      <vt:lpstr>405</vt:lpstr>
      <vt:lpstr>406</vt:lpstr>
      <vt:lpstr>407</vt:lpstr>
      <vt:lpstr>408</vt:lpstr>
      <vt:lpstr>902</vt:lpstr>
      <vt:lpstr>904</vt:lpstr>
      <vt:lpstr>906</vt:lpstr>
      <vt:lpstr>908</vt:lpstr>
      <vt:lpstr>'101'!Print_Area</vt:lpstr>
      <vt:lpstr>'102'!Print_Area</vt:lpstr>
      <vt:lpstr>'103'!Print_Area</vt:lpstr>
      <vt:lpstr>'104'!Print_Area</vt:lpstr>
      <vt:lpstr>'105'!Print_Area</vt:lpstr>
      <vt:lpstr>'106'!Print_Area</vt:lpstr>
      <vt:lpstr>'107'!Print_Area</vt:lpstr>
      <vt:lpstr>'108'!Print_Area</vt:lpstr>
      <vt:lpstr>'201'!Print_Area</vt:lpstr>
      <vt:lpstr>'202'!Print_Area</vt:lpstr>
      <vt:lpstr>'203'!Print_Area</vt:lpstr>
      <vt:lpstr>'204'!Print_Area</vt:lpstr>
      <vt:lpstr>'205'!Print_Area</vt:lpstr>
      <vt:lpstr>'206'!Print_Area</vt:lpstr>
      <vt:lpstr>'207'!Print_Area</vt:lpstr>
      <vt:lpstr>'208'!Print_Area</vt:lpstr>
      <vt:lpstr>'301'!Print_Area</vt:lpstr>
      <vt:lpstr>'302'!Print_Area</vt:lpstr>
      <vt:lpstr>'303'!Print_Area</vt:lpstr>
      <vt:lpstr>'304'!Print_Area</vt:lpstr>
      <vt:lpstr>'305'!Print_Area</vt:lpstr>
      <vt:lpstr>'306'!Print_Area</vt:lpstr>
      <vt:lpstr>'307'!Print_Area</vt:lpstr>
      <vt:lpstr>'308'!Print_Area</vt:lpstr>
      <vt:lpstr>'401'!Print_Area</vt:lpstr>
      <vt:lpstr>'402'!Print_Area</vt:lpstr>
      <vt:lpstr>'403'!Print_Area</vt:lpstr>
      <vt:lpstr>'404'!Print_Area</vt:lpstr>
      <vt:lpstr>'405'!Print_Area</vt:lpstr>
      <vt:lpstr>'406'!Print_Area</vt:lpstr>
      <vt:lpstr>'407'!Print_Area</vt:lpstr>
      <vt:lpstr>'408'!Print_Area</vt:lpstr>
      <vt:lpstr>'902'!Print_Area</vt:lpstr>
      <vt:lpstr>'904'!Print_Area</vt:lpstr>
      <vt:lpstr>'906'!Print_Area</vt:lpstr>
      <vt:lpstr>'908'!Print_Area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2025-09-10T19:40:04Z</dcterms:modified>
</cp:coreProperties>
</file>